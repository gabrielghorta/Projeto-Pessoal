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abri\Downloads\MORRO_DA_CRUZ_ANKARA\outputs\01a0ed8a-bcce-7163-b351-57dade5e7acd\"/>
    </mc:Choice>
  </mc:AlternateContent>
  <xr:revisionPtr revIDLastSave="0" documentId="8_{A95CFFEA-FF01-4A39-BF8E-38D6C4614C6E}" xr6:coauthVersionLast="47" xr6:coauthVersionMax="47" xr10:uidLastSave="{00000000-0000-0000-0000-000000000000}"/>
  <bookViews>
    <workbookView xWindow="-98" yWindow="-98" windowWidth="21795" windowHeight="12975" tabRatio="781" firstSheet="1" activeTab="1" xr2:uid="{00000000-000D-0000-FFFF-FFFF00000000}"/>
  </bookViews>
  <sheets>
    <sheet name="BM MORRO DA CRUZ" sheetId="1" r:id="rId1"/>
    <sheet name="BM MORRO DA CRUZ - VERTICAL" sheetId="2" r:id="rId2"/>
    <sheet name="01ª MC" sheetId="3" r:id="rId3"/>
    <sheet name="CRONOGRAMA FF CAESB" sheetId="4" r:id="rId4"/>
    <sheet name="REAJUSTE" sheetId="5" r:id="rId5"/>
    <sheet name="GRÁFICOS" sheetId="6" r:id="rId6"/>
    <sheet name="CONFERÊNCIA CONTRATO" sheetId="7" r:id="rId7"/>
  </sheets>
  <definedNames>
    <definedName name="_xlnm._FilterDatabase" localSheetId="0" hidden="1">'BM MORRO DA CRUZ'!$A$5:$BE$417</definedName>
    <definedName name="_xlnm._FilterDatabase" localSheetId="1" hidden="1">'BM MORRO DA CRUZ - VERTICAL'!$A$5:$BG$562</definedName>
    <definedName name="_xlnm.Print_Area" localSheetId="2">'01ª MC'!$B$1:$X$1932</definedName>
    <definedName name="_xlnm.Print_Area" localSheetId="0">'BM MORRO DA CRUZ'!$A$1:$BE$417</definedName>
    <definedName name="_xlnm.Print_Area" localSheetId="1">'BM MORRO DA CRUZ - VERTICAL'!$A$1:$BG$562</definedName>
    <definedName name="_xlnm.Print_Area" localSheetId="6">'CONFERÊNCIA CONTRATO'!$A$1:$F$45</definedName>
    <definedName name="_xlnm.Print_Area" localSheetId="3">'CRONOGRAMA FF CAESB'!$A$1:$W$159</definedName>
    <definedName name="_xlnm.Print_Area" localSheetId="5">GRÁFICOS!$A$1:$S$199</definedName>
    <definedName name="_xlnm.Print_Area" localSheetId="4">REAJUSTE!$A$1:$I$41</definedName>
    <definedName name="_xlnm.Print_Titles" localSheetId="0">'BM MORRO DA CRUZ'!$1:$5</definedName>
    <definedName name="_xlnm.Print_Titles" localSheetId="1">'BM MORRO DA CRUZ - VERTICAL'!$1:$5</definedName>
    <definedName name="_xlnm.Print_Titles" localSheetId="3">'CRONOGRAMA FF CAESB'!$1:$8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4" i="5" l="1"/>
  <c r="C24" i="5" s="1"/>
  <c r="F24" i="5" s="1"/>
  <c r="B19" i="5"/>
  <c r="C16" i="5" s="1"/>
  <c r="B7" i="5"/>
  <c r="B10" i="5" s="1"/>
  <c r="B11" i="5" s="1"/>
  <c r="B4" i="5"/>
  <c r="C14" i="5" s="1"/>
  <c r="B31" i="7"/>
  <c r="B21" i="7"/>
  <c r="A113" i="4"/>
  <c r="A102" i="4"/>
  <c r="T1844" i="3"/>
  <c r="V1842" i="3"/>
  <c r="V1840" i="3"/>
  <c r="T1840" i="3"/>
  <c r="W1840" i="3" s="1"/>
  <c r="J1840" i="3"/>
  <c r="I1840" i="3"/>
  <c r="C1840" i="3"/>
  <c r="B1840" i="3"/>
  <c r="V1839" i="3"/>
  <c r="T1839" i="3"/>
  <c r="W1839" i="3" s="1"/>
  <c r="J1839" i="3"/>
  <c r="I1839" i="3"/>
  <c r="C1839" i="3"/>
  <c r="B1839" i="3"/>
  <c r="V1838" i="3"/>
  <c r="T1838" i="3"/>
  <c r="W1838" i="3" s="1"/>
  <c r="J1838" i="3"/>
  <c r="I1838" i="3"/>
  <c r="C1838" i="3"/>
  <c r="B1838" i="3"/>
  <c r="V1837" i="3"/>
  <c r="T1837" i="3"/>
  <c r="W1837" i="3" s="1"/>
  <c r="J1837" i="3"/>
  <c r="I1837" i="3"/>
  <c r="C1837" i="3"/>
  <c r="B1837" i="3"/>
  <c r="V1836" i="3"/>
  <c r="T1836" i="3"/>
  <c r="W1836" i="3" s="1"/>
  <c r="J1836" i="3"/>
  <c r="I1836" i="3"/>
  <c r="C1836" i="3"/>
  <c r="B1836" i="3"/>
  <c r="V1835" i="3"/>
  <c r="T1835" i="3"/>
  <c r="W1835" i="3" s="1"/>
  <c r="J1835" i="3"/>
  <c r="I1835" i="3"/>
  <c r="C1835" i="3"/>
  <c r="B1835" i="3"/>
  <c r="V1834" i="3"/>
  <c r="T1834" i="3"/>
  <c r="W1834" i="3" s="1"/>
  <c r="J1834" i="3"/>
  <c r="I1834" i="3"/>
  <c r="C1834" i="3"/>
  <c r="B1834" i="3"/>
  <c r="V1833" i="3"/>
  <c r="T1833" i="3"/>
  <c r="W1833" i="3" s="1"/>
  <c r="J1833" i="3"/>
  <c r="I1833" i="3"/>
  <c r="C1833" i="3"/>
  <c r="B1833" i="3"/>
  <c r="V1832" i="3"/>
  <c r="T1832" i="3"/>
  <c r="W1832" i="3" s="1"/>
  <c r="J1832" i="3"/>
  <c r="I1832" i="3"/>
  <c r="C1832" i="3"/>
  <c r="B1832" i="3"/>
  <c r="V1831" i="3"/>
  <c r="T1831" i="3"/>
  <c r="W1831" i="3" s="1"/>
  <c r="J1831" i="3"/>
  <c r="I1831" i="3"/>
  <c r="C1831" i="3"/>
  <c r="B1831" i="3"/>
  <c r="V1830" i="3"/>
  <c r="T1830" i="3"/>
  <c r="W1830" i="3" s="1"/>
  <c r="J1830" i="3"/>
  <c r="I1830" i="3"/>
  <c r="C1830" i="3"/>
  <c r="B1830" i="3"/>
  <c r="V1829" i="3"/>
  <c r="T1829" i="3"/>
  <c r="W1829" i="3" s="1"/>
  <c r="J1829" i="3"/>
  <c r="I1829" i="3"/>
  <c r="C1829" i="3"/>
  <c r="B1829" i="3"/>
  <c r="V1828" i="3"/>
  <c r="T1828" i="3"/>
  <c r="W1828" i="3" s="1"/>
  <c r="J1828" i="3"/>
  <c r="I1828" i="3"/>
  <c r="C1828" i="3"/>
  <c r="B1828" i="3"/>
  <c r="V1827" i="3"/>
  <c r="T1827" i="3"/>
  <c r="W1827" i="3" s="1"/>
  <c r="J1827" i="3"/>
  <c r="I1827" i="3"/>
  <c r="C1827" i="3"/>
  <c r="B1827" i="3"/>
  <c r="V1826" i="3"/>
  <c r="T1826" i="3"/>
  <c r="W1826" i="3" s="1"/>
  <c r="J1826" i="3"/>
  <c r="I1826" i="3"/>
  <c r="C1826" i="3"/>
  <c r="B1826" i="3"/>
  <c r="V1825" i="3"/>
  <c r="T1825" i="3"/>
  <c r="W1825" i="3" s="1"/>
  <c r="J1825" i="3"/>
  <c r="I1825" i="3"/>
  <c r="C1825" i="3"/>
  <c r="B1825" i="3"/>
  <c r="V1824" i="3"/>
  <c r="T1824" i="3"/>
  <c r="W1824" i="3" s="1"/>
  <c r="J1824" i="3"/>
  <c r="I1824" i="3"/>
  <c r="C1824" i="3"/>
  <c r="B1824" i="3"/>
  <c r="V1823" i="3"/>
  <c r="T1823" i="3"/>
  <c r="W1823" i="3" s="1"/>
  <c r="J1823" i="3"/>
  <c r="I1823" i="3"/>
  <c r="C1823" i="3"/>
  <c r="B1823" i="3"/>
  <c r="V1822" i="3"/>
  <c r="T1822" i="3"/>
  <c r="W1822" i="3" s="1"/>
  <c r="J1822" i="3"/>
  <c r="I1822" i="3"/>
  <c r="C1822" i="3"/>
  <c r="B1822" i="3"/>
  <c r="V1821" i="3"/>
  <c r="T1821" i="3"/>
  <c r="W1821" i="3" s="1"/>
  <c r="J1821" i="3"/>
  <c r="I1821" i="3"/>
  <c r="C1821" i="3"/>
  <c r="B1821" i="3"/>
  <c r="V1820" i="3"/>
  <c r="T1820" i="3"/>
  <c r="W1820" i="3" s="1"/>
  <c r="J1820" i="3"/>
  <c r="I1820" i="3"/>
  <c r="C1820" i="3"/>
  <c r="B1820" i="3"/>
  <c r="V1819" i="3"/>
  <c r="T1819" i="3"/>
  <c r="W1819" i="3" s="1"/>
  <c r="J1819" i="3"/>
  <c r="I1819" i="3"/>
  <c r="C1819" i="3"/>
  <c r="B1819" i="3"/>
  <c r="V1818" i="3"/>
  <c r="T1818" i="3"/>
  <c r="W1818" i="3" s="1"/>
  <c r="J1818" i="3"/>
  <c r="I1818" i="3"/>
  <c r="C1818" i="3"/>
  <c r="B1818" i="3"/>
  <c r="V1817" i="3"/>
  <c r="T1817" i="3"/>
  <c r="W1817" i="3" s="1"/>
  <c r="J1817" i="3"/>
  <c r="I1817" i="3"/>
  <c r="C1817" i="3"/>
  <c r="B1817" i="3"/>
  <c r="V1816" i="3"/>
  <c r="T1816" i="3"/>
  <c r="W1816" i="3" s="1"/>
  <c r="J1816" i="3"/>
  <c r="I1816" i="3"/>
  <c r="C1816" i="3"/>
  <c r="B1816" i="3"/>
  <c r="V1815" i="3"/>
  <c r="T1815" i="3"/>
  <c r="W1815" i="3" s="1"/>
  <c r="J1815" i="3"/>
  <c r="I1815" i="3"/>
  <c r="C1815" i="3"/>
  <c r="B1815" i="3"/>
  <c r="V1814" i="3"/>
  <c r="T1814" i="3"/>
  <c r="W1814" i="3" s="1"/>
  <c r="J1814" i="3"/>
  <c r="I1814" i="3"/>
  <c r="C1814" i="3"/>
  <c r="B1814" i="3"/>
  <c r="V1813" i="3"/>
  <c r="T1813" i="3"/>
  <c r="W1813" i="3" s="1"/>
  <c r="J1813" i="3"/>
  <c r="I1813" i="3"/>
  <c r="C1813" i="3"/>
  <c r="B1813" i="3"/>
  <c r="V1812" i="3"/>
  <c r="T1812" i="3"/>
  <c r="W1812" i="3" s="1"/>
  <c r="J1812" i="3"/>
  <c r="I1812" i="3"/>
  <c r="C1812" i="3"/>
  <c r="B1812" i="3"/>
  <c r="V1811" i="3"/>
  <c r="T1811" i="3"/>
  <c r="W1811" i="3" s="1"/>
  <c r="J1811" i="3"/>
  <c r="I1811" i="3"/>
  <c r="C1811" i="3"/>
  <c r="B1811" i="3"/>
  <c r="V1810" i="3"/>
  <c r="T1810" i="3"/>
  <c r="W1810" i="3" s="1"/>
  <c r="J1810" i="3"/>
  <c r="I1810" i="3"/>
  <c r="C1810" i="3"/>
  <c r="B1810" i="3"/>
  <c r="V1809" i="3"/>
  <c r="T1809" i="3"/>
  <c r="W1809" i="3" s="1"/>
  <c r="J1809" i="3"/>
  <c r="I1809" i="3"/>
  <c r="C1809" i="3"/>
  <c r="B1809" i="3"/>
  <c r="V1808" i="3"/>
  <c r="T1808" i="3"/>
  <c r="W1808" i="3" s="1"/>
  <c r="J1808" i="3"/>
  <c r="I1808" i="3"/>
  <c r="C1808" i="3"/>
  <c r="B1808" i="3"/>
  <c r="V1807" i="3"/>
  <c r="T1807" i="3"/>
  <c r="W1807" i="3" s="1"/>
  <c r="J1807" i="3"/>
  <c r="I1807" i="3"/>
  <c r="C1807" i="3"/>
  <c r="B1807" i="3"/>
  <c r="V1806" i="3"/>
  <c r="T1806" i="3"/>
  <c r="W1806" i="3" s="1"/>
  <c r="J1806" i="3"/>
  <c r="I1806" i="3"/>
  <c r="C1806" i="3"/>
  <c r="B1806" i="3"/>
  <c r="V1805" i="3"/>
  <c r="T1805" i="3"/>
  <c r="W1805" i="3" s="1"/>
  <c r="J1805" i="3"/>
  <c r="I1805" i="3"/>
  <c r="C1805" i="3"/>
  <c r="B1805" i="3"/>
  <c r="V1804" i="3"/>
  <c r="T1804" i="3"/>
  <c r="W1804" i="3" s="1"/>
  <c r="J1804" i="3"/>
  <c r="I1804" i="3"/>
  <c r="C1804" i="3"/>
  <c r="B1804" i="3"/>
  <c r="V1803" i="3"/>
  <c r="T1803" i="3"/>
  <c r="W1803" i="3" s="1"/>
  <c r="J1803" i="3"/>
  <c r="I1803" i="3"/>
  <c r="C1803" i="3"/>
  <c r="B1803" i="3"/>
  <c r="V1802" i="3"/>
  <c r="T1802" i="3"/>
  <c r="W1802" i="3" s="1"/>
  <c r="J1802" i="3"/>
  <c r="I1802" i="3"/>
  <c r="C1802" i="3"/>
  <c r="B1802" i="3"/>
  <c r="V1801" i="3"/>
  <c r="T1801" i="3"/>
  <c r="W1801" i="3" s="1"/>
  <c r="J1801" i="3"/>
  <c r="I1801" i="3"/>
  <c r="C1801" i="3"/>
  <c r="B1801" i="3"/>
  <c r="V1800" i="3"/>
  <c r="T1800" i="3"/>
  <c r="W1800" i="3" s="1"/>
  <c r="J1800" i="3"/>
  <c r="I1800" i="3"/>
  <c r="C1800" i="3"/>
  <c r="B1800" i="3"/>
  <c r="V1799" i="3"/>
  <c r="T1799" i="3"/>
  <c r="W1799" i="3" s="1"/>
  <c r="J1799" i="3"/>
  <c r="I1799" i="3"/>
  <c r="C1799" i="3"/>
  <c r="B1799" i="3"/>
  <c r="V1798" i="3"/>
  <c r="T1798" i="3"/>
  <c r="W1798" i="3" s="1"/>
  <c r="J1798" i="3"/>
  <c r="I1798" i="3"/>
  <c r="C1798" i="3"/>
  <c r="B1798" i="3"/>
  <c r="V1797" i="3"/>
  <c r="T1797" i="3"/>
  <c r="W1797" i="3" s="1"/>
  <c r="J1797" i="3"/>
  <c r="I1797" i="3"/>
  <c r="C1797" i="3"/>
  <c r="B1797" i="3"/>
  <c r="V1796" i="3"/>
  <c r="T1796" i="3"/>
  <c r="W1796" i="3" s="1"/>
  <c r="J1796" i="3"/>
  <c r="I1796" i="3"/>
  <c r="C1796" i="3"/>
  <c r="B1796" i="3"/>
  <c r="V1795" i="3"/>
  <c r="T1795" i="3"/>
  <c r="W1795" i="3" s="1"/>
  <c r="J1795" i="3"/>
  <c r="I1795" i="3"/>
  <c r="C1795" i="3"/>
  <c r="B1795" i="3"/>
  <c r="V1794" i="3"/>
  <c r="T1794" i="3"/>
  <c r="W1794" i="3" s="1"/>
  <c r="J1794" i="3"/>
  <c r="I1794" i="3"/>
  <c r="C1794" i="3"/>
  <c r="B1794" i="3"/>
  <c r="V1793" i="3"/>
  <c r="T1793" i="3"/>
  <c r="W1793" i="3" s="1"/>
  <c r="J1793" i="3"/>
  <c r="I1793" i="3"/>
  <c r="C1793" i="3"/>
  <c r="B1793" i="3"/>
  <c r="V1792" i="3"/>
  <c r="T1792" i="3"/>
  <c r="W1792" i="3" s="1"/>
  <c r="J1792" i="3"/>
  <c r="I1792" i="3"/>
  <c r="C1792" i="3"/>
  <c r="B1792" i="3"/>
  <c r="V1791" i="3"/>
  <c r="T1791" i="3"/>
  <c r="W1791" i="3" s="1"/>
  <c r="J1791" i="3"/>
  <c r="I1791" i="3"/>
  <c r="C1791" i="3"/>
  <c r="B1791" i="3"/>
  <c r="V1790" i="3"/>
  <c r="T1790" i="3"/>
  <c r="W1790" i="3" s="1"/>
  <c r="J1790" i="3"/>
  <c r="I1790" i="3"/>
  <c r="C1790" i="3"/>
  <c r="B1790" i="3"/>
  <c r="V1789" i="3"/>
  <c r="T1789" i="3"/>
  <c r="W1789" i="3" s="1"/>
  <c r="J1789" i="3"/>
  <c r="I1789" i="3"/>
  <c r="C1789" i="3"/>
  <c r="B1789" i="3"/>
  <c r="V1788" i="3"/>
  <c r="T1788" i="3"/>
  <c r="W1788" i="3" s="1"/>
  <c r="J1788" i="3"/>
  <c r="I1788" i="3"/>
  <c r="C1788" i="3"/>
  <c r="B1788" i="3"/>
  <c r="V1787" i="3"/>
  <c r="T1787" i="3"/>
  <c r="W1787" i="3" s="1"/>
  <c r="J1787" i="3"/>
  <c r="I1787" i="3"/>
  <c r="C1787" i="3"/>
  <c r="B1787" i="3"/>
  <c r="V1786" i="3"/>
  <c r="T1786" i="3"/>
  <c r="W1786" i="3" s="1"/>
  <c r="J1786" i="3"/>
  <c r="I1786" i="3"/>
  <c r="C1786" i="3"/>
  <c r="B1786" i="3"/>
  <c r="V1785" i="3"/>
  <c r="T1785" i="3"/>
  <c r="W1785" i="3" s="1"/>
  <c r="J1785" i="3"/>
  <c r="I1785" i="3"/>
  <c r="C1785" i="3"/>
  <c r="B1785" i="3"/>
  <c r="V1784" i="3"/>
  <c r="T1784" i="3"/>
  <c r="W1784" i="3" s="1"/>
  <c r="J1784" i="3"/>
  <c r="I1784" i="3"/>
  <c r="C1784" i="3"/>
  <c r="B1784" i="3"/>
  <c r="V1783" i="3"/>
  <c r="T1783" i="3"/>
  <c r="W1783" i="3" s="1"/>
  <c r="J1783" i="3"/>
  <c r="I1783" i="3"/>
  <c r="C1783" i="3"/>
  <c r="B1783" i="3"/>
  <c r="V1782" i="3"/>
  <c r="T1782" i="3"/>
  <c r="W1782" i="3" s="1"/>
  <c r="J1782" i="3"/>
  <c r="I1782" i="3"/>
  <c r="C1782" i="3"/>
  <c r="B1782" i="3"/>
  <c r="V1781" i="3"/>
  <c r="T1781" i="3"/>
  <c r="W1781" i="3" s="1"/>
  <c r="J1781" i="3"/>
  <c r="I1781" i="3"/>
  <c r="C1781" i="3"/>
  <c r="B1781" i="3"/>
  <c r="V1780" i="3"/>
  <c r="T1780" i="3"/>
  <c r="W1780" i="3" s="1"/>
  <c r="J1780" i="3"/>
  <c r="I1780" i="3"/>
  <c r="C1780" i="3"/>
  <c r="B1780" i="3"/>
  <c r="V1779" i="3"/>
  <c r="T1779" i="3"/>
  <c r="W1779" i="3" s="1"/>
  <c r="J1779" i="3"/>
  <c r="I1779" i="3"/>
  <c r="C1779" i="3"/>
  <c r="B1779" i="3"/>
  <c r="V1778" i="3"/>
  <c r="T1778" i="3"/>
  <c r="W1778" i="3" s="1"/>
  <c r="J1778" i="3"/>
  <c r="I1778" i="3"/>
  <c r="C1778" i="3"/>
  <c r="B1778" i="3"/>
  <c r="V1777" i="3"/>
  <c r="T1777" i="3"/>
  <c r="W1777" i="3" s="1"/>
  <c r="J1777" i="3"/>
  <c r="I1777" i="3"/>
  <c r="C1777" i="3"/>
  <c r="B1777" i="3"/>
  <c r="V1776" i="3"/>
  <c r="T1776" i="3"/>
  <c r="W1776" i="3" s="1"/>
  <c r="J1776" i="3"/>
  <c r="I1776" i="3"/>
  <c r="C1776" i="3"/>
  <c r="B1776" i="3"/>
  <c r="V1775" i="3"/>
  <c r="T1775" i="3"/>
  <c r="W1775" i="3" s="1"/>
  <c r="C1775" i="3"/>
  <c r="B1775" i="3"/>
  <c r="V1755" i="3"/>
  <c r="F1755" i="3"/>
  <c r="E1755" i="3"/>
  <c r="D1755" i="3"/>
  <c r="B1755" i="3"/>
  <c r="T1752" i="3"/>
  <c r="V1750" i="3"/>
  <c r="V1748" i="3"/>
  <c r="T1748" i="3"/>
  <c r="W1748" i="3" s="1"/>
  <c r="J1748" i="3"/>
  <c r="I1748" i="3"/>
  <c r="C1748" i="3"/>
  <c r="B1748" i="3"/>
  <c r="V1747" i="3"/>
  <c r="T1747" i="3"/>
  <c r="W1747" i="3" s="1"/>
  <c r="J1747" i="3"/>
  <c r="I1747" i="3"/>
  <c r="C1747" i="3"/>
  <c r="B1747" i="3"/>
  <c r="V1746" i="3"/>
  <c r="T1746" i="3"/>
  <c r="W1746" i="3" s="1"/>
  <c r="J1746" i="3"/>
  <c r="I1746" i="3"/>
  <c r="C1746" i="3"/>
  <c r="B1746" i="3"/>
  <c r="V1745" i="3"/>
  <c r="T1745" i="3"/>
  <c r="W1745" i="3" s="1"/>
  <c r="J1745" i="3"/>
  <c r="I1745" i="3"/>
  <c r="C1745" i="3"/>
  <c r="B1745" i="3"/>
  <c r="V1744" i="3"/>
  <c r="T1744" i="3"/>
  <c r="W1744" i="3" s="1"/>
  <c r="J1744" i="3"/>
  <c r="I1744" i="3"/>
  <c r="C1744" i="3"/>
  <c r="B1744" i="3"/>
  <c r="V1743" i="3"/>
  <c r="T1743" i="3"/>
  <c r="W1743" i="3" s="1"/>
  <c r="J1743" i="3"/>
  <c r="I1743" i="3"/>
  <c r="C1743" i="3"/>
  <c r="B1743" i="3"/>
  <c r="V1742" i="3"/>
  <c r="T1742" i="3"/>
  <c r="W1742" i="3" s="1"/>
  <c r="J1742" i="3"/>
  <c r="I1742" i="3"/>
  <c r="C1742" i="3"/>
  <c r="B1742" i="3"/>
  <c r="V1741" i="3"/>
  <c r="T1741" i="3"/>
  <c r="W1741" i="3" s="1"/>
  <c r="J1741" i="3"/>
  <c r="I1741" i="3"/>
  <c r="C1741" i="3"/>
  <c r="B1741" i="3"/>
  <c r="V1740" i="3"/>
  <c r="T1740" i="3"/>
  <c r="W1740" i="3" s="1"/>
  <c r="J1740" i="3"/>
  <c r="I1740" i="3"/>
  <c r="C1740" i="3"/>
  <c r="B1740" i="3"/>
  <c r="V1739" i="3"/>
  <c r="T1739" i="3"/>
  <c r="W1739" i="3" s="1"/>
  <c r="J1739" i="3"/>
  <c r="I1739" i="3"/>
  <c r="C1739" i="3"/>
  <c r="B1739" i="3"/>
  <c r="V1738" i="3"/>
  <c r="T1738" i="3"/>
  <c r="W1738" i="3" s="1"/>
  <c r="J1738" i="3"/>
  <c r="I1738" i="3"/>
  <c r="C1738" i="3"/>
  <c r="B1738" i="3"/>
  <c r="V1737" i="3"/>
  <c r="T1737" i="3"/>
  <c r="W1737" i="3" s="1"/>
  <c r="J1737" i="3"/>
  <c r="I1737" i="3"/>
  <c r="C1737" i="3"/>
  <c r="B1737" i="3"/>
  <c r="V1736" i="3"/>
  <c r="T1736" i="3"/>
  <c r="W1736" i="3" s="1"/>
  <c r="J1736" i="3"/>
  <c r="I1736" i="3"/>
  <c r="C1736" i="3"/>
  <c r="B1736" i="3"/>
  <c r="V1735" i="3"/>
  <c r="T1735" i="3"/>
  <c r="W1735" i="3" s="1"/>
  <c r="J1735" i="3"/>
  <c r="I1735" i="3"/>
  <c r="C1735" i="3"/>
  <c r="B1735" i="3"/>
  <c r="V1734" i="3"/>
  <c r="T1734" i="3"/>
  <c r="W1734" i="3" s="1"/>
  <c r="J1734" i="3"/>
  <c r="I1734" i="3"/>
  <c r="C1734" i="3"/>
  <c r="B1734" i="3"/>
  <c r="V1733" i="3"/>
  <c r="T1733" i="3"/>
  <c r="W1733" i="3" s="1"/>
  <c r="J1733" i="3"/>
  <c r="I1733" i="3"/>
  <c r="C1733" i="3"/>
  <c r="B1733" i="3"/>
  <c r="V1732" i="3"/>
  <c r="T1732" i="3"/>
  <c r="W1732" i="3" s="1"/>
  <c r="J1732" i="3"/>
  <c r="I1732" i="3"/>
  <c r="C1732" i="3"/>
  <c r="B1732" i="3"/>
  <c r="V1731" i="3"/>
  <c r="T1731" i="3"/>
  <c r="W1731" i="3" s="1"/>
  <c r="J1731" i="3"/>
  <c r="I1731" i="3"/>
  <c r="C1731" i="3"/>
  <c r="B1731" i="3"/>
  <c r="V1730" i="3"/>
  <c r="T1730" i="3"/>
  <c r="W1730" i="3" s="1"/>
  <c r="J1730" i="3"/>
  <c r="I1730" i="3"/>
  <c r="C1730" i="3"/>
  <c r="B1730" i="3"/>
  <c r="V1729" i="3"/>
  <c r="T1729" i="3"/>
  <c r="W1729" i="3" s="1"/>
  <c r="J1729" i="3"/>
  <c r="I1729" i="3"/>
  <c r="C1729" i="3"/>
  <c r="B1729" i="3"/>
  <c r="V1728" i="3"/>
  <c r="T1728" i="3"/>
  <c r="W1728" i="3" s="1"/>
  <c r="J1728" i="3"/>
  <c r="I1728" i="3"/>
  <c r="C1728" i="3"/>
  <c r="B1728" i="3"/>
  <c r="V1727" i="3"/>
  <c r="T1727" i="3"/>
  <c r="W1727" i="3" s="1"/>
  <c r="J1727" i="3"/>
  <c r="I1727" i="3"/>
  <c r="C1727" i="3"/>
  <c r="B1727" i="3"/>
  <c r="V1726" i="3"/>
  <c r="T1726" i="3"/>
  <c r="W1726" i="3" s="1"/>
  <c r="J1726" i="3"/>
  <c r="I1726" i="3"/>
  <c r="C1726" i="3"/>
  <c r="B1726" i="3"/>
  <c r="V1725" i="3"/>
  <c r="T1725" i="3"/>
  <c r="W1725" i="3" s="1"/>
  <c r="J1725" i="3"/>
  <c r="I1725" i="3"/>
  <c r="C1725" i="3"/>
  <c r="B1725" i="3"/>
  <c r="V1724" i="3"/>
  <c r="T1724" i="3"/>
  <c r="W1724" i="3" s="1"/>
  <c r="J1724" i="3"/>
  <c r="I1724" i="3"/>
  <c r="C1724" i="3"/>
  <c r="B1724" i="3"/>
  <c r="V1723" i="3"/>
  <c r="T1723" i="3"/>
  <c r="W1723" i="3" s="1"/>
  <c r="J1723" i="3"/>
  <c r="I1723" i="3"/>
  <c r="C1723" i="3"/>
  <c r="B1723" i="3"/>
  <c r="V1722" i="3"/>
  <c r="T1722" i="3"/>
  <c r="W1722" i="3" s="1"/>
  <c r="J1722" i="3"/>
  <c r="I1722" i="3"/>
  <c r="C1722" i="3"/>
  <c r="B1722" i="3"/>
  <c r="V1721" i="3"/>
  <c r="T1721" i="3"/>
  <c r="W1721" i="3" s="1"/>
  <c r="J1721" i="3"/>
  <c r="I1721" i="3"/>
  <c r="C1721" i="3"/>
  <c r="B1721" i="3"/>
  <c r="V1720" i="3"/>
  <c r="T1720" i="3"/>
  <c r="W1720" i="3" s="1"/>
  <c r="J1720" i="3"/>
  <c r="I1720" i="3"/>
  <c r="C1720" i="3"/>
  <c r="B1720" i="3"/>
  <c r="V1719" i="3"/>
  <c r="T1719" i="3"/>
  <c r="W1719" i="3" s="1"/>
  <c r="J1719" i="3"/>
  <c r="I1719" i="3"/>
  <c r="C1719" i="3"/>
  <c r="B1719" i="3"/>
  <c r="V1718" i="3"/>
  <c r="T1718" i="3"/>
  <c r="W1718" i="3" s="1"/>
  <c r="J1718" i="3"/>
  <c r="I1718" i="3"/>
  <c r="C1718" i="3"/>
  <c r="B1718" i="3"/>
  <c r="V1717" i="3"/>
  <c r="T1717" i="3"/>
  <c r="W1717" i="3" s="1"/>
  <c r="J1717" i="3"/>
  <c r="I1717" i="3"/>
  <c r="C1717" i="3"/>
  <c r="B1717" i="3"/>
  <c r="V1716" i="3"/>
  <c r="T1716" i="3"/>
  <c r="W1716" i="3" s="1"/>
  <c r="J1716" i="3"/>
  <c r="I1716" i="3"/>
  <c r="C1716" i="3"/>
  <c r="B1716" i="3"/>
  <c r="V1715" i="3"/>
  <c r="T1715" i="3"/>
  <c r="W1715" i="3" s="1"/>
  <c r="J1715" i="3"/>
  <c r="I1715" i="3"/>
  <c r="C1715" i="3"/>
  <c r="B1715" i="3"/>
  <c r="V1714" i="3"/>
  <c r="T1714" i="3"/>
  <c r="W1714" i="3" s="1"/>
  <c r="J1714" i="3"/>
  <c r="I1714" i="3"/>
  <c r="C1714" i="3"/>
  <c r="B1714" i="3"/>
  <c r="V1713" i="3"/>
  <c r="T1713" i="3"/>
  <c r="W1713" i="3" s="1"/>
  <c r="J1713" i="3"/>
  <c r="I1713" i="3"/>
  <c r="C1713" i="3"/>
  <c r="B1713" i="3"/>
  <c r="V1712" i="3"/>
  <c r="T1712" i="3"/>
  <c r="W1712" i="3" s="1"/>
  <c r="J1712" i="3"/>
  <c r="I1712" i="3"/>
  <c r="C1712" i="3"/>
  <c r="B1712" i="3"/>
  <c r="V1711" i="3"/>
  <c r="T1711" i="3"/>
  <c r="W1711" i="3" s="1"/>
  <c r="J1711" i="3"/>
  <c r="I1711" i="3"/>
  <c r="C1711" i="3"/>
  <c r="B1711" i="3"/>
  <c r="V1710" i="3"/>
  <c r="T1710" i="3"/>
  <c r="W1710" i="3" s="1"/>
  <c r="J1710" i="3"/>
  <c r="I1710" i="3"/>
  <c r="C1710" i="3"/>
  <c r="B1710" i="3"/>
  <c r="V1709" i="3"/>
  <c r="T1709" i="3"/>
  <c r="W1709" i="3" s="1"/>
  <c r="J1709" i="3"/>
  <c r="I1709" i="3"/>
  <c r="C1709" i="3"/>
  <c r="B1709" i="3"/>
  <c r="V1708" i="3"/>
  <c r="T1708" i="3"/>
  <c r="W1708" i="3" s="1"/>
  <c r="J1708" i="3"/>
  <c r="I1708" i="3"/>
  <c r="C1708" i="3"/>
  <c r="B1708" i="3"/>
  <c r="V1707" i="3"/>
  <c r="T1707" i="3"/>
  <c r="W1707" i="3" s="1"/>
  <c r="J1707" i="3"/>
  <c r="I1707" i="3"/>
  <c r="C1707" i="3"/>
  <c r="B1707" i="3"/>
  <c r="V1706" i="3"/>
  <c r="T1706" i="3"/>
  <c r="W1706" i="3" s="1"/>
  <c r="J1706" i="3"/>
  <c r="I1706" i="3"/>
  <c r="C1706" i="3"/>
  <c r="B1706" i="3"/>
  <c r="V1705" i="3"/>
  <c r="T1705" i="3"/>
  <c r="W1705" i="3" s="1"/>
  <c r="J1705" i="3"/>
  <c r="I1705" i="3"/>
  <c r="C1705" i="3"/>
  <c r="B1705" i="3"/>
  <c r="V1704" i="3"/>
  <c r="T1704" i="3"/>
  <c r="W1704" i="3" s="1"/>
  <c r="J1704" i="3"/>
  <c r="I1704" i="3"/>
  <c r="C1704" i="3"/>
  <c r="B1704" i="3"/>
  <c r="V1703" i="3"/>
  <c r="T1703" i="3"/>
  <c r="W1703" i="3" s="1"/>
  <c r="J1703" i="3"/>
  <c r="I1703" i="3"/>
  <c r="C1703" i="3"/>
  <c r="B1703" i="3"/>
  <c r="V1702" i="3"/>
  <c r="T1702" i="3"/>
  <c r="W1702" i="3" s="1"/>
  <c r="J1702" i="3"/>
  <c r="I1702" i="3"/>
  <c r="C1702" i="3"/>
  <c r="B1702" i="3"/>
  <c r="V1701" i="3"/>
  <c r="T1701" i="3"/>
  <c r="W1701" i="3" s="1"/>
  <c r="J1701" i="3"/>
  <c r="I1701" i="3"/>
  <c r="C1701" i="3"/>
  <c r="B1701" i="3"/>
  <c r="V1700" i="3"/>
  <c r="T1700" i="3"/>
  <c r="W1700" i="3" s="1"/>
  <c r="J1700" i="3"/>
  <c r="I1700" i="3"/>
  <c r="C1700" i="3"/>
  <c r="B1700" i="3"/>
  <c r="V1699" i="3"/>
  <c r="T1699" i="3"/>
  <c r="W1699" i="3" s="1"/>
  <c r="J1699" i="3"/>
  <c r="I1699" i="3"/>
  <c r="C1699" i="3"/>
  <c r="B1699" i="3"/>
  <c r="V1698" i="3"/>
  <c r="T1698" i="3"/>
  <c r="W1698" i="3" s="1"/>
  <c r="J1698" i="3"/>
  <c r="I1698" i="3"/>
  <c r="C1698" i="3"/>
  <c r="B1698" i="3"/>
  <c r="V1697" i="3"/>
  <c r="T1697" i="3"/>
  <c r="W1697" i="3" s="1"/>
  <c r="J1697" i="3"/>
  <c r="I1697" i="3"/>
  <c r="C1697" i="3"/>
  <c r="B1697" i="3"/>
  <c r="V1696" i="3"/>
  <c r="T1696" i="3"/>
  <c r="W1696" i="3" s="1"/>
  <c r="J1696" i="3"/>
  <c r="I1696" i="3"/>
  <c r="C1696" i="3"/>
  <c r="B1696" i="3"/>
  <c r="V1695" i="3"/>
  <c r="T1695" i="3"/>
  <c r="W1695" i="3" s="1"/>
  <c r="J1695" i="3"/>
  <c r="I1695" i="3"/>
  <c r="C1695" i="3"/>
  <c r="B1695" i="3"/>
  <c r="V1694" i="3"/>
  <c r="T1694" i="3"/>
  <c r="W1694" i="3" s="1"/>
  <c r="J1694" i="3"/>
  <c r="I1694" i="3"/>
  <c r="C1694" i="3"/>
  <c r="B1694" i="3"/>
  <c r="V1693" i="3"/>
  <c r="T1693" i="3"/>
  <c r="W1693" i="3" s="1"/>
  <c r="J1693" i="3"/>
  <c r="I1693" i="3"/>
  <c r="C1693" i="3"/>
  <c r="B1693" i="3"/>
  <c r="V1692" i="3"/>
  <c r="T1692" i="3"/>
  <c r="W1692" i="3" s="1"/>
  <c r="J1692" i="3"/>
  <c r="I1692" i="3"/>
  <c r="C1692" i="3"/>
  <c r="B1692" i="3"/>
  <c r="V1691" i="3"/>
  <c r="T1691" i="3"/>
  <c r="W1691" i="3" s="1"/>
  <c r="J1691" i="3"/>
  <c r="I1691" i="3"/>
  <c r="C1691" i="3"/>
  <c r="B1691" i="3"/>
  <c r="V1690" i="3"/>
  <c r="T1690" i="3"/>
  <c r="W1690" i="3" s="1"/>
  <c r="J1690" i="3"/>
  <c r="I1690" i="3"/>
  <c r="C1690" i="3"/>
  <c r="B1690" i="3"/>
  <c r="V1689" i="3"/>
  <c r="T1689" i="3"/>
  <c r="W1689" i="3" s="1"/>
  <c r="J1689" i="3"/>
  <c r="I1689" i="3"/>
  <c r="C1689" i="3"/>
  <c r="B1689" i="3"/>
  <c r="V1688" i="3"/>
  <c r="T1688" i="3"/>
  <c r="W1688" i="3" s="1"/>
  <c r="J1688" i="3"/>
  <c r="I1688" i="3"/>
  <c r="C1688" i="3"/>
  <c r="B1688" i="3"/>
  <c r="V1687" i="3"/>
  <c r="T1687" i="3"/>
  <c r="W1687" i="3" s="1"/>
  <c r="J1687" i="3"/>
  <c r="I1687" i="3"/>
  <c r="C1687" i="3"/>
  <c r="B1687" i="3"/>
  <c r="V1686" i="3"/>
  <c r="T1686" i="3"/>
  <c r="W1686" i="3" s="1"/>
  <c r="J1686" i="3"/>
  <c r="I1686" i="3"/>
  <c r="C1686" i="3"/>
  <c r="B1686" i="3"/>
  <c r="V1685" i="3"/>
  <c r="T1685" i="3"/>
  <c r="W1685" i="3" s="1"/>
  <c r="J1685" i="3"/>
  <c r="I1685" i="3"/>
  <c r="C1685" i="3"/>
  <c r="B1685" i="3"/>
  <c r="V1684" i="3"/>
  <c r="T1684" i="3"/>
  <c r="W1684" i="3" s="1"/>
  <c r="J1684" i="3"/>
  <c r="I1684" i="3"/>
  <c r="C1684" i="3"/>
  <c r="B1684" i="3"/>
  <c r="V1683" i="3"/>
  <c r="T1683" i="3"/>
  <c r="W1683" i="3" s="1"/>
  <c r="C1683" i="3"/>
  <c r="B1683" i="3"/>
  <c r="V1663" i="3"/>
  <c r="F1663" i="3"/>
  <c r="E1663" i="3"/>
  <c r="D1663" i="3"/>
  <c r="B1663" i="3"/>
  <c r="T1660" i="3"/>
  <c r="V1658" i="3"/>
  <c r="V1656" i="3"/>
  <c r="T1656" i="3"/>
  <c r="W1656" i="3" s="1"/>
  <c r="J1656" i="3"/>
  <c r="I1656" i="3"/>
  <c r="C1656" i="3"/>
  <c r="B1656" i="3"/>
  <c r="V1655" i="3"/>
  <c r="T1655" i="3"/>
  <c r="W1655" i="3" s="1"/>
  <c r="J1655" i="3"/>
  <c r="I1655" i="3"/>
  <c r="C1655" i="3"/>
  <c r="B1655" i="3"/>
  <c r="V1654" i="3"/>
  <c r="T1654" i="3"/>
  <c r="W1654" i="3" s="1"/>
  <c r="J1654" i="3"/>
  <c r="I1654" i="3"/>
  <c r="C1654" i="3"/>
  <c r="B1654" i="3"/>
  <c r="V1653" i="3"/>
  <c r="T1653" i="3"/>
  <c r="W1653" i="3" s="1"/>
  <c r="J1653" i="3"/>
  <c r="I1653" i="3"/>
  <c r="C1653" i="3"/>
  <c r="B1653" i="3"/>
  <c r="V1652" i="3"/>
  <c r="T1652" i="3"/>
  <c r="W1652" i="3" s="1"/>
  <c r="J1652" i="3"/>
  <c r="I1652" i="3"/>
  <c r="C1652" i="3"/>
  <c r="B1652" i="3"/>
  <c r="V1651" i="3"/>
  <c r="T1651" i="3"/>
  <c r="W1651" i="3" s="1"/>
  <c r="J1651" i="3"/>
  <c r="I1651" i="3"/>
  <c r="C1651" i="3"/>
  <c r="B1651" i="3"/>
  <c r="V1650" i="3"/>
  <c r="T1650" i="3"/>
  <c r="W1650" i="3" s="1"/>
  <c r="J1650" i="3"/>
  <c r="I1650" i="3"/>
  <c r="C1650" i="3"/>
  <c r="B1650" i="3"/>
  <c r="V1649" i="3"/>
  <c r="T1649" i="3"/>
  <c r="W1649" i="3" s="1"/>
  <c r="J1649" i="3"/>
  <c r="I1649" i="3"/>
  <c r="C1649" i="3"/>
  <c r="B1649" i="3"/>
  <c r="V1648" i="3"/>
  <c r="T1648" i="3"/>
  <c r="W1648" i="3" s="1"/>
  <c r="J1648" i="3"/>
  <c r="I1648" i="3"/>
  <c r="C1648" i="3"/>
  <c r="B1648" i="3"/>
  <c r="V1647" i="3"/>
  <c r="T1647" i="3"/>
  <c r="W1647" i="3" s="1"/>
  <c r="J1647" i="3"/>
  <c r="I1647" i="3"/>
  <c r="C1647" i="3"/>
  <c r="B1647" i="3"/>
  <c r="V1646" i="3"/>
  <c r="T1646" i="3"/>
  <c r="W1646" i="3" s="1"/>
  <c r="J1646" i="3"/>
  <c r="I1646" i="3"/>
  <c r="C1646" i="3"/>
  <c r="B1646" i="3"/>
  <c r="V1645" i="3"/>
  <c r="T1645" i="3"/>
  <c r="W1645" i="3" s="1"/>
  <c r="J1645" i="3"/>
  <c r="I1645" i="3"/>
  <c r="C1645" i="3"/>
  <c r="B1645" i="3"/>
  <c r="V1644" i="3"/>
  <c r="T1644" i="3"/>
  <c r="W1644" i="3" s="1"/>
  <c r="J1644" i="3"/>
  <c r="I1644" i="3"/>
  <c r="C1644" i="3"/>
  <c r="B1644" i="3"/>
  <c r="V1643" i="3"/>
  <c r="T1643" i="3"/>
  <c r="W1643" i="3" s="1"/>
  <c r="J1643" i="3"/>
  <c r="I1643" i="3"/>
  <c r="C1643" i="3"/>
  <c r="B1643" i="3"/>
  <c r="V1642" i="3"/>
  <c r="T1642" i="3"/>
  <c r="W1642" i="3" s="1"/>
  <c r="J1642" i="3"/>
  <c r="I1642" i="3"/>
  <c r="C1642" i="3"/>
  <c r="B1642" i="3"/>
  <c r="V1641" i="3"/>
  <c r="T1641" i="3"/>
  <c r="W1641" i="3" s="1"/>
  <c r="J1641" i="3"/>
  <c r="I1641" i="3"/>
  <c r="C1641" i="3"/>
  <c r="B1641" i="3"/>
  <c r="V1640" i="3"/>
  <c r="T1640" i="3"/>
  <c r="W1640" i="3" s="1"/>
  <c r="J1640" i="3"/>
  <c r="I1640" i="3"/>
  <c r="C1640" i="3"/>
  <c r="B1640" i="3"/>
  <c r="V1639" i="3"/>
  <c r="T1639" i="3"/>
  <c r="W1639" i="3" s="1"/>
  <c r="J1639" i="3"/>
  <c r="I1639" i="3"/>
  <c r="C1639" i="3"/>
  <c r="B1639" i="3"/>
  <c r="V1638" i="3"/>
  <c r="T1638" i="3"/>
  <c r="W1638" i="3" s="1"/>
  <c r="J1638" i="3"/>
  <c r="I1638" i="3"/>
  <c r="C1638" i="3"/>
  <c r="B1638" i="3"/>
  <c r="V1637" i="3"/>
  <c r="T1637" i="3"/>
  <c r="W1637" i="3" s="1"/>
  <c r="J1637" i="3"/>
  <c r="I1637" i="3"/>
  <c r="C1637" i="3"/>
  <c r="B1637" i="3"/>
  <c r="V1636" i="3"/>
  <c r="T1636" i="3"/>
  <c r="W1636" i="3" s="1"/>
  <c r="J1636" i="3"/>
  <c r="I1636" i="3"/>
  <c r="C1636" i="3"/>
  <c r="B1636" i="3"/>
  <c r="V1635" i="3"/>
  <c r="T1635" i="3"/>
  <c r="W1635" i="3" s="1"/>
  <c r="J1635" i="3"/>
  <c r="I1635" i="3"/>
  <c r="C1635" i="3"/>
  <c r="B1635" i="3"/>
  <c r="V1634" i="3"/>
  <c r="T1634" i="3"/>
  <c r="W1634" i="3" s="1"/>
  <c r="J1634" i="3"/>
  <c r="I1634" i="3"/>
  <c r="C1634" i="3"/>
  <c r="B1634" i="3"/>
  <c r="V1633" i="3"/>
  <c r="T1633" i="3"/>
  <c r="W1633" i="3" s="1"/>
  <c r="J1633" i="3"/>
  <c r="I1633" i="3"/>
  <c r="C1633" i="3"/>
  <c r="B1633" i="3"/>
  <c r="V1632" i="3"/>
  <c r="T1632" i="3"/>
  <c r="W1632" i="3" s="1"/>
  <c r="J1632" i="3"/>
  <c r="I1632" i="3"/>
  <c r="C1632" i="3"/>
  <c r="B1632" i="3"/>
  <c r="V1631" i="3"/>
  <c r="T1631" i="3"/>
  <c r="W1631" i="3" s="1"/>
  <c r="J1631" i="3"/>
  <c r="I1631" i="3"/>
  <c r="C1631" i="3"/>
  <c r="B1631" i="3"/>
  <c r="V1630" i="3"/>
  <c r="T1630" i="3"/>
  <c r="W1630" i="3" s="1"/>
  <c r="J1630" i="3"/>
  <c r="I1630" i="3"/>
  <c r="C1630" i="3"/>
  <c r="B1630" i="3"/>
  <c r="V1629" i="3"/>
  <c r="T1629" i="3"/>
  <c r="W1629" i="3" s="1"/>
  <c r="J1629" i="3"/>
  <c r="I1629" i="3"/>
  <c r="C1629" i="3"/>
  <c r="B1629" i="3"/>
  <c r="V1628" i="3"/>
  <c r="T1628" i="3"/>
  <c r="W1628" i="3" s="1"/>
  <c r="J1628" i="3"/>
  <c r="I1628" i="3"/>
  <c r="C1628" i="3"/>
  <c r="B1628" i="3"/>
  <c r="V1627" i="3"/>
  <c r="T1627" i="3"/>
  <c r="W1627" i="3" s="1"/>
  <c r="J1627" i="3"/>
  <c r="I1627" i="3"/>
  <c r="C1627" i="3"/>
  <c r="B1627" i="3"/>
  <c r="V1626" i="3"/>
  <c r="T1626" i="3"/>
  <c r="W1626" i="3" s="1"/>
  <c r="J1626" i="3"/>
  <c r="I1626" i="3"/>
  <c r="C1626" i="3"/>
  <c r="B1626" i="3"/>
  <c r="V1625" i="3"/>
  <c r="T1625" i="3"/>
  <c r="W1625" i="3" s="1"/>
  <c r="J1625" i="3"/>
  <c r="I1625" i="3"/>
  <c r="C1625" i="3"/>
  <c r="B1625" i="3"/>
  <c r="V1624" i="3"/>
  <c r="T1624" i="3"/>
  <c r="W1624" i="3" s="1"/>
  <c r="J1624" i="3"/>
  <c r="I1624" i="3"/>
  <c r="C1624" i="3"/>
  <c r="B1624" i="3"/>
  <c r="V1623" i="3"/>
  <c r="T1623" i="3"/>
  <c r="W1623" i="3" s="1"/>
  <c r="J1623" i="3"/>
  <c r="I1623" i="3"/>
  <c r="C1623" i="3"/>
  <c r="B1623" i="3"/>
  <c r="V1622" i="3"/>
  <c r="T1622" i="3"/>
  <c r="W1622" i="3" s="1"/>
  <c r="J1622" i="3"/>
  <c r="I1622" i="3"/>
  <c r="C1622" i="3"/>
  <c r="B1622" i="3"/>
  <c r="V1621" i="3"/>
  <c r="T1621" i="3"/>
  <c r="W1621" i="3" s="1"/>
  <c r="J1621" i="3"/>
  <c r="I1621" i="3"/>
  <c r="C1621" i="3"/>
  <c r="B1621" i="3"/>
  <c r="V1620" i="3"/>
  <c r="T1620" i="3"/>
  <c r="W1620" i="3" s="1"/>
  <c r="J1620" i="3"/>
  <c r="I1620" i="3"/>
  <c r="C1620" i="3"/>
  <c r="B1620" i="3"/>
  <c r="V1619" i="3"/>
  <c r="T1619" i="3"/>
  <c r="W1619" i="3" s="1"/>
  <c r="J1619" i="3"/>
  <c r="I1619" i="3"/>
  <c r="C1619" i="3"/>
  <c r="B1619" i="3"/>
  <c r="V1618" i="3"/>
  <c r="T1618" i="3"/>
  <c r="W1618" i="3" s="1"/>
  <c r="J1618" i="3"/>
  <c r="I1618" i="3"/>
  <c r="C1618" i="3"/>
  <c r="B1618" i="3"/>
  <c r="V1617" i="3"/>
  <c r="T1617" i="3"/>
  <c r="W1617" i="3" s="1"/>
  <c r="J1617" i="3"/>
  <c r="I1617" i="3"/>
  <c r="C1617" i="3"/>
  <c r="B1617" i="3"/>
  <c r="V1616" i="3"/>
  <c r="T1616" i="3"/>
  <c r="W1616" i="3" s="1"/>
  <c r="J1616" i="3"/>
  <c r="I1616" i="3"/>
  <c r="C1616" i="3"/>
  <c r="B1616" i="3"/>
  <c r="V1615" i="3"/>
  <c r="T1615" i="3"/>
  <c r="W1615" i="3" s="1"/>
  <c r="J1615" i="3"/>
  <c r="I1615" i="3"/>
  <c r="C1615" i="3"/>
  <c r="B1615" i="3"/>
  <c r="V1614" i="3"/>
  <c r="T1614" i="3"/>
  <c r="W1614" i="3" s="1"/>
  <c r="J1614" i="3"/>
  <c r="I1614" i="3"/>
  <c r="C1614" i="3"/>
  <c r="B1614" i="3"/>
  <c r="V1613" i="3"/>
  <c r="T1613" i="3"/>
  <c r="W1613" i="3" s="1"/>
  <c r="J1613" i="3"/>
  <c r="I1613" i="3"/>
  <c r="C1613" i="3"/>
  <c r="B1613" i="3"/>
  <c r="V1612" i="3"/>
  <c r="T1612" i="3"/>
  <c r="W1612" i="3" s="1"/>
  <c r="J1612" i="3"/>
  <c r="I1612" i="3"/>
  <c r="C1612" i="3"/>
  <c r="B1612" i="3"/>
  <c r="V1611" i="3"/>
  <c r="T1611" i="3"/>
  <c r="W1611" i="3" s="1"/>
  <c r="J1611" i="3"/>
  <c r="I1611" i="3"/>
  <c r="C1611" i="3"/>
  <c r="B1611" i="3"/>
  <c r="V1610" i="3"/>
  <c r="T1610" i="3"/>
  <c r="W1610" i="3" s="1"/>
  <c r="J1610" i="3"/>
  <c r="I1610" i="3"/>
  <c r="C1610" i="3"/>
  <c r="B1610" i="3"/>
  <c r="V1609" i="3"/>
  <c r="T1609" i="3"/>
  <c r="W1609" i="3" s="1"/>
  <c r="J1609" i="3"/>
  <c r="I1609" i="3"/>
  <c r="C1609" i="3"/>
  <c r="B1609" i="3"/>
  <c r="V1608" i="3"/>
  <c r="T1608" i="3"/>
  <c r="W1608" i="3" s="1"/>
  <c r="J1608" i="3"/>
  <c r="I1608" i="3"/>
  <c r="C1608" i="3"/>
  <c r="B1608" i="3"/>
  <c r="V1607" i="3"/>
  <c r="T1607" i="3"/>
  <c r="W1607" i="3" s="1"/>
  <c r="J1607" i="3"/>
  <c r="I1607" i="3"/>
  <c r="C1607" i="3"/>
  <c r="B1607" i="3"/>
  <c r="V1606" i="3"/>
  <c r="T1606" i="3"/>
  <c r="W1606" i="3" s="1"/>
  <c r="J1606" i="3"/>
  <c r="I1606" i="3"/>
  <c r="C1606" i="3"/>
  <c r="B1606" i="3"/>
  <c r="V1605" i="3"/>
  <c r="T1605" i="3"/>
  <c r="W1605" i="3" s="1"/>
  <c r="J1605" i="3"/>
  <c r="I1605" i="3"/>
  <c r="C1605" i="3"/>
  <c r="B1605" i="3"/>
  <c r="V1604" i="3"/>
  <c r="T1604" i="3"/>
  <c r="W1604" i="3" s="1"/>
  <c r="J1604" i="3"/>
  <c r="I1604" i="3"/>
  <c r="C1604" i="3"/>
  <c r="B1604" i="3"/>
  <c r="V1603" i="3"/>
  <c r="T1603" i="3"/>
  <c r="W1603" i="3" s="1"/>
  <c r="J1603" i="3"/>
  <c r="I1603" i="3"/>
  <c r="C1603" i="3"/>
  <c r="B1603" i="3"/>
  <c r="V1602" i="3"/>
  <c r="T1602" i="3"/>
  <c r="W1602" i="3" s="1"/>
  <c r="J1602" i="3"/>
  <c r="I1602" i="3"/>
  <c r="C1602" i="3"/>
  <c r="B1602" i="3"/>
  <c r="V1601" i="3"/>
  <c r="T1601" i="3"/>
  <c r="W1601" i="3" s="1"/>
  <c r="J1601" i="3"/>
  <c r="I1601" i="3"/>
  <c r="C1601" i="3"/>
  <c r="B1601" i="3"/>
  <c r="V1600" i="3"/>
  <c r="T1600" i="3"/>
  <c r="W1600" i="3" s="1"/>
  <c r="J1600" i="3"/>
  <c r="I1600" i="3"/>
  <c r="C1600" i="3"/>
  <c r="B1600" i="3"/>
  <c r="V1599" i="3"/>
  <c r="T1599" i="3"/>
  <c r="W1599" i="3" s="1"/>
  <c r="J1599" i="3"/>
  <c r="I1599" i="3"/>
  <c r="C1599" i="3"/>
  <c r="B1599" i="3"/>
  <c r="V1598" i="3"/>
  <c r="T1598" i="3"/>
  <c r="W1598" i="3" s="1"/>
  <c r="J1598" i="3"/>
  <c r="I1598" i="3"/>
  <c r="C1598" i="3"/>
  <c r="B1598" i="3"/>
  <c r="V1597" i="3"/>
  <c r="T1597" i="3"/>
  <c r="W1597" i="3" s="1"/>
  <c r="J1597" i="3"/>
  <c r="I1597" i="3"/>
  <c r="C1597" i="3"/>
  <c r="B1597" i="3"/>
  <c r="V1596" i="3"/>
  <c r="T1596" i="3"/>
  <c r="W1596" i="3" s="1"/>
  <c r="J1596" i="3"/>
  <c r="I1596" i="3"/>
  <c r="C1596" i="3"/>
  <c r="B1596" i="3"/>
  <c r="V1595" i="3"/>
  <c r="T1595" i="3"/>
  <c r="W1595" i="3" s="1"/>
  <c r="J1595" i="3"/>
  <c r="I1595" i="3"/>
  <c r="C1595" i="3"/>
  <c r="B1595" i="3"/>
  <c r="V1594" i="3"/>
  <c r="T1594" i="3"/>
  <c r="W1594" i="3" s="1"/>
  <c r="J1594" i="3"/>
  <c r="I1594" i="3"/>
  <c r="C1594" i="3"/>
  <c r="B1594" i="3"/>
  <c r="V1593" i="3"/>
  <c r="T1593" i="3"/>
  <c r="W1593" i="3" s="1"/>
  <c r="J1593" i="3"/>
  <c r="I1593" i="3"/>
  <c r="C1593" i="3"/>
  <c r="B1593" i="3"/>
  <c r="V1592" i="3"/>
  <c r="T1592" i="3"/>
  <c r="W1592" i="3" s="1"/>
  <c r="J1592" i="3"/>
  <c r="I1592" i="3"/>
  <c r="C1592" i="3"/>
  <c r="B1592" i="3"/>
  <c r="V1591" i="3"/>
  <c r="T1591" i="3"/>
  <c r="W1591" i="3" s="1"/>
  <c r="C1591" i="3"/>
  <c r="B1591" i="3"/>
  <c r="V1571" i="3"/>
  <c r="F1571" i="3"/>
  <c r="E1571" i="3"/>
  <c r="D1571" i="3"/>
  <c r="B1571" i="3"/>
  <c r="T1568" i="3"/>
  <c r="V1566" i="3"/>
  <c r="V1564" i="3"/>
  <c r="T1564" i="3"/>
  <c r="W1564" i="3" s="1"/>
  <c r="J1564" i="3"/>
  <c r="I1564" i="3"/>
  <c r="C1564" i="3"/>
  <c r="B1564" i="3"/>
  <c r="V1563" i="3"/>
  <c r="T1563" i="3"/>
  <c r="W1563" i="3" s="1"/>
  <c r="J1563" i="3"/>
  <c r="I1563" i="3"/>
  <c r="C1563" i="3"/>
  <c r="B1563" i="3"/>
  <c r="V1562" i="3"/>
  <c r="T1562" i="3"/>
  <c r="W1562" i="3" s="1"/>
  <c r="J1562" i="3"/>
  <c r="I1562" i="3"/>
  <c r="C1562" i="3"/>
  <c r="B1562" i="3"/>
  <c r="V1561" i="3"/>
  <c r="T1561" i="3"/>
  <c r="W1561" i="3" s="1"/>
  <c r="J1561" i="3"/>
  <c r="I1561" i="3"/>
  <c r="C1561" i="3"/>
  <c r="B1561" i="3"/>
  <c r="V1560" i="3"/>
  <c r="T1560" i="3"/>
  <c r="W1560" i="3" s="1"/>
  <c r="J1560" i="3"/>
  <c r="I1560" i="3"/>
  <c r="C1560" i="3"/>
  <c r="B1560" i="3"/>
  <c r="V1559" i="3"/>
  <c r="T1559" i="3"/>
  <c r="W1559" i="3" s="1"/>
  <c r="J1559" i="3"/>
  <c r="I1559" i="3"/>
  <c r="C1559" i="3"/>
  <c r="B1559" i="3"/>
  <c r="V1558" i="3"/>
  <c r="T1558" i="3"/>
  <c r="W1558" i="3" s="1"/>
  <c r="J1558" i="3"/>
  <c r="I1558" i="3"/>
  <c r="C1558" i="3"/>
  <c r="B1558" i="3"/>
  <c r="V1557" i="3"/>
  <c r="T1557" i="3"/>
  <c r="W1557" i="3" s="1"/>
  <c r="J1557" i="3"/>
  <c r="I1557" i="3"/>
  <c r="C1557" i="3"/>
  <c r="B1557" i="3"/>
  <c r="V1556" i="3"/>
  <c r="T1556" i="3"/>
  <c r="W1556" i="3" s="1"/>
  <c r="J1556" i="3"/>
  <c r="I1556" i="3"/>
  <c r="C1556" i="3"/>
  <c r="B1556" i="3"/>
  <c r="V1555" i="3"/>
  <c r="T1555" i="3"/>
  <c r="W1555" i="3" s="1"/>
  <c r="J1555" i="3"/>
  <c r="I1555" i="3"/>
  <c r="C1555" i="3"/>
  <c r="B1555" i="3"/>
  <c r="V1554" i="3"/>
  <c r="T1554" i="3"/>
  <c r="W1554" i="3" s="1"/>
  <c r="J1554" i="3"/>
  <c r="I1554" i="3"/>
  <c r="C1554" i="3"/>
  <c r="B1554" i="3"/>
  <c r="V1553" i="3"/>
  <c r="T1553" i="3"/>
  <c r="W1553" i="3" s="1"/>
  <c r="J1553" i="3"/>
  <c r="I1553" i="3"/>
  <c r="C1553" i="3"/>
  <c r="B1553" i="3"/>
  <c r="V1552" i="3"/>
  <c r="T1552" i="3"/>
  <c r="W1552" i="3" s="1"/>
  <c r="J1552" i="3"/>
  <c r="I1552" i="3"/>
  <c r="C1552" i="3"/>
  <c r="B1552" i="3"/>
  <c r="V1551" i="3"/>
  <c r="T1551" i="3"/>
  <c r="W1551" i="3" s="1"/>
  <c r="J1551" i="3"/>
  <c r="I1551" i="3"/>
  <c r="C1551" i="3"/>
  <c r="B1551" i="3"/>
  <c r="V1550" i="3"/>
  <c r="T1550" i="3"/>
  <c r="W1550" i="3" s="1"/>
  <c r="J1550" i="3"/>
  <c r="I1550" i="3"/>
  <c r="C1550" i="3"/>
  <c r="B1550" i="3"/>
  <c r="V1549" i="3"/>
  <c r="T1549" i="3"/>
  <c r="W1549" i="3" s="1"/>
  <c r="J1549" i="3"/>
  <c r="I1549" i="3"/>
  <c r="C1549" i="3"/>
  <c r="B1549" i="3"/>
  <c r="V1548" i="3"/>
  <c r="T1548" i="3"/>
  <c r="W1548" i="3" s="1"/>
  <c r="J1548" i="3"/>
  <c r="I1548" i="3"/>
  <c r="C1548" i="3"/>
  <c r="B1548" i="3"/>
  <c r="V1547" i="3"/>
  <c r="T1547" i="3"/>
  <c r="W1547" i="3" s="1"/>
  <c r="J1547" i="3"/>
  <c r="I1547" i="3"/>
  <c r="C1547" i="3"/>
  <c r="B1547" i="3"/>
  <c r="V1546" i="3"/>
  <c r="T1546" i="3"/>
  <c r="W1546" i="3" s="1"/>
  <c r="J1546" i="3"/>
  <c r="I1546" i="3"/>
  <c r="C1546" i="3"/>
  <c r="B1546" i="3"/>
  <c r="V1545" i="3"/>
  <c r="T1545" i="3"/>
  <c r="W1545" i="3" s="1"/>
  <c r="J1545" i="3"/>
  <c r="I1545" i="3"/>
  <c r="C1545" i="3"/>
  <c r="B1545" i="3"/>
  <c r="V1544" i="3"/>
  <c r="T1544" i="3"/>
  <c r="W1544" i="3" s="1"/>
  <c r="J1544" i="3"/>
  <c r="I1544" i="3"/>
  <c r="C1544" i="3"/>
  <c r="B1544" i="3"/>
  <c r="V1543" i="3"/>
  <c r="T1543" i="3"/>
  <c r="W1543" i="3" s="1"/>
  <c r="J1543" i="3"/>
  <c r="I1543" i="3"/>
  <c r="C1543" i="3"/>
  <c r="B1543" i="3"/>
  <c r="V1542" i="3"/>
  <c r="T1542" i="3"/>
  <c r="W1542" i="3" s="1"/>
  <c r="J1542" i="3"/>
  <c r="I1542" i="3"/>
  <c r="C1542" i="3"/>
  <c r="B1542" i="3"/>
  <c r="V1541" i="3"/>
  <c r="T1541" i="3"/>
  <c r="W1541" i="3" s="1"/>
  <c r="J1541" i="3"/>
  <c r="I1541" i="3"/>
  <c r="C1541" i="3"/>
  <c r="B1541" i="3"/>
  <c r="V1540" i="3"/>
  <c r="T1540" i="3"/>
  <c r="W1540" i="3" s="1"/>
  <c r="J1540" i="3"/>
  <c r="I1540" i="3"/>
  <c r="C1540" i="3"/>
  <c r="B1540" i="3"/>
  <c r="V1539" i="3"/>
  <c r="T1539" i="3"/>
  <c r="W1539" i="3" s="1"/>
  <c r="J1539" i="3"/>
  <c r="I1539" i="3"/>
  <c r="C1539" i="3"/>
  <c r="B1539" i="3"/>
  <c r="V1538" i="3"/>
  <c r="T1538" i="3"/>
  <c r="W1538" i="3" s="1"/>
  <c r="J1538" i="3"/>
  <c r="I1538" i="3"/>
  <c r="C1538" i="3"/>
  <c r="B1538" i="3"/>
  <c r="V1537" i="3"/>
  <c r="T1537" i="3"/>
  <c r="W1537" i="3" s="1"/>
  <c r="J1537" i="3"/>
  <c r="I1537" i="3"/>
  <c r="C1537" i="3"/>
  <c r="B1537" i="3"/>
  <c r="V1536" i="3"/>
  <c r="T1536" i="3"/>
  <c r="W1536" i="3" s="1"/>
  <c r="J1536" i="3"/>
  <c r="I1536" i="3"/>
  <c r="C1536" i="3"/>
  <c r="B1536" i="3"/>
  <c r="V1535" i="3"/>
  <c r="T1535" i="3"/>
  <c r="W1535" i="3" s="1"/>
  <c r="J1535" i="3"/>
  <c r="I1535" i="3"/>
  <c r="C1535" i="3"/>
  <c r="B1535" i="3"/>
  <c r="V1534" i="3"/>
  <c r="T1534" i="3"/>
  <c r="W1534" i="3" s="1"/>
  <c r="J1534" i="3"/>
  <c r="I1534" i="3"/>
  <c r="C1534" i="3"/>
  <c r="B1534" i="3"/>
  <c r="V1533" i="3"/>
  <c r="T1533" i="3"/>
  <c r="W1533" i="3" s="1"/>
  <c r="J1533" i="3"/>
  <c r="I1533" i="3"/>
  <c r="C1533" i="3"/>
  <c r="B1533" i="3"/>
  <c r="V1532" i="3"/>
  <c r="T1532" i="3"/>
  <c r="W1532" i="3" s="1"/>
  <c r="J1532" i="3"/>
  <c r="I1532" i="3"/>
  <c r="C1532" i="3"/>
  <c r="B1532" i="3"/>
  <c r="V1531" i="3"/>
  <c r="T1531" i="3"/>
  <c r="W1531" i="3" s="1"/>
  <c r="J1531" i="3"/>
  <c r="I1531" i="3"/>
  <c r="C1531" i="3"/>
  <c r="B1531" i="3"/>
  <c r="V1530" i="3"/>
  <c r="T1530" i="3"/>
  <c r="W1530" i="3" s="1"/>
  <c r="J1530" i="3"/>
  <c r="I1530" i="3"/>
  <c r="C1530" i="3"/>
  <c r="B1530" i="3"/>
  <c r="V1529" i="3"/>
  <c r="T1529" i="3"/>
  <c r="W1529" i="3" s="1"/>
  <c r="J1529" i="3"/>
  <c r="I1529" i="3"/>
  <c r="C1529" i="3"/>
  <c r="B1529" i="3"/>
  <c r="V1528" i="3"/>
  <c r="T1528" i="3"/>
  <c r="W1528" i="3" s="1"/>
  <c r="J1528" i="3"/>
  <c r="I1528" i="3"/>
  <c r="C1528" i="3"/>
  <c r="B1528" i="3"/>
  <c r="V1527" i="3"/>
  <c r="T1527" i="3"/>
  <c r="W1527" i="3" s="1"/>
  <c r="J1527" i="3"/>
  <c r="I1527" i="3"/>
  <c r="C1527" i="3"/>
  <c r="B1527" i="3"/>
  <c r="V1526" i="3"/>
  <c r="T1526" i="3"/>
  <c r="W1526" i="3" s="1"/>
  <c r="J1526" i="3"/>
  <c r="I1526" i="3"/>
  <c r="C1526" i="3"/>
  <c r="B1526" i="3"/>
  <c r="V1525" i="3"/>
  <c r="T1525" i="3"/>
  <c r="W1525" i="3" s="1"/>
  <c r="J1525" i="3"/>
  <c r="I1525" i="3"/>
  <c r="C1525" i="3"/>
  <c r="B1525" i="3"/>
  <c r="V1524" i="3"/>
  <c r="T1524" i="3"/>
  <c r="W1524" i="3" s="1"/>
  <c r="J1524" i="3"/>
  <c r="I1524" i="3"/>
  <c r="C1524" i="3"/>
  <c r="B1524" i="3"/>
  <c r="V1523" i="3"/>
  <c r="T1523" i="3"/>
  <c r="W1523" i="3" s="1"/>
  <c r="J1523" i="3"/>
  <c r="I1523" i="3"/>
  <c r="C1523" i="3"/>
  <c r="B1523" i="3"/>
  <c r="V1522" i="3"/>
  <c r="T1522" i="3"/>
  <c r="W1522" i="3" s="1"/>
  <c r="J1522" i="3"/>
  <c r="I1522" i="3"/>
  <c r="C1522" i="3"/>
  <c r="B1522" i="3"/>
  <c r="V1521" i="3"/>
  <c r="T1521" i="3"/>
  <c r="W1521" i="3" s="1"/>
  <c r="J1521" i="3"/>
  <c r="I1521" i="3"/>
  <c r="C1521" i="3"/>
  <c r="B1521" i="3"/>
  <c r="V1520" i="3"/>
  <c r="T1520" i="3"/>
  <c r="W1520" i="3" s="1"/>
  <c r="J1520" i="3"/>
  <c r="I1520" i="3"/>
  <c r="C1520" i="3"/>
  <c r="B1520" i="3"/>
  <c r="V1519" i="3"/>
  <c r="T1519" i="3"/>
  <c r="W1519" i="3" s="1"/>
  <c r="J1519" i="3"/>
  <c r="I1519" i="3"/>
  <c r="C1519" i="3"/>
  <c r="B1519" i="3"/>
  <c r="V1518" i="3"/>
  <c r="T1518" i="3"/>
  <c r="W1518" i="3" s="1"/>
  <c r="J1518" i="3"/>
  <c r="I1518" i="3"/>
  <c r="C1518" i="3"/>
  <c r="B1518" i="3"/>
  <c r="V1517" i="3"/>
  <c r="T1517" i="3"/>
  <c r="W1517" i="3" s="1"/>
  <c r="J1517" i="3"/>
  <c r="I1517" i="3"/>
  <c r="C1517" i="3"/>
  <c r="B1517" i="3"/>
  <c r="V1516" i="3"/>
  <c r="T1516" i="3"/>
  <c r="W1516" i="3" s="1"/>
  <c r="J1516" i="3"/>
  <c r="I1516" i="3"/>
  <c r="C1516" i="3"/>
  <c r="B1516" i="3"/>
  <c r="V1515" i="3"/>
  <c r="T1515" i="3"/>
  <c r="W1515" i="3" s="1"/>
  <c r="J1515" i="3"/>
  <c r="I1515" i="3"/>
  <c r="C1515" i="3"/>
  <c r="B1515" i="3"/>
  <c r="V1514" i="3"/>
  <c r="T1514" i="3"/>
  <c r="W1514" i="3" s="1"/>
  <c r="J1514" i="3"/>
  <c r="I1514" i="3"/>
  <c r="C1514" i="3"/>
  <c r="B1514" i="3"/>
  <c r="V1513" i="3"/>
  <c r="T1513" i="3"/>
  <c r="W1513" i="3" s="1"/>
  <c r="J1513" i="3"/>
  <c r="I1513" i="3"/>
  <c r="C1513" i="3"/>
  <c r="B1513" i="3"/>
  <c r="V1512" i="3"/>
  <c r="T1512" i="3"/>
  <c r="W1512" i="3" s="1"/>
  <c r="J1512" i="3"/>
  <c r="I1512" i="3"/>
  <c r="C1512" i="3"/>
  <c r="B1512" i="3"/>
  <c r="V1511" i="3"/>
  <c r="T1511" i="3"/>
  <c r="W1511" i="3" s="1"/>
  <c r="J1511" i="3"/>
  <c r="I1511" i="3"/>
  <c r="C1511" i="3"/>
  <c r="B1511" i="3"/>
  <c r="V1510" i="3"/>
  <c r="T1510" i="3"/>
  <c r="W1510" i="3" s="1"/>
  <c r="J1510" i="3"/>
  <c r="I1510" i="3"/>
  <c r="C1510" i="3"/>
  <c r="B1510" i="3"/>
  <c r="V1509" i="3"/>
  <c r="T1509" i="3"/>
  <c r="W1509" i="3" s="1"/>
  <c r="J1509" i="3"/>
  <c r="I1509" i="3"/>
  <c r="C1509" i="3"/>
  <c r="B1509" i="3"/>
  <c r="V1508" i="3"/>
  <c r="T1508" i="3"/>
  <c r="W1508" i="3" s="1"/>
  <c r="J1508" i="3"/>
  <c r="I1508" i="3"/>
  <c r="C1508" i="3"/>
  <c r="B1508" i="3"/>
  <c r="V1507" i="3"/>
  <c r="T1507" i="3"/>
  <c r="W1507" i="3" s="1"/>
  <c r="J1507" i="3"/>
  <c r="I1507" i="3"/>
  <c r="C1507" i="3"/>
  <c r="B1507" i="3"/>
  <c r="V1506" i="3"/>
  <c r="T1506" i="3"/>
  <c r="W1506" i="3" s="1"/>
  <c r="J1506" i="3"/>
  <c r="I1506" i="3"/>
  <c r="C1506" i="3"/>
  <c r="B1506" i="3"/>
  <c r="V1505" i="3"/>
  <c r="T1505" i="3"/>
  <c r="W1505" i="3" s="1"/>
  <c r="J1505" i="3"/>
  <c r="I1505" i="3"/>
  <c r="C1505" i="3"/>
  <c r="B1505" i="3"/>
  <c r="V1504" i="3"/>
  <c r="T1504" i="3"/>
  <c r="W1504" i="3" s="1"/>
  <c r="J1504" i="3"/>
  <c r="I1504" i="3"/>
  <c r="C1504" i="3"/>
  <c r="B1504" i="3"/>
  <c r="V1503" i="3"/>
  <c r="T1503" i="3"/>
  <c r="W1503" i="3" s="1"/>
  <c r="J1503" i="3"/>
  <c r="I1503" i="3"/>
  <c r="C1503" i="3"/>
  <c r="B1503" i="3"/>
  <c r="V1502" i="3"/>
  <c r="T1502" i="3"/>
  <c r="W1502" i="3" s="1"/>
  <c r="J1502" i="3"/>
  <c r="I1502" i="3"/>
  <c r="C1502" i="3"/>
  <c r="B1502" i="3"/>
  <c r="V1501" i="3"/>
  <c r="T1501" i="3"/>
  <c r="W1501" i="3" s="1"/>
  <c r="J1501" i="3"/>
  <c r="I1501" i="3"/>
  <c r="C1501" i="3"/>
  <c r="B1501" i="3"/>
  <c r="V1500" i="3"/>
  <c r="T1500" i="3"/>
  <c r="W1500" i="3" s="1"/>
  <c r="J1500" i="3"/>
  <c r="I1500" i="3"/>
  <c r="C1500" i="3"/>
  <c r="B1500" i="3"/>
  <c r="V1499" i="3"/>
  <c r="T1499" i="3"/>
  <c r="W1499" i="3" s="1"/>
  <c r="C1499" i="3"/>
  <c r="B1499" i="3"/>
  <c r="V1479" i="3"/>
  <c r="F1479" i="3"/>
  <c r="E1479" i="3"/>
  <c r="D1479" i="3"/>
  <c r="B1479" i="3"/>
  <c r="T1476" i="3"/>
  <c r="V1474" i="3"/>
  <c r="V1472" i="3"/>
  <c r="T1472" i="3"/>
  <c r="W1472" i="3" s="1"/>
  <c r="J1472" i="3"/>
  <c r="I1472" i="3"/>
  <c r="C1472" i="3"/>
  <c r="B1472" i="3"/>
  <c r="V1471" i="3"/>
  <c r="T1471" i="3"/>
  <c r="W1471" i="3" s="1"/>
  <c r="J1471" i="3"/>
  <c r="I1471" i="3"/>
  <c r="C1471" i="3"/>
  <c r="B1471" i="3"/>
  <c r="V1470" i="3"/>
  <c r="T1470" i="3"/>
  <c r="W1470" i="3" s="1"/>
  <c r="J1470" i="3"/>
  <c r="I1470" i="3"/>
  <c r="C1470" i="3"/>
  <c r="B1470" i="3"/>
  <c r="V1469" i="3"/>
  <c r="T1469" i="3"/>
  <c r="W1469" i="3" s="1"/>
  <c r="J1469" i="3"/>
  <c r="I1469" i="3"/>
  <c r="C1469" i="3"/>
  <c r="B1469" i="3"/>
  <c r="V1468" i="3"/>
  <c r="T1468" i="3"/>
  <c r="W1468" i="3" s="1"/>
  <c r="J1468" i="3"/>
  <c r="I1468" i="3"/>
  <c r="C1468" i="3"/>
  <c r="B1468" i="3"/>
  <c r="V1467" i="3"/>
  <c r="T1467" i="3"/>
  <c r="W1467" i="3" s="1"/>
  <c r="J1467" i="3"/>
  <c r="I1467" i="3"/>
  <c r="C1467" i="3"/>
  <c r="B1467" i="3"/>
  <c r="V1466" i="3"/>
  <c r="T1466" i="3"/>
  <c r="W1466" i="3" s="1"/>
  <c r="J1466" i="3"/>
  <c r="I1466" i="3"/>
  <c r="C1466" i="3"/>
  <c r="B1466" i="3"/>
  <c r="V1465" i="3"/>
  <c r="T1465" i="3"/>
  <c r="W1465" i="3" s="1"/>
  <c r="J1465" i="3"/>
  <c r="I1465" i="3"/>
  <c r="C1465" i="3"/>
  <c r="B1465" i="3"/>
  <c r="V1464" i="3"/>
  <c r="T1464" i="3"/>
  <c r="W1464" i="3" s="1"/>
  <c r="J1464" i="3"/>
  <c r="I1464" i="3"/>
  <c r="C1464" i="3"/>
  <c r="B1464" i="3"/>
  <c r="V1463" i="3"/>
  <c r="T1463" i="3"/>
  <c r="W1463" i="3" s="1"/>
  <c r="J1463" i="3"/>
  <c r="I1463" i="3"/>
  <c r="C1463" i="3"/>
  <c r="B1463" i="3"/>
  <c r="V1462" i="3"/>
  <c r="T1462" i="3"/>
  <c r="W1462" i="3" s="1"/>
  <c r="J1462" i="3"/>
  <c r="I1462" i="3"/>
  <c r="C1462" i="3"/>
  <c r="B1462" i="3"/>
  <c r="V1461" i="3"/>
  <c r="T1461" i="3"/>
  <c r="W1461" i="3" s="1"/>
  <c r="J1461" i="3"/>
  <c r="I1461" i="3"/>
  <c r="C1461" i="3"/>
  <c r="B1461" i="3"/>
  <c r="V1460" i="3"/>
  <c r="T1460" i="3"/>
  <c r="W1460" i="3" s="1"/>
  <c r="J1460" i="3"/>
  <c r="I1460" i="3"/>
  <c r="C1460" i="3"/>
  <c r="B1460" i="3"/>
  <c r="V1459" i="3"/>
  <c r="T1459" i="3"/>
  <c r="W1459" i="3" s="1"/>
  <c r="J1459" i="3"/>
  <c r="I1459" i="3"/>
  <c r="C1459" i="3"/>
  <c r="B1459" i="3"/>
  <c r="V1458" i="3"/>
  <c r="T1458" i="3"/>
  <c r="W1458" i="3" s="1"/>
  <c r="J1458" i="3"/>
  <c r="I1458" i="3"/>
  <c r="C1458" i="3"/>
  <c r="B1458" i="3"/>
  <c r="V1457" i="3"/>
  <c r="T1457" i="3"/>
  <c r="W1457" i="3" s="1"/>
  <c r="J1457" i="3"/>
  <c r="I1457" i="3"/>
  <c r="C1457" i="3"/>
  <c r="B1457" i="3"/>
  <c r="V1456" i="3"/>
  <c r="T1456" i="3"/>
  <c r="W1456" i="3" s="1"/>
  <c r="J1456" i="3"/>
  <c r="I1456" i="3"/>
  <c r="C1456" i="3"/>
  <c r="B1456" i="3"/>
  <c r="V1455" i="3"/>
  <c r="T1455" i="3"/>
  <c r="W1455" i="3" s="1"/>
  <c r="J1455" i="3"/>
  <c r="I1455" i="3"/>
  <c r="C1455" i="3"/>
  <c r="B1455" i="3"/>
  <c r="V1454" i="3"/>
  <c r="T1454" i="3"/>
  <c r="W1454" i="3" s="1"/>
  <c r="J1454" i="3"/>
  <c r="I1454" i="3"/>
  <c r="C1454" i="3"/>
  <c r="B1454" i="3"/>
  <c r="V1453" i="3"/>
  <c r="T1453" i="3"/>
  <c r="W1453" i="3" s="1"/>
  <c r="J1453" i="3"/>
  <c r="I1453" i="3"/>
  <c r="C1453" i="3"/>
  <c r="B1453" i="3"/>
  <c r="V1452" i="3"/>
  <c r="T1452" i="3"/>
  <c r="W1452" i="3" s="1"/>
  <c r="J1452" i="3"/>
  <c r="I1452" i="3"/>
  <c r="C1452" i="3"/>
  <c r="B1452" i="3"/>
  <c r="V1451" i="3"/>
  <c r="T1451" i="3"/>
  <c r="W1451" i="3" s="1"/>
  <c r="J1451" i="3"/>
  <c r="I1451" i="3"/>
  <c r="C1451" i="3"/>
  <c r="B1451" i="3"/>
  <c r="V1450" i="3"/>
  <c r="T1450" i="3"/>
  <c r="W1450" i="3" s="1"/>
  <c r="J1450" i="3"/>
  <c r="I1450" i="3"/>
  <c r="C1450" i="3"/>
  <c r="B1450" i="3"/>
  <c r="V1449" i="3"/>
  <c r="T1449" i="3"/>
  <c r="W1449" i="3" s="1"/>
  <c r="J1449" i="3"/>
  <c r="I1449" i="3"/>
  <c r="C1449" i="3"/>
  <c r="B1449" i="3"/>
  <c r="V1448" i="3"/>
  <c r="T1448" i="3"/>
  <c r="W1448" i="3" s="1"/>
  <c r="J1448" i="3"/>
  <c r="I1448" i="3"/>
  <c r="C1448" i="3"/>
  <c r="B1448" i="3"/>
  <c r="V1447" i="3"/>
  <c r="T1447" i="3"/>
  <c r="W1447" i="3" s="1"/>
  <c r="J1447" i="3"/>
  <c r="I1447" i="3"/>
  <c r="C1447" i="3"/>
  <c r="B1447" i="3"/>
  <c r="V1446" i="3"/>
  <c r="T1446" i="3"/>
  <c r="W1446" i="3" s="1"/>
  <c r="J1446" i="3"/>
  <c r="I1446" i="3"/>
  <c r="C1446" i="3"/>
  <c r="B1446" i="3"/>
  <c r="V1445" i="3"/>
  <c r="T1445" i="3"/>
  <c r="W1445" i="3" s="1"/>
  <c r="J1445" i="3"/>
  <c r="I1445" i="3"/>
  <c r="C1445" i="3"/>
  <c r="B1445" i="3"/>
  <c r="V1444" i="3"/>
  <c r="T1444" i="3"/>
  <c r="W1444" i="3" s="1"/>
  <c r="J1444" i="3"/>
  <c r="I1444" i="3"/>
  <c r="C1444" i="3"/>
  <c r="B1444" i="3"/>
  <c r="V1443" i="3"/>
  <c r="T1443" i="3"/>
  <c r="W1443" i="3" s="1"/>
  <c r="J1443" i="3"/>
  <c r="I1443" i="3"/>
  <c r="C1443" i="3"/>
  <c r="B1443" i="3"/>
  <c r="V1442" i="3"/>
  <c r="T1442" i="3"/>
  <c r="W1442" i="3" s="1"/>
  <c r="J1442" i="3"/>
  <c r="I1442" i="3"/>
  <c r="C1442" i="3"/>
  <c r="B1442" i="3"/>
  <c r="V1441" i="3"/>
  <c r="T1441" i="3"/>
  <c r="W1441" i="3" s="1"/>
  <c r="J1441" i="3"/>
  <c r="I1441" i="3"/>
  <c r="C1441" i="3"/>
  <c r="B1441" i="3"/>
  <c r="V1440" i="3"/>
  <c r="T1440" i="3"/>
  <c r="W1440" i="3" s="1"/>
  <c r="J1440" i="3"/>
  <c r="I1440" i="3"/>
  <c r="C1440" i="3"/>
  <c r="B1440" i="3"/>
  <c r="V1439" i="3"/>
  <c r="T1439" i="3"/>
  <c r="W1439" i="3" s="1"/>
  <c r="J1439" i="3"/>
  <c r="I1439" i="3"/>
  <c r="C1439" i="3"/>
  <c r="B1439" i="3"/>
  <c r="V1438" i="3"/>
  <c r="T1438" i="3"/>
  <c r="W1438" i="3" s="1"/>
  <c r="J1438" i="3"/>
  <c r="I1438" i="3"/>
  <c r="C1438" i="3"/>
  <c r="B1438" i="3"/>
  <c r="V1437" i="3"/>
  <c r="T1437" i="3"/>
  <c r="W1437" i="3" s="1"/>
  <c r="J1437" i="3"/>
  <c r="I1437" i="3"/>
  <c r="C1437" i="3"/>
  <c r="B1437" i="3"/>
  <c r="V1436" i="3"/>
  <c r="T1436" i="3"/>
  <c r="W1436" i="3" s="1"/>
  <c r="J1436" i="3"/>
  <c r="I1436" i="3"/>
  <c r="C1436" i="3"/>
  <c r="B1436" i="3"/>
  <c r="V1435" i="3"/>
  <c r="T1435" i="3"/>
  <c r="W1435" i="3" s="1"/>
  <c r="J1435" i="3"/>
  <c r="I1435" i="3"/>
  <c r="C1435" i="3"/>
  <c r="B1435" i="3"/>
  <c r="V1434" i="3"/>
  <c r="T1434" i="3"/>
  <c r="W1434" i="3" s="1"/>
  <c r="J1434" i="3"/>
  <c r="I1434" i="3"/>
  <c r="C1434" i="3"/>
  <c r="B1434" i="3"/>
  <c r="V1433" i="3"/>
  <c r="T1433" i="3"/>
  <c r="W1433" i="3" s="1"/>
  <c r="J1433" i="3"/>
  <c r="I1433" i="3"/>
  <c r="C1433" i="3"/>
  <c r="B1433" i="3"/>
  <c r="V1432" i="3"/>
  <c r="T1432" i="3"/>
  <c r="W1432" i="3" s="1"/>
  <c r="J1432" i="3"/>
  <c r="I1432" i="3"/>
  <c r="C1432" i="3"/>
  <c r="B1432" i="3"/>
  <c r="V1431" i="3"/>
  <c r="T1431" i="3"/>
  <c r="W1431" i="3" s="1"/>
  <c r="J1431" i="3"/>
  <c r="I1431" i="3"/>
  <c r="C1431" i="3"/>
  <c r="B1431" i="3"/>
  <c r="V1430" i="3"/>
  <c r="T1430" i="3"/>
  <c r="W1430" i="3" s="1"/>
  <c r="J1430" i="3"/>
  <c r="I1430" i="3"/>
  <c r="C1430" i="3"/>
  <c r="B1430" i="3"/>
  <c r="V1429" i="3"/>
  <c r="T1429" i="3"/>
  <c r="W1429" i="3" s="1"/>
  <c r="J1429" i="3"/>
  <c r="I1429" i="3"/>
  <c r="C1429" i="3"/>
  <c r="B1429" i="3"/>
  <c r="V1428" i="3"/>
  <c r="T1428" i="3"/>
  <c r="W1428" i="3" s="1"/>
  <c r="J1428" i="3"/>
  <c r="I1428" i="3"/>
  <c r="C1428" i="3"/>
  <c r="B1428" i="3"/>
  <c r="V1427" i="3"/>
  <c r="T1427" i="3"/>
  <c r="W1427" i="3" s="1"/>
  <c r="J1427" i="3"/>
  <c r="I1427" i="3"/>
  <c r="C1427" i="3"/>
  <c r="B1427" i="3"/>
  <c r="V1426" i="3"/>
  <c r="T1426" i="3"/>
  <c r="W1426" i="3" s="1"/>
  <c r="J1426" i="3"/>
  <c r="I1426" i="3"/>
  <c r="C1426" i="3"/>
  <c r="B1426" i="3"/>
  <c r="V1425" i="3"/>
  <c r="T1425" i="3"/>
  <c r="W1425" i="3" s="1"/>
  <c r="J1425" i="3"/>
  <c r="I1425" i="3"/>
  <c r="C1425" i="3"/>
  <c r="B1425" i="3"/>
  <c r="V1424" i="3"/>
  <c r="T1424" i="3"/>
  <c r="W1424" i="3" s="1"/>
  <c r="J1424" i="3"/>
  <c r="I1424" i="3"/>
  <c r="C1424" i="3"/>
  <c r="B1424" i="3"/>
  <c r="V1423" i="3"/>
  <c r="T1423" i="3"/>
  <c r="W1423" i="3" s="1"/>
  <c r="J1423" i="3"/>
  <c r="I1423" i="3"/>
  <c r="C1423" i="3"/>
  <c r="B1423" i="3"/>
  <c r="V1422" i="3"/>
  <c r="T1422" i="3"/>
  <c r="W1422" i="3" s="1"/>
  <c r="J1422" i="3"/>
  <c r="I1422" i="3"/>
  <c r="C1422" i="3"/>
  <c r="B1422" i="3"/>
  <c r="V1421" i="3"/>
  <c r="T1421" i="3"/>
  <c r="W1421" i="3" s="1"/>
  <c r="J1421" i="3"/>
  <c r="I1421" i="3"/>
  <c r="C1421" i="3"/>
  <c r="B1421" i="3"/>
  <c r="V1420" i="3"/>
  <c r="T1420" i="3"/>
  <c r="W1420" i="3" s="1"/>
  <c r="J1420" i="3"/>
  <c r="I1420" i="3"/>
  <c r="C1420" i="3"/>
  <c r="B1420" i="3"/>
  <c r="V1419" i="3"/>
  <c r="T1419" i="3"/>
  <c r="W1419" i="3" s="1"/>
  <c r="J1419" i="3"/>
  <c r="I1419" i="3"/>
  <c r="C1419" i="3"/>
  <c r="B1419" i="3"/>
  <c r="V1418" i="3"/>
  <c r="T1418" i="3"/>
  <c r="W1418" i="3" s="1"/>
  <c r="J1418" i="3"/>
  <c r="I1418" i="3"/>
  <c r="C1418" i="3"/>
  <c r="B1418" i="3"/>
  <c r="V1417" i="3"/>
  <c r="T1417" i="3"/>
  <c r="W1417" i="3" s="1"/>
  <c r="J1417" i="3"/>
  <c r="I1417" i="3"/>
  <c r="C1417" i="3"/>
  <c r="B1417" i="3"/>
  <c r="V1416" i="3"/>
  <c r="T1416" i="3"/>
  <c r="W1416" i="3" s="1"/>
  <c r="J1416" i="3"/>
  <c r="I1416" i="3"/>
  <c r="C1416" i="3"/>
  <c r="B1416" i="3"/>
  <c r="V1415" i="3"/>
  <c r="T1415" i="3"/>
  <c r="W1415" i="3" s="1"/>
  <c r="J1415" i="3"/>
  <c r="I1415" i="3"/>
  <c r="C1415" i="3"/>
  <c r="B1415" i="3"/>
  <c r="V1414" i="3"/>
  <c r="T1414" i="3"/>
  <c r="W1414" i="3" s="1"/>
  <c r="J1414" i="3"/>
  <c r="I1414" i="3"/>
  <c r="C1414" i="3"/>
  <c r="B1414" i="3"/>
  <c r="V1413" i="3"/>
  <c r="T1413" i="3"/>
  <c r="W1413" i="3" s="1"/>
  <c r="J1413" i="3"/>
  <c r="I1413" i="3"/>
  <c r="C1413" i="3"/>
  <c r="B1413" i="3"/>
  <c r="V1412" i="3"/>
  <c r="T1412" i="3"/>
  <c r="W1412" i="3" s="1"/>
  <c r="J1412" i="3"/>
  <c r="I1412" i="3"/>
  <c r="C1412" i="3"/>
  <c r="B1412" i="3"/>
  <c r="V1411" i="3"/>
  <c r="T1411" i="3"/>
  <c r="W1411" i="3" s="1"/>
  <c r="J1411" i="3"/>
  <c r="I1411" i="3"/>
  <c r="C1411" i="3"/>
  <c r="B1411" i="3"/>
  <c r="V1410" i="3"/>
  <c r="T1410" i="3"/>
  <c r="W1410" i="3" s="1"/>
  <c r="J1410" i="3"/>
  <c r="I1410" i="3"/>
  <c r="C1410" i="3"/>
  <c r="B1410" i="3"/>
  <c r="V1409" i="3"/>
  <c r="T1409" i="3"/>
  <c r="W1409" i="3" s="1"/>
  <c r="J1409" i="3"/>
  <c r="I1409" i="3"/>
  <c r="C1409" i="3"/>
  <c r="B1409" i="3"/>
  <c r="V1408" i="3"/>
  <c r="T1408" i="3"/>
  <c r="W1408" i="3" s="1"/>
  <c r="J1408" i="3"/>
  <c r="I1408" i="3"/>
  <c r="C1408" i="3"/>
  <c r="B1408" i="3"/>
  <c r="V1407" i="3"/>
  <c r="T1407" i="3"/>
  <c r="W1407" i="3" s="1"/>
  <c r="C1407" i="3"/>
  <c r="B1407" i="3"/>
  <c r="V1387" i="3"/>
  <c r="F1387" i="3"/>
  <c r="E1387" i="3"/>
  <c r="D1387" i="3"/>
  <c r="B1387" i="3"/>
  <c r="T1384" i="3"/>
  <c r="V1382" i="3"/>
  <c r="V1380" i="3"/>
  <c r="T1380" i="3"/>
  <c r="W1380" i="3" s="1"/>
  <c r="J1380" i="3"/>
  <c r="I1380" i="3"/>
  <c r="C1380" i="3"/>
  <c r="B1380" i="3"/>
  <c r="V1379" i="3"/>
  <c r="T1379" i="3"/>
  <c r="W1379" i="3" s="1"/>
  <c r="J1379" i="3"/>
  <c r="I1379" i="3"/>
  <c r="C1379" i="3"/>
  <c r="B1379" i="3"/>
  <c r="V1378" i="3"/>
  <c r="T1378" i="3"/>
  <c r="W1378" i="3" s="1"/>
  <c r="J1378" i="3"/>
  <c r="I1378" i="3"/>
  <c r="C1378" i="3"/>
  <c r="B1378" i="3"/>
  <c r="V1377" i="3"/>
  <c r="T1377" i="3"/>
  <c r="W1377" i="3" s="1"/>
  <c r="J1377" i="3"/>
  <c r="I1377" i="3"/>
  <c r="C1377" i="3"/>
  <c r="B1377" i="3"/>
  <c r="V1376" i="3"/>
  <c r="T1376" i="3"/>
  <c r="W1376" i="3" s="1"/>
  <c r="J1376" i="3"/>
  <c r="I1376" i="3"/>
  <c r="C1376" i="3"/>
  <c r="B1376" i="3"/>
  <c r="V1375" i="3"/>
  <c r="T1375" i="3"/>
  <c r="W1375" i="3" s="1"/>
  <c r="J1375" i="3"/>
  <c r="I1375" i="3"/>
  <c r="C1375" i="3"/>
  <c r="B1375" i="3"/>
  <c r="V1374" i="3"/>
  <c r="T1374" i="3"/>
  <c r="W1374" i="3" s="1"/>
  <c r="J1374" i="3"/>
  <c r="I1374" i="3"/>
  <c r="C1374" i="3"/>
  <c r="B1374" i="3"/>
  <c r="V1373" i="3"/>
  <c r="T1373" i="3"/>
  <c r="W1373" i="3" s="1"/>
  <c r="J1373" i="3"/>
  <c r="I1373" i="3"/>
  <c r="C1373" i="3"/>
  <c r="B1373" i="3"/>
  <c r="V1372" i="3"/>
  <c r="T1372" i="3"/>
  <c r="W1372" i="3" s="1"/>
  <c r="J1372" i="3"/>
  <c r="I1372" i="3"/>
  <c r="C1372" i="3"/>
  <c r="B1372" i="3"/>
  <c r="V1371" i="3"/>
  <c r="T1371" i="3"/>
  <c r="W1371" i="3" s="1"/>
  <c r="J1371" i="3"/>
  <c r="I1371" i="3"/>
  <c r="C1371" i="3"/>
  <c r="B1371" i="3"/>
  <c r="V1370" i="3"/>
  <c r="T1370" i="3"/>
  <c r="W1370" i="3" s="1"/>
  <c r="J1370" i="3"/>
  <c r="I1370" i="3"/>
  <c r="C1370" i="3"/>
  <c r="B1370" i="3"/>
  <c r="V1369" i="3"/>
  <c r="T1369" i="3"/>
  <c r="W1369" i="3" s="1"/>
  <c r="J1369" i="3"/>
  <c r="I1369" i="3"/>
  <c r="C1369" i="3"/>
  <c r="B1369" i="3"/>
  <c r="V1368" i="3"/>
  <c r="T1368" i="3"/>
  <c r="W1368" i="3" s="1"/>
  <c r="J1368" i="3"/>
  <c r="I1368" i="3"/>
  <c r="C1368" i="3"/>
  <c r="B1368" i="3"/>
  <c r="V1367" i="3"/>
  <c r="T1367" i="3"/>
  <c r="W1367" i="3" s="1"/>
  <c r="J1367" i="3"/>
  <c r="I1367" i="3"/>
  <c r="C1367" i="3"/>
  <c r="B1367" i="3"/>
  <c r="V1366" i="3"/>
  <c r="T1366" i="3"/>
  <c r="W1366" i="3" s="1"/>
  <c r="J1366" i="3"/>
  <c r="I1366" i="3"/>
  <c r="C1366" i="3"/>
  <c r="B1366" i="3"/>
  <c r="V1365" i="3"/>
  <c r="T1365" i="3"/>
  <c r="W1365" i="3" s="1"/>
  <c r="J1365" i="3"/>
  <c r="I1365" i="3"/>
  <c r="C1365" i="3"/>
  <c r="B1365" i="3"/>
  <c r="V1364" i="3"/>
  <c r="T1364" i="3"/>
  <c r="W1364" i="3" s="1"/>
  <c r="J1364" i="3"/>
  <c r="I1364" i="3"/>
  <c r="C1364" i="3"/>
  <c r="B1364" i="3"/>
  <c r="V1363" i="3"/>
  <c r="T1363" i="3"/>
  <c r="W1363" i="3" s="1"/>
  <c r="J1363" i="3"/>
  <c r="I1363" i="3"/>
  <c r="C1363" i="3"/>
  <c r="B1363" i="3"/>
  <c r="V1362" i="3"/>
  <c r="T1362" i="3"/>
  <c r="W1362" i="3" s="1"/>
  <c r="J1362" i="3"/>
  <c r="I1362" i="3"/>
  <c r="C1362" i="3"/>
  <c r="B1362" i="3"/>
  <c r="V1361" i="3"/>
  <c r="T1361" i="3"/>
  <c r="W1361" i="3" s="1"/>
  <c r="J1361" i="3"/>
  <c r="I1361" i="3"/>
  <c r="C1361" i="3"/>
  <c r="B1361" i="3"/>
  <c r="V1360" i="3"/>
  <c r="T1360" i="3"/>
  <c r="W1360" i="3" s="1"/>
  <c r="J1360" i="3"/>
  <c r="I1360" i="3"/>
  <c r="C1360" i="3"/>
  <c r="B1360" i="3"/>
  <c r="V1359" i="3"/>
  <c r="T1359" i="3"/>
  <c r="W1359" i="3" s="1"/>
  <c r="J1359" i="3"/>
  <c r="I1359" i="3"/>
  <c r="C1359" i="3"/>
  <c r="B1359" i="3"/>
  <c r="V1358" i="3"/>
  <c r="T1358" i="3"/>
  <c r="W1358" i="3" s="1"/>
  <c r="J1358" i="3"/>
  <c r="I1358" i="3"/>
  <c r="C1358" i="3"/>
  <c r="B1358" i="3"/>
  <c r="V1357" i="3"/>
  <c r="T1357" i="3"/>
  <c r="W1357" i="3" s="1"/>
  <c r="J1357" i="3"/>
  <c r="I1357" i="3"/>
  <c r="C1357" i="3"/>
  <c r="B1357" i="3"/>
  <c r="V1356" i="3"/>
  <c r="T1356" i="3"/>
  <c r="W1356" i="3" s="1"/>
  <c r="J1356" i="3"/>
  <c r="I1356" i="3"/>
  <c r="C1356" i="3"/>
  <c r="B1356" i="3"/>
  <c r="V1355" i="3"/>
  <c r="T1355" i="3"/>
  <c r="W1355" i="3" s="1"/>
  <c r="J1355" i="3"/>
  <c r="I1355" i="3"/>
  <c r="C1355" i="3"/>
  <c r="B1355" i="3"/>
  <c r="V1354" i="3"/>
  <c r="T1354" i="3"/>
  <c r="W1354" i="3" s="1"/>
  <c r="J1354" i="3"/>
  <c r="I1354" i="3"/>
  <c r="C1354" i="3"/>
  <c r="B1354" i="3"/>
  <c r="V1353" i="3"/>
  <c r="T1353" i="3"/>
  <c r="W1353" i="3" s="1"/>
  <c r="J1353" i="3"/>
  <c r="I1353" i="3"/>
  <c r="C1353" i="3"/>
  <c r="B1353" i="3"/>
  <c r="V1352" i="3"/>
  <c r="T1352" i="3"/>
  <c r="W1352" i="3" s="1"/>
  <c r="J1352" i="3"/>
  <c r="I1352" i="3"/>
  <c r="C1352" i="3"/>
  <c r="B1352" i="3"/>
  <c r="V1351" i="3"/>
  <c r="T1351" i="3"/>
  <c r="W1351" i="3" s="1"/>
  <c r="J1351" i="3"/>
  <c r="I1351" i="3"/>
  <c r="C1351" i="3"/>
  <c r="B1351" i="3"/>
  <c r="V1350" i="3"/>
  <c r="T1350" i="3"/>
  <c r="W1350" i="3" s="1"/>
  <c r="J1350" i="3"/>
  <c r="I1350" i="3"/>
  <c r="C1350" i="3"/>
  <c r="B1350" i="3"/>
  <c r="V1349" i="3"/>
  <c r="T1349" i="3"/>
  <c r="W1349" i="3" s="1"/>
  <c r="J1349" i="3"/>
  <c r="I1349" i="3"/>
  <c r="C1349" i="3"/>
  <c r="B1349" i="3"/>
  <c r="V1348" i="3"/>
  <c r="T1348" i="3"/>
  <c r="W1348" i="3" s="1"/>
  <c r="J1348" i="3"/>
  <c r="I1348" i="3"/>
  <c r="C1348" i="3"/>
  <c r="B1348" i="3"/>
  <c r="V1347" i="3"/>
  <c r="T1347" i="3"/>
  <c r="W1347" i="3" s="1"/>
  <c r="J1347" i="3"/>
  <c r="I1347" i="3"/>
  <c r="C1347" i="3"/>
  <c r="B1347" i="3"/>
  <c r="V1346" i="3"/>
  <c r="T1346" i="3"/>
  <c r="W1346" i="3" s="1"/>
  <c r="J1346" i="3"/>
  <c r="I1346" i="3"/>
  <c r="C1346" i="3"/>
  <c r="B1346" i="3"/>
  <c r="V1345" i="3"/>
  <c r="T1345" i="3"/>
  <c r="W1345" i="3" s="1"/>
  <c r="J1345" i="3"/>
  <c r="I1345" i="3"/>
  <c r="C1345" i="3"/>
  <c r="B1345" i="3"/>
  <c r="V1344" i="3"/>
  <c r="T1344" i="3"/>
  <c r="W1344" i="3" s="1"/>
  <c r="J1344" i="3"/>
  <c r="I1344" i="3"/>
  <c r="C1344" i="3"/>
  <c r="B1344" i="3"/>
  <c r="V1343" i="3"/>
  <c r="T1343" i="3"/>
  <c r="W1343" i="3" s="1"/>
  <c r="J1343" i="3"/>
  <c r="I1343" i="3"/>
  <c r="C1343" i="3"/>
  <c r="B1343" i="3"/>
  <c r="V1342" i="3"/>
  <c r="T1342" i="3"/>
  <c r="W1342" i="3" s="1"/>
  <c r="J1342" i="3"/>
  <c r="I1342" i="3"/>
  <c r="C1342" i="3"/>
  <c r="B1342" i="3"/>
  <c r="V1341" i="3"/>
  <c r="T1341" i="3"/>
  <c r="W1341" i="3" s="1"/>
  <c r="J1341" i="3"/>
  <c r="I1341" i="3"/>
  <c r="C1341" i="3"/>
  <c r="B1341" i="3"/>
  <c r="V1340" i="3"/>
  <c r="T1340" i="3"/>
  <c r="W1340" i="3" s="1"/>
  <c r="J1340" i="3"/>
  <c r="I1340" i="3"/>
  <c r="C1340" i="3"/>
  <c r="B1340" i="3"/>
  <c r="V1339" i="3"/>
  <c r="T1339" i="3"/>
  <c r="W1339" i="3" s="1"/>
  <c r="J1339" i="3"/>
  <c r="I1339" i="3"/>
  <c r="C1339" i="3"/>
  <c r="B1339" i="3"/>
  <c r="V1338" i="3"/>
  <c r="T1338" i="3"/>
  <c r="W1338" i="3" s="1"/>
  <c r="J1338" i="3"/>
  <c r="I1338" i="3"/>
  <c r="C1338" i="3"/>
  <c r="B1338" i="3"/>
  <c r="V1337" i="3"/>
  <c r="T1337" i="3"/>
  <c r="W1337" i="3" s="1"/>
  <c r="J1337" i="3"/>
  <c r="I1337" i="3"/>
  <c r="C1337" i="3"/>
  <c r="B1337" i="3"/>
  <c r="V1336" i="3"/>
  <c r="T1336" i="3"/>
  <c r="W1336" i="3" s="1"/>
  <c r="J1336" i="3"/>
  <c r="I1336" i="3"/>
  <c r="C1336" i="3"/>
  <c r="B1336" i="3"/>
  <c r="V1335" i="3"/>
  <c r="T1335" i="3"/>
  <c r="W1335" i="3" s="1"/>
  <c r="J1335" i="3"/>
  <c r="I1335" i="3"/>
  <c r="C1335" i="3"/>
  <c r="B1335" i="3"/>
  <c r="V1334" i="3"/>
  <c r="T1334" i="3"/>
  <c r="W1334" i="3" s="1"/>
  <c r="J1334" i="3"/>
  <c r="I1334" i="3"/>
  <c r="C1334" i="3"/>
  <c r="B1334" i="3"/>
  <c r="V1333" i="3"/>
  <c r="T1333" i="3"/>
  <c r="W1333" i="3" s="1"/>
  <c r="J1333" i="3"/>
  <c r="I1333" i="3"/>
  <c r="C1333" i="3"/>
  <c r="B1333" i="3"/>
  <c r="V1332" i="3"/>
  <c r="T1332" i="3"/>
  <c r="W1332" i="3" s="1"/>
  <c r="J1332" i="3"/>
  <c r="I1332" i="3"/>
  <c r="C1332" i="3"/>
  <c r="B1332" i="3"/>
  <c r="V1331" i="3"/>
  <c r="T1331" i="3"/>
  <c r="W1331" i="3" s="1"/>
  <c r="J1331" i="3"/>
  <c r="I1331" i="3"/>
  <c r="C1331" i="3"/>
  <c r="B1331" i="3"/>
  <c r="V1330" i="3"/>
  <c r="T1330" i="3"/>
  <c r="W1330" i="3" s="1"/>
  <c r="J1330" i="3"/>
  <c r="I1330" i="3"/>
  <c r="C1330" i="3"/>
  <c r="B1330" i="3"/>
  <c r="V1329" i="3"/>
  <c r="T1329" i="3"/>
  <c r="W1329" i="3" s="1"/>
  <c r="J1329" i="3"/>
  <c r="I1329" i="3"/>
  <c r="C1329" i="3"/>
  <c r="B1329" i="3"/>
  <c r="V1328" i="3"/>
  <c r="T1328" i="3"/>
  <c r="W1328" i="3" s="1"/>
  <c r="J1328" i="3"/>
  <c r="I1328" i="3"/>
  <c r="C1328" i="3"/>
  <c r="B1328" i="3"/>
  <c r="V1327" i="3"/>
  <c r="T1327" i="3"/>
  <c r="W1327" i="3" s="1"/>
  <c r="J1327" i="3"/>
  <c r="I1327" i="3"/>
  <c r="C1327" i="3"/>
  <c r="B1327" i="3"/>
  <c r="V1326" i="3"/>
  <c r="T1326" i="3"/>
  <c r="W1326" i="3" s="1"/>
  <c r="J1326" i="3"/>
  <c r="I1326" i="3"/>
  <c r="C1326" i="3"/>
  <c r="B1326" i="3"/>
  <c r="V1325" i="3"/>
  <c r="T1325" i="3"/>
  <c r="W1325" i="3" s="1"/>
  <c r="J1325" i="3"/>
  <c r="I1325" i="3"/>
  <c r="C1325" i="3"/>
  <c r="B1325" i="3"/>
  <c r="V1324" i="3"/>
  <c r="T1324" i="3"/>
  <c r="W1324" i="3" s="1"/>
  <c r="J1324" i="3"/>
  <c r="I1324" i="3"/>
  <c r="C1324" i="3"/>
  <c r="B1324" i="3"/>
  <c r="V1323" i="3"/>
  <c r="T1323" i="3"/>
  <c r="W1323" i="3" s="1"/>
  <c r="J1323" i="3"/>
  <c r="I1323" i="3"/>
  <c r="C1323" i="3"/>
  <c r="B1323" i="3"/>
  <c r="V1322" i="3"/>
  <c r="T1322" i="3"/>
  <c r="W1322" i="3" s="1"/>
  <c r="J1322" i="3"/>
  <c r="I1322" i="3"/>
  <c r="C1322" i="3"/>
  <c r="B1322" i="3"/>
  <c r="V1321" i="3"/>
  <c r="T1321" i="3"/>
  <c r="W1321" i="3" s="1"/>
  <c r="J1321" i="3"/>
  <c r="I1321" i="3"/>
  <c r="C1321" i="3"/>
  <c r="B1321" i="3"/>
  <c r="V1320" i="3"/>
  <c r="T1320" i="3"/>
  <c r="W1320" i="3" s="1"/>
  <c r="J1320" i="3"/>
  <c r="I1320" i="3"/>
  <c r="C1320" i="3"/>
  <c r="B1320" i="3"/>
  <c r="V1319" i="3"/>
  <c r="T1319" i="3"/>
  <c r="W1319" i="3" s="1"/>
  <c r="J1319" i="3"/>
  <c r="I1319" i="3"/>
  <c r="C1319" i="3"/>
  <c r="B1319" i="3"/>
  <c r="V1318" i="3"/>
  <c r="T1318" i="3"/>
  <c r="W1318" i="3" s="1"/>
  <c r="J1318" i="3"/>
  <c r="I1318" i="3"/>
  <c r="C1318" i="3"/>
  <c r="B1318" i="3"/>
  <c r="V1317" i="3"/>
  <c r="T1317" i="3"/>
  <c r="W1317" i="3" s="1"/>
  <c r="J1317" i="3"/>
  <c r="I1317" i="3"/>
  <c r="C1317" i="3"/>
  <c r="B1317" i="3"/>
  <c r="V1316" i="3"/>
  <c r="T1316" i="3"/>
  <c r="W1316" i="3" s="1"/>
  <c r="J1316" i="3"/>
  <c r="I1316" i="3"/>
  <c r="C1316" i="3"/>
  <c r="B1316" i="3"/>
  <c r="V1315" i="3"/>
  <c r="T1315" i="3"/>
  <c r="W1315" i="3" s="1"/>
  <c r="C1315" i="3"/>
  <c r="B1315" i="3"/>
  <c r="V1295" i="3"/>
  <c r="F1295" i="3"/>
  <c r="E1295" i="3"/>
  <c r="D1295" i="3"/>
  <c r="B1295" i="3"/>
  <c r="T1292" i="3"/>
  <c r="V1290" i="3"/>
  <c r="V1288" i="3"/>
  <c r="T1288" i="3"/>
  <c r="W1288" i="3" s="1"/>
  <c r="J1288" i="3"/>
  <c r="I1288" i="3"/>
  <c r="C1288" i="3"/>
  <c r="B1288" i="3"/>
  <c r="V1287" i="3"/>
  <c r="T1287" i="3"/>
  <c r="W1287" i="3" s="1"/>
  <c r="J1287" i="3"/>
  <c r="I1287" i="3"/>
  <c r="C1287" i="3"/>
  <c r="B1287" i="3"/>
  <c r="V1286" i="3"/>
  <c r="T1286" i="3"/>
  <c r="W1286" i="3" s="1"/>
  <c r="J1286" i="3"/>
  <c r="I1286" i="3"/>
  <c r="C1286" i="3"/>
  <c r="B1286" i="3"/>
  <c r="V1285" i="3"/>
  <c r="T1285" i="3"/>
  <c r="W1285" i="3" s="1"/>
  <c r="J1285" i="3"/>
  <c r="I1285" i="3"/>
  <c r="C1285" i="3"/>
  <c r="B1285" i="3"/>
  <c r="V1284" i="3"/>
  <c r="T1284" i="3"/>
  <c r="W1284" i="3" s="1"/>
  <c r="J1284" i="3"/>
  <c r="I1284" i="3"/>
  <c r="C1284" i="3"/>
  <c r="B1284" i="3"/>
  <c r="V1283" i="3"/>
  <c r="T1283" i="3"/>
  <c r="W1283" i="3" s="1"/>
  <c r="J1283" i="3"/>
  <c r="I1283" i="3"/>
  <c r="C1283" i="3"/>
  <c r="B1283" i="3"/>
  <c r="V1282" i="3"/>
  <c r="T1282" i="3"/>
  <c r="W1282" i="3" s="1"/>
  <c r="J1282" i="3"/>
  <c r="I1282" i="3"/>
  <c r="C1282" i="3"/>
  <c r="B1282" i="3"/>
  <c r="V1281" i="3"/>
  <c r="T1281" i="3"/>
  <c r="W1281" i="3" s="1"/>
  <c r="J1281" i="3"/>
  <c r="I1281" i="3"/>
  <c r="C1281" i="3"/>
  <c r="B1281" i="3"/>
  <c r="V1280" i="3"/>
  <c r="T1280" i="3"/>
  <c r="W1280" i="3" s="1"/>
  <c r="J1280" i="3"/>
  <c r="I1280" i="3"/>
  <c r="C1280" i="3"/>
  <c r="B1280" i="3"/>
  <c r="V1279" i="3"/>
  <c r="T1279" i="3"/>
  <c r="W1279" i="3" s="1"/>
  <c r="J1279" i="3"/>
  <c r="I1279" i="3"/>
  <c r="C1279" i="3"/>
  <c r="B1279" i="3"/>
  <c r="V1278" i="3"/>
  <c r="T1278" i="3"/>
  <c r="W1278" i="3" s="1"/>
  <c r="J1278" i="3"/>
  <c r="I1278" i="3"/>
  <c r="C1278" i="3"/>
  <c r="B1278" i="3"/>
  <c r="V1277" i="3"/>
  <c r="T1277" i="3"/>
  <c r="W1277" i="3" s="1"/>
  <c r="J1277" i="3"/>
  <c r="I1277" i="3"/>
  <c r="C1277" i="3"/>
  <c r="B1277" i="3"/>
  <c r="V1276" i="3"/>
  <c r="T1276" i="3"/>
  <c r="W1276" i="3" s="1"/>
  <c r="J1276" i="3"/>
  <c r="I1276" i="3"/>
  <c r="C1276" i="3"/>
  <c r="B1276" i="3"/>
  <c r="V1275" i="3"/>
  <c r="T1275" i="3"/>
  <c r="W1275" i="3" s="1"/>
  <c r="J1275" i="3"/>
  <c r="I1275" i="3"/>
  <c r="C1275" i="3"/>
  <c r="B1275" i="3"/>
  <c r="V1274" i="3"/>
  <c r="T1274" i="3"/>
  <c r="W1274" i="3" s="1"/>
  <c r="J1274" i="3"/>
  <c r="I1274" i="3"/>
  <c r="C1274" i="3"/>
  <c r="B1274" i="3"/>
  <c r="V1273" i="3"/>
  <c r="T1273" i="3"/>
  <c r="W1273" i="3" s="1"/>
  <c r="J1273" i="3"/>
  <c r="I1273" i="3"/>
  <c r="C1273" i="3"/>
  <c r="B1273" i="3"/>
  <c r="V1272" i="3"/>
  <c r="T1272" i="3"/>
  <c r="W1272" i="3" s="1"/>
  <c r="J1272" i="3"/>
  <c r="I1272" i="3"/>
  <c r="C1272" i="3"/>
  <c r="B1272" i="3"/>
  <c r="V1271" i="3"/>
  <c r="T1271" i="3"/>
  <c r="W1271" i="3" s="1"/>
  <c r="J1271" i="3"/>
  <c r="I1271" i="3"/>
  <c r="C1271" i="3"/>
  <c r="B1271" i="3"/>
  <c r="V1270" i="3"/>
  <c r="T1270" i="3"/>
  <c r="W1270" i="3" s="1"/>
  <c r="J1270" i="3"/>
  <c r="I1270" i="3"/>
  <c r="C1270" i="3"/>
  <c r="B1270" i="3"/>
  <c r="V1269" i="3"/>
  <c r="T1269" i="3"/>
  <c r="W1269" i="3" s="1"/>
  <c r="J1269" i="3"/>
  <c r="I1269" i="3"/>
  <c r="C1269" i="3"/>
  <c r="B1269" i="3"/>
  <c r="V1268" i="3"/>
  <c r="T1268" i="3"/>
  <c r="W1268" i="3" s="1"/>
  <c r="J1268" i="3"/>
  <c r="I1268" i="3"/>
  <c r="C1268" i="3"/>
  <c r="B1268" i="3"/>
  <c r="V1267" i="3"/>
  <c r="T1267" i="3"/>
  <c r="W1267" i="3" s="1"/>
  <c r="J1267" i="3"/>
  <c r="I1267" i="3"/>
  <c r="C1267" i="3"/>
  <c r="B1267" i="3"/>
  <c r="V1266" i="3"/>
  <c r="T1266" i="3"/>
  <c r="W1266" i="3" s="1"/>
  <c r="J1266" i="3"/>
  <c r="I1266" i="3"/>
  <c r="C1266" i="3"/>
  <c r="B1266" i="3"/>
  <c r="V1265" i="3"/>
  <c r="T1265" i="3"/>
  <c r="W1265" i="3" s="1"/>
  <c r="J1265" i="3"/>
  <c r="I1265" i="3"/>
  <c r="C1265" i="3"/>
  <c r="B1265" i="3"/>
  <c r="V1264" i="3"/>
  <c r="T1264" i="3"/>
  <c r="W1264" i="3" s="1"/>
  <c r="J1264" i="3"/>
  <c r="I1264" i="3"/>
  <c r="C1264" i="3"/>
  <c r="B1264" i="3"/>
  <c r="V1263" i="3"/>
  <c r="T1263" i="3"/>
  <c r="W1263" i="3" s="1"/>
  <c r="J1263" i="3"/>
  <c r="I1263" i="3"/>
  <c r="C1263" i="3"/>
  <c r="B1263" i="3"/>
  <c r="V1262" i="3"/>
  <c r="T1262" i="3"/>
  <c r="W1262" i="3" s="1"/>
  <c r="J1262" i="3"/>
  <c r="I1262" i="3"/>
  <c r="C1262" i="3"/>
  <c r="B1262" i="3"/>
  <c r="V1261" i="3"/>
  <c r="T1261" i="3"/>
  <c r="W1261" i="3" s="1"/>
  <c r="J1261" i="3"/>
  <c r="I1261" i="3"/>
  <c r="C1261" i="3"/>
  <c r="B1261" i="3"/>
  <c r="V1260" i="3"/>
  <c r="T1260" i="3"/>
  <c r="W1260" i="3" s="1"/>
  <c r="J1260" i="3"/>
  <c r="I1260" i="3"/>
  <c r="C1260" i="3"/>
  <c r="B1260" i="3"/>
  <c r="V1259" i="3"/>
  <c r="T1259" i="3"/>
  <c r="W1259" i="3" s="1"/>
  <c r="J1259" i="3"/>
  <c r="I1259" i="3"/>
  <c r="C1259" i="3"/>
  <c r="B1259" i="3"/>
  <c r="V1258" i="3"/>
  <c r="T1258" i="3"/>
  <c r="W1258" i="3" s="1"/>
  <c r="J1258" i="3"/>
  <c r="I1258" i="3"/>
  <c r="C1258" i="3"/>
  <c r="B1258" i="3"/>
  <c r="V1257" i="3"/>
  <c r="T1257" i="3"/>
  <c r="W1257" i="3" s="1"/>
  <c r="J1257" i="3"/>
  <c r="I1257" i="3"/>
  <c r="C1257" i="3"/>
  <c r="B1257" i="3"/>
  <c r="V1256" i="3"/>
  <c r="T1256" i="3"/>
  <c r="W1256" i="3" s="1"/>
  <c r="J1256" i="3"/>
  <c r="I1256" i="3"/>
  <c r="C1256" i="3"/>
  <c r="B1256" i="3"/>
  <c r="V1255" i="3"/>
  <c r="T1255" i="3"/>
  <c r="W1255" i="3" s="1"/>
  <c r="J1255" i="3"/>
  <c r="I1255" i="3"/>
  <c r="C1255" i="3"/>
  <c r="B1255" i="3"/>
  <c r="V1254" i="3"/>
  <c r="T1254" i="3"/>
  <c r="W1254" i="3" s="1"/>
  <c r="J1254" i="3"/>
  <c r="I1254" i="3"/>
  <c r="C1254" i="3"/>
  <c r="B1254" i="3"/>
  <c r="V1253" i="3"/>
  <c r="T1253" i="3"/>
  <c r="W1253" i="3" s="1"/>
  <c r="J1253" i="3"/>
  <c r="I1253" i="3"/>
  <c r="C1253" i="3"/>
  <c r="B1253" i="3"/>
  <c r="V1252" i="3"/>
  <c r="T1252" i="3"/>
  <c r="W1252" i="3" s="1"/>
  <c r="J1252" i="3"/>
  <c r="I1252" i="3"/>
  <c r="C1252" i="3"/>
  <c r="B1252" i="3"/>
  <c r="V1251" i="3"/>
  <c r="T1251" i="3"/>
  <c r="W1251" i="3" s="1"/>
  <c r="J1251" i="3"/>
  <c r="I1251" i="3"/>
  <c r="C1251" i="3"/>
  <c r="B1251" i="3"/>
  <c r="V1250" i="3"/>
  <c r="T1250" i="3"/>
  <c r="W1250" i="3" s="1"/>
  <c r="J1250" i="3"/>
  <c r="I1250" i="3"/>
  <c r="C1250" i="3"/>
  <c r="B1250" i="3"/>
  <c r="V1249" i="3"/>
  <c r="T1249" i="3"/>
  <c r="W1249" i="3" s="1"/>
  <c r="J1249" i="3"/>
  <c r="I1249" i="3"/>
  <c r="C1249" i="3"/>
  <c r="B1249" i="3"/>
  <c r="V1248" i="3"/>
  <c r="T1248" i="3"/>
  <c r="W1248" i="3" s="1"/>
  <c r="J1248" i="3"/>
  <c r="I1248" i="3"/>
  <c r="C1248" i="3"/>
  <c r="B1248" i="3"/>
  <c r="V1247" i="3"/>
  <c r="T1247" i="3"/>
  <c r="W1247" i="3" s="1"/>
  <c r="J1247" i="3"/>
  <c r="I1247" i="3"/>
  <c r="C1247" i="3"/>
  <c r="B1247" i="3"/>
  <c r="V1246" i="3"/>
  <c r="T1246" i="3"/>
  <c r="W1246" i="3" s="1"/>
  <c r="J1246" i="3"/>
  <c r="I1246" i="3"/>
  <c r="C1246" i="3"/>
  <c r="B1246" i="3"/>
  <c r="V1245" i="3"/>
  <c r="T1245" i="3"/>
  <c r="W1245" i="3" s="1"/>
  <c r="J1245" i="3"/>
  <c r="I1245" i="3"/>
  <c r="C1245" i="3"/>
  <c r="B1245" i="3"/>
  <c r="V1244" i="3"/>
  <c r="T1244" i="3"/>
  <c r="W1244" i="3" s="1"/>
  <c r="J1244" i="3"/>
  <c r="I1244" i="3"/>
  <c r="C1244" i="3"/>
  <c r="B1244" i="3"/>
  <c r="V1243" i="3"/>
  <c r="T1243" i="3"/>
  <c r="W1243" i="3" s="1"/>
  <c r="J1243" i="3"/>
  <c r="I1243" i="3"/>
  <c r="C1243" i="3"/>
  <c r="B1243" i="3"/>
  <c r="V1242" i="3"/>
  <c r="T1242" i="3"/>
  <c r="W1242" i="3" s="1"/>
  <c r="J1242" i="3"/>
  <c r="I1242" i="3"/>
  <c r="C1242" i="3"/>
  <c r="B1242" i="3"/>
  <c r="V1241" i="3"/>
  <c r="T1241" i="3"/>
  <c r="W1241" i="3" s="1"/>
  <c r="J1241" i="3"/>
  <c r="I1241" i="3"/>
  <c r="C1241" i="3"/>
  <c r="B1241" i="3"/>
  <c r="V1240" i="3"/>
  <c r="T1240" i="3"/>
  <c r="W1240" i="3" s="1"/>
  <c r="J1240" i="3"/>
  <c r="I1240" i="3"/>
  <c r="C1240" i="3"/>
  <c r="B1240" i="3"/>
  <c r="V1239" i="3"/>
  <c r="T1239" i="3"/>
  <c r="W1239" i="3" s="1"/>
  <c r="J1239" i="3"/>
  <c r="I1239" i="3"/>
  <c r="C1239" i="3"/>
  <c r="B1239" i="3"/>
  <c r="V1238" i="3"/>
  <c r="T1238" i="3"/>
  <c r="W1238" i="3" s="1"/>
  <c r="J1238" i="3"/>
  <c r="I1238" i="3"/>
  <c r="C1238" i="3"/>
  <c r="B1238" i="3"/>
  <c r="V1237" i="3"/>
  <c r="T1237" i="3"/>
  <c r="W1237" i="3" s="1"/>
  <c r="J1237" i="3"/>
  <c r="I1237" i="3"/>
  <c r="C1237" i="3"/>
  <c r="B1237" i="3"/>
  <c r="V1236" i="3"/>
  <c r="T1236" i="3"/>
  <c r="W1236" i="3" s="1"/>
  <c r="J1236" i="3"/>
  <c r="I1236" i="3"/>
  <c r="C1236" i="3"/>
  <c r="B1236" i="3"/>
  <c r="V1235" i="3"/>
  <c r="T1235" i="3"/>
  <c r="W1235" i="3" s="1"/>
  <c r="J1235" i="3"/>
  <c r="I1235" i="3"/>
  <c r="C1235" i="3"/>
  <c r="B1235" i="3"/>
  <c r="V1234" i="3"/>
  <c r="T1234" i="3"/>
  <c r="W1234" i="3" s="1"/>
  <c r="J1234" i="3"/>
  <c r="I1234" i="3"/>
  <c r="C1234" i="3"/>
  <c r="B1234" i="3"/>
  <c r="V1233" i="3"/>
  <c r="T1233" i="3"/>
  <c r="W1233" i="3" s="1"/>
  <c r="J1233" i="3"/>
  <c r="I1233" i="3"/>
  <c r="C1233" i="3"/>
  <c r="B1233" i="3"/>
  <c r="V1232" i="3"/>
  <c r="T1232" i="3"/>
  <c r="W1232" i="3" s="1"/>
  <c r="J1232" i="3"/>
  <c r="I1232" i="3"/>
  <c r="C1232" i="3"/>
  <c r="B1232" i="3"/>
  <c r="V1231" i="3"/>
  <c r="T1231" i="3"/>
  <c r="W1231" i="3" s="1"/>
  <c r="J1231" i="3"/>
  <c r="I1231" i="3"/>
  <c r="C1231" i="3"/>
  <c r="B1231" i="3"/>
  <c r="V1230" i="3"/>
  <c r="T1230" i="3"/>
  <c r="W1230" i="3" s="1"/>
  <c r="J1230" i="3"/>
  <c r="I1230" i="3"/>
  <c r="C1230" i="3"/>
  <c r="B1230" i="3"/>
  <c r="V1229" i="3"/>
  <c r="T1229" i="3"/>
  <c r="W1229" i="3" s="1"/>
  <c r="J1229" i="3"/>
  <c r="I1229" i="3"/>
  <c r="C1229" i="3"/>
  <c r="B1229" i="3"/>
  <c r="V1228" i="3"/>
  <c r="T1228" i="3"/>
  <c r="W1228" i="3" s="1"/>
  <c r="J1228" i="3"/>
  <c r="I1228" i="3"/>
  <c r="C1228" i="3"/>
  <c r="B1228" i="3"/>
  <c r="V1227" i="3"/>
  <c r="T1227" i="3"/>
  <c r="W1227" i="3" s="1"/>
  <c r="J1227" i="3"/>
  <c r="I1227" i="3"/>
  <c r="C1227" i="3"/>
  <c r="B1227" i="3"/>
  <c r="V1226" i="3"/>
  <c r="T1226" i="3"/>
  <c r="W1226" i="3" s="1"/>
  <c r="J1226" i="3"/>
  <c r="I1226" i="3"/>
  <c r="C1226" i="3"/>
  <c r="B1226" i="3"/>
  <c r="V1225" i="3"/>
  <c r="T1225" i="3"/>
  <c r="W1225" i="3" s="1"/>
  <c r="J1225" i="3"/>
  <c r="I1225" i="3"/>
  <c r="C1225" i="3"/>
  <c r="B1225" i="3"/>
  <c r="V1224" i="3"/>
  <c r="T1224" i="3"/>
  <c r="W1224" i="3" s="1"/>
  <c r="J1224" i="3"/>
  <c r="I1224" i="3"/>
  <c r="C1224" i="3"/>
  <c r="B1224" i="3"/>
  <c r="V1223" i="3"/>
  <c r="T1223" i="3"/>
  <c r="W1223" i="3" s="1"/>
  <c r="C1223" i="3"/>
  <c r="B1223" i="3"/>
  <c r="V1203" i="3"/>
  <c r="F1203" i="3"/>
  <c r="E1203" i="3"/>
  <c r="D1203" i="3"/>
  <c r="B1203" i="3"/>
  <c r="T1200" i="3"/>
  <c r="V1198" i="3"/>
  <c r="V1196" i="3"/>
  <c r="T1196" i="3"/>
  <c r="W1196" i="3" s="1"/>
  <c r="J1196" i="3"/>
  <c r="I1196" i="3"/>
  <c r="C1196" i="3"/>
  <c r="B1196" i="3"/>
  <c r="V1195" i="3"/>
  <c r="T1195" i="3"/>
  <c r="W1195" i="3" s="1"/>
  <c r="J1195" i="3"/>
  <c r="I1195" i="3"/>
  <c r="C1195" i="3"/>
  <c r="B1195" i="3"/>
  <c r="V1194" i="3"/>
  <c r="T1194" i="3"/>
  <c r="W1194" i="3" s="1"/>
  <c r="J1194" i="3"/>
  <c r="I1194" i="3"/>
  <c r="C1194" i="3"/>
  <c r="B1194" i="3"/>
  <c r="V1193" i="3"/>
  <c r="T1193" i="3"/>
  <c r="W1193" i="3" s="1"/>
  <c r="J1193" i="3"/>
  <c r="I1193" i="3"/>
  <c r="C1193" i="3"/>
  <c r="B1193" i="3"/>
  <c r="V1192" i="3"/>
  <c r="T1192" i="3"/>
  <c r="W1192" i="3" s="1"/>
  <c r="J1192" i="3"/>
  <c r="I1192" i="3"/>
  <c r="C1192" i="3"/>
  <c r="B1192" i="3"/>
  <c r="V1191" i="3"/>
  <c r="T1191" i="3"/>
  <c r="W1191" i="3" s="1"/>
  <c r="J1191" i="3"/>
  <c r="I1191" i="3"/>
  <c r="C1191" i="3"/>
  <c r="B1191" i="3"/>
  <c r="V1190" i="3"/>
  <c r="T1190" i="3"/>
  <c r="W1190" i="3" s="1"/>
  <c r="J1190" i="3"/>
  <c r="I1190" i="3"/>
  <c r="C1190" i="3"/>
  <c r="B1190" i="3"/>
  <c r="V1189" i="3"/>
  <c r="T1189" i="3"/>
  <c r="W1189" i="3" s="1"/>
  <c r="J1189" i="3"/>
  <c r="I1189" i="3"/>
  <c r="C1189" i="3"/>
  <c r="B1189" i="3"/>
  <c r="V1188" i="3"/>
  <c r="T1188" i="3"/>
  <c r="W1188" i="3" s="1"/>
  <c r="J1188" i="3"/>
  <c r="I1188" i="3"/>
  <c r="C1188" i="3"/>
  <c r="B1188" i="3"/>
  <c r="V1187" i="3"/>
  <c r="T1187" i="3"/>
  <c r="W1187" i="3" s="1"/>
  <c r="J1187" i="3"/>
  <c r="I1187" i="3"/>
  <c r="C1187" i="3"/>
  <c r="B1187" i="3"/>
  <c r="V1186" i="3"/>
  <c r="T1186" i="3"/>
  <c r="W1186" i="3" s="1"/>
  <c r="J1186" i="3"/>
  <c r="I1186" i="3"/>
  <c r="C1186" i="3"/>
  <c r="B1186" i="3"/>
  <c r="V1185" i="3"/>
  <c r="T1185" i="3"/>
  <c r="W1185" i="3" s="1"/>
  <c r="J1185" i="3"/>
  <c r="I1185" i="3"/>
  <c r="C1185" i="3"/>
  <c r="B1185" i="3"/>
  <c r="V1184" i="3"/>
  <c r="T1184" i="3"/>
  <c r="W1184" i="3" s="1"/>
  <c r="J1184" i="3"/>
  <c r="I1184" i="3"/>
  <c r="C1184" i="3"/>
  <c r="B1184" i="3"/>
  <c r="V1183" i="3"/>
  <c r="T1183" i="3"/>
  <c r="W1183" i="3" s="1"/>
  <c r="J1183" i="3"/>
  <c r="I1183" i="3"/>
  <c r="C1183" i="3"/>
  <c r="B1183" i="3"/>
  <c r="V1182" i="3"/>
  <c r="T1182" i="3"/>
  <c r="W1182" i="3" s="1"/>
  <c r="J1182" i="3"/>
  <c r="I1182" i="3"/>
  <c r="C1182" i="3"/>
  <c r="B1182" i="3"/>
  <c r="V1181" i="3"/>
  <c r="T1181" i="3"/>
  <c r="W1181" i="3" s="1"/>
  <c r="J1181" i="3"/>
  <c r="I1181" i="3"/>
  <c r="C1181" i="3"/>
  <c r="B1181" i="3"/>
  <c r="V1180" i="3"/>
  <c r="T1180" i="3"/>
  <c r="W1180" i="3" s="1"/>
  <c r="J1180" i="3"/>
  <c r="I1180" i="3"/>
  <c r="C1180" i="3"/>
  <c r="B1180" i="3"/>
  <c r="V1179" i="3"/>
  <c r="T1179" i="3"/>
  <c r="W1179" i="3" s="1"/>
  <c r="J1179" i="3"/>
  <c r="I1179" i="3"/>
  <c r="C1179" i="3"/>
  <c r="B1179" i="3"/>
  <c r="V1178" i="3"/>
  <c r="T1178" i="3"/>
  <c r="W1178" i="3" s="1"/>
  <c r="J1178" i="3"/>
  <c r="I1178" i="3"/>
  <c r="C1178" i="3"/>
  <c r="B1178" i="3"/>
  <c r="V1177" i="3"/>
  <c r="T1177" i="3"/>
  <c r="W1177" i="3" s="1"/>
  <c r="J1177" i="3"/>
  <c r="I1177" i="3"/>
  <c r="C1177" i="3"/>
  <c r="B1177" i="3"/>
  <c r="V1176" i="3"/>
  <c r="T1176" i="3"/>
  <c r="W1176" i="3" s="1"/>
  <c r="J1176" i="3"/>
  <c r="I1176" i="3"/>
  <c r="C1176" i="3"/>
  <c r="B1176" i="3"/>
  <c r="V1175" i="3"/>
  <c r="T1175" i="3"/>
  <c r="W1175" i="3" s="1"/>
  <c r="J1175" i="3"/>
  <c r="I1175" i="3"/>
  <c r="C1175" i="3"/>
  <c r="B1175" i="3"/>
  <c r="V1174" i="3"/>
  <c r="T1174" i="3"/>
  <c r="W1174" i="3" s="1"/>
  <c r="J1174" i="3"/>
  <c r="I1174" i="3"/>
  <c r="C1174" i="3"/>
  <c r="B1174" i="3"/>
  <c r="V1173" i="3"/>
  <c r="T1173" i="3"/>
  <c r="W1173" i="3" s="1"/>
  <c r="J1173" i="3"/>
  <c r="I1173" i="3"/>
  <c r="C1173" i="3"/>
  <c r="B1173" i="3"/>
  <c r="V1172" i="3"/>
  <c r="T1172" i="3"/>
  <c r="W1172" i="3" s="1"/>
  <c r="J1172" i="3"/>
  <c r="I1172" i="3"/>
  <c r="C1172" i="3"/>
  <c r="B1172" i="3"/>
  <c r="V1171" i="3"/>
  <c r="T1171" i="3"/>
  <c r="W1171" i="3" s="1"/>
  <c r="J1171" i="3"/>
  <c r="I1171" i="3"/>
  <c r="C1171" i="3"/>
  <c r="B1171" i="3"/>
  <c r="V1170" i="3"/>
  <c r="T1170" i="3"/>
  <c r="W1170" i="3" s="1"/>
  <c r="J1170" i="3"/>
  <c r="I1170" i="3"/>
  <c r="C1170" i="3"/>
  <c r="B1170" i="3"/>
  <c r="V1169" i="3"/>
  <c r="T1169" i="3"/>
  <c r="W1169" i="3" s="1"/>
  <c r="J1169" i="3"/>
  <c r="I1169" i="3"/>
  <c r="C1169" i="3"/>
  <c r="B1169" i="3"/>
  <c r="V1168" i="3"/>
  <c r="T1168" i="3"/>
  <c r="W1168" i="3" s="1"/>
  <c r="J1168" i="3"/>
  <c r="I1168" i="3"/>
  <c r="C1168" i="3"/>
  <c r="B1168" i="3"/>
  <c r="V1167" i="3"/>
  <c r="T1167" i="3"/>
  <c r="W1167" i="3" s="1"/>
  <c r="J1167" i="3"/>
  <c r="I1167" i="3"/>
  <c r="C1167" i="3"/>
  <c r="B1167" i="3"/>
  <c r="V1166" i="3"/>
  <c r="T1166" i="3"/>
  <c r="W1166" i="3" s="1"/>
  <c r="J1166" i="3"/>
  <c r="I1166" i="3"/>
  <c r="C1166" i="3"/>
  <c r="B1166" i="3"/>
  <c r="V1165" i="3"/>
  <c r="T1165" i="3"/>
  <c r="W1165" i="3" s="1"/>
  <c r="J1165" i="3"/>
  <c r="I1165" i="3"/>
  <c r="C1165" i="3"/>
  <c r="B1165" i="3"/>
  <c r="V1164" i="3"/>
  <c r="T1164" i="3"/>
  <c r="W1164" i="3" s="1"/>
  <c r="J1164" i="3"/>
  <c r="I1164" i="3"/>
  <c r="C1164" i="3"/>
  <c r="B1164" i="3"/>
  <c r="V1163" i="3"/>
  <c r="T1163" i="3"/>
  <c r="W1163" i="3" s="1"/>
  <c r="J1163" i="3"/>
  <c r="I1163" i="3"/>
  <c r="C1163" i="3"/>
  <c r="B1163" i="3"/>
  <c r="V1162" i="3"/>
  <c r="T1162" i="3"/>
  <c r="W1162" i="3" s="1"/>
  <c r="J1162" i="3"/>
  <c r="I1162" i="3"/>
  <c r="C1162" i="3"/>
  <c r="B1162" i="3"/>
  <c r="V1161" i="3"/>
  <c r="T1161" i="3"/>
  <c r="W1161" i="3" s="1"/>
  <c r="J1161" i="3"/>
  <c r="I1161" i="3"/>
  <c r="C1161" i="3"/>
  <c r="B1161" i="3"/>
  <c r="V1160" i="3"/>
  <c r="T1160" i="3"/>
  <c r="W1160" i="3" s="1"/>
  <c r="J1160" i="3"/>
  <c r="I1160" i="3"/>
  <c r="C1160" i="3"/>
  <c r="B1160" i="3"/>
  <c r="V1159" i="3"/>
  <c r="T1159" i="3"/>
  <c r="W1159" i="3" s="1"/>
  <c r="J1159" i="3"/>
  <c r="I1159" i="3"/>
  <c r="C1159" i="3"/>
  <c r="B1159" i="3"/>
  <c r="V1158" i="3"/>
  <c r="T1158" i="3"/>
  <c r="W1158" i="3" s="1"/>
  <c r="J1158" i="3"/>
  <c r="I1158" i="3"/>
  <c r="C1158" i="3"/>
  <c r="B1158" i="3"/>
  <c r="V1157" i="3"/>
  <c r="T1157" i="3"/>
  <c r="W1157" i="3" s="1"/>
  <c r="J1157" i="3"/>
  <c r="I1157" i="3"/>
  <c r="C1157" i="3"/>
  <c r="B1157" i="3"/>
  <c r="V1156" i="3"/>
  <c r="T1156" i="3"/>
  <c r="W1156" i="3" s="1"/>
  <c r="J1156" i="3"/>
  <c r="I1156" i="3"/>
  <c r="C1156" i="3"/>
  <c r="B1156" i="3"/>
  <c r="V1155" i="3"/>
  <c r="T1155" i="3"/>
  <c r="W1155" i="3" s="1"/>
  <c r="J1155" i="3"/>
  <c r="I1155" i="3"/>
  <c r="C1155" i="3"/>
  <c r="B1155" i="3"/>
  <c r="V1154" i="3"/>
  <c r="T1154" i="3"/>
  <c r="W1154" i="3" s="1"/>
  <c r="J1154" i="3"/>
  <c r="I1154" i="3"/>
  <c r="C1154" i="3"/>
  <c r="B1154" i="3"/>
  <c r="V1153" i="3"/>
  <c r="T1153" i="3"/>
  <c r="W1153" i="3" s="1"/>
  <c r="J1153" i="3"/>
  <c r="I1153" i="3"/>
  <c r="C1153" i="3"/>
  <c r="B1153" i="3"/>
  <c r="V1152" i="3"/>
  <c r="T1152" i="3"/>
  <c r="W1152" i="3" s="1"/>
  <c r="J1152" i="3"/>
  <c r="I1152" i="3"/>
  <c r="C1152" i="3"/>
  <c r="B1152" i="3"/>
  <c r="V1151" i="3"/>
  <c r="T1151" i="3"/>
  <c r="W1151" i="3" s="1"/>
  <c r="J1151" i="3"/>
  <c r="I1151" i="3"/>
  <c r="C1151" i="3"/>
  <c r="B1151" i="3"/>
  <c r="V1150" i="3"/>
  <c r="T1150" i="3"/>
  <c r="W1150" i="3" s="1"/>
  <c r="J1150" i="3"/>
  <c r="I1150" i="3"/>
  <c r="C1150" i="3"/>
  <c r="B1150" i="3"/>
  <c r="V1149" i="3"/>
  <c r="T1149" i="3"/>
  <c r="W1149" i="3" s="1"/>
  <c r="J1149" i="3"/>
  <c r="I1149" i="3"/>
  <c r="C1149" i="3"/>
  <c r="B1149" i="3"/>
  <c r="V1148" i="3"/>
  <c r="T1148" i="3"/>
  <c r="W1148" i="3" s="1"/>
  <c r="J1148" i="3"/>
  <c r="I1148" i="3"/>
  <c r="C1148" i="3"/>
  <c r="B1148" i="3"/>
  <c r="V1147" i="3"/>
  <c r="T1147" i="3"/>
  <c r="W1147" i="3" s="1"/>
  <c r="J1147" i="3"/>
  <c r="I1147" i="3"/>
  <c r="C1147" i="3"/>
  <c r="B1147" i="3"/>
  <c r="V1146" i="3"/>
  <c r="T1146" i="3"/>
  <c r="W1146" i="3" s="1"/>
  <c r="J1146" i="3"/>
  <c r="I1146" i="3"/>
  <c r="C1146" i="3"/>
  <c r="B1146" i="3"/>
  <c r="V1145" i="3"/>
  <c r="T1145" i="3"/>
  <c r="W1145" i="3" s="1"/>
  <c r="J1145" i="3"/>
  <c r="I1145" i="3"/>
  <c r="C1145" i="3"/>
  <c r="B1145" i="3"/>
  <c r="V1144" i="3"/>
  <c r="T1144" i="3"/>
  <c r="W1144" i="3" s="1"/>
  <c r="J1144" i="3"/>
  <c r="I1144" i="3"/>
  <c r="C1144" i="3"/>
  <c r="B1144" i="3"/>
  <c r="V1143" i="3"/>
  <c r="T1143" i="3"/>
  <c r="W1143" i="3" s="1"/>
  <c r="J1143" i="3"/>
  <c r="I1143" i="3"/>
  <c r="C1143" i="3"/>
  <c r="B1143" i="3"/>
  <c r="V1142" i="3"/>
  <c r="T1142" i="3"/>
  <c r="W1142" i="3" s="1"/>
  <c r="J1142" i="3"/>
  <c r="I1142" i="3"/>
  <c r="C1142" i="3"/>
  <c r="B1142" i="3"/>
  <c r="V1141" i="3"/>
  <c r="T1141" i="3"/>
  <c r="W1141" i="3" s="1"/>
  <c r="J1141" i="3"/>
  <c r="I1141" i="3"/>
  <c r="C1141" i="3"/>
  <c r="B1141" i="3"/>
  <c r="V1140" i="3"/>
  <c r="T1140" i="3"/>
  <c r="W1140" i="3" s="1"/>
  <c r="J1140" i="3"/>
  <c r="I1140" i="3"/>
  <c r="C1140" i="3"/>
  <c r="B1140" i="3"/>
  <c r="V1139" i="3"/>
  <c r="T1139" i="3"/>
  <c r="W1139" i="3" s="1"/>
  <c r="J1139" i="3"/>
  <c r="I1139" i="3"/>
  <c r="C1139" i="3"/>
  <c r="B1139" i="3"/>
  <c r="V1138" i="3"/>
  <c r="T1138" i="3"/>
  <c r="W1138" i="3" s="1"/>
  <c r="J1138" i="3"/>
  <c r="I1138" i="3"/>
  <c r="C1138" i="3"/>
  <c r="B1138" i="3"/>
  <c r="V1137" i="3"/>
  <c r="T1137" i="3"/>
  <c r="W1137" i="3" s="1"/>
  <c r="J1137" i="3"/>
  <c r="I1137" i="3"/>
  <c r="C1137" i="3"/>
  <c r="B1137" i="3"/>
  <c r="V1136" i="3"/>
  <c r="T1136" i="3"/>
  <c r="W1136" i="3" s="1"/>
  <c r="J1136" i="3"/>
  <c r="I1136" i="3"/>
  <c r="C1136" i="3"/>
  <c r="B1136" i="3"/>
  <c r="V1135" i="3"/>
  <c r="T1135" i="3"/>
  <c r="W1135" i="3" s="1"/>
  <c r="J1135" i="3"/>
  <c r="I1135" i="3"/>
  <c r="C1135" i="3"/>
  <c r="B1135" i="3"/>
  <c r="V1134" i="3"/>
  <c r="T1134" i="3"/>
  <c r="W1134" i="3" s="1"/>
  <c r="J1134" i="3"/>
  <c r="I1134" i="3"/>
  <c r="C1134" i="3"/>
  <c r="B1134" i="3"/>
  <c r="V1133" i="3"/>
  <c r="T1133" i="3"/>
  <c r="W1133" i="3" s="1"/>
  <c r="J1133" i="3"/>
  <c r="I1133" i="3"/>
  <c r="C1133" i="3"/>
  <c r="B1133" i="3"/>
  <c r="V1132" i="3"/>
  <c r="T1132" i="3"/>
  <c r="W1132" i="3" s="1"/>
  <c r="J1132" i="3"/>
  <c r="I1132" i="3"/>
  <c r="C1132" i="3"/>
  <c r="B1132" i="3"/>
  <c r="V1131" i="3"/>
  <c r="T1131" i="3"/>
  <c r="W1131" i="3" s="1"/>
  <c r="C1131" i="3"/>
  <c r="B1131" i="3"/>
  <c r="V1111" i="3"/>
  <c r="F1111" i="3"/>
  <c r="E1111" i="3"/>
  <c r="D1111" i="3"/>
  <c r="B1111" i="3"/>
  <c r="T1108" i="3"/>
  <c r="V1106" i="3"/>
  <c r="V1104" i="3"/>
  <c r="T1104" i="3"/>
  <c r="W1104" i="3" s="1"/>
  <c r="J1104" i="3"/>
  <c r="I1104" i="3"/>
  <c r="C1104" i="3"/>
  <c r="B1104" i="3"/>
  <c r="V1103" i="3"/>
  <c r="T1103" i="3"/>
  <c r="W1103" i="3" s="1"/>
  <c r="J1103" i="3"/>
  <c r="I1103" i="3"/>
  <c r="C1103" i="3"/>
  <c r="B1103" i="3"/>
  <c r="V1102" i="3"/>
  <c r="T1102" i="3"/>
  <c r="W1102" i="3" s="1"/>
  <c r="J1102" i="3"/>
  <c r="I1102" i="3"/>
  <c r="C1102" i="3"/>
  <c r="B1102" i="3"/>
  <c r="V1101" i="3"/>
  <c r="T1101" i="3"/>
  <c r="W1101" i="3" s="1"/>
  <c r="J1101" i="3"/>
  <c r="I1101" i="3"/>
  <c r="C1101" i="3"/>
  <c r="B1101" i="3"/>
  <c r="V1100" i="3"/>
  <c r="T1100" i="3"/>
  <c r="W1100" i="3" s="1"/>
  <c r="J1100" i="3"/>
  <c r="I1100" i="3"/>
  <c r="C1100" i="3"/>
  <c r="B1100" i="3"/>
  <c r="V1099" i="3"/>
  <c r="T1099" i="3"/>
  <c r="W1099" i="3" s="1"/>
  <c r="J1099" i="3"/>
  <c r="I1099" i="3"/>
  <c r="C1099" i="3"/>
  <c r="B1099" i="3"/>
  <c r="V1098" i="3"/>
  <c r="T1098" i="3"/>
  <c r="W1098" i="3" s="1"/>
  <c r="J1098" i="3"/>
  <c r="I1098" i="3"/>
  <c r="C1098" i="3"/>
  <c r="B1098" i="3"/>
  <c r="V1097" i="3"/>
  <c r="T1097" i="3"/>
  <c r="W1097" i="3" s="1"/>
  <c r="J1097" i="3"/>
  <c r="I1097" i="3"/>
  <c r="C1097" i="3"/>
  <c r="B1097" i="3"/>
  <c r="V1096" i="3"/>
  <c r="T1096" i="3"/>
  <c r="W1096" i="3" s="1"/>
  <c r="J1096" i="3"/>
  <c r="I1096" i="3"/>
  <c r="C1096" i="3"/>
  <c r="B1096" i="3"/>
  <c r="V1095" i="3"/>
  <c r="T1095" i="3"/>
  <c r="W1095" i="3" s="1"/>
  <c r="J1095" i="3"/>
  <c r="I1095" i="3"/>
  <c r="C1095" i="3"/>
  <c r="B1095" i="3"/>
  <c r="V1094" i="3"/>
  <c r="T1094" i="3"/>
  <c r="W1094" i="3" s="1"/>
  <c r="J1094" i="3"/>
  <c r="I1094" i="3"/>
  <c r="C1094" i="3"/>
  <c r="B1094" i="3"/>
  <c r="V1093" i="3"/>
  <c r="T1093" i="3"/>
  <c r="W1093" i="3" s="1"/>
  <c r="J1093" i="3"/>
  <c r="I1093" i="3"/>
  <c r="C1093" i="3"/>
  <c r="B1093" i="3"/>
  <c r="V1092" i="3"/>
  <c r="T1092" i="3"/>
  <c r="W1092" i="3" s="1"/>
  <c r="J1092" i="3"/>
  <c r="I1092" i="3"/>
  <c r="C1092" i="3"/>
  <c r="B1092" i="3"/>
  <c r="V1091" i="3"/>
  <c r="T1091" i="3"/>
  <c r="W1091" i="3" s="1"/>
  <c r="J1091" i="3"/>
  <c r="I1091" i="3"/>
  <c r="C1091" i="3"/>
  <c r="B1091" i="3"/>
  <c r="V1090" i="3"/>
  <c r="T1090" i="3"/>
  <c r="W1090" i="3" s="1"/>
  <c r="J1090" i="3"/>
  <c r="I1090" i="3"/>
  <c r="C1090" i="3"/>
  <c r="B1090" i="3"/>
  <c r="V1089" i="3"/>
  <c r="T1089" i="3"/>
  <c r="W1089" i="3" s="1"/>
  <c r="J1089" i="3"/>
  <c r="I1089" i="3"/>
  <c r="C1089" i="3"/>
  <c r="B1089" i="3"/>
  <c r="V1088" i="3"/>
  <c r="T1088" i="3"/>
  <c r="W1088" i="3" s="1"/>
  <c r="J1088" i="3"/>
  <c r="I1088" i="3"/>
  <c r="C1088" i="3"/>
  <c r="B1088" i="3"/>
  <c r="V1087" i="3"/>
  <c r="T1087" i="3"/>
  <c r="W1087" i="3" s="1"/>
  <c r="J1087" i="3"/>
  <c r="I1087" i="3"/>
  <c r="C1087" i="3"/>
  <c r="B1087" i="3"/>
  <c r="V1086" i="3"/>
  <c r="T1086" i="3"/>
  <c r="W1086" i="3" s="1"/>
  <c r="J1086" i="3"/>
  <c r="I1086" i="3"/>
  <c r="C1086" i="3"/>
  <c r="B1086" i="3"/>
  <c r="V1085" i="3"/>
  <c r="T1085" i="3"/>
  <c r="W1085" i="3" s="1"/>
  <c r="J1085" i="3"/>
  <c r="I1085" i="3"/>
  <c r="C1085" i="3"/>
  <c r="B1085" i="3"/>
  <c r="V1084" i="3"/>
  <c r="T1084" i="3"/>
  <c r="W1084" i="3" s="1"/>
  <c r="J1084" i="3"/>
  <c r="I1084" i="3"/>
  <c r="C1084" i="3"/>
  <c r="B1084" i="3"/>
  <c r="V1083" i="3"/>
  <c r="T1083" i="3"/>
  <c r="W1083" i="3" s="1"/>
  <c r="J1083" i="3"/>
  <c r="I1083" i="3"/>
  <c r="C1083" i="3"/>
  <c r="B1083" i="3"/>
  <c r="V1082" i="3"/>
  <c r="T1082" i="3"/>
  <c r="W1082" i="3" s="1"/>
  <c r="J1082" i="3"/>
  <c r="I1082" i="3"/>
  <c r="C1082" i="3"/>
  <c r="B1082" i="3"/>
  <c r="V1081" i="3"/>
  <c r="T1081" i="3"/>
  <c r="W1081" i="3" s="1"/>
  <c r="J1081" i="3"/>
  <c r="I1081" i="3"/>
  <c r="C1081" i="3"/>
  <c r="B1081" i="3"/>
  <c r="V1080" i="3"/>
  <c r="T1080" i="3"/>
  <c r="W1080" i="3" s="1"/>
  <c r="J1080" i="3"/>
  <c r="I1080" i="3"/>
  <c r="C1080" i="3"/>
  <c r="B1080" i="3"/>
  <c r="V1079" i="3"/>
  <c r="T1079" i="3"/>
  <c r="W1079" i="3" s="1"/>
  <c r="J1079" i="3"/>
  <c r="I1079" i="3"/>
  <c r="C1079" i="3"/>
  <c r="B1079" i="3"/>
  <c r="V1078" i="3"/>
  <c r="T1078" i="3"/>
  <c r="W1078" i="3" s="1"/>
  <c r="J1078" i="3"/>
  <c r="I1078" i="3"/>
  <c r="C1078" i="3"/>
  <c r="B1078" i="3"/>
  <c r="V1077" i="3"/>
  <c r="T1077" i="3"/>
  <c r="W1077" i="3" s="1"/>
  <c r="J1077" i="3"/>
  <c r="I1077" i="3"/>
  <c r="C1077" i="3"/>
  <c r="B1077" i="3"/>
  <c r="V1076" i="3"/>
  <c r="T1076" i="3"/>
  <c r="W1076" i="3" s="1"/>
  <c r="J1076" i="3"/>
  <c r="I1076" i="3"/>
  <c r="C1076" i="3"/>
  <c r="B1076" i="3"/>
  <c r="V1075" i="3"/>
  <c r="T1075" i="3"/>
  <c r="W1075" i="3" s="1"/>
  <c r="J1075" i="3"/>
  <c r="I1075" i="3"/>
  <c r="C1075" i="3"/>
  <c r="B1075" i="3"/>
  <c r="V1074" i="3"/>
  <c r="T1074" i="3"/>
  <c r="W1074" i="3" s="1"/>
  <c r="J1074" i="3"/>
  <c r="I1074" i="3"/>
  <c r="C1074" i="3"/>
  <c r="B1074" i="3"/>
  <c r="V1073" i="3"/>
  <c r="T1073" i="3"/>
  <c r="W1073" i="3" s="1"/>
  <c r="J1073" i="3"/>
  <c r="I1073" i="3"/>
  <c r="C1073" i="3"/>
  <c r="B1073" i="3"/>
  <c r="V1072" i="3"/>
  <c r="T1072" i="3"/>
  <c r="W1072" i="3" s="1"/>
  <c r="J1072" i="3"/>
  <c r="I1072" i="3"/>
  <c r="C1072" i="3"/>
  <c r="B1072" i="3"/>
  <c r="V1071" i="3"/>
  <c r="T1071" i="3"/>
  <c r="W1071" i="3" s="1"/>
  <c r="J1071" i="3"/>
  <c r="I1071" i="3"/>
  <c r="C1071" i="3"/>
  <c r="B1071" i="3"/>
  <c r="V1070" i="3"/>
  <c r="T1070" i="3"/>
  <c r="W1070" i="3" s="1"/>
  <c r="J1070" i="3"/>
  <c r="I1070" i="3"/>
  <c r="C1070" i="3"/>
  <c r="B1070" i="3"/>
  <c r="V1069" i="3"/>
  <c r="T1069" i="3"/>
  <c r="W1069" i="3" s="1"/>
  <c r="J1069" i="3"/>
  <c r="I1069" i="3"/>
  <c r="C1069" i="3"/>
  <c r="B1069" i="3"/>
  <c r="V1068" i="3"/>
  <c r="T1068" i="3"/>
  <c r="W1068" i="3" s="1"/>
  <c r="J1068" i="3"/>
  <c r="I1068" i="3"/>
  <c r="C1068" i="3"/>
  <c r="B1068" i="3"/>
  <c r="V1067" i="3"/>
  <c r="T1067" i="3"/>
  <c r="W1067" i="3" s="1"/>
  <c r="J1067" i="3"/>
  <c r="I1067" i="3"/>
  <c r="C1067" i="3"/>
  <c r="B1067" i="3"/>
  <c r="V1066" i="3"/>
  <c r="T1066" i="3"/>
  <c r="W1066" i="3" s="1"/>
  <c r="J1066" i="3"/>
  <c r="I1066" i="3"/>
  <c r="C1066" i="3"/>
  <c r="B1066" i="3"/>
  <c r="V1065" i="3"/>
  <c r="T1065" i="3"/>
  <c r="W1065" i="3" s="1"/>
  <c r="J1065" i="3"/>
  <c r="I1065" i="3"/>
  <c r="C1065" i="3"/>
  <c r="B1065" i="3"/>
  <c r="V1064" i="3"/>
  <c r="T1064" i="3"/>
  <c r="W1064" i="3" s="1"/>
  <c r="J1064" i="3"/>
  <c r="I1064" i="3"/>
  <c r="C1064" i="3"/>
  <c r="B1064" i="3"/>
  <c r="V1063" i="3"/>
  <c r="T1063" i="3"/>
  <c r="W1063" i="3" s="1"/>
  <c r="J1063" i="3"/>
  <c r="I1063" i="3"/>
  <c r="C1063" i="3"/>
  <c r="B1063" i="3"/>
  <c r="V1062" i="3"/>
  <c r="T1062" i="3"/>
  <c r="W1062" i="3" s="1"/>
  <c r="J1062" i="3"/>
  <c r="I1062" i="3"/>
  <c r="C1062" i="3"/>
  <c r="B1062" i="3"/>
  <c r="V1061" i="3"/>
  <c r="T1061" i="3"/>
  <c r="W1061" i="3" s="1"/>
  <c r="J1061" i="3"/>
  <c r="I1061" i="3"/>
  <c r="C1061" i="3"/>
  <c r="B1061" i="3"/>
  <c r="V1060" i="3"/>
  <c r="T1060" i="3"/>
  <c r="W1060" i="3" s="1"/>
  <c r="J1060" i="3"/>
  <c r="I1060" i="3"/>
  <c r="C1060" i="3"/>
  <c r="B1060" i="3"/>
  <c r="V1059" i="3"/>
  <c r="T1059" i="3"/>
  <c r="W1059" i="3" s="1"/>
  <c r="J1059" i="3"/>
  <c r="I1059" i="3"/>
  <c r="C1059" i="3"/>
  <c r="B1059" i="3"/>
  <c r="V1058" i="3"/>
  <c r="T1058" i="3"/>
  <c r="W1058" i="3" s="1"/>
  <c r="J1058" i="3"/>
  <c r="I1058" i="3"/>
  <c r="C1058" i="3"/>
  <c r="B1058" i="3"/>
  <c r="V1057" i="3"/>
  <c r="T1057" i="3"/>
  <c r="W1057" i="3" s="1"/>
  <c r="J1057" i="3"/>
  <c r="I1057" i="3"/>
  <c r="C1057" i="3"/>
  <c r="B1057" i="3"/>
  <c r="V1056" i="3"/>
  <c r="T1056" i="3"/>
  <c r="W1056" i="3" s="1"/>
  <c r="J1056" i="3"/>
  <c r="I1056" i="3"/>
  <c r="C1056" i="3"/>
  <c r="B1056" i="3"/>
  <c r="V1055" i="3"/>
  <c r="T1055" i="3"/>
  <c r="W1055" i="3" s="1"/>
  <c r="J1055" i="3"/>
  <c r="I1055" i="3"/>
  <c r="C1055" i="3"/>
  <c r="B1055" i="3"/>
  <c r="V1054" i="3"/>
  <c r="T1054" i="3"/>
  <c r="W1054" i="3" s="1"/>
  <c r="J1054" i="3"/>
  <c r="I1054" i="3"/>
  <c r="C1054" i="3"/>
  <c r="B1054" i="3"/>
  <c r="V1053" i="3"/>
  <c r="T1053" i="3"/>
  <c r="W1053" i="3" s="1"/>
  <c r="J1053" i="3"/>
  <c r="I1053" i="3"/>
  <c r="C1053" i="3"/>
  <c r="B1053" i="3"/>
  <c r="V1052" i="3"/>
  <c r="T1052" i="3"/>
  <c r="W1052" i="3" s="1"/>
  <c r="J1052" i="3"/>
  <c r="I1052" i="3"/>
  <c r="C1052" i="3"/>
  <c r="B1052" i="3"/>
  <c r="V1051" i="3"/>
  <c r="T1051" i="3"/>
  <c r="W1051" i="3" s="1"/>
  <c r="J1051" i="3"/>
  <c r="I1051" i="3"/>
  <c r="C1051" i="3"/>
  <c r="B1051" i="3"/>
  <c r="V1050" i="3"/>
  <c r="T1050" i="3"/>
  <c r="W1050" i="3" s="1"/>
  <c r="J1050" i="3"/>
  <c r="I1050" i="3"/>
  <c r="C1050" i="3"/>
  <c r="B1050" i="3"/>
  <c r="V1049" i="3"/>
  <c r="T1049" i="3"/>
  <c r="W1049" i="3" s="1"/>
  <c r="J1049" i="3"/>
  <c r="I1049" i="3"/>
  <c r="C1049" i="3"/>
  <c r="B1049" i="3"/>
  <c r="V1048" i="3"/>
  <c r="T1048" i="3"/>
  <c r="W1048" i="3" s="1"/>
  <c r="J1048" i="3"/>
  <c r="I1048" i="3"/>
  <c r="C1048" i="3"/>
  <c r="B1048" i="3"/>
  <c r="V1047" i="3"/>
  <c r="T1047" i="3"/>
  <c r="W1047" i="3" s="1"/>
  <c r="J1047" i="3"/>
  <c r="I1047" i="3"/>
  <c r="C1047" i="3"/>
  <c r="B1047" i="3"/>
  <c r="V1046" i="3"/>
  <c r="T1046" i="3"/>
  <c r="W1046" i="3" s="1"/>
  <c r="J1046" i="3"/>
  <c r="I1046" i="3"/>
  <c r="C1046" i="3"/>
  <c r="B1046" i="3"/>
  <c r="V1045" i="3"/>
  <c r="T1045" i="3"/>
  <c r="W1045" i="3" s="1"/>
  <c r="J1045" i="3"/>
  <c r="I1045" i="3"/>
  <c r="C1045" i="3"/>
  <c r="B1045" i="3"/>
  <c r="V1044" i="3"/>
  <c r="T1044" i="3"/>
  <c r="W1044" i="3" s="1"/>
  <c r="J1044" i="3"/>
  <c r="I1044" i="3"/>
  <c r="C1044" i="3"/>
  <c r="B1044" i="3"/>
  <c r="V1043" i="3"/>
  <c r="T1043" i="3"/>
  <c r="W1043" i="3" s="1"/>
  <c r="J1043" i="3"/>
  <c r="I1043" i="3"/>
  <c r="C1043" i="3"/>
  <c r="B1043" i="3"/>
  <c r="V1042" i="3"/>
  <c r="T1042" i="3"/>
  <c r="W1042" i="3" s="1"/>
  <c r="J1042" i="3"/>
  <c r="I1042" i="3"/>
  <c r="C1042" i="3"/>
  <c r="B1042" i="3"/>
  <c r="V1041" i="3"/>
  <c r="T1041" i="3"/>
  <c r="W1041" i="3" s="1"/>
  <c r="J1041" i="3"/>
  <c r="I1041" i="3"/>
  <c r="C1041" i="3"/>
  <c r="B1041" i="3"/>
  <c r="V1040" i="3"/>
  <c r="T1040" i="3"/>
  <c r="W1040" i="3" s="1"/>
  <c r="J1040" i="3"/>
  <c r="I1040" i="3"/>
  <c r="C1040" i="3"/>
  <c r="B1040" i="3"/>
  <c r="V1039" i="3"/>
  <c r="T1039" i="3"/>
  <c r="W1039" i="3" s="1"/>
  <c r="C1039" i="3"/>
  <c r="B1039" i="3"/>
  <c r="V1019" i="3"/>
  <c r="F1019" i="3"/>
  <c r="E1019" i="3"/>
  <c r="D1019" i="3"/>
  <c r="B1019" i="3"/>
  <c r="T1016" i="3"/>
  <c r="V1014" i="3"/>
  <c r="V1012" i="3"/>
  <c r="T1012" i="3"/>
  <c r="W1012" i="3" s="1"/>
  <c r="J1012" i="3"/>
  <c r="I1012" i="3"/>
  <c r="C1012" i="3"/>
  <c r="B1012" i="3"/>
  <c r="V1011" i="3"/>
  <c r="T1011" i="3"/>
  <c r="W1011" i="3" s="1"/>
  <c r="J1011" i="3"/>
  <c r="I1011" i="3"/>
  <c r="C1011" i="3"/>
  <c r="B1011" i="3"/>
  <c r="V1010" i="3"/>
  <c r="T1010" i="3"/>
  <c r="W1010" i="3" s="1"/>
  <c r="J1010" i="3"/>
  <c r="I1010" i="3"/>
  <c r="C1010" i="3"/>
  <c r="B1010" i="3"/>
  <c r="V1009" i="3"/>
  <c r="T1009" i="3"/>
  <c r="W1009" i="3" s="1"/>
  <c r="J1009" i="3"/>
  <c r="I1009" i="3"/>
  <c r="C1009" i="3"/>
  <c r="B1009" i="3"/>
  <c r="V1008" i="3"/>
  <c r="T1008" i="3"/>
  <c r="W1008" i="3" s="1"/>
  <c r="J1008" i="3"/>
  <c r="I1008" i="3"/>
  <c r="C1008" i="3"/>
  <c r="B1008" i="3"/>
  <c r="V1007" i="3"/>
  <c r="T1007" i="3"/>
  <c r="W1007" i="3" s="1"/>
  <c r="J1007" i="3"/>
  <c r="I1007" i="3"/>
  <c r="C1007" i="3"/>
  <c r="B1007" i="3"/>
  <c r="V1006" i="3"/>
  <c r="T1006" i="3"/>
  <c r="W1006" i="3" s="1"/>
  <c r="J1006" i="3"/>
  <c r="I1006" i="3"/>
  <c r="C1006" i="3"/>
  <c r="B1006" i="3"/>
  <c r="V1005" i="3"/>
  <c r="T1005" i="3"/>
  <c r="W1005" i="3" s="1"/>
  <c r="J1005" i="3"/>
  <c r="I1005" i="3"/>
  <c r="C1005" i="3"/>
  <c r="B1005" i="3"/>
  <c r="V1004" i="3"/>
  <c r="T1004" i="3"/>
  <c r="W1004" i="3" s="1"/>
  <c r="J1004" i="3"/>
  <c r="I1004" i="3"/>
  <c r="C1004" i="3"/>
  <c r="B1004" i="3"/>
  <c r="V1003" i="3"/>
  <c r="T1003" i="3"/>
  <c r="W1003" i="3" s="1"/>
  <c r="J1003" i="3"/>
  <c r="I1003" i="3"/>
  <c r="C1003" i="3"/>
  <c r="B1003" i="3"/>
  <c r="V1002" i="3"/>
  <c r="T1002" i="3"/>
  <c r="W1002" i="3" s="1"/>
  <c r="J1002" i="3"/>
  <c r="I1002" i="3"/>
  <c r="C1002" i="3"/>
  <c r="B1002" i="3"/>
  <c r="V1001" i="3"/>
  <c r="T1001" i="3"/>
  <c r="W1001" i="3" s="1"/>
  <c r="J1001" i="3"/>
  <c r="I1001" i="3"/>
  <c r="C1001" i="3"/>
  <c r="B1001" i="3"/>
  <c r="V1000" i="3"/>
  <c r="T1000" i="3"/>
  <c r="W1000" i="3" s="1"/>
  <c r="J1000" i="3"/>
  <c r="I1000" i="3"/>
  <c r="C1000" i="3"/>
  <c r="B1000" i="3"/>
  <c r="V999" i="3"/>
  <c r="T999" i="3"/>
  <c r="W999" i="3" s="1"/>
  <c r="J999" i="3"/>
  <c r="I999" i="3"/>
  <c r="C999" i="3"/>
  <c r="B999" i="3"/>
  <c r="V998" i="3"/>
  <c r="T998" i="3"/>
  <c r="W998" i="3" s="1"/>
  <c r="J998" i="3"/>
  <c r="I998" i="3"/>
  <c r="C998" i="3"/>
  <c r="B998" i="3"/>
  <c r="V997" i="3"/>
  <c r="T997" i="3"/>
  <c r="W997" i="3" s="1"/>
  <c r="J997" i="3"/>
  <c r="I997" i="3"/>
  <c r="C997" i="3"/>
  <c r="B997" i="3"/>
  <c r="V996" i="3"/>
  <c r="T996" i="3"/>
  <c r="W996" i="3" s="1"/>
  <c r="J996" i="3"/>
  <c r="I996" i="3"/>
  <c r="C996" i="3"/>
  <c r="B996" i="3"/>
  <c r="V995" i="3"/>
  <c r="T995" i="3"/>
  <c r="W995" i="3" s="1"/>
  <c r="J995" i="3"/>
  <c r="I995" i="3"/>
  <c r="C995" i="3"/>
  <c r="B995" i="3"/>
  <c r="V994" i="3"/>
  <c r="T994" i="3"/>
  <c r="W994" i="3" s="1"/>
  <c r="J994" i="3"/>
  <c r="I994" i="3"/>
  <c r="C994" i="3"/>
  <c r="B994" i="3"/>
  <c r="V993" i="3"/>
  <c r="T993" i="3"/>
  <c r="W993" i="3" s="1"/>
  <c r="J993" i="3"/>
  <c r="I993" i="3"/>
  <c r="C993" i="3"/>
  <c r="B993" i="3"/>
  <c r="V992" i="3"/>
  <c r="T992" i="3"/>
  <c r="W992" i="3" s="1"/>
  <c r="J992" i="3"/>
  <c r="I992" i="3"/>
  <c r="C992" i="3"/>
  <c r="B992" i="3"/>
  <c r="V991" i="3"/>
  <c r="T991" i="3"/>
  <c r="W991" i="3" s="1"/>
  <c r="J991" i="3"/>
  <c r="I991" i="3"/>
  <c r="C991" i="3"/>
  <c r="B991" i="3"/>
  <c r="V990" i="3"/>
  <c r="T990" i="3"/>
  <c r="W990" i="3" s="1"/>
  <c r="J990" i="3"/>
  <c r="I990" i="3"/>
  <c r="C990" i="3"/>
  <c r="B990" i="3"/>
  <c r="V989" i="3"/>
  <c r="T989" i="3"/>
  <c r="W989" i="3" s="1"/>
  <c r="J989" i="3"/>
  <c r="I989" i="3"/>
  <c r="C989" i="3"/>
  <c r="B989" i="3"/>
  <c r="V988" i="3"/>
  <c r="T988" i="3"/>
  <c r="W988" i="3" s="1"/>
  <c r="J988" i="3"/>
  <c r="I988" i="3"/>
  <c r="C988" i="3"/>
  <c r="B988" i="3"/>
  <c r="V987" i="3"/>
  <c r="T987" i="3"/>
  <c r="W987" i="3" s="1"/>
  <c r="J987" i="3"/>
  <c r="I987" i="3"/>
  <c r="C987" i="3"/>
  <c r="B987" i="3"/>
  <c r="V986" i="3"/>
  <c r="T986" i="3"/>
  <c r="W986" i="3" s="1"/>
  <c r="J986" i="3"/>
  <c r="I986" i="3"/>
  <c r="C986" i="3"/>
  <c r="B986" i="3"/>
  <c r="V985" i="3"/>
  <c r="T985" i="3"/>
  <c r="W985" i="3" s="1"/>
  <c r="J985" i="3"/>
  <c r="I985" i="3"/>
  <c r="C985" i="3"/>
  <c r="B985" i="3"/>
  <c r="V984" i="3"/>
  <c r="T984" i="3"/>
  <c r="W984" i="3" s="1"/>
  <c r="J984" i="3"/>
  <c r="I984" i="3"/>
  <c r="C984" i="3"/>
  <c r="B984" i="3"/>
  <c r="V983" i="3"/>
  <c r="T983" i="3"/>
  <c r="W983" i="3" s="1"/>
  <c r="J983" i="3"/>
  <c r="I983" i="3"/>
  <c r="C983" i="3"/>
  <c r="B983" i="3"/>
  <c r="V982" i="3"/>
  <c r="T982" i="3"/>
  <c r="W982" i="3" s="1"/>
  <c r="J982" i="3"/>
  <c r="I982" i="3"/>
  <c r="C982" i="3"/>
  <c r="B982" i="3"/>
  <c r="V981" i="3"/>
  <c r="T981" i="3"/>
  <c r="W981" i="3" s="1"/>
  <c r="J981" i="3"/>
  <c r="I981" i="3"/>
  <c r="C981" i="3"/>
  <c r="B981" i="3"/>
  <c r="V980" i="3"/>
  <c r="T980" i="3"/>
  <c r="W980" i="3" s="1"/>
  <c r="J980" i="3"/>
  <c r="I980" i="3"/>
  <c r="C980" i="3"/>
  <c r="B980" i="3"/>
  <c r="V979" i="3"/>
  <c r="T979" i="3"/>
  <c r="W979" i="3" s="1"/>
  <c r="J979" i="3"/>
  <c r="I979" i="3"/>
  <c r="C979" i="3"/>
  <c r="B979" i="3"/>
  <c r="V978" i="3"/>
  <c r="T978" i="3"/>
  <c r="W978" i="3" s="1"/>
  <c r="J978" i="3"/>
  <c r="I978" i="3"/>
  <c r="C978" i="3"/>
  <c r="B978" i="3"/>
  <c r="V977" i="3"/>
  <c r="T977" i="3"/>
  <c r="W977" i="3" s="1"/>
  <c r="J977" i="3"/>
  <c r="I977" i="3"/>
  <c r="C977" i="3"/>
  <c r="B977" i="3"/>
  <c r="V976" i="3"/>
  <c r="T976" i="3"/>
  <c r="W976" i="3" s="1"/>
  <c r="J976" i="3"/>
  <c r="I976" i="3"/>
  <c r="C976" i="3"/>
  <c r="B976" i="3"/>
  <c r="V975" i="3"/>
  <c r="T975" i="3"/>
  <c r="W975" i="3" s="1"/>
  <c r="J975" i="3"/>
  <c r="I975" i="3"/>
  <c r="C975" i="3"/>
  <c r="B975" i="3"/>
  <c r="V974" i="3"/>
  <c r="T974" i="3"/>
  <c r="W974" i="3" s="1"/>
  <c r="J974" i="3"/>
  <c r="I974" i="3"/>
  <c r="C974" i="3"/>
  <c r="B974" i="3"/>
  <c r="V973" i="3"/>
  <c r="T973" i="3"/>
  <c r="W973" i="3" s="1"/>
  <c r="J973" i="3"/>
  <c r="I973" i="3"/>
  <c r="C973" i="3"/>
  <c r="B973" i="3"/>
  <c r="V972" i="3"/>
  <c r="T972" i="3"/>
  <c r="W972" i="3" s="1"/>
  <c r="J972" i="3"/>
  <c r="I972" i="3"/>
  <c r="C972" i="3"/>
  <c r="B972" i="3"/>
  <c r="V971" i="3"/>
  <c r="T971" i="3"/>
  <c r="W971" i="3" s="1"/>
  <c r="J971" i="3"/>
  <c r="I971" i="3"/>
  <c r="C971" i="3"/>
  <c r="B971" i="3"/>
  <c r="V970" i="3"/>
  <c r="T970" i="3"/>
  <c r="W970" i="3" s="1"/>
  <c r="J970" i="3"/>
  <c r="I970" i="3"/>
  <c r="C970" i="3"/>
  <c r="B970" i="3"/>
  <c r="V969" i="3"/>
  <c r="T969" i="3"/>
  <c r="W969" i="3" s="1"/>
  <c r="J969" i="3"/>
  <c r="I969" i="3"/>
  <c r="C969" i="3"/>
  <c r="B969" i="3"/>
  <c r="V968" i="3"/>
  <c r="T968" i="3"/>
  <c r="W968" i="3" s="1"/>
  <c r="J968" i="3"/>
  <c r="I968" i="3"/>
  <c r="C968" i="3"/>
  <c r="B968" i="3"/>
  <c r="V967" i="3"/>
  <c r="T967" i="3"/>
  <c r="W967" i="3" s="1"/>
  <c r="J967" i="3"/>
  <c r="I967" i="3"/>
  <c r="C967" i="3"/>
  <c r="B967" i="3"/>
  <c r="V966" i="3"/>
  <c r="T966" i="3"/>
  <c r="W966" i="3" s="1"/>
  <c r="J966" i="3"/>
  <c r="I966" i="3"/>
  <c r="C966" i="3"/>
  <c r="B966" i="3"/>
  <c r="V965" i="3"/>
  <c r="T965" i="3"/>
  <c r="W965" i="3" s="1"/>
  <c r="J965" i="3"/>
  <c r="I965" i="3"/>
  <c r="C965" i="3"/>
  <c r="B965" i="3"/>
  <c r="V964" i="3"/>
  <c r="T964" i="3"/>
  <c r="W964" i="3" s="1"/>
  <c r="J964" i="3"/>
  <c r="I964" i="3"/>
  <c r="C964" i="3"/>
  <c r="B964" i="3"/>
  <c r="V963" i="3"/>
  <c r="T963" i="3"/>
  <c r="W963" i="3" s="1"/>
  <c r="J963" i="3"/>
  <c r="I963" i="3"/>
  <c r="C963" i="3"/>
  <c r="B963" i="3"/>
  <c r="V962" i="3"/>
  <c r="T962" i="3"/>
  <c r="W962" i="3" s="1"/>
  <c r="J962" i="3"/>
  <c r="I962" i="3"/>
  <c r="C962" i="3"/>
  <c r="B962" i="3"/>
  <c r="V961" i="3"/>
  <c r="T961" i="3"/>
  <c r="W961" i="3" s="1"/>
  <c r="J961" i="3"/>
  <c r="I961" i="3"/>
  <c r="C961" i="3"/>
  <c r="B961" i="3"/>
  <c r="V960" i="3"/>
  <c r="T960" i="3"/>
  <c r="W960" i="3" s="1"/>
  <c r="J960" i="3"/>
  <c r="I960" i="3"/>
  <c r="C960" i="3"/>
  <c r="B960" i="3"/>
  <c r="V959" i="3"/>
  <c r="T959" i="3"/>
  <c r="W959" i="3" s="1"/>
  <c r="J959" i="3"/>
  <c r="I959" i="3"/>
  <c r="C959" i="3"/>
  <c r="B959" i="3"/>
  <c r="V958" i="3"/>
  <c r="T958" i="3"/>
  <c r="W958" i="3" s="1"/>
  <c r="J958" i="3"/>
  <c r="I958" i="3"/>
  <c r="C958" i="3"/>
  <c r="B958" i="3"/>
  <c r="V957" i="3"/>
  <c r="T957" i="3"/>
  <c r="W957" i="3" s="1"/>
  <c r="J957" i="3"/>
  <c r="I957" i="3"/>
  <c r="C957" i="3"/>
  <c r="B957" i="3"/>
  <c r="V956" i="3"/>
  <c r="T956" i="3"/>
  <c r="W956" i="3" s="1"/>
  <c r="J956" i="3"/>
  <c r="I956" i="3"/>
  <c r="C956" i="3"/>
  <c r="B956" i="3"/>
  <c r="V955" i="3"/>
  <c r="T955" i="3"/>
  <c r="W955" i="3" s="1"/>
  <c r="J955" i="3"/>
  <c r="I955" i="3"/>
  <c r="C955" i="3"/>
  <c r="B955" i="3"/>
  <c r="V954" i="3"/>
  <c r="T954" i="3"/>
  <c r="W954" i="3" s="1"/>
  <c r="J954" i="3"/>
  <c r="I954" i="3"/>
  <c r="C954" i="3"/>
  <c r="B954" i="3"/>
  <c r="V953" i="3"/>
  <c r="T953" i="3"/>
  <c r="W953" i="3" s="1"/>
  <c r="J953" i="3"/>
  <c r="I953" i="3"/>
  <c r="C953" i="3"/>
  <c r="B953" i="3"/>
  <c r="V952" i="3"/>
  <c r="T952" i="3"/>
  <c r="W952" i="3" s="1"/>
  <c r="J952" i="3"/>
  <c r="I952" i="3"/>
  <c r="C952" i="3"/>
  <c r="B952" i="3"/>
  <c r="V951" i="3"/>
  <c r="T951" i="3"/>
  <c r="W951" i="3" s="1"/>
  <c r="J951" i="3"/>
  <c r="I951" i="3"/>
  <c r="C951" i="3"/>
  <c r="B951" i="3"/>
  <c r="V950" i="3"/>
  <c r="T950" i="3"/>
  <c r="W950" i="3" s="1"/>
  <c r="J950" i="3"/>
  <c r="I950" i="3"/>
  <c r="C950" i="3"/>
  <c r="B950" i="3"/>
  <c r="V949" i="3"/>
  <c r="T949" i="3"/>
  <c r="W949" i="3" s="1"/>
  <c r="J949" i="3"/>
  <c r="I949" i="3"/>
  <c r="C949" i="3"/>
  <c r="B949" i="3"/>
  <c r="V948" i="3"/>
  <c r="T948" i="3"/>
  <c r="W948" i="3" s="1"/>
  <c r="J948" i="3"/>
  <c r="I948" i="3"/>
  <c r="C948" i="3"/>
  <c r="B948" i="3"/>
  <c r="V947" i="3"/>
  <c r="T947" i="3"/>
  <c r="W947" i="3" s="1"/>
  <c r="C947" i="3"/>
  <c r="B947" i="3"/>
  <c r="V927" i="3"/>
  <c r="F927" i="3"/>
  <c r="E927" i="3"/>
  <c r="D927" i="3"/>
  <c r="B927" i="3"/>
  <c r="T924" i="3"/>
  <c r="V922" i="3"/>
  <c r="V920" i="3"/>
  <c r="T920" i="3"/>
  <c r="W920" i="3" s="1"/>
  <c r="J920" i="3"/>
  <c r="I920" i="3"/>
  <c r="C920" i="3"/>
  <c r="B920" i="3"/>
  <c r="V919" i="3"/>
  <c r="T919" i="3"/>
  <c r="W919" i="3" s="1"/>
  <c r="J919" i="3"/>
  <c r="I919" i="3"/>
  <c r="C919" i="3"/>
  <c r="B919" i="3"/>
  <c r="V918" i="3"/>
  <c r="T918" i="3"/>
  <c r="W918" i="3" s="1"/>
  <c r="J918" i="3"/>
  <c r="I918" i="3"/>
  <c r="C918" i="3"/>
  <c r="B918" i="3"/>
  <c r="V917" i="3"/>
  <c r="T917" i="3"/>
  <c r="W917" i="3" s="1"/>
  <c r="J917" i="3"/>
  <c r="I917" i="3"/>
  <c r="C917" i="3"/>
  <c r="B917" i="3"/>
  <c r="V916" i="3"/>
  <c r="T916" i="3"/>
  <c r="W916" i="3" s="1"/>
  <c r="J916" i="3"/>
  <c r="I916" i="3"/>
  <c r="C916" i="3"/>
  <c r="B916" i="3"/>
  <c r="V915" i="3"/>
  <c r="T915" i="3"/>
  <c r="W915" i="3" s="1"/>
  <c r="J915" i="3"/>
  <c r="I915" i="3"/>
  <c r="C915" i="3"/>
  <c r="B915" i="3"/>
  <c r="V914" i="3"/>
  <c r="T914" i="3"/>
  <c r="W914" i="3" s="1"/>
  <c r="J914" i="3"/>
  <c r="I914" i="3"/>
  <c r="C914" i="3"/>
  <c r="B914" i="3"/>
  <c r="V913" i="3"/>
  <c r="T913" i="3"/>
  <c r="W913" i="3" s="1"/>
  <c r="J913" i="3"/>
  <c r="I913" i="3"/>
  <c r="C913" i="3"/>
  <c r="B913" i="3"/>
  <c r="V912" i="3"/>
  <c r="T912" i="3"/>
  <c r="W912" i="3" s="1"/>
  <c r="J912" i="3"/>
  <c r="I912" i="3"/>
  <c r="C912" i="3"/>
  <c r="B912" i="3"/>
  <c r="V911" i="3"/>
  <c r="T911" i="3"/>
  <c r="W911" i="3" s="1"/>
  <c r="J911" i="3"/>
  <c r="I911" i="3"/>
  <c r="C911" i="3"/>
  <c r="B911" i="3"/>
  <c r="V910" i="3"/>
  <c r="T910" i="3"/>
  <c r="W910" i="3" s="1"/>
  <c r="J910" i="3"/>
  <c r="I910" i="3"/>
  <c r="C910" i="3"/>
  <c r="B910" i="3"/>
  <c r="V909" i="3"/>
  <c r="T909" i="3"/>
  <c r="W909" i="3" s="1"/>
  <c r="J909" i="3"/>
  <c r="I909" i="3"/>
  <c r="C909" i="3"/>
  <c r="B909" i="3"/>
  <c r="V908" i="3"/>
  <c r="T908" i="3"/>
  <c r="W908" i="3" s="1"/>
  <c r="J908" i="3"/>
  <c r="I908" i="3"/>
  <c r="C908" i="3"/>
  <c r="B908" i="3"/>
  <c r="V907" i="3"/>
  <c r="T907" i="3"/>
  <c r="W907" i="3" s="1"/>
  <c r="J907" i="3"/>
  <c r="I907" i="3"/>
  <c r="C907" i="3"/>
  <c r="B907" i="3"/>
  <c r="V906" i="3"/>
  <c r="T906" i="3"/>
  <c r="W906" i="3" s="1"/>
  <c r="J906" i="3"/>
  <c r="I906" i="3"/>
  <c r="C906" i="3"/>
  <c r="B906" i="3"/>
  <c r="V905" i="3"/>
  <c r="T905" i="3"/>
  <c r="W905" i="3" s="1"/>
  <c r="J905" i="3"/>
  <c r="I905" i="3"/>
  <c r="C905" i="3"/>
  <c r="B905" i="3"/>
  <c r="V904" i="3"/>
  <c r="T904" i="3"/>
  <c r="W904" i="3" s="1"/>
  <c r="J904" i="3"/>
  <c r="I904" i="3"/>
  <c r="C904" i="3"/>
  <c r="B904" i="3"/>
  <c r="V903" i="3"/>
  <c r="T903" i="3"/>
  <c r="W903" i="3" s="1"/>
  <c r="J903" i="3"/>
  <c r="I903" i="3"/>
  <c r="C903" i="3"/>
  <c r="B903" i="3"/>
  <c r="V902" i="3"/>
  <c r="T902" i="3"/>
  <c r="W902" i="3" s="1"/>
  <c r="J902" i="3"/>
  <c r="I902" i="3"/>
  <c r="C902" i="3"/>
  <c r="B902" i="3"/>
  <c r="V901" i="3"/>
  <c r="T901" i="3"/>
  <c r="W901" i="3" s="1"/>
  <c r="J901" i="3"/>
  <c r="I901" i="3"/>
  <c r="C901" i="3"/>
  <c r="B901" i="3"/>
  <c r="V900" i="3"/>
  <c r="T900" i="3"/>
  <c r="W900" i="3" s="1"/>
  <c r="J900" i="3"/>
  <c r="I900" i="3"/>
  <c r="C900" i="3"/>
  <c r="B900" i="3"/>
  <c r="V899" i="3"/>
  <c r="T899" i="3"/>
  <c r="W899" i="3" s="1"/>
  <c r="J899" i="3"/>
  <c r="I899" i="3"/>
  <c r="C899" i="3"/>
  <c r="B899" i="3"/>
  <c r="V898" i="3"/>
  <c r="T898" i="3"/>
  <c r="W898" i="3" s="1"/>
  <c r="J898" i="3"/>
  <c r="I898" i="3"/>
  <c r="C898" i="3"/>
  <c r="B898" i="3"/>
  <c r="V897" i="3"/>
  <c r="T897" i="3"/>
  <c r="W897" i="3" s="1"/>
  <c r="J897" i="3"/>
  <c r="I897" i="3"/>
  <c r="C897" i="3"/>
  <c r="B897" i="3"/>
  <c r="V896" i="3"/>
  <c r="T896" i="3"/>
  <c r="W896" i="3" s="1"/>
  <c r="J896" i="3"/>
  <c r="I896" i="3"/>
  <c r="C896" i="3"/>
  <c r="B896" i="3"/>
  <c r="V895" i="3"/>
  <c r="T895" i="3"/>
  <c r="W895" i="3" s="1"/>
  <c r="J895" i="3"/>
  <c r="I895" i="3"/>
  <c r="C895" i="3"/>
  <c r="B895" i="3"/>
  <c r="V894" i="3"/>
  <c r="T894" i="3"/>
  <c r="W894" i="3" s="1"/>
  <c r="J894" i="3"/>
  <c r="I894" i="3"/>
  <c r="C894" i="3"/>
  <c r="B894" i="3"/>
  <c r="V893" i="3"/>
  <c r="T893" i="3"/>
  <c r="W893" i="3" s="1"/>
  <c r="J893" i="3"/>
  <c r="I893" i="3"/>
  <c r="C893" i="3"/>
  <c r="B893" i="3"/>
  <c r="V892" i="3"/>
  <c r="T892" i="3"/>
  <c r="W892" i="3" s="1"/>
  <c r="J892" i="3"/>
  <c r="I892" i="3"/>
  <c r="C892" i="3"/>
  <c r="B892" i="3"/>
  <c r="V891" i="3"/>
  <c r="T891" i="3"/>
  <c r="W891" i="3" s="1"/>
  <c r="J891" i="3"/>
  <c r="I891" i="3"/>
  <c r="C891" i="3"/>
  <c r="B891" i="3"/>
  <c r="V890" i="3"/>
  <c r="T890" i="3"/>
  <c r="W890" i="3" s="1"/>
  <c r="J890" i="3"/>
  <c r="I890" i="3"/>
  <c r="C890" i="3"/>
  <c r="B890" i="3"/>
  <c r="V889" i="3"/>
  <c r="T889" i="3"/>
  <c r="W889" i="3" s="1"/>
  <c r="J889" i="3"/>
  <c r="I889" i="3"/>
  <c r="C889" i="3"/>
  <c r="B889" i="3"/>
  <c r="V888" i="3"/>
  <c r="T888" i="3"/>
  <c r="W888" i="3" s="1"/>
  <c r="J888" i="3"/>
  <c r="I888" i="3"/>
  <c r="C888" i="3"/>
  <c r="B888" i="3"/>
  <c r="V887" i="3"/>
  <c r="T887" i="3"/>
  <c r="W887" i="3" s="1"/>
  <c r="J887" i="3"/>
  <c r="I887" i="3"/>
  <c r="C887" i="3"/>
  <c r="B887" i="3"/>
  <c r="V886" i="3"/>
  <c r="T886" i="3"/>
  <c r="W886" i="3" s="1"/>
  <c r="J886" i="3"/>
  <c r="I886" i="3"/>
  <c r="C886" i="3"/>
  <c r="B886" i="3"/>
  <c r="V885" i="3"/>
  <c r="T885" i="3"/>
  <c r="W885" i="3" s="1"/>
  <c r="J885" i="3"/>
  <c r="I885" i="3"/>
  <c r="C885" i="3"/>
  <c r="B885" i="3"/>
  <c r="V884" i="3"/>
  <c r="T884" i="3"/>
  <c r="W884" i="3" s="1"/>
  <c r="J884" i="3"/>
  <c r="I884" i="3"/>
  <c r="C884" i="3"/>
  <c r="B884" i="3"/>
  <c r="V883" i="3"/>
  <c r="T883" i="3"/>
  <c r="W883" i="3" s="1"/>
  <c r="J883" i="3"/>
  <c r="I883" i="3"/>
  <c r="C883" i="3"/>
  <c r="B883" i="3"/>
  <c r="V882" i="3"/>
  <c r="T882" i="3"/>
  <c r="W882" i="3" s="1"/>
  <c r="J882" i="3"/>
  <c r="I882" i="3"/>
  <c r="C882" i="3"/>
  <c r="B882" i="3"/>
  <c r="V881" i="3"/>
  <c r="T881" i="3"/>
  <c r="W881" i="3" s="1"/>
  <c r="J881" i="3"/>
  <c r="I881" i="3"/>
  <c r="C881" i="3"/>
  <c r="B881" i="3"/>
  <c r="V880" i="3"/>
  <c r="T880" i="3"/>
  <c r="W880" i="3" s="1"/>
  <c r="J880" i="3"/>
  <c r="I880" i="3"/>
  <c r="C880" i="3"/>
  <c r="B880" i="3"/>
  <c r="V879" i="3"/>
  <c r="T879" i="3"/>
  <c r="W879" i="3" s="1"/>
  <c r="J879" i="3"/>
  <c r="I879" i="3"/>
  <c r="C879" i="3"/>
  <c r="B879" i="3"/>
  <c r="V878" i="3"/>
  <c r="T878" i="3"/>
  <c r="W878" i="3" s="1"/>
  <c r="J878" i="3"/>
  <c r="I878" i="3"/>
  <c r="C878" i="3"/>
  <c r="B878" i="3"/>
  <c r="V877" i="3"/>
  <c r="T877" i="3"/>
  <c r="W877" i="3" s="1"/>
  <c r="J877" i="3"/>
  <c r="I877" i="3"/>
  <c r="C877" i="3"/>
  <c r="B877" i="3"/>
  <c r="V876" i="3"/>
  <c r="T876" i="3"/>
  <c r="W876" i="3" s="1"/>
  <c r="J876" i="3"/>
  <c r="I876" i="3"/>
  <c r="C876" i="3"/>
  <c r="B876" i="3"/>
  <c r="V875" i="3"/>
  <c r="T875" i="3"/>
  <c r="W875" i="3" s="1"/>
  <c r="J875" i="3"/>
  <c r="I875" i="3"/>
  <c r="C875" i="3"/>
  <c r="B875" i="3"/>
  <c r="V874" i="3"/>
  <c r="T874" i="3"/>
  <c r="W874" i="3" s="1"/>
  <c r="J874" i="3"/>
  <c r="I874" i="3"/>
  <c r="C874" i="3"/>
  <c r="B874" i="3"/>
  <c r="V873" i="3"/>
  <c r="T873" i="3"/>
  <c r="W873" i="3" s="1"/>
  <c r="J873" i="3"/>
  <c r="I873" i="3"/>
  <c r="C873" i="3"/>
  <c r="B873" i="3"/>
  <c r="V872" i="3"/>
  <c r="T872" i="3"/>
  <c r="W872" i="3" s="1"/>
  <c r="J872" i="3"/>
  <c r="I872" i="3"/>
  <c r="C872" i="3"/>
  <c r="B872" i="3"/>
  <c r="V871" i="3"/>
  <c r="T871" i="3"/>
  <c r="W871" i="3" s="1"/>
  <c r="J871" i="3"/>
  <c r="I871" i="3"/>
  <c r="C871" i="3"/>
  <c r="B871" i="3"/>
  <c r="V870" i="3"/>
  <c r="T870" i="3"/>
  <c r="W870" i="3" s="1"/>
  <c r="J870" i="3"/>
  <c r="I870" i="3"/>
  <c r="C870" i="3"/>
  <c r="B870" i="3"/>
  <c r="V869" i="3"/>
  <c r="T869" i="3"/>
  <c r="W869" i="3" s="1"/>
  <c r="J869" i="3"/>
  <c r="I869" i="3"/>
  <c r="C869" i="3"/>
  <c r="B869" i="3"/>
  <c r="V868" i="3"/>
  <c r="T868" i="3"/>
  <c r="W868" i="3" s="1"/>
  <c r="J868" i="3"/>
  <c r="I868" i="3"/>
  <c r="C868" i="3"/>
  <c r="B868" i="3"/>
  <c r="V867" i="3"/>
  <c r="T867" i="3"/>
  <c r="W867" i="3" s="1"/>
  <c r="J867" i="3"/>
  <c r="I867" i="3"/>
  <c r="C867" i="3"/>
  <c r="B867" i="3"/>
  <c r="V866" i="3"/>
  <c r="T866" i="3"/>
  <c r="W866" i="3" s="1"/>
  <c r="J866" i="3"/>
  <c r="I866" i="3"/>
  <c r="C866" i="3"/>
  <c r="B866" i="3"/>
  <c r="V865" i="3"/>
  <c r="T865" i="3"/>
  <c r="W865" i="3" s="1"/>
  <c r="J865" i="3"/>
  <c r="I865" i="3"/>
  <c r="C865" i="3"/>
  <c r="B865" i="3"/>
  <c r="V864" i="3"/>
  <c r="T864" i="3"/>
  <c r="W864" i="3" s="1"/>
  <c r="J864" i="3"/>
  <c r="I864" i="3"/>
  <c r="C864" i="3"/>
  <c r="B864" i="3"/>
  <c r="V863" i="3"/>
  <c r="T863" i="3"/>
  <c r="W863" i="3" s="1"/>
  <c r="J863" i="3"/>
  <c r="I863" i="3"/>
  <c r="C863" i="3"/>
  <c r="B863" i="3"/>
  <c r="V862" i="3"/>
  <c r="T862" i="3"/>
  <c r="W862" i="3" s="1"/>
  <c r="J862" i="3"/>
  <c r="I862" i="3"/>
  <c r="C862" i="3"/>
  <c r="B862" i="3"/>
  <c r="V861" i="3"/>
  <c r="T861" i="3"/>
  <c r="W861" i="3" s="1"/>
  <c r="J861" i="3"/>
  <c r="I861" i="3"/>
  <c r="C861" i="3"/>
  <c r="B861" i="3"/>
  <c r="V860" i="3"/>
  <c r="T860" i="3"/>
  <c r="W860" i="3" s="1"/>
  <c r="J860" i="3"/>
  <c r="I860" i="3"/>
  <c r="C860" i="3"/>
  <c r="B860" i="3"/>
  <c r="V859" i="3"/>
  <c r="T859" i="3"/>
  <c r="W859" i="3" s="1"/>
  <c r="J859" i="3"/>
  <c r="I859" i="3"/>
  <c r="C859" i="3"/>
  <c r="B859" i="3"/>
  <c r="V858" i="3"/>
  <c r="T858" i="3"/>
  <c r="W858" i="3" s="1"/>
  <c r="J858" i="3"/>
  <c r="I858" i="3"/>
  <c r="C858" i="3"/>
  <c r="B858" i="3"/>
  <c r="V857" i="3"/>
  <c r="T857" i="3"/>
  <c r="W857" i="3" s="1"/>
  <c r="J857" i="3"/>
  <c r="I857" i="3"/>
  <c r="C857" i="3"/>
  <c r="B857" i="3"/>
  <c r="V856" i="3"/>
  <c r="T856" i="3"/>
  <c r="W856" i="3" s="1"/>
  <c r="J856" i="3"/>
  <c r="I856" i="3"/>
  <c r="C856" i="3"/>
  <c r="B856" i="3"/>
  <c r="V855" i="3"/>
  <c r="T855" i="3"/>
  <c r="W855" i="3" s="1"/>
  <c r="C855" i="3"/>
  <c r="B855" i="3"/>
  <c r="V835" i="3"/>
  <c r="F835" i="3"/>
  <c r="E835" i="3"/>
  <c r="D835" i="3"/>
  <c r="B835" i="3"/>
  <c r="T832" i="3"/>
  <c r="V830" i="3"/>
  <c r="V828" i="3"/>
  <c r="T828" i="3"/>
  <c r="W828" i="3" s="1"/>
  <c r="J828" i="3"/>
  <c r="I828" i="3"/>
  <c r="C828" i="3"/>
  <c r="B828" i="3"/>
  <c r="V827" i="3"/>
  <c r="T827" i="3"/>
  <c r="W827" i="3" s="1"/>
  <c r="J827" i="3"/>
  <c r="I827" i="3"/>
  <c r="C827" i="3"/>
  <c r="B827" i="3"/>
  <c r="V826" i="3"/>
  <c r="T826" i="3"/>
  <c r="W826" i="3" s="1"/>
  <c r="J826" i="3"/>
  <c r="I826" i="3"/>
  <c r="C826" i="3"/>
  <c r="B826" i="3"/>
  <c r="V825" i="3"/>
  <c r="T825" i="3"/>
  <c r="W825" i="3" s="1"/>
  <c r="J825" i="3"/>
  <c r="I825" i="3"/>
  <c r="C825" i="3"/>
  <c r="B825" i="3"/>
  <c r="V824" i="3"/>
  <c r="T824" i="3"/>
  <c r="W824" i="3" s="1"/>
  <c r="J824" i="3"/>
  <c r="I824" i="3"/>
  <c r="C824" i="3"/>
  <c r="B824" i="3"/>
  <c r="V823" i="3"/>
  <c r="T823" i="3"/>
  <c r="W823" i="3" s="1"/>
  <c r="J823" i="3"/>
  <c r="I823" i="3"/>
  <c r="C823" i="3"/>
  <c r="B823" i="3"/>
  <c r="V822" i="3"/>
  <c r="T822" i="3"/>
  <c r="W822" i="3" s="1"/>
  <c r="J822" i="3"/>
  <c r="I822" i="3"/>
  <c r="C822" i="3"/>
  <c r="B822" i="3"/>
  <c r="V821" i="3"/>
  <c r="T821" i="3"/>
  <c r="W821" i="3" s="1"/>
  <c r="J821" i="3"/>
  <c r="I821" i="3"/>
  <c r="C821" i="3"/>
  <c r="B821" i="3"/>
  <c r="V820" i="3"/>
  <c r="T820" i="3"/>
  <c r="W820" i="3" s="1"/>
  <c r="J820" i="3"/>
  <c r="I820" i="3"/>
  <c r="C820" i="3"/>
  <c r="B820" i="3"/>
  <c r="V819" i="3"/>
  <c r="T819" i="3"/>
  <c r="W819" i="3" s="1"/>
  <c r="J819" i="3"/>
  <c r="I819" i="3"/>
  <c r="C819" i="3"/>
  <c r="B819" i="3"/>
  <c r="V818" i="3"/>
  <c r="T818" i="3"/>
  <c r="W818" i="3" s="1"/>
  <c r="J818" i="3"/>
  <c r="I818" i="3"/>
  <c r="C818" i="3"/>
  <c r="B818" i="3"/>
  <c r="V817" i="3"/>
  <c r="T817" i="3"/>
  <c r="W817" i="3" s="1"/>
  <c r="J817" i="3"/>
  <c r="I817" i="3"/>
  <c r="C817" i="3"/>
  <c r="B817" i="3"/>
  <c r="V816" i="3"/>
  <c r="T816" i="3"/>
  <c r="W816" i="3" s="1"/>
  <c r="J816" i="3"/>
  <c r="I816" i="3"/>
  <c r="C816" i="3"/>
  <c r="B816" i="3"/>
  <c r="V815" i="3"/>
  <c r="T815" i="3"/>
  <c r="W815" i="3" s="1"/>
  <c r="J815" i="3"/>
  <c r="I815" i="3"/>
  <c r="C815" i="3"/>
  <c r="B815" i="3"/>
  <c r="V814" i="3"/>
  <c r="T814" i="3"/>
  <c r="W814" i="3" s="1"/>
  <c r="J814" i="3"/>
  <c r="I814" i="3"/>
  <c r="C814" i="3"/>
  <c r="B814" i="3"/>
  <c r="V813" i="3"/>
  <c r="T813" i="3"/>
  <c r="W813" i="3" s="1"/>
  <c r="J813" i="3"/>
  <c r="I813" i="3"/>
  <c r="C813" i="3"/>
  <c r="B813" i="3"/>
  <c r="V812" i="3"/>
  <c r="T812" i="3"/>
  <c r="W812" i="3" s="1"/>
  <c r="J812" i="3"/>
  <c r="I812" i="3"/>
  <c r="C812" i="3"/>
  <c r="B812" i="3"/>
  <c r="V811" i="3"/>
  <c r="T811" i="3"/>
  <c r="W811" i="3" s="1"/>
  <c r="J811" i="3"/>
  <c r="I811" i="3"/>
  <c r="C811" i="3"/>
  <c r="B811" i="3"/>
  <c r="V810" i="3"/>
  <c r="T810" i="3"/>
  <c r="W810" i="3" s="1"/>
  <c r="J810" i="3"/>
  <c r="I810" i="3"/>
  <c r="C810" i="3"/>
  <c r="B810" i="3"/>
  <c r="V809" i="3"/>
  <c r="T809" i="3"/>
  <c r="W809" i="3" s="1"/>
  <c r="J809" i="3"/>
  <c r="I809" i="3"/>
  <c r="C809" i="3"/>
  <c r="B809" i="3"/>
  <c r="V808" i="3"/>
  <c r="T808" i="3"/>
  <c r="W808" i="3" s="1"/>
  <c r="J808" i="3"/>
  <c r="I808" i="3"/>
  <c r="C808" i="3"/>
  <c r="B808" i="3"/>
  <c r="V807" i="3"/>
  <c r="T807" i="3"/>
  <c r="W807" i="3" s="1"/>
  <c r="J807" i="3"/>
  <c r="I807" i="3"/>
  <c r="C807" i="3"/>
  <c r="B807" i="3"/>
  <c r="V806" i="3"/>
  <c r="T806" i="3"/>
  <c r="W806" i="3" s="1"/>
  <c r="J806" i="3"/>
  <c r="I806" i="3"/>
  <c r="C806" i="3"/>
  <c r="B806" i="3"/>
  <c r="V805" i="3"/>
  <c r="T805" i="3"/>
  <c r="W805" i="3" s="1"/>
  <c r="J805" i="3"/>
  <c r="I805" i="3"/>
  <c r="C805" i="3"/>
  <c r="B805" i="3"/>
  <c r="V804" i="3"/>
  <c r="T804" i="3"/>
  <c r="W804" i="3" s="1"/>
  <c r="J804" i="3"/>
  <c r="I804" i="3"/>
  <c r="C804" i="3"/>
  <c r="B804" i="3"/>
  <c r="V803" i="3"/>
  <c r="T803" i="3"/>
  <c r="W803" i="3" s="1"/>
  <c r="J803" i="3"/>
  <c r="I803" i="3"/>
  <c r="C803" i="3"/>
  <c r="B803" i="3"/>
  <c r="V802" i="3"/>
  <c r="T802" i="3"/>
  <c r="W802" i="3" s="1"/>
  <c r="J802" i="3"/>
  <c r="I802" i="3"/>
  <c r="C802" i="3"/>
  <c r="B802" i="3"/>
  <c r="V801" i="3"/>
  <c r="T801" i="3"/>
  <c r="W801" i="3" s="1"/>
  <c r="J801" i="3"/>
  <c r="I801" i="3"/>
  <c r="C801" i="3"/>
  <c r="B801" i="3"/>
  <c r="V800" i="3"/>
  <c r="T800" i="3"/>
  <c r="W800" i="3" s="1"/>
  <c r="J800" i="3"/>
  <c r="I800" i="3"/>
  <c r="C800" i="3"/>
  <c r="B800" i="3"/>
  <c r="V799" i="3"/>
  <c r="T799" i="3"/>
  <c r="W799" i="3" s="1"/>
  <c r="J799" i="3"/>
  <c r="I799" i="3"/>
  <c r="C799" i="3"/>
  <c r="B799" i="3"/>
  <c r="V798" i="3"/>
  <c r="T798" i="3"/>
  <c r="W798" i="3" s="1"/>
  <c r="J798" i="3"/>
  <c r="I798" i="3"/>
  <c r="C798" i="3"/>
  <c r="B798" i="3"/>
  <c r="V797" i="3"/>
  <c r="T797" i="3"/>
  <c r="W797" i="3" s="1"/>
  <c r="J797" i="3"/>
  <c r="I797" i="3"/>
  <c r="C797" i="3"/>
  <c r="B797" i="3"/>
  <c r="V796" i="3"/>
  <c r="T796" i="3"/>
  <c r="W796" i="3" s="1"/>
  <c r="J796" i="3"/>
  <c r="I796" i="3"/>
  <c r="C796" i="3"/>
  <c r="B796" i="3"/>
  <c r="V795" i="3"/>
  <c r="T795" i="3"/>
  <c r="W795" i="3" s="1"/>
  <c r="J795" i="3"/>
  <c r="I795" i="3"/>
  <c r="C795" i="3"/>
  <c r="B795" i="3"/>
  <c r="V794" i="3"/>
  <c r="T794" i="3"/>
  <c r="W794" i="3" s="1"/>
  <c r="J794" i="3"/>
  <c r="I794" i="3"/>
  <c r="C794" i="3"/>
  <c r="B794" i="3"/>
  <c r="V793" i="3"/>
  <c r="T793" i="3"/>
  <c r="W793" i="3" s="1"/>
  <c r="J793" i="3"/>
  <c r="I793" i="3"/>
  <c r="C793" i="3"/>
  <c r="B793" i="3"/>
  <c r="V792" i="3"/>
  <c r="T792" i="3"/>
  <c r="W792" i="3" s="1"/>
  <c r="J792" i="3"/>
  <c r="I792" i="3"/>
  <c r="C792" i="3"/>
  <c r="B792" i="3"/>
  <c r="V791" i="3"/>
  <c r="T791" i="3"/>
  <c r="W791" i="3" s="1"/>
  <c r="J791" i="3"/>
  <c r="I791" i="3"/>
  <c r="C791" i="3"/>
  <c r="B791" i="3"/>
  <c r="V790" i="3"/>
  <c r="T790" i="3"/>
  <c r="W790" i="3" s="1"/>
  <c r="J790" i="3"/>
  <c r="I790" i="3"/>
  <c r="C790" i="3"/>
  <c r="B790" i="3"/>
  <c r="V789" i="3"/>
  <c r="T789" i="3"/>
  <c r="W789" i="3" s="1"/>
  <c r="J789" i="3"/>
  <c r="I789" i="3"/>
  <c r="C789" i="3"/>
  <c r="B789" i="3"/>
  <c r="V788" i="3"/>
  <c r="T788" i="3"/>
  <c r="W788" i="3" s="1"/>
  <c r="J788" i="3"/>
  <c r="I788" i="3"/>
  <c r="C788" i="3"/>
  <c r="B788" i="3"/>
  <c r="V787" i="3"/>
  <c r="T787" i="3"/>
  <c r="W787" i="3" s="1"/>
  <c r="J787" i="3"/>
  <c r="I787" i="3"/>
  <c r="C787" i="3"/>
  <c r="B787" i="3"/>
  <c r="V786" i="3"/>
  <c r="T786" i="3"/>
  <c r="W786" i="3" s="1"/>
  <c r="J786" i="3"/>
  <c r="I786" i="3"/>
  <c r="C786" i="3"/>
  <c r="B786" i="3"/>
  <c r="V785" i="3"/>
  <c r="T785" i="3"/>
  <c r="W785" i="3" s="1"/>
  <c r="J785" i="3"/>
  <c r="I785" i="3"/>
  <c r="C785" i="3"/>
  <c r="B785" i="3"/>
  <c r="V784" i="3"/>
  <c r="T784" i="3"/>
  <c r="W784" i="3" s="1"/>
  <c r="J784" i="3"/>
  <c r="I784" i="3"/>
  <c r="C784" i="3"/>
  <c r="B784" i="3"/>
  <c r="V783" i="3"/>
  <c r="T783" i="3"/>
  <c r="W783" i="3" s="1"/>
  <c r="J783" i="3"/>
  <c r="I783" i="3"/>
  <c r="C783" i="3"/>
  <c r="B783" i="3"/>
  <c r="V782" i="3"/>
  <c r="T782" i="3"/>
  <c r="W782" i="3" s="1"/>
  <c r="J782" i="3"/>
  <c r="I782" i="3"/>
  <c r="C782" i="3"/>
  <c r="B782" i="3"/>
  <c r="V781" i="3"/>
  <c r="T781" i="3"/>
  <c r="W781" i="3" s="1"/>
  <c r="J781" i="3"/>
  <c r="I781" i="3"/>
  <c r="C781" i="3"/>
  <c r="B781" i="3"/>
  <c r="V780" i="3"/>
  <c r="T780" i="3"/>
  <c r="W780" i="3" s="1"/>
  <c r="J780" i="3"/>
  <c r="I780" i="3"/>
  <c r="C780" i="3"/>
  <c r="B780" i="3"/>
  <c r="V779" i="3"/>
  <c r="T779" i="3"/>
  <c r="W779" i="3" s="1"/>
  <c r="J779" i="3"/>
  <c r="I779" i="3"/>
  <c r="C779" i="3"/>
  <c r="B779" i="3"/>
  <c r="V778" i="3"/>
  <c r="T778" i="3"/>
  <c r="W778" i="3" s="1"/>
  <c r="J778" i="3"/>
  <c r="I778" i="3"/>
  <c r="C778" i="3"/>
  <c r="B778" i="3"/>
  <c r="V777" i="3"/>
  <c r="T777" i="3"/>
  <c r="W777" i="3" s="1"/>
  <c r="J777" i="3"/>
  <c r="I777" i="3"/>
  <c r="C777" i="3"/>
  <c r="B777" i="3"/>
  <c r="V776" i="3"/>
  <c r="T776" i="3"/>
  <c r="W776" i="3" s="1"/>
  <c r="J776" i="3"/>
  <c r="I776" i="3"/>
  <c r="C776" i="3"/>
  <c r="B776" i="3"/>
  <c r="V775" i="3"/>
  <c r="T775" i="3"/>
  <c r="W775" i="3" s="1"/>
  <c r="J775" i="3"/>
  <c r="I775" i="3"/>
  <c r="C775" i="3"/>
  <c r="B775" i="3"/>
  <c r="V774" i="3"/>
  <c r="T774" i="3"/>
  <c r="W774" i="3" s="1"/>
  <c r="J774" i="3"/>
  <c r="I774" i="3"/>
  <c r="C774" i="3"/>
  <c r="B774" i="3"/>
  <c r="V773" i="3"/>
  <c r="T773" i="3"/>
  <c r="W773" i="3" s="1"/>
  <c r="J773" i="3"/>
  <c r="I773" i="3"/>
  <c r="C773" i="3"/>
  <c r="B773" i="3"/>
  <c r="V772" i="3"/>
  <c r="T772" i="3"/>
  <c r="W772" i="3" s="1"/>
  <c r="J772" i="3"/>
  <c r="I772" i="3"/>
  <c r="C772" i="3"/>
  <c r="B772" i="3"/>
  <c r="V771" i="3"/>
  <c r="T771" i="3"/>
  <c r="W771" i="3" s="1"/>
  <c r="J771" i="3"/>
  <c r="I771" i="3"/>
  <c r="C771" i="3"/>
  <c r="B771" i="3"/>
  <c r="V770" i="3"/>
  <c r="T770" i="3"/>
  <c r="W770" i="3" s="1"/>
  <c r="J770" i="3"/>
  <c r="I770" i="3"/>
  <c r="C770" i="3"/>
  <c r="B770" i="3"/>
  <c r="V769" i="3"/>
  <c r="T769" i="3"/>
  <c r="W769" i="3" s="1"/>
  <c r="J769" i="3"/>
  <c r="I769" i="3"/>
  <c r="C769" i="3"/>
  <c r="B769" i="3"/>
  <c r="V768" i="3"/>
  <c r="T768" i="3"/>
  <c r="W768" i="3" s="1"/>
  <c r="J768" i="3"/>
  <c r="I768" i="3"/>
  <c r="C768" i="3"/>
  <c r="B768" i="3"/>
  <c r="V767" i="3"/>
  <c r="T767" i="3"/>
  <c r="W767" i="3" s="1"/>
  <c r="J767" i="3"/>
  <c r="I767" i="3"/>
  <c r="C767" i="3"/>
  <c r="B767" i="3"/>
  <c r="V766" i="3"/>
  <c r="T766" i="3"/>
  <c r="W766" i="3" s="1"/>
  <c r="J766" i="3"/>
  <c r="I766" i="3"/>
  <c r="C766" i="3"/>
  <c r="B766" i="3"/>
  <c r="V765" i="3"/>
  <c r="T765" i="3"/>
  <c r="W765" i="3" s="1"/>
  <c r="J765" i="3"/>
  <c r="I765" i="3"/>
  <c r="C765" i="3"/>
  <c r="B765" i="3"/>
  <c r="V764" i="3"/>
  <c r="T764" i="3"/>
  <c r="W764" i="3" s="1"/>
  <c r="J764" i="3"/>
  <c r="I764" i="3"/>
  <c r="C764" i="3"/>
  <c r="B764" i="3"/>
  <c r="V763" i="3"/>
  <c r="T763" i="3"/>
  <c r="W763" i="3" s="1"/>
  <c r="C763" i="3"/>
  <c r="B763" i="3"/>
  <c r="V743" i="3"/>
  <c r="F743" i="3"/>
  <c r="E743" i="3"/>
  <c r="D743" i="3"/>
  <c r="B743" i="3"/>
  <c r="T740" i="3"/>
  <c r="V738" i="3"/>
  <c r="V736" i="3"/>
  <c r="T736" i="3"/>
  <c r="W736" i="3" s="1"/>
  <c r="J736" i="3"/>
  <c r="I736" i="3"/>
  <c r="C736" i="3"/>
  <c r="B736" i="3"/>
  <c r="V735" i="3"/>
  <c r="T735" i="3"/>
  <c r="W735" i="3" s="1"/>
  <c r="J735" i="3"/>
  <c r="I735" i="3"/>
  <c r="C735" i="3"/>
  <c r="B735" i="3"/>
  <c r="V734" i="3"/>
  <c r="T734" i="3"/>
  <c r="W734" i="3" s="1"/>
  <c r="J734" i="3"/>
  <c r="I734" i="3"/>
  <c r="C734" i="3"/>
  <c r="B734" i="3"/>
  <c r="V733" i="3"/>
  <c r="T733" i="3"/>
  <c r="W733" i="3" s="1"/>
  <c r="J733" i="3"/>
  <c r="I733" i="3"/>
  <c r="C733" i="3"/>
  <c r="B733" i="3"/>
  <c r="V732" i="3"/>
  <c r="T732" i="3"/>
  <c r="W732" i="3" s="1"/>
  <c r="J732" i="3"/>
  <c r="I732" i="3"/>
  <c r="C732" i="3"/>
  <c r="B732" i="3"/>
  <c r="V731" i="3"/>
  <c r="T731" i="3"/>
  <c r="W731" i="3" s="1"/>
  <c r="J731" i="3"/>
  <c r="I731" i="3"/>
  <c r="C731" i="3"/>
  <c r="B731" i="3"/>
  <c r="V730" i="3"/>
  <c r="T730" i="3"/>
  <c r="W730" i="3" s="1"/>
  <c r="J730" i="3"/>
  <c r="I730" i="3"/>
  <c r="C730" i="3"/>
  <c r="B730" i="3"/>
  <c r="V729" i="3"/>
  <c r="T729" i="3"/>
  <c r="W729" i="3" s="1"/>
  <c r="J729" i="3"/>
  <c r="I729" i="3"/>
  <c r="C729" i="3"/>
  <c r="B729" i="3"/>
  <c r="V728" i="3"/>
  <c r="T728" i="3"/>
  <c r="W728" i="3" s="1"/>
  <c r="J728" i="3"/>
  <c r="I728" i="3"/>
  <c r="C728" i="3"/>
  <c r="B728" i="3"/>
  <c r="V727" i="3"/>
  <c r="T727" i="3"/>
  <c r="W727" i="3" s="1"/>
  <c r="J727" i="3"/>
  <c r="I727" i="3"/>
  <c r="C727" i="3"/>
  <c r="B727" i="3"/>
  <c r="V726" i="3"/>
  <c r="T726" i="3"/>
  <c r="W726" i="3" s="1"/>
  <c r="J726" i="3"/>
  <c r="I726" i="3"/>
  <c r="C726" i="3"/>
  <c r="B726" i="3"/>
  <c r="V725" i="3"/>
  <c r="T725" i="3"/>
  <c r="W725" i="3" s="1"/>
  <c r="J725" i="3"/>
  <c r="I725" i="3"/>
  <c r="C725" i="3"/>
  <c r="B725" i="3"/>
  <c r="V724" i="3"/>
  <c r="T724" i="3"/>
  <c r="W724" i="3" s="1"/>
  <c r="J724" i="3"/>
  <c r="I724" i="3"/>
  <c r="C724" i="3"/>
  <c r="B724" i="3"/>
  <c r="V723" i="3"/>
  <c r="T723" i="3"/>
  <c r="W723" i="3" s="1"/>
  <c r="J723" i="3"/>
  <c r="I723" i="3"/>
  <c r="C723" i="3"/>
  <c r="B723" i="3"/>
  <c r="V722" i="3"/>
  <c r="T722" i="3"/>
  <c r="W722" i="3" s="1"/>
  <c r="J722" i="3"/>
  <c r="I722" i="3"/>
  <c r="C722" i="3"/>
  <c r="B722" i="3"/>
  <c r="V721" i="3"/>
  <c r="T721" i="3"/>
  <c r="W721" i="3" s="1"/>
  <c r="J721" i="3"/>
  <c r="I721" i="3"/>
  <c r="C721" i="3"/>
  <c r="B721" i="3"/>
  <c r="V720" i="3"/>
  <c r="T720" i="3"/>
  <c r="W720" i="3" s="1"/>
  <c r="J720" i="3"/>
  <c r="I720" i="3"/>
  <c r="C720" i="3"/>
  <c r="B720" i="3"/>
  <c r="V719" i="3"/>
  <c r="T719" i="3"/>
  <c r="W719" i="3" s="1"/>
  <c r="J719" i="3"/>
  <c r="I719" i="3"/>
  <c r="C719" i="3"/>
  <c r="B719" i="3"/>
  <c r="V718" i="3"/>
  <c r="T718" i="3"/>
  <c r="W718" i="3" s="1"/>
  <c r="J718" i="3"/>
  <c r="I718" i="3"/>
  <c r="C718" i="3"/>
  <c r="B718" i="3"/>
  <c r="V717" i="3"/>
  <c r="T717" i="3"/>
  <c r="W717" i="3" s="1"/>
  <c r="J717" i="3"/>
  <c r="I717" i="3"/>
  <c r="C717" i="3"/>
  <c r="B717" i="3"/>
  <c r="V716" i="3"/>
  <c r="T716" i="3"/>
  <c r="W716" i="3" s="1"/>
  <c r="J716" i="3"/>
  <c r="I716" i="3"/>
  <c r="C716" i="3"/>
  <c r="B716" i="3"/>
  <c r="V715" i="3"/>
  <c r="T715" i="3"/>
  <c r="W715" i="3" s="1"/>
  <c r="J715" i="3"/>
  <c r="I715" i="3"/>
  <c r="C715" i="3"/>
  <c r="B715" i="3"/>
  <c r="V714" i="3"/>
  <c r="T714" i="3"/>
  <c r="W714" i="3" s="1"/>
  <c r="J714" i="3"/>
  <c r="I714" i="3"/>
  <c r="C714" i="3"/>
  <c r="B714" i="3"/>
  <c r="V713" i="3"/>
  <c r="T713" i="3"/>
  <c r="W713" i="3" s="1"/>
  <c r="J713" i="3"/>
  <c r="I713" i="3"/>
  <c r="C713" i="3"/>
  <c r="B713" i="3"/>
  <c r="V712" i="3"/>
  <c r="T712" i="3"/>
  <c r="W712" i="3" s="1"/>
  <c r="J712" i="3"/>
  <c r="I712" i="3"/>
  <c r="C712" i="3"/>
  <c r="B712" i="3"/>
  <c r="V711" i="3"/>
  <c r="T711" i="3"/>
  <c r="W711" i="3" s="1"/>
  <c r="J711" i="3"/>
  <c r="I711" i="3"/>
  <c r="C711" i="3"/>
  <c r="B711" i="3"/>
  <c r="V710" i="3"/>
  <c r="T710" i="3"/>
  <c r="W710" i="3" s="1"/>
  <c r="J710" i="3"/>
  <c r="I710" i="3"/>
  <c r="C710" i="3"/>
  <c r="B710" i="3"/>
  <c r="V709" i="3"/>
  <c r="T709" i="3"/>
  <c r="W709" i="3" s="1"/>
  <c r="J709" i="3"/>
  <c r="I709" i="3"/>
  <c r="C709" i="3"/>
  <c r="B709" i="3"/>
  <c r="V708" i="3"/>
  <c r="T708" i="3"/>
  <c r="W708" i="3" s="1"/>
  <c r="J708" i="3"/>
  <c r="I708" i="3"/>
  <c r="C708" i="3"/>
  <c r="B708" i="3"/>
  <c r="V707" i="3"/>
  <c r="T707" i="3"/>
  <c r="W707" i="3" s="1"/>
  <c r="J707" i="3"/>
  <c r="I707" i="3"/>
  <c r="C707" i="3"/>
  <c r="B707" i="3"/>
  <c r="V706" i="3"/>
  <c r="T706" i="3"/>
  <c r="W706" i="3" s="1"/>
  <c r="J706" i="3"/>
  <c r="I706" i="3"/>
  <c r="C706" i="3"/>
  <c r="B706" i="3"/>
  <c r="V705" i="3"/>
  <c r="T705" i="3"/>
  <c r="W705" i="3" s="1"/>
  <c r="J705" i="3"/>
  <c r="I705" i="3"/>
  <c r="C705" i="3"/>
  <c r="B705" i="3"/>
  <c r="V704" i="3"/>
  <c r="T704" i="3"/>
  <c r="W704" i="3" s="1"/>
  <c r="J704" i="3"/>
  <c r="I704" i="3"/>
  <c r="C704" i="3"/>
  <c r="B704" i="3"/>
  <c r="V703" i="3"/>
  <c r="T703" i="3"/>
  <c r="W703" i="3" s="1"/>
  <c r="J703" i="3"/>
  <c r="I703" i="3"/>
  <c r="C703" i="3"/>
  <c r="B703" i="3"/>
  <c r="V702" i="3"/>
  <c r="T702" i="3"/>
  <c r="W702" i="3" s="1"/>
  <c r="J702" i="3"/>
  <c r="I702" i="3"/>
  <c r="C702" i="3"/>
  <c r="B702" i="3"/>
  <c r="V701" i="3"/>
  <c r="T701" i="3"/>
  <c r="W701" i="3" s="1"/>
  <c r="J701" i="3"/>
  <c r="I701" i="3"/>
  <c r="C701" i="3"/>
  <c r="B701" i="3"/>
  <c r="V700" i="3"/>
  <c r="T700" i="3"/>
  <c r="W700" i="3" s="1"/>
  <c r="J700" i="3"/>
  <c r="I700" i="3"/>
  <c r="C700" i="3"/>
  <c r="B700" i="3"/>
  <c r="V699" i="3"/>
  <c r="T699" i="3"/>
  <c r="W699" i="3" s="1"/>
  <c r="J699" i="3"/>
  <c r="I699" i="3"/>
  <c r="C699" i="3"/>
  <c r="B699" i="3"/>
  <c r="V698" i="3"/>
  <c r="T698" i="3"/>
  <c r="W698" i="3" s="1"/>
  <c r="J698" i="3"/>
  <c r="I698" i="3"/>
  <c r="C698" i="3"/>
  <c r="B698" i="3"/>
  <c r="V697" i="3"/>
  <c r="T697" i="3"/>
  <c r="W697" i="3" s="1"/>
  <c r="J697" i="3"/>
  <c r="I697" i="3"/>
  <c r="C697" i="3"/>
  <c r="B697" i="3"/>
  <c r="V696" i="3"/>
  <c r="T696" i="3"/>
  <c r="W696" i="3" s="1"/>
  <c r="J696" i="3"/>
  <c r="I696" i="3"/>
  <c r="C696" i="3"/>
  <c r="B696" i="3"/>
  <c r="V695" i="3"/>
  <c r="T695" i="3"/>
  <c r="W695" i="3" s="1"/>
  <c r="J695" i="3"/>
  <c r="I695" i="3"/>
  <c r="C695" i="3"/>
  <c r="B695" i="3"/>
  <c r="V694" i="3"/>
  <c r="T694" i="3"/>
  <c r="W694" i="3" s="1"/>
  <c r="J694" i="3"/>
  <c r="I694" i="3"/>
  <c r="C694" i="3"/>
  <c r="B694" i="3"/>
  <c r="V693" i="3"/>
  <c r="T693" i="3"/>
  <c r="W693" i="3" s="1"/>
  <c r="J693" i="3"/>
  <c r="I693" i="3"/>
  <c r="C693" i="3"/>
  <c r="B693" i="3"/>
  <c r="V692" i="3"/>
  <c r="T692" i="3"/>
  <c r="W692" i="3" s="1"/>
  <c r="J692" i="3"/>
  <c r="I692" i="3"/>
  <c r="C692" i="3"/>
  <c r="B692" i="3"/>
  <c r="V691" i="3"/>
  <c r="T691" i="3"/>
  <c r="W691" i="3" s="1"/>
  <c r="J691" i="3"/>
  <c r="I691" i="3"/>
  <c r="C691" i="3"/>
  <c r="B691" i="3"/>
  <c r="V690" i="3"/>
  <c r="T690" i="3"/>
  <c r="W690" i="3" s="1"/>
  <c r="J690" i="3"/>
  <c r="I690" i="3"/>
  <c r="C690" i="3"/>
  <c r="B690" i="3"/>
  <c r="V689" i="3"/>
  <c r="T689" i="3"/>
  <c r="W689" i="3" s="1"/>
  <c r="J689" i="3"/>
  <c r="I689" i="3"/>
  <c r="C689" i="3"/>
  <c r="B689" i="3"/>
  <c r="V688" i="3"/>
  <c r="T688" i="3"/>
  <c r="W688" i="3" s="1"/>
  <c r="J688" i="3"/>
  <c r="I688" i="3"/>
  <c r="C688" i="3"/>
  <c r="B688" i="3"/>
  <c r="V687" i="3"/>
  <c r="T687" i="3"/>
  <c r="W687" i="3" s="1"/>
  <c r="J687" i="3"/>
  <c r="I687" i="3"/>
  <c r="C687" i="3"/>
  <c r="B687" i="3"/>
  <c r="V686" i="3"/>
  <c r="T686" i="3"/>
  <c r="W686" i="3" s="1"/>
  <c r="J686" i="3"/>
  <c r="I686" i="3"/>
  <c r="C686" i="3"/>
  <c r="B686" i="3"/>
  <c r="V685" i="3"/>
  <c r="T685" i="3"/>
  <c r="W685" i="3" s="1"/>
  <c r="J685" i="3"/>
  <c r="I685" i="3"/>
  <c r="C685" i="3"/>
  <c r="B685" i="3"/>
  <c r="V684" i="3"/>
  <c r="T684" i="3"/>
  <c r="W684" i="3" s="1"/>
  <c r="J684" i="3"/>
  <c r="I684" i="3"/>
  <c r="C684" i="3"/>
  <c r="B684" i="3"/>
  <c r="V683" i="3"/>
  <c r="T683" i="3"/>
  <c r="W683" i="3" s="1"/>
  <c r="J683" i="3"/>
  <c r="I683" i="3"/>
  <c r="C683" i="3"/>
  <c r="B683" i="3"/>
  <c r="V682" i="3"/>
  <c r="T682" i="3"/>
  <c r="W682" i="3" s="1"/>
  <c r="J682" i="3"/>
  <c r="I682" i="3"/>
  <c r="C682" i="3"/>
  <c r="B682" i="3"/>
  <c r="V681" i="3"/>
  <c r="T681" i="3"/>
  <c r="W681" i="3" s="1"/>
  <c r="J681" i="3"/>
  <c r="I681" i="3"/>
  <c r="C681" i="3"/>
  <c r="B681" i="3"/>
  <c r="V680" i="3"/>
  <c r="T680" i="3"/>
  <c r="W680" i="3" s="1"/>
  <c r="J680" i="3"/>
  <c r="I680" i="3"/>
  <c r="C680" i="3"/>
  <c r="B680" i="3"/>
  <c r="V679" i="3"/>
  <c r="T679" i="3"/>
  <c r="W679" i="3" s="1"/>
  <c r="J679" i="3"/>
  <c r="I679" i="3"/>
  <c r="C679" i="3"/>
  <c r="B679" i="3"/>
  <c r="V678" i="3"/>
  <c r="T678" i="3"/>
  <c r="W678" i="3" s="1"/>
  <c r="J678" i="3"/>
  <c r="I678" i="3"/>
  <c r="C678" i="3"/>
  <c r="B678" i="3"/>
  <c r="V677" i="3"/>
  <c r="T677" i="3"/>
  <c r="W677" i="3" s="1"/>
  <c r="J677" i="3"/>
  <c r="I677" i="3"/>
  <c r="C677" i="3"/>
  <c r="B677" i="3"/>
  <c r="V676" i="3"/>
  <c r="T676" i="3"/>
  <c r="W676" i="3" s="1"/>
  <c r="J676" i="3"/>
  <c r="I676" i="3"/>
  <c r="C676" i="3"/>
  <c r="B676" i="3"/>
  <c r="V675" i="3"/>
  <c r="T675" i="3"/>
  <c r="W675" i="3" s="1"/>
  <c r="J675" i="3"/>
  <c r="I675" i="3"/>
  <c r="C675" i="3"/>
  <c r="B675" i="3"/>
  <c r="V674" i="3"/>
  <c r="T674" i="3"/>
  <c r="W674" i="3" s="1"/>
  <c r="J674" i="3"/>
  <c r="I674" i="3"/>
  <c r="C674" i="3"/>
  <c r="B674" i="3"/>
  <c r="V673" i="3"/>
  <c r="T673" i="3"/>
  <c r="W673" i="3" s="1"/>
  <c r="J673" i="3"/>
  <c r="I673" i="3"/>
  <c r="C673" i="3"/>
  <c r="B673" i="3"/>
  <c r="V672" i="3"/>
  <c r="T672" i="3"/>
  <c r="W672" i="3" s="1"/>
  <c r="J672" i="3"/>
  <c r="I672" i="3"/>
  <c r="C672" i="3"/>
  <c r="B672" i="3"/>
  <c r="V671" i="3"/>
  <c r="T671" i="3"/>
  <c r="W671" i="3" s="1"/>
  <c r="C671" i="3"/>
  <c r="B671" i="3"/>
  <c r="V651" i="3"/>
  <c r="F651" i="3"/>
  <c r="E651" i="3"/>
  <c r="D651" i="3"/>
  <c r="B651" i="3"/>
  <c r="T648" i="3"/>
  <c r="V646" i="3"/>
  <c r="V644" i="3"/>
  <c r="T644" i="3"/>
  <c r="W644" i="3" s="1"/>
  <c r="J644" i="3"/>
  <c r="I644" i="3"/>
  <c r="C644" i="3"/>
  <c r="B644" i="3"/>
  <c r="V643" i="3"/>
  <c r="T643" i="3"/>
  <c r="W643" i="3" s="1"/>
  <c r="J643" i="3"/>
  <c r="I643" i="3"/>
  <c r="C643" i="3"/>
  <c r="B643" i="3"/>
  <c r="V642" i="3"/>
  <c r="T642" i="3"/>
  <c r="W642" i="3" s="1"/>
  <c r="J642" i="3"/>
  <c r="I642" i="3"/>
  <c r="C642" i="3"/>
  <c r="B642" i="3"/>
  <c r="V641" i="3"/>
  <c r="T641" i="3"/>
  <c r="W641" i="3" s="1"/>
  <c r="J641" i="3"/>
  <c r="I641" i="3"/>
  <c r="C641" i="3"/>
  <c r="B641" i="3"/>
  <c r="V640" i="3"/>
  <c r="T640" i="3"/>
  <c r="W640" i="3" s="1"/>
  <c r="J640" i="3"/>
  <c r="I640" i="3"/>
  <c r="C640" i="3"/>
  <c r="B640" i="3"/>
  <c r="V639" i="3"/>
  <c r="T639" i="3"/>
  <c r="W639" i="3" s="1"/>
  <c r="J639" i="3"/>
  <c r="I639" i="3"/>
  <c r="C639" i="3"/>
  <c r="B639" i="3"/>
  <c r="V638" i="3"/>
  <c r="T638" i="3"/>
  <c r="W638" i="3" s="1"/>
  <c r="J638" i="3"/>
  <c r="I638" i="3"/>
  <c r="C638" i="3"/>
  <c r="B638" i="3"/>
  <c r="V637" i="3"/>
  <c r="T637" i="3"/>
  <c r="W637" i="3" s="1"/>
  <c r="J637" i="3"/>
  <c r="I637" i="3"/>
  <c r="C637" i="3"/>
  <c r="B637" i="3"/>
  <c r="V636" i="3"/>
  <c r="T636" i="3"/>
  <c r="W636" i="3" s="1"/>
  <c r="J636" i="3"/>
  <c r="I636" i="3"/>
  <c r="C636" i="3"/>
  <c r="B636" i="3"/>
  <c r="V635" i="3"/>
  <c r="T635" i="3"/>
  <c r="W635" i="3" s="1"/>
  <c r="J635" i="3"/>
  <c r="I635" i="3"/>
  <c r="C635" i="3"/>
  <c r="B635" i="3"/>
  <c r="V634" i="3"/>
  <c r="T634" i="3"/>
  <c r="W634" i="3" s="1"/>
  <c r="J634" i="3"/>
  <c r="I634" i="3"/>
  <c r="C634" i="3"/>
  <c r="B634" i="3"/>
  <c r="V633" i="3"/>
  <c r="T633" i="3"/>
  <c r="W633" i="3" s="1"/>
  <c r="J633" i="3"/>
  <c r="I633" i="3"/>
  <c r="C633" i="3"/>
  <c r="B633" i="3"/>
  <c r="V632" i="3"/>
  <c r="T632" i="3"/>
  <c r="W632" i="3" s="1"/>
  <c r="J632" i="3"/>
  <c r="I632" i="3"/>
  <c r="C632" i="3"/>
  <c r="B632" i="3"/>
  <c r="V631" i="3"/>
  <c r="T631" i="3"/>
  <c r="W631" i="3" s="1"/>
  <c r="J631" i="3"/>
  <c r="I631" i="3"/>
  <c r="C631" i="3"/>
  <c r="B631" i="3"/>
  <c r="V630" i="3"/>
  <c r="T630" i="3"/>
  <c r="W630" i="3" s="1"/>
  <c r="J630" i="3"/>
  <c r="I630" i="3"/>
  <c r="C630" i="3"/>
  <c r="B630" i="3"/>
  <c r="V629" i="3"/>
  <c r="T629" i="3"/>
  <c r="W629" i="3" s="1"/>
  <c r="J629" i="3"/>
  <c r="I629" i="3"/>
  <c r="C629" i="3"/>
  <c r="B629" i="3"/>
  <c r="V628" i="3"/>
  <c r="T628" i="3"/>
  <c r="W628" i="3" s="1"/>
  <c r="J628" i="3"/>
  <c r="I628" i="3"/>
  <c r="C628" i="3"/>
  <c r="B628" i="3"/>
  <c r="V627" i="3"/>
  <c r="T627" i="3"/>
  <c r="W627" i="3" s="1"/>
  <c r="J627" i="3"/>
  <c r="I627" i="3"/>
  <c r="C627" i="3"/>
  <c r="B627" i="3"/>
  <c r="V626" i="3"/>
  <c r="T626" i="3"/>
  <c r="W626" i="3" s="1"/>
  <c r="J626" i="3"/>
  <c r="I626" i="3"/>
  <c r="C626" i="3"/>
  <c r="B626" i="3"/>
  <c r="V625" i="3"/>
  <c r="T625" i="3"/>
  <c r="W625" i="3" s="1"/>
  <c r="J625" i="3"/>
  <c r="I625" i="3"/>
  <c r="C625" i="3"/>
  <c r="B625" i="3"/>
  <c r="V624" i="3"/>
  <c r="T624" i="3"/>
  <c r="W624" i="3" s="1"/>
  <c r="J624" i="3"/>
  <c r="I624" i="3"/>
  <c r="C624" i="3"/>
  <c r="B624" i="3"/>
  <c r="V623" i="3"/>
  <c r="T623" i="3"/>
  <c r="W623" i="3" s="1"/>
  <c r="J623" i="3"/>
  <c r="I623" i="3"/>
  <c r="C623" i="3"/>
  <c r="B623" i="3"/>
  <c r="V622" i="3"/>
  <c r="T622" i="3"/>
  <c r="W622" i="3" s="1"/>
  <c r="J622" i="3"/>
  <c r="I622" i="3"/>
  <c r="C622" i="3"/>
  <c r="B622" i="3"/>
  <c r="V621" i="3"/>
  <c r="T621" i="3"/>
  <c r="W621" i="3" s="1"/>
  <c r="J621" i="3"/>
  <c r="I621" i="3"/>
  <c r="C621" i="3"/>
  <c r="B621" i="3"/>
  <c r="V620" i="3"/>
  <c r="T620" i="3"/>
  <c r="W620" i="3" s="1"/>
  <c r="J620" i="3"/>
  <c r="I620" i="3"/>
  <c r="C620" i="3"/>
  <c r="B620" i="3"/>
  <c r="V619" i="3"/>
  <c r="T619" i="3"/>
  <c r="W619" i="3" s="1"/>
  <c r="J619" i="3"/>
  <c r="I619" i="3"/>
  <c r="C619" i="3"/>
  <c r="B619" i="3"/>
  <c r="V618" i="3"/>
  <c r="T618" i="3"/>
  <c r="W618" i="3" s="1"/>
  <c r="J618" i="3"/>
  <c r="I618" i="3"/>
  <c r="C618" i="3"/>
  <c r="B618" i="3"/>
  <c r="V617" i="3"/>
  <c r="T617" i="3"/>
  <c r="W617" i="3" s="1"/>
  <c r="J617" i="3"/>
  <c r="I617" i="3"/>
  <c r="C617" i="3"/>
  <c r="B617" i="3"/>
  <c r="V616" i="3"/>
  <c r="T616" i="3"/>
  <c r="W616" i="3" s="1"/>
  <c r="J616" i="3"/>
  <c r="I616" i="3"/>
  <c r="C616" i="3"/>
  <c r="B616" i="3"/>
  <c r="V615" i="3"/>
  <c r="T615" i="3"/>
  <c r="W615" i="3" s="1"/>
  <c r="J615" i="3"/>
  <c r="I615" i="3"/>
  <c r="C615" i="3"/>
  <c r="B615" i="3"/>
  <c r="V614" i="3"/>
  <c r="T614" i="3"/>
  <c r="W614" i="3" s="1"/>
  <c r="J614" i="3"/>
  <c r="I614" i="3"/>
  <c r="C614" i="3"/>
  <c r="B614" i="3"/>
  <c r="V613" i="3"/>
  <c r="T613" i="3"/>
  <c r="W613" i="3" s="1"/>
  <c r="J613" i="3"/>
  <c r="I613" i="3"/>
  <c r="C613" i="3"/>
  <c r="B613" i="3"/>
  <c r="V612" i="3"/>
  <c r="T612" i="3"/>
  <c r="W612" i="3" s="1"/>
  <c r="J612" i="3"/>
  <c r="I612" i="3"/>
  <c r="C612" i="3"/>
  <c r="B612" i="3"/>
  <c r="V611" i="3"/>
  <c r="T611" i="3"/>
  <c r="W611" i="3" s="1"/>
  <c r="J611" i="3"/>
  <c r="I611" i="3"/>
  <c r="C611" i="3"/>
  <c r="B611" i="3"/>
  <c r="V610" i="3"/>
  <c r="T610" i="3"/>
  <c r="W610" i="3" s="1"/>
  <c r="J610" i="3"/>
  <c r="I610" i="3"/>
  <c r="C610" i="3"/>
  <c r="B610" i="3"/>
  <c r="V609" i="3"/>
  <c r="T609" i="3"/>
  <c r="W609" i="3" s="1"/>
  <c r="J609" i="3"/>
  <c r="I609" i="3"/>
  <c r="C609" i="3"/>
  <c r="B609" i="3"/>
  <c r="V608" i="3"/>
  <c r="T608" i="3"/>
  <c r="W608" i="3" s="1"/>
  <c r="J608" i="3"/>
  <c r="I608" i="3"/>
  <c r="C608" i="3"/>
  <c r="B608" i="3"/>
  <c r="V607" i="3"/>
  <c r="T607" i="3"/>
  <c r="W607" i="3" s="1"/>
  <c r="J607" i="3"/>
  <c r="I607" i="3"/>
  <c r="C607" i="3"/>
  <c r="B607" i="3"/>
  <c r="V606" i="3"/>
  <c r="T606" i="3"/>
  <c r="W606" i="3" s="1"/>
  <c r="J606" i="3"/>
  <c r="I606" i="3"/>
  <c r="C606" i="3"/>
  <c r="B606" i="3"/>
  <c r="V605" i="3"/>
  <c r="T605" i="3"/>
  <c r="W605" i="3" s="1"/>
  <c r="J605" i="3"/>
  <c r="I605" i="3"/>
  <c r="C605" i="3"/>
  <c r="B605" i="3"/>
  <c r="V604" i="3"/>
  <c r="T604" i="3"/>
  <c r="W604" i="3" s="1"/>
  <c r="J604" i="3"/>
  <c r="I604" i="3"/>
  <c r="C604" i="3"/>
  <c r="B604" i="3"/>
  <c r="V603" i="3"/>
  <c r="T603" i="3"/>
  <c r="W603" i="3" s="1"/>
  <c r="J603" i="3"/>
  <c r="I603" i="3"/>
  <c r="C603" i="3"/>
  <c r="B603" i="3"/>
  <c r="V602" i="3"/>
  <c r="T602" i="3"/>
  <c r="W602" i="3" s="1"/>
  <c r="J602" i="3"/>
  <c r="I602" i="3"/>
  <c r="C602" i="3"/>
  <c r="B602" i="3"/>
  <c r="V601" i="3"/>
  <c r="T601" i="3"/>
  <c r="W601" i="3" s="1"/>
  <c r="J601" i="3"/>
  <c r="I601" i="3"/>
  <c r="C601" i="3"/>
  <c r="B601" i="3"/>
  <c r="V600" i="3"/>
  <c r="T600" i="3"/>
  <c r="W600" i="3" s="1"/>
  <c r="J600" i="3"/>
  <c r="I600" i="3"/>
  <c r="C600" i="3"/>
  <c r="B600" i="3"/>
  <c r="V599" i="3"/>
  <c r="T599" i="3"/>
  <c r="W599" i="3" s="1"/>
  <c r="J599" i="3"/>
  <c r="I599" i="3"/>
  <c r="C599" i="3"/>
  <c r="B599" i="3"/>
  <c r="V598" i="3"/>
  <c r="T598" i="3"/>
  <c r="W598" i="3" s="1"/>
  <c r="J598" i="3"/>
  <c r="I598" i="3"/>
  <c r="C598" i="3"/>
  <c r="B598" i="3"/>
  <c r="V597" i="3"/>
  <c r="T597" i="3"/>
  <c r="W597" i="3" s="1"/>
  <c r="J597" i="3"/>
  <c r="I597" i="3"/>
  <c r="C597" i="3"/>
  <c r="B597" i="3"/>
  <c r="V596" i="3"/>
  <c r="T596" i="3"/>
  <c r="W596" i="3" s="1"/>
  <c r="J596" i="3"/>
  <c r="I596" i="3"/>
  <c r="C596" i="3"/>
  <c r="B596" i="3"/>
  <c r="V595" i="3"/>
  <c r="T595" i="3"/>
  <c r="W595" i="3" s="1"/>
  <c r="J595" i="3"/>
  <c r="I595" i="3"/>
  <c r="C595" i="3"/>
  <c r="B595" i="3"/>
  <c r="V594" i="3"/>
  <c r="T594" i="3"/>
  <c r="W594" i="3" s="1"/>
  <c r="J594" i="3"/>
  <c r="I594" i="3"/>
  <c r="C594" i="3"/>
  <c r="B594" i="3"/>
  <c r="V593" i="3"/>
  <c r="T593" i="3"/>
  <c r="W593" i="3" s="1"/>
  <c r="J593" i="3"/>
  <c r="I593" i="3"/>
  <c r="C593" i="3"/>
  <c r="B593" i="3"/>
  <c r="V592" i="3"/>
  <c r="T592" i="3"/>
  <c r="W592" i="3" s="1"/>
  <c r="J592" i="3"/>
  <c r="I592" i="3"/>
  <c r="C592" i="3"/>
  <c r="B592" i="3"/>
  <c r="V591" i="3"/>
  <c r="T591" i="3"/>
  <c r="W591" i="3" s="1"/>
  <c r="J591" i="3"/>
  <c r="I591" i="3"/>
  <c r="C591" i="3"/>
  <c r="B591" i="3"/>
  <c r="V590" i="3"/>
  <c r="T590" i="3"/>
  <c r="W590" i="3" s="1"/>
  <c r="J590" i="3"/>
  <c r="I590" i="3"/>
  <c r="C590" i="3"/>
  <c r="B590" i="3"/>
  <c r="V589" i="3"/>
  <c r="T589" i="3"/>
  <c r="W589" i="3" s="1"/>
  <c r="J589" i="3"/>
  <c r="I589" i="3"/>
  <c r="C589" i="3"/>
  <c r="B589" i="3"/>
  <c r="V588" i="3"/>
  <c r="T588" i="3"/>
  <c r="W588" i="3" s="1"/>
  <c r="J588" i="3"/>
  <c r="I588" i="3"/>
  <c r="C588" i="3"/>
  <c r="B588" i="3"/>
  <c r="V587" i="3"/>
  <c r="T587" i="3"/>
  <c r="W587" i="3" s="1"/>
  <c r="J587" i="3"/>
  <c r="I587" i="3"/>
  <c r="C587" i="3"/>
  <c r="B587" i="3"/>
  <c r="V586" i="3"/>
  <c r="T586" i="3"/>
  <c r="W586" i="3" s="1"/>
  <c r="J586" i="3"/>
  <c r="I586" i="3"/>
  <c r="C586" i="3"/>
  <c r="B586" i="3"/>
  <c r="V585" i="3"/>
  <c r="T585" i="3"/>
  <c r="W585" i="3" s="1"/>
  <c r="J585" i="3"/>
  <c r="I585" i="3"/>
  <c r="C585" i="3"/>
  <c r="B585" i="3"/>
  <c r="V584" i="3"/>
  <c r="T584" i="3"/>
  <c r="W584" i="3" s="1"/>
  <c r="J584" i="3"/>
  <c r="I584" i="3"/>
  <c r="C584" i="3"/>
  <c r="B584" i="3"/>
  <c r="V583" i="3"/>
  <c r="T583" i="3"/>
  <c r="W583" i="3" s="1"/>
  <c r="J583" i="3"/>
  <c r="I583" i="3"/>
  <c r="C583" i="3"/>
  <c r="B583" i="3"/>
  <c r="V582" i="3"/>
  <c r="T582" i="3"/>
  <c r="W582" i="3" s="1"/>
  <c r="J582" i="3"/>
  <c r="I582" i="3"/>
  <c r="C582" i="3"/>
  <c r="B582" i="3"/>
  <c r="V581" i="3"/>
  <c r="T581" i="3"/>
  <c r="W581" i="3" s="1"/>
  <c r="J581" i="3"/>
  <c r="I581" i="3"/>
  <c r="C581" i="3"/>
  <c r="B581" i="3"/>
  <c r="V580" i="3"/>
  <c r="T580" i="3"/>
  <c r="W580" i="3" s="1"/>
  <c r="J580" i="3"/>
  <c r="I580" i="3"/>
  <c r="C580" i="3"/>
  <c r="B580" i="3"/>
  <c r="V579" i="3"/>
  <c r="T579" i="3"/>
  <c r="W579" i="3" s="1"/>
  <c r="C579" i="3"/>
  <c r="B579" i="3"/>
  <c r="V559" i="3"/>
  <c r="F559" i="3"/>
  <c r="E559" i="3"/>
  <c r="D559" i="3"/>
  <c r="B559" i="3"/>
  <c r="T556" i="3"/>
  <c r="V554" i="3"/>
  <c r="V552" i="3"/>
  <c r="T552" i="3"/>
  <c r="W552" i="3" s="1"/>
  <c r="J552" i="3"/>
  <c r="I552" i="3"/>
  <c r="C552" i="3"/>
  <c r="B552" i="3"/>
  <c r="V551" i="3"/>
  <c r="T551" i="3"/>
  <c r="W551" i="3" s="1"/>
  <c r="J551" i="3"/>
  <c r="I551" i="3"/>
  <c r="C551" i="3"/>
  <c r="B551" i="3"/>
  <c r="V550" i="3"/>
  <c r="T550" i="3"/>
  <c r="W550" i="3" s="1"/>
  <c r="J550" i="3"/>
  <c r="I550" i="3"/>
  <c r="C550" i="3"/>
  <c r="B550" i="3"/>
  <c r="V549" i="3"/>
  <c r="T549" i="3"/>
  <c r="W549" i="3" s="1"/>
  <c r="J549" i="3"/>
  <c r="I549" i="3"/>
  <c r="C549" i="3"/>
  <c r="B549" i="3"/>
  <c r="V548" i="3"/>
  <c r="T548" i="3"/>
  <c r="W548" i="3" s="1"/>
  <c r="J548" i="3"/>
  <c r="I548" i="3"/>
  <c r="C548" i="3"/>
  <c r="B548" i="3"/>
  <c r="V547" i="3"/>
  <c r="T547" i="3"/>
  <c r="W547" i="3" s="1"/>
  <c r="J547" i="3"/>
  <c r="I547" i="3"/>
  <c r="C547" i="3"/>
  <c r="B547" i="3"/>
  <c r="V546" i="3"/>
  <c r="T546" i="3"/>
  <c r="W546" i="3" s="1"/>
  <c r="J546" i="3"/>
  <c r="I546" i="3"/>
  <c r="C546" i="3"/>
  <c r="B546" i="3"/>
  <c r="V545" i="3"/>
  <c r="T545" i="3"/>
  <c r="W545" i="3" s="1"/>
  <c r="J545" i="3"/>
  <c r="I545" i="3"/>
  <c r="C545" i="3"/>
  <c r="B545" i="3"/>
  <c r="V544" i="3"/>
  <c r="T544" i="3"/>
  <c r="W544" i="3" s="1"/>
  <c r="J544" i="3"/>
  <c r="I544" i="3"/>
  <c r="C544" i="3"/>
  <c r="B544" i="3"/>
  <c r="V543" i="3"/>
  <c r="T543" i="3"/>
  <c r="W543" i="3" s="1"/>
  <c r="J543" i="3"/>
  <c r="I543" i="3"/>
  <c r="C543" i="3"/>
  <c r="B543" i="3"/>
  <c r="V542" i="3"/>
  <c r="T542" i="3"/>
  <c r="W542" i="3" s="1"/>
  <c r="J542" i="3"/>
  <c r="I542" i="3"/>
  <c r="C542" i="3"/>
  <c r="B542" i="3"/>
  <c r="V541" i="3"/>
  <c r="T541" i="3"/>
  <c r="W541" i="3" s="1"/>
  <c r="J541" i="3"/>
  <c r="I541" i="3"/>
  <c r="C541" i="3"/>
  <c r="B541" i="3"/>
  <c r="V540" i="3"/>
  <c r="T540" i="3"/>
  <c r="W540" i="3" s="1"/>
  <c r="J540" i="3"/>
  <c r="I540" i="3"/>
  <c r="C540" i="3"/>
  <c r="B540" i="3"/>
  <c r="V539" i="3"/>
  <c r="T539" i="3"/>
  <c r="W539" i="3" s="1"/>
  <c r="J539" i="3"/>
  <c r="I539" i="3"/>
  <c r="C539" i="3"/>
  <c r="B539" i="3"/>
  <c r="V538" i="3"/>
  <c r="T538" i="3"/>
  <c r="W538" i="3" s="1"/>
  <c r="J538" i="3"/>
  <c r="I538" i="3"/>
  <c r="C538" i="3"/>
  <c r="B538" i="3"/>
  <c r="V537" i="3"/>
  <c r="T537" i="3"/>
  <c r="W537" i="3" s="1"/>
  <c r="J537" i="3"/>
  <c r="I537" i="3"/>
  <c r="C537" i="3"/>
  <c r="B537" i="3"/>
  <c r="V536" i="3"/>
  <c r="T536" i="3"/>
  <c r="W536" i="3" s="1"/>
  <c r="J536" i="3"/>
  <c r="I536" i="3"/>
  <c r="C536" i="3"/>
  <c r="B536" i="3"/>
  <c r="V535" i="3"/>
  <c r="T535" i="3"/>
  <c r="W535" i="3" s="1"/>
  <c r="J535" i="3"/>
  <c r="I535" i="3"/>
  <c r="C535" i="3"/>
  <c r="B535" i="3"/>
  <c r="V534" i="3"/>
  <c r="T534" i="3"/>
  <c r="W534" i="3" s="1"/>
  <c r="J534" i="3"/>
  <c r="I534" i="3"/>
  <c r="C534" i="3"/>
  <c r="B534" i="3"/>
  <c r="V533" i="3"/>
  <c r="T533" i="3"/>
  <c r="W533" i="3" s="1"/>
  <c r="J533" i="3"/>
  <c r="I533" i="3"/>
  <c r="C533" i="3"/>
  <c r="B533" i="3"/>
  <c r="V532" i="3"/>
  <c r="T532" i="3"/>
  <c r="W532" i="3" s="1"/>
  <c r="J532" i="3"/>
  <c r="I532" i="3"/>
  <c r="C532" i="3"/>
  <c r="B532" i="3"/>
  <c r="V531" i="3"/>
  <c r="T531" i="3"/>
  <c r="W531" i="3" s="1"/>
  <c r="J531" i="3"/>
  <c r="I531" i="3"/>
  <c r="C531" i="3"/>
  <c r="B531" i="3"/>
  <c r="V530" i="3"/>
  <c r="T530" i="3"/>
  <c r="W530" i="3" s="1"/>
  <c r="J530" i="3"/>
  <c r="I530" i="3"/>
  <c r="C530" i="3"/>
  <c r="B530" i="3"/>
  <c r="V529" i="3"/>
  <c r="T529" i="3"/>
  <c r="W529" i="3" s="1"/>
  <c r="J529" i="3"/>
  <c r="I529" i="3"/>
  <c r="C529" i="3"/>
  <c r="B529" i="3"/>
  <c r="V528" i="3"/>
  <c r="T528" i="3"/>
  <c r="W528" i="3" s="1"/>
  <c r="J528" i="3"/>
  <c r="I528" i="3"/>
  <c r="C528" i="3"/>
  <c r="B528" i="3"/>
  <c r="V527" i="3"/>
  <c r="T527" i="3"/>
  <c r="W527" i="3" s="1"/>
  <c r="J527" i="3"/>
  <c r="I527" i="3"/>
  <c r="C527" i="3"/>
  <c r="B527" i="3"/>
  <c r="V526" i="3"/>
  <c r="T526" i="3"/>
  <c r="W526" i="3" s="1"/>
  <c r="J526" i="3"/>
  <c r="I526" i="3"/>
  <c r="C526" i="3"/>
  <c r="B526" i="3"/>
  <c r="V525" i="3"/>
  <c r="T525" i="3"/>
  <c r="W525" i="3" s="1"/>
  <c r="J525" i="3"/>
  <c r="I525" i="3"/>
  <c r="C525" i="3"/>
  <c r="B525" i="3"/>
  <c r="V524" i="3"/>
  <c r="T524" i="3"/>
  <c r="W524" i="3" s="1"/>
  <c r="J524" i="3"/>
  <c r="I524" i="3"/>
  <c r="C524" i="3"/>
  <c r="B524" i="3"/>
  <c r="V523" i="3"/>
  <c r="T523" i="3"/>
  <c r="W523" i="3" s="1"/>
  <c r="J523" i="3"/>
  <c r="I523" i="3"/>
  <c r="C523" i="3"/>
  <c r="B523" i="3"/>
  <c r="V522" i="3"/>
  <c r="T522" i="3"/>
  <c r="W522" i="3" s="1"/>
  <c r="J522" i="3"/>
  <c r="I522" i="3"/>
  <c r="C522" i="3"/>
  <c r="B522" i="3"/>
  <c r="V521" i="3"/>
  <c r="T521" i="3"/>
  <c r="W521" i="3" s="1"/>
  <c r="J521" i="3"/>
  <c r="I521" i="3"/>
  <c r="C521" i="3"/>
  <c r="B521" i="3"/>
  <c r="V520" i="3"/>
  <c r="T520" i="3"/>
  <c r="W520" i="3" s="1"/>
  <c r="J520" i="3"/>
  <c r="I520" i="3"/>
  <c r="C520" i="3"/>
  <c r="B520" i="3"/>
  <c r="V519" i="3"/>
  <c r="T519" i="3"/>
  <c r="W519" i="3" s="1"/>
  <c r="J519" i="3"/>
  <c r="I519" i="3"/>
  <c r="C519" i="3"/>
  <c r="B519" i="3"/>
  <c r="V518" i="3"/>
  <c r="T518" i="3"/>
  <c r="W518" i="3" s="1"/>
  <c r="J518" i="3"/>
  <c r="I518" i="3"/>
  <c r="C518" i="3"/>
  <c r="B518" i="3"/>
  <c r="V517" i="3"/>
  <c r="T517" i="3"/>
  <c r="W517" i="3" s="1"/>
  <c r="J517" i="3"/>
  <c r="I517" i="3"/>
  <c r="C517" i="3"/>
  <c r="B517" i="3"/>
  <c r="V516" i="3"/>
  <c r="T516" i="3"/>
  <c r="W516" i="3" s="1"/>
  <c r="J516" i="3"/>
  <c r="I516" i="3"/>
  <c r="C516" i="3"/>
  <c r="B516" i="3"/>
  <c r="V515" i="3"/>
  <c r="T515" i="3"/>
  <c r="W515" i="3" s="1"/>
  <c r="J515" i="3"/>
  <c r="I515" i="3"/>
  <c r="C515" i="3"/>
  <c r="B515" i="3"/>
  <c r="V514" i="3"/>
  <c r="T514" i="3"/>
  <c r="W514" i="3" s="1"/>
  <c r="J514" i="3"/>
  <c r="I514" i="3"/>
  <c r="C514" i="3"/>
  <c r="B514" i="3"/>
  <c r="V513" i="3"/>
  <c r="T513" i="3"/>
  <c r="W513" i="3" s="1"/>
  <c r="J513" i="3"/>
  <c r="I513" i="3"/>
  <c r="C513" i="3"/>
  <c r="B513" i="3"/>
  <c r="V512" i="3"/>
  <c r="T512" i="3"/>
  <c r="W512" i="3" s="1"/>
  <c r="J512" i="3"/>
  <c r="I512" i="3"/>
  <c r="C512" i="3"/>
  <c r="B512" i="3"/>
  <c r="V511" i="3"/>
  <c r="T511" i="3"/>
  <c r="W511" i="3" s="1"/>
  <c r="J511" i="3"/>
  <c r="I511" i="3"/>
  <c r="C511" i="3"/>
  <c r="B511" i="3"/>
  <c r="V510" i="3"/>
  <c r="T510" i="3"/>
  <c r="W510" i="3" s="1"/>
  <c r="J510" i="3"/>
  <c r="I510" i="3"/>
  <c r="C510" i="3"/>
  <c r="B510" i="3"/>
  <c r="V509" i="3"/>
  <c r="T509" i="3"/>
  <c r="W509" i="3" s="1"/>
  <c r="J509" i="3"/>
  <c r="I509" i="3"/>
  <c r="C509" i="3"/>
  <c r="B509" i="3"/>
  <c r="V508" i="3"/>
  <c r="T508" i="3"/>
  <c r="W508" i="3" s="1"/>
  <c r="J508" i="3"/>
  <c r="I508" i="3"/>
  <c r="C508" i="3"/>
  <c r="B508" i="3"/>
  <c r="V507" i="3"/>
  <c r="T507" i="3"/>
  <c r="W507" i="3" s="1"/>
  <c r="J507" i="3"/>
  <c r="I507" i="3"/>
  <c r="C507" i="3"/>
  <c r="B507" i="3"/>
  <c r="V506" i="3"/>
  <c r="T506" i="3"/>
  <c r="W506" i="3" s="1"/>
  <c r="J506" i="3"/>
  <c r="I506" i="3"/>
  <c r="C506" i="3"/>
  <c r="B506" i="3"/>
  <c r="V505" i="3"/>
  <c r="T505" i="3"/>
  <c r="W505" i="3" s="1"/>
  <c r="J505" i="3"/>
  <c r="I505" i="3"/>
  <c r="C505" i="3"/>
  <c r="B505" i="3"/>
  <c r="V504" i="3"/>
  <c r="T504" i="3"/>
  <c r="W504" i="3" s="1"/>
  <c r="J504" i="3"/>
  <c r="I504" i="3"/>
  <c r="C504" i="3"/>
  <c r="B504" i="3"/>
  <c r="V503" i="3"/>
  <c r="T503" i="3"/>
  <c r="W503" i="3" s="1"/>
  <c r="J503" i="3"/>
  <c r="I503" i="3"/>
  <c r="C503" i="3"/>
  <c r="B503" i="3"/>
  <c r="V502" i="3"/>
  <c r="T502" i="3"/>
  <c r="W502" i="3" s="1"/>
  <c r="J502" i="3"/>
  <c r="I502" i="3"/>
  <c r="C502" i="3"/>
  <c r="B502" i="3"/>
  <c r="V501" i="3"/>
  <c r="T501" i="3"/>
  <c r="W501" i="3" s="1"/>
  <c r="J501" i="3"/>
  <c r="I501" i="3"/>
  <c r="C501" i="3"/>
  <c r="B501" i="3"/>
  <c r="V500" i="3"/>
  <c r="T500" i="3"/>
  <c r="W500" i="3" s="1"/>
  <c r="J500" i="3"/>
  <c r="I500" i="3"/>
  <c r="C500" i="3"/>
  <c r="B500" i="3"/>
  <c r="V499" i="3"/>
  <c r="T499" i="3"/>
  <c r="W499" i="3" s="1"/>
  <c r="J499" i="3"/>
  <c r="I499" i="3"/>
  <c r="C499" i="3"/>
  <c r="B499" i="3"/>
  <c r="V498" i="3"/>
  <c r="T498" i="3"/>
  <c r="W498" i="3" s="1"/>
  <c r="J498" i="3"/>
  <c r="I498" i="3"/>
  <c r="C498" i="3"/>
  <c r="B498" i="3"/>
  <c r="V497" i="3"/>
  <c r="T497" i="3"/>
  <c r="W497" i="3" s="1"/>
  <c r="J497" i="3"/>
  <c r="I497" i="3"/>
  <c r="C497" i="3"/>
  <c r="B497" i="3"/>
  <c r="V496" i="3"/>
  <c r="T496" i="3"/>
  <c r="W496" i="3" s="1"/>
  <c r="J496" i="3"/>
  <c r="I496" i="3"/>
  <c r="C496" i="3"/>
  <c r="B496" i="3"/>
  <c r="V495" i="3"/>
  <c r="T495" i="3"/>
  <c r="W495" i="3" s="1"/>
  <c r="J495" i="3"/>
  <c r="I495" i="3"/>
  <c r="C495" i="3"/>
  <c r="B495" i="3"/>
  <c r="V494" i="3"/>
  <c r="T494" i="3"/>
  <c r="W494" i="3" s="1"/>
  <c r="J494" i="3"/>
  <c r="I494" i="3"/>
  <c r="C494" i="3"/>
  <c r="B494" i="3"/>
  <c r="V493" i="3"/>
  <c r="T493" i="3"/>
  <c r="W493" i="3" s="1"/>
  <c r="J493" i="3"/>
  <c r="I493" i="3"/>
  <c r="C493" i="3"/>
  <c r="B493" i="3"/>
  <c r="V492" i="3"/>
  <c r="T492" i="3"/>
  <c r="W492" i="3" s="1"/>
  <c r="J492" i="3"/>
  <c r="I492" i="3"/>
  <c r="C492" i="3"/>
  <c r="B492" i="3"/>
  <c r="V491" i="3"/>
  <c r="T491" i="3"/>
  <c r="W491" i="3" s="1"/>
  <c r="J491" i="3"/>
  <c r="I491" i="3"/>
  <c r="C491" i="3"/>
  <c r="B491" i="3"/>
  <c r="V490" i="3"/>
  <c r="T490" i="3"/>
  <c r="W490" i="3" s="1"/>
  <c r="J490" i="3"/>
  <c r="I490" i="3"/>
  <c r="C490" i="3"/>
  <c r="B490" i="3"/>
  <c r="V489" i="3"/>
  <c r="T489" i="3"/>
  <c r="W489" i="3" s="1"/>
  <c r="J489" i="3"/>
  <c r="I489" i="3"/>
  <c r="C489" i="3"/>
  <c r="B489" i="3"/>
  <c r="V488" i="3"/>
  <c r="T488" i="3"/>
  <c r="W488" i="3" s="1"/>
  <c r="J488" i="3"/>
  <c r="I488" i="3"/>
  <c r="C488" i="3"/>
  <c r="B488" i="3"/>
  <c r="V487" i="3"/>
  <c r="T487" i="3"/>
  <c r="W487" i="3" s="1"/>
  <c r="C487" i="3"/>
  <c r="B487" i="3"/>
  <c r="V467" i="3"/>
  <c r="F467" i="3"/>
  <c r="E467" i="3"/>
  <c r="D467" i="3"/>
  <c r="B467" i="3"/>
  <c r="T464" i="3"/>
  <c r="V462" i="3"/>
  <c r="V460" i="3"/>
  <c r="T460" i="3"/>
  <c r="W460" i="3" s="1"/>
  <c r="J460" i="3"/>
  <c r="I460" i="3"/>
  <c r="C460" i="3"/>
  <c r="B460" i="3"/>
  <c r="V459" i="3"/>
  <c r="T459" i="3"/>
  <c r="W459" i="3" s="1"/>
  <c r="J459" i="3"/>
  <c r="I459" i="3"/>
  <c r="C459" i="3"/>
  <c r="B459" i="3"/>
  <c r="V458" i="3"/>
  <c r="T458" i="3"/>
  <c r="W458" i="3" s="1"/>
  <c r="J458" i="3"/>
  <c r="I458" i="3"/>
  <c r="C458" i="3"/>
  <c r="B458" i="3"/>
  <c r="V457" i="3"/>
  <c r="T457" i="3"/>
  <c r="W457" i="3" s="1"/>
  <c r="J457" i="3"/>
  <c r="I457" i="3"/>
  <c r="C457" i="3"/>
  <c r="B457" i="3"/>
  <c r="V456" i="3"/>
  <c r="T456" i="3"/>
  <c r="W456" i="3" s="1"/>
  <c r="J456" i="3"/>
  <c r="I456" i="3"/>
  <c r="C456" i="3"/>
  <c r="B456" i="3"/>
  <c r="V455" i="3"/>
  <c r="T455" i="3"/>
  <c r="W455" i="3" s="1"/>
  <c r="J455" i="3"/>
  <c r="I455" i="3"/>
  <c r="C455" i="3"/>
  <c r="B455" i="3"/>
  <c r="V454" i="3"/>
  <c r="T454" i="3"/>
  <c r="W454" i="3" s="1"/>
  <c r="J454" i="3"/>
  <c r="I454" i="3"/>
  <c r="C454" i="3"/>
  <c r="B454" i="3"/>
  <c r="V453" i="3"/>
  <c r="T453" i="3"/>
  <c r="W453" i="3" s="1"/>
  <c r="J453" i="3"/>
  <c r="I453" i="3"/>
  <c r="C453" i="3"/>
  <c r="B453" i="3"/>
  <c r="V452" i="3"/>
  <c r="T452" i="3"/>
  <c r="W452" i="3" s="1"/>
  <c r="J452" i="3"/>
  <c r="I452" i="3"/>
  <c r="C452" i="3"/>
  <c r="B452" i="3"/>
  <c r="V451" i="3"/>
  <c r="T451" i="3"/>
  <c r="W451" i="3" s="1"/>
  <c r="J451" i="3"/>
  <c r="I451" i="3"/>
  <c r="C451" i="3"/>
  <c r="B451" i="3"/>
  <c r="V450" i="3"/>
  <c r="T450" i="3"/>
  <c r="W450" i="3" s="1"/>
  <c r="J450" i="3"/>
  <c r="I450" i="3"/>
  <c r="C450" i="3"/>
  <c r="B450" i="3"/>
  <c r="V449" i="3"/>
  <c r="T449" i="3"/>
  <c r="W449" i="3" s="1"/>
  <c r="J449" i="3"/>
  <c r="I449" i="3"/>
  <c r="C449" i="3"/>
  <c r="B449" i="3"/>
  <c r="V448" i="3"/>
  <c r="T448" i="3"/>
  <c r="W448" i="3" s="1"/>
  <c r="J448" i="3"/>
  <c r="I448" i="3"/>
  <c r="C448" i="3"/>
  <c r="B448" i="3"/>
  <c r="V447" i="3"/>
  <c r="T447" i="3"/>
  <c r="W447" i="3" s="1"/>
  <c r="J447" i="3"/>
  <c r="I447" i="3"/>
  <c r="C447" i="3"/>
  <c r="B447" i="3"/>
  <c r="V446" i="3"/>
  <c r="T446" i="3"/>
  <c r="W446" i="3" s="1"/>
  <c r="J446" i="3"/>
  <c r="I446" i="3"/>
  <c r="C446" i="3"/>
  <c r="B446" i="3"/>
  <c r="V445" i="3"/>
  <c r="T445" i="3"/>
  <c r="W445" i="3" s="1"/>
  <c r="J445" i="3"/>
  <c r="I445" i="3"/>
  <c r="C445" i="3"/>
  <c r="B445" i="3"/>
  <c r="V444" i="3"/>
  <c r="T444" i="3"/>
  <c r="W444" i="3" s="1"/>
  <c r="J444" i="3"/>
  <c r="I444" i="3"/>
  <c r="C444" i="3"/>
  <c r="B444" i="3"/>
  <c r="V443" i="3"/>
  <c r="T443" i="3"/>
  <c r="W443" i="3" s="1"/>
  <c r="J443" i="3"/>
  <c r="I443" i="3"/>
  <c r="C443" i="3"/>
  <c r="B443" i="3"/>
  <c r="V442" i="3"/>
  <c r="T442" i="3"/>
  <c r="W442" i="3" s="1"/>
  <c r="J442" i="3"/>
  <c r="I442" i="3"/>
  <c r="C442" i="3"/>
  <c r="B442" i="3"/>
  <c r="V441" i="3"/>
  <c r="T441" i="3"/>
  <c r="W441" i="3" s="1"/>
  <c r="J441" i="3"/>
  <c r="I441" i="3"/>
  <c r="C441" i="3"/>
  <c r="B441" i="3"/>
  <c r="V440" i="3"/>
  <c r="T440" i="3"/>
  <c r="W440" i="3" s="1"/>
  <c r="J440" i="3"/>
  <c r="I440" i="3"/>
  <c r="C440" i="3"/>
  <c r="B440" i="3"/>
  <c r="V439" i="3"/>
  <c r="T439" i="3"/>
  <c r="W439" i="3" s="1"/>
  <c r="J439" i="3"/>
  <c r="I439" i="3"/>
  <c r="C439" i="3"/>
  <c r="B439" i="3"/>
  <c r="V438" i="3"/>
  <c r="T438" i="3"/>
  <c r="W438" i="3" s="1"/>
  <c r="J438" i="3"/>
  <c r="I438" i="3"/>
  <c r="C438" i="3"/>
  <c r="B438" i="3"/>
  <c r="V437" i="3"/>
  <c r="T437" i="3"/>
  <c r="W437" i="3" s="1"/>
  <c r="J437" i="3"/>
  <c r="I437" i="3"/>
  <c r="C437" i="3"/>
  <c r="B437" i="3"/>
  <c r="V436" i="3"/>
  <c r="T436" i="3"/>
  <c r="W436" i="3" s="1"/>
  <c r="J436" i="3"/>
  <c r="I436" i="3"/>
  <c r="C436" i="3"/>
  <c r="B436" i="3"/>
  <c r="V435" i="3"/>
  <c r="T435" i="3"/>
  <c r="W435" i="3" s="1"/>
  <c r="J435" i="3"/>
  <c r="I435" i="3"/>
  <c r="C435" i="3"/>
  <c r="B435" i="3"/>
  <c r="V434" i="3"/>
  <c r="T434" i="3"/>
  <c r="W434" i="3" s="1"/>
  <c r="J434" i="3"/>
  <c r="I434" i="3"/>
  <c r="C434" i="3"/>
  <c r="B434" i="3"/>
  <c r="V433" i="3"/>
  <c r="T433" i="3"/>
  <c r="W433" i="3" s="1"/>
  <c r="J433" i="3"/>
  <c r="I433" i="3"/>
  <c r="C433" i="3"/>
  <c r="B433" i="3"/>
  <c r="V432" i="3"/>
  <c r="T432" i="3"/>
  <c r="W432" i="3" s="1"/>
  <c r="J432" i="3"/>
  <c r="I432" i="3"/>
  <c r="C432" i="3"/>
  <c r="B432" i="3"/>
  <c r="V431" i="3"/>
  <c r="T431" i="3"/>
  <c r="W431" i="3" s="1"/>
  <c r="J431" i="3"/>
  <c r="I431" i="3"/>
  <c r="C431" i="3"/>
  <c r="B431" i="3"/>
  <c r="V430" i="3"/>
  <c r="T430" i="3"/>
  <c r="W430" i="3" s="1"/>
  <c r="J430" i="3"/>
  <c r="I430" i="3"/>
  <c r="C430" i="3"/>
  <c r="B430" i="3"/>
  <c r="V429" i="3"/>
  <c r="T429" i="3"/>
  <c r="W429" i="3" s="1"/>
  <c r="J429" i="3"/>
  <c r="I429" i="3"/>
  <c r="C429" i="3"/>
  <c r="B429" i="3"/>
  <c r="V428" i="3"/>
  <c r="T428" i="3"/>
  <c r="W428" i="3" s="1"/>
  <c r="J428" i="3"/>
  <c r="I428" i="3"/>
  <c r="C428" i="3"/>
  <c r="B428" i="3"/>
  <c r="V427" i="3"/>
  <c r="T427" i="3"/>
  <c r="W427" i="3" s="1"/>
  <c r="J427" i="3"/>
  <c r="I427" i="3"/>
  <c r="C427" i="3"/>
  <c r="B427" i="3"/>
  <c r="V426" i="3"/>
  <c r="T426" i="3"/>
  <c r="W426" i="3" s="1"/>
  <c r="J426" i="3"/>
  <c r="I426" i="3"/>
  <c r="C426" i="3"/>
  <c r="B426" i="3"/>
  <c r="V425" i="3"/>
  <c r="T425" i="3"/>
  <c r="W425" i="3" s="1"/>
  <c r="J425" i="3"/>
  <c r="I425" i="3"/>
  <c r="C425" i="3"/>
  <c r="B425" i="3"/>
  <c r="V424" i="3"/>
  <c r="T424" i="3"/>
  <c r="W424" i="3" s="1"/>
  <c r="J424" i="3"/>
  <c r="I424" i="3"/>
  <c r="C424" i="3"/>
  <c r="B424" i="3"/>
  <c r="V423" i="3"/>
  <c r="T423" i="3"/>
  <c r="W423" i="3" s="1"/>
  <c r="J423" i="3"/>
  <c r="I423" i="3"/>
  <c r="C423" i="3"/>
  <c r="B423" i="3"/>
  <c r="V422" i="3"/>
  <c r="T422" i="3"/>
  <c r="W422" i="3" s="1"/>
  <c r="J422" i="3"/>
  <c r="I422" i="3"/>
  <c r="C422" i="3"/>
  <c r="B422" i="3"/>
  <c r="V421" i="3"/>
  <c r="T421" i="3"/>
  <c r="W421" i="3" s="1"/>
  <c r="J421" i="3"/>
  <c r="I421" i="3"/>
  <c r="C421" i="3"/>
  <c r="B421" i="3"/>
  <c r="V420" i="3"/>
  <c r="T420" i="3"/>
  <c r="W420" i="3" s="1"/>
  <c r="J420" i="3"/>
  <c r="I420" i="3"/>
  <c r="C420" i="3"/>
  <c r="B420" i="3"/>
  <c r="V419" i="3"/>
  <c r="T419" i="3"/>
  <c r="W419" i="3" s="1"/>
  <c r="J419" i="3"/>
  <c r="I419" i="3"/>
  <c r="C419" i="3"/>
  <c r="B419" i="3"/>
  <c r="V418" i="3"/>
  <c r="T418" i="3"/>
  <c r="W418" i="3" s="1"/>
  <c r="J418" i="3"/>
  <c r="I418" i="3"/>
  <c r="C418" i="3"/>
  <c r="B418" i="3"/>
  <c r="V417" i="3"/>
  <c r="T417" i="3"/>
  <c r="W417" i="3" s="1"/>
  <c r="J417" i="3"/>
  <c r="I417" i="3"/>
  <c r="C417" i="3"/>
  <c r="B417" i="3"/>
  <c r="V416" i="3"/>
  <c r="T416" i="3"/>
  <c r="W416" i="3" s="1"/>
  <c r="J416" i="3"/>
  <c r="I416" i="3"/>
  <c r="C416" i="3"/>
  <c r="B416" i="3"/>
  <c r="V415" i="3"/>
  <c r="T415" i="3"/>
  <c r="W415" i="3" s="1"/>
  <c r="J415" i="3"/>
  <c r="I415" i="3"/>
  <c r="C415" i="3"/>
  <c r="B415" i="3"/>
  <c r="V414" i="3"/>
  <c r="T414" i="3"/>
  <c r="W414" i="3" s="1"/>
  <c r="J414" i="3"/>
  <c r="I414" i="3"/>
  <c r="C414" i="3"/>
  <c r="B414" i="3"/>
  <c r="V413" i="3"/>
  <c r="T413" i="3"/>
  <c r="W413" i="3" s="1"/>
  <c r="J413" i="3"/>
  <c r="I413" i="3"/>
  <c r="C413" i="3"/>
  <c r="B413" i="3"/>
  <c r="V412" i="3"/>
  <c r="T412" i="3"/>
  <c r="W412" i="3" s="1"/>
  <c r="J412" i="3"/>
  <c r="I412" i="3"/>
  <c r="C412" i="3"/>
  <c r="B412" i="3"/>
  <c r="V411" i="3"/>
  <c r="T411" i="3"/>
  <c r="W411" i="3" s="1"/>
  <c r="J411" i="3"/>
  <c r="I411" i="3"/>
  <c r="C411" i="3"/>
  <c r="B411" i="3"/>
  <c r="V410" i="3"/>
  <c r="T410" i="3"/>
  <c r="W410" i="3" s="1"/>
  <c r="J410" i="3"/>
  <c r="I410" i="3"/>
  <c r="C410" i="3"/>
  <c r="B410" i="3"/>
  <c r="V409" i="3"/>
  <c r="T409" i="3"/>
  <c r="W409" i="3" s="1"/>
  <c r="J409" i="3"/>
  <c r="I409" i="3"/>
  <c r="C409" i="3"/>
  <c r="B409" i="3"/>
  <c r="V408" i="3"/>
  <c r="T408" i="3"/>
  <c r="W408" i="3" s="1"/>
  <c r="J408" i="3"/>
  <c r="I408" i="3"/>
  <c r="C408" i="3"/>
  <c r="B408" i="3"/>
  <c r="V407" i="3"/>
  <c r="T407" i="3"/>
  <c r="W407" i="3" s="1"/>
  <c r="J407" i="3"/>
  <c r="I407" i="3"/>
  <c r="C407" i="3"/>
  <c r="B407" i="3"/>
  <c r="V406" i="3"/>
  <c r="T406" i="3"/>
  <c r="W406" i="3" s="1"/>
  <c r="J406" i="3"/>
  <c r="I406" i="3"/>
  <c r="C406" i="3"/>
  <c r="B406" i="3"/>
  <c r="V405" i="3"/>
  <c r="T405" i="3"/>
  <c r="W405" i="3" s="1"/>
  <c r="J405" i="3"/>
  <c r="I405" i="3"/>
  <c r="C405" i="3"/>
  <c r="B405" i="3"/>
  <c r="V404" i="3"/>
  <c r="T404" i="3"/>
  <c r="W404" i="3" s="1"/>
  <c r="J404" i="3"/>
  <c r="I404" i="3"/>
  <c r="C404" i="3"/>
  <c r="B404" i="3"/>
  <c r="V403" i="3"/>
  <c r="T403" i="3"/>
  <c r="W403" i="3" s="1"/>
  <c r="J403" i="3"/>
  <c r="I403" i="3"/>
  <c r="C403" i="3"/>
  <c r="B403" i="3"/>
  <c r="V402" i="3"/>
  <c r="T402" i="3"/>
  <c r="W402" i="3" s="1"/>
  <c r="J402" i="3"/>
  <c r="I402" i="3"/>
  <c r="C402" i="3"/>
  <c r="B402" i="3"/>
  <c r="V401" i="3"/>
  <c r="T401" i="3"/>
  <c r="W401" i="3" s="1"/>
  <c r="J401" i="3"/>
  <c r="I401" i="3"/>
  <c r="C401" i="3"/>
  <c r="B401" i="3"/>
  <c r="V400" i="3"/>
  <c r="T400" i="3"/>
  <c r="W400" i="3" s="1"/>
  <c r="J400" i="3"/>
  <c r="I400" i="3"/>
  <c r="C400" i="3"/>
  <c r="B400" i="3"/>
  <c r="V399" i="3"/>
  <c r="T399" i="3"/>
  <c r="W399" i="3" s="1"/>
  <c r="J399" i="3"/>
  <c r="I399" i="3"/>
  <c r="C399" i="3"/>
  <c r="B399" i="3"/>
  <c r="V398" i="3"/>
  <c r="T398" i="3"/>
  <c r="W398" i="3" s="1"/>
  <c r="J398" i="3"/>
  <c r="I398" i="3"/>
  <c r="C398" i="3"/>
  <c r="B398" i="3"/>
  <c r="V397" i="3"/>
  <c r="T397" i="3"/>
  <c r="W397" i="3" s="1"/>
  <c r="J397" i="3"/>
  <c r="I397" i="3"/>
  <c r="C397" i="3"/>
  <c r="B397" i="3"/>
  <c r="V396" i="3"/>
  <c r="T396" i="3"/>
  <c r="W396" i="3" s="1"/>
  <c r="J396" i="3"/>
  <c r="I396" i="3"/>
  <c r="C396" i="3"/>
  <c r="B396" i="3"/>
  <c r="V395" i="3"/>
  <c r="T395" i="3"/>
  <c r="W395" i="3" s="1"/>
  <c r="C395" i="3"/>
  <c r="B395" i="3"/>
  <c r="V375" i="3"/>
  <c r="F375" i="3"/>
  <c r="E375" i="3"/>
  <c r="D375" i="3"/>
  <c r="B375" i="3"/>
  <c r="T372" i="3"/>
  <c r="V370" i="3"/>
  <c r="V368" i="3"/>
  <c r="T368" i="3"/>
  <c r="W368" i="3" s="1"/>
  <c r="J368" i="3"/>
  <c r="I368" i="3"/>
  <c r="C368" i="3"/>
  <c r="B368" i="3"/>
  <c r="V367" i="3"/>
  <c r="T367" i="3"/>
  <c r="W367" i="3" s="1"/>
  <c r="J367" i="3"/>
  <c r="I367" i="3"/>
  <c r="C367" i="3"/>
  <c r="B367" i="3"/>
  <c r="V366" i="3"/>
  <c r="T366" i="3"/>
  <c r="W366" i="3" s="1"/>
  <c r="J366" i="3"/>
  <c r="I366" i="3"/>
  <c r="C366" i="3"/>
  <c r="B366" i="3"/>
  <c r="V365" i="3"/>
  <c r="T365" i="3"/>
  <c r="W365" i="3" s="1"/>
  <c r="J365" i="3"/>
  <c r="I365" i="3"/>
  <c r="C365" i="3"/>
  <c r="B365" i="3"/>
  <c r="V364" i="3"/>
  <c r="T364" i="3"/>
  <c r="W364" i="3" s="1"/>
  <c r="J364" i="3"/>
  <c r="I364" i="3"/>
  <c r="C364" i="3"/>
  <c r="B364" i="3"/>
  <c r="V363" i="3"/>
  <c r="T363" i="3"/>
  <c r="W363" i="3" s="1"/>
  <c r="J363" i="3"/>
  <c r="I363" i="3"/>
  <c r="C363" i="3"/>
  <c r="B363" i="3"/>
  <c r="V362" i="3"/>
  <c r="T362" i="3"/>
  <c r="W362" i="3" s="1"/>
  <c r="J362" i="3"/>
  <c r="I362" i="3"/>
  <c r="C362" i="3"/>
  <c r="B362" i="3"/>
  <c r="V361" i="3"/>
  <c r="T361" i="3"/>
  <c r="W361" i="3" s="1"/>
  <c r="J361" i="3"/>
  <c r="I361" i="3"/>
  <c r="C361" i="3"/>
  <c r="B361" i="3"/>
  <c r="V360" i="3"/>
  <c r="T360" i="3"/>
  <c r="W360" i="3" s="1"/>
  <c r="J360" i="3"/>
  <c r="I360" i="3"/>
  <c r="C360" i="3"/>
  <c r="B360" i="3"/>
  <c r="V359" i="3"/>
  <c r="T359" i="3"/>
  <c r="W359" i="3" s="1"/>
  <c r="J359" i="3"/>
  <c r="I359" i="3"/>
  <c r="C359" i="3"/>
  <c r="B359" i="3"/>
  <c r="V358" i="3"/>
  <c r="T358" i="3"/>
  <c r="W358" i="3" s="1"/>
  <c r="J358" i="3"/>
  <c r="I358" i="3"/>
  <c r="C358" i="3"/>
  <c r="B358" i="3"/>
  <c r="V357" i="3"/>
  <c r="T357" i="3"/>
  <c r="W357" i="3" s="1"/>
  <c r="J357" i="3"/>
  <c r="I357" i="3"/>
  <c r="C357" i="3"/>
  <c r="B357" i="3"/>
  <c r="V356" i="3"/>
  <c r="T356" i="3"/>
  <c r="W356" i="3" s="1"/>
  <c r="J356" i="3"/>
  <c r="I356" i="3"/>
  <c r="C356" i="3"/>
  <c r="B356" i="3"/>
  <c r="V355" i="3"/>
  <c r="T355" i="3"/>
  <c r="W355" i="3" s="1"/>
  <c r="J355" i="3"/>
  <c r="I355" i="3"/>
  <c r="C355" i="3"/>
  <c r="B355" i="3"/>
  <c r="V354" i="3"/>
  <c r="T354" i="3"/>
  <c r="W354" i="3" s="1"/>
  <c r="J354" i="3"/>
  <c r="I354" i="3"/>
  <c r="C354" i="3"/>
  <c r="B354" i="3"/>
  <c r="V353" i="3"/>
  <c r="T353" i="3"/>
  <c r="W353" i="3" s="1"/>
  <c r="J353" i="3"/>
  <c r="I353" i="3"/>
  <c r="C353" i="3"/>
  <c r="B353" i="3"/>
  <c r="V352" i="3"/>
  <c r="T352" i="3"/>
  <c r="W352" i="3" s="1"/>
  <c r="J352" i="3"/>
  <c r="I352" i="3"/>
  <c r="C352" i="3"/>
  <c r="B352" i="3"/>
  <c r="V351" i="3"/>
  <c r="T351" i="3"/>
  <c r="W351" i="3" s="1"/>
  <c r="J351" i="3"/>
  <c r="I351" i="3"/>
  <c r="C351" i="3"/>
  <c r="B351" i="3"/>
  <c r="V350" i="3"/>
  <c r="T350" i="3"/>
  <c r="W350" i="3" s="1"/>
  <c r="J350" i="3"/>
  <c r="I350" i="3"/>
  <c r="C350" i="3"/>
  <c r="B350" i="3"/>
  <c r="V349" i="3"/>
  <c r="T349" i="3"/>
  <c r="W349" i="3" s="1"/>
  <c r="J349" i="3"/>
  <c r="I349" i="3"/>
  <c r="C349" i="3"/>
  <c r="B349" i="3"/>
  <c r="V348" i="3"/>
  <c r="T348" i="3"/>
  <c r="W348" i="3" s="1"/>
  <c r="J348" i="3"/>
  <c r="I348" i="3"/>
  <c r="C348" i="3"/>
  <c r="B348" i="3"/>
  <c r="V347" i="3"/>
  <c r="T347" i="3"/>
  <c r="W347" i="3" s="1"/>
  <c r="J347" i="3"/>
  <c r="I347" i="3"/>
  <c r="C347" i="3"/>
  <c r="B347" i="3"/>
  <c r="V346" i="3"/>
  <c r="T346" i="3"/>
  <c r="W346" i="3" s="1"/>
  <c r="J346" i="3"/>
  <c r="I346" i="3"/>
  <c r="C346" i="3"/>
  <c r="B346" i="3"/>
  <c r="V345" i="3"/>
  <c r="T345" i="3"/>
  <c r="W345" i="3" s="1"/>
  <c r="J345" i="3"/>
  <c r="I345" i="3"/>
  <c r="C345" i="3"/>
  <c r="B345" i="3"/>
  <c r="V344" i="3"/>
  <c r="T344" i="3"/>
  <c r="W344" i="3" s="1"/>
  <c r="J344" i="3"/>
  <c r="I344" i="3"/>
  <c r="C344" i="3"/>
  <c r="B344" i="3"/>
  <c r="V343" i="3"/>
  <c r="T343" i="3"/>
  <c r="W343" i="3" s="1"/>
  <c r="J343" i="3"/>
  <c r="I343" i="3"/>
  <c r="C343" i="3"/>
  <c r="B343" i="3"/>
  <c r="V342" i="3"/>
  <c r="T342" i="3"/>
  <c r="W342" i="3" s="1"/>
  <c r="J342" i="3"/>
  <c r="I342" i="3"/>
  <c r="C342" i="3"/>
  <c r="B342" i="3"/>
  <c r="V341" i="3"/>
  <c r="T341" i="3"/>
  <c r="W341" i="3" s="1"/>
  <c r="J341" i="3"/>
  <c r="I341" i="3"/>
  <c r="C341" i="3"/>
  <c r="B341" i="3"/>
  <c r="V340" i="3"/>
  <c r="T340" i="3"/>
  <c r="W340" i="3" s="1"/>
  <c r="J340" i="3"/>
  <c r="I340" i="3"/>
  <c r="C340" i="3"/>
  <c r="B340" i="3"/>
  <c r="V339" i="3"/>
  <c r="T339" i="3"/>
  <c r="W339" i="3" s="1"/>
  <c r="J339" i="3"/>
  <c r="I339" i="3"/>
  <c r="C339" i="3"/>
  <c r="B339" i="3"/>
  <c r="V338" i="3"/>
  <c r="T338" i="3"/>
  <c r="W338" i="3" s="1"/>
  <c r="J338" i="3"/>
  <c r="I338" i="3"/>
  <c r="C338" i="3"/>
  <c r="B338" i="3"/>
  <c r="V337" i="3"/>
  <c r="T337" i="3"/>
  <c r="W337" i="3" s="1"/>
  <c r="J337" i="3"/>
  <c r="I337" i="3"/>
  <c r="C337" i="3"/>
  <c r="B337" i="3"/>
  <c r="V336" i="3"/>
  <c r="T336" i="3"/>
  <c r="W336" i="3" s="1"/>
  <c r="J336" i="3"/>
  <c r="I336" i="3"/>
  <c r="C336" i="3"/>
  <c r="B336" i="3"/>
  <c r="V335" i="3"/>
  <c r="T335" i="3"/>
  <c r="W335" i="3" s="1"/>
  <c r="J335" i="3"/>
  <c r="I335" i="3"/>
  <c r="C335" i="3"/>
  <c r="B335" i="3"/>
  <c r="V334" i="3"/>
  <c r="T334" i="3"/>
  <c r="W334" i="3" s="1"/>
  <c r="J334" i="3"/>
  <c r="I334" i="3"/>
  <c r="C334" i="3"/>
  <c r="B334" i="3"/>
  <c r="V333" i="3"/>
  <c r="T333" i="3"/>
  <c r="W333" i="3" s="1"/>
  <c r="J333" i="3"/>
  <c r="I333" i="3"/>
  <c r="C333" i="3"/>
  <c r="B333" i="3"/>
  <c r="V332" i="3"/>
  <c r="T332" i="3"/>
  <c r="W332" i="3" s="1"/>
  <c r="J332" i="3"/>
  <c r="I332" i="3"/>
  <c r="C332" i="3"/>
  <c r="B332" i="3"/>
  <c r="V331" i="3"/>
  <c r="T331" i="3"/>
  <c r="W331" i="3" s="1"/>
  <c r="J331" i="3"/>
  <c r="I331" i="3"/>
  <c r="C331" i="3"/>
  <c r="B331" i="3"/>
  <c r="V330" i="3"/>
  <c r="T330" i="3"/>
  <c r="W330" i="3" s="1"/>
  <c r="J330" i="3"/>
  <c r="I330" i="3"/>
  <c r="C330" i="3"/>
  <c r="B330" i="3"/>
  <c r="V329" i="3"/>
  <c r="T329" i="3"/>
  <c r="W329" i="3" s="1"/>
  <c r="J329" i="3"/>
  <c r="I329" i="3"/>
  <c r="C329" i="3"/>
  <c r="B329" i="3"/>
  <c r="V328" i="3"/>
  <c r="T328" i="3"/>
  <c r="W328" i="3" s="1"/>
  <c r="J328" i="3"/>
  <c r="I328" i="3"/>
  <c r="C328" i="3"/>
  <c r="B328" i="3"/>
  <c r="V327" i="3"/>
  <c r="T327" i="3"/>
  <c r="W327" i="3" s="1"/>
  <c r="J327" i="3"/>
  <c r="I327" i="3"/>
  <c r="C327" i="3"/>
  <c r="B327" i="3"/>
  <c r="V326" i="3"/>
  <c r="T326" i="3"/>
  <c r="W326" i="3" s="1"/>
  <c r="J326" i="3"/>
  <c r="I326" i="3"/>
  <c r="C326" i="3"/>
  <c r="B326" i="3"/>
  <c r="V325" i="3"/>
  <c r="T325" i="3"/>
  <c r="W325" i="3" s="1"/>
  <c r="J325" i="3"/>
  <c r="I325" i="3"/>
  <c r="C325" i="3"/>
  <c r="B325" i="3"/>
  <c r="V324" i="3"/>
  <c r="T324" i="3"/>
  <c r="W324" i="3" s="1"/>
  <c r="J324" i="3"/>
  <c r="I324" i="3"/>
  <c r="C324" i="3"/>
  <c r="B324" i="3"/>
  <c r="V323" i="3"/>
  <c r="T323" i="3"/>
  <c r="W323" i="3" s="1"/>
  <c r="J323" i="3"/>
  <c r="I323" i="3"/>
  <c r="C323" i="3"/>
  <c r="B323" i="3"/>
  <c r="V322" i="3"/>
  <c r="T322" i="3"/>
  <c r="W322" i="3" s="1"/>
  <c r="J322" i="3"/>
  <c r="I322" i="3"/>
  <c r="C322" i="3"/>
  <c r="B322" i="3"/>
  <c r="V321" i="3"/>
  <c r="T321" i="3"/>
  <c r="W321" i="3" s="1"/>
  <c r="J321" i="3"/>
  <c r="I321" i="3"/>
  <c r="C321" i="3"/>
  <c r="B321" i="3"/>
  <c r="V320" i="3"/>
  <c r="T320" i="3"/>
  <c r="W320" i="3" s="1"/>
  <c r="J320" i="3"/>
  <c r="I320" i="3"/>
  <c r="C320" i="3"/>
  <c r="B320" i="3"/>
  <c r="V319" i="3"/>
  <c r="T319" i="3"/>
  <c r="W319" i="3" s="1"/>
  <c r="J319" i="3"/>
  <c r="I319" i="3"/>
  <c r="C319" i="3"/>
  <c r="B319" i="3"/>
  <c r="V318" i="3"/>
  <c r="T318" i="3"/>
  <c r="W318" i="3" s="1"/>
  <c r="J318" i="3"/>
  <c r="I318" i="3"/>
  <c r="C318" i="3"/>
  <c r="B318" i="3"/>
  <c r="V317" i="3"/>
  <c r="T317" i="3"/>
  <c r="W317" i="3" s="1"/>
  <c r="J317" i="3"/>
  <c r="I317" i="3"/>
  <c r="C317" i="3"/>
  <c r="B317" i="3"/>
  <c r="V316" i="3"/>
  <c r="T316" i="3"/>
  <c r="W316" i="3" s="1"/>
  <c r="J316" i="3"/>
  <c r="I316" i="3"/>
  <c r="C316" i="3"/>
  <c r="B316" i="3"/>
  <c r="V315" i="3"/>
  <c r="T315" i="3"/>
  <c r="W315" i="3" s="1"/>
  <c r="J315" i="3"/>
  <c r="I315" i="3"/>
  <c r="C315" i="3"/>
  <c r="B315" i="3"/>
  <c r="V314" i="3"/>
  <c r="T314" i="3"/>
  <c r="W314" i="3" s="1"/>
  <c r="J314" i="3"/>
  <c r="I314" i="3"/>
  <c r="C314" i="3"/>
  <c r="B314" i="3"/>
  <c r="V313" i="3"/>
  <c r="T313" i="3"/>
  <c r="W313" i="3" s="1"/>
  <c r="J313" i="3"/>
  <c r="I313" i="3"/>
  <c r="C313" i="3"/>
  <c r="B313" i="3"/>
  <c r="V312" i="3"/>
  <c r="T312" i="3"/>
  <c r="W312" i="3" s="1"/>
  <c r="J312" i="3"/>
  <c r="I312" i="3"/>
  <c r="C312" i="3"/>
  <c r="B312" i="3"/>
  <c r="V311" i="3"/>
  <c r="T311" i="3"/>
  <c r="W311" i="3" s="1"/>
  <c r="J311" i="3"/>
  <c r="I311" i="3"/>
  <c r="C311" i="3"/>
  <c r="B311" i="3"/>
  <c r="V310" i="3"/>
  <c r="T310" i="3"/>
  <c r="W310" i="3" s="1"/>
  <c r="J310" i="3"/>
  <c r="I310" i="3"/>
  <c r="C310" i="3"/>
  <c r="B310" i="3"/>
  <c r="V309" i="3"/>
  <c r="T309" i="3"/>
  <c r="W309" i="3" s="1"/>
  <c r="J309" i="3"/>
  <c r="I309" i="3"/>
  <c r="C309" i="3"/>
  <c r="B309" i="3"/>
  <c r="V308" i="3"/>
  <c r="T308" i="3"/>
  <c r="W308" i="3" s="1"/>
  <c r="J308" i="3"/>
  <c r="I308" i="3"/>
  <c r="C308" i="3"/>
  <c r="B308" i="3"/>
  <c r="V307" i="3"/>
  <c r="T307" i="3"/>
  <c r="W307" i="3" s="1"/>
  <c r="J307" i="3"/>
  <c r="I307" i="3"/>
  <c r="C307" i="3"/>
  <c r="B307" i="3"/>
  <c r="V306" i="3"/>
  <c r="T306" i="3"/>
  <c r="W306" i="3" s="1"/>
  <c r="J306" i="3"/>
  <c r="I306" i="3"/>
  <c r="C306" i="3"/>
  <c r="B306" i="3"/>
  <c r="V305" i="3"/>
  <c r="T305" i="3"/>
  <c r="W305" i="3" s="1"/>
  <c r="J305" i="3"/>
  <c r="I305" i="3"/>
  <c r="C305" i="3"/>
  <c r="B305" i="3"/>
  <c r="V304" i="3"/>
  <c r="T304" i="3"/>
  <c r="W304" i="3" s="1"/>
  <c r="J304" i="3"/>
  <c r="I304" i="3"/>
  <c r="C304" i="3"/>
  <c r="B304" i="3"/>
  <c r="V303" i="3"/>
  <c r="T303" i="3"/>
  <c r="W303" i="3" s="1"/>
  <c r="C303" i="3"/>
  <c r="B303" i="3"/>
  <c r="V283" i="3"/>
  <c r="F283" i="3"/>
  <c r="E283" i="3"/>
  <c r="D283" i="3"/>
  <c r="B283" i="3"/>
  <c r="T280" i="3"/>
  <c r="V278" i="3"/>
  <c r="V276" i="3"/>
  <c r="T276" i="3"/>
  <c r="W276" i="3" s="1"/>
  <c r="J276" i="3"/>
  <c r="I276" i="3"/>
  <c r="C276" i="3"/>
  <c r="B276" i="3"/>
  <c r="V275" i="3"/>
  <c r="T275" i="3"/>
  <c r="W275" i="3" s="1"/>
  <c r="J275" i="3"/>
  <c r="I275" i="3"/>
  <c r="C275" i="3"/>
  <c r="B275" i="3"/>
  <c r="V274" i="3"/>
  <c r="T274" i="3"/>
  <c r="W274" i="3" s="1"/>
  <c r="J274" i="3"/>
  <c r="I274" i="3"/>
  <c r="C274" i="3"/>
  <c r="B274" i="3"/>
  <c r="V273" i="3"/>
  <c r="T273" i="3"/>
  <c r="W273" i="3" s="1"/>
  <c r="J273" i="3"/>
  <c r="I273" i="3"/>
  <c r="C273" i="3"/>
  <c r="B273" i="3"/>
  <c r="V272" i="3"/>
  <c r="T272" i="3"/>
  <c r="W272" i="3" s="1"/>
  <c r="J272" i="3"/>
  <c r="I272" i="3"/>
  <c r="C272" i="3"/>
  <c r="B272" i="3"/>
  <c r="V271" i="3"/>
  <c r="T271" i="3"/>
  <c r="W271" i="3" s="1"/>
  <c r="J271" i="3"/>
  <c r="I271" i="3"/>
  <c r="C271" i="3"/>
  <c r="B271" i="3"/>
  <c r="V270" i="3"/>
  <c r="T270" i="3"/>
  <c r="W270" i="3" s="1"/>
  <c r="J270" i="3"/>
  <c r="I270" i="3"/>
  <c r="C270" i="3"/>
  <c r="B270" i="3"/>
  <c r="V269" i="3"/>
  <c r="T269" i="3"/>
  <c r="W269" i="3" s="1"/>
  <c r="J269" i="3"/>
  <c r="I269" i="3"/>
  <c r="C269" i="3"/>
  <c r="B269" i="3"/>
  <c r="V268" i="3"/>
  <c r="T268" i="3"/>
  <c r="W268" i="3" s="1"/>
  <c r="J268" i="3"/>
  <c r="I268" i="3"/>
  <c r="C268" i="3"/>
  <c r="B268" i="3"/>
  <c r="V267" i="3"/>
  <c r="T267" i="3"/>
  <c r="W267" i="3" s="1"/>
  <c r="J267" i="3"/>
  <c r="I267" i="3"/>
  <c r="C267" i="3"/>
  <c r="B267" i="3"/>
  <c r="V266" i="3"/>
  <c r="T266" i="3"/>
  <c r="W266" i="3" s="1"/>
  <c r="J266" i="3"/>
  <c r="I266" i="3"/>
  <c r="C266" i="3"/>
  <c r="B266" i="3"/>
  <c r="V265" i="3"/>
  <c r="T265" i="3"/>
  <c r="W265" i="3" s="1"/>
  <c r="J265" i="3"/>
  <c r="I265" i="3"/>
  <c r="C265" i="3"/>
  <c r="B265" i="3"/>
  <c r="V264" i="3"/>
  <c r="T264" i="3"/>
  <c r="W264" i="3" s="1"/>
  <c r="J264" i="3"/>
  <c r="I264" i="3"/>
  <c r="C264" i="3"/>
  <c r="B264" i="3"/>
  <c r="V263" i="3"/>
  <c r="T263" i="3"/>
  <c r="W263" i="3" s="1"/>
  <c r="J263" i="3"/>
  <c r="I263" i="3"/>
  <c r="C263" i="3"/>
  <c r="B263" i="3"/>
  <c r="V262" i="3"/>
  <c r="T262" i="3"/>
  <c r="W262" i="3" s="1"/>
  <c r="J262" i="3"/>
  <c r="I262" i="3"/>
  <c r="C262" i="3"/>
  <c r="B262" i="3"/>
  <c r="V261" i="3"/>
  <c r="T261" i="3"/>
  <c r="W261" i="3" s="1"/>
  <c r="J261" i="3"/>
  <c r="I261" i="3"/>
  <c r="C261" i="3"/>
  <c r="B261" i="3"/>
  <c r="V260" i="3"/>
  <c r="T260" i="3"/>
  <c r="W260" i="3" s="1"/>
  <c r="J260" i="3"/>
  <c r="I260" i="3"/>
  <c r="C260" i="3"/>
  <c r="B260" i="3"/>
  <c r="V259" i="3"/>
  <c r="T259" i="3"/>
  <c r="W259" i="3" s="1"/>
  <c r="J259" i="3"/>
  <c r="I259" i="3"/>
  <c r="C259" i="3"/>
  <c r="B259" i="3"/>
  <c r="V258" i="3"/>
  <c r="T258" i="3"/>
  <c r="W258" i="3" s="1"/>
  <c r="J258" i="3"/>
  <c r="I258" i="3"/>
  <c r="C258" i="3"/>
  <c r="B258" i="3"/>
  <c r="V257" i="3"/>
  <c r="T257" i="3"/>
  <c r="W257" i="3" s="1"/>
  <c r="J257" i="3"/>
  <c r="I257" i="3"/>
  <c r="C257" i="3"/>
  <c r="B257" i="3"/>
  <c r="V256" i="3"/>
  <c r="T256" i="3"/>
  <c r="W256" i="3" s="1"/>
  <c r="J256" i="3"/>
  <c r="I256" i="3"/>
  <c r="C256" i="3"/>
  <c r="B256" i="3"/>
  <c r="V255" i="3"/>
  <c r="T255" i="3"/>
  <c r="W255" i="3" s="1"/>
  <c r="J255" i="3"/>
  <c r="I255" i="3"/>
  <c r="C255" i="3"/>
  <c r="B255" i="3"/>
  <c r="V254" i="3"/>
  <c r="T254" i="3"/>
  <c r="W254" i="3" s="1"/>
  <c r="J254" i="3"/>
  <c r="I254" i="3"/>
  <c r="C254" i="3"/>
  <c r="B254" i="3"/>
  <c r="V253" i="3"/>
  <c r="T253" i="3"/>
  <c r="W253" i="3" s="1"/>
  <c r="J253" i="3"/>
  <c r="I253" i="3"/>
  <c r="C253" i="3"/>
  <c r="B253" i="3"/>
  <c r="V252" i="3"/>
  <c r="T252" i="3"/>
  <c r="W252" i="3" s="1"/>
  <c r="J252" i="3"/>
  <c r="I252" i="3"/>
  <c r="C252" i="3"/>
  <c r="B252" i="3"/>
  <c r="V251" i="3"/>
  <c r="T251" i="3"/>
  <c r="W251" i="3" s="1"/>
  <c r="J251" i="3"/>
  <c r="I251" i="3"/>
  <c r="C251" i="3"/>
  <c r="B251" i="3"/>
  <c r="V250" i="3"/>
  <c r="T250" i="3"/>
  <c r="W250" i="3" s="1"/>
  <c r="J250" i="3"/>
  <c r="I250" i="3"/>
  <c r="C250" i="3"/>
  <c r="B250" i="3"/>
  <c r="V249" i="3"/>
  <c r="T249" i="3"/>
  <c r="W249" i="3" s="1"/>
  <c r="J249" i="3"/>
  <c r="I249" i="3"/>
  <c r="C249" i="3"/>
  <c r="B249" i="3"/>
  <c r="V248" i="3"/>
  <c r="T248" i="3"/>
  <c r="W248" i="3" s="1"/>
  <c r="J248" i="3"/>
  <c r="I248" i="3"/>
  <c r="C248" i="3"/>
  <c r="B248" i="3"/>
  <c r="V247" i="3"/>
  <c r="T247" i="3"/>
  <c r="W247" i="3" s="1"/>
  <c r="J247" i="3"/>
  <c r="I247" i="3"/>
  <c r="C247" i="3"/>
  <c r="B247" i="3"/>
  <c r="V246" i="3"/>
  <c r="T246" i="3"/>
  <c r="W246" i="3" s="1"/>
  <c r="J246" i="3"/>
  <c r="I246" i="3"/>
  <c r="C246" i="3"/>
  <c r="B246" i="3"/>
  <c r="V245" i="3"/>
  <c r="T245" i="3"/>
  <c r="W245" i="3" s="1"/>
  <c r="J245" i="3"/>
  <c r="I245" i="3"/>
  <c r="C245" i="3"/>
  <c r="B245" i="3"/>
  <c r="V244" i="3"/>
  <c r="T244" i="3"/>
  <c r="W244" i="3" s="1"/>
  <c r="J244" i="3"/>
  <c r="I244" i="3"/>
  <c r="C244" i="3"/>
  <c r="B244" i="3"/>
  <c r="V243" i="3"/>
  <c r="T243" i="3"/>
  <c r="W243" i="3" s="1"/>
  <c r="J243" i="3"/>
  <c r="I243" i="3"/>
  <c r="C243" i="3"/>
  <c r="B243" i="3"/>
  <c r="V242" i="3"/>
  <c r="T242" i="3"/>
  <c r="W242" i="3" s="1"/>
  <c r="J242" i="3"/>
  <c r="I242" i="3"/>
  <c r="C242" i="3"/>
  <c r="B242" i="3"/>
  <c r="V241" i="3"/>
  <c r="T241" i="3"/>
  <c r="W241" i="3" s="1"/>
  <c r="J241" i="3"/>
  <c r="I241" i="3"/>
  <c r="C241" i="3"/>
  <c r="B241" i="3"/>
  <c r="V240" i="3"/>
  <c r="T240" i="3"/>
  <c r="W240" i="3" s="1"/>
  <c r="J240" i="3"/>
  <c r="I240" i="3"/>
  <c r="C240" i="3"/>
  <c r="B240" i="3"/>
  <c r="V239" i="3"/>
  <c r="T239" i="3"/>
  <c r="W239" i="3" s="1"/>
  <c r="J239" i="3"/>
  <c r="I239" i="3"/>
  <c r="C239" i="3"/>
  <c r="B239" i="3"/>
  <c r="V238" i="3"/>
  <c r="T238" i="3"/>
  <c r="W238" i="3" s="1"/>
  <c r="J238" i="3"/>
  <c r="I238" i="3"/>
  <c r="C238" i="3"/>
  <c r="B238" i="3"/>
  <c r="V237" i="3"/>
  <c r="T237" i="3"/>
  <c r="W237" i="3" s="1"/>
  <c r="J237" i="3"/>
  <c r="I237" i="3"/>
  <c r="C237" i="3"/>
  <c r="B237" i="3"/>
  <c r="V236" i="3"/>
  <c r="T236" i="3"/>
  <c r="W236" i="3" s="1"/>
  <c r="J236" i="3"/>
  <c r="I236" i="3"/>
  <c r="C236" i="3"/>
  <c r="B236" i="3"/>
  <c r="V235" i="3"/>
  <c r="T235" i="3"/>
  <c r="W235" i="3" s="1"/>
  <c r="J235" i="3"/>
  <c r="I235" i="3"/>
  <c r="C235" i="3"/>
  <c r="B235" i="3"/>
  <c r="V234" i="3"/>
  <c r="T234" i="3"/>
  <c r="W234" i="3" s="1"/>
  <c r="J234" i="3"/>
  <c r="I234" i="3"/>
  <c r="C234" i="3"/>
  <c r="B234" i="3"/>
  <c r="V233" i="3"/>
  <c r="T233" i="3"/>
  <c r="W233" i="3" s="1"/>
  <c r="J233" i="3"/>
  <c r="I233" i="3"/>
  <c r="C233" i="3"/>
  <c r="B233" i="3"/>
  <c r="V232" i="3"/>
  <c r="T232" i="3"/>
  <c r="W232" i="3" s="1"/>
  <c r="J232" i="3"/>
  <c r="I232" i="3"/>
  <c r="C232" i="3"/>
  <c r="B232" i="3"/>
  <c r="V231" i="3"/>
  <c r="T231" i="3"/>
  <c r="W231" i="3" s="1"/>
  <c r="J231" i="3"/>
  <c r="I231" i="3"/>
  <c r="C231" i="3"/>
  <c r="B231" i="3"/>
  <c r="V230" i="3"/>
  <c r="T230" i="3"/>
  <c r="W230" i="3" s="1"/>
  <c r="J230" i="3"/>
  <c r="I230" i="3"/>
  <c r="C230" i="3"/>
  <c r="B230" i="3"/>
  <c r="V229" i="3"/>
  <c r="T229" i="3"/>
  <c r="W229" i="3" s="1"/>
  <c r="J229" i="3"/>
  <c r="I229" i="3"/>
  <c r="C229" i="3"/>
  <c r="B229" i="3"/>
  <c r="V228" i="3"/>
  <c r="T228" i="3"/>
  <c r="W228" i="3" s="1"/>
  <c r="J228" i="3"/>
  <c r="I228" i="3"/>
  <c r="C228" i="3"/>
  <c r="B228" i="3"/>
  <c r="V227" i="3"/>
  <c r="T227" i="3"/>
  <c r="W227" i="3" s="1"/>
  <c r="J227" i="3"/>
  <c r="I227" i="3"/>
  <c r="C227" i="3"/>
  <c r="B227" i="3"/>
  <c r="V226" i="3"/>
  <c r="T226" i="3"/>
  <c r="W226" i="3" s="1"/>
  <c r="J226" i="3"/>
  <c r="I226" i="3"/>
  <c r="C226" i="3"/>
  <c r="B226" i="3"/>
  <c r="V225" i="3"/>
  <c r="T225" i="3"/>
  <c r="W225" i="3" s="1"/>
  <c r="J225" i="3"/>
  <c r="I225" i="3"/>
  <c r="C225" i="3"/>
  <c r="B225" i="3"/>
  <c r="V224" i="3"/>
  <c r="T224" i="3"/>
  <c r="W224" i="3" s="1"/>
  <c r="J224" i="3"/>
  <c r="I224" i="3"/>
  <c r="C224" i="3"/>
  <c r="B224" i="3"/>
  <c r="V223" i="3"/>
  <c r="T223" i="3"/>
  <c r="W223" i="3" s="1"/>
  <c r="J223" i="3"/>
  <c r="I223" i="3"/>
  <c r="C223" i="3"/>
  <c r="B223" i="3"/>
  <c r="V222" i="3"/>
  <c r="T222" i="3"/>
  <c r="W222" i="3" s="1"/>
  <c r="J222" i="3"/>
  <c r="I222" i="3"/>
  <c r="C222" i="3"/>
  <c r="B222" i="3"/>
  <c r="V221" i="3"/>
  <c r="T221" i="3"/>
  <c r="W221" i="3" s="1"/>
  <c r="J221" i="3"/>
  <c r="I221" i="3"/>
  <c r="C221" i="3"/>
  <c r="B221" i="3"/>
  <c r="V220" i="3"/>
  <c r="T220" i="3"/>
  <c r="W220" i="3" s="1"/>
  <c r="J220" i="3"/>
  <c r="I220" i="3"/>
  <c r="C220" i="3"/>
  <c r="B220" i="3"/>
  <c r="V219" i="3"/>
  <c r="T219" i="3"/>
  <c r="W219" i="3" s="1"/>
  <c r="J219" i="3"/>
  <c r="I219" i="3"/>
  <c r="C219" i="3"/>
  <c r="B219" i="3"/>
  <c r="V218" i="3"/>
  <c r="T218" i="3"/>
  <c r="W218" i="3" s="1"/>
  <c r="J218" i="3"/>
  <c r="I218" i="3"/>
  <c r="C218" i="3"/>
  <c r="B218" i="3"/>
  <c r="V217" i="3"/>
  <c r="T217" i="3"/>
  <c r="W217" i="3" s="1"/>
  <c r="J217" i="3"/>
  <c r="I217" i="3"/>
  <c r="C217" i="3"/>
  <c r="B217" i="3"/>
  <c r="V216" i="3"/>
  <c r="T216" i="3"/>
  <c r="W216" i="3" s="1"/>
  <c r="J216" i="3"/>
  <c r="I216" i="3"/>
  <c r="C216" i="3"/>
  <c r="B216" i="3"/>
  <c r="V215" i="3"/>
  <c r="T215" i="3"/>
  <c r="W215" i="3" s="1"/>
  <c r="J215" i="3"/>
  <c r="I215" i="3"/>
  <c r="C215" i="3"/>
  <c r="B215" i="3"/>
  <c r="V214" i="3"/>
  <c r="T214" i="3"/>
  <c r="W214" i="3" s="1"/>
  <c r="J214" i="3"/>
  <c r="I214" i="3"/>
  <c r="C214" i="3"/>
  <c r="B214" i="3"/>
  <c r="V213" i="3"/>
  <c r="T213" i="3"/>
  <c r="W213" i="3" s="1"/>
  <c r="J213" i="3"/>
  <c r="I213" i="3"/>
  <c r="C213" i="3"/>
  <c r="B213" i="3"/>
  <c r="V212" i="3"/>
  <c r="T212" i="3"/>
  <c r="W212" i="3" s="1"/>
  <c r="J212" i="3"/>
  <c r="I212" i="3"/>
  <c r="C212" i="3"/>
  <c r="B212" i="3"/>
  <c r="V211" i="3"/>
  <c r="T211" i="3"/>
  <c r="W211" i="3" s="1"/>
  <c r="C211" i="3"/>
  <c r="B211" i="3"/>
  <c r="V191" i="3"/>
  <c r="F191" i="3"/>
  <c r="E191" i="3"/>
  <c r="D191" i="3"/>
  <c r="B191" i="3"/>
  <c r="T188" i="3"/>
  <c r="V186" i="3"/>
  <c r="V184" i="3"/>
  <c r="T184" i="3"/>
  <c r="W184" i="3" s="1"/>
  <c r="J184" i="3"/>
  <c r="I184" i="3"/>
  <c r="C184" i="3"/>
  <c r="B184" i="3"/>
  <c r="V183" i="3"/>
  <c r="T183" i="3"/>
  <c r="W183" i="3" s="1"/>
  <c r="J183" i="3"/>
  <c r="I183" i="3"/>
  <c r="C183" i="3"/>
  <c r="B183" i="3"/>
  <c r="V182" i="3"/>
  <c r="T182" i="3"/>
  <c r="W182" i="3" s="1"/>
  <c r="J182" i="3"/>
  <c r="I182" i="3"/>
  <c r="C182" i="3"/>
  <c r="B182" i="3"/>
  <c r="V181" i="3"/>
  <c r="T181" i="3"/>
  <c r="W181" i="3" s="1"/>
  <c r="J181" i="3"/>
  <c r="I181" i="3"/>
  <c r="C181" i="3"/>
  <c r="B181" i="3"/>
  <c r="V180" i="3"/>
  <c r="T180" i="3"/>
  <c r="W180" i="3" s="1"/>
  <c r="J180" i="3"/>
  <c r="I180" i="3"/>
  <c r="C180" i="3"/>
  <c r="B180" i="3"/>
  <c r="V179" i="3"/>
  <c r="T179" i="3"/>
  <c r="W179" i="3" s="1"/>
  <c r="J179" i="3"/>
  <c r="I179" i="3"/>
  <c r="C179" i="3"/>
  <c r="B179" i="3"/>
  <c r="V178" i="3"/>
  <c r="T178" i="3"/>
  <c r="W178" i="3" s="1"/>
  <c r="J178" i="3"/>
  <c r="I178" i="3"/>
  <c r="C178" i="3"/>
  <c r="B178" i="3"/>
  <c r="V177" i="3"/>
  <c r="T177" i="3"/>
  <c r="W177" i="3" s="1"/>
  <c r="J177" i="3"/>
  <c r="I177" i="3"/>
  <c r="C177" i="3"/>
  <c r="B177" i="3"/>
  <c r="V176" i="3"/>
  <c r="T176" i="3"/>
  <c r="W176" i="3" s="1"/>
  <c r="J176" i="3"/>
  <c r="I176" i="3"/>
  <c r="C176" i="3"/>
  <c r="B176" i="3"/>
  <c r="V175" i="3"/>
  <c r="T175" i="3"/>
  <c r="W175" i="3" s="1"/>
  <c r="J175" i="3"/>
  <c r="I175" i="3"/>
  <c r="C175" i="3"/>
  <c r="B175" i="3"/>
  <c r="V174" i="3"/>
  <c r="T174" i="3"/>
  <c r="W174" i="3" s="1"/>
  <c r="J174" i="3"/>
  <c r="I174" i="3"/>
  <c r="C174" i="3"/>
  <c r="B174" i="3"/>
  <c r="V173" i="3"/>
  <c r="T173" i="3"/>
  <c r="W173" i="3" s="1"/>
  <c r="J173" i="3"/>
  <c r="I173" i="3"/>
  <c r="C173" i="3"/>
  <c r="B173" i="3"/>
  <c r="V172" i="3"/>
  <c r="T172" i="3"/>
  <c r="W172" i="3" s="1"/>
  <c r="J172" i="3"/>
  <c r="I172" i="3"/>
  <c r="C172" i="3"/>
  <c r="B172" i="3"/>
  <c r="V171" i="3"/>
  <c r="T171" i="3"/>
  <c r="W171" i="3" s="1"/>
  <c r="J171" i="3"/>
  <c r="I171" i="3"/>
  <c r="C171" i="3"/>
  <c r="B171" i="3"/>
  <c r="V170" i="3"/>
  <c r="T170" i="3"/>
  <c r="W170" i="3" s="1"/>
  <c r="J170" i="3"/>
  <c r="I170" i="3"/>
  <c r="C170" i="3"/>
  <c r="B170" i="3"/>
  <c r="V169" i="3"/>
  <c r="T169" i="3"/>
  <c r="W169" i="3" s="1"/>
  <c r="J169" i="3"/>
  <c r="I169" i="3"/>
  <c r="C169" i="3"/>
  <c r="B169" i="3"/>
  <c r="V168" i="3"/>
  <c r="T168" i="3"/>
  <c r="W168" i="3" s="1"/>
  <c r="J168" i="3"/>
  <c r="I168" i="3"/>
  <c r="C168" i="3"/>
  <c r="B168" i="3"/>
  <c r="V167" i="3"/>
  <c r="T167" i="3"/>
  <c r="W167" i="3" s="1"/>
  <c r="J167" i="3"/>
  <c r="I167" i="3"/>
  <c r="C167" i="3"/>
  <c r="B167" i="3"/>
  <c r="V166" i="3"/>
  <c r="T166" i="3"/>
  <c r="W166" i="3" s="1"/>
  <c r="J166" i="3"/>
  <c r="I166" i="3"/>
  <c r="C166" i="3"/>
  <c r="B166" i="3"/>
  <c r="V165" i="3"/>
  <c r="T165" i="3"/>
  <c r="W165" i="3" s="1"/>
  <c r="J165" i="3"/>
  <c r="I165" i="3"/>
  <c r="C165" i="3"/>
  <c r="B165" i="3"/>
  <c r="V164" i="3"/>
  <c r="T164" i="3"/>
  <c r="W164" i="3" s="1"/>
  <c r="J164" i="3"/>
  <c r="I164" i="3"/>
  <c r="C164" i="3"/>
  <c r="B164" i="3"/>
  <c r="V163" i="3"/>
  <c r="T163" i="3"/>
  <c r="W163" i="3" s="1"/>
  <c r="J163" i="3"/>
  <c r="I163" i="3"/>
  <c r="C163" i="3"/>
  <c r="B163" i="3"/>
  <c r="V162" i="3"/>
  <c r="T162" i="3"/>
  <c r="W162" i="3" s="1"/>
  <c r="J162" i="3"/>
  <c r="I162" i="3"/>
  <c r="C162" i="3"/>
  <c r="B162" i="3"/>
  <c r="V161" i="3"/>
  <c r="T161" i="3"/>
  <c r="W161" i="3" s="1"/>
  <c r="J161" i="3"/>
  <c r="I161" i="3"/>
  <c r="C161" i="3"/>
  <c r="B161" i="3"/>
  <c r="V160" i="3"/>
  <c r="T160" i="3"/>
  <c r="W160" i="3" s="1"/>
  <c r="J160" i="3"/>
  <c r="I160" i="3"/>
  <c r="C160" i="3"/>
  <c r="B160" i="3"/>
  <c r="V159" i="3"/>
  <c r="T159" i="3"/>
  <c r="W159" i="3" s="1"/>
  <c r="J159" i="3"/>
  <c r="I159" i="3"/>
  <c r="C159" i="3"/>
  <c r="B159" i="3"/>
  <c r="V158" i="3"/>
  <c r="T158" i="3"/>
  <c r="W158" i="3" s="1"/>
  <c r="J158" i="3"/>
  <c r="I158" i="3"/>
  <c r="C158" i="3"/>
  <c r="B158" i="3"/>
  <c r="V157" i="3"/>
  <c r="T157" i="3"/>
  <c r="W157" i="3" s="1"/>
  <c r="J157" i="3"/>
  <c r="I157" i="3"/>
  <c r="C157" i="3"/>
  <c r="B157" i="3"/>
  <c r="V156" i="3"/>
  <c r="T156" i="3"/>
  <c r="W156" i="3" s="1"/>
  <c r="J156" i="3"/>
  <c r="I156" i="3"/>
  <c r="C156" i="3"/>
  <c r="B156" i="3"/>
  <c r="V155" i="3"/>
  <c r="T155" i="3"/>
  <c r="W155" i="3" s="1"/>
  <c r="J155" i="3"/>
  <c r="I155" i="3"/>
  <c r="C155" i="3"/>
  <c r="B155" i="3"/>
  <c r="V154" i="3"/>
  <c r="T154" i="3"/>
  <c r="W154" i="3" s="1"/>
  <c r="J154" i="3"/>
  <c r="I154" i="3"/>
  <c r="C154" i="3"/>
  <c r="B154" i="3"/>
  <c r="V153" i="3"/>
  <c r="T153" i="3"/>
  <c r="W153" i="3" s="1"/>
  <c r="J153" i="3"/>
  <c r="I153" i="3"/>
  <c r="C153" i="3"/>
  <c r="B153" i="3"/>
  <c r="V152" i="3"/>
  <c r="T152" i="3"/>
  <c r="W152" i="3" s="1"/>
  <c r="J152" i="3"/>
  <c r="I152" i="3"/>
  <c r="C152" i="3"/>
  <c r="B152" i="3"/>
  <c r="V151" i="3"/>
  <c r="T151" i="3"/>
  <c r="W151" i="3" s="1"/>
  <c r="J151" i="3"/>
  <c r="I151" i="3"/>
  <c r="C151" i="3"/>
  <c r="B151" i="3"/>
  <c r="V150" i="3"/>
  <c r="T150" i="3"/>
  <c r="W150" i="3" s="1"/>
  <c r="J150" i="3"/>
  <c r="I150" i="3"/>
  <c r="C150" i="3"/>
  <c r="B150" i="3"/>
  <c r="V149" i="3"/>
  <c r="T149" i="3"/>
  <c r="W149" i="3" s="1"/>
  <c r="J149" i="3"/>
  <c r="I149" i="3"/>
  <c r="C149" i="3"/>
  <c r="B149" i="3"/>
  <c r="V148" i="3"/>
  <c r="T148" i="3"/>
  <c r="W148" i="3" s="1"/>
  <c r="J148" i="3"/>
  <c r="I148" i="3"/>
  <c r="C148" i="3"/>
  <c r="B148" i="3"/>
  <c r="V147" i="3"/>
  <c r="T147" i="3"/>
  <c r="W147" i="3" s="1"/>
  <c r="J147" i="3"/>
  <c r="I147" i="3"/>
  <c r="C147" i="3"/>
  <c r="B147" i="3"/>
  <c r="V146" i="3"/>
  <c r="T146" i="3"/>
  <c r="W146" i="3" s="1"/>
  <c r="J146" i="3"/>
  <c r="I146" i="3"/>
  <c r="C146" i="3"/>
  <c r="B146" i="3"/>
  <c r="V145" i="3"/>
  <c r="T145" i="3"/>
  <c r="W145" i="3" s="1"/>
  <c r="J145" i="3"/>
  <c r="I145" i="3"/>
  <c r="C145" i="3"/>
  <c r="B145" i="3"/>
  <c r="V144" i="3"/>
  <c r="T144" i="3"/>
  <c r="W144" i="3" s="1"/>
  <c r="J144" i="3"/>
  <c r="I144" i="3"/>
  <c r="C144" i="3"/>
  <c r="B144" i="3"/>
  <c r="V143" i="3"/>
  <c r="T143" i="3"/>
  <c r="W143" i="3" s="1"/>
  <c r="J143" i="3"/>
  <c r="I143" i="3"/>
  <c r="C143" i="3"/>
  <c r="B143" i="3"/>
  <c r="V142" i="3"/>
  <c r="T142" i="3"/>
  <c r="W142" i="3" s="1"/>
  <c r="J142" i="3"/>
  <c r="I142" i="3"/>
  <c r="C142" i="3"/>
  <c r="B142" i="3"/>
  <c r="V141" i="3"/>
  <c r="T141" i="3"/>
  <c r="W141" i="3" s="1"/>
  <c r="J141" i="3"/>
  <c r="I141" i="3"/>
  <c r="C141" i="3"/>
  <c r="B141" i="3"/>
  <c r="V140" i="3"/>
  <c r="T140" i="3"/>
  <c r="W140" i="3" s="1"/>
  <c r="J140" i="3"/>
  <c r="I140" i="3"/>
  <c r="C140" i="3"/>
  <c r="B140" i="3"/>
  <c r="V139" i="3"/>
  <c r="T139" i="3"/>
  <c r="W139" i="3" s="1"/>
  <c r="J139" i="3"/>
  <c r="I139" i="3"/>
  <c r="C139" i="3"/>
  <c r="B139" i="3"/>
  <c r="V138" i="3"/>
  <c r="T138" i="3"/>
  <c r="W138" i="3" s="1"/>
  <c r="J138" i="3"/>
  <c r="I138" i="3"/>
  <c r="C138" i="3"/>
  <c r="B138" i="3"/>
  <c r="V137" i="3"/>
  <c r="T137" i="3"/>
  <c r="W137" i="3" s="1"/>
  <c r="J137" i="3"/>
  <c r="I137" i="3"/>
  <c r="C137" i="3"/>
  <c r="B137" i="3"/>
  <c r="V136" i="3"/>
  <c r="T136" i="3"/>
  <c r="W136" i="3" s="1"/>
  <c r="J136" i="3"/>
  <c r="I136" i="3"/>
  <c r="C136" i="3"/>
  <c r="B136" i="3"/>
  <c r="V135" i="3"/>
  <c r="T135" i="3"/>
  <c r="W135" i="3" s="1"/>
  <c r="J135" i="3"/>
  <c r="I135" i="3"/>
  <c r="C135" i="3"/>
  <c r="B135" i="3"/>
  <c r="V134" i="3"/>
  <c r="T134" i="3"/>
  <c r="W134" i="3" s="1"/>
  <c r="J134" i="3"/>
  <c r="I134" i="3"/>
  <c r="C134" i="3"/>
  <c r="B134" i="3"/>
  <c r="V133" i="3"/>
  <c r="T133" i="3"/>
  <c r="W133" i="3" s="1"/>
  <c r="J133" i="3"/>
  <c r="I133" i="3"/>
  <c r="C133" i="3"/>
  <c r="B133" i="3"/>
  <c r="V132" i="3"/>
  <c r="T132" i="3"/>
  <c r="W132" i="3" s="1"/>
  <c r="J132" i="3"/>
  <c r="I132" i="3"/>
  <c r="C132" i="3"/>
  <c r="B132" i="3"/>
  <c r="V131" i="3"/>
  <c r="T131" i="3"/>
  <c r="W131" i="3" s="1"/>
  <c r="J131" i="3"/>
  <c r="I131" i="3"/>
  <c r="C131" i="3"/>
  <c r="B131" i="3"/>
  <c r="V130" i="3"/>
  <c r="T130" i="3"/>
  <c r="W130" i="3" s="1"/>
  <c r="J130" i="3"/>
  <c r="I130" i="3"/>
  <c r="C130" i="3"/>
  <c r="B130" i="3"/>
  <c r="V129" i="3"/>
  <c r="T129" i="3"/>
  <c r="W129" i="3" s="1"/>
  <c r="J129" i="3"/>
  <c r="I129" i="3"/>
  <c r="C129" i="3"/>
  <c r="B129" i="3"/>
  <c r="V128" i="3"/>
  <c r="T128" i="3"/>
  <c r="W128" i="3" s="1"/>
  <c r="J128" i="3"/>
  <c r="I128" i="3"/>
  <c r="C128" i="3"/>
  <c r="B128" i="3"/>
  <c r="V127" i="3"/>
  <c r="T127" i="3"/>
  <c r="W127" i="3" s="1"/>
  <c r="J127" i="3"/>
  <c r="I127" i="3"/>
  <c r="C127" i="3"/>
  <c r="B127" i="3"/>
  <c r="V126" i="3"/>
  <c r="T126" i="3"/>
  <c r="W126" i="3" s="1"/>
  <c r="J126" i="3"/>
  <c r="I126" i="3"/>
  <c r="C126" i="3"/>
  <c r="B126" i="3"/>
  <c r="V125" i="3"/>
  <c r="T125" i="3"/>
  <c r="W125" i="3" s="1"/>
  <c r="J125" i="3"/>
  <c r="I125" i="3"/>
  <c r="C125" i="3"/>
  <c r="B125" i="3"/>
  <c r="V124" i="3"/>
  <c r="T124" i="3"/>
  <c r="W124" i="3" s="1"/>
  <c r="J124" i="3"/>
  <c r="I124" i="3"/>
  <c r="C124" i="3"/>
  <c r="B124" i="3"/>
  <c r="V123" i="3"/>
  <c r="T123" i="3"/>
  <c r="W123" i="3" s="1"/>
  <c r="J123" i="3"/>
  <c r="I123" i="3"/>
  <c r="C123" i="3"/>
  <c r="B123" i="3"/>
  <c r="V122" i="3"/>
  <c r="T122" i="3"/>
  <c r="W122" i="3" s="1"/>
  <c r="J122" i="3"/>
  <c r="I122" i="3"/>
  <c r="C122" i="3"/>
  <c r="B122" i="3"/>
  <c r="V121" i="3"/>
  <c r="T121" i="3"/>
  <c r="W121" i="3" s="1"/>
  <c r="J121" i="3"/>
  <c r="I121" i="3"/>
  <c r="C121" i="3"/>
  <c r="B121" i="3"/>
  <c r="V120" i="3"/>
  <c r="T120" i="3"/>
  <c r="W120" i="3" s="1"/>
  <c r="J120" i="3"/>
  <c r="I120" i="3"/>
  <c r="C120" i="3"/>
  <c r="B120" i="3"/>
  <c r="V119" i="3"/>
  <c r="T119" i="3"/>
  <c r="W119" i="3" s="1"/>
  <c r="C119" i="3"/>
  <c r="B119" i="3"/>
  <c r="V99" i="3"/>
  <c r="F99" i="3"/>
  <c r="E99" i="3"/>
  <c r="D99" i="3"/>
  <c r="B99" i="3"/>
  <c r="T96" i="3"/>
  <c r="V94" i="3"/>
  <c r="V92" i="3"/>
  <c r="T92" i="3"/>
  <c r="W92" i="3" s="1"/>
  <c r="J92" i="3"/>
  <c r="I92" i="3"/>
  <c r="C92" i="3"/>
  <c r="B92" i="3"/>
  <c r="V91" i="3"/>
  <c r="T91" i="3"/>
  <c r="W91" i="3" s="1"/>
  <c r="J91" i="3"/>
  <c r="I91" i="3"/>
  <c r="C91" i="3"/>
  <c r="B91" i="3"/>
  <c r="V90" i="3"/>
  <c r="T90" i="3"/>
  <c r="W90" i="3" s="1"/>
  <c r="J90" i="3"/>
  <c r="I90" i="3"/>
  <c r="C90" i="3"/>
  <c r="B90" i="3"/>
  <c r="V89" i="3"/>
  <c r="T89" i="3"/>
  <c r="W89" i="3" s="1"/>
  <c r="J89" i="3"/>
  <c r="I89" i="3"/>
  <c r="C89" i="3"/>
  <c r="B89" i="3"/>
  <c r="V88" i="3"/>
  <c r="T88" i="3"/>
  <c r="W88" i="3" s="1"/>
  <c r="J88" i="3"/>
  <c r="I88" i="3"/>
  <c r="C88" i="3"/>
  <c r="B88" i="3"/>
  <c r="V87" i="3"/>
  <c r="T87" i="3"/>
  <c r="W87" i="3" s="1"/>
  <c r="J87" i="3"/>
  <c r="I87" i="3"/>
  <c r="C87" i="3"/>
  <c r="B87" i="3"/>
  <c r="V86" i="3"/>
  <c r="T86" i="3"/>
  <c r="W86" i="3" s="1"/>
  <c r="J86" i="3"/>
  <c r="I86" i="3"/>
  <c r="C86" i="3"/>
  <c r="B86" i="3"/>
  <c r="V85" i="3"/>
  <c r="T85" i="3"/>
  <c r="W85" i="3" s="1"/>
  <c r="J85" i="3"/>
  <c r="I85" i="3"/>
  <c r="C85" i="3"/>
  <c r="B85" i="3"/>
  <c r="V84" i="3"/>
  <c r="T84" i="3"/>
  <c r="W84" i="3" s="1"/>
  <c r="J84" i="3"/>
  <c r="I84" i="3"/>
  <c r="C84" i="3"/>
  <c r="B84" i="3"/>
  <c r="V83" i="3"/>
  <c r="T83" i="3"/>
  <c r="W83" i="3" s="1"/>
  <c r="J83" i="3"/>
  <c r="I83" i="3"/>
  <c r="C83" i="3"/>
  <c r="B83" i="3"/>
  <c r="V82" i="3"/>
  <c r="T82" i="3"/>
  <c r="W82" i="3" s="1"/>
  <c r="J82" i="3"/>
  <c r="I82" i="3"/>
  <c r="C82" i="3"/>
  <c r="B82" i="3"/>
  <c r="V81" i="3"/>
  <c r="T81" i="3"/>
  <c r="W81" i="3" s="1"/>
  <c r="J81" i="3"/>
  <c r="I81" i="3"/>
  <c r="C81" i="3"/>
  <c r="B81" i="3"/>
  <c r="V80" i="3"/>
  <c r="T80" i="3"/>
  <c r="W80" i="3" s="1"/>
  <c r="J80" i="3"/>
  <c r="I80" i="3"/>
  <c r="C80" i="3"/>
  <c r="B80" i="3"/>
  <c r="V79" i="3"/>
  <c r="T79" i="3"/>
  <c r="W79" i="3" s="1"/>
  <c r="J79" i="3"/>
  <c r="I79" i="3"/>
  <c r="C79" i="3"/>
  <c r="B79" i="3"/>
  <c r="V78" i="3"/>
  <c r="T78" i="3"/>
  <c r="W78" i="3" s="1"/>
  <c r="J78" i="3"/>
  <c r="I78" i="3"/>
  <c r="C78" i="3"/>
  <c r="B78" i="3"/>
  <c r="V77" i="3"/>
  <c r="T77" i="3"/>
  <c r="W77" i="3" s="1"/>
  <c r="J77" i="3"/>
  <c r="I77" i="3"/>
  <c r="C77" i="3"/>
  <c r="B77" i="3"/>
  <c r="V76" i="3"/>
  <c r="T76" i="3"/>
  <c r="W76" i="3" s="1"/>
  <c r="J76" i="3"/>
  <c r="I76" i="3"/>
  <c r="C76" i="3"/>
  <c r="B76" i="3"/>
  <c r="V75" i="3"/>
  <c r="T75" i="3"/>
  <c r="W75" i="3" s="1"/>
  <c r="J75" i="3"/>
  <c r="I75" i="3"/>
  <c r="C75" i="3"/>
  <c r="B75" i="3"/>
  <c r="V74" i="3"/>
  <c r="T74" i="3"/>
  <c r="W74" i="3" s="1"/>
  <c r="J74" i="3"/>
  <c r="I74" i="3"/>
  <c r="C74" i="3"/>
  <c r="B74" i="3"/>
  <c r="V73" i="3"/>
  <c r="T73" i="3"/>
  <c r="W73" i="3" s="1"/>
  <c r="J73" i="3"/>
  <c r="I73" i="3"/>
  <c r="C73" i="3"/>
  <c r="B73" i="3"/>
  <c r="V72" i="3"/>
  <c r="T72" i="3"/>
  <c r="W72" i="3" s="1"/>
  <c r="J72" i="3"/>
  <c r="I72" i="3"/>
  <c r="C72" i="3"/>
  <c r="B72" i="3"/>
  <c r="V71" i="3"/>
  <c r="T71" i="3"/>
  <c r="W71" i="3" s="1"/>
  <c r="J71" i="3"/>
  <c r="I71" i="3"/>
  <c r="C71" i="3"/>
  <c r="B71" i="3"/>
  <c r="V70" i="3"/>
  <c r="T70" i="3"/>
  <c r="W70" i="3" s="1"/>
  <c r="J70" i="3"/>
  <c r="I70" i="3"/>
  <c r="C70" i="3"/>
  <c r="B70" i="3"/>
  <c r="V69" i="3"/>
  <c r="T69" i="3"/>
  <c r="W69" i="3" s="1"/>
  <c r="J69" i="3"/>
  <c r="I69" i="3"/>
  <c r="C69" i="3"/>
  <c r="B69" i="3"/>
  <c r="V68" i="3"/>
  <c r="T68" i="3"/>
  <c r="W68" i="3" s="1"/>
  <c r="J68" i="3"/>
  <c r="I68" i="3"/>
  <c r="C68" i="3"/>
  <c r="B68" i="3"/>
  <c r="V67" i="3"/>
  <c r="T67" i="3"/>
  <c r="W67" i="3" s="1"/>
  <c r="J67" i="3"/>
  <c r="I67" i="3"/>
  <c r="C67" i="3"/>
  <c r="B67" i="3"/>
  <c r="V66" i="3"/>
  <c r="T66" i="3"/>
  <c r="W66" i="3" s="1"/>
  <c r="J66" i="3"/>
  <c r="I66" i="3"/>
  <c r="C66" i="3"/>
  <c r="B66" i="3"/>
  <c r="V65" i="3"/>
  <c r="T65" i="3"/>
  <c r="W65" i="3" s="1"/>
  <c r="J65" i="3"/>
  <c r="I65" i="3"/>
  <c r="C65" i="3"/>
  <c r="B65" i="3"/>
  <c r="V64" i="3"/>
  <c r="T64" i="3"/>
  <c r="W64" i="3" s="1"/>
  <c r="J64" i="3"/>
  <c r="I64" i="3"/>
  <c r="C64" i="3"/>
  <c r="B64" i="3"/>
  <c r="V63" i="3"/>
  <c r="T63" i="3"/>
  <c r="W63" i="3" s="1"/>
  <c r="J63" i="3"/>
  <c r="I63" i="3"/>
  <c r="C63" i="3"/>
  <c r="B63" i="3"/>
  <c r="V62" i="3"/>
  <c r="T62" i="3"/>
  <c r="W62" i="3" s="1"/>
  <c r="J62" i="3"/>
  <c r="I62" i="3"/>
  <c r="C62" i="3"/>
  <c r="B62" i="3"/>
  <c r="V61" i="3"/>
  <c r="T61" i="3"/>
  <c r="W61" i="3" s="1"/>
  <c r="J61" i="3"/>
  <c r="I61" i="3"/>
  <c r="C61" i="3"/>
  <c r="B61" i="3"/>
  <c r="V60" i="3"/>
  <c r="T60" i="3"/>
  <c r="W60" i="3" s="1"/>
  <c r="J60" i="3"/>
  <c r="I60" i="3"/>
  <c r="C60" i="3"/>
  <c r="B60" i="3"/>
  <c r="V59" i="3"/>
  <c r="T59" i="3"/>
  <c r="W59" i="3" s="1"/>
  <c r="J59" i="3"/>
  <c r="I59" i="3"/>
  <c r="C59" i="3"/>
  <c r="B59" i="3"/>
  <c r="V58" i="3"/>
  <c r="T58" i="3"/>
  <c r="W58" i="3" s="1"/>
  <c r="J58" i="3"/>
  <c r="I58" i="3"/>
  <c r="C58" i="3"/>
  <c r="B58" i="3"/>
  <c r="V57" i="3"/>
  <c r="T57" i="3"/>
  <c r="W57" i="3" s="1"/>
  <c r="J57" i="3"/>
  <c r="I57" i="3"/>
  <c r="C57" i="3"/>
  <c r="B57" i="3"/>
  <c r="V56" i="3"/>
  <c r="T56" i="3"/>
  <c r="W56" i="3" s="1"/>
  <c r="J56" i="3"/>
  <c r="I56" i="3"/>
  <c r="C56" i="3"/>
  <c r="B56" i="3"/>
  <c r="V55" i="3"/>
  <c r="T55" i="3"/>
  <c r="W55" i="3" s="1"/>
  <c r="J55" i="3"/>
  <c r="I55" i="3"/>
  <c r="C55" i="3"/>
  <c r="B55" i="3"/>
  <c r="V54" i="3"/>
  <c r="T54" i="3"/>
  <c r="W54" i="3" s="1"/>
  <c r="J54" i="3"/>
  <c r="I54" i="3"/>
  <c r="C54" i="3"/>
  <c r="B54" i="3"/>
  <c r="V53" i="3"/>
  <c r="T53" i="3"/>
  <c r="W53" i="3" s="1"/>
  <c r="J53" i="3"/>
  <c r="I53" i="3"/>
  <c r="C53" i="3"/>
  <c r="B53" i="3"/>
  <c r="V52" i="3"/>
  <c r="T52" i="3"/>
  <c r="W52" i="3" s="1"/>
  <c r="J52" i="3"/>
  <c r="I52" i="3"/>
  <c r="C52" i="3"/>
  <c r="B52" i="3"/>
  <c r="V51" i="3"/>
  <c r="T51" i="3"/>
  <c r="W51" i="3" s="1"/>
  <c r="J51" i="3"/>
  <c r="I51" i="3"/>
  <c r="C51" i="3"/>
  <c r="B51" i="3"/>
  <c r="V50" i="3"/>
  <c r="T50" i="3"/>
  <c r="W50" i="3" s="1"/>
  <c r="J50" i="3"/>
  <c r="I50" i="3"/>
  <c r="C50" i="3"/>
  <c r="B50" i="3"/>
  <c r="V49" i="3"/>
  <c r="T49" i="3"/>
  <c r="W49" i="3" s="1"/>
  <c r="J49" i="3"/>
  <c r="I49" i="3"/>
  <c r="C49" i="3"/>
  <c r="B49" i="3"/>
  <c r="V48" i="3"/>
  <c r="T48" i="3"/>
  <c r="W48" i="3" s="1"/>
  <c r="J48" i="3"/>
  <c r="I48" i="3"/>
  <c r="C48" i="3"/>
  <c r="B48" i="3"/>
  <c r="V47" i="3"/>
  <c r="T47" i="3"/>
  <c r="W47" i="3" s="1"/>
  <c r="J47" i="3"/>
  <c r="I47" i="3"/>
  <c r="C47" i="3"/>
  <c r="B47" i="3"/>
  <c r="V46" i="3"/>
  <c r="T46" i="3"/>
  <c r="W46" i="3" s="1"/>
  <c r="J46" i="3"/>
  <c r="I46" i="3"/>
  <c r="C46" i="3"/>
  <c r="B46" i="3"/>
  <c r="V45" i="3"/>
  <c r="T45" i="3"/>
  <c r="W45" i="3" s="1"/>
  <c r="J45" i="3"/>
  <c r="I45" i="3"/>
  <c r="C45" i="3"/>
  <c r="B45" i="3"/>
  <c r="V44" i="3"/>
  <c r="T44" i="3"/>
  <c r="W44" i="3" s="1"/>
  <c r="J44" i="3"/>
  <c r="I44" i="3"/>
  <c r="C44" i="3"/>
  <c r="B44" i="3"/>
  <c r="V43" i="3"/>
  <c r="T43" i="3"/>
  <c r="W43" i="3" s="1"/>
  <c r="J43" i="3"/>
  <c r="I43" i="3"/>
  <c r="C43" i="3"/>
  <c r="B43" i="3"/>
  <c r="V42" i="3"/>
  <c r="T42" i="3"/>
  <c r="W42" i="3" s="1"/>
  <c r="J42" i="3"/>
  <c r="I42" i="3"/>
  <c r="C42" i="3"/>
  <c r="B42" i="3"/>
  <c r="V41" i="3"/>
  <c r="T41" i="3"/>
  <c r="W41" i="3" s="1"/>
  <c r="J41" i="3"/>
  <c r="I41" i="3"/>
  <c r="C41" i="3"/>
  <c r="B41" i="3"/>
  <c r="V40" i="3"/>
  <c r="T40" i="3"/>
  <c r="W40" i="3" s="1"/>
  <c r="J40" i="3"/>
  <c r="I40" i="3"/>
  <c r="C40" i="3"/>
  <c r="B40" i="3"/>
  <c r="V39" i="3"/>
  <c r="T39" i="3"/>
  <c r="W39" i="3" s="1"/>
  <c r="J39" i="3"/>
  <c r="I39" i="3"/>
  <c r="C39" i="3"/>
  <c r="B39" i="3"/>
  <c r="V38" i="3"/>
  <c r="T38" i="3"/>
  <c r="W38" i="3" s="1"/>
  <c r="J38" i="3"/>
  <c r="I38" i="3"/>
  <c r="C38" i="3"/>
  <c r="B38" i="3"/>
  <c r="V37" i="3"/>
  <c r="T37" i="3"/>
  <c r="W37" i="3" s="1"/>
  <c r="J37" i="3"/>
  <c r="I37" i="3"/>
  <c r="C37" i="3"/>
  <c r="B37" i="3"/>
  <c r="V36" i="3"/>
  <c r="T36" i="3"/>
  <c r="W36" i="3" s="1"/>
  <c r="J36" i="3"/>
  <c r="I36" i="3"/>
  <c r="C36" i="3"/>
  <c r="B36" i="3"/>
  <c r="V35" i="3"/>
  <c r="T35" i="3"/>
  <c r="W35" i="3" s="1"/>
  <c r="J35" i="3"/>
  <c r="I35" i="3"/>
  <c r="C35" i="3"/>
  <c r="B35" i="3"/>
  <c r="V34" i="3"/>
  <c r="T34" i="3"/>
  <c r="W34" i="3" s="1"/>
  <c r="J34" i="3"/>
  <c r="I34" i="3"/>
  <c r="C34" i="3"/>
  <c r="B34" i="3"/>
  <c r="V33" i="3"/>
  <c r="T33" i="3"/>
  <c r="W33" i="3" s="1"/>
  <c r="J33" i="3"/>
  <c r="I33" i="3"/>
  <c r="C33" i="3"/>
  <c r="B33" i="3"/>
  <c r="V32" i="3"/>
  <c r="T32" i="3"/>
  <c r="W32" i="3" s="1"/>
  <c r="J32" i="3"/>
  <c r="I32" i="3"/>
  <c r="C32" i="3"/>
  <c r="B32" i="3"/>
  <c r="V31" i="3"/>
  <c r="T31" i="3"/>
  <c r="W31" i="3" s="1"/>
  <c r="J31" i="3"/>
  <c r="I31" i="3"/>
  <c r="C31" i="3"/>
  <c r="B31" i="3"/>
  <c r="V30" i="3"/>
  <c r="T30" i="3"/>
  <c r="W30" i="3" s="1"/>
  <c r="J30" i="3"/>
  <c r="I30" i="3"/>
  <c r="C30" i="3"/>
  <c r="B30" i="3"/>
  <c r="V29" i="3"/>
  <c r="T29" i="3"/>
  <c r="W29" i="3" s="1"/>
  <c r="J29" i="3"/>
  <c r="I29" i="3"/>
  <c r="C29" i="3"/>
  <c r="B29" i="3"/>
  <c r="V28" i="3"/>
  <c r="T28" i="3"/>
  <c r="W28" i="3" s="1"/>
  <c r="J28" i="3"/>
  <c r="I28" i="3"/>
  <c r="C28" i="3"/>
  <c r="B28" i="3"/>
  <c r="V27" i="3"/>
  <c r="T27" i="3"/>
  <c r="W27" i="3" s="1"/>
  <c r="C27" i="3"/>
  <c r="B27" i="3"/>
  <c r="V7" i="3"/>
  <c r="F7" i="3"/>
  <c r="E7" i="3"/>
  <c r="D7" i="3"/>
  <c r="B7" i="3"/>
  <c r="T4" i="3"/>
  <c r="V2" i="3"/>
  <c r="S552" i="2"/>
  <c r="S551" i="2"/>
  <c r="T546" i="2"/>
  <c r="D546" i="2"/>
  <c r="T542" i="2"/>
  <c r="BA542" i="2" s="1"/>
  <c r="D542" i="2"/>
  <c r="T539" i="2"/>
  <c r="D539" i="2"/>
  <c r="T538" i="2"/>
  <c r="AE538" i="2" s="1"/>
  <c r="D538" i="2"/>
  <c r="T535" i="2"/>
  <c r="D535" i="2"/>
  <c r="T534" i="2"/>
  <c r="D534" i="2"/>
  <c r="T533" i="2"/>
  <c r="D533" i="2"/>
  <c r="T531" i="2"/>
  <c r="AC531" i="2" s="1"/>
  <c r="AC530" i="2" s="1"/>
  <c r="D531" i="2"/>
  <c r="T529" i="2"/>
  <c r="D529" i="2"/>
  <c r="T528" i="2"/>
  <c r="AS528" i="2" s="1"/>
  <c r="D528" i="2"/>
  <c r="T527" i="2"/>
  <c r="AI527" i="2" s="1"/>
  <c r="D527" i="2"/>
  <c r="T526" i="2"/>
  <c r="D526" i="2"/>
  <c r="T525" i="2"/>
  <c r="BE525" i="2" s="1"/>
  <c r="D525" i="2"/>
  <c r="T524" i="2"/>
  <c r="D524" i="2"/>
  <c r="T523" i="2"/>
  <c r="D523" i="2"/>
  <c r="T522" i="2"/>
  <c r="D522" i="2"/>
  <c r="T521" i="2"/>
  <c r="D521" i="2"/>
  <c r="T520" i="2"/>
  <c r="AC520" i="2" s="1"/>
  <c r="D520" i="2"/>
  <c r="T519" i="2"/>
  <c r="AE519" i="2" s="1"/>
  <c r="D519" i="2"/>
  <c r="T518" i="2"/>
  <c r="D518" i="2"/>
  <c r="T517" i="2"/>
  <c r="U517" i="2" s="1"/>
  <c r="D517" i="2"/>
  <c r="T516" i="2"/>
  <c r="AU516" i="2" s="1"/>
  <c r="D516" i="2"/>
  <c r="T515" i="2"/>
  <c r="D515" i="2"/>
  <c r="T514" i="2"/>
  <c r="AS514" i="2" s="1"/>
  <c r="D514" i="2"/>
  <c r="T513" i="2"/>
  <c r="D513" i="2"/>
  <c r="T512" i="2"/>
  <c r="D512" i="2"/>
  <c r="T511" i="2"/>
  <c r="D511" i="2"/>
  <c r="T510" i="2"/>
  <c r="D510" i="2"/>
  <c r="T509" i="2"/>
  <c r="AC509" i="2" s="1"/>
  <c r="D509" i="2"/>
  <c r="T508" i="2"/>
  <c r="AQ508" i="2" s="1"/>
  <c r="D508" i="2"/>
  <c r="T507" i="2"/>
  <c r="Y507" i="2" s="1"/>
  <c r="D507" i="2"/>
  <c r="T506" i="2"/>
  <c r="AY506" i="2" s="1"/>
  <c r="D506" i="2"/>
  <c r="T505" i="2"/>
  <c r="Y505" i="2" s="1"/>
  <c r="D505" i="2"/>
  <c r="T504" i="2"/>
  <c r="BC504" i="2" s="1"/>
  <c r="D504" i="2"/>
  <c r="T503" i="2"/>
  <c r="D503" i="2"/>
  <c r="T502" i="2"/>
  <c r="AS502" i="2" s="1"/>
  <c r="D502" i="2"/>
  <c r="T501" i="2"/>
  <c r="D501" i="2"/>
  <c r="T500" i="2"/>
  <c r="AK500" i="2" s="1"/>
  <c r="D500" i="2"/>
  <c r="T499" i="2"/>
  <c r="AW499" i="2" s="1"/>
  <c r="D499" i="2"/>
  <c r="T498" i="2"/>
  <c r="AO498" i="2" s="1"/>
  <c r="D498" i="2"/>
  <c r="T497" i="2"/>
  <c r="D497" i="2"/>
  <c r="T496" i="2"/>
  <c r="BE496" i="2" s="1"/>
  <c r="D496" i="2"/>
  <c r="T495" i="2"/>
  <c r="AC495" i="2" s="1"/>
  <c r="D495" i="2"/>
  <c r="T494" i="2"/>
  <c r="AG494" i="2" s="1"/>
  <c r="D494" i="2"/>
  <c r="T493" i="2"/>
  <c r="AY493" i="2" s="1"/>
  <c r="D493" i="2"/>
  <c r="T492" i="2"/>
  <c r="AI492" i="2" s="1"/>
  <c r="D492" i="2"/>
  <c r="T491" i="2"/>
  <c r="AQ491" i="2" s="1"/>
  <c r="D491" i="2"/>
  <c r="T490" i="2"/>
  <c r="D490" i="2"/>
  <c r="T489" i="2"/>
  <c r="AK489" i="2" s="1"/>
  <c r="D489" i="2"/>
  <c r="T488" i="2"/>
  <c r="BE488" i="2" s="1"/>
  <c r="D488" i="2"/>
  <c r="T487" i="2"/>
  <c r="AA487" i="2" s="1"/>
  <c r="D487" i="2"/>
  <c r="T486" i="2"/>
  <c r="AQ486" i="2" s="1"/>
  <c r="D486" i="2"/>
  <c r="T485" i="2"/>
  <c r="AC485" i="2" s="1"/>
  <c r="D485" i="2"/>
  <c r="T484" i="2"/>
  <c r="D484" i="2"/>
  <c r="T482" i="2"/>
  <c r="AG482" i="2" s="1"/>
  <c r="D482" i="2"/>
  <c r="T481" i="2"/>
  <c r="Y481" i="2" s="1"/>
  <c r="D481" i="2"/>
  <c r="T480" i="2"/>
  <c r="D480" i="2"/>
  <c r="T479" i="2"/>
  <c r="BC479" i="2" s="1"/>
  <c r="D479" i="2"/>
  <c r="T478" i="2"/>
  <c r="D478" i="2"/>
  <c r="T477" i="2"/>
  <c r="AO477" i="2" s="1"/>
  <c r="D477" i="2"/>
  <c r="T476" i="2"/>
  <c r="D476" i="2"/>
  <c r="T475" i="2"/>
  <c r="D475" i="2"/>
  <c r="T474" i="2"/>
  <c r="AW474" i="2" s="1"/>
  <c r="D474" i="2"/>
  <c r="T473" i="2"/>
  <c r="D473" i="2"/>
  <c r="T472" i="2"/>
  <c r="D472" i="2"/>
  <c r="T471" i="2"/>
  <c r="AE471" i="2" s="1"/>
  <c r="D471" i="2"/>
  <c r="T470" i="2"/>
  <c r="AK470" i="2" s="1"/>
  <c r="D470" i="2"/>
  <c r="T469" i="2"/>
  <c r="U469" i="2" s="1"/>
  <c r="D469" i="2"/>
  <c r="T468" i="2"/>
  <c r="AA468" i="2" s="1"/>
  <c r="D468" i="2"/>
  <c r="T467" i="2"/>
  <c r="D467" i="2"/>
  <c r="T466" i="2"/>
  <c r="AA466" i="2" s="1"/>
  <c r="D466" i="2"/>
  <c r="T465" i="2"/>
  <c r="D465" i="2"/>
  <c r="T464" i="2"/>
  <c r="D464" i="2"/>
  <c r="T463" i="2"/>
  <c r="BE463" i="2" s="1"/>
  <c r="D463" i="2"/>
  <c r="T462" i="2"/>
  <c r="AO462" i="2" s="1"/>
  <c r="D462" i="2"/>
  <c r="T461" i="2"/>
  <c r="U461" i="2" s="1"/>
  <c r="D461" i="2"/>
  <c r="T460" i="2"/>
  <c r="AW460" i="2" s="1"/>
  <c r="D460" i="2"/>
  <c r="T459" i="2"/>
  <c r="D459" i="2"/>
  <c r="T458" i="2"/>
  <c r="AS458" i="2" s="1"/>
  <c r="D458" i="2"/>
  <c r="T457" i="2"/>
  <c r="D457" i="2"/>
  <c r="T456" i="2"/>
  <c r="AA456" i="2" s="1"/>
  <c r="D456" i="2"/>
  <c r="T455" i="2"/>
  <c r="D455" i="2"/>
  <c r="T454" i="2"/>
  <c r="AI454" i="2" s="1"/>
  <c r="D454" i="2"/>
  <c r="T453" i="2"/>
  <c r="AE453" i="2" s="1"/>
  <c r="D453" i="2"/>
  <c r="T452" i="2"/>
  <c r="U452" i="2" s="1"/>
  <c r="D452" i="2"/>
  <c r="T451" i="2"/>
  <c r="AA451" i="2" s="1"/>
  <c r="D451" i="2"/>
  <c r="T450" i="2"/>
  <c r="D450" i="2"/>
  <c r="T449" i="2"/>
  <c r="BC449" i="2" s="1"/>
  <c r="D449" i="2"/>
  <c r="T448" i="2"/>
  <c r="BC448" i="2" s="1"/>
  <c r="D448" i="2"/>
  <c r="T447" i="2"/>
  <c r="AW447" i="2" s="1"/>
  <c r="D447" i="2"/>
  <c r="T446" i="2"/>
  <c r="D446" i="2"/>
  <c r="T445" i="2"/>
  <c r="U445" i="2" s="1"/>
  <c r="D445" i="2"/>
  <c r="T444" i="2"/>
  <c r="AW444" i="2" s="1"/>
  <c r="D444" i="2"/>
  <c r="T443" i="2"/>
  <c r="D443" i="2"/>
  <c r="T442" i="2"/>
  <c r="BC442" i="2" s="1"/>
  <c r="D442" i="2"/>
  <c r="T441" i="2"/>
  <c r="D441" i="2"/>
  <c r="T440" i="2"/>
  <c r="AE440" i="2" s="1"/>
  <c r="D440" i="2"/>
  <c r="T439" i="2"/>
  <c r="AG439" i="2" s="1"/>
  <c r="D439" i="2"/>
  <c r="T438" i="2"/>
  <c r="AE438" i="2" s="1"/>
  <c r="D438" i="2"/>
  <c r="T437" i="2"/>
  <c r="BA437" i="2" s="1"/>
  <c r="D437" i="2"/>
  <c r="T436" i="2"/>
  <c r="AC436" i="2" s="1"/>
  <c r="D436" i="2"/>
  <c r="T435" i="2"/>
  <c r="D435" i="2"/>
  <c r="T434" i="2"/>
  <c r="AW434" i="2" s="1"/>
  <c r="D434" i="2"/>
  <c r="T433" i="2"/>
  <c r="AA433" i="2" s="1"/>
  <c r="D433" i="2"/>
  <c r="T432" i="2"/>
  <c r="AA432" i="2" s="1"/>
  <c r="D432" i="2"/>
  <c r="T431" i="2"/>
  <c r="AO431" i="2" s="1"/>
  <c r="D431" i="2"/>
  <c r="T430" i="2"/>
  <c r="AY430" i="2" s="1"/>
  <c r="D430" i="2"/>
  <c r="T429" i="2"/>
  <c r="D429" i="2"/>
  <c r="T428" i="2"/>
  <c r="AS428" i="2" s="1"/>
  <c r="D428" i="2"/>
  <c r="T427" i="2"/>
  <c r="D427" i="2"/>
  <c r="T426" i="2"/>
  <c r="AC426" i="2" s="1"/>
  <c r="D426" i="2"/>
  <c r="T425" i="2"/>
  <c r="D425" i="2"/>
  <c r="T424" i="2"/>
  <c r="AU424" i="2" s="1"/>
  <c r="D424" i="2"/>
  <c r="T423" i="2"/>
  <c r="D423" i="2"/>
  <c r="T422" i="2"/>
  <c r="D422" i="2"/>
  <c r="T421" i="2"/>
  <c r="D421" i="2"/>
  <c r="T420" i="2"/>
  <c r="BA420" i="2" s="1"/>
  <c r="D420" i="2"/>
  <c r="T419" i="2"/>
  <c r="AQ419" i="2" s="1"/>
  <c r="D419" i="2"/>
  <c r="T418" i="2"/>
  <c r="D418" i="2"/>
  <c r="T417" i="2"/>
  <c r="BE417" i="2" s="1"/>
  <c r="D417" i="2"/>
  <c r="T416" i="2"/>
  <c r="BC416" i="2" s="1"/>
  <c r="D416" i="2"/>
  <c r="T415" i="2"/>
  <c r="D415" i="2"/>
  <c r="T414" i="2"/>
  <c r="BE414" i="2" s="1"/>
  <c r="D414" i="2"/>
  <c r="T413" i="2"/>
  <c r="U413" i="2" s="1"/>
  <c r="D413" i="2"/>
  <c r="T412" i="2"/>
  <c r="AU412" i="2" s="1"/>
  <c r="D412" i="2"/>
  <c r="T411" i="2"/>
  <c r="AC411" i="2" s="1"/>
  <c r="D411" i="2"/>
  <c r="T410" i="2"/>
  <c r="Y410" i="2" s="1"/>
  <c r="D410" i="2"/>
  <c r="T409" i="2"/>
  <c r="BE409" i="2" s="1"/>
  <c r="D409" i="2"/>
  <c r="T408" i="2"/>
  <c r="BA408" i="2" s="1"/>
  <c r="D408" i="2"/>
  <c r="T407" i="2"/>
  <c r="AM407" i="2" s="1"/>
  <c r="D407" i="2"/>
  <c r="T406" i="2"/>
  <c r="AG406" i="2" s="1"/>
  <c r="D406" i="2"/>
  <c r="T404" i="2"/>
  <c r="D404" i="2"/>
  <c r="T403" i="2"/>
  <c r="Y403" i="2" s="1"/>
  <c r="D403" i="2"/>
  <c r="T402" i="2"/>
  <c r="AK402" i="2" s="1"/>
  <c r="D402" i="2"/>
  <c r="T401" i="2"/>
  <c r="D401" i="2"/>
  <c r="T400" i="2"/>
  <c r="AU400" i="2" s="1"/>
  <c r="D400" i="2"/>
  <c r="T399" i="2"/>
  <c r="AW399" i="2" s="1"/>
  <c r="D399" i="2"/>
  <c r="T398" i="2"/>
  <c r="U398" i="2" s="1"/>
  <c r="D398" i="2"/>
  <c r="T397" i="2"/>
  <c r="AO397" i="2" s="1"/>
  <c r="D397" i="2"/>
  <c r="T395" i="2"/>
  <c r="D395" i="2"/>
  <c r="T394" i="2"/>
  <c r="AS394" i="2" s="1"/>
  <c r="D394" i="2"/>
  <c r="T393" i="2"/>
  <c r="AW393" i="2" s="1"/>
  <c r="D393" i="2"/>
  <c r="T392" i="2"/>
  <c r="AK392" i="2" s="1"/>
  <c r="D392" i="2"/>
  <c r="T391" i="2"/>
  <c r="AK391" i="2" s="1"/>
  <c r="D391" i="2"/>
  <c r="T390" i="2"/>
  <c r="D390" i="2"/>
  <c r="T389" i="2"/>
  <c r="AO389" i="2" s="1"/>
  <c r="D389" i="2"/>
  <c r="T388" i="2"/>
  <c r="BC388" i="2" s="1"/>
  <c r="D388" i="2"/>
  <c r="T387" i="2"/>
  <c r="D387" i="2"/>
  <c r="T386" i="2"/>
  <c r="AA386" i="2" s="1"/>
  <c r="D386" i="2"/>
  <c r="T385" i="2"/>
  <c r="Y385" i="2" s="1"/>
  <c r="D385" i="2"/>
  <c r="T384" i="2"/>
  <c r="AW384" i="2" s="1"/>
  <c r="D384" i="2"/>
  <c r="T383" i="2"/>
  <c r="BA383" i="2" s="1"/>
  <c r="D383" i="2"/>
  <c r="T382" i="2"/>
  <c r="D382" i="2"/>
  <c r="T381" i="2"/>
  <c r="D381" i="2"/>
  <c r="T380" i="2"/>
  <c r="Y380" i="2" s="1"/>
  <c r="D380" i="2"/>
  <c r="T379" i="2"/>
  <c r="AW379" i="2" s="1"/>
  <c r="D379" i="2"/>
  <c r="T378" i="2"/>
  <c r="BE378" i="2" s="1"/>
  <c r="D378" i="2"/>
  <c r="T376" i="2"/>
  <c r="D376" i="2"/>
  <c r="T374" i="2"/>
  <c r="D374" i="2"/>
  <c r="T370" i="2"/>
  <c r="BA370" i="2" s="1"/>
  <c r="D370" i="2"/>
  <c r="T369" i="2"/>
  <c r="AA369" i="2" s="1"/>
  <c r="D369" i="2"/>
  <c r="T367" i="2"/>
  <c r="D367" i="2"/>
  <c r="T365" i="2"/>
  <c r="AM365" i="2" s="1"/>
  <c r="D365" i="2"/>
  <c r="T364" i="2"/>
  <c r="D364" i="2"/>
  <c r="T362" i="2"/>
  <c r="AS362" i="2" s="1"/>
  <c r="D362" i="2"/>
  <c r="T361" i="2"/>
  <c r="U361" i="2" s="1"/>
  <c r="D361" i="2"/>
  <c r="T360" i="2"/>
  <c r="AA360" i="2" s="1"/>
  <c r="D360" i="2"/>
  <c r="T359" i="2"/>
  <c r="D359" i="2"/>
  <c r="T358" i="2"/>
  <c r="AY358" i="2" s="1"/>
  <c r="D358" i="2"/>
  <c r="T357" i="2"/>
  <c r="AY357" i="2" s="1"/>
  <c r="D357" i="2"/>
  <c r="T355" i="2"/>
  <c r="AE355" i="2" s="1"/>
  <c r="D355" i="2"/>
  <c r="T354" i="2"/>
  <c r="AA354" i="2" s="1"/>
  <c r="D354" i="2"/>
  <c r="T353" i="2"/>
  <c r="AY353" i="2" s="1"/>
  <c r="D353" i="2"/>
  <c r="T351" i="2"/>
  <c r="AI351" i="2" s="1"/>
  <c r="AI350" i="2" s="1"/>
  <c r="D351" i="2"/>
  <c r="T349" i="2"/>
  <c r="D349" i="2"/>
  <c r="T348" i="2"/>
  <c r="BA348" i="2" s="1"/>
  <c r="D348" i="2"/>
  <c r="T347" i="2"/>
  <c r="AY347" i="2" s="1"/>
  <c r="D347" i="2"/>
  <c r="T345" i="2"/>
  <c r="AE345" i="2" s="1"/>
  <c r="D345" i="2"/>
  <c r="T344" i="2"/>
  <c r="D344" i="2"/>
  <c r="T343" i="2"/>
  <c r="AW343" i="2" s="1"/>
  <c r="D343" i="2"/>
  <c r="T342" i="2"/>
  <c r="D342" i="2"/>
  <c r="T341" i="2"/>
  <c r="AK341" i="2" s="1"/>
  <c r="D341" i="2"/>
  <c r="T340" i="2"/>
  <c r="D340" i="2"/>
  <c r="T339" i="2"/>
  <c r="D339" i="2"/>
  <c r="T338" i="2"/>
  <c r="AM338" i="2" s="1"/>
  <c r="D338" i="2"/>
  <c r="T336" i="2"/>
  <c r="BE336" i="2" s="1"/>
  <c r="BE335" i="2" s="1"/>
  <c r="D336" i="2"/>
  <c r="T334" i="2"/>
  <c r="Y334" i="2" s="1"/>
  <c r="Y333" i="2" s="1"/>
  <c r="D334" i="2"/>
  <c r="T331" i="2"/>
  <c r="AM331" i="2" s="1"/>
  <c r="AM330" i="2" s="1"/>
  <c r="D331" i="2"/>
  <c r="T329" i="2"/>
  <c r="AG329" i="2" s="1"/>
  <c r="AG328" i="2" s="1"/>
  <c r="D329" i="2"/>
  <c r="T325" i="2"/>
  <c r="AY325" i="2" s="1"/>
  <c r="AY324" i="2" s="1"/>
  <c r="D325" i="2"/>
  <c r="T323" i="2"/>
  <c r="AA323" i="2" s="1"/>
  <c r="AA322" i="2" s="1"/>
  <c r="D323" i="2"/>
  <c r="T321" i="2"/>
  <c r="AU321" i="2" s="1"/>
  <c r="D321" i="2"/>
  <c r="T320" i="2"/>
  <c r="D320" i="2"/>
  <c r="T319" i="2"/>
  <c r="D319" i="2"/>
  <c r="T317" i="2"/>
  <c r="U317" i="2" s="1"/>
  <c r="D317" i="2"/>
  <c r="T316" i="2"/>
  <c r="AA316" i="2" s="1"/>
  <c r="D316" i="2"/>
  <c r="T315" i="2"/>
  <c r="AA315" i="2" s="1"/>
  <c r="D315" i="2"/>
  <c r="T314" i="2"/>
  <c r="D314" i="2"/>
  <c r="T312" i="2"/>
  <c r="BE312" i="2" s="1"/>
  <c r="D312" i="2"/>
  <c r="T311" i="2"/>
  <c r="AC311" i="2" s="1"/>
  <c r="D311" i="2"/>
  <c r="T310" i="2"/>
  <c r="BC310" i="2" s="1"/>
  <c r="D310" i="2"/>
  <c r="T309" i="2"/>
  <c r="AU309" i="2" s="1"/>
  <c r="D309" i="2"/>
  <c r="T308" i="2"/>
  <c r="D308" i="2"/>
  <c r="T307" i="2"/>
  <c r="D307" i="2"/>
  <c r="T305" i="2"/>
  <c r="BE305" i="2" s="1"/>
  <c r="D305" i="2"/>
  <c r="T302" i="2"/>
  <c r="D302" i="2"/>
  <c r="T301" i="2"/>
  <c r="BC301" i="2" s="1"/>
  <c r="D301" i="2"/>
  <c r="T300" i="2"/>
  <c r="D300" i="2"/>
  <c r="T299" i="2"/>
  <c r="D299" i="2"/>
  <c r="T297" i="2"/>
  <c r="U297" i="2" s="1"/>
  <c r="U296" i="2" s="1"/>
  <c r="D297" i="2"/>
  <c r="T295" i="2"/>
  <c r="D295" i="2"/>
  <c r="T293" i="2"/>
  <c r="AC293" i="2" s="1"/>
  <c r="AC292" i="2" s="1"/>
  <c r="D293" i="2"/>
  <c r="T291" i="2"/>
  <c r="BE291" i="2" s="1"/>
  <c r="BE290" i="2" s="1"/>
  <c r="D291" i="2"/>
  <c r="T286" i="2"/>
  <c r="BC286" i="2" s="1"/>
  <c r="D286" i="2"/>
  <c r="T285" i="2"/>
  <c r="AA285" i="2" s="1"/>
  <c r="D285" i="2"/>
  <c r="T284" i="2"/>
  <c r="D284" i="2"/>
  <c r="T283" i="2"/>
  <c r="D283" i="2"/>
  <c r="T281" i="2"/>
  <c r="Y281" i="2" s="1"/>
  <c r="D281" i="2"/>
  <c r="T280" i="2"/>
  <c r="BE280" i="2" s="1"/>
  <c r="D280" i="2"/>
  <c r="T278" i="2"/>
  <c r="D278" i="2"/>
  <c r="T276" i="2"/>
  <c r="AM276" i="2" s="1"/>
  <c r="D276" i="2"/>
  <c r="T275" i="2"/>
  <c r="D275" i="2"/>
  <c r="T274" i="2"/>
  <c r="BC274" i="2" s="1"/>
  <c r="D274" i="2"/>
  <c r="T273" i="2"/>
  <c r="AK273" i="2" s="1"/>
  <c r="D273" i="2"/>
  <c r="T272" i="2"/>
  <c r="AE272" i="2" s="1"/>
  <c r="D272" i="2"/>
  <c r="T271" i="2"/>
  <c r="AC271" i="2" s="1"/>
  <c r="D271" i="2"/>
  <c r="T270" i="2"/>
  <c r="D270" i="2"/>
  <c r="T269" i="2"/>
  <c r="AW269" i="2" s="1"/>
  <c r="D269" i="2"/>
  <c r="T268" i="2"/>
  <c r="BC268" i="2" s="1"/>
  <c r="D268" i="2"/>
  <c r="T267" i="2"/>
  <c r="AA267" i="2" s="1"/>
  <c r="D267" i="2"/>
  <c r="T266" i="2"/>
  <c r="AY266" i="2" s="1"/>
  <c r="D266" i="2"/>
  <c r="T265" i="2"/>
  <c r="Y265" i="2" s="1"/>
  <c r="D265" i="2"/>
  <c r="T264" i="2"/>
  <c r="D264" i="2"/>
  <c r="T263" i="2"/>
  <c r="Y263" i="2" s="1"/>
  <c r="D263" i="2"/>
  <c r="T262" i="2"/>
  <c r="BE262" i="2" s="1"/>
  <c r="D262" i="2"/>
  <c r="T261" i="2"/>
  <c r="D261" i="2"/>
  <c r="T260" i="2"/>
  <c r="AO260" i="2" s="1"/>
  <c r="D260" i="2"/>
  <c r="T259" i="2"/>
  <c r="AA259" i="2" s="1"/>
  <c r="D259" i="2"/>
  <c r="T258" i="2"/>
  <c r="BE258" i="2" s="1"/>
  <c r="D258" i="2"/>
  <c r="T257" i="2"/>
  <c r="AK257" i="2" s="1"/>
  <c r="D257" i="2"/>
  <c r="T256" i="2"/>
  <c r="D256" i="2"/>
  <c r="T255" i="2"/>
  <c r="D255" i="2"/>
  <c r="T254" i="2"/>
  <c r="BE254" i="2" s="1"/>
  <c r="D254" i="2"/>
  <c r="T253" i="2"/>
  <c r="AK253" i="2" s="1"/>
  <c r="D253" i="2"/>
  <c r="T252" i="2"/>
  <c r="D252" i="2"/>
  <c r="T251" i="2"/>
  <c r="Y251" i="2" s="1"/>
  <c r="D251" i="2"/>
  <c r="T250" i="2"/>
  <c r="D250" i="2"/>
  <c r="T249" i="2"/>
  <c r="D249" i="2"/>
  <c r="T248" i="2"/>
  <c r="D248" i="2"/>
  <c r="T246" i="2"/>
  <c r="D246" i="2"/>
  <c r="T245" i="2"/>
  <c r="BC245" i="2" s="1"/>
  <c r="D245" i="2"/>
  <c r="T244" i="2"/>
  <c r="AK244" i="2" s="1"/>
  <c r="D244" i="2"/>
  <c r="T243" i="2"/>
  <c r="AK243" i="2" s="1"/>
  <c r="D243" i="2"/>
  <c r="T242" i="2"/>
  <c r="D242" i="2"/>
  <c r="T241" i="2"/>
  <c r="U241" i="2" s="1"/>
  <c r="D241" i="2"/>
  <c r="T240" i="2"/>
  <c r="BE240" i="2" s="1"/>
  <c r="D240" i="2"/>
  <c r="T239" i="2"/>
  <c r="D239" i="2"/>
  <c r="T238" i="2"/>
  <c r="BE238" i="2" s="1"/>
  <c r="D238" i="2"/>
  <c r="T237" i="2"/>
  <c r="AO237" i="2" s="1"/>
  <c r="D237" i="2"/>
  <c r="T236" i="2"/>
  <c r="D236" i="2"/>
  <c r="T235" i="2"/>
  <c r="D235" i="2"/>
  <c r="T234" i="2"/>
  <c r="AK234" i="2" s="1"/>
  <c r="D234" i="2"/>
  <c r="T232" i="2"/>
  <c r="AW232" i="2" s="1"/>
  <c r="AW231" i="2" s="1"/>
  <c r="D232" i="2"/>
  <c r="T230" i="2"/>
  <c r="D230" i="2"/>
  <c r="T229" i="2"/>
  <c r="AU229" i="2" s="1"/>
  <c r="D229" i="2"/>
  <c r="T228" i="2"/>
  <c r="AA228" i="2" s="1"/>
  <c r="D228" i="2"/>
  <c r="T227" i="2"/>
  <c r="D227" i="2"/>
  <c r="T225" i="2"/>
  <c r="AK225" i="2" s="1"/>
  <c r="D225" i="2"/>
  <c r="T224" i="2"/>
  <c r="AU224" i="2" s="1"/>
  <c r="D224" i="2"/>
  <c r="T223" i="2"/>
  <c r="BC223" i="2" s="1"/>
  <c r="D223" i="2"/>
  <c r="T222" i="2"/>
  <c r="AQ222" i="2" s="1"/>
  <c r="D222" i="2"/>
  <c r="T221" i="2"/>
  <c r="AW221" i="2" s="1"/>
  <c r="D221" i="2"/>
  <c r="T220" i="2"/>
  <c r="AO220" i="2" s="1"/>
  <c r="D220" i="2"/>
  <c r="T219" i="2"/>
  <c r="Y219" i="2" s="1"/>
  <c r="D219" i="2"/>
  <c r="T218" i="2"/>
  <c r="AE218" i="2" s="1"/>
  <c r="D218" i="2"/>
  <c r="T217" i="2"/>
  <c r="Y217" i="2" s="1"/>
  <c r="D217" i="2"/>
  <c r="T216" i="2"/>
  <c r="AK216" i="2" s="1"/>
  <c r="D216" i="2"/>
  <c r="T215" i="2"/>
  <c r="AG215" i="2" s="1"/>
  <c r="D215" i="2"/>
  <c r="T214" i="2"/>
  <c r="Y214" i="2" s="1"/>
  <c r="D214" i="2"/>
  <c r="T213" i="2"/>
  <c r="D213" i="2"/>
  <c r="T212" i="2"/>
  <c r="AO212" i="2" s="1"/>
  <c r="D212" i="2"/>
  <c r="T210" i="2"/>
  <c r="AW210" i="2" s="1"/>
  <c r="AW209" i="2" s="1"/>
  <c r="D210" i="2"/>
  <c r="T208" i="2"/>
  <c r="BE208" i="2" s="1"/>
  <c r="D208" i="2"/>
  <c r="T205" i="2"/>
  <c r="BC205" i="2" s="1"/>
  <c r="BC204" i="2" s="1"/>
  <c r="BC203" i="2" s="1"/>
  <c r="D205" i="2"/>
  <c r="T202" i="2"/>
  <c r="BC202" i="2" s="1"/>
  <c r="D202" i="2"/>
  <c r="T201" i="2"/>
  <c r="AY201" i="2" s="1"/>
  <c r="D201" i="2"/>
  <c r="T199" i="2"/>
  <c r="AK199" i="2" s="1"/>
  <c r="AK198" i="2" s="1"/>
  <c r="D199" i="2"/>
  <c r="T197" i="2"/>
  <c r="AK197" i="2" s="1"/>
  <c r="AK196" i="2" s="1"/>
  <c r="D197" i="2"/>
  <c r="T195" i="2"/>
  <c r="BE195" i="2" s="1"/>
  <c r="D195" i="2"/>
  <c r="T191" i="2"/>
  <c r="BE191" i="2" s="1"/>
  <c r="D191" i="2"/>
  <c r="T190" i="2"/>
  <c r="AU190" i="2" s="1"/>
  <c r="D190" i="2"/>
  <c r="T188" i="2"/>
  <c r="D188" i="2"/>
  <c r="T187" i="2"/>
  <c r="AW187" i="2" s="1"/>
  <c r="D187" i="2"/>
  <c r="T186" i="2"/>
  <c r="U186" i="2" s="1"/>
  <c r="D186" i="2"/>
  <c r="T185" i="2"/>
  <c r="D185" i="2"/>
  <c r="T184" i="2"/>
  <c r="AG184" i="2" s="1"/>
  <c r="D184" i="2"/>
  <c r="T183" i="2"/>
  <c r="BE183" i="2" s="1"/>
  <c r="D183" i="2"/>
  <c r="T182" i="2"/>
  <c r="D182" i="2"/>
  <c r="T180" i="2"/>
  <c r="AY180" i="2" s="1"/>
  <c r="D180" i="2"/>
  <c r="T179" i="2"/>
  <c r="BE179" i="2" s="1"/>
  <c r="D179" i="2"/>
  <c r="T178" i="2"/>
  <c r="BE178" i="2" s="1"/>
  <c r="D178" i="2"/>
  <c r="T176" i="2"/>
  <c r="AA176" i="2" s="1"/>
  <c r="D176" i="2"/>
  <c r="T175" i="2"/>
  <c r="BE175" i="2" s="1"/>
  <c r="D175" i="2"/>
  <c r="T174" i="2"/>
  <c r="BE174" i="2" s="1"/>
  <c r="D174" i="2"/>
  <c r="T173" i="2"/>
  <c r="D173" i="2"/>
  <c r="T171" i="2"/>
  <c r="BC171" i="2" s="1"/>
  <c r="D171" i="2"/>
  <c r="T170" i="2"/>
  <c r="BA170" i="2" s="1"/>
  <c r="D170" i="2"/>
  <c r="T169" i="2"/>
  <c r="AU169" i="2" s="1"/>
  <c r="D169" i="2"/>
  <c r="T168" i="2"/>
  <c r="D168" i="2"/>
  <c r="T167" i="2"/>
  <c r="Y167" i="2" s="1"/>
  <c r="D167" i="2"/>
  <c r="T166" i="2"/>
  <c r="AC166" i="2" s="1"/>
  <c r="D166" i="2"/>
  <c r="T165" i="2"/>
  <c r="AQ165" i="2" s="1"/>
  <c r="D165" i="2"/>
  <c r="T164" i="2"/>
  <c r="BE164" i="2" s="1"/>
  <c r="D164" i="2"/>
  <c r="T163" i="2"/>
  <c r="AS163" i="2" s="1"/>
  <c r="D163" i="2"/>
  <c r="T162" i="2"/>
  <c r="AC162" i="2" s="1"/>
  <c r="D162" i="2"/>
  <c r="T161" i="2"/>
  <c r="AU161" i="2" s="1"/>
  <c r="D161" i="2"/>
  <c r="T160" i="2"/>
  <c r="D160" i="2"/>
  <c r="T159" i="2"/>
  <c r="D159" i="2"/>
  <c r="T158" i="2"/>
  <c r="D158" i="2"/>
  <c r="T157" i="2"/>
  <c r="AQ157" i="2" s="1"/>
  <c r="D157" i="2"/>
  <c r="T156" i="2"/>
  <c r="AC156" i="2" s="1"/>
  <c r="D156" i="2"/>
  <c r="T155" i="2"/>
  <c r="BC155" i="2" s="1"/>
  <c r="D155" i="2"/>
  <c r="T154" i="2"/>
  <c r="BE154" i="2" s="1"/>
  <c r="D154" i="2"/>
  <c r="T153" i="2"/>
  <c r="AE153" i="2" s="1"/>
  <c r="D153" i="2"/>
  <c r="T152" i="2"/>
  <c r="BE152" i="2" s="1"/>
  <c r="D152" i="2"/>
  <c r="T151" i="2"/>
  <c r="Y151" i="2" s="1"/>
  <c r="D151" i="2"/>
  <c r="T150" i="2"/>
  <c r="AY150" i="2" s="1"/>
  <c r="D150" i="2"/>
  <c r="T149" i="2"/>
  <c r="D149" i="2"/>
  <c r="T148" i="2"/>
  <c r="AC148" i="2" s="1"/>
  <c r="D148" i="2"/>
  <c r="T147" i="2"/>
  <c r="AU147" i="2" s="1"/>
  <c r="D147" i="2"/>
  <c r="T146" i="2"/>
  <c r="D146" i="2"/>
  <c r="T145" i="2"/>
  <c r="AY145" i="2" s="1"/>
  <c r="D145" i="2"/>
  <c r="T144" i="2"/>
  <c r="D144" i="2"/>
  <c r="T143" i="2"/>
  <c r="AM143" i="2" s="1"/>
  <c r="D143" i="2"/>
  <c r="T142" i="2"/>
  <c r="BA142" i="2" s="1"/>
  <c r="D142" i="2"/>
  <c r="T141" i="2"/>
  <c r="D141" i="2"/>
  <c r="T140" i="2"/>
  <c r="BE140" i="2" s="1"/>
  <c r="D140" i="2"/>
  <c r="T139" i="2"/>
  <c r="BA139" i="2" s="1"/>
  <c r="D139" i="2"/>
  <c r="T138" i="2"/>
  <c r="U138" i="2" s="1"/>
  <c r="D138" i="2"/>
  <c r="T137" i="2"/>
  <c r="AI137" i="2" s="1"/>
  <c r="D137" i="2"/>
  <c r="T136" i="2"/>
  <c r="BA136" i="2" s="1"/>
  <c r="D136" i="2"/>
  <c r="T135" i="2"/>
  <c r="U135" i="2" s="1"/>
  <c r="D135" i="2"/>
  <c r="T134" i="2"/>
  <c r="D134" i="2"/>
  <c r="T133" i="2"/>
  <c r="Y133" i="2" s="1"/>
  <c r="D133" i="2"/>
  <c r="T132" i="2"/>
  <c r="AC132" i="2" s="1"/>
  <c r="D132" i="2"/>
  <c r="T131" i="2"/>
  <c r="D131" i="2"/>
  <c r="T129" i="2"/>
  <c r="BE129" i="2" s="1"/>
  <c r="BE128" i="2" s="1"/>
  <c r="D129" i="2"/>
  <c r="T127" i="2"/>
  <c r="BE127" i="2" s="1"/>
  <c r="D127" i="2"/>
  <c r="T126" i="2"/>
  <c r="BE126" i="2" s="1"/>
  <c r="D126" i="2"/>
  <c r="T125" i="2"/>
  <c r="BE125" i="2" s="1"/>
  <c r="D125" i="2"/>
  <c r="T124" i="2"/>
  <c r="AG124" i="2" s="1"/>
  <c r="D124" i="2"/>
  <c r="T122" i="2"/>
  <c r="BC122" i="2" s="1"/>
  <c r="D122" i="2"/>
  <c r="T121" i="2"/>
  <c r="D121" i="2"/>
  <c r="T120" i="2"/>
  <c r="AW120" i="2" s="1"/>
  <c r="D120" i="2"/>
  <c r="T119" i="2"/>
  <c r="AC119" i="2" s="1"/>
  <c r="D119" i="2"/>
  <c r="T118" i="2"/>
  <c r="BA118" i="2" s="1"/>
  <c r="D118" i="2"/>
  <c r="T117" i="2"/>
  <c r="BC117" i="2" s="1"/>
  <c r="D117" i="2"/>
  <c r="T116" i="2"/>
  <c r="D116" i="2"/>
  <c r="T115" i="2"/>
  <c r="BE115" i="2" s="1"/>
  <c r="D115" i="2"/>
  <c r="T114" i="2"/>
  <c r="AK114" i="2" s="1"/>
  <c r="D114" i="2"/>
  <c r="T113" i="2"/>
  <c r="D113" i="2"/>
  <c r="T112" i="2"/>
  <c r="BC112" i="2" s="1"/>
  <c r="D112" i="2"/>
  <c r="T111" i="2"/>
  <c r="BA111" i="2" s="1"/>
  <c r="D111" i="2"/>
  <c r="T110" i="2"/>
  <c r="AW110" i="2" s="1"/>
  <c r="D110" i="2"/>
  <c r="T109" i="2"/>
  <c r="AA109" i="2" s="1"/>
  <c r="D109" i="2"/>
  <c r="T108" i="2"/>
  <c r="BE108" i="2" s="1"/>
  <c r="D108" i="2"/>
  <c r="T107" i="2"/>
  <c r="BE107" i="2" s="1"/>
  <c r="D107" i="2"/>
  <c r="T106" i="2"/>
  <c r="AY106" i="2" s="1"/>
  <c r="D106" i="2"/>
  <c r="T105" i="2"/>
  <c r="AY105" i="2" s="1"/>
  <c r="D105" i="2"/>
  <c r="T104" i="2"/>
  <c r="BA104" i="2" s="1"/>
  <c r="D104" i="2"/>
  <c r="T103" i="2"/>
  <c r="AO103" i="2" s="1"/>
  <c r="D103" i="2"/>
  <c r="T102" i="2"/>
  <c r="AI102" i="2" s="1"/>
  <c r="D102" i="2"/>
  <c r="T100" i="2"/>
  <c r="AK100" i="2" s="1"/>
  <c r="D100" i="2"/>
  <c r="T99" i="2"/>
  <c r="BE99" i="2" s="1"/>
  <c r="D99" i="2"/>
  <c r="T97" i="2"/>
  <c r="Y97" i="2" s="1"/>
  <c r="D97" i="2"/>
  <c r="T96" i="2"/>
  <c r="BC96" i="2" s="1"/>
  <c r="D96" i="2"/>
  <c r="T95" i="2"/>
  <c r="BC95" i="2" s="1"/>
  <c r="D95" i="2"/>
  <c r="T94" i="2"/>
  <c r="AY94" i="2" s="1"/>
  <c r="D94" i="2"/>
  <c r="T93" i="2"/>
  <c r="AG93" i="2" s="1"/>
  <c r="D93" i="2"/>
  <c r="T92" i="2"/>
  <c r="Y92" i="2" s="1"/>
  <c r="D92" i="2"/>
  <c r="T89" i="2"/>
  <c r="D89" i="2"/>
  <c r="T88" i="2"/>
  <c r="D88" i="2"/>
  <c r="T86" i="2"/>
  <c r="AU86" i="2" s="1"/>
  <c r="D86" i="2"/>
  <c r="T85" i="2"/>
  <c r="BC85" i="2" s="1"/>
  <c r="D85" i="2"/>
  <c r="T81" i="2"/>
  <c r="AA81" i="2" s="1"/>
  <c r="D81" i="2"/>
  <c r="T80" i="2"/>
  <c r="BA80" i="2" s="1"/>
  <c r="D80" i="2"/>
  <c r="T79" i="2"/>
  <c r="BE79" i="2" s="1"/>
  <c r="D79" i="2"/>
  <c r="T78" i="2"/>
  <c r="AG78" i="2" s="1"/>
  <c r="D78" i="2"/>
  <c r="T75" i="2"/>
  <c r="AS75" i="2" s="1"/>
  <c r="AS74" i="2" s="1"/>
  <c r="AS73" i="2" s="1"/>
  <c r="D75" i="2"/>
  <c r="T72" i="2"/>
  <c r="AW72" i="2" s="1"/>
  <c r="D72" i="2"/>
  <c r="T71" i="2"/>
  <c r="AE71" i="2" s="1"/>
  <c r="D71" i="2"/>
  <c r="T70" i="2"/>
  <c r="D70" i="2"/>
  <c r="T67" i="2"/>
  <c r="BA67" i="2" s="1"/>
  <c r="BA66" i="2" s="1"/>
  <c r="D67" i="2"/>
  <c r="T65" i="2"/>
  <c r="BE65" i="2" s="1"/>
  <c r="D65" i="2"/>
  <c r="T64" i="2"/>
  <c r="BE64" i="2" s="1"/>
  <c r="D64" i="2"/>
  <c r="T63" i="2"/>
  <c r="BC63" i="2" s="1"/>
  <c r="D63" i="2"/>
  <c r="T61" i="2"/>
  <c r="BE61" i="2" s="1"/>
  <c r="D61" i="2"/>
  <c r="T60" i="2"/>
  <c r="D60" i="2"/>
  <c r="T59" i="2"/>
  <c r="AU59" i="2" s="1"/>
  <c r="D59" i="2"/>
  <c r="T58" i="2"/>
  <c r="AW58" i="2" s="1"/>
  <c r="D58" i="2"/>
  <c r="T56" i="2"/>
  <c r="AI56" i="2" s="1"/>
  <c r="D56" i="2"/>
  <c r="T55" i="2"/>
  <c r="BE55" i="2" s="1"/>
  <c r="D55" i="2"/>
  <c r="T54" i="2"/>
  <c r="BC54" i="2" s="1"/>
  <c r="D54" i="2"/>
  <c r="T52" i="2"/>
  <c r="BC52" i="2" s="1"/>
  <c r="D52" i="2"/>
  <c r="T51" i="2"/>
  <c r="BE51" i="2" s="1"/>
  <c r="D51" i="2"/>
  <c r="T49" i="2"/>
  <c r="BC49" i="2" s="1"/>
  <c r="D49" i="2"/>
  <c r="T48" i="2"/>
  <c r="AY48" i="2" s="1"/>
  <c r="D48" i="2"/>
  <c r="T47" i="2"/>
  <c r="AS47" i="2" s="1"/>
  <c r="D47" i="2"/>
  <c r="T46" i="2"/>
  <c r="AY46" i="2" s="1"/>
  <c r="D46" i="2"/>
  <c r="T44" i="2"/>
  <c r="BE44" i="2" s="1"/>
  <c r="D44" i="2"/>
  <c r="T43" i="2"/>
  <c r="BA43" i="2" s="1"/>
  <c r="D43" i="2"/>
  <c r="T41" i="2"/>
  <c r="BE41" i="2" s="1"/>
  <c r="BE40" i="2" s="1"/>
  <c r="D41" i="2"/>
  <c r="T39" i="2"/>
  <c r="AW39" i="2" s="1"/>
  <c r="D39" i="2"/>
  <c r="T38" i="2"/>
  <c r="AU38" i="2" s="1"/>
  <c r="D38" i="2"/>
  <c r="T36" i="2"/>
  <c r="BE36" i="2" s="1"/>
  <c r="D36" i="2"/>
  <c r="T35" i="2"/>
  <c r="BE35" i="2" s="1"/>
  <c r="D35" i="2"/>
  <c r="T34" i="2"/>
  <c r="BA34" i="2" s="1"/>
  <c r="D34" i="2"/>
  <c r="T33" i="2"/>
  <c r="AW33" i="2" s="1"/>
  <c r="D33" i="2"/>
  <c r="T32" i="2"/>
  <c r="BE32" i="2" s="1"/>
  <c r="D32" i="2"/>
  <c r="T31" i="2"/>
  <c r="BE31" i="2" s="1"/>
  <c r="D31" i="2"/>
  <c r="T29" i="2"/>
  <c r="AS29" i="2" s="1"/>
  <c r="D29" i="2"/>
  <c r="T28" i="2"/>
  <c r="AS28" i="2" s="1"/>
  <c r="D28" i="2"/>
  <c r="T25" i="2"/>
  <c r="BC25" i="2" s="1"/>
  <c r="D25" i="2"/>
  <c r="T24" i="2"/>
  <c r="BC24" i="2" s="1"/>
  <c r="D24" i="2"/>
  <c r="T22" i="2"/>
  <c r="D22" i="2"/>
  <c r="T20" i="2"/>
  <c r="BC20" i="2" s="1"/>
  <c r="BC19" i="2" s="1"/>
  <c r="D20" i="2"/>
  <c r="T18" i="2"/>
  <c r="AU18" i="2" s="1"/>
  <c r="D18" i="2"/>
  <c r="T17" i="2"/>
  <c r="AU17" i="2" s="1"/>
  <c r="D17" i="2"/>
  <c r="T15" i="2"/>
  <c r="AM15" i="2" s="1"/>
  <c r="AM14" i="2" s="1"/>
  <c r="D15" i="2"/>
  <c r="T13" i="2"/>
  <c r="AE13" i="2" s="1"/>
  <c r="AE12" i="2" s="1"/>
  <c r="D13" i="2"/>
  <c r="T11" i="2"/>
  <c r="U11" i="2" s="1"/>
  <c r="U10" i="2" s="1"/>
  <c r="D11" i="2"/>
  <c r="T9" i="2"/>
  <c r="D9" i="2"/>
  <c r="O410" i="1"/>
  <c r="P404" i="1"/>
  <c r="C6" i="7" s="1"/>
  <c r="D6" i="7" s="1"/>
  <c r="E6" i="7" s="1"/>
  <c r="P403" i="1"/>
  <c r="AZ402" i="1"/>
  <c r="BA402" i="1" s="1"/>
  <c r="AX402" i="1"/>
  <c r="AY402" i="1" s="1"/>
  <c r="AV402" i="1"/>
  <c r="AW402" i="1" s="1"/>
  <c r="AT402" i="1"/>
  <c r="AU402" i="1" s="1"/>
  <c r="AR402" i="1"/>
  <c r="AS402" i="1" s="1"/>
  <c r="AP402" i="1"/>
  <c r="AQ402" i="1" s="1"/>
  <c r="AN402" i="1"/>
  <c r="AO402" i="1" s="1"/>
  <c r="AL402" i="1"/>
  <c r="AM402" i="1" s="1"/>
  <c r="AJ402" i="1"/>
  <c r="AK402" i="1" s="1"/>
  <c r="AH402" i="1"/>
  <c r="AI402" i="1" s="1"/>
  <c r="AF402" i="1"/>
  <c r="AG402" i="1" s="1"/>
  <c r="AD402" i="1"/>
  <c r="AE402" i="1" s="1"/>
  <c r="AB402" i="1"/>
  <c r="AC402" i="1" s="1"/>
  <c r="Z402" i="1"/>
  <c r="AA402" i="1" s="1"/>
  <c r="X402" i="1"/>
  <c r="Y402" i="1" s="1"/>
  <c r="V402" i="1"/>
  <c r="W402" i="1" s="1"/>
  <c r="T402" i="1"/>
  <c r="U402" i="1" s="1"/>
  <c r="Q402" i="1"/>
  <c r="AZ401" i="1"/>
  <c r="BA401" i="1" s="1"/>
  <c r="AX401" i="1"/>
  <c r="AY401" i="1" s="1"/>
  <c r="AV401" i="1"/>
  <c r="AW401" i="1" s="1"/>
  <c r="AT401" i="1"/>
  <c r="AU401" i="1" s="1"/>
  <c r="AR401" i="1"/>
  <c r="AS401" i="1" s="1"/>
  <c r="AP401" i="1"/>
  <c r="AQ401" i="1" s="1"/>
  <c r="AN401" i="1"/>
  <c r="AO401" i="1" s="1"/>
  <c r="AL401" i="1"/>
  <c r="AM401" i="1" s="1"/>
  <c r="AJ401" i="1"/>
  <c r="AK401" i="1" s="1"/>
  <c r="AH401" i="1"/>
  <c r="AI401" i="1" s="1"/>
  <c r="AF401" i="1"/>
  <c r="AG401" i="1" s="1"/>
  <c r="AD401" i="1"/>
  <c r="AE401" i="1" s="1"/>
  <c r="AB401" i="1"/>
  <c r="AC401" i="1" s="1"/>
  <c r="Z401" i="1"/>
  <c r="AA401" i="1" s="1"/>
  <c r="X401" i="1"/>
  <c r="Y401" i="1" s="1"/>
  <c r="V401" i="1"/>
  <c r="W401" i="1" s="1"/>
  <c r="T401" i="1"/>
  <c r="U401" i="1" s="1"/>
  <c r="Q401" i="1"/>
  <c r="AZ400" i="1"/>
  <c r="BA400" i="1" s="1"/>
  <c r="AX400" i="1"/>
  <c r="AY400" i="1" s="1"/>
  <c r="AV400" i="1"/>
  <c r="AW400" i="1" s="1"/>
  <c r="AT400" i="1"/>
  <c r="AU400" i="1" s="1"/>
  <c r="AR400" i="1"/>
  <c r="AS400" i="1" s="1"/>
  <c r="AP400" i="1"/>
  <c r="AQ400" i="1" s="1"/>
  <c r="AN400" i="1"/>
  <c r="AO400" i="1" s="1"/>
  <c r="AL400" i="1"/>
  <c r="AM400" i="1" s="1"/>
  <c r="AJ400" i="1"/>
  <c r="AK400" i="1" s="1"/>
  <c r="AH400" i="1"/>
  <c r="AI400" i="1" s="1"/>
  <c r="AF400" i="1"/>
  <c r="AG400" i="1" s="1"/>
  <c r="AD400" i="1"/>
  <c r="AE400" i="1" s="1"/>
  <c r="AB400" i="1"/>
  <c r="AC400" i="1" s="1"/>
  <c r="Z400" i="1"/>
  <c r="AA400" i="1" s="1"/>
  <c r="X400" i="1"/>
  <c r="Y400" i="1" s="1"/>
  <c r="V400" i="1"/>
  <c r="W400" i="1" s="1"/>
  <c r="T400" i="1"/>
  <c r="Q400" i="1"/>
  <c r="AZ399" i="1"/>
  <c r="BA399" i="1" s="1"/>
  <c r="AX399" i="1"/>
  <c r="AY399" i="1" s="1"/>
  <c r="AV399" i="1"/>
  <c r="AW399" i="1" s="1"/>
  <c r="AT399" i="1"/>
  <c r="AU399" i="1" s="1"/>
  <c r="AR399" i="1"/>
  <c r="AS399" i="1" s="1"/>
  <c r="AP399" i="1"/>
  <c r="AQ399" i="1" s="1"/>
  <c r="AN399" i="1"/>
  <c r="AO399" i="1" s="1"/>
  <c r="AL399" i="1"/>
  <c r="AM399" i="1" s="1"/>
  <c r="AJ399" i="1"/>
  <c r="AK399" i="1" s="1"/>
  <c r="AH399" i="1"/>
  <c r="AI399" i="1" s="1"/>
  <c r="AF399" i="1"/>
  <c r="AG399" i="1" s="1"/>
  <c r="AD399" i="1"/>
  <c r="AE399" i="1" s="1"/>
  <c r="AB399" i="1"/>
  <c r="AC399" i="1" s="1"/>
  <c r="Z399" i="1"/>
  <c r="AA399" i="1" s="1"/>
  <c r="X399" i="1"/>
  <c r="Y399" i="1" s="1"/>
  <c r="V399" i="1"/>
  <c r="W399" i="1" s="1"/>
  <c r="T399" i="1"/>
  <c r="U399" i="1" s="1"/>
  <c r="Q399" i="1"/>
  <c r="AZ396" i="1"/>
  <c r="BA396" i="1" s="1"/>
  <c r="BA395" i="1" s="1"/>
  <c r="BA394" i="1" s="1"/>
  <c r="AX396" i="1"/>
  <c r="AY396" i="1" s="1"/>
  <c r="AY395" i="1" s="1"/>
  <c r="AY394" i="1" s="1"/>
  <c r="AV396" i="1"/>
  <c r="AW396" i="1" s="1"/>
  <c r="AW395" i="1" s="1"/>
  <c r="AW394" i="1" s="1"/>
  <c r="AT396" i="1"/>
  <c r="AU396" i="1" s="1"/>
  <c r="AU395" i="1" s="1"/>
  <c r="AU394" i="1" s="1"/>
  <c r="AR396" i="1"/>
  <c r="AS396" i="1" s="1"/>
  <c r="AS395" i="1" s="1"/>
  <c r="AS394" i="1" s="1"/>
  <c r="AP396" i="1"/>
  <c r="AQ396" i="1" s="1"/>
  <c r="AQ395" i="1" s="1"/>
  <c r="AQ394" i="1" s="1"/>
  <c r="AN396" i="1"/>
  <c r="AO396" i="1" s="1"/>
  <c r="AO395" i="1" s="1"/>
  <c r="AO394" i="1" s="1"/>
  <c r="AL396" i="1"/>
  <c r="AM396" i="1" s="1"/>
  <c r="AM395" i="1" s="1"/>
  <c r="AM394" i="1" s="1"/>
  <c r="AJ396" i="1"/>
  <c r="AK396" i="1" s="1"/>
  <c r="AK395" i="1" s="1"/>
  <c r="AK394" i="1" s="1"/>
  <c r="AH396" i="1"/>
  <c r="AI396" i="1" s="1"/>
  <c r="AI395" i="1" s="1"/>
  <c r="AI394" i="1" s="1"/>
  <c r="AF396" i="1"/>
  <c r="AG396" i="1" s="1"/>
  <c r="AG395" i="1" s="1"/>
  <c r="AG394" i="1" s="1"/>
  <c r="AD396" i="1"/>
  <c r="AE396" i="1" s="1"/>
  <c r="AE395" i="1" s="1"/>
  <c r="AE394" i="1" s="1"/>
  <c r="AB396" i="1"/>
  <c r="AC396" i="1" s="1"/>
  <c r="AC395" i="1" s="1"/>
  <c r="AC394" i="1" s="1"/>
  <c r="Z396" i="1"/>
  <c r="AA396" i="1" s="1"/>
  <c r="AA395" i="1" s="1"/>
  <c r="AA394" i="1" s="1"/>
  <c r="X396" i="1"/>
  <c r="Y396" i="1" s="1"/>
  <c r="Y395" i="1" s="1"/>
  <c r="Y394" i="1" s="1"/>
  <c r="V396" i="1"/>
  <c r="W396" i="1" s="1"/>
  <c r="W395" i="1" s="1"/>
  <c r="W394" i="1" s="1"/>
  <c r="T396" i="1"/>
  <c r="U396" i="1" s="1"/>
  <c r="U395" i="1" s="1"/>
  <c r="U394" i="1" s="1"/>
  <c r="Q396" i="1"/>
  <c r="Q395" i="1" s="1"/>
  <c r="Q394" i="1" s="1"/>
  <c r="AZ393" i="1"/>
  <c r="BA393" i="1" s="1"/>
  <c r="AX393" i="1"/>
  <c r="AY393" i="1" s="1"/>
  <c r="AV393" i="1"/>
  <c r="AW393" i="1" s="1"/>
  <c r="AT393" i="1"/>
  <c r="AU393" i="1" s="1"/>
  <c r="AR393" i="1"/>
  <c r="AS393" i="1" s="1"/>
  <c r="AP393" i="1"/>
  <c r="AQ393" i="1" s="1"/>
  <c r="AN393" i="1"/>
  <c r="AO393" i="1" s="1"/>
  <c r="AL393" i="1"/>
  <c r="AM393" i="1" s="1"/>
  <c r="AJ393" i="1"/>
  <c r="AK393" i="1" s="1"/>
  <c r="AH393" i="1"/>
  <c r="AI393" i="1" s="1"/>
  <c r="AF393" i="1"/>
  <c r="AG393" i="1" s="1"/>
  <c r="AD393" i="1"/>
  <c r="AE393" i="1" s="1"/>
  <c r="AB393" i="1"/>
  <c r="AC393" i="1" s="1"/>
  <c r="Z393" i="1"/>
  <c r="AA393" i="1" s="1"/>
  <c r="X393" i="1"/>
  <c r="Y393" i="1" s="1"/>
  <c r="V393" i="1"/>
  <c r="W393" i="1" s="1"/>
  <c r="T393" i="1"/>
  <c r="U393" i="1" s="1"/>
  <c r="Q393" i="1"/>
  <c r="AZ392" i="1"/>
  <c r="BA392" i="1" s="1"/>
  <c r="AX392" i="1"/>
  <c r="AY392" i="1" s="1"/>
  <c r="AV392" i="1"/>
  <c r="AW392" i="1" s="1"/>
  <c r="AT392" i="1"/>
  <c r="AU392" i="1" s="1"/>
  <c r="AR392" i="1"/>
  <c r="AS392" i="1" s="1"/>
  <c r="AP392" i="1"/>
  <c r="AQ392" i="1" s="1"/>
  <c r="AN392" i="1"/>
  <c r="AO392" i="1" s="1"/>
  <c r="AL392" i="1"/>
  <c r="AM392" i="1" s="1"/>
  <c r="AJ392" i="1"/>
  <c r="AK392" i="1" s="1"/>
  <c r="AH392" i="1"/>
  <c r="AI392" i="1" s="1"/>
  <c r="AF392" i="1"/>
  <c r="AG392" i="1" s="1"/>
  <c r="AD392" i="1"/>
  <c r="AE392" i="1" s="1"/>
  <c r="AB392" i="1"/>
  <c r="AC392" i="1" s="1"/>
  <c r="Z392" i="1"/>
  <c r="AA392" i="1" s="1"/>
  <c r="X392" i="1"/>
  <c r="Y392" i="1" s="1"/>
  <c r="V392" i="1"/>
  <c r="W392" i="1" s="1"/>
  <c r="T392" i="1"/>
  <c r="U392" i="1" s="1"/>
  <c r="Q392" i="1"/>
  <c r="AZ391" i="1"/>
  <c r="BA391" i="1" s="1"/>
  <c r="AX391" i="1"/>
  <c r="AY391" i="1" s="1"/>
  <c r="AV391" i="1"/>
  <c r="AW391" i="1" s="1"/>
  <c r="AT391" i="1"/>
  <c r="AU391" i="1" s="1"/>
  <c r="AR391" i="1"/>
  <c r="AS391" i="1" s="1"/>
  <c r="AP391" i="1"/>
  <c r="AQ391" i="1" s="1"/>
  <c r="AN391" i="1"/>
  <c r="AO391" i="1" s="1"/>
  <c r="AL391" i="1"/>
  <c r="AM391" i="1" s="1"/>
  <c r="AJ391" i="1"/>
  <c r="AK391" i="1" s="1"/>
  <c r="AH391" i="1"/>
  <c r="AI391" i="1" s="1"/>
  <c r="AF391" i="1"/>
  <c r="AG391" i="1" s="1"/>
  <c r="AD391" i="1"/>
  <c r="AE391" i="1" s="1"/>
  <c r="AB391" i="1"/>
  <c r="AC391" i="1" s="1"/>
  <c r="Z391" i="1"/>
  <c r="AA391" i="1" s="1"/>
  <c r="X391" i="1"/>
  <c r="Y391" i="1" s="1"/>
  <c r="V391" i="1"/>
  <c r="W391" i="1" s="1"/>
  <c r="T391" i="1"/>
  <c r="U391" i="1" s="1"/>
  <c r="Q391" i="1"/>
  <c r="AZ388" i="1"/>
  <c r="BA388" i="1" s="1"/>
  <c r="BA387" i="1" s="1"/>
  <c r="AX388" i="1"/>
  <c r="AY388" i="1" s="1"/>
  <c r="AY387" i="1" s="1"/>
  <c r="AV388" i="1"/>
  <c r="AW388" i="1" s="1"/>
  <c r="AW387" i="1" s="1"/>
  <c r="AT388" i="1"/>
  <c r="AU388" i="1" s="1"/>
  <c r="AU387" i="1" s="1"/>
  <c r="AR388" i="1"/>
  <c r="AS388" i="1" s="1"/>
  <c r="AS387" i="1" s="1"/>
  <c r="AP388" i="1"/>
  <c r="AQ388" i="1" s="1"/>
  <c r="AQ387" i="1" s="1"/>
  <c r="AN388" i="1"/>
  <c r="AO388" i="1" s="1"/>
  <c r="AO387" i="1" s="1"/>
  <c r="AL388" i="1"/>
  <c r="AM388" i="1" s="1"/>
  <c r="AM387" i="1" s="1"/>
  <c r="AJ388" i="1"/>
  <c r="AK388" i="1" s="1"/>
  <c r="AK387" i="1" s="1"/>
  <c r="AH388" i="1"/>
  <c r="AI388" i="1" s="1"/>
  <c r="AI387" i="1" s="1"/>
  <c r="AF388" i="1"/>
  <c r="AG388" i="1" s="1"/>
  <c r="AG387" i="1" s="1"/>
  <c r="AD388" i="1"/>
  <c r="AE388" i="1" s="1"/>
  <c r="AE387" i="1" s="1"/>
  <c r="AB388" i="1"/>
  <c r="AC388" i="1" s="1"/>
  <c r="AC387" i="1" s="1"/>
  <c r="Z388" i="1"/>
  <c r="AA388" i="1" s="1"/>
  <c r="AA387" i="1" s="1"/>
  <c r="X388" i="1"/>
  <c r="Y388" i="1" s="1"/>
  <c r="Y387" i="1" s="1"/>
  <c r="V388" i="1"/>
  <c r="W388" i="1" s="1"/>
  <c r="W387" i="1" s="1"/>
  <c r="T388" i="1"/>
  <c r="U388" i="1" s="1"/>
  <c r="U387" i="1" s="1"/>
  <c r="Q388" i="1"/>
  <c r="Q387" i="1" s="1"/>
  <c r="AZ386" i="1"/>
  <c r="BA386" i="1" s="1"/>
  <c r="AX386" i="1"/>
  <c r="AY386" i="1" s="1"/>
  <c r="AV386" i="1"/>
  <c r="AW386" i="1" s="1"/>
  <c r="AT386" i="1"/>
  <c r="AU386" i="1" s="1"/>
  <c r="AR386" i="1"/>
  <c r="AS386" i="1" s="1"/>
  <c r="AP386" i="1"/>
  <c r="AQ386" i="1" s="1"/>
  <c r="AN386" i="1"/>
  <c r="AO386" i="1" s="1"/>
  <c r="AL386" i="1"/>
  <c r="AM386" i="1" s="1"/>
  <c r="AJ386" i="1"/>
  <c r="AK386" i="1" s="1"/>
  <c r="AH386" i="1"/>
  <c r="AI386" i="1" s="1"/>
  <c r="AF386" i="1"/>
  <c r="AG386" i="1" s="1"/>
  <c r="AD386" i="1"/>
  <c r="AE386" i="1" s="1"/>
  <c r="AB386" i="1"/>
  <c r="AC386" i="1" s="1"/>
  <c r="Z386" i="1"/>
  <c r="AA386" i="1" s="1"/>
  <c r="X386" i="1"/>
  <c r="Y386" i="1" s="1"/>
  <c r="V386" i="1"/>
  <c r="T386" i="1"/>
  <c r="U386" i="1" s="1"/>
  <c r="Q386" i="1"/>
  <c r="AZ385" i="1"/>
  <c r="BA385" i="1" s="1"/>
  <c r="AX385" i="1"/>
  <c r="AY385" i="1" s="1"/>
  <c r="AV385" i="1"/>
  <c r="AW385" i="1" s="1"/>
  <c r="AT385" i="1"/>
  <c r="AU385" i="1" s="1"/>
  <c r="AR385" i="1"/>
  <c r="AS385" i="1" s="1"/>
  <c r="AP385" i="1"/>
  <c r="AQ385" i="1" s="1"/>
  <c r="AN385" i="1"/>
  <c r="AO385" i="1" s="1"/>
  <c r="AL385" i="1"/>
  <c r="AM385" i="1" s="1"/>
  <c r="AJ385" i="1"/>
  <c r="AK385" i="1" s="1"/>
  <c r="AH385" i="1"/>
  <c r="AI385" i="1" s="1"/>
  <c r="AF385" i="1"/>
  <c r="AG385" i="1" s="1"/>
  <c r="AD385" i="1"/>
  <c r="AE385" i="1" s="1"/>
  <c r="AB385" i="1"/>
  <c r="AC385" i="1" s="1"/>
  <c r="Z385" i="1"/>
  <c r="AA385" i="1" s="1"/>
  <c r="X385" i="1"/>
  <c r="Y385" i="1" s="1"/>
  <c r="V385" i="1"/>
  <c r="W385" i="1" s="1"/>
  <c r="T385" i="1"/>
  <c r="U385" i="1" s="1"/>
  <c r="Q385" i="1"/>
  <c r="AZ384" i="1"/>
  <c r="BA384" i="1" s="1"/>
  <c r="AX384" i="1"/>
  <c r="AY384" i="1" s="1"/>
  <c r="AV384" i="1"/>
  <c r="AW384" i="1" s="1"/>
  <c r="AT384" i="1"/>
  <c r="AU384" i="1" s="1"/>
  <c r="AR384" i="1"/>
  <c r="AS384" i="1" s="1"/>
  <c r="AP384" i="1"/>
  <c r="AQ384" i="1" s="1"/>
  <c r="AN384" i="1"/>
  <c r="AO384" i="1" s="1"/>
  <c r="AL384" i="1"/>
  <c r="AM384" i="1" s="1"/>
  <c r="AJ384" i="1"/>
  <c r="AK384" i="1" s="1"/>
  <c r="AH384" i="1"/>
  <c r="AI384" i="1" s="1"/>
  <c r="AF384" i="1"/>
  <c r="AG384" i="1" s="1"/>
  <c r="AD384" i="1"/>
  <c r="AE384" i="1" s="1"/>
  <c r="AB384" i="1"/>
  <c r="AC384" i="1" s="1"/>
  <c r="Z384" i="1"/>
  <c r="AA384" i="1" s="1"/>
  <c r="X384" i="1"/>
  <c r="Y384" i="1" s="1"/>
  <c r="V384" i="1"/>
  <c r="W384" i="1" s="1"/>
  <c r="T384" i="1"/>
  <c r="Q384" i="1"/>
  <c r="AZ383" i="1"/>
  <c r="BA383" i="1" s="1"/>
  <c r="AX383" i="1"/>
  <c r="AY383" i="1" s="1"/>
  <c r="AV383" i="1"/>
  <c r="AW383" i="1" s="1"/>
  <c r="AT383" i="1"/>
  <c r="AU383" i="1" s="1"/>
  <c r="AR383" i="1"/>
  <c r="AS383" i="1" s="1"/>
  <c r="AP383" i="1"/>
  <c r="AQ383" i="1" s="1"/>
  <c r="AN383" i="1"/>
  <c r="AO383" i="1" s="1"/>
  <c r="AL383" i="1"/>
  <c r="AM383" i="1" s="1"/>
  <c r="AJ383" i="1"/>
  <c r="AK383" i="1" s="1"/>
  <c r="AH383" i="1"/>
  <c r="AI383" i="1" s="1"/>
  <c r="AF383" i="1"/>
  <c r="AG383" i="1" s="1"/>
  <c r="AD383" i="1"/>
  <c r="AE383" i="1" s="1"/>
  <c r="AB383" i="1"/>
  <c r="AC383" i="1" s="1"/>
  <c r="Z383" i="1"/>
  <c r="AA383" i="1" s="1"/>
  <c r="X383" i="1"/>
  <c r="Y383" i="1" s="1"/>
  <c r="V383" i="1"/>
  <c r="W383" i="1" s="1"/>
  <c r="T383" i="1"/>
  <c r="U383" i="1" s="1"/>
  <c r="Q383" i="1"/>
  <c r="AZ382" i="1"/>
  <c r="BA382" i="1" s="1"/>
  <c r="AX382" i="1"/>
  <c r="AY382" i="1" s="1"/>
  <c r="AV382" i="1"/>
  <c r="AW382" i="1" s="1"/>
  <c r="AT382" i="1"/>
  <c r="AU382" i="1" s="1"/>
  <c r="AR382" i="1"/>
  <c r="AS382" i="1" s="1"/>
  <c r="AP382" i="1"/>
  <c r="AQ382" i="1" s="1"/>
  <c r="AN382" i="1"/>
  <c r="AO382" i="1" s="1"/>
  <c r="AL382" i="1"/>
  <c r="AM382" i="1" s="1"/>
  <c r="AJ382" i="1"/>
  <c r="AK382" i="1" s="1"/>
  <c r="AH382" i="1"/>
  <c r="AI382" i="1" s="1"/>
  <c r="AF382" i="1"/>
  <c r="AG382" i="1" s="1"/>
  <c r="AD382" i="1"/>
  <c r="AE382" i="1" s="1"/>
  <c r="AB382" i="1"/>
  <c r="AC382" i="1" s="1"/>
  <c r="Z382" i="1"/>
  <c r="AA382" i="1" s="1"/>
  <c r="X382" i="1"/>
  <c r="Y382" i="1" s="1"/>
  <c r="V382" i="1"/>
  <c r="W382" i="1" s="1"/>
  <c r="T382" i="1"/>
  <c r="Q382" i="1"/>
  <c r="AZ380" i="1"/>
  <c r="BA380" i="1" s="1"/>
  <c r="AX380" i="1"/>
  <c r="AY380" i="1" s="1"/>
  <c r="AV380" i="1"/>
  <c r="AW380" i="1" s="1"/>
  <c r="AT380" i="1"/>
  <c r="AU380" i="1" s="1"/>
  <c r="AR380" i="1"/>
  <c r="AS380" i="1" s="1"/>
  <c r="AP380" i="1"/>
  <c r="AQ380" i="1" s="1"/>
  <c r="AN380" i="1"/>
  <c r="AO380" i="1" s="1"/>
  <c r="AL380" i="1"/>
  <c r="AM380" i="1" s="1"/>
  <c r="AJ380" i="1"/>
  <c r="AK380" i="1" s="1"/>
  <c r="AH380" i="1"/>
  <c r="AI380" i="1" s="1"/>
  <c r="AF380" i="1"/>
  <c r="AD380" i="1"/>
  <c r="AE380" i="1" s="1"/>
  <c r="AB380" i="1"/>
  <c r="AC380" i="1" s="1"/>
  <c r="Z380" i="1"/>
  <c r="AA380" i="1" s="1"/>
  <c r="X380" i="1"/>
  <c r="Y380" i="1" s="1"/>
  <c r="V380" i="1"/>
  <c r="W380" i="1" s="1"/>
  <c r="T380" i="1"/>
  <c r="U380" i="1" s="1"/>
  <c r="Q380" i="1"/>
  <c r="AZ379" i="1"/>
  <c r="BA379" i="1" s="1"/>
  <c r="AX379" i="1"/>
  <c r="AY379" i="1" s="1"/>
  <c r="AV379" i="1"/>
  <c r="AW379" i="1" s="1"/>
  <c r="AT379" i="1"/>
  <c r="AU379" i="1" s="1"/>
  <c r="AR379" i="1"/>
  <c r="AS379" i="1" s="1"/>
  <c r="AP379" i="1"/>
  <c r="AQ379" i="1" s="1"/>
  <c r="AN379" i="1"/>
  <c r="AO379" i="1" s="1"/>
  <c r="AL379" i="1"/>
  <c r="AM379" i="1" s="1"/>
  <c r="AJ379" i="1"/>
  <c r="AK379" i="1" s="1"/>
  <c r="AH379" i="1"/>
  <c r="AI379" i="1" s="1"/>
  <c r="AF379" i="1"/>
  <c r="AG379" i="1" s="1"/>
  <c r="AD379" i="1"/>
  <c r="AE379" i="1" s="1"/>
  <c r="AB379" i="1"/>
  <c r="AC379" i="1" s="1"/>
  <c r="Z379" i="1"/>
  <c r="AA379" i="1" s="1"/>
  <c r="X379" i="1"/>
  <c r="Y379" i="1" s="1"/>
  <c r="V379" i="1"/>
  <c r="W379" i="1" s="1"/>
  <c r="T379" i="1"/>
  <c r="U379" i="1" s="1"/>
  <c r="Q379" i="1"/>
  <c r="AZ378" i="1"/>
  <c r="BA378" i="1" s="1"/>
  <c r="AX378" i="1"/>
  <c r="AY378" i="1" s="1"/>
  <c r="AV378" i="1"/>
  <c r="AW378" i="1" s="1"/>
  <c r="AT378" i="1"/>
  <c r="AU378" i="1" s="1"/>
  <c r="AR378" i="1"/>
  <c r="AS378" i="1" s="1"/>
  <c r="AP378" i="1"/>
  <c r="AQ378" i="1" s="1"/>
  <c r="AN378" i="1"/>
  <c r="AO378" i="1" s="1"/>
  <c r="AL378" i="1"/>
  <c r="AM378" i="1" s="1"/>
  <c r="AJ378" i="1"/>
  <c r="AK378" i="1" s="1"/>
  <c r="AH378" i="1"/>
  <c r="AI378" i="1" s="1"/>
  <c r="AF378" i="1"/>
  <c r="AG378" i="1" s="1"/>
  <c r="AD378" i="1"/>
  <c r="AE378" i="1" s="1"/>
  <c r="AB378" i="1"/>
  <c r="AC378" i="1" s="1"/>
  <c r="Z378" i="1"/>
  <c r="AA378" i="1" s="1"/>
  <c r="X378" i="1"/>
  <c r="Y378" i="1" s="1"/>
  <c r="V378" i="1"/>
  <c r="W378" i="1" s="1"/>
  <c r="T378" i="1"/>
  <c r="U378" i="1" s="1"/>
  <c r="Q378" i="1"/>
  <c r="AZ377" i="1"/>
  <c r="BA377" i="1" s="1"/>
  <c r="AX377" i="1"/>
  <c r="AY377" i="1" s="1"/>
  <c r="AV377" i="1"/>
  <c r="AW377" i="1" s="1"/>
  <c r="AT377" i="1"/>
  <c r="AU377" i="1" s="1"/>
  <c r="AR377" i="1"/>
  <c r="AS377" i="1" s="1"/>
  <c r="AP377" i="1"/>
  <c r="AQ377" i="1" s="1"/>
  <c r="AN377" i="1"/>
  <c r="AO377" i="1" s="1"/>
  <c r="AL377" i="1"/>
  <c r="AM377" i="1" s="1"/>
  <c r="AJ377" i="1"/>
  <c r="AK377" i="1" s="1"/>
  <c r="AH377" i="1"/>
  <c r="AI377" i="1" s="1"/>
  <c r="AF377" i="1"/>
  <c r="AG377" i="1" s="1"/>
  <c r="AD377" i="1"/>
  <c r="AE377" i="1" s="1"/>
  <c r="AB377" i="1"/>
  <c r="AC377" i="1" s="1"/>
  <c r="Z377" i="1"/>
  <c r="AA377" i="1" s="1"/>
  <c r="X377" i="1"/>
  <c r="Y377" i="1" s="1"/>
  <c r="V377" i="1"/>
  <c r="W377" i="1" s="1"/>
  <c r="T377" i="1"/>
  <c r="U377" i="1" s="1"/>
  <c r="Q377" i="1"/>
  <c r="AZ376" i="1"/>
  <c r="BA376" i="1" s="1"/>
  <c r="AX376" i="1"/>
  <c r="AY376" i="1" s="1"/>
  <c r="AV376" i="1"/>
  <c r="AW376" i="1" s="1"/>
  <c r="AT376" i="1"/>
  <c r="AU376" i="1" s="1"/>
  <c r="AR376" i="1"/>
  <c r="AS376" i="1" s="1"/>
  <c r="AP376" i="1"/>
  <c r="AQ376" i="1" s="1"/>
  <c r="AN376" i="1"/>
  <c r="AO376" i="1" s="1"/>
  <c r="AL376" i="1"/>
  <c r="AM376" i="1" s="1"/>
  <c r="AJ376" i="1"/>
  <c r="AK376" i="1" s="1"/>
  <c r="AH376" i="1"/>
  <c r="AI376" i="1" s="1"/>
  <c r="AF376" i="1"/>
  <c r="AG376" i="1" s="1"/>
  <c r="AD376" i="1"/>
  <c r="AE376" i="1" s="1"/>
  <c r="AB376" i="1"/>
  <c r="AC376" i="1" s="1"/>
  <c r="Z376" i="1"/>
  <c r="AA376" i="1" s="1"/>
  <c r="X376" i="1"/>
  <c r="Y376" i="1" s="1"/>
  <c r="V376" i="1"/>
  <c r="W376" i="1" s="1"/>
  <c r="T376" i="1"/>
  <c r="U376" i="1" s="1"/>
  <c r="Q376" i="1"/>
  <c r="AZ375" i="1"/>
  <c r="BA375" i="1" s="1"/>
  <c r="AX375" i="1"/>
  <c r="AY375" i="1" s="1"/>
  <c r="AV375" i="1"/>
  <c r="AW375" i="1" s="1"/>
  <c r="AT375" i="1"/>
  <c r="AU375" i="1" s="1"/>
  <c r="AR375" i="1"/>
  <c r="AS375" i="1" s="1"/>
  <c r="AP375" i="1"/>
  <c r="AQ375" i="1" s="1"/>
  <c r="AN375" i="1"/>
  <c r="AO375" i="1" s="1"/>
  <c r="AL375" i="1"/>
  <c r="AM375" i="1" s="1"/>
  <c r="AJ375" i="1"/>
  <c r="AK375" i="1" s="1"/>
  <c r="AH375" i="1"/>
  <c r="AI375" i="1" s="1"/>
  <c r="AF375" i="1"/>
  <c r="AG375" i="1" s="1"/>
  <c r="AD375" i="1"/>
  <c r="AE375" i="1" s="1"/>
  <c r="AB375" i="1"/>
  <c r="AC375" i="1" s="1"/>
  <c r="Z375" i="1"/>
  <c r="AA375" i="1" s="1"/>
  <c r="X375" i="1"/>
  <c r="Y375" i="1" s="1"/>
  <c r="V375" i="1"/>
  <c r="W375" i="1" s="1"/>
  <c r="T375" i="1"/>
  <c r="U375" i="1" s="1"/>
  <c r="Q375" i="1"/>
  <c r="AZ374" i="1"/>
  <c r="BA374" i="1" s="1"/>
  <c r="AX374" i="1"/>
  <c r="AY374" i="1" s="1"/>
  <c r="AV374" i="1"/>
  <c r="AW374" i="1" s="1"/>
  <c r="AT374" i="1"/>
  <c r="AU374" i="1" s="1"/>
  <c r="AR374" i="1"/>
  <c r="AS374" i="1" s="1"/>
  <c r="AP374" i="1"/>
  <c r="AQ374" i="1" s="1"/>
  <c r="AN374" i="1"/>
  <c r="AO374" i="1" s="1"/>
  <c r="AL374" i="1"/>
  <c r="AM374" i="1" s="1"/>
  <c r="AJ374" i="1"/>
  <c r="AK374" i="1" s="1"/>
  <c r="AH374" i="1"/>
  <c r="AI374" i="1" s="1"/>
  <c r="AF374" i="1"/>
  <c r="AG374" i="1" s="1"/>
  <c r="AD374" i="1"/>
  <c r="AE374" i="1" s="1"/>
  <c r="AB374" i="1"/>
  <c r="AC374" i="1" s="1"/>
  <c r="Z374" i="1"/>
  <c r="AA374" i="1" s="1"/>
  <c r="X374" i="1"/>
  <c r="Y374" i="1" s="1"/>
  <c r="V374" i="1"/>
  <c r="W374" i="1" s="1"/>
  <c r="T374" i="1"/>
  <c r="U374" i="1" s="1"/>
  <c r="Q374" i="1"/>
  <c r="AZ372" i="1"/>
  <c r="BA372" i="1" s="1"/>
  <c r="AX372" i="1"/>
  <c r="AY372" i="1" s="1"/>
  <c r="AV372" i="1"/>
  <c r="AW372" i="1" s="1"/>
  <c r="AT372" i="1"/>
  <c r="AU372" i="1" s="1"/>
  <c r="AR372" i="1"/>
  <c r="AS372" i="1" s="1"/>
  <c r="AP372" i="1"/>
  <c r="AQ372" i="1" s="1"/>
  <c r="AN372" i="1"/>
  <c r="AO372" i="1" s="1"/>
  <c r="AL372" i="1"/>
  <c r="AM372" i="1" s="1"/>
  <c r="AJ372" i="1"/>
  <c r="AK372" i="1" s="1"/>
  <c r="AH372" i="1"/>
  <c r="AI372" i="1" s="1"/>
  <c r="AF372" i="1"/>
  <c r="AG372" i="1" s="1"/>
  <c r="AD372" i="1"/>
  <c r="AE372" i="1" s="1"/>
  <c r="AB372" i="1"/>
  <c r="AC372" i="1" s="1"/>
  <c r="Z372" i="1"/>
  <c r="AA372" i="1" s="1"/>
  <c r="X372" i="1"/>
  <c r="Y372" i="1" s="1"/>
  <c r="V372" i="1"/>
  <c r="W372" i="1" s="1"/>
  <c r="T372" i="1"/>
  <c r="U372" i="1" s="1"/>
  <c r="Q372" i="1"/>
  <c r="AZ371" i="1"/>
  <c r="BA371" i="1" s="1"/>
  <c r="AX371" i="1"/>
  <c r="AY371" i="1" s="1"/>
  <c r="AV371" i="1"/>
  <c r="AW371" i="1" s="1"/>
  <c r="AT371" i="1"/>
  <c r="AU371" i="1" s="1"/>
  <c r="AR371" i="1"/>
  <c r="AS371" i="1" s="1"/>
  <c r="AP371" i="1"/>
  <c r="AQ371" i="1" s="1"/>
  <c r="AN371" i="1"/>
  <c r="AO371" i="1" s="1"/>
  <c r="AL371" i="1"/>
  <c r="AM371" i="1" s="1"/>
  <c r="AJ371" i="1"/>
  <c r="AK371" i="1" s="1"/>
  <c r="AH371" i="1"/>
  <c r="AI371" i="1" s="1"/>
  <c r="AF371" i="1"/>
  <c r="AG371" i="1" s="1"/>
  <c r="AD371" i="1"/>
  <c r="AE371" i="1" s="1"/>
  <c r="AB371" i="1"/>
  <c r="AC371" i="1" s="1"/>
  <c r="Z371" i="1"/>
  <c r="AA371" i="1" s="1"/>
  <c r="X371" i="1"/>
  <c r="Y371" i="1" s="1"/>
  <c r="V371" i="1"/>
  <c r="W371" i="1" s="1"/>
  <c r="T371" i="1"/>
  <c r="U371" i="1" s="1"/>
  <c r="Q371" i="1"/>
  <c r="AZ370" i="1"/>
  <c r="BA370" i="1" s="1"/>
  <c r="AX370" i="1"/>
  <c r="AY370" i="1" s="1"/>
  <c r="AV370" i="1"/>
  <c r="AW370" i="1" s="1"/>
  <c r="AT370" i="1"/>
  <c r="AU370" i="1" s="1"/>
  <c r="AR370" i="1"/>
  <c r="AS370" i="1" s="1"/>
  <c r="AP370" i="1"/>
  <c r="AQ370" i="1" s="1"/>
  <c r="AN370" i="1"/>
  <c r="AO370" i="1" s="1"/>
  <c r="AL370" i="1"/>
  <c r="AM370" i="1" s="1"/>
  <c r="AJ370" i="1"/>
  <c r="AK370" i="1" s="1"/>
  <c r="AH370" i="1"/>
  <c r="AI370" i="1" s="1"/>
  <c r="AF370" i="1"/>
  <c r="AG370" i="1" s="1"/>
  <c r="AD370" i="1"/>
  <c r="AE370" i="1" s="1"/>
  <c r="AB370" i="1"/>
  <c r="AC370" i="1" s="1"/>
  <c r="Z370" i="1"/>
  <c r="AA370" i="1" s="1"/>
  <c r="X370" i="1"/>
  <c r="Y370" i="1" s="1"/>
  <c r="V370" i="1"/>
  <c r="W370" i="1" s="1"/>
  <c r="T370" i="1"/>
  <c r="U370" i="1" s="1"/>
  <c r="Q370" i="1"/>
  <c r="AZ368" i="1"/>
  <c r="BA368" i="1" s="1"/>
  <c r="AX368" i="1"/>
  <c r="AY368" i="1" s="1"/>
  <c r="AV368" i="1"/>
  <c r="AW368" i="1" s="1"/>
  <c r="AT368" i="1"/>
  <c r="AU368" i="1" s="1"/>
  <c r="AR368" i="1"/>
  <c r="AS368" i="1" s="1"/>
  <c r="AP368" i="1"/>
  <c r="AQ368" i="1" s="1"/>
  <c r="AN368" i="1"/>
  <c r="AO368" i="1" s="1"/>
  <c r="AL368" i="1"/>
  <c r="AM368" i="1" s="1"/>
  <c r="AJ368" i="1"/>
  <c r="AK368" i="1" s="1"/>
  <c r="AH368" i="1"/>
  <c r="AI368" i="1" s="1"/>
  <c r="AF368" i="1"/>
  <c r="AG368" i="1" s="1"/>
  <c r="AD368" i="1"/>
  <c r="AE368" i="1" s="1"/>
  <c r="AB368" i="1"/>
  <c r="AC368" i="1" s="1"/>
  <c r="Z368" i="1"/>
  <c r="AA368" i="1" s="1"/>
  <c r="X368" i="1"/>
  <c r="Y368" i="1" s="1"/>
  <c r="V368" i="1"/>
  <c r="W368" i="1" s="1"/>
  <c r="T368" i="1"/>
  <c r="U368" i="1" s="1"/>
  <c r="Q368" i="1"/>
  <c r="AZ367" i="1"/>
  <c r="BA367" i="1" s="1"/>
  <c r="AX367" i="1"/>
  <c r="AY367" i="1" s="1"/>
  <c r="AV367" i="1"/>
  <c r="AW367" i="1" s="1"/>
  <c r="AT367" i="1"/>
  <c r="AU367" i="1" s="1"/>
  <c r="AR367" i="1"/>
  <c r="AS367" i="1" s="1"/>
  <c r="AP367" i="1"/>
  <c r="AQ367" i="1" s="1"/>
  <c r="AN367" i="1"/>
  <c r="AO367" i="1" s="1"/>
  <c r="AL367" i="1"/>
  <c r="AM367" i="1" s="1"/>
  <c r="AJ367" i="1"/>
  <c r="AK367" i="1" s="1"/>
  <c r="AH367" i="1"/>
  <c r="AI367" i="1" s="1"/>
  <c r="AF367" i="1"/>
  <c r="AG367" i="1" s="1"/>
  <c r="AD367" i="1"/>
  <c r="AE367" i="1" s="1"/>
  <c r="AB367" i="1"/>
  <c r="AC367" i="1" s="1"/>
  <c r="Z367" i="1"/>
  <c r="AA367" i="1" s="1"/>
  <c r="X367" i="1"/>
  <c r="Y367" i="1" s="1"/>
  <c r="V367" i="1"/>
  <c r="W367" i="1" s="1"/>
  <c r="T367" i="1"/>
  <c r="U367" i="1" s="1"/>
  <c r="Q367" i="1"/>
  <c r="AZ366" i="1"/>
  <c r="BA366" i="1" s="1"/>
  <c r="AX366" i="1"/>
  <c r="AY366" i="1" s="1"/>
  <c r="AV366" i="1"/>
  <c r="AW366" i="1" s="1"/>
  <c r="AT366" i="1"/>
  <c r="AU366" i="1" s="1"/>
  <c r="AR366" i="1"/>
  <c r="AS366" i="1" s="1"/>
  <c r="AP366" i="1"/>
  <c r="AQ366" i="1" s="1"/>
  <c r="AN366" i="1"/>
  <c r="AO366" i="1" s="1"/>
  <c r="AL366" i="1"/>
  <c r="AM366" i="1" s="1"/>
  <c r="AJ366" i="1"/>
  <c r="AK366" i="1" s="1"/>
  <c r="AH366" i="1"/>
  <c r="AI366" i="1" s="1"/>
  <c r="AF366" i="1"/>
  <c r="AG366" i="1" s="1"/>
  <c r="AD366" i="1"/>
  <c r="AE366" i="1" s="1"/>
  <c r="AB366" i="1"/>
  <c r="AC366" i="1" s="1"/>
  <c r="Z366" i="1"/>
  <c r="AA366" i="1" s="1"/>
  <c r="X366" i="1"/>
  <c r="Y366" i="1" s="1"/>
  <c r="V366" i="1"/>
  <c r="W366" i="1" s="1"/>
  <c r="T366" i="1"/>
  <c r="U366" i="1" s="1"/>
  <c r="Q366" i="1"/>
  <c r="AZ365" i="1"/>
  <c r="BA365" i="1" s="1"/>
  <c r="AX365" i="1"/>
  <c r="AY365" i="1" s="1"/>
  <c r="AV365" i="1"/>
  <c r="AW365" i="1" s="1"/>
  <c r="AT365" i="1"/>
  <c r="AU365" i="1" s="1"/>
  <c r="AR365" i="1"/>
  <c r="AS365" i="1" s="1"/>
  <c r="AP365" i="1"/>
  <c r="AQ365" i="1" s="1"/>
  <c r="AN365" i="1"/>
  <c r="AO365" i="1" s="1"/>
  <c r="AL365" i="1"/>
  <c r="AM365" i="1" s="1"/>
  <c r="AJ365" i="1"/>
  <c r="AK365" i="1" s="1"/>
  <c r="AH365" i="1"/>
  <c r="AI365" i="1" s="1"/>
  <c r="AF365" i="1"/>
  <c r="AG365" i="1" s="1"/>
  <c r="AD365" i="1"/>
  <c r="AE365" i="1" s="1"/>
  <c r="AB365" i="1"/>
  <c r="AC365" i="1" s="1"/>
  <c r="Z365" i="1"/>
  <c r="AA365" i="1" s="1"/>
  <c r="X365" i="1"/>
  <c r="Y365" i="1" s="1"/>
  <c r="V365" i="1"/>
  <c r="W365" i="1" s="1"/>
  <c r="T365" i="1"/>
  <c r="U365" i="1" s="1"/>
  <c r="Q365" i="1"/>
  <c r="AZ364" i="1"/>
  <c r="BA364" i="1" s="1"/>
  <c r="AX364" i="1"/>
  <c r="AY364" i="1" s="1"/>
  <c r="AV364" i="1"/>
  <c r="AW364" i="1" s="1"/>
  <c r="AT364" i="1"/>
  <c r="AU364" i="1" s="1"/>
  <c r="AR364" i="1"/>
  <c r="AS364" i="1" s="1"/>
  <c r="AP364" i="1"/>
  <c r="AQ364" i="1" s="1"/>
  <c r="AN364" i="1"/>
  <c r="AO364" i="1" s="1"/>
  <c r="AL364" i="1"/>
  <c r="AM364" i="1" s="1"/>
  <c r="AJ364" i="1"/>
  <c r="AK364" i="1" s="1"/>
  <c r="AH364" i="1"/>
  <c r="AI364" i="1" s="1"/>
  <c r="AF364" i="1"/>
  <c r="AG364" i="1" s="1"/>
  <c r="AD364" i="1"/>
  <c r="AE364" i="1" s="1"/>
  <c r="AB364" i="1"/>
  <c r="AC364" i="1" s="1"/>
  <c r="Z364" i="1"/>
  <c r="AA364" i="1" s="1"/>
  <c r="X364" i="1"/>
  <c r="Y364" i="1" s="1"/>
  <c r="V364" i="1"/>
  <c r="W364" i="1" s="1"/>
  <c r="T364" i="1"/>
  <c r="U364" i="1" s="1"/>
  <c r="Q364" i="1"/>
  <c r="AZ363" i="1"/>
  <c r="BA363" i="1" s="1"/>
  <c r="AX363" i="1"/>
  <c r="AY363" i="1" s="1"/>
  <c r="AV363" i="1"/>
  <c r="AW363" i="1" s="1"/>
  <c r="AT363" i="1"/>
  <c r="AU363" i="1" s="1"/>
  <c r="AR363" i="1"/>
  <c r="AS363" i="1" s="1"/>
  <c r="AP363" i="1"/>
  <c r="AQ363" i="1" s="1"/>
  <c r="AN363" i="1"/>
  <c r="AO363" i="1" s="1"/>
  <c r="AL363" i="1"/>
  <c r="AM363" i="1" s="1"/>
  <c r="AJ363" i="1"/>
  <c r="AK363" i="1" s="1"/>
  <c r="AH363" i="1"/>
  <c r="AI363" i="1" s="1"/>
  <c r="AF363" i="1"/>
  <c r="AG363" i="1" s="1"/>
  <c r="AD363" i="1"/>
  <c r="AE363" i="1" s="1"/>
  <c r="AB363" i="1"/>
  <c r="AC363" i="1" s="1"/>
  <c r="Z363" i="1"/>
  <c r="AA363" i="1" s="1"/>
  <c r="X363" i="1"/>
  <c r="Y363" i="1" s="1"/>
  <c r="V363" i="1"/>
  <c r="W363" i="1" s="1"/>
  <c r="T363" i="1"/>
  <c r="Q363" i="1"/>
  <c r="AZ361" i="1"/>
  <c r="BA361" i="1" s="1"/>
  <c r="AX361" i="1"/>
  <c r="AY361" i="1" s="1"/>
  <c r="AV361" i="1"/>
  <c r="AW361" i="1" s="1"/>
  <c r="AT361" i="1"/>
  <c r="AU361" i="1" s="1"/>
  <c r="AR361" i="1"/>
  <c r="AS361" i="1" s="1"/>
  <c r="AP361" i="1"/>
  <c r="AQ361" i="1" s="1"/>
  <c r="AN361" i="1"/>
  <c r="AO361" i="1" s="1"/>
  <c r="AL361" i="1"/>
  <c r="AM361" i="1" s="1"/>
  <c r="AJ361" i="1"/>
  <c r="AK361" i="1" s="1"/>
  <c r="AH361" i="1"/>
  <c r="AI361" i="1" s="1"/>
  <c r="AF361" i="1"/>
  <c r="AG361" i="1" s="1"/>
  <c r="AD361" i="1"/>
  <c r="AE361" i="1" s="1"/>
  <c r="AB361" i="1"/>
  <c r="AC361" i="1" s="1"/>
  <c r="Z361" i="1"/>
  <c r="AA361" i="1" s="1"/>
  <c r="X361" i="1"/>
  <c r="Y361" i="1" s="1"/>
  <c r="V361" i="1"/>
  <c r="W361" i="1" s="1"/>
  <c r="T361" i="1"/>
  <c r="U361" i="1" s="1"/>
  <c r="Q361" i="1"/>
  <c r="AZ360" i="1"/>
  <c r="BA360" i="1" s="1"/>
  <c r="AX360" i="1"/>
  <c r="AY360" i="1" s="1"/>
  <c r="AV360" i="1"/>
  <c r="AW360" i="1" s="1"/>
  <c r="AT360" i="1"/>
  <c r="AU360" i="1" s="1"/>
  <c r="AR360" i="1"/>
  <c r="AS360" i="1" s="1"/>
  <c r="AP360" i="1"/>
  <c r="AQ360" i="1" s="1"/>
  <c r="AN360" i="1"/>
  <c r="AO360" i="1" s="1"/>
  <c r="AL360" i="1"/>
  <c r="AM360" i="1" s="1"/>
  <c r="AJ360" i="1"/>
  <c r="AK360" i="1" s="1"/>
  <c r="AH360" i="1"/>
  <c r="AI360" i="1" s="1"/>
  <c r="AF360" i="1"/>
  <c r="AG360" i="1" s="1"/>
  <c r="AD360" i="1"/>
  <c r="AE360" i="1" s="1"/>
  <c r="AB360" i="1"/>
  <c r="AC360" i="1" s="1"/>
  <c r="Z360" i="1"/>
  <c r="AA360" i="1" s="1"/>
  <c r="X360" i="1"/>
  <c r="Y360" i="1" s="1"/>
  <c r="V360" i="1"/>
  <c r="W360" i="1" s="1"/>
  <c r="T360" i="1"/>
  <c r="U360" i="1" s="1"/>
  <c r="Q360" i="1"/>
  <c r="AZ359" i="1"/>
  <c r="BA359" i="1" s="1"/>
  <c r="AX359" i="1"/>
  <c r="AY359" i="1" s="1"/>
  <c r="AV359" i="1"/>
  <c r="AW359" i="1" s="1"/>
  <c r="AT359" i="1"/>
  <c r="AU359" i="1" s="1"/>
  <c r="AR359" i="1"/>
  <c r="AS359" i="1" s="1"/>
  <c r="AP359" i="1"/>
  <c r="AQ359" i="1" s="1"/>
  <c r="AN359" i="1"/>
  <c r="AO359" i="1" s="1"/>
  <c r="AL359" i="1"/>
  <c r="AM359" i="1" s="1"/>
  <c r="AJ359" i="1"/>
  <c r="AK359" i="1" s="1"/>
  <c r="AH359" i="1"/>
  <c r="AI359" i="1" s="1"/>
  <c r="AF359" i="1"/>
  <c r="AG359" i="1" s="1"/>
  <c r="AD359" i="1"/>
  <c r="AB359" i="1"/>
  <c r="AC359" i="1" s="1"/>
  <c r="Z359" i="1"/>
  <c r="AA359" i="1" s="1"/>
  <c r="X359" i="1"/>
  <c r="Y359" i="1" s="1"/>
  <c r="V359" i="1"/>
  <c r="W359" i="1" s="1"/>
  <c r="T359" i="1"/>
  <c r="U359" i="1" s="1"/>
  <c r="Q359" i="1"/>
  <c r="AZ357" i="1"/>
  <c r="BA357" i="1" s="1"/>
  <c r="BA356" i="1" s="1"/>
  <c r="AX357" i="1"/>
  <c r="AY357" i="1" s="1"/>
  <c r="AY356" i="1" s="1"/>
  <c r="AV357" i="1"/>
  <c r="AW357" i="1" s="1"/>
  <c r="AW356" i="1" s="1"/>
  <c r="AT357" i="1"/>
  <c r="AU357" i="1" s="1"/>
  <c r="AU356" i="1" s="1"/>
  <c r="AR357" i="1"/>
  <c r="AS357" i="1" s="1"/>
  <c r="AS356" i="1" s="1"/>
  <c r="AP357" i="1"/>
  <c r="AQ357" i="1" s="1"/>
  <c r="AQ356" i="1" s="1"/>
  <c r="AN357" i="1"/>
  <c r="AO357" i="1" s="1"/>
  <c r="AO356" i="1" s="1"/>
  <c r="AL357" i="1"/>
  <c r="AM357" i="1" s="1"/>
  <c r="AM356" i="1" s="1"/>
  <c r="AJ357" i="1"/>
  <c r="AK357" i="1" s="1"/>
  <c r="AK356" i="1" s="1"/>
  <c r="AH357" i="1"/>
  <c r="AI357" i="1" s="1"/>
  <c r="AI356" i="1" s="1"/>
  <c r="AF357" i="1"/>
  <c r="AG357" i="1" s="1"/>
  <c r="AG356" i="1" s="1"/>
  <c r="AD357" i="1"/>
  <c r="AE357" i="1" s="1"/>
  <c r="AE356" i="1" s="1"/>
  <c r="AB357" i="1"/>
  <c r="AC357" i="1" s="1"/>
  <c r="AC356" i="1" s="1"/>
  <c r="Z357" i="1"/>
  <c r="AA357" i="1" s="1"/>
  <c r="AA356" i="1" s="1"/>
  <c r="X357" i="1"/>
  <c r="Y357" i="1" s="1"/>
  <c r="Y356" i="1" s="1"/>
  <c r="V357" i="1"/>
  <c r="W357" i="1" s="1"/>
  <c r="W356" i="1" s="1"/>
  <c r="T357" i="1"/>
  <c r="U357" i="1" s="1"/>
  <c r="U356" i="1" s="1"/>
  <c r="Q357" i="1"/>
  <c r="Q356" i="1" s="1"/>
  <c r="AZ355" i="1"/>
  <c r="BA355" i="1" s="1"/>
  <c r="AX355" i="1"/>
  <c r="AY355" i="1" s="1"/>
  <c r="AV355" i="1"/>
  <c r="AW355" i="1" s="1"/>
  <c r="AT355" i="1"/>
  <c r="AU355" i="1" s="1"/>
  <c r="AR355" i="1"/>
  <c r="AS355" i="1" s="1"/>
  <c r="AP355" i="1"/>
  <c r="AQ355" i="1" s="1"/>
  <c r="AN355" i="1"/>
  <c r="AO355" i="1" s="1"/>
  <c r="AL355" i="1"/>
  <c r="AM355" i="1" s="1"/>
  <c r="AJ355" i="1"/>
  <c r="AK355" i="1" s="1"/>
  <c r="AH355" i="1"/>
  <c r="AI355" i="1" s="1"/>
  <c r="AF355" i="1"/>
  <c r="AG355" i="1" s="1"/>
  <c r="AD355" i="1"/>
  <c r="AE355" i="1" s="1"/>
  <c r="AB355" i="1"/>
  <c r="AC355" i="1" s="1"/>
  <c r="Z355" i="1"/>
  <c r="AA355" i="1" s="1"/>
  <c r="X355" i="1"/>
  <c r="Y355" i="1" s="1"/>
  <c r="V355" i="1"/>
  <c r="W355" i="1" s="1"/>
  <c r="T355" i="1"/>
  <c r="U355" i="1" s="1"/>
  <c r="Q355" i="1"/>
  <c r="AZ354" i="1"/>
  <c r="BA354" i="1" s="1"/>
  <c r="AX354" i="1"/>
  <c r="AY354" i="1" s="1"/>
  <c r="AV354" i="1"/>
  <c r="AW354" i="1" s="1"/>
  <c r="AT354" i="1"/>
  <c r="AU354" i="1" s="1"/>
  <c r="AR354" i="1"/>
  <c r="AS354" i="1" s="1"/>
  <c r="AP354" i="1"/>
  <c r="AQ354" i="1" s="1"/>
  <c r="AN354" i="1"/>
  <c r="AO354" i="1" s="1"/>
  <c r="AL354" i="1"/>
  <c r="AM354" i="1" s="1"/>
  <c r="AJ354" i="1"/>
  <c r="AK354" i="1" s="1"/>
  <c r="AH354" i="1"/>
  <c r="AI354" i="1" s="1"/>
  <c r="AF354" i="1"/>
  <c r="AG354" i="1" s="1"/>
  <c r="AD354" i="1"/>
  <c r="AE354" i="1" s="1"/>
  <c r="AB354" i="1"/>
  <c r="AC354" i="1" s="1"/>
  <c r="Z354" i="1"/>
  <c r="AA354" i="1" s="1"/>
  <c r="X354" i="1"/>
  <c r="Y354" i="1" s="1"/>
  <c r="V354" i="1"/>
  <c r="W354" i="1" s="1"/>
  <c r="T354" i="1"/>
  <c r="U354" i="1" s="1"/>
  <c r="Q354" i="1"/>
  <c r="AZ352" i="1"/>
  <c r="BA352" i="1" s="1"/>
  <c r="AX352" i="1"/>
  <c r="AY352" i="1" s="1"/>
  <c r="AV352" i="1"/>
  <c r="AW352" i="1" s="1"/>
  <c r="AT352" i="1"/>
  <c r="AU352" i="1" s="1"/>
  <c r="AR352" i="1"/>
  <c r="AS352" i="1" s="1"/>
  <c r="AP352" i="1"/>
  <c r="AQ352" i="1" s="1"/>
  <c r="AN352" i="1"/>
  <c r="AO352" i="1" s="1"/>
  <c r="AL352" i="1"/>
  <c r="AM352" i="1" s="1"/>
  <c r="AJ352" i="1"/>
  <c r="AK352" i="1" s="1"/>
  <c r="AH352" i="1"/>
  <c r="AI352" i="1" s="1"/>
  <c r="AF352" i="1"/>
  <c r="AG352" i="1" s="1"/>
  <c r="AD352" i="1"/>
  <c r="AE352" i="1" s="1"/>
  <c r="AB352" i="1"/>
  <c r="AC352" i="1" s="1"/>
  <c r="Z352" i="1"/>
  <c r="AA352" i="1" s="1"/>
  <c r="X352" i="1"/>
  <c r="Y352" i="1" s="1"/>
  <c r="V352" i="1"/>
  <c r="W352" i="1" s="1"/>
  <c r="T352" i="1"/>
  <c r="U352" i="1" s="1"/>
  <c r="Q352" i="1"/>
  <c r="AZ351" i="1"/>
  <c r="BA351" i="1" s="1"/>
  <c r="AX351" i="1"/>
  <c r="AY351" i="1" s="1"/>
  <c r="AV351" i="1"/>
  <c r="AW351" i="1" s="1"/>
  <c r="AT351" i="1"/>
  <c r="AU351" i="1" s="1"/>
  <c r="AR351" i="1"/>
  <c r="AS351" i="1" s="1"/>
  <c r="AP351" i="1"/>
  <c r="AQ351" i="1" s="1"/>
  <c r="AN351" i="1"/>
  <c r="AO351" i="1" s="1"/>
  <c r="AL351" i="1"/>
  <c r="AM351" i="1" s="1"/>
  <c r="AJ351" i="1"/>
  <c r="AK351" i="1" s="1"/>
  <c r="AH351" i="1"/>
  <c r="AI351" i="1" s="1"/>
  <c r="AF351" i="1"/>
  <c r="AG351" i="1" s="1"/>
  <c r="AD351" i="1"/>
  <c r="AE351" i="1" s="1"/>
  <c r="AB351" i="1"/>
  <c r="AC351" i="1" s="1"/>
  <c r="Z351" i="1"/>
  <c r="AA351" i="1" s="1"/>
  <c r="X351" i="1"/>
  <c r="Y351" i="1" s="1"/>
  <c r="V351" i="1"/>
  <c r="W351" i="1" s="1"/>
  <c r="T351" i="1"/>
  <c r="U351" i="1" s="1"/>
  <c r="Q351" i="1"/>
  <c r="AZ350" i="1"/>
  <c r="BA350" i="1" s="1"/>
  <c r="AX350" i="1"/>
  <c r="AY350" i="1" s="1"/>
  <c r="AV350" i="1"/>
  <c r="AW350" i="1" s="1"/>
  <c r="AT350" i="1"/>
  <c r="AU350" i="1" s="1"/>
  <c r="AR350" i="1"/>
  <c r="AS350" i="1" s="1"/>
  <c r="AP350" i="1"/>
  <c r="AQ350" i="1" s="1"/>
  <c r="AN350" i="1"/>
  <c r="AO350" i="1" s="1"/>
  <c r="AL350" i="1"/>
  <c r="AM350" i="1" s="1"/>
  <c r="AJ350" i="1"/>
  <c r="AK350" i="1" s="1"/>
  <c r="AH350" i="1"/>
  <c r="AI350" i="1" s="1"/>
  <c r="AF350" i="1"/>
  <c r="AG350" i="1" s="1"/>
  <c r="AD350" i="1"/>
  <c r="AE350" i="1" s="1"/>
  <c r="AB350" i="1"/>
  <c r="AC350" i="1" s="1"/>
  <c r="Z350" i="1"/>
  <c r="AA350" i="1" s="1"/>
  <c r="X350" i="1"/>
  <c r="Y350" i="1" s="1"/>
  <c r="V350" i="1"/>
  <c r="W350" i="1" s="1"/>
  <c r="T350" i="1"/>
  <c r="U350" i="1" s="1"/>
  <c r="Q350" i="1"/>
  <c r="AZ349" i="1"/>
  <c r="BA349" i="1" s="1"/>
  <c r="AX349" i="1"/>
  <c r="AY349" i="1" s="1"/>
  <c r="AV349" i="1"/>
  <c r="AW349" i="1" s="1"/>
  <c r="AT349" i="1"/>
  <c r="AU349" i="1" s="1"/>
  <c r="AR349" i="1"/>
  <c r="AS349" i="1" s="1"/>
  <c r="AP349" i="1"/>
  <c r="AQ349" i="1" s="1"/>
  <c r="AN349" i="1"/>
  <c r="AO349" i="1" s="1"/>
  <c r="AL349" i="1"/>
  <c r="AM349" i="1" s="1"/>
  <c r="AJ349" i="1"/>
  <c r="AK349" i="1" s="1"/>
  <c r="AH349" i="1"/>
  <c r="AI349" i="1" s="1"/>
  <c r="AF349" i="1"/>
  <c r="AG349" i="1" s="1"/>
  <c r="AD349" i="1"/>
  <c r="AE349" i="1" s="1"/>
  <c r="AB349" i="1"/>
  <c r="AC349" i="1" s="1"/>
  <c r="Z349" i="1"/>
  <c r="X349" i="1"/>
  <c r="Y349" i="1" s="1"/>
  <c r="V349" i="1"/>
  <c r="W349" i="1" s="1"/>
  <c r="T349" i="1"/>
  <c r="U349" i="1" s="1"/>
  <c r="Q349" i="1"/>
  <c r="AZ348" i="1"/>
  <c r="BA348" i="1" s="1"/>
  <c r="AX348" i="1"/>
  <c r="AY348" i="1" s="1"/>
  <c r="AV348" i="1"/>
  <c r="AW348" i="1" s="1"/>
  <c r="AT348" i="1"/>
  <c r="AU348" i="1" s="1"/>
  <c r="AR348" i="1"/>
  <c r="AS348" i="1" s="1"/>
  <c r="AP348" i="1"/>
  <c r="AQ348" i="1" s="1"/>
  <c r="AN348" i="1"/>
  <c r="AO348" i="1" s="1"/>
  <c r="AL348" i="1"/>
  <c r="AM348" i="1" s="1"/>
  <c r="AJ348" i="1"/>
  <c r="AK348" i="1" s="1"/>
  <c r="AH348" i="1"/>
  <c r="AI348" i="1" s="1"/>
  <c r="AF348" i="1"/>
  <c r="AG348" i="1" s="1"/>
  <c r="AD348" i="1"/>
  <c r="AE348" i="1" s="1"/>
  <c r="AB348" i="1"/>
  <c r="AC348" i="1" s="1"/>
  <c r="Z348" i="1"/>
  <c r="AA348" i="1" s="1"/>
  <c r="X348" i="1"/>
  <c r="Y348" i="1" s="1"/>
  <c r="V348" i="1"/>
  <c r="W348" i="1" s="1"/>
  <c r="T348" i="1"/>
  <c r="Q348" i="1"/>
  <c r="AZ347" i="1"/>
  <c r="BA347" i="1" s="1"/>
  <c r="AX347" i="1"/>
  <c r="AY347" i="1" s="1"/>
  <c r="AV347" i="1"/>
  <c r="AW347" i="1" s="1"/>
  <c r="AT347" i="1"/>
  <c r="AU347" i="1" s="1"/>
  <c r="AR347" i="1"/>
  <c r="AS347" i="1" s="1"/>
  <c r="AP347" i="1"/>
  <c r="AQ347" i="1" s="1"/>
  <c r="AN347" i="1"/>
  <c r="AO347" i="1" s="1"/>
  <c r="AL347" i="1"/>
  <c r="AM347" i="1" s="1"/>
  <c r="AJ347" i="1"/>
  <c r="AK347" i="1" s="1"/>
  <c r="AH347" i="1"/>
  <c r="AI347" i="1" s="1"/>
  <c r="AF347" i="1"/>
  <c r="AG347" i="1" s="1"/>
  <c r="AD347" i="1"/>
  <c r="AE347" i="1" s="1"/>
  <c r="AB347" i="1"/>
  <c r="AC347" i="1" s="1"/>
  <c r="Z347" i="1"/>
  <c r="AA347" i="1" s="1"/>
  <c r="X347" i="1"/>
  <c r="Y347" i="1" s="1"/>
  <c r="V347" i="1"/>
  <c r="W347" i="1" s="1"/>
  <c r="T347" i="1"/>
  <c r="Q347" i="1"/>
  <c r="AZ346" i="1"/>
  <c r="BA346" i="1" s="1"/>
  <c r="AX346" i="1"/>
  <c r="AY346" i="1" s="1"/>
  <c r="AV346" i="1"/>
  <c r="AW346" i="1" s="1"/>
  <c r="AT346" i="1"/>
  <c r="AU346" i="1" s="1"/>
  <c r="AR346" i="1"/>
  <c r="AS346" i="1" s="1"/>
  <c r="AP346" i="1"/>
  <c r="AQ346" i="1" s="1"/>
  <c r="AN346" i="1"/>
  <c r="AO346" i="1" s="1"/>
  <c r="AL346" i="1"/>
  <c r="AM346" i="1" s="1"/>
  <c r="AJ346" i="1"/>
  <c r="AK346" i="1" s="1"/>
  <c r="AH346" i="1"/>
  <c r="AI346" i="1" s="1"/>
  <c r="AF346" i="1"/>
  <c r="AG346" i="1" s="1"/>
  <c r="AD346" i="1"/>
  <c r="AB346" i="1"/>
  <c r="AC346" i="1" s="1"/>
  <c r="Z346" i="1"/>
  <c r="AA346" i="1" s="1"/>
  <c r="X346" i="1"/>
  <c r="Y346" i="1" s="1"/>
  <c r="V346" i="1"/>
  <c r="W346" i="1" s="1"/>
  <c r="T346" i="1"/>
  <c r="U346" i="1" s="1"/>
  <c r="Q346" i="1"/>
  <c r="AZ344" i="1"/>
  <c r="BA344" i="1" s="1"/>
  <c r="AX344" i="1"/>
  <c r="AY344" i="1" s="1"/>
  <c r="AV344" i="1"/>
  <c r="AW344" i="1" s="1"/>
  <c r="AT344" i="1"/>
  <c r="AU344" i="1" s="1"/>
  <c r="AR344" i="1"/>
  <c r="AS344" i="1" s="1"/>
  <c r="AP344" i="1"/>
  <c r="AQ344" i="1" s="1"/>
  <c r="AN344" i="1"/>
  <c r="AO344" i="1" s="1"/>
  <c r="AL344" i="1"/>
  <c r="AM344" i="1" s="1"/>
  <c r="AJ344" i="1"/>
  <c r="AK344" i="1" s="1"/>
  <c r="AH344" i="1"/>
  <c r="AI344" i="1" s="1"/>
  <c r="AF344" i="1"/>
  <c r="AG344" i="1" s="1"/>
  <c r="AD344" i="1"/>
  <c r="AE344" i="1" s="1"/>
  <c r="AB344" i="1"/>
  <c r="AC344" i="1" s="1"/>
  <c r="Z344" i="1"/>
  <c r="AA344" i="1" s="1"/>
  <c r="X344" i="1"/>
  <c r="Y344" i="1" s="1"/>
  <c r="V344" i="1"/>
  <c r="W344" i="1" s="1"/>
  <c r="T344" i="1"/>
  <c r="U344" i="1" s="1"/>
  <c r="Q344" i="1"/>
  <c r="AZ343" i="1"/>
  <c r="BA343" i="1" s="1"/>
  <c r="AX343" i="1"/>
  <c r="AY343" i="1" s="1"/>
  <c r="AV343" i="1"/>
  <c r="AW343" i="1" s="1"/>
  <c r="AT343" i="1"/>
  <c r="AU343" i="1" s="1"/>
  <c r="AR343" i="1"/>
  <c r="AS343" i="1" s="1"/>
  <c r="AP343" i="1"/>
  <c r="AQ343" i="1" s="1"/>
  <c r="AN343" i="1"/>
  <c r="AO343" i="1" s="1"/>
  <c r="AL343" i="1"/>
  <c r="AM343" i="1" s="1"/>
  <c r="AJ343" i="1"/>
  <c r="AK343" i="1" s="1"/>
  <c r="AH343" i="1"/>
  <c r="AI343" i="1" s="1"/>
  <c r="AF343" i="1"/>
  <c r="AG343" i="1" s="1"/>
  <c r="AD343" i="1"/>
  <c r="AE343" i="1" s="1"/>
  <c r="AB343" i="1"/>
  <c r="Z343" i="1"/>
  <c r="AA343" i="1" s="1"/>
  <c r="X343" i="1"/>
  <c r="Y343" i="1" s="1"/>
  <c r="V343" i="1"/>
  <c r="W343" i="1" s="1"/>
  <c r="T343" i="1"/>
  <c r="U343" i="1" s="1"/>
  <c r="Q343" i="1"/>
  <c r="AZ342" i="1"/>
  <c r="BA342" i="1" s="1"/>
  <c r="AX342" i="1"/>
  <c r="AY342" i="1" s="1"/>
  <c r="AV342" i="1"/>
  <c r="AW342" i="1" s="1"/>
  <c r="AT342" i="1"/>
  <c r="AU342" i="1" s="1"/>
  <c r="AR342" i="1"/>
  <c r="AS342" i="1" s="1"/>
  <c r="AP342" i="1"/>
  <c r="AQ342" i="1" s="1"/>
  <c r="AN342" i="1"/>
  <c r="AO342" i="1" s="1"/>
  <c r="AL342" i="1"/>
  <c r="AM342" i="1" s="1"/>
  <c r="AJ342" i="1"/>
  <c r="AK342" i="1" s="1"/>
  <c r="AH342" i="1"/>
  <c r="AI342" i="1" s="1"/>
  <c r="AF342" i="1"/>
  <c r="AG342" i="1" s="1"/>
  <c r="AD342" i="1"/>
  <c r="AE342" i="1" s="1"/>
  <c r="AB342" i="1"/>
  <c r="AC342" i="1" s="1"/>
  <c r="Z342" i="1"/>
  <c r="AA342" i="1" s="1"/>
  <c r="X342" i="1"/>
  <c r="Y342" i="1" s="1"/>
  <c r="V342" i="1"/>
  <c r="W342" i="1" s="1"/>
  <c r="T342" i="1"/>
  <c r="U342" i="1" s="1"/>
  <c r="Q342" i="1"/>
  <c r="AZ341" i="1"/>
  <c r="BA341" i="1" s="1"/>
  <c r="AX341" i="1"/>
  <c r="AY341" i="1" s="1"/>
  <c r="AV341" i="1"/>
  <c r="AW341" i="1" s="1"/>
  <c r="AT341" i="1"/>
  <c r="AU341" i="1" s="1"/>
  <c r="AR341" i="1"/>
  <c r="AS341" i="1" s="1"/>
  <c r="AP341" i="1"/>
  <c r="AQ341" i="1" s="1"/>
  <c r="AN341" i="1"/>
  <c r="AO341" i="1" s="1"/>
  <c r="AL341" i="1"/>
  <c r="AM341" i="1" s="1"/>
  <c r="AJ341" i="1"/>
  <c r="AK341" i="1" s="1"/>
  <c r="AH341" i="1"/>
  <c r="AI341" i="1" s="1"/>
  <c r="AF341" i="1"/>
  <c r="AG341" i="1" s="1"/>
  <c r="AD341" i="1"/>
  <c r="AE341" i="1" s="1"/>
  <c r="AB341" i="1"/>
  <c r="AC341" i="1" s="1"/>
  <c r="Z341" i="1"/>
  <c r="AA341" i="1" s="1"/>
  <c r="X341" i="1"/>
  <c r="Y341" i="1" s="1"/>
  <c r="V341" i="1"/>
  <c r="W341" i="1" s="1"/>
  <c r="T341" i="1"/>
  <c r="U341" i="1" s="1"/>
  <c r="Q341" i="1"/>
  <c r="AZ340" i="1"/>
  <c r="BA340" i="1" s="1"/>
  <c r="AX340" i="1"/>
  <c r="AY340" i="1" s="1"/>
  <c r="AV340" i="1"/>
  <c r="AW340" i="1" s="1"/>
  <c r="AT340" i="1"/>
  <c r="AU340" i="1" s="1"/>
  <c r="AR340" i="1"/>
  <c r="AS340" i="1" s="1"/>
  <c r="AP340" i="1"/>
  <c r="AQ340" i="1" s="1"/>
  <c r="AN340" i="1"/>
  <c r="AO340" i="1" s="1"/>
  <c r="AL340" i="1"/>
  <c r="AM340" i="1" s="1"/>
  <c r="AJ340" i="1"/>
  <c r="AK340" i="1" s="1"/>
  <c r="AH340" i="1"/>
  <c r="AI340" i="1" s="1"/>
  <c r="AF340" i="1"/>
  <c r="AG340" i="1" s="1"/>
  <c r="AD340" i="1"/>
  <c r="AE340" i="1" s="1"/>
  <c r="AB340" i="1"/>
  <c r="AC340" i="1" s="1"/>
  <c r="Z340" i="1"/>
  <c r="AA340" i="1" s="1"/>
  <c r="X340" i="1"/>
  <c r="Y340" i="1" s="1"/>
  <c r="V340" i="1"/>
  <c r="W340" i="1" s="1"/>
  <c r="T340" i="1"/>
  <c r="U340" i="1" s="1"/>
  <c r="Q340" i="1"/>
  <c r="AZ339" i="1"/>
  <c r="BA339" i="1" s="1"/>
  <c r="AX339" i="1"/>
  <c r="AY339" i="1" s="1"/>
  <c r="AV339" i="1"/>
  <c r="AW339" i="1" s="1"/>
  <c r="AT339" i="1"/>
  <c r="AU339" i="1" s="1"/>
  <c r="AR339" i="1"/>
  <c r="AS339" i="1" s="1"/>
  <c r="AP339" i="1"/>
  <c r="AQ339" i="1" s="1"/>
  <c r="AN339" i="1"/>
  <c r="AO339" i="1" s="1"/>
  <c r="AL339" i="1"/>
  <c r="AM339" i="1" s="1"/>
  <c r="AJ339" i="1"/>
  <c r="AK339" i="1" s="1"/>
  <c r="AH339" i="1"/>
  <c r="AI339" i="1" s="1"/>
  <c r="AF339" i="1"/>
  <c r="AG339" i="1" s="1"/>
  <c r="AD339" i="1"/>
  <c r="AE339" i="1" s="1"/>
  <c r="AB339" i="1"/>
  <c r="AC339" i="1" s="1"/>
  <c r="Z339" i="1"/>
  <c r="AA339" i="1" s="1"/>
  <c r="X339" i="1"/>
  <c r="Y339" i="1" s="1"/>
  <c r="V339" i="1"/>
  <c r="W339" i="1" s="1"/>
  <c r="T339" i="1"/>
  <c r="U339" i="1" s="1"/>
  <c r="Q339" i="1"/>
  <c r="AZ337" i="1"/>
  <c r="BA337" i="1" s="1"/>
  <c r="AX337" i="1"/>
  <c r="AY337" i="1" s="1"/>
  <c r="AV337" i="1"/>
  <c r="AW337" i="1" s="1"/>
  <c r="AT337" i="1"/>
  <c r="AU337" i="1" s="1"/>
  <c r="AR337" i="1"/>
  <c r="AS337" i="1" s="1"/>
  <c r="AP337" i="1"/>
  <c r="AQ337" i="1" s="1"/>
  <c r="AN337" i="1"/>
  <c r="AO337" i="1" s="1"/>
  <c r="AL337" i="1"/>
  <c r="AM337" i="1" s="1"/>
  <c r="AJ337" i="1"/>
  <c r="AK337" i="1" s="1"/>
  <c r="AH337" i="1"/>
  <c r="AI337" i="1" s="1"/>
  <c r="AF337" i="1"/>
  <c r="AG337" i="1" s="1"/>
  <c r="AD337" i="1"/>
  <c r="AE337" i="1" s="1"/>
  <c r="AB337" i="1"/>
  <c r="AC337" i="1" s="1"/>
  <c r="Z337" i="1"/>
  <c r="AA337" i="1" s="1"/>
  <c r="X337" i="1"/>
  <c r="Y337" i="1" s="1"/>
  <c r="V337" i="1"/>
  <c r="W337" i="1" s="1"/>
  <c r="T337" i="1"/>
  <c r="U337" i="1" s="1"/>
  <c r="Q337" i="1"/>
  <c r="AZ336" i="1"/>
  <c r="BA336" i="1" s="1"/>
  <c r="AX336" i="1"/>
  <c r="AY336" i="1" s="1"/>
  <c r="AV336" i="1"/>
  <c r="AW336" i="1" s="1"/>
  <c r="AT336" i="1"/>
  <c r="AU336" i="1" s="1"/>
  <c r="AR336" i="1"/>
  <c r="AS336" i="1" s="1"/>
  <c r="AP336" i="1"/>
  <c r="AQ336" i="1" s="1"/>
  <c r="AN336" i="1"/>
  <c r="AO336" i="1" s="1"/>
  <c r="AL336" i="1"/>
  <c r="AM336" i="1" s="1"/>
  <c r="AJ336" i="1"/>
  <c r="AK336" i="1" s="1"/>
  <c r="AH336" i="1"/>
  <c r="AI336" i="1" s="1"/>
  <c r="AF336" i="1"/>
  <c r="AG336" i="1" s="1"/>
  <c r="AD336" i="1"/>
  <c r="AE336" i="1" s="1"/>
  <c r="AB336" i="1"/>
  <c r="AC336" i="1" s="1"/>
  <c r="Z336" i="1"/>
  <c r="X336" i="1"/>
  <c r="Y336" i="1" s="1"/>
  <c r="V336" i="1"/>
  <c r="W336" i="1" s="1"/>
  <c r="T336" i="1"/>
  <c r="U336" i="1" s="1"/>
  <c r="Q336" i="1"/>
  <c r="AZ335" i="1"/>
  <c r="BA335" i="1" s="1"/>
  <c r="AX335" i="1"/>
  <c r="AY335" i="1" s="1"/>
  <c r="AV335" i="1"/>
  <c r="AW335" i="1" s="1"/>
  <c r="AT335" i="1"/>
  <c r="AU335" i="1" s="1"/>
  <c r="AR335" i="1"/>
  <c r="AS335" i="1" s="1"/>
  <c r="AP335" i="1"/>
  <c r="AQ335" i="1" s="1"/>
  <c r="AN335" i="1"/>
  <c r="AO335" i="1" s="1"/>
  <c r="AL335" i="1"/>
  <c r="AM335" i="1" s="1"/>
  <c r="AJ335" i="1"/>
  <c r="AK335" i="1" s="1"/>
  <c r="AH335" i="1"/>
  <c r="AI335" i="1" s="1"/>
  <c r="AF335" i="1"/>
  <c r="AG335" i="1" s="1"/>
  <c r="AD335" i="1"/>
  <c r="AE335" i="1" s="1"/>
  <c r="AB335" i="1"/>
  <c r="AC335" i="1" s="1"/>
  <c r="Z335" i="1"/>
  <c r="AA335" i="1" s="1"/>
  <c r="X335" i="1"/>
  <c r="Y335" i="1" s="1"/>
  <c r="V335" i="1"/>
  <c r="W335" i="1" s="1"/>
  <c r="T335" i="1"/>
  <c r="U335" i="1" s="1"/>
  <c r="Q335" i="1"/>
  <c r="AZ334" i="1"/>
  <c r="BA334" i="1" s="1"/>
  <c r="AX334" i="1"/>
  <c r="AY334" i="1" s="1"/>
  <c r="AV334" i="1"/>
  <c r="AW334" i="1" s="1"/>
  <c r="AT334" i="1"/>
  <c r="AU334" i="1" s="1"/>
  <c r="AR334" i="1"/>
  <c r="AS334" i="1" s="1"/>
  <c r="AP334" i="1"/>
  <c r="AQ334" i="1" s="1"/>
  <c r="AN334" i="1"/>
  <c r="AO334" i="1" s="1"/>
  <c r="AL334" i="1"/>
  <c r="AM334" i="1" s="1"/>
  <c r="AJ334" i="1"/>
  <c r="AK334" i="1" s="1"/>
  <c r="AH334" i="1"/>
  <c r="AI334" i="1" s="1"/>
  <c r="AF334" i="1"/>
  <c r="AG334" i="1" s="1"/>
  <c r="AD334" i="1"/>
  <c r="AE334" i="1" s="1"/>
  <c r="AB334" i="1"/>
  <c r="AC334" i="1" s="1"/>
  <c r="Z334" i="1"/>
  <c r="AA334" i="1" s="1"/>
  <c r="X334" i="1"/>
  <c r="Y334" i="1" s="1"/>
  <c r="V334" i="1"/>
  <c r="W334" i="1" s="1"/>
  <c r="T334" i="1"/>
  <c r="U334" i="1" s="1"/>
  <c r="Q334" i="1"/>
  <c r="AZ333" i="1"/>
  <c r="BA333" i="1" s="1"/>
  <c r="AX333" i="1"/>
  <c r="AY333" i="1" s="1"/>
  <c r="AV333" i="1"/>
  <c r="AW333" i="1" s="1"/>
  <c r="AT333" i="1"/>
  <c r="AU333" i="1" s="1"/>
  <c r="AR333" i="1"/>
  <c r="AS333" i="1" s="1"/>
  <c r="AP333" i="1"/>
  <c r="AQ333" i="1" s="1"/>
  <c r="AN333" i="1"/>
  <c r="AO333" i="1" s="1"/>
  <c r="AL333" i="1"/>
  <c r="AM333" i="1" s="1"/>
  <c r="AJ333" i="1"/>
  <c r="AK333" i="1" s="1"/>
  <c r="AH333" i="1"/>
  <c r="AI333" i="1" s="1"/>
  <c r="AF333" i="1"/>
  <c r="AG333" i="1" s="1"/>
  <c r="AD333" i="1"/>
  <c r="AE333" i="1" s="1"/>
  <c r="AB333" i="1"/>
  <c r="AC333" i="1" s="1"/>
  <c r="Z333" i="1"/>
  <c r="AA333" i="1" s="1"/>
  <c r="X333" i="1"/>
  <c r="Y333" i="1" s="1"/>
  <c r="V333" i="1"/>
  <c r="W333" i="1" s="1"/>
  <c r="T333" i="1"/>
  <c r="Q333" i="1"/>
  <c r="AZ332" i="1"/>
  <c r="BA332" i="1" s="1"/>
  <c r="AX332" i="1"/>
  <c r="AY332" i="1" s="1"/>
  <c r="AV332" i="1"/>
  <c r="AW332" i="1" s="1"/>
  <c r="AT332" i="1"/>
  <c r="AU332" i="1" s="1"/>
  <c r="AR332" i="1"/>
  <c r="AS332" i="1" s="1"/>
  <c r="AP332" i="1"/>
  <c r="AQ332" i="1" s="1"/>
  <c r="AN332" i="1"/>
  <c r="AO332" i="1" s="1"/>
  <c r="AL332" i="1"/>
  <c r="AM332" i="1" s="1"/>
  <c r="AJ332" i="1"/>
  <c r="AK332" i="1" s="1"/>
  <c r="AH332" i="1"/>
  <c r="AI332" i="1" s="1"/>
  <c r="AF332" i="1"/>
  <c r="AG332" i="1" s="1"/>
  <c r="AD332" i="1"/>
  <c r="AE332" i="1" s="1"/>
  <c r="AB332" i="1"/>
  <c r="AC332" i="1" s="1"/>
  <c r="Z332" i="1"/>
  <c r="AA332" i="1" s="1"/>
  <c r="X332" i="1"/>
  <c r="Y332" i="1" s="1"/>
  <c r="V332" i="1"/>
  <c r="W332" i="1" s="1"/>
  <c r="T332" i="1"/>
  <c r="U332" i="1" s="1"/>
  <c r="Q332" i="1"/>
  <c r="AZ331" i="1"/>
  <c r="BA331" i="1" s="1"/>
  <c r="AX331" i="1"/>
  <c r="AY331" i="1" s="1"/>
  <c r="AV331" i="1"/>
  <c r="AW331" i="1" s="1"/>
  <c r="AT331" i="1"/>
  <c r="AU331" i="1" s="1"/>
  <c r="AR331" i="1"/>
  <c r="AS331" i="1" s="1"/>
  <c r="AP331" i="1"/>
  <c r="AQ331" i="1" s="1"/>
  <c r="AN331" i="1"/>
  <c r="AO331" i="1" s="1"/>
  <c r="AL331" i="1"/>
  <c r="AM331" i="1" s="1"/>
  <c r="AJ331" i="1"/>
  <c r="AK331" i="1" s="1"/>
  <c r="AH331" i="1"/>
  <c r="AI331" i="1" s="1"/>
  <c r="AF331" i="1"/>
  <c r="AG331" i="1" s="1"/>
  <c r="AD331" i="1"/>
  <c r="AE331" i="1" s="1"/>
  <c r="AB331" i="1"/>
  <c r="AC331" i="1" s="1"/>
  <c r="Z331" i="1"/>
  <c r="X331" i="1"/>
  <c r="Y331" i="1" s="1"/>
  <c r="V331" i="1"/>
  <c r="W331" i="1" s="1"/>
  <c r="T331" i="1"/>
  <c r="U331" i="1" s="1"/>
  <c r="Q331" i="1"/>
  <c r="AZ330" i="1"/>
  <c r="BA330" i="1" s="1"/>
  <c r="AX330" i="1"/>
  <c r="AY330" i="1" s="1"/>
  <c r="AV330" i="1"/>
  <c r="AW330" i="1" s="1"/>
  <c r="AT330" i="1"/>
  <c r="AU330" i="1" s="1"/>
  <c r="AR330" i="1"/>
  <c r="AS330" i="1" s="1"/>
  <c r="AP330" i="1"/>
  <c r="AQ330" i="1" s="1"/>
  <c r="AN330" i="1"/>
  <c r="AO330" i="1" s="1"/>
  <c r="AL330" i="1"/>
  <c r="AM330" i="1" s="1"/>
  <c r="AJ330" i="1"/>
  <c r="AK330" i="1" s="1"/>
  <c r="AH330" i="1"/>
  <c r="AI330" i="1" s="1"/>
  <c r="AF330" i="1"/>
  <c r="AG330" i="1" s="1"/>
  <c r="AD330" i="1"/>
  <c r="AE330" i="1" s="1"/>
  <c r="AB330" i="1"/>
  <c r="AC330" i="1" s="1"/>
  <c r="Z330" i="1"/>
  <c r="AA330" i="1" s="1"/>
  <c r="X330" i="1"/>
  <c r="Y330" i="1" s="1"/>
  <c r="V330" i="1"/>
  <c r="W330" i="1" s="1"/>
  <c r="T330" i="1"/>
  <c r="U330" i="1" s="1"/>
  <c r="Q330" i="1"/>
  <c r="AZ329" i="1"/>
  <c r="BA329" i="1" s="1"/>
  <c r="AX329" i="1"/>
  <c r="AY329" i="1" s="1"/>
  <c r="AV329" i="1"/>
  <c r="AW329" i="1" s="1"/>
  <c r="AT329" i="1"/>
  <c r="AU329" i="1" s="1"/>
  <c r="AR329" i="1"/>
  <c r="AS329" i="1" s="1"/>
  <c r="AP329" i="1"/>
  <c r="AQ329" i="1" s="1"/>
  <c r="AN329" i="1"/>
  <c r="AO329" i="1" s="1"/>
  <c r="AL329" i="1"/>
  <c r="AM329" i="1" s="1"/>
  <c r="AJ329" i="1"/>
  <c r="AK329" i="1" s="1"/>
  <c r="AH329" i="1"/>
  <c r="AI329" i="1" s="1"/>
  <c r="AF329" i="1"/>
  <c r="AG329" i="1" s="1"/>
  <c r="AD329" i="1"/>
  <c r="AE329" i="1" s="1"/>
  <c r="AB329" i="1"/>
  <c r="AC329" i="1" s="1"/>
  <c r="Z329" i="1"/>
  <c r="AA329" i="1" s="1"/>
  <c r="X329" i="1"/>
  <c r="Y329" i="1" s="1"/>
  <c r="V329" i="1"/>
  <c r="W329" i="1" s="1"/>
  <c r="T329" i="1"/>
  <c r="Q329" i="1"/>
  <c r="AZ328" i="1"/>
  <c r="BA328" i="1" s="1"/>
  <c r="AX328" i="1"/>
  <c r="AY328" i="1" s="1"/>
  <c r="AV328" i="1"/>
  <c r="AW328" i="1" s="1"/>
  <c r="AT328" i="1"/>
  <c r="AU328" i="1" s="1"/>
  <c r="AR328" i="1"/>
  <c r="AS328" i="1" s="1"/>
  <c r="AP328" i="1"/>
  <c r="AQ328" i="1" s="1"/>
  <c r="AN328" i="1"/>
  <c r="AO328" i="1" s="1"/>
  <c r="AL328" i="1"/>
  <c r="AM328" i="1" s="1"/>
  <c r="AJ328" i="1"/>
  <c r="AK328" i="1" s="1"/>
  <c r="AH328" i="1"/>
  <c r="AI328" i="1" s="1"/>
  <c r="AF328" i="1"/>
  <c r="AG328" i="1" s="1"/>
  <c r="AD328" i="1"/>
  <c r="AE328" i="1" s="1"/>
  <c r="AB328" i="1"/>
  <c r="AC328" i="1" s="1"/>
  <c r="Z328" i="1"/>
  <c r="AA328" i="1" s="1"/>
  <c r="X328" i="1"/>
  <c r="Y328" i="1" s="1"/>
  <c r="V328" i="1"/>
  <c r="W328" i="1" s="1"/>
  <c r="T328" i="1"/>
  <c r="U328" i="1" s="1"/>
  <c r="Q328" i="1"/>
  <c r="AZ327" i="1"/>
  <c r="BA327" i="1" s="1"/>
  <c r="AX327" i="1"/>
  <c r="AY327" i="1" s="1"/>
  <c r="AV327" i="1"/>
  <c r="AW327" i="1" s="1"/>
  <c r="AT327" i="1"/>
  <c r="AU327" i="1" s="1"/>
  <c r="AR327" i="1"/>
  <c r="AS327" i="1" s="1"/>
  <c r="AP327" i="1"/>
  <c r="AQ327" i="1" s="1"/>
  <c r="AN327" i="1"/>
  <c r="AO327" i="1" s="1"/>
  <c r="AL327" i="1"/>
  <c r="AM327" i="1" s="1"/>
  <c r="AJ327" i="1"/>
  <c r="AK327" i="1" s="1"/>
  <c r="AH327" i="1"/>
  <c r="AI327" i="1" s="1"/>
  <c r="AF327" i="1"/>
  <c r="AG327" i="1" s="1"/>
  <c r="AD327" i="1"/>
  <c r="AE327" i="1" s="1"/>
  <c r="AB327" i="1"/>
  <c r="AC327" i="1" s="1"/>
  <c r="Z327" i="1"/>
  <c r="AA327" i="1" s="1"/>
  <c r="X327" i="1"/>
  <c r="Y327" i="1" s="1"/>
  <c r="V327" i="1"/>
  <c r="T327" i="1"/>
  <c r="U327" i="1" s="1"/>
  <c r="Q327" i="1"/>
  <c r="AZ326" i="1"/>
  <c r="BA326" i="1" s="1"/>
  <c r="AX326" i="1"/>
  <c r="AY326" i="1" s="1"/>
  <c r="AV326" i="1"/>
  <c r="AW326" i="1" s="1"/>
  <c r="AT326" i="1"/>
  <c r="AU326" i="1" s="1"/>
  <c r="AR326" i="1"/>
  <c r="AS326" i="1" s="1"/>
  <c r="AP326" i="1"/>
  <c r="AQ326" i="1" s="1"/>
  <c r="AN326" i="1"/>
  <c r="AO326" i="1" s="1"/>
  <c r="AL326" i="1"/>
  <c r="AM326" i="1" s="1"/>
  <c r="AJ326" i="1"/>
  <c r="AK326" i="1" s="1"/>
  <c r="AH326" i="1"/>
  <c r="AI326" i="1" s="1"/>
  <c r="AF326" i="1"/>
  <c r="AG326" i="1" s="1"/>
  <c r="AD326" i="1"/>
  <c r="AE326" i="1" s="1"/>
  <c r="AB326" i="1"/>
  <c r="AC326" i="1" s="1"/>
  <c r="Z326" i="1"/>
  <c r="AA326" i="1" s="1"/>
  <c r="X326" i="1"/>
  <c r="Y326" i="1" s="1"/>
  <c r="V326" i="1"/>
  <c r="W326" i="1" s="1"/>
  <c r="T326" i="1"/>
  <c r="Q326" i="1"/>
  <c r="AZ325" i="1"/>
  <c r="BA325" i="1" s="1"/>
  <c r="AX325" i="1"/>
  <c r="AY325" i="1" s="1"/>
  <c r="AV325" i="1"/>
  <c r="AW325" i="1" s="1"/>
  <c r="AT325" i="1"/>
  <c r="AU325" i="1" s="1"/>
  <c r="AR325" i="1"/>
  <c r="AS325" i="1" s="1"/>
  <c r="AP325" i="1"/>
  <c r="AQ325" i="1" s="1"/>
  <c r="AN325" i="1"/>
  <c r="AO325" i="1" s="1"/>
  <c r="AL325" i="1"/>
  <c r="AM325" i="1" s="1"/>
  <c r="AJ325" i="1"/>
  <c r="AK325" i="1" s="1"/>
  <c r="AH325" i="1"/>
  <c r="AI325" i="1" s="1"/>
  <c r="AF325" i="1"/>
  <c r="AG325" i="1" s="1"/>
  <c r="AD325" i="1"/>
  <c r="AE325" i="1" s="1"/>
  <c r="AB325" i="1"/>
  <c r="AC325" i="1" s="1"/>
  <c r="Z325" i="1"/>
  <c r="AA325" i="1" s="1"/>
  <c r="X325" i="1"/>
  <c r="Y325" i="1" s="1"/>
  <c r="V325" i="1"/>
  <c r="W325" i="1" s="1"/>
  <c r="T325" i="1"/>
  <c r="U325" i="1" s="1"/>
  <c r="Q325" i="1"/>
  <c r="AZ324" i="1"/>
  <c r="BA324" i="1" s="1"/>
  <c r="AX324" i="1"/>
  <c r="AY324" i="1" s="1"/>
  <c r="AV324" i="1"/>
  <c r="AW324" i="1" s="1"/>
  <c r="AT324" i="1"/>
  <c r="AU324" i="1" s="1"/>
  <c r="AR324" i="1"/>
  <c r="AS324" i="1" s="1"/>
  <c r="AP324" i="1"/>
  <c r="AQ324" i="1" s="1"/>
  <c r="AN324" i="1"/>
  <c r="AO324" i="1" s="1"/>
  <c r="AL324" i="1"/>
  <c r="AM324" i="1" s="1"/>
  <c r="AJ324" i="1"/>
  <c r="AK324" i="1" s="1"/>
  <c r="AH324" i="1"/>
  <c r="AI324" i="1" s="1"/>
  <c r="AF324" i="1"/>
  <c r="AG324" i="1" s="1"/>
  <c r="AD324" i="1"/>
  <c r="AE324" i="1" s="1"/>
  <c r="AB324" i="1"/>
  <c r="AC324" i="1" s="1"/>
  <c r="Z324" i="1"/>
  <c r="AA324" i="1" s="1"/>
  <c r="X324" i="1"/>
  <c r="Y324" i="1" s="1"/>
  <c r="V324" i="1"/>
  <c r="W324" i="1" s="1"/>
  <c r="T324" i="1"/>
  <c r="U324" i="1" s="1"/>
  <c r="Q324" i="1"/>
  <c r="AZ323" i="1"/>
  <c r="BA323" i="1" s="1"/>
  <c r="AX323" i="1"/>
  <c r="AY323" i="1" s="1"/>
  <c r="AV323" i="1"/>
  <c r="AW323" i="1" s="1"/>
  <c r="AT323" i="1"/>
  <c r="AU323" i="1" s="1"/>
  <c r="AR323" i="1"/>
  <c r="AS323" i="1" s="1"/>
  <c r="AP323" i="1"/>
  <c r="AQ323" i="1" s="1"/>
  <c r="AN323" i="1"/>
  <c r="AO323" i="1" s="1"/>
  <c r="AL323" i="1"/>
  <c r="AM323" i="1" s="1"/>
  <c r="AJ323" i="1"/>
  <c r="AK323" i="1" s="1"/>
  <c r="AH323" i="1"/>
  <c r="AI323" i="1" s="1"/>
  <c r="AF323" i="1"/>
  <c r="AG323" i="1" s="1"/>
  <c r="AD323" i="1"/>
  <c r="AE323" i="1" s="1"/>
  <c r="AB323" i="1"/>
  <c r="AC323" i="1" s="1"/>
  <c r="Z323" i="1"/>
  <c r="AA323" i="1" s="1"/>
  <c r="X323" i="1"/>
  <c r="Y323" i="1" s="1"/>
  <c r="V323" i="1"/>
  <c r="W323" i="1" s="1"/>
  <c r="T323" i="1"/>
  <c r="U323" i="1" s="1"/>
  <c r="Q323" i="1"/>
  <c r="AZ322" i="1"/>
  <c r="BA322" i="1" s="1"/>
  <c r="AX322" i="1"/>
  <c r="AY322" i="1" s="1"/>
  <c r="AV322" i="1"/>
  <c r="AW322" i="1" s="1"/>
  <c r="AT322" i="1"/>
  <c r="AU322" i="1" s="1"/>
  <c r="AR322" i="1"/>
  <c r="AS322" i="1" s="1"/>
  <c r="AP322" i="1"/>
  <c r="AQ322" i="1" s="1"/>
  <c r="AN322" i="1"/>
  <c r="AO322" i="1" s="1"/>
  <c r="AL322" i="1"/>
  <c r="AM322" i="1" s="1"/>
  <c r="AJ322" i="1"/>
  <c r="AK322" i="1" s="1"/>
  <c r="AH322" i="1"/>
  <c r="AI322" i="1" s="1"/>
  <c r="AF322" i="1"/>
  <c r="AG322" i="1" s="1"/>
  <c r="AD322" i="1"/>
  <c r="AE322" i="1" s="1"/>
  <c r="AB322" i="1"/>
  <c r="AC322" i="1" s="1"/>
  <c r="Z322" i="1"/>
  <c r="AA322" i="1" s="1"/>
  <c r="X322" i="1"/>
  <c r="V322" i="1"/>
  <c r="W322" i="1" s="1"/>
  <c r="T322" i="1"/>
  <c r="U322" i="1" s="1"/>
  <c r="Q322" i="1"/>
  <c r="AZ321" i="1"/>
  <c r="BA321" i="1" s="1"/>
  <c r="AX321" i="1"/>
  <c r="AY321" i="1" s="1"/>
  <c r="AV321" i="1"/>
  <c r="AW321" i="1" s="1"/>
  <c r="AT321" i="1"/>
  <c r="AU321" i="1" s="1"/>
  <c r="AR321" i="1"/>
  <c r="AS321" i="1" s="1"/>
  <c r="AP321" i="1"/>
  <c r="AQ321" i="1" s="1"/>
  <c r="AN321" i="1"/>
  <c r="AO321" i="1" s="1"/>
  <c r="AL321" i="1"/>
  <c r="AM321" i="1" s="1"/>
  <c r="AJ321" i="1"/>
  <c r="AK321" i="1" s="1"/>
  <c r="AH321" i="1"/>
  <c r="AI321" i="1" s="1"/>
  <c r="AF321" i="1"/>
  <c r="AG321" i="1" s="1"/>
  <c r="AD321" i="1"/>
  <c r="AE321" i="1" s="1"/>
  <c r="AB321" i="1"/>
  <c r="AC321" i="1" s="1"/>
  <c r="Z321" i="1"/>
  <c r="AA321" i="1" s="1"/>
  <c r="X321" i="1"/>
  <c r="Y321" i="1" s="1"/>
  <c r="V321" i="1"/>
  <c r="W321" i="1" s="1"/>
  <c r="T321" i="1"/>
  <c r="U321" i="1" s="1"/>
  <c r="Q321" i="1"/>
  <c r="AZ320" i="1"/>
  <c r="BA320" i="1" s="1"/>
  <c r="AX320" i="1"/>
  <c r="AY320" i="1" s="1"/>
  <c r="AV320" i="1"/>
  <c r="AW320" i="1" s="1"/>
  <c r="AT320" i="1"/>
  <c r="AU320" i="1" s="1"/>
  <c r="AR320" i="1"/>
  <c r="AS320" i="1" s="1"/>
  <c r="AP320" i="1"/>
  <c r="AQ320" i="1" s="1"/>
  <c r="AN320" i="1"/>
  <c r="AO320" i="1" s="1"/>
  <c r="AL320" i="1"/>
  <c r="AM320" i="1" s="1"/>
  <c r="AJ320" i="1"/>
  <c r="AK320" i="1" s="1"/>
  <c r="AH320" i="1"/>
  <c r="AI320" i="1" s="1"/>
  <c r="AF320" i="1"/>
  <c r="AG320" i="1" s="1"/>
  <c r="AD320" i="1"/>
  <c r="AE320" i="1" s="1"/>
  <c r="AB320" i="1"/>
  <c r="AC320" i="1" s="1"/>
  <c r="Z320" i="1"/>
  <c r="AA320" i="1" s="1"/>
  <c r="X320" i="1"/>
  <c r="Y320" i="1" s="1"/>
  <c r="V320" i="1"/>
  <c r="W320" i="1" s="1"/>
  <c r="T320" i="1"/>
  <c r="U320" i="1" s="1"/>
  <c r="Q320" i="1"/>
  <c r="AZ319" i="1"/>
  <c r="BA319" i="1" s="1"/>
  <c r="AX319" i="1"/>
  <c r="AY319" i="1" s="1"/>
  <c r="AV319" i="1"/>
  <c r="AW319" i="1" s="1"/>
  <c r="AT319" i="1"/>
  <c r="AU319" i="1" s="1"/>
  <c r="AR319" i="1"/>
  <c r="AS319" i="1" s="1"/>
  <c r="AP319" i="1"/>
  <c r="AQ319" i="1" s="1"/>
  <c r="AN319" i="1"/>
  <c r="AO319" i="1" s="1"/>
  <c r="AL319" i="1"/>
  <c r="AM319" i="1" s="1"/>
  <c r="AJ319" i="1"/>
  <c r="AK319" i="1" s="1"/>
  <c r="AH319" i="1"/>
  <c r="AI319" i="1" s="1"/>
  <c r="AF319" i="1"/>
  <c r="AG319" i="1" s="1"/>
  <c r="AD319" i="1"/>
  <c r="AE319" i="1" s="1"/>
  <c r="AB319" i="1"/>
  <c r="AC319" i="1" s="1"/>
  <c r="Z319" i="1"/>
  <c r="AA319" i="1" s="1"/>
  <c r="X319" i="1"/>
  <c r="Y319" i="1" s="1"/>
  <c r="V319" i="1"/>
  <c r="W319" i="1" s="1"/>
  <c r="T319" i="1"/>
  <c r="U319" i="1" s="1"/>
  <c r="Q319" i="1"/>
  <c r="AZ318" i="1"/>
  <c r="BA318" i="1" s="1"/>
  <c r="AX318" i="1"/>
  <c r="AY318" i="1" s="1"/>
  <c r="AV318" i="1"/>
  <c r="AW318" i="1" s="1"/>
  <c r="AT318" i="1"/>
  <c r="AU318" i="1" s="1"/>
  <c r="AR318" i="1"/>
  <c r="AS318" i="1" s="1"/>
  <c r="AP318" i="1"/>
  <c r="AQ318" i="1" s="1"/>
  <c r="AN318" i="1"/>
  <c r="AO318" i="1" s="1"/>
  <c r="AL318" i="1"/>
  <c r="AM318" i="1" s="1"/>
  <c r="AJ318" i="1"/>
  <c r="AK318" i="1" s="1"/>
  <c r="AH318" i="1"/>
  <c r="AI318" i="1" s="1"/>
  <c r="AF318" i="1"/>
  <c r="AG318" i="1" s="1"/>
  <c r="AD318" i="1"/>
  <c r="AE318" i="1" s="1"/>
  <c r="AB318" i="1"/>
  <c r="AC318" i="1" s="1"/>
  <c r="Z318" i="1"/>
  <c r="AA318" i="1" s="1"/>
  <c r="X318" i="1"/>
  <c r="Y318" i="1" s="1"/>
  <c r="V318" i="1"/>
  <c r="W318" i="1" s="1"/>
  <c r="T318" i="1"/>
  <c r="U318" i="1" s="1"/>
  <c r="Q318" i="1"/>
  <c r="AZ317" i="1"/>
  <c r="BA317" i="1" s="1"/>
  <c r="AX317" i="1"/>
  <c r="AY317" i="1" s="1"/>
  <c r="AV317" i="1"/>
  <c r="AW317" i="1" s="1"/>
  <c r="AT317" i="1"/>
  <c r="AU317" i="1" s="1"/>
  <c r="AR317" i="1"/>
  <c r="AS317" i="1" s="1"/>
  <c r="AP317" i="1"/>
  <c r="AQ317" i="1" s="1"/>
  <c r="AN317" i="1"/>
  <c r="AO317" i="1" s="1"/>
  <c r="AL317" i="1"/>
  <c r="AM317" i="1" s="1"/>
  <c r="AJ317" i="1"/>
  <c r="AK317" i="1" s="1"/>
  <c r="AH317" i="1"/>
  <c r="AI317" i="1" s="1"/>
  <c r="AF317" i="1"/>
  <c r="AG317" i="1" s="1"/>
  <c r="AD317" i="1"/>
  <c r="AE317" i="1" s="1"/>
  <c r="AB317" i="1"/>
  <c r="AC317" i="1" s="1"/>
  <c r="Z317" i="1"/>
  <c r="AA317" i="1" s="1"/>
  <c r="X317" i="1"/>
  <c r="Y317" i="1" s="1"/>
  <c r="V317" i="1"/>
  <c r="W317" i="1" s="1"/>
  <c r="T317" i="1"/>
  <c r="U317" i="1" s="1"/>
  <c r="Q317" i="1"/>
  <c r="AZ316" i="1"/>
  <c r="BA316" i="1" s="1"/>
  <c r="AX316" i="1"/>
  <c r="AY316" i="1" s="1"/>
  <c r="AV316" i="1"/>
  <c r="AW316" i="1" s="1"/>
  <c r="AT316" i="1"/>
  <c r="AU316" i="1" s="1"/>
  <c r="AR316" i="1"/>
  <c r="AS316" i="1" s="1"/>
  <c r="AP316" i="1"/>
  <c r="AQ316" i="1" s="1"/>
  <c r="AN316" i="1"/>
  <c r="AO316" i="1" s="1"/>
  <c r="AL316" i="1"/>
  <c r="AM316" i="1" s="1"/>
  <c r="AJ316" i="1"/>
  <c r="AK316" i="1" s="1"/>
  <c r="AH316" i="1"/>
  <c r="AI316" i="1" s="1"/>
  <c r="AF316" i="1"/>
  <c r="AG316" i="1" s="1"/>
  <c r="AD316" i="1"/>
  <c r="AE316" i="1" s="1"/>
  <c r="AB316" i="1"/>
  <c r="AC316" i="1" s="1"/>
  <c r="Z316" i="1"/>
  <c r="AA316" i="1" s="1"/>
  <c r="X316" i="1"/>
  <c r="Y316" i="1" s="1"/>
  <c r="V316" i="1"/>
  <c r="W316" i="1" s="1"/>
  <c r="T316" i="1"/>
  <c r="U316" i="1" s="1"/>
  <c r="Q316" i="1"/>
  <c r="AZ315" i="1"/>
  <c r="BA315" i="1" s="1"/>
  <c r="AX315" i="1"/>
  <c r="AY315" i="1" s="1"/>
  <c r="AV315" i="1"/>
  <c r="AW315" i="1" s="1"/>
  <c r="AT315" i="1"/>
  <c r="AU315" i="1" s="1"/>
  <c r="AR315" i="1"/>
  <c r="AS315" i="1" s="1"/>
  <c r="AP315" i="1"/>
  <c r="AQ315" i="1" s="1"/>
  <c r="AN315" i="1"/>
  <c r="AO315" i="1" s="1"/>
  <c r="AL315" i="1"/>
  <c r="AM315" i="1" s="1"/>
  <c r="AJ315" i="1"/>
  <c r="AK315" i="1" s="1"/>
  <c r="AH315" i="1"/>
  <c r="AI315" i="1" s="1"/>
  <c r="AF315" i="1"/>
  <c r="AG315" i="1" s="1"/>
  <c r="AD315" i="1"/>
  <c r="AE315" i="1" s="1"/>
  <c r="AB315" i="1"/>
  <c r="AC315" i="1" s="1"/>
  <c r="Z315" i="1"/>
  <c r="AA315" i="1" s="1"/>
  <c r="X315" i="1"/>
  <c r="Y315" i="1" s="1"/>
  <c r="V315" i="1"/>
  <c r="W315" i="1" s="1"/>
  <c r="T315" i="1"/>
  <c r="U315" i="1" s="1"/>
  <c r="Q315" i="1"/>
  <c r="AZ314" i="1"/>
  <c r="BA314" i="1" s="1"/>
  <c r="AX314" i="1"/>
  <c r="AY314" i="1" s="1"/>
  <c r="AV314" i="1"/>
  <c r="AW314" i="1" s="1"/>
  <c r="AT314" i="1"/>
  <c r="AU314" i="1" s="1"/>
  <c r="AR314" i="1"/>
  <c r="AS314" i="1" s="1"/>
  <c r="AP314" i="1"/>
  <c r="AQ314" i="1" s="1"/>
  <c r="AN314" i="1"/>
  <c r="AO314" i="1" s="1"/>
  <c r="AL314" i="1"/>
  <c r="AM314" i="1" s="1"/>
  <c r="AJ314" i="1"/>
  <c r="AK314" i="1" s="1"/>
  <c r="AH314" i="1"/>
  <c r="AI314" i="1" s="1"/>
  <c r="AF314" i="1"/>
  <c r="AG314" i="1" s="1"/>
  <c r="AD314" i="1"/>
  <c r="AE314" i="1" s="1"/>
  <c r="AB314" i="1"/>
  <c r="AC314" i="1" s="1"/>
  <c r="Z314" i="1"/>
  <c r="AA314" i="1" s="1"/>
  <c r="X314" i="1"/>
  <c r="Y314" i="1" s="1"/>
  <c r="V314" i="1"/>
  <c r="W314" i="1" s="1"/>
  <c r="T314" i="1"/>
  <c r="U314" i="1" s="1"/>
  <c r="Q314" i="1"/>
  <c r="AZ313" i="1"/>
  <c r="BA313" i="1" s="1"/>
  <c r="AX313" i="1"/>
  <c r="AY313" i="1" s="1"/>
  <c r="AV313" i="1"/>
  <c r="AW313" i="1" s="1"/>
  <c r="AT313" i="1"/>
  <c r="AU313" i="1" s="1"/>
  <c r="AR313" i="1"/>
  <c r="AS313" i="1" s="1"/>
  <c r="AP313" i="1"/>
  <c r="AQ313" i="1" s="1"/>
  <c r="AN313" i="1"/>
  <c r="AO313" i="1" s="1"/>
  <c r="AL313" i="1"/>
  <c r="AM313" i="1" s="1"/>
  <c r="AJ313" i="1"/>
  <c r="AK313" i="1" s="1"/>
  <c r="AH313" i="1"/>
  <c r="AI313" i="1" s="1"/>
  <c r="AF313" i="1"/>
  <c r="AG313" i="1" s="1"/>
  <c r="AD313" i="1"/>
  <c r="AE313" i="1" s="1"/>
  <c r="AB313" i="1"/>
  <c r="AC313" i="1" s="1"/>
  <c r="Z313" i="1"/>
  <c r="AA313" i="1" s="1"/>
  <c r="X313" i="1"/>
  <c r="Y313" i="1" s="1"/>
  <c r="V313" i="1"/>
  <c r="W313" i="1" s="1"/>
  <c r="T313" i="1"/>
  <c r="U313" i="1" s="1"/>
  <c r="Q313" i="1"/>
  <c r="AZ312" i="1"/>
  <c r="BA312" i="1" s="1"/>
  <c r="AX312" i="1"/>
  <c r="AY312" i="1" s="1"/>
  <c r="AV312" i="1"/>
  <c r="AW312" i="1" s="1"/>
  <c r="AT312" i="1"/>
  <c r="AU312" i="1" s="1"/>
  <c r="AR312" i="1"/>
  <c r="AS312" i="1" s="1"/>
  <c r="AP312" i="1"/>
  <c r="AQ312" i="1" s="1"/>
  <c r="AN312" i="1"/>
  <c r="AO312" i="1" s="1"/>
  <c r="AL312" i="1"/>
  <c r="AM312" i="1" s="1"/>
  <c r="AJ312" i="1"/>
  <c r="AK312" i="1" s="1"/>
  <c r="AH312" i="1"/>
  <c r="AI312" i="1" s="1"/>
  <c r="AF312" i="1"/>
  <c r="AG312" i="1" s="1"/>
  <c r="AD312" i="1"/>
  <c r="AE312" i="1" s="1"/>
  <c r="AB312" i="1"/>
  <c r="AC312" i="1" s="1"/>
  <c r="Z312" i="1"/>
  <c r="AA312" i="1" s="1"/>
  <c r="X312" i="1"/>
  <c r="Y312" i="1" s="1"/>
  <c r="V312" i="1"/>
  <c r="W312" i="1" s="1"/>
  <c r="T312" i="1"/>
  <c r="U312" i="1" s="1"/>
  <c r="Q312" i="1"/>
  <c r="AZ311" i="1"/>
  <c r="BA311" i="1" s="1"/>
  <c r="AX311" i="1"/>
  <c r="AY311" i="1" s="1"/>
  <c r="AV311" i="1"/>
  <c r="AW311" i="1" s="1"/>
  <c r="AT311" i="1"/>
  <c r="AU311" i="1" s="1"/>
  <c r="AR311" i="1"/>
  <c r="AS311" i="1" s="1"/>
  <c r="AP311" i="1"/>
  <c r="AQ311" i="1" s="1"/>
  <c r="AN311" i="1"/>
  <c r="AO311" i="1" s="1"/>
  <c r="AL311" i="1"/>
  <c r="AM311" i="1" s="1"/>
  <c r="AJ311" i="1"/>
  <c r="AK311" i="1" s="1"/>
  <c r="AH311" i="1"/>
  <c r="AI311" i="1" s="1"/>
  <c r="AF311" i="1"/>
  <c r="AG311" i="1" s="1"/>
  <c r="AD311" i="1"/>
  <c r="AE311" i="1" s="1"/>
  <c r="AB311" i="1"/>
  <c r="AC311" i="1" s="1"/>
  <c r="Z311" i="1"/>
  <c r="AA311" i="1" s="1"/>
  <c r="X311" i="1"/>
  <c r="Y311" i="1" s="1"/>
  <c r="V311" i="1"/>
  <c r="W311" i="1" s="1"/>
  <c r="T311" i="1"/>
  <c r="Q311" i="1"/>
  <c r="AZ310" i="1"/>
  <c r="BA310" i="1" s="1"/>
  <c r="AX310" i="1"/>
  <c r="AY310" i="1" s="1"/>
  <c r="AV310" i="1"/>
  <c r="AW310" i="1" s="1"/>
  <c r="AT310" i="1"/>
  <c r="AU310" i="1" s="1"/>
  <c r="AR310" i="1"/>
  <c r="AS310" i="1" s="1"/>
  <c r="AP310" i="1"/>
  <c r="AQ310" i="1" s="1"/>
  <c r="AN310" i="1"/>
  <c r="AO310" i="1" s="1"/>
  <c r="AL310" i="1"/>
  <c r="AM310" i="1" s="1"/>
  <c r="AJ310" i="1"/>
  <c r="AK310" i="1" s="1"/>
  <c r="AH310" i="1"/>
  <c r="AI310" i="1" s="1"/>
  <c r="AF310" i="1"/>
  <c r="AG310" i="1" s="1"/>
  <c r="AD310" i="1"/>
  <c r="AE310" i="1" s="1"/>
  <c r="AB310" i="1"/>
  <c r="AC310" i="1" s="1"/>
  <c r="Z310" i="1"/>
  <c r="AA310" i="1" s="1"/>
  <c r="X310" i="1"/>
  <c r="Y310" i="1" s="1"/>
  <c r="V310" i="1"/>
  <c r="W310" i="1" s="1"/>
  <c r="T310" i="1"/>
  <c r="U310" i="1" s="1"/>
  <c r="Q310" i="1"/>
  <c r="AZ309" i="1"/>
  <c r="BA309" i="1" s="1"/>
  <c r="AX309" i="1"/>
  <c r="AY309" i="1" s="1"/>
  <c r="AV309" i="1"/>
  <c r="AW309" i="1" s="1"/>
  <c r="AT309" i="1"/>
  <c r="AU309" i="1" s="1"/>
  <c r="AR309" i="1"/>
  <c r="AS309" i="1" s="1"/>
  <c r="AP309" i="1"/>
  <c r="AQ309" i="1" s="1"/>
  <c r="AN309" i="1"/>
  <c r="AO309" i="1" s="1"/>
  <c r="AL309" i="1"/>
  <c r="AM309" i="1" s="1"/>
  <c r="AJ309" i="1"/>
  <c r="AK309" i="1" s="1"/>
  <c r="AH309" i="1"/>
  <c r="AI309" i="1" s="1"/>
  <c r="AF309" i="1"/>
  <c r="AG309" i="1" s="1"/>
  <c r="AD309" i="1"/>
  <c r="AE309" i="1" s="1"/>
  <c r="AB309" i="1"/>
  <c r="AC309" i="1" s="1"/>
  <c r="Z309" i="1"/>
  <c r="AA309" i="1" s="1"/>
  <c r="X309" i="1"/>
  <c r="Y309" i="1" s="1"/>
  <c r="V309" i="1"/>
  <c r="W309" i="1" s="1"/>
  <c r="T309" i="1"/>
  <c r="U309" i="1" s="1"/>
  <c r="Q309" i="1"/>
  <c r="AZ308" i="1"/>
  <c r="BA308" i="1" s="1"/>
  <c r="AX308" i="1"/>
  <c r="AY308" i="1" s="1"/>
  <c r="AV308" i="1"/>
  <c r="AW308" i="1" s="1"/>
  <c r="AT308" i="1"/>
  <c r="AU308" i="1" s="1"/>
  <c r="AR308" i="1"/>
  <c r="AS308" i="1" s="1"/>
  <c r="AP308" i="1"/>
  <c r="AQ308" i="1" s="1"/>
  <c r="AN308" i="1"/>
  <c r="AO308" i="1" s="1"/>
  <c r="AL308" i="1"/>
  <c r="AM308" i="1" s="1"/>
  <c r="AJ308" i="1"/>
  <c r="AK308" i="1" s="1"/>
  <c r="AH308" i="1"/>
  <c r="AI308" i="1" s="1"/>
  <c r="AF308" i="1"/>
  <c r="AG308" i="1" s="1"/>
  <c r="AD308" i="1"/>
  <c r="AE308" i="1" s="1"/>
  <c r="AB308" i="1"/>
  <c r="AC308" i="1" s="1"/>
  <c r="Z308" i="1"/>
  <c r="AA308" i="1" s="1"/>
  <c r="X308" i="1"/>
  <c r="V308" i="1"/>
  <c r="W308" i="1" s="1"/>
  <c r="T308" i="1"/>
  <c r="U308" i="1" s="1"/>
  <c r="Q308" i="1"/>
  <c r="AZ307" i="1"/>
  <c r="BA307" i="1" s="1"/>
  <c r="AX307" i="1"/>
  <c r="AY307" i="1" s="1"/>
  <c r="AV307" i="1"/>
  <c r="AW307" i="1" s="1"/>
  <c r="AT307" i="1"/>
  <c r="AU307" i="1" s="1"/>
  <c r="AR307" i="1"/>
  <c r="AS307" i="1" s="1"/>
  <c r="AP307" i="1"/>
  <c r="AQ307" i="1" s="1"/>
  <c r="AN307" i="1"/>
  <c r="AO307" i="1" s="1"/>
  <c r="AL307" i="1"/>
  <c r="AM307" i="1" s="1"/>
  <c r="AJ307" i="1"/>
  <c r="AK307" i="1" s="1"/>
  <c r="AH307" i="1"/>
  <c r="AI307" i="1" s="1"/>
  <c r="AF307" i="1"/>
  <c r="AG307" i="1" s="1"/>
  <c r="AD307" i="1"/>
  <c r="AE307" i="1" s="1"/>
  <c r="AB307" i="1"/>
  <c r="AC307" i="1" s="1"/>
  <c r="Z307" i="1"/>
  <c r="AA307" i="1" s="1"/>
  <c r="X307" i="1"/>
  <c r="Y307" i="1" s="1"/>
  <c r="V307" i="1"/>
  <c r="W307" i="1" s="1"/>
  <c r="T307" i="1"/>
  <c r="Q307" i="1"/>
  <c r="AZ306" i="1"/>
  <c r="BA306" i="1" s="1"/>
  <c r="AX306" i="1"/>
  <c r="AY306" i="1" s="1"/>
  <c r="AV306" i="1"/>
  <c r="AW306" i="1" s="1"/>
  <c r="AT306" i="1"/>
  <c r="AU306" i="1" s="1"/>
  <c r="AR306" i="1"/>
  <c r="AS306" i="1" s="1"/>
  <c r="AP306" i="1"/>
  <c r="AQ306" i="1" s="1"/>
  <c r="AN306" i="1"/>
  <c r="AO306" i="1" s="1"/>
  <c r="AL306" i="1"/>
  <c r="AM306" i="1" s="1"/>
  <c r="AJ306" i="1"/>
  <c r="AK306" i="1" s="1"/>
  <c r="AH306" i="1"/>
  <c r="AI306" i="1" s="1"/>
  <c r="AF306" i="1"/>
  <c r="AG306" i="1" s="1"/>
  <c r="AD306" i="1"/>
  <c r="AE306" i="1" s="1"/>
  <c r="AB306" i="1"/>
  <c r="AC306" i="1" s="1"/>
  <c r="Z306" i="1"/>
  <c r="AA306" i="1" s="1"/>
  <c r="X306" i="1"/>
  <c r="Y306" i="1" s="1"/>
  <c r="V306" i="1"/>
  <c r="W306" i="1" s="1"/>
  <c r="T306" i="1"/>
  <c r="Q306" i="1"/>
  <c r="AZ305" i="1"/>
  <c r="BA305" i="1" s="1"/>
  <c r="AX305" i="1"/>
  <c r="AY305" i="1" s="1"/>
  <c r="AV305" i="1"/>
  <c r="AW305" i="1" s="1"/>
  <c r="AT305" i="1"/>
  <c r="AU305" i="1" s="1"/>
  <c r="AR305" i="1"/>
  <c r="AS305" i="1" s="1"/>
  <c r="AP305" i="1"/>
  <c r="AQ305" i="1" s="1"/>
  <c r="AN305" i="1"/>
  <c r="AO305" i="1" s="1"/>
  <c r="AL305" i="1"/>
  <c r="AM305" i="1" s="1"/>
  <c r="AJ305" i="1"/>
  <c r="AK305" i="1" s="1"/>
  <c r="AH305" i="1"/>
  <c r="AI305" i="1" s="1"/>
  <c r="AF305" i="1"/>
  <c r="AG305" i="1" s="1"/>
  <c r="AD305" i="1"/>
  <c r="AE305" i="1" s="1"/>
  <c r="AB305" i="1"/>
  <c r="AC305" i="1" s="1"/>
  <c r="Z305" i="1"/>
  <c r="AA305" i="1" s="1"/>
  <c r="X305" i="1"/>
  <c r="Y305" i="1" s="1"/>
  <c r="V305" i="1"/>
  <c r="W305" i="1" s="1"/>
  <c r="T305" i="1"/>
  <c r="U305" i="1" s="1"/>
  <c r="Q305" i="1"/>
  <c r="AZ304" i="1"/>
  <c r="BA304" i="1" s="1"/>
  <c r="AX304" i="1"/>
  <c r="AY304" i="1" s="1"/>
  <c r="AV304" i="1"/>
  <c r="AW304" i="1" s="1"/>
  <c r="AT304" i="1"/>
  <c r="AU304" i="1" s="1"/>
  <c r="AR304" i="1"/>
  <c r="AS304" i="1" s="1"/>
  <c r="AP304" i="1"/>
  <c r="AQ304" i="1" s="1"/>
  <c r="AN304" i="1"/>
  <c r="AO304" i="1" s="1"/>
  <c r="AL304" i="1"/>
  <c r="AM304" i="1" s="1"/>
  <c r="AJ304" i="1"/>
  <c r="AK304" i="1" s="1"/>
  <c r="AH304" i="1"/>
  <c r="AI304" i="1" s="1"/>
  <c r="AF304" i="1"/>
  <c r="AG304" i="1" s="1"/>
  <c r="AD304" i="1"/>
  <c r="AE304" i="1" s="1"/>
  <c r="AB304" i="1"/>
  <c r="AC304" i="1" s="1"/>
  <c r="Z304" i="1"/>
  <c r="AA304" i="1" s="1"/>
  <c r="X304" i="1"/>
  <c r="Y304" i="1" s="1"/>
  <c r="V304" i="1"/>
  <c r="W304" i="1" s="1"/>
  <c r="T304" i="1"/>
  <c r="U304" i="1" s="1"/>
  <c r="Q304" i="1"/>
  <c r="AZ303" i="1"/>
  <c r="BA303" i="1" s="1"/>
  <c r="AX303" i="1"/>
  <c r="AY303" i="1" s="1"/>
  <c r="AV303" i="1"/>
  <c r="AW303" i="1" s="1"/>
  <c r="AT303" i="1"/>
  <c r="AU303" i="1" s="1"/>
  <c r="AR303" i="1"/>
  <c r="AS303" i="1" s="1"/>
  <c r="AP303" i="1"/>
  <c r="AQ303" i="1" s="1"/>
  <c r="AN303" i="1"/>
  <c r="AO303" i="1" s="1"/>
  <c r="AL303" i="1"/>
  <c r="AM303" i="1" s="1"/>
  <c r="AJ303" i="1"/>
  <c r="AK303" i="1" s="1"/>
  <c r="AH303" i="1"/>
  <c r="AI303" i="1" s="1"/>
  <c r="AF303" i="1"/>
  <c r="AG303" i="1" s="1"/>
  <c r="AD303" i="1"/>
  <c r="AE303" i="1" s="1"/>
  <c r="AB303" i="1"/>
  <c r="AC303" i="1" s="1"/>
  <c r="Z303" i="1"/>
  <c r="AA303" i="1" s="1"/>
  <c r="X303" i="1"/>
  <c r="Y303" i="1" s="1"/>
  <c r="V303" i="1"/>
  <c r="W303" i="1" s="1"/>
  <c r="T303" i="1"/>
  <c r="U303" i="1" s="1"/>
  <c r="Q303" i="1"/>
  <c r="AZ302" i="1"/>
  <c r="BA302" i="1" s="1"/>
  <c r="AX302" i="1"/>
  <c r="AY302" i="1" s="1"/>
  <c r="AV302" i="1"/>
  <c r="AW302" i="1" s="1"/>
  <c r="AT302" i="1"/>
  <c r="AU302" i="1" s="1"/>
  <c r="AR302" i="1"/>
  <c r="AS302" i="1" s="1"/>
  <c r="AP302" i="1"/>
  <c r="AQ302" i="1" s="1"/>
  <c r="AN302" i="1"/>
  <c r="AO302" i="1" s="1"/>
  <c r="AL302" i="1"/>
  <c r="AM302" i="1" s="1"/>
  <c r="AJ302" i="1"/>
  <c r="AK302" i="1" s="1"/>
  <c r="AH302" i="1"/>
  <c r="AI302" i="1" s="1"/>
  <c r="AF302" i="1"/>
  <c r="AG302" i="1" s="1"/>
  <c r="AD302" i="1"/>
  <c r="AE302" i="1" s="1"/>
  <c r="AB302" i="1"/>
  <c r="AC302" i="1" s="1"/>
  <c r="Z302" i="1"/>
  <c r="AA302" i="1" s="1"/>
  <c r="X302" i="1"/>
  <c r="Y302" i="1" s="1"/>
  <c r="V302" i="1"/>
  <c r="W302" i="1" s="1"/>
  <c r="T302" i="1"/>
  <c r="U302" i="1" s="1"/>
  <c r="Q302" i="1"/>
  <c r="AZ301" i="1"/>
  <c r="BA301" i="1" s="1"/>
  <c r="AX301" i="1"/>
  <c r="AY301" i="1" s="1"/>
  <c r="AV301" i="1"/>
  <c r="AW301" i="1" s="1"/>
  <c r="AT301" i="1"/>
  <c r="AU301" i="1" s="1"/>
  <c r="AR301" i="1"/>
  <c r="AS301" i="1" s="1"/>
  <c r="AP301" i="1"/>
  <c r="AQ301" i="1" s="1"/>
  <c r="AN301" i="1"/>
  <c r="AO301" i="1" s="1"/>
  <c r="AL301" i="1"/>
  <c r="AM301" i="1" s="1"/>
  <c r="AJ301" i="1"/>
  <c r="AK301" i="1" s="1"/>
  <c r="AH301" i="1"/>
  <c r="AI301" i="1" s="1"/>
  <c r="AF301" i="1"/>
  <c r="AG301" i="1" s="1"/>
  <c r="AD301" i="1"/>
  <c r="AE301" i="1" s="1"/>
  <c r="AB301" i="1"/>
  <c r="AC301" i="1" s="1"/>
  <c r="Z301" i="1"/>
  <c r="AA301" i="1" s="1"/>
  <c r="X301" i="1"/>
  <c r="Y301" i="1" s="1"/>
  <c r="V301" i="1"/>
  <c r="W301" i="1" s="1"/>
  <c r="T301" i="1"/>
  <c r="U301" i="1" s="1"/>
  <c r="Q301" i="1"/>
  <c r="AZ300" i="1"/>
  <c r="BA300" i="1" s="1"/>
  <c r="AX300" i="1"/>
  <c r="AY300" i="1" s="1"/>
  <c r="AV300" i="1"/>
  <c r="AW300" i="1" s="1"/>
  <c r="AT300" i="1"/>
  <c r="AU300" i="1" s="1"/>
  <c r="AR300" i="1"/>
  <c r="AS300" i="1" s="1"/>
  <c r="AP300" i="1"/>
  <c r="AQ300" i="1" s="1"/>
  <c r="AN300" i="1"/>
  <c r="AO300" i="1" s="1"/>
  <c r="AL300" i="1"/>
  <c r="AM300" i="1" s="1"/>
  <c r="AJ300" i="1"/>
  <c r="AK300" i="1" s="1"/>
  <c r="AH300" i="1"/>
  <c r="AI300" i="1" s="1"/>
  <c r="AF300" i="1"/>
  <c r="AG300" i="1" s="1"/>
  <c r="AD300" i="1"/>
  <c r="AE300" i="1" s="1"/>
  <c r="AB300" i="1"/>
  <c r="AC300" i="1" s="1"/>
  <c r="Z300" i="1"/>
  <c r="AA300" i="1" s="1"/>
  <c r="X300" i="1"/>
  <c r="Y300" i="1" s="1"/>
  <c r="V300" i="1"/>
  <c r="W300" i="1" s="1"/>
  <c r="T300" i="1"/>
  <c r="U300" i="1" s="1"/>
  <c r="Q300" i="1"/>
  <c r="AZ299" i="1"/>
  <c r="BA299" i="1" s="1"/>
  <c r="AX299" i="1"/>
  <c r="AY299" i="1" s="1"/>
  <c r="AV299" i="1"/>
  <c r="AW299" i="1" s="1"/>
  <c r="AT299" i="1"/>
  <c r="AU299" i="1" s="1"/>
  <c r="AR299" i="1"/>
  <c r="AS299" i="1" s="1"/>
  <c r="AP299" i="1"/>
  <c r="AQ299" i="1" s="1"/>
  <c r="AN299" i="1"/>
  <c r="AO299" i="1" s="1"/>
  <c r="AL299" i="1"/>
  <c r="AM299" i="1" s="1"/>
  <c r="AJ299" i="1"/>
  <c r="AK299" i="1" s="1"/>
  <c r="AH299" i="1"/>
  <c r="AI299" i="1" s="1"/>
  <c r="AF299" i="1"/>
  <c r="AG299" i="1" s="1"/>
  <c r="AD299" i="1"/>
  <c r="AE299" i="1" s="1"/>
  <c r="AB299" i="1"/>
  <c r="AC299" i="1" s="1"/>
  <c r="Z299" i="1"/>
  <c r="AA299" i="1" s="1"/>
  <c r="X299" i="1"/>
  <c r="Y299" i="1" s="1"/>
  <c r="V299" i="1"/>
  <c r="W299" i="1" s="1"/>
  <c r="T299" i="1"/>
  <c r="U299" i="1" s="1"/>
  <c r="Q299" i="1"/>
  <c r="AZ298" i="1"/>
  <c r="BA298" i="1" s="1"/>
  <c r="AX298" i="1"/>
  <c r="AY298" i="1" s="1"/>
  <c r="AV298" i="1"/>
  <c r="AW298" i="1" s="1"/>
  <c r="AT298" i="1"/>
  <c r="AU298" i="1" s="1"/>
  <c r="AR298" i="1"/>
  <c r="AS298" i="1" s="1"/>
  <c r="AP298" i="1"/>
  <c r="AQ298" i="1" s="1"/>
  <c r="AN298" i="1"/>
  <c r="AO298" i="1" s="1"/>
  <c r="AL298" i="1"/>
  <c r="AM298" i="1" s="1"/>
  <c r="AJ298" i="1"/>
  <c r="AK298" i="1" s="1"/>
  <c r="AH298" i="1"/>
  <c r="AI298" i="1" s="1"/>
  <c r="AF298" i="1"/>
  <c r="AG298" i="1" s="1"/>
  <c r="AD298" i="1"/>
  <c r="AE298" i="1" s="1"/>
  <c r="AB298" i="1"/>
  <c r="Z298" i="1"/>
  <c r="AA298" i="1" s="1"/>
  <c r="X298" i="1"/>
  <c r="Y298" i="1" s="1"/>
  <c r="V298" i="1"/>
  <c r="W298" i="1" s="1"/>
  <c r="T298" i="1"/>
  <c r="U298" i="1" s="1"/>
  <c r="Q298" i="1"/>
  <c r="AZ297" i="1"/>
  <c r="BA297" i="1" s="1"/>
  <c r="AX297" i="1"/>
  <c r="AY297" i="1" s="1"/>
  <c r="AV297" i="1"/>
  <c r="AW297" i="1" s="1"/>
  <c r="AT297" i="1"/>
  <c r="AU297" i="1" s="1"/>
  <c r="AR297" i="1"/>
  <c r="AS297" i="1" s="1"/>
  <c r="AP297" i="1"/>
  <c r="AQ297" i="1" s="1"/>
  <c r="AN297" i="1"/>
  <c r="AO297" i="1" s="1"/>
  <c r="AL297" i="1"/>
  <c r="AM297" i="1" s="1"/>
  <c r="AJ297" i="1"/>
  <c r="AK297" i="1" s="1"/>
  <c r="AH297" i="1"/>
  <c r="AI297" i="1" s="1"/>
  <c r="AF297" i="1"/>
  <c r="AG297" i="1" s="1"/>
  <c r="AD297" i="1"/>
  <c r="AE297" i="1" s="1"/>
  <c r="AB297" i="1"/>
  <c r="AC297" i="1" s="1"/>
  <c r="Z297" i="1"/>
  <c r="AA297" i="1" s="1"/>
  <c r="X297" i="1"/>
  <c r="Y297" i="1" s="1"/>
  <c r="V297" i="1"/>
  <c r="T297" i="1"/>
  <c r="U297" i="1" s="1"/>
  <c r="Q297" i="1"/>
  <c r="AZ296" i="1"/>
  <c r="BA296" i="1" s="1"/>
  <c r="AX296" i="1"/>
  <c r="AY296" i="1" s="1"/>
  <c r="AV296" i="1"/>
  <c r="AW296" i="1" s="1"/>
  <c r="AT296" i="1"/>
  <c r="AU296" i="1" s="1"/>
  <c r="AR296" i="1"/>
  <c r="AS296" i="1" s="1"/>
  <c r="AP296" i="1"/>
  <c r="AQ296" i="1" s="1"/>
  <c r="AN296" i="1"/>
  <c r="AO296" i="1" s="1"/>
  <c r="AL296" i="1"/>
  <c r="AM296" i="1" s="1"/>
  <c r="AJ296" i="1"/>
  <c r="AK296" i="1" s="1"/>
  <c r="AH296" i="1"/>
  <c r="AI296" i="1" s="1"/>
  <c r="AF296" i="1"/>
  <c r="AG296" i="1" s="1"/>
  <c r="AD296" i="1"/>
  <c r="AE296" i="1" s="1"/>
  <c r="AB296" i="1"/>
  <c r="AC296" i="1" s="1"/>
  <c r="Z296" i="1"/>
  <c r="AA296" i="1" s="1"/>
  <c r="X296" i="1"/>
  <c r="Y296" i="1" s="1"/>
  <c r="V296" i="1"/>
  <c r="W296" i="1" s="1"/>
  <c r="T296" i="1"/>
  <c r="U296" i="1" s="1"/>
  <c r="Q296" i="1"/>
  <c r="AZ295" i="1"/>
  <c r="BA295" i="1" s="1"/>
  <c r="AX295" i="1"/>
  <c r="AY295" i="1" s="1"/>
  <c r="AV295" i="1"/>
  <c r="AW295" i="1" s="1"/>
  <c r="AT295" i="1"/>
  <c r="AU295" i="1" s="1"/>
  <c r="AR295" i="1"/>
  <c r="AS295" i="1" s="1"/>
  <c r="AP295" i="1"/>
  <c r="AQ295" i="1" s="1"/>
  <c r="AN295" i="1"/>
  <c r="AO295" i="1" s="1"/>
  <c r="AL295" i="1"/>
  <c r="AM295" i="1" s="1"/>
  <c r="AJ295" i="1"/>
  <c r="AK295" i="1" s="1"/>
  <c r="AH295" i="1"/>
  <c r="AI295" i="1" s="1"/>
  <c r="AF295" i="1"/>
  <c r="AG295" i="1" s="1"/>
  <c r="AD295" i="1"/>
  <c r="AE295" i="1" s="1"/>
  <c r="AB295" i="1"/>
  <c r="AC295" i="1" s="1"/>
  <c r="Z295" i="1"/>
  <c r="AA295" i="1" s="1"/>
  <c r="X295" i="1"/>
  <c r="Y295" i="1" s="1"/>
  <c r="V295" i="1"/>
  <c r="W295" i="1" s="1"/>
  <c r="T295" i="1"/>
  <c r="U295" i="1" s="1"/>
  <c r="Q295" i="1"/>
  <c r="AZ294" i="1"/>
  <c r="BA294" i="1" s="1"/>
  <c r="AX294" i="1"/>
  <c r="AY294" i="1" s="1"/>
  <c r="AV294" i="1"/>
  <c r="AW294" i="1" s="1"/>
  <c r="AT294" i="1"/>
  <c r="AU294" i="1" s="1"/>
  <c r="AR294" i="1"/>
  <c r="AS294" i="1" s="1"/>
  <c r="AP294" i="1"/>
  <c r="AQ294" i="1" s="1"/>
  <c r="AN294" i="1"/>
  <c r="AO294" i="1" s="1"/>
  <c r="AL294" i="1"/>
  <c r="AM294" i="1" s="1"/>
  <c r="AJ294" i="1"/>
  <c r="AK294" i="1" s="1"/>
  <c r="AH294" i="1"/>
  <c r="AI294" i="1" s="1"/>
  <c r="AF294" i="1"/>
  <c r="AG294" i="1" s="1"/>
  <c r="AD294" i="1"/>
  <c r="AE294" i="1" s="1"/>
  <c r="AB294" i="1"/>
  <c r="AC294" i="1" s="1"/>
  <c r="Z294" i="1"/>
  <c r="AA294" i="1" s="1"/>
  <c r="X294" i="1"/>
  <c r="Y294" i="1" s="1"/>
  <c r="V294" i="1"/>
  <c r="W294" i="1" s="1"/>
  <c r="T294" i="1"/>
  <c r="U294" i="1" s="1"/>
  <c r="Q294" i="1"/>
  <c r="AZ293" i="1"/>
  <c r="BA293" i="1" s="1"/>
  <c r="AX293" i="1"/>
  <c r="AY293" i="1" s="1"/>
  <c r="AV293" i="1"/>
  <c r="AW293" i="1" s="1"/>
  <c r="AT293" i="1"/>
  <c r="AU293" i="1" s="1"/>
  <c r="AR293" i="1"/>
  <c r="AS293" i="1" s="1"/>
  <c r="AP293" i="1"/>
  <c r="AQ293" i="1" s="1"/>
  <c r="AN293" i="1"/>
  <c r="AO293" i="1" s="1"/>
  <c r="AL293" i="1"/>
  <c r="AM293" i="1" s="1"/>
  <c r="AJ293" i="1"/>
  <c r="AK293" i="1" s="1"/>
  <c r="AH293" i="1"/>
  <c r="AI293" i="1" s="1"/>
  <c r="AF293" i="1"/>
  <c r="AG293" i="1" s="1"/>
  <c r="AD293" i="1"/>
  <c r="AE293" i="1" s="1"/>
  <c r="AB293" i="1"/>
  <c r="AC293" i="1" s="1"/>
  <c r="Z293" i="1"/>
  <c r="AA293" i="1" s="1"/>
  <c r="X293" i="1"/>
  <c r="Y293" i="1" s="1"/>
  <c r="V293" i="1"/>
  <c r="W293" i="1" s="1"/>
  <c r="T293" i="1"/>
  <c r="U293" i="1" s="1"/>
  <c r="Q293" i="1"/>
  <c r="AZ292" i="1"/>
  <c r="BA292" i="1" s="1"/>
  <c r="AX292" i="1"/>
  <c r="AY292" i="1" s="1"/>
  <c r="AV292" i="1"/>
  <c r="AW292" i="1" s="1"/>
  <c r="AT292" i="1"/>
  <c r="AU292" i="1" s="1"/>
  <c r="AR292" i="1"/>
  <c r="AS292" i="1" s="1"/>
  <c r="AP292" i="1"/>
  <c r="AQ292" i="1" s="1"/>
  <c r="AN292" i="1"/>
  <c r="AO292" i="1" s="1"/>
  <c r="AL292" i="1"/>
  <c r="AM292" i="1" s="1"/>
  <c r="AJ292" i="1"/>
  <c r="AK292" i="1" s="1"/>
  <c r="AH292" i="1"/>
  <c r="AI292" i="1" s="1"/>
  <c r="AF292" i="1"/>
  <c r="AG292" i="1" s="1"/>
  <c r="AD292" i="1"/>
  <c r="AE292" i="1" s="1"/>
  <c r="AB292" i="1"/>
  <c r="AC292" i="1" s="1"/>
  <c r="Z292" i="1"/>
  <c r="AA292" i="1" s="1"/>
  <c r="X292" i="1"/>
  <c r="Y292" i="1" s="1"/>
  <c r="V292" i="1"/>
  <c r="W292" i="1" s="1"/>
  <c r="T292" i="1"/>
  <c r="U292" i="1" s="1"/>
  <c r="Q292" i="1"/>
  <c r="AZ291" i="1"/>
  <c r="BA291" i="1" s="1"/>
  <c r="AX291" i="1"/>
  <c r="AY291" i="1" s="1"/>
  <c r="AV291" i="1"/>
  <c r="AW291" i="1" s="1"/>
  <c r="AT291" i="1"/>
  <c r="AU291" i="1" s="1"/>
  <c r="AR291" i="1"/>
  <c r="AS291" i="1" s="1"/>
  <c r="AP291" i="1"/>
  <c r="AQ291" i="1" s="1"/>
  <c r="AN291" i="1"/>
  <c r="AO291" i="1" s="1"/>
  <c r="AL291" i="1"/>
  <c r="AM291" i="1" s="1"/>
  <c r="AJ291" i="1"/>
  <c r="AK291" i="1" s="1"/>
  <c r="AH291" i="1"/>
  <c r="AI291" i="1" s="1"/>
  <c r="AF291" i="1"/>
  <c r="AG291" i="1" s="1"/>
  <c r="AD291" i="1"/>
  <c r="AE291" i="1" s="1"/>
  <c r="AB291" i="1"/>
  <c r="AC291" i="1" s="1"/>
  <c r="Z291" i="1"/>
  <c r="AA291" i="1" s="1"/>
  <c r="X291" i="1"/>
  <c r="Y291" i="1" s="1"/>
  <c r="V291" i="1"/>
  <c r="W291" i="1" s="1"/>
  <c r="T291" i="1"/>
  <c r="U291" i="1" s="1"/>
  <c r="Q291" i="1"/>
  <c r="AZ290" i="1"/>
  <c r="BA290" i="1" s="1"/>
  <c r="AX290" i="1"/>
  <c r="AY290" i="1" s="1"/>
  <c r="AV290" i="1"/>
  <c r="AW290" i="1" s="1"/>
  <c r="AT290" i="1"/>
  <c r="AU290" i="1" s="1"/>
  <c r="AR290" i="1"/>
  <c r="AS290" i="1" s="1"/>
  <c r="AP290" i="1"/>
  <c r="AQ290" i="1" s="1"/>
  <c r="AN290" i="1"/>
  <c r="AO290" i="1" s="1"/>
  <c r="AL290" i="1"/>
  <c r="AM290" i="1" s="1"/>
  <c r="AJ290" i="1"/>
  <c r="AK290" i="1" s="1"/>
  <c r="AH290" i="1"/>
  <c r="AI290" i="1" s="1"/>
  <c r="AF290" i="1"/>
  <c r="AG290" i="1" s="1"/>
  <c r="AD290" i="1"/>
  <c r="AE290" i="1" s="1"/>
  <c r="AB290" i="1"/>
  <c r="AC290" i="1" s="1"/>
  <c r="Z290" i="1"/>
  <c r="AA290" i="1" s="1"/>
  <c r="X290" i="1"/>
  <c r="Y290" i="1" s="1"/>
  <c r="V290" i="1"/>
  <c r="W290" i="1" s="1"/>
  <c r="T290" i="1"/>
  <c r="U290" i="1" s="1"/>
  <c r="Q290" i="1"/>
  <c r="AZ289" i="1"/>
  <c r="BA289" i="1" s="1"/>
  <c r="AX289" i="1"/>
  <c r="AY289" i="1" s="1"/>
  <c r="AV289" i="1"/>
  <c r="AW289" i="1" s="1"/>
  <c r="AT289" i="1"/>
  <c r="AU289" i="1" s="1"/>
  <c r="AR289" i="1"/>
  <c r="AS289" i="1" s="1"/>
  <c r="AP289" i="1"/>
  <c r="AQ289" i="1" s="1"/>
  <c r="AN289" i="1"/>
  <c r="AO289" i="1" s="1"/>
  <c r="AL289" i="1"/>
  <c r="AM289" i="1" s="1"/>
  <c r="AJ289" i="1"/>
  <c r="AK289" i="1" s="1"/>
  <c r="AH289" i="1"/>
  <c r="AI289" i="1" s="1"/>
  <c r="AF289" i="1"/>
  <c r="AG289" i="1" s="1"/>
  <c r="AD289" i="1"/>
  <c r="AE289" i="1" s="1"/>
  <c r="AB289" i="1"/>
  <c r="AC289" i="1" s="1"/>
  <c r="Z289" i="1"/>
  <c r="AA289" i="1" s="1"/>
  <c r="X289" i="1"/>
  <c r="Y289" i="1" s="1"/>
  <c r="V289" i="1"/>
  <c r="W289" i="1" s="1"/>
  <c r="T289" i="1"/>
  <c r="U289" i="1" s="1"/>
  <c r="Q289" i="1"/>
  <c r="AZ288" i="1"/>
  <c r="BA288" i="1" s="1"/>
  <c r="AX288" i="1"/>
  <c r="AY288" i="1" s="1"/>
  <c r="AV288" i="1"/>
  <c r="AW288" i="1" s="1"/>
  <c r="AT288" i="1"/>
  <c r="AU288" i="1" s="1"/>
  <c r="AR288" i="1"/>
  <c r="AS288" i="1" s="1"/>
  <c r="AP288" i="1"/>
  <c r="AQ288" i="1" s="1"/>
  <c r="AN288" i="1"/>
  <c r="AO288" i="1" s="1"/>
  <c r="AL288" i="1"/>
  <c r="AM288" i="1" s="1"/>
  <c r="AJ288" i="1"/>
  <c r="AK288" i="1" s="1"/>
  <c r="AH288" i="1"/>
  <c r="AI288" i="1" s="1"/>
  <c r="AF288" i="1"/>
  <c r="AG288" i="1" s="1"/>
  <c r="AD288" i="1"/>
  <c r="AE288" i="1" s="1"/>
  <c r="AB288" i="1"/>
  <c r="AC288" i="1" s="1"/>
  <c r="Z288" i="1"/>
  <c r="AA288" i="1" s="1"/>
  <c r="X288" i="1"/>
  <c r="Y288" i="1" s="1"/>
  <c r="V288" i="1"/>
  <c r="W288" i="1" s="1"/>
  <c r="T288" i="1"/>
  <c r="U288" i="1" s="1"/>
  <c r="Q288" i="1"/>
  <c r="AZ287" i="1"/>
  <c r="BA287" i="1" s="1"/>
  <c r="AX287" i="1"/>
  <c r="AY287" i="1" s="1"/>
  <c r="AV287" i="1"/>
  <c r="AW287" i="1" s="1"/>
  <c r="AT287" i="1"/>
  <c r="AU287" i="1" s="1"/>
  <c r="AR287" i="1"/>
  <c r="AS287" i="1" s="1"/>
  <c r="AP287" i="1"/>
  <c r="AQ287" i="1" s="1"/>
  <c r="AN287" i="1"/>
  <c r="AO287" i="1" s="1"/>
  <c r="AL287" i="1"/>
  <c r="AM287" i="1" s="1"/>
  <c r="AJ287" i="1"/>
  <c r="AK287" i="1" s="1"/>
  <c r="AH287" i="1"/>
  <c r="AI287" i="1" s="1"/>
  <c r="AF287" i="1"/>
  <c r="AG287" i="1" s="1"/>
  <c r="AD287" i="1"/>
  <c r="AE287" i="1" s="1"/>
  <c r="AB287" i="1"/>
  <c r="AC287" i="1" s="1"/>
  <c r="Z287" i="1"/>
  <c r="AA287" i="1" s="1"/>
  <c r="X287" i="1"/>
  <c r="Y287" i="1" s="1"/>
  <c r="V287" i="1"/>
  <c r="W287" i="1" s="1"/>
  <c r="T287" i="1"/>
  <c r="U287" i="1" s="1"/>
  <c r="Q287" i="1"/>
  <c r="AZ286" i="1"/>
  <c r="BA286" i="1" s="1"/>
  <c r="AX286" i="1"/>
  <c r="AY286" i="1" s="1"/>
  <c r="AV286" i="1"/>
  <c r="AW286" i="1" s="1"/>
  <c r="AT286" i="1"/>
  <c r="AU286" i="1" s="1"/>
  <c r="AR286" i="1"/>
  <c r="AS286" i="1" s="1"/>
  <c r="AP286" i="1"/>
  <c r="AQ286" i="1" s="1"/>
  <c r="AN286" i="1"/>
  <c r="AO286" i="1" s="1"/>
  <c r="AL286" i="1"/>
  <c r="AM286" i="1" s="1"/>
  <c r="AJ286" i="1"/>
  <c r="AK286" i="1" s="1"/>
  <c r="AH286" i="1"/>
  <c r="AI286" i="1" s="1"/>
  <c r="AF286" i="1"/>
  <c r="AG286" i="1" s="1"/>
  <c r="AD286" i="1"/>
  <c r="AE286" i="1" s="1"/>
  <c r="AB286" i="1"/>
  <c r="AC286" i="1" s="1"/>
  <c r="Z286" i="1"/>
  <c r="AA286" i="1" s="1"/>
  <c r="X286" i="1"/>
  <c r="Y286" i="1" s="1"/>
  <c r="V286" i="1"/>
  <c r="W286" i="1" s="1"/>
  <c r="T286" i="1"/>
  <c r="U286" i="1" s="1"/>
  <c r="Q286" i="1"/>
  <c r="AZ285" i="1"/>
  <c r="BA285" i="1" s="1"/>
  <c r="AX285" i="1"/>
  <c r="AY285" i="1" s="1"/>
  <c r="AV285" i="1"/>
  <c r="AW285" i="1" s="1"/>
  <c r="AT285" i="1"/>
  <c r="AU285" i="1" s="1"/>
  <c r="AR285" i="1"/>
  <c r="AS285" i="1" s="1"/>
  <c r="AP285" i="1"/>
  <c r="AQ285" i="1" s="1"/>
  <c r="AN285" i="1"/>
  <c r="AO285" i="1" s="1"/>
  <c r="AL285" i="1"/>
  <c r="AM285" i="1" s="1"/>
  <c r="AJ285" i="1"/>
  <c r="AK285" i="1" s="1"/>
  <c r="AH285" i="1"/>
  <c r="AI285" i="1" s="1"/>
  <c r="AF285" i="1"/>
  <c r="AG285" i="1" s="1"/>
  <c r="AD285" i="1"/>
  <c r="AE285" i="1" s="1"/>
  <c r="AB285" i="1"/>
  <c r="AC285" i="1" s="1"/>
  <c r="Z285" i="1"/>
  <c r="AA285" i="1" s="1"/>
  <c r="X285" i="1"/>
  <c r="Y285" i="1" s="1"/>
  <c r="V285" i="1"/>
  <c r="W285" i="1" s="1"/>
  <c r="T285" i="1"/>
  <c r="U285" i="1" s="1"/>
  <c r="Q285" i="1"/>
  <c r="AZ284" i="1"/>
  <c r="BA284" i="1" s="1"/>
  <c r="AX284" i="1"/>
  <c r="AY284" i="1" s="1"/>
  <c r="AV284" i="1"/>
  <c r="AW284" i="1" s="1"/>
  <c r="AT284" i="1"/>
  <c r="AU284" i="1" s="1"/>
  <c r="AR284" i="1"/>
  <c r="AS284" i="1" s="1"/>
  <c r="AP284" i="1"/>
  <c r="AQ284" i="1" s="1"/>
  <c r="AN284" i="1"/>
  <c r="AO284" i="1" s="1"/>
  <c r="AL284" i="1"/>
  <c r="AM284" i="1" s="1"/>
  <c r="AJ284" i="1"/>
  <c r="AK284" i="1" s="1"/>
  <c r="AH284" i="1"/>
  <c r="AI284" i="1" s="1"/>
  <c r="AF284" i="1"/>
  <c r="AG284" i="1" s="1"/>
  <c r="AD284" i="1"/>
  <c r="AE284" i="1" s="1"/>
  <c r="AB284" i="1"/>
  <c r="AC284" i="1" s="1"/>
  <c r="Z284" i="1"/>
  <c r="AA284" i="1" s="1"/>
  <c r="X284" i="1"/>
  <c r="Y284" i="1" s="1"/>
  <c r="V284" i="1"/>
  <c r="W284" i="1" s="1"/>
  <c r="T284" i="1"/>
  <c r="U284" i="1" s="1"/>
  <c r="Q284" i="1"/>
  <c r="AZ283" i="1"/>
  <c r="BA283" i="1" s="1"/>
  <c r="AX283" i="1"/>
  <c r="AY283" i="1" s="1"/>
  <c r="AV283" i="1"/>
  <c r="AW283" i="1" s="1"/>
  <c r="AT283" i="1"/>
  <c r="AU283" i="1" s="1"/>
  <c r="AR283" i="1"/>
  <c r="AS283" i="1" s="1"/>
  <c r="AP283" i="1"/>
  <c r="AQ283" i="1" s="1"/>
  <c r="AN283" i="1"/>
  <c r="AO283" i="1" s="1"/>
  <c r="AL283" i="1"/>
  <c r="AM283" i="1" s="1"/>
  <c r="AJ283" i="1"/>
  <c r="AK283" i="1" s="1"/>
  <c r="AH283" i="1"/>
  <c r="AI283" i="1" s="1"/>
  <c r="AF283" i="1"/>
  <c r="AG283" i="1" s="1"/>
  <c r="AD283" i="1"/>
  <c r="AE283" i="1" s="1"/>
  <c r="AB283" i="1"/>
  <c r="AC283" i="1" s="1"/>
  <c r="Z283" i="1"/>
  <c r="AA283" i="1" s="1"/>
  <c r="X283" i="1"/>
  <c r="Y283" i="1" s="1"/>
  <c r="V283" i="1"/>
  <c r="W283" i="1" s="1"/>
  <c r="T283" i="1"/>
  <c r="U283" i="1" s="1"/>
  <c r="Q283" i="1"/>
  <c r="AZ282" i="1"/>
  <c r="BA282" i="1" s="1"/>
  <c r="AX282" i="1"/>
  <c r="AY282" i="1" s="1"/>
  <c r="AV282" i="1"/>
  <c r="AW282" i="1" s="1"/>
  <c r="AT282" i="1"/>
  <c r="AU282" i="1" s="1"/>
  <c r="AR282" i="1"/>
  <c r="AS282" i="1" s="1"/>
  <c r="AP282" i="1"/>
  <c r="AQ282" i="1" s="1"/>
  <c r="AN282" i="1"/>
  <c r="AO282" i="1" s="1"/>
  <c r="AL282" i="1"/>
  <c r="AM282" i="1" s="1"/>
  <c r="AJ282" i="1"/>
  <c r="AK282" i="1" s="1"/>
  <c r="AH282" i="1"/>
  <c r="AI282" i="1" s="1"/>
  <c r="AF282" i="1"/>
  <c r="AG282" i="1" s="1"/>
  <c r="AD282" i="1"/>
  <c r="AE282" i="1" s="1"/>
  <c r="AB282" i="1"/>
  <c r="AC282" i="1" s="1"/>
  <c r="Z282" i="1"/>
  <c r="AA282" i="1" s="1"/>
  <c r="X282" i="1"/>
  <c r="Y282" i="1" s="1"/>
  <c r="V282" i="1"/>
  <c r="W282" i="1" s="1"/>
  <c r="T282" i="1"/>
  <c r="U282" i="1" s="1"/>
  <c r="Q282" i="1"/>
  <c r="AZ280" i="1"/>
  <c r="BA280" i="1" s="1"/>
  <c r="AX280" i="1"/>
  <c r="AY280" i="1" s="1"/>
  <c r="AV280" i="1"/>
  <c r="AW280" i="1" s="1"/>
  <c r="AT280" i="1"/>
  <c r="AU280" i="1" s="1"/>
  <c r="AR280" i="1"/>
  <c r="AS280" i="1" s="1"/>
  <c r="AP280" i="1"/>
  <c r="AQ280" i="1" s="1"/>
  <c r="AN280" i="1"/>
  <c r="AO280" i="1" s="1"/>
  <c r="AL280" i="1"/>
  <c r="AM280" i="1" s="1"/>
  <c r="AJ280" i="1"/>
  <c r="AK280" i="1" s="1"/>
  <c r="AH280" i="1"/>
  <c r="AI280" i="1" s="1"/>
  <c r="AF280" i="1"/>
  <c r="AG280" i="1" s="1"/>
  <c r="AD280" i="1"/>
  <c r="AE280" i="1" s="1"/>
  <c r="AB280" i="1"/>
  <c r="AC280" i="1" s="1"/>
  <c r="Z280" i="1"/>
  <c r="AA280" i="1" s="1"/>
  <c r="X280" i="1"/>
  <c r="Y280" i="1" s="1"/>
  <c r="V280" i="1"/>
  <c r="W280" i="1" s="1"/>
  <c r="T280" i="1"/>
  <c r="U280" i="1" s="1"/>
  <c r="Q280" i="1"/>
  <c r="AZ279" i="1"/>
  <c r="BA279" i="1" s="1"/>
  <c r="AX279" i="1"/>
  <c r="AY279" i="1" s="1"/>
  <c r="AV279" i="1"/>
  <c r="AW279" i="1" s="1"/>
  <c r="AT279" i="1"/>
  <c r="AU279" i="1" s="1"/>
  <c r="AR279" i="1"/>
  <c r="AS279" i="1" s="1"/>
  <c r="AP279" i="1"/>
  <c r="AQ279" i="1" s="1"/>
  <c r="AN279" i="1"/>
  <c r="AO279" i="1" s="1"/>
  <c r="AL279" i="1"/>
  <c r="AM279" i="1" s="1"/>
  <c r="AJ279" i="1"/>
  <c r="AK279" i="1" s="1"/>
  <c r="AH279" i="1"/>
  <c r="AI279" i="1" s="1"/>
  <c r="AF279" i="1"/>
  <c r="AG279" i="1" s="1"/>
  <c r="AD279" i="1"/>
  <c r="AE279" i="1" s="1"/>
  <c r="AB279" i="1"/>
  <c r="AC279" i="1" s="1"/>
  <c r="Z279" i="1"/>
  <c r="AA279" i="1" s="1"/>
  <c r="X279" i="1"/>
  <c r="Y279" i="1" s="1"/>
  <c r="V279" i="1"/>
  <c r="W279" i="1" s="1"/>
  <c r="T279" i="1"/>
  <c r="U279" i="1" s="1"/>
  <c r="Q279" i="1"/>
  <c r="AZ278" i="1"/>
  <c r="BA278" i="1" s="1"/>
  <c r="AX278" i="1"/>
  <c r="AY278" i="1" s="1"/>
  <c r="AV278" i="1"/>
  <c r="AW278" i="1" s="1"/>
  <c r="AT278" i="1"/>
  <c r="AU278" i="1" s="1"/>
  <c r="AR278" i="1"/>
  <c r="AS278" i="1" s="1"/>
  <c r="AP278" i="1"/>
  <c r="AQ278" i="1" s="1"/>
  <c r="AN278" i="1"/>
  <c r="AO278" i="1" s="1"/>
  <c r="AL278" i="1"/>
  <c r="AM278" i="1" s="1"/>
  <c r="AJ278" i="1"/>
  <c r="AK278" i="1" s="1"/>
  <c r="AH278" i="1"/>
  <c r="AI278" i="1" s="1"/>
  <c r="AF278" i="1"/>
  <c r="AG278" i="1" s="1"/>
  <c r="AD278" i="1"/>
  <c r="AE278" i="1" s="1"/>
  <c r="AB278" i="1"/>
  <c r="AC278" i="1" s="1"/>
  <c r="Z278" i="1"/>
  <c r="AA278" i="1" s="1"/>
  <c r="X278" i="1"/>
  <c r="Y278" i="1" s="1"/>
  <c r="V278" i="1"/>
  <c r="W278" i="1" s="1"/>
  <c r="T278" i="1"/>
  <c r="U278" i="1" s="1"/>
  <c r="Q278" i="1"/>
  <c r="AZ277" i="1"/>
  <c r="BA277" i="1" s="1"/>
  <c r="AX277" i="1"/>
  <c r="AY277" i="1" s="1"/>
  <c r="AV277" i="1"/>
  <c r="AW277" i="1" s="1"/>
  <c r="AT277" i="1"/>
  <c r="AU277" i="1" s="1"/>
  <c r="AR277" i="1"/>
  <c r="AS277" i="1" s="1"/>
  <c r="AP277" i="1"/>
  <c r="AQ277" i="1" s="1"/>
  <c r="AN277" i="1"/>
  <c r="AO277" i="1" s="1"/>
  <c r="AL277" i="1"/>
  <c r="AM277" i="1" s="1"/>
  <c r="AJ277" i="1"/>
  <c r="AK277" i="1" s="1"/>
  <c r="AH277" i="1"/>
  <c r="AI277" i="1" s="1"/>
  <c r="AF277" i="1"/>
  <c r="AG277" i="1" s="1"/>
  <c r="AD277" i="1"/>
  <c r="AE277" i="1" s="1"/>
  <c r="AB277" i="1"/>
  <c r="AC277" i="1" s="1"/>
  <c r="Z277" i="1"/>
  <c r="AA277" i="1" s="1"/>
  <c r="X277" i="1"/>
  <c r="Y277" i="1" s="1"/>
  <c r="V277" i="1"/>
  <c r="W277" i="1" s="1"/>
  <c r="T277" i="1"/>
  <c r="U277" i="1" s="1"/>
  <c r="Q277" i="1"/>
  <c r="AZ276" i="1"/>
  <c r="BA276" i="1" s="1"/>
  <c r="AX276" i="1"/>
  <c r="AY276" i="1" s="1"/>
  <c r="AV276" i="1"/>
  <c r="AW276" i="1" s="1"/>
  <c r="AT276" i="1"/>
  <c r="AU276" i="1" s="1"/>
  <c r="AR276" i="1"/>
  <c r="AS276" i="1" s="1"/>
  <c r="AP276" i="1"/>
  <c r="AQ276" i="1" s="1"/>
  <c r="AN276" i="1"/>
  <c r="AO276" i="1" s="1"/>
  <c r="AL276" i="1"/>
  <c r="AM276" i="1" s="1"/>
  <c r="AJ276" i="1"/>
  <c r="AK276" i="1" s="1"/>
  <c r="AH276" i="1"/>
  <c r="AI276" i="1" s="1"/>
  <c r="AF276" i="1"/>
  <c r="AG276" i="1" s="1"/>
  <c r="AD276" i="1"/>
  <c r="AE276" i="1" s="1"/>
  <c r="AB276" i="1"/>
  <c r="AC276" i="1" s="1"/>
  <c r="Z276" i="1"/>
  <c r="AA276" i="1" s="1"/>
  <c r="X276" i="1"/>
  <c r="V276" i="1"/>
  <c r="W276" i="1" s="1"/>
  <c r="T276" i="1"/>
  <c r="U276" i="1" s="1"/>
  <c r="Q276" i="1"/>
  <c r="AZ275" i="1"/>
  <c r="BA275" i="1" s="1"/>
  <c r="AX275" i="1"/>
  <c r="AY275" i="1" s="1"/>
  <c r="AV275" i="1"/>
  <c r="AW275" i="1" s="1"/>
  <c r="AT275" i="1"/>
  <c r="AU275" i="1" s="1"/>
  <c r="AR275" i="1"/>
  <c r="AS275" i="1" s="1"/>
  <c r="AP275" i="1"/>
  <c r="AQ275" i="1" s="1"/>
  <c r="AN275" i="1"/>
  <c r="AO275" i="1" s="1"/>
  <c r="AL275" i="1"/>
  <c r="AM275" i="1" s="1"/>
  <c r="AJ275" i="1"/>
  <c r="AK275" i="1" s="1"/>
  <c r="AH275" i="1"/>
  <c r="AI275" i="1" s="1"/>
  <c r="AF275" i="1"/>
  <c r="AG275" i="1" s="1"/>
  <c r="AD275" i="1"/>
  <c r="AE275" i="1" s="1"/>
  <c r="AB275" i="1"/>
  <c r="AC275" i="1" s="1"/>
  <c r="Z275" i="1"/>
  <c r="AA275" i="1" s="1"/>
  <c r="X275" i="1"/>
  <c r="Y275" i="1" s="1"/>
  <c r="V275" i="1"/>
  <c r="W275" i="1" s="1"/>
  <c r="T275" i="1"/>
  <c r="U275" i="1" s="1"/>
  <c r="Q275" i="1"/>
  <c r="AZ274" i="1"/>
  <c r="BA274" i="1" s="1"/>
  <c r="AX274" i="1"/>
  <c r="AY274" i="1" s="1"/>
  <c r="AV274" i="1"/>
  <c r="AW274" i="1" s="1"/>
  <c r="AT274" i="1"/>
  <c r="AU274" i="1" s="1"/>
  <c r="AR274" i="1"/>
  <c r="AS274" i="1" s="1"/>
  <c r="AP274" i="1"/>
  <c r="AQ274" i="1" s="1"/>
  <c r="AN274" i="1"/>
  <c r="AO274" i="1" s="1"/>
  <c r="AL274" i="1"/>
  <c r="AM274" i="1" s="1"/>
  <c r="AJ274" i="1"/>
  <c r="AK274" i="1" s="1"/>
  <c r="AH274" i="1"/>
  <c r="AI274" i="1" s="1"/>
  <c r="AG274" i="1"/>
  <c r="AF274" i="1"/>
  <c r="AD274" i="1"/>
  <c r="AE274" i="1" s="1"/>
  <c r="AB274" i="1"/>
  <c r="AC274" i="1" s="1"/>
  <c r="Z274" i="1"/>
  <c r="AA274" i="1" s="1"/>
  <c r="X274" i="1"/>
  <c r="Y274" i="1" s="1"/>
  <c r="V274" i="1"/>
  <c r="W274" i="1" s="1"/>
  <c r="T274" i="1"/>
  <c r="U274" i="1" s="1"/>
  <c r="Q274" i="1"/>
  <c r="AZ273" i="1"/>
  <c r="BA273" i="1" s="1"/>
  <c r="AX273" i="1"/>
  <c r="AY273" i="1" s="1"/>
  <c r="AV273" i="1"/>
  <c r="AW273" i="1" s="1"/>
  <c r="AT273" i="1"/>
  <c r="AU273" i="1" s="1"/>
  <c r="AR273" i="1"/>
  <c r="AS273" i="1" s="1"/>
  <c r="AP273" i="1"/>
  <c r="AQ273" i="1" s="1"/>
  <c r="AN273" i="1"/>
  <c r="AO273" i="1" s="1"/>
  <c r="AL273" i="1"/>
  <c r="AM273" i="1" s="1"/>
  <c r="AJ273" i="1"/>
  <c r="AK273" i="1" s="1"/>
  <c r="AH273" i="1"/>
  <c r="AI273" i="1" s="1"/>
  <c r="AF273" i="1"/>
  <c r="AG273" i="1" s="1"/>
  <c r="AD273" i="1"/>
  <c r="AE273" i="1" s="1"/>
  <c r="AB273" i="1"/>
  <c r="AC273" i="1" s="1"/>
  <c r="Z273" i="1"/>
  <c r="AA273" i="1" s="1"/>
  <c r="X273" i="1"/>
  <c r="Y273" i="1" s="1"/>
  <c r="V273" i="1"/>
  <c r="W273" i="1" s="1"/>
  <c r="T273" i="1"/>
  <c r="Q273" i="1"/>
  <c r="AZ272" i="1"/>
  <c r="BA272" i="1" s="1"/>
  <c r="AX272" i="1"/>
  <c r="AY272" i="1" s="1"/>
  <c r="AV272" i="1"/>
  <c r="AW272" i="1" s="1"/>
  <c r="AT272" i="1"/>
  <c r="AU272" i="1" s="1"/>
  <c r="AR272" i="1"/>
  <c r="AS272" i="1" s="1"/>
  <c r="AP272" i="1"/>
  <c r="AQ272" i="1" s="1"/>
  <c r="AN272" i="1"/>
  <c r="AO272" i="1" s="1"/>
  <c r="AL272" i="1"/>
  <c r="AM272" i="1" s="1"/>
  <c r="AJ272" i="1"/>
  <c r="AK272" i="1" s="1"/>
  <c r="AH272" i="1"/>
  <c r="AI272" i="1" s="1"/>
  <c r="AF272" i="1"/>
  <c r="AG272" i="1" s="1"/>
  <c r="AD272" i="1"/>
  <c r="AE272" i="1" s="1"/>
  <c r="AB272" i="1"/>
  <c r="AC272" i="1" s="1"/>
  <c r="Z272" i="1"/>
  <c r="AA272" i="1" s="1"/>
  <c r="X272" i="1"/>
  <c r="Y272" i="1" s="1"/>
  <c r="V272" i="1"/>
  <c r="W272" i="1" s="1"/>
  <c r="T272" i="1"/>
  <c r="Q272" i="1"/>
  <c r="AZ271" i="1"/>
  <c r="BA271" i="1" s="1"/>
  <c r="AX271" i="1"/>
  <c r="AY271" i="1" s="1"/>
  <c r="AV271" i="1"/>
  <c r="AW271" i="1" s="1"/>
  <c r="AT271" i="1"/>
  <c r="AU271" i="1" s="1"/>
  <c r="AR271" i="1"/>
  <c r="AS271" i="1" s="1"/>
  <c r="AP271" i="1"/>
  <c r="AQ271" i="1" s="1"/>
  <c r="AN271" i="1"/>
  <c r="AO271" i="1" s="1"/>
  <c r="AL271" i="1"/>
  <c r="AM271" i="1" s="1"/>
  <c r="AJ271" i="1"/>
  <c r="AK271" i="1" s="1"/>
  <c r="AH271" i="1"/>
  <c r="AI271" i="1" s="1"/>
  <c r="AF271" i="1"/>
  <c r="AG271" i="1" s="1"/>
  <c r="AD271" i="1"/>
  <c r="AE271" i="1" s="1"/>
  <c r="AB271" i="1"/>
  <c r="AC271" i="1" s="1"/>
  <c r="Z271" i="1"/>
  <c r="AA271" i="1" s="1"/>
  <c r="X271" i="1"/>
  <c r="Y271" i="1" s="1"/>
  <c r="V271" i="1"/>
  <c r="W271" i="1" s="1"/>
  <c r="T271" i="1"/>
  <c r="U271" i="1" s="1"/>
  <c r="Q271" i="1"/>
  <c r="AZ270" i="1"/>
  <c r="BA270" i="1" s="1"/>
  <c r="AX270" i="1"/>
  <c r="AY270" i="1" s="1"/>
  <c r="AV270" i="1"/>
  <c r="AW270" i="1" s="1"/>
  <c r="AT270" i="1"/>
  <c r="AU270" i="1" s="1"/>
  <c r="AR270" i="1"/>
  <c r="AS270" i="1" s="1"/>
  <c r="AP270" i="1"/>
  <c r="AQ270" i="1" s="1"/>
  <c r="AN270" i="1"/>
  <c r="AO270" i="1" s="1"/>
  <c r="AL270" i="1"/>
  <c r="AM270" i="1" s="1"/>
  <c r="AJ270" i="1"/>
  <c r="AK270" i="1" s="1"/>
  <c r="AH270" i="1"/>
  <c r="AI270" i="1" s="1"/>
  <c r="AF270" i="1"/>
  <c r="AG270" i="1" s="1"/>
  <c r="AD270" i="1"/>
  <c r="AE270" i="1" s="1"/>
  <c r="AB270" i="1"/>
  <c r="AC270" i="1" s="1"/>
  <c r="Z270" i="1"/>
  <c r="AA270" i="1" s="1"/>
  <c r="X270" i="1"/>
  <c r="Y270" i="1" s="1"/>
  <c r="V270" i="1"/>
  <c r="W270" i="1" s="1"/>
  <c r="T270" i="1"/>
  <c r="U270" i="1" s="1"/>
  <c r="Q270" i="1"/>
  <c r="AZ269" i="1"/>
  <c r="BA269" i="1" s="1"/>
  <c r="AX269" i="1"/>
  <c r="AY269" i="1" s="1"/>
  <c r="AV269" i="1"/>
  <c r="AW269" i="1" s="1"/>
  <c r="AT269" i="1"/>
  <c r="AU269" i="1" s="1"/>
  <c r="AR269" i="1"/>
  <c r="AS269" i="1" s="1"/>
  <c r="AP269" i="1"/>
  <c r="AQ269" i="1" s="1"/>
  <c r="AN269" i="1"/>
  <c r="AO269" i="1" s="1"/>
  <c r="AL269" i="1"/>
  <c r="AM269" i="1" s="1"/>
  <c r="AJ269" i="1"/>
  <c r="AK269" i="1" s="1"/>
  <c r="AH269" i="1"/>
  <c r="AI269" i="1" s="1"/>
  <c r="AF269" i="1"/>
  <c r="AG269" i="1" s="1"/>
  <c r="AD269" i="1"/>
  <c r="AE269" i="1" s="1"/>
  <c r="AB269" i="1"/>
  <c r="AC269" i="1" s="1"/>
  <c r="Z269" i="1"/>
  <c r="AA269" i="1" s="1"/>
  <c r="X269" i="1"/>
  <c r="Y269" i="1" s="1"/>
  <c r="V269" i="1"/>
  <c r="W269" i="1" s="1"/>
  <c r="T269" i="1"/>
  <c r="U269" i="1" s="1"/>
  <c r="Q269" i="1"/>
  <c r="AZ268" i="1"/>
  <c r="BA268" i="1" s="1"/>
  <c r="AX268" i="1"/>
  <c r="AY268" i="1" s="1"/>
  <c r="AV268" i="1"/>
  <c r="AW268" i="1" s="1"/>
  <c r="AT268" i="1"/>
  <c r="AU268" i="1" s="1"/>
  <c r="AR268" i="1"/>
  <c r="AS268" i="1" s="1"/>
  <c r="AP268" i="1"/>
  <c r="AQ268" i="1" s="1"/>
  <c r="AN268" i="1"/>
  <c r="AO268" i="1" s="1"/>
  <c r="AL268" i="1"/>
  <c r="AM268" i="1" s="1"/>
  <c r="AJ268" i="1"/>
  <c r="AK268" i="1" s="1"/>
  <c r="AH268" i="1"/>
  <c r="AI268" i="1" s="1"/>
  <c r="AF268" i="1"/>
  <c r="AG268" i="1" s="1"/>
  <c r="AD268" i="1"/>
  <c r="AE268" i="1" s="1"/>
  <c r="AB268" i="1"/>
  <c r="AC268" i="1" s="1"/>
  <c r="Z268" i="1"/>
  <c r="AA268" i="1" s="1"/>
  <c r="X268" i="1"/>
  <c r="Y268" i="1" s="1"/>
  <c r="V268" i="1"/>
  <c r="W268" i="1" s="1"/>
  <c r="T268" i="1"/>
  <c r="U268" i="1" s="1"/>
  <c r="Q268" i="1"/>
  <c r="AZ267" i="1"/>
  <c r="BA267" i="1" s="1"/>
  <c r="AX267" i="1"/>
  <c r="AY267" i="1" s="1"/>
  <c r="AV267" i="1"/>
  <c r="AW267" i="1" s="1"/>
  <c r="AT267" i="1"/>
  <c r="AU267" i="1" s="1"/>
  <c r="AR267" i="1"/>
  <c r="AS267" i="1" s="1"/>
  <c r="AP267" i="1"/>
  <c r="AQ267" i="1" s="1"/>
  <c r="AN267" i="1"/>
  <c r="AO267" i="1" s="1"/>
  <c r="AL267" i="1"/>
  <c r="AM267" i="1" s="1"/>
  <c r="AJ267" i="1"/>
  <c r="AK267" i="1" s="1"/>
  <c r="AH267" i="1"/>
  <c r="AI267" i="1" s="1"/>
  <c r="AF267" i="1"/>
  <c r="AG267" i="1" s="1"/>
  <c r="AD267" i="1"/>
  <c r="AE267" i="1" s="1"/>
  <c r="AB267" i="1"/>
  <c r="AC267" i="1" s="1"/>
  <c r="Z267" i="1"/>
  <c r="AA267" i="1" s="1"/>
  <c r="X267" i="1"/>
  <c r="Y267" i="1" s="1"/>
  <c r="V267" i="1"/>
  <c r="W267" i="1" s="1"/>
  <c r="T267" i="1"/>
  <c r="U267" i="1" s="1"/>
  <c r="Q267" i="1"/>
  <c r="AZ266" i="1"/>
  <c r="BA266" i="1" s="1"/>
  <c r="AX266" i="1"/>
  <c r="AY266" i="1" s="1"/>
  <c r="AV266" i="1"/>
  <c r="AW266" i="1" s="1"/>
  <c r="AT266" i="1"/>
  <c r="AU266" i="1" s="1"/>
  <c r="AR266" i="1"/>
  <c r="AS266" i="1" s="1"/>
  <c r="AP266" i="1"/>
  <c r="AQ266" i="1" s="1"/>
  <c r="AN266" i="1"/>
  <c r="AO266" i="1" s="1"/>
  <c r="AL266" i="1"/>
  <c r="AM266" i="1" s="1"/>
  <c r="AJ266" i="1"/>
  <c r="AK266" i="1" s="1"/>
  <c r="AH266" i="1"/>
  <c r="AI266" i="1" s="1"/>
  <c r="AF266" i="1"/>
  <c r="AG266" i="1" s="1"/>
  <c r="AD266" i="1"/>
  <c r="AE266" i="1" s="1"/>
  <c r="AB266" i="1"/>
  <c r="AC266" i="1" s="1"/>
  <c r="Z266" i="1"/>
  <c r="AA266" i="1" s="1"/>
  <c r="X266" i="1"/>
  <c r="Y266" i="1" s="1"/>
  <c r="V266" i="1"/>
  <c r="W266" i="1" s="1"/>
  <c r="T266" i="1"/>
  <c r="U266" i="1" s="1"/>
  <c r="Q266" i="1"/>
  <c r="AZ265" i="1"/>
  <c r="BA265" i="1" s="1"/>
  <c r="AX265" i="1"/>
  <c r="AY265" i="1" s="1"/>
  <c r="AV265" i="1"/>
  <c r="AW265" i="1" s="1"/>
  <c r="AT265" i="1"/>
  <c r="AU265" i="1" s="1"/>
  <c r="AR265" i="1"/>
  <c r="AS265" i="1" s="1"/>
  <c r="AP265" i="1"/>
  <c r="AQ265" i="1" s="1"/>
  <c r="AN265" i="1"/>
  <c r="AO265" i="1" s="1"/>
  <c r="AL265" i="1"/>
  <c r="AM265" i="1" s="1"/>
  <c r="AJ265" i="1"/>
  <c r="AK265" i="1" s="1"/>
  <c r="AH265" i="1"/>
  <c r="AI265" i="1" s="1"/>
  <c r="AF265" i="1"/>
  <c r="AG265" i="1" s="1"/>
  <c r="AD265" i="1"/>
  <c r="AE265" i="1" s="1"/>
  <c r="AB265" i="1"/>
  <c r="AC265" i="1" s="1"/>
  <c r="Z265" i="1"/>
  <c r="AA265" i="1" s="1"/>
  <c r="X265" i="1"/>
  <c r="Y265" i="1" s="1"/>
  <c r="V265" i="1"/>
  <c r="W265" i="1" s="1"/>
  <c r="T265" i="1"/>
  <c r="U265" i="1" s="1"/>
  <c r="Q265" i="1"/>
  <c r="AZ263" i="1"/>
  <c r="BA263" i="1" s="1"/>
  <c r="BA262" i="1" s="1"/>
  <c r="AX263" i="1"/>
  <c r="AY263" i="1" s="1"/>
  <c r="AY262" i="1" s="1"/>
  <c r="AV263" i="1"/>
  <c r="AW263" i="1" s="1"/>
  <c r="AW262" i="1" s="1"/>
  <c r="AT263" i="1"/>
  <c r="AU263" i="1" s="1"/>
  <c r="AU262" i="1" s="1"/>
  <c r="AR263" i="1"/>
  <c r="AS263" i="1" s="1"/>
  <c r="AS262" i="1" s="1"/>
  <c r="AP263" i="1"/>
  <c r="AQ263" i="1" s="1"/>
  <c r="AQ262" i="1" s="1"/>
  <c r="AN263" i="1"/>
  <c r="AO263" i="1" s="1"/>
  <c r="AO262" i="1" s="1"/>
  <c r="AL263" i="1"/>
  <c r="AM263" i="1" s="1"/>
  <c r="AM262" i="1" s="1"/>
  <c r="AJ263" i="1"/>
  <c r="AK263" i="1" s="1"/>
  <c r="AK262" i="1" s="1"/>
  <c r="AH263" i="1"/>
  <c r="AI263" i="1" s="1"/>
  <c r="AI262" i="1" s="1"/>
  <c r="AF263" i="1"/>
  <c r="AG263" i="1" s="1"/>
  <c r="AG262" i="1" s="1"/>
  <c r="AD263" i="1"/>
  <c r="AE263" i="1" s="1"/>
  <c r="AE262" i="1" s="1"/>
  <c r="AB263" i="1"/>
  <c r="AC263" i="1" s="1"/>
  <c r="AC262" i="1" s="1"/>
  <c r="Z263" i="1"/>
  <c r="AA263" i="1" s="1"/>
  <c r="AA262" i="1" s="1"/>
  <c r="X263" i="1"/>
  <c r="Y263" i="1" s="1"/>
  <c r="Y262" i="1" s="1"/>
  <c r="V263" i="1"/>
  <c r="W263" i="1" s="1"/>
  <c r="W262" i="1" s="1"/>
  <c r="T263" i="1"/>
  <c r="U263" i="1" s="1"/>
  <c r="U262" i="1" s="1"/>
  <c r="Q263" i="1"/>
  <c r="Q262" i="1" s="1"/>
  <c r="AZ261" i="1"/>
  <c r="BA261" i="1" s="1"/>
  <c r="AX261" i="1"/>
  <c r="AY261" i="1" s="1"/>
  <c r="AV261" i="1"/>
  <c r="AW261" i="1" s="1"/>
  <c r="AT261" i="1"/>
  <c r="AU261" i="1" s="1"/>
  <c r="AR261" i="1"/>
  <c r="AS261" i="1" s="1"/>
  <c r="AP261" i="1"/>
  <c r="AQ261" i="1" s="1"/>
  <c r="AN261" i="1"/>
  <c r="AO261" i="1" s="1"/>
  <c r="AL261" i="1"/>
  <c r="AM261" i="1" s="1"/>
  <c r="AJ261" i="1"/>
  <c r="AK261" i="1" s="1"/>
  <c r="AH261" i="1"/>
  <c r="AI261" i="1" s="1"/>
  <c r="AF261" i="1"/>
  <c r="AG261" i="1" s="1"/>
  <c r="AD261" i="1"/>
  <c r="AE261" i="1" s="1"/>
  <c r="AB261" i="1"/>
  <c r="AC261" i="1" s="1"/>
  <c r="Z261" i="1"/>
  <c r="AA261" i="1" s="1"/>
  <c r="X261" i="1"/>
  <c r="Y261" i="1" s="1"/>
  <c r="V261" i="1"/>
  <c r="W261" i="1" s="1"/>
  <c r="T261" i="1"/>
  <c r="U261" i="1" s="1"/>
  <c r="Q261" i="1"/>
  <c r="AZ260" i="1"/>
  <c r="BA260" i="1" s="1"/>
  <c r="AX260" i="1"/>
  <c r="AY260" i="1" s="1"/>
  <c r="AV260" i="1"/>
  <c r="AW260" i="1" s="1"/>
  <c r="AT260" i="1"/>
  <c r="AU260" i="1" s="1"/>
  <c r="AR260" i="1"/>
  <c r="AS260" i="1" s="1"/>
  <c r="AP260" i="1"/>
  <c r="AQ260" i="1" s="1"/>
  <c r="AN260" i="1"/>
  <c r="AO260" i="1" s="1"/>
  <c r="AL260" i="1"/>
  <c r="AM260" i="1" s="1"/>
  <c r="AJ260" i="1"/>
  <c r="AK260" i="1" s="1"/>
  <c r="AH260" i="1"/>
  <c r="AI260" i="1" s="1"/>
  <c r="AF260" i="1"/>
  <c r="AG260" i="1" s="1"/>
  <c r="AD260" i="1"/>
  <c r="AE260" i="1" s="1"/>
  <c r="AB260" i="1"/>
  <c r="AC260" i="1" s="1"/>
  <c r="Z260" i="1"/>
  <c r="AA260" i="1" s="1"/>
  <c r="X260" i="1"/>
  <c r="Y260" i="1" s="1"/>
  <c r="V260" i="1"/>
  <c r="W260" i="1" s="1"/>
  <c r="T260" i="1"/>
  <c r="U260" i="1" s="1"/>
  <c r="Q260" i="1"/>
  <c r="AZ259" i="1"/>
  <c r="BA259" i="1" s="1"/>
  <c r="AX259" i="1"/>
  <c r="AY259" i="1" s="1"/>
  <c r="AV259" i="1"/>
  <c r="AW259" i="1" s="1"/>
  <c r="AT259" i="1"/>
  <c r="AU259" i="1" s="1"/>
  <c r="AR259" i="1"/>
  <c r="AS259" i="1" s="1"/>
  <c r="AP259" i="1"/>
  <c r="AQ259" i="1" s="1"/>
  <c r="AN259" i="1"/>
  <c r="AO259" i="1" s="1"/>
  <c r="AL259" i="1"/>
  <c r="AM259" i="1" s="1"/>
  <c r="AJ259" i="1"/>
  <c r="AK259" i="1" s="1"/>
  <c r="AH259" i="1"/>
  <c r="AI259" i="1" s="1"/>
  <c r="AF259" i="1"/>
  <c r="AG259" i="1" s="1"/>
  <c r="AD259" i="1"/>
  <c r="AE259" i="1" s="1"/>
  <c r="AB259" i="1"/>
  <c r="AC259" i="1" s="1"/>
  <c r="Z259" i="1"/>
  <c r="AA259" i="1" s="1"/>
  <c r="X259" i="1"/>
  <c r="Y259" i="1" s="1"/>
  <c r="V259" i="1"/>
  <c r="W259" i="1" s="1"/>
  <c r="T259" i="1"/>
  <c r="U259" i="1" s="1"/>
  <c r="Q259" i="1"/>
  <c r="AZ258" i="1"/>
  <c r="BA258" i="1" s="1"/>
  <c r="AX258" i="1"/>
  <c r="AY258" i="1" s="1"/>
  <c r="AV258" i="1"/>
  <c r="AW258" i="1" s="1"/>
  <c r="AT258" i="1"/>
  <c r="AU258" i="1" s="1"/>
  <c r="AR258" i="1"/>
  <c r="AS258" i="1" s="1"/>
  <c r="AP258" i="1"/>
  <c r="AQ258" i="1" s="1"/>
  <c r="AN258" i="1"/>
  <c r="AO258" i="1" s="1"/>
  <c r="AL258" i="1"/>
  <c r="AM258" i="1" s="1"/>
  <c r="AJ258" i="1"/>
  <c r="AK258" i="1" s="1"/>
  <c r="AH258" i="1"/>
  <c r="AI258" i="1" s="1"/>
  <c r="AF258" i="1"/>
  <c r="AG258" i="1" s="1"/>
  <c r="AD258" i="1"/>
  <c r="AE258" i="1" s="1"/>
  <c r="AB258" i="1"/>
  <c r="AC258" i="1" s="1"/>
  <c r="Z258" i="1"/>
  <c r="AA258" i="1" s="1"/>
  <c r="X258" i="1"/>
  <c r="V258" i="1"/>
  <c r="W258" i="1" s="1"/>
  <c r="T258" i="1"/>
  <c r="U258" i="1" s="1"/>
  <c r="Q258" i="1"/>
  <c r="AZ257" i="1"/>
  <c r="BA257" i="1" s="1"/>
  <c r="AX257" i="1"/>
  <c r="AY257" i="1" s="1"/>
  <c r="AV257" i="1"/>
  <c r="AW257" i="1" s="1"/>
  <c r="AT257" i="1"/>
  <c r="AU257" i="1" s="1"/>
  <c r="AR257" i="1"/>
  <c r="AS257" i="1" s="1"/>
  <c r="AP257" i="1"/>
  <c r="AQ257" i="1" s="1"/>
  <c r="AN257" i="1"/>
  <c r="AO257" i="1" s="1"/>
  <c r="AL257" i="1"/>
  <c r="AM257" i="1" s="1"/>
  <c r="AJ257" i="1"/>
  <c r="AK257" i="1" s="1"/>
  <c r="AH257" i="1"/>
  <c r="AI257" i="1" s="1"/>
  <c r="AF257" i="1"/>
  <c r="AG257" i="1" s="1"/>
  <c r="AD257" i="1"/>
  <c r="AE257" i="1" s="1"/>
  <c r="AB257" i="1"/>
  <c r="AC257" i="1" s="1"/>
  <c r="Z257" i="1"/>
  <c r="AA257" i="1" s="1"/>
  <c r="X257" i="1"/>
  <c r="Y257" i="1" s="1"/>
  <c r="V257" i="1"/>
  <c r="W257" i="1" s="1"/>
  <c r="T257" i="1"/>
  <c r="U257" i="1" s="1"/>
  <c r="Q257" i="1"/>
  <c r="AZ256" i="1"/>
  <c r="BA256" i="1" s="1"/>
  <c r="AX256" i="1"/>
  <c r="AY256" i="1" s="1"/>
  <c r="AV256" i="1"/>
  <c r="AW256" i="1" s="1"/>
  <c r="AT256" i="1"/>
  <c r="AU256" i="1" s="1"/>
  <c r="AR256" i="1"/>
  <c r="AS256" i="1" s="1"/>
  <c r="AP256" i="1"/>
  <c r="AQ256" i="1" s="1"/>
  <c r="AN256" i="1"/>
  <c r="AO256" i="1" s="1"/>
  <c r="AL256" i="1"/>
  <c r="AM256" i="1" s="1"/>
  <c r="AJ256" i="1"/>
  <c r="AK256" i="1" s="1"/>
  <c r="AH256" i="1"/>
  <c r="AI256" i="1" s="1"/>
  <c r="AF256" i="1"/>
  <c r="AG256" i="1" s="1"/>
  <c r="AD256" i="1"/>
  <c r="AE256" i="1" s="1"/>
  <c r="AB256" i="1"/>
  <c r="AC256" i="1" s="1"/>
  <c r="Z256" i="1"/>
  <c r="AA256" i="1" s="1"/>
  <c r="X256" i="1"/>
  <c r="Y256" i="1" s="1"/>
  <c r="V256" i="1"/>
  <c r="W256" i="1" s="1"/>
  <c r="T256" i="1"/>
  <c r="U256" i="1" s="1"/>
  <c r="Q256" i="1"/>
  <c r="AZ254" i="1"/>
  <c r="BA254" i="1" s="1"/>
  <c r="AX254" i="1"/>
  <c r="AY254" i="1" s="1"/>
  <c r="AV254" i="1"/>
  <c r="AW254" i="1" s="1"/>
  <c r="AT254" i="1"/>
  <c r="AU254" i="1" s="1"/>
  <c r="AR254" i="1"/>
  <c r="AS254" i="1" s="1"/>
  <c r="AP254" i="1"/>
  <c r="AQ254" i="1" s="1"/>
  <c r="AN254" i="1"/>
  <c r="AO254" i="1" s="1"/>
  <c r="AL254" i="1"/>
  <c r="AM254" i="1" s="1"/>
  <c r="AJ254" i="1"/>
  <c r="AK254" i="1" s="1"/>
  <c r="AH254" i="1"/>
  <c r="AI254" i="1" s="1"/>
  <c r="AF254" i="1"/>
  <c r="AG254" i="1" s="1"/>
  <c r="AD254" i="1"/>
  <c r="AE254" i="1" s="1"/>
  <c r="AB254" i="1"/>
  <c r="AC254" i="1" s="1"/>
  <c r="Z254" i="1"/>
  <c r="AA254" i="1" s="1"/>
  <c r="X254" i="1"/>
  <c r="Y254" i="1" s="1"/>
  <c r="V254" i="1"/>
  <c r="W254" i="1" s="1"/>
  <c r="T254" i="1"/>
  <c r="U254" i="1" s="1"/>
  <c r="Q254" i="1"/>
  <c r="AZ253" i="1"/>
  <c r="BA253" i="1" s="1"/>
  <c r="AX253" i="1"/>
  <c r="AY253" i="1" s="1"/>
  <c r="AV253" i="1"/>
  <c r="AW253" i="1" s="1"/>
  <c r="AT253" i="1"/>
  <c r="AU253" i="1" s="1"/>
  <c r="AR253" i="1"/>
  <c r="AS253" i="1" s="1"/>
  <c r="AP253" i="1"/>
  <c r="AQ253" i="1" s="1"/>
  <c r="AN253" i="1"/>
  <c r="AO253" i="1" s="1"/>
  <c r="AL253" i="1"/>
  <c r="AM253" i="1" s="1"/>
  <c r="AJ253" i="1"/>
  <c r="AK253" i="1" s="1"/>
  <c r="AH253" i="1"/>
  <c r="AI253" i="1" s="1"/>
  <c r="AF253" i="1"/>
  <c r="AG253" i="1" s="1"/>
  <c r="AD253" i="1"/>
  <c r="AE253" i="1" s="1"/>
  <c r="AB253" i="1"/>
  <c r="AC253" i="1" s="1"/>
  <c r="Z253" i="1"/>
  <c r="AA253" i="1" s="1"/>
  <c r="X253" i="1"/>
  <c r="Y253" i="1" s="1"/>
  <c r="V253" i="1"/>
  <c r="W253" i="1" s="1"/>
  <c r="T253" i="1"/>
  <c r="U253" i="1" s="1"/>
  <c r="Q253" i="1"/>
  <c r="AZ252" i="1"/>
  <c r="BA252" i="1" s="1"/>
  <c r="AX252" i="1"/>
  <c r="AY252" i="1" s="1"/>
  <c r="AV252" i="1"/>
  <c r="AW252" i="1" s="1"/>
  <c r="AT252" i="1"/>
  <c r="AU252" i="1" s="1"/>
  <c r="AR252" i="1"/>
  <c r="AS252" i="1" s="1"/>
  <c r="AP252" i="1"/>
  <c r="AQ252" i="1" s="1"/>
  <c r="AN252" i="1"/>
  <c r="AO252" i="1" s="1"/>
  <c r="AL252" i="1"/>
  <c r="AM252" i="1" s="1"/>
  <c r="AJ252" i="1"/>
  <c r="AK252" i="1" s="1"/>
  <c r="AH252" i="1"/>
  <c r="AI252" i="1" s="1"/>
  <c r="AF252" i="1"/>
  <c r="AG252" i="1" s="1"/>
  <c r="AD252" i="1"/>
  <c r="AE252" i="1" s="1"/>
  <c r="AB252" i="1"/>
  <c r="AC252" i="1" s="1"/>
  <c r="Z252" i="1"/>
  <c r="AA252" i="1" s="1"/>
  <c r="X252" i="1"/>
  <c r="Y252" i="1" s="1"/>
  <c r="V252" i="1"/>
  <c r="W252" i="1" s="1"/>
  <c r="T252" i="1"/>
  <c r="U252" i="1" s="1"/>
  <c r="Q252" i="1"/>
  <c r="AZ251" i="1"/>
  <c r="BA251" i="1" s="1"/>
  <c r="AX251" i="1"/>
  <c r="AY251" i="1" s="1"/>
  <c r="AV251" i="1"/>
  <c r="AW251" i="1" s="1"/>
  <c r="AT251" i="1"/>
  <c r="AU251" i="1" s="1"/>
  <c r="AR251" i="1"/>
  <c r="AS251" i="1" s="1"/>
  <c r="AP251" i="1"/>
  <c r="AQ251" i="1" s="1"/>
  <c r="AN251" i="1"/>
  <c r="AO251" i="1" s="1"/>
  <c r="AL251" i="1"/>
  <c r="AM251" i="1" s="1"/>
  <c r="AJ251" i="1"/>
  <c r="AK251" i="1" s="1"/>
  <c r="AH251" i="1"/>
  <c r="AI251" i="1" s="1"/>
  <c r="AF251" i="1"/>
  <c r="AG251" i="1" s="1"/>
  <c r="AD251" i="1"/>
  <c r="AE251" i="1" s="1"/>
  <c r="AB251" i="1"/>
  <c r="AC251" i="1" s="1"/>
  <c r="Z251" i="1"/>
  <c r="AA251" i="1" s="1"/>
  <c r="X251" i="1"/>
  <c r="Y251" i="1" s="1"/>
  <c r="V251" i="1"/>
  <c r="W251" i="1" s="1"/>
  <c r="T251" i="1"/>
  <c r="U251" i="1" s="1"/>
  <c r="Q251" i="1"/>
  <c r="AZ250" i="1"/>
  <c r="BA250" i="1" s="1"/>
  <c r="AX250" i="1"/>
  <c r="AY250" i="1" s="1"/>
  <c r="AV250" i="1"/>
  <c r="AW250" i="1" s="1"/>
  <c r="AT250" i="1"/>
  <c r="AU250" i="1" s="1"/>
  <c r="AR250" i="1"/>
  <c r="AS250" i="1" s="1"/>
  <c r="AP250" i="1"/>
  <c r="AQ250" i="1" s="1"/>
  <c r="AN250" i="1"/>
  <c r="AO250" i="1" s="1"/>
  <c r="AL250" i="1"/>
  <c r="AM250" i="1" s="1"/>
  <c r="AJ250" i="1"/>
  <c r="AK250" i="1" s="1"/>
  <c r="AH250" i="1"/>
  <c r="AI250" i="1" s="1"/>
  <c r="AF250" i="1"/>
  <c r="AG250" i="1" s="1"/>
  <c r="AD250" i="1"/>
  <c r="AE250" i="1" s="1"/>
  <c r="AB250" i="1"/>
  <c r="AC250" i="1" s="1"/>
  <c r="Z250" i="1"/>
  <c r="AA250" i="1" s="1"/>
  <c r="X250" i="1"/>
  <c r="Y250" i="1" s="1"/>
  <c r="V250" i="1"/>
  <c r="W250" i="1" s="1"/>
  <c r="T250" i="1"/>
  <c r="U250" i="1" s="1"/>
  <c r="Q250" i="1"/>
  <c r="AZ249" i="1"/>
  <c r="BA249" i="1" s="1"/>
  <c r="AX249" i="1"/>
  <c r="AY249" i="1" s="1"/>
  <c r="AV249" i="1"/>
  <c r="AW249" i="1" s="1"/>
  <c r="AT249" i="1"/>
  <c r="AU249" i="1" s="1"/>
  <c r="AR249" i="1"/>
  <c r="AS249" i="1" s="1"/>
  <c r="AP249" i="1"/>
  <c r="AQ249" i="1" s="1"/>
  <c r="AN249" i="1"/>
  <c r="AO249" i="1" s="1"/>
  <c r="AL249" i="1"/>
  <c r="AM249" i="1" s="1"/>
  <c r="AJ249" i="1"/>
  <c r="AK249" i="1" s="1"/>
  <c r="AH249" i="1"/>
  <c r="AI249" i="1" s="1"/>
  <c r="AF249" i="1"/>
  <c r="AG249" i="1" s="1"/>
  <c r="AD249" i="1"/>
  <c r="AE249" i="1" s="1"/>
  <c r="AB249" i="1"/>
  <c r="AC249" i="1" s="1"/>
  <c r="Z249" i="1"/>
  <c r="AA249" i="1" s="1"/>
  <c r="X249" i="1"/>
  <c r="Y249" i="1" s="1"/>
  <c r="V249" i="1"/>
  <c r="W249" i="1" s="1"/>
  <c r="T249" i="1"/>
  <c r="U249" i="1" s="1"/>
  <c r="Q249" i="1"/>
  <c r="AZ248" i="1"/>
  <c r="BA248" i="1" s="1"/>
  <c r="AX248" i="1"/>
  <c r="AY248" i="1" s="1"/>
  <c r="AV248" i="1"/>
  <c r="AW248" i="1" s="1"/>
  <c r="AT248" i="1"/>
  <c r="AU248" i="1" s="1"/>
  <c r="AR248" i="1"/>
  <c r="AS248" i="1" s="1"/>
  <c r="AP248" i="1"/>
  <c r="AQ248" i="1" s="1"/>
  <c r="AN248" i="1"/>
  <c r="AO248" i="1" s="1"/>
  <c r="AL248" i="1"/>
  <c r="AM248" i="1" s="1"/>
  <c r="AJ248" i="1"/>
  <c r="AK248" i="1" s="1"/>
  <c r="AH248" i="1"/>
  <c r="AI248" i="1" s="1"/>
  <c r="AF248" i="1"/>
  <c r="AG248" i="1" s="1"/>
  <c r="AD248" i="1"/>
  <c r="AE248" i="1" s="1"/>
  <c r="AB248" i="1"/>
  <c r="AC248" i="1" s="1"/>
  <c r="Z248" i="1"/>
  <c r="AA248" i="1" s="1"/>
  <c r="X248" i="1"/>
  <c r="Y248" i="1" s="1"/>
  <c r="V248" i="1"/>
  <c r="W248" i="1" s="1"/>
  <c r="T248" i="1"/>
  <c r="U248" i="1" s="1"/>
  <c r="Q248" i="1"/>
  <c r="AZ247" i="1"/>
  <c r="BA247" i="1" s="1"/>
  <c r="AX247" i="1"/>
  <c r="AY247" i="1" s="1"/>
  <c r="AV247" i="1"/>
  <c r="AW247" i="1" s="1"/>
  <c r="AT247" i="1"/>
  <c r="AU247" i="1" s="1"/>
  <c r="AR247" i="1"/>
  <c r="AS247" i="1" s="1"/>
  <c r="AP247" i="1"/>
  <c r="AQ247" i="1" s="1"/>
  <c r="AN247" i="1"/>
  <c r="AO247" i="1" s="1"/>
  <c r="AL247" i="1"/>
  <c r="AM247" i="1" s="1"/>
  <c r="AJ247" i="1"/>
  <c r="AK247" i="1" s="1"/>
  <c r="AH247" i="1"/>
  <c r="AI247" i="1" s="1"/>
  <c r="AF247" i="1"/>
  <c r="AG247" i="1" s="1"/>
  <c r="AD247" i="1"/>
  <c r="AE247" i="1" s="1"/>
  <c r="AB247" i="1"/>
  <c r="AC247" i="1" s="1"/>
  <c r="Z247" i="1"/>
  <c r="AA247" i="1" s="1"/>
  <c r="X247" i="1"/>
  <c r="Y247" i="1" s="1"/>
  <c r="V247" i="1"/>
  <c r="T247" i="1"/>
  <c r="U247" i="1" s="1"/>
  <c r="Q247" i="1"/>
  <c r="AZ246" i="1"/>
  <c r="BA246" i="1" s="1"/>
  <c r="AX246" i="1"/>
  <c r="AY246" i="1" s="1"/>
  <c r="AV246" i="1"/>
  <c r="AW246" i="1" s="1"/>
  <c r="AT246" i="1"/>
  <c r="AU246" i="1" s="1"/>
  <c r="AR246" i="1"/>
  <c r="AS246" i="1" s="1"/>
  <c r="AP246" i="1"/>
  <c r="AQ246" i="1" s="1"/>
  <c r="AN246" i="1"/>
  <c r="AO246" i="1" s="1"/>
  <c r="AL246" i="1"/>
  <c r="AM246" i="1" s="1"/>
  <c r="AJ246" i="1"/>
  <c r="AK246" i="1" s="1"/>
  <c r="AH246" i="1"/>
  <c r="AI246" i="1" s="1"/>
  <c r="AF246" i="1"/>
  <c r="AG246" i="1" s="1"/>
  <c r="AD246" i="1"/>
  <c r="AE246" i="1" s="1"/>
  <c r="AB246" i="1"/>
  <c r="AC246" i="1" s="1"/>
  <c r="Z246" i="1"/>
  <c r="AA246" i="1" s="1"/>
  <c r="X246" i="1"/>
  <c r="Y246" i="1" s="1"/>
  <c r="V246" i="1"/>
  <c r="W246" i="1" s="1"/>
  <c r="T246" i="1"/>
  <c r="U246" i="1" s="1"/>
  <c r="Q246" i="1"/>
  <c r="AZ245" i="1"/>
  <c r="BA245" i="1" s="1"/>
  <c r="AX245" i="1"/>
  <c r="AY245" i="1" s="1"/>
  <c r="AV245" i="1"/>
  <c r="AW245" i="1" s="1"/>
  <c r="AT245" i="1"/>
  <c r="AU245" i="1" s="1"/>
  <c r="AR245" i="1"/>
  <c r="AS245" i="1" s="1"/>
  <c r="AP245" i="1"/>
  <c r="AQ245" i="1" s="1"/>
  <c r="AN245" i="1"/>
  <c r="AO245" i="1" s="1"/>
  <c r="AL245" i="1"/>
  <c r="AM245" i="1" s="1"/>
  <c r="AJ245" i="1"/>
  <c r="AK245" i="1" s="1"/>
  <c r="AH245" i="1"/>
  <c r="AI245" i="1" s="1"/>
  <c r="AF245" i="1"/>
  <c r="AG245" i="1" s="1"/>
  <c r="AD245" i="1"/>
  <c r="AE245" i="1" s="1"/>
  <c r="AB245" i="1"/>
  <c r="AC245" i="1" s="1"/>
  <c r="Z245" i="1"/>
  <c r="AA245" i="1" s="1"/>
  <c r="X245" i="1"/>
  <c r="Y245" i="1" s="1"/>
  <c r="V245" i="1"/>
  <c r="W245" i="1" s="1"/>
  <c r="T245" i="1"/>
  <c r="U245" i="1" s="1"/>
  <c r="Q245" i="1"/>
  <c r="AZ244" i="1"/>
  <c r="BA244" i="1" s="1"/>
  <c r="AX244" i="1"/>
  <c r="AY244" i="1" s="1"/>
  <c r="AV244" i="1"/>
  <c r="AW244" i="1" s="1"/>
  <c r="AT244" i="1"/>
  <c r="AU244" i="1" s="1"/>
  <c r="AR244" i="1"/>
  <c r="AS244" i="1" s="1"/>
  <c r="AP244" i="1"/>
  <c r="AQ244" i="1" s="1"/>
  <c r="AN244" i="1"/>
  <c r="AO244" i="1" s="1"/>
  <c r="AL244" i="1"/>
  <c r="AM244" i="1" s="1"/>
  <c r="AJ244" i="1"/>
  <c r="AK244" i="1" s="1"/>
  <c r="AH244" i="1"/>
  <c r="AI244" i="1" s="1"/>
  <c r="AF244" i="1"/>
  <c r="AG244" i="1" s="1"/>
  <c r="AD244" i="1"/>
  <c r="AE244" i="1" s="1"/>
  <c r="AB244" i="1"/>
  <c r="AC244" i="1" s="1"/>
  <c r="Z244" i="1"/>
  <c r="AA244" i="1" s="1"/>
  <c r="X244" i="1"/>
  <c r="Y244" i="1" s="1"/>
  <c r="V244" i="1"/>
  <c r="W244" i="1" s="1"/>
  <c r="T244" i="1"/>
  <c r="U244" i="1" s="1"/>
  <c r="Q244" i="1"/>
  <c r="AZ243" i="1"/>
  <c r="BA243" i="1" s="1"/>
  <c r="AX243" i="1"/>
  <c r="AY243" i="1" s="1"/>
  <c r="AV243" i="1"/>
  <c r="AW243" i="1" s="1"/>
  <c r="AT243" i="1"/>
  <c r="AU243" i="1" s="1"/>
  <c r="AR243" i="1"/>
  <c r="AS243" i="1" s="1"/>
  <c r="AP243" i="1"/>
  <c r="AQ243" i="1" s="1"/>
  <c r="AN243" i="1"/>
  <c r="AO243" i="1" s="1"/>
  <c r="AL243" i="1"/>
  <c r="AM243" i="1" s="1"/>
  <c r="AJ243" i="1"/>
  <c r="AK243" i="1" s="1"/>
  <c r="AH243" i="1"/>
  <c r="AI243" i="1" s="1"/>
  <c r="AF243" i="1"/>
  <c r="AG243" i="1" s="1"/>
  <c r="AD243" i="1"/>
  <c r="AE243" i="1" s="1"/>
  <c r="AB243" i="1"/>
  <c r="AC243" i="1" s="1"/>
  <c r="Z243" i="1"/>
  <c r="AA243" i="1" s="1"/>
  <c r="X243" i="1"/>
  <c r="Y243" i="1" s="1"/>
  <c r="V243" i="1"/>
  <c r="W243" i="1" s="1"/>
  <c r="T243" i="1"/>
  <c r="U243" i="1" s="1"/>
  <c r="Q243" i="1"/>
  <c r="AZ242" i="1"/>
  <c r="BA242" i="1" s="1"/>
  <c r="AX242" i="1"/>
  <c r="AY242" i="1" s="1"/>
  <c r="AV242" i="1"/>
  <c r="AW242" i="1" s="1"/>
  <c r="AT242" i="1"/>
  <c r="AU242" i="1" s="1"/>
  <c r="AR242" i="1"/>
  <c r="AS242" i="1" s="1"/>
  <c r="AP242" i="1"/>
  <c r="AQ242" i="1" s="1"/>
  <c r="AN242" i="1"/>
  <c r="AO242" i="1" s="1"/>
  <c r="AL242" i="1"/>
  <c r="AM242" i="1" s="1"/>
  <c r="AJ242" i="1"/>
  <c r="AK242" i="1" s="1"/>
  <c r="AH242" i="1"/>
  <c r="AI242" i="1" s="1"/>
  <c r="AF242" i="1"/>
  <c r="AG242" i="1" s="1"/>
  <c r="AD242" i="1"/>
  <c r="AE242" i="1" s="1"/>
  <c r="AB242" i="1"/>
  <c r="AC242" i="1" s="1"/>
  <c r="Z242" i="1"/>
  <c r="AA242" i="1" s="1"/>
  <c r="X242" i="1"/>
  <c r="Y242" i="1" s="1"/>
  <c r="V242" i="1"/>
  <c r="W242" i="1" s="1"/>
  <c r="T242" i="1"/>
  <c r="U242" i="1" s="1"/>
  <c r="Q242" i="1"/>
  <c r="AZ241" i="1"/>
  <c r="BA241" i="1" s="1"/>
  <c r="AX241" i="1"/>
  <c r="AY241" i="1" s="1"/>
  <c r="AV241" i="1"/>
  <c r="AW241" i="1" s="1"/>
  <c r="AT241" i="1"/>
  <c r="AU241" i="1" s="1"/>
  <c r="AR241" i="1"/>
  <c r="AS241" i="1" s="1"/>
  <c r="AP241" i="1"/>
  <c r="AQ241" i="1" s="1"/>
  <c r="AN241" i="1"/>
  <c r="AO241" i="1" s="1"/>
  <c r="AL241" i="1"/>
  <c r="AM241" i="1" s="1"/>
  <c r="AJ241" i="1"/>
  <c r="AK241" i="1" s="1"/>
  <c r="AH241" i="1"/>
  <c r="AI241" i="1" s="1"/>
  <c r="AF241" i="1"/>
  <c r="AG241" i="1" s="1"/>
  <c r="AD241" i="1"/>
  <c r="AE241" i="1" s="1"/>
  <c r="AB241" i="1"/>
  <c r="AC241" i="1" s="1"/>
  <c r="Z241" i="1"/>
  <c r="AA241" i="1" s="1"/>
  <c r="X241" i="1"/>
  <c r="Y241" i="1" s="1"/>
  <c r="V241" i="1"/>
  <c r="W241" i="1" s="1"/>
  <c r="T241" i="1"/>
  <c r="U241" i="1" s="1"/>
  <c r="Q241" i="1"/>
  <c r="AZ240" i="1"/>
  <c r="BA240" i="1" s="1"/>
  <c r="AX240" i="1"/>
  <c r="AY240" i="1" s="1"/>
  <c r="AV240" i="1"/>
  <c r="AW240" i="1" s="1"/>
  <c r="AT240" i="1"/>
  <c r="AU240" i="1" s="1"/>
  <c r="AR240" i="1"/>
  <c r="AS240" i="1" s="1"/>
  <c r="AP240" i="1"/>
  <c r="AQ240" i="1" s="1"/>
  <c r="AN240" i="1"/>
  <c r="AO240" i="1" s="1"/>
  <c r="AL240" i="1"/>
  <c r="AM240" i="1" s="1"/>
  <c r="AJ240" i="1"/>
  <c r="AK240" i="1" s="1"/>
  <c r="AH240" i="1"/>
  <c r="AI240" i="1" s="1"/>
  <c r="AF240" i="1"/>
  <c r="AG240" i="1" s="1"/>
  <c r="AD240" i="1"/>
  <c r="AE240" i="1" s="1"/>
  <c r="AB240" i="1"/>
  <c r="AC240" i="1" s="1"/>
  <c r="Z240" i="1"/>
  <c r="AA240" i="1" s="1"/>
  <c r="X240" i="1"/>
  <c r="Y240" i="1" s="1"/>
  <c r="V240" i="1"/>
  <c r="W240" i="1" s="1"/>
  <c r="T240" i="1"/>
  <c r="Q240" i="1"/>
  <c r="AZ239" i="1"/>
  <c r="BA239" i="1" s="1"/>
  <c r="AX239" i="1"/>
  <c r="AY239" i="1" s="1"/>
  <c r="AV239" i="1"/>
  <c r="AW239" i="1" s="1"/>
  <c r="AT239" i="1"/>
  <c r="AU239" i="1" s="1"/>
  <c r="AR239" i="1"/>
  <c r="AS239" i="1" s="1"/>
  <c r="AP239" i="1"/>
  <c r="AQ239" i="1" s="1"/>
  <c r="AN239" i="1"/>
  <c r="AO239" i="1" s="1"/>
  <c r="AL239" i="1"/>
  <c r="AM239" i="1" s="1"/>
  <c r="AJ239" i="1"/>
  <c r="AK239" i="1" s="1"/>
  <c r="AH239" i="1"/>
  <c r="AI239" i="1" s="1"/>
  <c r="AF239" i="1"/>
  <c r="AG239" i="1" s="1"/>
  <c r="AD239" i="1"/>
  <c r="AE239" i="1" s="1"/>
  <c r="AB239" i="1"/>
  <c r="AC239" i="1" s="1"/>
  <c r="Z239" i="1"/>
  <c r="AA239" i="1" s="1"/>
  <c r="X239" i="1"/>
  <c r="Y239" i="1" s="1"/>
  <c r="V239" i="1"/>
  <c r="W239" i="1" s="1"/>
  <c r="T239" i="1"/>
  <c r="U239" i="1" s="1"/>
  <c r="Q239" i="1"/>
  <c r="AZ238" i="1"/>
  <c r="BA238" i="1" s="1"/>
  <c r="AX238" i="1"/>
  <c r="AY238" i="1" s="1"/>
  <c r="AV238" i="1"/>
  <c r="AW238" i="1" s="1"/>
  <c r="AT238" i="1"/>
  <c r="AU238" i="1" s="1"/>
  <c r="AR238" i="1"/>
  <c r="AS238" i="1" s="1"/>
  <c r="AP238" i="1"/>
  <c r="AQ238" i="1" s="1"/>
  <c r="AN238" i="1"/>
  <c r="AO238" i="1" s="1"/>
  <c r="AL238" i="1"/>
  <c r="AM238" i="1" s="1"/>
  <c r="AJ238" i="1"/>
  <c r="AK238" i="1" s="1"/>
  <c r="AH238" i="1"/>
  <c r="AI238" i="1" s="1"/>
  <c r="AF238" i="1"/>
  <c r="AG238" i="1" s="1"/>
  <c r="AD238" i="1"/>
  <c r="AE238" i="1" s="1"/>
  <c r="AB238" i="1"/>
  <c r="AC238" i="1" s="1"/>
  <c r="Z238" i="1"/>
  <c r="AA238" i="1" s="1"/>
  <c r="X238" i="1"/>
  <c r="Y238" i="1" s="1"/>
  <c r="V238" i="1"/>
  <c r="W238" i="1" s="1"/>
  <c r="T238" i="1"/>
  <c r="U238" i="1" s="1"/>
  <c r="Q238" i="1"/>
  <c r="AZ237" i="1"/>
  <c r="BA237" i="1" s="1"/>
  <c r="AX237" i="1"/>
  <c r="AY237" i="1" s="1"/>
  <c r="AV237" i="1"/>
  <c r="AW237" i="1" s="1"/>
  <c r="AT237" i="1"/>
  <c r="AU237" i="1" s="1"/>
  <c r="AR237" i="1"/>
  <c r="AS237" i="1" s="1"/>
  <c r="AP237" i="1"/>
  <c r="AQ237" i="1" s="1"/>
  <c r="AN237" i="1"/>
  <c r="AO237" i="1" s="1"/>
  <c r="AL237" i="1"/>
  <c r="AM237" i="1" s="1"/>
  <c r="AJ237" i="1"/>
  <c r="AK237" i="1" s="1"/>
  <c r="AH237" i="1"/>
  <c r="AI237" i="1" s="1"/>
  <c r="AF237" i="1"/>
  <c r="AG237" i="1" s="1"/>
  <c r="AD237" i="1"/>
  <c r="AE237" i="1" s="1"/>
  <c r="AB237" i="1"/>
  <c r="AC237" i="1" s="1"/>
  <c r="Z237" i="1"/>
  <c r="AA237" i="1" s="1"/>
  <c r="X237" i="1"/>
  <c r="Y237" i="1" s="1"/>
  <c r="V237" i="1"/>
  <c r="W237" i="1" s="1"/>
  <c r="T237" i="1"/>
  <c r="U237" i="1" s="1"/>
  <c r="Q237" i="1"/>
  <c r="AZ236" i="1"/>
  <c r="BA236" i="1" s="1"/>
  <c r="AX236" i="1"/>
  <c r="AY236" i="1" s="1"/>
  <c r="AV236" i="1"/>
  <c r="AW236" i="1" s="1"/>
  <c r="AT236" i="1"/>
  <c r="AU236" i="1" s="1"/>
  <c r="AR236" i="1"/>
  <c r="AS236" i="1" s="1"/>
  <c r="AP236" i="1"/>
  <c r="AQ236" i="1" s="1"/>
  <c r="AN236" i="1"/>
  <c r="AO236" i="1" s="1"/>
  <c r="AL236" i="1"/>
  <c r="AM236" i="1" s="1"/>
  <c r="AJ236" i="1"/>
  <c r="AK236" i="1" s="1"/>
  <c r="AH236" i="1"/>
  <c r="AI236" i="1" s="1"/>
  <c r="AF236" i="1"/>
  <c r="AG236" i="1" s="1"/>
  <c r="AD236" i="1"/>
  <c r="AE236" i="1" s="1"/>
  <c r="AB236" i="1"/>
  <c r="AC236" i="1" s="1"/>
  <c r="Z236" i="1"/>
  <c r="AA236" i="1" s="1"/>
  <c r="X236" i="1"/>
  <c r="Y236" i="1" s="1"/>
  <c r="V236" i="1"/>
  <c r="W236" i="1" s="1"/>
  <c r="T236" i="1"/>
  <c r="U236" i="1" s="1"/>
  <c r="Q236" i="1"/>
  <c r="AZ235" i="1"/>
  <c r="BA235" i="1" s="1"/>
  <c r="AX235" i="1"/>
  <c r="AY235" i="1" s="1"/>
  <c r="AV235" i="1"/>
  <c r="AW235" i="1" s="1"/>
  <c r="AT235" i="1"/>
  <c r="AU235" i="1" s="1"/>
  <c r="AR235" i="1"/>
  <c r="AS235" i="1" s="1"/>
  <c r="AP235" i="1"/>
  <c r="AQ235" i="1" s="1"/>
  <c r="AN235" i="1"/>
  <c r="AO235" i="1" s="1"/>
  <c r="AL235" i="1"/>
  <c r="AM235" i="1" s="1"/>
  <c r="AJ235" i="1"/>
  <c r="AK235" i="1" s="1"/>
  <c r="AH235" i="1"/>
  <c r="AI235" i="1" s="1"/>
  <c r="AF235" i="1"/>
  <c r="AG235" i="1" s="1"/>
  <c r="AD235" i="1"/>
  <c r="AE235" i="1" s="1"/>
  <c r="AB235" i="1"/>
  <c r="AC235" i="1" s="1"/>
  <c r="Z235" i="1"/>
  <c r="AA235" i="1" s="1"/>
  <c r="X235" i="1"/>
  <c r="Y235" i="1" s="1"/>
  <c r="V235" i="1"/>
  <c r="W235" i="1" s="1"/>
  <c r="T235" i="1"/>
  <c r="U235" i="1" s="1"/>
  <c r="Q235" i="1"/>
  <c r="AZ234" i="1"/>
  <c r="BA234" i="1" s="1"/>
  <c r="AX234" i="1"/>
  <c r="AY234" i="1" s="1"/>
  <c r="AV234" i="1"/>
  <c r="AW234" i="1" s="1"/>
  <c r="AT234" i="1"/>
  <c r="AU234" i="1" s="1"/>
  <c r="AR234" i="1"/>
  <c r="AS234" i="1" s="1"/>
  <c r="AP234" i="1"/>
  <c r="AQ234" i="1" s="1"/>
  <c r="AN234" i="1"/>
  <c r="AO234" i="1" s="1"/>
  <c r="AL234" i="1"/>
  <c r="AM234" i="1" s="1"/>
  <c r="AJ234" i="1"/>
  <c r="AK234" i="1" s="1"/>
  <c r="AH234" i="1"/>
  <c r="AI234" i="1" s="1"/>
  <c r="AF234" i="1"/>
  <c r="AG234" i="1" s="1"/>
  <c r="AD234" i="1"/>
  <c r="AE234" i="1" s="1"/>
  <c r="AB234" i="1"/>
  <c r="AC234" i="1" s="1"/>
  <c r="Z234" i="1"/>
  <c r="AA234" i="1" s="1"/>
  <c r="X234" i="1"/>
  <c r="Y234" i="1" s="1"/>
  <c r="V234" i="1"/>
  <c r="W234" i="1" s="1"/>
  <c r="T234" i="1"/>
  <c r="U234" i="1" s="1"/>
  <c r="Q234" i="1"/>
  <c r="AZ233" i="1"/>
  <c r="BA233" i="1" s="1"/>
  <c r="AX233" i="1"/>
  <c r="AY233" i="1" s="1"/>
  <c r="AV233" i="1"/>
  <c r="AW233" i="1" s="1"/>
  <c r="AT233" i="1"/>
  <c r="AU233" i="1" s="1"/>
  <c r="AR233" i="1"/>
  <c r="AS233" i="1" s="1"/>
  <c r="AP233" i="1"/>
  <c r="AQ233" i="1" s="1"/>
  <c r="AN233" i="1"/>
  <c r="AO233" i="1" s="1"/>
  <c r="AL233" i="1"/>
  <c r="AM233" i="1" s="1"/>
  <c r="AJ233" i="1"/>
  <c r="AK233" i="1" s="1"/>
  <c r="AH233" i="1"/>
  <c r="AI233" i="1" s="1"/>
  <c r="AF233" i="1"/>
  <c r="AG233" i="1" s="1"/>
  <c r="AD233" i="1"/>
  <c r="AE233" i="1" s="1"/>
  <c r="AB233" i="1"/>
  <c r="AC233" i="1" s="1"/>
  <c r="Z233" i="1"/>
  <c r="AA233" i="1" s="1"/>
  <c r="X233" i="1"/>
  <c r="Y233" i="1" s="1"/>
  <c r="V233" i="1"/>
  <c r="W233" i="1" s="1"/>
  <c r="T233" i="1"/>
  <c r="U233" i="1" s="1"/>
  <c r="Q233" i="1"/>
  <c r="AZ232" i="1"/>
  <c r="BA232" i="1" s="1"/>
  <c r="AX232" i="1"/>
  <c r="AY232" i="1" s="1"/>
  <c r="AV232" i="1"/>
  <c r="AW232" i="1" s="1"/>
  <c r="AT232" i="1"/>
  <c r="AU232" i="1" s="1"/>
  <c r="AR232" i="1"/>
  <c r="AS232" i="1" s="1"/>
  <c r="AP232" i="1"/>
  <c r="AQ232" i="1" s="1"/>
  <c r="AN232" i="1"/>
  <c r="AO232" i="1" s="1"/>
  <c r="AL232" i="1"/>
  <c r="AM232" i="1" s="1"/>
  <c r="AJ232" i="1"/>
  <c r="AK232" i="1" s="1"/>
  <c r="AH232" i="1"/>
  <c r="AI232" i="1" s="1"/>
  <c r="AF232" i="1"/>
  <c r="AG232" i="1" s="1"/>
  <c r="AD232" i="1"/>
  <c r="AE232" i="1" s="1"/>
  <c r="AB232" i="1"/>
  <c r="AC232" i="1" s="1"/>
  <c r="Z232" i="1"/>
  <c r="AA232" i="1" s="1"/>
  <c r="X232" i="1"/>
  <c r="Y232" i="1" s="1"/>
  <c r="V232" i="1"/>
  <c r="W232" i="1" s="1"/>
  <c r="T232" i="1"/>
  <c r="U232" i="1" s="1"/>
  <c r="Q232" i="1"/>
  <c r="AZ231" i="1"/>
  <c r="BA231" i="1" s="1"/>
  <c r="AX231" i="1"/>
  <c r="AY231" i="1" s="1"/>
  <c r="AV231" i="1"/>
  <c r="AW231" i="1" s="1"/>
  <c r="AT231" i="1"/>
  <c r="AU231" i="1" s="1"/>
  <c r="AR231" i="1"/>
  <c r="AS231" i="1" s="1"/>
  <c r="AP231" i="1"/>
  <c r="AQ231" i="1" s="1"/>
  <c r="AN231" i="1"/>
  <c r="AO231" i="1" s="1"/>
  <c r="AL231" i="1"/>
  <c r="AM231" i="1" s="1"/>
  <c r="AJ231" i="1"/>
  <c r="AK231" i="1" s="1"/>
  <c r="AH231" i="1"/>
  <c r="AI231" i="1" s="1"/>
  <c r="AF231" i="1"/>
  <c r="AG231" i="1" s="1"/>
  <c r="AD231" i="1"/>
  <c r="AE231" i="1" s="1"/>
  <c r="AB231" i="1"/>
  <c r="AC231" i="1" s="1"/>
  <c r="Z231" i="1"/>
  <c r="AA231" i="1" s="1"/>
  <c r="X231" i="1"/>
  <c r="Y231" i="1" s="1"/>
  <c r="V231" i="1"/>
  <c r="W231" i="1" s="1"/>
  <c r="T231" i="1"/>
  <c r="U231" i="1" s="1"/>
  <c r="Q231" i="1"/>
  <c r="AZ230" i="1"/>
  <c r="BA230" i="1" s="1"/>
  <c r="AX230" i="1"/>
  <c r="AY230" i="1" s="1"/>
  <c r="AV230" i="1"/>
  <c r="AW230" i="1" s="1"/>
  <c r="AT230" i="1"/>
  <c r="AU230" i="1" s="1"/>
  <c r="AR230" i="1"/>
  <c r="AS230" i="1" s="1"/>
  <c r="AP230" i="1"/>
  <c r="AQ230" i="1" s="1"/>
  <c r="AN230" i="1"/>
  <c r="AO230" i="1" s="1"/>
  <c r="AL230" i="1"/>
  <c r="AM230" i="1" s="1"/>
  <c r="AJ230" i="1"/>
  <c r="AK230" i="1" s="1"/>
  <c r="AH230" i="1"/>
  <c r="AI230" i="1" s="1"/>
  <c r="AF230" i="1"/>
  <c r="AG230" i="1" s="1"/>
  <c r="AD230" i="1"/>
  <c r="AE230" i="1" s="1"/>
  <c r="AB230" i="1"/>
  <c r="AC230" i="1" s="1"/>
  <c r="Z230" i="1"/>
  <c r="AA230" i="1" s="1"/>
  <c r="X230" i="1"/>
  <c r="Y230" i="1" s="1"/>
  <c r="V230" i="1"/>
  <c r="W230" i="1" s="1"/>
  <c r="T230" i="1"/>
  <c r="U230" i="1" s="1"/>
  <c r="Q230" i="1"/>
  <c r="AZ229" i="1"/>
  <c r="BA229" i="1" s="1"/>
  <c r="AX229" i="1"/>
  <c r="AY229" i="1" s="1"/>
  <c r="AV229" i="1"/>
  <c r="AW229" i="1" s="1"/>
  <c r="AT229" i="1"/>
  <c r="AU229" i="1" s="1"/>
  <c r="AR229" i="1"/>
  <c r="AS229" i="1" s="1"/>
  <c r="AP229" i="1"/>
  <c r="AQ229" i="1" s="1"/>
  <c r="AN229" i="1"/>
  <c r="AO229" i="1" s="1"/>
  <c r="AL229" i="1"/>
  <c r="AM229" i="1" s="1"/>
  <c r="AJ229" i="1"/>
  <c r="AK229" i="1" s="1"/>
  <c r="AH229" i="1"/>
  <c r="AI229" i="1" s="1"/>
  <c r="AF229" i="1"/>
  <c r="AG229" i="1" s="1"/>
  <c r="AD229" i="1"/>
  <c r="AE229" i="1" s="1"/>
  <c r="AB229" i="1"/>
  <c r="AC229" i="1" s="1"/>
  <c r="Z229" i="1"/>
  <c r="AA229" i="1" s="1"/>
  <c r="X229" i="1"/>
  <c r="Y229" i="1" s="1"/>
  <c r="V229" i="1"/>
  <c r="W229" i="1" s="1"/>
  <c r="T229" i="1"/>
  <c r="U229" i="1" s="1"/>
  <c r="Q229" i="1"/>
  <c r="AZ227" i="1"/>
  <c r="BA227" i="1" s="1"/>
  <c r="AX227" i="1"/>
  <c r="AY227" i="1" s="1"/>
  <c r="AV227" i="1"/>
  <c r="AW227" i="1" s="1"/>
  <c r="AT227" i="1"/>
  <c r="AU227" i="1" s="1"/>
  <c r="AR227" i="1"/>
  <c r="AS227" i="1" s="1"/>
  <c r="AP227" i="1"/>
  <c r="AQ227" i="1" s="1"/>
  <c r="AN227" i="1"/>
  <c r="AO227" i="1" s="1"/>
  <c r="AL227" i="1"/>
  <c r="AM227" i="1" s="1"/>
  <c r="AJ227" i="1"/>
  <c r="AK227" i="1" s="1"/>
  <c r="AH227" i="1"/>
  <c r="AI227" i="1" s="1"/>
  <c r="AF227" i="1"/>
  <c r="AG227" i="1" s="1"/>
  <c r="AD227" i="1"/>
  <c r="AE227" i="1" s="1"/>
  <c r="AB227" i="1"/>
  <c r="AC227" i="1" s="1"/>
  <c r="Z227" i="1"/>
  <c r="AA227" i="1" s="1"/>
  <c r="X227" i="1"/>
  <c r="Y227" i="1" s="1"/>
  <c r="V227" i="1"/>
  <c r="W227" i="1" s="1"/>
  <c r="T227" i="1"/>
  <c r="U227" i="1" s="1"/>
  <c r="Q227" i="1"/>
  <c r="AZ226" i="1"/>
  <c r="BA226" i="1" s="1"/>
  <c r="AX226" i="1"/>
  <c r="AY226" i="1" s="1"/>
  <c r="AV226" i="1"/>
  <c r="AW226" i="1" s="1"/>
  <c r="AT226" i="1"/>
  <c r="AU226" i="1" s="1"/>
  <c r="AR226" i="1"/>
  <c r="AS226" i="1" s="1"/>
  <c r="AP226" i="1"/>
  <c r="AQ226" i="1" s="1"/>
  <c r="AN226" i="1"/>
  <c r="AO226" i="1" s="1"/>
  <c r="AL226" i="1"/>
  <c r="AM226" i="1" s="1"/>
  <c r="AJ226" i="1"/>
  <c r="AK226" i="1" s="1"/>
  <c r="AH226" i="1"/>
  <c r="AI226" i="1" s="1"/>
  <c r="AF226" i="1"/>
  <c r="AG226" i="1" s="1"/>
  <c r="AD226" i="1"/>
  <c r="AE226" i="1" s="1"/>
  <c r="AB226" i="1"/>
  <c r="AC226" i="1" s="1"/>
  <c r="Z226" i="1"/>
  <c r="AA226" i="1" s="1"/>
  <c r="X226" i="1"/>
  <c r="Y226" i="1" s="1"/>
  <c r="V226" i="1"/>
  <c r="W226" i="1" s="1"/>
  <c r="T226" i="1"/>
  <c r="U226" i="1" s="1"/>
  <c r="Q226" i="1"/>
  <c r="AZ224" i="1"/>
  <c r="BA224" i="1" s="1"/>
  <c r="AX224" i="1"/>
  <c r="AY224" i="1" s="1"/>
  <c r="AV224" i="1"/>
  <c r="AW224" i="1" s="1"/>
  <c r="AT224" i="1"/>
  <c r="AU224" i="1" s="1"/>
  <c r="AR224" i="1"/>
  <c r="AS224" i="1" s="1"/>
  <c r="AP224" i="1"/>
  <c r="AQ224" i="1" s="1"/>
  <c r="AN224" i="1"/>
  <c r="AO224" i="1" s="1"/>
  <c r="AL224" i="1"/>
  <c r="AM224" i="1" s="1"/>
  <c r="AJ224" i="1"/>
  <c r="AK224" i="1" s="1"/>
  <c r="AH224" i="1"/>
  <c r="AI224" i="1" s="1"/>
  <c r="AF224" i="1"/>
  <c r="AG224" i="1" s="1"/>
  <c r="AD224" i="1"/>
  <c r="AE224" i="1" s="1"/>
  <c r="AB224" i="1"/>
  <c r="AC224" i="1" s="1"/>
  <c r="Z224" i="1"/>
  <c r="AA224" i="1" s="1"/>
  <c r="X224" i="1"/>
  <c r="Y224" i="1" s="1"/>
  <c r="V224" i="1"/>
  <c r="W224" i="1" s="1"/>
  <c r="T224" i="1"/>
  <c r="U224" i="1" s="1"/>
  <c r="Q224" i="1"/>
  <c r="AZ223" i="1"/>
  <c r="BA223" i="1" s="1"/>
  <c r="AX223" i="1"/>
  <c r="AY223" i="1" s="1"/>
  <c r="AV223" i="1"/>
  <c r="AW223" i="1" s="1"/>
  <c r="AT223" i="1"/>
  <c r="AU223" i="1" s="1"/>
  <c r="AR223" i="1"/>
  <c r="AS223" i="1" s="1"/>
  <c r="AP223" i="1"/>
  <c r="AQ223" i="1" s="1"/>
  <c r="AN223" i="1"/>
  <c r="AO223" i="1" s="1"/>
  <c r="AL223" i="1"/>
  <c r="AM223" i="1" s="1"/>
  <c r="AJ223" i="1"/>
  <c r="AK223" i="1" s="1"/>
  <c r="AH223" i="1"/>
  <c r="AI223" i="1" s="1"/>
  <c r="AF223" i="1"/>
  <c r="AG223" i="1" s="1"/>
  <c r="AD223" i="1"/>
  <c r="AE223" i="1" s="1"/>
  <c r="AB223" i="1"/>
  <c r="AC223" i="1" s="1"/>
  <c r="Z223" i="1"/>
  <c r="AA223" i="1" s="1"/>
  <c r="X223" i="1"/>
  <c r="Y223" i="1" s="1"/>
  <c r="V223" i="1"/>
  <c r="W223" i="1" s="1"/>
  <c r="T223" i="1"/>
  <c r="U223" i="1" s="1"/>
  <c r="Q223" i="1"/>
  <c r="AZ222" i="1"/>
  <c r="BA222" i="1" s="1"/>
  <c r="AX222" i="1"/>
  <c r="AY222" i="1" s="1"/>
  <c r="AV222" i="1"/>
  <c r="AW222" i="1" s="1"/>
  <c r="AT222" i="1"/>
  <c r="AU222" i="1" s="1"/>
  <c r="AR222" i="1"/>
  <c r="AS222" i="1" s="1"/>
  <c r="AP222" i="1"/>
  <c r="AQ222" i="1" s="1"/>
  <c r="AN222" i="1"/>
  <c r="AO222" i="1" s="1"/>
  <c r="AL222" i="1"/>
  <c r="AM222" i="1" s="1"/>
  <c r="AJ222" i="1"/>
  <c r="AK222" i="1" s="1"/>
  <c r="AH222" i="1"/>
  <c r="AI222" i="1" s="1"/>
  <c r="AF222" i="1"/>
  <c r="AG222" i="1" s="1"/>
  <c r="AD222" i="1"/>
  <c r="AE222" i="1" s="1"/>
  <c r="AB222" i="1"/>
  <c r="AC222" i="1" s="1"/>
  <c r="Z222" i="1"/>
  <c r="AA222" i="1" s="1"/>
  <c r="X222" i="1"/>
  <c r="Y222" i="1" s="1"/>
  <c r="V222" i="1"/>
  <c r="W222" i="1" s="1"/>
  <c r="T222" i="1"/>
  <c r="U222" i="1" s="1"/>
  <c r="Q222" i="1"/>
  <c r="AZ221" i="1"/>
  <c r="BA221" i="1" s="1"/>
  <c r="AX221" i="1"/>
  <c r="AY221" i="1" s="1"/>
  <c r="AV221" i="1"/>
  <c r="AW221" i="1" s="1"/>
  <c r="AT221" i="1"/>
  <c r="AU221" i="1" s="1"/>
  <c r="AR221" i="1"/>
  <c r="AS221" i="1" s="1"/>
  <c r="AP221" i="1"/>
  <c r="AQ221" i="1" s="1"/>
  <c r="AN221" i="1"/>
  <c r="AO221" i="1" s="1"/>
  <c r="AL221" i="1"/>
  <c r="AM221" i="1" s="1"/>
  <c r="AJ221" i="1"/>
  <c r="AK221" i="1" s="1"/>
  <c r="AH221" i="1"/>
  <c r="AI221" i="1" s="1"/>
  <c r="AF221" i="1"/>
  <c r="AG221" i="1" s="1"/>
  <c r="AD221" i="1"/>
  <c r="AE221" i="1" s="1"/>
  <c r="AB221" i="1"/>
  <c r="AC221" i="1" s="1"/>
  <c r="Z221" i="1"/>
  <c r="AA221" i="1" s="1"/>
  <c r="X221" i="1"/>
  <c r="Y221" i="1" s="1"/>
  <c r="V221" i="1"/>
  <c r="W221" i="1" s="1"/>
  <c r="T221" i="1"/>
  <c r="U221" i="1" s="1"/>
  <c r="Q221" i="1"/>
  <c r="AZ220" i="1"/>
  <c r="BA220" i="1" s="1"/>
  <c r="AX220" i="1"/>
  <c r="AY220" i="1" s="1"/>
  <c r="AV220" i="1"/>
  <c r="AW220" i="1" s="1"/>
  <c r="AT220" i="1"/>
  <c r="AU220" i="1" s="1"/>
  <c r="AR220" i="1"/>
  <c r="AS220" i="1" s="1"/>
  <c r="AP220" i="1"/>
  <c r="AQ220" i="1" s="1"/>
  <c r="AN220" i="1"/>
  <c r="AO220" i="1" s="1"/>
  <c r="AL220" i="1"/>
  <c r="AM220" i="1" s="1"/>
  <c r="AJ220" i="1"/>
  <c r="AK220" i="1" s="1"/>
  <c r="AH220" i="1"/>
  <c r="AI220" i="1" s="1"/>
  <c r="AF220" i="1"/>
  <c r="AG220" i="1" s="1"/>
  <c r="AD220" i="1"/>
  <c r="AE220" i="1" s="1"/>
  <c r="AB220" i="1"/>
  <c r="AC220" i="1" s="1"/>
  <c r="Z220" i="1"/>
  <c r="AA220" i="1" s="1"/>
  <c r="X220" i="1"/>
  <c r="Y220" i="1" s="1"/>
  <c r="V220" i="1"/>
  <c r="W220" i="1" s="1"/>
  <c r="T220" i="1"/>
  <c r="U220" i="1" s="1"/>
  <c r="Q220" i="1"/>
  <c r="AZ219" i="1"/>
  <c r="BA219" i="1" s="1"/>
  <c r="AX219" i="1"/>
  <c r="AY219" i="1" s="1"/>
  <c r="AV219" i="1"/>
  <c r="AW219" i="1" s="1"/>
  <c r="AT219" i="1"/>
  <c r="AU219" i="1" s="1"/>
  <c r="AR219" i="1"/>
  <c r="AS219" i="1" s="1"/>
  <c r="AP219" i="1"/>
  <c r="AQ219" i="1" s="1"/>
  <c r="AN219" i="1"/>
  <c r="AO219" i="1" s="1"/>
  <c r="AL219" i="1"/>
  <c r="AM219" i="1" s="1"/>
  <c r="AJ219" i="1"/>
  <c r="AK219" i="1" s="1"/>
  <c r="AH219" i="1"/>
  <c r="AI219" i="1" s="1"/>
  <c r="AF219" i="1"/>
  <c r="AG219" i="1" s="1"/>
  <c r="AD219" i="1"/>
  <c r="AE219" i="1" s="1"/>
  <c r="AB219" i="1"/>
  <c r="Z219" i="1"/>
  <c r="AA219" i="1" s="1"/>
  <c r="X219" i="1"/>
  <c r="Y219" i="1" s="1"/>
  <c r="V219" i="1"/>
  <c r="W219" i="1" s="1"/>
  <c r="T219" i="1"/>
  <c r="U219" i="1" s="1"/>
  <c r="Q219" i="1"/>
  <c r="AZ218" i="1"/>
  <c r="BA218" i="1" s="1"/>
  <c r="AX218" i="1"/>
  <c r="AY218" i="1" s="1"/>
  <c r="AV218" i="1"/>
  <c r="AW218" i="1" s="1"/>
  <c r="AT218" i="1"/>
  <c r="AU218" i="1" s="1"/>
  <c r="AR218" i="1"/>
  <c r="AS218" i="1" s="1"/>
  <c r="AP218" i="1"/>
  <c r="AQ218" i="1" s="1"/>
  <c r="AN218" i="1"/>
  <c r="AO218" i="1" s="1"/>
  <c r="AL218" i="1"/>
  <c r="AM218" i="1" s="1"/>
  <c r="AJ218" i="1"/>
  <c r="AK218" i="1" s="1"/>
  <c r="AH218" i="1"/>
  <c r="AI218" i="1" s="1"/>
  <c r="AF218" i="1"/>
  <c r="AG218" i="1" s="1"/>
  <c r="AD218" i="1"/>
  <c r="AE218" i="1" s="1"/>
  <c r="AB218" i="1"/>
  <c r="AC218" i="1" s="1"/>
  <c r="Z218" i="1"/>
  <c r="AA218" i="1" s="1"/>
  <c r="X218" i="1"/>
  <c r="Y218" i="1" s="1"/>
  <c r="V218" i="1"/>
  <c r="W218" i="1" s="1"/>
  <c r="T218" i="1"/>
  <c r="U218" i="1" s="1"/>
  <c r="Q218" i="1"/>
  <c r="AZ216" i="1"/>
  <c r="BA216" i="1" s="1"/>
  <c r="AX216" i="1"/>
  <c r="AY216" i="1" s="1"/>
  <c r="AV216" i="1"/>
  <c r="AW216" i="1" s="1"/>
  <c r="AT216" i="1"/>
  <c r="AU216" i="1" s="1"/>
  <c r="AR216" i="1"/>
  <c r="AS216" i="1" s="1"/>
  <c r="AP216" i="1"/>
  <c r="AQ216" i="1" s="1"/>
  <c r="AN216" i="1"/>
  <c r="AO216" i="1" s="1"/>
  <c r="AL216" i="1"/>
  <c r="AM216" i="1" s="1"/>
  <c r="AJ216" i="1"/>
  <c r="AK216" i="1" s="1"/>
  <c r="AH216" i="1"/>
  <c r="AI216" i="1" s="1"/>
  <c r="AF216" i="1"/>
  <c r="AG216" i="1" s="1"/>
  <c r="AD216" i="1"/>
  <c r="AE216" i="1" s="1"/>
  <c r="AB216" i="1"/>
  <c r="AC216" i="1" s="1"/>
  <c r="Z216" i="1"/>
  <c r="AA216" i="1" s="1"/>
  <c r="X216" i="1"/>
  <c r="Y216" i="1" s="1"/>
  <c r="V216" i="1"/>
  <c r="W216" i="1" s="1"/>
  <c r="T216" i="1"/>
  <c r="U216" i="1" s="1"/>
  <c r="Q216" i="1"/>
  <c r="AZ215" i="1"/>
  <c r="BA215" i="1" s="1"/>
  <c r="AX215" i="1"/>
  <c r="AY215" i="1" s="1"/>
  <c r="AV215" i="1"/>
  <c r="AW215" i="1" s="1"/>
  <c r="AT215" i="1"/>
  <c r="AU215" i="1" s="1"/>
  <c r="AR215" i="1"/>
  <c r="AS215" i="1" s="1"/>
  <c r="AP215" i="1"/>
  <c r="AQ215" i="1" s="1"/>
  <c r="AN215" i="1"/>
  <c r="AO215" i="1" s="1"/>
  <c r="AL215" i="1"/>
  <c r="AM215" i="1" s="1"/>
  <c r="AJ215" i="1"/>
  <c r="AK215" i="1" s="1"/>
  <c r="AH215" i="1"/>
  <c r="AI215" i="1" s="1"/>
  <c r="AF215" i="1"/>
  <c r="AG215" i="1" s="1"/>
  <c r="AD215" i="1"/>
  <c r="AE215" i="1" s="1"/>
  <c r="AB215" i="1"/>
  <c r="AC215" i="1" s="1"/>
  <c r="Z215" i="1"/>
  <c r="AA215" i="1" s="1"/>
  <c r="X215" i="1"/>
  <c r="Y215" i="1" s="1"/>
  <c r="V215" i="1"/>
  <c r="W215" i="1" s="1"/>
  <c r="T215" i="1"/>
  <c r="U215" i="1" s="1"/>
  <c r="Q215" i="1"/>
  <c r="AZ212" i="1"/>
  <c r="BA212" i="1" s="1"/>
  <c r="AX212" i="1"/>
  <c r="AY212" i="1" s="1"/>
  <c r="AY211" i="1" s="1"/>
  <c r="AY210" i="1" s="1"/>
  <c r="AV212" i="1"/>
  <c r="AW212" i="1" s="1"/>
  <c r="AT212" i="1"/>
  <c r="AU212" i="1" s="1"/>
  <c r="AU211" i="1" s="1"/>
  <c r="AU210" i="1" s="1"/>
  <c r="AR212" i="1"/>
  <c r="AS212" i="1" s="1"/>
  <c r="AS211" i="1" s="1"/>
  <c r="AS210" i="1" s="1"/>
  <c r="AP212" i="1"/>
  <c r="AQ212" i="1" s="1"/>
  <c r="AQ211" i="1" s="1"/>
  <c r="AQ210" i="1" s="1"/>
  <c r="AN212" i="1"/>
  <c r="AO212" i="1" s="1"/>
  <c r="AO211" i="1" s="1"/>
  <c r="AO210" i="1" s="1"/>
  <c r="AL212" i="1"/>
  <c r="AM212" i="1" s="1"/>
  <c r="AM211" i="1" s="1"/>
  <c r="AM210" i="1" s="1"/>
  <c r="AJ212" i="1"/>
  <c r="AK212" i="1" s="1"/>
  <c r="AH212" i="1"/>
  <c r="AI212" i="1" s="1"/>
  <c r="AI211" i="1" s="1"/>
  <c r="AI210" i="1" s="1"/>
  <c r="AF212" i="1"/>
  <c r="AG212" i="1" s="1"/>
  <c r="AD212" i="1"/>
  <c r="AE212" i="1" s="1"/>
  <c r="AE211" i="1" s="1"/>
  <c r="AE210" i="1" s="1"/>
  <c r="AB212" i="1"/>
  <c r="AC212" i="1" s="1"/>
  <c r="Z212" i="1"/>
  <c r="AA212" i="1" s="1"/>
  <c r="X212" i="1"/>
  <c r="Y212" i="1" s="1"/>
  <c r="V212" i="1"/>
  <c r="W212" i="1" s="1"/>
  <c r="W211" i="1" s="1"/>
  <c r="W210" i="1" s="1"/>
  <c r="T212" i="1"/>
  <c r="U212" i="1" s="1"/>
  <c r="Q212" i="1"/>
  <c r="O1867" i="3" s="1"/>
  <c r="AZ209" i="1"/>
  <c r="BA209" i="1" s="1"/>
  <c r="AX209" i="1"/>
  <c r="AY209" i="1" s="1"/>
  <c r="AV209" i="1"/>
  <c r="AW209" i="1" s="1"/>
  <c r="AT209" i="1"/>
  <c r="AU209" i="1" s="1"/>
  <c r="AR209" i="1"/>
  <c r="AS209" i="1" s="1"/>
  <c r="AP209" i="1"/>
  <c r="AQ209" i="1" s="1"/>
  <c r="AN209" i="1"/>
  <c r="AO209" i="1" s="1"/>
  <c r="AL209" i="1"/>
  <c r="AM209" i="1" s="1"/>
  <c r="AJ209" i="1"/>
  <c r="AK209" i="1" s="1"/>
  <c r="AH209" i="1"/>
  <c r="AI209" i="1" s="1"/>
  <c r="AF209" i="1"/>
  <c r="AG209" i="1" s="1"/>
  <c r="AD209" i="1"/>
  <c r="AE209" i="1" s="1"/>
  <c r="AB209" i="1"/>
  <c r="AC209" i="1" s="1"/>
  <c r="Z209" i="1"/>
  <c r="AA209" i="1" s="1"/>
  <c r="X209" i="1"/>
  <c r="Y209" i="1" s="1"/>
  <c r="V209" i="1"/>
  <c r="W209" i="1" s="1"/>
  <c r="T209" i="1"/>
  <c r="U209" i="1" s="1"/>
  <c r="Q209" i="1"/>
  <c r="AZ208" i="1"/>
  <c r="BA208" i="1" s="1"/>
  <c r="AX208" i="1"/>
  <c r="AY208" i="1" s="1"/>
  <c r="AV208" i="1"/>
  <c r="AW208" i="1" s="1"/>
  <c r="AT208" i="1"/>
  <c r="AU208" i="1" s="1"/>
  <c r="AR208" i="1"/>
  <c r="AS208" i="1" s="1"/>
  <c r="AP208" i="1"/>
  <c r="AQ208" i="1" s="1"/>
  <c r="AN208" i="1"/>
  <c r="AO208" i="1" s="1"/>
  <c r="AL208" i="1"/>
  <c r="AM208" i="1" s="1"/>
  <c r="AJ208" i="1"/>
  <c r="AK208" i="1" s="1"/>
  <c r="AH208" i="1"/>
  <c r="AI208" i="1" s="1"/>
  <c r="AF208" i="1"/>
  <c r="AG208" i="1" s="1"/>
  <c r="AD208" i="1"/>
  <c r="AE208" i="1" s="1"/>
  <c r="AB208" i="1"/>
  <c r="AC208" i="1" s="1"/>
  <c r="Z208" i="1"/>
  <c r="AA208" i="1" s="1"/>
  <c r="X208" i="1"/>
  <c r="Y208" i="1" s="1"/>
  <c r="V208" i="1"/>
  <c r="W208" i="1" s="1"/>
  <c r="T208" i="1"/>
  <c r="U208" i="1" s="1"/>
  <c r="Q208" i="1"/>
  <c r="AZ205" i="1"/>
  <c r="BA205" i="1" s="1"/>
  <c r="BA204" i="1" s="1"/>
  <c r="BA203" i="1" s="1"/>
  <c r="AX205" i="1"/>
  <c r="AY205" i="1" s="1"/>
  <c r="AY204" i="1" s="1"/>
  <c r="AY203" i="1" s="1"/>
  <c r="AV205" i="1"/>
  <c r="AW205" i="1" s="1"/>
  <c r="AW204" i="1" s="1"/>
  <c r="AW203" i="1" s="1"/>
  <c r="AT205" i="1"/>
  <c r="AU205" i="1" s="1"/>
  <c r="AU204" i="1" s="1"/>
  <c r="AU203" i="1" s="1"/>
  <c r="AR205" i="1"/>
  <c r="AS205" i="1" s="1"/>
  <c r="AS204" i="1" s="1"/>
  <c r="AS203" i="1" s="1"/>
  <c r="AP205" i="1"/>
  <c r="AQ205" i="1" s="1"/>
  <c r="AQ204" i="1" s="1"/>
  <c r="AQ203" i="1" s="1"/>
  <c r="AN205" i="1"/>
  <c r="AO205" i="1" s="1"/>
  <c r="AO204" i="1" s="1"/>
  <c r="AO203" i="1" s="1"/>
  <c r="AL205" i="1"/>
  <c r="AM205" i="1" s="1"/>
  <c r="AM204" i="1" s="1"/>
  <c r="AM203" i="1" s="1"/>
  <c r="AJ205" i="1"/>
  <c r="AK205" i="1" s="1"/>
  <c r="AK204" i="1" s="1"/>
  <c r="AK203" i="1" s="1"/>
  <c r="AH205" i="1"/>
  <c r="AI205" i="1" s="1"/>
  <c r="AI204" i="1" s="1"/>
  <c r="AI203" i="1" s="1"/>
  <c r="AF205" i="1"/>
  <c r="AG205" i="1" s="1"/>
  <c r="AG204" i="1" s="1"/>
  <c r="AG203" i="1" s="1"/>
  <c r="AD205" i="1"/>
  <c r="AE205" i="1" s="1"/>
  <c r="AE204" i="1" s="1"/>
  <c r="AE203" i="1" s="1"/>
  <c r="AB205" i="1"/>
  <c r="AC205" i="1" s="1"/>
  <c r="AC204" i="1" s="1"/>
  <c r="AC203" i="1" s="1"/>
  <c r="Z205" i="1"/>
  <c r="AA205" i="1" s="1"/>
  <c r="AA204" i="1" s="1"/>
  <c r="AA203" i="1" s="1"/>
  <c r="X205" i="1"/>
  <c r="Y205" i="1" s="1"/>
  <c r="Y204" i="1" s="1"/>
  <c r="Y203" i="1" s="1"/>
  <c r="V205" i="1"/>
  <c r="W205" i="1" s="1"/>
  <c r="W204" i="1" s="1"/>
  <c r="W203" i="1" s="1"/>
  <c r="T205" i="1"/>
  <c r="U205" i="1" s="1"/>
  <c r="U204" i="1" s="1"/>
  <c r="U203" i="1" s="1"/>
  <c r="Q205" i="1"/>
  <c r="Q204" i="1" s="1"/>
  <c r="Q203" i="1" s="1"/>
  <c r="AZ202" i="1"/>
  <c r="BA202" i="1" s="1"/>
  <c r="AX202" i="1"/>
  <c r="AY202" i="1" s="1"/>
  <c r="AV202" i="1"/>
  <c r="AW202" i="1" s="1"/>
  <c r="AT202" i="1"/>
  <c r="AU202" i="1" s="1"/>
  <c r="AR202" i="1"/>
  <c r="AS202" i="1" s="1"/>
  <c r="AP202" i="1"/>
  <c r="AQ202" i="1" s="1"/>
  <c r="AN202" i="1"/>
  <c r="AO202" i="1" s="1"/>
  <c r="AL202" i="1"/>
  <c r="AM202" i="1" s="1"/>
  <c r="AJ202" i="1"/>
  <c r="AK202" i="1" s="1"/>
  <c r="AH202" i="1"/>
  <c r="AI202" i="1" s="1"/>
  <c r="AF202" i="1"/>
  <c r="AG202" i="1" s="1"/>
  <c r="AD202" i="1"/>
  <c r="AE202" i="1" s="1"/>
  <c r="AB202" i="1"/>
  <c r="AC202" i="1" s="1"/>
  <c r="Z202" i="1"/>
  <c r="AA202" i="1" s="1"/>
  <c r="X202" i="1"/>
  <c r="Y202" i="1" s="1"/>
  <c r="V202" i="1"/>
  <c r="W202" i="1" s="1"/>
  <c r="T202" i="1"/>
  <c r="U202" i="1" s="1"/>
  <c r="Q202" i="1"/>
  <c r="AZ201" i="1"/>
  <c r="BA201" i="1" s="1"/>
  <c r="AX201" i="1"/>
  <c r="AY201" i="1" s="1"/>
  <c r="AV201" i="1"/>
  <c r="AW201" i="1" s="1"/>
  <c r="AT201" i="1"/>
  <c r="AU201" i="1" s="1"/>
  <c r="AR201" i="1"/>
  <c r="AS201" i="1" s="1"/>
  <c r="AP201" i="1"/>
  <c r="AQ201" i="1" s="1"/>
  <c r="AN201" i="1"/>
  <c r="AO201" i="1" s="1"/>
  <c r="AL201" i="1"/>
  <c r="AM201" i="1" s="1"/>
  <c r="AJ201" i="1"/>
  <c r="AK201" i="1" s="1"/>
  <c r="AH201" i="1"/>
  <c r="AI201" i="1" s="1"/>
  <c r="AF201" i="1"/>
  <c r="AG201" i="1" s="1"/>
  <c r="AD201" i="1"/>
  <c r="AE201" i="1" s="1"/>
  <c r="AB201" i="1"/>
  <c r="AC201" i="1" s="1"/>
  <c r="Z201" i="1"/>
  <c r="X201" i="1"/>
  <c r="Y201" i="1" s="1"/>
  <c r="V201" i="1"/>
  <c r="W201" i="1" s="1"/>
  <c r="T201" i="1"/>
  <c r="U201" i="1" s="1"/>
  <c r="Q201" i="1"/>
  <c r="AZ200" i="1"/>
  <c r="BA200" i="1" s="1"/>
  <c r="AX200" i="1"/>
  <c r="AY200" i="1" s="1"/>
  <c r="AV200" i="1"/>
  <c r="AW200" i="1" s="1"/>
  <c r="AT200" i="1"/>
  <c r="AU200" i="1" s="1"/>
  <c r="AR200" i="1"/>
  <c r="AS200" i="1" s="1"/>
  <c r="AP200" i="1"/>
  <c r="AQ200" i="1" s="1"/>
  <c r="AN200" i="1"/>
  <c r="AO200" i="1" s="1"/>
  <c r="AL200" i="1"/>
  <c r="AM200" i="1" s="1"/>
  <c r="AJ200" i="1"/>
  <c r="AK200" i="1" s="1"/>
  <c r="AH200" i="1"/>
  <c r="AI200" i="1" s="1"/>
  <c r="AF200" i="1"/>
  <c r="AG200" i="1" s="1"/>
  <c r="AD200" i="1"/>
  <c r="AE200" i="1" s="1"/>
  <c r="AB200" i="1"/>
  <c r="AC200" i="1" s="1"/>
  <c r="Z200" i="1"/>
  <c r="AA200" i="1" s="1"/>
  <c r="X200" i="1"/>
  <c r="Y200" i="1" s="1"/>
  <c r="V200" i="1"/>
  <c r="W200" i="1" s="1"/>
  <c r="T200" i="1"/>
  <c r="U200" i="1" s="1"/>
  <c r="Q200" i="1"/>
  <c r="AZ199" i="1"/>
  <c r="BA199" i="1" s="1"/>
  <c r="AX199" i="1"/>
  <c r="AY199" i="1" s="1"/>
  <c r="AV199" i="1"/>
  <c r="AW199" i="1" s="1"/>
  <c r="AT199" i="1"/>
  <c r="AU199" i="1" s="1"/>
  <c r="AR199" i="1"/>
  <c r="AS199" i="1" s="1"/>
  <c r="AP199" i="1"/>
  <c r="AQ199" i="1" s="1"/>
  <c r="AN199" i="1"/>
  <c r="AO199" i="1" s="1"/>
  <c r="AL199" i="1"/>
  <c r="AM199" i="1" s="1"/>
  <c r="AJ199" i="1"/>
  <c r="AK199" i="1" s="1"/>
  <c r="AH199" i="1"/>
  <c r="AI199" i="1" s="1"/>
  <c r="AF199" i="1"/>
  <c r="AG199" i="1" s="1"/>
  <c r="AD199" i="1"/>
  <c r="AE199" i="1" s="1"/>
  <c r="AB199" i="1"/>
  <c r="AC199" i="1" s="1"/>
  <c r="Z199" i="1"/>
  <c r="AA199" i="1" s="1"/>
  <c r="X199" i="1"/>
  <c r="Y199" i="1" s="1"/>
  <c r="V199" i="1"/>
  <c r="W199" i="1" s="1"/>
  <c r="T199" i="1"/>
  <c r="U199" i="1" s="1"/>
  <c r="Q199" i="1"/>
  <c r="AZ198" i="1"/>
  <c r="BA198" i="1" s="1"/>
  <c r="AX198" i="1"/>
  <c r="AY198" i="1" s="1"/>
  <c r="AV198" i="1"/>
  <c r="AW198" i="1" s="1"/>
  <c r="AT198" i="1"/>
  <c r="AU198" i="1" s="1"/>
  <c r="AR198" i="1"/>
  <c r="AS198" i="1" s="1"/>
  <c r="AP198" i="1"/>
  <c r="AQ198" i="1" s="1"/>
  <c r="AN198" i="1"/>
  <c r="AO198" i="1" s="1"/>
  <c r="AL198" i="1"/>
  <c r="AM198" i="1" s="1"/>
  <c r="AJ198" i="1"/>
  <c r="AK198" i="1" s="1"/>
  <c r="AH198" i="1"/>
  <c r="AI198" i="1" s="1"/>
  <c r="AF198" i="1"/>
  <c r="AG198" i="1" s="1"/>
  <c r="AD198" i="1"/>
  <c r="AE198" i="1" s="1"/>
  <c r="AB198" i="1"/>
  <c r="AC198" i="1" s="1"/>
  <c r="Z198" i="1"/>
  <c r="AA198" i="1" s="1"/>
  <c r="X198" i="1"/>
  <c r="Y198" i="1" s="1"/>
  <c r="V198" i="1"/>
  <c r="W198" i="1" s="1"/>
  <c r="T198" i="1"/>
  <c r="U198" i="1" s="1"/>
  <c r="Q198" i="1"/>
  <c r="AZ197" i="1"/>
  <c r="BA197" i="1" s="1"/>
  <c r="AX197" i="1"/>
  <c r="AY197" i="1" s="1"/>
  <c r="AV197" i="1"/>
  <c r="AW197" i="1" s="1"/>
  <c r="AT197" i="1"/>
  <c r="AU197" i="1" s="1"/>
  <c r="AR197" i="1"/>
  <c r="AS197" i="1" s="1"/>
  <c r="AP197" i="1"/>
  <c r="AQ197" i="1" s="1"/>
  <c r="AN197" i="1"/>
  <c r="AO197" i="1" s="1"/>
  <c r="AL197" i="1"/>
  <c r="AM197" i="1" s="1"/>
  <c r="AJ197" i="1"/>
  <c r="AK197" i="1" s="1"/>
  <c r="AH197" i="1"/>
  <c r="AI197" i="1" s="1"/>
  <c r="AF197" i="1"/>
  <c r="AG197" i="1" s="1"/>
  <c r="AD197" i="1"/>
  <c r="AE197" i="1" s="1"/>
  <c r="AB197" i="1"/>
  <c r="AC197" i="1" s="1"/>
  <c r="Z197" i="1"/>
  <c r="AA197" i="1" s="1"/>
  <c r="X197" i="1"/>
  <c r="Y197" i="1" s="1"/>
  <c r="V197" i="1"/>
  <c r="W197" i="1" s="1"/>
  <c r="T197" i="1"/>
  <c r="U197" i="1" s="1"/>
  <c r="Q197" i="1"/>
  <c r="AZ196" i="1"/>
  <c r="BA196" i="1" s="1"/>
  <c r="AX196" i="1"/>
  <c r="AY196" i="1" s="1"/>
  <c r="AV196" i="1"/>
  <c r="AW196" i="1" s="1"/>
  <c r="AT196" i="1"/>
  <c r="AU196" i="1" s="1"/>
  <c r="AR196" i="1"/>
  <c r="AS196" i="1" s="1"/>
  <c r="AP196" i="1"/>
  <c r="AQ196" i="1" s="1"/>
  <c r="AN196" i="1"/>
  <c r="AO196" i="1" s="1"/>
  <c r="AL196" i="1"/>
  <c r="AM196" i="1" s="1"/>
  <c r="AJ196" i="1"/>
  <c r="AK196" i="1" s="1"/>
  <c r="AH196" i="1"/>
  <c r="AI196" i="1" s="1"/>
  <c r="AF196" i="1"/>
  <c r="AG196" i="1" s="1"/>
  <c r="AD196" i="1"/>
  <c r="AE196" i="1" s="1"/>
  <c r="AB196" i="1"/>
  <c r="AC196" i="1" s="1"/>
  <c r="Z196" i="1"/>
  <c r="AA196" i="1" s="1"/>
  <c r="X196" i="1"/>
  <c r="Y196" i="1" s="1"/>
  <c r="V196" i="1"/>
  <c r="W196" i="1" s="1"/>
  <c r="T196" i="1"/>
  <c r="U196" i="1" s="1"/>
  <c r="Q196" i="1"/>
  <c r="AZ195" i="1"/>
  <c r="BA195" i="1" s="1"/>
  <c r="AX195" i="1"/>
  <c r="AY195" i="1" s="1"/>
  <c r="AV195" i="1"/>
  <c r="AW195" i="1" s="1"/>
  <c r="AT195" i="1"/>
  <c r="AU195" i="1" s="1"/>
  <c r="AR195" i="1"/>
  <c r="AS195" i="1" s="1"/>
  <c r="AP195" i="1"/>
  <c r="AQ195" i="1" s="1"/>
  <c r="AN195" i="1"/>
  <c r="AO195" i="1" s="1"/>
  <c r="AL195" i="1"/>
  <c r="AM195" i="1" s="1"/>
  <c r="AJ195" i="1"/>
  <c r="AK195" i="1" s="1"/>
  <c r="AH195" i="1"/>
  <c r="AI195" i="1" s="1"/>
  <c r="AF195" i="1"/>
  <c r="AG195" i="1" s="1"/>
  <c r="AD195" i="1"/>
  <c r="AE195" i="1" s="1"/>
  <c r="AB195" i="1"/>
  <c r="AC195" i="1" s="1"/>
  <c r="Z195" i="1"/>
  <c r="X195" i="1"/>
  <c r="Y195" i="1" s="1"/>
  <c r="V195" i="1"/>
  <c r="W195" i="1" s="1"/>
  <c r="T195" i="1"/>
  <c r="U195" i="1" s="1"/>
  <c r="Q195" i="1"/>
  <c r="AZ194" i="1"/>
  <c r="BA194" i="1" s="1"/>
  <c r="AX194" i="1"/>
  <c r="AY194" i="1" s="1"/>
  <c r="AV194" i="1"/>
  <c r="AW194" i="1" s="1"/>
  <c r="AT194" i="1"/>
  <c r="AU194" i="1" s="1"/>
  <c r="AR194" i="1"/>
  <c r="AS194" i="1" s="1"/>
  <c r="AP194" i="1"/>
  <c r="AQ194" i="1" s="1"/>
  <c r="AN194" i="1"/>
  <c r="AO194" i="1" s="1"/>
  <c r="AL194" i="1"/>
  <c r="AM194" i="1" s="1"/>
  <c r="AJ194" i="1"/>
  <c r="AK194" i="1" s="1"/>
  <c r="AH194" i="1"/>
  <c r="AI194" i="1" s="1"/>
  <c r="AF194" i="1"/>
  <c r="AG194" i="1" s="1"/>
  <c r="AD194" i="1"/>
  <c r="AE194" i="1" s="1"/>
  <c r="AB194" i="1"/>
  <c r="AC194" i="1" s="1"/>
  <c r="Z194" i="1"/>
  <c r="AA194" i="1" s="1"/>
  <c r="X194" i="1"/>
  <c r="Y194" i="1" s="1"/>
  <c r="V194" i="1"/>
  <c r="W194" i="1" s="1"/>
  <c r="T194" i="1"/>
  <c r="U194" i="1" s="1"/>
  <c r="Q194" i="1"/>
  <c r="AZ193" i="1"/>
  <c r="BA193" i="1" s="1"/>
  <c r="AX193" i="1"/>
  <c r="AY193" i="1" s="1"/>
  <c r="AV193" i="1"/>
  <c r="AW193" i="1" s="1"/>
  <c r="AT193" i="1"/>
  <c r="AU193" i="1" s="1"/>
  <c r="AR193" i="1"/>
  <c r="AS193" i="1" s="1"/>
  <c r="AP193" i="1"/>
  <c r="AQ193" i="1" s="1"/>
  <c r="AN193" i="1"/>
  <c r="AO193" i="1" s="1"/>
  <c r="AL193" i="1"/>
  <c r="AM193" i="1" s="1"/>
  <c r="AJ193" i="1"/>
  <c r="AK193" i="1" s="1"/>
  <c r="AH193" i="1"/>
  <c r="AI193" i="1" s="1"/>
  <c r="AF193" i="1"/>
  <c r="AG193" i="1" s="1"/>
  <c r="AD193" i="1"/>
  <c r="AE193" i="1" s="1"/>
  <c r="AB193" i="1"/>
  <c r="AC193" i="1" s="1"/>
  <c r="Z193" i="1"/>
  <c r="AA193" i="1" s="1"/>
  <c r="X193" i="1"/>
  <c r="Y193" i="1" s="1"/>
  <c r="V193" i="1"/>
  <c r="W193" i="1" s="1"/>
  <c r="T193" i="1"/>
  <c r="U193" i="1" s="1"/>
  <c r="Q193" i="1"/>
  <c r="AZ192" i="1"/>
  <c r="BA192" i="1" s="1"/>
  <c r="AX192" i="1"/>
  <c r="AY192" i="1" s="1"/>
  <c r="AV192" i="1"/>
  <c r="AW192" i="1" s="1"/>
  <c r="AT192" i="1"/>
  <c r="AU192" i="1" s="1"/>
  <c r="AR192" i="1"/>
  <c r="AS192" i="1" s="1"/>
  <c r="AP192" i="1"/>
  <c r="AQ192" i="1" s="1"/>
  <c r="AN192" i="1"/>
  <c r="AO192" i="1" s="1"/>
  <c r="AL192" i="1"/>
  <c r="AM192" i="1" s="1"/>
  <c r="AJ192" i="1"/>
  <c r="AK192" i="1" s="1"/>
  <c r="AH192" i="1"/>
  <c r="AI192" i="1" s="1"/>
  <c r="AF192" i="1"/>
  <c r="AG192" i="1" s="1"/>
  <c r="AD192" i="1"/>
  <c r="AE192" i="1" s="1"/>
  <c r="AB192" i="1"/>
  <c r="AC192" i="1" s="1"/>
  <c r="Z192" i="1"/>
  <c r="AA192" i="1" s="1"/>
  <c r="X192" i="1"/>
  <c r="Y192" i="1" s="1"/>
  <c r="V192" i="1"/>
  <c r="W192" i="1" s="1"/>
  <c r="T192" i="1"/>
  <c r="U192" i="1" s="1"/>
  <c r="Q192" i="1"/>
  <c r="AZ191" i="1"/>
  <c r="BA191" i="1" s="1"/>
  <c r="AX191" i="1"/>
  <c r="AY191" i="1" s="1"/>
  <c r="AV191" i="1"/>
  <c r="AW191" i="1" s="1"/>
  <c r="AT191" i="1"/>
  <c r="AU191" i="1" s="1"/>
  <c r="AR191" i="1"/>
  <c r="AS191" i="1" s="1"/>
  <c r="AP191" i="1"/>
  <c r="AQ191" i="1" s="1"/>
  <c r="AN191" i="1"/>
  <c r="AO191" i="1" s="1"/>
  <c r="AL191" i="1"/>
  <c r="AM191" i="1" s="1"/>
  <c r="AJ191" i="1"/>
  <c r="AK191" i="1" s="1"/>
  <c r="AH191" i="1"/>
  <c r="AI191" i="1" s="1"/>
  <c r="AF191" i="1"/>
  <c r="AG191" i="1" s="1"/>
  <c r="AD191" i="1"/>
  <c r="AE191" i="1" s="1"/>
  <c r="AB191" i="1"/>
  <c r="AC191" i="1" s="1"/>
  <c r="Z191" i="1"/>
  <c r="AA191" i="1" s="1"/>
  <c r="X191" i="1"/>
  <c r="Y191" i="1" s="1"/>
  <c r="V191" i="1"/>
  <c r="W191" i="1" s="1"/>
  <c r="T191" i="1"/>
  <c r="U191" i="1" s="1"/>
  <c r="Q191" i="1"/>
  <c r="AZ190" i="1"/>
  <c r="BA190" i="1" s="1"/>
  <c r="AX190" i="1"/>
  <c r="AY190" i="1" s="1"/>
  <c r="AV190" i="1"/>
  <c r="AW190" i="1" s="1"/>
  <c r="AT190" i="1"/>
  <c r="AU190" i="1" s="1"/>
  <c r="AR190" i="1"/>
  <c r="AS190" i="1" s="1"/>
  <c r="AP190" i="1"/>
  <c r="AQ190" i="1" s="1"/>
  <c r="AN190" i="1"/>
  <c r="AO190" i="1" s="1"/>
  <c r="AL190" i="1"/>
  <c r="AM190" i="1" s="1"/>
  <c r="AJ190" i="1"/>
  <c r="AK190" i="1" s="1"/>
  <c r="AH190" i="1"/>
  <c r="AI190" i="1" s="1"/>
  <c r="AF190" i="1"/>
  <c r="AG190" i="1" s="1"/>
  <c r="AD190" i="1"/>
  <c r="AE190" i="1" s="1"/>
  <c r="AB190" i="1"/>
  <c r="AC190" i="1" s="1"/>
  <c r="Z190" i="1"/>
  <c r="AA190" i="1" s="1"/>
  <c r="X190" i="1"/>
  <c r="Y190" i="1" s="1"/>
  <c r="V190" i="1"/>
  <c r="W190" i="1" s="1"/>
  <c r="T190" i="1"/>
  <c r="U190" i="1" s="1"/>
  <c r="Q190" i="1"/>
  <c r="AZ189" i="1"/>
  <c r="BA189" i="1" s="1"/>
  <c r="AX189" i="1"/>
  <c r="AY189" i="1" s="1"/>
  <c r="AV189" i="1"/>
  <c r="AW189" i="1" s="1"/>
  <c r="AT189" i="1"/>
  <c r="AU189" i="1" s="1"/>
  <c r="AR189" i="1"/>
  <c r="AS189" i="1" s="1"/>
  <c r="AP189" i="1"/>
  <c r="AQ189" i="1" s="1"/>
  <c r="AN189" i="1"/>
  <c r="AO189" i="1" s="1"/>
  <c r="AL189" i="1"/>
  <c r="AM189" i="1" s="1"/>
  <c r="AJ189" i="1"/>
  <c r="AK189" i="1" s="1"/>
  <c r="AH189" i="1"/>
  <c r="AI189" i="1" s="1"/>
  <c r="AF189" i="1"/>
  <c r="AG189" i="1" s="1"/>
  <c r="AD189" i="1"/>
  <c r="AE189" i="1" s="1"/>
  <c r="AB189" i="1"/>
  <c r="AC189" i="1" s="1"/>
  <c r="Z189" i="1"/>
  <c r="AA189" i="1" s="1"/>
  <c r="X189" i="1"/>
  <c r="Y189" i="1" s="1"/>
  <c r="V189" i="1"/>
  <c r="W189" i="1" s="1"/>
  <c r="T189" i="1"/>
  <c r="U189" i="1" s="1"/>
  <c r="Q189" i="1"/>
  <c r="AZ187" i="1"/>
  <c r="BA187" i="1" s="1"/>
  <c r="BA186" i="1" s="1"/>
  <c r="AX187" i="1"/>
  <c r="AY187" i="1" s="1"/>
  <c r="AY186" i="1" s="1"/>
  <c r="AV187" i="1"/>
  <c r="AW187" i="1" s="1"/>
  <c r="AW186" i="1" s="1"/>
  <c r="AT187" i="1"/>
  <c r="AU187" i="1" s="1"/>
  <c r="AU186" i="1" s="1"/>
  <c r="AR187" i="1"/>
  <c r="AS187" i="1" s="1"/>
  <c r="AS186" i="1" s="1"/>
  <c r="AP187" i="1"/>
  <c r="AQ187" i="1" s="1"/>
  <c r="AQ186" i="1" s="1"/>
  <c r="AN187" i="1"/>
  <c r="AO187" i="1" s="1"/>
  <c r="AO186" i="1" s="1"/>
  <c r="AL187" i="1"/>
  <c r="AM187" i="1" s="1"/>
  <c r="AM186" i="1" s="1"/>
  <c r="AJ187" i="1"/>
  <c r="AK187" i="1" s="1"/>
  <c r="AK186" i="1" s="1"/>
  <c r="AH187" i="1"/>
  <c r="AI187" i="1" s="1"/>
  <c r="AI186" i="1" s="1"/>
  <c r="AF187" i="1"/>
  <c r="AG187" i="1" s="1"/>
  <c r="AG186" i="1" s="1"/>
  <c r="AD187" i="1"/>
  <c r="AE187" i="1" s="1"/>
  <c r="AE186" i="1" s="1"/>
  <c r="AB187" i="1"/>
  <c r="AC187" i="1" s="1"/>
  <c r="AC186" i="1" s="1"/>
  <c r="Z187" i="1"/>
  <c r="AA187" i="1" s="1"/>
  <c r="AA186" i="1" s="1"/>
  <c r="X187" i="1"/>
  <c r="Y187" i="1" s="1"/>
  <c r="Y186" i="1" s="1"/>
  <c r="V187" i="1"/>
  <c r="W187" i="1" s="1"/>
  <c r="W186" i="1" s="1"/>
  <c r="T187" i="1"/>
  <c r="U187" i="1" s="1"/>
  <c r="U186" i="1" s="1"/>
  <c r="Q187" i="1"/>
  <c r="Q186" i="1" s="1"/>
  <c r="AZ185" i="1"/>
  <c r="BA185" i="1" s="1"/>
  <c r="BA184" i="1" s="1"/>
  <c r="AX185" i="1"/>
  <c r="AY185" i="1" s="1"/>
  <c r="AY184" i="1" s="1"/>
  <c r="AV185" i="1"/>
  <c r="AW185" i="1" s="1"/>
  <c r="AW184" i="1" s="1"/>
  <c r="AT185" i="1"/>
  <c r="AU185" i="1" s="1"/>
  <c r="AU184" i="1" s="1"/>
  <c r="AR185" i="1"/>
  <c r="AS185" i="1" s="1"/>
  <c r="AS184" i="1" s="1"/>
  <c r="AP185" i="1"/>
  <c r="AQ185" i="1" s="1"/>
  <c r="AQ184" i="1" s="1"/>
  <c r="AN185" i="1"/>
  <c r="AO185" i="1" s="1"/>
  <c r="AO184" i="1" s="1"/>
  <c r="AL185" i="1"/>
  <c r="AM185" i="1" s="1"/>
  <c r="AM184" i="1" s="1"/>
  <c r="AJ185" i="1"/>
  <c r="AK185" i="1" s="1"/>
  <c r="AK184" i="1" s="1"/>
  <c r="AH185" i="1"/>
  <c r="AI185" i="1" s="1"/>
  <c r="AI184" i="1" s="1"/>
  <c r="AF185" i="1"/>
  <c r="AG185" i="1" s="1"/>
  <c r="AG184" i="1" s="1"/>
  <c r="AD185" i="1"/>
  <c r="AE185" i="1" s="1"/>
  <c r="AE184" i="1" s="1"/>
  <c r="AB185" i="1"/>
  <c r="AC185" i="1" s="1"/>
  <c r="AC184" i="1" s="1"/>
  <c r="Z185" i="1"/>
  <c r="AA185" i="1" s="1"/>
  <c r="AA184" i="1" s="1"/>
  <c r="X185" i="1"/>
  <c r="Y185" i="1" s="1"/>
  <c r="Y184" i="1" s="1"/>
  <c r="V185" i="1"/>
  <c r="W185" i="1" s="1"/>
  <c r="W184" i="1" s="1"/>
  <c r="T185" i="1"/>
  <c r="U185" i="1" s="1"/>
  <c r="U184" i="1" s="1"/>
  <c r="Q185" i="1"/>
  <c r="Q184" i="1" s="1"/>
  <c r="AZ183" i="1"/>
  <c r="BA183" i="1" s="1"/>
  <c r="AX183" i="1"/>
  <c r="AY183" i="1" s="1"/>
  <c r="AV183" i="1"/>
  <c r="AW183" i="1" s="1"/>
  <c r="AT183" i="1"/>
  <c r="AU183" i="1" s="1"/>
  <c r="AR183" i="1"/>
  <c r="AS183" i="1" s="1"/>
  <c r="AP183" i="1"/>
  <c r="AQ183" i="1" s="1"/>
  <c r="AN183" i="1"/>
  <c r="AO183" i="1" s="1"/>
  <c r="AL183" i="1"/>
  <c r="AM183" i="1" s="1"/>
  <c r="AJ183" i="1"/>
  <c r="AK183" i="1" s="1"/>
  <c r="AH183" i="1"/>
  <c r="AI183" i="1" s="1"/>
  <c r="AF183" i="1"/>
  <c r="AG183" i="1" s="1"/>
  <c r="AD183" i="1"/>
  <c r="AE183" i="1" s="1"/>
  <c r="AB183" i="1"/>
  <c r="AC183" i="1" s="1"/>
  <c r="Z183" i="1"/>
  <c r="AA183" i="1" s="1"/>
  <c r="X183" i="1"/>
  <c r="Y183" i="1" s="1"/>
  <c r="V183" i="1"/>
  <c r="W183" i="1" s="1"/>
  <c r="T183" i="1"/>
  <c r="U183" i="1" s="1"/>
  <c r="Q183" i="1"/>
  <c r="AZ182" i="1"/>
  <c r="BA182" i="1" s="1"/>
  <c r="AX182" i="1"/>
  <c r="AY182" i="1" s="1"/>
  <c r="AV182" i="1"/>
  <c r="AW182" i="1" s="1"/>
  <c r="AT182" i="1"/>
  <c r="AU182" i="1" s="1"/>
  <c r="AR182" i="1"/>
  <c r="AS182" i="1" s="1"/>
  <c r="AP182" i="1"/>
  <c r="AQ182" i="1" s="1"/>
  <c r="AN182" i="1"/>
  <c r="AO182" i="1" s="1"/>
  <c r="AL182" i="1"/>
  <c r="AM182" i="1" s="1"/>
  <c r="AJ182" i="1"/>
  <c r="AK182" i="1" s="1"/>
  <c r="AH182" i="1"/>
  <c r="AI182" i="1" s="1"/>
  <c r="AF182" i="1"/>
  <c r="AG182" i="1" s="1"/>
  <c r="AD182" i="1"/>
  <c r="AE182" i="1" s="1"/>
  <c r="AB182" i="1"/>
  <c r="AC182" i="1" s="1"/>
  <c r="Z182" i="1"/>
  <c r="AA182" i="1" s="1"/>
  <c r="X182" i="1"/>
  <c r="Y182" i="1" s="1"/>
  <c r="V182" i="1"/>
  <c r="W182" i="1" s="1"/>
  <c r="T182" i="1"/>
  <c r="U182" i="1" s="1"/>
  <c r="Q182" i="1"/>
  <c r="AZ181" i="1"/>
  <c r="BA181" i="1" s="1"/>
  <c r="AX181" i="1"/>
  <c r="AY181" i="1" s="1"/>
  <c r="AV181" i="1"/>
  <c r="AW181" i="1" s="1"/>
  <c r="AT181" i="1"/>
  <c r="AU181" i="1" s="1"/>
  <c r="AR181" i="1"/>
  <c r="AS181" i="1" s="1"/>
  <c r="AP181" i="1"/>
  <c r="AQ181" i="1" s="1"/>
  <c r="AN181" i="1"/>
  <c r="AO181" i="1" s="1"/>
  <c r="AL181" i="1"/>
  <c r="AM181" i="1" s="1"/>
  <c r="AJ181" i="1"/>
  <c r="AK181" i="1" s="1"/>
  <c r="AH181" i="1"/>
  <c r="AI181" i="1" s="1"/>
  <c r="AF181" i="1"/>
  <c r="AG181" i="1" s="1"/>
  <c r="AD181" i="1"/>
  <c r="AE181" i="1" s="1"/>
  <c r="AB181" i="1"/>
  <c r="AC181" i="1" s="1"/>
  <c r="Z181" i="1"/>
  <c r="AA181" i="1" s="1"/>
  <c r="X181" i="1"/>
  <c r="Y181" i="1" s="1"/>
  <c r="V181" i="1"/>
  <c r="W181" i="1" s="1"/>
  <c r="T181" i="1"/>
  <c r="U181" i="1" s="1"/>
  <c r="Q181" i="1"/>
  <c r="AZ180" i="1"/>
  <c r="BA180" i="1" s="1"/>
  <c r="AX180" i="1"/>
  <c r="AY180" i="1" s="1"/>
  <c r="AV180" i="1"/>
  <c r="AW180" i="1" s="1"/>
  <c r="AT180" i="1"/>
  <c r="AU180" i="1" s="1"/>
  <c r="AR180" i="1"/>
  <c r="AS180" i="1" s="1"/>
  <c r="AP180" i="1"/>
  <c r="AQ180" i="1" s="1"/>
  <c r="AN180" i="1"/>
  <c r="AO180" i="1" s="1"/>
  <c r="AL180" i="1"/>
  <c r="AM180" i="1" s="1"/>
  <c r="AJ180" i="1"/>
  <c r="AK180" i="1" s="1"/>
  <c r="AH180" i="1"/>
  <c r="AI180" i="1" s="1"/>
  <c r="AF180" i="1"/>
  <c r="AG180" i="1" s="1"/>
  <c r="AD180" i="1"/>
  <c r="AE180" i="1" s="1"/>
  <c r="AB180" i="1"/>
  <c r="AC180" i="1" s="1"/>
  <c r="Z180" i="1"/>
  <c r="AA180" i="1" s="1"/>
  <c r="X180" i="1"/>
  <c r="Y180" i="1" s="1"/>
  <c r="V180" i="1"/>
  <c r="W180" i="1" s="1"/>
  <c r="T180" i="1"/>
  <c r="U180" i="1" s="1"/>
  <c r="Q180" i="1"/>
  <c r="AZ179" i="1"/>
  <c r="BA179" i="1" s="1"/>
  <c r="AX179" i="1"/>
  <c r="AY179" i="1" s="1"/>
  <c r="AV179" i="1"/>
  <c r="AW179" i="1" s="1"/>
  <c r="AT179" i="1"/>
  <c r="AU179" i="1" s="1"/>
  <c r="AR179" i="1"/>
  <c r="AS179" i="1" s="1"/>
  <c r="AP179" i="1"/>
  <c r="AQ179" i="1" s="1"/>
  <c r="AN179" i="1"/>
  <c r="AO179" i="1" s="1"/>
  <c r="AL179" i="1"/>
  <c r="AM179" i="1" s="1"/>
  <c r="AJ179" i="1"/>
  <c r="AK179" i="1" s="1"/>
  <c r="AH179" i="1"/>
  <c r="AI179" i="1" s="1"/>
  <c r="AF179" i="1"/>
  <c r="AG179" i="1" s="1"/>
  <c r="AD179" i="1"/>
  <c r="AE179" i="1" s="1"/>
  <c r="AB179" i="1"/>
  <c r="AC179" i="1" s="1"/>
  <c r="Z179" i="1"/>
  <c r="AA179" i="1" s="1"/>
  <c r="X179" i="1"/>
  <c r="Y179" i="1" s="1"/>
  <c r="V179" i="1"/>
  <c r="W179" i="1" s="1"/>
  <c r="T179" i="1"/>
  <c r="U179" i="1" s="1"/>
  <c r="Q179" i="1"/>
  <c r="AZ178" i="1"/>
  <c r="BA178" i="1" s="1"/>
  <c r="AX178" i="1"/>
  <c r="AY178" i="1" s="1"/>
  <c r="AV178" i="1"/>
  <c r="AW178" i="1" s="1"/>
  <c r="AT178" i="1"/>
  <c r="AU178" i="1" s="1"/>
  <c r="AR178" i="1"/>
  <c r="AS178" i="1" s="1"/>
  <c r="AP178" i="1"/>
  <c r="AQ178" i="1" s="1"/>
  <c r="AN178" i="1"/>
  <c r="AO178" i="1" s="1"/>
  <c r="AL178" i="1"/>
  <c r="AM178" i="1" s="1"/>
  <c r="AJ178" i="1"/>
  <c r="AK178" i="1" s="1"/>
  <c r="AH178" i="1"/>
  <c r="AI178" i="1" s="1"/>
  <c r="AF178" i="1"/>
  <c r="AG178" i="1" s="1"/>
  <c r="AD178" i="1"/>
  <c r="AE178" i="1" s="1"/>
  <c r="AB178" i="1"/>
  <c r="AC178" i="1" s="1"/>
  <c r="Z178" i="1"/>
  <c r="AA178" i="1" s="1"/>
  <c r="X178" i="1"/>
  <c r="Y178" i="1" s="1"/>
  <c r="V178" i="1"/>
  <c r="W178" i="1" s="1"/>
  <c r="T178" i="1"/>
  <c r="U178" i="1" s="1"/>
  <c r="Q178" i="1"/>
  <c r="AZ177" i="1"/>
  <c r="BA177" i="1" s="1"/>
  <c r="AX177" i="1"/>
  <c r="AY177" i="1" s="1"/>
  <c r="AV177" i="1"/>
  <c r="AW177" i="1" s="1"/>
  <c r="AT177" i="1"/>
  <c r="AU177" i="1" s="1"/>
  <c r="AR177" i="1"/>
  <c r="AS177" i="1" s="1"/>
  <c r="AP177" i="1"/>
  <c r="AQ177" i="1" s="1"/>
  <c r="AN177" i="1"/>
  <c r="AO177" i="1" s="1"/>
  <c r="AL177" i="1"/>
  <c r="AM177" i="1" s="1"/>
  <c r="AJ177" i="1"/>
  <c r="AK177" i="1" s="1"/>
  <c r="AH177" i="1"/>
  <c r="AI177" i="1" s="1"/>
  <c r="AF177" i="1"/>
  <c r="AG177" i="1" s="1"/>
  <c r="AD177" i="1"/>
  <c r="AE177" i="1" s="1"/>
  <c r="AB177" i="1"/>
  <c r="AC177" i="1" s="1"/>
  <c r="Z177" i="1"/>
  <c r="AA177" i="1" s="1"/>
  <c r="X177" i="1"/>
  <c r="Y177" i="1" s="1"/>
  <c r="V177" i="1"/>
  <c r="W177" i="1" s="1"/>
  <c r="T177" i="1"/>
  <c r="U177" i="1" s="1"/>
  <c r="Q177" i="1"/>
  <c r="AZ176" i="1"/>
  <c r="BA176" i="1" s="1"/>
  <c r="AX176" i="1"/>
  <c r="AY176" i="1" s="1"/>
  <c r="AV176" i="1"/>
  <c r="AW176" i="1" s="1"/>
  <c r="AT176" i="1"/>
  <c r="AU176" i="1" s="1"/>
  <c r="AR176" i="1"/>
  <c r="AS176" i="1" s="1"/>
  <c r="AP176" i="1"/>
  <c r="AQ176" i="1" s="1"/>
  <c r="AN176" i="1"/>
  <c r="AO176" i="1" s="1"/>
  <c r="AL176" i="1"/>
  <c r="AM176" i="1" s="1"/>
  <c r="AJ176" i="1"/>
  <c r="AK176" i="1" s="1"/>
  <c r="AH176" i="1"/>
  <c r="AI176" i="1" s="1"/>
  <c r="AF176" i="1"/>
  <c r="AG176" i="1" s="1"/>
  <c r="AD176" i="1"/>
  <c r="AE176" i="1" s="1"/>
  <c r="AB176" i="1"/>
  <c r="AC176" i="1" s="1"/>
  <c r="Z176" i="1"/>
  <c r="AA176" i="1" s="1"/>
  <c r="X176" i="1"/>
  <c r="Y176" i="1" s="1"/>
  <c r="V176" i="1"/>
  <c r="W176" i="1" s="1"/>
  <c r="T176" i="1"/>
  <c r="U176" i="1" s="1"/>
  <c r="Q176" i="1"/>
  <c r="AZ175" i="1"/>
  <c r="BA175" i="1" s="1"/>
  <c r="AX175" i="1"/>
  <c r="AY175" i="1" s="1"/>
  <c r="AV175" i="1"/>
  <c r="AW175" i="1" s="1"/>
  <c r="AT175" i="1"/>
  <c r="AU175" i="1" s="1"/>
  <c r="AR175" i="1"/>
  <c r="AS175" i="1" s="1"/>
  <c r="AP175" i="1"/>
  <c r="AQ175" i="1" s="1"/>
  <c r="AN175" i="1"/>
  <c r="AO175" i="1" s="1"/>
  <c r="AL175" i="1"/>
  <c r="AM175" i="1" s="1"/>
  <c r="AJ175" i="1"/>
  <c r="AK175" i="1" s="1"/>
  <c r="AH175" i="1"/>
  <c r="AI175" i="1" s="1"/>
  <c r="AF175" i="1"/>
  <c r="AG175" i="1" s="1"/>
  <c r="AD175" i="1"/>
  <c r="AE175" i="1" s="1"/>
  <c r="AB175" i="1"/>
  <c r="AC175" i="1" s="1"/>
  <c r="Z175" i="1"/>
  <c r="AA175" i="1" s="1"/>
  <c r="X175" i="1"/>
  <c r="Y175" i="1" s="1"/>
  <c r="V175" i="1"/>
  <c r="W175" i="1" s="1"/>
  <c r="T175" i="1"/>
  <c r="U175" i="1" s="1"/>
  <c r="Q175" i="1"/>
  <c r="AZ174" i="1"/>
  <c r="BA174" i="1" s="1"/>
  <c r="AX174" i="1"/>
  <c r="AY174" i="1" s="1"/>
  <c r="AV174" i="1"/>
  <c r="AW174" i="1" s="1"/>
  <c r="AT174" i="1"/>
  <c r="AU174" i="1" s="1"/>
  <c r="AR174" i="1"/>
  <c r="AS174" i="1" s="1"/>
  <c r="AP174" i="1"/>
  <c r="AQ174" i="1" s="1"/>
  <c r="AN174" i="1"/>
  <c r="AO174" i="1" s="1"/>
  <c r="AL174" i="1"/>
  <c r="AM174" i="1" s="1"/>
  <c r="AJ174" i="1"/>
  <c r="AK174" i="1" s="1"/>
  <c r="AH174" i="1"/>
  <c r="AI174" i="1" s="1"/>
  <c r="AF174" i="1"/>
  <c r="AG174" i="1" s="1"/>
  <c r="AD174" i="1"/>
  <c r="AE174" i="1" s="1"/>
  <c r="AB174" i="1"/>
  <c r="AC174" i="1" s="1"/>
  <c r="Z174" i="1"/>
  <c r="AA174" i="1" s="1"/>
  <c r="X174" i="1"/>
  <c r="Y174" i="1" s="1"/>
  <c r="V174" i="1"/>
  <c r="W174" i="1" s="1"/>
  <c r="T174" i="1"/>
  <c r="U174" i="1" s="1"/>
  <c r="Q174" i="1"/>
  <c r="AZ173" i="1"/>
  <c r="BA173" i="1" s="1"/>
  <c r="AX173" i="1"/>
  <c r="AY173" i="1" s="1"/>
  <c r="AV173" i="1"/>
  <c r="AW173" i="1" s="1"/>
  <c r="AT173" i="1"/>
  <c r="AU173" i="1" s="1"/>
  <c r="AR173" i="1"/>
  <c r="AS173" i="1" s="1"/>
  <c r="AP173" i="1"/>
  <c r="AQ173" i="1" s="1"/>
  <c r="AN173" i="1"/>
  <c r="AO173" i="1" s="1"/>
  <c r="AL173" i="1"/>
  <c r="AM173" i="1" s="1"/>
  <c r="AJ173" i="1"/>
  <c r="AK173" i="1" s="1"/>
  <c r="AH173" i="1"/>
  <c r="AI173" i="1" s="1"/>
  <c r="AF173" i="1"/>
  <c r="AG173" i="1" s="1"/>
  <c r="AD173" i="1"/>
  <c r="AE173" i="1" s="1"/>
  <c r="AB173" i="1"/>
  <c r="AC173" i="1" s="1"/>
  <c r="Z173" i="1"/>
  <c r="AA173" i="1" s="1"/>
  <c r="X173" i="1"/>
  <c r="Y173" i="1" s="1"/>
  <c r="V173" i="1"/>
  <c r="W173" i="1" s="1"/>
  <c r="T173" i="1"/>
  <c r="U173" i="1" s="1"/>
  <c r="Q173" i="1"/>
  <c r="AZ172" i="1"/>
  <c r="BA172" i="1" s="1"/>
  <c r="AX172" i="1"/>
  <c r="AY172" i="1" s="1"/>
  <c r="AV172" i="1"/>
  <c r="AW172" i="1" s="1"/>
  <c r="AT172" i="1"/>
  <c r="AU172" i="1" s="1"/>
  <c r="AR172" i="1"/>
  <c r="AS172" i="1" s="1"/>
  <c r="AP172" i="1"/>
  <c r="AQ172" i="1" s="1"/>
  <c r="AN172" i="1"/>
  <c r="AO172" i="1" s="1"/>
  <c r="AL172" i="1"/>
  <c r="AM172" i="1" s="1"/>
  <c r="AJ172" i="1"/>
  <c r="AK172" i="1" s="1"/>
  <c r="AH172" i="1"/>
  <c r="AI172" i="1" s="1"/>
  <c r="AF172" i="1"/>
  <c r="AG172" i="1" s="1"/>
  <c r="AD172" i="1"/>
  <c r="AE172" i="1" s="1"/>
  <c r="AB172" i="1"/>
  <c r="AC172" i="1" s="1"/>
  <c r="Z172" i="1"/>
  <c r="AA172" i="1" s="1"/>
  <c r="X172" i="1"/>
  <c r="Y172" i="1" s="1"/>
  <c r="V172" i="1"/>
  <c r="W172" i="1" s="1"/>
  <c r="T172" i="1"/>
  <c r="U172" i="1" s="1"/>
  <c r="Q172" i="1"/>
  <c r="AZ171" i="1"/>
  <c r="BA171" i="1" s="1"/>
  <c r="AX171" i="1"/>
  <c r="AY171" i="1" s="1"/>
  <c r="AV171" i="1"/>
  <c r="AW171" i="1" s="1"/>
  <c r="AT171" i="1"/>
  <c r="AU171" i="1" s="1"/>
  <c r="AR171" i="1"/>
  <c r="AS171" i="1" s="1"/>
  <c r="AP171" i="1"/>
  <c r="AQ171" i="1" s="1"/>
  <c r="AN171" i="1"/>
  <c r="AO171" i="1" s="1"/>
  <c r="AL171" i="1"/>
  <c r="AM171" i="1" s="1"/>
  <c r="AJ171" i="1"/>
  <c r="AK171" i="1" s="1"/>
  <c r="AH171" i="1"/>
  <c r="AI171" i="1" s="1"/>
  <c r="AF171" i="1"/>
  <c r="AG171" i="1" s="1"/>
  <c r="AD171" i="1"/>
  <c r="AE171" i="1" s="1"/>
  <c r="AB171" i="1"/>
  <c r="AC171" i="1" s="1"/>
  <c r="Z171" i="1"/>
  <c r="AA171" i="1" s="1"/>
  <c r="X171" i="1"/>
  <c r="Y171" i="1" s="1"/>
  <c r="V171" i="1"/>
  <c r="W171" i="1" s="1"/>
  <c r="T171" i="1"/>
  <c r="U171" i="1" s="1"/>
  <c r="Q171" i="1"/>
  <c r="AZ170" i="1"/>
  <c r="BA170" i="1" s="1"/>
  <c r="AX170" i="1"/>
  <c r="AY170" i="1" s="1"/>
  <c r="AV170" i="1"/>
  <c r="AW170" i="1" s="1"/>
  <c r="AT170" i="1"/>
  <c r="AU170" i="1" s="1"/>
  <c r="AR170" i="1"/>
  <c r="AS170" i="1" s="1"/>
  <c r="AP170" i="1"/>
  <c r="AQ170" i="1" s="1"/>
  <c r="AN170" i="1"/>
  <c r="AO170" i="1" s="1"/>
  <c r="AL170" i="1"/>
  <c r="AM170" i="1" s="1"/>
  <c r="AJ170" i="1"/>
  <c r="AK170" i="1" s="1"/>
  <c r="AH170" i="1"/>
  <c r="AI170" i="1" s="1"/>
  <c r="AF170" i="1"/>
  <c r="AG170" i="1" s="1"/>
  <c r="AD170" i="1"/>
  <c r="AE170" i="1" s="1"/>
  <c r="AB170" i="1"/>
  <c r="AC170" i="1" s="1"/>
  <c r="Z170" i="1"/>
  <c r="AA170" i="1" s="1"/>
  <c r="X170" i="1"/>
  <c r="Y170" i="1" s="1"/>
  <c r="V170" i="1"/>
  <c r="W170" i="1" s="1"/>
  <c r="T170" i="1"/>
  <c r="U170" i="1" s="1"/>
  <c r="Q170" i="1"/>
  <c r="AZ169" i="1"/>
  <c r="BA169" i="1" s="1"/>
  <c r="AX169" i="1"/>
  <c r="AY169" i="1" s="1"/>
  <c r="AV169" i="1"/>
  <c r="AW169" i="1" s="1"/>
  <c r="AT169" i="1"/>
  <c r="AU169" i="1" s="1"/>
  <c r="AR169" i="1"/>
  <c r="AS169" i="1" s="1"/>
  <c r="AP169" i="1"/>
  <c r="AQ169" i="1" s="1"/>
  <c r="AN169" i="1"/>
  <c r="AO169" i="1" s="1"/>
  <c r="AL169" i="1"/>
  <c r="AM169" i="1" s="1"/>
  <c r="AJ169" i="1"/>
  <c r="AK169" i="1" s="1"/>
  <c r="AH169" i="1"/>
  <c r="AI169" i="1" s="1"/>
  <c r="AF169" i="1"/>
  <c r="AG169" i="1" s="1"/>
  <c r="AD169" i="1"/>
  <c r="AE169" i="1" s="1"/>
  <c r="AB169" i="1"/>
  <c r="AC169" i="1" s="1"/>
  <c r="Z169" i="1"/>
  <c r="AA169" i="1" s="1"/>
  <c r="X169" i="1"/>
  <c r="Y169" i="1" s="1"/>
  <c r="V169" i="1"/>
  <c r="W169" i="1" s="1"/>
  <c r="T169" i="1"/>
  <c r="U169" i="1" s="1"/>
  <c r="Q169" i="1"/>
  <c r="AZ168" i="1"/>
  <c r="BA168" i="1" s="1"/>
  <c r="AX168" i="1"/>
  <c r="AY168" i="1" s="1"/>
  <c r="AV168" i="1"/>
  <c r="AW168" i="1" s="1"/>
  <c r="AT168" i="1"/>
  <c r="AU168" i="1" s="1"/>
  <c r="AR168" i="1"/>
  <c r="AS168" i="1" s="1"/>
  <c r="AP168" i="1"/>
  <c r="AQ168" i="1" s="1"/>
  <c r="AN168" i="1"/>
  <c r="AO168" i="1" s="1"/>
  <c r="AL168" i="1"/>
  <c r="AM168" i="1" s="1"/>
  <c r="AJ168" i="1"/>
  <c r="AK168" i="1" s="1"/>
  <c r="AH168" i="1"/>
  <c r="AI168" i="1" s="1"/>
  <c r="AF168" i="1"/>
  <c r="AG168" i="1" s="1"/>
  <c r="AD168" i="1"/>
  <c r="AE168" i="1" s="1"/>
  <c r="AB168" i="1"/>
  <c r="AC168" i="1" s="1"/>
  <c r="Z168" i="1"/>
  <c r="AA168" i="1" s="1"/>
  <c r="X168" i="1"/>
  <c r="Y168" i="1" s="1"/>
  <c r="V168" i="1"/>
  <c r="W168" i="1" s="1"/>
  <c r="T168" i="1"/>
  <c r="U168" i="1" s="1"/>
  <c r="Q168" i="1"/>
  <c r="AZ167" i="1"/>
  <c r="BA167" i="1" s="1"/>
  <c r="AX167" i="1"/>
  <c r="AY167" i="1" s="1"/>
  <c r="AV167" i="1"/>
  <c r="AW167" i="1" s="1"/>
  <c r="AT167" i="1"/>
  <c r="AU167" i="1" s="1"/>
  <c r="AR167" i="1"/>
  <c r="AS167" i="1" s="1"/>
  <c r="AP167" i="1"/>
  <c r="AQ167" i="1" s="1"/>
  <c r="AN167" i="1"/>
  <c r="AO167" i="1" s="1"/>
  <c r="AL167" i="1"/>
  <c r="AM167" i="1" s="1"/>
  <c r="AJ167" i="1"/>
  <c r="AK167" i="1" s="1"/>
  <c r="AH167" i="1"/>
  <c r="AI167" i="1" s="1"/>
  <c r="AF167" i="1"/>
  <c r="AG167" i="1" s="1"/>
  <c r="AD167" i="1"/>
  <c r="AE167" i="1" s="1"/>
  <c r="AB167" i="1"/>
  <c r="AC167" i="1" s="1"/>
  <c r="Z167" i="1"/>
  <c r="AA167" i="1" s="1"/>
  <c r="X167" i="1"/>
  <c r="Y167" i="1" s="1"/>
  <c r="V167" i="1"/>
  <c r="W167" i="1" s="1"/>
  <c r="T167" i="1"/>
  <c r="U167" i="1" s="1"/>
  <c r="Q167" i="1"/>
  <c r="AZ166" i="1"/>
  <c r="BA166" i="1" s="1"/>
  <c r="AX166" i="1"/>
  <c r="AY166" i="1" s="1"/>
  <c r="AV166" i="1"/>
  <c r="AW166" i="1" s="1"/>
  <c r="AT166" i="1"/>
  <c r="AU166" i="1" s="1"/>
  <c r="AR166" i="1"/>
  <c r="AS166" i="1" s="1"/>
  <c r="AP166" i="1"/>
  <c r="AQ166" i="1" s="1"/>
  <c r="AN166" i="1"/>
  <c r="AO166" i="1" s="1"/>
  <c r="AL166" i="1"/>
  <c r="AM166" i="1" s="1"/>
  <c r="AJ166" i="1"/>
  <c r="AK166" i="1" s="1"/>
  <c r="AH166" i="1"/>
  <c r="AI166" i="1" s="1"/>
  <c r="AF166" i="1"/>
  <c r="AG166" i="1" s="1"/>
  <c r="AD166" i="1"/>
  <c r="AE166" i="1" s="1"/>
  <c r="AB166" i="1"/>
  <c r="AC166" i="1" s="1"/>
  <c r="Z166" i="1"/>
  <c r="AA166" i="1" s="1"/>
  <c r="X166" i="1"/>
  <c r="Y166" i="1" s="1"/>
  <c r="V166" i="1"/>
  <c r="W166" i="1" s="1"/>
  <c r="T166" i="1"/>
  <c r="U166" i="1" s="1"/>
  <c r="Q166" i="1"/>
  <c r="AZ165" i="1"/>
  <c r="BA165" i="1" s="1"/>
  <c r="AX165" i="1"/>
  <c r="AY165" i="1" s="1"/>
  <c r="AV165" i="1"/>
  <c r="AW165" i="1" s="1"/>
  <c r="AT165" i="1"/>
  <c r="AU165" i="1" s="1"/>
  <c r="AR165" i="1"/>
  <c r="AS165" i="1" s="1"/>
  <c r="AP165" i="1"/>
  <c r="AQ165" i="1" s="1"/>
  <c r="AN165" i="1"/>
  <c r="AO165" i="1" s="1"/>
  <c r="AL165" i="1"/>
  <c r="AM165" i="1" s="1"/>
  <c r="AJ165" i="1"/>
  <c r="AK165" i="1" s="1"/>
  <c r="AH165" i="1"/>
  <c r="AI165" i="1" s="1"/>
  <c r="AF165" i="1"/>
  <c r="AG165" i="1" s="1"/>
  <c r="AD165" i="1"/>
  <c r="AE165" i="1" s="1"/>
  <c r="AB165" i="1"/>
  <c r="AC165" i="1" s="1"/>
  <c r="Z165" i="1"/>
  <c r="AA165" i="1" s="1"/>
  <c r="X165" i="1"/>
  <c r="Y165" i="1" s="1"/>
  <c r="V165" i="1"/>
  <c r="W165" i="1" s="1"/>
  <c r="T165" i="1"/>
  <c r="U165" i="1" s="1"/>
  <c r="Q165" i="1"/>
  <c r="AZ164" i="1"/>
  <c r="BA164" i="1" s="1"/>
  <c r="AX164" i="1"/>
  <c r="AY164" i="1" s="1"/>
  <c r="AV164" i="1"/>
  <c r="AW164" i="1" s="1"/>
  <c r="AT164" i="1"/>
  <c r="AU164" i="1" s="1"/>
  <c r="AR164" i="1"/>
  <c r="AS164" i="1" s="1"/>
  <c r="AP164" i="1"/>
  <c r="AQ164" i="1" s="1"/>
  <c r="AN164" i="1"/>
  <c r="AO164" i="1" s="1"/>
  <c r="AL164" i="1"/>
  <c r="AM164" i="1" s="1"/>
  <c r="AJ164" i="1"/>
  <c r="AK164" i="1" s="1"/>
  <c r="AH164" i="1"/>
  <c r="AI164" i="1" s="1"/>
  <c r="AF164" i="1"/>
  <c r="AG164" i="1" s="1"/>
  <c r="AD164" i="1"/>
  <c r="AE164" i="1" s="1"/>
  <c r="AB164" i="1"/>
  <c r="AC164" i="1" s="1"/>
  <c r="Z164" i="1"/>
  <c r="AA164" i="1" s="1"/>
  <c r="X164" i="1"/>
  <c r="Y164" i="1" s="1"/>
  <c r="V164" i="1"/>
  <c r="W164" i="1" s="1"/>
  <c r="T164" i="1"/>
  <c r="U164" i="1" s="1"/>
  <c r="Q164" i="1"/>
  <c r="AZ163" i="1"/>
  <c r="BA163" i="1" s="1"/>
  <c r="AX163" i="1"/>
  <c r="AY163" i="1" s="1"/>
  <c r="AV163" i="1"/>
  <c r="AW163" i="1" s="1"/>
  <c r="AT163" i="1"/>
  <c r="AU163" i="1" s="1"/>
  <c r="AR163" i="1"/>
  <c r="AS163" i="1" s="1"/>
  <c r="AP163" i="1"/>
  <c r="AQ163" i="1" s="1"/>
  <c r="AN163" i="1"/>
  <c r="AO163" i="1" s="1"/>
  <c r="AL163" i="1"/>
  <c r="AM163" i="1" s="1"/>
  <c r="AJ163" i="1"/>
  <c r="AK163" i="1" s="1"/>
  <c r="AH163" i="1"/>
  <c r="AI163" i="1" s="1"/>
  <c r="AF163" i="1"/>
  <c r="AG163" i="1" s="1"/>
  <c r="AD163" i="1"/>
  <c r="AE163" i="1" s="1"/>
  <c r="AB163" i="1"/>
  <c r="AC163" i="1" s="1"/>
  <c r="Z163" i="1"/>
  <c r="AA163" i="1" s="1"/>
  <c r="X163" i="1"/>
  <c r="Y163" i="1" s="1"/>
  <c r="V163" i="1"/>
  <c r="W163" i="1" s="1"/>
  <c r="T163" i="1"/>
  <c r="U163" i="1" s="1"/>
  <c r="Q163" i="1"/>
  <c r="AZ162" i="1"/>
  <c r="BA162" i="1" s="1"/>
  <c r="AX162" i="1"/>
  <c r="AY162" i="1" s="1"/>
  <c r="AV162" i="1"/>
  <c r="AW162" i="1" s="1"/>
  <c r="AT162" i="1"/>
  <c r="AU162" i="1" s="1"/>
  <c r="AR162" i="1"/>
  <c r="AS162" i="1" s="1"/>
  <c r="AP162" i="1"/>
  <c r="AQ162" i="1" s="1"/>
  <c r="AN162" i="1"/>
  <c r="AO162" i="1" s="1"/>
  <c r="AL162" i="1"/>
  <c r="AM162" i="1" s="1"/>
  <c r="AJ162" i="1"/>
  <c r="AK162" i="1" s="1"/>
  <c r="AH162" i="1"/>
  <c r="AI162" i="1" s="1"/>
  <c r="AF162" i="1"/>
  <c r="AG162" i="1" s="1"/>
  <c r="AD162" i="1"/>
  <c r="AE162" i="1" s="1"/>
  <c r="AB162" i="1"/>
  <c r="AC162" i="1" s="1"/>
  <c r="Z162" i="1"/>
  <c r="AA162" i="1" s="1"/>
  <c r="X162" i="1"/>
  <c r="Y162" i="1" s="1"/>
  <c r="V162" i="1"/>
  <c r="T162" i="1"/>
  <c r="U162" i="1" s="1"/>
  <c r="Q162" i="1"/>
  <c r="AZ161" i="1"/>
  <c r="BA161" i="1" s="1"/>
  <c r="AX161" i="1"/>
  <c r="AY161" i="1" s="1"/>
  <c r="AV161" i="1"/>
  <c r="AW161" i="1" s="1"/>
  <c r="AT161" i="1"/>
  <c r="AU161" i="1" s="1"/>
  <c r="AR161" i="1"/>
  <c r="AS161" i="1" s="1"/>
  <c r="AP161" i="1"/>
  <c r="AQ161" i="1" s="1"/>
  <c r="AN161" i="1"/>
  <c r="AO161" i="1" s="1"/>
  <c r="AL161" i="1"/>
  <c r="AM161" i="1" s="1"/>
  <c r="AJ161" i="1"/>
  <c r="AK161" i="1" s="1"/>
  <c r="AH161" i="1"/>
  <c r="AI161" i="1" s="1"/>
  <c r="AF161" i="1"/>
  <c r="AG161" i="1" s="1"/>
  <c r="AD161" i="1"/>
  <c r="AE161" i="1" s="1"/>
  <c r="AB161" i="1"/>
  <c r="AC161" i="1" s="1"/>
  <c r="Z161" i="1"/>
  <c r="AA161" i="1" s="1"/>
  <c r="X161" i="1"/>
  <c r="Y161" i="1" s="1"/>
  <c r="V161" i="1"/>
  <c r="W161" i="1" s="1"/>
  <c r="T161" i="1"/>
  <c r="U161" i="1" s="1"/>
  <c r="Q161" i="1"/>
  <c r="AZ160" i="1"/>
  <c r="BA160" i="1" s="1"/>
  <c r="AX160" i="1"/>
  <c r="AY160" i="1" s="1"/>
  <c r="AV160" i="1"/>
  <c r="AW160" i="1" s="1"/>
  <c r="AT160" i="1"/>
  <c r="AU160" i="1" s="1"/>
  <c r="AR160" i="1"/>
  <c r="AS160" i="1" s="1"/>
  <c r="AP160" i="1"/>
  <c r="AQ160" i="1" s="1"/>
  <c r="AN160" i="1"/>
  <c r="AO160" i="1" s="1"/>
  <c r="AL160" i="1"/>
  <c r="AM160" i="1" s="1"/>
  <c r="AJ160" i="1"/>
  <c r="AK160" i="1" s="1"/>
  <c r="AH160" i="1"/>
  <c r="AI160" i="1" s="1"/>
  <c r="AF160" i="1"/>
  <c r="AG160" i="1" s="1"/>
  <c r="AD160" i="1"/>
  <c r="AE160" i="1" s="1"/>
  <c r="AB160" i="1"/>
  <c r="AC160" i="1" s="1"/>
  <c r="Z160" i="1"/>
  <c r="AA160" i="1" s="1"/>
  <c r="X160" i="1"/>
  <c r="Y160" i="1" s="1"/>
  <c r="V160" i="1"/>
  <c r="W160" i="1" s="1"/>
  <c r="T160" i="1"/>
  <c r="U160" i="1" s="1"/>
  <c r="Q160" i="1"/>
  <c r="AZ159" i="1"/>
  <c r="BA159" i="1" s="1"/>
  <c r="AX159" i="1"/>
  <c r="AY159" i="1" s="1"/>
  <c r="AV159" i="1"/>
  <c r="AW159" i="1" s="1"/>
  <c r="AT159" i="1"/>
  <c r="AU159" i="1" s="1"/>
  <c r="AR159" i="1"/>
  <c r="AS159" i="1" s="1"/>
  <c r="AP159" i="1"/>
  <c r="AQ159" i="1" s="1"/>
  <c r="AN159" i="1"/>
  <c r="AO159" i="1" s="1"/>
  <c r="AL159" i="1"/>
  <c r="AM159" i="1" s="1"/>
  <c r="AJ159" i="1"/>
  <c r="AK159" i="1" s="1"/>
  <c r="AH159" i="1"/>
  <c r="AI159" i="1" s="1"/>
  <c r="AF159" i="1"/>
  <c r="AG159" i="1" s="1"/>
  <c r="AD159" i="1"/>
  <c r="AE159" i="1" s="1"/>
  <c r="AB159" i="1"/>
  <c r="AC159" i="1" s="1"/>
  <c r="Z159" i="1"/>
  <c r="AA159" i="1" s="1"/>
  <c r="X159" i="1"/>
  <c r="Y159" i="1" s="1"/>
  <c r="V159" i="1"/>
  <c r="W159" i="1" s="1"/>
  <c r="T159" i="1"/>
  <c r="U159" i="1" s="1"/>
  <c r="Q159" i="1"/>
  <c r="AZ158" i="1"/>
  <c r="BA158" i="1" s="1"/>
  <c r="AX158" i="1"/>
  <c r="AY158" i="1" s="1"/>
  <c r="AV158" i="1"/>
  <c r="AW158" i="1" s="1"/>
  <c r="AT158" i="1"/>
  <c r="AU158" i="1" s="1"/>
  <c r="AR158" i="1"/>
  <c r="AS158" i="1" s="1"/>
  <c r="AP158" i="1"/>
  <c r="AQ158" i="1" s="1"/>
  <c r="AN158" i="1"/>
  <c r="AO158" i="1" s="1"/>
  <c r="AL158" i="1"/>
  <c r="AM158" i="1" s="1"/>
  <c r="AJ158" i="1"/>
  <c r="AK158" i="1" s="1"/>
  <c r="AH158" i="1"/>
  <c r="AI158" i="1" s="1"/>
  <c r="AF158" i="1"/>
  <c r="AG158" i="1" s="1"/>
  <c r="AD158" i="1"/>
  <c r="AE158" i="1" s="1"/>
  <c r="AB158" i="1"/>
  <c r="AC158" i="1" s="1"/>
  <c r="Z158" i="1"/>
  <c r="AA158" i="1" s="1"/>
  <c r="X158" i="1"/>
  <c r="Y158" i="1" s="1"/>
  <c r="V158" i="1"/>
  <c r="W158" i="1" s="1"/>
  <c r="T158" i="1"/>
  <c r="U158" i="1" s="1"/>
  <c r="Q158" i="1"/>
  <c r="AZ157" i="1"/>
  <c r="BA157" i="1" s="1"/>
  <c r="AX157" i="1"/>
  <c r="AY157" i="1" s="1"/>
  <c r="AV157" i="1"/>
  <c r="AW157" i="1" s="1"/>
  <c r="AT157" i="1"/>
  <c r="AU157" i="1" s="1"/>
  <c r="AR157" i="1"/>
  <c r="AS157" i="1" s="1"/>
  <c r="AP157" i="1"/>
  <c r="AQ157" i="1" s="1"/>
  <c r="AN157" i="1"/>
  <c r="AO157" i="1" s="1"/>
  <c r="AL157" i="1"/>
  <c r="AM157" i="1" s="1"/>
  <c r="AJ157" i="1"/>
  <c r="AK157" i="1" s="1"/>
  <c r="AH157" i="1"/>
  <c r="AI157" i="1" s="1"/>
  <c r="AF157" i="1"/>
  <c r="AG157" i="1" s="1"/>
  <c r="AD157" i="1"/>
  <c r="AE157" i="1" s="1"/>
  <c r="AB157" i="1"/>
  <c r="AC157" i="1" s="1"/>
  <c r="Z157" i="1"/>
  <c r="AA157" i="1" s="1"/>
  <c r="X157" i="1"/>
  <c r="Y157" i="1" s="1"/>
  <c r="V157" i="1"/>
  <c r="W157" i="1" s="1"/>
  <c r="T157" i="1"/>
  <c r="U157" i="1" s="1"/>
  <c r="Q157" i="1"/>
  <c r="AZ156" i="1"/>
  <c r="BA156" i="1" s="1"/>
  <c r="AX156" i="1"/>
  <c r="AY156" i="1" s="1"/>
  <c r="AV156" i="1"/>
  <c r="AW156" i="1" s="1"/>
  <c r="AT156" i="1"/>
  <c r="AU156" i="1" s="1"/>
  <c r="AR156" i="1"/>
  <c r="AS156" i="1" s="1"/>
  <c r="AP156" i="1"/>
  <c r="AQ156" i="1" s="1"/>
  <c r="AN156" i="1"/>
  <c r="AO156" i="1" s="1"/>
  <c r="AL156" i="1"/>
  <c r="AM156" i="1" s="1"/>
  <c r="AJ156" i="1"/>
  <c r="AK156" i="1" s="1"/>
  <c r="AH156" i="1"/>
  <c r="AI156" i="1" s="1"/>
  <c r="AF156" i="1"/>
  <c r="AG156" i="1" s="1"/>
  <c r="AD156" i="1"/>
  <c r="AE156" i="1" s="1"/>
  <c r="AB156" i="1"/>
  <c r="AC156" i="1" s="1"/>
  <c r="Z156" i="1"/>
  <c r="AA156" i="1" s="1"/>
  <c r="X156" i="1"/>
  <c r="Y156" i="1" s="1"/>
  <c r="V156" i="1"/>
  <c r="W156" i="1" s="1"/>
  <c r="T156" i="1"/>
  <c r="U156" i="1" s="1"/>
  <c r="Q156" i="1"/>
  <c r="AZ155" i="1"/>
  <c r="BA155" i="1" s="1"/>
  <c r="AX155" i="1"/>
  <c r="AY155" i="1" s="1"/>
  <c r="AV155" i="1"/>
  <c r="AW155" i="1" s="1"/>
  <c r="AT155" i="1"/>
  <c r="AU155" i="1" s="1"/>
  <c r="AR155" i="1"/>
  <c r="AS155" i="1" s="1"/>
  <c r="AP155" i="1"/>
  <c r="AQ155" i="1" s="1"/>
  <c r="AN155" i="1"/>
  <c r="AO155" i="1" s="1"/>
  <c r="AL155" i="1"/>
  <c r="AM155" i="1" s="1"/>
  <c r="AJ155" i="1"/>
  <c r="AK155" i="1" s="1"/>
  <c r="AH155" i="1"/>
  <c r="AI155" i="1" s="1"/>
  <c r="AF155" i="1"/>
  <c r="AG155" i="1" s="1"/>
  <c r="AD155" i="1"/>
  <c r="AE155" i="1" s="1"/>
  <c r="AB155" i="1"/>
  <c r="AC155" i="1" s="1"/>
  <c r="Z155" i="1"/>
  <c r="AA155" i="1" s="1"/>
  <c r="X155" i="1"/>
  <c r="Y155" i="1" s="1"/>
  <c r="V155" i="1"/>
  <c r="W155" i="1" s="1"/>
  <c r="T155" i="1"/>
  <c r="U155" i="1" s="1"/>
  <c r="Q155" i="1"/>
  <c r="AZ154" i="1"/>
  <c r="BA154" i="1" s="1"/>
  <c r="AX154" i="1"/>
  <c r="AY154" i="1" s="1"/>
  <c r="AV154" i="1"/>
  <c r="AW154" i="1" s="1"/>
  <c r="AT154" i="1"/>
  <c r="AU154" i="1" s="1"/>
  <c r="AR154" i="1"/>
  <c r="AS154" i="1" s="1"/>
  <c r="AP154" i="1"/>
  <c r="AQ154" i="1" s="1"/>
  <c r="AN154" i="1"/>
  <c r="AO154" i="1" s="1"/>
  <c r="AL154" i="1"/>
  <c r="AM154" i="1" s="1"/>
  <c r="AJ154" i="1"/>
  <c r="AK154" i="1" s="1"/>
  <c r="AH154" i="1"/>
  <c r="AI154" i="1" s="1"/>
  <c r="AF154" i="1"/>
  <c r="AG154" i="1" s="1"/>
  <c r="AD154" i="1"/>
  <c r="AE154" i="1" s="1"/>
  <c r="AB154" i="1"/>
  <c r="AC154" i="1" s="1"/>
  <c r="Z154" i="1"/>
  <c r="AA154" i="1" s="1"/>
  <c r="X154" i="1"/>
  <c r="Y154" i="1" s="1"/>
  <c r="V154" i="1"/>
  <c r="W154" i="1" s="1"/>
  <c r="T154" i="1"/>
  <c r="U154" i="1" s="1"/>
  <c r="Q154" i="1"/>
  <c r="AZ153" i="1"/>
  <c r="BA153" i="1" s="1"/>
  <c r="AX153" i="1"/>
  <c r="AY153" i="1" s="1"/>
  <c r="AV153" i="1"/>
  <c r="AW153" i="1" s="1"/>
  <c r="AT153" i="1"/>
  <c r="AU153" i="1" s="1"/>
  <c r="AR153" i="1"/>
  <c r="AS153" i="1" s="1"/>
  <c r="AP153" i="1"/>
  <c r="AQ153" i="1" s="1"/>
  <c r="AN153" i="1"/>
  <c r="AO153" i="1" s="1"/>
  <c r="AL153" i="1"/>
  <c r="AM153" i="1" s="1"/>
  <c r="AJ153" i="1"/>
  <c r="AK153" i="1" s="1"/>
  <c r="AH153" i="1"/>
  <c r="AI153" i="1" s="1"/>
  <c r="AF153" i="1"/>
  <c r="AG153" i="1" s="1"/>
  <c r="AD153" i="1"/>
  <c r="AE153" i="1" s="1"/>
  <c r="AB153" i="1"/>
  <c r="AC153" i="1" s="1"/>
  <c r="Z153" i="1"/>
  <c r="AA153" i="1" s="1"/>
  <c r="X153" i="1"/>
  <c r="Y153" i="1" s="1"/>
  <c r="V153" i="1"/>
  <c r="W153" i="1" s="1"/>
  <c r="T153" i="1"/>
  <c r="U153" i="1" s="1"/>
  <c r="Q153" i="1"/>
  <c r="AZ152" i="1"/>
  <c r="BA152" i="1" s="1"/>
  <c r="AX152" i="1"/>
  <c r="AY152" i="1" s="1"/>
  <c r="AV152" i="1"/>
  <c r="AW152" i="1" s="1"/>
  <c r="AT152" i="1"/>
  <c r="AU152" i="1" s="1"/>
  <c r="AR152" i="1"/>
  <c r="AS152" i="1" s="1"/>
  <c r="AP152" i="1"/>
  <c r="AQ152" i="1" s="1"/>
  <c r="AN152" i="1"/>
  <c r="AO152" i="1" s="1"/>
  <c r="AL152" i="1"/>
  <c r="AM152" i="1" s="1"/>
  <c r="AJ152" i="1"/>
  <c r="AK152" i="1" s="1"/>
  <c r="AH152" i="1"/>
  <c r="AI152" i="1" s="1"/>
  <c r="AF152" i="1"/>
  <c r="AG152" i="1" s="1"/>
  <c r="AD152" i="1"/>
  <c r="AE152" i="1" s="1"/>
  <c r="AB152" i="1"/>
  <c r="AC152" i="1" s="1"/>
  <c r="Z152" i="1"/>
  <c r="AA152" i="1" s="1"/>
  <c r="X152" i="1"/>
  <c r="Y152" i="1" s="1"/>
  <c r="V152" i="1"/>
  <c r="W152" i="1" s="1"/>
  <c r="T152" i="1"/>
  <c r="U152" i="1" s="1"/>
  <c r="Q152" i="1"/>
  <c r="AZ151" i="1"/>
  <c r="BA151" i="1" s="1"/>
  <c r="AX151" i="1"/>
  <c r="AY151" i="1" s="1"/>
  <c r="AV151" i="1"/>
  <c r="AW151" i="1" s="1"/>
  <c r="AT151" i="1"/>
  <c r="AU151" i="1" s="1"/>
  <c r="AR151" i="1"/>
  <c r="AS151" i="1" s="1"/>
  <c r="AP151" i="1"/>
  <c r="AQ151" i="1" s="1"/>
  <c r="AN151" i="1"/>
  <c r="AO151" i="1" s="1"/>
  <c r="AL151" i="1"/>
  <c r="AM151" i="1" s="1"/>
  <c r="AJ151" i="1"/>
  <c r="AK151" i="1" s="1"/>
  <c r="AH151" i="1"/>
  <c r="AI151" i="1" s="1"/>
  <c r="AF151" i="1"/>
  <c r="AG151" i="1" s="1"/>
  <c r="AD151" i="1"/>
  <c r="AE151" i="1" s="1"/>
  <c r="AB151" i="1"/>
  <c r="AC151" i="1" s="1"/>
  <c r="Z151" i="1"/>
  <c r="AA151" i="1" s="1"/>
  <c r="X151" i="1"/>
  <c r="Y151" i="1" s="1"/>
  <c r="V151" i="1"/>
  <c r="W151" i="1" s="1"/>
  <c r="T151" i="1"/>
  <c r="U151" i="1" s="1"/>
  <c r="Q151" i="1"/>
  <c r="AZ150" i="1"/>
  <c r="BA150" i="1" s="1"/>
  <c r="AX150" i="1"/>
  <c r="AY150" i="1" s="1"/>
  <c r="AV150" i="1"/>
  <c r="AW150" i="1" s="1"/>
  <c r="AT150" i="1"/>
  <c r="AU150" i="1" s="1"/>
  <c r="AR150" i="1"/>
  <c r="AS150" i="1" s="1"/>
  <c r="AP150" i="1"/>
  <c r="AQ150" i="1" s="1"/>
  <c r="AN150" i="1"/>
  <c r="AO150" i="1" s="1"/>
  <c r="AL150" i="1"/>
  <c r="AM150" i="1" s="1"/>
  <c r="AJ150" i="1"/>
  <c r="AK150" i="1" s="1"/>
  <c r="AH150" i="1"/>
  <c r="AI150" i="1" s="1"/>
  <c r="AF150" i="1"/>
  <c r="AG150" i="1" s="1"/>
  <c r="AD150" i="1"/>
  <c r="AE150" i="1" s="1"/>
  <c r="AB150" i="1"/>
  <c r="AC150" i="1" s="1"/>
  <c r="Z150" i="1"/>
  <c r="AA150" i="1" s="1"/>
  <c r="X150" i="1"/>
  <c r="Y150" i="1" s="1"/>
  <c r="V150" i="1"/>
  <c r="W150" i="1" s="1"/>
  <c r="T150" i="1"/>
  <c r="U150" i="1" s="1"/>
  <c r="Q150" i="1"/>
  <c r="AZ149" i="1"/>
  <c r="BA149" i="1" s="1"/>
  <c r="AX149" i="1"/>
  <c r="AY149" i="1" s="1"/>
  <c r="AV149" i="1"/>
  <c r="AW149" i="1" s="1"/>
  <c r="AT149" i="1"/>
  <c r="AU149" i="1" s="1"/>
  <c r="AR149" i="1"/>
  <c r="AS149" i="1" s="1"/>
  <c r="AP149" i="1"/>
  <c r="AQ149" i="1" s="1"/>
  <c r="AN149" i="1"/>
  <c r="AO149" i="1" s="1"/>
  <c r="AL149" i="1"/>
  <c r="AM149" i="1" s="1"/>
  <c r="AJ149" i="1"/>
  <c r="AK149" i="1" s="1"/>
  <c r="AH149" i="1"/>
  <c r="AI149" i="1" s="1"/>
  <c r="AF149" i="1"/>
  <c r="AG149" i="1" s="1"/>
  <c r="AD149" i="1"/>
  <c r="AE149" i="1" s="1"/>
  <c r="AB149" i="1"/>
  <c r="AC149" i="1" s="1"/>
  <c r="Z149" i="1"/>
  <c r="AA149" i="1" s="1"/>
  <c r="X149" i="1"/>
  <c r="Y149" i="1" s="1"/>
  <c r="V149" i="1"/>
  <c r="W149" i="1" s="1"/>
  <c r="T149" i="1"/>
  <c r="U149" i="1" s="1"/>
  <c r="Q149" i="1"/>
  <c r="AZ148" i="1"/>
  <c r="BA148" i="1" s="1"/>
  <c r="AX148" i="1"/>
  <c r="AY148" i="1" s="1"/>
  <c r="AV148" i="1"/>
  <c r="AW148" i="1" s="1"/>
  <c r="AT148" i="1"/>
  <c r="AU148" i="1" s="1"/>
  <c r="AR148" i="1"/>
  <c r="AS148" i="1" s="1"/>
  <c r="AP148" i="1"/>
  <c r="AQ148" i="1" s="1"/>
  <c r="AN148" i="1"/>
  <c r="AO148" i="1" s="1"/>
  <c r="AL148" i="1"/>
  <c r="AM148" i="1" s="1"/>
  <c r="AJ148" i="1"/>
  <c r="AK148" i="1" s="1"/>
  <c r="AH148" i="1"/>
  <c r="AI148" i="1" s="1"/>
  <c r="AF148" i="1"/>
  <c r="AG148" i="1" s="1"/>
  <c r="AD148" i="1"/>
  <c r="AE148" i="1" s="1"/>
  <c r="AB148" i="1"/>
  <c r="AC148" i="1" s="1"/>
  <c r="Z148" i="1"/>
  <c r="AA148" i="1" s="1"/>
  <c r="X148" i="1"/>
  <c r="Y148" i="1" s="1"/>
  <c r="V148" i="1"/>
  <c r="W148" i="1" s="1"/>
  <c r="T148" i="1"/>
  <c r="U148" i="1" s="1"/>
  <c r="Q148" i="1"/>
  <c r="AZ147" i="1"/>
  <c r="BA147" i="1" s="1"/>
  <c r="AX147" i="1"/>
  <c r="AY147" i="1" s="1"/>
  <c r="AV147" i="1"/>
  <c r="AW147" i="1" s="1"/>
  <c r="AT147" i="1"/>
  <c r="AU147" i="1" s="1"/>
  <c r="AR147" i="1"/>
  <c r="AS147" i="1" s="1"/>
  <c r="AP147" i="1"/>
  <c r="AQ147" i="1" s="1"/>
  <c r="AN147" i="1"/>
  <c r="AO147" i="1" s="1"/>
  <c r="AL147" i="1"/>
  <c r="AM147" i="1" s="1"/>
  <c r="AJ147" i="1"/>
  <c r="AK147" i="1" s="1"/>
  <c r="AH147" i="1"/>
  <c r="AI147" i="1" s="1"/>
  <c r="AF147" i="1"/>
  <c r="AG147" i="1" s="1"/>
  <c r="AD147" i="1"/>
  <c r="AE147" i="1" s="1"/>
  <c r="AB147" i="1"/>
  <c r="AC147" i="1" s="1"/>
  <c r="Z147" i="1"/>
  <c r="AA147" i="1" s="1"/>
  <c r="X147" i="1"/>
  <c r="Y147" i="1" s="1"/>
  <c r="V147" i="1"/>
  <c r="W147" i="1" s="1"/>
  <c r="T147" i="1"/>
  <c r="U147" i="1" s="1"/>
  <c r="Q147" i="1"/>
  <c r="AZ146" i="1"/>
  <c r="BA146" i="1" s="1"/>
  <c r="AX146" i="1"/>
  <c r="AY146" i="1" s="1"/>
  <c r="AV146" i="1"/>
  <c r="AW146" i="1" s="1"/>
  <c r="AT146" i="1"/>
  <c r="AU146" i="1" s="1"/>
  <c r="AR146" i="1"/>
  <c r="AS146" i="1" s="1"/>
  <c r="AP146" i="1"/>
  <c r="AQ146" i="1" s="1"/>
  <c r="AN146" i="1"/>
  <c r="AO146" i="1" s="1"/>
  <c r="AL146" i="1"/>
  <c r="AM146" i="1" s="1"/>
  <c r="AJ146" i="1"/>
  <c r="AK146" i="1" s="1"/>
  <c r="AH146" i="1"/>
  <c r="AI146" i="1" s="1"/>
  <c r="AF146" i="1"/>
  <c r="AG146" i="1" s="1"/>
  <c r="AD146" i="1"/>
  <c r="AE146" i="1" s="1"/>
  <c r="AB146" i="1"/>
  <c r="AC146" i="1" s="1"/>
  <c r="Z146" i="1"/>
  <c r="AA146" i="1" s="1"/>
  <c r="X146" i="1"/>
  <c r="V146" i="1"/>
  <c r="W146" i="1" s="1"/>
  <c r="T146" i="1"/>
  <c r="U146" i="1" s="1"/>
  <c r="Q146" i="1"/>
  <c r="AZ145" i="1"/>
  <c r="BA145" i="1" s="1"/>
  <c r="AX145" i="1"/>
  <c r="AY145" i="1" s="1"/>
  <c r="AV145" i="1"/>
  <c r="AW145" i="1" s="1"/>
  <c r="AT145" i="1"/>
  <c r="AU145" i="1" s="1"/>
  <c r="AR145" i="1"/>
  <c r="AS145" i="1" s="1"/>
  <c r="AP145" i="1"/>
  <c r="AQ145" i="1" s="1"/>
  <c r="AN145" i="1"/>
  <c r="AO145" i="1" s="1"/>
  <c r="AL145" i="1"/>
  <c r="AM145" i="1" s="1"/>
  <c r="AJ145" i="1"/>
  <c r="AK145" i="1" s="1"/>
  <c r="AH145" i="1"/>
  <c r="AI145" i="1" s="1"/>
  <c r="AF145" i="1"/>
  <c r="AG145" i="1" s="1"/>
  <c r="AD145" i="1"/>
  <c r="AE145" i="1" s="1"/>
  <c r="AB145" i="1"/>
  <c r="AC145" i="1" s="1"/>
  <c r="Z145" i="1"/>
  <c r="AA145" i="1" s="1"/>
  <c r="X145" i="1"/>
  <c r="Y145" i="1" s="1"/>
  <c r="V145" i="1"/>
  <c r="W145" i="1" s="1"/>
  <c r="T145" i="1"/>
  <c r="U145" i="1" s="1"/>
  <c r="Q145" i="1"/>
  <c r="AZ144" i="1"/>
  <c r="BA144" i="1" s="1"/>
  <c r="AX144" i="1"/>
  <c r="AY144" i="1" s="1"/>
  <c r="AV144" i="1"/>
  <c r="AW144" i="1" s="1"/>
  <c r="AT144" i="1"/>
  <c r="AU144" i="1" s="1"/>
  <c r="AR144" i="1"/>
  <c r="AS144" i="1" s="1"/>
  <c r="AP144" i="1"/>
  <c r="AQ144" i="1" s="1"/>
  <c r="AN144" i="1"/>
  <c r="AO144" i="1" s="1"/>
  <c r="AL144" i="1"/>
  <c r="AM144" i="1" s="1"/>
  <c r="AJ144" i="1"/>
  <c r="AK144" i="1" s="1"/>
  <c r="AH144" i="1"/>
  <c r="AI144" i="1" s="1"/>
  <c r="AF144" i="1"/>
  <c r="AG144" i="1" s="1"/>
  <c r="AD144" i="1"/>
  <c r="AE144" i="1" s="1"/>
  <c r="AB144" i="1"/>
  <c r="AC144" i="1" s="1"/>
  <c r="Z144" i="1"/>
  <c r="AA144" i="1" s="1"/>
  <c r="X144" i="1"/>
  <c r="Y144" i="1" s="1"/>
  <c r="V144" i="1"/>
  <c r="W144" i="1" s="1"/>
  <c r="T144" i="1"/>
  <c r="U144" i="1" s="1"/>
  <c r="Q144" i="1"/>
  <c r="AZ143" i="1"/>
  <c r="BA143" i="1" s="1"/>
  <c r="AX143" i="1"/>
  <c r="AY143" i="1" s="1"/>
  <c r="AV143" i="1"/>
  <c r="AW143" i="1" s="1"/>
  <c r="AT143" i="1"/>
  <c r="AU143" i="1" s="1"/>
  <c r="AR143" i="1"/>
  <c r="AS143" i="1" s="1"/>
  <c r="AP143" i="1"/>
  <c r="AQ143" i="1" s="1"/>
  <c r="AN143" i="1"/>
  <c r="AO143" i="1" s="1"/>
  <c r="AL143" i="1"/>
  <c r="AM143" i="1" s="1"/>
  <c r="AJ143" i="1"/>
  <c r="AK143" i="1" s="1"/>
  <c r="AH143" i="1"/>
  <c r="AI143" i="1" s="1"/>
  <c r="AF143" i="1"/>
  <c r="AG143" i="1" s="1"/>
  <c r="AD143" i="1"/>
  <c r="AE143" i="1" s="1"/>
  <c r="AB143" i="1"/>
  <c r="AC143" i="1" s="1"/>
  <c r="Z143" i="1"/>
  <c r="AA143" i="1" s="1"/>
  <c r="X143" i="1"/>
  <c r="Y143" i="1" s="1"/>
  <c r="V143" i="1"/>
  <c r="W143" i="1" s="1"/>
  <c r="T143" i="1"/>
  <c r="U143" i="1" s="1"/>
  <c r="Q143" i="1"/>
  <c r="AZ142" i="1"/>
  <c r="BA142" i="1" s="1"/>
  <c r="AX142" i="1"/>
  <c r="AY142" i="1" s="1"/>
  <c r="AV142" i="1"/>
  <c r="AW142" i="1" s="1"/>
  <c r="AT142" i="1"/>
  <c r="AU142" i="1" s="1"/>
  <c r="AR142" i="1"/>
  <c r="AS142" i="1" s="1"/>
  <c r="AP142" i="1"/>
  <c r="AQ142" i="1" s="1"/>
  <c r="AN142" i="1"/>
  <c r="AO142" i="1" s="1"/>
  <c r="AL142" i="1"/>
  <c r="AM142" i="1" s="1"/>
  <c r="AJ142" i="1"/>
  <c r="AK142" i="1" s="1"/>
  <c r="AH142" i="1"/>
  <c r="AI142" i="1" s="1"/>
  <c r="AF142" i="1"/>
  <c r="AG142" i="1" s="1"/>
  <c r="AD142" i="1"/>
  <c r="AE142" i="1" s="1"/>
  <c r="AB142" i="1"/>
  <c r="AC142" i="1" s="1"/>
  <c r="Z142" i="1"/>
  <c r="AA142" i="1" s="1"/>
  <c r="X142" i="1"/>
  <c r="Y142" i="1" s="1"/>
  <c r="V142" i="1"/>
  <c r="W142" i="1" s="1"/>
  <c r="T142" i="1"/>
  <c r="U142" i="1" s="1"/>
  <c r="Q142" i="1"/>
  <c r="AZ141" i="1"/>
  <c r="BA141" i="1" s="1"/>
  <c r="AX141" i="1"/>
  <c r="AY141" i="1" s="1"/>
  <c r="AV141" i="1"/>
  <c r="AW141" i="1" s="1"/>
  <c r="AT141" i="1"/>
  <c r="AU141" i="1" s="1"/>
  <c r="AR141" i="1"/>
  <c r="AS141" i="1" s="1"/>
  <c r="AP141" i="1"/>
  <c r="AQ141" i="1" s="1"/>
  <c r="AN141" i="1"/>
  <c r="AO141" i="1" s="1"/>
  <c r="AL141" i="1"/>
  <c r="AM141" i="1" s="1"/>
  <c r="AJ141" i="1"/>
  <c r="AK141" i="1" s="1"/>
  <c r="AH141" i="1"/>
  <c r="AI141" i="1" s="1"/>
  <c r="AF141" i="1"/>
  <c r="AG141" i="1" s="1"/>
  <c r="AD141" i="1"/>
  <c r="AE141" i="1" s="1"/>
  <c r="AB141" i="1"/>
  <c r="AC141" i="1" s="1"/>
  <c r="Z141" i="1"/>
  <c r="AA141" i="1" s="1"/>
  <c r="X141" i="1"/>
  <c r="Y141" i="1" s="1"/>
  <c r="V141" i="1"/>
  <c r="W141" i="1" s="1"/>
  <c r="T141" i="1"/>
  <c r="U141" i="1" s="1"/>
  <c r="Q141" i="1"/>
  <c r="AZ140" i="1"/>
  <c r="BA140" i="1" s="1"/>
  <c r="AX140" i="1"/>
  <c r="AY140" i="1" s="1"/>
  <c r="AV140" i="1"/>
  <c r="AW140" i="1" s="1"/>
  <c r="AT140" i="1"/>
  <c r="AU140" i="1" s="1"/>
  <c r="AR140" i="1"/>
  <c r="AS140" i="1" s="1"/>
  <c r="AP140" i="1"/>
  <c r="AQ140" i="1" s="1"/>
  <c r="AN140" i="1"/>
  <c r="AO140" i="1" s="1"/>
  <c r="AL140" i="1"/>
  <c r="AM140" i="1" s="1"/>
  <c r="AJ140" i="1"/>
  <c r="AK140" i="1" s="1"/>
  <c r="AH140" i="1"/>
  <c r="AI140" i="1" s="1"/>
  <c r="AF140" i="1"/>
  <c r="AG140" i="1" s="1"/>
  <c r="AD140" i="1"/>
  <c r="AE140" i="1" s="1"/>
  <c r="AB140" i="1"/>
  <c r="AC140" i="1" s="1"/>
  <c r="Z140" i="1"/>
  <c r="AA140" i="1" s="1"/>
  <c r="X140" i="1"/>
  <c r="Y140" i="1" s="1"/>
  <c r="V140" i="1"/>
  <c r="W140" i="1" s="1"/>
  <c r="T140" i="1"/>
  <c r="U140" i="1" s="1"/>
  <c r="Q140" i="1"/>
  <c r="AZ139" i="1"/>
  <c r="BA139" i="1" s="1"/>
  <c r="AX139" i="1"/>
  <c r="AY139" i="1" s="1"/>
  <c r="AV139" i="1"/>
  <c r="AW139" i="1" s="1"/>
  <c r="AT139" i="1"/>
  <c r="AU139" i="1" s="1"/>
  <c r="AR139" i="1"/>
  <c r="AS139" i="1" s="1"/>
  <c r="AP139" i="1"/>
  <c r="AQ139" i="1" s="1"/>
  <c r="AN139" i="1"/>
  <c r="AO139" i="1" s="1"/>
  <c r="AL139" i="1"/>
  <c r="AM139" i="1" s="1"/>
  <c r="AJ139" i="1"/>
  <c r="AK139" i="1" s="1"/>
  <c r="AH139" i="1"/>
  <c r="AI139" i="1" s="1"/>
  <c r="AF139" i="1"/>
  <c r="AG139" i="1" s="1"/>
  <c r="AD139" i="1"/>
  <c r="AE139" i="1" s="1"/>
  <c r="AB139" i="1"/>
  <c r="AC139" i="1" s="1"/>
  <c r="Z139" i="1"/>
  <c r="AA139" i="1" s="1"/>
  <c r="X139" i="1"/>
  <c r="Y139" i="1" s="1"/>
  <c r="V139" i="1"/>
  <c r="W139" i="1" s="1"/>
  <c r="T139" i="1"/>
  <c r="U139" i="1" s="1"/>
  <c r="Q139" i="1"/>
  <c r="AZ138" i="1"/>
  <c r="BA138" i="1" s="1"/>
  <c r="AX138" i="1"/>
  <c r="AY138" i="1" s="1"/>
  <c r="AV138" i="1"/>
  <c r="AW138" i="1" s="1"/>
  <c r="AT138" i="1"/>
  <c r="AU138" i="1" s="1"/>
  <c r="AR138" i="1"/>
  <c r="AS138" i="1" s="1"/>
  <c r="AP138" i="1"/>
  <c r="AQ138" i="1" s="1"/>
  <c r="AN138" i="1"/>
  <c r="AO138" i="1" s="1"/>
  <c r="AL138" i="1"/>
  <c r="AM138" i="1" s="1"/>
  <c r="AJ138" i="1"/>
  <c r="AK138" i="1" s="1"/>
  <c r="AH138" i="1"/>
  <c r="AI138" i="1" s="1"/>
  <c r="AF138" i="1"/>
  <c r="AG138" i="1" s="1"/>
  <c r="AD138" i="1"/>
  <c r="AE138" i="1" s="1"/>
  <c r="AB138" i="1"/>
  <c r="AC138" i="1" s="1"/>
  <c r="Z138" i="1"/>
  <c r="AA138" i="1" s="1"/>
  <c r="X138" i="1"/>
  <c r="Y138" i="1" s="1"/>
  <c r="V138" i="1"/>
  <c r="W138" i="1" s="1"/>
  <c r="T138" i="1"/>
  <c r="U138" i="1" s="1"/>
  <c r="Q138" i="1"/>
  <c r="AZ136" i="1"/>
  <c r="BA136" i="1" s="1"/>
  <c r="AX136" i="1"/>
  <c r="AY136" i="1" s="1"/>
  <c r="AV136" i="1"/>
  <c r="AW136" i="1" s="1"/>
  <c r="AT136" i="1"/>
  <c r="AU136" i="1" s="1"/>
  <c r="AR136" i="1"/>
  <c r="AS136" i="1" s="1"/>
  <c r="AP136" i="1"/>
  <c r="AQ136" i="1" s="1"/>
  <c r="AN136" i="1"/>
  <c r="AO136" i="1" s="1"/>
  <c r="AL136" i="1"/>
  <c r="AM136" i="1" s="1"/>
  <c r="AJ136" i="1"/>
  <c r="AK136" i="1" s="1"/>
  <c r="AH136" i="1"/>
  <c r="AI136" i="1" s="1"/>
  <c r="AF136" i="1"/>
  <c r="AG136" i="1" s="1"/>
  <c r="AD136" i="1"/>
  <c r="AE136" i="1" s="1"/>
  <c r="AB136" i="1"/>
  <c r="AC136" i="1" s="1"/>
  <c r="Z136" i="1"/>
  <c r="AA136" i="1" s="1"/>
  <c r="X136" i="1"/>
  <c r="Y136" i="1" s="1"/>
  <c r="V136" i="1"/>
  <c r="W136" i="1" s="1"/>
  <c r="T136" i="1"/>
  <c r="Q136" i="1"/>
  <c r="AZ135" i="1"/>
  <c r="BA135" i="1" s="1"/>
  <c r="AX135" i="1"/>
  <c r="AY135" i="1" s="1"/>
  <c r="AV135" i="1"/>
  <c r="AW135" i="1" s="1"/>
  <c r="AT135" i="1"/>
  <c r="AU135" i="1" s="1"/>
  <c r="AR135" i="1"/>
  <c r="AS135" i="1" s="1"/>
  <c r="AP135" i="1"/>
  <c r="AQ135" i="1" s="1"/>
  <c r="AN135" i="1"/>
  <c r="AO135" i="1" s="1"/>
  <c r="AL135" i="1"/>
  <c r="AM135" i="1" s="1"/>
  <c r="AJ135" i="1"/>
  <c r="AK135" i="1" s="1"/>
  <c r="AH135" i="1"/>
  <c r="AI135" i="1" s="1"/>
  <c r="AF135" i="1"/>
  <c r="AG135" i="1" s="1"/>
  <c r="AD135" i="1"/>
  <c r="AE135" i="1" s="1"/>
  <c r="AB135" i="1"/>
  <c r="AC135" i="1" s="1"/>
  <c r="Z135" i="1"/>
  <c r="AA135" i="1" s="1"/>
  <c r="X135" i="1"/>
  <c r="Y135" i="1" s="1"/>
  <c r="V135" i="1"/>
  <c r="W135" i="1" s="1"/>
  <c r="T135" i="1"/>
  <c r="U135" i="1" s="1"/>
  <c r="Q135" i="1"/>
  <c r="AZ134" i="1"/>
  <c r="BA134" i="1" s="1"/>
  <c r="AX134" i="1"/>
  <c r="AY134" i="1" s="1"/>
  <c r="AV134" i="1"/>
  <c r="AW134" i="1" s="1"/>
  <c r="AT134" i="1"/>
  <c r="AU134" i="1" s="1"/>
  <c r="AR134" i="1"/>
  <c r="AS134" i="1" s="1"/>
  <c r="AP134" i="1"/>
  <c r="AQ134" i="1" s="1"/>
  <c r="AN134" i="1"/>
  <c r="AO134" i="1" s="1"/>
  <c r="AL134" i="1"/>
  <c r="AM134" i="1" s="1"/>
  <c r="AJ134" i="1"/>
  <c r="AK134" i="1" s="1"/>
  <c r="AH134" i="1"/>
  <c r="AI134" i="1" s="1"/>
  <c r="AF134" i="1"/>
  <c r="AG134" i="1" s="1"/>
  <c r="AD134" i="1"/>
  <c r="AE134" i="1" s="1"/>
  <c r="AB134" i="1"/>
  <c r="AC134" i="1" s="1"/>
  <c r="Z134" i="1"/>
  <c r="AA134" i="1" s="1"/>
  <c r="X134" i="1"/>
  <c r="Y134" i="1" s="1"/>
  <c r="V134" i="1"/>
  <c r="W134" i="1" s="1"/>
  <c r="T134" i="1"/>
  <c r="U134" i="1" s="1"/>
  <c r="Q134" i="1"/>
  <c r="AZ133" i="1"/>
  <c r="BA133" i="1" s="1"/>
  <c r="AX133" i="1"/>
  <c r="AY133" i="1" s="1"/>
  <c r="AV133" i="1"/>
  <c r="AW133" i="1" s="1"/>
  <c r="AT133" i="1"/>
  <c r="AU133" i="1" s="1"/>
  <c r="AR133" i="1"/>
  <c r="AS133" i="1" s="1"/>
  <c r="AP133" i="1"/>
  <c r="AQ133" i="1" s="1"/>
  <c r="AN133" i="1"/>
  <c r="AO133" i="1" s="1"/>
  <c r="AL133" i="1"/>
  <c r="AM133" i="1" s="1"/>
  <c r="AJ133" i="1"/>
  <c r="AK133" i="1" s="1"/>
  <c r="AH133" i="1"/>
  <c r="AI133" i="1" s="1"/>
  <c r="AF133" i="1"/>
  <c r="AG133" i="1" s="1"/>
  <c r="AD133" i="1"/>
  <c r="AE133" i="1" s="1"/>
  <c r="AB133" i="1"/>
  <c r="AC133" i="1" s="1"/>
  <c r="Z133" i="1"/>
  <c r="AA133" i="1" s="1"/>
  <c r="X133" i="1"/>
  <c r="Y133" i="1" s="1"/>
  <c r="V133" i="1"/>
  <c r="W133" i="1" s="1"/>
  <c r="T133" i="1"/>
  <c r="U133" i="1" s="1"/>
  <c r="Q133" i="1"/>
  <c r="AZ132" i="1"/>
  <c r="BA132" i="1" s="1"/>
  <c r="AX132" i="1"/>
  <c r="AY132" i="1" s="1"/>
  <c r="AV132" i="1"/>
  <c r="AW132" i="1" s="1"/>
  <c r="AT132" i="1"/>
  <c r="AU132" i="1" s="1"/>
  <c r="AR132" i="1"/>
  <c r="AS132" i="1" s="1"/>
  <c r="AP132" i="1"/>
  <c r="AQ132" i="1" s="1"/>
  <c r="AN132" i="1"/>
  <c r="AO132" i="1" s="1"/>
  <c r="AL132" i="1"/>
  <c r="AM132" i="1" s="1"/>
  <c r="AJ132" i="1"/>
  <c r="AK132" i="1" s="1"/>
  <c r="AH132" i="1"/>
  <c r="AI132" i="1" s="1"/>
  <c r="AF132" i="1"/>
  <c r="AG132" i="1" s="1"/>
  <c r="AD132" i="1"/>
  <c r="AE132" i="1" s="1"/>
  <c r="AB132" i="1"/>
  <c r="AC132" i="1" s="1"/>
  <c r="Z132" i="1"/>
  <c r="AA132" i="1" s="1"/>
  <c r="X132" i="1"/>
  <c r="Y132" i="1" s="1"/>
  <c r="V132" i="1"/>
  <c r="W132" i="1" s="1"/>
  <c r="T132" i="1"/>
  <c r="U132" i="1" s="1"/>
  <c r="Q132" i="1"/>
  <c r="AZ131" i="1"/>
  <c r="BA131" i="1" s="1"/>
  <c r="AX131" i="1"/>
  <c r="AY131" i="1" s="1"/>
  <c r="AV131" i="1"/>
  <c r="AW131" i="1" s="1"/>
  <c r="AT131" i="1"/>
  <c r="AU131" i="1" s="1"/>
  <c r="AR131" i="1"/>
  <c r="AS131" i="1" s="1"/>
  <c r="AP131" i="1"/>
  <c r="AQ131" i="1" s="1"/>
  <c r="AN131" i="1"/>
  <c r="AO131" i="1" s="1"/>
  <c r="AL131" i="1"/>
  <c r="AM131" i="1" s="1"/>
  <c r="AJ131" i="1"/>
  <c r="AK131" i="1" s="1"/>
  <c r="AH131" i="1"/>
  <c r="AI131" i="1" s="1"/>
  <c r="AF131" i="1"/>
  <c r="AG131" i="1" s="1"/>
  <c r="AD131" i="1"/>
  <c r="AE131" i="1" s="1"/>
  <c r="AB131" i="1"/>
  <c r="AC131" i="1" s="1"/>
  <c r="Z131" i="1"/>
  <c r="AA131" i="1" s="1"/>
  <c r="X131" i="1"/>
  <c r="Y131" i="1" s="1"/>
  <c r="V131" i="1"/>
  <c r="W131" i="1" s="1"/>
  <c r="T131" i="1"/>
  <c r="U131" i="1" s="1"/>
  <c r="Q131" i="1"/>
  <c r="AZ130" i="1"/>
  <c r="BA130" i="1" s="1"/>
  <c r="AX130" i="1"/>
  <c r="AY130" i="1" s="1"/>
  <c r="AV130" i="1"/>
  <c r="AW130" i="1" s="1"/>
  <c r="AT130" i="1"/>
  <c r="AU130" i="1" s="1"/>
  <c r="AR130" i="1"/>
  <c r="AS130" i="1" s="1"/>
  <c r="AP130" i="1"/>
  <c r="AQ130" i="1" s="1"/>
  <c r="AN130" i="1"/>
  <c r="AO130" i="1" s="1"/>
  <c r="AL130" i="1"/>
  <c r="AM130" i="1" s="1"/>
  <c r="AJ130" i="1"/>
  <c r="AK130" i="1" s="1"/>
  <c r="AH130" i="1"/>
  <c r="AI130" i="1" s="1"/>
  <c r="AF130" i="1"/>
  <c r="AG130" i="1" s="1"/>
  <c r="AD130" i="1"/>
  <c r="AE130" i="1" s="1"/>
  <c r="AB130" i="1"/>
  <c r="AC130" i="1" s="1"/>
  <c r="Z130" i="1"/>
  <c r="AA130" i="1" s="1"/>
  <c r="X130" i="1"/>
  <c r="Y130" i="1" s="1"/>
  <c r="V130" i="1"/>
  <c r="W130" i="1" s="1"/>
  <c r="T130" i="1"/>
  <c r="Q130" i="1"/>
  <c r="AZ129" i="1"/>
  <c r="BA129" i="1" s="1"/>
  <c r="AX129" i="1"/>
  <c r="AY129" i="1" s="1"/>
  <c r="AV129" i="1"/>
  <c r="AW129" i="1" s="1"/>
  <c r="AT129" i="1"/>
  <c r="AU129" i="1" s="1"/>
  <c r="AR129" i="1"/>
  <c r="AS129" i="1" s="1"/>
  <c r="AP129" i="1"/>
  <c r="AQ129" i="1" s="1"/>
  <c r="AN129" i="1"/>
  <c r="AO129" i="1" s="1"/>
  <c r="AL129" i="1"/>
  <c r="AM129" i="1" s="1"/>
  <c r="AJ129" i="1"/>
  <c r="AK129" i="1" s="1"/>
  <c r="AH129" i="1"/>
  <c r="AI129" i="1" s="1"/>
  <c r="AF129" i="1"/>
  <c r="AG129" i="1" s="1"/>
  <c r="AD129" i="1"/>
  <c r="AE129" i="1" s="1"/>
  <c r="AB129" i="1"/>
  <c r="AC129" i="1" s="1"/>
  <c r="Z129" i="1"/>
  <c r="AA129" i="1" s="1"/>
  <c r="X129" i="1"/>
  <c r="Y129" i="1" s="1"/>
  <c r="V129" i="1"/>
  <c r="W129" i="1" s="1"/>
  <c r="T129" i="1"/>
  <c r="U129" i="1" s="1"/>
  <c r="Q129" i="1"/>
  <c r="AZ128" i="1"/>
  <c r="BA128" i="1" s="1"/>
  <c r="AX128" i="1"/>
  <c r="AY128" i="1" s="1"/>
  <c r="AV128" i="1"/>
  <c r="AW128" i="1" s="1"/>
  <c r="AT128" i="1"/>
  <c r="AU128" i="1" s="1"/>
  <c r="AR128" i="1"/>
  <c r="AS128" i="1" s="1"/>
  <c r="AP128" i="1"/>
  <c r="AQ128" i="1" s="1"/>
  <c r="AN128" i="1"/>
  <c r="AO128" i="1" s="1"/>
  <c r="AL128" i="1"/>
  <c r="AM128" i="1" s="1"/>
  <c r="AJ128" i="1"/>
  <c r="AK128" i="1" s="1"/>
  <c r="AH128" i="1"/>
  <c r="AI128" i="1" s="1"/>
  <c r="AF128" i="1"/>
  <c r="AG128" i="1" s="1"/>
  <c r="AD128" i="1"/>
  <c r="AE128" i="1" s="1"/>
  <c r="AB128" i="1"/>
  <c r="AC128" i="1" s="1"/>
  <c r="Z128" i="1"/>
  <c r="AA128" i="1" s="1"/>
  <c r="X128" i="1"/>
  <c r="Y128" i="1" s="1"/>
  <c r="V128" i="1"/>
  <c r="W128" i="1" s="1"/>
  <c r="T128" i="1"/>
  <c r="U128" i="1" s="1"/>
  <c r="Q128" i="1"/>
  <c r="AZ127" i="1"/>
  <c r="BA127" i="1" s="1"/>
  <c r="AX127" i="1"/>
  <c r="AY127" i="1" s="1"/>
  <c r="AV127" i="1"/>
  <c r="AW127" i="1" s="1"/>
  <c r="AT127" i="1"/>
  <c r="AU127" i="1" s="1"/>
  <c r="AR127" i="1"/>
  <c r="AS127" i="1" s="1"/>
  <c r="AP127" i="1"/>
  <c r="AQ127" i="1" s="1"/>
  <c r="AN127" i="1"/>
  <c r="AO127" i="1" s="1"/>
  <c r="AL127" i="1"/>
  <c r="AM127" i="1" s="1"/>
  <c r="AJ127" i="1"/>
  <c r="AK127" i="1" s="1"/>
  <c r="AH127" i="1"/>
  <c r="AI127" i="1" s="1"/>
  <c r="AF127" i="1"/>
  <c r="AG127" i="1" s="1"/>
  <c r="AD127" i="1"/>
  <c r="AE127" i="1" s="1"/>
  <c r="AB127" i="1"/>
  <c r="AC127" i="1" s="1"/>
  <c r="Z127" i="1"/>
  <c r="AA127" i="1" s="1"/>
  <c r="X127" i="1"/>
  <c r="Y127" i="1" s="1"/>
  <c r="V127" i="1"/>
  <c r="W127" i="1" s="1"/>
  <c r="T127" i="1"/>
  <c r="U127" i="1" s="1"/>
  <c r="Q127" i="1"/>
  <c r="AZ126" i="1"/>
  <c r="BA126" i="1" s="1"/>
  <c r="AX126" i="1"/>
  <c r="AY126" i="1" s="1"/>
  <c r="AV126" i="1"/>
  <c r="AW126" i="1" s="1"/>
  <c r="AT126" i="1"/>
  <c r="AU126" i="1" s="1"/>
  <c r="AR126" i="1"/>
  <c r="AS126" i="1" s="1"/>
  <c r="AP126" i="1"/>
  <c r="AQ126" i="1" s="1"/>
  <c r="AN126" i="1"/>
  <c r="AO126" i="1" s="1"/>
  <c r="AL126" i="1"/>
  <c r="AM126" i="1" s="1"/>
  <c r="AJ126" i="1"/>
  <c r="AK126" i="1" s="1"/>
  <c r="AH126" i="1"/>
  <c r="AI126" i="1" s="1"/>
  <c r="AF126" i="1"/>
  <c r="AG126" i="1" s="1"/>
  <c r="AD126" i="1"/>
  <c r="AE126" i="1" s="1"/>
  <c r="AB126" i="1"/>
  <c r="AC126" i="1" s="1"/>
  <c r="Z126" i="1"/>
  <c r="AA126" i="1" s="1"/>
  <c r="X126" i="1"/>
  <c r="Y126" i="1" s="1"/>
  <c r="V126" i="1"/>
  <c r="W126" i="1" s="1"/>
  <c r="T126" i="1"/>
  <c r="U126" i="1" s="1"/>
  <c r="Q126" i="1"/>
  <c r="AZ125" i="1"/>
  <c r="BA125" i="1" s="1"/>
  <c r="AX125" i="1"/>
  <c r="AY125" i="1" s="1"/>
  <c r="AV125" i="1"/>
  <c r="AW125" i="1" s="1"/>
  <c r="AT125" i="1"/>
  <c r="AU125" i="1" s="1"/>
  <c r="AR125" i="1"/>
  <c r="AS125" i="1" s="1"/>
  <c r="AP125" i="1"/>
  <c r="AQ125" i="1" s="1"/>
  <c r="AN125" i="1"/>
  <c r="AO125" i="1" s="1"/>
  <c r="AL125" i="1"/>
  <c r="AM125" i="1" s="1"/>
  <c r="AJ125" i="1"/>
  <c r="AK125" i="1" s="1"/>
  <c r="AH125" i="1"/>
  <c r="AI125" i="1" s="1"/>
  <c r="AF125" i="1"/>
  <c r="AG125" i="1" s="1"/>
  <c r="AD125" i="1"/>
  <c r="AE125" i="1" s="1"/>
  <c r="AB125" i="1"/>
  <c r="AC125" i="1" s="1"/>
  <c r="Z125" i="1"/>
  <c r="AA125" i="1" s="1"/>
  <c r="X125" i="1"/>
  <c r="Y125" i="1" s="1"/>
  <c r="V125" i="1"/>
  <c r="W125" i="1" s="1"/>
  <c r="T125" i="1"/>
  <c r="U125" i="1" s="1"/>
  <c r="Q125" i="1"/>
  <c r="AZ124" i="1"/>
  <c r="BA124" i="1" s="1"/>
  <c r="AX124" i="1"/>
  <c r="AY124" i="1" s="1"/>
  <c r="AV124" i="1"/>
  <c r="AW124" i="1" s="1"/>
  <c r="AT124" i="1"/>
  <c r="AU124" i="1" s="1"/>
  <c r="AR124" i="1"/>
  <c r="AS124" i="1" s="1"/>
  <c r="AP124" i="1"/>
  <c r="AQ124" i="1" s="1"/>
  <c r="AN124" i="1"/>
  <c r="AO124" i="1" s="1"/>
  <c r="AL124" i="1"/>
  <c r="AM124" i="1" s="1"/>
  <c r="AJ124" i="1"/>
  <c r="AK124" i="1" s="1"/>
  <c r="AH124" i="1"/>
  <c r="AI124" i="1" s="1"/>
  <c r="AF124" i="1"/>
  <c r="AG124" i="1" s="1"/>
  <c r="AD124" i="1"/>
  <c r="AE124" i="1" s="1"/>
  <c r="AB124" i="1"/>
  <c r="AC124" i="1" s="1"/>
  <c r="Z124" i="1"/>
  <c r="AA124" i="1" s="1"/>
  <c r="X124" i="1"/>
  <c r="Y124" i="1" s="1"/>
  <c r="V124" i="1"/>
  <c r="W124" i="1" s="1"/>
  <c r="T124" i="1"/>
  <c r="U124" i="1" s="1"/>
  <c r="Q124" i="1"/>
  <c r="AZ123" i="1"/>
  <c r="BA123" i="1" s="1"/>
  <c r="AX123" i="1"/>
  <c r="AY123" i="1" s="1"/>
  <c r="AV123" i="1"/>
  <c r="AW123" i="1" s="1"/>
  <c r="AT123" i="1"/>
  <c r="AU123" i="1" s="1"/>
  <c r="AR123" i="1"/>
  <c r="AS123" i="1" s="1"/>
  <c r="AP123" i="1"/>
  <c r="AQ123" i="1" s="1"/>
  <c r="AN123" i="1"/>
  <c r="AO123" i="1" s="1"/>
  <c r="AL123" i="1"/>
  <c r="AM123" i="1" s="1"/>
  <c r="AJ123" i="1"/>
  <c r="AK123" i="1" s="1"/>
  <c r="AH123" i="1"/>
  <c r="AI123" i="1" s="1"/>
  <c r="AF123" i="1"/>
  <c r="AG123" i="1" s="1"/>
  <c r="AD123" i="1"/>
  <c r="AE123" i="1" s="1"/>
  <c r="AB123" i="1"/>
  <c r="AC123" i="1" s="1"/>
  <c r="Z123" i="1"/>
  <c r="AA123" i="1" s="1"/>
  <c r="X123" i="1"/>
  <c r="Y123" i="1" s="1"/>
  <c r="V123" i="1"/>
  <c r="W123" i="1" s="1"/>
  <c r="T123" i="1"/>
  <c r="U123" i="1" s="1"/>
  <c r="Q123" i="1"/>
  <c r="AZ122" i="1"/>
  <c r="BA122" i="1" s="1"/>
  <c r="AX122" i="1"/>
  <c r="AY122" i="1" s="1"/>
  <c r="AV122" i="1"/>
  <c r="AW122" i="1" s="1"/>
  <c r="AT122" i="1"/>
  <c r="AU122" i="1" s="1"/>
  <c r="AR122" i="1"/>
  <c r="AS122" i="1" s="1"/>
  <c r="AP122" i="1"/>
  <c r="AQ122" i="1" s="1"/>
  <c r="AN122" i="1"/>
  <c r="AO122" i="1" s="1"/>
  <c r="AL122" i="1"/>
  <c r="AM122" i="1" s="1"/>
  <c r="AJ122" i="1"/>
  <c r="AK122" i="1" s="1"/>
  <c r="AH122" i="1"/>
  <c r="AI122" i="1" s="1"/>
  <c r="AF122" i="1"/>
  <c r="AG122" i="1" s="1"/>
  <c r="AD122" i="1"/>
  <c r="AE122" i="1" s="1"/>
  <c r="AB122" i="1"/>
  <c r="AC122" i="1" s="1"/>
  <c r="Z122" i="1"/>
  <c r="AA122" i="1" s="1"/>
  <c r="X122" i="1"/>
  <c r="Y122" i="1" s="1"/>
  <c r="V122" i="1"/>
  <c r="W122" i="1" s="1"/>
  <c r="T122" i="1"/>
  <c r="U122" i="1" s="1"/>
  <c r="Q122" i="1"/>
  <c r="AZ121" i="1"/>
  <c r="BA121" i="1" s="1"/>
  <c r="AX121" i="1"/>
  <c r="AY121" i="1" s="1"/>
  <c r="AV121" i="1"/>
  <c r="AW121" i="1" s="1"/>
  <c r="AT121" i="1"/>
  <c r="AU121" i="1" s="1"/>
  <c r="AR121" i="1"/>
  <c r="AS121" i="1" s="1"/>
  <c r="AP121" i="1"/>
  <c r="AQ121" i="1" s="1"/>
  <c r="AN121" i="1"/>
  <c r="AO121" i="1" s="1"/>
  <c r="AL121" i="1"/>
  <c r="AM121" i="1" s="1"/>
  <c r="AJ121" i="1"/>
  <c r="AK121" i="1" s="1"/>
  <c r="AH121" i="1"/>
  <c r="AI121" i="1" s="1"/>
  <c r="AF121" i="1"/>
  <c r="AG121" i="1" s="1"/>
  <c r="AD121" i="1"/>
  <c r="AE121" i="1" s="1"/>
  <c r="AB121" i="1"/>
  <c r="AC121" i="1" s="1"/>
  <c r="Z121" i="1"/>
  <c r="AA121" i="1" s="1"/>
  <c r="X121" i="1"/>
  <c r="Y121" i="1" s="1"/>
  <c r="V121" i="1"/>
  <c r="W121" i="1" s="1"/>
  <c r="T121" i="1"/>
  <c r="U121" i="1" s="1"/>
  <c r="Q121" i="1"/>
  <c r="AZ120" i="1"/>
  <c r="BA120" i="1" s="1"/>
  <c r="AX120" i="1"/>
  <c r="AY120" i="1" s="1"/>
  <c r="AV120" i="1"/>
  <c r="AW120" i="1" s="1"/>
  <c r="AT120" i="1"/>
  <c r="AU120" i="1" s="1"/>
  <c r="AR120" i="1"/>
  <c r="AS120" i="1" s="1"/>
  <c r="AP120" i="1"/>
  <c r="AQ120" i="1" s="1"/>
  <c r="AN120" i="1"/>
  <c r="AO120" i="1" s="1"/>
  <c r="AL120" i="1"/>
  <c r="AM120" i="1" s="1"/>
  <c r="AJ120" i="1"/>
  <c r="AK120" i="1" s="1"/>
  <c r="AH120" i="1"/>
  <c r="AI120" i="1" s="1"/>
  <c r="AF120" i="1"/>
  <c r="AG120" i="1" s="1"/>
  <c r="AD120" i="1"/>
  <c r="AE120" i="1" s="1"/>
  <c r="AB120" i="1"/>
  <c r="AC120" i="1" s="1"/>
  <c r="Z120" i="1"/>
  <c r="AA120" i="1" s="1"/>
  <c r="X120" i="1"/>
  <c r="V120" i="1"/>
  <c r="W120" i="1" s="1"/>
  <c r="T120" i="1"/>
  <c r="U120" i="1" s="1"/>
  <c r="Q120" i="1"/>
  <c r="AZ119" i="1"/>
  <c r="BA119" i="1" s="1"/>
  <c r="AX119" i="1"/>
  <c r="AY119" i="1" s="1"/>
  <c r="AV119" i="1"/>
  <c r="AW119" i="1" s="1"/>
  <c r="AT119" i="1"/>
  <c r="AU119" i="1" s="1"/>
  <c r="AR119" i="1"/>
  <c r="AS119" i="1" s="1"/>
  <c r="AP119" i="1"/>
  <c r="AQ119" i="1" s="1"/>
  <c r="AN119" i="1"/>
  <c r="AO119" i="1" s="1"/>
  <c r="AL119" i="1"/>
  <c r="AM119" i="1" s="1"/>
  <c r="AJ119" i="1"/>
  <c r="AK119" i="1" s="1"/>
  <c r="AH119" i="1"/>
  <c r="AI119" i="1" s="1"/>
  <c r="AF119" i="1"/>
  <c r="AG119" i="1" s="1"/>
  <c r="AD119" i="1"/>
  <c r="AE119" i="1" s="1"/>
  <c r="AB119" i="1"/>
  <c r="AC119" i="1" s="1"/>
  <c r="Z119" i="1"/>
  <c r="AA119" i="1" s="1"/>
  <c r="X119" i="1"/>
  <c r="Y119" i="1" s="1"/>
  <c r="V119" i="1"/>
  <c r="W119" i="1" s="1"/>
  <c r="T119" i="1"/>
  <c r="U119" i="1" s="1"/>
  <c r="Q119" i="1"/>
  <c r="AZ118" i="1"/>
  <c r="BA118" i="1" s="1"/>
  <c r="AX118" i="1"/>
  <c r="AY118" i="1" s="1"/>
  <c r="AV118" i="1"/>
  <c r="AW118" i="1" s="1"/>
  <c r="AT118" i="1"/>
  <c r="AU118" i="1" s="1"/>
  <c r="AR118" i="1"/>
  <c r="AS118" i="1" s="1"/>
  <c r="AP118" i="1"/>
  <c r="AQ118" i="1" s="1"/>
  <c r="AN118" i="1"/>
  <c r="AO118" i="1" s="1"/>
  <c r="AL118" i="1"/>
  <c r="AM118" i="1" s="1"/>
  <c r="AJ118" i="1"/>
  <c r="AK118" i="1" s="1"/>
  <c r="AH118" i="1"/>
  <c r="AI118" i="1" s="1"/>
  <c r="AF118" i="1"/>
  <c r="AG118" i="1" s="1"/>
  <c r="AD118" i="1"/>
  <c r="AE118" i="1" s="1"/>
  <c r="AB118" i="1"/>
  <c r="AC118" i="1" s="1"/>
  <c r="Z118" i="1"/>
  <c r="AA118" i="1" s="1"/>
  <c r="X118" i="1"/>
  <c r="Y118" i="1" s="1"/>
  <c r="V118" i="1"/>
  <c r="W118" i="1" s="1"/>
  <c r="T118" i="1"/>
  <c r="U118" i="1" s="1"/>
  <c r="Q118" i="1"/>
  <c r="AZ117" i="1"/>
  <c r="BA117" i="1" s="1"/>
  <c r="AX117" i="1"/>
  <c r="AY117" i="1" s="1"/>
  <c r="AV117" i="1"/>
  <c r="AW117" i="1" s="1"/>
  <c r="AT117" i="1"/>
  <c r="AU117" i="1" s="1"/>
  <c r="AR117" i="1"/>
  <c r="AS117" i="1" s="1"/>
  <c r="AP117" i="1"/>
  <c r="AQ117" i="1" s="1"/>
  <c r="AN117" i="1"/>
  <c r="AO117" i="1" s="1"/>
  <c r="AL117" i="1"/>
  <c r="AM117" i="1" s="1"/>
  <c r="AJ117" i="1"/>
  <c r="AK117" i="1" s="1"/>
  <c r="AH117" i="1"/>
  <c r="AI117" i="1" s="1"/>
  <c r="AF117" i="1"/>
  <c r="AG117" i="1" s="1"/>
  <c r="AD117" i="1"/>
  <c r="AE117" i="1" s="1"/>
  <c r="AB117" i="1"/>
  <c r="AC117" i="1" s="1"/>
  <c r="Z117" i="1"/>
  <c r="AA117" i="1" s="1"/>
  <c r="X117" i="1"/>
  <c r="Y117" i="1" s="1"/>
  <c r="V117" i="1"/>
  <c r="W117" i="1" s="1"/>
  <c r="T117" i="1"/>
  <c r="U117" i="1" s="1"/>
  <c r="Q117" i="1"/>
  <c r="AZ116" i="1"/>
  <c r="BA116" i="1" s="1"/>
  <c r="AX116" i="1"/>
  <c r="AY116" i="1" s="1"/>
  <c r="AV116" i="1"/>
  <c r="AW116" i="1" s="1"/>
  <c r="AT116" i="1"/>
  <c r="AU116" i="1" s="1"/>
  <c r="AR116" i="1"/>
  <c r="AS116" i="1" s="1"/>
  <c r="AP116" i="1"/>
  <c r="AQ116" i="1" s="1"/>
  <c r="AN116" i="1"/>
  <c r="AO116" i="1" s="1"/>
  <c r="AL116" i="1"/>
  <c r="AM116" i="1" s="1"/>
  <c r="AJ116" i="1"/>
  <c r="AK116" i="1" s="1"/>
  <c r="AH116" i="1"/>
  <c r="AI116" i="1" s="1"/>
  <c r="AF116" i="1"/>
  <c r="AG116" i="1" s="1"/>
  <c r="AD116" i="1"/>
  <c r="AE116" i="1" s="1"/>
  <c r="AB116" i="1"/>
  <c r="AC116" i="1" s="1"/>
  <c r="Z116" i="1"/>
  <c r="AA116" i="1" s="1"/>
  <c r="X116" i="1"/>
  <c r="V116" i="1"/>
  <c r="W116" i="1" s="1"/>
  <c r="T116" i="1"/>
  <c r="U116" i="1" s="1"/>
  <c r="Q116" i="1"/>
  <c r="AZ115" i="1"/>
  <c r="BA115" i="1" s="1"/>
  <c r="AX115" i="1"/>
  <c r="AY115" i="1" s="1"/>
  <c r="AV115" i="1"/>
  <c r="AW115" i="1" s="1"/>
  <c r="AT115" i="1"/>
  <c r="AU115" i="1" s="1"/>
  <c r="AR115" i="1"/>
  <c r="AS115" i="1" s="1"/>
  <c r="AP115" i="1"/>
  <c r="AQ115" i="1" s="1"/>
  <c r="AN115" i="1"/>
  <c r="AO115" i="1" s="1"/>
  <c r="AL115" i="1"/>
  <c r="AM115" i="1" s="1"/>
  <c r="AJ115" i="1"/>
  <c r="AK115" i="1" s="1"/>
  <c r="AH115" i="1"/>
  <c r="AI115" i="1" s="1"/>
  <c r="AF115" i="1"/>
  <c r="AG115" i="1" s="1"/>
  <c r="AD115" i="1"/>
  <c r="AE115" i="1" s="1"/>
  <c r="AB115" i="1"/>
  <c r="AC115" i="1" s="1"/>
  <c r="Z115" i="1"/>
  <c r="AA115" i="1" s="1"/>
  <c r="X115" i="1"/>
  <c r="Y115" i="1" s="1"/>
  <c r="V115" i="1"/>
  <c r="T115" i="1"/>
  <c r="U115" i="1" s="1"/>
  <c r="Q115" i="1"/>
  <c r="AZ114" i="1"/>
  <c r="BA114" i="1" s="1"/>
  <c r="AX114" i="1"/>
  <c r="AY114" i="1" s="1"/>
  <c r="AV114" i="1"/>
  <c r="AW114" i="1" s="1"/>
  <c r="AT114" i="1"/>
  <c r="AU114" i="1" s="1"/>
  <c r="AR114" i="1"/>
  <c r="AS114" i="1" s="1"/>
  <c r="AP114" i="1"/>
  <c r="AQ114" i="1" s="1"/>
  <c r="AN114" i="1"/>
  <c r="AO114" i="1" s="1"/>
  <c r="AL114" i="1"/>
  <c r="AM114" i="1" s="1"/>
  <c r="AJ114" i="1"/>
  <c r="AK114" i="1" s="1"/>
  <c r="AH114" i="1"/>
  <c r="AI114" i="1" s="1"/>
  <c r="AF114" i="1"/>
  <c r="AG114" i="1" s="1"/>
  <c r="AD114" i="1"/>
  <c r="AE114" i="1" s="1"/>
  <c r="AB114" i="1"/>
  <c r="AC114" i="1" s="1"/>
  <c r="Z114" i="1"/>
  <c r="AA114" i="1" s="1"/>
  <c r="X114" i="1"/>
  <c r="Y114" i="1" s="1"/>
  <c r="V114" i="1"/>
  <c r="W114" i="1" s="1"/>
  <c r="T114" i="1"/>
  <c r="U114" i="1" s="1"/>
  <c r="Q114" i="1"/>
  <c r="AZ113" i="1"/>
  <c r="BA113" i="1" s="1"/>
  <c r="AX113" i="1"/>
  <c r="AY113" i="1" s="1"/>
  <c r="AV113" i="1"/>
  <c r="AW113" i="1" s="1"/>
  <c r="AT113" i="1"/>
  <c r="AU113" i="1" s="1"/>
  <c r="AR113" i="1"/>
  <c r="AS113" i="1" s="1"/>
  <c r="AP113" i="1"/>
  <c r="AQ113" i="1" s="1"/>
  <c r="AN113" i="1"/>
  <c r="AO113" i="1" s="1"/>
  <c r="AL113" i="1"/>
  <c r="AM113" i="1" s="1"/>
  <c r="AJ113" i="1"/>
  <c r="AK113" i="1" s="1"/>
  <c r="AH113" i="1"/>
  <c r="AI113" i="1" s="1"/>
  <c r="AF113" i="1"/>
  <c r="AG113" i="1" s="1"/>
  <c r="AD113" i="1"/>
  <c r="AE113" i="1" s="1"/>
  <c r="AB113" i="1"/>
  <c r="AC113" i="1" s="1"/>
  <c r="Z113" i="1"/>
  <c r="AA113" i="1" s="1"/>
  <c r="X113" i="1"/>
  <c r="Y113" i="1" s="1"/>
  <c r="V113" i="1"/>
  <c r="W113" i="1" s="1"/>
  <c r="T113" i="1"/>
  <c r="U113" i="1" s="1"/>
  <c r="Q113" i="1"/>
  <c r="AZ112" i="1"/>
  <c r="BA112" i="1" s="1"/>
  <c r="AX112" i="1"/>
  <c r="AY112" i="1" s="1"/>
  <c r="AV112" i="1"/>
  <c r="AW112" i="1" s="1"/>
  <c r="AT112" i="1"/>
  <c r="AU112" i="1" s="1"/>
  <c r="AR112" i="1"/>
  <c r="AS112" i="1" s="1"/>
  <c r="AP112" i="1"/>
  <c r="AQ112" i="1" s="1"/>
  <c r="AN112" i="1"/>
  <c r="AO112" i="1" s="1"/>
  <c r="AL112" i="1"/>
  <c r="AM112" i="1" s="1"/>
  <c r="AJ112" i="1"/>
  <c r="AK112" i="1" s="1"/>
  <c r="AH112" i="1"/>
  <c r="AI112" i="1" s="1"/>
  <c r="AF112" i="1"/>
  <c r="AG112" i="1" s="1"/>
  <c r="AD112" i="1"/>
  <c r="AE112" i="1" s="1"/>
  <c r="AB112" i="1"/>
  <c r="AC112" i="1" s="1"/>
  <c r="Z112" i="1"/>
  <c r="AA112" i="1" s="1"/>
  <c r="X112" i="1"/>
  <c r="Y112" i="1" s="1"/>
  <c r="V112" i="1"/>
  <c r="W112" i="1" s="1"/>
  <c r="T112" i="1"/>
  <c r="U112" i="1" s="1"/>
  <c r="Q112" i="1"/>
  <c r="AZ111" i="1"/>
  <c r="BA111" i="1" s="1"/>
  <c r="AX111" i="1"/>
  <c r="AY111" i="1" s="1"/>
  <c r="AV111" i="1"/>
  <c r="AW111" i="1" s="1"/>
  <c r="AT111" i="1"/>
  <c r="AU111" i="1" s="1"/>
  <c r="AR111" i="1"/>
  <c r="AS111" i="1" s="1"/>
  <c r="AP111" i="1"/>
  <c r="AQ111" i="1" s="1"/>
  <c r="AN111" i="1"/>
  <c r="AO111" i="1" s="1"/>
  <c r="AL111" i="1"/>
  <c r="AM111" i="1" s="1"/>
  <c r="AJ111" i="1"/>
  <c r="AK111" i="1" s="1"/>
  <c r="AH111" i="1"/>
  <c r="AI111" i="1" s="1"/>
  <c r="AF111" i="1"/>
  <c r="AG111" i="1" s="1"/>
  <c r="AD111" i="1"/>
  <c r="AE111" i="1" s="1"/>
  <c r="AB111" i="1"/>
  <c r="AC111" i="1" s="1"/>
  <c r="Z111" i="1"/>
  <c r="AA111" i="1" s="1"/>
  <c r="X111" i="1"/>
  <c r="Y111" i="1" s="1"/>
  <c r="V111" i="1"/>
  <c r="W111" i="1" s="1"/>
  <c r="T111" i="1"/>
  <c r="U111" i="1" s="1"/>
  <c r="Q111" i="1"/>
  <c r="AZ110" i="1"/>
  <c r="BA110" i="1" s="1"/>
  <c r="AX110" i="1"/>
  <c r="AY110" i="1" s="1"/>
  <c r="AV110" i="1"/>
  <c r="AW110" i="1" s="1"/>
  <c r="AT110" i="1"/>
  <c r="AU110" i="1" s="1"/>
  <c r="AR110" i="1"/>
  <c r="AS110" i="1" s="1"/>
  <c r="AP110" i="1"/>
  <c r="AQ110" i="1" s="1"/>
  <c r="AN110" i="1"/>
  <c r="AO110" i="1" s="1"/>
  <c r="AL110" i="1"/>
  <c r="AM110" i="1" s="1"/>
  <c r="AJ110" i="1"/>
  <c r="AK110" i="1" s="1"/>
  <c r="AH110" i="1"/>
  <c r="AI110" i="1" s="1"/>
  <c r="AF110" i="1"/>
  <c r="AG110" i="1" s="1"/>
  <c r="AD110" i="1"/>
  <c r="AE110" i="1" s="1"/>
  <c r="AB110" i="1"/>
  <c r="AC110" i="1" s="1"/>
  <c r="Z110" i="1"/>
  <c r="AA110" i="1" s="1"/>
  <c r="X110" i="1"/>
  <c r="Y110" i="1" s="1"/>
  <c r="V110" i="1"/>
  <c r="W110" i="1" s="1"/>
  <c r="T110" i="1"/>
  <c r="U110" i="1" s="1"/>
  <c r="Q110" i="1"/>
  <c r="AZ109" i="1"/>
  <c r="BA109" i="1" s="1"/>
  <c r="AX109" i="1"/>
  <c r="AY109" i="1" s="1"/>
  <c r="AV109" i="1"/>
  <c r="AW109" i="1" s="1"/>
  <c r="AT109" i="1"/>
  <c r="AU109" i="1" s="1"/>
  <c r="AR109" i="1"/>
  <c r="AS109" i="1" s="1"/>
  <c r="AP109" i="1"/>
  <c r="AQ109" i="1" s="1"/>
  <c r="AN109" i="1"/>
  <c r="AO109" i="1" s="1"/>
  <c r="AL109" i="1"/>
  <c r="AM109" i="1" s="1"/>
  <c r="AJ109" i="1"/>
  <c r="AK109" i="1" s="1"/>
  <c r="AH109" i="1"/>
  <c r="AI109" i="1" s="1"/>
  <c r="AF109" i="1"/>
  <c r="AG109" i="1" s="1"/>
  <c r="AD109" i="1"/>
  <c r="AE109" i="1" s="1"/>
  <c r="AB109" i="1"/>
  <c r="AC109" i="1" s="1"/>
  <c r="Z109" i="1"/>
  <c r="AA109" i="1" s="1"/>
  <c r="X109" i="1"/>
  <c r="Y109" i="1" s="1"/>
  <c r="V109" i="1"/>
  <c r="W109" i="1" s="1"/>
  <c r="T109" i="1"/>
  <c r="U109" i="1" s="1"/>
  <c r="Q109" i="1"/>
  <c r="AZ108" i="1"/>
  <c r="BA108" i="1" s="1"/>
  <c r="AX108" i="1"/>
  <c r="AY108" i="1" s="1"/>
  <c r="AV108" i="1"/>
  <c r="AW108" i="1" s="1"/>
  <c r="AT108" i="1"/>
  <c r="AU108" i="1" s="1"/>
  <c r="AR108" i="1"/>
  <c r="AS108" i="1" s="1"/>
  <c r="AP108" i="1"/>
  <c r="AQ108" i="1" s="1"/>
  <c r="AN108" i="1"/>
  <c r="AO108" i="1" s="1"/>
  <c r="AL108" i="1"/>
  <c r="AM108" i="1" s="1"/>
  <c r="AJ108" i="1"/>
  <c r="AK108" i="1" s="1"/>
  <c r="AH108" i="1"/>
  <c r="AI108" i="1" s="1"/>
  <c r="AF108" i="1"/>
  <c r="AG108" i="1" s="1"/>
  <c r="AD108" i="1"/>
  <c r="AE108" i="1" s="1"/>
  <c r="AB108" i="1"/>
  <c r="AC108" i="1" s="1"/>
  <c r="Z108" i="1"/>
  <c r="AA108" i="1" s="1"/>
  <c r="X108" i="1"/>
  <c r="Y108" i="1" s="1"/>
  <c r="V108" i="1"/>
  <c r="W108" i="1" s="1"/>
  <c r="T108" i="1"/>
  <c r="U108" i="1" s="1"/>
  <c r="Q108" i="1"/>
  <c r="AZ107" i="1"/>
  <c r="BA107" i="1" s="1"/>
  <c r="AX107" i="1"/>
  <c r="AY107" i="1" s="1"/>
  <c r="AV107" i="1"/>
  <c r="AW107" i="1" s="1"/>
  <c r="AT107" i="1"/>
  <c r="AU107" i="1" s="1"/>
  <c r="AR107" i="1"/>
  <c r="AS107" i="1" s="1"/>
  <c r="AP107" i="1"/>
  <c r="AQ107" i="1" s="1"/>
  <c r="AN107" i="1"/>
  <c r="AO107" i="1" s="1"/>
  <c r="AL107" i="1"/>
  <c r="AM107" i="1" s="1"/>
  <c r="AJ107" i="1"/>
  <c r="AK107" i="1" s="1"/>
  <c r="AH107" i="1"/>
  <c r="AI107" i="1" s="1"/>
  <c r="AF107" i="1"/>
  <c r="AG107" i="1" s="1"/>
  <c r="AD107" i="1"/>
  <c r="AE107" i="1" s="1"/>
  <c r="AB107" i="1"/>
  <c r="AC107" i="1" s="1"/>
  <c r="Z107" i="1"/>
  <c r="AA107" i="1" s="1"/>
  <c r="X107" i="1"/>
  <c r="Y107" i="1" s="1"/>
  <c r="V107" i="1"/>
  <c r="W107" i="1" s="1"/>
  <c r="T107" i="1"/>
  <c r="U107" i="1" s="1"/>
  <c r="Q107" i="1"/>
  <c r="AZ106" i="1"/>
  <c r="BA106" i="1" s="1"/>
  <c r="AX106" i="1"/>
  <c r="AY106" i="1" s="1"/>
  <c r="AV106" i="1"/>
  <c r="AW106" i="1" s="1"/>
  <c r="AT106" i="1"/>
  <c r="AU106" i="1" s="1"/>
  <c r="AR106" i="1"/>
  <c r="AS106" i="1" s="1"/>
  <c r="AP106" i="1"/>
  <c r="AQ106" i="1" s="1"/>
  <c r="AN106" i="1"/>
  <c r="AO106" i="1" s="1"/>
  <c r="AL106" i="1"/>
  <c r="AM106" i="1" s="1"/>
  <c r="AJ106" i="1"/>
  <c r="AK106" i="1" s="1"/>
  <c r="AH106" i="1"/>
  <c r="AI106" i="1" s="1"/>
  <c r="AF106" i="1"/>
  <c r="AG106" i="1" s="1"/>
  <c r="AD106" i="1"/>
  <c r="AE106" i="1" s="1"/>
  <c r="AB106" i="1"/>
  <c r="AC106" i="1" s="1"/>
  <c r="Z106" i="1"/>
  <c r="AA106" i="1" s="1"/>
  <c r="X106" i="1"/>
  <c r="Y106" i="1" s="1"/>
  <c r="V106" i="1"/>
  <c r="W106" i="1" s="1"/>
  <c r="T106" i="1"/>
  <c r="Q106" i="1"/>
  <c r="AZ105" i="1"/>
  <c r="BA105" i="1" s="1"/>
  <c r="AX105" i="1"/>
  <c r="AY105" i="1" s="1"/>
  <c r="AV105" i="1"/>
  <c r="AW105" i="1" s="1"/>
  <c r="AT105" i="1"/>
  <c r="AU105" i="1" s="1"/>
  <c r="AR105" i="1"/>
  <c r="AS105" i="1" s="1"/>
  <c r="AP105" i="1"/>
  <c r="AQ105" i="1" s="1"/>
  <c r="AN105" i="1"/>
  <c r="AO105" i="1" s="1"/>
  <c r="AL105" i="1"/>
  <c r="AM105" i="1" s="1"/>
  <c r="AJ105" i="1"/>
  <c r="AK105" i="1" s="1"/>
  <c r="AH105" i="1"/>
  <c r="AI105" i="1" s="1"/>
  <c r="AF105" i="1"/>
  <c r="AG105" i="1" s="1"/>
  <c r="AD105" i="1"/>
  <c r="AE105" i="1" s="1"/>
  <c r="AB105" i="1"/>
  <c r="AC105" i="1" s="1"/>
  <c r="Z105" i="1"/>
  <c r="AA105" i="1" s="1"/>
  <c r="X105" i="1"/>
  <c r="Y105" i="1" s="1"/>
  <c r="V105" i="1"/>
  <c r="W105" i="1" s="1"/>
  <c r="T105" i="1"/>
  <c r="U105" i="1" s="1"/>
  <c r="Q105" i="1"/>
  <c r="AZ104" i="1"/>
  <c r="BA104" i="1" s="1"/>
  <c r="AX104" i="1"/>
  <c r="AY104" i="1" s="1"/>
  <c r="AV104" i="1"/>
  <c r="AW104" i="1" s="1"/>
  <c r="AT104" i="1"/>
  <c r="AU104" i="1" s="1"/>
  <c r="AR104" i="1"/>
  <c r="AS104" i="1" s="1"/>
  <c r="AP104" i="1"/>
  <c r="AQ104" i="1" s="1"/>
  <c r="AN104" i="1"/>
  <c r="AO104" i="1" s="1"/>
  <c r="AL104" i="1"/>
  <c r="AM104" i="1" s="1"/>
  <c r="AJ104" i="1"/>
  <c r="AK104" i="1" s="1"/>
  <c r="AH104" i="1"/>
  <c r="AI104" i="1" s="1"/>
  <c r="AF104" i="1"/>
  <c r="AG104" i="1" s="1"/>
  <c r="AD104" i="1"/>
  <c r="AE104" i="1" s="1"/>
  <c r="AB104" i="1"/>
  <c r="AC104" i="1" s="1"/>
  <c r="Z104" i="1"/>
  <c r="AA104" i="1" s="1"/>
  <c r="X104" i="1"/>
  <c r="Y104" i="1" s="1"/>
  <c r="V104" i="1"/>
  <c r="W104" i="1" s="1"/>
  <c r="T104" i="1"/>
  <c r="U104" i="1" s="1"/>
  <c r="Q104" i="1"/>
  <c r="AZ103" i="1"/>
  <c r="BA103" i="1" s="1"/>
  <c r="AX103" i="1"/>
  <c r="AY103" i="1" s="1"/>
  <c r="AV103" i="1"/>
  <c r="AW103" i="1" s="1"/>
  <c r="AT103" i="1"/>
  <c r="AU103" i="1" s="1"/>
  <c r="AR103" i="1"/>
  <c r="AS103" i="1" s="1"/>
  <c r="AP103" i="1"/>
  <c r="AQ103" i="1" s="1"/>
  <c r="AN103" i="1"/>
  <c r="AO103" i="1" s="1"/>
  <c r="AL103" i="1"/>
  <c r="AM103" i="1" s="1"/>
  <c r="AJ103" i="1"/>
  <c r="AK103" i="1" s="1"/>
  <c r="AH103" i="1"/>
  <c r="AI103" i="1" s="1"/>
  <c r="AF103" i="1"/>
  <c r="AG103" i="1" s="1"/>
  <c r="AD103" i="1"/>
  <c r="AE103" i="1" s="1"/>
  <c r="AB103" i="1"/>
  <c r="AC103" i="1" s="1"/>
  <c r="Z103" i="1"/>
  <c r="AA103" i="1" s="1"/>
  <c r="X103" i="1"/>
  <c r="Y103" i="1" s="1"/>
  <c r="V103" i="1"/>
  <c r="W103" i="1" s="1"/>
  <c r="T103" i="1"/>
  <c r="U103" i="1" s="1"/>
  <c r="Q103" i="1"/>
  <c r="AZ102" i="1"/>
  <c r="BA102" i="1" s="1"/>
  <c r="AX102" i="1"/>
  <c r="AY102" i="1" s="1"/>
  <c r="AV102" i="1"/>
  <c r="AW102" i="1" s="1"/>
  <c r="AT102" i="1"/>
  <c r="AU102" i="1" s="1"/>
  <c r="AR102" i="1"/>
  <c r="AS102" i="1" s="1"/>
  <c r="AP102" i="1"/>
  <c r="AQ102" i="1" s="1"/>
  <c r="AN102" i="1"/>
  <c r="AO102" i="1" s="1"/>
  <c r="AL102" i="1"/>
  <c r="AM102" i="1" s="1"/>
  <c r="AJ102" i="1"/>
  <c r="AK102" i="1" s="1"/>
  <c r="AH102" i="1"/>
  <c r="AI102" i="1" s="1"/>
  <c r="AF102" i="1"/>
  <c r="AG102" i="1" s="1"/>
  <c r="AD102" i="1"/>
  <c r="AE102" i="1" s="1"/>
  <c r="AB102" i="1"/>
  <c r="AC102" i="1" s="1"/>
  <c r="Z102" i="1"/>
  <c r="AA102" i="1" s="1"/>
  <c r="X102" i="1"/>
  <c r="Y102" i="1" s="1"/>
  <c r="V102" i="1"/>
  <c r="W102" i="1" s="1"/>
  <c r="T102" i="1"/>
  <c r="U102" i="1" s="1"/>
  <c r="Q102" i="1"/>
  <c r="AZ101" i="1"/>
  <c r="BA101" i="1" s="1"/>
  <c r="AX101" i="1"/>
  <c r="AY101" i="1" s="1"/>
  <c r="AV101" i="1"/>
  <c r="AW101" i="1" s="1"/>
  <c r="AT101" i="1"/>
  <c r="AU101" i="1" s="1"/>
  <c r="AR101" i="1"/>
  <c r="AS101" i="1" s="1"/>
  <c r="AP101" i="1"/>
  <c r="AQ101" i="1" s="1"/>
  <c r="AN101" i="1"/>
  <c r="AO101" i="1" s="1"/>
  <c r="AL101" i="1"/>
  <c r="AM101" i="1" s="1"/>
  <c r="AJ101" i="1"/>
  <c r="AK101" i="1" s="1"/>
  <c r="AH101" i="1"/>
  <c r="AI101" i="1" s="1"/>
  <c r="AF101" i="1"/>
  <c r="AG101" i="1" s="1"/>
  <c r="AD101" i="1"/>
  <c r="AE101" i="1" s="1"/>
  <c r="AB101" i="1"/>
  <c r="AC101" i="1" s="1"/>
  <c r="Z101" i="1"/>
  <c r="AA101" i="1" s="1"/>
  <c r="X101" i="1"/>
  <c r="Y101" i="1" s="1"/>
  <c r="V101" i="1"/>
  <c r="W101" i="1" s="1"/>
  <c r="T101" i="1"/>
  <c r="U101" i="1" s="1"/>
  <c r="Q101" i="1"/>
  <c r="AZ100" i="1"/>
  <c r="BA100" i="1" s="1"/>
  <c r="AX100" i="1"/>
  <c r="AY100" i="1" s="1"/>
  <c r="AV100" i="1"/>
  <c r="AW100" i="1" s="1"/>
  <c r="AT100" i="1"/>
  <c r="AU100" i="1" s="1"/>
  <c r="AR100" i="1"/>
  <c r="AS100" i="1" s="1"/>
  <c r="AP100" i="1"/>
  <c r="AQ100" i="1" s="1"/>
  <c r="AN100" i="1"/>
  <c r="AO100" i="1" s="1"/>
  <c r="AL100" i="1"/>
  <c r="AM100" i="1" s="1"/>
  <c r="AJ100" i="1"/>
  <c r="AK100" i="1" s="1"/>
  <c r="AH100" i="1"/>
  <c r="AI100" i="1" s="1"/>
  <c r="AF100" i="1"/>
  <c r="AG100" i="1" s="1"/>
  <c r="AD100" i="1"/>
  <c r="AE100" i="1" s="1"/>
  <c r="AB100" i="1"/>
  <c r="AC100" i="1" s="1"/>
  <c r="Z100" i="1"/>
  <c r="AA100" i="1" s="1"/>
  <c r="X100" i="1"/>
  <c r="V100" i="1"/>
  <c r="W100" i="1" s="1"/>
  <c r="T100" i="1"/>
  <c r="U100" i="1" s="1"/>
  <c r="Q100" i="1"/>
  <c r="AZ99" i="1"/>
  <c r="BA99" i="1" s="1"/>
  <c r="AX99" i="1"/>
  <c r="AY99" i="1" s="1"/>
  <c r="AV99" i="1"/>
  <c r="AW99" i="1" s="1"/>
  <c r="AT99" i="1"/>
  <c r="AU99" i="1" s="1"/>
  <c r="AR99" i="1"/>
  <c r="AS99" i="1" s="1"/>
  <c r="AP99" i="1"/>
  <c r="AQ99" i="1" s="1"/>
  <c r="AN99" i="1"/>
  <c r="AO99" i="1" s="1"/>
  <c r="AL99" i="1"/>
  <c r="AM99" i="1" s="1"/>
  <c r="AJ99" i="1"/>
  <c r="AK99" i="1" s="1"/>
  <c r="AH99" i="1"/>
  <c r="AI99" i="1" s="1"/>
  <c r="AF99" i="1"/>
  <c r="AG99" i="1" s="1"/>
  <c r="AD99" i="1"/>
  <c r="AE99" i="1" s="1"/>
  <c r="AB99" i="1"/>
  <c r="AC99" i="1" s="1"/>
  <c r="Z99" i="1"/>
  <c r="AA99" i="1" s="1"/>
  <c r="X99" i="1"/>
  <c r="Y99" i="1" s="1"/>
  <c r="V99" i="1"/>
  <c r="W99" i="1" s="1"/>
  <c r="T99" i="1"/>
  <c r="U99" i="1" s="1"/>
  <c r="Q99" i="1"/>
  <c r="AZ98" i="1"/>
  <c r="BA98" i="1" s="1"/>
  <c r="AX98" i="1"/>
  <c r="AY98" i="1" s="1"/>
  <c r="AV98" i="1"/>
  <c r="AW98" i="1" s="1"/>
  <c r="AT98" i="1"/>
  <c r="AU98" i="1" s="1"/>
  <c r="AR98" i="1"/>
  <c r="AS98" i="1" s="1"/>
  <c r="AP98" i="1"/>
  <c r="AQ98" i="1" s="1"/>
  <c r="AN98" i="1"/>
  <c r="AO98" i="1" s="1"/>
  <c r="AL98" i="1"/>
  <c r="AM98" i="1" s="1"/>
  <c r="AJ98" i="1"/>
  <c r="AK98" i="1" s="1"/>
  <c r="AH98" i="1"/>
  <c r="AI98" i="1" s="1"/>
  <c r="AF98" i="1"/>
  <c r="AG98" i="1" s="1"/>
  <c r="AD98" i="1"/>
  <c r="AE98" i="1" s="1"/>
  <c r="AB98" i="1"/>
  <c r="AC98" i="1" s="1"/>
  <c r="Z98" i="1"/>
  <c r="AA98" i="1" s="1"/>
  <c r="X98" i="1"/>
  <c r="Y98" i="1" s="1"/>
  <c r="V98" i="1"/>
  <c r="W98" i="1" s="1"/>
  <c r="T98" i="1"/>
  <c r="U98" i="1" s="1"/>
  <c r="Q98" i="1"/>
  <c r="AZ97" i="1"/>
  <c r="BA97" i="1" s="1"/>
  <c r="AX97" i="1"/>
  <c r="AY97" i="1" s="1"/>
  <c r="AV97" i="1"/>
  <c r="AW97" i="1" s="1"/>
  <c r="AT97" i="1"/>
  <c r="AU97" i="1" s="1"/>
  <c r="AR97" i="1"/>
  <c r="AS97" i="1" s="1"/>
  <c r="AP97" i="1"/>
  <c r="AQ97" i="1" s="1"/>
  <c r="AN97" i="1"/>
  <c r="AO97" i="1" s="1"/>
  <c r="AL97" i="1"/>
  <c r="AM97" i="1" s="1"/>
  <c r="AJ97" i="1"/>
  <c r="AK97" i="1" s="1"/>
  <c r="AH97" i="1"/>
  <c r="AI97" i="1" s="1"/>
  <c r="AF97" i="1"/>
  <c r="AG97" i="1" s="1"/>
  <c r="AD97" i="1"/>
  <c r="AE97" i="1" s="1"/>
  <c r="AB97" i="1"/>
  <c r="AC97" i="1" s="1"/>
  <c r="Z97" i="1"/>
  <c r="AA97" i="1" s="1"/>
  <c r="X97" i="1"/>
  <c r="Y97" i="1" s="1"/>
  <c r="V97" i="1"/>
  <c r="T97" i="1"/>
  <c r="U97" i="1" s="1"/>
  <c r="Q97" i="1"/>
  <c r="AZ96" i="1"/>
  <c r="BA96" i="1" s="1"/>
  <c r="AX96" i="1"/>
  <c r="AY96" i="1" s="1"/>
  <c r="AV96" i="1"/>
  <c r="AW96" i="1" s="1"/>
  <c r="AT96" i="1"/>
  <c r="AU96" i="1" s="1"/>
  <c r="AR96" i="1"/>
  <c r="AS96" i="1" s="1"/>
  <c r="AP96" i="1"/>
  <c r="AQ96" i="1" s="1"/>
  <c r="AN96" i="1"/>
  <c r="AO96" i="1" s="1"/>
  <c r="AL96" i="1"/>
  <c r="AM96" i="1" s="1"/>
  <c r="AJ96" i="1"/>
  <c r="AK96" i="1" s="1"/>
  <c r="AH96" i="1"/>
  <c r="AI96" i="1" s="1"/>
  <c r="AF96" i="1"/>
  <c r="AG96" i="1" s="1"/>
  <c r="AD96" i="1"/>
  <c r="AE96" i="1" s="1"/>
  <c r="AB96" i="1"/>
  <c r="AC96" i="1" s="1"/>
  <c r="Z96" i="1"/>
  <c r="AA96" i="1" s="1"/>
  <c r="X96" i="1"/>
  <c r="Y96" i="1" s="1"/>
  <c r="V96" i="1"/>
  <c r="W96" i="1" s="1"/>
  <c r="T96" i="1"/>
  <c r="U96" i="1" s="1"/>
  <c r="Q96" i="1"/>
  <c r="AZ95" i="1"/>
  <c r="BA95" i="1" s="1"/>
  <c r="AX95" i="1"/>
  <c r="AY95" i="1" s="1"/>
  <c r="AV95" i="1"/>
  <c r="AW95" i="1" s="1"/>
  <c r="AT95" i="1"/>
  <c r="AU95" i="1" s="1"/>
  <c r="AR95" i="1"/>
  <c r="AS95" i="1" s="1"/>
  <c r="AP95" i="1"/>
  <c r="AQ95" i="1" s="1"/>
  <c r="AN95" i="1"/>
  <c r="AO95" i="1" s="1"/>
  <c r="AL95" i="1"/>
  <c r="AM95" i="1" s="1"/>
  <c r="AJ95" i="1"/>
  <c r="AK95" i="1" s="1"/>
  <c r="AH95" i="1"/>
  <c r="AI95" i="1" s="1"/>
  <c r="AF95" i="1"/>
  <c r="AG95" i="1" s="1"/>
  <c r="AD95" i="1"/>
  <c r="AE95" i="1" s="1"/>
  <c r="AB95" i="1"/>
  <c r="AC95" i="1" s="1"/>
  <c r="Z95" i="1"/>
  <c r="AA95" i="1" s="1"/>
  <c r="X95" i="1"/>
  <c r="Y95" i="1" s="1"/>
  <c r="V95" i="1"/>
  <c r="W95" i="1" s="1"/>
  <c r="T95" i="1"/>
  <c r="U95" i="1" s="1"/>
  <c r="Q95" i="1"/>
  <c r="AZ94" i="1"/>
  <c r="BA94" i="1" s="1"/>
  <c r="AX94" i="1"/>
  <c r="AY94" i="1" s="1"/>
  <c r="AV94" i="1"/>
  <c r="AW94" i="1" s="1"/>
  <c r="AT94" i="1"/>
  <c r="AU94" i="1" s="1"/>
  <c r="AR94" i="1"/>
  <c r="AS94" i="1" s="1"/>
  <c r="AP94" i="1"/>
  <c r="AQ94" i="1" s="1"/>
  <c r="AN94" i="1"/>
  <c r="AO94" i="1" s="1"/>
  <c r="AL94" i="1"/>
  <c r="AM94" i="1" s="1"/>
  <c r="AJ94" i="1"/>
  <c r="AK94" i="1" s="1"/>
  <c r="AH94" i="1"/>
  <c r="AI94" i="1" s="1"/>
  <c r="AF94" i="1"/>
  <c r="AG94" i="1" s="1"/>
  <c r="AD94" i="1"/>
  <c r="AE94" i="1" s="1"/>
  <c r="AB94" i="1"/>
  <c r="AC94" i="1" s="1"/>
  <c r="Z94" i="1"/>
  <c r="AA94" i="1" s="1"/>
  <c r="X94" i="1"/>
  <c r="Y94" i="1" s="1"/>
  <c r="V94" i="1"/>
  <c r="W94" i="1" s="1"/>
  <c r="T94" i="1"/>
  <c r="U94" i="1" s="1"/>
  <c r="Q94" i="1"/>
  <c r="AZ93" i="1"/>
  <c r="BA93" i="1" s="1"/>
  <c r="AX93" i="1"/>
  <c r="AY93" i="1" s="1"/>
  <c r="AV93" i="1"/>
  <c r="AW93" i="1" s="1"/>
  <c r="AT93" i="1"/>
  <c r="AU93" i="1" s="1"/>
  <c r="AR93" i="1"/>
  <c r="AS93" i="1" s="1"/>
  <c r="AP93" i="1"/>
  <c r="AQ93" i="1" s="1"/>
  <c r="AN93" i="1"/>
  <c r="AO93" i="1" s="1"/>
  <c r="AL93" i="1"/>
  <c r="AM93" i="1" s="1"/>
  <c r="AJ93" i="1"/>
  <c r="AK93" i="1" s="1"/>
  <c r="AH93" i="1"/>
  <c r="AI93" i="1" s="1"/>
  <c r="AF93" i="1"/>
  <c r="AG93" i="1" s="1"/>
  <c r="AD93" i="1"/>
  <c r="AE93" i="1" s="1"/>
  <c r="AB93" i="1"/>
  <c r="AC93" i="1" s="1"/>
  <c r="Z93" i="1"/>
  <c r="AA93" i="1" s="1"/>
  <c r="X93" i="1"/>
  <c r="Y93" i="1" s="1"/>
  <c r="V93" i="1"/>
  <c r="W93" i="1" s="1"/>
  <c r="T93" i="1"/>
  <c r="U93" i="1" s="1"/>
  <c r="Q93" i="1"/>
  <c r="AZ92" i="1"/>
  <c r="BA92" i="1" s="1"/>
  <c r="AX92" i="1"/>
  <c r="AY92" i="1" s="1"/>
  <c r="AV92" i="1"/>
  <c r="AW92" i="1" s="1"/>
  <c r="AT92" i="1"/>
  <c r="AU92" i="1" s="1"/>
  <c r="AR92" i="1"/>
  <c r="AS92" i="1" s="1"/>
  <c r="AP92" i="1"/>
  <c r="AQ92" i="1" s="1"/>
  <c r="AN92" i="1"/>
  <c r="AO92" i="1" s="1"/>
  <c r="AL92" i="1"/>
  <c r="AM92" i="1" s="1"/>
  <c r="AJ92" i="1"/>
  <c r="AK92" i="1" s="1"/>
  <c r="AH92" i="1"/>
  <c r="AI92" i="1" s="1"/>
  <c r="AF92" i="1"/>
  <c r="AG92" i="1" s="1"/>
  <c r="AD92" i="1"/>
  <c r="AE92" i="1" s="1"/>
  <c r="AB92" i="1"/>
  <c r="AC92" i="1" s="1"/>
  <c r="Z92" i="1"/>
  <c r="AA92" i="1" s="1"/>
  <c r="X92" i="1"/>
  <c r="V92" i="1"/>
  <c r="W92" i="1" s="1"/>
  <c r="T92" i="1"/>
  <c r="U92" i="1" s="1"/>
  <c r="Q92" i="1"/>
  <c r="AZ91" i="1"/>
  <c r="BA91" i="1" s="1"/>
  <c r="AX91" i="1"/>
  <c r="AY91" i="1" s="1"/>
  <c r="AV91" i="1"/>
  <c r="AW91" i="1" s="1"/>
  <c r="AT91" i="1"/>
  <c r="AU91" i="1" s="1"/>
  <c r="AR91" i="1"/>
  <c r="AS91" i="1" s="1"/>
  <c r="AP91" i="1"/>
  <c r="AQ91" i="1" s="1"/>
  <c r="AN91" i="1"/>
  <c r="AO91" i="1" s="1"/>
  <c r="AL91" i="1"/>
  <c r="AM91" i="1" s="1"/>
  <c r="AJ91" i="1"/>
  <c r="AK91" i="1" s="1"/>
  <c r="AH91" i="1"/>
  <c r="AI91" i="1" s="1"/>
  <c r="AF91" i="1"/>
  <c r="AG91" i="1" s="1"/>
  <c r="AD91" i="1"/>
  <c r="AE91" i="1" s="1"/>
  <c r="AB91" i="1"/>
  <c r="AC91" i="1" s="1"/>
  <c r="Z91" i="1"/>
  <c r="AA91" i="1" s="1"/>
  <c r="X91" i="1"/>
  <c r="Y91" i="1" s="1"/>
  <c r="V91" i="1"/>
  <c r="W91" i="1" s="1"/>
  <c r="T91" i="1"/>
  <c r="U91" i="1" s="1"/>
  <c r="Q91" i="1"/>
  <c r="AZ90" i="1"/>
  <c r="BA90" i="1" s="1"/>
  <c r="AX90" i="1"/>
  <c r="AY90" i="1" s="1"/>
  <c r="AV90" i="1"/>
  <c r="AW90" i="1" s="1"/>
  <c r="AT90" i="1"/>
  <c r="AU90" i="1" s="1"/>
  <c r="AR90" i="1"/>
  <c r="AS90" i="1" s="1"/>
  <c r="AP90" i="1"/>
  <c r="AQ90" i="1" s="1"/>
  <c r="AN90" i="1"/>
  <c r="AO90" i="1" s="1"/>
  <c r="AL90" i="1"/>
  <c r="AM90" i="1" s="1"/>
  <c r="AJ90" i="1"/>
  <c r="AK90" i="1" s="1"/>
  <c r="AH90" i="1"/>
  <c r="AI90" i="1" s="1"/>
  <c r="AF90" i="1"/>
  <c r="AG90" i="1" s="1"/>
  <c r="AD90" i="1"/>
  <c r="AE90" i="1" s="1"/>
  <c r="AB90" i="1"/>
  <c r="AC90" i="1" s="1"/>
  <c r="Z90" i="1"/>
  <c r="AA90" i="1" s="1"/>
  <c r="X90" i="1"/>
  <c r="V90" i="1"/>
  <c r="W90" i="1" s="1"/>
  <c r="T90" i="1"/>
  <c r="U90" i="1" s="1"/>
  <c r="Q90" i="1"/>
  <c r="AZ89" i="1"/>
  <c r="BA89" i="1" s="1"/>
  <c r="AX89" i="1"/>
  <c r="AY89" i="1" s="1"/>
  <c r="AV89" i="1"/>
  <c r="AW89" i="1" s="1"/>
  <c r="AT89" i="1"/>
  <c r="AU89" i="1" s="1"/>
  <c r="AR89" i="1"/>
  <c r="AS89" i="1" s="1"/>
  <c r="AP89" i="1"/>
  <c r="AQ89" i="1" s="1"/>
  <c r="AN89" i="1"/>
  <c r="AO89" i="1" s="1"/>
  <c r="AL89" i="1"/>
  <c r="AM89" i="1" s="1"/>
  <c r="AJ89" i="1"/>
  <c r="AK89" i="1" s="1"/>
  <c r="AH89" i="1"/>
  <c r="AI89" i="1" s="1"/>
  <c r="AF89" i="1"/>
  <c r="AG89" i="1" s="1"/>
  <c r="AD89" i="1"/>
  <c r="AE89" i="1" s="1"/>
  <c r="AB89" i="1"/>
  <c r="AC89" i="1" s="1"/>
  <c r="Z89" i="1"/>
  <c r="AA89" i="1" s="1"/>
  <c r="X89" i="1"/>
  <c r="Y89" i="1" s="1"/>
  <c r="V89" i="1"/>
  <c r="W89" i="1" s="1"/>
  <c r="T89" i="1"/>
  <c r="U89" i="1" s="1"/>
  <c r="Q89" i="1"/>
  <c r="AZ88" i="1"/>
  <c r="BA88" i="1" s="1"/>
  <c r="AX88" i="1"/>
  <c r="AY88" i="1" s="1"/>
  <c r="AV88" i="1"/>
  <c r="AW88" i="1" s="1"/>
  <c r="AT88" i="1"/>
  <c r="AU88" i="1" s="1"/>
  <c r="AR88" i="1"/>
  <c r="AS88" i="1" s="1"/>
  <c r="AP88" i="1"/>
  <c r="AQ88" i="1" s="1"/>
  <c r="AN88" i="1"/>
  <c r="AO88" i="1" s="1"/>
  <c r="AL88" i="1"/>
  <c r="AM88" i="1" s="1"/>
  <c r="AJ88" i="1"/>
  <c r="AK88" i="1" s="1"/>
  <c r="AH88" i="1"/>
  <c r="AI88" i="1" s="1"/>
  <c r="AF88" i="1"/>
  <c r="AG88" i="1" s="1"/>
  <c r="AD88" i="1"/>
  <c r="AE88" i="1" s="1"/>
  <c r="AB88" i="1"/>
  <c r="AC88" i="1" s="1"/>
  <c r="Z88" i="1"/>
  <c r="AA88" i="1" s="1"/>
  <c r="X88" i="1"/>
  <c r="Y88" i="1" s="1"/>
  <c r="V88" i="1"/>
  <c r="W88" i="1" s="1"/>
  <c r="T88" i="1"/>
  <c r="U88" i="1" s="1"/>
  <c r="Q88" i="1"/>
  <c r="AZ87" i="1"/>
  <c r="BA87" i="1" s="1"/>
  <c r="AX87" i="1"/>
  <c r="AY87" i="1" s="1"/>
  <c r="AV87" i="1"/>
  <c r="AW87" i="1" s="1"/>
  <c r="AT87" i="1"/>
  <c r="AU87" i="1" s="1"/>
  <c r="AR87" i="1"/>
  <c r="AS87" i="1" s="1"/>
  <c r="AP87" i="1"/>
  <c r="AQ87" i="1" s="1"/>
  <c r="AN87" i="1"/>
  <c r="AO87" i="1" s="1"/>
  <c r="AL87" i="1"/>
  <c r="AM87" i="1" s="1"/>
  <c r="AJ87" i="1"/>
  <c r="AK87" i="1" s="1"/>
  <c r="AH87" i="1"/>
  <c r="AI87" i="1" s="1"/>
  <c r="AF87" i="1"/>
  <c r="AG87" i="1" s="1"/>
  <c r="AD87" i="1"/>
  <c r="AE87" i="1" s="1"/>
  <c r="AB87" i="1"/>
  <c r="AC87" i="1" s="1"/>
  <c r="Z87" i="1"/>
  <c r="AA87" i="1" s="1"/>
  <c r="X87" i="1"/>
  <c r="Y87" i="1" s="1"/>
  <c r="V87" i="1"/>
  <c r="W87" i="1" s="1"/>
  <c r="T87" i="1"/>
  <c r="U87" i="1" s="1"/>
  <c r="Q87" i="1"/>
  <c r="AZ86" i="1"/>
  <c r="BA86" i="1" s="1"/>
  <c r="AX86" i="1"/>
  <c r="AY86" i="1" s="1"/>
  <c r="AV86" i="1"/>
  <c r="AW86" i="1" s="1"/>
  <c r="AT86" i="1"/>
  <c r="AU86" i="1" s="1"/>
  <c r="AR86" i="1"/>
  <c r="AS86" i="1" s="1"/>
  <c r="AP86" i="1"/>
  <c r="AQ86" i="1" s="1"/>
  <c r="AN86" i="1"/>
  <c r="AO86" i="1" s="1"/>
  <c r="AL86" i="1"/>
  <c r="AM86" i="1" s="1"/>
  <c r="AJ86" i="1"/>
  <c r="AK86" i="1" s="1"/>
  <c r="AH86" i="1"/>
  <c r="AI86" i="1" s="1"/>
  <c r="AF86" i="1"/>
  <c r="AG86" i="1" s="1"/>
  <c r="AD86" i="1"/>
  <c r="AE86" i="1" s="1"/>
  <c r="AB86" i="1"/>
  <c r="AC86" i="1" s="1"/>
  <c r="Z86" i="1"/>
  <c r="AA86" i="1" s="1"/>
  <c r="X86" i="1"/>
  <c r="Y86" i="1" s="1"/>
  <c r="V86" i="1"/>
  <c r="W86" i="1" s="1"/>
  <c r="T86" i="1"/>
  <c r="U86" i="1" s="1"/>
  <c r="Q86" i="1"/>
  <c r="AZ85" i="1"/>
  <c r="BA85" i="1" s="1"/>
  <c r="AX85" i="1"/>
  <c r="AY85" i="1" s="1"/>
  <c r="AV85" i="1"/>
  <c r="AW85" i="1" s="1"/>
  <c r="AT85" i="1"/>
  <c r="AU85" i="1" s="1"/>
  <c r="AR85" i="1"/>
  <c r="AS85" i="1" s="1"/>
  <c r="AP85" i="1"/>
  <c r="AQ85" i="1" s="1"/>
  <c r="AN85" i="1"/>
  <c r="AO85" i="1" s="1"/>
  <c r="AL85" i="1"/>
  <c r="AM85" i="1" s="1"/>
  <c r="AJ85" i="1"/>
  <c r="AK85" i="1" s="1"/>
  <c r="AH85" i="1"/>
  <c r="AI85" i="1" s="1"/>
  <c r="AF85" i="1"/>
  <c r="AG85" i="1" s="1"/>
  <c r="AD85" i="1"/>
  <c r="AE85" i="1" s="1"/>
  <c r="AB85" i="1"/>
  <c r="AC85" i="1" s="1"/>
  <c r="Z85" i="1"/>
  <c r="AA85" i="1" s="1"/>
  <c r="X85" i="1"/>
  <c r="Y85" i="1" s="1"/>
  <c r="V85" i="1"/>
  <c r="W85" i="1" s="1"/>
  <c r="T85" i="1"/>
  <c r="Q85" i="1"/>
  <c r="AZ84" i="1"/>
  <c r="BA84" i="1" s="1"/>
  <c r="AX84" i="1"/>
  <c r="AY84" i="1" s="1"/>
  <c r="AV84" i="1"/>
  <c r="AW84" i="1" s="1"/>
  <c r="AT84" i="1"/>
  <c r="AU84" i="1" s="1"/>
  <c r="AR84" i="1"/>
  <c r="AS84" i="1" s="1"/>
  <c r="AP84" i="1"/>
  <c r="AQ84" i="1" s="1"/>
  <c r="AN84" i="1"/>
  <c r="AO84" i="1" s="1"/>
  <c r="AL84" i="1"/>
  <c r="AM84" i="1" s="1"/>
  <c r="AJ84" i="1"/>
  <c r="AK84" i="1" s="1"/>
  <c r="AH84" i="1"/>
  <c r="AI84" i="1" s="1"/>
  <c r="AF84" i="1"/>
  <c r="AG84" i="1" s="1"/>
  <c r="AD84" i="1"/>
  <c r="AE84" i="1" s="1"/>
  <c r="AB84" i="1"/>
  <c r="AC84" i="1" s="1"/>
  <c r="Z84" i="1"/>
  <c r="AA84" i="1" s="1"/>
  <c r="X84" i="1"/>
  <c r="Y84" i="1" s="1"/>
  <c r="V84" i="1"/>
  <c r="W84" i="1" s="1"/>
  <c r="T84" i="1"/>
  <c r="U84" i="1" s="1"/>
  <c r="Q84" i="1"/>
  <c r="AZ83" i="1"/>
  <c r="BA83" i="1" s="1"/>
  <c r="AX83" i="1"/>
  <c r="AY83" i="1" s="1"/>
  <c r="AV83" i="1"/>
  <c r="AW83" i="1" s="1"/>
  <c r="AT83" i="1"/>
  <c r="AU83" i="1" s="1"/>
  <c r="AR83" i="1"/>
  <c r="AS83" i="1" s="1"/>
  <c r="AP83" i="1"/>
  <c r="AQ83" i="1" s="1"/>
  <c r="AN83" i="1"/>
  <c r="AO83" i="1" s="1"/>
  <c r="AL83" i="1"/>
  <c r="AM83" i="1" s="1"/>
  <c r="AJ83" i="1"/>
  <c r="AK83" i="1" s="1"/>
  <c r="AH83" i="1"/>
  <c r="AI83" i="1" s="1"/>
  <c r="AF83" i="1"/>
  <c r="AG83" i="1" s="1"/>
  <c r="AD83" i="1"/>
  <c r="AE83" i="1" s="1"/>
  <c r="AB83" i="1"/>
  <c r="AC83" i="1" s="1"/>
  <c r="Z83" i="1"/>
  <c r="AA83" i="1" s="1"/>
  <c r="X83" i="1"/>
  <c r="Y83" i="1" s="1"/>
  <c r="V83" i="1"/>
  <c r="W83" i="1" s="1"/>
  <c r="T83" i="1"/>
  <c r="Q83" i="1"/>
  <c r="AZ82" i="1"/>
  <c r="BA82" i="1" s="1"/>
  <c r="AX82" i="1"/>
  <c r="AY82" i="1" s="1"/>
  <c r="AV82" i="1"/>
  <c r="AW82" i="1" s="1"/>
  <c r="AT82" i="1"/>
  <c r="AU82" i="1" s="1"/>
  <c r="AR82" i="1"/>
  <c r="AS82" i="1" s="1"/>
  <c r="AP82" i="1"/>
  <c r="AQ82" i="1" s="1"/>
  <c r="AN82" i="1"/>
  <c r="AO82" i="1" s="1"/>
  <c r="AL82" i="1"/>
  <c r="AM82" i="1" s="1"/>
  <c r="AJ82" i="1"/>
  <c r="AK82" i="1" s="1"/>
  <c r="AH82" i="1"/>
  <c r="AI82" i="1" s="1"/>
  <c r="AF82" i="1"/>
  <c r="AG82" i="1" s="1"/>
  <c r="AD82" i="1"/>
  <c r="AE82" i="1" s="1"/>
  <c r="AB82" i="1"/>
  <c r="AC82" i="1" s="1"/>
  <c r="Z82" i="1"/>
  <c r="AA82" i="1" s="1"/>
  <c r="X82" i="1"/>
  <c r="Y82" i="1" s="1"/>
  <c r="V82" i="1"/>
  <c r="W82" i="1" s="1"/>
  <c r="T82" i="1"/>
  <c r="U82" i="1" s="1"/>
  <c r="Q82" i="1"/>
  <c r="AZ81" i="1"/>
  <c r="BA81" i="1" s="1"/>
  <c r="AX81" i="1"/>
  <c r="AY81" i="1" s="1"/>
  <c r="AV81" i="1"/>
  <c r="AW81" i="1" s="1"/>
  <c r="AT81" i="1"/>
  <c r="AU81" i="1" s="1"/>
  <c r="AR81" i="1"/>
  <c r="AS81" i="1" s="1"/>
  <c r="AP81" i="1"/>
  <c r="AQ81" i="1" s="1"/>
  <c r="AN81" i="1"/>
  <c r="AO81" i="1" s="1"/>
  <c r="AL81" i="1"/>
  <c r="AM81" i="1" s="1"/>
  <c r="AJ81" i="1"/>
  <c r="AK81" i="1" s="1"/>
  <c r="AH81" i="1"/>
  <c r="AI81" i="1" s="1"/>
  <c r="AF81" i="1"/>
  <c r="AG81" i="1" s="1"/>
  <c r="AD81" i="1"/>
  <c r="AE81" i="1" s="1"/>
  <c r="AB81" i="1"/>
  <c r="AC81" i="1" s="1"/>
  <c r="Z81" i="1"/>
  <c r="AA81" i="1" s="1"/>
  <c r="X81" i="1"/>
  <c r="Y81" i="1" s="1"/>
  <c r="V81" i="1"/>
  <c r="W81" i="1" s="1"/>
  <c r="T81" i="1"/>
  <c r="U81" i="1" s="1"/>
  <c r="Q81" i="1"/>
  <c r="AZ80" i="1"/>
  <c r="BA80" i="1" s="1"/>
  <c r="AX80" i="1"/>
  <c r="AY80" i="1" s="1"/>
  <c r="AV80" i="1"/>
  <c r="AW80" i="1" s="1"/>
  <c r="AT80" i="1"/>
  <c r="AU80" i="1" s="1"/>
  <c r="AR80" i="1"/>
  <c r="AS80" i="1" s="1"/>
  <c r="AP80" i="1"/>
  <c r="AQ80" i="1" s="1"/>
  <c r="AN80" i="1"/>
  <c r="AO80" i="1" s="1"/>
  <c r="AL80" i="1"/>
  <c r="AM80" i="1" s="1"/>
  <c r="AJ80" i="1"/>
  <c r="AK80" i="1" s="1"/>
  <c r="AH80" i="1"/>
  <c r="AI80" i="1" s="1"/>
  <c r="AF80" i="1"/>
  <c r="AG80" i="1" s="1"/>
  <c r="AD80" i="1"/>
  <c r="AE80" i="1" s="1"/>
  <c r="AB80" i="1"/>
  <c r="AC80" i="1" s="1"/>
  <c r="Z80" i="1"/>
  <c r="AA80" i="1" s="1"/>
  <c r="X80" i="1"/>
  <c r="Y80" i="1" s="1"/>
  <c r="V80" i="1"/>
  <c r="W80" i="1" s="1"/>
  <c r="T80" i="1"/>
  <c r="U80" i="1" s="1"/>
  <c r="Q80" i="1"/>
  <c r="AZ79" i="1"/>
  <c r="BA79" i="1" s="1"/>
  <c r="AX79" i="1"/>
  <c r="AY79" i="1" s="1"/>
  <c r="AV79" i="1"/>
  <c r="AW79" i="1" s="1"/>
  <c r="AT79" i="1"/>
  <c r="AU79" i="1" s="1"/>
  <c r="AR79" i="1"/>
  <c r="AS79" i="1" s="1"/>
  <c r="AP79" i="1"/>
  <c r="AQ79" i="1" s="1"/>
  <c r="AN79" i="1"/>
  <c r="AO79" i="1" s="1"/>
  <c r="AL79" i="1"/>
  <c r="AM79" i="1" s="1"/>
  <c r="AJ79" i="1"/>
  <c r="AK79" i="1" s="1"/>
  <c r="AH79" i="1"/>
  <c r="AI79" i="1" s="1"/>
  <c r="AF79" i="1"/>
  <c r="AG79" i="1" s="1"/>
  <c r="AD79" i="1"/>
  <c r="AE79" i="1" s="1"/>
  <c r="AB79" i="1"/>
  <c r="AC79" i="1" s="1"/>
  <c r="Z79" i="1"/>
  <c r="AA79" i="1" s="1"/>
  <c r="X79" i="1"/>
  <c r="Y79" i="1" s="1"/>
  <c r="V79" i="1"/>
  <c r="W79" i="1" s="1"/>
  <c r="T79" i="1"/>
  <c r="U79" i="1" s="1"/>
  <c r="Q79" i="1"/>
  <c r="AZ78" i="1"/>
  <c r="BA78" i="1" s="1"/>
  <c r="AX78" i="1"/>
  <c r="AY78" i="1" s="1"/>
  <c r="AV78" i="1"/>
  <c r="AW78" i="1" s="1"/>
  <c r="AT78" i="1"/>
  <c r="AU78" i="1" s="1"/>
  <c r="AR78" i="1"/>
  <c r="AS78" i="1" s="1"/>
  <c r="AP78" i="1"/>
  <c r="AQ78" i="1" s="1"/>
  <c r="AN78" i="1"/>
  <c r="AO78" i="1" s="1"/>
  <c r="AL78" i="1"/>
  <c r="AM78" i="1" s="1"/>
  <c r="AJ78" i="1"/>
  <c r="AK78" i="1" s="1"/>
  <c r="AH78" i="1"/>
  <c r="AI78" i="1" s="1"/>
  <c r="AF78" i="1"/>
  <c r="AG78" i="1" s="1"/>
  <c r="AD78" i="1"/>
  <c r="AE78" i="1" s="1"/>
  <c r="AB78" i="1"/>
  <c r="AC78" i="1" s="1"/>
  <c r="Z78" i="1"/>
  <c r="AA78" i="1" s="1"/>
  <c r="X78" i="1"/>
  <c r="Y78" i="1" s="1"/>
  <c r="V78" i="1"/>
  <c r="W78" i="1" s="1"/>
  <c r="T78" i="1"/>
  <c r="U78" i="1" s="1"/>
  <c r="Q78" i="1"/>
  <c r="AZ77" i="1"/>
  <c r="BA77" i="1" s="1"/>
  <c r="AX77" i="1"/>
  <c r="AY77" i="1" s="1"/>
  <c r="AV77" i="1"/>
  <c r="AW77" i="1" s="1"/>
  <c r="AT77" i="1"/>
  <c r="AU77" i="1" s="1"/>
  <c r="AR77" i="1"/>
  <c r="AS77" i="1" s="1"/>
  <c r="AP77" i="1"/>
  <c r="AQ77" i="1" s="1"/>
  <c r="AN77" i="1"/>
  <c r="AO77" i="1" s="1"/>
  <c r="AL77" i="1"/>
  <c r="AM77" i="1" s="1"/>
  <c r="AJ77" i="1"/>
  <c r="AK77" i="1" s="1"/>
  <c r="AH77" i="1"/>
  <c r="AI77" i="1" s="1"/>
  <c r="AF77" i="1"/>
  <c r="AG77" i="1" s="1"/>
  <c r="AD77" i="1"/>
  <c r="AE77" i="1" s="1"/>
  <c r="AB77" i="1"/>
  <c r="AC77" i="1" s="1"/>
  <c r="Z77" i="1"/>
  <c r="AA77" i="1" s="1"/>
  <c r="X77" i="1"/>
  <c r="Y77" i="1" s="1"/>
  <c r="V77" i="1"/>
  <c r="W77" i="1" s="1"/>
  <c r="T77" i="1"/>
  <c r="U77" i="1" s="1"/>
  <c r="Q77" i="1"/>
  <c r="AZ76" i="1"/>
  <c r="BA76" i="1" s="1"/>
  <c r="AX76" i="1"/>
  <c r="AY76" i="1" s="1"/>
  <c r="AV76" i="1"/>
  <c r="AW76" i="1" s="1"/>
  <c r="AT76" i="1"/>
  <c r="AU76" i="1" s="1"/>
  <c r="AR76" i="1"/>
  <c r="AS76" i="1" s="1"/>
  <c r="AP76" i="1"/>
  <c r="AQ76" i="1" s="1"/>
  <c r="AN76" i="1"/>
  <c r="AO76" i="1" s="1"/>
  <c r="AL76" i="1"/>
  <c r="AM76" i="1" s="1"/>
  <c r="AJ76" i="1"/>
  <c r="AK76" i="1" s="1"/>
  <c r="AH76" i="1"/>
  <c r="AI76" i="1" s="1"/>
  <c r="AF76" i="1"/>
  <c r="AG76" i="1" s="1"/>
  <c r="AD76" i="1"/>
  <c r="AE76" i="1" s="1"/>
  <c r="AB76" i="1"/>
  <c r="AC76" i="1" s="1"/>
  <c r="Z76" i="1"/>
  <c r="AA76" i="1" s="1"/>
  <c r="X76" i="1"/>
  <c r="Y76" i="1" s="1"/>
  <c r="V76" i="1"/>
  <c r="T76" i="1"/>
  <c r="U76" i="1" s="1"/>
  <c r="Q76" i="1"/>
  <c r="AZ75" i="1"/>
  <c r="BA75" i="1" s="1"/>
  <c r="AX75" i="1"/>
  <c r="AY75" i="1" s="1"/>
  <c r="AV75" i="1"/>
  <c r="AW75" i="1" s="1"/>
  <c r="AT75" i="1"/>
  <c r="AU75" i="1" s="1"/>
  <c r="AR75" i="1"/>
  <c r="AS75" i="1" s="1"/>
  <c r="AP75" i="1"/>
  <c r="AQ75" i="1" s="1"/>
  <c r="AN75" i="1"/>
  <c r="AO75" i="1" s="1"/>
  <c r="AL75" i="1"/>
  <c r="AM75" i="1" s="1"/>
  <c r="AJ75" i="1"/>
  <c r="AK75" i="1" s="1"/>
  <c r="AH75" i="1"/>
  <c r="AI75" i="1" s="1"/>
  <c r="AF75" i="1"/>
  <c r="AG75" i="1" s="1"/>
  <c r="AD75" i="1"/>
  <c r="AE75" i="1" s="1"/>
  <c r="AB75" i="1"/>
  <c r="AC75" i="1" s="1"/>
  <c r="Z75" i="1"/>
  <c r="AA75" i="1" s="1"/>
  <c r="X75" i="1"/>
  <c r="Y75" i="1" s="1"/>
  <c r="V75" i="1"/>
  <c r="W75" i="1" s="1"/>
  <c r="T75" i="1"/>
  <c r="U75" i="1" s="1"/>
  <c r="Q75" i="1"/>
  <c r="AZ74" i="1"/>
  <c r="BA74" i="1" s="1"/>
  <c r="AX74" i="1"/>
  <c r="AY74" i="1" s="1"/>
  <c r="AV74" i="1"/>
  <c r="AW74" i="1" s="1"/>
  <c r="AT74" i="1"/>
  <c r="AU74" i="1" s="1"/>
  <c r="AR74" i="1"/>
  <c r="AS74" i="1" s="1"/>
  <c r="AP74" i="1"/>
  <c r="AQ74" i="1" s="1"/>
  <c r="AN74" i="1"/>
  <c r="AO74" i="1" s="1"/>
  <c r="AL74" i="1"/>
  <c r="AM74" i="1" s="1"/>
  <c r="AJ74" i="1"/>
  <c r="AK74" i="1" s="1"/>
  <c r="AH74" i="1"/>
  <c r="AI74" i="1" s="1"/>
  <c r="AF74" i="1"/>
  <c r="AG74" i="1" s="1"/>
  <c r="AD74" i="1"/>
  <c r="AE74" i="1" s="1"/>
  <c r="AB74" i="1"/>
  <c r="AC74" i="1" s="1"/>
  <c r="Z74" i="1"/>
  <c r="AA74" i="1" s="1"/>
  <c r="X74" i="1"/>
  <c r="Y74" i="1" s="1"/>
  <c r="V74" i="1"/>
  <c r="W74" i="1" s="1"/>
  <c r="T74" i="1"/>
  <c r="U74" i="1" s="1"/>
  <c r="Q74" i="1"/>
  <c r="AZ73" i="1"/>
  <c r="BA73" i="1" s="1"/>
  <c r="AX73" i="1"/>
  <c r="AY73" i="1" s="1"/>
  <c r="AV73" i="1"/>
  <c r="AW73" i="1" s="1"/>
  <c r="AT73" i="1"/>
  <c r="AU73" i="1" s="1"/>
  <c r="AR73" i="1"/>
  <c r="AS73" i="1" s="1"/>
  <c r="AP73" i="1"/>
  <c r="AQ73" i="1" s="1"/>
  <c r="AN73" i="1"/>
  <c r="AO73" i="1" s="1"/>
  <c r="AL73" i="1"/>
  <c r="AM73" i="1" s="1"/>
  <c r="AJ73" i="1"/>
  <c r="AK73" i="1" s="1"/>
  <c r="AH73" i="1"/>
  <c r="AI73" i="1" s="1"/>
  <c r="AF73" i="1"/>
  <c r="AG73" i="1" s="1"/>
  <c r="AD73" i="1"/>
  <c r="AE73" i="1" s="1"/>
  <c r="AB73" i="1"/>
  <c r="AC73" i="1" s="1"/>
  <c r="Z73" i="1"/>
  <c r="AA73" i="1" s="1"/>
  <c r="X73" i="1"/>
  <c r="Y73" i="1" s="1"/>
  <c r="V73" i="1"/>
  <c r="T73" i="1"/>
  <c r="U73" i="1" s="1"/>
  <c r="Q73" i="1"/>
  <c r="AZ72" i="1"/>
  <c r="BA72" i="1" s="1"/>
  <c r="AX72" i="1"/>
  <c r="AY72" i="1" s="1"/>
  <c r="AV72" i="1"/>
  <c r="AW72" i="1" s="1"/>
  <c r="AT72" i="1"/>
  <c r="AU72" i="1" s="1"/>
  <c r="AR72" i="1"/>
  <c r="AS72" i="1" s="1"/>
  <c r="AP72" i="1"/>
  <c r="AQ72" i="1" s="1"/>
  <c r="AN72" i="1"/>
  <c r="AO72" i="1" s="1"/>
  <c r="AL72" i="1"/>
  <c r="AM72" i="1" s="1"/>
  <c r="AJ72" i="1"/>
  <c r="AK72" i="1" s="1"/>
  <c r="AH72" i="1"/>
  <c r="AI72" i="1" s="1"/>
  <c r="AF72" i="1"/>
  <c r="AG72" i="1" s="1"/>
  <c r="AD72" i="1"/>
  <c r="AE72" i="1" s="1"/>
  <c r="AB72" i="1"/>
  <c r="AC72" i="1" s="1"/>
  <c r="Z72" i="1"/>
  <c r="AA72" i="1" s="1"/>
  <c r="X72" i="1"/>
  <c r="Y72" i="1" s="1"/>
  <c r="V72" i="1"/>
  <c r="W72" i="1" s="1"/>
  <c r="T72" i="1"/>
  <c r="U72" i="1" s="1"/>
  <c r="Q72" i="1"/>
  <c r="AZ71" i="1"/>
  <c r="BA71" i="1" s="1"/>
  <c r="AX71" i="1"/>
  <c r="AY71" i="1" s="1"/>
  <c r="AV71" i="1"/>
  <c r="AW71" i="1" s="1"/>
  <c r="AT71" i="1"/>
  <c r="AU71" i="1" s="1"/>
  <c r="AR71" i="1"/>
  <c r="AS71" i="1" s="1"/>
  <c r="AP71" i="1"/>
  <c r="AQ71" i="1" s="1"/>
  <c r="AN71" i="1"/>
  <c r="AO71" i="1" s="1"/>
  <c r="AL71" i="1"/>
  <c r="AM71" i="1" s="1"/>
  <c r="AJ71" i="1"/>
  <c r="AK71" i="1" s="1"/>
  <c r="AH71" i="1"/>
  <c r="AI71" i="1" s="1"/>
  <c r="AF71" i="1"/>
  <c r="AG71" i="1" s="1"/>
  <c r="AD71" i="1"/>
  <c r="AE71" i="1" s="1"/>
  <c r="AB71" i="1"/>
  <c r="AC71" i="1" s="1"/>
  <c r="Z71" i="1"/>
  <c r="AA71" i="1" s="1"/>
  <c r="X71" i="1"/>
  <c r="Y71" i="1" s="1"/>
  <c r="V71" i="1"/>
  <c r="W71" i="1" s="1"/>
  <c r="T71" i="1"/>
  <c r="U71" i="1" s="1"/>
  <c r="Q71" i="1"/>
  <c r="AZ70" i="1"/>
  <c r="BA70" i="1" s="1"/>
  <c r="AX70" i="1"/>
  <c r="AY70" i="1" s="1"/>
  <c r="AV70" i="1"/>
  <c r="AW70" i="1" s="1"/>
  <c r="AT70" i="1"/>
  <c r="AU70" i="1" s="1"/>
  <c r="AR70" i="1"/>
  <c r="AS70" i="1" s="1"/>
  <c r="AP70" i="1"/>
  <c r="AQ70" i="1" s="1"/>
  <c r="AN70" i="1"/>
  <c r="AO70" i="1" s="1"/>
  <c r="AL70" i="1"/>
  <c r="AM70" i="1" s="1"/>
  <c r="AJ70" i="1"/>
  <c r="AK70" i="1" s="1"/>
  <c r="AH70" i="1"/>
  <c r="AI70" i="1" s="1"/>
  <c r="AF70" i="1"/>
  <c r="AG70" i="1" s="1"/>
  <c r="AD70" i="1"/>
  <c r="AE70" i="1" s="1"/>
  <c r="AB70" i="1"/>
  <c r="AC70" i="1" s="1"/>
  <c r="Z70" i="1"/>
  <c r="AA70" i="1" s="1"/>
  <c r="X70" i="1"/>
  <c r="Y70" i="1" s="1"/>
  <c r="V70" i="1"/>
  <c r="W70" i="1" s="1"/>
  <c r="T70" i="1"/>
  <c r="U70" i="1" s="1"/>
  <c r="Q70" i="1"/>
  <c r="AZ69" i="1"/>
  <c r="BA69" i="1" s="1"/>
  <c r="AX69" i="1"/>
  <c r="AY69" i="1" s="1"/>
  <c r="AV69" i="1"/>
  <c r="AW69" i="1" s="1"/>
  <c r="AT69" i="1"/>
  <c r="AU69" i="1" s="1"/>
  <c r="AR69" i="1"/>
  <c r="AS69" i="1" s="1"/>
  <c r="AP69" i="1"/>
  <c r="AQ69" i="1" s="1"/>
  <c r="AN69" i="1"/>
  <c r="AO69" i="1" s="1"/>
  <c r="AL69" i="1"/>
  <c r="AM69" i="1" s="1"/>
  <c r="AJ69" i="1"/>
  <c r="AK69" i="1" s="1"/>
  <c r="AH69" i="1"/>
  <c r="AI69" i="1" s="1"/>
  <c r="AF69" i="1"/>
  <c r="AG69" i="1" s="1"/>
  <c r="AD69" i="1"/>
  <c r="AE69" i="1" s="1"/>
  <c r="AB69" i="1"/>
  <c r="AC69" i="1" s="1"/>
  <c r="Z69" i="1"/>
  <c r="AA69" i="1" s="1"/>
  <c r="X69" i="1"/>
  <c r="Y69" i="1" s="1"/>
  <c r="V69" i="1"/>
  <c r="W69" i="1" s="1"/>
  <c r="T69" i="1"/>
  <c r="U69" i="1" s="1"/>
  <c r="Q69" i="1"/>
  <c r="AZ68" i="1"/>
  <c r="BA68" i="1" s="1"/>
  <c r="AX68" i="1"/>
  <c r="AY68" i="1" s="1"/>
  <c r="AV68" i="1"/>
  <c r="AW68" i="1" s="1"/>
  <c r="AT68" i="1"/>
  <c r="AU68" i="1" s="1"/>
  <c r="AR68" i="1"/>
  <c r="AS68" i="1" s="1"/>
  <c r="AP68" i="1"/>
  <c r="AQ68" i="1" s="1"/>
  <c r="AN68" i="1"/>
  <c r="AO68" i="1" s="1"/>
  <c r="AL68" i="1"/>
  <c r="AM68" i="1" s="1"/>
  <c r="AJ68" i="1"/>
  <c r="AK68" i="1" s="1"/>
  <c r="AH68" i="1"/>
  <c r="AI68" i="1" s="1"/>
  <c r="AF68" i="1"/>
  <c r="AG68" i="1" s="1"/>
  <c r="AD68" i="1"/>
  <c r="AE68" i="1" s="1"/>
  <c r="AB68" i="1"/>
  <c r="AC68" i="1" s="1"/>
  <c r="Z68" i="1"/>
  <c r="AA68" i="1" s="1"/>
  <c r="X68" i="1"/>
  <c r="Y68" i="1" s="1"/>
  <c r="V68" i="1"/>
  <c r="T68" i="1"/>
  <c r="U68" i="1" s="1"/>
  <c r="Q68" i="1"/>
  <c r="AZ67" i="1"/>
  <c r="BA67" i="1" s="1"/>
  <c r="AX67" i="1"/>
  <c r="AY67" i="1" s="1"/>
  <c r="AV67" i="1"/>
  <c r="AW67" i="1" s="1"/>
  <c r="AT67" i="1"/>
  <c r="AU67" i="1" s="1"/>
  <c r="AR67" i="1"/>
  <c r="AS67" i="1" s="1"/>
  <c r="AP67" i="1"/>
  <c r="AQ67" i="1" s="1"/>
  <c r="AN67" i="1"/>
  <c r="AO67" i="1" s="1"/>
  <c r="AL67" i="1"/>
  <c r="AM67" i="1" s="1"/>
  <c r="AJ67" i="1"/>
  <c r="AK67" i="1" s="1"/>
  <c r="AH67" i="1"/>
  <c r="AI67" i="1" s="1"/>
  <c r="AF67" i="1"/>
  <c r="AG67" i="1" s="1"/>
  <c r="AD67" i="1"/>
  <c r="AE67" i="1" s="1"/>
  <c r="AB67" i="1"/>
  <c r="AC67" i="1" s="1"/>
  <c r="Z67" i="1"/>
  <c r="AA67" i="1" s="1"/>
  <c r="X67" i="1"/>
  <c r="Y67" i="1" s="1"/>
  <c r="V67" i="1"/>
  <c r="T67" i="1"/>
  <c r="U67" i="1" s="1"/>
  <c r="Q67" i="1"/>
  <c r="AZ66" i="1"/>
  <c r="BA66" i="1" s="1"/>
  <c r="AX66" i="1"/>
  <c r="AY66" i="1" s="1"/>
  <c r="AV66" i="1"/>
  <c r="AW66" i="1" s="1"/>
  <c r="AT66" i="1"/>
  <c r="AU66" i="1" s="1"/>
  <c r="AR66" i="1"/>
  <c r="AS66" i="1" s="1"/>
  <c r="AP66" i="1"/>
  <c r="AQ66" i="1" s="1"/>
  <c r="AN66" i="1"/>
  <c r="AO66" i="1" s="1"/>
  <c r="AL66" i="1"/>
  <c r="AM66" i="1" s="1"/>
  <c r="AJ66" i="1"/>
  <c r="AK66" i="1" s="1"/>
  <c r="AH66" i="1"/>
  <c r="AI66" i="1" s="1"/>
  <c r="AF66" i="1"/>
  <c r="AG66" i="1" s="1"/>
  <c r="AD66" i="1"/>
  <c r="AE66" i="1" s="1"/>
  <c r="AB66" i="1"/>
  <c r="AC66" i="1" s="1"/>
  <c r="Z66" i="1"/>
  <c r="AA66" i="1" s="1"/>
  <c r="X66" i="1"/>
  <c r="V66" i="1"/>
  <c r="W66" i="1" s="1"/>
  <c r="T66" i="1"/>
  <c r="U66" i="1" s="1"/>
  <c r="Q66" i="1"/>
  <c r="AZ65" i="1"/>
  <c r="BA65" i="1" s="1"/>
  <c r="AX65" i="1"/>
  <c r="AY65" i="1" s="1"/>
  <c r="AV65" i="1"/>
  <c r="AW65" i="1" s="1"/>
  <c r="AT65" i="1"/>
  <c r="AU65" i="1" s="1"/>
  <c r="AR65" i="1"/>
  <c r="AS65" i="1" s="1"/>
  <c r="AP65" i="1"/>
  <c r="AQ65" i="1" s="1"/>
  <c r="AN65" i="1"/>
  <c r="AO65" i="1" s="1"/>
  <c r="AL65" i="1"/>
  <c r="AM65" i="1" s="1"/>
  <c r="AJ65" i="1"/>
  <c r="AK65" i="1" s="1"/>
  <c r="AH65" i="1"/>
  <c r="AI65" i="1" s="1"/>
  <c r="AF65" i="1"/>
  <c r="AG65" i="1" s="1"/>
  <c r="AD65" i="1"/>
  <c r="AE65" i="1" s="1"/>
  <c r="AB65" i="1"/>
  <c r="AC65" i="1" s="1"/>
  <c r="Z65" i="1"/>
  <c r="AA65" i="1" s="1"/>
  <c r="X65" i="1"/>
  <c r="Y65" i="1" s="1"/>
  <c r="V65" i="1"/>
  <c r="W65" i="1" s="1"/>
  <c r="T65" i="1"/>
  <c r="U65" i="1" s="1"/>
  <c r="Q65" i="1"/>
  <c r="AZ64" i="1"/>
  <c r="BA64" i="1" s="1"/>
  <c r="AX64" i="1"/>
  <c r="AY64" i="1" s="1"/>
  <c r="AV64" i="1"/>
  <c r="AW64" i="1" s="1"/>
  <c r="AT64" i="1"/>
  <c r="AU64" i="1" s="1"/>
  <c r="AR64" i="1"/>
  <c r="AS64" i="1" s="1"/>
  <c r="AP64" i="1"/>
  <c r="AQ64" i="1" s="1"/>
  <c r="AN64" i="1"/>
  <c r="AO64" i="1" s="1"/>
  <c r="AL64" i="1"/>
  <c r="AM64" i="1" s="1"/>
  <c r="AJ64" i="1"/>
  <c r="AK64" i="1" s="1"/>
  <c r="AH64" i="1"/>
  <c r="AI64" i="1" s="1"/>
  <c r="AF64" i="1"/>
  <c r="AG64" i="1" s="1"/>
  <c r="AD64" i="1"/>
  <c r="AE64" i="1" s="1"/>
  <c r="AB64" i="1"/>
  <c r="AC64" i="1" s="1"/>
  <c r="Z64" i="1"/>
  <c r="AA64" i="1" s="1"/>
  <c r="X64" i="1"/>
  <c r="Y64" i="1" s="1"/>
  <c r="V64" i="1"/>
  <c r="W64" i="1" s="1"/>
  <c r="T64" i="1"/>
  <c r="U64" i="1" s="1"/>
  <c r="Q64" i="1"/>
  <c r="AZ63" i="1"/>
  <c r="BA63" i="1" s="1"/>
  <c r="AX63" i="1"/>
  <c r="AY63" i="1" s="1"/>
  <c r="AV63" i="1"/>
  <c r="AW63" i="1" s="1"/>
  <c r="AT63" i="1"/>
  <c r="AU63" i="1" s="1"/>
  <c r="AR63" i="1"/>
  <c r="AS63" i="1" s="1"/>
  <c r="AP63" i="1"/>
  <c r="AQ63" i="1" s="1"/>
  <c r="AN63" i="1"/>
  <c r="AO63" i="1" s="1"/>
  <c r="AL63" i="1"/>
  <c r="AM63" i="1" s="1"/>
  <c r="AJ63" i="1"/>
  <c r="AK63" i="1" s="1"/>
  <c r="AH63" i="1"/>
  <c r="AI63" i="1" s="1"/>
  <c r="AF63" i="1"/>
  <c r="AG63" i="1" s="1"/>
  <c r="AD63" i="1"/>
  <c r="AE63" i="1" s="1"/>
  <c r="AB63" i="1"/>
  <c r="AC63" i="1" s="1"/>
  <c r="Z63" i="1"/>
  <c r="AA63" i="1" s="1"/>
  <c r="X63" i="1"/>
  <c r="Y63" i="1" s="1"/>
  <c r="V63" i="1"/>
  <c r="W63" i="1" s="1"/>
  <c r="T63" i="1"/>
  <c r="U63" i="1" s="1"/>
  <c r="Q63" i="1"/>
  <c r="AZ62" i="1"/>
  <c r="BA62" i="1" s="1"/>
  <c r="AX62" i="1"/>
  <c r="AY62" i="1" s="1"/>
  <c r="AV62" i="1"/>
  <c r="AW62" i="1" s="1"/>
  <c r="AT62" i="1"/>
  <c r="AU62" i="1" s="1"/>
  <c r="AR62" i="1"/>
  <c r="AS62" i="1" s="1"/>
  <c r="AP62" i="1"/>
  <c r="AQ62" i="1" s="1"/>
  <c r="AN62" i="1"/>
  <c r="AO62" i="1" s="1"/>
  <c r="AL62" i="1"/>
  <c r="AM62" i="1" s="1"/>
  <c r="AJ62" i="1"/>
  <c r="AK62" i="1" s="1"/>
  <c r="AH62" i="1"/>
  <c r="AI62" i="1" s="1"/>
  <c r="AF62" i="1"/>
  <c r="AG62" i="1" s="1"/>
  <c r="AD62" i="1"/>
  <c r="AE62" i="1" s="1"/>
  <c r="AB62" i="1"/>
  <c r="AC62" i="1" s="1"/>
  <c r="Z62" i="1"/>
  <c r="AA62" i="1" s="1"/>
  <c r="X62" i="1"/>
  <c r="Y62" i="1" s="1"/>
  <c r="V62" i="1"/>
  <c r="W62" i="1" s="1"/>
  <c r="T62" i="1"/>
  <c r="U62" i="1" s="1"/>
  <c r="Q62" i="1"/>
  <c r="AZ61" i="1"/>
  <c r="BA61" i="1" s="1"/>
  <c r="AX61" i="1"/>
  <c r="AY61" i="1" s="1"/>
  <c r="AV61" i="1"/>
  <c r="AW61" i="1" s="1"/>
  <c r="AT61" i="1"/>
  <c r="AU61" i="1" s="1"/>
  <c r="AR61" i="1"/>
  <c r="AS61" i="1" s="1"/>
  <c r="AP61" i="1"/>
  <c r="AQ61" i="1" s="1"/>
  <c r="AN61" i="1"/>
  <c r="AO61" i="1" s="1"/>
  <c r="AL61" i="1"/>
  <c r="AM61" i="1" s="1"/>
  <c r="AJ61" i="1"/>
  <c r="AK61" i="1" s="1"/>
  <c r="AH61" i="1"/>
  <c r="AI61" i="1" s="1"/>
  <c r="AF61" i="1"/>
  <c r="AG61" i="1" s="1"/>
  <c r="AD61" i="1"/>
  <c r="AE61" i="1" s="1"/>
  <c r="AB61" i="1"/>
  <c r="AC61" i="1" s="1"/>
  <c r="Z61" i="1"/>
  <c r="AA61" i="1" s="1"/>
  <c r="X61" i="1"/>
  <c r="Y61" i="1" s="1"/>
  <c r="V61" i="1"/>
  <c r="W61" i="1" s="1"/>
  <c r="T61" i="1"/>
  <c r="U61" i="1" s="1"/>
  <c r="Q61" i="1"/>
  <c r="AZ60" i="1"/>
  <c r="BA60" i="1" s="1"/>
  <c r="AX60" i="1"/>
  <c r="AY60" i="1" s="1"/>
  <c r="AV60" i="1"/>
  <c r="AW60" i="1" s="1"/>
  <c r="AT60" i="1"/>
  <c r="AU60" i="1" s="1"/>
  <c r="AR60" i="1"/>
  <c r="AS60" i="1" s="1"/>
  <c r="AP60" i="1"/>
  <c r="AQ60" i="1" s="1"/>
  <c r="AN60" i="1"/>
  <c r="AO60" i="1" s="1"/>
  <c r="AL60" i="1"/>
  <c r="AM60" i="1" s="1"/>
  <c r="AJ60" i="1"/>
  <c r="AK60" i="1" s="1"/>
  <c r="AH60" i="1"/>
  <c r="AI60" i="1" s="1"/>
  <c r="AF60" i="1"/>
  <c r="AG60" i="1" s="1"/>
  <c r="AD60" i="1"/>
  <c r="AE60" i="1" s="1"/>
  <c r="AB60" i="1"/>
  <c r="AC60" i="1" s="1"/>
  <c r="Z60" i="1"/>
  <c r="AA60" i="1" s="1"/>
  <c r="X60" i="1"/>
  <c r="Y60" i="1" s="1"/>
  <c r="V60" i="1"/>
  <c r="W60" i="1" s="1"/>
  <c r="T60" i="1"/>
  <c r="U60" i="1" s="1"/>
  <c r="Q60" i="1"/>
  <c r="AZ58" i="1"/>
  <c r="BA58" i="1" s="1"/>
  <c r="BA57" i="1" s="1"/>
  <c r="AX58" i="1"/>
  <c r="AY58" i="1" s="1"/>
  <c r="AY57" i="1" s="1"/>
  <c r="AV58" i="1"/>
  <c r="AW58" i="1" s="1"/>
  <c r="AW57" i="1" s="1"/>
  <c r="AT58" i="1"/>
  <c r="AU58" i="1" s="1"/>
  <c r="AU57" i="1" s="1"/>
  <c r="AR58" i="1"/>
  <c r="AS58" i="1" s="1"/>
  <c r="AS57" i="1" s="1"/>
  <c r="AP58" i="1"/>
  <c r="AQ58" i="1" s="1"/>
  <c r="AQ57" i="1" s="1"/>
  <c r="AN58" i="1"/>
  <c r="AO58" i="1" s="1"/>
  <c r="AO57" i="1" s="1"/>
  <c r="AL58" i="1"/>
  <c r="AM58" i="1" s="1"/>
  <c r="AM57" i="1" s="1"/>
  <c r="AJ58" i="1"/>
  <c r="AK58" i="1" s="1"/>
  <c r="AK57" i="1" s="1"/>
  <c r="AH58" i="1"/>
  <c r="AI58" i="1" s="1"/>
  <c r="AI57" i="1" s="1"/>
  <c r="AF58" i="1"/>
  <c r="AG58" i="1" s="1"/>
  <c r="AG57" i="1" s="1"/>
  <c r="AD58" i="1"/>
  <c r="AE58" i="1" s="1"/>
  <c r="AE57" i="1" s="1"/>
  <c r="AB58" i="1"/>
  <c r="AC58" i="1" s="1"/>
  <c r="AC57" i="1" s="1"/>
  <c r="Z58" i="1"/>
  <c r="AA58" i="1" s="1"/>
  <c r="AA57" i="1" s="1"/>
  <c r="X58" i="1"/>
  <c r="Y58" i="1" s="1"/>
  <c r="Y57" i="1" s="1"/>
  <c r="V58" i="1"/>
  <c r="W58" i="1" s="1"/>
  <c r="W57" i="1" s="1"/>
  <c r="T58" i="1"/>
  <c r="U58" i="1" s="1"/>
  <c r="U57" i="1" s="1"/>
  <c r="Q58" i="1"/>
  <c r="Q57" i="1" s="1"/>
  <c r="AZ56" i="1"/>
  <c r="BA56" i="1" s="1"/>
  <c r="AX56" i="1"/>
  <c r="AY56" i="1" s="1"/>
  <c r="AV56" i="1"/>
  <c r="AW56" i="1" s="1"/>
  <c r="AT56" i="1"/>
  <c r="AU56" i="1" s="1"/>
  <c r="AR56" i="1"/>
  <c r="AS56" i="1" s="1"/>
  <c r="AP56" i="1"/>
  <c r="AQ56" i="1" s="1"/>
  <c r="AN56" i="1"/>
  <c r="AO56" i="1" s="1"/>
  <c r="AL56" i="1"/>
  <c r="AM56" i="1" s="1"/>
  <c r="AJ56" i="1"/>
  <c r="AK56" i="1" s="1"/>
  <c r="AH56" i="1"/>
  <c r="AI56" i="1" s="1"/>
  <c r="AF56" i="1"/>
  <c r="AG56" i="1" s="1"/>
  <c r="AD56" i="1"/>
  <c r="AE56" i="1" s="1"/>
  <c r="AB56" i="1"/>
  <c r="AC56" i="1" s="1"/>
  <c r="Z56" i="1"/>
  <c r="AA56" i="1" s="1"/>
  <c r="X56" i="1"/>
  <c r="Y56" i="1" s="1"/>
  <c r="V56" i="1"/>
  <c r="W56" i="1" s="1"/>
  <c r="T56" i="1"/>
  <c r="U56" i="1" s="1"/>
  <c r="Q56" i="1"/>
  <c r="AZ55" i="1"/>
  <c r="BA55" i="1" s="1"/>
  <c r="AX55" i="1"/>
  <c r="AY55" i="1" s="1"/>
  <c r="AV55" i="1"/>
  <c r="AW55" i="1" s="1"/>
  <c r="AT55" i="1"/>
  <c r="AU55" i="1" s="1"/>
  <c r="AR55" i="1"/>
  <c r="AS55" i="1" s="1"/>
  <c r="AP55" i="1"/>
  <c r="AQ55" i="1" s="1"/>
  <c r="AN55" i="1"/>
  <c r="AO55" i="1" s="1"/>
  <c r="AL55" i="1"/>
  <c r="AM55" i="1" s="1"/>
  <c r="AJ55" i="1"/>
  <c r="AK55" i="1" s="1"/>
  <c r="AH55" i="1"/>
  <c r="AI55" i="1" s="1"/>
  <c r="AF55" i="1"/>
  <c r="AG55" i="1" s="1"/>
  <c r="AD55" i="1"/>
  <c r="AE55" i="1" s="1"/>
  <c r="AB55" i="1"/>
  <c r="AC55" i="1" s="1"/>
  <c r="Z55" i="1"/>
  <c r="AA55" i="1" s="1"/>
  <c r="X55" i="1"/>
  <c r="Y55" i="1" s="1"/>
  <c r="V55" i="1"/>
  <c r="W55" i="1" s="1"/>
  <c r="T55" i="1"/>
  <c r="U55" i="1" s="1"/>
  <c r="Q55" i="1"/>
  <c r="AZ54" i="1"/>
  <c r="BA54" i="1" s="1"/>
  <c r="AX54" i="1"/>
  <c r="AY54" i="1" s="1"/>
  <c r="AV54" i="1"/>
  <c r="AW54" i="1" s="1"/>
  <c r="AT54" i="1"/>
  <c r="AU54" i="1" s="1"/>
  <c r="AR54" i="1"/>
  <c r="AS54" i="1" s="1"/>
  <c r="AP54" i="1"/>
  <c r="AQ54" i="1" s="1"/>
  <c r="AN54" i="1"/>
  <c r="AO54" i="1" s="1"/>
  <c r="AL54" i="1"/>
  <c r="AM54" i="1" s="1"/>
  <c r="AJ54" i="1"/>
  <c r="AK54" i="1" s="1"/>
  <c r="AH54" i="1"/>
  <c r="AI54" i="1" s="1"/>
  <c r="AF54" i="1"/>
  <c r="AG54" i="1" s="1"/>
  <c r="AD54" i="1"/>
  <c r="AE54" i="1" s="1"/>
  <c r="AB54" i="1"/>
  <c r="AC54" i="1" s="1"/>
  <c r="Z54" i="1"/>
  <c r="AA54" i="1" s="1"/>
  <c r="X54" i="1"/>
  <c r="Y54" i="1" s="1"/>
  <c r="V54" i="1"/>
  <c r="W54" i="1" s="1"/>
  <c r="T54" i="1"/>
  <c r="U54" i="1" s="1"/>
  <c r="Q54" i="1"/>
  <c r="AZ53" i="1"/>
  <c r="BA53" i="1" s="1"/>
  <c r="AX53" i="1"/>
  <c r="AY53" i="1" s="1"/>
  <c r="AV53" i="1"/>
  <c r="AW53" i="1" s="1"/>
  <c r="AT53" i="1"/>
  <c r="AU53" i="1" s="1"/>
  <c r="AR53" i="1"/>
  <c r="AS53" i="1" s="1"/>
  <c r="AP53" i="1"/>
  <c r="AQ53" i="1" s="1"/>
  <c r="AN53" i="1"/>
  <c r="AO53" i="1" s="1"/>
  <c r="AL53" i="1"/>
  <c r="AM53" i="1" s="1"/>
  <c r="AJ53" i="1"/>
  <c r="AK53" i="1" s="1"/>
  <c r="AH53" i="1"/>
  <c r="AI53" i="1" s="1"/>
  <c r="AF53" i="1"/>
  <c r="AG53" i="1" s="1"/>
  <c r="AD53" i="1"/>
  <c r="AE53" i="1" s="1"/>
  <c r="AB53" i="1"/>
  <c r="AC53" i="1" s="1"/>
  <c r="Z53" i="1"/>
  <c r="AA53" i="1" s="1"/>
  <c r="X53" i="1"/>
  <c r="Y53" i="1" s="1"/>
  <c r="V53" i="1"/>
  <c r="W53" i="1" s="1"/>
  <c r="T53" i="1"/>
  <c r="U53" i="1" s="1"/>
  <c r="Q53" i="1"/>
  <c r="AZ52" i="1"/>
  <c r="BA52" i="1" s="1"/>
  <c r="AX52" i="1"/>
  <c r="AY52" i="1" s="1"/>
  <c r="AV52" i="1"/>
  <c r="AW52" i="1" s="1"/>
  <c r="AT52" i="1"/>
  <c r="AU52" i="1" s="1"/>
  <c r="AR52" i="1"/>
  <c r="AS52" i="1" s="1"/>
  <c r="AP52" i="1"/>
  <c r="AQ52" i="1" s="1"/>
  <c r="AN52" i="1"/>
  <c r="AO52" i="1" s="1"/>
  <c r="AL52" i="1"/>
  <c r="AM52" i="1" s="1"/>
  <c r="AJ52" i="1"/>
  <c r="AK52" i="1" s="1"/>
  <c r="AH52" i="1"/>
  <c r="AI52" i="1" s="1"/>
  <c r="AF52" i="1"/>
  <c r="AG52" i="1" s="1"/>
  <c r="AD52" i="1"/>
  <c r="AE52" i="1" s="1"/>
  <c r="AB52" i="1"/>
  <c r="AC52" i="1" s="1"/>
  <c r="Z52" i="1"/>
  <c r="AA52" i="1" s="1"/>
  <c r="X52" i="1"/>
  <c r="Y52" i="1" s="1"/>
  <c r="V52" i="1"/>
  <c r="W52" i="1" s="1"/>
  <c r="T52" i="1"/>
  <c r="Q52" i="1"/>
  <c r="AZ51" i="1"/>
  <c r="BA51" i="1" s="1"/>
  <c r="AX51" i="1"/>
  <c r="AY51" i="1" s="1"/>
  <c r="AV51" i="1"/>
  <c r="AW51" i="1" s="1"/>
  <c r="AT51" i="1"/>
  <c r="AU51" i="1" s="1"/>
  <c r="AR51" i="1"/>
  <c r="AS51" i="1" s="1"/>
  <c r="AP51" i="1"/>
  <c r="AQ51" i="1" s="1"/>
  <c r="AN51" i="1"/>
  <c r="AO51" i="1" s="1"/>
  <c r="AL51" i="1"/>
  <c r="AM51" i="1" s="1"/>
  <c r="AJ51" i="1"/>
  <c r="AK51" i="1" s="1"/>
  <c r="AH51" i="1"/>
  <c r="AI51" i="1" s="1"/>
  <c r="AF51" i="1"/>
  <c r="AG51" i="1" s="1"/>
  <c r="AD51" i="1"/>
  <c r="AE51" i="1" s="1"/>
  <c r="AB51" i="1"/>
  <c r="AC51" i="1" s="1"/>
  <c r="Z51" i="1"/>
  <c r="AA51" i="1" s="1"/>
  <c r="X51" i="1"/>
  <c r="Y51" i="1" s="1"/>
  <c r="V51" i="1"/>
  <c r="T51" i="1"/>
  <c r="U51" i="1" s="1"/>
  <c r="Q51" i="1"/>
  <c r="AZ50" i="1"/>
  <c r="BA50" i="1" s="1"/>
  <c r="AX50" i="1"/>
  <c r="AY50" i="1" s="1"/>
  <c r="AV50" i="1"/>
  <c r="AW50" i="1" s="1"/>
  <c r="AT50" i="1"/>
  <c r="AU50" i="1" s="1"/>
  <c r="AR50" i="1"/>
  <c r="AS50" i="1" s="1"/>
  <c r="AP50" i="1"/>
  <c r="AQ50" i="1" s="1"/>
  <c r="AN50" i="1"/>
  <c r="AO50" i="1" s="1"/>
  <c r="AL50" i="1"/>
  <c r="AM50" i="1" s="1"/>
  <c r="AJ50" i="1"/>
  <c r="AK50" i="1" s="1"/>
  <c r="AH50" i="1"/>
  <c r="AI50" i="1" s="1"/>
  <c r="AF50" i="1"/>
  <c r="AG50" i="1" s="1"/>
  <c r="AD50" i="1"/>
  <c r="AE50" i="1" s="1"/>
  <c r="AB50" i="1"/>
  <c r="AC50" i="1" s="1"/>
  <c r="Z50" i="1"/>
  <c r="AA50" i="1" s="1"/>
  <c r="X50" i="1"/>
  <c r="Y50" i="1" s="1"/>
  <c r="V50" i="1"/>
  <c r="W50" i="1" s="1"/>
  <c r="T50" i="1"/>
  <c r="U50" i="1" s="1"/>
  <c r="Q50" i="1"/>
  <c r="AZ49" i="1"/>
  <c r="BA49" i="1" s="1"/>
  <c r="AX49" i="1"/>
  <c r="AY49" i="1" s="1"/>
  <c r="AV49" i="1"/>
  <c r="AW49" i="1" s="1"/>
  <c r="AT49" i="1"/>
  <c r="AU49" i="1" s="1"/>
  <c r="AR49" i="1"/>
  <c r="AS49" i="1" s="1"/>
  <c r="AP49" i="1"/>
  <c r="AQ49" i="1" s="1"/>
  <c r="AN49" i="1"/>
  <c r="AO49" i="1" s="1"/>
  <c r="AL49" i="1"/>
  <c r="AM49" i="1" s="1"/>
  <c r="AJ49" i="1"/>
  <c r="AK49" i="1" s="1"/>
  <c r="AH49" i="1"/>
  <c r="AI49" i="1" s="1"/>
  <c r="AF49" i="1"/>
  <c r="AG49" i="1" s="1"/>
  <c r="AD49" i="1"/>
  <c r="AE49" i="1" s="1"/>
  <c r="AB49" i="1"/>
  <c r="AC49" i="1" s="1"/>
  <c r="Z49" i="1"/>
  <c r="AA49" i="1" s="1"/>
  <c r="X49" i="1"/>
  <c r="Y49" i="1" s="1"/>
  <c r="V49" i="1"/>
  <c r="W49" i="1" s="1"/>
  <c r="T49" i="1"/>
  <c r="U49" i="1" s="1"/>
  <c r="Q49" i="1"/>
  <c r="AZ47" i="1"/>
  <c r="BA47" i="1" s="1"/>
  <c r="AX47" i="1"/>
  <c r="AY47" i="1" s="1"/>
  <c r="AV47" i="1"/>
  <c r="AW47" i="1" s="1"/>
  <c r="AT47" i="1"/>
  <c r="AU47" i="1" s="1"/>
  <c r="AR47" i="1"/>
  <c r="AS47" i="1" s="1"/>
  <c r="AP47" i="1"/>
  <c r="AQ47" i="1" s="1"/>
  <c r="AN47" i="1"/>
  <c r="AO47" i="1" s="1"/>
  <c r="AL47" i="1"/>
  <c r="AM47" i="1" s="1"/>
  <c r="AJ47" i="1"/>
  <c r="AK47" i="1" s="1"/>
  <c r="AH47" i="1"/>
  <c r="AI47" i="1" s="1"/>
  <c r="AF47" i="1"/>
  <c r="AG47" i="1" s="1"/>
  <c r="AD47" i="1"/>
  <c r="AE47" i="1" s="1"/>
  <c r="AB47" i="1"/>
  <c r="AC47" i="1" s="1"/>
  <c r="Z47" i="1"/>
  <c r="AA47" i="1" s="1"/>
  <c r="X47" i="1"/>
  <c r="Y47" i="1" s="1"/>
  <c r="V47" i="1"/>
  <c r="T47" i="1"/>
  <c r="U47" i="1" s="1"/>
  <c r="Q47" i="1"/>
  <c r="AZ46" i="1"/>
  <c r="BA46" i="1" s="1"/>
  <c r="AX46" i="1"/>
  <c r="AY46" i="1" s="1"/>
  <c r="AV46" i="1"/>
  <c r="AW46" i="1" s="1"/>
  <c r="AT46" i="1"/>
  <c r="AU46" i="1" s="1"/>
  <c r="AR46" i="1"/>
  <c r="AS46" i="1" s="1"/>
  <c r="AP46" i="1"/>
  <c r="AQ46" i="1" s="1"/>
  <c r="AN46" i="1"/>
  <c r="AO46" i="1" s="1"/>
  <c r="AL46" i="1"/>
  <c r="AM46" i="1" s="1"/>
  <c r="AJ46" i="1"/>
  <c r="AK46" i="1" s="1"/>
  <c r="AH46" i="1"/>
  <c r="AI46" i="1" s="1"/>
  <c r="AF46" i="1"/>
  <c r="AG46" i="1" s="1"/>
  <c r="AD46" i="1"/>
  <c r="AE46" i="1" s="1"/>
  <c r="AB46" i="1"/>
  <c r="AC46" i="1" s="1"/>
  <c r="Z46" i="1"/>
  <c r="AA46" i="1" s="1"/>
  <c r="X46" i="1"/>
  <c r="Y46" i="1" s="1"/>
  <c r="V46" i="1"/>
  <c r="W46" i="1" s="1"/>
  <c r="T46" i="1"/>
  <c r="U46" i="1" s="1"/>
  <c r="Q46" i="1"/>
  <c r="AZ44" i="1"/>
  <c r="BA44" i="1" s="1"/>
  <c r="AX44" i="1"/>
  <c r="AY44" i="1" s="1"/>
  <c r="AV44" i="1"/>
  <c r="AW44" i="1" s="1"/>
  <c r="AT44" i="1"/>
  <c r="AU44" i="1" s="1"/>
  <c r="AR44" i="1"/>
  <c r="AS44" i="1" s="1"/>
  <c r="AP44" i="1"/>
  <c r="AQ44" i="1" s="1"/>
  <c r="AN44" i="1"/>
  <c r="AO44" i="1" s="1"/>
  <c r="AL44" i="1"/>
  <c r="AM44" i="1" s="1"/>
  <c r="AJ44" i="1"/>
  <c r="AK44" i="1" s="1"/>
  <c r="AH44" i="1"/>
  <c r="AI44" i="1" s="1"/>
  <c r="AF44" i="1"/>
  <c r="AG44" i="1" s="1"/>
  <c r="AD44" i="1"/>
  <c r="AE44" i="1" s="1"/>
  <c r="AB44" i="1"/>
  <c r="AC44" i="1" s="1"/>
  <c r="Z44" i="1"/>
  <c r="AA44" i="1" s="1"/>
  <c r="X44" i="1"/>
  <c r="Y44" i="1" s="1"/>
  <c r="V44" i="1"/>
  <c r="W44" i="1" s="1"/>
  <c r="T44" i="1"/>
  <c r="U44" i="1" s="1"/>
  <c r="Q44" i="1"/>
  <c r="AZ43" i="1"/>
  <c r="BA43" i="1" s="1"/>
  <c r="AX43" i="1"/>
  <c r="AY43" i="1" s="1"/>
  <c r="AV43" i="1"/>
  <c r="AW43" i="1" s="1"/>
  <c r="AT43" i="1"/>
  <c r="AU43" i="1" s="1"/>
  <c r="AR43" i="1"/>
  <c r="AS43" i="1" s="1"/>
  <c r="AP43" i="1"/>
  <c r="AQ43" i="1" s="1"/>
  <c r="AN43" i="1"/>
  <c r="AO43" i="1" s="1"/>
  <c r="AL43" i="1"/>
  <c r="AM43" i="1" s="1"/>
  <c r="AJ43" i="1"/>
  <c r="AK43" i="1" s="1"/>
  <c r="AH43" i="1"/>
  <c r="AI43" i="1" s="1"/>
  <c r="AF43" i="1"/>
  <c r="AG43" i="1" s="1"/>
  <c r="AD43" i="1"/>
  <c r="AE43" i="1" s="1"/>
  <c r="AB43" i="1"/>
  <c r="AC43" i="1" s="1"/>
  <c r="Z43" i="1"/>
  <c r="AA43" i="1" s="1"/>
  <c r="X43" i="1"/>
  <c r="Y43" i="1" s="1"/>
  <c r="V43" i="1"/>
  <c r="W43" i="1" s="1"/>
  <c r="T43" i="1"/>
  <c r="U43" i="1" s="1"/>
  <c r="Q43" i="1"/>
  <c r="AZ42" i="1"/>
  <c r="BA42" i="1" s="1"/>
  <c r="AX42" i="1"/>
  <c r="AY42" i="1" s="1"/>
  <c r="AV42" i="1"/>
  <c r="AW42" i="1" s="1"/>
  <c r="AT42" i="1"/>
  <c r="AU42" i="1" s="1"/>
  <c r="AR42" i="1"/>
  <c r="AS42" i="1" s="1"/>
  <c r="AP42" i="1"/>
  <c r="AQ42" i="1" s="1"/>
  <c r="AN42" i="1"/>
  <c r="AO42" i="1" s="1"/>
  <c r="AL42" i="1"/>
  <c r="AM42" i="1" s="1"/>
  <c r="AJ42" i="1"/>
  <c r="AK42" i="1" s="1"/>
  <c r="AH42" i="1"/>
  <c r="AI42" i="1" s="1"/>
  <c r="AF42" i="1"/>
  <c r="AG42" i="1" s="1"/>
  <c r="AD42" i="1"/>
  <c r="AE42" i="1" s="1"/>
  <c r="AB42" i="1"/>
  <c r="AC42" i="1" s="1"/>
  <c r="Z42" i="1"/>
  <c r="AA42" i="1" s="1"/>
  <c r="X42" i="1"/>
  <c r="Y42" i="1" s="1"/>
  <c r="V42" i="1"/>
  <c r="W42" i="1" s="1"/>
  <c r="T42" i="1"/>
  <c r="U42" i="1" s="1"/>
  <c r="Q42" i="1"/>
  <c r="AZ41" i="1"/>
  <c r="BA41" i="1" s="1"/>
  <c r="AX41" i="1"/>
  <c r="AY41" i="1" s="1"/>
  <c r="AV41" i="1"/>
  <c r="AW41" i="1" s="1"/>
  <c r="AT41" i="1"/>
  <c r="AU41" i="1" s="1"/>
  <c r="AR41" i="1"/>
  <c r="AS41" i="1" s="1"/>
  <c r="AP41" i="1"/>
  <c r="AQ41" i="1" s="1"/>
  <c r="AN41" i="1"/>
  <c r="AO41" i="1" s="1"/>
  <c r="AL41" i="1"/>
  <c r="AM41" i="1" s="1"/>
  <c r="AJ41" i="1"/>
  <c r="AK41" i="1" s="1"/>
  <c r="AH41" i="1"/>
  <c r="AI41" i="1" s="1"/>
  <c r="AF41" i="1"/>
  <c r="AG41" i="1" s="1"/>
  <c r="AD41" i="1"/>
  <c r="AE41" i="1" s="1"/>
  <c r="AB41" i="1"/>
  <c r="AC41" i="1" s="1"/>
  <c r="Z41" i="1"/>
  <c r="AA41" i="1" s="1"/>
  <c r="X41" i="1"/>
  <c r="Y41" i="1" s="1"/>
  <c r="V41" i="1"/>
  <c r="W41" i="1" s="1"/>
  <c r="T41" i="1"/>
  <c r="U41" i="1" s="1"/>
  <c r="Q41" i="1"/>
  <c r="AZ40" i="1"/>
  <c r="BA40" i="1" s="1"/>
  <c r="AX40" i="1"/>
  <c r="AY40" i="1" s="1"/>
  <c r="AV40" i="1"/>
  <c r="AW40" i="1" s="1"/>
  <c r="AT40" i="1"/>
  <c r="AU40" i="1" s="1"/>
  <c r="AR40" i="1"/>
  <c r="AS40" i="1" s="1"/>
  <c r="AP40" i="1"/>
  <c r="AQ40" i="1" s="1"/>
  <c r="AN40" i="1"/>
  <c r="AO40" i="1" s="1"/>
  <c r="AL40" i="1"/>
  <c r="AM40" i="1" s="1"/>
  <c r="AJ40" i="1"/>
  <c r="AK40" i="1" s="1"/>
  <c r="AH40" i="1"/>
  <c r="AI40" i="1" s="1"/>
  <c r="AF40" i="1"/>
  <c r="AG40" i="1" s="1"/>
  <c r="AD40" i="1"/>
  <c r="AE40" i="1" s="1"/>
  <c r="AB40" i="1"/>
  <c r="AC40" i="1" s="1"/>
  <c r="Z40" i="1"/>
  <c r="AA40" i="1" s="1"/>
  <c r="X40" i="1"/>
  <c r="Y40" i="1" s="1"/>
  <c r="V40" i="1"/>
  <c r="W40" i="1" s="1"/>
  <c r="T40" i="1"/>
  <c r="U40" i="1" s="1"/>
  <c r="Q40" i="1"/>
  <c r="AZ39" i="1"/>
  <c r="BA39" i="1" s="1"/>
  <c r="AX39" i="1"/>
  <c r="AY39" i="1" s="1"/>
  <c r="AV39" i="1"/>
  <c r="AW39" i="1" s="1"/>
  <c r="AT39" i="1"/>
  <c r="AU39" i="1" s="1"/>
  <c r="AR39" i="1"/>
  <c r="AS39" i="1" s="1"/>
  <c r="AP39" i="1"/>
  <c r="AQ39" i="1" s="1"/>
  <c r="AN39" i="1"/>
  <c r="AO39" i="1" s="1"/>
  <c r="AL39" i="1"/>
  <c r="AM39" i="1" s="1"/>
  <c r="AJ39" i="1"/>
  <c r="AK39" i="1" s="1"/>
  <c r="AH39" i="1"/>
  <c r="AI39" i="1" s="1"/>
  <c r="AF39" i="1"/>
  <c r="AG39" i="1" s="1"/>
  <c r="AD39" i="1"/>
  <c r="AE39" i="1" s="1"/>
  <c r="AB39" i="1"/>
  <c r="AC39" i="1" s="1"/>
  <c r="Z39" i="1"/>
  <c r="AA39" i="1" s="1"/>
  <c r="X39" i="1"/>
  <c r="Y39" i="1" s="1"/>
  <c r="V39" i="1"/>
  <c r="W39" i="1" s="1"/>
  <c r="T39" i="1"/>
  <c r="U39" i="1" s="1"/>
  <c r="Q39" i="1"/>
  <c r="AZ38" i="1"/>
  <c r="BA38" i="1" s="1"/>
  <c r="AX38" i="1"/>
  <c r="AY38" i="1" s="1"/>
  <c r="AV38" i="1"/>
  <c r="AW38" i="1" s="1"/>
  <c r="AT38" i="1"/>
  <c r="AU38" i="1" s="1"/>
  <c r="AR38" i="1"/>
  <c r="AS38" i="1" s="1"/>
  <c r="AP38" i="1"/>
  <c r="AQ38" i="1" s="1"/>
  <c r="AN38" i="1"/>
  <c r="AO38" i="1" s="1"/>
  <c r="AL38" i="1"/>
  <c r="AM38" i="1" s="1"/>
  <c r="AJ38" i="1"/>
  <c r="AK38" i="1" s="1"/>
  <c r="AH38" i="1"/>
  <c r="AI38" i="1" s="1"/>
  <c r="AF38" i="1"/>
  <c r="AG38" i="1" s="1"/>
  <c r="AD38" i="1"/>
  <c r="AE38" i="1" s="1"/>
  <c r="AB38" i="1"/>
  <c r="AC38" i="1" s="1"/>
  <c r="Z38" i="1"/>
  <c r="AA38" i="1" s="1"/>
  <c r="X38" i="1"/>
  <c r="Y38" i="1" s="1"/>
  <c r="V38" i="1"/>
  <c r="W38" i="1" s="1"/>
  <c r="T38" i="1"/>
  <c r="U38" i="1" s="1"/>
  <c r="Q38" i="1"/>
  <c r="AZ37" i="1"/>
  <c r="BA37" i="1" s="1"/>
  <c r="AX37" i="1"/>
  <c r="AY37" i="1" s="1"/>
  <c r="AV37" i="1"/>
  <c r="AW37" i="1" s="1"/>
  <c r="AT37" i="1"/>
  <c r="AU37" i="1" s="1"/>
  <c r="AR37" i="1"/>
  <c r="AS37" i="1" s="1"/>
  <c r="AP37" i="1"/>
  <c r="AQ37" i="1" s="1"/>
  <c r="AN37" i="1"/>
  <c r="AO37" i="1" s="1"/>
  <c r="AL37" i="1"/>
  <c r="AM37" i="1" s="1"/>
  <c r="AJ37" i="1"/>
  <c r="AK37" i="1" s="1"/>
  <c r="AH37" i="1"/>
  <c r="AI37" i="1" s="1"/>
  <c r="AF37" i="1"/>
  <c r="AG37" i="1" s="1"/>
  <c r="AD37" i="1"/>
  <c r="AE37" i="1" s="1"/>
  <c r="AB37" i="1"/>
  <c r="AC37" i="1" s="1"/>
  <c r="Z37" i="1"/>
  <c r="AA37" i="1" s="1"/>
  <c r="X37" i="1"/>
  <c r="Y37" i="1" s="1"/>
  <c r="V37" i="1"/>
  <c r="W37" i="1" s="1"/>
  <c r="T37" i="1"/>
  <c r="U37" i="1" s="1"/>
  <c r="Q37" i="1"/>
  <c r="AZ36" i="1"/>
  <c r="BA36" i="1" s="1"/>
  <c r="AX36" i="1"/>
  <c r="AY36" i="1" s="1"/>
  <c r="AV36" i="1"/>
  <c r="AW36" i="1" s="1"/>
  <c r="AT36" i="1"/>
  <c r="AU36" i="1" s="1"/>
  <c r="AR36" i="1"/>
  <c r="AS36" i="1" s="1"/>
  <c r="AP36" i="1"/>
  <c r="AQ36" i="1" s="1"/>
  <c r="AN36" i="1"/>
  <c r="AO36" i="1" s="1"/>
  <c r="AL36" i="1"/>
  <c r="AM36" i="1" s="1"/>
  <c r="AJ36" i="1"/>
  <c r="AK36" i="1" s="1"/>
  <c r="AH36" i="1"/>
  <c r="AI36" i="1" s="1"/>
  <c r="AF36" i="1"/>
  <c r="AG36" i="1" s="1"/>
  <c r="AD36" i="1"/>
  <c r="AE36" i="1" s="1"/>
  <c r="AB36" i="1"/>
  <c r="AC36" i="1" s="1"/>
  <c r="Z36" i="1"/>
  <c r="AA36" i="1" s="1"/>
  <c r="X36" i="1"/>
  <c r="Y36" i="1" s="1"/>
  <c r="V36" i="1"/>
  <c r="W36" i="1" s="1"/>
  <c r="T36" i="1"/>
  <c r="U36" i="1" s="1"/>
  <c r="Q36" i="1"/>
  <c r="AZ35" i="1"/>
  <c r="BA35" i="1" s="1"/>
  <c r="AX35" i="1"/>
  <c r="AY35" i="1" s="1"/>
  <c r="AV35" i="1"/>
  <c r="AW35" i="1" s="1"/>
  <c r="AT35" i="1"/>
  <c r="AU35" i="1" s="1"/>
  <c r="AR35" i="1"/>
  <c r="AS35" i="1" s="1"/>
  <c r="AP35" i="1"/>
  <c r="AQ35" i="1" s="1"/>
  <c r="AN35" i="1"/>
  <c r="AO35" i="1" s="1"/>
  <c r="AL35" i="1"/>
  <c r="AM35" i="1" s="1"/>
  <c r="AJ35" i="1"/>
  <c r="AK35" i="1" s="1"/>
  <c r="AH35" i="1"/>
  <c r="AI35" i="1" s="1"/>
  <c r="AF35" i="1"/>
  <c r="AG35" i="1" s="1"/>
  <c r="AD35" i="1"/>
  <c r="AE35" i="1" s="1"/>
  <c r="AB35" i="1"/>
  <c r="AC35" i="1" s="1"/>
  <c r="Z35" i="1"/>
  <c r="AA35" i="1" s="1"/>
  <c r="X35" i="1"/>
  <c r="Y35" i="1" s="1"/>
  <c r="V35" i="1"/>
  <c r="W35" i="1" s="1"/>
  <c r="T35" i="1"/>
  <c r="U35" i="1" s="1"/>
  <c r="Q35" i="1"/>
  <c r="AZ34" i="1"/>
  <c r="BA34" i="1" s="1"/>
  <c r="AX34" i="1"/>
  <c r="AY34" i="1" s="1"/>
  <c r="AV34" i="1"/>
  <c r="AW34" i="1" s="1"/>
  <c r="AT34" i="1"/>
  <c r="AU34" i="1" s="1"/>
  <c r="AR34" i="1"/>
  <c r="AS34" i="1" s="1"/>
  <c r="AP34" i="1"/>
  <c r="AQ34" i="1" s="1"/>
  <c r="AN34" i="1"/>
  <c r="AO34" i="1" s="1"/>
  <c r="AL34" i="1"/>
  <c r="AM34" i="1" s="1"/>
  <c r="AJ34" i="1"/>
  <c r="AK34" i="1" s="1"/>
  <c r="AH34" i="1"/>
  <c r="AI34" i="1" s="1"/>
  <c r="AF34" i="1"/>
  <c r="AG34" i="1" s="1"/>
  <c r="AD34" i="1"/>
  <c r="AE34" i="1" s="1"/>
  <c r="AB34" i="1"/>
  <c r="AC34" i="1" s="1"/>
  <c r="Z34" i="1"/>
  <c r="AA34" i="1" s="1"/>
  <c r="X34" i="1"/>
  <c r="Y34" i="1" s="1"/>
  <c r="V34" i="1"/>
  <c r="W34" i="1" s="1"/>
  <c r="T34" i="1"/>
  <c r="U34" i="1" s="1"/>
  <c r="Q34" i="1"/>
  <c r="AZ33" i="1"/>
  <c r="BA33" i="1" s="1"/>
  <c r="AX33" i="1"/>
  <c r="AY33" i="1" s="1"/>
  <c r="AV33" i="1"/>
  <c r="AW33" i="1" s="1"/>
  <c r="AT33" i="1"/>
  <c r="AU33" i="1" s="1"/>
  <c r="AR33" i="1"/>
  <c r="AS33" i="1" s="1"/>
  <c r="AP33" i="1"/>
  <c r="AQ33" i="1" s="1"/>
  <c r="AN33" i="1"/>
  <c r="AO33" i="1" s="1"/>
  <c r="AL33" i="1"/>
  <c r="AM33" i="1" s="1"/>
  <c r="AJ33" i="1"/>
  <c r="AK33" i="1" s="1"/>
  <c r="AH33" i="1"/>
  <c r="AI33" i="1" s="1"/>
  <c r="AF33" i="1"/>
  <c r="AG33" i="1" s="1"/>
  <c r="AD33" i="1"/>
  <c r="AE33" i="1" s="1"/>
  <c r="AB33" i="1"/>
  <c r="Z33" i="1"/>
  <c r="AA33" i="1" s="1"/>
  <c r="X33" i="1"/>
  <c r="Y33" i="1" s="1"/>
  <c r="V33" i="1"/>
  <c r="W33" i="1" s="1"/>
  <c r="T33" i="1"/>
  <c r="U33" i="1" s="1"/>
  <c r="Q33" i="1"/>
  <c r="AZ32" i="1"/>
  <c r="BA32" i="1" s="1"/>
  <c r="AX32" i="1"/>
  <c r="AY32" i="1" s="1"/>
  <c r="AV32" i="1"/>
  <c r="AW32" i="1" s="1"/>
  <c r="AT32" i="1"/>
  <c r="AU32" i="1" s="1"/>
  <c r="AR32" i="1"/>
  <c r="AS32" i="1" s="1"/>
  <c r="AP32" i="1"/>
  <c r="AQ32" i="1" s="1"/>
  <c r="AN32" i="1"/>
  <c r="AO32" i="1" s="1"/>
  <c r="AL32" i="1"/>
  <c r="AM32" i="1" s="1"/>
  <c r="AJ32" i="1"/>
  <c r="AK32" i="1" s="1"/>
  <c r="AH32" i="1"/>
  <c r="AI32" i="1" s="1"/>
  <c r="AF32" i="1"/>
  <c r="AG32" i="1" s="1"/>
  <c r="AD32" i="1"/>
  <c r="AE32" i="1" s="1"/>
  <c r="AB32" i="1"/>
  <c r="AC32" i="1" s="1"/>
  <c r="Z32" i="1"/>
  <c r="AA32" i="1" s="1"/>
  <c r="X32" i="1"/>
  <c r="Y32" i="1" s="1"/>
  <c r="V32" i="1"/>
  <c r="W32" i="1" s="1"/>
  <c r="T32" i="1"/>
  <c r="U32" i="1" s="1"/>
  <c r="Q32" i="1"/>
  <c r="AZ31" i="1"/>
  <c r="BA31" i="1" s="1"/>
  <c r="AX31" i="1"/>
  <c r="AY31" i="1" s="1"/>
  <c r="AV31" i="1"/>
  <c r="AW31" i="1" s="1"/>
  <c r="AT31" i="1"/>
  <c r="AU31" i="1" s="1"/>
  <c r="AR31" i="1"/>
  <c r="AS31" i="1" s="1"/>
  <c r="AP31" i="1"/>
  <c r="AQ31" i="1" s="1"/>
  <c r="AN31" i="1"/>
  <c r="AO31" i="1" s="1"/>
  <c r="AL31" i="1"/>
  <c r="AM31" i="1" s="1"/>
  <c r="AJ31" i="1"/>
  <c r="AK31" i="1" s="1"/>
  <c r="AH31" i="1"/>
  <c r="AI31" i="1" s="1"/>
  <c r="AF31" i="1"/>
  <c r="AG31" i="1" s="1"/>
  <c r="AD31" i="1"/>
  <c r="AE31" i="1" s="1"/>
  <c r="AB31" i="1"/>
  <c r="AC31" i="1" s="1"/>
  <c r="Z31" i="1"/>
  <c r="AA31" i="1" s="1"/>
  <c r="X31" i="1"/>
  <c r="Y31" i="1" s="1"/>
  <c r="V31" i="1"/>
  <c r="W31" i="1" s="1"/>
  <c r="T31" i="1"/>
  <c r="U31" i="1" s="1"/>
  <c r="Q31" i="1"/>
  <c r="AZ30" i="1"/>
  <c r="BA30" i="1" s="1"/>
  <c r="AX30" i="1"/>
  <c r="AY30" i="1" s="1"/>
  <c r="AV30" i="1"/>
  <c r="AW30" i="1" s="1"/>
  <c r="AT30" i="1"/>
  <c r="AU30" i="1" s="1"/>
  <c r="AR30" i="1"/>
  <c r="AS30" i="1" s="1"/>
  <c r="AP30" i="1"/>
  <c r="AQ30" i="1" s="1"/>
  <c r="AN30" i="1"/>
  <c r="AO30" i="1" s="1"/>
  <c r="AL30" i="1"/>
  <c r="AM30" i="1" s="1"/>
  <c r="AJ30" i="1"/>
  <c r="AK30" i="1" s="1"/>
  <c r="AH30" i="1"/>
  <c r="AI30" i="1" s="1"/>
  <c r="AF30" i="1"/>
  <c r="AG30" i="1" s="1"/>
  <c r="AD30" i="1"/>
  <c r="AE30" i="1" s="1"/>
  <c r="AB30" i="1"/>
  <c r="AC30" i="1" s="1"/>
  <c r="Z30" i="1"/>
  <c r="X30" i="1"/>
  <c r="Y30" i="1" s="1"/>
  <c r="V30" i="1"/>
  <c r="W30" i="1" s="1"/>
  <c r="T30" i="1"/>
  <c r="U30" i="1" s="1"/>
  <c r="Q30" i="1"/>
  <c r="AZ29" i="1"/>
  <c r="BA29" i="1" s="1"/>
  <c r="AX29" i="1"/>
  <c r="AY29" i="1" s="1"/>
  <c r="AV29" i="1"/>
  <c r="AW29" i="1" s="1"/>
  <c r="AT29" i="1"/>
  <c r="AU29" i="1" s="1"/>
  <c r="AR29" i="1"/>
  <c r="AS29" i="1" s="1"/>
  <c r="AP29" i="1"/>
  <c r="AQ29" i="1" s="1"/>
  <c r="AN29" i="1"/>
  <c r="AO29" i="1" s="1"/>
  <c r="AL29" i="1"/>
  <c r="AM29" i="1" s="1"/>
  <c r="AJ29" i="1"/>
  <c r="AK29" i="1" s="1"/>
  <c r="AH29" i="1"/>
  <c r="AI29" i="1" s="1"/>
  <c r="AF29" i="1"/>
  <c r="AG29" i="1" s="1"/>
  <c r="AD29" i="1"/>
  <c r="AE29" i="1" s="1"/>
  <c r="AB29" i="1"/>
  <c r="AC29" i="1" s="1"/>
  <c r="Z29" i="1"/>
  <c r="AA29" i="1" s="1"/>
  <c r="X29" i="1"/>
  <c r="V29" i="1"/>
  <c r="W29" i="1" s="1"/>
  <c r="T29" i="1"/>
  <c r="U29" i="1" s="1"/>
  <c r="Q29" i="1"/>
  <c r="AZ28" i="1"/>
  <c r="BA28" i="1" s="1"/>
  <c r="AX28" i="1"/>
  <c r="AY28" i="1" s="1"/>
  <c r="AV28" i="1"/>
  <c r="AW28" i="1" s="1"/>
  <c r="AT28" i="1"/>
  <c r="AU28" i="1" s="1"/>
  <c r="AR28" i="1"/>
  <c r="AS28" i="1" s="1"/>
  <c r="AP28" i="1"/>
  <c r="AQ28" i="1" s="1"/>
  <c r="AN28" i="1"/>
  <c r="AO28" i="1" s="1"/>
  <c r="AL28" i="1"/>
  <c r="AM28" i="1" s="1"/>
  <c r="AJ28" i="1"/>
  <c r="AK28" i="1" s="1"/>
  <c r="AH28" i="1"/>
  <c r="AI28" i="1" s="1"/>
  <c r="AF28" i="1"/>
  <c r="AG28" i="1" s="1"/>
  <c r="AD28" i="1"/>
  <c r="AE28" i="1" s="1"/>
  <c r="AB28" i="1"/>
  <c r="AC28" i="1" s="1"/>
  <c r="Z28" i="1"/>
  <c r="AA28" i="1" s="1"/>
  <c r="X28" i="1"/>
  <c r="Y28" i="1" s="1"/>
  <c r="V28" i="1"/>
  <c r="W28" i="1" s="1"/>
  <c r="T28" i="1"/>
  <c r="U28" i="1" s="1"/>
  <c r="Q28" i="1"/>
  <c r="AZ27" i="1"/>
  <c r="BA27" i="1" s="1"/>
  <c r="AX27" i="1"/>
  <c r="AY27" i="1" s="1"/>
  <c r="AV27" i="1"/>
  <c r="AW27" i="1" s="1"/>
  <c r="AT27" i="1"/>
  <c r="AU27" i="1" s="1"/>
  <c r="AR27" i="1"/>
  <c r="AS27" i="1" s="1"/>
  <c r="AP27" i="1"/>
  <c r="AQ27" i="1" s="1"/>
  <c r="AN27" i="1"/>
  <c r="AO27" i="1" s="1"/>
  <c r="AL27" i="1"/>
  <c r="AM27" i="1" s="1"/>
  <c r="AJ27" i="1"/>
  <c r="AK27" i="1" s="1"/>
  <c r="AH27" i="1"/>
  <c r="AI27" i="1" s="1"/>
  <c r="AF27" i="1"/>
  <c r="AG27" i="1" s="1"/>
  <c r="AD27" i="1"/>
  <c r="AE27" i="1" s="1"/>
  <c r="AB27" i="1"/>
  <c r="AC27" i="1" s="1"/>
  <c r="Z27" i="1"/>
  <c r="AA27" i="1" s="1"/>
  <c r="X27" i="1"/>
  <c r="Y27" i="1" s="1"/>
  <c r="V27" i="1"/>
  <c r="W27" i="1" s="1"/>
  <c r="T27" i="1"/>
  <c r="U27" i="1" s="1"/>
  <c r="Q27" i="1"/>
  <c r="AZ25" i="1"/>
  <c r="BA25" i="1" s="1"/>
  <c r="BA24" i="1" s="1"/>
  <c r="AX25" i="1"/>
  <c r="AY25" i="1" s="1"/>
  <c r="AY24" i="1" s="1"/>
  <c r="AV25" i="1"/>
  <c r="AW25" i="1" s="1"/>
  <c r="AW24" i="1" s="1"/>
  <c r="AT25" i="1"/>
  <c r="AU25" i="1" s="1"/>
  <c r="AU24" i="1" s="1"/>
  <c r="AR25" i="1"/>
  <c r="AS25" i="1" s="1"/>
  <c r="AS24" i="1" s="1"/>
  <c r="AP25" i="1"/>
  <c r="AQ25" i="1" s="1"/>
  <c r="AQ24" i="1" s="1"/>
  <c r="AN25" i="1"/>
  <c r="AO25" i="1" s="1"/>
  <c r="AO24" i="1" s="1"/>
  <c r="AL25" i="1"/>
  <c r="AM25" i="1" s="1"/>
  <c r="AM24" i="1" s="1"/>
  <c r="AJ25" i="1"/>
  <c r="AK25" i="1" s="1"/>
  <c r="AK24" i="1" s="1"/>
  <c r="AH25" i="1"/>
  <c r="AI25" i="1" s="1"/>
  <c r="AI24" i="1" s="1"/>
  <c r="AF25" i="1"/>
  <c r="AG25" i="1" s="1"/>
  <c r="AG24" i="1" s="1"/>
  <c r="AD25" i="1"/>
  <c r="AE25" i="1" s="1"/>
  <c r="AE24" i="1" s="1"/>
  <c r="AB25" i="1"/>
  <c r="AC25" i="1" s="1"/>
  <c r="AC24" i="1" s="1"/>
  <c r="Z25" i="1"/>
  <c r="AA25" i="1" s="1"/>
  <c r="AA24" i="1" s="1"/>
  <c r="X25" i="1"/>
  <c r="Y25" i="1" s="1"/>
  <c r="Y24" i="1" s="1"/>
  <c r="V25" i="1"/>
  <c r="W25" i="1" s="1"/>
  <c r="W24" i="1" s="1"/>
  <c r="T25" i="1"/>
  <c r="U25" i="1" s="1"/>
  <c r="U24" i="1" s="1"/>
  <c r="Q25" i="1"/>
  <c r="Q24" i="1" s="1"/>
  <c r="AZ23" i="1"/>
  <c r="BA23" i="1" s="1"/>
  <c r="BA22" i="1" s="1"/>
  <c r="AX23" i="1"/>
  <c r="AY23" i="1" s="1"/>
  <c r="AY22" i="1" s="1"/>
  <c r="AV23" i="1"/>
  <c r="AW23" i="1" s="1"/>
  <c r="AW22" i="1" s="1"/>
  <c r="AT23" i="1"/>
  <c r="AU23" i="1" s="1"/>
  <c r="AU22" i="1" s="1"/>
  <c r="AR23" i="1"/>
  <c r="AS23" i="1" s="1"/>
  <c r="AS22" i="1" s="1"/>
  <c r="AP23" i="1"/>
  <c r="AQ23" i="1" s="1"/>
  <c r="AQ22" i="1" s="1"/>
  <c r="AN23" i="1"/>
  <c r="AO23" i="1" s="1"/>
  <c r="AO22" i="1" s="1"/>
  <c r="AL23" i="1"/>
  <c r="AM23" i="1" s="1"/>
  <c r="AM22" i="1" s="1"/>
  <c r="AJ23" i="1"/>
  <c r="AK23" i="1" s="1"/>
  <c r="AK22" i="1" s="1"/>
  <c r="AH23" i="1"/>
  <c r="AI23" i="1" s="1"/>
  <c r="AI22" i="1" s="1"/>
  <c r="AF23" i="1"/>
  <c r="AG23" i="1" s="1"/>
  <c r="AG22" i="1" s="1"/>
  <c r="AD23" i="1"/>
  <c r="AE23" i="1" s="1"/>
  <c r="AE22" i="1" s="1"/>
  <c r="AB23" i="1"/>
  <c r="AC23" i="1" s="1"/>
  <c r="AC22" i="1" s="1"/>
  <c r="Z23" i="1"/>
  <c r="AA23" i="1" s="1"/>
  <c r="AA22" i="1" s="1"/>
  <c r="X23" i="1"/>
  <c r="Y23" i="1" s="1"/>
  <c r="Y22" i="1" s="1"/>
  <c r="V23" i="1"/>
  <c r="W23" i="1" s="1"/>
  <c r="W22" i="1" s="1"/>
  <c r="T23" i="1"/>
  <c r="U23" i="1" s="1"/>
  <c r="U22" i="1" s="1"/>
  <c r="Q23" i="1"/>
  <c r="Q22" i="1" s="1"/>
  <c r="AZ21" i="1"/>
  <c r="BA21" i="1" s="1"/>
  <c r="BA20" i="1" s="1"/>
  <c r="AX21" i="1"/>
  <c r="AY21" i="1" s="1"/>
  <c r="AY20" i="1" s="1"/>
  <c r="AV21" i="1"/>
  <c r="AW21" i="1" s="1"/>
  <c r="AW20" i="1" s="1"/>
  <c r="AT21" i="1"/>
  <c r="AU21" i="1" s="1"/>
  <c r="AU20" i="1" s="1"/>
  <c r="AR21" i="1"/>
  <c r="AS21" i="1" s="1"/>
  <c r="AS20" i="1" s="1"/>
  <c r="AP21" i="1"/>
  <c r="AQ21" i="1" s="1"/>
  <c r="AQ20" i="1" s="1"/>
  <c r="AN21" i="1"/>
  <c r="AO21" i="1" s="1"/>
  <c r="AO20" i="1" s="1"/>
  <c r="AL21" i="1"/>
  <c r="AM21" i="1" s="1"/>
  <c r="AM20" i="1" s="1"/>
  <c r="AJ21" i="1"/>
  <c r="AK21" i="1" s="1"/>
  <c r="AK20" i="1" s="1"/>
  <c r="AH21" i="1"/>
  <c r="AI21" i="1" s="1"/>
  <c r="AI20" i="1" s="1"/>
  <c r="AF21" i="1"/>
  <c r="AG21" i="1" s="1"/>
  <c r="AG20" i="1" s="1"/>
  <c r="AD21" i="1"/>
  <c r="AE21" i="1" s="1"/>
  <c r="AE20" i="1" s="1"/>
  <c r="AB21" i="1"/>
  <c r="AC21" i="1" s="1"/>
  <c r="AC20" i="1" s="1"/>
  <c r="Z21" i="1"/>
  <c r="AA21" i="1" s="1"/>
  <c r="AA20" i="1" s="1"/>
  <c r="X21" i="1"/>
  <c r="Y21" i="1" s="1"/>
  <c r="Y20" i="1" s="1"/>
  <c r="V21" i="1"/>
  <c r="W21" i="1" s="1"/>
  <c r="W20" i="1" s="1"/>
  <c r="T21" i="1"/>
  <c r="U21" i="1" s="1"/>
  <c r="U20" i="1" s="1"/>
  <c r="Q21" i="1"/>
  <c r="Q20" i="1" s="1"/>
  <c r="AZ19" i="1"/>
  <c r="BA19" i="1" s="1"/>
  <c r="BA18" i="1" s="1"/>
  <c r="AX19" i="1"/>
  <c r="AY19" i="1" s="1"/>
  <c r="AY18" i="1" s="1"/>
  <c r="AV19" i="1"/>
  <c r="AW19" i="1" s="1"/>
  <c r="AW18" i="1" s="1"/>
  <c r="AT19" i="1"/>
  <c r="AU19" i="1" s="1"/>
  <c r="AU18" i="1" s="1"/>
  <c r="AR19" i="1"/>
  <c r="AS19" i="1" s="1"/>
  <c r="AS18" i="1" s="1"/>
  <c r="AP19" i="1"/>
  <c r="AQ19" i="1" s="1"/>
  <c r="AQ18" i="1" s="1"/>
  <c r="AN19" i="1"/>
  <c r="AO19" i="1" s="1"/>
  <c r="AO18" i="1" s="1"/>
  <c r="AL19" i="1"/>
  <c r="AM19" i="1" s="1"/>
  <c r="AM18" i="1" s="1"/>
  <c r="AJ19" i="1"/>
  <c r="AK19" i="1" s="1"/>
  <c r="AK18" i="1" s="1"/>
  <c r="AH19" i="1"/>
  <c r="AI19" i="1" s="1"/>
  <c r="AI18" i="1" s="1"/>
  <c r="AF19" i="1"/>
  <c r="AG19" i="1" s="1"/>
  <c r="AG18" i="1" s="1"/>
  <c r="AD19" i="1"/>
  <c r="AE19" i="1" s="1"/>
  <c r="AE18" i="1" s="1"/>
  <c r="AB19" i="1"/>
  <c r="AC19" i="1" s="1"/>
  <c r="AC18" i="1" s="1"/>
  <c r="Z19" i="1"/>
  <c r="AA19" i="1" s="1"/>
  <c r="AA18" i="1" s="1"/>
  <c r="X19" i="1"/>
  <c r="Y19" i="1" s="1"/>
  <c r="Y18" i="1" s="1"/>
  <c r="V19" i="1"/>
  <c r="W19" i="1" s="1"/>
  <c r="W18" i="1" s="1"/>
  <c r="T19" i="1"/>
  <c r="U19" i="1" s="1"/>
  <c r="U18" i="1" s="1"/>
  <c r="Q19" i="1"/>
  <c r="Q18" i="1" s="1"/>
  <c r="AZ17" i="1"/>
  <c r="BA17" i="1" s="1"/>
  <c r="BA16" i="1" s="1"/>
  <c r="AX17" i="1"/>
  <c r="AY17" i="1" s="1"/>
  <c r="AY16" i="1" s="1"/>
  <c r="AV17" i="1"/>
  <c r="AW17" i="1" s="1"/>
  <c r="AW16" i="1" s="1"/>
  <c r="AT17" i="1"/>
  <c r="AU17" i="1" s="1"/>
  <c r="AU16" i="1" s="1"/>
  <c r="AR17" i="1"/>
  <c r="AS17" i="1" s="1"/>
  <c r="AS16" i="1" s="1"/>
  <c r="AP17" i="1"/>
  <c r="AQ17" i="1" s="1"/>
  <c r="AQ16" i="1" s="1"/>
  <c r="AN17" i="1"/>
  <c r="AO17" i="1" s="1"/>
  <c r="AO16" i="1" s="1"/>
  <c r="AL17" i="1"/>
  <c r="AM17" i="1" s="1"/>
  <c r="AM16" i="1" s="1"/>
  <c r="AJ17" i="1"/>
  <c r="AK17" i="1" s="1"/>
  <c r="AK16" i="1" s="1"/>
  <c r="AH17" i="1"/>
  <c r="AI17" i="1" s="1"/>
  <c r="AI16" i="1" s="1"/>
  <c r="AF17" i="1"/>
  <c r="AG17" i="1" s="1"/>
  <c r="AG16" i="1" s="1"/>
  <c r="AD17" i="1"/>
  <c r="AE17" i="1" s="1"/>
  <c r="AE16" i="1" s="1"/>
  <c r="AB17" i="1"/>
  <c r="AC17" i="1" s="1"/>
  <c r="AC16" i="1" s="1"/>
  <c r="Z17" i="1"/>
  <c r="AA17" i="1" s="1"/>
  <c r="AA16" i="1" s="1"/>
  <c r="X17" i="1"/>
  <c r="Y17" i="1" s="1"/>
  <c r="Y16" i="1" s="1"/>
  <c r="V17" i="1"/>
  <c r="W17" i="1" s="1"/>
  <c r="W16" i="1" s="1"/>
  <c r="T17" i="1"/>
  <c r="U17" i="1" s="1"/>
  <c r="Q17" i="1"/>
  <c r="Q16" i="1" s="1"/>
  <c r="AZ15" i="1"/>
  <c r="BA15" i="1" s="1"/>
  <c r="BA14" i="1" s="1"/>
  <c r="AX15" i="1"/>
  <c r="AY15" i="1" s="1"/>
  <c r="AY14" i="1" s="1"/>
  <c r="AV15" i="1"/>
  <c r="AW15" i="1" s="1"/>
  <c r="AW14" i="1" s="1"/>
  <c r="AT15" i="1"/>
  <c r="AU15" i="1" s="1"/>
  <c r="AU14" i="1" s="1"/>
  <c r="AR15" i="1"/>
  <c r="AS15" i="1" s="1"/>
  <c r="AS14" i="1" s="1"/>
  <c r="AP15" i="1"/>
  <c r="AQ15" i="1" s="1"/>
  <c r="AQ14" i="1" s="1"/>
  <c r="AN15" i="1"/>
  <c r="AO15" i="1" s="1"/>
  <c r="AO14" i="1" s="1"/>
  <c r="AL15" i="1"/>
  <c r="AM15" i="1" s="1"/>
  <c r="AM14" i="1" s="1"/>
  <c r="AJ15" i="1"/>
  <c r="AK15" i="1" s="1"/>
  <c r="AK14" i="1" s="1"/>
  <c r="AH15" i="1"/>
  <c r="AI15" i="1" s="1"/>
  <c r="AI14" i="1" s="1"/>
  <c r="AF15" i="1"/>
  <c r="AG15" i="1" s="1"/>
  <c r="AG14" i="1" s="1"/>
  <c r="AD15" i="1"/>
  <c r="AE15" i="1" s="1"/>
  <c r="AE14" i="1" s="1"/>
  <c r="AB15" i="1"/>
  <c r="AC15" i="1" s="1"/>
  <c r="AC14" i="1" s="1"/>
  <c r="Z15" i="1"/>
  <c r="AA15" i="1" s="1"/>
  <c r="AA14" i="1" s="1"/>
  <c r="X15" i="1"/>
  <c r="Y15" i="1" s="1"/>
  <c r="Y14" i="1" s="1"/>
  <c r="V15" i="1"/>
  <c r="W15" i="1" s="1"/>
  <c r="W14" i="1" s="1"/>
  <c r="T15" i="1"/>
  <c r="U15" i="1" s="1"/>
  <c r="U14" i="1" s="1"/>
  <c r="Q15" i="1"/>
  <c r="Q14" i="1" s="1"/>
  <c r="AZ13" i="1"/>
  <c r="BA13" i="1" s="1"/>
  <c r="BA12" i="1" s="1"/>
  <c r="AX13" i="1"/>
  <c r="AY13" i="1" s="1"/>
  <c r="AY12" i="1" s="1"/>
  <c r="AV13" i="1"/>
  <c r="AW13" i="1" s="1"/>
  <c r="AW12" i="1" s="1"/>
  <c r="AT13" i="1"/>
  <c r="AU13" i="1" s="1"/>
  <c r="AU12" i="1" s="1"/>
  <c r="AR13" i="1"/>
  <c r="AS13" i="1" s="1"/>
  <c r="AS12" i="1" s="1"/>
  <c r="AP13" i="1"/>
  <c r="AQ13" i="1" s="1"/>
  <c r="AQ12" i="1" s="1"/>
  <c r="AN13" i="1"/>
  <c r="AO13" i="1" s="1"/>
  <c r="AO12" i="1" s="1"/>
  <c r="AL13" i="1"/>
  <c r="AM13" i="1" s="1"/>
  <c r="AM12" i="1" s="1"/>
  <c r="AJ13" i="1"/>
  <c r="AK13" i="1" s="1"/>
  <c r="AK12" i="1" s="1"/>
  <c r="AH13" i="1"/>
  <c r="AI13" i="1" s="1"/>
  <c r="AI12" i="1" s="1"/>
  <c r="AF13" i="1"/>
  <c r="AG13" i="1" s="1"/>
  <c r="AG12" i="1" s="1"/>
  <c r="AD13" i="1"/>
  <c r="AE13" i="1" s="1"/>
  <c r="AE12" i="1" s="1"/>
  <c r="AB13" i="1"/>
  <c r="AC13" i="1" s="1"/>
  <c r="AC12" i="1" s="1"/>
  <c r="Z13" i="1"/>
  <c r="AA13" i="1" s="1"/>
  <c r="AA12" i="1" s="1"/>
  <c r="X13" i="1"/>
  <c r="V13" i="1"/>
  <c r="W13" i="1" s="1"/>
  <c r="W12" i="1" s="1"/>
  <c r="T13" i="1"/>
  <c r="U13" i="1" s="1"/>
  <c r="U12" i="1" s="1"/>
  <c r="Q13" i="1"/>
  <c r="Q12" i="1" s="1"/>
  <c r="AZ11" i="1"/>
  <c r="BA11" i="1" s="1"/>
  <c r="AX11" i="1"/>
  <c r="AY11" i="1" s="1"/>
  <c r="AV11" i="1"/>
  <c r="AW11" i="1" s="1"/>
  <c r="AT11" i="1"/>
  <c r="AU11" i="1" s="1"/>
  <c r="AR11" i="1"/>
  <c r="AS11" i="1" s="1"/>
  <c r="AP11" i="1"/>
  <c r="AQ11" i="1" s="1"/>
  <c r="AN11" i="1"/>
  <c r="AO11" i="1" s="1"/>
  <c r="AL11" i="1"/>
  <c r="AM11" i="1" s="1"/>
  <c r="AJ11" i="1"/>
  <c r="AK11" i="1" s="1"/>
  <c r="AH11" i="1"/>
  <c r="AI11" i="1" s="1"/>
  <c r="AF11" i="1"/>
  <c r="AG11" i="1" s="1"/>
  <c r="AD11" i="1"/>
  <c r="AE11" i="1" s="1"/>
  <c r="AB11" i="1"/>
  <c r="AC11" i="1" s="1"/>
  <c r="Z11" i="1"/>
  <c r="AA11" i="1" s="1"/>
  <c r="X11" i="1"/>
  <c r="Y11" i="1" s="1"/>
  <c r="V11" i="1"/>
  <c r="W11" i="1" s="1"/>
  <c r="T11" i="1"/>
  <c r="U11" i="1" s="1"/>
  <c r="Q11" i="1"/>
  <c r="AZ10" i="1"/>
  <c r="BA10" i="1" s="1"/>
  <c r="AX10" i="1"/>
  <c r="AY10" i="1" s="1"/>
  <c r="AV10" i="1"/>
  <c r="AW10" i="1" s="1"/>
  <c r="AT10" i="1"/>
  <c r="AU10" i="1" s="1"/>
  <c r="AR10" i="1"/>
  <c r="AS10" i="1" s="1"/>
  <c r="AP10" i="1"/>
  <c r="AQ10" i="1" s="1"/>
  <c r="AN10" i="1"/>
  <c r="AO10" i="1" s="1"/>
  <c r="AL10" i="1"/>
  <c r="AM10" i="1" s="1"/>
  <c r="AJ10" i="1"/>
  <c r="AK10" i="1" s="1"/>
  <c r="AH10" i="1"/>
  <c r="AI10" i="1" s="1"/>
  <c r="AF10" i="1"/>
  <c r="AG10" i="1" s="1"/>
  <c r="AD10" i="1"/>
  <c r="AE10" i="1" s="1"/>
  <c r="AB10" i="1"/>
  <c r="AC10" i="1" s="1"/>
  <c r="Z10" i="1"/>
  <c r="AA10" i="1" s="1"/>
  <c r="X10" i="1"/>
  <c r="Y10" i="1" s="1"/>
  <c r="V10" i="1"/>
  <c r="W10" i="1" s="1"/>
  <c r="T10" i="1"/>
  <c r="Q10" i="1"/>
  <c r="AZ8" i="1"/>
  <c r="BA8" i="1" s="1"/>
  <c r="AX8" i="1"/>
  <c r="AY8" i="1" s="1"/>
  <c r="AV8" i="1"/>
  <c r="AW8" i="1" s="1"/>
  <c r="AT8" i="1"/>
  <c r="AU8" i="1" s="1"/>
  <c r="AR8" i="1"/>
  <c r="AS8" i="1" s="1"/>
  <c r="AS7" i="1" s="1"/>
  <c r="AP8" i="1"/>
  <c r="AQ8" i="1" s="1"/>
  <c r="AQ7" i="1" s="1"/>
  <c r="AN8" i="1"/>
  <c r="AO8" i="1" s="1"/>
  <c r="AO7" i="1" s="1"/>
  <c r="AL8" i="1"/>
  <c r="AM8" i="1" s="1"/>
  <c r="AJ8" i="1"/>
  <c r="AK8" i="1" s="1"/>
  <c r="AH8" i="1"/>
  <c r="AI8" i="1" s="1"/>
  <c r="AF8" i="1"/>
  <c r="AG8" i="1" s="1"/>
  <c r="AD8" i="1"/>
  <c r="AE8" i="1" s="1"/>
  <c r="AB8" i="1"/>
  <c r="AC8" i="1" s="1"/>
  <c r="Z8" i="1"/>
  <c r="AA8" i="1" s="1"/>
  <c r="X8" i="1"/>
  <c r="Y8" i="1" s="1"/>
  <c r="V8" i="1"/>
  <c r="W8" i="1" s="1"/>
  <c r="T8" i="1"/>
  <c r="U8" i="1" s="1"/>
  <c r="U7" i="1" s="1"/>
  <c r="Q8" i="1"/>
  <c r="Q7" i="1" s="1"/>
  <c r="BB2" i="1"/>
  <c r="AZ2" i="1"/>
  <c r="AX2" i="1"/>
  <c r="AV2" i="1"/>
  <c r="AT2" i="1"/>
  <c r="AR2" i="1"/>
  <c r="AP2" i="1"/>
  <c r="AN2" i="1"/>
  <c r="AL2" i="1"/>
  <c r="AJ2" i="1"/>
  <c r="AH2" i="1"/>
  <c r="AF2" i="1"/>
  <c r="AD2" i="1"/>
  <c r="AB2" i="1"/>
  <c r="Z2" i="1"/>
  <c r="X2" i="1"/>
  <c r="V2" i="1"/>
  <c r="T2" i="1"/>
  <c r="R2" i="1"/>
  <c r="V28" i="2" l="1"/>
  <c r="V9" i="2"/>
  <c r="BC118" i="2"/>
  <c r="E24" i="5"/>
  <c r="V106" i="2"/>
  <c r="AE104" i="2"/>
  <c r="V24" i="2"/>
  <c r="R193" i="1" s="1"/>
  <c r="V41" i="2"/>
  <c r="BF41" i="2" s="1"/>
  <c r="V58" i="2"/>
  <c r="BF58" i="2" s="1"/>
  <c r="V65" i="2"/>
  <c r="R372" i="1" s="1"/>
  <c r="S372" i="1" s="1"/>
  <c r="V71" i="2"/>
  <c r="V93" i="2"/>
  <c r="R219" i="1" s="1"/>
  <c r="S219" i="1" s="1"/>
  <c r="Y311" i="2"/>
  <c r="V22" i="2"/>
  <c r="BF22" i="2" s="1"/>
  <c r="V159" i="2"/>
  <c r="V171" i="2"/>
  <c r="V25" i="2"/>
  <c r="W25" i="2" s="1"/>
  <c r="AU104" i="2"/>
  <c r="BA9" i="1"/>
  <c r="Y419" i="2"/>
  <c r="AM469" i="2"/>
  <c r="BA224" i="2"/>
  <c r="U357" i="2"/>
  <c r="BE244" i="2"/>
  <c r="V15" i="2"/>
  <c r="R21" i="1" s="1"/>
  <c r="V34" i="2"/>
  <c r="V129" i="2"/>
  <c r="W129" i="2" s="1"/>
  <c r="W128" i="2" s="1"/>
  <c r="V89" i="2"/>
  <c r="V116" i="2"/>
  <c r="V17" i="2"/>
  <c r="R46" i="1" s="1"/>
  <c r="S46" i="1" s="1"/>
  <c r="V35" i="2"/>
  <c r="V52" i="2"/>
  <c r="V143" i="2"/>
  <c r="BF143" i="2" s="1"/>
  <c r="Y244" i="2"/>
  <c r="V117" i="2"/>
  <c r="V18" i="2"/>
  <c r="V36" i="2"/>
  <c r="V132" i="2"/>
  <c r="BF132" i="2" s="1"/>
  <c r="V20" i="2"/>
  <c r="R58" i="1" s="1"/>
  <c r="S58" i="1" s="1"/>
  <c r="S57" i="1" s="1"/>
  <c r="V55" i="2"/>
  <c r="R360" i="1" s="1"/>
  <c r="S360" i="1" s="1"/>
  <c r="V145" i="2"/>
  <c r="V169" i="2"/>
  <c r="R335" i="1" s="1"/>
  <c r="S335" i="1" s="1"/>
  <c r="V72" i="2"/>
  <c r="W72" i="2" s="1"/>
  <c r="V94" i="2"/>
  <c r="R220" i="1" s="1"/>
  <c r="S220" i="1" s="1"/>
  <c r="BC220" i="1" s="1"/>
  <c r="V39" i="2"/>
  <c r="BF39" i="2" s="1"/>
  <c r="V56" i="2"/>
  <c r="R361" i="1" s="1"/>
  <c r="S361" i="1" s="1"/>
  <c r="V119" i="2"/>
  <c r="BF119" i="2" s="1"/>
  <c r="V134" i="2"/>
  <c r="V158" i="2"/>
  <c r="R324" i="1" s="1"/>
  <c r="S324" i="1" s="1"/>
  <c r="V208" i="2"/>
  <c r="BF208" i="2" s="1"/>
  <c r="AS221" i="2"/>
  <c r="V75" i="2"/>
  <c r="BF75" i="2" s="1"/>
  <c r="V95" i="2"/>
  <c r="R221" i="1" s="1"/>
  <c r="V108" i="2"/>
  <c r="V78" i="2"/>
  <c r="V43" i="2"/>
  <c r="R339" i="1" s="1"/>
  <c r="V59" i="2"/>
  <c r="V160" i="2"/>
  <c r="R326" i="1" s="1"/>
  <c r="S326" i="1" s="1"/>
  <c r="V79" i="2"/>
  <c r="R400" i="1" s="1"/>
  <c r="S400" i="1" s="1"/>
  <c r="V44" i="2"/>
  <c r="R344" i="1" s="1"/>
  <c r="V60" i="2"/>
  <c r="V29" i="2"/>
  <c r="W29" i="2" s="1"/>
  <c r="V46" i="2"/>
  <c r="R346" i="1" s="1"/>
  <c r="S346" i="1" s="1"/>
  <c r="W207" i="1"/>
  <c r="W206" i="1" s="1"/>
  <c r="V31" i="2"/>
  <c r="R232" i="1" s="1"/>
  <c r="S232" i="1" s="1"/>
  <c r="V139" i="2"/>
  <c r="W139" i="2" s="1"/>
  <c r="V151" i="2"/>
  <c r="R317" i="1" s="1"/>
  <c r="S317" i="1" s="1"/>
  <c r="V215" i="2"/>
  <c r="V11" i="2"/>
  <c r="V32" i="2"/>
  <c r="R234" i="1" s="1"/>
  <c r="V126" i="2"/>
  <c r="R259" i="1" s="1"/>
  <c r="S259" i="1" s="1"/>
  <c r="V86" i="2"/>
  <c r="BF86" i="2" s="1"/>
  <c r="V13" i="2"/>
  <c r="R19" i="1" s="1"/>
  <c r="S19" i="1" s="1"/>
  <c r="BC19" i="1" s="1"/>
  <c r="BC18" i="1" s="1"/>
  <c r="AG64" i="2"/>
  <c r="V197" i="2"/>
  <c r="BF197" i="2" s="1"/>
  <c r="V88" i="2"/>
  <c r="R192" i="1" s="1"/>
  <c r="S192" i="1" s="1"/>
  <c r="BC31" i="2"/>
  <c r="V173" i="2"/>
  <c r="W173" i="2" s="1"/>
  <c r="V187" i="2"/>
  <c r="R379" i="1" s="1"/>
  <c r="S379" i="1" s="1"/>
  <c r="AG237" i="2"/>
  <c r="V124" i="2"/>
  <c r="V149" i="2"/>
  <c r="V33" i="2"/>
  <c r="V48" i="2"/>
  <c r="W48" i="2" s="1"/>
  <c r="AY348" i="2"/>
  <c r="V102" i="2"/>
  <c r="V113" i="2"/>
  <c r="AQ33" i="2"/>
  <c r="V214" i="2"/>
  <c r="AO454" i="2"/>
  <c r="V163" i="2"/>
  <c r="R329" i="1" s="1"/>
  <c r="S329" i="1" s="1"/>
  <c r="AY431" i="2"/>
  <c r="Y49" i="2"/>
  <c r="AW86" i="2"/>
  <c r="BC114" i="2"/>
  <c r="BA163" i="2"/>
  <c r="V67" i="2"/>
  <c r="BF67" i="2" s="1"/>
  <c r="V195" i="2"/>
  <c r="BF195" i="2" s="1"/>
  <c r="V216" i="2"/>
  <c r="V153" i="2"/>
  <c r="V242" i="2"/>
  <c r="R275" i="1" s="1"/>
  <c r="AG370" i="2"/>
  <c r="BA412" i="2"/>
  <c r="AI370" i="2"/>
  <c r="BE43" i="2"/>
  <c r="AG135" i="2"/>
  <c r="AI135" i="2"/>
  <c r="AU428" i="2"/>
  <c r="W106" i="2"/>
  <c r="AC419" i="2"/>
  <c r="Y129" i="2"/>
  <c r="Y128" i="2" s="1"/>
  <c r="AM164" i="2"/>
  <c r="AE419" i="2"/>
  <c r="AK419" i="2"/>
  <c r="AQ439" i="2"/>
  <c r="AS370" i="2"/>
  <c r="AQ385" i="2"/>
  <c r="AW419" i="2"/>
  <c r="AY439" i="2"/>
  <c r="AO59" i="2"/>
  <c r="AU370" i="2"/>
  <c r="BA385" i="2"/>
  <c r="AY419" i="2"/>
  <c r="BC370" i="2"/>
  <c r="BA419" i="2"/>
  <c r="V144" i="2"/>
  <c r="V167" i="2"/>
  <c r="R333" i="1" s="1"/>
  <c r="S333" i="1" s="1"/>
  <c r="V201" i="2"/>
  <c r="R190" i="1" s="1"/>
  <c r="AM325" i="2"/>
  <c r="AM324" i="2" s="1"/>
  <c r="BE370" i="2"/>
  <c r="BC419" i="2"/>
  <c r="V47" i="2"/>
  <c r="R348" i="1" s="1"/>
  <c r="S348" i="1" s="1"/>
  <c r="V61" i="2"/>
  <c r="V97" i="2"/>
  <c r="R224" i="1" s="1"/>
  <c r="S224" i="1" s="1"/>
  <c r="AK386" i="2"/>
  <c r="BC500" i="2"/>
  <c r="V63" i="2"/>
  <c r="BF63" i="2" s="1"/>
  <c r="V99" i="2"/>
  <c r="R226" i="1" s="1"/>
  <c r="S226" i="1" s="1"/>
  <c r="BC226" i="1" s="1"/>
  <c r="V121" i="2"/>
  <c r="W121" i="2" s="1"/>
  <c r="AE347" i="2"/>
  <c r="AG347" i="2"/>
  <c r="AY33" i="2"/>
  <c r="V49" i="2"/>
  <c r="R352" i="1" s="1"/>
  <c r="V64" i="2"/>
  <c r="V85" i="2"/>
  <c r="BF85" i="2" s="1"/>
  <c r="V100" i="2"/>
  <c r="V112" i="2"/>
  <c r="BF112" i="2" s="1"/>
  <c r="AK347" i="2"/>
  <c r="AM466" i="2"/>
  <c r="V244" i="2"/>
  <c r="R277" i="1" s="1"/>
  <c r="S277" i="1" s="1"/>
  <c r="AI514" i="2"/>
  <c r="AW122" i="2"/>
  <c r="Y234" i="2"/>
  <c r="AO276" i="2"/>
  <c r="V362" i="2"/>
  <c r="AU207" i="1"/>
  <c r="AU206" i="1" s="1"/>
  <c r="AC234" i="2"/>
  <c r="U86" i="2"/>
  <c r="V103" i="2"/>
  <c r="V114" i="2"/>
  <c r="V223" i="2"/>
  <c r="R247" i="1" s="1"/>
  <c r="S247" i="1" s="1"/>
  <c r="AE234" i="2"/>
  <c r="AE244" i="2"/>
  <c r="V254" i="2"/>
  <c r="W254" i="2" s="1"/>
  <c r="AU434" i="2"/>
  <c r="AG234" i="2"/>
  <c r="AO244" i="2"/>
  <c r="V104" i="2"/>
  <c r="BF104" i="2" s="1"/>
  <c r="AC114" i="2"/>
  <c r="V235" i="2"/>
  <c r="R267" i="1" s="1"/>
  <c r="S267" i="1" s="1"/>
  <c r="BC267" i="1" s="1"/>
  <c r="AQ244" i="2"/>
  <c r="V255" i="2"/>
  <c r="V267" i="2"/>
  <c r="AA528" i="2"/>
  <c r="V38" i="2"/>
  <c r="R274" i="1" s="1"/>
  <c r="BB274" i="1" s="1"/>
  <c r="BD274" i="1" s="1"/>
  <c r="V70" i="2"/>
  <c r="R391" i="1" s="1"/>
  <c r="S391" i="1" s="1"/>
  <c r="AY114" i="2"/>
  <c r="AM125" i="2"/>
  <c r="V213" i="2"/>
  <c r="AW244" i="2"/>
  <c r="V281" i="2"/>
  <c r="AY528" i="2"/>
  <c r="AE224" i="2"/>
  <c r="AY244" i="2"/>
  <c r="V256" i="2"/>
  <c r="BF256" i="2" s="1"/>
  <c r="BA528" i="2"/>
  <c r="AS224" i="2"/>
  <c r="BA244" i="2"/>
  <c r="BE528" i="2"/>
  <c r="V92" i="2"/>
  <c r="R218" i="1" s="1"/>
  <c r="S218" i="1" s="1"/>
  <c r="BC218" i="1" s="1"/>
  <c r="V105" i="2"/>
  <c r="BF105" i="2" s="1"/>
  <c r="AY224" i="2"/>
  <c r="BC244" i="2"/>
  <c r="V269" i="2"/>
  <c r="R310" i="1" s="1"/>
  <c r="S310" i="1" s="1"/>
  <c r="BC310" i="1" s="1"/>
  <c r="U353" i="2"/>
  <c r="BC179" i="2"/>
  <c r="U234" i="2"/>
  <c r="AU212" i="2"/>
  <c r="AA180" i="2"/>
  <c r="BA212" i="2"/>
  <c r="AQ180" i="2"/>
  <c r="V315" i="2"/>
  <c r="BF315" i="2" s="1"/>
  <c r="BA448" i="2"/>
  <c r="AU180" i="2"/>
  <c r="AM347" i="2"/>
  <c r="AI360" i="2"/>
  <c r="AG419" i="2"/>
  <c r="AA469" i="2"/>
  <c r="BA180" i="2"/>
  <c r="AI224" i="2"/>
  <c r="U93" i="2"/>
  <c r="AU419" i="2"/>
  <c r="AY428" i="2"/>
  <c r="AS469" i="2"/>
  <c r="AO161" i="2"/>
  <c r="AA388" i="2"/>
  <c r="AO400" i="2"/>
  <c r="AU528" i="2"/>
  <c r="AQ79" i="2"/>
  <c r="AC94" i="2"/>
  <c r="AE94" i="2"/>
  <c r="AQ201" i="2"/>
  <c r="AA237" i="2"/>
  <c r="AQ398" i="1"/>
  <c r="AQ397" i="1" s="1"/>
  <c r="AU201" i="2"/>
  <c r="AE462" i="2"/>
  <c r="AO225" i="1"/>
  <c r="AQ80" i="2"/>
  <c r="V118" i="2"/>
  <c r="AU129" i="2"/>
  <c r="AU128" i="2" s="1"/>
  <c r="U140" i="2"/>
  <c r="BE201" i="2"/>
  <c r="AQ237" i="2"/>
  <c r="V245" i="2"/>
  <c r="V96" i="2"/>
  <c r="R222" i="1" s="1"/>
  <c r="S222" i="1" s="1"/>
  <c r="AW140" i="2"/>
  <c r="V202" i="2"/>
  <c r="R191" i="1" s="1"/>
  <c r="S191" i="1" s="1"/>
  <c r="AO365" i="2"/>
  <c r="V259" i="2"/>
  <c r="W259" i="2" s="1"/>
  <c r="V367" i="2"/>
  <c r="BF367" i="2" s="1"/>
  <c r="AY414" i="2"/>
  <c r="AG498" i="2"/>
  <c r="AC207" i="1"/>
  <c r="AC206" i="1" s="1"/>
  <c r="AI35" i="2"/>
  <c r="V110" i="2"/>
  <c r="V142" i="2"/>
  <c r="AI164" i="2"/>
  <c r="AK186" i="2"/>
  <c r="AU110" i="2"/>
  <c r="V155" i="2"/>
  <c r="R321" i="1" s="1"/>
  <c r="AW164" i="2"/>
  <c r="AM176" i="2"/>
  <c r="V249" i="2"/>
  <c r="AA260" i="2"/>
  <c r="AK343" i="2"/>
  <c r="BC454" i="2"/>
  <c r="V165" i="2"/>
  <c r="V178" i="2"/>
  <c r="V188" i="2"/>
  <c r="BF188" i="2" s="1"/>
  <c r="Y208" i="2"/>
  <c r="V232" i="2"/>
  <c r="V261" i="2"/>
  <c r="AU393" i="2"/>
  <c r="U406" i="2"/>
  <c r="AK86" i="2"/>
  <c r="V156" i="2"/>
  <c r="AW208" i="2"/>
  <c r="U325" i="2"/>
  <c r="U324" i="2" s="1"/>
  <c r="AA370" i="2"/>
  <c r="AA368" i="2" s="1"/>
  <c r="AK406" i="2"/>
  <c r="AG466" i="2"/>
  <c r="AW500" i="2"/>
  <c r="V295" i="2"/>
  <c r="BF295" i="2" s="1"/>
  <c r="V467" i="2"/>
  <c r="R121" i="1" s="1"/>
  <c r="S121" i="1" s="1"/>
  <c r="AU20" i="2"/>
  <c r="AU19" i="2" s="1"/>
  <c r="W39" i="2"/>
  <c r="AC49" i="2"/>
  <c r="AE129" i="2"/>
  <c r="AE128" i="2" s="1"/>
  <c r="AI32" i="2"/>
  <c r="AO39" i="2"/>
  <c r="AM49" i="2"/>
  <c r="U104" i="2"/>
  <c r="AI129" i="2"/>
  <c r="AI128" i="2" s="1"/>
  <c r="V137" i="2"/>
  <c r="R289" i="1" s="1"/>
  <c r="S289" i="1" s="1"/>
  <c r="BC289" i="1" s="1"/>
  <c r="V146" i="2"/>
  <c r="AU157" i="2"/>
  <c r="AO164" i="2"/>
  <c r="V183" i="2"/>
  <c r="R375" i="1" s="1"/>
  <c r="S375" i="1" s="1"/>
  <c r="BC375" i="1" s="1"/>
  <c r="AG208" i="2"/>
  <c r="AG207" i="2" s="1"/>
  <c r="BC224" i="2"/>
  <c r="AI234" i="2"/>
  <c r="AS399" i="2"/>
  <c r="Y424" i="2"/>
  <c r="AE433" i="2"/>
  <c r="AK509" i="2"/>
  <c r="AU39" i="2"/>
  <c r="AQ49" i="2"/>
  <c r="AA104" i="2"/>
  <c r="AM129" i="2"/>
  <c r="AM128" i="2" s="1"/>
  <c r="AS164" i="2"/>
  <c r="AK208" i="2"/>
  <c r="BE224" i="2"/>
  <c r="BA234" i="2"/>
  <c r="AY424" i="2"/>
  <c r="AW509" i="2"/>
  <c r="AU49" i="2"/>
  <c r="AE79" i="2"/>
  <c r="AC104" i="2"/>
  <c r="AY111" i="2"/>
  <c r="AQ129" i="2"/>
  <c r="AQ128" i="2" s="1"/>
  <c r="V138" i="2"/>
  <c r="V147" i="2"/>
  <c r="BF147" i="2" s="1"/>
  <c r="AU164" i="2"/>
  <c r="V175" i="2"/>
  <c r="V184" i="2"/>
  <c r="AU208" i="2"/>
  <c r="V219" i="2"/>
  <c r="V225" i="2"/>
  <c r="BE234" i="2"/>
  <c r="V316" i="2"/>
  <c r="AW409" i="2"/>
  <c r="BC424" i="2"/>
  <c r="AS439" i="2"/>
  <c r="Y447" i="2"/>
  <c r="AY500" i="2"/>
  <c r="BE49" i="2"/>
  <c r="V271" i="2"/>
  <c r="V383" i="2"/>
  <c r="R32" i="1" s="1"/>
  <c r="S32" i="1" s="1"/>
  <c r="BC409" i="2"/>
  <c r="AA24" i="2"/>
  <c r="U41" i="2"/>
  <c r="U40" i="2" s="1"/>
  <c r="BA64" i="2"/>
  <c r="V80" i="2"/>
  <c r="W80" i="2" s="1"/>
  <c r="AK104" i="2"/>
  <c r="AW129" i="2"/>
  <c r="AW128" i="2" s="1"/>
  <c r="BA164" i="2"/>
  <c r="V185" i="2"/>
  <c r="R377" i="1" s="1"/>
  <c r="S377" i="1" s="1"/>
  <c r="BC377" i="1" s="1"/>
  <c r="V199" i="2"/>
  <c r="R185" i="1" s="1"/>
  <c r="AY208" i="2"/>
  <c r="AS225" i="2"/>
  <c r="V359" i="2"/>
  <c r="BF359" i="2" s="1"/>
  <c r="AE370" i="2"/>
  <c r="AK400" i="2"/>
  <c r="BA439" i="2"/>
  <c r="AE24" i="2"/>
  <c r="AY41" i="2"/>
  <c r="AY40" i="2" s="1"/>
  <c r="AQ104" i="2"/>
  <c r="AY129" i="2"/>
  <c r="AY128" i="2" s="1"/>
  <c r="BC164" i="2"/>
  <c r="BA208" i="2"/>
  <c r="AU225" i="2"/>
  <c r="V440" i="2"/>
  <c r="BA41" i="2"/>
  <c r="BA40" i="2" s="1"/>
  <c r="BA129" i="2"/>
  <c r="BA128" i="2" s="1"/>
  <c r="AC338" i="2"/>
  <c r="AE410" i="2"/>
  <c r="BC104" i="2"/>
  <c r="BC129" i="2"/>
  <c r="BC128" i="2" s="1"/>
  <c r="V140" i="2"/>
  <c r="AS176" i="2"/>
  <c r="AG244" i="2"/>
  <c r="V263" i="2"/>
  <c r="V286" i="2"/>
  <c r="R386" i="1" s="1"/>
  <c r="S386" i="1" s="1"/>
  <c r="V339" i="2"/>
  <c r="BF339" i="2" s="1"/>
  <c r="AM370" i="2"/>
  <c r="AY384" i="2"/>
  <c r="AA440" i="2"/>
  <c r="R215" i="1"/>
  <c r="BB215" i="1" s="1"/>
  <c r="AY34" i="2"/>
  <c r="V54" i="2"/>
  <c r="R359" i="1" s="1"/>
  <c r="S359" i="1" s="1"/>
  <c r="BE104" i="2"/>
  <c r="V125" i="2"/>
  <c r="V131" i="2"/>
  <c r="BF131" i="2" s="1"/>
  <c r="V150" i="2"/>
  <c r="AW176" i="2"/>
  <c r="AK201" i="2"/>
  <c r="AG210" i="2"/>
  <c r="AG209" i="2" s="1"/>
  <c r="Y221" i="2"/>
  <c r="V228" i="2"/>
  <c r="R257" i="1" s="1"/>
  <c r="AC253" i="2"/>
  <c r="AQ370" i="2"/>
  <c r="BA384" i="2"/>
  <c r="AS393" i="2"/>
  <c r="AS419" i="2"/>
  <c r="AM440" i="2"/>
  <c r="U125" i="2"/>
  <c r="AA496" i="2"/>
  <c r="AM496" i="2"/>
  <c r="AS125" i="2"/>
  <c r="BA162" i="2"/>
  <c r="AG187" i="2"/>
  <c r="AU222" i="2"/>
  <c r="AM321" i="2"/>
  <c r="AG394" i="2"/>
  <c r="AA438" i="2"/>
  <c r="AG460" i="2"/>
  <c r="U488" i="2"/>
  <c r="AY496" i="2"/>
  <c r="Y504" i="2"/>
  <c r="Y29" i="2"/>
  <c r="AK187" i="2"/>
  <c r="AG265" i="2"/>
  <c r="AO293" i="2"/>
  <c r="AO292" i="2" s="1"/>
  <c r="AW341" i="2"/>
  <c r="AK394" i="2"/>
  <c r="AC438" i="2"/>
  <c r="U451" i="2"/>
  <c r="AK460" i="2"/>
  <c r="AC488" i="2"/>
  <c r="BC496" i="2"/>
  <c r="Q338" i="1"/>
  <c r="AI29" i="2"/>
  <c r="Y36" i="2"/>
  <c r="W71" i="2"/>
  <c r="AG133" i="2"/>
  <c r="AY187" i="2"/>
  <c r="AI202" i="2"/>
  <c r="Y238" i="2"/>
  <c r="AO265" i="2"/>
  <c r="V276" i="2"/>
  <c r="AU293" i="2"/>
  <c r="AU292" i="2" s="1"/>
  <c r="BC341" i="2"/>
  <c r="AW362" i="2"/>
  <c r="AM394" i="2"/>
  <c r="AG438" i="2"/>
  <c r="AO460" i="2"/>
  <c r="AE488" i="2"/>
  <c r="BC29" i="2"/>
  <c r="AM36" i="2"/>
  <c r="AQ86" i="2"/>
  <c r="AU133" i="2"/>
  <c r="Y142" i="2"/>
  <c r="AG163" i="2"/>
  <c r="BE187" i="2"/>
  <c r="AK202" i="2"/>
  <c r="AU223" i="2"/>
  <c r="AS265" i="2"/>
  <c r="AW293" i="2"/>
  <c r="AW292" i="2" s="1"/>
  <c r="AI386" i="2"/>
  <c r="AK438" i="2"/>
  <c r="AQ460" i="2"/>
  <c r="AO468" i="2"/>
  <c r="AQ488" i="2"/>
  <c r="BE29" i="2"/>
  <c r="AO36" i="2"/>
  <c r="AS142" i="2"/>
  <c r="AM202" i="2"/>
  <c r="V395" i="2"/>
  <c r="R44" i="1" s="1"/>
  <c r="BB44" i="1" s="1"/>
  <c r="BE44" i="1" s="1"/>
  <c r="AM438" i="2"/>
  <c r="AS460" i="2"/>
  <c r="BA468" i="2"/>
  <c r="AS488" i="2"/>
  <c r="V421" i="2"/>
  <c r="R75" i="1" s="1"/>
  <c r="S75" i="1" s="1"/>
  <c r="BC75" i="1" s="1"/>
  <c r="BA225" i="1"/>
  <c r="AU36" i="2"/>
  <c r="Y72" i="2"/>
  <c r="AQ100" i="2"/>
  <c r="AW127" i="2"/>
  <c r="AU142" i="2"/>
  <c r="BA202" i="2"/>
  <c r="Y257" i="2"/>
  <c r="AW276" i="2"/>
  <c r="AK311" i="2"/>
  <c r="AA353" i="2"/>
  <c r="AO438" i="2"/>
  <c r="AS444" i="2"/>
  <c r="BA460" i="2"/>
  <c r="AU488" i="2"/>
  <c r="AS72" i="2"/>
  <c r="AQ438" i="2"/>
  <c r="BC460" i="2"/>
  <c r="AG528" i="2"/>
  <c r="U31" i="2"/>
  <c r="U164" i="2"/>
  <c r="AW180" i="2"/>
  <c r="BC215" i="2"/>
  <c r="AQ240" i="2"/>
  <c r="AY438" i="2"/>
  <c r="AS31" i="2"/>
  <c r="AO38" i="2"/>
  <c r="U49" i="2"/>
  <c r="AG164" i="2"/>
  <c r="AO224" i="2"/>
  <c r="AA234" i="2"/>
  <c r="AW240" i="2"/>
  <c r="AW258" i="2"/>
  <c r="V268" i="2"/>
  <c r="AM343" i="2"/>
  <c r="AQ365" i="2"/>
  <c r="BA438" i="2"/>
  <c r="AK445" i="2"/>
  <c r="AC469" i="2"/>
  <c r="AM498" i="2"/>
  <c r="AW528" i="2"/>
  <c r="V380" i="2"/>
  <c r="BF380" i="2" s="1"/>
  <c r="BC438" i="2"/>
  <c r="BA445" i="2"/>
  <c r="U508" i="2"/>
  <c r="AS20" i="2"/>
  <c r="AS19" i="2" s="1"/>
  <c r="AA49" i="2"/>
  <c r="AA129" i="2"/>
  <c r="AA128" i="2" s="1"/>
  <c r="AK164" i="2"/>
  <c r="AI191" i="2"/>
  <c r="AU268" i="2"/>
  <c r="AG280" i="2"/>
  <c r="AY355" i="2"/>
  <c r="BE438" i="2"/>
  <c r="V446" i="2"/>
  <c r="BF52" i="2"/>
  <c r="R355" i="1"/>
  <c r="S355" i="1" s="1"/>
  <c r="R393" i="1"/>
  <c r="S393" i="1" s="1"/>
  <c r="AE369" i="1"/>
  <c r="AW71" i="2"/>
  <c r="AO100" i="2"/>
  <c r="AK136" i="2"/>
  <c r="V273" i="2"/>
  <c r="R314" i="1" s="1"/>
  <c r="S314" i="1" s="1"/>
  <c r="BC314" i="1" s="1"/>
  <c r="V300" i="2"/>
  <c r="W300" i="2" s="1"/>
  <c r="V345" i="2"/>
  <c r="V411" i="2"/>
  <c r="R65" i="1" s="1"/>
  <c r="S65" i="1" s="1"/>
  <c r="V430" i="2"/>
  <c r="R84" i="1" s="1"/>
  <c r="S84" i="1" s="1"/>
  <c r="V435" i="2"/>
  <c r="R89" i="1" s="1"/>
  <c r="AY225" i="1"/>
  <c r="AW18" i="2"/>
  <c r="AK29" i="2"/>
  <c r="AQ34" i="2"/>
  <c r="AA64" i="2"/>
  <c r="AS100" i="2"/>
  <c r="AC110" i="2"/>
  <c r="AQ117" i="2"/>
  <c r="AK125" i="2"/>
  <c r="V205" i="2"/>
  <c r="R205" i="1" s="1"/>
  <c r="BB205" i="1" s="1"/>
  <c r="BE205" i="1" s="1"/>
  <c r="AA221" i="2"/>
  <c r="AO238" i="2"/>
  <c r="AG253" i="2"/>
  <c r="AW273" i="2"/>
  <c r="V314" i="2"/>
  <c r="AC325" i="2"/>
  <c r="AC324" i="2" s="1"/>
  <c r="AK338" i="2"/>
  <c r="U345" i="2"/>
  <c r="V353" i="2"/>
  <c r="BF353" i="2" s="1"/>
  <c r="V361" i="2"/>
  <c r="R319" i="1" s="1"/>
  <c r="S319" i="1" s="1"/>
  <c r="BC319" i="1" s="1"/>
  <c r="V387" i="2"/>
  <c r="Y430" i="2"/>
  <c r="V436" i="2"/>
  <c r="R90" i="1" s="1"/>
  <c r="S90" i="1" s="1"/>
  <c r="AA481" i="2"/>
  <c r="AS34" i="2"/>
  <c r="AE64" i="2"/>
  <c r="AY100" i="2"/>
  <c r="AQ110" i="2"/>
  <c r="AC221" i="2"/>
  <c r="V239" i="2"/>
  <c r="R271" i="1" s="1"/>
  <c r="S271" i="1" s="1"/>
  <c r="BC271" i="1" s="1"/>
  <c r="V262" i="2"/>
  <c r="W262" i="2" s="1"/>
  <c r="V274" i="2"/>
  <c r="R315" i="1" s="1"/>
  <c r="S315" i="1" s="1"/>
  <c r="AE325" i="2"/>
  <c r="AE324" i="2" s="1"/>
  <c r="AA345" i="2"/>
  <c r="Y353" i="2"/>
  <c r="AU383" i="2"/>
  <c r="AS417" i="2"/>
  <c r="AE430" i="2"/>
  <c r="V447" i="2"/>
  <c r="R101" i="1" s="1"/>
  <c r="S101" i="1" s="1"/>
  <c r="BC101" i="1" s="1"/>
  <c r="AE454" i="2"/>
  <c r="AC481" i="2"/>
  <c r="AW383" i="2"/>
  <c r="V388" i="2"/>
  <c r="R37" i="1" s="1"/>
  <c r="AA412" i="2"/>
  <c r="AG430" i="2"/>
  <c r="AC440" i="2"/>
  <c r="AG454" i="2"/>
  <c r="AM481" i="2"/>
  <c r="R392" i="1"/>
  <c r="S392" i="1" s="1"/>
  <c r="AI64" i="2"/>
  <c r="AK72" i="2"/>
  <c r="AK94" i="2"/>
  <c r="AQ106" i="2"/>
  <c r="AG118" i="2"/>
  <c r="BA125" i="2"/>
  <c r="V174" i="2"/>
  <c r="AQ187" i="2"/>
  <c r="Y199" i="2"/>
  <c r="Y198" i="2" s="1"/>
  <c r="V240" i="2"/>
  <c r="R272" i="1" s="1"/>
  <c r="S272" i="1" s="1"/>
  <c r="AW262" i="2"/>
  <c r="AO325" i="2"/>
  <c r="AO324" i="2" s="1"/>
  <c r="AO353" i="2"/>
  <c r="AY383" i="2"/>
  <c r="AC412" i="2"/>
  <c r="AK430" i="2"/>
  <c r="AG440" i="2"/>
  <c r="U447" i="2"/>
  <c r="AM454" i="2"/>
  <c r="AO45" i="1"/>
  <c r="AM9" i="1"/>
  <c r="AQ45" i="1"/>
  <c r="Q225" i="1"/>
  <c r="Q381" i="1"/>
  <c r="AO64" i="2"/>
  <c r="AI118" i="2"/>
  <c r="AM225" i="2"/>
  <c r="AW254" i="2"/>
  <c r="AY262" i="2"/>
  <c r="Y268" i="2"/>
  <c r="V275" i="2"/>
  <c r="R325" i="1" s="1"/>
  <c r="V305" i="2"/>
  <c r="BF305" i="2" s="1"/>
  <c r="AQ325" i="2"/>
  <c r="AQ324" i="2" s="1"/>
  <c r="V340" i="2"/>
  <c r="R237" i="1" s="1"/>
  <c r="BA353" i="2"/>
  <c r="BC383" i="2"/>
  <c r="AE412" i="2"/>
  <c r="AO430" i="2"/>
  <c r="V438" i="2"/>
  <c r="R92" i="1" s="1"/>
  <c r="S92" i="1" s="1"/>
  <c r="AC268" i="2"/>
  <c r="AU325" i="2"/>
  <c r="AU324" i="2" s="1"/>
  <c r="V364" i="2"/>
  <c r="BF364" i="2" s="1"/>
  <c r="BE383" i="2"/>
  <c r="V389" i="2"/>
  <c r="R38" i="1" s="1"/>
  <c r="S38" i="1" s="1"/>
  <c r="BC38" i="1" s="1"/>
  <c r="AG412" i="2"/>
  <c r="AU430" i="2"/>
  <c r="BE440" i="2"/>
  <c r="AU454" i="2"/>
  <c r="BE460" i="2"/>
  <c r="BA474" i="2"/>
  <c r="AM482" i="2"/>
  <c r="AQ489" i="2"/>
  <c r="AS504" i="2"/>
  <c r="Q390" i="1"/>
  <c r="Q389" i="1" s="1"/>
  <c r="AC31" i="2"/>
  <c r="AK35" i="2"/>
  <c r="AS59" i="2"/>
  <c r="BC64" i="2"/>
  <c r="AC95" i="2"/>
  <c r="U107" i="2"/>
  <c r="BE132" i="2"/>
  <c r="Y139" i="2"/>
  <c r="BC152" i="2"/>
  <c r="U183" i="2"/>
  <c r="U215" i="2"/>
  <c r="AC222" i="2"/>
  <c r="AE268" i="2"/>
  <c r="AW291" i="2"/>
  <c r="V307" i="2"/>
  <c r="W307" i="2" s="1"/>
  <c r="V398" i="2"/>
  <c r="R50" i="1" s="1"/>
  <c r="S50" i="1" s="1"/>
  <c r="BC50" i="1" s="1"/>
  <c r="AK412" i="2"/>
  <c r="BA454" i="2"/>
  <c r="V461" i="2"/>
  <c r="R115" i="1" s="1"/>
  <c r="S115" i="1" s="1"/>
  <c r="BC474" i="2"/>
  <c r="AQ482" i="2"/>
  <c r="AQ9" i="1"/>
  <c r="AQ353" i="1"/>
  <c r="AI13" i="2"/>
  <c r="AI12" i="2" s="1"/>
  <c r="AG31" i="2"/>
  <c r="AO35" i="2"/>
  <c r="AG49" i="2"/>
  <c r="AC75" i="2"/>
  <c r="AC74" i="2" s="1"/>
  <c r="AC73" i="2" s="1"/>
  <c r="AO95" i="2"/>
  <c r="AA107" i="2"/>
  <c r="AA139" i="2"/>
  <c r="V162" i="2"/>
  <c r="W162" i="2" s="1"/>
  <c r="V176" i="2"/>
  <c r="Y183" i="2"/>
  <c r="U201" i="2"/>
  <c r="AO208" i="2"/>
  <c r="Y215" i="2"/>
  <c r="AI222" i="2"/>
  <c r="BE225" i="2"/>
  <c r="BA240" i="2"/>
  <c r="AG268" i="2"/>
  <c r="V293" i="2"/>
  <c r="R13" i="1" s="1"/>
  <c r="S13" i="1" s="1"/>
  <c r="U316" i="2"/>
  <c r="V365" i="2"/>
  <c r="W365" i="2" s="1"/>
  <c r="AS412" i="2"/>
  <c r="BE482" i="2"/>
  <c r="AQ13" i="2"/>
  <c r="AQ12" i="2" s="1"/>
  <c r="AM31" i="2"/>
  <c r="AI49" i="2"/>
  <c r="AE107" i="2"/>
  <c r="AG112" i="2"/>
  <c r="AQ139" i="2"/>
  <c r="AG183" i="2"/>
  <c r="AA201" i="2"/>
  <c r="AQ208" i="2"/>
  <c r="AQ207" i="2" s="1"/>
  <c r="AA215" i="2"/>
  <c r="AK222" i="2"/>
  <c r="V227" i="2"/>
  <c r="V236" i="2"/>
  <c r="R268" i="1" s="1"/>
  <c r="S268" i="1" s="1"/>
  <c r="BC268" i="1" s="1"/>
  <c r="V241" i="2"/>
  <c r="R273" i="1" s="1"/>
  <c r="S273" i="1" s="1"/>
  <c r="V264" i="2"/>
  <c r="AQ268" i="2"/>
  <c r="V317" i="2"/>
  <c r="AM341" i="2"/>
  <c r="AQ347" i="2"/>
  <c r="AS384" i="2"/>
  <c r="AW412" i="2"/>
  <c r="V425" i="2"/>
  <c r="R79" i="1" s="1"/>
  <c r="S79" i="1" s="1"/>
  <c r="BE448" i="2"/>
  <c r="BE454" i="2"/>
  <c r="Y225" i="1"/>
  <c r="BC23" i="2"/>
  <c r="AQ31" i="2"/>
  <c r="AK49" i="2"/>
  <c r="AI107" i="2"/>
  <c r="V120" i="2"/>
  <c r="W120" i="2" s="1"/>
  <c r="AG127" i="2"/>
  <c r="AE133" i="2"/>
  <c r="AS139" i="2"/>
  <c r="V154" i="2"/>
  <c r="BF154" i="2" s="1"/>
  <c r="AK162" i="2"/>
  <c r="V166" i="2"/>
  <c r="R332" i="1" s="1"/>
  <c r="S332" i="1" s="1"/>
  <c r="BC332" i="1" s="1"/>
  <c r="AG176" i="2"/>
  <c r="AM183" i="2"/>
  <c r="V190" i="2"/>
  <c r="W190" i="2" s="1"/>
  <c r="AC201" i="2"/>
  <c r="AS208" i="2"/>
  <c r="AS268" i="2"/>
  <c r="AO329" i="2"/>
  <c r="AO328" i="2" s="1"/>
  <c r="AU341" i="2"/>
  <c r="V348" i="2"/>
  <c r="W348" i="2" s="1"/>
  <c r="AY412" i="2"/>
  <c r="AW431" i="2"/>
  <c r="Y525" i="2"/>
  <c r="BA369" i="1"/>
  <c r="AK107" i="2"/>
  <c r="AW183" i="2"/>
  <c r="V319" i="2"/>
  <c r="R347" i="1" s="1"/>
  <c r="S347" i="1" s="1"/>
  <c r="V331" i="2"/>
  <c r="V378" i="2"/>
  <c r="R27" i="1" s="1"/>
  <c r="S27" i="1" s="1"/>
  <c r="BC27" i="1" s="1"/>
  <c r="V391" i="2"/>
  <c r="R40" i="1" s="1"/>
  <c r="BB40" i="1" s="1"/>
  <c r="BE40" i="1" s="1"/>
  <c r="V426" i="2"/>
  <c r="R80" i="1" s="1"/>
  <c r="S80" i="1" s="1"/>
  <c r="BC80" i="1" s="1"/>
  <c r="V443" i="2"/>
  <c r="R97" i="1" s="1"/>
  <c r="S97" i="1" s="1"/>
  <c r="AE15" i="2"/>
  <c r="AE14" i="2" s="1"/>
  <c r="AY31" i="2"/>
  <c r="U61" i="2"/>
  <c r="AM107" i="2"/>
  <c r="W114" i="2"/>
  <c r="U148" i="2"/>
  <c r="BA166" i="2"/>
  <c r="BC183" i="2"/>
  <c r="V257" i="2"/>
  <c r="AY268" i="2"/>
  <c r="Y348" i="2"/>
  <c r="V357" i="2"/>
  <c r="W357" i="2" s="1"/>
  <c r="V455" i="2"/>
  <c r="V477" i="2"/>
  <c r="R131" i="1" s="1"/>
  <c r="S131" i="1" s="1"/>
  <c r="AG506" i="2"/>
  <c r="BA31" i="2"/>
  <c r="AC61" i="2"/>
  <c r="AQ107" i="2"/>
  <c r="AA148" i="2"/>
  <c r="AS201" i="2"/>
  <c r="V229" i="2"/>
  <c r="Y237" i="2"/>
  <c r="V243" i="2"/>
  <c r="R276" i="1" s="1"/>
  <c r="S276" i="1" s="1"/>
  <c r="AC265" i="2"/>
  <c r="BE268" i="2"/>
  <c r="V278" i="2"/>
  <c r="R357" i="1" s="1"/>
  <c r="S357" i="1" s="1"/>
  <c r="V310" i="2"/>
  <c r="BF310" i="2" s="1"/>
  <c r="AK331" i="2"/>
  <c r="AK330" i="2" s="1"/>
  <c r="V342" i="2"/>
  <c r="BF342" i="2" s="1"/>
  <c r="AA348" i="2"/>
  <c r="AY378" i="2"/>
  <c r="V392" i="2"/>
  <c r="V400" i="2"/>
  <c r="R52" i="1" s="1"/>
  <c r="S52" i="1" s="1"/>
  <c r="V456" i="2"/>
  <c r="R110" i="1" s="1"/>
  <c r="S110" i="1" s="1"/>
  <c r="BC110" i="1" s="1"/>
  <c r="AK469" i="2"/>
  <c r="AA485" i="2"/>
  <c r="AA492" i="2"/>
  <c r="AM506" i="2"/>
  <c r="BA61" i="2"/>
  <c r="AS107" i="2"/>
  <c r="AO148" i="2"/>
  <c r="AG348" i="2"/>
  <c r="V379" i="2"/>
  <c r="R28" i="1" s="1"/>
  <c r="S28" i="1" s="1"/>
  <c r="BC28" i="1" s="1"/>
  <c r="V463" i="2"/>
  <c r="BF463" i="2" s="1"/>
  <c r="V486" i="2"/>
  <c r="BF486" i="2" s="1"/>
  <c r="AM500" i="2"/>
  <c r="BC506" i="2"/>
  <c r="V423" i="2"/>
  <c r="W423" i="2" s="1"/>
  <c r="U17" i="2"/>
  <c r="BC36" i="2"/>
  <c r="AU46" i="2"/>
  <c r="V51" i="2"/>
  <c r="W51" i="2" s="1"/>
  <c r="BC61" i="2"/>
  <c r="AA79" i="2"/>
  <c r="AA92" i="2"/>
  <c r="AK99" i="2"/>
  <c r="AM104" i="2"/>
  <c r="AU107" i="2"/>
  <c r="AG114" i="2"/>
  <c r="V135" i="2"/>
  <c r="R287" i="1" s="1"/>
  <c r="S287" i="1" s="1"/>
  <c r="AY140" i="2"/>
  <c r="AQ148" i="2"/>
  <c r="Y155" i="2"/>
  <c r="AQ163" i="2"/>
  <c r="Y184" i="2"/>
  <c r="AO191" i="2"/>
  <c r="BA201" i="2"/>
  <c r="BA200" i="2" s="1"/>
  <c r="V224" i="2"/>
  <c r="AC237" i="2"/>
  <c r="AA243" i="2"/>
  <c r="AK265" i="2"/>
  <c r="V280" i="2"/>
  <c r="BF280" i="2" s="1"/>
  <c r="V343" i="2"/>
  <c r="BF343" i="2" s="1"/>
  <c r="AI348" i="2"/>
  <c r="BA357" i="2"/>
  <c r="AA385" i="2"/>
  <c r="AE400" i="2"/>
  <c r="AA444" i="2"/>
  <c r="AO469" i="2"/>
  <c r="AO500" i="2"/>
  <c r="Y17" i="2"/>
  <c r="AG25" i="2"/>
  <c r="BE46" i="2"/>
  <c r="AC79" i="2"/>
  <c r="AC92" i="2"/>
  <c r="BC99" i="2"/>
  <c r="AO104" i="2"/>
  <c r="BC107" i="2"/>
  <c r="V141" i="2"/>
  <c r="BF141" i="2" s="1"/>
  <c r="AS148" i="2"/>
  <c r="V168" i="2"/>
  <c r="R334" i="1" s="1"/>
  <c r="S334" i="1" s="1"/>
  <c r="BC334" i="1" s="1"/>
  <c r="V179" i="2"/>
  <c r="BF179" i="2" s="1"/>
  <c r="AY191" i="2"/>
  <c r="BC201" i="2"/>
  <c r="BC200" i="2" s="1"/>
  <c r="V210" i="2"/>
  <c r="W210" i="2" s="1"/>
  <c r="W209" i="2" s="1"/>
  <c r="V218" i="2"/>
  <c r="W218" i="2" s="1"/>
  <c r="AE237" i="2"/>
  <c r="AG243" i="2"/>
  <c r="V250" i="2"/>
  <c r="R284" i="1" s="1"/>
  <c r="BB284" i="1" s="1"/>
  <c r="AM265" i="2"/>
  <c r="AK348" i="2"/>
  <c r="V358" i="2"/>
  <c r="BF358" i="2" s="1"/>
  <c r="V369" i="2"/>
  <c r="AI385" i="2"/>
  <c r="AI400" i="2"/>
  <c r="U414" i="2"/>
  <c r="AG444" i="2"/>
  <c r="BC463" i="2"/>
  <c r="AQ469" i="2"/>
  <c r="AS500" i="2"/>
  <c r="AA17" i="2"/>
  <c r="AK92" i="2"/>
  <c r="AU148" i="2"/>
  <c r="V414" i="2"/>
  <c r="V458" i="2"/>
  <c r="R112" i="1" s="1"/>
  <c r="S112" i="1" s="1"/>
  <c r="BC112" i="1" s="1"/>
  <c r="AG17" i="2"/>
  <c r="AU92" i="2"/>
  <c r="AW148" i="2"/>
  <c r="V439" i="2"/>
  <c r="R93" i="1" s="1"/>
  <c r="BB93" i="1" s="1"/>
  <c r="AU469" i="2"/>
  <c r="AY494" i="2"/>
  <c r="AE528" i="2"/>
  <c r="AQ17" i="2"/>
  <c r="AE47" i="2"/>
  <c r="U63" i="2"/>
  <c r="AC71" i="2"/>
  <c r="AS79" i="2"/>
  <c r="BC92" i="2"/>
  <c r="U100" i="2"/>
  <c r="AY104" i="2"/>
  <c r="Y124" i="2"/>
  <c r="AK135" i="2"/>
  <c r="AY148" i="2"/>
  <c r="V157" i="2"/>
  <c r="V180" i="2"/>
  <c r="W180" i="2" s="1"/>
  <c r="AQ195" i="2"/>
  <c r="AQ194" i="2" s="1"/>
  <c r="AK224" i="2"/>
  <c r="AW237" i="2"/>
  <c r="AW265" i="2"/>
  <c r="AM311" i="2"/>
  <c r="AS336" i="2"/>
  <c r="AS335" i="2" s="1"/>
  <c r="BC385" i="2"/>
  <c r="AS400" i="2"/>
  <c r="BA428" i="2"/>
  <c r="AW469" i="2"/>
  <c r="AU479" i="2"/>
  <c r="AA369" i="1"/>
  <c r="AS17" i="2"/>
  <c r="AG47" i="2"/>
  <c r="AM71" i="2"/>
  <c r="AA100" i="2"/>
  <c r="V109" i="2"/>
  <c r="R238" i="1" s="1"/>
  <c r="AA124" i="2"/>
  <c r="AQ135" i="2"/>
  <c r="BA148" i="2"/>
  <c r="V170" i="2"/>
  <c r="R336" i="1" s="1"/>
  <c r="S336" i="1" s="1"/>
  <c r="V186" i="2"/>
  <c r="R378" i="1" s="1"/>
  <c r="S378" i="1" s="1"/>
  <c r="BC378" i="1" s="1"/>
  <c r="AS195" i="2"/>
  <c r="V220" i="2"/>
  <c r="R243" i="1" s="1"/>
  <c r="S243" i="1" s="1"/>
  <c r="BC243" i="1" s="1"/>
  <c r="AM224" i="2"/>
  <c r="AY237" i="2"/>
  <c r="V252" i="2"/>
  <c r="V260" i="2"/>
  <c r="W260" i="2" s="1"/>
  <c r="AY265" i="2"/>
  <c r="V283" i="2"/>
  <c r="BF283" i="2" s="1"/>
  <c r="AO311" i="2"/>
  <c r="AW336" i="2"/>
  <c r="AW335" i="2" s="1"/>
  <c r="V351" i="2"/>
  <c r="BF351" i="2" s="1"/>
  <c r="BE385" i="2"/>
  <c r="BC428" i="2"/>
  <c r="AQ434" i="2"/>
  <c r="AY479" i="2"/>
  <c r="BE500" i="2"/>
  <c r="AK528" i="2"/>
  <c r="AI542" i="2"/>
  <c r="V376" i="2"/>
  <c r="R25" i="1" s="1"/>
  <c r="S25" i="1" s="1"/>
  <c r="BC25" i="1" s="1"/>
  <c r="BC24" i="1" s="1"/>
  <c r="AW17" i="2"/>
  <c r="U29" i="2"/>
  <c r="U39" i="2"/>
  <c r="AI47" i="2"/>
  <c r="AW63" i="2"/>
  <c r="AQ71" i="2"/>
  <c r="AC100" i="2"/>
  <c r="BC148" i="2"/>
  <c r="AY195" i="2"/>
  <c r="AY194" i="2" s="1"/>
  <c r="BA237" i="2"/>
  <c r="BE265" i="2"/>
  <c r="BA311" i="2"/>
  <c r="V323" i="2"/>
  <c r="V344" i="2"/>
  <c r="BF344" i="2" s="1"/>
  <c r="V386" i="2"/>
  <c r="W386" i="2" s="1"/>
  <c r="V453" i="2"/>
  <c r="W453" i="2" s="1"/>
  <c r="AM528" i="2"/>
  <c r="AM542" i="2"/>
  <c r="R396" i="1"/>
  <c r="S396" i="1" s="1"/>
  <c r="AY17" i="2"/>
  <c r="BE47" i="2"/>
  <c r="BA63" i="2"/>
  <c r="AS71" i="2"/>
  <c r="AE100" i="2"/>
  <c r="BE148" i="2"/>
  <c r="V221" i="2"/>
  <c r="W221" i="2" s="1"/>
  <c r="V253" i="2"/>
  <c r="BF253" i="2" s="1"/>
  <c r="V266" i="2"/>
  <c r="W266" i="2" s="1"/>
  <c r="V299" i="2"/>
  <c r="R195" i="1" s="1"/>
  <c r="S195" i="1" s="1"/>
  <c r="V312" i="2"/>
  <c r="W312" i="2" s="1"/>
  <c r="V325" i="2"/>
  <c r="R388" i="1" s="1"/>
  <c r="S388" i="1" s="1"/>
  <c r="S387" i="1" s="1"/>
  <c r="V338" i="2"/>
  <c r="BF338" i="2" s="1"/>
  <c r="V382" i="2"/>
  <c r="R31" i="1" s="1"/>
  <c r="S31" i="1" s="1"/>
  <c r="BC31" i="1" s="1"/>
  <c r="AY445" i="2"/>
  <c r="AA488" i="2"/>
  <c r="AI509" i="2"/>
  <c r="AK45" i="1"/>
  <c r="BF94" i="2"/>
  <c r="AM45" i="1"/>
  <c r="AQ26" i="1"/>
  <c r="Q48" i="1"/>
  <c r="Q45" i="1"/>
  <c r="U45" i="1"/>
  <c r="Y45" i="1"/>
  <c r="AA373" i="1"/>
  <c r="AC45" i="1"/>
  <c r="AE45" i="1"/>
  <c r="Q207" i="1"/>
  <c r="Q206" i="1" s="1"/>
  <c r="AW338" i="1"/>
  <c r="AK369" i="1"/>
  <c r="AU373" i="1"/>
  <c r="BC17" i="2"/>
  <c r="AQ28" i="2"/>
  <c r="BE34" i="2"/>
  <c r="BA38" i="2"/>
  <c r="AU47" i="2"/>
  <c r="AW78" i="2"/>
  <c r="AK85" i="2"/>
  <c r="AO102" i="2"/>
  <c r="AK105" i="2"/>
  <c r="AS114" i="2"/>
  <c r="BE114" i="2"/>
  <c r="BE118" i="2"/>
  <c r="AA125" i="2"/>
  <c r="AM127" i="2"/>
  <c r="AU135" i="2"/>
  <c r="AI139" i="2"/>
  <c r="AA142" i="2"/>
  <c r="U152" i="2"/>
  <c r="AC171" i="2"/>
  <c r="AY171" i="2"/>
  <c r="AS171" i="2"/>
  <c r="AE178" i="2"/>
  <c r="BC195" i="2"/>
  <c r="BC194" i="2" s="1"/>
  <c r="AW201" i="2"/>
  <c r="AE205" i="2"/>
  <c r="AE204" i="2" s="1"/>
  <c r="AE203" i="2" s="1"/>
  <c r="Y216" i="2"/>
  <c r="AE238" i="2"/>
  <c r="AW305" i="2"/>
  <c r="AQ311" i="2"/>
  <c r="BC334" i="2"/>
  <c r="BC333" i="2" s="1"/>
  <c r="AC354" i="2"/>
  <c r="AI378" i="2"/>
  <c r="AC398" i="2"/>
  <c r="AG409" i="2"/>
  <c r="BA409" i="2"/>
  <c r="AO409" i="2"/>
  <c r="BA417" i="2"/>
  <c r="AG422" i="2"/>
  <c r="AE422" i="2"/>
  <c r="AO214" i="1"/>
  <c r="AW373" i="1"/>
  <c r="AW31" i="2"/>
  <c r="BE38" i="2"/>
  <c r="AW47" i="2"/>
  <c r="AS64" i="2"/>
  <c r="AY71" i="2"/>
  <c r="AM85" i="2"/>
  <c r="AU102" i="2"/>
  <c r="BE105" i="2"/>
  <c r="U114" i="2"/>
  <c r="AC125" i="2"/>
  <c r="AO127" i="2"/>
  <c r="AY135" i="2"/>
  <c r="AK139" i="2"/>
  <c r="AG142" i="2"/>
  <c r="AA152" i="2"/>
  <c r="AU166" i="2"/>
  <c r="AQ171" i="2"/>
  <c r="AG178" i="2"/>
  <c r="AC187" i="2"/>
  <c r="AG205" i="2"/>
  <c r="AG204" i="2" s="1"/>
  <c r="AG203" i="2" s="1"/>
  <c r="AG238" i="2"/>
  <c r="AC280" i="2"/>
  <c r="AY305" i="2"/>
  <c r="AY304" i="2" s="1"/>
  <c r="AW311" i="2"/>
  <c r="BE334" i="2"/>
  <c r="BE333" i="2" s="1"/>
  <c r="AE354" i="2"/>
  <c r="AK378" i="2"/>
  <c r="BE393" i="2"/>
  <c r="BC393" i="2"/>
  <c r="AY393" i="2"/>
  <c r="BE403" i="2"/>
  <c r="AQ409" i="2"/>
  <c r="BC417" i="2"/>
  <c r="AE353" i="1"/>
  <c r="AY47" i="2"/>
  <c r="AO85" i="2"/>
  <c r="BA102" i="2"/>
  <c r="AA114" i="2"/>
  <c r="AE125" i="2"/>
  <c r="AQ127" i="2"/>
  <c r="AM139" i="2"/>
  <c r="AI142" i="2"/>
  <c r="AK152" i="2"/>
  <c r="AI178" i="2"/>
  <c r="AK205" i="2"/>
  <c r="AK204" i="2" s="1"/>
  <c r="AK203" i="2" s="1"/>
  <c r="AI238" i="2"/>
  <c r="BC305" i="2"/>
  <c r="BC304" i="2" s="1"/>
  <c r="AG354" i="2"/>
  <c r="AO359" i="2"/>
  <c r="AG359" i="2"/>
  <c r="AA359" i="2"/>
  <c r="AM378" i="2"/>
  <c r="AS434" i="2"/>
  <c r="AO434" i="2"/>
  <c r="BA444" i="2"/>
  <c r="AY444" i="2"/>
  <c r="AC444" i="2"/>
  <c r="Y444" i="2"/>
  <c r="U444" i="2"/>
  <c r="BC444" i="2"/>
  <c r="AO390" i="1"/>
  <c r="AO389" i="1" s="1"/>
  <c r="AS85" i="2"/>
  <c r="AI125" i="2"/>
  <c r="AS127" i="2"/>
  <c r="BE131" i="2"/>
  <c r="BC131" i="2"/>
  <c r="AO139" i="2"/>
  <c r="AQ142" i="2"/>
  <c r="AY152" i="2"/>
  <c r="AO178" i="2"/>
  <c r="BA205" i="2"/>
  <c r="BA204" i="2" s="1"/>
  <c r="BA203" i="2" s="1"/>
  <c r="AK238" i="2"/>
  <c r="BC311" i="2"/>
  <c r="AK354" i="2"/>
  <c r="U359" i="2"/>
  <c r="AS378" i="2"/>
  <c r="AS383" i="2"/>
  <c r="AW414" i="2"/>
  <c r="AU414" i="2"/>
  <c r="AS414" i="2"/>
  <c r="AQ414" i="2"/>
  <c r="AI449" i="2"/>
  <c r="AS449" i="2"/>
  <c r="AO449" i="2"/>
  <c r="BA449" i="2"/>
  <c r="AY449" i="2"/>
  <c r="AW449" i="2"/>
  <c r="AU449" i="2"/>
  <c r="AW225" i="1"/>
  <c r="Q362" i="1"/>
  <c r="AQ390" i="1"/>
  <c r="AQ389" i="1" s="1"/>
  <c r="AU85" i="2"/>
  <c r="AU84" i="2" s="1"/>
  <c r="AU127" i="2"/>
  <c r="BA152" i="2"/>
  <c r="AM167" i="2"/>
  <c r="AA167" i="2"/>
  <c r="BE173" i="2"/>
  <c r="AY173" i="2"/>
  <c r="AW173" i="2"/>
  <c r="AW178" i="2"/>
  <c r="AM238" i="2"/>
  <c r="BE311" i="2"/>
  <c r="AO354" i="2"/>
  <c r="BC369" i="2"/>
  <c r="BC368" i="2" s="1"/>
  <c r="AE369" i="2"/>
  <c r="AE368" i="2" s="1"/>
  <c r="AW378" i="2"/>
  <c r="AW424" i="2"/>
  <c r="AQ424" i="2"/>
  <c r="AM424" i="2"/>
  <c r="AK424" i="2"/>
  <c r="AE444" i="2"/>
  <c r="AM449" i="2"/>
  <c r="BC511" i="2"/>
  <c r="AW511" i="2"/>
  <c r="AS511" i="2"/>
  <c r="AQ511" i="2"/>
  <c r="AM511" i="2"/>
  <c r="AK511" i="2"/>
  <c r="AA511" i="2"/>
  <c r="BE511" i="2"/>
  <c r="AY511" i="2"/>
  <c r="AS522" i="2"/>
  <c r="AK522" i="2"/>
  <c r="AW228" i="1"/>
  <c r="AK353" i="1"/>
  <c r="AA381" i="1"/>
  <c r="AW85" i="2"/>
  <c r="AY178" i="2"/>
  <c r="AQ213" i="2"/>
  <c r="AW213" i="2"/>
  <c r="U213" i="2"/>
  <c r="AY250" i="2"/>
  <c r="BE250" i="2"/>
  <c r="BE321" i="2"/>
  <c r="AS321" i="2"/>
  <c r="AQ321" i="2"/>
  <c r="AQ354" i="2"/>
  <c r="AW214" i="1"/>
  <c r="AS13" i="2"/>
  <c r="AS12" i="2" s="1"/>
  <c r="AA29" i="2"/>
  <c r="AC39" i="2"/>
  <c r="BA65" i="2"/>
  <c r="AG72" i="2"/>
  <c r="AE106" i="2"/>
  <c r="AU114" i="2"/>
  <c r="AK120" i="2"/>
  <c r="AO125" i="2"/>
  <c r="AY127" i="2"/>
  <c r="AE132" i="2"/>
  <c r="AU167" i="2"/>
  <c r="Y173" i="2"/>
  <c r="BA178" i="2"/>
  <c r="AU202" i="2"/>
  <c r="AU200" i="2" s="1"/>
  <c r="AS202" i="2"/>
  <c r="AC202" i="2"/>
  <c r="Y202" i="2"/>
  <c r="AY213" i="2"/>
  <c r="Y223" i="2"/>
  <c r="AQ238" i="2"/>
  <c r="AW250" i="2"/>
  <c r="AU312" i="2"/>
  <c r="AQ312" i="2"/>
  <c r="AA312" i="2"/>
  <c r="Y321" i="2"/>
  <c r="BC354" i="2"/>
  <c r="U360" i="2"/>
  <c r="AY360" i="2"/>
  <c r="AK360" i="2"/>
  <c r="BA378" i="2"/>
  <c r="AQ394" i="2"/>
  <c r="AO394" i="2"/>
  <c r="AM400" i="2"/>
  <c r="AG400" i="2"/>
  <c r="AC400" i="2"/>
  <c r="Y400" i="2"/>
  <c r="Y414" i="2"/>
  <c r="AA424" i="2"/>
  <c r="BC430" i="2"/>
  <c r="BA430" i="2"/>
  <c r="BE430" i="2"/>
  <c r="BC434" i="2"/>
  <c r="AK444" i="2"/>
  <c r="BE449" i="2"/>
  <c r="AG207" i="1"/>
  <c r="AG206" i="1" s="1"/>
  <c r="BA228" i="1"/>
  <c r="AW369" i="1"/>
  <c r="Q373" i="1"/>
  <c r="U20" i="2"/>
  <c r="U19" i="2" s="1"/>
  <c r="AC29" i="2"/>
  <c r="U32" i="2"/>
  <c r="AK39" i="2"/>
  <c r="Y44" i="2"/>
  <c r="AY55" i="2"/>
  <c r="AI72" i="2"/>
  <c r="AI79" i="2"/>
  <c r="U94" i="2"/>
  <c r="AS104" i="2"/>
  <c r="AG104" i="2"/>
  <c r="AK106" i="2"/>
  <c r="Y110" i="2"/>
  <c r="AW114" i="2"/>
  <c r="AQ125" i="2"/>
  <c r="AK132" i="2"/>
  <c r="AO137" i="2"/>
  <c r="BA167" i="2"/>
  <c r="AS173" i="2"/>
  <c r="BC178" i="2"/>
  <c r="AK183" i="2"/>
  <c r="AE202" i="2"/>
  <c r="AC208" i="2"/>
  <c r="AC207" i="2" s="1"/>
  <c r="AA208" i="2"/>
  <c r="AA207" i="2" s="1"/>
  <c r="BE213" i="2"/>
  <c r="AE223" i="2"/>
  <c r="BC238" i="2"/>
  <c r="U244" i="2"/>
  <c r="AC244" i="2"/>
  <c r="AA244" i="2"/>
  <c r="AW312" i="2"/>
  <c r="AA321" i="2"/>
  <c r="BE354" i="2"/>
  <c r="Y360" i="2"/>
  <c r="BC378" i="2"/>
  <c r="AI387" i="2"/>
  <c r="AG387" i="2"/>
  <c r="AA394" i="2"/>
  <c r="U400" i="2"/>
  <c r="AA410" i="2"/>
  <c r="AA414" i="2"/>
  <c r="AG424" i="2"/>
  <c r="U430" i="2"/>
  <c r="BE434" i="2"/>
  <c r="AM444" i="2"/>
  <c r="AY214" i="1"/>
  <c r="BA358" i="1"/>
  <c r="AE44" i="2"/>
  <c r="AO106" i="2"/>
  <c r="AO132" i="2"/>
  <c r="BF173" i="2"/>
  <c r="AY199" i="2"/>
  <c r="AY198" i="2" s="1"/>
  <c r="AQ199" i="2"/>
  <c r="AQ198" i="2" s="1"/>
  <c r="AK223" i="2"/>
  <c r="AO308" i="2"/>
  <c r="AM308" i="2"/>
  <c r="U308" i="2"/>
  <c r="AK321" i="2"/>
  <c r="AC414" i="2"/>
  <c r="AO424" i="2"/>
  <c r="AO444" i="2"/>
  <c r="AE513" i="2"/>
  <c r="BE513" i="2"/>
  <c r="BC513" i="2"/>
  <c r="AW513" i="2"/>
  <c r="AU513" i="2"/>
  <c r="AQ513" i="2"/>
  <c r="AO513" i="2"/>
  <c r="AM513" i="2"/>
  <c r="AI513" i="2"/>
  <c r="AO217" i="1"/>
  <c r="AG44" i="2"/>
  <c r="AC168" i="2"/>
  <c r="BA168" i="2"/>
  <c r="AO168" i="2"/>
  <c r="AK236" i="2"/>
  <c r="AM236" i="2"/>
  <c r="BE355" i="2"/>
  <c r="AW355" i="2"/>
  <c r="AU355" i="2"/>
  <c r="AC355" i="2"/>
  <c r="AA355" i="2"/>
  <c r="U355" i="2"/>
  <c r="AS424" i="2"/>
  <c r="AC462" i="2"/>
  <c r="AU462" i="2"/>
  <c r="AS462" i="2"/>
  <c r="AQ462" i="2"/>
  <c r="AG462" i="2"/>
  <c r="BC462" i="2"/>
  <c r="BA462" i="2"/>
  <c r="AY462" i="2"/>
  <c r="AW462" i="2"/>
  <c r="AS513" i="2"/>
  <c r="AQ217" i="1"/>
  <c r="AY358" i="1"/>
  <c r="AG15" i="2"/>
  <c r="AG14" i="2" s="1"/>
  <c r="BE20" i="2"/>
  <c r="BE19" i="2" s="1"/>
  <c r="AM29" i="2"/>
  <c r="AY32" i="2"/>
  <c r="BC39" i="2"/>
  <c r="AK44" i="2"/>
  <c r="U56" i="2"/>
  <c r="AQ67" i="2"/>
  <c r="AQ66" i="2" s="1"/>
  <c r="AU72" i="2"/>
  <c r="BA79" i="2"/>
  <c r="BF106" i="2"/>
  <c r="BC125" i="2"/>
  <c r="Y138" i="2"/>
  <c r="AK140" i="2"/>
  <c r="AC154" i="2"/>
  <c r="AG154" i="2"/>
  <c r="Y154" i="2"/>
  <c r="U168" i="2"/>
  <c r="BA223" i="2"/>
  <c r="AQ239" i="2"/>
  <c r="AO239" i="2"/>
  <c r="AY314" i="2"/>
  <c r="AS314" i="2"/>
  <c r="AW331" i="2"/>
  <c r="AW330" i="2" s="1"/>
  <c r="BC331" i="2"/>
  <c r="BC330" i="2" s="1"/>
  <c r="BA331" i="2"/>
  <c r="BA330" i="2" s="1"/>
  <c r="AE379" i="2"/>
  <c r="BC379" i="2"/>
  <c r="BA379" i="2"/>
  <c r="AY379" i="2"/>
  <c r="AM207" i="1"/>
  <c r="AM206" i="1" s="1"/>
  <c r="AS15" i="2"/>
  <c r="AS14" i="2" s="1"/>
  <c r="AQ29" i="2"/>
  <c r="BA32" i="2"/>
  <c r="BE39" i="2"/>
  <c r="AS44" i="2"/>
  <c r="AK56" i="2"/>
  <c r="Y63" i="2"/>
  <c r="AS67" i="2"/>
  <c r="AS66" i="2" s="1"/>
  <c r="BE72" i="2"/>
  <c r="AA138" i="2"/>
  <c r="AM140" i="2"/>
  <c r="U154" i="2"/>
  <c r="U161" i="2"/>
  <c r="BC161" i="2"/>
  <c r="AY161" i="2"/>
  <c r="AK168" i="2"/>
  <c r="AO202" i="2"/>
  <c r="AM239" i="2"/>
  <c r="AA309" i="2"/>
  <c r="AI314" i="2"/>
  <c r="AW321" i="2"/>
  <c r="Y331" i="2"/>
  <c r="Y330" i="2" s="1"/>
  <c r="AG355" i="2"/>
  <c r="AO379" i="2"/>
  <c r="Y384" i="2"/>
  <c r="BE384" i="2"/>
  <c r="BC384" i="2"/>
  <c r="AO384" i="2"/>
  <c r="AG384" i="2"/>
  <c r="AC384" i="2"/>
  <c r="AA407" i="2"/>
  <c r="Y411" i="2"/>
  <c r="AU29" i="2"/>
  <c r="AW36" i="2"/>
  <c r="AW44" i="2"/>
  <c r="AQ56" i="2"/>
  <c r="AA63" i="2"/>
  <c r="AW67" i="2"/>
  <c r="AW66" i="2" s="1"/>
  <c r="AY86" i="2"/>
  <c r="AQ94" i="2"/>
  <c r="AI100" i="2"/>
  <c r="AI104" i="2"/>
  <c r="BC115" i="2"/>
  <c r="AE122" i="2"/>
  <c r="AO129" i="2"/>
  <c r="AO128" i="2" s="1"/>
  <c r="U129" i="2"/>
  <c r="U128" i="2" s="1"/>
  <c r="AG138" i="2"/>
  <c r="AO140" i="2"/>
  <c r="Y161" i="2"/>
  <c r="BC168" i="2"/>
  <c r="AI179" i="2"/>
  <c r="BE184" i="2"/>
  <c r="AQ184" i="2"/>
  <c r="AQ190" i="2"/>
  <c r="Y201" i="2"/>
  <c r="AG201" i="2"/>
  <c r="AE201" i="2"/>
  <c r="AQ202" i="2"/>
  <c r="AQ200" i="2" s="1"/>
  <c r="AY215" i="2"/>
  <c r="AU215" i="2"/>
  <c r="AM215" i="2"/>
  <c r="AQ221" i="2"/>
  <c r="AK221" i="2"/>
  <c r="AE221" i="2"/>
  <c r="Y259" i="2"/>
  <c r="AU269" i="2"/>
  <c r="AC309" i="2"/>
  <c r="BE314" i="2"/>
  <c r="BC321" i="2"/>
  <c r="AA331" i="2"/>
  <c r="AA330" i="2" s="1"/>
  <c r="AK355" i="2"/>
  <c r="AQ379" i="2"/>
  <c r="AA384" i="2"/>
  <c r="AC407" i="2"/>
  <c r="BA424" i="2"/>
  <c r="BE462" i="2"/>
  <c r="Q345" i="1"/>
  <c r="AK398" i="1"/>
  <c r="AK397" i="1" s="1"/>
  <c r="AW29" i="2"/>
  <c r="BA56" i="2"/>
  <c r="AE63" i="2"/>
  <c r="W88" i="2"/>
  <c r="AU94" i="2"/>
  <c r="AM100" i="2"/>
  <c r="AG122" i="2"/>
  <c r="AI138" i="2"/>
  <c r="AQ140" i="2"/>
  <c r="BE149" i="2"/>
  <c r="AM149" i="2"/>
  <c r="AK154" i="2"/>
  <c r="AI161" i="2"/>
  <c r="BE168" i="2"/>
  <c r="AQ179" i="2"/>
  <c r="AW202" i="2"/>
  <c r="BC276" i="2"/>
  <c r="BA276" i="2"/>
  <c r="AI276" i="2"/>
  <c r="AE276" i="2"/>
  <c r="AC276" i="2"/>
  <c r="AG331" i="2"/>
  <c r="AG330" i="2" s="1"/>
  <c r="AO355" i="2"/>
  <c r="AS379" i="2"/>
  <c r="Y369" i="1"/>
  <c r="BC56" i="2"/>
  <c r="AI63" i="2"/>
  <c r="BC75" i="2"/>
  <c r="BC74" i="2" s="1"/>
  <c r="BC73" i="2" s="1"/>
  <c r="AG75" i="2"/>
  <c r="AG74" i="2" s="1"/>
  <c r="AG73" i="2" s="1"/>
  <c r="BC88" i="2"/>
  <c r="BE88" i="2"/>
  <c r="AI122" i="2"/>
  <c r="AK138" i="2"/>
  <c r="AS140" i="2"/>
  <c r="U149" i="2"/>
  <c r="AO154" i="2"/>
  <c r="AM161" i="2"/>
  <c r="AU179" i="2"/>
  <c r="AE184" i="2"/>
  <c r="AY202" i="2"/>
  <c r="AY200" i="2" s="1"/>
  <c r="AO240" i="2"/>
  <c r="AI331" i="2"/>
  <c r="AI330" i="2" s="1"/>
  <c r="Y345" i="2"/>
  <c r="AQ355" i="2"/>
  <c r="U362" i="2"/>
  <c r="AU379" i="2"/>
  <c r="AU384" i="2"/>
  <c r="BE424" i="2"/>
  <c r="AW437" i="2"/>
  <c r="BC486" i="2"/>
  <c r="AY486" i="2"/>
  <c r="AW486" i="2"/>
  <c r="AU486" i="2"/>
  <c r="AO486" i="2"/>
  <c r="AK486" i="2"/>
  <c r="AI486" i="2"/>
  <c r="BB352" i="1"/>
  <c r="BE352" i="1" s="1"/>
  <c r="AC362" i="1"/>
  <c r="AE373" i="1"/>
  <c r="U390" i="1"/>
  <c r="U389" i="1" s="1"/>
  <c r="AQ138" i="2"/>
  <c r="AC146" i="2"/>
  <c r="AQ146" i="2"/>
  <c r="AM146" i="2"/>
  <c r="AY270" i="2"/>
  <c r="AW270" i="2"/>
  <c r="AS270" i="2"/>
  <c r="AY401" i="2"/>
  <c r="AW401" i="2"/>
  <c r="AC408" i="2"/>
  <c r="BE408" i="2"/>
  <c r="AQ408" i="2"/>
  <c r="AO408" i="2"/>
  <c r="AM408" i="2"/>
  <c r="AU478" i="2"/>
  <c r="BC478" i="2"/>
  <c r="BA478" i="2"/>
  <c r="W214" i="1"/>
  <c r="AA225" i="1"/>
  <c r="AA127" i="2"/>
  <c r="BC127" i="2"/>
  <c r="BA127" i="2"/>
  <c r="AS138" i="2"/>
  <c r="AK146" i="2"/>
  <c r="Y169" i="2"/>
  <c r="W232" i="2"/>
  <c r="W231" i="2" s="1"/>
  <c r="AE270" i="2"/>
  <c r="BE379" i="2"/>
  <c r="Y401" i="2"/>
  <c r="AE408" i="2"/>
  <c r="AE417" i="2"/>
  <c r="Y417" i="2"/>
  <c r="BE453" i="2"/>
  <c r="AW453" i="2"/>
  <c r="AU453" i="2"/>
  <c r="AK453" i="2"/>
  <c r="BC453" i="2"/>
  <c r="AC225" i="1"/>
  <c r="AE17" i="2"/>
  <c r="Y38" i="2"/>
  <c r="AC41" i="2"/>
  <c r="AC40" i="2" s="1"/>
  <c r="BE63" i="2"/>
  <c r="BE62" i="2" s="1"/>
  <c r="AW75" i="2"/>
  <c r="AW74" i="2" s="1"/>
  <c r="AW73" i="2" s="1"/>
  <c r="U81" i="2"/>
  <c r="AE95" i="2"/>
  <c r="AW100" i="2"/>
  <c r="AK112" i="2"/>
  <c r="U127" i="2"/>
  <c r="AU138" i="2"/>
  <c r="BA140" i="2"/>
  <c r="AS146" i="2"/>
  <c r="AU150" i="2"/>
  <c r="AC155" i="2"/>
  <c r="AI155" i="2"/>
  <c r="AA155" i="2"/>
  <c r="AA169" i="2"/>
  <c r="AO176" i="2"/>
  <c r="BE180" i="2"/>
  <c r="BE177" i="2" s="1"/>
  <c r="U180" i="2"/>
  <c r="AI201" i="2"/>
  <c r="BE202" i="2"/>
  <c r="AE215" i="2"/>
  <c r="AU221" i="2"/>
  <c r="AY240" i="2"/>
  <c r="AQ270" i="2"/>
  <c r="AU276" i="2"/>
  <c r="BE286" i="2"/>
  <c r="AO331" i="2"/>
  <c r="AO330" i="2" s="1"/>
  <c r="AG401" i="2"/>
  <c r="AK408" i="2"/>
  <c r="AA417" i="2"/>
  <c r="Q188" i="1"/>
  <c r="AE225" i="1"/>
  <c r="AA38" i="2"/>
  <c r="AE41" i="2"/>
  <c r="AE40" i="2" s="1"/>
  <c r="BE75" i="2"/>
  <c r="BE74" i="2" s="1"/>
  <c r="BE73" i="2" s="1"/>
  <c r="AC81" i="2"/>
  <c r="AG95" i="2"/>
  <c r="AS112" i="2"/>
  <c r="Y127" i="2"/>
  <c r="AW138" i="2"/>
  <c r="BC140" i="2"/>
  <c r="BA146" i="2"/>
  <c r="AW150" i="2"/>
  <c r="AE169" i="2"/>
  <c r="BC270" i="2"/>
  <c r="AQ331" i="2"/>
  <c r="AQ330" i="2" s="1"/>
  <c r="Y397" i="2"/>
  <c r="AI401" i="2"/>
  <c r="AS408" i="2"/>
  <c r="AC417" i="2"/>
  <c r="AW441" i="2"/>
  <c r="AO441" i="2"/>
  <c r="AK441" i="2"/>
  <c r="BA441" i="2"/>
  <c r="AY441" i="2"/>
  <c r="AU441" i="2"/>
  <c r="AS441" i="2"/>
  <c r="AG453" i="2"/>
  <c r="Q217" i="1"/>
  <c r="AC345" i="1"/>
  <c r="AC369" i="1"/>
  <c r="AA390" i="1"/>
  <c r="AA389" i="1" s="1"/>
  <c r="AK17" i="2"/>
  <c r="U25" i="2"/>
  <c r="Y31" i="2"/>
  <c r="AI34" i="2"/>
  <c r="AC38" i="2"/>
  <c r="AG41" i="2"/>
  <c r="AG40" i="2" s="1"/>
  <c r="AW49" i="2"/>
  <c r="AC59" i="2"/>
  <c r="Y71" i="2"/>
  <c r="BE81" i="2"/>
  <c r="AK95" i="2"/>
  <c r="BC100" i="2"/>
  <c r="AU112" i="2"/>
  <c r="AC127" i="2"/>
  <c r="AS129" i="2"/>
  <c r="AS128" i="2" s="1"/>
  <c r="AE135" i="2"/>
  <c r="BC146" i="2"/>
  <c r="BA150" i="2"/>
  <c r="AM155" i="2"/>
  <c r="AA162" i="2"/>
  <c r="AQ169" i="2"/>
  <c r="AM201" i="2"/>
  <c r="AI215" i="2"/>
  <c r="AY221" i="2"/>
  <c r="BC240" i="2"/>
  <c r="AY254" i="2"/>
  <c r="BE270" i="2"/>
  <c r="AY276" i="2"/>
  <c r="AA311" i="2"/>
  <c r="AK316" i="2"/>
  <c r="AS331" i="2"/>
  <c r="AS330" i="2" s="1"/>
  <c r="Y357" i="2"/>
  <c r="BE365" i="2"/>
  <c r="BA365" i="2"/>
  <c r="AI391" i="2"/>
  <c r="AM397" i="2"/>
  <c r="AM401" i="2"/>
  <c r="AU408" i="2"/>
  <c r="AG417" i="2"/>
  <c r="AE441" i="2"/>
  <c r="AM453" i="2"/>
  <c r="AM362" i="1"/>
  <c r="AK34" i="2"/>
  <c r="AK38" i="2"/>
  <c r="AW41" i="2"/>
  <c r="AW40" i="2" s="1"/>
  <c r="Y47" i="2"/>
  <c r="AM95" i="2"/>
  <c r="AE127" i="2"/>
  <c r="AC139" i="2"/>
  <c r="AY139" i="2"/>
  <c r="AW139" i="2"/>
  <c r="AG139" i="2"/>
  <c r="AE139" i="2"/>
  <c r="AE162" i="2"/>
  <c r="BE186" i="2"/>
  <c r="BC186" i="2"/>
  <c r="AM186" i="2"/>
  <c r="BA195" i="2"/>
  <c r="BA194" i="2" s="1"/>
  <c r="AC195" i="2"/>
  <c r="AC194" i="2" s="1"/>
  <c r="U195" i="2"/>
  <c r="U194" i="2" s="1"/>
  <c r="AO201" i="2"/>
  <c r="AY210" i="2"/>
  <c r="AY209" i="2" s="1"/>
  <c r="BE210" i="2"/>
  <c r="BE209" i="2" s="1"/>
  <c r="BA215" i="2"/>
  <c r="BA221" i="2"/>
  <c r="Y267" i="2"/>
  <c r="BE276" i="2"/>
  <c r="U291" i="2"/>
  <c r="AW316" i="2"/>
  <c r="AW325" i="2"/>
  <c r="AW324" i="2" s="1"/>
  <c r="BA325" i="2"/>
  <c r="BA324" i="2" s="1"/>
  <c r="AK325" i="2"/>
  <c r="AK324" i="2" s="1"/>
  <c r="AI325" i="2"/>
  <c r="AI324" i="2" s="1"/>
  <c r="AG325" i="2"/>
  <c r="AG324" i="2" s="1"/>
  <c r="AK365" i="2"/>
  <c r="AY408" i="2"/>
  <c r="AK417" i="2"/>
  <c r="AG441" i="2"/>
  <c r="AS453" i="2"/>
  <c r="AK225" i="1"/>
  <c r="AQ338" i="1"/>
  <c r="AU178" i="2"/>
  <c r="AQ178" i="2"/>
  <c r="Y178" i="2"/>
  <c r="U178" i="2"/>
  <c r="AY205" i="2"/>
  <c r="AY204" i="2" s="1"/>
  <c r="AY203" i="2" s="1"/>
  <c r="AU205" i="2"/>
  <c r="AU204" i="2" s="1"/>
  <c r="AU203" i="2" s="1"/>
  <c r="U480" i="2"/>
  <c r="AA480" i="2"/>
  <c r="AW38" i="2"/>
  <c r="AW37" i="2" s="1"/>
  <c r="U78" i="2"/>
  <c r="U85" i="2"/>
  <c r="AC102" i="2"/>
  <c r="AG125" i="2"/>
  <c r="AW125" i="2"/>
  <c r="AU125" i="2"/>
  <c r="AI127" i="2"/>
  <c r="AM142" i="2"/>
  <c r="AK142" i="2"/>
  <c r="AA178" i="2"/>
  <c r="Y205" i="2"/>
  <c r="Y204" i="2" s="1"/>
  <c r="Y203" i="2" s="1"/>
  <c r="AC238" i="2"/>
  <c r="BA238" i="2"/>
  <c r="AY238" i="2"/>
  <c r="AW238" i="2"/>
  <c r="AG334" i="2"/>
  <c r="AG333" i="2" s="1"/>
  <c r="BC408" i="2"/>
  <c r="AU417" i="2"/>
  <c r="V341" i="2"/>
  <c r="BF341" i="2" s="1"/>
  <c r="AY38" i="2"/>
  <c r="BC41" i="2"/>
  <c r="BC40" i="2" s="1"/>
  <c r="AM102" i="2"/>
  <c r="AK127" i="2"/>
  <c r="AC178" i="2"/>
  <c r="AA205" i="2"/>
  <c r="AA204" i="2" s="1"/>
  <c r="AA203" i="2" s="1"/>
  <c r="AA317" i="2"/>
  <c r="BA334" i="2"/>
  <c r="BA333" i="2" s="1"/>
  <c r="AG378" i="2"/>
  <c r="AU378" i="2"/>
  <c r="AQ378" i="2"/>
  <c r="AO378" i="2"/>
  <c r="AY417" i="2"/>
  <c r="V520" i="2"/>
  <c r="R174" i="1" s="1"/>
  <c r="S174" i="1" s="1"/>
  <c r="BC174" i="1" s="1"/>
  <c r="V81" i="2"/>
  <c r="BF81" i="2" s="1"/>
  <c r="V107" i="2"/>
  <c r="BF107" i="2" s="1"/>
  <c r="V136" i="2"/>
  <c r="W136" i="2" s="1"/>
  <c r="V164" i="2"/>
  <c r="BF164" i="2" s="1"/>
  <c r="V191" i="2"/>
  <c r="BF191" i="2" s="1"/>
  <c r="V284" i="2"/>
  <c r="R383" i="1" s="1"/>
  <c r="S383" i="1" s="1"/>
  <c r="BC383" i="1" s="1"/>
  <c r="V297" i="2"/>
  <c r="R47" i="1" s="1"/>
  <c r="S47" i="1" s="1"/>
  <c r="S45" i="1" s="1"/>
  <c r="V320" i="2"/>
  <c r="V427" i="2"/>
  <c r="R81" i="1" s="1"/>
  <c r="S81" i="1" s="1"/>
  <c r="BC81" i="1" s="1"/>
  <c r="AE439" i="2"/>
  <c r="AC468" i="2"/>
  <c r="AU471" i="2"/>
  <c r="AK485" i="2"/>
  <c r="AG488" i="2"/>
  <c r="AW493" i="2"/>
  <c r="AS498" i="2"/>
  <c r="Y509" i="2"/>
  <c r="V111" i="2"/>
  <c r="BF111" i="2" s="1"/>
  <c r="V115" i="2"/>
  <c r="BF115" i="2" s="1"/>
  <c r="V122" i="2"/>
  <c r="W122" i="2" s="1"/>
  <c r="V161" i="2"/>
  <c r="R327" i="1" s="1"/>
  <c r="S327" i="1" s="1"/>
  <c r="V212" i="2"/>
  <c r="U224" i="2"/>
  <c r="V237" i="2"/>
  <c r="R269" i="1" s="1"/>
  <c r="S269" i="1" s="1"/>
  <c r="BC269" i="1" s="1"/>
  <c r="V248" i="2"/>
  <c r="W248" i="2" s="1"/>
  <c r="V347" i="2"/>
  <c r="W347" i="2" s="1"/>
  <c r="AA436" i="2"/>
  <c r="AK439" i="2"/>
  <c r="V454" i="2"/>
  <c r="R108" i="1" s="1"/>
  <c r="S108" i="1" s="1"/>
  <c r="BC108" i="1" s="1"/>
  <c r="AE468" i="2"/>
  <c r="AW471" i="2"/>
  <c r="AA479" i="2"/>
  <c r="AM485" i="2"/>
  <c r="AK488" i="2"/>
  <c r="BC493" i="2"/>
  <c r="AU498" i="2"/>
  <c r="AA509" i="2"/>
  <c r="BC516" i="2"/>
  <c r="V230" i="2"/>
  <c r="W230" i="2" s="1"/>
  <c r="V285" i="2"/>
  <c r="BF285" i="2" s="1"/>
  <c r="V309" i="2"/>
  <c r="R245" i="1" s="1"/>
  <c r="S245" i="1" s="1"/>
  <c r="BC245" i="1" s="1"/>
  <c r="V321" i="2"/>
  <c r="W321" i="2" s="1"/>
  <c r="V394" i="2"/>
  <c r="R43" i="1" s="1"/>
  <c r="S43" i="1" s="1"/>
  <c r="BC43" i="1" s="1"/>
  <c r="V399" i="2"/>
  <c r="W399" i="2" s="1"/>
  <c r="V402" i="2"/>
  <c r="R54" i="1" s="1"/>
  <c r="S54" i="1" s="1"/>
  <c r="BC54" i="1" s="1"/>
  <c r="V428" i="2"/>
  <c r="R82" i="1" s="1"/>
  <c r="BB82" i="1" s="1"/>
  <c r="AM439" i="2"/>
  <c r="AG468" i="2"/>
  <c r="V472" i="2"/>
  <c r="R126" i="1" s="1"/>
  <c r="BB126" i="1" s="1"/>
  <c r="AO485" i="2"/>
  <c r="AM488" i="2"/>
  <c r="V494" i="2"/>
  <c r="BF494" i="2" s="1"/>
  <c r="AY498" i="2"/>
  <c r="AE509" i="2"/>
  <c r="BE516" i="2"/>
  <c r="V485" i="2"/>
  <c r="R139" i="1" s="1"/>
  <c r="S139" i="1" s="1"/>
  <c r="BC139" i="1" s="1"/>
  <c r="V424" i="2"/>
  <c r="W424" i="2" s="1"/>
  <c r="AO439" i="2"/>
  <c r="AK468" i="2"/>
  <c r="AS485" i="2"/>
  <c r="AO488" i="2"/>
  <c r="BE498" i="2"/>
  <c r="AG509" i="2"/>
  <c r="V517" i="2"/>
  <c r="R171" i="1" s="1"/>
  <c r="BB171" i="1" s="1"/>
  <c r="V450" i="2"/>
  <c r="R104" i="1" s="1"/>
  <c r="S104" i="1" s="1"/>
  <c r="BC104" i="1" s="1"/>
  <c r="BC468" i="2"/>
  <c r="AM509" i="2"/>
  <c r="V469" i="2"/>
  <c r="R123" i="1" s="1"/>
  <c r="BB123" i="1" s="1"/>
  <c r="AY488" i="2"/>
  <c r="AE495" i="2"/>
  <c r="AO509" i="2"/>
  <c r="V127" i="2"/>
  <c r="W127" i="2" s="1"/>
  <c r="V133" i="2"/>
  <c r="W133" i="2" s="1"/>
  <c r="V148" i="2"/>
  <c r="R307" i="1" s="1"/>
  <c r="S307" i="1" s="1"/>
  <c r="AQ164" i="2"/>
  <c r="V182" i="2"/>
  <c r="R374" i="1" s="1"/>
  <c r="BB374" i="1" s="1"/>
  <c r="V222" i="2"/>
  <c r="W222" i="2" s="1"/>
  <c r="V234" i="2"/>
  <c r="AI237" i="2"/>
  <c r="V265" i="2"/>
  <c r="R303" i="1" s="1"/>
  <c r="S303" i="1" s="1"/>
  <c r="BC303" i="1" s="1"/>
  <c r="AI268" i="2"/>
  <c r="V272" i="2"/>
  <c r="R313" i="1" s="1"/>
  <c r="S313" i="1" s="1"/>
  <c r="V301" i="2"/>
  <c r="R201" i="1" s="1"/>
  <c r="S201" i="1" s="1"/>
  <c r="V336" i="2"/>
  <c r="AW347" i="2"/>
  <c r="AQ353" i="2"/>
  <c r="V381" i="2"/>
  <c r="R30" i="1" s="1"/>
  <c r="S30" i="1" s="1"/>
  <c r="AM412" i="2"/>
  <c r="AM419" i="2"/>
  <c r="BE428" i="2"/>
  <c r="V433" i="2"/>
  <c r="R87" i="1" s="1"/>
  <c r="S87" i="1" s="1"/>
  <c r="BC87" i="1" s="1"/>
  <c r="BC439" i="2"/>
  <c r="AW454" i="2"/>
  <c r="AU460" i="2"/>
  <c r="AS474" i="2"/>
  <c r="BC488" i="2"/>
  <c r="AG500" i="2"/>
  <c r="AS509" i="2"/>
  <c r="V152" i="2"/>
  <c r="R318" i="1" s="1"/>
  <c r="S318" i="1" s="1"/>
  <c r="BC318" i="1" s="1"/>
  <c r="V217" i="2"/>
  <c r="BF217" i="2" s="1"/>
  <c r="V251" i="2"/>
  <c r="BF251" i="2" s="1"/>
  <c r="V258" i="2"/>
  <c r="R296" i="1" s="1"/>
  <c r="S296" i="1" s="1"/>
  <c r="BC296" i="1" s="1"/>
  <c r="AM268" i="2"/>
  <c r="V291" i="2"/>
  <c r="V311" i="2"/>
  <c r="BF311" i="2" s="1"/>
  <c r="V329" i="2"/>
  <c r="AO412" i="2"/>
  <c r="V417" i="2"/>
  <c r="V429" i="2"/>
  <c r="R83" i="1" s="1"/>
  <c r="S83" i="1" s="1"/>
  <c r="U438" i="2"/>
  <c r="BE439" i="2"/>
  <c r="AY454" i="2"/>
  <c r="AY460" i="2"/>
  <c r="AI500" i="2"/>
  <c r="AU509" i="2"/>
  <c r="AY509" i="2"/>
  <c r="V452" i="2"/>
  <c r="R106" i="1" s="1"/>
  <c r="S106" i="1" s="1"/>
  <c r="AQ500" i="2"/>
  <c r="BC509" i="2"/>
  <c r="V507" i="2"/>
  <c r="R161" i="1" s="1"/>
  <c r="S161" i="1" s="1"/>
  <c r="BC161" i="1" s="1"/>
  <c r="BE509" i="2"/>
  <c r="AI520" i="2"/>
  <c r="V397" i="2"/>
  <c r="V413" i="2"/>
  <c r="AU500" i="2"/>
  <c r="AE542" i="2"/>
  <c r="J87" i="4" s="1"/>
  <c r="V497" i="2"/>
  <c r="R151" i="1" s="1"/>
  <c r="BB151" i="1" s="1"/>
  <c r="AG542" i="2"/>
  <c r="K87" i="4" s="1"/>
  <c r="V492" i="2"/>
  <c r="AC508" i="2"/>
  <c r="AM514" i="2"/>
  <c r="AY542" i="2"/>
  <c r="T87" i="4" s="1"/>
  <c r="V457" i="2"/>
  <c r="R111" i="1" s="1"/>
  <c r="S111" i="1" s="1"/>
  <c r="BC111" i="1" s="1"/>
  <c r="Y498" i="2"/>
  <c r="AE508" i="2"/>
  <c r="AO514" i="2"/>
  <c r="AG508" i="2"/>
  <c r="V471" i="2"/>
  <c r="R125" i="1" s="1"/>
  <c r="S125" i="1" s="1"/>
  <c r="BC125" i="1" s="1"/>
  <c r="AK498" i="2"/>
  <c r="V418" i="2"/>
  <c r="R72" i="1" s="1"/>
  <c r="BB72" i="1" s="1"/>
  <c r="AA426" i="2"/>
  <c r="AC439" i="2"/>
  <c r="AI493" i="2"/>
  <c r="AQ498" i="2"/>
  <c r="AI358" i="1"/>
  <c r="AI373" i="1"/>
  <c r="AI369" i="1"/>
  <c r="AI9" i="1"/>
  <c r="AC59" i="1"/>
  <c r="AI59" i="1"/>
  <c r="BA48" i="1"/>
  <c r="AK59" i="1"/>
  <c r="AM59" i="1"/>
  <c r="Y120" i="1"/>
  <c r="Y188" i="1"/>
  <c r="AK255" i="1"/>
  <c r="AM26" i="1"/>
  <c r="Y9" i="1"/>
  <c r="AO26" i="1"/>
  <c r="AG45" i="1"/>
  <c r="AK137" i="1"/>
  <c r="BB37" i="1"/>
  <c r="BD37" i="1" s="1"/>
  <c r="AI45" i="1"/>
  <c r="Y48" i="1"/>
  <c r="W9" i="1"/>
  <c r="AA48" i="1"/>
  <c r="AW59" i="1"/>
  <c r="W115" i="1"/>
  <c r="AO137" i="1"/>
  <c r="AQ345" i="1"/>
  <c r="AQ137" i="1"/>
  <c r="AU26" i="1"/>
  <c r="AE48" i="1"/>
  <c r="AG281" i="1"/>
  <c r="AA9" i="1"/>
  <c r="AK9" i="1"/>
  <c r="AY59" i="1"/>
  <c r="U106" i="1"/>
  <c r="AS45" i="1"/>
  <c r="AO9" i="1"/>
  <c r="Q26" i="1"/>
  <c r="U130" i="1"/>
  <c r="AO59" i="1"/>
  <c r="AU188" i="1"/>
  <c r="Y100" i="1"/>
  <c r="AU9" i="1"/>
  <c r="AS59" i="1"/>
  <c r="Q137" i="1"/>
  <c r="BA45" i="1"/>
  <c r="BA255" i="1"/>
  <c r="AE59" i="1"/>
  <c r="Q59" i="1"/>
  <c r="AS48" i="1"/>
  <c r="AY9" i="1"/>
  <c r="BB21" i="1"/>
  <c r="BD21" i="1" s="1"/>
  <c r="AU48" i="1"/>
  <c r="AI26" i="1"/>
  <c r="Q9" i="1"/>
  <c r="AG188" i="1"/>
  <c r="AG217" i="1"/>
  <c r="W264" i="1"/>
  <c r="BB339" i="1"/>
  <c r="BE339" i="1" s="1"/>
  <c r="AQ358" i="1"/>
  <c r="AS358" i="1"/>
  <c r="R365" i="1"/>
  <c r="BB365" i="1" s="1"/>
  <c r="BE365" i="1" s="1"/>
  <c r="BF59" i="2"/>
  <c r="AC228" i="1"/>
  <c r="Q228" i="1"/>
  <c r="BB268" i="1"/>
  <c r="BD268" i="1" s="1"/>
  <c r="AA336" i="1"/>
  <c r="S339" i="1"/>
  <c r="BC339" i="1" s="1"/>
  <c r="U353" i="1"/>
  <c r="AU369" i="1"/>
  <c r="BB193" i="1"/>
  <c r="BD193" i="1" s="1"/>
  <c r="AI207" i="1"/>
  <c r="AI206" i="1" s="1"/>
  <c r="BA214" i="1"/>
  <c r="W247" i="1"/>
  <c r="BC247" i="1" s="1"/>
  <c r="AA264" i="1"/>
  <c r="AQ264" i="1"/>
  <c r="W353" i="1"/>
  <c r="Q358" i="1"/>
  <c r="AW358" i="1"/>
  <c r="AS369" i="1"/>
  <c r="AY373" i="1"/>
  <c r="AK188" i="1"/>
  <c r="AK207" i="1"/>
  <c r="AK206" i="1" s="1"/>
  <c r="AQ214" i="1"/>
  <c r="AQ225" i="1"/>
  <c r="BC259" i="1"/>
  <c r="AC264" i="1"/>
  <c r="U338" i="1"/>
  <c r="Y353" i="1"/>
  <c r="AQ362" i="1"/>
  <c r="Q214" i="1"/>
  <c r="AO255" i="1"/>
  <c r="AE264" i="1"/>
  <c r="AA353" i="1"/>
  <c r="BA373" i="1"/>
  <c r="W112" i="2"/>
  <c r="BB185" i="1"/>
  <c r="BE185" i="1" s="1"/>
  <c r="AO188" i="1"/>
  <c r="AQ255" i="1"/>
  <c r="W338" i="1"/>
  <c r="BA338" i="1"/>
  <c r="AK338" i="1"/>
  <c r="BA381" i="1"/>
  <c r="AQ188" i="1"/>
  <c r="U214" i="1"/>
  <c r="BC224" i="1"/>
  <c r="AU225" i="1"/>
  <c r="U240" i="1"/>
  <c r="U228" i="1" s="1"/>
  <c r="AI264" i="1"/>
  <c r="AM228" i="1"/>
  <c r="AS255" i="1"/>
  <c r="AK264" i="1"/>
  <c r="BB326" i="1"/>
  <c r="BE326" i="1" s="1"/>
  <c r="AG353" i="1"/>
  <c r="AY369" i="1"/>
  <c r="W373" i="1"/>
  <c r="AO228" i="1"/>
  <c r="AC255" i="1"/>
  <c r="AM264" i="1"/>
  <c r="U326" i="1"/>
  <c r="BC326" i="1" s="1"/>
  <c r="AI353" i="1"/>
  <c r="AQ207" i="1"/>
  <c r="AQ206" i="1" s="1"/>
  <c r="AU217" i="1"/>
  <c r="U225" i="1"/>
  <c r="AG345" i="1"/>
  <c r="BC372" i="1"/>
  <c r="BF13" i="2"/>
  <c r="W225" i="1"/>
  <c r="BB275" i="1"/>
  <c r="BE275" i="1" s="1"/>
  <c r="Q281" i="1"/>
  <c r="AM353" i="1"/>
  <c r="AW207" i="1"/>
  <c r="AW206" i="1" s="1"/>
  <c r="AC214" i="1"/>
  <c r="AW255" i="1"/>
  <c r="Q255" i="1"/>
  <c r="AK345" i="1"/>
  <c r="S352" i="1"/>
  <c r="BC352" i="1" s="1"/>
  <c r="U358" i="1"/>
  <c r="Y373" i="1"/>
  <c r="AS390" i="1"/>
  <c r="AS389" i="1" s="1"/>
  <c r="W20" i="2"/>
  <c r="W19" i="2" s="1"/>
  <c r="BF20" i="2"/>
  <c r="AG214" i="1"/>
  <c r="AU264" i="1"/>
  <c r="AE338" i="1"/>
  <c r="AS353" i="1"/>
  <c r="AE359" i="1"/>
  <c r="AE358" i="1" s="1"/>
  <c r="AU390" i="1"/>
  <c r="AU389" i="1" s="1"/>
  <c r="BF175" i="2"/>
  <c r="W175" i="2"/>
  <c r="AI214" i="1"/>
  <c r="BC277" i="1"/>
  <c r="AU353" i="1"/>
  <c r="Y358" i="1"/>
  <c r="AY207" i="1"/>
  <c r="AY206" i="1" s="1"/>
  <c r="AW353" i="1"/>
  <c r="AK381" i="1"/>
  <c r="BF56" i="2"/>
  <c r="BA188" i="1"/>
  <c r="BA207" i="1"/>
  <c r="BA206" i="1" s="1"/>
  <c r="AE214" i="1"/>
  <c r="AW217" i="1"/>
  <c r="AK228" i="1"/>
  <c r="AY353" i="1"/>
  <c r="Q264" i="1"/>
  <c r="BA353" i="1"/>
  <c r="W362" i="1"/>
  <c r="BF205" i="2"/>
  <c r="BB190" i="1"/>
  <c r="BE190" i="1" s="1"/>
  <c r="AG225" i="1"/>
  <c r="AS345" i="1"/>
  <c r="Q353" i="1"/>
  <c r="W153" i="2"/>
  <c r="BF153" i="2"/>
  <c r="Y207" i="1"/>
  <c r="Y206" i="1" s="1"/>
  <c r="Y258" i="1"/>
  <c r="AG369" i="1"/>
  <c r="BB221" i="1"/>
  <c r="BD221" i="1" s="1"/>
  <c r="AK358" i="1"/>
  <c r="AM369" i="1"/>
  <c r="AA217" i="1"/>
  <c r="AI255" i="1"/>
  <c r="Y322" i="1"/>
  <c r="AY345" i="1"/>
  <c r="AO373" i="1"/>
  <c r="AC390" i="1"/>
  <c r="AC389" i="1" s="1"/>
  <c r="AU214" i="1"/>
  <c r="AO358" i="1"/>
  <c r="AS381" i="1"/>
  <c r="AM214" i="1"/>
  <c r="AE217" i="1"/>
  <c r="AS373" i="1"/>
  <c r="BE42" i="2"/>
  <c r="AY58" i="2"/>
  <c r="AC144" i="2"/>
  <c r="BE144" i="2"/>
  <c r="AY185" i="2"/>
  <c r="AW185" i="2"/>
  <c r="BC239" i="2"/>
  <c r="AY239" i="2"/>
  <c r="AK239" i="2"/>
  <c r="AU310" i="2"/>
  <c r="BA367" i="2"/>
  <c r="BA366" i="2" s="1"/>
  <c r="AY367" i="2"/>
  <c r="AY366" i="2" s="1"/>
  <c r="BE367" i="2"/>
  <c r="BE366" i="2" s="1"/>
  <c r="BC367" i="2"/>
  <c r="BC366" i="2" s="1"/>
  <c r="AW367" i="2"/>
  <c r="AW366" i="2" s="1"/>
  <c r="AC367" i="2"/>
  <c r="AC366" i="2" s="1"/>
  <c r="BC407" i="2"/>
  <c r="AW407" i="2"/>
  <c r="AS407" i="2"/>
  <c r="AQ407" i="2"/>
  <c r="Y407" i="2"/>
  <c r="BE407" i="2"/>
  <c r="BA407" i="2"/>
  <c r="AY407" i="2"/>
  <c r="AO407" i="2"/>
  <c r="AK407" i="2"/>
  <c r="AE407" i="2"/>
  <c r="BB386" i="1"/>
  <c r="BD386" i="1" s="1"/>
  <c r="Y390" i="1"/>
  <c r="Y389" i="1" s="1"/>
  <c r="Y11" i="2"/>
  <c r="Y10" i="2" s="1"/>
  <c r="U18" i="2"/>
  <c r="U55" i="2"/>
  <c r="AM56" i="2"/>
  <c r="BA58" i="2"/>
  <c r="U96" i="2"/>
  <c r="AM99" i="2"/>
  <c r="U103" i="2"/>
  <c r="AM105" i="2"/>
  <c r="AY110" i="2"/>
  <c r="AM110" i="2"/>
  <c r="BC111" i="2"/>
  <c r="AY117" i="2"/>
  <c r="AU137" i="2"/>
  <c r="AC142" i="2"/>
  <c r="BE142" i="2"/>
  <c r="U144" i="2"/>
  <c r="AA156" i="2"/>
  <c r="BE162" i="2"/>
  <c r="AW166" i="2"/>
  <c r="AS190" i="2"/>
  <c r="AW212" i="2"/>
  <c r="AC223" i="2"/>
  <c r="AI223" i="2"/>
  <c r="AA223" i="2"/>
  <c r="AG223" i="2"/>
  <c r="AI239" i="2"/>
  <c r="AW310" i="2"/>
  <c r="U407" i="2"/>
  <c r="W386" i="1"/>
  <c r="BC386" i="1" s="1"/>
  <c r="AS398" i="1"/>
  <c r="AS397" i="1" s="1"/>
  <c r="AA11" i="2"/>
  <c r="AA10" i="2" s="1"/>
  <c r="Y18" i="2"/>
  <c r="U36" i="2"/>
  <c r="AA52" i="2"/>
  <c r="Y55" i="2"/>
  <c r="AO56" i="2"/>
  <c r="BC58" i="2"/>
  <c r="AO75" i="2"/>
  <c r="AO74" i="2" s="1"/>
  <c r="AO73" i="2" s="1"/>
  <c r="BE86" i="2"/>
  <c r="AO94" i="2"/>
  <c r="BC94" i="2"/>
  <c r="AO96" i="2"/>
  <c r="AO99" i="2"/>
  <c r="Y103" i="2"/>
  <c r="AO105" i="2"/>
  <c r="BA107" i="2"/>
  <c r="AG107" i="2"/>
  <c r="BE111" i="2"/>
  <c r="AY137" i="2"/>
  <c r="U142" i="2"/>
  <c r="Y144" i="2"/>
  <c r="U146" i="2"/>
  <c r="AE156" i="2"/>
  <c r="AY166" i="2"/>
  <c r="AE185" i="2"/>
  <c r="AY212" i="2"/>
  <c r="W261" i="2"/>
  <c r="BA280" i="2"/>
  <c r="U280" i="2"/>
  <c r="AU280" i="2"/>
  <c r="AE280" i="2"/>
  <c r="AY310" i="2"/>
  <c r="Y344" i="2"/>
  <c r="AE344" i="2"/>
  <c r="AO381" i="1"/>
  <c r="AU398" i="1"/>
  <c r="AU397" i="1" s="1"/>
  <c r="AC11" i="2"/>
  <c r="AC10" i="2" s="1"/>
  <c r="AA18" i="2"/>
  <c r="AC52" i="2"/>
  <c r="AC55" i="2"/>
  <c r="BE58" i="2"/>
  <c r="AQ96" i="2"/>
  <c r="AQ99" i="2"/>
  <c r="AA103" i="2"/>
  <c r="AQ105" i="2"/>
  <c r="BC137" i="2"/>
  <c r="AA144" i="2"/>
  <c r="AK156" i="2"/>
  <c r="AC163" i="2"/>
  <c r="AK163" i="2"/>
  <c r="AI185" i="2"/>
  <c r="AM261" i="2"/>
  <c r="AK261" i="2"/>
  <c r="AC261" i="2"/>
  <c r="Y261" i="2"/>
  <c r="AY261" i="2"/>
  <c r="AK275" i="2"/>
  <c r="AI275" i="2"/>
  <c r="U382" i="1"/>
  <c r="AW398" i="1"/>
  <c r="AW397" i="1" s="1"/>
  <c r="AG11" i="2"/>
  <c r="AG10" i="2" s="1"/>
  <c r="AC18" i="2"/>
  <c r="AC36" i="2"/>
  <c r="AG52" i="2"/>
  <c r="AG55" i="2"/>
  <c r="AS56" i="2"/>
  <c r="AU96" i="2"/>
  <c r="AS99" i="2"/>
  <c r="U102" i="2"/>
  <c r="AC103" i="2"/>
  <c r="AS105" i="2"/>
  <c r="BA112" i="2"/>
  <c r="U112" i="2"/>
  <c r="AE144" i="2"/>
  <c r="AO156" i="2"/>
  <c r="BC166" i="2"/>
  <c r="AK185" i="2"/>
  <c r="W197" i="2"/>
  <c r="W196" i="2" s="1"/>
  <c r="BC212" i="2"/>
  <c r="AC218" i="2"/>
  <c r="U248" i="2"/>
  <c r="AS248" i="2"/>
  <c r="AG261" i="2"/>
  <c r="AG300" i="2"/>
  <c r="AY300" i="2"/>
  <c r="AQ300" i="2"/>
  <c r="BF312" i="2"/>
  <c r="AM344" i="2"/>
  <c r="BE380" i="2"/>
  <c r="BC380" i="2"/>
  <c r="BA380" i="2"/>
  <c r="AQ380" i="2"/>
  <c r="BE399" i="2"/>
  <c r="AM399" i="2"/>
  <c r="AY399" i="2"/>
  <c r="AG407" i="2"/>
  <c r="W369" i="1"/>
  <c r="AI11" i="2"/>
  <c r="AI10" i="2" s="1"/>
  <c r="AE18" i="2"/>
  <c r="AE29" i="2"/>
  <c r="AU31" i="2"/>
  <c r="U34" i="2"/>
  <c r="AG36" i="2"/>
  <c r="AS38" i="2"/>
  <c r="AA44" i="2"/>
  <c r="AM47" i="2"/>
  <c r="AE49" i="2"/>
  <c r="AI52" i="2"/>
  <c r="AI55" i="2"/>
  <c r="AU56" i="2"/>
  <c r="AI67" i="2"/>
  <c r="AI66" i="2" s="1"/>
  <c r="AC72" i="2"/>
  <c r="AY75" i="2"/>
  <c r="AY74" i="2" s="1"/>
  <c r="AY73" i="2" s="1"/>
  <c r="AE85" i="2"/>
  <c r="Y94" i="2"/>
  <c r="AY96" i="2"/>
  <c r="AU99" i="2"/>
  <c r="W102" i="2"/>
  <c r="AE103" i="2"/>
  <c r="AU105" i="2"/>
  <c r="AC107" i="2"/>
  <c r="AK110" i="2"/>
  <c r="Y118" i="2"/>
  <c r="Y132" i="2"/>
  <c r="AC138" i="2"/>
  <c r="BA138" i="2"/>
  <c r="AU140" i="2"/>
  <c r="AE142" i="2"/>
  <c r="AG144" i="2"/>
  <c r="AO146" i="2"/>
  <c r="AS156" i="2"/>
  <c r="Y163" i="2"/>
  <c r="BE166" i="2"/>
  <c r="W169" i="2"/>
  <c r="BC185" i="2"/>
  <c r="BC187" i="2"/>
  <c r="BE212" i="2"/>
  <c r="AM223" i="2"/>
  <c r="AK229" i="2"/>
  <c r="AW239" i="2"/>
  <c r="AY257" i="2"/>
  <c r="AW257" i="2"/>
  <c r="AO257" i="2"/>
  <c r="AM257" i="2"/>
  <c r="AS257" i="2"/>
  <c r="AO261" i="2"/>
  <c r="AQ275" i="2"/>
  <c r="AI280" i="2"/>
  <c r="AK293" i="2"/>
  <c r="AK292" i="2" s="1"/>
  <c r="AE293" i="2"/>
  <c r="AE292" i="2" s="1"/>
  <c r="AA293" i="2"/>
  <c r="AA292" i="2" s="1"/>
  <c r="Y293" i="2"/>
  <c r="Y292" i="2" s="1"/>
  <c r="BC293" i="2"/>
  <c r="BC292" i="2" s="1"/>
  <c r="AY293" i="2"/>
  <c r="AY292" i="2" s="1"/>
  <c r="U300" i="2"/>
  <c r="AC381" i="1"/>
  <c r="Q398" i="1"/>
  <c r="Q397" i="1" s="1"/>
  <c r="AK11" i="2"/>
  <c r="AK10" i="2" s="1"/>
  <c r="AU16" i="2"/>
  <c r="AG18" i="2"/>
  <c r="AG29" i="2"/>
  <c r="Y34" i="2"/>
  <c r="AI36" i="2"/>
  <c r="AC44" i="2"/>
  <c r="AQ47" i="2"/>
  <c r="AW52" i="2"/>
  <c r="AK55" i="2"/>
  <c r="AW56" i="2"/>
  <c r="AO67" i="2"/>
  <c r="AO66" i="2" s="1"/>
  <c r="AE72" i="2"/>
  <c r="BA75" i="2"/>
  <c r="BA74" i="2" s="1"/>
  <c r="BA73" i="2" s="1"/>
  <c r="AI80" i="2"/>
  <c r="AI85" i="2"/>
  <c r="BA88" i="2"/>
  <c r="AA94" i="2"/>
  <c r="AW99" i="2"/>
  <c r="Y102" i="2"/>
  <c r="AG103" i="2"/>
  <c r="AW105" i="2"/>
  <c r="AO110" i="2"/>
  <c r="Y112" i="2"/>
  <c r="AA118" i="2"/>
  <c r="AC122" i="2"/>
  <c r="AA132" i="2"/>
  <c r="AI144" i="2"/>
  <c r="BE156" i="2"/>
  <c r="AA163" i="2"/>
  <c r="AC169" i="2"/>
  <c r="U169" i="2"/>
  <c r="BE185" i="2"/>
  <c r="AO223" i="2"/>
  <c r="W225" i="2"/>
  <c r="BF225" i="2"/>
  <c r="AM229" i="2"/>
  <c r="BE239" i="2"/>
  <c r="Y248" i="2"/>
  <c r="AS261" i="2"/>
  <c r="AK280" i="2"/>
  <c r="BA285" i="2"/>
  <c r="AY285" i="2"/>
  <c r="U285" i="2"/>
  <c r="W293" i="2"/>
  <c r="W292" i="2" s="1"/>
  <c r="BF293" i="2"/>
  <c r="BC314" i="2"/>
  <c r="BA314" i="2"/>
  <c r="AW314" i="2"/>
  <c r="AU314" i="2"/>
  <c r="AM314" i="2"/>
  <c r="AK314" i="2"/>
  <c r="AG314" i="2"/>
  <c r="AY380" i="2"/>
  <c r="AQ399" i="2"/>
  <c r="BA398" i="1"/>
  <c r="BA397" i="1" s="1"/>
  <c r="AM11" i="2"/>
  <c r="AM10" i="2" s="1"/>
  <c r="AI18" i="2"/>
  <c r="AC34" i="2"/>
  <c r="AK36" i="2"/>
  <c r="AY52" i="2"/>
  <c r="AM55" i="2"/>
  <c r="AY56" i="2"/>
  <c r="AM80" i="2"/>
  <c r="W97" i="2"/>
  <c r="AY99" i="2"/>
  <c r="AY98" i="2" s="1"/>
  <c r="AA102" i="2"/>
  <c r="AI103" i="2"/>
  <c r="AC112" i="2"/>
  <c r="AK144" i="2"/>
  <c r="AE163" i="2"/>
  <c r="AC167" i="2"/>
  <c r="U167" i="2"/>
  <c r="Y222" i="2"/>
  <c r="U222" i="2"/>
  <c r="AW222" i="2"/>
  <c r="AQ223" i="2"/>
  <c r="AA248" i="2"/>
  <c r="AC257" i="2"/>
  <c r="AW261" i="2"/>
  <c r="AO280" i="2"/>
  <c r="AA300" i="2"/>
  <c r="AK373" i="1"/>
  <c r="Y381" i="1"/>
  <c r="AS11" i="2"/>
  <c r="AS10" i="2" s="1"/>
  <c r="AK18" i="2"/>
  <c r="BA52" i="2"/>
  <c r="AO55" i="2"/>
  <c r="AK103" i="2"/>
  <c r="AM144" i="2"/>
  <c r="U184" i="2"/>
  <c r="AM191" i="2"/>
  <c r="AA222" i="2"/>
  <c r="AS223" i="2"/>
  <c r="U225" i="2"/>
  <c r="AC248" i="2"/>
  <c r="AG257" i="2"/>
  <c r="BE261" i="2"/>
  <c r="BC269" i="2"/>
  <c r="AM269" i="2"/>
  <c r="AQ280" i="2"/>
  <c r="AE285" i="2"/>
  <c r="AM293" i="2"/>
  <c r="AM292" i="2" s="1"/>
  <c r="AE300" i="2"/>
  <c r="BA402" i="2"/>
  <c r="AG402" i="2"/>
  <c r="BE402" i="2"/>
  <c r="BC402" i="2"/>
  <c r="AY402" i="2"/>
  <c r="AS402" i="2"/>
  <c r="AM402" i="2"/>
  <c r="Q369" i="1"/>
  <c r="AM373" i="1"/>
  <c r="AY11" i="2"/>
  <c r="AY10" i="2" s="1"/>
  <c r="U15" i="2"/>
  <c r="U14" i="2" s="1"/>
  <c r="AM18" i="2"/>
  <c r="W41" i="2"/>
  <c r="W40" i="2" s="1"/>
  <c r="AQ55" i="2"/>
  <c r="AS80" i="2"/>
  <c r="AE102" i="2"/>
  <c r="AM103" i="2"/>
  <c r="AK118" i="2"/>
  <c r="U136" i="2"/>
  <c r="AO144" i="2"/>
  <c r="AI163" i="2"/>
  <c r="AG248" i="2"/>
  <c r="AS280" i="2"/>
  <c r="AK285" i="2"/>
  <c r="AM300" i="2"/>
  <c r="BC11" i="2"/>
  <c r="BC10" i="2" s="1"/>
  <c r="Y15" i="2"/>
  <c r="Y14" i="2" s="1"/>
  <c r="AC17" i="2"/>
  <c r="AO18" i="2"/>
  <c r="AO29" i="2"/>
  <c r="AM34" i="2"/>
  <c r="AQ36" i="2"/>
  <c r="Y41" i="2"/>
  <c r="Y40" i="2" s="1"/>
  <c r="AM44" i="2"/>
  <c r="BA47" i="2"/>
  <c r="AO49" i="2"/>
  <c r="AS55" i="2"/>
  <c r="BE56" i="2"/>
  <c r="AM72" i="2"/>
  <c r="AQ85" i="2"/>
  <c r="AM94" i="2"/>
  <c r="BE100" i="2"/>
  <c r="BE98" i="2" s="1"/>
  <c r="Y100" i="2"/>
  <c r="AG102" i="2"/>
  <c r="AQ103" i="2"/>
  <c r="AW104" i="2"/>
  <c r="AO107" i="2"/>
  <c r="BC110" i="2"/>
  <c r="AO112" i="2"/>
  <c r="AO118" i="2"/>
  <c r="AO122" i="2"/>
  <c r="AY125" i="2"/>
  <c r="AS132" i="2"/>
  <c r="AE138" i="2"/>
  <c r="AO142" i="2"/>
  <c r="AQ144" i="2"/>
  <c r="BE146" i="2"/>
  <c r="BA154" i="2"/>
  <c r="AE157" i="2"/>
  <c r="U162" i="2"/>
  <c r="AM163" i="2"/>
  <c r="AE167" i="2"/>
  <c r="AG169" i="2"/>
  <c r="AA184" i="2"/>
  <c r="AA186" i="2"/>
  <c r="W188" i="2"/>
  <c r="AK200" i="2"/>
  <c r="AA213" i="2"/>
  <c r="AE222" i="2"/>
  <c r="AW223" i="2"/>
  <c r="AO225" i="2"/>
  <c r="AG235" i="2"/>
  <c r="AC235" i="2"/>
  <c r="AI248" i="2"/>
  <c r="AY253" i="2"/>
  <c r="BE253" i="2"/>
  <c r="AW253" i="2"/>
  <c r="AO253" i="2"/>
  <c r="AM253" i="2"/>
  <c r="Y253" i="2"/>
  <c r="BE257" i="2"/>
  <c r="U266" i="2"/>
  <c r="AK269" i="2"/>
  <c r="AW280" i="2"/>
  <c r="AM285" i="2"/>
  <c r="AQ293" i="2"/>
  <c r="AQ292" i="2" s="1"/>
  <c r="AO300" i="2"/>
  <c r="BC309" i="2"/>
  <c r="AS309" i="2"/>
  <c r="AQ309" i="2"/>
  <c r="AM309" i="2"/>
  <c r="AK309" i="2"/>
  <c r="AO309" i="2"/>
  <c r="AE309" i="2"/>
  <c r="Y309" i="2"/>
  <c r="BE351" i="2"/>
  <c r="BE350" i="2" s="1"/>
  <c r="BC351" i="2"/>
  <c r="BC350" i="2" s="1"/>
  <c r="AO402" i="2"/>
  <c r="AQ373" i="1"/>
  <c r="BE11" i="2"/>
  <c r="BE10" i="2" s="1"/>
  <c r="AC15" i="2"/>
  <c r="AC14" i="2" s="1"/>
  <c r="AQ18" i="2"/>
  <c r="AO34" i="2"/>
  <c r="AS36" i="2"/>
  <c r="AQ44" i="2"/>
  <c r="AU55" i="2"/>
  <c r="AO72" i="2"/>
  <c r="AK102" i="2"/>
  <c r="AS103" i="2"/>
  <c r="BE110" i="2"/>
  <c r="AQ112" i="2"/>
  <c r="AS118" i="2"/>
  <c r="AS122" i="2"/>
  <c r="AW132" i="2"/>
  <c r="AG136" i="2"/>
  <c r="AS144" i="2"/>
  <c r="AC152" i="2"/>
  <c r="AG152" i="2"/>
  <c r="BC154" i="2"/>
  <c r="AG157" i="2"/>
  <c r="Y162" i="2"/>
  <c r="AO163" i="2"/>
  <c r="AI167" i="2"/>
  <c r="AM169" i="2"/>
  <c r="AC184" i="2"/>
  <c r="AI186" i="2"/>
  <c r="U199" i="2"/>
  <c r="U198" i="2" s="1"/>
  <c r="AE213" i="2"/>
  <c r="AG222" i="2"/>
  <c r="AY223" i="2"/>
  <c r="AQ225" i="2"/>
  <c r="U235" i="2"/>
  <c r="AK248" i="2"/>
  <c r="AW266" i="2"/>
  <c r="AQ269" i="2"/>
  <c r="AY280" i="2"/>
  <c r="AO285" i="2"/>
  <c r="AS293" i="2"/>
  <c r="AS292" i="2" s="1"/>
  <c r="AS300" i="2"/>
  <c r="U351" i="2"/>
  <c r="U350" i="2" s="1"/>
  <c r="BE358" i="2"/>
  <c r="BC358" i="2"/>
  <c r="AW402" i="2"/>
  <c r="AS18" i="2"/>
  <c r="AW55" i="2"/>
  <c r="AU103" i="2"/>
  <c r="AI136" i="2"/>
  <c r="AC141" i="2"/>
  <c r="AQ141" i="2"/>
  <c r="AU144" i="2"/>
  <c r="AC149" i="2"/>
  <c r="AE149" i="2"/>
  <c r="AY216" i="2"/>
  <c r="BC216" i="2"/>
  <c r="BA232" i="2"/>
  <c r="BA231" i="2" s="1"/>
  <c r="BC232" i="2"/>
  <c r="BC231" i="2" s="1"/>
  <c r="AS232" i="2"/>
  <c r="AS231" i="2" s="1"/>
  <c r="AI232" i="2"/>
  <c r="AI231" i="2" s="1"/>
  <c r="AM248" i="2"/>
  <c r="BE266" i="2"/>
  <c r="BC280" i="2"/>
  <c r="AS285" i="2"/>
  <c r="AW300" i="2"/>
  <c r="AC358" i="2"/>
  <c r="BE423" i="2"/>
  <c r="BC423" i="2"/>
  <c r="AY423" i="2"/>
  <c r="AW423" i="2"/>
  <c r="U423" i="2"/>
  <c r="AU423" i="2"/>
  <c r="AQ423" i="2"/>
  <c r="AM423" i="2"/>
  <c r="W425" i="2"/>
  <c r="Y398" i="1"/>
  <c r="Y397" i="1" s="1"/>
  <c r="AW103" i="2"/>
  <c r="AW144" i="2"/>
  <c r="AY190" i="2"/>
  <c r="BE190" i="2"/>
  <c r="BE189" i="2" s="1"/>
  <c r="AO248" i="2"/>
  <c r="BA300" i="2"/>
  <c r="AI425" i="2"/>
  <c r="AQ425" i="2"/>
  <c r="AK425" i="2"/>
  <c r="AC425" i="2"/>
  <c r="AA425" i="2"/>
  <c r="BA425" i="2"/>
  <c r="AY425" i="2"/>
  <c r="AW425" i="2"/>
  <c r="AU425" i="2"/>
  <c r="AS425" i="2"/>
  <c r="BC425" i="2"/>
  <c r="AM425" i="2"/>
  <c r="W461" i="2"/>
  <c r="AW390" i="1"/>
  <c r="AW389" i="1" s="1"/>
  <c r="AO15" i="2"/>
  <c r="AO14" i="2" s="1"/>
  <c r="AM17" i="2"/>
  <c r="AY18" i="2"/>
  <c r="AC25" i="2"/>
  <c r="AY29" i="2"/>
  <c r="Y32" i="2"/>
  <c r="AU34" i="2"/>
  <c r="AY36" i="2"/>
  <c r="Y39" i="2"/>
  <c r="AI41" i="2"/>
  <c r="AI40" i="2" s="1"/>
  <c r="BA44" i="2"/>
  <c r="BA42" i="2" s="1"/>
  <c r="AY49" i="2"/>
  <c r="AI54" i="2"/>
  <c r="BA55" i="2"/>
  <c r="U58" i="2"/>
  <c r="AY72" i="2"/>
  <c r="AY85" i="2"/>
  <c r="AQ102" i="2"/>
  <c r="AY103" i="2"/>
  <c r="AG106" i="2"/>
  <c r="AW107" i="2"/>
  <c r="U111" i="2"/>
  <c r="AW112" i="2"/>
  <c r="BF125" i="2"/>
  <c r="AM136" i="2"/>
  <c r="AM138" i="2"/>
  <c r="BC139" i="2"/>
  <c r="Y141" i="2"/>
  <c r="AW142" i="2"/>
  <c r="AY144" i="2"/>
  <c r="AQ147" i="2"/>
  <c r="Y149" i="2"/>
  <c r="AG162" i="2"/>
  <c r="AW163" i="2"/>
  <c r="AO165" i="2"/>
  <c r="AW167" i="2"/>
  <c r="AI184" i="2"/>
  <c r="AO186" i="2"/>
  <c r="AC199" i="2"/>
  <c r="AC198" i="2" s="1"/>
  <c r="BF202" i="2"/>
  <c r="BC208" i="2"/>
  <c r="BC207" i="2" s="1"/>
  <c r="AM208" i="2"/>
  <c r="AM207" i="2" s="1"/>
  <c r="BA210" i="2"/>
  <c r="BA209" i="2" s="1"/>
  <c r="BA213" i="2"/>
  <c r="AA216" i="2"/>
  <c r="BE221" i="2"/>
  <c r="AI221" i="2"/>
  <c r="BC221" i="2"/>
  <c r="AM222" i="2"/>
  <c r="BE223" i="2"/>
  <c r="AW225" i="2"/>
  <c r="AG232" i="2"/>
  <c r="AG231" i="2" s="1"/>
  <c r="AA236" i="2"/>
  <c r="AW248" i="2"/>
  <c r="AS253" i="2"/>
  <c r="AY258" i="2"/>
  <c r="AY269" i="2"/>
  <c r="AO273" i="2"/>
  <c r="BA293" i="2"/>
  <c r="BA292" i="2" s="1"/>
  <c r="BC300" i="2"/>
  <c r="AW309" i="2"/>
  <c r="AK351" i="2"/>
  <c r="AK350" i="2" s="1"/>
  <c r="BA358" i="2"/>
  <c r="BE364" i="2"/>
  <c r="AG364" i="2"/>
  <c r="AE364" i="2"/>
  <c r="AK364" i="2"/>
  <c r="AI364" i="2"/>
  <c r="AC364" i="2"/>
  <c r="BA364" i="2"/>
  <c r="AW364" i="2"/>
  <c r="AU364" i="2"/>
  <c r="AQ364" i="2"/>
  <c r="AQ363" i="2" s="1"/>
  <c r="AO364" i="2"/>
  <c r="AO363" i="2" s="1"/>
  <c r="AM364" i="2"/>
  <c r="AM363" i="2" s="1"/>
  <c r="U364" i="2"/>
  <c r="Y425" i="2"/>
  <c r="U384" i="1"/>
  <c r="AQ15" i="2"/>
  <c r="AQ14" i="2" s="1"/>
  <c r="AO17" i="2"/>
  <c r="BA18" i="2"/>
  <c r="AE25" i="2"/>
  <c r="AE23" i="2" s="1"/>
  <c r="BA29" i="2"/>
  <c r="AC32" i="2"/>
  <c r="AW34" i="2"/>
  <c r="BA36" i="2"/>
  <c r="AA39" i="2"/>
  <c r="AO41" i="2"/>
  <c r="AO40" i="2" s="1"/>
  <c r="Y48" i="2"/>
  <c r="BA49" i="2"/>
  <c r="AK54" i="2"/>
  <c r="BC55" i="2"/>
  <c r="W58" i="2"/>
  <c r="AK64" i="2"/>
  <c r="BC72" i="2"/>
  <c r="AW79" i="2"/>
  <c r="Y79" i="2"/>
  <c r="Y81" i="2"/>
  <c r="BE85" i="2"/>
  <c r="AG100" i="2"/>
  <c r="AS102" i="2"/>
  <c r="BA103" i="2"/>
  <c r="W105" i="2"/>
  <c r="AI106" i="2"/>
  <c r="AY107" i="2"/>
  <c r="AY112" i="2"/>
  <c r="AS136" i="2"/>
  <c r="AO138" i="2"/>
  <c r="AA141" i="2"/>
  <c r="AY142" i="2"/>
  <c r="BA144" i="2"/>
  <c r="AS147" i="2"/>
  <c r="AI149" i="2"/>
  <c r="AW152" i="2"/>
  <c r="AI162" i="2"/>
  <c r="AY163" i="2"/>
  <c r="AY167" i="2"/>
  <c r="AK184" i="2"/>
  <c r="AQ186" i="2"/>
  <c r="Y190" i="2"/>
  <c r="AG199" i="2"/>
  <c r="AG198" i="2" s="1"/>
  <c r="U208" i="2"/>
  <c r="U207" i="2" s="1"/>
  <c r="BC210" i="2"/>
  <c r="BC209" i="2" s="1"/>
  <c r="BC213" i="2"/>
  <c r="AC216" i="2"/>
  <c r="U221" i="2"/>
  <c r="AO222" i="2"/>
  <c r="BF223" i="2"/>
  <c r="AY225" i="2"/>
  <c r="AO232" i="2"/>
  <c r="AO231" i="2" s="1"/>
  <c r="AC236" i="2"/>
  <c r="AY248" i="2"/>
  <c r="AQ273" i="2"/>
  <c r="BE293" i="2"/>
  <c r="BE292" i="2" s="1"/>
  <c r="BA309" i="2"/>
  <c r="AS351" i="2"/>
  <c r="AS350" i="2" s="1"/>
  <c r="Y423" i="2"/>
  <c r="AO425" i="2"/>
  <c r="BC379" i="1"/>
  <c r="AG381" i="1"/>
  <c r="W390" i="1"/>
  <c r="W389" i="1" s="1"/>
  <c r="BA390" i="1"/>
  <c r="BA389" i="1" s="1"/>
  <c r="BC18" i="2"/>
  <c r="AA48" i="2"/>
  <c r="AO54" i="2"/>
  <c r="Y58" i="2"/>
  <c r="BC103" i="2"/>
  <c r="BA105" i="2"/>
  <c r="BC105" i="2"/>
  <c r="AA111" i="2"/>
  <c r="BA117" i="2"/>
  <c r="BE117" i="2"/>
  <c r="AC131" i="2"/>
  <c r="AU131" i="2"/>
  <c r="AW136" i="2"/>
  <c r="AE141" i="2"/>
  <c r="BC144" i="2"/>
  <c r="BC147" i="2"/>
  <c r="AM184" i="2"/>
  <c r="AW186" i="2"/>
  <c r="AA190" i="2"/>
  <c r="W208" i="2"/>
  <c r="W207" i="2" s="1"/>
  <c r="AG216" i="2"/>
  <c r="AQ232" i="2"/>
  <c r="AQ231" i="2" s="1"/>
  <c r="AI236" i="2"/>
  <c r="BE248" i="2"/>
  <c r="U270" i="2"/>
  <c r="Y270" i="2"/>
  <c r="AA270" i="2"/>
  <c r="BA270" i="2"/>
  <c r="AU270" i="2"/>
  <c r="AS273" i="2"/>
  <c r="BE281" i="2"/>
  <c r="BE279" i="2" s="1"/>
  <c r="AS281" i="2"/>
  <c r="AQ281" i="2"/>
  <c r="AK281" i="2"/>
  <c r="AI281" i="2"/>
  <c r="AW281" i="2"/>
  <c r="AG281" i="2"/>
  <c r="BE309" i="2"/>
  <c r="AU351" i="2"/>
  <c r="AU350" i="2" s="1"/>
  <c r="AG423" i="2"/>
  <c r="BE425" i="2"/>
  <c r="BF440" i="2"/>
  <c r="AW15" i="2"/>
  <c r="AW14" i="2" s="1"/>
  <c r="BE18" i="2"/>
  <c r="AK32" i="2"/>
  <c r="BC34" i="2"/>
  <c r="AG39" i="2"/>
  <c r="AQ48" i="2"/>
  <c r="AS54" i="2"/>
  <c r="AA58" i="2"/>
  <c r="AE81" i="2"/>
  <c r="U99" i="2"/>
  <c r="AW102" i="2"/>
  <c r="BE103" i="2"/>
  <c r="U105" i="2"/>
  <c r="AM106" i="2"/>
  <c r="AE111" i="2"/>
  <c r="BE112" i="2"/>
  <c r="U117" i="2"/>
  <c r="AC140" i="2"/>
  <c r="Y140" i="2"/>
  <c r="AG141" i="2"/>
  <c r="BC142" i="2"/>
  <c r="BE147" i="2"/>
  <c r="AQ149" i="2"/>
  <c r="AM162" i="2"/>
  <c r="BC163" i="2"/>
  <c r="W166" i="2"/>
  <c r="BC167" i="2"/>
  <c r="AO184" i="2"/>
  <c r="AY186" i="2"/>
  <c r="AC190" i="2"/>
  <c r="AO199" i="2"/>
  <c r="AO198" i="2" s="1"/>
  <c r="AI216" i="2"/>
  <c r="AS222" i="2"/>
  <c r="AU232" i="2"/>
  <c r="AU231" i="2" s="1"/>
  <c r="AC270" i="2"/>
  <c r="AU273" i="2"/>
  <c r="U281" i="2"/>
  <c r="BA351" i="2"/>
  <c r="BA350" i="2" s="1"/>
  <c r="BC392" i="2"/>
  <c r="BE392" i="2"/>
  <c r="AY392" i="2"/>
  <c r="AW392" i="2"/>
  <c r="AS392" i="2"/>
  <c r="AQ392" i="2"/>
  <c r="AO392" i="2"/>
  <c r="BA392" i="2"/>
  <c r="AM392" i="2"/>
  <c r="AI392" i="2"/>
  <c r="AK423" i="2"/>
  <c r="AC353" i="1"/>
  <c r="AY390" i="1"/>
  <c r="AY389" i="1" s="1"/>
  <c r="AY15" i="2"/>
  <c r="AY14" i="2" s="1"/>
  <c r="AU48" i="2"/>
  <c r="AU54" i="2"/>
  <c r="AC58" i="2"/>
  <c r="AG81" i="2"/>
  <c r="Y99" i="2"/>
  <c r="AY102" i="2"/>
  <c r="Y105" i="2"/>
  <c r="AM111" i="2"/>
  <c r="W117" i="2"/>
  <c r="AU126" i="2"/>
  <c r="Y131" i="2"/>
  <c r="AI141" i="2"/>
  <c r="AS149" i="2"/>
  <c r="AO162" i="2"/>
  <c r="BE167" i="2"/>
  <c r="AE190" i="2"/>
  <c r="BC227" i="2"/>
  <c r="AA227" i="2"/>
  <c r="BE249" i="2"/>
  <c r="AS249" i="2"/>
  <c r="AO249" i="2"/>
  <c r="AK249" i="2"/>
  <c r="AI249" i="2"/>
  <c r="AO264" i="2"/>
  <c r="AM264" i="2"/>
  <c r="BE310" i="2"/>
  <c r="AA310" i="2"/>
  <c r="Y310" i="2"/>
  <c r="U310" i="2"/>
  <c r="BA310" i="2"/>
  <c r="AO423" i="2"/>
  <c r="BA15" i="2"/>
  <c r="BA14" i="2" s="1"/>
  <c r="AW48" i="2"/>
  <c r="AW54" i="2"/>
  <c r="AG58" i="2"/>
  <c r="AI81" i="2"/>
  <c r="AA99" i="2"/>
  <c r="AA105" i="2"/>
  <c r="AO111" i="2"/>
  <c r="Y117" i="2"/>
  <c r="AW126" i="2"/>
  <c r="AA131" i="2"/>
  <c r="W140" i="2"/>
  <c r="AS141" i="2"/>
  <c r="AU149" i="2"/>
  <c r="AQ162" i="2"/>
  <c r="U166" i="2"/>
  <c r="AW184" i="2"/>
  <c r="AG190" i="2"/>
  <c r="AS199" i="2"/>
  <c r="AS198" i="2" s="1"/>
  <c r="Y212" i="2"/>
  <c r="AO216" i="2"/>
  <c r="AY222" i="2"/>
  <c r="U227" i="2"/>
  <c r="BE232" i="2"/>
  <c r="BE231" i="2" s="1"/>
  <c r="BE245" i="2"/>
  <c r="BA245" i="2"/>
  <c r="AW245" i="2"/>
  <c r="AC249" i="2"/>
  <c r="U264" i="2"/>
  <c r="AG270" i="2"/>
  <c r="AY273" i="2"/>
  <c r="AO281" i="2"/>
  <c r="AK310" i="2"/>
  <c r="AI312" i="2"/>
  <c r="AE312" i="2"/>
  <c r="AC312" i="2"/>
  <c r="Y312" i="2"/>
  <c r="BA312" i="2"/>
  <c r="BC312" i="2"/>
  <c r="AY312" i="2"/>
  <c r="AS312" i="2"/>
  <c r="AM312" i="2"/>
  <c r="BC338" i="2"/>
  <c r="AW338" i="2"/>
  <c r="AU338" i="2"/>
  <c r="AE343" i="2"/>
  <c r="AA343" i="2"/>
  <c r="Y343" i="2"/>
  <c r="U343" i="2"/>
  <c r="AC392" i="2"/>
  <c r="AS423" i="2"/>
  <c r="AG13" i="2"/>
  <c r="AG12" i="2" s="1"/>
  <c r="BC15" i="2"/>
  <c r="BC14" i="2" s="1"/>
  <c r="BA17" i="2"/>
  <c r="AU28" i="2"/>
  <c r="BC32" i="2"/>
  <c r="AS39" i="2"/>
  <c r="BA48" i="2"/>
  <c r="AG51" i="2"/>
  <c r="AY54" i="2"/>
  <c r="AK58" i="2"/>
  <c r="W65" i="2"/>
  <c r="AG79" i="2"/>
  <c r="AM81" i="2"/>
  <c r="AM86" i="2"/>
  <c r="AC99" i="2"/>
  <c r="BC102" i="2"/>
  <c r="AC105" i="2"/>
  <c r="AS106" i="2"/>
  <c r="AQ111" i="2"/>
  <c r="AE117" i="2"/>
  <c r="AM120" i="2"/>
  <c r="AY126" i="2"/>
  <c r="AI131" i="2"/>
  <c r="AY138" i="2"/>
  <c r="AA140" i="2"/>
  <c r="AU141" i="2"/>
  <c r="AQ145" i="2"/>
  <c r="AW149" i="2"/>
  <c r="AQ155" i="2"/>
  <c r="AS162" i="2"/>
  <c r="AC164" i="2"/>
  <c r="AY164" i="2"/>
  <c r="AA166" i="2"/>
  <c r="U171" i="2"/>
  <c r="AY184" i="2"/>
  <c r="AI190" i="2"/>
  <c r="AI189" i="2" s="1"/>
  <c r="AW195" i="2"/>
  <c r="AW194" i="2" s="1"/>
  <c r="AU199" i="2"/>
  <c r="AU198" i="2" s="1"/>
  <c r="BE205" i="2"/>
  <c r="BE204" i="2" s="1"/>
  <c r="BE203" i="2" s="1"/>
  <c r="AC205" i="2"/>
  <c r="AC204" i="2" s="1"/>
  <c r="AC203" i="2" s="1"/>
  <c r="AE208" i="2"/>
  <c r="AE207" i="2" s="1"/>
  <c r="AA212" i="2"/>
  <c r="AW216" i="2"/>
  <c r="AG221" i="2"/>
  <c r="BA222" i="2"/>
  <c r="Y227" i="2"/>
  <c r="BF232" i="2"/>
  <c r="BE237" i="2"/>
  <c r="AM237" i="2"/>
  <c r="AK245" i="2"/>
  <c r="AM249" i="2"/>
  <c r="AA264" i="2"/>
  <c r="AI270" i="2"/>
  <c r="BA273" i="2"/>
  <c r="AU281" i="2"/>
  <c r="AQ297" i="2"/>
  <c r="AQ296" i="2" s="1"/>
  <c r="AC297" i="2"/>
  <c r="AC296" i="2" s="1"/>
  <c r="AA297" i="2"/>
  <c r="AA296" i="2" s="1"/>
  <c r="AM310" i="2"/>
  <c r="U312" i="2"/>
  <c r="AI343" i="2"/>
  <c r="AG392" i="2"/>
  <c r="BE28" i="2"/>
  <c r="BE27" i="2" s="1"/>
  <c r="BE48" i="2"/>
  <c r="AK51" i="2"/>
  <c r="BA54" i="2"/>
  <c r="AC56" i="2"/>
  <c r="AO58" i="2"/>
  <c r="AQ81" i="2"/>
  <c r="AE99" i="2"/>
  <c r="BE102" i="2"/>
  <c r="AE105" i="2"/>
  <c r="AU106" i="2"/>
  <c r="AS111" i="2"/>
  <c r="AG117" i="2"/>
  <c r="AO120" i="2"/>
  <c r="AK131" i="2"/>
  <c r="Y137" i="2"/>
  <c r="BE138" i="2"/>
  <c r="AE140" i="2"/>
  <c r="AW141" i="2"/>
  <c r="BA145" i="2"/>
  <c r="AY149" i="2"/>
  <c r="AU162" i="2"/>
  <c r="AO166" i="2"/>
  <c r="AA171" i="2"/>
  <c r="BC184" i="2"/>
  <c r="AK190" i="2"/>
  <c r="AC212" i="2"/>
  <c r="BA216" i="2"/>
  <c r="BC222" i="2"/>
  <c r="AM227" i="2"/>
  <c r="AO243" i="2"/>
  <c r="Y243" i="2"/>
  <c r="AO245" i="2"/>
  <c r="AW249" i="2"/>
  <c r="BF254" i="2"/>
  <c r="AK270" i="2"/>
  <c r="BC273" i="2"/>
  <c r="AY281" i="2"/>
  <c r="AO310" i="2"/>
  <c r="AM381" i="1"/>
  <c r="AK13" i="2"/>
  <c r="AK12" i="2" s="1"/>
  <c r="BE17" i="2"/>
  <c r="AU37" i="2"/>
  <c r="AY39" i="2"/>
  <c r="AM51" i="2"/>
  <c r="BE54" i="2"/>
  <c r="AG56" i="2"/>
  <c r="AS58" i="2"/>
  <c r="AS65" i="2"/>
  <c r="AU71" i="2"/>
  <c r="U75" i="2"/>
  <c r="U74" i="2" s="1"/>
  <c r="U73" i="2" s="1"/>
  <c r="AM79" i="2"/>
  <c r="AW81" i="2"/>
  <c r="AS86" i="2"/>
  <c r="AY95" i="2"/>
  <c r="AG99" i="2"/>
  <c r="AU100" i="2"/>
  <c r="W104" i="2"/>
  <c r="AG105" i="2"/>
  <c r="AW106" i="2"/>
  <c r="AU111" i="2"/>
  <c r="AI117" i="2"/>
  <c r="AS120" i="2"/>
  <c r="Y125" i="2"/>
  <c r="AM131" i="2"/>
  <c r="AK137" i="2"/>
  <c r="AG140" i="2"/>
  <c r="BC141" i="2"/>
  <c r="BC145" i="2"/>
  <c r="BA149" i="2"/>
  <c r="BE155" i="2"/>
  <c r="AW162" i="2"/>
  <c r="AA164" i="2"/>
  <c r="AQ166" i="2"/>
  <c r="Y168" i="2"/>
  <c r="AE171" i="2"/>
  <c r="Y176" i="2"/>
  <c r="U187" i="2"/>
  <c r="AM190" i="2"/>
  <c r="AA202" i="2"/>
  <c r="AG202" i="2"/>
  <c r="AI208" i="2"/>
  <c r="AI207" i="2" s="1"/>
  <c r="AG212" i="2"/>
  <c r="BE216" i="2"/>
  <c r="AM221" i="2"/>
  <c r="BE222" i="2"/>
  <c r="AQ227" i="2"/>
  <c r="U243" i="2"/>
  <c r="AQ245" i="2"/>
  <c r="AY249" i="2"/>
  <c r="AM270" i="2"/>
  <c r="BA281" i="2"/>
  <c r="Y297" i="2"/>
  <c r="Y296" i="2" s="1"/>
  <c r="AQ310" i="2"/>
  <c r="AK312" i="2"/>
  <c r="AE338" i="2"/>
  <c r="BE431" i="2"/>
  <c r="BC431" i="2"/>
  <c r="AQ431" i="2"/>
  <c r="AG431" i="2"/>
  <c r="U431" i="2"/>
  <c r="AO13" i="2"/>
  <c r="AO12" i="2" s="1"/>
  <c r="BA39" i="2"/>
  <c r="AU58" i="2"/>
  <c r="AW65" i="2"/>
  <c r="AA75" i="2"/>
  <c r="AA74" i="2" s="1"/>
  <c r="AA73" i="2" s="1"/>
  <c r="BA81" i="2"/>
  <c r="W96" i="2"/>
  <c r="AI99" i="2"/>
  <c r="W103" i="2"/>
  <c r="Y104" i="2"/>
  <c r="AI105" i="2"/>
  <c r="BE106" i="2"/>
  <c r="AW111" i="2"/>
  <c r="AM117" i="2"/>
  <c r="AQ131" i="2"/>
  <c r="AM137" i="2"/>
  <c r="AI140" i="2"/>
  <c r="BE145" i="2"/>
  <c r="BC149" i="2"/>
  <c r="W156" i="2"/>
  <c r="AY162" i="2"/>
  <c r="AE164" i="2"/>
  <c r="AS166" i="2"/>
  <c r="AG168" i="2"/>
  <c r="AM171" i="2"/>
  <c r="Y187" i="2"/>
  <c r="AO190" i="2"/>
  <c r="AS212" i="2"/>
  <c r="AO221" i="2"/>
  <c r="BE227" i="2"/>
  <c r="AY245" i="2"/>
  <c r="AO270" i="2"/>
  <c r="BC281" i="2"/>
  <c r="AK297" i="2"/>
  <c r="AK296" i="2" s="1"/>
  <c r="AS310" i="2"/>
  <c r="AO312" i="2"/>
  <c r="AI338" i="2"/>
  <c r="AU343" i="2"/>
  <c r="Y431" i="2"/>
  <c r="AY467" i="2"/>
  <c r="AW467" i="2"/>
  <c r="AS467" i="2"/>
  <c r="BC497" i="2"/>
  <c r="AU497" i="2"/>
  <c r="AS497" i="2"/>
  <c r="AQ497" i="2"/>
  <c r="AO497" i="2"/>
  <c r="AK497" i="2"/>
  <c r="AW497" i="2"/>
  <c r="AM497" i="2"/>
  <c r="AI497" i="2"/>
  <c r="AG497" i="2"/>
  <c r="AE497" i="2"/>
  <c r="AC497" i="2"/>
  <c r="BE512" i="2"/>
  <c r="BC512" i="2"/>
  <c r="AY512" i="2"/>
  <c r="AU512" i="2"/>
  <c r="AQ512" i="2"/>
  <c r="AS512" i="2"/>
  <c r="BE521" i="2"/>
  <c r="AK521" i="2"/>
  <c r="AI521" i="2"/>
  <c r="AG521" i="2"/>
  <c r="AE521" i="2"/>
  <c r="AC521" i="2"/>
  <c r="Y521" i="2"/>
  <c r="BE529" i="2"/>
  <c r="AY529" i="2"/>
  <c r="AG467" i="2"/>
  <c r="Y497" i="2"/>
  <c r="Y512" i="2"/>
  <c r="U521" i="2"/>
  <c r="U529" i="2"/>
  <c r="AK467" i="2"/>
  <c r="BE475" i="2"/>
  <c r="BC475" i="2"/>
  <c r="AW475" i="2"/>
  <c r="AA497" i="2"/>
  <c r="AA512" i="2"/>
  <c r="AM521" i="2"/>
  <c r="AQ529" i="2"/>
  <c r="AI447" i="2"/>
  <c r="BE447" i="2"/>
  <c r="BC447" i="2"/>
  <c r="AY447" i="2"/>
  <c r="AU447" i="2"/>
  <c r="AS447" i="2"/>
  <c r="AQ447" i="2"/>
  <c r="AO447" i="2"/>
  <c r="AM447" i="2"/>
  <c r="AK447" i="2"/>
  <c r="AU456" i="2"/>
  <c r="AS456" i="2"/>
  <c r="AE456" i="2"/>
  <c r="AC456" i="2"/>
  <c r="AW456" i="2"/>
  <c r="U456" i="2"/>
  <c r="AK475" i="2"/>
  <c r="AY497" i="2"/>
  <c r="AE512" i="2"/>
  <c r="AS515" i="2"/>
  <c r="AM515" i="2"/>
  <c r="BC515" i="2"/>
  <c r="AY515" i="2"/>
  <c r="AO521" i="2"/>
  <c r="BA529" i="2"/>
  <c r="AM475" i="2"/>
  <c r="BE497" i="2"/>
  <c r="AG512" i="2"/>
  <c r="AQ515" i="2"/>
  <c r="AQ521" i="2"/>
  <c r="BE527" i="2"/>
  <c r="AY527" i="2"/>
  <c r="AW527" i="2"/>
  <c r="AU527" i="2"/>
  <c r="AS527" i="2"/>
  <c r="AO527" i="2"/>
  <c r="BA527" i="2"/>
  <c r="AQ527" i="2"/>
  <c r="U348" i="2"/>
  <c r="AU348" i="2"/>
  <c r="AS348" i="2"/>
  <c r="AQ348" i="2"/>
  <c r="AO348" i="2"/>
  <c r="AM348" i="2"/>
  <c r="AE429" i="2"/>
  <c r="AC429" i="2"/>
  <c r="U432" i="2"/>
  <c r="BC456" i="2"/>
  <c r="AU463" i="2"/>
  <c r="BA463" i="2"/>
  <c r="AY463" i="2"/>
  <c r="AW463" i="2"/>
  <c r="AA471" i="2"/>
  <c r="BE471" i="2"/>
  <c r="AG471" i="2"/>
  <c r="AC471" i="2"/>
  <c r="BA475" i="2"/>
  <c r="AI512" i="2"/>
  <c r="AU515" i="2"/>
  <c r="AA527" i="2"/>
  <c r="AK512" i="2"/>
  <c r="AW515" i="2"/>
  <c r="BC522" i="2"/>
  <c r="AO522" i="2"/>
  <c r="AI522" i="2"/>
  <c r="AG522" i="2"/>
  <c r="AE522" i="2"/>
  <c r="AC522" i="2"/>
  <c r="Y522" i="2"/>
  <c r="AQ522" i="2"/>
  <c r="AA522" i="2"/>
  <c r="AC527" i="2"/>
  <c r="V448" i="2"/>
  <c r="W448" i="2" s="1"/>
  <c r="V416" i="2"/>
  <c r="W416" i="2" s="1"/>
  <c r="V270" i="2"/>
  <c r="R311" i="1" s="1"/>
  <c r="S311" i="1" s="1"/>
  <c r="V441" i="2"/>
  <c r="AC369" i="2"/>
  <c r="BE369" i="2"/>
  <c r="BE368" i="2" s="1"/>
  <c r="AM369" i="2"/>
  <c r="AM368" i="2" s="1"/>
  <c r="BA433" i="2"/>
  <c r="AS433" i="2"/>
  <c r="AQ433" i="2"/>
  <c r="AO433" i="2"/>
  <c r="AM433" i="2"/>
  <c r="AE447" i="2"/>
  <c r="AM512" i="2"/>
  <c r="AE527" i="2"/>
  <c r="U533" i="2"/>
  <c r="BE533" i="2"/>
  <c r="BC533" i="2"/>
  <c r="AY533" i="2"/>
  <c r="Y533" i="2"/>
  <c r="AI311" i="2"/>
  <c r="U311" i="2"/>
  <c r="AS311" i="2"/>
  <c r="AS316" i="2"/>
  <c r="BA329" i="2"/>
  <c r="BA328" i="2" s="1"/>
  <c r="AW329" i="2"/>
  <c r="AW328" i="2" s="1"/>
  <c r="BE359" i="2"/>
  <c r="BC359" i="2"/>
  <c r="BA359" i="2"/>
  <c r="Y369" i="2"/>
  <c r="U433" i="2"/>
  <c r="AG447" i="2"/>
  <c r="BC461" i="2"/>
  <c r="AY461" i="2"/>
  <c r="AW461" i="2"/>
  <c r="AU461" i="2"/>
  <c r="AS461" i="2"/>
  <c r="AO461" i="2"/>
  <c r="BE461" i="2"/>
  <c r="BA461" i="2"/>
  <c r="AO512" i="2"/>
  <c r="AM522" i="2"/>
  <c r="AG527" i="2"/>
  <c r="BE464" i="2"/>
  <c r="BC464" i="2"/>
  <c r="BA464" i="2"/>
  <c r="AS464" i="2"/>
  <c r="AQ464" i="2"/>
  <c r="AE464" i="2"/>
  <c r="BE501" i="2"/>
  <c r="BC501" i="2"/>
  <c r="AY501" i="2"/>
  <c r="AW501" i="2"/>
  <c r="AS501" i="2"/>
  <c r="AG501" i="2"/>
  <c r="BE388" i="2"/>
  <c r="BA388" i="2"/>
  <c r="AW388" i="2"/>
  <c r="AI388" i="2"/>
  <c r="AG388" i="2"/>
  <c r="AE388" i="2"/>
  <c r="AY413" i="2"/>
  <c r="AU413" i="2"/>
  <c r="AS413" i="2"/>
  <c r="AO413" i="2"/>
  <c r="AG413" i="2"/>
  <c r="Y433" i="2"/>
  <c r="U458" i="2"/>
  <c r="AA464" i="2"/>
  <c r="V495" i="2"/>
  <c r="BF495" i="2" s="1"/>
  <c r="AM501" i="2"/>
  <c r="U507" i="2"/>
  <c r="AU522" i="2"/>
  <c r="AG369" i="2"/>
  <c r="AG368" i="2" s="1"/>
  <c r="AQ381" i="2"/>
  <c r="Y381" i="2"/>
  <c r="AI418" i="2"/>
  <c r="BC418" i="2"/>
  <c r="BA418" i="2"/>
  <c r="AY418" i="2"/>
  <c r="AS418" i="2"/>
  <c r="AQ418" i="2"/>
  <c r="AO418" i="2"/>
  <c r="AM418" i="2"/>
  <c r="AK418" i="2"/>
  <c r="BA427" i="2"/>
  <c r="AS427" i="2"/>
  <c r="AQ427" i="2"/>
  <c r="AO427" i="2"/>
  <c r="U427" i="2"/>
  <c r="AI448" i="2"/>
  <c r="AM448" i="2"/>
  <c r="AA448" i="2"/>
  <c r="U448" i="2"/>
  <c r="AG461" i="2"/>
  <c r="V465" i="2"/>
  <c r="R119" i="1" s="1"/>
  <c r="BB119" i="1" s="1"/>
  <c r="BD119" i="1" s="1"/>
  <c r="AO501" i="2"/>
  <c r="AW522" i="2"/>
  <c r="AG271" i="2"/>
  <c r="AE271" i="2"/>
  <c r="AE311" i="2"/>
  <c r="AQ329" i="2"/>
  <c r="AQ328" i="2" s="1"/>
  <c r="BE345" i="2"/>
  <c r="AW345" i="2"/>
  <c r="AU345" i="2"/>
  <c r="AM345" i="2"/>
  <c r="AK345" i="2"/>
  <c r="AI345" i="2"/>
  <c r="AW348" i="2"/>
  <c r="AE359" i="2"/>
  <c r="AI369" i="2"/>
  <c r="AI368" i="2" s="1"/>
  <c r="AI381" i="2"/>
  <c r="AC388" i="2"/>
  <c r="BE398" i="2"/>
  <c r="BA398" i="2"/>
  <c r="AW398" i="2"/>
  <c r="AU398" i="2"/>
  <c r="AS398" i="2"/>
  <c r="AQ398" i="2"/>
  <c r="AK398" i="2"/>
  <c r="AC413" i="2"/>
  <c r="U416" i="2"/>
  <c r="Y418" i="2"/>
  <c r="Y427" i="2"/>
  <c r="AC433" i="2"/>
  <c r="Y448" i="2"/>
  <c r="AA458" i="2"/>
  <c r="AK461" i="2"/>
  <c r="AY465" i="2"/>
  <c r="AM465" i="2"/>
  <c r="AG465" i="2"/>
  <c r="AA465" i="2"/>
  <c r="BA484" i="2"/>
  <c r="AY484" i="2"/>
  <c r="AG484" i="2"/>
  <c r="U484" i="2"/>
  <c r="AA484" i="2"/>
  <c r="AQ501" i="2"/>
  <c r="AY522" i="2"/>
  <c r="AK369" i="2"/>
  <c r="BC374" i="2"/>
  <c r="BC373" i="2" s="1"/>
  <c r="AS374" i="2"/>
  <c r="AS373" i="2" s="1"/>
  <c r="AQ374" i="2"/>
  <c r="AQ373" i="2" s="1"/>
  <c r="AO381" i="2"/>
  <c r="AE413" i="2"/>
  <c r="Y416" i="2"/>
  <c r="AA418" i="2"/>
  <c r="AA427" i="2"/>
  <c r="AI442" i="2"/>
  <c r="AA442" i="2"/>
  <c r="AW442" i="2"/>
  <c r="AU442" i="2"/>
  <c r="AS442" i="2"/>
  <c r="AQ442" i="2"/>
  <c r="AO442" i="2"/>
  <c r="AM442" i="2"/>
  <c r="BE442" i="2"/>
  <c r="AG448" i="2"/>
  <c r="AE458" i="2"/>
  <c r="AM461" i="2"/>
  <c r="U465" i="2"/>
  <c r="AI473" i="2"/>
  <c r="BA473" i="2"/>
  <c r="AU473" i="2"/>
  <c r="AS473" i="2"/>
  <c r="AQ473" i="2"/>
  <c r="AM473" i="2"/>
  <c r="AG473" i="2"/>
  <c r="BE473" i="2"/>
  <c r="BC473" i="2"/>
  <c r="AY473" i="2"/>
  <c r="AW473" i="2"/>
  <c r="AK473" i="2"/>
  <c r="AY487" i="2"/>
  <c r="AW487" i="2"/>
  <c r="AS487" i="2"/>
  <c r="AQ487" i="2"/>
  <c r="AM487" i="2"/>
  <c r="BE487" i="2"/>
  <c r="BC487" i="2"/>
  <c r="AO487" i="2"/>
  <c r="AO489" i="2"/>
  <c r="AG489" i="2"/>
  <c r="AE489" i="2"/>
  <c r="AA489" i="2"/>
  <c r="U489" i="2"/>
  <c r="BE489" i="2"/>
  <c r="BC489" i="2"/>
  <c r="AW489" i="2"/>
  <c r="AU489" i="2"/>
  <c r="AS489" i="2"/>
  <c r="AU501" i="2"/>
  <c r="BA522" i="2"/>
  <c r="AO369" i="2"/>
  <c r="Y374" i="2"/>
  <c r="Y373" i="2" s="1"/>
  <c r="BA381" i="2"/>
  <c r="AM411" i="2"/>
  <c r="AA411" i="2"/>
  <c r="AK413" i="2"/>
  <c r="AC416" i="2"/>
  <c r="AC418" i="2"/>
  <c r="AC427" i="2"/>
  <c r="BC433" i="2"/>
  <c r="Y442" i="2"/>
  <c r="AK448" i="2"/>
  <c r="BE451" i="2"/>
  <c r="BC451" i="2"/>
  <c r="AW451" i="2"/>
  <c r="AS451" i="2"/>
  <c r="AO451" i="2"/>
  <c r="AG458" i="2"/>
  <c r="AQ461" i="2"/>
  <c r="AE465" i="2"/>
  <c r="U473" i="2"/>
  <c r="Y485" i="2"/>
  <c r="BE485" i="2"/>
  <c r="BC485" i="2"/>
  <c r="AW485" i="2"/>
  <c r="AU485" i="2"/>
  <c r="U485" i="2"/>
  <c r="Y487" i="2"/>
  <c r="AI489" i="2"/>
  <c r="BA496" i="2"/>
  <c r="AO496" i="2"/>
  <c r="AI496" i="2"/>
  <c r="AG496" i="2"/>
  <c r="AE496" i="2"/>
  <c r="AC496" i="2"/>
  <c r="Y496" i="2"/>
  <c r="AS496" i="2"/>
  <c r="AK496" i="2"/>
  <c r="U496" i="2"/>
  <c r="BE522" i="2"/>
  <c r="BF325" i="2"/>
  <c r="BC348" i="2"/>
  <c r="AS359" i="2"/>
  <c r="AQ369" i="2"/>
  <c r="AA374" i="2"/>
  <c r="AA373" i="2" s="1"/>
  <c r="BE389" i="2"/>
  <c r="BA389" i="2"/>
  <c r="AS389" i="2"/>
  <c r="Y398" i="2"/>
  <c r="AM413" i="2"/>
  <c r="AE416" i="2"/>
  <c r="AE418" i="2"/>
  <c r="AE427" i="2"/>
  <c r="BE433" i="2"/>
  <c r="AC442" i="2"/>
  <c r="AO448" i="2"/>
  <c r="AM458" i="2"/>
  <c r="AK465" i="2"/>
  <c r="Y473" i="2"/>
  <c r="AI546" i="2"/>
  <c r="BE546" i="2"/>
  <c r="W94" i="4" s="1"/>
  <c r="AY546" i="2"/>
  <c r="T94" i="4" s="1"/>
  <c r="AW546" i="2"/>
  <c r="AW545" i="2" s="1"/>
  <c r="AW544" i="2" s="1"/>
  <c r="AW543" i="2" s="1"/>
  <c r="AU546" i="2"/>
  <c r="AU545" i="2" s="1"/>
  <c r="AU544" i="2" s="1"/>
  <c r="AU543" i="2" s="1"/>
  <c r="AS546" i="2"/>
  <c r="AS545" i="2" s="1"/>
  <c r="AS544" i="2" s="1"/>
  <c r="AS543" i="2" s="1"/>
  <c r="AO546" i="2"/>
  <c r="BC546" i="2"/>
  <c r="BC545" i="2" s="1"/>
  <c r="BC544" i="2" s="1"/>
  <c r="BC543" i="2" s="1"/>
  <c r="BA546" i="2"/>
  <c r="U94" i="4" s="1"/>
  <c r="AQ546" i="2"/>
  <c r="AM546" i="2"/>
  <c r="AK546" i="2"/>
  <c r="AG546" i="2"/>
  <c r="K94" i="4" s="1"/>
  <c r="AS369" i="2"/>
  <c r="AS368" i="2" s="1"/>
  <c r="AC374" i="2"/>
  <c r="AC373" i="2" s="1"/>
  <c r="AQ413" i="2"/>
  <c r="AK416" i="2"/>
  <c r="AG418" i="2"/>
  <c r="AU427" i="2"/>
  <c r="AE442" i="2"/>
  <c r="AQ448" i="2"/>
  <c r="AO458" i="2"/>
  <c r="AW465" i="2"/>
  <c r="AA473" i="2"/>
  <c r="V479" i="2"/>
  <c r="R133" i="1" s="1"/>
  <c r="BB133" i="1" s="1"/>
  <c r="BE133" i="1" s="1"/>
  <c r="AC487" i="2"/>
  <c r="V499" i="2"/>
  <c r="R153" i="1" s="1"/>
  <c r="S153" i="1" s="1"/>
  <c r="BC153" i="1" s="1"/>
  <c r="BC502" i="2"/>
  <c r="BE523" i="2"/>
  <c r="BA523" i="2"/>
  <c r="AY523" i="2"/>
  <c r="AU523" i="2"/>
  <c r="AW523" i="2"/>
  <c r="AS523" i="2"/>
  <c r="AQ523" i="2"/>
  <c r="AM523" i="2"/>
  <c r="AI523" i="2"/>
  <c r="AG523" i="2"/>
  <c r="BE539" i="2"/>
  <c r="AY539" i="2"/>
  <c r="AW539" i="2"/>
  <c r="AU539" i="2"/>
  <c r="AQ539" i="2"/>
  <c r="AK539" i="2"/>
  <c r="AO539" i="2"/>
  <c r="AI539" i="2"/>
  <c r="U546" i="2"/>
  <c r="C30" i="7" s="1"/>
  <c r="D30" i="7" s="1"/>
  <c r="E30" i="7" s="1"/>
  <c r="AU311" i="2"/>
  <c r="BA354" i="2"/>
  <c r="AY354" i="2"/>
  <c r="AY352" i="2" s="1"/>
  <c r="AW354" i="2"/>
  <c r="AU354" i="2"/>
  <c r="AS354" i="2"/>
  <c r="AU369" i="2"/>
  <c r="AE374" i="2"/>
  <c r="AE373" i="2" s="1"/>
  <c r="AQ389" i="2"/>
  <c r="BE394" i="2"/>
  <c r="BC394" i="2"/>
  <c r="BA394" i="2"/>
  <c r="AY394" i="2"/>
  <c r="AW394" i="2"/>
  <c r="AU394" i="2"/>
  <c r="AE398" i="2"/>
  <c r="AG411" i="2"/>
  <c r="BA413" i="2"/>
  <c r="AM416" i="2"/>
  <c r="AU418" i="2"/>
  <c r="AW427" i="2"/>
  <c r="AG442" i="2"/>
  <c r="V445" i="2"/>
  <c r="R99" i="1" s="1"/>
  <c r="BB99" i="1" s="1"/>
  <c r="AS448" i="2"/>
  <c r="AC451" i="2"/>
  <c r="AE473" i="2"/>
  <c r="AE485" i="2"/>
  <c r="AG487" i="2"/>
  <c r="AQ496" i="2"/>
  <c r="AE523" i="2"/>
  <c r="Y539" i="2"/>
  <c r="Y546" i="2"/>
  <c r="G94" i="4" s="1"/>
  <c r="AE331" i="2"/>
  <c r="AE330" i="2" s="1"/>
  <c r="AC331" i="2"/>
  <c r="AC330" i="2" s="1"/>
  <c r="AW369" i="2"/>
  <c r="AG374" i="2"/>
  <c r="AG373" i="2" s="1"/>
  <c r="AM383" i="2"/>
  <c r="AE383" i="2"/>
  <c r="AC383" i="2"/>
  <c r="AA383" i="2"/>
  <c r="Y383" i="2"/>
  <c r="AG398" i="2"/>
  <c r="V406" i="2"/>
  <c r="AO411" i="2"/>
  <c r="BC413" i="2"/>
  <c r="AO416" i="2"/>
  <c r="AW418" i="2"/>
  <c r="BC427" i="2"/>
  <c r="AK442" i="2"/>
  <c r="BC445" i="2"/>
  <c r="AU445" i="2"/>
  <c r="AS445" i="2"/>
  <c r="AQ445" i="2"/>
  <c r="AO445" i="2"/>
  <c r="AM445" i="2"/>
  <c r="AC445" i="2"/>
  <c r="AU448" i="2"/>
  <c r="AG451" i="2"/>
  <c r="AG485" i="2"/>
  <c r="AI487" i="2"/>
  <c r="AU496" i="2"/>
  <c r="AW503" i="2"/>
  <c r="AU503" i="2"/>
  <c r="AO503" i="2"/>
  <c r="AM503" i="2"/>
  <c r="Y503" i="2"/>
  <c r="BA539" i="2"/>
  <c r="AA546" i="2"/>
  <c r="H94" i="4" s="1"/>
  <c r="AW215" i="2"/>
  <c r="BE215" i="2"/>
  <c r="AG224" i="2"/>
  <c r="AW224" i="2"/>
  <c r="AQ224" i="2"/>
  <c r="AY311" i="2"/>
  <c r="AC347" i="2"/>
  <c r="AI347" i="2"/>
  <c r="AU347" i="2"/>
  <c r="Y354" i="2"/>
  <c r="BE357" i="2"/>
  <c r="BC357" i="2"/>
  <c r="AW357" i="2"/>
  <c r="AS357" i="2"/>
  <c r="AO357" i="2"/>
  <c r="AI357" i="2"/>
  <c r="AG357" i="2"/>
  <c r="AW365" i="2"/>
  <c r="AI365" i="2"/>
  <c r="AY369" i="2"/>
  <c r="AO374" i="2"/>
  <c r="AO373" i="2" s="1"/>
  <c r="AQ383" i="2"/>
  <c r="AE394" i="2"/>
  <c r="AI398" i="2"/>
  <c r="AQ411" i="2"/>
  <c r="AQ416" i="2"/>
  <c r="BE418" i="2"/>
  <c r="BE427" i="2"/>
  <c r="AY442" i="2"/>
  <c r="AW448" i="2"/>
  <c r="AQ451" i="2"/>
  <c r="AY474" i="2"/>
  <c r="AU474" i="2"/>
  <c r="AI485" i="2"/>
  <c r="AK487" i="2"/>
  <c r="V491" i="2"/>
  <c r="R145" i="1" s="1"/>
  <c r="S145" i="1" s="1"/>
  <c r="BC145" i="1" s="1"/>
  <c r="AW496" i="2"/>
  <c r="AY524" i="2"/>
  <c r="BA524" i="2"/>
  <c r="BC539" i="2"/>
  <c r="AE546" i="2"/>
  <c r="BA369" i="2"/>
  <c r="BA368" i="2" s="1"/>
  <c r="AI414" i="2"/>
  <c r="AO414" i="2"/>
  <c r="AM414" i="2"/>
  <c r="AK414" i="2"/>
  <c r="AG414" i="2"/>
  <c r="AE414" i="2"/>
  <c r="BA414" i="2"/>
  <c r="BA442" i="2"/>
  <c r="AY448" i="2"/>
  <c r="AM474" i="2"/>
  <c r="BE504" i="2"/>
  <c r="AY504" i="2"/>
  <c r="AS524" i="2"/>
  <c r="BE524" i="2"/>
  <c r="V419" i="2"/>
  <c r="V434" i="2"/>
  <c r="AM441" i="2"/>
  <c r="V484" i="2"/>
  <c r="R138" i="1" s="1"/>
  <c r="S138" i="1" s="1"/>
  <c r="BC138" i="1" s="1"/>
  <c r="V390" i="2"/>
  <c r="R39" i="1" s="1"/>
  <c r="V407" i="2"/>
  <c r="W407" i="2" s="1"/>
  <c r="Y438" i="2"/>
  <c r="AQ441" i="2"/>
  <c r="AE479" i="2"/>
  <c r="V308" i="2"/>
  <c r="R233" i="1" s="1"/>
  <c r="S233" i="1" s="1"/>
  <c r="BC233" i="1" s="1"/>
  <c r="V354" i="2"/>
  <c r="V374" i="2"/>
  <c r="R23" i="1" s="1"/>
  <c r="BB23" i="1" s="1"/>
  <c r="BD23" i="1" s="1"/>
  <c r="BA400" i="2"/>
  <c r="AY400" i="2"/>
  <c r="AW400" i="2"/>
  <c r="BC440" i="2"/>
  <c r="BA440" i="2"/>
  <c r="AU440" i="2"/>
  <c r="AS440" i="2"/>
  <c r="AO440" i="2"/>
  <c r="V451" i="2"/>
  <c r="V466" i="2"/>
  <c r="R120" i="1" s="1"/>
  <c r="S120" i="1" s="1"/>
  <c r="BE469" i="2"/>
  <c r="BC469" i="2"/>
  <c r="V475" i="2"/>
  <c r="BE479" i="2"/>
  <c r="AQ492" i="2"/>
  <c r="BE514" i="2"/>
  <c r="AY514" i="2"/>
  <c r="AW514" i="2"/>
  <c r="AU514" i="2"/>
  <c r="AQ514" i="2"/>
  <c r="V529" i="2"/>
  <c r="R183" i="1" s="1"/>
  <c r="S183" i="1" s="1"/>
  <c r="BC183" i="1" s="1"/>
  <c r="AI441" i="2"/>
  <c r="BE441" i="2"/>
  <c r="BC441" i="2"/>
  <c r="V449" i="2"/>
  <c r="V482" i="2"/>
  <c r="R136" i="1" s="1"/>
  <c r="S136" i="1" s="1"/>
  <c r="V408" i="2"/>
  <c r="V420" i="2"/>
  <c r="V437" i="2"/>
  <c r="R91" i="1" s="1"/>
  <c r="S91" i="1" s="1"/>
  <c r="BC91" i="1" s="1"/>
  <c r="U441" i="2"/>
  <c r="V478" i="2"/>
  <c r="R132" i="1" s="1"/>
  <c r="S132" i="1" s="1"/>
  <c r="BC132" i="1" s="1"/>
  <c r="V508" i="2"/>
  <c r="W508" i="2" s="1"/>
  <c r="BE542" i="2"/>
  <c r="W87" i="4" s="1"/>
  <c r="AW542" i="2"/>
  <c r="AU542" i="2"/>
  <c r="AS542" i="2"/>
  <c r="Q87" i="4" s="1"/>
  <c r="AO542" i="2"/>
  <c r="AO541" i="2" s="1"/>
  <c r="AO540" i="2" s="1"/>
  <c r="AK542" i="2"/>
  <c r="M87" i="4" s="1"/>
  <c r="V238" i="2"/>
  <c r="R270" i="1" s="1"/>
  <c r="V302" i="2"/>
  <c r="R202" i="1" s="1"/>
  <c r="S202" i="1" s="1"/>
  <c r="BC202" i="1" s="1"/>
  <c r="BE400" i="2"/>
  <c r="V404" i="2"/>
  <c r="R56" i="1" s="1"/>
  <c r="BB56" i="1" s="1"/>
  <c r="V410" i="2"/>
  <c r="W410" i="2" s="1"/>
  <c r="AC428" i="2"/>
  <c r="BC437" i="2"/>
  <c r="AU437" i="2"/>
  <c r="AO437" i="2"/>
  <c r="AM437" i="2"/>
  <c r="AK437" i="2"/>
  <c r="V459" i="2"/>
  <c r="R113" i="1" s="1"/>
  <c r="BB113" i="1" s="1"/>
  <c r="BE113" i="1" s="1"/>
  <c r="V462" i="2"/>
  <c r="R116" i="1" s="1"/>
  <c r="S116" i="1" s="1"/>
  <c r="AY469" i="2"/>
  <c r="Y482" i="2"/>
  <c r="U495" i="2"/>
  <c r="AU508" i="2"/>
  <c r="AK508" i="2"/>
  <c r="U542" i="2"/>
  <c r="V334" i="2"/>
  <c r="BF334" i="2" s="1"/>
  <c r="V385" i="2"/>
  <c r="BF385" i="2" s="1"/>
  <c r="U408" i="2"/>
  <c r="AI417" i="2"/>
  <c r="AW417" i="2"/>
  <c r="AQ417" i="2"/>
  <c r="AO417" i="2"/>
  <c r="AM417" i="2"/>
  <c r="AW420" i="2"/>
  <c r="AG428" i="2"/>
  <c r="U437" i="2"/>
  <c r="Y441" i="2"/>
  <c r="V468" i="2"/>
  <c r="R122" i="1" s="1"/>
  <c r="BB122" i="1" s="1"/>
  <c r="BD122" i="1" s="1"/>
  <c r="BA469" i="2"/>
  <c r="Y478" i="2"/>
  <c r="AC482" i="2"/>
  <c r="Y542" i="2"/>
  <c r="V246" i="2"/>
  <c r="R279" i="1" s="1"/>
  <c r="BB279" i="1" s="1"/>
  <c r="BD279" i="1" s="1"/>
  <c r="V360" i="2"/>
  <c r="AC378" i="2"/>
  <c r="Y408" i="2"/>
  <c r="U410" i="2"/>
  <c r="U417" i="2"/>
  <c r="AY420" i="2"/>
  <c r="AI424" i="2"/>
  <c r="U424" i="2"/>
  <c r="AQ428" i="2"/>
  <c r="AA437" i="2"/>
  <c r="AA441" i="2"/>
  <c r="U453" i="2"/>
  <c r="V460" i="2"/>
  <c r="R114" i="1" s="1"/>
  <c r="AA462" i="2"/>
  <c r="AW468" i="2"/>
  <c r="BE468" i="2"/>
  <c r="AY468" i="2"/>
  <c r="AU468" i="2"/>
  <c r="AS468" i="2"/>
  <c r="AQ468" i="2"/>
  <c r="AM468" i="2"/>
  <c r="AG478" i="2"/>
  <c r="AE482" i="2"/>
  <c r="Y495" i="2"/>
  <c r="Y508" i="2"/>
  <c r="AK513" i="2"/>
  <c r="AA542" i="2"/>
  <c r="AA541" i="2" s="1"/>
  <c r="AA540" i="2" s="1"/>
  <c r="AA268" i="2"/>
  <c r="BE353" i="2"/>
  <c r="AK353" i="2"/>
  <c r="AE353" i="2"/>
  <c r="V431" i="2"/>
  <c r="W431" i="2" s="1"/>
  <c r="AE437" i="2"/>
  <c r="AC441" i="2"/>
  <c r="V474" i="2"/>
  <c r="BF474" i="2" s="1"/>
  <c r="BE486" i="2"/>
  <c r="AM486" i="2"/>
  <c r="AG486" i="2"/>
  <c r="AE486" i="2"/>
  <c r="AC486" i="2"/>
  <c r="Y486" i="2"/>
  <c r="U486" i="2"/>
  <c r="AA508" i="2"/>
  <c r="AC542" i="2"/>
  <c r="V505" i="2"/>
  <c r="R159" i="1" s="1"/>
  <c r="S159" i="1" s="1"/>
  <c r="BC159" i="1" s="1"/>
  <c r="Y449" i="2"/>
  <c r="V470" i="2"/>
  <c r="V480" i="2"/>
  <c r="V493" i="2"/>
  <c r="R147" i="1" s="1"/>
  <c r="BB147" i="1" s="1"/>
  <c r="BE147" i="1" s="1"/>
  <c r="AC511" i="2"/>
  <c r="V519" i="2"/>
  <c r="R173" i="1" s="1"/>
  <c r="S173" i="1" s="1"/>
  <c r="BC173" i="1" s="1"/>
  <c r="V384" i="2"/>
  <c r="BF384" i="2" s="1"/>
  <c r="V403" i="2"/>
  <c r="R55" i="1" s="1"/>
  <c r="S55" i="1" s="1"/>
  <c r="BC55" i="1" s="1"/>
  <c r="V409" i="2"/>
  <c r="BF409" i="2" s="1"/>
  <c r="V412" i="2"/>
  <c r="W412" i="2" s="1"/>
  <c r="V415" i="2"/>
  <c r="R69" i="1" s="1"/>
  <c r="S69" i="1" s="1"/>
  <c r="BC69" i="1" s="1"/>
  <c r="U439" i="2"/>
  <c r="AA449" i="2"/>
  <c r="U454" i="2"/>
  <c r="AA460" i="2"/>
  <c r="V506" i="2"/>
  <c r="V509" i="2"/>
  <c r="R163" i="1" s="1"/>
  <c r="S163" i="1" s="1"/>
  <c r="BC163" i="1" s="1"/>
  <c r="AE511" i="2"/>
  <c r="V349" i="2"/>
  <c r="BF349" i="2" s="1"/>
  <c r="V355" i="2"/>
  <c r="BF355" i="2" s="1"/>
  <c r="V370" i="2"/>
  <c r="Y386" i="2"/>
  <c r="V393" i="2"/>
  <c r="W393" i="2" s="1"/>
  <c r="AA434" i="2"/>
  <c r="Y439" i="2"/>
  <c r="V444" i="2"/>
  <c r="R98" i="1" s="1"/>
  <c r="BB98" i="1" s="1"/>
  <c r="BE98" i="1" s="1"/>
  <c r="AC449" i="2"/>
  <c r="AC460" i="2"/>
  <c r="Y493" i="2"/>
  <c r="AA500" i="2"/>
  <c r="AG511" i="2"/>
  <c r="Y412" i="2"/>
  <c r="V432" i="2"/>
  <c r="R86" i="1" s="1"/>
  <c r="S86" i="1" s="1"/>
  <c r="BC86" i="1" s="1"/>
  <c r="AG434" i="2"/>
  <c r="AA439" i="2"/>
  <c r="V442" i="2"/>
  <c r="AK449" i="2"/>
  <c r="Y454" i="2"/>
  <c r="AE460" i="2"/>
  <c r="V476" i="2"/>
  <c r="R130" i="1" s="1"/>
  <c r="S130" i="1" s="1"/>
  <c r="AE493" i="2"/>
  <c r="AC500" i="2"/>
  <c r="AC506" i="2"/>
  <c r="U509" i="2"/>
  <c r="AI511" i="2"/>
  <c r="V401" i="2"/>
  <c r="BF401" i="2" s="1"/>
  <c r="V422" i="2"/>
  <c r="W422" i="2" s="1"/>
  <c r="AQ449" i="2"/>
  <c r="AK454" i="2"/>
  <c r="AM460" i="2"/>
  <c r="V464" i="2"/>
  <c r="R118" i="1" s="1"/>
  <c r="V488" i="2"/>
  <c r="R142" i="1" s="1"/>
  <c r="S142" i="1" s="1"/>
  <c r="BC142" i="1" s="1"/>
  <c r="AO511" i="2"/>
  <c r="W1387" i="3"/>
  <c r="W1479" i="3"/>
  <c r="A140" i="4"/>
  <c r="A136" i="4"/>
  <c r="O413" i="1"/>
  <c r="B8" i="5"/>
  <c r="W7" i="1"/>
  <c r="AK26" i="1"/>
  <c r="Y7" i="1"/>
  <c r="AA7" i="1"/>
  <c r="S12" i="1"/>
  <c r="AC7" i="1"/>
  <c r="AS26" i="1"/>
  <c r="BC32" i="1"/>
  <c r="AE9" i="1"/>
  <c r="AC9" i="1"/>
  <c r="AG9" i="1"/>
  <c r="AH403" i="1"/>
  <c r="AI7" i="1"/>
  <c r="AW26" i="1"/>
  <c r="AD403" i="1"/>
  <c r="AE7" i="1"/>
  <c r="AL403" i="1"/>
  <c r="AM7" i="1"/>
  <c r="AU45" i="1"/>
  <c r="AM48" i="1"/>
  <c r="AK48" i="1"/>
  <c r="U16" i="1"/>
  <c r="BA26" i="1"/>
  <c r="U26" i="1"/>
  <c r="W26" i="1"/>
  <c r="AW45" i="1"/>
  <c r="AS9" i="1"/>
  <c r="AY45" i="1"/>
  <c r="AO48" i="1"/>
  <c r="AG48" i="1"/>
  <c r="AJ403" i="1"/>
  <c r="AK7" i="1"/>
  <c r="AI48" i="1"/>
  <c r="AT403" i="1"/>
  <c r="AU7" i="1"/>
  <c r="AW9" i="1"/>
  <c r="S18" i="1"/>
  <c r="AY26" i="1"/>
  <c r="AQ48" i="1"/>
  <c r="AV403" i="1"/>
  <c r="AW7" i="1"/>
  <c r="BC46" i="1"/>
  <c r="AX403" i="1"/>
  <c r="AY7" i="1"/>
  <c r="AZ403" i="1"/>
  <c r="BA7" i="1"/>
  <c r="AE26" i="1"/>
  <c r="AW48" i="1"/>
  <c r="AY48" i="1"/>
  <c r="AG26" i="1"/>
  <c r="AA45" i="1"/>
  <c r="AE137" i="1"/>
  <c r="BB32" i="1"/>
  <c r="W97" i="1"/>
  <c r="BB46" i="1"/>
  <c r="BC121" i="1"/>
  <c r="AG137" i="1"/>
  <c r="S37" i="1"/>
  <c r="BC37" i="1" s="1"/>
  <c r="AC48" i="1"/>
  <c r="W51" i="1"/>
  <c r="AI137" i="1"/>
  <c r="AQ59" i="1"/>
  <c r="Y66" i="1"/>
  <c r="BB79" i="1"/>
  <c r="AM137" i="1"/>
  <c r="BC79" i="1"/>
  <c r="AU59" i="1"/>
  <c r="U10" i="1"/>
  <c r="U9" i="1" s="1"/>
  <c r="BB19" i="1"/>
  <c r="BB31" i="1"/>
  <c r="AS137" i="1"/>
  <c r="AF403" i="1"/>
  <c r="AN403" i="1"/>
  <c r="AU137" i="1"/>
  <c r="S21" i="1"/>
  <c r="AW137" i="1"/>
  <c r="AR403" i="1"/>
  <c r="AP403" i="1"/>
  <c r="W67" i="1"/>
  <c r="W73" i="1"/>
  <c r="AY137" i="1"/>
  <c r="Y13" i="1"/>
  <c r="Y12" i="1" s="1"/>
  <c r="AA30" i="1"/>
  <c r="AA26" i="1" s="1"/>
  <c r="W47" i="1"/>
  <c r="W45" i="1" s="1"/>
  <c r="BA137" i="1"/>
  <c r="U52" i="1"/>
  <c r="BA59" i="1"/>
  <c r="BB89" i="1"/>
  <c r="AA59" i="1"/>
  <c r="Y29" i="1"/>
  <c r="AC33" i="1"/>
  <c r="AC26" i="1" s="1"/>
  <c r="BB65" i="1"/>
  <c r="BC84" i="1"/>
  <c r="BC131" i="1"/>
  <c r="U137" i="1"/>
  <c r="BC65" i="1"/>
  <c r="U83" i="1"/>
  <c r="AG7" i="1"/>
  <c r="BB58" i="1"/>
  <c r="AG59" i="1"/>
  <c r="W76" i="1"/>
  <c r="AA137" i="1"/>
  <c r="BC58" i="1"/>
  <c r="BC57" i="1" s="1"/>
  <c r="AC137" i="1"/>
  <c r="AC188" i="1"/>
  <c r="BC191" i="1"/>
  <c r="AE207" i="1"/>
  <c r="AE206" i="1" s="1"/>
  <c r="AG228" i="1"/>
  <c r="Y90" i="1"/>
  <c r="BC90" i="1" s="1"/>
  <c r="AE188" i="1"/>
  <c r="S89" i="1"/>
  <c r="BC89" i="1" s="1"/>
  <c r="AV404" i="1"/>
  <c r="AW211" i="1"/>
  <c r="AW210" i="1" s="1"/>
  <c r="BC222" i="1"/>
  <c r="AM225" i="1"/>
  <c r="BC192" i="1"/>
  <c r="AI188" i="1"/>
  <c r="U211" i="1"/>
  <c r="U210" i="1" s="1"/>
  <c r="AZ404" i="1"/>
  <c r="BA211" i="1"/>
  <c r="BA210" i="1" s="1"/>
  <c r="AM188" i="1"/>
  <c r="Y146" i="1"/>
  <c r="Y137" i="1" s="1"/>
  <c r="Y211" i="1"/>
  <c r="Y210" i="1" s="1"/>
  <c r="AS225" i="1"/>
  <c r="U85" i="1"/>
  <c r="AA211" i="1"/>
  <c r="AA210" i="1" s="1"/>
  <c r="W68" i="1"/>
  <c r="AO207" i="1"/>
  <c r="AO206" i="1" s="1"/>
  <c r="AC211" i="1"/>
  <c r="AC210" i="1" s="1"/>
  <c r="AI217" i="1"/>
  <c r="AS217" i="1"/>
  <c r="Y92" i="1"/>
  <c r="Y116" i="1"/>
  <c r="U136" i="1"/>
  <c r="AG211" i="1"/>
  <c r="AG210" i="1" s="1"/>
  <c r="AS207" i="1"/>
  <c r="AS206" i="1" s="1"/>
  <c r="AY217" i="1"/>
  <c r="AM217" i="1"/>
  <c r="AS228" i="1"/>
  <c r="AW188" i="1"/>
  <c r="AA214" i="1"/>
  <c r="AU228" i="1"/>
  <c r="AS188" i="1"/>
  <c r="AJ404" i="1"/>
  <c r="AK211" i="1"/>
  <c r="AK210" i="1" s="1"/>
  <c r="U188" i="1"/>
  <c r="AY228" i="1"/>
  <c r="W188" i="1"/>
  <c r="U217" i="1"/>
  <c r="Y228" i="1"/>
  <c r="U207" i="1"/>
  <c r="U206" i="1" s="1"/>
  <c r="AY188" i="1"/>
  <c r="W217" i="1"/>
  <c r="AA228" i="1"/>
  <c r="AA207" i="1"/>
  <c r="AA206" i="1" s="1"/>
  <c r="AC219" i="1"/>
  <c r="AC217" i="1" s="1"/>
  <c r="W255" i="1"/>
  <c r="AU255" i="1"/>
  <c r="AG264" i="1"/>
  <c r="BC315" i="1"/>
  <c r="AE228" i="1"/>
  <c r="AK214" i="1"/>
  <c r="BC287" i="1"/>
  <c r="BB192" i="1"/>
  <c r="AA195" i="1"/>
  <c r="S205" i="1"/>
  <c r="BB224" i="1"/>
  <c r="AA255" i="1"/>
  <c r="AY255" i="1"/>
  <c r="AI281" i="1"/>
  <c r="AO264" i="1"/>
  <c r="W162" i="1"/>
  <c r="W137" i="1" s="1"/>
  <c r="BB222" i="1"/>
  <c r="AI228" i="1"/>
  <c r="BC232" i="1"/>
  <c r="U273" i="1"/>
  <c r="AK281" i="1"/>
  <c r="S190" i="1"/>
  <c r="BC190" i="1" s="1"/>
  <c r="AH404" i="1"/>
  <c r="BA217" i="1"/>
  <c r="BB232" i="1"/>
  <c r="AE255" i="1"/>
  <c r="AS264" i="1"/>
  <c r="AM281" i="1"/>
  <c r="AS281" i="1"/>
  <c r="AE281" i="1"/>
  <c r="S193" i="1"/>
  <c r="BC193" i="1" s="1"/>
  <c r="AA201" i="1"/>
  <c r="AS214" i="1"/>
  <c r="AG255" i="1"/>
  <c r="BB257" i="1"/>
  <c r="S257" i="1"/>
  <c r="BC257" i="1" s="1"/>
  <c r="AW264" i="1"/>
  <c r="AO281" i="1"/>
  <c r="BB191" i="1"/>
  <c r="AL404" i="1"/>
  <c r="Y217" i="1"/>
  <c r="AY264" i="1"/>
  <c r="S185" i="1"/>
  <c r="S221" i="1"/>
  <c r="BC221" i="1" s="1"/>
  <c r="BA264" i="1"/>
  <c r="AN404" i="1"/>
  <c r="S215" i="1"/>
  <c r="AQ228" i="1"/>
  <c r="AP404" i="1"/>
  <c r="AI225" i="1"/>
  <c r="AM255" i="1"/>
  <c r="Y276" i="1"/>
  <c r="Y264" i="1" s="1"/>
  <c r="AU281" i="1"/>
  <c r="Q211" i="1"/>
  <c r="Q210" i="1" s="1"/>
  <c r="AR404" i="1"/>
  <c r="BB259" i="1"/>
  <c r="Y214" i="1"/>
  <c r="AW281" i="1"/>
  <c r="AT404" i="1"/>
  <c r="BB271" i="1"/>
  <c r="AK217" i="1"/>
  <c r="AY281" i="1"/>
  <c r="AQ281" i="1"/>
  <c r="U255" i="1"/>
  <c r="BA281" i="1"/>
  <c r="AX404" i="1"/>
  <c r="BB272" i="1"/>
  <c r="U272" i="1"/>
  <c r="Y345" i="1"/>
  <c r="AU338" i="1"/>
  <c r="BB347" i="1"/>
  <c r="W297" i="1"/>
  <c r="Y308" i="1"/>
  <c r="AM358" i="1"/>
  <c r="AY338" i="1"/>
  <c r="AA331" i="1"/>
  <c r="AA338" i="1"/>
  <c r="Y362" i="1"/>
  <c r="BB277" i="1"/>
  <c r="AI345" i="1"/>
  <c r="AA362" i="1"/>
  <c r="BB317" i="1"/>
  <c r="BB335" i="1"/>
  <c r="S321" i="1"/>
  <c r="BC321" i="1" s="1"/>
  <c r="BB321" i="1"/>
  <c r="BB333" i="1"/>
  <c r="AG338" i="1"/>
  <c r="S356" i="1"/>
  <c r="BC357" i="1"/>
  <c r="BC356" i="1" s="1"/>
  <c r="AE362" i="1"/>
  <c r="S275" i="1"/>
  <c r="BC275" i="1" s="1"/>
  <c r="AM345" i="1"/>
  <c r="AO345" i="1"/>
  <c r="AA349" i="1"/>
  <c r="AO353" i="1"/>
  <c r="W358" i="1"/>
  <c r="AU358" i="1"/>
  <c r="AG362" i="1"/>
  <c r="AO369" i="1"/>
  <c r="U373" i="1"/>
  <c r="BC317" i="1"/>
  <c r="AI338" i="1"/>
  <c r="Y338" i="1"/>
  <c r="AI362" i="1"/>
  <c r="AQ369" i="1"/>
  <c r="W327" i="1"/>
  <c r="AK362" i="1"/>
  <c r="U307" i="1"/>
  <c r="U311" i="1"/>
  <c r="BC313" i="1"/>
  <c r="BC324" i="1"/>
  <c r="BC335" i="1"/>
  <c r="AA358" i="1"/>
  <c r="BC361" i="1"/>
  <c r="AO362" i="1"/>
  <c r="AM338" i="1"/>
  <c r="BB315" i="1"/>
  <c r="S344" i="1"/>
  <c r="BC344" i="1" s="1"/>
  <c r="BB344" i="1"/>
  <c r="AU345" i="1"/>
  <c r="AC358" i="1"/>
  <c r="AS362" i="1"/>
  <c r="AO338" i="1"/>
  <c r="AW345" i="1"/>
  <c r="AU362" i="1"/>
  <c r="U369" i="1"/>
  <c r="BC360" i="1"/>
  <c r="AW362" i="1"/>
  <c r="AC298" i="1"/>
  <c r="AC281" i="1" s="1"/>
  <c r="AY362" i="1"/>
  <c r="BA345" i="1"/>
  <c r="AG358" i="1"/>
  <c r="BA362" i="1"/>
  <c r="U306" i="1"/>
  <c r="BB314" i="1"/>
  <c r="AS338" i="1"/>
  <c r="W345" i="1"/>
  <c r="BC355" i="1"/>
  <c r="AW381" i="1"/>
  <c r="AE346" i="1"/>
  <c r="AE345" i="1" s="1"/>
  <c r="U348" i="1"/>
  <c r="BC348" i="1" s="1"/>
  <c r="BB357" i="1"/>
  <c r="BB375" i="1"/>
  <c r="BC393" i="1"/>
  <c r="AG398" i="1"/>
  <c r="AG397" i="1" s="1"/>
  <c r="AI381" i="1"/>
  <c r="BB391" i="1"/>
  <c r="AI398" i="1"/>
  <c r="AI397" i="1" s="1"/>
  <c r="BC391" i="1"/>
  <c r="W11" i="2"/>
  <c r="BF11" i="2"/>
  <c r="W28" i="2"/>
  <c r="BF28" i="2"/>
  <c r="W61" i="2"/>
  <c r="BF61" i="2"/>
  <c r="BF78" i="2"/>
  <c r="W78" i="2"/>
  <c r="R399" i="1"/>
  <c r="U333" i="1"/>
  <c r="BC333" i="1" s="1"/>
  <c r="U363" i="1"/>
  <c r="U362" i="1" s="1"/>
  <c r="W18" i="2"/>
  <c r="BF18" i="2"/>
  <c r="W35" i="2"/>
  <c r="BF35" i="2"/>
  <c r="AM398" i="1"/>
  <c r="AM397" i="1" s="1"/>
  <c r="BB360" i="1"/>
  <c r="U329" i="1"/>
  <c r="U347" i="1"/>
  <c r="BC347" i="1" s="1"/>
  <c r="AG380" i="1"/>
  <c r="AG373" i="1" s="1"/>
  <c r="BF43" i="2"/>
  <c r="W43" i="2"/>
  <c r="BB379" i="1"/>
  <c r="AO398" i="1"/>
  <c r="AO397" i="1" s="1"/>
  <c r="BF38" i="2"/>
  <c r="W38" i="2"/>
  <c r="AQ381" i="1"/>
  <c r="W36" i="2"/>
  <c r="BF36" i="2"/>
  <c r="W17" i="2"/>
  <c r="BF17" i="2"/>
  <c r="BE22" i="2"/>
  <c r="BE21" i="2" s="1"/>
  <c r="BC22" i="2"/>
  <c r="BC21" i="2" s="1"/>
  <c r="BA22" i="2"/>
  <c r="BA21" i="2" s="1"/>
  <c r="AY22" i="2"/>
  <c r="AY21" i="2" s="1"/>
  <c r="AW22" i="2"/>
  <c r="AW21" i="2" s="1"/>
  <c r="AU22" i="2"/>
  <c r="AU21" i="2" s="1"/>
  <c r="AS22" i="2"/>
  <c r="AS21" i="2" s="1"/>
  <c r="AQ22" i="2"/>
  <c r="AQ21" i="2" s="1"/>
  <c r="AO22" i="2"/>
  <c r="AO21" i="2" s="1"/>
  <c r="AM22" i="2"/>
  <c r="AM21" i="2" s="1"/>
  <c r="AK22" i="2"/>
  <c r="AK21" i="2" s="1"/>
  <c r="AI22" i="2"/>
  <c r="AI21" i="2" s="1"/>
  <c r="AG22" i="2"/>
  <c r="AG21" i="2" s="1"/>
  <c r="AE22" i="2"/>
  <c r="AE21" i="2" s="1"/>
  <c r="AC22" i="2"/>
  <c r="AC21" i="2" s="1"/>
  <c r="AA22" i="2"/>
  <c r="AA21" i="2" s="1"/>
  <c r="Y22" i="2"/>
  <c r="Y21" i="2" s="1"/>
  <c r="U22" i="2"/>
  <c r="U21" i="2" s="1"/>
  <c r="W55" i="2"/>
  <c r="BF55" i="2"/>
  <c r="BC388" i="1"/>
  <c r="BC387" i="1" s="1"/>
  <c r="W15" i="2"/>
  <c r="BF15" i="2"/>
  <c r="BF47" i="2"/>
  <c r="W47" i="2"/>
  <c r="W34" i="2"/>
  <c r="BF34" i="2"/>
  <c r="BF92" i="2"/>
  <c r="W92" i="2"/>
  <c r="AU381" i="1"/>
  <c r="W24" i="2"/>
  <c r="BF24" i="2"/>
  <c r="BF44" i="2"/>
  <c r="W44" i="2"/>
  <c r="AE390" i="1"/>
  <c r="AE389" i="1" s="1"/>
  <c r="AY398" i="1"/>
  <c r="AY397" i="1" s="1"/>
  <c r="BC392" i="1"/>
  <c r="AC343" i="1"/>
  <c r="AG390" i="1"/>
  <c r="AG389" i="1" s="1"/>
  <c r="W398" i="1"/>
  <c r="W397" i="1" s="1"/>
  <c r="W99" i="2"/>
  <c r="BF99" i="2"/>
  <c r="AY381" i="1"/>
  <c r="BB372" i="1"/>
  <c r="AI390" i="1"/>
  <c r="AI389" i="1" s="1"/>
  <c r="AA398" i="1"/>
  <c r="AA397" i="1" s="1"/>
  <c r="BB400" i="1"/>
  <c r="U400" i="1"/>
  <c r="T548" i="2"/>
  <c r="T549" i="2"/>
  <c r="BE9" i="2"/>
  <c r="BC9" i="2"/>
  <c r="BA9" i="2"/>
  <c r="AY9" i="2"/>
  <c r="AW9" i="2"/>
  <c r="AU9" i="2"/>
  <c r="AS9" i="2"/>
  <c r="AQ9" i="2"/>
  <c r="AO9" i="2"/>
  <c r="AM9" i="2"/>
  <c r="AK9" i="2"/>
  <c r="AI9" i="2"/>
  <c r="AG9" i="2"/>
  <c r="AE9" i="2"/>
  <c r="AC9" i="2"/>
  <c r="AA9" i="2"/>
  <c r="Y9" i="2"/>
  <c r="U9" i="2"/>
  <c r="AK390" i="1"/>
  <c r="AK389" i="1" s="1"/>
  <c r="AC398" i="1"/>
  <c r="AC397" i="1" s="1"/>
  <c r="AE381" i="1"/>
  <c r="C5" i="7"/>
  <c r="D5" i="7" s="1"/>
  <c r="E5" i="7" s="1"/>
  <c r="P405" i="1"/>
  <c r="P406" i="1"/>
  <c r="AM390" i="1"/>
  <c r="AM389" i="1" s="1"/>
  <c r="AE398" i="1"/>
  <c r="AE397" i="1" s="1"/>
  <c r="AC373" i="1"/>
  <c r="W54" i="2"/>
  <c r="BF54" i="2"/>
  <c r="AC24" i="2"/>
  <c r="W110" i="2"/>
  <c r="BF110" i="2"/>
  <c r="BF301" i="2"/>
  <c r="AM60" i="2"/>
  <c r="AI60" i="2"/>
  <c r="AE60" i="2"/>
  <c r="AK60" i="2"/>
  <c r="AC60" i="2"/>
  <c r="AA60" i="2"/>
  <c r="Y60" i="2"/>
  <c r="U60" i="2"/>
  <c r="BC60" i="2"/>
  <c r="W9" i="2"/>
  <c r="AE11" i="2"/>
  <c r="AE10" i="2" s="1"/>
  <c r="AM13" i="2"/>
  <c r="AM12" i="2" s="1"/>
  <c r="AU15" i="2"/>
  <c r="AU14" i="2" s="1"/>
  <c r="W22" i="2"/>
  <c r="AG24" i="2"/>
  <c r="AG23" i="2" s="1"/>
  <c r="AI25" i="2"/>
  <c r="AS35" i="2"/>
  <c r="AQ51" i="2"/>
  <c r="W60" i="2"/>
  <c r="BC65" i="2"/>
  <c r="BF88" i="2"/>
  <c r="AI24" i="2"/>
  <c r="AK25" i="2"/>
  <c r="AU35" i="2"/>
  <c r="AS51" i="2"/>
  <c r="AG60" i="2"/>
  <c r="AK24" i="2"/>
  <c r="AM25" i="2"/>
  <c r="AW35" i="2"/>
  <c r="BC43" i="2"/>
  <c r="AY43" i="2"/>
  <c r="AU43" i="2"/>
  <c r="AW43" i="2"/>
  <c r="AI43" i="2"/>
  <c r="AC43" i="2"/>
  <c r="AC42" i="2" s="1"/>
  <c r="BC46" i="2"/>
  <c r="AK46" i="2"/>
  <c r="AG46" i="2"/>
  <c r="Y46" i="2"/>
  <c r="BA46" i="2"/>
  <c r="AU51" i="2"/>
  <c r="AO60" i="2"/>
  <c r="BF65" i="2"/>
  <c r="AA70" i="2"/>
  <c r="U70" i="2"/>
  <c r="BA70" i="2"/>
  <c r="BE70" i="2"/>
  <c r="BC70" i="2"/>
  <c r="AY70" i="2"/>
  <c r="AU70" i="2"/>
  <c r="AS70" i="2"/>
  <c r="AG70" i="2"/>
  <c r="Y70" i="2"/>
  <c r="AO89" i="2"/>
  <c r="AK89" i="2"/>
  <c r="AG89" i="2"/>
  <c r="AC89" i="2"/>
  <c r="U89" i="2"/>
  <c r="BE89" i="2"/>
  <c r="BC89" i="2"/>
  <c r="BA89" i="2"/>
  <c r="AY89" i="2"/>
  <c r="AW89" i="2"/>
  <c r="AS89" i="2"/>
  <c r="AQ89" i="2"/>
  <c r="W94" i="2"/>
  <c r="AM24" i="2"/>
  <c r="AO25" i="2"/>
  <c r="W33" i="2"/>
  <c r="AY35" i="2"/>
  <c r="U43" i="2"/>
  <c r="U46" i="2"/>
  <c r="AW51" i="2"/>
  <c r="AQ60" i="2"/>
  <c r="W64" i="2"/>
  <c r="W70" i="2"/>
  <c r="BF71" i="2"/>
  <c r="BC78" i="2"/>
  <c r="AY78" i="2"/>
  <c r="AU78" i="2"/>
  <c r="AK78" i="2"/>
  <c r="BE78" i="2"/>
  <c r="BA78" i="2"/>
  <c r="AI78" i="2"/>
  <c r="AC78" i="2"/>
  <c r="W89" i="2"/>
  <c r="AU13" i="2"/>
  <c r="AU12" i="2" s="1"/>
  <c r="AO24" i="2"/>
  <c r="AQ25" i="2"/>
  <c r="U28" i="2"/>
  <c r="AE33" i="2"/>
  <c r="AA33" i="2"/>
  <c r="BA33" i="2"/>
  <c r="AU33" i="2"/>
  <c r="BA35" i="2"/>
  <c r="BF46" i="2"/>
  <c r="W46" i="2"/>
  <c r="AY51" i="2"/>
  <c r="AS60" i="2"/>
  <c r="AC70" i="2"/>
  <c r="Y89" i="2"/>
  <c r="W149" i="2"/>
  <c r="BF149" i="2"/>
  <c r="W152" i="2"/>
  <c r="P407" i="1"/>
  <c r="C8" i="7" s="1"/>
  <c r="D8" i="7" s="1"/>
  <c r="E8" i="7" s="1"/>
  <c r="AO11" i="2"/>
  <c r="AO10" i="2" s="1"/>
  <c r="AW13" i="2"/>
  <c r="AW12" i="2" s="1"/>
  <c r="BE15" i="2"/>
  <c r="BE14" i="2" s="1"/>
  <c r="Y20" i="2"/>
  <c r="Y19" i="2" s="1"/>
  <c r="AQ24" i="2"/>
  <c r="AS25" i="2"/>
  <c r="U33" i="2"/>
  <c r="BC35" i="2"/>
  <c r="AA46" i="2"/>
  <c r="AU60" i="2"/>
  <c r="AE70" i="2"/>
  <c r="AA89" i="2"/>
  <c r="AQ11" i="2"/>
  <c r="AQ10" i="2" s="1"/>
  <c r="AY13" i="2"/>
  <c r="AY12" i="2" s="1"/>
  <c r="AA20" i="2"/>
  <c r="AA19" i="2" s="1"/>
  <c r="AS24" i="2"/>
  <c r="AU25" i="2"/>
  <c r="Y28" i="2"/>
  <c r="BF31" i="2"/>
  <c r="Y33" i="2"/>
  <c r="Y43" i="2"/>
  <c r="AC46" i="2"/>
  <c r="AW60" i="2"/>
  <c r="AI70" i="2"/>
  <c r="AE89" i="2"/>
  <c r="BF96" i="2"/>
  <c r="AK98" i="2"/>
  <c r="BF121" i="2"/>
  <c r="BF137" i="2"/>
  <c r="W137" i="2"/>
  <c r="BA13" i="2"/>
  <c r="BA12" i="2" s="1"/>
  <c r="AC20" i="2"/>
  <c r="AC19" i="2" s="1"/>
  <c r="AU24" i="2"/>
  <c r="AW25" i="2"/>
  <c r="AA28" i="2"/>
  <c r="AC33" i="2"/>
  <c r="AA43" i="2"/>
  <c r="AE46" i="2"/>
  <c r="BF49" i="2"/>
  <c r="W49" i="2"/>
  <c r="AM59" i="2"/>
  <c r="AI59" i="2"/>
  <c r="AE59" i="2"/>
  <c r="AA59" i="2"/>
  <c r="U59" i="2"/>
  <c r="BC59" i="2"/>
  <c r="AW59" i="2"/>
  <c r="AY60" i="2"/>
  <c r="AK70" i="2"/>
  <c r="Y78" i="2"/>
  <c r="AI89" i="2"/>
  <c r="W118" i="2"/>
  <c r="BF118" i="2"/>
  <c r="BA121" i="2"/>
  <c r="BE121" i="2"/>
  <c r="BC121" i="2"/>
  <c r="AW121" i="2"/>
  <c r="AS121" i="2"/>
  <c r="AK121" i="2"/>
  <c r="AI121" i="2"/>
  <c r="Y121" i="2"/>
  <c r="AY121" i="2"/>
  <c r="AU121" i="2"/>
  <c r="AQ121" i="2"/>
  <c r="AO121" i="2"/>
  <c r="AM121" i="2"/>
  <c r="AG121" i="2"/>
  <c r="AE121" i="2"/>
  <c r="AC121" i="2"/>
  <c r="AA121" i="2"/>
  <c r="U121" i="2"/>
  <c r="AU11" i="2"/>
  <c r="AU10" i="2" s="1"/>
  <c r="BC13" i="2"/>
  <c r="BC12" i="2" s="1"/>
  <c r="AE20" i="2"/>
  <c r="AE19" i="2" s="1"/>
  <c r="AW24" i="2"/>
  <c r="AY25" i="2"/>
  <c r="AC28" i="2"/>
  <c r="AG33" i="2"/>
  <c r="AE43" i="2"/>
  <c r="AI46" i="2"/>
  <c r="W59" i="2"/>
  <c r="BA60" i="2"/>
  <c r="AM70" i="2"/>
  <c r="AA78" i="2"/>
  <c r="AM89" i="2"/>
  <c r="BE97" i="2"/>
  <c r="BA97" i="2"/>
  <c r="AW97" i="2"/>
  <c r="AS97" i="2"/>
  <c r="AI97" i="2"/>
  <c r="BC97" i="2"/>
  <c r="AY97" i="2"/>
  <c r="AU97" i="2"/>
  <c r="AQ97" i="2"/>
  <c r="AO97" i="2"/>
  <c r="AM97" i="2"/>
  <c r="AK97" i="2"/>
  <c r="AG97" i="2"/>
  <c r="AE97" i="2"/>
  <c r="AC97" i="2"/>
  <c r="AA97" i="2"/>
  <c r="U97" i="2"/>
  <c r="AW11" i="2"/>
  <c r="AW10" i="2" s="1"/>
  <c r="BE13" i="2"/>
  <c r="BE12" i="2" s="1"/>
  <c r="AG20" i="2"/>
  <c r="AG19" i="2" s="1"/>
  <c r="AY24" i="2"/>
  <c r="BA25" i="2"/>
  <c r="AE28" i="2"/>
  <c r="AE32" i="2"/>
  <c r="AA32" i="2"/>
  <c r="AU32" i="2"/>
  <c r="AO32" i="2"/>
  <c r="AI33" i="2"/>
  <c r="AG43" i="2"/>
  <c r="AM46" i="2"/>
  <c r="U52" i="2"/>
  <c r="BE52" i="2"/>
  <c r="BE50" i="2" s="1"/>
  <c r="AS52" i="2"/>
  <c r="AM52" i="2"/>
  <c r="Y59" i="2"/>
  <c r="BE60" i="2"/>
  <c r="AO70" i="2"/>
  <c r="AE78" i="2"/>
  <c r="BC80" i="2"/>
  <c r="AY80" i="2"/>
  <c r="AU80" i="2"/>
  <c r="AK80" i="2"/>
  <c r="AG80" i="2"/>
  <c r="AC80" i="2"/>
  <c r="AA80" i="2"/>
  <c r="Y80" i="2"/>
  <c r="U80" i="2"/>
  <c r="BE80" i="2"/>
  <c r="AU89" i="2"/>
  <c r="AI20" i="2"/>
  <c r="AI19" i="2" s="1"/>
  <c r="BA24" i="2"/>
  <c r="BE25" i="2"/>
  <c r="AG28" i="2"/>
  <c r="AK33" i="2"/>
  <c r="AK43" i="2"/>
  <c r="AO46" i="2"/>
  <c r="AQ70" i="2"/>
  <c r="BF97" i="2"/>
  <c r="BA11" i="2"/>
  <c r="BA10" i="2" s="1"/>
  <c r="AK20" i="2"/>
  <c r="AK19" i="2" s="1"/>
  <c r="BE24" i="2"/>
  <c r="BF25" i="2"/>
  <c r="AI28" i="2"/>
  <c r="W32" i="2"/>
  <c r="AM33" i="2"/>
  <c r="AM43" i="2"/>
  <c r="AQ46" i="2"/>
  <c r="Y52" i="2"/>
  <c r="AG59" i="2"/>
  <c r="AY63" i="2"/>
  <c r="AU63" i="2"/>
  <c r="AQ63" i="2"/>
  <c r="AM63" i="2"/>
  <c r="AC63" i="2"/>
  <c r="AO63" i="2"/>
  <c r="AG63" i="2"/>
  <c r="AW70" i="2"/>
  <c r="AM78" i="2"/>
  <c r="AE80" i="2"/>
  <c r="AM20" i="2"/>
  <c r="AM19" i="2" s="1"/>
  <c r="AK28" i="2"/>
  <c r="AO33" i="2"/>
  <c r="AO43" i="2"/>
  <c r="AS46" i="2"/>
  <c r="BC48" i="2"/>
  <c r="AS48" i="2"/>
  <c r="AO48" i="2"/>
  <c r="AG48" i="2"/>
  <c r="AE48" i="2"/>
  <c r="U48" i="2"/>
  <c r="AK59" i="2"/>
  <c r="AM61" i="2"/>
  <c r="AI61" i="2"/>
  <c r="AE61" i="2"/>
  <c r="AS61" i="2"/>
  <c r="AO61" i="2"/>
  <c r="AK61" i="2"/>
  <c r="AG61" i="2"/>
  <c r="AA61" i="2"/>
  <c r="Y61" i="2"/>
  <c r="BF70" i="2"/>
  <c r="AO78" i="2"/>
  <c r="W108" i="2"/>
  <c r="BF108" i="2"/>
  <c r="AO20" i="2"/>
  <c r="AO19" i="2" s="1"/>
  <c r="AM28" i="2"/>
  <c r="AQ43" i="2"/>
  <c r="BC67" i="2"/>
  <c r="BC66" i="2" s="1"/>
  <c r="AY67" i="2"/>
  <c r="AY66" i="2" s="1"/>
  <c r="AU67" i="2"/>
  <c r="AU66" i="2" s="1"/>
  <c r="AK67" i="2"/>
  <c r="AK66" i="2" s="1"/>
  <c r="BE67" i="2"/>
  <c r="BE66" i="2" s="1"/>
  <c r="AM67" i="2"/>
  <c r="AM66" i="2" s="1"/>
  <c r="AE67" i="2"/>
  <c r="AE66" i="2" s="1"/>
  <c r="AQ78" i="2"/>
  <c r="U84" i="2"/>
  <c r="W95" i="2"/>
  <c r="BF95" i="2"/>
  <c r="BA108" i="2"/>
  <c r="AE108" i="2"/>
  <c r="AC108" i="2"/>
  <c r="AA108" i="2"/>
  <c r="U108" i="2"/>
  <c r="AW108" i="2"/>
  <c r="AU108" i="2"/>
  <c r="AS108" i="2"/>
  <c r="AQ108" i="2"/>
  <c r="AO108" i="2"/>
  <c r="AM108" i="2"/>
  <c r="AK108" i="2"/>
  <c r="AI108" i="2"/>
  <c r="AG108" i="2"/>
  <c r="Y108" i="2"/>
  <c r="BC108" i="2"/>
  <c r="U13" i="2"/>
  <c r="U12" i="2" s="1"/>
  <c r="AA15" i="2"/>
  <c r="AA14" i="2" s="1"/>
  <c r="AI17" i="2"/>
  <c r="AQ20" i="2"/>
  <c r="AQ19" i="2" s="1"/>
  <c r="AO28" i="2"/>
  <c r="AE31" i="2"/>
  <c r="AA31" i="2"/>
  <c r="AO31" i="2"/>
  <c r="AI31" i="2"/>
  <c r="AG32" i="2"/>
  <c r="AS33" i="2"/>
  <c r="AS43" i="2"/>
  <c r="AS42" i="2" s="1"/>
  <c r="AW46" i="2"/>
  <c r="AE52" i="2"/>
  <c r="AQ59" i="2"/>
  <c r="W63" i="2"/>
  <c r="U67" i="2"/>
  <c r="U66" i="2" s="1"/>
  <c r="AA71" i="2"/>
  <c r="U71" i="2"/>
  <c r="BA71" i="2"/>
  <c r="BE71" i="2"/>
  <c r="BC71" i="2"/>
  <c r="AO71" i="2"/>
  <c r="AI71" i="2"/>
  <c r="AS78" i="2"/>
  <c r="AO80" i="2"/>
  <c r="AY108" i="2"/>
  <c r="U51" i="2"/>
  <c r="BC51" i="2"/>
  <c r="BC50" i="2" s="1"/>
  <c r="BA51" i="2"/>
  <c r="AO51" i="2"/>
  <c r="AI51" i="2"/>
  <c r="AO88" i="2"/>
  <c r="AK88" i="2"/>
  <c r="AG88" i="2"/>
  <c r="AC88" i="2"/>
  <c r="U88" i="2"/>
  <c r="AU88" i="2"/>
  <c r="AS88" i="2"/>
  <c r="AQ88" i="2"/>
  <c r="AM88" i="2"/>
  <c r="AI88" i="2"/>
  <c r="AA88" i="2"/>
  <c r="Y88" i="2"/>
  <c r="W100" i="2"/>
  <c r="BF100" i="2"/>
  <c r="AE35" i="2"/>
  <c r="AA35" i="2"/>
  <c r="AQ35" i="2"/>
  <c r="AM35" i="2"/>
  <c r="Y35" i="2"/>
  <c r="AY65" i="2"/>
  <c r="AU65" i="2"/>
  <c r="AQ65" i="2"/>
  <c r="AM65" i="2"/>
  <c r="AC65" i="2"/>
  <c r="AK65" i="2"/>
  <c r="AG65" i="2"/>
  <c r="AE65" i="2"/>
  <c r="AA65" i="2"/>
  <c r="W93" i="2"/>
  <c r="BF109" i="2"/>
  <c r="W109" i="2"/>
  <c r="BA116" i="2"/>
  <c r="AU116" i="2"/>
  <c r="AS116" i="2"/>
  <c r="AQ116" i="2"/>
  <c r="AM116" i="2"/>
  <c r="AI116" i="2"/>
  <c r="AA116" i="2"/>
  <c r="Y116" i="2"/>
  <c r="BE116" i="2"/>
  <c r="BC116" i="2"/>
  <c r="AY116" i="2"/>
  <c r="AW116" i="2"/>
  <c r="AO116" i="2"/>
  <c r="AK116" i="2"/>
  <c r="AG116" i="2"/>
  <c r="AE116" i="2"/>
  <c r="AC116" i="2"/>
  <c r="U116" i="2"/>
  <c r="BF160" i="2"/>
  <c r="W160" i="2"/>
  <c r="C10" i="7"/>
  <c r="D10" i="7" s="1"/>
  <c r="E10" i="7" s="1"/>
  <c r="A104" i="4"/>
  <c r="A115" i="4"/>
  <c r="S555" i="2"/>
  <c r="Y13" i="2"/>
  <c r="Y12" i="2" s="1"/>
  <c r="AW20" i="2"/>
  <c r="AW19" i="2" s="1"/>
  <c r="U24" i="2"/>
  <c r="AW28" i="2"/>
  <c r="AM32" i="2"/>
  <c r="BC33" i="2"/>
  <c r="U35" i="2"/>
  <c r="AC48" i="2"/>
  <c r="Y51" i="2"/>
  <c r="AK52" i="2"/>
  <c r="AE54" i="2"/>
  <c r="AA54" i="2"/>
  <c r="AQ54" i="2"/>
  <c r="AM54" i="2"/>
  <c r="AC54" i="2"/>
  <c r="Y54" i="2"/>
  <c r="AY59" i="2"/>
  <c r="AQ61" i="2"/>
  <c r="U65" i="2"/>
  <c r="Y67" i="2"/>
  <c r="Y66" i="2" s="1"/>
  <c r="AQ75" i="2"/>
  <c r="AQ74" i="2" s="1"/>
  <c r="AQ73" i="2" s="1"/>
  <c r="AM75" i="2"/>
  <c r="AM74" i="2" s="1"/>
  <c r="AM73" i="2" s="1"/>
  <c r="AI75" i="2"/>
  <c r="AI74" i="2" s="1"/>
  <c r="AI73" i="2" s="1"/>
  <c r="AE75" i="2"/>
  <c r="AE74" i="2" s="1"/>
  <c r="AE73" i="2" s="1"/>
  <c r="AU75" i="2"/>
  <c r="AU74" i="2" s="1"/>
  <c r="AU73" i="2" s="1"/>
  <c r="AK75" i="2"/>
  <c r="AK74" i="2" s="1"/>
  <c r="AK73" i="2" s="1"/>
  <c r="AW80" i="2"/>
  <c r="AG86" i="2"/>
  <c r="AC86" i="2"/>
  <c r="Y86" i="2"/>
  <c r="BC86" i="2"/>
  <c r="BC84" i="2" s="1"/>
  <c r="BA86" i="2"/>
  <c r="AO86" i="2"/>
  <c r="AO84" i="2" s="1"/>
  <c r="AI86" i="2"/>
  <c r="AE86" i="2"/>
  <c r="BE93" i="2"/>
  <c r="BA93" i="2"/>
  <c r="AW93" i="2"/>
  <c r="AS93" i="2"/>
  <c r="AI93" i="2"/>
  <c r="BC93" i="2"/>
  <c r="AY93" i="2"/>
  <c r="AU93" i="2"/>
  <c r="AQ93" i="2"/>
  <c r="AO93" i="2"/>
  <c r="AM93" i="2"/>
  <c r="AK93" i="2"/>
  <c r="AC93" i="2"/>
  <c r="AA93" i="2"/>
  <c r="BA109" i="2"/>
  <c r="AG109" i="2"/>
  <c r="AE109" i="2"/>
  <c r="AC109" i="2"/>
  <c r="Y109" i="2"/>
  <c r="BE109" i="2"/>
  <c r="BC109" i="2"/>
  <c r="AY109" i="2"/>
  <c r="AW109" i="2"/>
  <c r="AU109" i="2"/>
  <c r="AS109" i="2"/>
  <c r="AQ109" i="2"/>
  <c r="AM109" i="2"/>
  <c r="AK109" i="2"/>
  <c r="AI109" i="2"/>
  <c r="U109" i="2"/>
  <c r="W116" i="2"/>
  <c r="AA13" i="2"/>
  <c r="AA12" i="2" s="1"/>
  <c r="AI15" i="2"/>
  <c r="AI14" i="2" s="1"/>
  <c r="AY20" i="2"/>
  <c r="AY19" i="2" s="1"/>
  <c r="AS27" i="2"/>
  <c r="AY28" i="2"/>
  <c r="AQ32" i="2"/>
  <c r="BE33" i="2"/>
  <c r="AI48" i="2"/>
  <c r="AA51" i="2"/>
  <c r="AO52" i="2"/>
  <c r="U54" i="2"/>
  <c r="BA59" i="2"/>
  <c r="AU61" i="2"/>
  <c r="Y65" i="2"/>
  <c r="AA67" i="2"/>
  <c r="AA66" i="2" s="1"/>
  <c r="AE88" i="2"/>
  <c r="BF113" i="2"/>
  <c r="W113" i="2"/>
  <c r="AC13" i="2"/>
  <c r="AC12" i="2" s="1"/>
  <c r="AK15" i="2"/>
  <c r="AK14" i="2" s="1"/>
  <c r="BA20" i="2"/>
  <c r="BA19" i="2" s="1"/>
  <c r="Y25" i="2"/>
  <c r="BA28" i="2"/>
  <c r="AS32" i="2"/>
  <c r="BF33" i="2"/>
  <c r="AC35" i="2"/>
  <c r="AM38" i="2"/>
  <c r="AI38" i="2"/>
  <c r="AE38" i="2"/>
  <c r="BC38" i="2"/>
  <c r="AQ38" i="2"/>
  <c r="AG38" i="2"/>
  <c r="BC47" i="2"/>
  <c r="AO47" i="2"/>
  <c r="AK47" i="2"/>
  <c r="AC47" i="2"/>
  <c r="AA47" i="2"/>
  <c r="AK48" i="2"/>
  <c r="AC51" i="2"/>
  <c r="AQ52" i="2"/>
  <c r="BE59" i="2"/>
  <c r="AW61" i="2"/>
  <c r="AK63" i="2"/>
  <c r="AI65" i="2"/>
  <c r="AC67" i="2"/>
  <c r="AC66" i="2" s="1"/>
  <c r="AG71" i="2"/>
  <c r="W75" i="2"/>
  <c r="BF79" i="2"/>
  <c r="W79" i="2"/>
  <c r="W86" i="2"/>
  <c r="AW88" i="2"/>
  <c r="Y93" i="2"/>
  <c r="AO109" i="2"/>
  <c r="BA113" i="2"/>
  <c r="AO113" i="2"/>
  <c r="AM113" i="2"/>
  <c r="AK113" i="2"/>
  <c r="AG113" i="2"/>
  <c r="AC113" i="2"/>
  <c r="U113" i="2"/>
  <c r="BE113" i="2"/>
  <c r="BC113" i="2"/>
  <c r="AY113" i="2"/>
  <c r="AW113" i="2"/>
  <c r="AU113" i="2"/>
  <c r="AS113" i="2"/>
  <c r="AQ113" i="2"/>
  <c r="AI113" i="2"/>
  <c r="AE113" i="2"/>
  <c r="Y113" i="2"/>
  <c r="BA119" i="2"/>
  <c r="BC119" i="2"/>
  <c r="AY119" i="2"/>
  <c r="AW119" i="2"/>
  <c r="AS119" i="2"/>
  <c r="AO119" i="2"/>
  <c r="AG119" i="2"/>
  <c r="AE119" i="2"/>
  <c r="U119" i="2"/>
  <c r="BE119" i="2"/>
  <c r="AU119" i="2"/>
  <c r="AQ119" i="2"/>
  <c r="AM119" i="2"/>
  <c r="AK119" i="2"/>
  <c r="AI119" i="2"/>
  <c r="AA119" i="2"/>
  <c r="Y119" i="2"/>
  <c r="V1847" i="3"/>
  <c r="F1847" i="3"/>
  <c r="E1847" i="3"/>
  <c r="D1847" i="3"/>
  <c r="B1847" i="3"/>
  <c r="Y24" i="2"/>
  <c r="AA25" i="2"/>
  <c r="BC28" i="2"/>
  <c r="BF29" i="2"/>
  <c r="AK31" i="2"/>
  <c r="AW32" i="2"/>
  <c r="AG35" i="2"/>
  <c r="U38" i="2"/>
  <c r="AU41" i="2"/>
  <c r="AU40" i="2" s="1"/>
  <c r="AQ41" i="2"/>
  <c r="AQ40" i="2" s="1"/>
  <c r="AM41" i="2"/>
  <c r="AM40" i="2" s="1"/>
  <c r="AS41" i="2"/>
  <c r="AS40" i="2" s="1"/>
  <c r="AK41" i="2"/>
  <c r="AK40" i="2" s="1"/>
  <c r="AA41" i="2"/>
  <c r="AA40" i="2" s="1"/>
  <c r="BC44" i="2"/>
  <c r="AY44" i="2"/>
  <c r="AU44" i="2"/>
  <c r="U44" i="2"/>
  <c r="AO44" i="2"/>
  <c r="AI44" i="2"/>
  <c r="U47" i="2"/>
  <c r="AM48" i="2"/>
  <c r="AE51" i="2"/>
  <c r="AU52" i="2"/>
  <c r="AG54" i="2"/>
  <c r="AY61" i="2"/>
  <c r="AS63" i="2"/>
  <c r="AO65" i="2"/>
  <c r="AG67" i="2"/>
  <c r="AG66" i="2" s="1"/>
  <c r="AK71" i="2"/>
  <c r="BF72" i="2"/>
  <c r="Y75" i="2"/>
  <c r="Y74" i="2" s="1"/>
  <c r="Y73" i="2" s="1"/>
  <c r="AA86" i="2"/>
  <c r="AY88" i="2"/>
  <c r="AE93" i="2"/>
  <c r="AA113" i="2"/>
  <c r="W119" i="2"/>
  <c r="AC133" i="2"/>
  <c r="BE133" i="2"/>
  <c r="BC133" i="2"/>
  <c r="BA133" i="2"/>
  <c r="AY133" i="2"/>
  <c r="AW133" i="2"/>
  <c r="AS133" i="2"/>
  <c r="AO133" i="2"/>
  <c r="AK133" i="2"/>
  <c r="AI133" i="2"/>
  <c r="U133" i="2"/>
  <c r="BF135" i="2"/>
  <c r="AO207" i="2"/>
  <c r="U124" i="2"/>
  <c r="AY124" i="2"/>
  <c r="AW124" i="2"/>
  <c r="AM124" i="2"/>
  <c r="AK124" i="2"/>
  <c r="AC159" i="2"/>
  <c r="BE159" i="2"/>
  <c r="BC159" i="2"/>
  <c r="BA159" i="2"/>
  <c r="AW159" i="2"/>
  <c r="AS159" i="2"/>
  <c r="AO159" i="2"/>
  <c r="AM159" i="2"/>
  <c r="AG159" i="2"/>
  <c r="AA159" i="2"/>
  <c r="Y159" i="2"/>
  <c r="W187" i="2"/>
  <c r="BF187" i="2"/>
  <c r="AU246" i="2"/>
  <c r="AS246" i="2"/>
  <c r="AM246" i="2"/>
  <c r="AI246" i="2"/>
  <c r="AY246" i="2"/>
  <c r="AW246" i="2"/>
  <c r="AQ246" i="2"/>
  <c r="AO246" i="2"/>
  <c r="AK246" i="2"/>
  <c r="AG246" i="2"/>
  <c r="AE246" i="2"/>
  <c r="AC246" i="2"/>
  <c r="AA246" i="2"/>
  <c r="Y246" i="2"/>
  <c r="U246" i="2"/>
  <c r="BE246" i="2"/>
  <c r="BC246" i="2"/>
  <c r="BA246" i="2"/>
  <c r="W124" i="2"/>
  <c r="AA133" i="2"/>
  <c r="U159" i="2"/>
  <c r="W411" i="2"/>
  <c r="BF411" i="2"/>
  <c r="BF159" i="2"/>
  <c r="W159" i="2"/>
  <c r="AC170" i="2"/>
  <c r="BE170" i="2"/>
  <c r="BC170" i="2"/>
  <c r="AY170" i="2"/>
  <c r="AW170" i="2"/>
  <c r="AU170" i="2"/>
  <c r="AS170" i="2"/>
  <c r="AQ170" i="2"/>
  <c r="AO170" i="2"/>
  <c r="AK170" i="2"/>
  <c r="AI170" i="2"/>
  <c r="AE170" i="2"/>
  <c r="AA170" i="2"/>
  <c r="Y170" i="2"/>
  <c r="W343" i="2"/>
  <c r="BF151" i="2"/>
  <c r="AC153" i="2"/>
  <c r="AW153" i="2"/>
  <c r="AU153" i="2"/>
  <c r="AS153" i="2"/>
  <c r="AQ153" i="2"/>
  <c r="AO153" i="2"/>
  <c r="AK153" i="2"/>
  <c r="AG153" i="2"/>
  <c r="AA153" i="2"/>
  <c r="Y153" i="2"/>
  <c r="U153" i="2"/>
  <c r="AE159" i="2"/>
  <c r="U170" i="2"/>
  <c r="W178" i="2"/>
  <c r="BF178" i="2"/>
  <c r="AQ95" i="2"/>
  <c r="AC124" i="2"/>
  <c r="AM133" i="2"/>
  <c r="AC151" i="2"/>
  <c r="AS151" i="2"/>
  <c r="AQ151" i="2"/>
  <c r="AO151" i="2"/>
  <c r="AM151" i="2"/>
  <c r="AK151" i="2"/>
  <c r="AG151" i="2"/>
  <c r="AA151" i="2"/>
  <c r="BE151" i="2"/>
  <c r="AC157" i="2"/>
  <c r="BE157" i="2"/>
  <c r="BC157" i="2"/>
  <c r="BA157" i="2"/>
  <c r="AY157" i="2"/>
  <c r="AW157" i="2"/>
  <c r="AS157" i="2"/>
  <c r="AO157" i="2"/>
  <c r="AK157" i="2"/>
  <c r="AI157" i="2"/>
  <c r="AA157" i="2"/>
  <c r="U157" i="2"/>
  <c r="AI159" i="2"/>
  <c r="AG170" i="2"/>
  <c r="AQ39" i="2"/>
  <c r="AE56" i="2"/>
  <c r="AA56" i="2"/>
  <c r="AQ58" i="2"/>
  <c r="AW64" i="2"/>
  <c r="AQ72" i="2"/>
  <c r="AO79" i="2"/>
  <c r="AG85" i="2"/>
  <c r="AC85" i="2"/>
  <c r="Y85" i="2"/>
  <c r="AG94" i="2"/>
  <c r="AU95" i="2"/>
  <c r="AS110" i="2"/>
  <c r="AQ122" i="2"/>
  <c r="AE124" i="2"/>
  <c r="BF129" i="2"/>
  <c r="AQ133" i="2"/>
  <c r="U151" i="2"/>
  <c r="Y157" i="2"/>
  <c r="AK159" i="2"/>
  <c r="AM170" i="2"/>
  <c r="W195" i="2"/>
  <c r="W146" i="2"/>
  <c r="AQ159" i="2"/>
  <c r="W174" i="2"/>
  <c r="BF174" i="2"/>
  <c r="W215" i="2"/>
  <c r="BF215" i="2"/>
  <c r="BE92" i="2"/>
  <c r="BA92" i="2"/>
  <c r="AW92" i="2"/>
  <c r="AS92" i="2"/>
  <c r="AI92" i="2"/>
  <c r="AI124" i="2"/>
  <c r="AC143" i="2"/>
  <c r="AA143" i="2"/>
  <c r="Y143" i="2"/>
  <c r="U143" i="2"/>
  <c r="BE143" i="2"/>
  <c r="BC143" i="2"/>
  <c r="AS143" i="2"/>
  <c r="AQ143" i="2"/>
  <c r="AO143" i="2"/>
  <c r="AE151" i="2"/>
  <c r="AI153" i="2"/>
  <c r="AU159" i="2"/>
  <c r="AK174" i="2"/>
  <c r="AE174" i="2"/>
  <c r="AC174" i="2"/>
  <c r="AW174" i="2"/>
  <c r="AU174" i="2"/>
  <c r="AS174" i="2"/>
  <c r="AQ174" i="2"/>
  <c r="AO174" i="2"/>
  <c r="AM174" i="2"/>
  <c r="AI174" i="2"/>
  <c r="AG174" i="2"/>
  <c r="AA174" i="2"/>
  <c r="Y174" i="2"/>
  <c r="U174" i="2"/>
  <c r="BA174" i="2"/>
  <c r="AY174" i="2"/>
  <c r="AE36" i="2"/>
  <c r="AA36" i="2"/>
  <c r="AE55" i="2"/>
  <c r="AA55" i="2"/>
  <c r="Y56" i="2"/>
  <c r="BC81" i="2"/>
  <c r="AY81" i="2"/>
  <c r="AU81" i="2"/>
  <c r="AK81" i="2"/>
  <c r="AA85" i="2"/>
  <c r="U92" i="2"/>
  <c r="BF114" i="2"/>
  <c r="AO124" i="2"/>
  <c r="AC136" i="2"/>
  <c r="BE136" i="2"/>
  <c r="BC136" i="2"/>
  <c r="AY136" i="2"/>
  <c r="AU136" i="2"/>
  <c r="AQ136" i="2"/>
  <c r="AO136" i="2"/>
  <c r="AE136" i="2"/>
  <c r="AA136" i="2"/>
  <c r="Y136" i="2"/>
  <c r="W143" i="2"/>
  <c r="AI151" i="2"/>
  <c r="AM153" i="2"/>
  <c r="AM157" i="2"/>
  <c r="AY159" i="2"/>
  <c r="BC174" i="2"/>
  <c r="AQ124" i="2"/>
  <c r="BF134" i="2"/>
  <c r="W134" i="2"/>
  <c r="AE143" i="2"/>
  <c r="AU151" i="2"/>
  <c r="AY153" i="2"/>
  <c r="W184" i="2"/>
  <c r="BF184" i="2"/>
  <c r="BE340" i="2"/>
  <c r="BA340" i="2"/>
  <c r="AY340" i="2"/>
  <c r="AS340" i="2"/>
  <c r="AQ340" i="2"/>
  <c r="AO340" i="2"/>
  <c r="AG340" i="2"/>
  <c r="AC340" i="2"/>
  <c r="BC340" i="2"/>
  <c r="AW340" i="2"/>
  <c r="AU340" i="2"/>
  <c r="AI340" i="2"/>
  <c r="Y340" i="2"/>
  <c r="AM340" i="2"/>
  <c r="AK340" i="2"/>
  <c r="AE340" i="2"/>
  <c r="AA340" i="2"/>
  <c r="U340" i="2"/>
  <c r="AS124" i="2"/>
  <c r="AC134" i="2"/>
  <c r="BE134" i="2"/>
  <c r="BC134" i="2"/>
  <c r="BA134" i="2"/>
  <c r="AY134" i="2"/>
  <c r="AU134" i="2"/>
  <c r="AQ134" i="2"/>
  <c r="AM134" i="2"/>
  <c r="AK134" i="2"/>
  <c r="Y134" i="2"/>
  <c r="W142" i="2"/>
  <c r="BF142" i="2"/>
  <c r="AG143" i="2"/>
  <c r="AW151" i="2"/>
  <c r="BA153" i="2"/>
  <c r="AC160" i="2"/>
  <c r="BE160" i="2"/>
  <c r="BC160" i="2"/>
  <c r="AY160" i="2"/>
  <c r="AU160" i="2"/>
  <c r="AQ160" i="2"/>
  <c r="AO160" i="2"/>
  <c r="AI160" i="2"/>
  <c r="AE160" i="2"/>
  <c r="AA160" i="2"/>
  <c r="Y160" i="2"/>
  <c r="AE230" i="2"/>
  <c r="AC230" i="2"/>
  <c r="BC230" i="2"/>
  <c r="BE230" i="2"/>
  <c r="BA230" i="2"/>
  <c r="AW230" i="2"/>
  <c r="AU230" i="2"/>
  <c r="AS230" i="2"/>
  <c r="AI230" i="2"/>
  <c r="AG230" i="2"/>
  <c r="AY230" i="2"/>
  <c r="AQ230" i="2"/>
  <c r="AO230" i="2"/>
  <c r="AK230" i="2"/>
  <c r="AA230" i="2"/>
  <c r="Y230" i="2"/>
  <c r="U230" i="2"/>
  <c r="BE96" i="2"/>
  <c r="BA96" i="2"/>
  <c r="AW96" i="2"/>
  <c r="AS96" i="2"/>
  <c r="AI96" i="2"/>
  <c r="BA115" i="2"/>
  <c r="AS115" i="2"/>
  <c r="AQ115" i="2"/>
  <c r="AO115" i="2"/>
  <c r="AK115" i="2"/>
  <c r="AG115" i="2"/>
  <c r="Y115" i="2"/>
  <c r="AU124" i="2"/>
  <c r="W132" i="2"/>
  <c r="U134" i="2"/>
  <c r="AI143" i="2"/>
  <c r="AY151" i="2"/>
  <c r="BC153" i="2"/>
  <c r="BF157" i="2"/>
  <c r="U160" i="2"/>
  <c r="AM230" i="2"/>
  <c r="BF307" i="2"/>
  <c r="U115" i="2"/>
  <c r="BA124" i="2"/>
  <c r="AA134" i="2"/>
  <c r="W138" i="2"/>
  <c r="AK143" i="2"/>
  <c r="BA151" i="2"/>
  <c r="BE153" i="2"/>
  <c r="W167" i="2"/>
  <c r="BF167" i="2"/>
  <c r="W213" i="2"/>
  <c r="BF213" i="2"/>
  <c r="BC124" i="2"/>
  <c r="AA126" i="2"/>
  <c r="Y126" i="2"/>
  <c r="U126" i="2"/>
  <c r="BC126" i="2"/>
  <c r="BA126" i="2"/>
  <c r="AQ126" i="2"/>
  <c r="AO126" i="2"/>
  <c r="AE134" i="2"/>
  <c r="BC151" i="2"/>
  <c r="BF158" i="2"/>
  <c r="W158" i="2"/>
  <c r="AE34" i="2"/>
  <c r="AA34" i="2"/>
  <c r="AE92" i="2"/>
  <c r="AA115" i="2"/>
  <c r="BE124" i="2"/>
  <c r="BE123" i="2" s="1"/>
  <c r="W126" i="2"/>
  <c r="BF126" i="2"/>
  <c r="AG134" i="2"/>
  <c r="AU143" i="2"/>
  <c r="BF155" i="2"/>
  <c r="AC158" i="2"/>
  <c r="BE158" i="2"/>
  <c r="BC158" i="2"/>
  <c r="BA158" i="2"/>
  <c r="AY158" i="2"/>
  <c r="AU158" i="2"/>
  <c r="AQ158" i="2"/>
  <c r="AM158" i="2"/>
  <c r="AK158" i="2"/>
  <c r="AE158" i="2"/>
  <c r="Y158" i="2"/>
  <c r="AG160" i="2"/>
  <c r="AE278" i="2"/>
  <c r="AE277" i="2" s="1"/>
  <c r="U278" i="2"/>
  <c r="U277" i="2" s="1"/>
  <c r="BA278" i="2"/>
  <c r="BA277" i="2" s="1"/>
  <c r="AW278" i="2"/>
  <c r="AW277" i="2" s="1"/>
  <c r="AO278" i="2"/>
  <c r="AO277" i="2" s="1"/>
  <c r="AK278" i="2"/>
  <c r="AK277" i="2" s="1"/>
  <c r="BE278" i="2"/>
  <c r="BE277" i="2" s="1"/>
  <c r="BC278" i="2"/>
  <c r="BC277" i="2" s="1"/>
  <c r="AY278" i="2"/>
  <c r="AY277" i="2" s="1"/>
  <c r="AU278" i="2"/>
  <c r="AU277" i="2" s="1"/>
  <c r="AS278" i="2"/>
  <c r="AS277" i="2" s="1"/>
  <c r="AQ278" i="2"/>
  <c r="AQ277" i="2" s="1"/>
  <c r="AG278" i="2"/>
  <c r="AG277" i="2" s="1"/>
  <c r="AC278" i="2"/>
  <c r="AC277" i="2" s="1"/>
  <c r="AA278" i="2"/>
  <c r="AA277" i="2" s="1"/>
  <c r="Y278" i="2"/>
  <c r="Y277" i="2" s="1"/>
  <c r="AM278" i="2"/>
  <c r="AM277" i="2" s="1"/>
  <c r="AI278" i="2"/>
  <c r="AI277" i="2" s="1"/>
  <c r="AG92" i="2"/>
  <c r="Y96" i="2"/>
  <c r="AC115" i="2"/>
  <c r="AC126" i="2"/>
  <c r="AI134" i="2"/>
  <c r="AW143" i="2"/>
  <c r="U158" i="2"/>
  <c r="AK160" i="2"/>
  <c r="BF176" i="2"/>
  <c r="W176" i="2"/>
  <c r="Y207" i="2"/>
  <c r="W227" i="2"/>
  <c r="BF227" i="2"/>
  <c r="BE95" i="2"/>
  <c r="BA95" i="2"/>
  <c r="AW95" i="2"/>
  <c r="AS95" i="2"/>
  <c r="AI95" i="2"/>
  <c r="AA96" i="2"/>
  <c r="AE115" i="2"/>
  <c r="BA120" i="2"/>
  <c r="BE120" i="2"/>
  <c r="BC120" i="2"/>
  <c r="AY120" i="2"/>
  <c r="AU120" i="2"/>
  <c r="AQ120" i="2"/>
  <c r="AI120" i="2"/>
  <c r="AG120" i="2"/>
  <c r="AE126" i="2"/>
  <c r="AO134" i="2"/>
  <c r="AY143" i="2"/>
  <c r="AC145" i="2"/>
  <c r="AG145" i="2"/>
  <c r="AE145" i="2"/>
  <c r="AA145" i="2"/>
  <c r="Y145" i="2"/>
  <c r="U145" i="2"/>
  <c r="AW145" i="2"/>
  <c r="AU145" i="2"/>
  <c r="AS145" i="2"/>
  <c r="AA158" i="2"/>
  <c r="AM160" i="2"/>
  <c r="AC165" i="2"/>
  <c r="AI165" i="2"/>
  <c r="AG165" i="2"/>
  <c r="AE165" i="2"/>
  <c r="AA165" i="2"/>
  <c r="Y165" i="2"/>
  <c r="U165" i="2"/>
  <c r="BA165" i="2"/>
  <c r="AW165" i="2"/>
  <c r="AU165" i="2"/>
  <c r="AS165" i="2"/>
  <c r="AM165" i="2"/>
  <c r="AK165" i="2"/>
  <c r="AY64" i="2"/>
  <c r="AU64" i="2"/>
  <c r="AQ64" i="2"/>
  <c r="AM64" i="2"/>
  <c r="AC64" i="2"/>
  <c r="AM92" i="2"/>
  <c r="U95" i="2"/>
  <c r="AC96" i="2"/>
  <c r="AI115" i="2"/>
  <c r="U120" i="2"/>
  <c r="AG126" i="2"/>
  <c r="AS134" i="2"/>
  <c r="BA143" i="2"/>
  <c r="W145" i="2"/>
  <c r="BF145" i="2"/>
  <c r="AC147" i="2"/>
  <c r="AK147" i="2"/>
  <c r="AI147" i="2"/>
  <c r="AG147" i="2"/>
  <c r="AE147" i="2"/>
  <c r="AA147" i="2"/>
  <c r="U147" i="2"/>
  <c r="BA147" i="2"/>
  <c r="AY147" i="2"/>
  <c r="AW147" i="2"/>
  <c r="AC150" i="2"/>
  <c r="AQ150" i="2"/>
  <c r="AO150" i="2"/>
  <c r="AM150" i="2"/>
  <c r="AK150" i="2"/>
  <c r="AI150" i="2"/>
  <c r="AE150" i="2"/>
  <c r="Y150" i="2"/>
  <c r="U150" i="2"/>
  <c r="BE150" i="2"/>
  <c r="BC150" i="2"/>
  <c r="AG158" i="2"/>
  <c r="AS160" i="2"/>
  <c r="W235" i="2"/>
  <c r="U64" i="2"/>
  <c r="BC79" i="2"/>
  <c r="AY79" i="2"/>
  <c r="AU79" i="2"/>
  <c r="AK79" i="2"/>
  <c r="AO92" i="2"/>
  <c r="AE96" i="2"/>
  <c r="AM115" i="2"/>
  <c r="Y120" i="2"/>
  <c r="AI126" i="2"/>
  <c r="AW134" i="2"/>
  <c r="AI145" i="2"/>
  <c r="W147" i="2"/>
  <c r="W150" i="2"/>
  <c r="AI158" i="2"/>
  <c r="AW160" i="2"/>
  <c r="BA182" i="2"/>
  <c r="AU182" i="2"/>
  <c r="AS182" i="2"/>
  <c r="BE182" i="2"/>
  <c r="BC182" i="2"/>
  <c r="AY182" i="2"/>
  <c r="AW182" i="2"/>
  <c r="AQ182" i="2"/>
  <c r="AO182" i="2"/>
  <c r="AM182" i="2"/>
  <c r="AK182" i="2"/>
  <c r="AI182" i="2"/>
  <c r="AE182" i="2"/>
  <c r="AC182" i="2"/>
  <c r="AA182" i="2"/>
  <c r="Y182" i="2"/>
  <c r="W216" i="2"/>
  <c r="BF216" i="2"/>
  <c r="AG34" i="2"/>
  <c r="AM39" i="2"/>
  <c r="AI39" i="2"/>
  <c r="AE39" i="2"/>
  <c r="AS49" i="2"/>
  <c r="AM58" i="2"/>
  <c r="AI58" i="2"/>
  <c r="AE58" i="2"/>
  <c r="AA72" i="2"/>
  <c r="U72" i="2"/>
  <c r="BA72" i="2"/>
  <c r="U79" i="2"/>
  <c r="AO81" i="2"/>
  <c r="BA85" i="2"/>
  <c r="AQ92" i="2"/>
  <c r="AG96" i="2"/>
  <c r="BA106" i="2"/>
  <c r="AA106" i="2"/>
  <c r="Y106" i="2"/>
  <c r="U106" i="2"/>
  <c r="BC106" i="2"/>
  <c r="BA114" i="2"/>
  <c r="AQ114" i="2"/>
  <c r="AO114" i="2"/>
  <c r="AM114" i="2"/>
  <c r="AI114" i="2"/>
  <c r="AE114" i="2"/>
  <c r="AU115" i="2"/>
  <c r="AA120" i="2"/>
  <c r="AK126" i="2"/>
  <c r="W144" i="2"/>
  <c r="BF144" i="2"/>
  <c r="AK145" i="2"/>
  <c r="Y147" i="2"/>
  <c r="AA150" i="2"/>
  <c r="AO158" i="2"/>
  <c r="BA160" i="2"/>
  <c r="AY165" i="2"/>
  <c r="U182" i="2"/>
  <c r="Y95" i="2"/>
  <c r="AK96" i="2"/>
  <c r="BA110" i="2"/>
  <c r="AI110" i="2"/>
  <c r="AG110" i="2"/>
  <c r="AE110" i="2"/>
  <c r="AA110" i="2"/>
  <c r="AW115" i="2"/>
  <c r="AC120" i="2"/>
  <c r="BA122" i="2"/>
  <c r="BE122" i="2"/>
  <c r="AY122" i="2"/>
  <c r="AU122" i="2"/>
  <c r="AM122" i="2"/>
  <c r="AK122" i="2"/>
  <c r="AA122" i="2"/>
  <c r="Y122" i="2"/>
  <c r="AM126" i="2"/>
  <c r="AC137" i="2"/>
  <c r="BE137" i="2"/>
  <c r="BA137" i="2"/>
  <c r="AW137" i="2"/>
  <c r="AS137" i="2"/>
  <c r="AQ137" i="2"/>
  <c r="AG137" i="2"/>
  <c r="AE137" i="2"/>
  <c r="AA137" i="2"/>
  <c r="AM145" i="2"/>
  <c r="AM147" i="2"/>
  <c r="AG150" i="2"/>
  <c r="AS158" i="2"/>
  <c r="BC165" i="2"/>
  <c r="AG182" i="2"/>
  <c r="BE220" i="2"/>
  <c r="BA220" i="2"/>
  <c r="AW220" i="2"/>
  <c r="AS220" i="2"/>
  <c r="AI220" i="2"/>
  <c r="AG220" i="2"/>
  <c r="BC220" i="2"/>
  <c r="AY220" i="2"/>
  <c r="AU220" i="2"/>
  <c r="AQ220" i="2"/>
  <c r="AM220" i="2"/>
  <c r="AK220" i="2"/>
  <c r="AE220" i="2"/>
  <c r="AC220" i="2"/>
  <c r="AA220" i="2"/>
  <c r="Y220" i="2"/>
  <c r="W52" i="2"/>
  <c r="Y64" i="2"/>
  <c r="AS81" i="2"/>
  <c r="AY92" i="2"/>
  <c r="BE94" i="2"/>
  <c r="BA94" i="2"/>
  <c r="AW94" i="2"/>
  <c r="AS94" i="2"/>
  <c r="AI94" i="2"/>
  <c r="AA95" i="2"/>
  <c r="AM96" i="2"/>
  <c r="AC106" i="2"/>
  <c r="U110" i="2"/>
  <c r="Y114" i="2"/>
  <c r="AY115" i="2"/>
  <c r="AE120" i="2"/>
  <c r="U122" i="2"/>
  <c r="AS126" i="2"/>
  <c r="AC135" i="2"/>
  <c r="BE135" i="2"/>
  <c r="BC135" i="2"/>
  <c r="BA135" i="2"/>
  <c r="AW135" i="2"/>
  <c r="AS135" i="2"/>
  <c r="AO135" i="2"/>
  <c r="AM135" i="2"/>
  <c r="AA135" i="2"/>
  <c r="Y135" i="2"/>
  <c r="U137" i="2"/>
  <c r="AO145" i="2"/>
  <c r="AO147" i="2"/>
  <c r="AS150" i="2"/>
  <c r="AW158" i="2"/>
  <c r="AC161" i="2"/>
  <c r="BE161" i="2"/>
  <c r="BA161" i="2"/>
  <c r="AW161" i="2"/>
  <c r="AS161" i="2"/>
  <c r="AQ161" i="2"/>
  <c r="AK161" i="2"/>
  <c r="AG161" i="2"/>
  <c r="AE161" i="2"/>
  <c r="AA161" i="2"/>
  <c r="BE165" i="2"/>
  <c r="W201" i="2"/>
  <c r="BF201" i="2"/>
  <c r="U220" i="2"/>
  <c r="AS194" i="2"/>
  <c r="BC197" i="2"/>
  <c r="BC196" i="2" s="1"/>
  <c r="AY197" i="2"/>
  <c r="AY196" i="2" s="1"/>
  <c r="AS197" i="2"/>
  <c r="AS196" i="2" s="1"/>
  <c r="AQ197" i="2"/>
  <c r="AQ196" i="2" s="1"/>
  <c r="AM197" i="2"/>
  <c r="AM196" i="2" s="1"/>
  <c r="BE218" i="2"/>
  <c r="BA218" i="2"/>
  <c r="AY218" i="2"/>
  <c r="AW218" i="2"/>
  <c r="AS218" i="2"/>
  <c r="AO218" i="2"/>
  <c r="AK218" i="2"/>
  <c r="AA218" i="2"/>
  <c r="Y218" i="2"/>
  <c r="BC256" i="2"/>
  <c r="BA256" i="2"/>
  <c r="AU256" i="2"/>
  <c r="AQ256" i="2"/>
  <c r="AI256" i="2"/>
  <c r="AE256" i="2"/>
  <c r="BE256" i="2"/>
  <c r="AY256" i="2"/>
  <c r="AW256" i="2"/>
  <c r="AK256" i="2"/>
  <c r="AG256" i="2"/>
  <c r="Y256" i="2"/>
  <c r="BF267" i="2"/>
  <c r="W267" i="2"/>
  <c r="BE304" i="2"/>
  <c r="W170" i="2"/>
  <c r="Y171" i="2"/>
  <c r="AU173" i="2"/>
  <c r="AO179" i="2"/>
  <c r="AG185" i="2"/>
  <c r="AK191" i="2"/>
  <c r="U197" i="2"/>
  <c r="U196" i="2" s="1"/>
  <c r="U218" i="2"/>
  <c r="W220" i="2"/>
  <c r="BF220" i="2"/>
  <c r="BC250" i="2"/>
  <c r="BA250" i="2"/>
  <c r="AU250" i="2"/>
  <c r="AQ250" i="2"/>
  <c r="AE250" i="2"/>
  <c r="AS250" i="2"/>
  <c r="AO250" i="2"/>
  <c r="AM250" i="2"/>
  <c r="AK250" i="2"/>
  <c r="AI250" i="2"/>
  <c r="AG250" i="2"/>
  <c r="AC250" i="2"/>
  <c r="AA250" i="2"/>
  <c r="Y250" i="2"/>
  <c r="U250" i="2"/>
  <c r="U256" i="2"/>
  <c r="AK274" i="2"/>
  <c r="AI274" i="2"/>
  <c r="AC274" i="2"/>
  <c r="Y274" i="2"/>
  <c r="BA274" i="2"/>
  <c r="AY274" i="2"/>
  <c r="AW274" i="2"/>
  <c r="AU274" i="2"/>
  <c r="AS274" i="2"/>
  <c r="AQ274" i="2"/>
  <c r="AO274" i="2"/>
  <c r="AM274" i="2"/>
  <c r="AG274" i="2"/>
  <c r="AE274" i="2"/>
  <c r="AA274" i="2"/>
  <c r="U274" i="2"/>
  <c r="BE274" i="2"/>
  <c r="AQ295" i="2"/>
  <c r="AQ294" i="2" s="1"/>
  <c r="AO295" i="2"/>
  <c r="AO294" i="2" s="1"/>
  <c r="AE295" i="2"/>
  <c r="AE294" i="2" s="1"/>
  <c r="AS295" i="2"/>
  <c r="AS294" i="2" s="1"/>
  <c r="AM295" i="2"/>
  <c r="AM294" i="2" s="1"/>
  <c r="AK295" i="2"/>
  <c r="AK294" i="2" s="1"/>
  <c r="AG295" i="2"/>
  <c r="AG294" i="2" s="1"/>
  <c r="AA295" i="2"/>
  <c r="AA294" i="2" s="1"/>
  <c r="U295" i="2"/>
  <c r="U294" i="2" s="1"/>
  <c r="BE295" i="2"/>
  <c r="BE294" i="2" s="1"/>
  <c r="BC295" i="2"/>
  <c r="BC294" i="2" s="1"/>
  <c r="BA295" i="2"/>
  <c r="BA294" i="2" s="1"/>
  <c r="AY295" i="2"/>
  <c r="AY294" i="2" s="1"/>
  <c r="AW295" i="2"/>
  <c r="AW294" i="2" s="1"/>
  <c r="AU295" i="2"/>
  <c r="AU294" i="2" s="1"/>
  <c r="AI295" i="2"/>
  <c r="AI294" i="2" s="1"/>
  <c r="AC295" i="2"/>
  <c r="AC294" i="2" s="1"/>
  <c r="Y295" i="2"/>
  <c r="Y294" i="2" s="1"/>
  <c r="AK141" i="2"/>
  <c r="AU146" i="2"/>
  <c r="AG171" i="2"/>
  <c r="BA173" i="2"/>
  <c r="AK176" i="2"/>
  <c r="AE176" i="2"/>
  <c r="AC176" i="2"/>
  <c r="AW179" i="2"/>
  <c r="AW177" i="2" s="1"/>
  <c r="BC180" i="2"/>
  <c r="AA183" i="2"/>
  <c r="AM185" i="2"/>
  <c r="AQ191" i="2"/>
  <c r="AQ189" i="2" s="1"/>
  <c r="Y197" i="2"/>
  <c r="Y196" i="2" s="1"/>
  <c r="BF199" i="2"/>
  <c r="AG218" i="2"/>
  <c r="AA256" i="2"/>
  <c r="BF278" i="2"/>
  <c r="W278" i="2"/>
  <c r="U132" i="2"/>
  <c r="AM141" i="2"/>
  <c r="AW146" i="2"/>
  <c r="U156" i="2"/>
  <c r="AI171" i="2"/>
  <c r="BC173" i="2"/>
  <c r="U176" i="2"/>
  <c r="AY179" i="2"/>
  <c r="AC183" i="2"/>
  <c r="AO185" i="2"/>
  <c r="AS191" i="2"/>
  <c r="AA197" i="2"/>
  <c r="AA196" i="2" s="1"/>
  <c r="AI218" i="2"/>
  <c r="AC256" i="2"/>
  <c r="BF297" i="2"/>
  <c r="U118" i="2"/>
  <c r="U131" i="2"/>
  <c r="AO141" i="2"/>
  <c r="AY146" i="2"/>
  <c r="U155" i="2"/>
  <c r="AK171" i="2"/>
  <c r="BA179" i="2"/>
  <c r="AE183" i="2"/>
  <c r="AQ185" i="2"/>
  <c r="AU191" i="2"/>
  <c r="AU189" i="2" s="1"/>
  <c r="AC197" i="2"/>
  <c r="AC196" i="2" s="1"/>
  <c r="AM218" i="2"/>
  <c r="W228" i="2"/>
  <c r="AM256" i="2"/>
  <c r="W268" i="2"/>
  <c r="BF268" i="2"/>
  <c r="AK175" i="2"/>
  <c r="AE175" i="2"/>
  <c r="AC175" i="2"/>
  <c r="BA188" i="2"/>
  <c r="AU188" i="2"/>
  <c r="AS188" i="2"/>
  <c r="AO188" i="2"/>
  <c r="AE197" i="2"/>
  <c r="AE196" i="2" s="1"/>
  <c r="AU214" i="2"/>
  <c r="AQ214" i="2"/>
  <c r="AO214" i="2"/>
  <c r="AM214" i="2"/>
  <c r="AI214" i="2"/>
  <c r="AA214" i="2"/>
  <c r="AQ218" i="2"/>
  <c r="AE228" i="2"/>
  <c r="AC228" i="2"/>
  <c r="BE228" i="2"/>
  <c r="BC228" i="2"/>
  <c r="BA228" i="2"/>
  <c r="AY228" i="2"/>
  <c r="AW228" i="2"/>
  <c r="AU228" i="2"/>
  <c r="AS228" i="2"/>
  <c r="AO228" i="2"/>
  <c r="AM228" i="2"/>
  <c r="AK228" i="2"/>
  <c r="W244" i="2"/>
  <c r="BF244" i="2"/>
  <c r="AO256" i="2"/>
  <c r="AC272" i="2"/>
  <c r="AA272" i="2"/>
  <c r="U272" i="2"/>
  <c r="BE272" i="2"/>
  <c r="BA272" i="2"/>
  <c r="BC272" i="2"/>
  <c r="AY272" i="2"/>
  <c r="AW272" i="2"/>
  <c r="AU272" i="2"/>
  <c r="AO272" i="2"/>
  <c r="AM272" i="2"/>
  <c r="AK272" i="2"/>
  <c r="AI272" i="2"/>
  <c r="AG272" i="2"/>
  <c r="AU284" i="2"/>
  <c r="AI284" i="2"/>
  <c r="BA284" i="2"/>
  <c r="AY284" i="2"/>
  <c r="AQ284" i="2"/>
  <c r="AM284" i="2"/>
  <c r="AC284" i="2"/>
  <c r="Y284" i="2"/>
  <c r="BE284" i="2"/>
  <c r="BC284" i="2"/>
  <c r="AW284" i="2"/>
  <c r="AS284" i="2"/>
  <c r="AO284" i="2"/>
  <c r="AK284" i="2"/>
  <c r="AE284" i="2"/>
  <c r="AA284" i="2"/>
  <c r="U284" i="2"/>
  <c r="BE339" i="2"/>
  <c r="BA339" i="2"/>
  <c r="AY339" i="2"/>
  <c r="AS339" i="2"/>
  <c r="AQ339" i="2"/>
  <c r="AO339" i="2"/>
  <c r="AG339" i="2"/>
  <c r="AC339" i="2"/>
  <c r="BC339" i="2"/>
  <c r="AW339" i="2"/>
  <c r="AU339" i="2"/>
  <c r="AM339" i="2"/>
  <c r="AK339" i="2"/>
  <c r="AI339" i="2"/>
  <c r="AE339" i="2"/>
  <c r="AA339" i="2"/>
  <c r="Y339" i="2"/>
  <c r="U339" i="2"/>
  <c r="Y156" i="2"/>
  <c r="BF166" i="2"/>
  <c r="AO171" i="2"/>
  <c r="U175" i="2"/>
  <c r="AI183" i="2"/>
  <c r="U188" i="2"/>
  <c r="AG197" i="2"/>
  <c r="AG196" i="2" s="1"/>
  <c r="U214" i="2"/>
  <c r="AU218" i="2"/>
  <c r="U228" i="2"/>
  <c r="BC251" i="2"/>
  <c r="BA251" i="2"/>
  <c r="AU251" i="2"/>
  <c r="AQ251" i="2"/>
  <c r="AI251" i="2"/>
  <c r="AE251" i="2"/>
  <c r="BE251" i="2"/>
  <c r="AY251" i="2"/>
  <c r="AW251" i="2"/>
  <c r="AS251" i="2"/>
  <c r="AO251" i="2"/>
  <c r="AM251" i="2"/>
  <c r="AK251" i="2"/>
  <c r="AG251" i="2"/>
  <c r="AC251" i="2"/>
  <c r="U251" i="2"/>
  <c r="AS256" i="2"/>
  <c r="BF281" i="2"/>
  <c r="W281" i="2"/>
  <c r="AG284" i="2"/>
  <c r="AI197" i="2"/>
  <c r="AI196" i="2" s="1"/>
  <c r="W214" i="2"/>
  <c r="BA217" i="2"/>
  <c r="AW217" i="2"/>
  <c r="AU217" i="2"/>
  <c r="AS217" i="2"/>
  <c r="AO217" i="2"/>
  <c r="AG217" i="2"/>
  <c r="U217" i="2"/>
  <c r="BC218" i="2"/>
  <c r="Y228" i="2"/>
  <c r="AU241" i="2"/>
  <c r="AS241" i="2"/>
  <c r="AI241" i="2"/>
  <c r="AY241" i="2"/>
  <c r="AW241" i="2"/>
  <c r="AQ241" i="2"/>
  <c r="AO241" i="2"/>
  <c r="AM241" i="2"/>
  <c r="AK241" i="2"/>
  <c r="AG241" i="2"/>
  <c r="AE241" i="2"/>
  <c r="AC241" i="2"/>
  <c r="AA241" i="2"/>
  <c r="Y241" i="2"/>
  <c r="Y272" i="2"/>
  <c r="AA117" i="2"/>
  <c r="AC118" i="2"/>
  <c r="AE131" i="2"/>
  <c r="AG132" i="2"/>
  <c r="AU139" i="2"/>
  <c r="AY141" i="2"/>
  <c r="AA154" i="2"/>
  <c r="AE155" i="2"/>
  <c r="AG156" i="2"/>
  <c r="AU163" i="2"/>
  <c r="AA168" i="2"/>
  <c r="AI169" i="2"/>
  <c r="AU171" i="2"/>
  <c r="Y175" i="2"/>
  <c r="AI176" i="2"/>
  <c r="AO183" i="2"/>
  <c r="BF185" i="2"/>
  <c r="BA187" i="2"/>
  <c r="AU187" i="2"/>
  <c r="AS187" i="2"/>
  <c r="AO187" i="2"/>
  <c r="Y188" i="2"/>
  <c r="BE194" i="2"/>
  <c r="AO197" i="2"/>
  <c r="AO196" i="2" s="1"/>
  <c r="BE199" i="2"/>
  <c r="BE198" i="2" s="1"/>
  <c r="BC199" i="2"/>
  <c r="BC198" i="2" s="1"/>
  <c r="BA199" i="2"/>
  <c r="BA198" i="2" s="1"/>
  <c r="AW199" i="2"/>
  <c r="AW198" i="2" s="1"/>
  <c r="AC214" i="2"/>
  <c r="AA217" i="2"/>
  <c r="AG228" i="2"/>
  <c r="BA241" i="2"/>
  <c r="AA251" i="2"/>
  <c r="BC260" i="2"/>
  <c r="BA260" i="2"/>
  <c r="AU260" i="2"/>
  <c r="AQ260" i="2"/>
  <c r="AI260" i="2"/>
  <c r="AE260" i="2"/>
  <c r="BE260" i="2"/>
  <c r="AY260" i="2"/>
  <c r="AW260" i="2"/>
  <c r="AK260" i="2"/>
  <c r="AG260" i="2"/>
  <c r="AC260" i="2"/>
  <c r="Y260" i="2"/>
  <c r="AQ272" i="2"/>
  <c r="AC117" i="2"/>
  <c r="AE118" i="2"/>
  <c r="AG131" i="2"/>
  <c r="AI132" i="2"/>
  <c r="BA141" i="2"/>
  <c r="Y152" i="2"/>
  <c r="AE154" i="2"/>
  <c r="AG155" i="2"/>
  <c r="AI156" i="2"/>
  <c r="AE168" i="2"/>
  <c r="AK169" i="2"/>
  <c r="AW171" i="2"/>
  <c r="AA175" i="2"/>
  <c r="AS180" i="2"/>
  <c r="AM180" i="2"/>
  <c r="AK180" i="2"/>
  <c r="AQ183" i="2"/>
  <c r="AA188" i="2"/>
  <c r="AU197" i="2"/>
  <c r="AU196" i="2" s="1"/>
  <c r="AK207" i="2"/>
  <c r="AE210" i="2"/>
  <c r="AE209" i="2" s="1"/>
  <c r="AA210" i="2"/>
  <c r="AA209" i="2" s="1"/>
  <c r="Y210" i="2"/>
  <c r="Y209" i="2" s="1"/>
  <c r="U210" i="2"/>
  <c r="U209" i="2" s="1"/>
  <c r="AE214" i="2"/>
  <c r="AC217" i="2"/>
  <c r="W219" i="2"/>
  <c r="AI228" i="2"/>
  <c r="AU235" i="2"/>
  <c r="AS235" i="2"/>
  <c r="BE235" i="2"/>
  <c r="BC235" i="2"/>
  <c r="BA235" i="2"/>
  <c r="AY235" i="2"/>
  <c r="AW235" i="2"/>
  <c r="AQ235" i="2"/>
  <c r="AO235" i="2"/>
  <c r="AM235" i="2"/>
  <c r="AK235" i="2"/>
  <c r="AI235" i="2"/>
  <c r="AA235" i="2"/>
  <c r="Y235" i="2"/>
  <c r="BC241" i="2"/>
  <c r="U260" i="2"/>
  <c r="AS272" i="2"/>
  <c r="AK173" i="2"/>
  <c r="AE173" i="2"/>
  <c r="AC173" i="2"/>
  <c r="AG175" i="2"/>
  <c r="AC188" i="2"/>
  <c r="AW197" i="2"/>
  <c r="AW196" i="2" s="1"/>
  <c r="AG214" i="2"/>
  <c r="AE217" i="2"/>
  <c r="BE219" i="2"/>
  <c r="BC219" i="2"/>
  <c r="BA219" i="2"/>
  <c r="AW219" i="2"/>
  <c r="AS219" i="2"/>
  <c r="AO219" i="2"/>
  <c r="AE219" i="2"/>
  <c r="AC219" i="2"/>
  <c r="AQ228" i="2"/>
  <c r="BE241" i="2"/>
  <c r="W249" i="2"/>
  <c r="BF249" i="2"/>
  <c r="BC252" i="2"/>
  <c r="BA252" i="2"/>
  <c r="AU252" i="2"/>
  <c r="AQ252" i="2"/>
  <c r="AI252" i="2"/>
  <c r="AE252" i="2"/>
  <c r="BE252" i="2"/>
  <c r="AY252" i="2"/>
  <c r="AW252" i="2"/>
  <c r="AK252" i="2"/>
  <c r="AG252" i="2"/>
  <c r="W273" i="2"/>
  <c r="BF273" i="2"/>
  <c r="AM132" i="2"/>
  <c r="BE141" i="2"/>
  <c r="AE152" i="2"/>
  <c r="AI154" i="2"/>
  <c r="AK155" i="2"/>
  <c r="AM156" i="2"/>
  <c r="AI168" i="2"/>
  <c r="AO169" i="2"/>
  <c r="BA171" i="2"/>
  <c r="U173" i="2"/>
  <c r="AI175" i="2"/>
  <c r="AQ176" i="2"/>
  <c r="AY183" i="2"/>
  <c r="BA186" i="2"/>
  <c r="AU186" i="2"/>
  <c r="AS186" i="2"/>
  <c r="AE188" i="2"/>
  <c r="AU195" i="2"/>
  <c r="AM195" i="2"/>
  <c r="AG195" i="2"/>
  <c r="AE195" i="2"/>
  <c r="AA195" i="2"/>
  <c r="BA197" i="2"/>
  <c r="BA196" i="2" s="1"/>
  <c r="AC210" i="2"/>
  <c r="AC209" i="2" s="1"/>
  <c r="AS213" i="2"/>
  <c r="AO213" i="2"/>
  <c r="AM213" i="2"/>
  <c r="AK213" i="2"/>
  <c r="AG213" i="2"/>
  <c r="Y213" i="2"/>
  <c r="AK214" i="2"/>
  <c r="AI217" i="2"/>
  <c r="U219" i="2"/>
  <c r="BF228" i="2"/>
  <c r="U252" i="2"/>
  <c r="BF262" i="2"/>
  <c r="BE302" i="2"/>
  <c r="AU302" i="2"/>
  <c r="AY302" i="2"/>
  <c r="AW302" i="2"/>
  <c r="AS302" i="2"/>
  <c r="AQ302" i="2"/>
  <c r="AO302" i="2"/>
  <c r="AK302" i="2"/>
  <c r="AG302" i="2"/>
  <c r="AC302" i="2"/>
  <c r="Y302" i="2"/>
  <c r="BC302" i="2"/>
  <c r="BA302" i="2"/>
  <c r="AM302" i="2"/>
  <c r="AI302" i="2"/>
  <c r="AE302" i="2"/>
  <c r="AA302" i="2"/>
  <c r="U302" i="2"/>
  <c r="AM175" i="2"/>
  <c r="AS179" i="2"/>
  <c r="AM179" i="2"/>
  <c r="AK179" i="2"/>
  <c r="AG188" i="2"/>
  <c r="BC191" i="2"/>
  <c r="BA191" i="2"/>
  <c r="AW191" i="2"/>
  <c r="BE197" i="2"/>
  <c r="BE196" i="2" s="1"/>
  <c r="AS214" i="2"/>
  <c r="AK217" i="2"/>
  <c r="AY319" i="2"/>
  <c r="AW319" i="2"/>
  <c r="AM319" i="2"/>
  <c r="AG319" i="2"/>
  <c r="AE319" i="2"/>
  <c r="AC319" i="2"/>
  <c r="BC319" i="2"/>
  <c r="BA319" i="2"/>
  <c r="AU319" i="2"/>
  <c r="AS319" i="2"/>
  <c r="AQ319" i="2"/>
  <c r="AO319" i="2"/>
  <c r="AK319" i="2"/>
  <c r="AA319" i="2"/>
  <c r="U319" i="2"/>
  <c r="BE319" i="2"/>
  <c r="AI319" i="2"/>
  <c r="BA99" i="2"/>
  <c r="BA100" i="2"/>
  <c r="Y111" i="2"/>
  <c r="AA112" i="2"/>
  <c r="AK117" i="2"/>
  <c r="AM118" i="2"/>
  <c r="BF124" i="2"/>
  <c r="AC129" i="2"/>
  <c r="AC128" i="2" s="1"/>
  <c r="AO131" i="2"/>
  <c r="AQ132" i="2"/>
  <c r="BC138" i="2"/>
  <c r="BE139" i="2"/>
  <c r="Y148" i="2"/>
  <c r="AA149" i="2"/>
  <c r="AI152" i="2"/>
  <c r="AM154" i="2"/>
  <c r="AO155" i="2"/>
  <c r="AQ156" i="2"/>
  <c r="BC162" i="2"/>
  <c r="BE163" i="2"/>
  <c r="W165" i="2"/>
  <c r="Y166" i="2"/>
  <c r="AG167" i="2"/>
  <c r="AM168" i="2"/>
  <c r="AS169" i="2"/>
  <c r="BE171" i="2"/>
  <c r="AO175" i="2"/>
  <c r="AU176" i="2"/>
  <c r="U179" i="2"/>
  <c r="Y180" i="2"/>
  <c r="AA187" i="2"/>
  <c r="AI188" i="2"/>
  <c r="U191" i="2"/>
  <c r="AA199" i="2"/>
  <c r="AA198" i="2" s="1"/>
  <c r="AS207" i="2"/>
  <c r="BA207" i="2"/>
  <c r="AI210" i="2"/>
  <c r="AI209" i="2" s="1"/>
  <c r="AW214" i="2"/>
  <c r="AM217" i="2"/>
  <c r="AA219" i="2"/>
  <c r="AE235" i="2"/>
  <c r="W242" i="2"/>
  <c r="BF242" i="2"/>
  <c r="W252" i="2"/>
  <c r="AM260" i="2"/>
  <c r="Y319" i="2"/>
  <c r="AQ175" i="2"/>
  <c r="BA185" i="2"/>
  <c r="AU185" i="2"/>
  <c r="AS185" i="2"/>
  <c r="AK188" i="2"/>
  <c r="AU207" i="2"/>
  <c r="AK210" i="2"/>
  <c r="AK209" i="2" s="1"/>
  <c r="AY214" i="2"/>
  <c r="AQ217" i="2"/>
  <c r="AG219" i="2"/>
  <c r="AE229" i="2"/>
  <c r="AC229" i="2"/>
  <c r="BE229" i="2"/>
  <c r="BC229" i="2"/>
  <c r="BA229" i="2"/>
  <c r="AY229" i="2"/>
  <c r="AW229" i="2"/>
  <c r="AS229" i="2"/>
  <c r="AQ229" i="2"/>
  <c r="AO229" i="2"/>
  <c r="AA229" i="2"/>
  <c r="Y229" i="2"/>
  <c r="AU242" i="2"/>
  <c r="AS242" i="2"/>
  <c r="AI242" i="2"/>
  <c r="BE242" i="2"/>
  <c r="BC242" i="2"/>
  <c r="BA242" i="2"/>
  <c r="AY242" i="2"/>
  <c r="AW242" i="2"/>
  <c r="AQ242" i="2"/>
  <c r="AO242" i="2"/>
  <c r="AM242" i="2"/>
  <c r="AK242" i="2"/>
  <c r="AG242" i="2"/>
  <c r="AE242" i="2"/>
  <c r="U242" i="2"/>
  <c r="Y252" i="2"/>
  <c r="W263" i="2"/>
  <c r="BF266" i="2"/>
  <c r="AW290" i="2"/>
  <c r="BF391" i="2"/>
  <c r="W391" i="2"/>
  <c r="AC111" i="2"/>
  <c r="AE112" i="2"/>
  <c r="AO117" i="2"/>
  <c r="AQ118" i="2"/>
  <c r="AG129" i="2"/>
  <c r="AG128" i="2" s="1"/>
  <c r="AS131" i="2"/>
  <c r="AU132" i="2"/>
  <c r="Y146" i="2"/>
  <c r="AE148" i="2"/>
  <c r="AG149" i="2"/>
  <c r="AM152" i="2"/>
  <c r="AQ154" i="2"/>
  <c r="AS155" i="2"/>
  <c r="AU156" i="2"/>
  <c r="AE166" i="2"/>
  <c r="AK167" i="2"/>
  <c r="AQ168" i="2"/>
  <c r="AW169" i="2"/>
  <c r="AA173" i="2"/>
  <c r="AS175" i="2"/>
  <c r="AY176" i="2"/>
  <c r="AS178" i="2"/>
  <c r="AM178" i="2"/>
  <c r="AK178" i="2"/>
  <c r="AC180" i="2"/>
  <c r="U185" i="2"/>
  <c r="Y186" i="2"/>
  <c r="AE187" i="2"/>
  <c r="AM188" i="2"/>
  <c r="Y195" i="2"/>
  <c r="AE199" i="2"/>
  <c r="AE198" i="2" s="1"/>
  <c r="BE200" i="2"/>
  <c r="AW207" i="2"/>
  <c r="AM210" i="2"/>
  <c r="AM209" i="2" s="1"/>
  <c r="AC213" i="2"/>
  <c r="BA214" i="2"/>
  <c r="AY217" i="2"/>
  <c r="AI219" i="2"/>
  <c r="U229" i="2"/>
  <c r="Y242" i="2"/>
  <c r="AA252" i="2"/>
  <c r="AS260" i="2"/>
  <c r="AA146" i="2"/>
  <c r="AG148" i="2"/>
  <c r="AO152" i="2"/>
  <c r="AS154" i="2"/>
  <c r="AU155" i="2"/>
  <c r="AW156" i="2"/>
  <c r="AG166" i="2"/>
  <c r="AS168" i="2"/>
  <c r="AY169" i="2"/>
  <c r="AG173" i="2"/>
  <c r="AU175" i="2"/>
  <c r="BA176" i="2"/>
  <c r="Y179" i="2"/>
  <c r="AE180" i="2"/>
  <c r="AQ188" i="2"/>
  <c r="BC190" i="2"/>
  <c r="BA190" i="2"/>
  <c r="AW190" i="2"/>
  <c r="Y191" i="2"/>
  <c r="AY207" i="2"/>
  <c r="AO210" i="2"/>
  <c r="AO209" i="2" s="1"/>
  <c r="BC214" i="2"/>
  <c r="BC217" i="2"/>
  <c r="AK219" i="2"/>
  <c r="AU236" i="2"/>
  <c r="AS236" i="2"/>
  <c r="BE236" i="2"/>
  <c r="BC236" i="2"/>
  <c r="BA236" i="2"/>
  <c r="AY236" i="2"/>
  <c r="AW236" i="2"/>
  <c r="AQ236" i="2"/>
  <c r="AO236" i="2"/>
  <c r="AG236" i="2"/>
  <c r="AE236" i="2"/>
  <c r="AA242" i="2"/>
  <c r="AC252" i="2"/>
  <c r="BC255" i="2"/>
  <c r="BA255" i="2"/>
  <c r="AU255" i="2"/>
  <c r="AQ255" i="2"/>
  <c r="AI255" i="2"/>
  <c r="AE255" i="2"/>
  <c r="BE255" i="2"/>
  <c r="AY255" i="2"/>
  <c r="AW255" i="2"/>
  <c r="AS255" i="2"/>
  <c r="AO255" i="2"/>
  <c r="AM255" i="2"/>
  <c r="AK255" i="2"/>
  <c r="AG255" i="2"/>
  <c r="AC255" i="2"/>
  <c r="U255" i="2"/>
  <c r="Y107" i="2"/>
  <c r="AG111" i="2"/>
  <c r="AI112" i="2"/>
  <c r="AS117" i="2"/>
  <c r="AU118" i="2"/>
  <c r="AK129" i="2"/>
  <c r="AK128" i="2" s="1"/>
  <c r="AW131" i="2"/>
  <c r="AY132" i="2"/>
  <c r="U141" i="2"/>
  <c r="AE146" i="2"/>
  <c r="AI148" i="2"/>
  <c r="AK149" i="2"/>
  <c r="AQ152" i="2"/>
  <c r="AU154" i="2"/>
  <c r="AW155" i="2"/>
  <c r="AY156" i="2"/>
  <c r="AI166" i="2"/>
  <c r="AO167" i="2"/>
  <c r="AU168" i="2"/>
  <c r="BA169" i="2"/>
  <c r="BF170" i="2"/>
  <c r="AI173" i="2"/>
  <c r="AW175" i="2"/>
  <c r="BC176" i="2"/>
  <c r="AA179" i="2"/>
  <c r="AG180" i="2"/>
  <c r="BA184" i="2"/>
  <c r="AU184" i="2"/>
  <c r="AS184" i="2"/>
  <c r="AC186" i="2"/>
  <c r="AI187" i="2"/>
  <c r="AW188" i="2"/>
  <c r="U190" i="2"/>
  <c r="AA191" i="2"/>
  <c r="AI195" i="2"/>
  <c r="AI199" i="2"/>
  <c r="AI198" i="2" s="1"/>
  <c r="AQ210" i="2"/>
  <c r="AQ209" i="2" s="1"/>
  <c r="W212" i="2"/>
  <c r="AI213" i="2"/>
  <c r="BE214" i="2"/>
  <c r="BE217" i="2"/>
  <c r="AM219" i="2"/>
  <c r="W229" i="2"/>
  <c r="U236" i="2"/>
  <c r="AC242" i="2"/>
  <c r="AM252" i="2"/>
  <c r="W255" i="2"/>
  <c r="BC264" i="2"/>
  <c r="BA264" i="2"/>
  <c r="AU264" i="2"/>
  <c r="AQ264" i="2"/>
  <c r="AI264" i="2"/>
  <c r="AE264" i="2"/>
  <c r="BE264" i="2"/>
  <c r="AY264" i="2"/>
  <c r="AW264" i="2"/>
  <c r="AS264" i="2"/>
  <c r="AK264" i="2"/>
  <c r="AG264" i="2"/>
  <c r="AC264" i="2"/>
  <c r="Y264" i="2"/>
  <c r="AI111" i="2"/>
  <c r="AU117" i="2"/>
  <c r="AW118" i="2"/>
  <c r="AY131" i="2"/>
  <c r="BA132" i="2"/>
  <c r="AG146" i="2"/>
  <c r="AK148" i="2"/>
  <c r="AS152" i="2"/>
  <c r="AW154" i="2"/>
  <c r="AY155" i="2"/>
  <c r="BA156" i="2"/>
  <c r="AK166" i="2"/>
  <c r="AQ167" i="2"/>
  <c r="AW168" i="2"/>
  <c r="BC169" i="2"/>
  <c r="AM173" i="2"/>
  <c r="AY175" i="2"/>
  <c r="BE176" i="2"/>
  <c r="AC179" i="2"/>
  <c r="AI180" i="2"/>
  <c r="AI177" i="2" s="1"/>
  <c r="Y185" i="2"/>
  <c r="AE186" i="2"/>
  <c r="AY188" i="2"/>
  <c r="AC191" i="2"/>
  <c r="AK195" i="2"/>
  <c r="AM205" i="2"/>
  <c r="AM204" i="2" s="1"/>
  <c r="AM203" i="2" s="1"/>
  <c r="AW205" i="2"/>
  <c r="AW204" i="2" s="1"/>
  <c r="AW203" i="2" s="1"/>
  <c r="AS205" i="2"/>
  <c r="AS204" i="2" s="1"/>
  <c r="AS203" i="2" s="1"/>
  <c r="AQ205" i="2"/>
  <c r="AQ204" i="2" s="1"/>
  <c r="AQ203" i="2" s="1"/>
  <c r="AO205" i="2"/>
  <c r="AO204" i="2" s="1"/>
  <c r="AO203" i="2" s="1"/>
  <c r="AI205" i="2"/>
  <c r="AI204" i="2" s="1"/>
  <c r="AI203" i="2" s="1"/>
  <c r="BE207" i="2"/>
  <c r="AS210" i="2"/>
  <c r="AS209" i="2" s="1"/>
  <c r="AQ212" i="2"/>
  <c r="AM212" i="2"/>
  <c r="AK212" i="2"/>
  <c r="AI212" i="2"/>
  <c r="AE212" i="2"/>
  <c r="BF214" i="2"/>
  <c r="AQ219" i="2"/>
  <c r="AG229" i="2"/>
  <c r="W236" i="2"/>
  <c r="BF236" i="2"/>
  <c r="BF239" i="2"/>
  <c r="AO252" i="2"/>
  <c r="Y255" i="2"/>
  <c r="BF257" i="2"/>
  <c r="BF286" i="2"/>
  <c r="W286" i="2"/>
  <c r="AW304" i="2"/>
  <c r="AK111" i="2"/>
  <c r="AM112" i="2"/>
  <c r="AW117" i="2"/>
  <c r="AY118" i="2"/>
  <c r="BA131" i="2"/>
  <c r="BC132" i="2"/>
  <c r="U139" i="2"/>
  <c r="AI146" i="2"/>
  <c r="AM148" i="2"/>
  <c r="AO149" i="2"/>
  <c r="AU152" i="2"/>
  <c r="AY154" i="2"/>
  <c r="BA155" i="2"/>
  <c r="BC156" i="2"/>
  <c r="U163" i="2"/>
  <c r="Y164" i="2"/>
  <c r="AM166" i="2"/>
  <c r="AS167" i="2"/>
  <c r="AY168" i="2"/>
  <c r="BE169" i="2"/>
  <c r="W171" i="2"/>
  <c r="AO173" i="2"/>
  <c r="BA175" i="2"/>
  <c r="AE179" i="2"/>
  <c r="AO180" i="2"/>
  <c r="AA185" i="2"/>
  <c r="AG186" i="2"/>
  <c r="AM187" i="2"/>
  <c r="BC188" i="2"/>
  <c r="AE191" i="2"/>
  <c r="AO195" i="2"/>
  <c r="AM199" i="2"/>
  <c r="AM198" i="2" s="1"/>
  <c r="U205" i="2"/>
  <c r="U204" i="2" s="1"/>
  <c r="U203" i="2" s="1"/>
  <c r="AU210" i="2"/>
  <c r="AU209" i="2" s="1"/>
  <c r="U212" i="2"/>
  <c r="AU213" i="2"/>
  <c r="AU219" i="2"/>
  <c r="AI229" i="2"/>
  <c r="Y236" i="2"/>
  <c r="AS252" i="2"/>
  <c r="AA255" i="2"/>
  <c r="AQ173" i="2"/>
  <c r="BC175" i="2"/>
  <c r="AG179" i="2"/>
  <c r="BA183" i="2"/>
  <c r="AU183" i="2"/>
  <c r="AS183" i="2"/>
  <c r="AC185" i="2"/>
  <c r="BE188" i="2"/>
  <c r="AG191" i="2"/>
  <c r="AY219" i="2"/>
  <c r="W240" i="2"/>
  <c r="BF240" i="2"/>
  <c r="AU243" i="2"/>
  <c r="AS243" i="2"/>
  <c r="AM243" i="2"/>
  <c r="AI243" i="2"/>
  <c r="BE243" i="2"/>
  <c r="BC243" i="2"/>
  <c r="BA243" i="2"/>
  <c r="AY243" i="2"/>
  <c r="AW243" i="2"/>
  <c r="AQ243" i="2"/>
  <c r="AE243" i="2"/>
  <c r="AC243" i="2"/>
  <c r="W245" i="2"/>
  <c r="BF245" i="2"/>
  <c r="W264" i="2"/>
  <c r="W272" i="2"/>
  <c r="BF272" i="2"/>
  <c r="AI308" i="2"/>
  <c r="AG308" i="2"/>
  <c r="BC308" i="2"/>
  <c r="AY308" i="2"/>
  <c r="AU308" i="2"/>
  <c r="AQ308" i="2"/>
  <c r="W319" i="2"/>
  <c r="AO275" i="2"/>
  <c r="AM275" i="2"/>
  <c r="AG275" i="2"/>
  <c r="AC275" i="2"/>
  <c r="U275" i="2"/>
  <c r="AY297" i="2"/>
  <c r="AY296" i="2" s="1"/>
  <c r="AW297" i="2"/>
  <c r="AW296" i="2" s="1"/>
  <c r="AM297" i="2"/>
  <c r="AM296" i="2" s="1"/>
  <c r="BE297" i="2"/>
  <c r="BE296" i="2" s="1"/>
  <c r="BA297" i="2"/>
  <c r="BA296" i="2" s="1"/>
  <c r="AO297" i="2"/>
  <c r="AO296" i="2" s="1"/>
  <c r="AI297" i="2"/>
  <c r="AI296" i="2" s="1"/>
  <c r="Y308" i="2"/>
  <c r="BE267" i="2"/>
  <c r="BC267" i="2"/>
  <c r="AW267" i="2"/>
  <c r="AS267" i="2"/>
  <c r="AK267" i="2"/>
  <c r="AG267" i="2"/>
  <c r="W271" i="2"/>
  <c r="BF271" i="2"/>
  <c r="W275" i="2"/>
  <c r="BF275" i="2"/>
  <c r="W295" i="2"/>
  <c r="AA308" i="2"/>
  <c r="BC259" i="2"/>
  <c r="BA259" i="2"/>
  <c r="AU259" i="2"/>
  <c r="AQ259" i="2"/>
  <c r="AI259" i="2"/>
  <c r="AE259" i="2"/>
  <c r="BC263" i="2"/>
  <c r="BA263" i="2"/>
  <c r="AU263" i="2"/>
  <c r="AQ263" i="2"/>
  <c r="AI263" i="2"/>
  <c r="AE263" i="2"/>
  <c r="U267" i="2"/>
  <c r="Y271" i="2"/>
  <c r="BA271" i="2"/>
  <c r="AW271" i="2"/>
  <c r="Y275" i="2"/>
  <c r="AC308" i="2"/>
  <c r="W310" i="2"/>
  <c r="BF319" i="2"/>
  <c r="W340" i="2"/>
  <c r="W369" i="2"/>
  <c r="BF369" i="2"/>
  <c r="BA225" i="2"/>
  <c r="AE227" i="2"/>
  <c r="AC227" i="2"/>
  <c r="AY232" i="2"/>
  <c r="AY231" i="2" s="1"/>
  <c r="AU234" i="2"/>
  <c r="AS234" i="2"/>
  <c r="AK237" i="2"/>
  <c r="BA239" i="2"/>
  <c r="U259" i="2"/>
  <c r="U263" i="2"/>
  <c r="U271" i="2"/>
  <c r="AA275" i="2"/>
  <c r="AE308" i="2"/>
  <c r="W317" i="2"/>
  <c r="BF317" i="2"/>
  <c r="U216" i="2"/>
  <c r="BC225" i="2"/>
  <c r="AA271" i="2"/>
  <c r="AE275" i="2"/>
  <c r="AK308" i="2"/>
  <c r="AQ317" i="2"/>
  <c r="AO317" i="2"/>
  <c r="AE317" i="2"/>
  <c r="Y317" i="2"/>
  <c r="BC317" i="2"/>
  <c r="AY317" i="2"/>
  <c r="AW317" i="2"/>
  <c r="AU317" i="2"/>
  <c r="AK317" i="2"/>
  <c r="AC317" i="2"/>
  <c r="BF362" i="2"/>
  <c r="W362" i="2"/>
  <c r="BE299" i="2"/>
  <c r="AU299" i="2"/>
  <c r="AE299" i="2"/>
  <c r="AC299" i="2"/>
  <c r="AA299" i="2"/>
  <c r="Y299" i="2"/>
  <c r="U299" i="2"/>
  <c r="AY320" i="2"/>
  <c r="AW320" i="2"/>
  <c r="AM320" i="2"/>
  <c r="AG320" i="2"/>
  <c r="AE320" i="2"/>
  <c r="AC320" i="2"/>
  <c r="BE320" i="2"/>
  <c r="BC320" i="2"/>
  <c r="AU320" i="2"/>
  <c r="AQ320" i="2"/>
  <c r="AO320" i="2"/>
  <c r="AK320" i="2"/>
  <c r="Y320" i="2"/>
  <c r="U320" i="2"/>
  <c r="U376" i="2"/>
  <c r="U375" i="2" s="1"/>
  <c r="AW376" i="2"/>
  <c r="AW375" i="2" s="1"/>
  <c r="AU376" i="2"/>
  <c r="AU375" i="2" s="1"/>
  <c r="AS376" i="2"/>
  <c r="AS375" i="2" s="1"/>
  <c r="AQ376" i="2"/>
  <c r="AQ375" i="2" s="1"/>
  <c r="AO376" i="2"/>
  <c r="AO375" i="2" s="1"/>
  <c r="AM376" i="2"/>
  <c r="AM375" i="2" s="1"/>
  <c r="AK376" i="2"/>
  <c r="AK375" i="2" s="1"/>
  <c r="AI376" i="2"/>
  <c r="AI375" i="2" s="1"/>
  <c r="AG376" i="2"/>
  <c r="AG375" i="2" s="1"/>
  <c r="AC376" i="2"/>
  <c r="AC375" i="2" s="1"/>
  <c r="AA376" i="2"/>
  <c r="AA375" i="2" s="1"/>
  <c r="Y376" i="2"/>
  <c r="Y375" i="2" s="1"/>
  <c r="BE376" i="2"/>
  <c r="BE375" i="2" s="1"/>
  <c r="BC376" i="2"/>
  <c r="BC375" i="2" s="1"/>
  <c r="BA376" i="2"/>
  <c r="BA375" i="2" s="1"/>
  <c r="AE376" i="2"/>
  <c r="AE375" i="2" s="1"/>
  <c r="BF357" i="2"/>
  <c r="AA263" i="2"/>
  <c r="AC267" i="2"/>
  <c r="AU283" i="2"/>
  <c r="AI283" i="2"/>
  <c r="AW283" i="2"/>
  <c r="AS283" i="2"/>
  <c r="AM283" i="2"/>
  <c r="AG283" i="2"/>
  <c r="Y283" i="2"/>
  <c r="AU286" i="2"/>
  <c r="AI286" i="2"/>
  <c r="BA286" i="2"/>
  <c r="AW286" i="2"/>
  <c r="AM286" i="2"/>
  <c r="AG286" i="2"/>
  <c r="AE297" i="2"/>
  <c r="AE296" i="2" s="1"/>
  <c r="AG299" i="2"/>
  <c r="AS308" i="2"/>
  <c r="AG317" i="2"/>
  <c r="W320" i="2"/>
  <c r="AO323" i="2"/>
  <c r="AO322" i="2" s="1"/>
  <c r="BA323" i="2"/>
  <c r="BA322" i="2" s="1"/>
  <c r="AU323" i="2"/>
  <c r="AU322" i="2" s="1"/>
  <c r="AS323" i="2"/>
  <c r="AS322" i="2" s="1"/>
  <c r="AQ323" i="2"/>
  <c r="AQ322" i="2" s="1"/>
  <c r="AG323" i="2"/>
  <c r="AG322" i="2" s="1"/>
  <c r="BE323" i="2"/>
  <c r="BE322" i="2" s="1"/>
  <c r="BC323" i="2"/>
  <c r="BC322" i="2" s="1"/>
  <c r="AW323" i="2"/>
  <c r="AW322" i="2" s="1"/>
  <c r="AK323" i="2"/>
  <c r="AK322" i="2" s="1"/>
  <c r="AI323" i="2"/>
  <c r="AI322" i="2" s="1"/>
  <c r="AE323" i="2"/>
  <c r="AE322" i="2" s="1"/>
  <c r="Y323" i="2"/>
  <c r="Y322" i="2" s="1"/>
  <c r="U323" i="2"/>
  <c r="U322" i="2" s="1"/>
  <c r="AY376" i="2"/>
  <c r="AY375" i="2" s="1"/>
  <c r="U395" i="2"/>
  <c r="AK395" i="2"/>
  <c r="Y395" i="2"/>
  <c r="AI395" i="2"/>
  <c r="AE395" i="2"/>
  <c r="AC395" i="2"/>
  <c r="AA395" i="2"/>
  <c r="BE395" i="2"/>
  <c r="BC395" i="2"/>
  <c r="BA395" i="2"/>
  <c r="AY395" i="2"/>
  <c r="AW395" i="2"/>
  <c r="AU395" i="2"/>
  <c r="AQ395" i="2"/>
  <c r="AO395" i="2"/>
  <c r="AM395" i="2"/>
  <c r="AG395" i="2"/>
  <c r="BC254" i="2"/>
  <c r="BA254" i="2"/>
  <c r="AU254" i="2"/>
  <c r="AQ254" i="2"/>
  <c r="AI254" i="2"/>
  <c r="AE254" i="2"/>
  <c r="BC258" i="2"/>
  <c r="BA258" i="2"/>
  <c r="AU258" i="2"/>
  <c r="AQ258" i="2"/>
  <c r="AI258" i="2"/>
  <c r="AE258" i="2"/>
  <c r="AC259" i="2"/>
  <c r="BC262" i="2"/>
  <c r="BA262" i="2"/>
  <c r="AU262" i="2"/>
  <c r="AQ262" i="2"/>
  <c r="AI262" i="2"/>
  <c r="AE262" i="2"/>
  <c r="AC263" i="2"/>
  <c r="BC266" i="2"/>
  <c r="BA266" i="2"/>
  <c r="AU266" i="2"/>
  <c r="AQ266" i="2"/>
  <c r="AI266" i="2"/>
  <c r="AE266" i="2"/>
  <c r="AE267" i="2"/>
  <c r="AI271" i="2"/>
  <c r="W274" i="2"/>
  <c r="BF274" i="2"/>
  <c r="AS275" i="2"/>
  <c r="U283" i="2"/>
  <c r="U286" i="2"/>
  <c r="AG297" i="2"/>
  <c r="AG296" i="2" s="1"/>
  <c r="AI299" i="2"/>
  <c r="AW308" i="2"/>
  <c r="AI317" i="2"/>
  <c r="AA320" i="2"/>
  <c r="AC215" i="2"/>
  <c r="AE216" i="2"/>
  <c r="AG227" i="2"/>
  <c r="AU240" i="2"/>
  <c r="AS240" i="2"/>
  <c r="U254" i="2"/>
  <c r="U258" i="2"/>
  <c r="AG259" i="2"/>
  <c r="U262" i="2"/>
  <c r="AG263" i="2"/>
  <c r="AI267" i="2"/>
  <c r="AK271" i="2"/>
  <c r="AU275" i="2"/>
  <c r="AA291" i="2"/>
  <c r="BC291" i="2"/>
  <c r="BA291" i="2"/>
  <c r="AY291" i="2"/>
  <c r="AU291" i="2"/>
  <c r="AQ291" i="2"/>
  <c r="AI291" i="2"/>
  <c r="AE291" i="2"/>
  <c r="AK299" i="2"/>
  <c r="BA308" i="2"/>
  <c r="AQ315" i="2"/>
  <c r="AO315" i="2"/>
  <c r="AE315" i="2"/>
  <c r="Y315" i="2"/>
  <c r="AU315" i="2"/>
  <c r="AS315" i="2"/>
  <c r="AM315" i="2"/>
  <c r="AK315" i="2"/>
  <c r="AI315" i="2"/>
  <c r="AC315" i="2"/>
  <c r="U315" i="2"/>
  <c r="AM317" i="2"/>
  <c r="AI320" i="2"/>
  <c r="W323" i="2"/>
  <c r="AS395" i="2"/>
  <c r="AI227" i="2"/>
  <c r="BC237" i="2"/>
  <c r="U240" i="2"/>
  <c r="AK259" i="2"/>
  <c r="AK263" i="2"/>
  <c r="AM267" i="2"/>
  <c r="AM271" i="2"/>
  <c r="AW275" i="2"/>
  <c r="AA283" i="2"/>
  <c r="AM299" i="2"/>
  <c r="AI307" i="2"/>
  <c r="AG307" i="2"/>
  <c r="BE307" i="2"/>
  <c r="BC307" i="2"/>
  <c r="BA307" i="2"/>
  <c r="AY307" i="2"/>
  <c r="AU307" i="2"/>
  <c r="AQ307" i="2"/>
  <c r="AM307" i="2"/>
  <c r="AE307" i="2"/>
  <c r="BE308" i="2"/>
  <c r="AS317" i="2"/>
  <c r="AS320" i="2"/>
  <c r="BF382" i="2"/>
  <c r="W382" i="2"/>
  <c r="AK227" i="2"/>
  <c r="AM259" i="2"/>
  <c r="AM263" i="2"/>
  <c r="AO267" i="2"/>
  <c r="BE269" i="2"/>
  <c r="BA269" i="2"/>
  <c r="AS269" i="2"/>
  <c r="AO269" i="2"/>
  <c r="AO271" i="2"/>
  <c r="AY275" i="2"/>
  <c r="AC283" i="2"/>
  <c r="Y286" i="2"/>
  <c r="AS297" i="2"/>
  <c r="AS296" i="2" s="1"/>
  <c r="AO299" i="2"/>
  <c r="BE301" i="2"/>
  <c r="AU301" i="2"/>
  <c r="AQ301" i="2"/>
  <c r="AO301" i="2"/>
  <c r="AM301" i="2"/>
  <c r="AK301" i="2"/>
  <c r="AI301" i="2"/>
  <c r="AE301" i="2"/>
  <c r="AA301" i="2"/>
  <c r="U301" i="2"/>
  <c r="U307" i="2"/>
  <c r="AG315" i="2"/>
  <c r="BA317" i="2"/>
  <c r="BA320" i="2"/>
  <c r="AC323" i="2"/>
  <c r="AC322" i="2" s="1"/>
  <c r="W387" i="2"/>
  <c r="AM232" i="2"/>
  <c r="AM231" i="2" s="1"/>
  <c r="AK232" i="2"/>
  <c r="AK231" i="2" s="1"/>
  <c r="AU239" i="2"/>
  <c r="AS239" i="2"/>
  <c r="Y240" i="2"/>
  <c r="AU245" i="2"/>
  <c r="AS245" i="2"/>
  <c r="AM245" i="2"/>
  <c r="AI245" i="2"/>
  <c r="BC249" i="2"/>
  <c r="BA249" i="2"/>
  <c r="AU249" i="2"/>
  <c r="AQ249" i="2"/>
  <c r="AE249" i="2"/>
  <c r="Y254" i="2"/>
  <c r="Y258" i="2"/>
  <c r="AO259" i="2"/>
  <c r="Y262" i="2"/>
  <c r="AO263" i="2"/>
  <c r="Y266" i="2"/>
  <c r="AQ267" i="2"/>
  <c r="U269" i="2"/>
  <c r="AQ271" i="2"/>
  <c r="BA275" i="2"/>
  <c r="AE283" i="2"/>
  <c r="AA286" i="2"/>
  <c r="AU297" i="2"/>
  <c r="AU296" i="2" s="1"/>
  <c r="AQ299" i="2"/>
  <c r="AA305" i="2"/>
  <c r="Y305" i="2"/>
  <c r="BA305" i="2"/>
  <c r="AI305" i="2"/>
  <c r="AG305" i="2"/>
  <c r="AE305" i="2"/>
  <c r="AC305" i="2"/>
  <c r="U305" i="2"/>
  <c r="AW315" i="2"/>
  <c r="BE317" i="2"/>
  <c r="AM323" i="2"/>
  <c r="AM322" i="2" s="1"/>
  <c r="AK215" i="2"/>
  <c r="AM216" i="2"/>
  <c r="Y225" i="2"/>
  <c r="AO227" i="2"/>
  <c r="U232" i="2"/>
  <c r="U231" i="2" s="1"/>
  <c r="AM234" i="2"/>
  <c r="U239" i="2"/>
  <c r="AA240" i="2"/>
  <c r="U245" i="2"/>
  <c r="U249" i="2"/>
  <c r="AA254" i="2"/>
  <c r="AA258" i="2"/>
  <c r="AS259" i="2"/>
  <c r="AA262" i="2"/>
  <c r="AS263" i="2"/>
  <c r="AA266" i="2"/>
  <c r="AU267" i="2"/>
  <c r="BF269" i="2"/>
  <c r="AS271" i="2"/>
  <c r="AG273" i="2"/>
  <c r="AE273" i="2"/>
  <c r="Y273" i="2"/>
  <c r="U273" i="2"/>
  <c r="BE273" i="2"/>
  <c r="BC275" i="2"/>
  <c r="AK283" i="2"/>
  <c r="AC286" i="2"/>
  <c r="Y291" i="2"/>
  <c r="BC297" i="2"/>
  <c r="BC296" i="2" s="1"/>
  <c r="AS299" i="2"/>
  <c r="Y301" i="2"/>
  <c r="W305" i="2"/>
  <c r="Y307" i="2"/>
  <c r="AY315" i="2"/>
  <c r="AY323" i="2"/>
  <c r="AY322" i="2" s="1"/>
  <c r="AA225" i="2"/>
  <c r="AO234" i="2"/>
  <c r="AC240" i="2"/>
  <c r="BC253" i="2"/>
  <c r="BA253" i="2"/>
  <c r="AU253" i="2"/>
  <c r="AQ253" i="2"/>
  <c r="AI253" i="2"/>
  <c r="AE253" i="2"/>
  <c r="AC254" i="2"/>
  <c r="BC257" i="2"/>
  <c r="BA257" i="2"/>
  <c r="AU257" i="2"/>
  <c r="AQ257" i="2"/>
  <c r="AI257" i="2"/>
  <c r="AE257" i="2"/>
  <c r="AC258" i="2"/>
  <c r="AW259" i="2"/>
  <c r="BC261" i="2"/>
  <c r="BA261" i="2"/>
  <c r="AU261" i="2"/>
  <c r="AQ261" i="2"/>
  <c r="AI261" i="2"/>
  <c r="AE261" i="2"/>
  <c r="AC262" i="2"/>
  <c r="AW263" i="2"/>
  <c r="BC265" i="2"/>
  <c r="BA265" i="2"/>
  <c r="AU265" i="2"/>
  <c r="AQ265" i="2"/>
  <c r="AI265" i="2"/>
  <c r="AE265" i="2"/>
  <c r="AC266" i="2"/>
  <c r="AY267" i="2"/>
  <c r="Y269" i="2"/>
  <c r="AU271" i="2"/>
  <c r="BE275" i="2"/>
  <c r="AO283" i="2"/>
  <c r="AE286" i="2"/>
  <c r="AC291" i="2"/>
  <c r="AW299" i="2"/>
  <c r="AC301" i="2"/>
  <c r="AK305" i="2"/>
  <c r="AA307" i="2"/>
  <c r="BA315" i="2"/>
  <c r="AG327" i="2"/>
  <c r="AO215" i="2"/>
  <c r="AQ216" i="2"/>
  <c r="Y224" i="2"/>
  <c r="AC225" i="2"/>
  <c r="AS227" i="2"/>
  <c r="AQ234" i="2"/>
  <c r="AU238" i="2"/>
  <c r="AS238" i="2"/>
  <c r="Y239" i="2"/>
  <c r="AE240" i="2"/>
  <c r="Y245" i="2"/>
  <c r="U253" i="2"/>
  <c r="AG254" i="2"/>
  <c r="U257" i="2"/>
  <c r="AG258" i="2"/>
  <c r="AY259" i="2"/>
  <c r="U261" i="2"/>
  <c r="AG262" i="2"/>
  <c r="AY263" i="2"/>
  <c r="U265" i="2"/>
  <c r="AG266" i="2"/>
  <c r="BA267" i="2"/>
  <c r="AA269" i="2"/>
  <c r="AY271" i="2"/>
  <c r="AA273" i="2"/>
  <c r="AQ283" i="2"/>
  <c r="AU285" i="2"/>
  <c r="AI285" i="2"/>
  <c r="BE285" i="2"/>
  <c r="BC285" i="2"/>
  <c r="AW285" i="2"/>
  <c r="AQ285" i="2"/>
  <c r="AG285" i="2"/>
  <c r="AC285" i="2"/>
  <c r="AK286" i="2"/>
  <c r="AG291" i="2"/>
  <c r="AY299" i="2"/>
  <c r="AG301" i="2"/>
  <c r="AM305" i="2"/>
  <c r="AC307" i="2"/>
  <c r="BC315" i="2"/>
  <c r="U202" i="2"/>
  <c r="U200" i="2" s="1"/>
  <c r="AQ215" i="2"/>
  <c r="AS216" i="2"/>
  <c r="U223" i="2"/>
  <c r="AA224" i="2"/>
  <c r="AE225" i="2"/>
  <c r="AU227" i="2"/>
  <c r="Y232" i="2"/>
  <c r="Y231" i="2" s="1"/>
  <c r="AW234" i="2"/>
  <c r="U238" i="2"/>
  <c r="AA239" i="2"/>
  <c r="AG240" i="2"/>
  <c r="AA245" i="2"/>
  <c r="Y249" i="2"/>
  <c r="AK254" i="2"/>
  <c r="AK258" i="2"/>
  <c r="BE259" i="2"/>
  <c r="AK262" i="2"/>
  <c r="BE263" i="2"/>
  <c r="AK266" i="2"/>
  <c r="AC269" i="2"/>
  <c r="BC271" i="2"/>
  <c r="AC273" i="2"/>
  <c r="AY283" i="2"/>
  <c r="AO286" i="2"/>
  <c r="AK291" i="2"/>
  <c r="BA299" i="2"/>
  <c r="AS301" i="2"/>
  <c r="AO305" i="2"/>
  <c r="AK307" i="2"/>
  <c r="BE315" i="2"/>
  <c r="AS215" i="2"/>
  <c r="AU216" i="2"/>
  <c r="AC224" i="2"/>
  <c r="AG225" i="2"/>
  <c r="AW227" i="2"/>
  <c r="AA232" i="2"/>
  <c r="AA231" i="2" s="1"/>
  <c r="AY234" i="2"/>
  <c r="AC239" i="2"/>
  <c r="AI240" i="2"/>
  <c r="AU244" i="2"/>
  <c r="AS244" i="2"/>
  <c r="AM244" i="2"/>
  <c r="AI244" i="2"/>
  <c r="AC245" i="2"/>
  <c r="BC248" i="2"/>
  <c r="BA248" i="2"/>
  <c r="AU248" i="2"/>
  <c r="AQ248" i="2"/>
  <c r="AE248" i="2"/>
  <c r="AA249" i="2"/>
  <c r="AM254" i="2"/>
  <c r="AM258" i="2"/>
  <c r="AM262" i="2"/>
  <c r="AM266" i="2"/>
  <c r="AE269" i="2"/>
  <c r="BE271" i="2"/>
  <c r="AI273" i="2"/>
  <c r="AS276" i="2"/>
  <c r="AQ276" i="2"/>
  <c r="AK276" i="2"/>
  <c r="AG276" i="2"/>
  <c r="Y276" i="2"/>
  <c r="U276" i="2"/>
  <c r="BA283" i="2"/>
  <c r="AQ286" i="2"/>
  <c r="AM291" i="2"/>
  <c r="BC299" i="2"/>
  <c r="AW301" i="2"/>
  <c r="AQ305" i="2"/>
  <c r="AO307" i="2"/>
  <c r="AI225" i="2"/>
  <c r="AY227" i="2"/>
  <c r="AC232" i="2"/>
  <c r="AC231" i="2" s="1"/>
  <c r="AU237" i="2"/>
  <c r="AS237" i="2"/>
  <c r="AE239" i="2"/>
  <c r="AK240" i="2"/>
  <c r="AE245" i="2"/>
  <c r="AO254" i="2"/>
  <c r="AO258" i="2"/>
  <c r="AO262" i="2"/>
  <c r="AO266" i="2"/>
  <c r="BA268" i="2"/>
  <c r="AW268" i="2"/>
  <c r="AO268" i="2"/>
  <c r="AK268" i="2"/>
  <c r="AG269" i="2"/>
  <c r="W276" i="2"/>
  <c r="BF276" i="2"/>
  <c r="BC283" i="2"/>
  <c r="AS286" i="2"/>
  <c r="AO291" i="2"/>
  <c r="AY301" i="2"/>
  <c r="AS305" i="2"/>
  <c r="AS307" i="2"/>
  <c r="BA227" i="2"/>
  <c r="AE232" i="2"/>
  <c r="AE231" i="2" s="1"/>
  <c r="BC234" i="2"/>
  <c r="U237" i="2"/>
  <c r="AA238" i="2"/>
  <c r="AG239" i="2"/>
  <c r="AM240" i="2"/>
  <c r="AG245" i="2"/>
  <c r="AG249" i="2"/>
  <c r="AA253" i="2"/>
  <c r="AS254" i="2"/>
  <c r="AA257" i="2"/>
  <c r="AS258" i="2"/>
  <c r="AA261" i="2"/>
  <c r="AS262" i="2"/>
  <c r="AA265" i="2"/>
  <c r="AS266" i="2"/>
  <c r="U268" i="2"/>
  <c r="AI269" i="2"/>
  <c r="AM273" i="2"/>
  <c r="AA276" i="2"/>
  <c r="BE283" i="2"/>
  <c r="Y285" i="2"/>
  <c r="AY286" i="2"/>
  <c r="U290" i="2"/>
  <c r="AS291" i="2"/>
  <c r="BA301" i="2"/>
  <c r="AU305" i="2"/>
  <c r="AW307" i="2"/>
  <c r="W316" i="2"/>
  <c r="BF316" i="2"/>
  <c r="W342" i="2"/>
  <c r="BF395" i="2"/>
  <c r="W395" i="2"/>
  <c r="W426" i="2"/>
  <c r="BF426" i="2"/>
  <c r="W353" i="2"/>
  <c r="W388" i="2"/>
  <c r="BF388" i="2"/>
  <c r="BE342" i="2"/>
  <c r="BA342" i="2"/>
  <c r="AY342" i="2"/>
  <c r="AS342" i="2"/>
  <c r="AQ342" i="2"/>
  <c r="AO342" i="2"/>
  <c r="AG342" i="2"/>
  <c r="AC342" i="2"/>
  <c r="AQ316" i="2"/>
  <c r="AO316" i="2"/>
  <c r="AE316" i="2"/>
  <c r="Y316" i="2"/>
  <c r="U342" i="2"/>
  <c r="BF361" i="2"/>
  <c r="W361" i="2"/>
  <c r="AA404" i="2"/>
  <c r="AY404" i="2"/>
  <c r="BE404" i="2"/>
  <c r="AU404" i="2"/>
  <c r="AQ404" i="2"/>
  <c r="AO404" i="2"/>
  <c r="AM404" i="2"/>
  <c r="Y404" i="2"/>
  <c r="BC404" i="2"/>
  <c r="BA404" i="2"/>
  <c r="AW404" i="2"/>
  <c r="AS404" i="2"/>
  <c r="AK404" i="2"/>
  <c r="AI404" i="2"/>
  <c r="AE404" i="2"/>
  <c r="AC404" i="2"/>
  <c r="U404" i="2"/>
  <c r="AU361" i="2"/>
  <c r="AQ361" i="2"/>
  <c r="BE361" i="2"/>
  <c r="BC361" i="2"/>
  <c r="BA361" i="2"/>
  <c r="AY361" i="2"/>
  <c r="AW361" i="2"/>
  <c r="AS361" i="2"/>
  <c r="AK361" i="2"/>
  <c r="AI361" i="2"/>
  <c r="AG361" i="2"/>
  <c r="Y361" i="2"/>
  <c r="AG404" i="2"/>
  <c r="U349" i="2"/>
  <c r="AK349" i="2"/>
  <c r="AI349" i="2"/>
  <c r="AG349" i="2"/>
  <c r="AG346" i="2" s="1"/>
  <c r="AC349" i="2"/>
  <c r="AA349" i="2"/>
  <c r="Y349" i="2"/>
  <c r="BA349" i="2"/>
  <c r="AY349" i="2"/>
  <c r="AY346" i="2" s="1"/>
  <c r="AW349" i="2"/>
  <c r="W359" i="2"/>
  <c r="AY309" i="2"/>
  <c r="AC316" i="2"/>
  <c r="Y342" i="2"/>
  <c r="AE349" i="2"/>
  <c r="AA361" i="2"/>
  <c r="AG316" i="2"/>
  <c r="AA342" i="2"/>
  <c r="BE344" i="2"/>
  <c r="BC344" i="2"/>
  <c r="BA344" i="2"/>
  <c r="AY344" i="2"/>
  <c r="AS344" i="2"/>
  <c r="AQ344" i="2"/>
  <c r="AO344" i="2"/>
  <c r="AG344" i="2"/>
  <c r="AC344" i="2"/>
  <c r="AM349" i="2"/>
  <c r="AC361" i="2"/>
  <c r="BE300" i="2"/>
  <c r="AU300" i="2"/>
  <c r="W315" i="2"/>
  <c r="AI316" i="2"/>
  <c r="W339" i="2"/>
  <c r="AE342" i="2"/>
  <c r="U344" i="2"/>
  <c r="AO349" i="2"/>
  <c r="AE361" i="2"/>
  <c r="BF365" i="2"/>
  <c r="AI342" i="2"/>
  <c r="AQ349" i="2"/>
  <c r="AM361" i="2"/>
  <c r="AI421" i="2"/>
  <c r="Y421" i="2"/>
  <c r="BA421" i="2"/>
  <c r="AO421" i="2"/>
  <c r="BE421" i="2"/>
  <c r="BC421" i="2"/>
  <c r="AY421" i="2"/>
  <c r="AW421" i="2"/>
  <c r="AU421" i="2"/>
  <c r="AQ421" i="2"/>
  <c r="AM421" i="2"/>
  <c r="AK421" i="2"/>
  <c r="AG421" i="2"/>
  <c r="AC421" i="2"/>
  <c r="U421" i="2"/>
  <c r="AS421" i="2"/>
  <c r="AE421" i="2"/>
  <c r="AA421" i="2"/>
  <c r="AM316" i="2"/>
  <c r="AU334" i="2"/>
  <c r="AU333" i="2" s="1"/>
  <c r="AO334" i="2"/>
  <c r="AO333" i="2" s="1"/>
  <c r="AM334" i="2"/>
  <c r="AM333" i="2" s="1"/>
  <c r="AI334" i="2"/>
  <c r="AI333" i="2" s="1"/>
  <c r="AE334" i="2"/>
  <c r="AE333" i="2" s="1"/>
  <c r="AC334" i="2"/>
  <c r="AC333" i="2" s="1"/>
  <c r="U334" i="2"/>
  <c r="U333" i="2" s="1"/>
  <c r="AK342" i="2"/>
  <c r="AS349" i="2"/>
  <c r="AO361" i="2"/>
  <c r="W389" i="2"/>
  <c r="BF389" i="2"/>
  <c r="W421" i="2"/>
  <c r="BF421" i="2"/>
  <c r="BC336" i="2"/>
  <c r="BC335" i="2" s="1"/>
  <c r="BA336" i="2"/>
  <c r="BA335" i="2" s="1"/>
  <c r="AY336" i="2"/>
  <c r="AY335" i="2" s="1"/>
  <c r="AU336" i="2"/>
  <c r="AU335" i="2" s="1"/>
  <c r="AQ336" i="2"/>
  <c r="AQ335" i="2" s="1"/>
  <c r="AO336" i="2"/>
  <c r="AO335" i="2" s="1"/>
  <c r="AI336" i="2"/>
  <c r="AI335" i="2" s="1"/>
  <c r="AG336" i="2"/>
  <c r="AG335" i="2" s="1"/>
  <c r="AE336" i="2"/>
  <c r="AE335" i="2" s="1"/>
  <c r="BE341" i="2"/>
  <c r="BA341" i="2"/>
  <c r="AY341" i="2"/>
  <c r="AS341" i="2"/>
  <c r="AQ341" i="2"/>
  <c r="AO341" i="2"/>
  <c r="AG341" i="2"/>
  <c r="AC341" i="2"/>
  <c r="AM342" i="2"/>
  <c r="AU349" i="2"/>
  <c r="BF398" i="2"/>
  <c r="W398" i="2"/>
  <c r="AM281" i="2"/>
  <c r="AA281" i="2"/>
  <c r="Y300" i="2"/>
  <c r="AI310" i="2"/>
  <c r="AG310" i="2"/>
  <c r="AU316" i="2"/>
  <c r="AA334" i="2"/>
  <c r="AA333" i="2" s="1"/>
  <c r="U336" i="2"/>
  <c r="U335" i="2" s="1"/>
  <c r="U341" i="2"/>
  <c r="AU342" i="2"/>
  <c r="AA344" i="2"/>
  <c r="BC349" i="2"/>
  <c r="AU362" i="2"/>
  <c r="AQ362" i="2"/>
  <c r="BE362" i="2"/>
  <c r="BC362" i="2"/>
  <c r="BA362" i="2"/>
  <c r="AY362" i="2"/>
  <c r="AO362" i="2"/>
  <c r="AM362" i="2"/>
  <c r="AK362" i="2"/>
  <c r="AC362" i="2"/>
  <c r="AA362" i="2"/>
  <c r="Y362" i="2"/>
  <c r="BE329" i="2"/>
  <c r="BE328" i="2" s="1"/>
  <c r="BC329" i="2"/>
  <c r="BC328" i="2" s="1"/>
  <c r="AY329" i="2"/>
  <c r="AY328" i="2" s="1"/>
  <c r="AU329" i="2"/>
  <c r="AU328" i="2" s="1"/>
  <c r="AS329" i="2"/>
  <c r="AS328" i="2" s="1"/>
  <c r="AS327" i="2" s="1"/>
  <c r="AM329" i="2"/>
  <c r="AM328" i="2" s="1"/>
  <c r="AM327" i="2" s="1"/>
  <c r="AK329" i="2"/>
  <c r="AK328" i="2" s="1"/>
  <c r="AI329" i="2"/>
  <c r="AI328" i="2" s="1"/>
  <c r="AA329" i="2"/>
  <c r="AA328" i="2" s="1"/>
  <c r="W336" i="2"/>
  <c r="BE338" i="2"/>
  <c r="BA338" i="2"/>
  <c r="AY338" i="2"/>
  <c r="AS338" i="2"/>
  <c r="AQ338" i="2"/>
  <c r="AO338" i="2"/>
  <c r="AG338" i="2"/>
  <c r="AW342" i="2"/>
  <c r="BE349" i="2"/>
  <c r="U382" i="2"/>
  <c r="AM382" i="2"/>
  <c r="AI382" i="2"/>
  <c r="AG382" i="2"/>
  <c r="AE382" i="2"/>
  <c r="BE382" i="2"/>
  <c r="BC382" i="2"/>
  <c r="BA382" i="2"/>
  <c r="AY382" i="2"/>
  <c r="AW382" i="2"/>
  <c r="AU382" i="2"/>
  <c r="AS382" i="2"/>
  <c r="AQ382" i="2"/>
  <c r="AC382" i="2"/>
  <c r="AA382" i="2"/>
  <c r="Y382" i="2"/>
  <c r="BF438" i="2"/>
  <c r="W438" i="2"/>
  <c r="AM280" i="2"/>
  <c r="AA280" i="2"/>
  <c r="AC300" i="2"/>
  <c r="W314" i="2"/>
  <c r="AY316" i="2"/>
  <c r="U329" i="2"/>
  <c r="AK334" i="2"/>
  <c r="AK333" i="2" s="1"/>
  <c r="Y336" i="2"/>
  <c r="Y335" i="2" s="1"/>
  <c r="U338" i="2"/>
  <c r="BC342" i="2"/>
  <c r="AI344" i="2"/>
  <c r="AQ314" i="2"/>
  <c r="AO314" i="2"/>
  <c r="AE314" i="2"/>
  <c r="Y314" i="2"/>
  <c r="BA316" i="2"/>
  <c r="W329" i="2"/>
  <c r="AQ334" i="2"/>
  <c r="AQ333" i="2" s="1"/>
  <c r="AA336" i="2"/>
  <c r="AA335" i="2" s="1"/>
  <c r="Y341" i="2"/>
  <c r="AK344" i="2"/>
  <c r="AI309" i="2"/>
  <c r="AG309" i="2"/>
  <c r="U314" i="2"/>
  <c r="BC316" i="2"/>
  <c r="Y329" i="2"/>
  <c r="Y328" i="2" s="1"/>
  <c r="Y327" i="2" s="1"/>
  <c r="AS334" i="2"/>
  <c r="AS333" i="2" s="1"/>
  <c r="AC336" i="2"/>
  <c r="AC335" i="2" s="1"/>
  <c r="W338" i="2"/>
  <c r="AA341" i="2"/>
  <c r="AU358" i="2"/>
  <c r="AQ358" i="2"/>
  <c r="AW358" i="2"/>
  <c r="AS358" i="2"/>
  <c r="AO358" i="2"/>
  <c r="AM358" i="2"/>
  <c r="AK358" i="2"/>
  <c r="AI358" i="2"/>
  <c r="AG358" i="2"/>
  <c r="AE358" i="2"/>
  <c r="Y358" i="2"/>
  <c r="AE362" i="2"/>
  <c r="AU367" i="2"/>
  <c r="AU366" i="2" s="1"/>
  <c r="AS367" i="2"/>
  <c r="AS366" i="2" s="1"/>
  <c r="AQ367" i="2"/>
  <c r="AQ366" i="2" s="1"/>
  <c r="AO367" i="2"/>
  <c r="AO366" i="2" s="1"/>
  <c r="AM367" i="2"/>
  <c r="AM366" i="2" s="1"/>
  <c r="AK367" i="2"/>
  <c r="AK366" i="2" s="1"/>
  <c r="AI367" i="2"/>
  <c r="AI366" i="2" s="1"/>
  <c r="AG367" i="2"/>
  <c r="AG366" i="2" s="1"/>
  <c r="AE367" i="2"/>
  <c r="AE366" i="2" s="1"/>
  <c r="AA367" i="2"/>
  <c r="AA366" i="2" s="1"/>
  <c r="Y367" i="2"/>
  <c r="Y366" i="2" s="1"/>
  <c r="AK382" i="2"/>
  <c r="AC281" i="2"/>
  <c r="AI293" i="2"/>
  <c r="AI292" i="2" s="1"/>
  <c r="AG293" i="2"/>
  <c r="AG292" i="2" s="1"/>
  <c r="AI300" i="2"/>
  <c r="U309" i="2"/>
  <c r="AC310" i="2"/>
  <c r="AA314" i="2"/>
  <c r="BE316" i="2"/>
  <c r="AG321" i="2"/>
  <c r="BA321" i="2"/>
  <c r="AY321" i="2"/>
  <c r="AO321" i="2"/>
  <c r="AI321" i="2"/>
  <c r="AE321" i="2"/>
  <c r="AC321" i="2"/>
  <c r="AC329" i="2"/>
  <c r="AC328" i="2" s="1"/>
  <c r="W331" i="2"/>
  <c r="AW334" i="2"/>
  <c r="AW333" i="2" s="1"/>
  <c r="AK336" i="2"/>
  <c r="AK335" i="2" s="1"/>
  <c r="Y338" i="2"/>
  <c r="AE341" i="2"/>
  <c r="BE343" i="2"/>
  <c r="BC343" i="2"/>
  <c r="BA343" i="2"/>
  <c r="AY343" i="2"/>
  <c r="AS343" i="2"/>
  <c r="AQ343" i="2"/>
  <c r="AO343" i="2"/>
  <c r="AG343" i="2"/>
  <c r="AC343" i="2"/>
  <c r="AU344" i="2"/>
  <c r="U358" i="2"/>
  <c r="AG362" i="2"/>
  <c r="U367" i="2"/>
  <c r="U366" i="2" s="1"/>
  <c r="AO382" i="2"/>
  <c r="Y280" i="2"/>
  <c r="AE281" i="2"/>
  <c r="U293" i="2"/>
  <c r="U292" i="2" s="1"/>
  <c r="AK300" i="2"/>
  <c r="AE310" i="2"/>
  <c r="AC314" i="2"/>
  <c r="U321" i="2"/>
  <c r="AE329" i="2"/>
  <c r="AE328" i="2" s="1"/>
  <c r="AY334" i="2"/>
  <c r="AY333" i="2" s="1"/>
  <c r="AM336" i="2"/>
  <c r="AM335" i="2" s="1"/>
  <c r="AA338" i="2"/>
  <c r="AI341" i="2"/>
  <c r="AW344" i="2"/>
  <c r="AA358" i="2"/>
  <c r="AI362" i="2"/>
  <c r="W383" i="2"/>
  <c r="BF383" i="2"/>
  <c r="AE390" i="2"/>
  <c r="U390" i="2"/>
  <c r="BC390" i="2"/>
  <c r="BA390" i="2"/>
  <c r="AY390" i="2"/>
  <c r="AM390" i="2"/>
  <c r="BE390" i="2"/>
  <c r="AW390" i="2"/>
  <c r="AU390" i="2"/>
  <c r="AS390" i="2"/>
  <c r="AQ390" i="2"/>
  <c r="AO390" i="2"/>
  <c r="AK390" i="2"/>
  <c r="AI390" i="2"/>
  <c r="AG390" i="2"/>
  <c r="AC390" i="2"/>
  <c r="AA390" i="2"/>
  <c r="Y390" i="2"/>
  <c r="BF435" i="2"/>
  <c r="U387" i="2"/>
  <c r="AW387" i="2"/>
  <c r="AS387" i="2"/>
  <c r="AQ387" i="2"/>
  <c r="AO387" i="2"/>
  <c r="AE391" i="2"/>
  <c r="U391" i="2"/>
  <c r="BE391" i="2"/>
  <c r="BC391" i="2"/>
  <c r="AQ391" i="2"/>
  <c r="BF425" i="2"/>
  <c r="AI455" i="2"/>
  <c r="Y455" i="2"/>
  <c r="AW455" i="2"/>
  <c r="AU455" i="2"/>
  <c r="AK455" i="2"/>
  <c r="AG455" i="2"/>
  <c r="AE455" i="2"/>
  <c r="U455" i="2"/>
  <c r="AC455" i="2"/>
  <c r="BE455" i="2"/>
  <c r="BC455" i="2"/>
  <c r="AY455" i="2"/>
  <c r="BA455" i="2"/>
  <c r="AS455" i="2"/>
  <c r="AQ455" i="2"/>
  <c r="AO455" i="2"/>
  <c r="AM455" i="2"/>
  <c r="AA455" i="2"/>
  <c r="Y387" i="2"/>
  <c r="Y391" i="2"/>
  <c r="AI426" i="2"/>
  <c r="AK426" i="2"/>
  <c r="AG426" i="2"/>
  <c r="U426" i="2"/>
  <c r="AO426" i="2"/>
  <c r="BE426" i="2"/>
  <c r="AY426" i="2"/>
  <c r="BC426" i="2"/>
  <c r="BA426" i="2"/>
  <c r="AW426" i="2"/>
  <c r="AU426" i="2"/>
  <c r="AS426" i="2"/>
  <c r="AQ426" i="2"/>
  <c r="AM426" i="2"/>
  <c r="AE426" i="2"/>
  <c r="Y426" i="2"/>
  <c r="AC345" i="2"/>
  <c r="AO347" i="2"/>
  <c r="AC353" i="2"/>
  <c r="AU360" i="2"/>
  <c r="AQ360" i="2"/>
  <c r="AS365" i="2"/>
  <c r="AK370" i="2"/>
  <c r="AI374" i="2"/>
  <c r="AA387" i="2"/>
  <c r="AK388" i="2"/>
  <c r="AA391" i="2"/>
  <c r="BC399" i="2"/>
  <c r="AA401" i="2"/>
  <c r="BE401" i="2"/>
  <c r="AS401" i="2"/>
  <c r="AK401" i="2"/>
  <c r="AC401" i="2"/>
  <c r="U401" i="2"/>
  <c r="AI410" i="2"/>
  <c r="BA410" i="2"/>
  <c r="AY410" i="2"/>
  <c r="AQ410" i="2"/>
  <c r="AC410" i="2"/>
  <c r="BE410" i="2"/>
  <c r="AU410" i="2"/>
  <c r="AO410" i="2"/>
  <c r="AM410" i="2"/>
  <c r="AK410" i="2"/>
  <c r="AG410" i="2"/>
  <c r="AI443" i="2"/>
  <c r="U443" i="2"/>
  <c r="BE443" i="2"/>
  <c r="BC443" i="2"/>
  <c r="AS443" i="2"/>
  <c r="AQ443" i="2"/>
  <c r="AC443" i="2"/>
  <c r="BA443" i="2"/>
  <c r="AY443" i="2"/>
  <c r="AW443" i="2"/>
  <c r="AU443" i="2"/>
  <c r="AO443" i="2"/>
  <c r="AM443" i="2"/>
  <c r="AK443" i="2"/>
  <c r="AG443" i="2"/>
  <c r="AE443" i="2"/>
  <c r="AA443" i="2"/>
  <c r="Y443" i="2"/>
  <c r="AI459" i="2"/>
  <c r="Y459" i="2"/>
  <c r="BE459" i="2"/>
  <c r="BC459" i="2"/>
  <c r="BA459" i="2"/>
  <c r="AQ459" i="2"/>
  <c r="AY459" i="2"/>
  <c r="AM459" i="2"/>
  <c r="AK459" i="2"/>
  <c r="AW459" i="2"/>
  <c r="AU459" i="2"/>
  <c r="AS459" i="2"/>
  <c r="AO459" i="2"/>
  <c r="AG459" i="2"/>
  <c r="AE459" i="2"/>
  <c r="AC459" i="2"/>
  <c r="AA459" i="2"/>
  <c r="U459" i="2"/>
  <c r="AU365" i="2"/>
  <c r="AK374" i="2"/>
  <c r="U386" i="2"/>
  <c r="AU386" i="2"/>
  <c r="AQ386" i="2"/>
  <c r="AO386" i="2"/>
  <c r="AM386" i="2"/>
  <c r="AC387" i="2"/>
  <c r="AM388" i="2"/>
  <c r="AC391" i="2"/>
  <c r="AA397" i="2"/>
  <c r="AW397" i="2"/>
  <c r="AK397" i="2"/>
  <c r="BE397" i="2"/>
  <c r="BA397" i="2"/>
  <c r="AY397" i="2"/>
  <c r="AU397" i="2"/>
  <c r="AG397" i="2"/>
  <c r="AI435" i="2"/>
  <c r="BC435" i="2"/>
  <c r="BA435" i="2"/>
  <c r="AO435" i="2"/>
  <c r="AM435" i="2"/>
  <c r="Y435" i="2"/>
  <c r="AU435" i="2"/>
  <c r="AK435" i="2"/>
  <c r="BE435" i="2"/>
  <c r="AY435" i="2"/>
  <c r="AW435" i="2"/>
  <c r="AS435" i="2"/>
  <c r="AQ435" i="2"/>
  <c r="AG435" i="2"/>
  <c r="AE435" i="2"/>
  <c r="AC435" i="2"/>
  <c r="AA435" i="2"/>
  <c r="U435" i="2"/>
  <c r="AS325" i="2"/>
  <c r="AS324" i="2" s="1"/>
  <c r="AG345" i="2"/>
  <c r="AS347" i="2"/>
  <c r="AE351" i="2"/>
  <c r="AE350" i="2" s="1"/>
  <c r="AA351" i="2"/>
  <c r="AA350" i="2" s="1"/>
  <c r="AG353" i="2"/>
  <c r="AS355" i="2"/>
  <c r="AU359" i="2"/>
  <c r="AQ359" i="2"/>
  <c r="AS364" i="2"/>
  <c r="AO370" i="2"/>
  <c r="AM374" i="2"/>
  <c r="U381" i="2"/>
  <c r="AK381" i="2"/>
  <c r="AG381" i="2"/>
  <c r="AE381" i="2"/>
  <c r="AC381" i="2"/>
  <c r="AE387" i="2"/>
  <c r="AO388" i="2"/>
  <c r="AG391" i="2"/>
  <c r="U397" i="2"/>
  <c r="AE401" i="2"/>
  <c r="BF394" i="2"/>
  <c r="AI406" i="2"/>
  <c r="AS406" i="2"/>
  <c r="Y406" i="2"/>
  <c r="AW406" i="2"/>
  <c r="AI415" i="2"/>
  <c r="AO415" i="2"/>
  <c r="BE415" i="2"/>
  <c r="BC415" i="2"/>
  <c r="BA415" i="2"/>
  <c r="AY415" i="2"/>
  <c r="AW415" i="2"/>
  <c r="AS415" i="2"/>
  <c r="AQ415" i="2"/>
  <c r="AM415" i="2"/>
  <c r="AK415" i="2"/>
  <c r="Y415" i="2"/>
  <c r="AK387" i="2"/>
  <c r="AM391" i="2"/>
  <c r="U415" i="2"/>
  <c r="AI422" i="2"/>
  <c r="AA422" i="2"/>
  <c r="Y422" i="2"/>
  <c r="AU422" i="2"/>
  <c r="BC422" i="2"/>
  <c r="BA422" i="2"/>
  <c r="AY422" i="2"/>
  <c r="AW422" i="2"/>
  <c r="AQ422" i="2"/>
  <c r="AK422" i="2"/>
  <c r="AI436" i="2"/>
  <c r="BE436" i="2"/>
  <c r="BC436" i="2"/>
  <c r="AQ436" i="2"/>
  <c r="AO436" i="2"/>
  <c r="AK436" i="2"/>
  <c r="AY436" i="2"/>
  <c r="BA436" i="2"/>
  <c r="AS436" i="2"/>
  <c r="AE436" i="2"/>
  <c r="BC325" i="2"/>
  <c r="BC324" i="2" s="1"/>
  <c r="AU331" i="2"/>
  <c r="AU330" i="2" s="1"/>
  <c r="AO345" i="2"/>
  <c r="BA347" i="2"/>
  <c r="BE348" i="2"/>
  <c r="Y351" i="2"/>
  <c r="Y350" i="2" s="1"/>
  <c r="AS353" i="2"/>
  <c r="BA355" i="2"/>
  <c r="AU357" i="2"/>
  <c r="AQ357" i="2"/>
  <c r="Y359" i="2"/>
  <c r="AC360" i="2"/>
  <c r="W367" i="2"/>
  <c r="AW370" i="2"/>
  <c r="AA381" i="2"/>
  <c r="U385" i="2"/>
  <c r="AS385" i="2"/>
  <c r="AO385" i="2"/>
  <c r="AM385" i="2"/>
  <c r="AK385" i="2"/>
  <c r="AC386" i="2"/>
  <c r="AM387" i="2"/>
  <c r="AO391" i="2"/>
  <c r="AC397" i="2"/>
  <c r="AO401" i="2"/>
  <c r="AA406" i="2"/>
  <c r="AS410" i="2"/>
  <c r="W417" i="2"/>
  <c r="U422" i="2"/>
  <c r="U436" i="2"/>
  <c r="BE325" i="2"/>
  <c r="BE324" i="2" s="1"/>
  <c r="AQ345" i="2"/>
  <c r="BC347" i="2"/>
  <c r="BF348" i="2"/>
  <c r="AC351" i="2"/>
  <c r="AC350" i="2" s="1"/>
  <c r="AU353" i="2"/>
  <c r="BC355" i="2"/>
  <c r="AE360" i="2"/>
  <c r="AY370" i="2"/>
  <c r="U380" i="2"/>
  <c r="AI380" i="2"/>
  <c r="AE380" i="2"/>
  <c r="AC380" i="2"/>
  <c r="AA380" i="2"/>
  <c r="AE386" i="2"/>
  <c r="AU387" i="2"/>
  <c r="AS391" i="2"/>
  <c r="AE397" i="2"/>
  <c r="AQ401" i="2"/>
  <c r="AA403" i="2"/>
  <c r="AW403" i="2"/>
  <c r="AY403" i="2"/>
  <c r="AO403" i="2"/>
  <c r="AK403" i="2"/>
  <c r="AI403" i="2"/>
  <c r="AG403" i="2"/>
  <c r="U403" i="2"/>
  <c r="AC406" i="2"/>
  <c r="AW410" i="2"/>
  <c r="AA415" i="2"/>
  <c r="AI429" i="2"/>
  <c r="AQ429" i="2"/>
  <c r="AO429" i="2"/>
  <c r="AA429" i="2"/>
  <c r="Y429" i="2"/>
  <c r="AG429" i="2"/>
  <c r="BE429" i="2"/>
  <c r="BC429" i="2"/>
  <c r="BA429" i="2"/>
  <c r="AY429" i="2"/>
  <c r="AW429" i="2"/>
  <c r="AU429" i="2"/>
  <c r="AS429" i="2"/>
  <c r="AM429" i="2"/>
  <c r="AK429" i="2"/>
  <c r="W436" i="2"/>
  <c r="BF436" i="2"/>
  <c r="AY331" i="2"/>
  <c r="AY330" i="2" s="1"/>
  <c r="AS345" i="2"/>
  <c r="BE347" i="2"/>
  <c r="AG351" i="2"/>
  <c r="AG350" i="2" s="1"/>
  <c r="AW353" i="2"/>
  <c r="AC359" i="2"/>
  <c r="AG360" i="2"/>
  <c r="AM381" i="2"/>
  <c r="AG386" i="2"/>
  <c r="AY387" i="2"/>
  <c r="AU391" i="2"/>
  <c r="AI397" i="2"/>
  <c r="AU401" i="2"/>
  <c r="AE406" i="2"/>
  <c r="BC410" i="2"/>
  <c r="AC415" i="2"/>
  <c r="AC422" i="2"/>
  <c r="U429" i="2"/>
  <c r="Y436" i="2"/>
  <c r="AI446" i="2"/>
  <c r="AA446" i="2"/>
  <c r="Y446" i="2"/>
  <c r="AY446" i="2"/>
  <c r="AC446" i="2"/>
  <c r="AU446" i="2"/>
  <c r="AO446" i="2"/>
  <c r="BE446" i="2"/>
  <c r="BC446" i="2"/>
  <c r="BA446" i="2"/>
  <c r="AW446" i="2"/>
  <c r="AS446" i="2"/>
  <c r="AQ446" i="2"/>
  <c r="AM446" i="2"/>
  <c r="AK446" i="2"/>
  <c r="AG446" i="2"/>
  <c r="AE446" i="2"/>
  <c r="U446" i="2"/>
  <c r="BA387" i="2"/>
  <c r="AW391" i="2"/>
  <c r="U393" i="2"/>
  <c r="AG393" i="2"/>
  <c r="BA393" i="2"/>
  <c r="AE415" i="2"/>
  <c r="AI452" i="2"/>
  <c r="AO452" i="2"/>
  <c r="AM452" i="2"/>
  <c r="AA452" i="2"/>
  <c r="Y452" i="2"/>
  <c r="AY452" i="2"/>
  <c r="AK452" i="2"/>
  <c r="AG452" i="2"/>
  <c r="BE452" i="2"/>
  <c r="BC452" i="2"/>
  <c r="BA452" i="2"/>
  <c r="AW452" i="2"/>
  <c r="AU452" i="2"/>
  <c r="AS452" i="2"/>
  <c r="AQ452" i="2"/>
  <c r="AE452" i="2"/>
  <c r="AC452" i="2"/>
  <c r="BC365" i="2"/>
  <c r="AY365" i="2"/>
  <c r="BC387" i="2"/>
  <c r="AE389" i="2"/>
  <c r="U389" i="2"/>
  <c r="BC389" i="2"/>
  <c r="AY389" i="2"/>
  <c r="AW389" i="2"/>
  <c r="AU389" i="2"/>
  <c r="AI389" i="2"/>
  <c r="AY391" i="2"/>
  <c r="Y393" i="2"/>
  <c r="AA399" i="2"/>
  <c r="BA399" i="2"/>
  <c r="AO399" i="2"/>
  <c r="AU399" i="2"/>
  <c r="AG415" i="2"/>
  <c r="W446" i="2"/>
  <c r="BE331" i="2"/>
  <c r="BE330" i="2" s="1"/>
  <c r="AY345" i="2"/>
  <c r="AM351" i="2"/>
  <c r="AM350" i="2" s="1"/>
  <c r="BC353" i="2"/>
  <c r="AA357" i="2"/>
  <c r="AI359" i="2"/>
  <c r="AM360" i="2"/>
  <c r="U365" i="2"/>
  <c r="AG380" i="2"/>
  <c r="AS381" i="2"/>
  <c r="U384" i="2"/>
  <c r="AQ384" i="2"/>
  <c r="AM384" i="2"/>
  <c r="AK384" i="2"/>
  <c r="AI384" i="2"/>
  <c r="AC385" i="2"/>
  <c r="AS386" i="2"/>
  <c r="BE387" i="2"/>
  <c r="BA391" i="2"/>
  <c r="AA393" i="2"/>
  <c r="AQ397" i="2"/>
  <c r="U399" i="2"/>
  <c r="BA401" i="2"/>
  <c r="AC403" i="2"/>
  <c r="AM406" i="2"/>
  <c r="AI409" i="2"/>
  <c r="AY409" i="2"/>
  <c r="AM409" i="2"/>
  <c r="Y409" i="2"/>
  <c r="AU409" i="2"/>
  <c r="AS409" i="2"/>
  <c r="AK409" i="2"/>
  <c r="AE409" i="2"/>
  <c r="AC409" i="2"/>
  <c r="AA409" i="2"/>
  <c r="AI411" i="2"/>
  <c r="BC411" i="2"/>
  <c r="BA411" i="2"/>
  <c r="AW411" i="2"/>
  <c r="AK411" i="2"/>
  <c r="BE411" i="2"/>
  <c r="AY411" i="2"/>
  <c r="AU411" i="2"/>
  <c r="AS411" i="2"/>
  <c r="AE411" i="2"/>
  <c r="W414" i="2"/>
  <c r="AU415" i="2"/>
  <c r="AI420" i="2"/>
  <c r="AU420" i="2"/>
  <c r="AG420" i="2"/>
  <c r="AS420" i="2"/>
  <c r="AQ420" i="2"/>
  <c r="AO420" i="2"/>
  <c r="AM420" i="2"/>
  <c r="AK420" i="2"/>
  <c r="AC420" i="2"/>
  <c r="AA420" i="2"/>
  <c r="Y420" i="2"/>
  <c r="U420" i="2"/>
  <c r="AM422" i="2"/>
  <c r="AG436" i="2"/>
  <c r="BA345" i="2"/>
  <c r="AO351" i="2"/>
  <c r="AO350" i="2" s="1"/>
  <c r="AC357" i="2"/>
  <c r="AK359" i="2"/>
  <c r="AO360" i="2"/>
  <c r="BC364" i="2"/>
  <c r="AY364" i="2"/>
  <c r="U379" i="2"/>
  <c r="AG379" i="2"/>
  <c r="AC379" i="2"/>
  <c r="AA379" i="2"/>
  <c r="Y379" i="2"/>
  <c r="AK380" i="2"/>
  <c r="AU381" i="2"/>
  <c r="AE385" i="2"/>
  <c r="AW386" i="2"/>
  <c r="AC393" i="2"/>
  <c r="AS397" i="2"/>
  <c r="BC401" i="2"/>
  <c r="AE403" i="2"/>
  <c r="AO406" i="2"/>
  <c r="U409" i="2"/>
  <c r="U411" i="2"/>
  <c r="AE420" i="2"/>
  <c r="AO422" i="2"/>
  <c r="AM436" i="2"/>
  <c r="BC345" i="2"/>
  <c r="AQ351" i="2"/>
  <c r="AQ350" i="2" s="1"/>
  <c r="AE357" i="2"/>
  <c r="AM359" i="2"/>
  <c r="AS360" i="2"/>
  <c r="AM380" i="2"/>
  <c r="AW381" i="2"/>
  <c r="AG385" i="2"/>
  <c r="AY386" i="2"/>
  <c r="Y389" i="2"/>
  <c r="AE393" i="2"/>
  <c r="BC397" i="2"/>
  <c r="Y399" i="2"/>
  <c r="AM403" i="2"/>
  <c r="AQ406" i="2"/>
  <c r="AS422" i="2"/>
  <c r="AU436" i="2"/>
  <c r="U347" i="2"/>
  <c r="AM355" i="2"/>
  <c r="AI355" i="2"/>
  <c r="AW360" i="2"/>
  <c r="Y365" i="2"/>
  <c r="AO380" i="2"/>
  <c r="AY381" i="2"/>
  <c r="BA386" i="2"/>
  <c r="AA389" i="2"/>
  <c r="AE392" i="2"/>
  <c r="U392" i="2"/>
  <c r="AU392" i="2"/>
  <c r="AI393" i="2"/>
  <c r="AC399" i="2"/>
  <c r="AQ403" i="2"/>
  <c r="AU406" i="2"/>
  <c r="AI416" i="2"/>
  <c r="AA416" i="2"/>
  <c r="AS416" i="2"/>
  <c r="BE416" i="2"/>
  <c r="BA416" i="2"/>
  <c r="AY416" i="2"/>
  <c r="AW416" i="2"/>
  <c r="AU416" i="2"/>
  <c r="AG416" i="2"/>
  <c r="BE422" i="2"/>
  <c r="W430" i="2"/>
  <c r="BF430" i="2"/>
  <c r="AI432" i="2"/>
  <c r="AW432" i="2"/>
  <c r="AU432" i="2"/>
  <c r="AG432" i="2"/>
  <c r="AE432" i="2"/>
  <c r="BA432" i="2"/>
  <c r="AK432" i="2"/>
  <c r="BE432" i="2"/>
  <c r="BC432" i="2"/>
  <c r="AY432" i="2"/>
  <c r="AS432" i="2"/>
  <c r="AQ432" i="2"/>
  <c r="AO432" i="2"/>
  <c r="AM432" i="2"/>
  <c r="AC432" i="2"/>
  <c r="AW436" i="2"/>
  <c r="AA365" i="2"/>
  <c r="AY374" i="2"/>
  <c r="BE374" i="2"/>
  <c r="BA374" i="2"/>
  <c r="AW374" i="2"/>
  <c r="AU374" i="2"/>
  <c r="BC386" i="2"/>
  <c r="U388" i="2"/>
  <c r="AY388" i="2"/>
  <c r="AU388" i="2"/>
  <c r="AS388" i="2"/>
  <c r="AQ388" i="2"/>
  <c r="AC389" i="2"/>
  <c r="AK393" i="2"/>
  <c r="AE399" i="2"/>
  <c r="AA402" i="2"/>
  <c r="AU402" i="2"/>
  <c r="AQ402" i="2"/>
  <c r="AI402" i="2"/>
  <c r="AE402" i="2"/>
  <c r="AC402" i="2"/>
  <c r="Y402" i="2"/>
  <c r="AS403" i="2"/>
  <c r="AY406" i="2"/>
  <c r="AG311" i="2"/>
  <c r="AG312" i="2"/>
  <c r="Y325" i="2"/>
  <c r="Y324" i="2" s="1"/>
  <c r="Y347" i="2"/>
  <c r="AC348" i="2"/>
  <c r="AW351" i="2"/>
  <c r="AW350" i="2" s="1"/>
  <c r="AM354" i="2"/>
  <c r="AI354" i="2"/>
  <c r="AK357" i="2"/>
  <c r="AW359" i="2"/>
  <c r="BA360" i="2"/>
  <c r="Y364" i="2"/>
  <c r="AC365" i="2"/>
  <c r="U374" i="2"/>
  <c r="AI379" i="2"/>
  <c r="AS380" i="2"/>
  <c r="BC381" i="2"/>
  <c r="U383" i="2"/>
  <c r="AO383" i="2"/>
  <c r="AK383" i="2"/>
  <c r="AI383" i="2"/>
  <c r="AG383" i="2"/>
  <c r="AU385" i="2"/>
  <c r="BE386" i="2"/>
  <c r="AG389" i="2"/>
  <c r="W392" i="2"/>
  <c r="AM393" i="2"/>
  <c r="AG399" i="2"/>
  <c r="U402" i="2"/>
  <c r="AU403" i="2"/>
  <c r="BA406" i="2"/>
  <c r="BC420" i="2"/>
  <c r="AI450" i="2"/>
  <c r="AK450" i="2"/>
  <c r="AG450" i="2"/>
  <c r="U450" i="2"/>
  <c r="AM450" i="2"/>
  <c r="AE450" i="2"/>
  <c r="AA450" i="2"/>
  <c r="BE450" i="2"/>
  <c r="BC450" i="2"/>
  <c r="BA450" i="2"/>
  <c r="AY450" i="2"/>
  <c r="AW450" i="2"/>
  <c r="AU450" i="2"/>
  <c r="AS450" i="2"/>
  <c r="AQ450" i="2"/>
  <c r="Y450" i="2"/>
  <c r="AA325" i="2"/>
  <c r="AA324" i="2" s="1"/>
  <c r="U331" i="2"/>
  <c r="U330" i="2" s="1"/>
  <c r="AA347" i="2"/>
  <c r="AE348" i="2"/>
  <c r="AY351" i="2"/>
  <c r="AY350" i="2" s="1"/>
  <c r="U354" i="2"/>
  <c r="AM357" i="2"/>
  <c r="AY359" i="2"/>
  <c r="BC360" i="2"/>
  <c r="AA364" i="2"/>
  <c r="AE365" i="2"/>
  <c r="U378" i="2"/>
  <c r="AE378" i="2"/>
  <c r="AA378" i="2"/>
  <c r="Y378" i="2"/>
  <c r="AK379" i="2"/>
  <c r="AU380" i="2"/>
  <c r="BE381" i="2"/>
  <c r="AE384" i="2"/>
  <c r="AW385" i="2"/>
  <c r="AK389" i="2"/>
  <c r="Y392" i="2"/>
  <c r="AO393" i="2"/>
  <c r="AI399" i="2"/>
  <c r="BA403" i="2"/>
  <c r="BC406" i="2"/>
  <c r="W413" i="2"/>
  <c r="BE420" i="2"/>
  <c r="Y432" i="2"/>
  <c r="AC450" i="2"/>
  <c r="AM353" i="2"/>
  <c r="AI353" i="2"/>
  <c r="Y355" i="2"/>
  <c r="BE360" i="2"/>
  <c r="AG365" i="2"/>
  <c r="AC370" i="2"/>
  <c r="Y370" i="2"/>
  <c r="U370" i="2"/>
  <c r="AM379" i="2"/>
  <c r="AW380" i="2"/>
  <c r="AY385" i="2"/>
  <c r="Y388" i="2"/>
  <c r="AM389" i="2"/>
  <c r="AA392" i="2"/>
  <c r="AQ393" i="2"/>
  <c r="AK399" i="2"/>
  <c r="BC403" i="2"/>
  <c r="BE406" i="2"/>
  <c r="AO450" i="2"/>
  <c r="W447" i="2"/>
  <c r="BF447" i="2"/>
  <c r="W492" i="2"/>
  <c r="AO398" i="2"/>
  <c r="AI466" i="2"/>
  <c r="Y466" i="2"/>
  <c r="BA466" i="2"/>
  <c r="AY466" i="2"/>
  <c r="AW466" i="2"/>
  <c r="AU466" i="2"/>
  <c r="AK466" i="2"/>
  <c r="AC466" i="2"/>
  <c r="U466" i="2"/>
  <c r="BE466" i="2"/>
  <c r="BC466" i="2"/>
  <c r="AQ466" i="2"/>
  <c r="AI457" i="2"/>
  <c r="Y457" i="2"/>
  <c r="BE457" i="2"/>
  <c r="BC457" i="2"/>
  <c r="AS457" i="2"/>
  <c r="AQ457" i="2"/>
  <c r="AO457" i="2"/>
  <c r="AC457" i="2"/>
  <c r="AA457" i="2"/>
  <c r="U457" i="2"/>
  <c r="AI472" i="2"/>
  <c r="AM472" i="2"/>
  <c r="AA472" i="2"/>
  <c r="Y472" i="2"/>
  <c r="BC472" i="2"/>
  <c r="BA472" i="2"/>
  <c r="AY472" i="2"/>
  <c r="AW472" i="2"/>
  <c r="AK472" i="2"/>
  <c r="BE472" i="2"/>
  <c r="AS472" i="2"/>
  <c r="AQ472" i="2"/>
  <c r="AI476" i="2"/>
  <c r="AU476" i="2"/>
  <c r="AK476" i="2"/>
  <c r="AG476" i="2"/>
  <c r="AE476" i="2"/>
  <c r="BE476" i="2"/>
  <c r="BC476" i="2"/>
  <c r="AW476" i="2"/>
  <c r="AS476" i="2"/>
  <c r="AQ476" i="2"/>
  <c r="AO476" i="2"/>
  <c r="AM476" i="2"/>
  <c r="AC476" i="2"/>
  <c r="Y476" i="2"/>
  <c r="U476" i="2"/>
  <c r="W455" i="2"/>
  <c r="AE466" i="2"/>
  <c r="U472" i="2"/>
  <c r="AA476" i="2"/>
  <c r="AE457" i="2"/>
  <c r="AY476" i="2"/>
  <c r="AG457" i="2"/>
  <c r="AC472" i="2"/>
  <c r="BA476" i="2"/>
  <c r="U394" i="2"/>
  <c r="AI394" i="2"/>
  <c r="BC398" i="2"/>
  <c r="AI408" i="2"/>
  <c r="AW408" i="2"/>
  <c r="AG408" i="2"/>
  <c r="AI413" i="2"/>
  <c r="BE413" i="2"/>
  <c r="AW413" i="2"/>
  <c r="AA413" i="2"/>
  <c r="AI428" i="2"/>
  <c r="AO428" i="2"/>
  <c r="AM428" i="2"/>
  <c r="Y428" i="2"/>
  <c r="AW428" i="2"/>
  <c r="U428" i="2"/>
  <c r="AI431" i="2"/>
  <c r="AU431" i="2"/>
  <c r="AS431" i="2"/>
  <c r="AE431" i="2"/>
  <c r="AC431" i="2"/>
  <c r="AM431" i="2"/>
  <c r="BA431" i="2"/>
  <c r="AI437" i="2"/>
  <c r="BE437" i="2"/>
  <c r="AS437" i="2"/>
  <c r="AQ437" i="2"/>
  <c r="AY437" i="2"/>
  <c r="AG437" i="2"/>
  <c r="AK457" i="2"/>
  <c r="AO466" i="2"/>
  <c r="AI470" i="2"/>
  <c r="Y470" i="2"/>
  <c r="AQ470" i="2"/>
  <c r="AO470" i="2"/>
  <c r="AM470" i="2"/>
  <c r="AE470" i="2"/>
  <c r="AC470" i="2"/>
  <c r="AA470" i="2"/>
  <c r="BE470" i="2"/>
  <c r="BA470" i="2"/>
  <c r="AY470" i="2"/>
  <c r="AE472" i="2"/>
  <c r="BA490" i="2"/>
  <c r="BC490" i="2"/>
  <c r="AQ490" i="2"/>
  <c r="AG490" i="2"/>
  <c r="AE490" i="2"/>
  <c r="AC490" i="2"/>
  <c r="Y490" i="2"/>
  <c r="AK490" i="2"/>
  <c r="AA490" i="2"/>
  <c r="U490" i="2"/>
  <c r="AU490" i="2"/>
  <c r="AY490" i="2"/>
  <c r="AS490" i="2"/>
  <c r="AM490" i="2"/>
  <c r="AI490" i="2"/>
  <c r="AI434" i="2"/>
  <c r="BA434" i="2"/>
  <c r="AY434" i="2"/>
  <c r="AM434" i="2"/>
  <c r="AK434" i="2"/>
  <c r="AE434" i="2"/>
  <c r="Y434" i="2"/>
  <c r="AM457" i="2"/>
  <c r="AS466" i="2"/>
  <c r="U470" i="2"/>
  <c r="AG472" i="2"/>
  <c r="AI477" i="2"/>
  <c r="AW477" i="2"/>
  <c r="AM477" i="2"/>
  <c r="AK477" i="2"/>
  <c r="AG477" i="2"/>
  <c r="Y477" i="2"/>
  <c r="BE477" i="2"/>
  <c r="BC477" i="2"/>
  <c r="BA477" i="2"/>
  <c r="AQ477" i="2"/>
  <c r="AS477" i="2"/>
  <c r="AE477" i="2"/>
  <c r="AC477" i="2"/>
  <c r="AO490" i="2"/>
  <c r="U369" i="2"/>
  <c r="Y394" i="2"/>
  <c r="AA400" i="2"/>
  <c r="BC400" i="2"/>
  <c r="AQ400" i="2"/>
  <c r="AA428" i="2"/>
  <c r="U434" i="2"/>
  <c r="AI445" i="2"/>
  <c r="Y445" i="2"/>
  <c r="AW445" i="2"/>
  <c r="BE445" i="2"/>
  <c r="AG445" i="2"/>
  <c r="AA445" i="2"/>
  <c r="AU457" i="2"/>
  <c r="AG470" i="2"/>
  <c r="AO472" i="2"/>
  <c r="U477" i="2"/>
  <c r="AI480" i="2"/>
  <c r="BC480" i="2"/>
  <c r="AS480" i="2"/>
  <c r="AQ480" i="2"/>
  <c r="AO480" i="2"/>
  <c r="AE480" i="2"/>
  <c r="BE480" i="2"/>
  <c r="BA480" i="2"/>
  <c r="AU480" i="2"/>
  <c r="AM480" i="2"/>
  <c r="AK480" i="2"/>
  <c r="AG480" i="2"/>
  <c r="AC480" i="2"/>
  <c r="AY480" i="2"/>
  <c r="AW480" i="2"/>
  <c r="Y480" i="2"/>
  <c r="AW490" i="2"/>
  <c r="AW457" i="2"/>
  <c r="AI467" i="2"/>
  <c r="Y467" i="2"/>
  <c r="BE467" i="2"/>
  <c r="BC467" i="2"/>
  <c r="BA467" i="2"/>
  <c r="AQ467" i="2"/>
  <c r="AU467" i="2"/>
  <c r="AO467" i="2"/>
  <c r="AM467" i="2"/>
  <c r="AU472" i="2"/>
  <c r="BF477" i="2"/>
  <c r="W477" i="2"/>
  <c r="BE490" i="2"/>
  <c r="AC394" i="2"/>
  <c r="AA408" i="2"/>
  <c r="Y413" i="2"/>
  <c r="AI419" i="2"/>
  <c r="U419" i="2"/>
  <c r="AO419" i="2"/>
  <c r="AA419" i="2"/>
  <c r="BE419" i="2"/>
  <c r="AE428" i="2"/>
  <c r="AA431" i="2"/>
  <c r="Y437" i="2"/>
  <c r="AY457" i="2"/>
  <c r="U467" i="2"/>
  <c r="AS470" i="2"/>
  <c r="AA477" i="2"/>
  <c r="AI440" i="2"/>
  <c r="AY440" i="2"/>
  <c r="AW440" i="2"/>
  <c r="Y440" i="2"/>
  <c r="AQ440" i="2"/>
  <c r="AK440" i="2"/>
  <c r="BA457" i="2"/>
  <c r="W467" i="2"/>
  <c r="BF467" i="2"/>
  <c r="AU470" i="2"/>
  <c r="W497" i="2"/>
  <c r="AI412" i="2"/>
  <c r="BE412" i="2"/>
  <c r="BC412" i="2"/>
  <c r="AQ412" i="2"/>
  <c r="AI423" i="2"/>
  <c r="AC423" i="2"/>
  <c r="AA423" i="2"/>
  <c r="BA423" i="2"/>
  <c r="AE423" i="2"/>
  <c r="AK428" i="2"/>
  <c r="AK431" i="2"/>
  <c r="AC434" i="2"/>
  <c r="AC437" i="2"/>
  <c r="U440" i="2"/>
  <c r="AE445" i="2"/>
  <c r="AI451" i="2"/>
  <c r="AM451" i="2"/>
  <c r="AK451" i="2"/>
  <c r="Y451" i="2"/>
  <c r="AE451" i="2"/>
  <c r="BA451" i="2"/>
  <c r="AY451" i="2"/>
  <c r="AU451" i="2"/>
  <c r="AA467" i="2"/>
  <c r="AW470" i="2"/>
  <c r="AU477" i="2"/>
  <c r="U412" i="2"/>
  <c r="AI456" i="2"/>
  <c r="Y456" i="2"/>
  <c r="BA456" i="2"/>
  <c r="AY456" i="2"/>
  <c r="AO456" i="2"/>
  <c r="AM456" i="2"/>
  <c r="AK456" i="2"/>
  <c r="BE456" i="2"/>
  <c r="AQ456" i="2"/>
  <c r="AG456" i="2"/>
  <c r="AC467" i="2"/>
  <c r="BC470" i="2"/>
  <c r="AY477" i="2"/>
  <c r="AA398" i="2"/>
  <c r="AY398" i="2"/>
  <c r="AM398" i="2"/>
  <c r="AI427" i="2"/>
  <c r="AM427" i="2"/>
  <c r="AK427" i="2"/>
  <c r="AY427" i="2"/>
  <c r="AG427" i="2"/>
  <c r="AI430" i="2"/>
  <c r="AS430" i="2"/>
  <c r="AQ430" i="2"/>
  <c r="AC430" i="2"/>
  <c r="AA430" i="2"/>
  <c r="AW430" i="2"/>
  <c r="AM430" i="2"/>
  <c r="AI433" i="2"/>
  <c r="AY433" i="2"/>
  <c r="AW433" i="2"/>
  <c r="AK433" i="2"/>
  <c r="AG433" i="2"/>
  <c r="AU433" i="2"/>
  <c r="AI458" i="2"/>
  <c r="Y458" i="2"/>
  <c r="BA458" i="2"/>
  <c r="AY458" i="2"/>
  <c r="AW458" i="2"/>
  <c r="AU458" i="2"/>
  <c r="AK458" i="2"/>
  <c r="AC458" i="2"/>
  <c r="BE458" i="2"/>
  <c r="BC458" i="2"/>
  <c r="AQ458" i="2"/>
  <c r="AE467" i="2"/>
  <c r="AI481" i="2"/>
  <c r="BE481" i="2"/>
  <c r="AU481" i="2"/>
  <c r="AS481" i="2"/>
  <c r="AQ481" i="2"/>
  <c r="AG481" i="2"/>
  <c r="BC481" i="2"/>
  <c r="BA481" i="2"/>
  <c r="AY481" i="2"/>
  <c r="AK481" i="2"/>
  <c r="AW481" i="2"/>
  <c r="AO481" i="2"/>
  <c r="AE481" i="2"/>
  <c r="AI463" i="2"/>
  <c r="Y463" i="2"/>
  <c r="AS463" i="2"/>
  <c r="AQ463" i="2"/>
  <c r="AO463" i="2"/>
  <c r="AG463" i="2"/>
  <c r="AE463" i="2"/>
  <c r="AC463" i="2"/>
  <c r="AA463" i="2"/>
  <c r="AM463" i="2"/>
  <c r="AK463" i="2"/>
  <c r="U463" i="2"/>
  <c r="AI478" i="2"/>
  <c r="AY478" i="2"/>
  <c r="AO478" i="2"/>
  <c r="AM478" i="2"/>
  <c r="AK478" i="2"/>
  <c r="AA478" i="2"/>
  <c r="AC478" i="2"/>
  <c r="U478" i="2"/>
  <c r="BE478" i="2"/>
  <c r="AW478" i="2"/>
  <c r="AS478" i="2"/>
  <c r="AQ478" i="2"/>
  <c r="AE478" i="2"/>
  <c r="U481" i="2"/>
  <c r="V473" i="2"/>
  <c r="V538" i="2"/>
  <c r="V504" i="2"/>
  <c r="V503" i="2"/>
  <c r="AI438" i="2"/>
  <c r="AU438" i="2"/>
  <c r="AS438" i="2"/>
  <c r="AQ484" i="2"/>
  <c r="BE484" i="2"/>
  <c r="AW484" i="2"/>
  <c r="BC484" i="2"/>
  <c r="AU484" i="2"/>
  <c r="AS484" i="2"/>
  <c r="AO484" i="2"/>
  <c r="AM484" i="2"/>
  <c r="AK484" i="2"/>
  <c r="AC484" i="2"/>
  <c r="BA493" i="2"/>
  <c r="BE493" i="2"/>
  <c r="AS493" i="2"/>
  <c r="AQ493" i="2"/>
  <c r="AO493" i="2"/>
  <c r="AK493" i="2"/>
  <c r="AG493" i="2"/>
  <c r="AA493" i="2"/>
  <c r="U493" i="2"/>
  <c r="AM493" i="2"/>
  <c r="AI453" i="2"/>
  <c r="AQ453" i="2"/>
  <c r="AO453" i="2"/>
  <c r="AC453" i="2"/>
  <c r="AA453" i="2"/>
  <c r="Y453" i="2"/>
  <c r="AI465" i="2"/>
  <c r="Y465" i="2"/>
  <c r="BE465" i="2"/>
  <c r="BC465" i="2"/>
  <c r="BA465" i="2"/>
  <c r="AU465" i="2"/>
  <c r="AS465" i="2"/>
  <c r="AQ465" i="2"/>
  <c r="AO465" i="2"/>
  <c r="AC465" i="2"/>
  <c r="AC493" i="2"/>
  <c r="AI444" i="2"/>
  <c r="BE444" i="2"/>
  <c r="AU444" i="2"/>
  <c r="Y484" i="2"/>
  <c r="BA499" i="2"/>
  <c r="AA499" i="2"/>
  <c r="U499" i="2"/>
  <c r="BC499" i="2"/>
  <c r="AY499" i="2"/>
  <c r="AU499" i="2"/>
  <c r="AS499" i="2"/>
  <c r="AQ499" i="2"/>
  <c r="AM499" i="2"/>
  <c r="AK499" i="2"/>
  <c r="AI499" i="2"/>
  <c r="AG499" i="2"/>
  <c r="AE499" i="2"/>
  <c r="AC499" i="2"/>
  <c r="Y499" i="2"/>
  <c r="AI482" i="2"/>
  <c r="AW482" i="2"/>
  <c r="AU482" i="2"/>
  <c r="AS482" i="2"/>
  <c r="AK482" i="2"/>
  <c r="AA482" i="2"/>
  <c r="U482" i="2"/>
  <c r="BC482" i="2"/>
  <c r="AE484" i="2"/>
  <c r="AU493" i="2"/>
  <c r="AO499" i="2"/>
  <c r="W520" i="2"/>
  <c r="BF520" i="2"/>
  <c r="AI484" i="2"/>
  <c r="BE499" i="2"/>
  <c r="V533" i="2"/>
  <c r="BA494" i="2"/>
  <c r="AW494" i="2"/>
  <c r="AU494" i="2"/>
  <c r="AS494" i="2"/>
  <c r="AO494" i="2"/>
  <c r="AK494" i="2"/>
  <c r="BC494" i="2"/>
  <c r="AQ494" i="2"/>
  <c r="AM494" i="2"/>
  <c r="AI494" i="2"/>
  <c r="AE494" i="2"/>
  <c r="AC494" i="2"/>
  <c r="AA494" i="2"/>
  <c r="Y494" i="2"/>
  <c r="U494" i="2"/>
  <c r="AO482" i="2"/>
  <c r="BA491" i="2"/>
  <c r="BE491" i="2"/>
  <c r="AU491" i="2"/>
  <c r="AK491" i="2"/>
  <c r="AI491" i="2"/>
  <c r="AG491" i="2"/>
  <c r="AC491" i="2"/>
  <c r="Y491" i="2"/>
  <c r="AY491" i="2"/>
  <c r="AW491" i="2"/>
  <c r="AS491" i="2"/>
  <c r="AO491" i="2"/>
  <c r="AM491" i="2"/>
  <c r="AE491" i="2"/>
  <c r="AA491" i="2"/>
  <c r="U491" i="2"/>
  <c r="AI407" i="2"/>
  <c r="AU407" i="2"/>
  <c r="BC414" i="2"/>
  <c r="AW438" i="2"/>
  <c r="AQ444" i="2"/>
  <c r="AY453" i="2"/>
  <c r="AI464" i="2"/>
  <c r="Y464" i="2"/>
  <c r="AY464" i="2"/>
  <c r="AW464" i="2"/>
  <c r="AU464" i="2"/>
  <c r="AO464" i="2"/>
  <c r="AM464" i="2"/>
  <c r="AK464" i="2"/>
  <c r="AG464" i="2"/>
  <c r="U464" i="2"/>
  <c r="AI474" i="2"/>
  <c r="AQ474" i="2"/>
  <c r="AE474" i="2"/>
  <c r="AC474" i="2"/>
  <c r="AA474" i="2"/>
  <c r="U474" i="2"/>
  <c r="AK474" i="2"/>
  <c r="Y474" i="2"/>
  <c r="BE474" i="2"/>
  <c r="AY482" i="2"/>
  <c r="BC491" i="2"/>
  <c r="BE494" i="2"/>
  <c r="BA505" i="2"/>
  <c r="AI505" i="2"/>
  <c r="AY505" i="2"/>
  <c r="AS505" i="2"/>
  <c r="AQ505" i="2"/>
  <c r="AO505" i="2"/>
  <c r="AM505" i="2"/>
  <c r="AK505" i="2"/>
  <c r="AE505" i="2"/>
  <c r="AA505" i="2"/>
  <c r="BE505" i="2"/>
  <c r="BC505" i="2"/>
  <c r="AW505" i="2"/>
  <c r="AU505" i="2"/>
  <c r="AG505" i="2"/>
  <c r="BA453" i="2"/>
  <c r="AG474" i="2"/>
  <c r="BA482" i="2"/>
  <c r="U505" i="2"/>
  <c r="V510" i="2"/>
  <c r="AC464" i="2"/>
  <c r="AO474" i="2"/>
  <c r="BA492" i="2"/>
  <c r="AY492" i="2"/>
  <c r="AO492" i="2"/>
  <c r="AM492" i="2"/>
  <c r="AK492" i="2"/>
  <c r="AG492" i="2"/>
  <c r="AC492" i="2"/>
  <c r="BE492" i="2"/>
  <c r="BC492" i="2"/>
  <c r="AW492" i="2"/>
  <c r="AU492" i="2"/>
  <c r="AS492" i="2"/>
  <c r="AE492" i="2"/>
  <c r="U492" i="2"/>
  <c r="AC505" i="2"/>
  <c r="BA510" i="2"/>
  <c r="AS510" i="2"/>
  <c r="BC510" i="2"/>
  <c r="AW510" i="2"/>
  <c r="AQ510" i="2"/>
  <c r="BE510" i="2"/>
  <c r="AY510" i="2"/>
  <c r="AU510" i="2"/>
  <c r="AO510" i="2"/>
  <c r="AM510" i="2"/>
  <c r="AK510" i="2"/>
  <c r="AI510" i="2"/>
  <c r="AG510" i="2"/>
  <c r="AE510" i="2"/>
  <c r="AC510" i="2"/>
  <c r="AA510" i="2"/>
  <c r="U510" i="2"/>
  <c r="AC535" i="2"/>
  <c r="AS535" i="2"/>
  <c r="AQ535" i="2"/>
  <c r="U535" i="2"/>
  <c r="BE535" i="2"/>
  <c r="BC535" i="2"/>
  <c r="BA535" i="2"/>
  <c r="AY535" i="2"/>
  <c r="AW535" i="2"/>
  <c r="AU535" i="2"/>
  <c r="AO535" i="2"/>
  <c r="AM535" i="2"/>
  <c r="AK535" i="2"/>
  <c r="AI535" i="2"/>
  <c r="Y535" i="2"/>
  <c r="AG535" i="2"/>
  <c r="AE535" i="2"/>
  <c r="AA535" i="2"/>
  <c r="Y510" i="2"/>
  <c r="AI439" i="2"/>
  <c r="AW439" i="2"/>
  <c r="AU439" i="2"/>
  <c r="AI471" i="2"/>
  <c r="AK471" i="2"/>
  <c r="Y471" i="2"/>
  <c r="BC471" i="2"/>
  <c r="BA471" i="2"/>
  <c r="AY471" i="2"/>
  <c r="AS471" i="2"/>
  <c r="AQ471" i="2"/>
  <c r="AO471" i="2"/>
  <c r="AM471" i="2"/>
  <c r="U471" i="2"/>
  <c r="V481" i="2"/>
  <c r="Y492" i="2"/>
  <c r="BC520" i="2"/>
  <c r="BE520" i="2"/>
  <c r="BA520" i="2"/>
  <c r="AY520" i="2"/>
  <c r="AW520" i="2"/>
  <c r="AU520" i="2"/>
  <c r="AS520" i="2"/>
  <c r="AQ520" i="2"/>
  <c r="AO520" i="2"/>
  <c r="AM520" i="2"/>
  <c r="AG520" i="2"/>
  <c r="AE520" i="2"/>
  <c r="U520" i="2"/>
  <c r="BA495" i="2"/>
  <c r="AY495" i="2"/>
  <c r="AW495" i="2"/>
  <c r="AU495" i="2"/>
  <c r="AQ495" i="2"/>
  <c r="AM495" i="2"/>
  <c r="BA503" i="2"/>
  <c r="AE503" i="2"/>
  <c r="AQ503" i="2"/>
  <c r="AK503" i="2"/>
  <c r="AI503" i="2"/>
  <c r="AG503" i="2"/>
  <c r="AC503" i="2"/>
  <c r="AA503" i="2"/>
  <c r="U503" i="2"/>
  <c r="Y520" i="2"/>
  <c r="BC517" i="2"/>
  <c r="BA517" i="2"/>
  <c r="AW517" i="2"/>
  <c r="AS517" i="2"/>
  <c r="AQ517" i="2"/>
  <c r="AO517" i="2"/>
  <c r="AM517" i="2"/>
  <c r="AK517" i="2"/>
  <c r="AI517" i="2"/>
  <c r="AG517" i="2"/>
  <c r="AE517" i="2"/>
  <c r="AC517" i="2"/>
  <c r="AA517" i="2"/>
  <c r="Y517" i="2"/>
  <c r="BE517" i="2"/>
  <c r="AA520" i="2"/>
  <c r="V524" i="2"/>
  <c r="W191" i="3"/>
  <c r="V534" i="2"/>
  <c r="V513" i="2"/>
  <c r="AU517" i="2"/>
  <c r="AK520" i="2"/>
  <c r="AC534" i="2"/>
  <c r="AM534" i="2"/>
  <c r="AK534" i="2"/>
  <c r="AW534" i="2"/>
  <c r="BE534" i="2"/>
  <c r="BC534" i="2"/>
  <c r="BA534" i="2"/>
  <c r="AY534" i="2"/>
  <c r="AU534" i="2"/>
  <c r="AS534" i="2"/>
  <c r="AQ534" i="2"/>
  <c r="AO534" i="2"/>
  <c r="AI534" i="2"/>
  <c r="AG534" i="2"/>
  <c r="AE534" i="2"/>
  <c r="AA534" i="2"/>
  <c r="Y534" i="2"/>
  <c r="U534" i="2"/>
  <c r="V521" i="2"/>
  <c r="V542" i="2"/>
  <c r="V511" i="2"/>
  <c r="V539" i="2"/>
  <c r="V522" i="2"/>
  <c r="V512" i="2"/>
  <c r="V500" i="2"/>
  <c r="V514" i="2"/>
  <c r="V518" i="2"/>
  <c r="BA447" i="2"/>
  <c r="AA495" i="2"/>
  <c r="AS503" i="2"/>
  <c r="BA507" i="2"/>
  <c r="AM507" i="2"/>
  <c r="BC507" i="2"/>
  <c r="AY507" i="2"/>
  <c r="AW507" i="2"/>
  <c r="AU507" i="2"/>
  <c r="AS507" i="2"/>
  <c r="AO507" i="2"/>
  <c r="AI507" i="2"/>
  <c r="AE507" i="2"/>
  <c r="AY517" i="2"/>
  <c r="L87" i="4"/>
  <c r="AI541" i="2"/>
  <c r="AI540" i="2" s="1"/>
  <c r="V515" i="2"/>
  <c r="V535" i="2"/>
  <c r="V487" i="2"/>
  <c r="AG495" i="2"/>
  <c r="AY503" i="2"/>
  <c r="AI475" i="2"/>
  <c r="AS475" i="2"/>
  <c r="AG475" i="2"/>
  <c r="AE475" i="2"/>
  <c r="AC475" i="2"/>
  <c r="AI479" i="2"/>
  <c r="BA479" i="2"/>
  <c r="AQ479" i="2"/>
  <c r="AO479" i="2"/>
  <c r="AM479" i="2"/>
  <c r="AC479" i="2"/>
  <c r="AI495" i="2"/>
  <c r="BA502" i="2"/>
  <c r="AC502" i="2"/>
  <c r="AM502" i="2"/>
  <c r="AG502" i="2"/>
  <c r="AE502" i="2"/>
  <c r="AA502" i="2"/>
  <c r="Y502" i="2"/>
  <c r="U502" i="2"/>
  <c r="BC503" i="2"/>
  <c r="BC518" i="2"/>
  <c r="BE518" i="2"/>
  <c r="BA518" i="2"/>
  <c r="AW518" i="2"/>
  <c r="AU518" i="2"/>
  <c r="AS518" i="2"/>
  <c r="AQ518" i="2"/>
  <c r="AO518" i="2"/>
  <c r="AM518" i="2"/>
  <c r="AK518" i="2"/>
  <c r="AI518" i="2"/>
  <c r="AG518" i="2"/>
  <c r="AE518" i="2"/>
  <c r="AC518" i="2"/>
  <c r="AA518" i="2"/>
  <c r="U518" i="2"/>
  <c r="V525" i="2"/>
  <c r="AY531" i="2"/>
  <c r="AY530" i="2" s="1"/>
  <c r="U531" i="2"/>
  <c r="U530" i="2" s="1"/>
  <c r="BE531" i="2"/>
  <c r="BE530" i="2" s="1"/>
  <c r="BC531" i="2"/>
  <c r="BC530" i="2" s="1"/>
  <c r="BA531" i="2"/>
  <c r="BA530" i="2" s="1"/>
  <c r="AW531" i="2"/>
  <c r="AW530" i="2" s="1"/>
  <c r="AU531" i="2"/>
  <c r="AU530" i="2" s="1"/>
  <c r="AS531" i="2"/>
  <c r="AS530" i="2" s="1"/>
  <c r="AQ531" i="2"/>
  <c r="AQ530" i="2" s="1"/>
  <c r="AO531" i="2"/>
  <c r="AO530" i="2" s="1"/>
  <c r="AM531" i="2"/>
  <c r="AM530" i="2" s="1"/>
  <c r="AK531" i="2"/>
  <c r="AK530" i="2" s="1"/>
  <c r="AI531" i="2"/>
  <c r="AI530" i="2" s="1"/>
  <c r="AG531" i="2"/>
  <c r="AG530" i="2" s="1"/>
  <c r="Y531" i="2"/>
  <c r="Y530" i="2" s="1"/>
  <c r="AA454" i="2"/>
  <c r="AI462" i="2"/>
  <c r="Y462" i="2"/>
  <c r="U475" i="2"/>
  <c r="U479" i="2"/>
  <c r="AK495" i="2"/>
  <c r="V502" i="2"/>
  <c r="BE503" i="2"/>
  <c r="AA507" i="2"/>
  <c r="V528" i="2"/>
  <c r="U425" i="2"/>
  <c r="U449" i="2"/>
  <c r="AC454" i="2"/>
  <c r="U462" i="2"/>
  <c r="AO495" i="2"/>
  <c r="AI502" i="2"/>
  <c r="AC507" i="2"/>
  <c r="Y518" i="2"/>
  <c r="AA531" i="2"/>
  <c r="AA530" i="2" s="1"/>
  <c r="AI469" i="2"/>
  <c r="Y469" i="2"/>
  <c r="Y475" i="2"/>
  <c r="AS495" i="2"/>
  <c r="AK502" i="2"/>
  <c r="AG507" i="2"/>
  <c r="AY518" i="2"/>
  <c r="AI461" i="2"/>
  <c r="Y461" i="2"/>
  <c r="AA475" i="2"/>
  <c r="Y479" i="2"/>
  <c r="BC495" i="2"/>
  <c r="BA498" i="2"/>
  <c r="BC498" i="2"/>
  <c r="AW498" i="2"/>
  <c r="AO502" i="2"/>
  <c r="AK507" i="2"/>
  <c r="AE531" i="2"/>
  <c r="AE530" i="2" s="1"/>
  <c r="W99" i="3"/>
  <c r="V490" i="2"/>
  <c r="BE495" i="2"/>
  <c r="U498" i="2"/>
  <c r="AQ502" i="2"/>
  <c r="BA504" i="2"/>
  <c r="AG504" i="2"/>
  <c r="AU504" i="2"/>
  <c r="AO504" i="2"/>
  <c r="AM504" i="2"/>
  <c r="AK504" i="2"/>
  <c r="AI504" i="2"/>
  <c r="AE504" i="2"/>
  <c r="AA504" i="2"/>
  <c r="U504" i="2"/>
  <c r="AQ507" i="2"/>
  <c r="BE507" i="2"/>
  <c r="BC519" i="2"/>
  <c r="U519" i="2"/>
  <c r="BE519" i="2"/>
  <c r="BA519" i="2"/>
  <c r="AY519" i="2"/>
  <c r="AW519" i="2"/>
  <c r="AU519" i="2"/>
  <c r="AS519" i="2"/>
  <c r="AQ519" i="2"/>
  <c r="AO519" i="2"/>
  <c r="AM519" i="2"/>
  <c r="AK519" i="2"/>
  <c r="AI519" i="2"/>
  <c r="AG519" i="2"/>
  <c r="AA519" i="2"/>
  <c r="Y519" i="2"/>
  <c r="BC526" i="2"/>
  <c r="AI526" i="2"/>
  <c r="AG526" i="2"/>
  <c r="BE526" i="2"/>
  <c r="BA526" i="2"/>
  <c r="AY526" i="2"/>
  <c r="AW526" i="2"/>
  <c r="AU526" i="2"/>
  <c r="AS526" i="2"/>
  <c r="AQ526" i="2"/>
  <c r="AO526" i="2"/>
  <c r="AM526" i="2"/>
  <c r="AK526" i="2"/>
  <c r="AE526" i="2"/>
  <c r="AC526" i="2"/>
  <c r="AA526" i="2"/>
  <c r="U526" i="2"/>
  <c r="AI460" i="2"/>
  <c r="Y460" i="2"/>
  <c r="AA461" i="2"/>
  <c r="AI468" i="2"/>
  <c r="Y468" i="2"/>
  <c r="AO475" i="2"/>
  <c r="AG479" i="2"/>
  <c r="AA498" i="2"/>
  <c r="V501" i="2"/>
  <c r="AU502" i="2"/>
  <c r="BA506" i="2"/>
  <c r="AK506" i="2"/>
  <c r="BE506" i="2"/>
  <c r="AW506" i="2"/>
  <c r="AU506" i="2"/>
  <c r="AS506" i="2"/>
  <c r="AQ506" i="2"/>
  <c r="AO506" i="2"/>
  <c r="AI506" i="2"/>
  <c r="AE506" i="2"/>
  <c r="AA506" i="2"/>
  <c r="V516" i="2"/>
  <c r="V526" i="2"/>
  <c r="AC424" i="2"/>
  <c r="AE425" i="2"/>
  <c r="AA447" i="2"/>
  <c r="AC448" i="2"/>
  <c r="AE449" i="2"/>
  <c r="AQ454" i="2"/>
  <c r="U460" i="2"/>
  <c r="AC461" i="2"/>
  <c r="AK462" i="2"/>
  <c r="U468" i="2"/>
  <c r="AE469" i="2"/>
  <c r="AQ475" i="2"/>
  <c r="AK479" i="2"/>
  <c r="AC498" i="2"/>
  <c r="BA501" i="2"/>
  <c r="AA501" i="2"/>
  <c r="AI501" i="2"/>
  <c r="AC501" i="2"/>
  <c r="Y501" i="2"/>
  <c r="U501" i="2"/>
  <c r="AW502" i="2"/>
  <c r="AC504" i="2"/>
  <c r="U506" i="2"/>
  <c r="BA516" i="2"/>
  <c r="AS516" i="2"/>
  <c r="AO516" i="2"/>
  <c r="AM516" i="2"/>
  <c r="AK516" i="2"/>
  <c r="AI516" i="2"/>
  <c r="AG516" i="2"/>
  <c r="AE516" i="2"/>
  <c r="AC516" i="2"/>
  <c r="AA516" i="2"/>
  <c r="Y516" i="2"/>
  <c r="U516" i="2"/>
  <c r="AW516" i="2"/>
  <c r="S94" i="4"/>
  <c r="U418" i="2"/>
  <c r="AE424" i="2"/>
  <c r="AG425" i="2"/>
  <c r="U442" i="2"/>
  <c r="AC447" i="2"/>
  <c r="AE448" i="2"/>
  <c r="AG449" i="2"/>
  <c r="AS454" i="2"/>
  <c r="AE461" i="2"/>
  <c r="AM462" i="2"/>
  <c r="AG469" i="2"/>
  <c r="AU475" i="2"/>
  <c r="AS479" i="2"/>
  <c r="BA485" i="2"/>
  <c r="AQ485" i="2"/>
  <c r="AY485" i="2"/>
  <c r="AE498" i="2"/>
  <c r="AE501" i="2"/>
  <c r="AY502" i="2"/>
  <c r="AQ504" i="2"/>
  <c r="BA508" i="2"/>
  <c r="AO508" i="2"/>
  <c r="BE508" i="2"/>
  <c r="BC508" i="2"/>
  <c r="AY508" i="2"/>
  <c r="AW508" i="2"/>
  <c r="AS508" i="2"/>
  <c r="AM508" i="2"/>
  <c r="AI508" i="2"/>
  <c r="AQ516" i="2"/>
  <c r="AC519" i="2"/>
  <c r="Y526" i="2"/>
  <c r="AS538" i="2"/>
  <c r="AM538" i="2"/>
  <c r="AA538" i="2"/>
  <c r="Y538" i="2"/>
  <c r="BA538" i="2"/>
  <c r="BE538" i="2"/>
  <c r="BE537" i="2" s="1"/>
  <c r="BE536" i="2" s="1"/>
  <c r="BC538" i="2"/>
  <c r="AY538" i="2"/>
  <c r="AW538" i="2"/>
  <c r="AU538" i="2"/>
  <c r="AQ538" i="2"/>
  <c r="AO538" i="2"/>
  <c r="AK538" i="2"/>
  <c r="AI538" i="2"/>
  <c r="AG538" i="2"/>
  <c r="U538" i="2"/>
  <c r="AY475" i="2"/>
  <c r="AW479" i="2"/>
  <c r="V489" i="2"/>
  <c r="V496" i="2"/>
  <c r="AI498" i="2"/>
  <c r="AK501" i="2"/>
  <c r="BE502" i="2"/>
  <c r="AW504" i="2"/>
  <c r="Y506" i="2"/>
  <c r="AY516" i="2"/>
  <c r="AC538" i="2"/>
  <c r="BC525" i="2"/>
  <c r="AE525" i="2"/>
  <c r="AC525" i="2"/>
  <c r="U525" i="2"/>
  <c r="N87" i="4"/>
  <c r="AM541" i="2"/>
  <c r="AM540" i="2" s="1"/>
  <c r="W283" i="3"/>
  <c r="AS521" i="2"/>
  <c r="BC524" i="2"/>
  <c r="AA524" i="2"/>
  <c r="Y524" i="2"/>
  <c r="AW524" i="2"/>
  <c r="AA525" i="2"/>
  <c r="BC529" i="2"/>
  <c r="AU529" i="2"/>
  <c r="AS529" i="2"/>
  <c r="AK529" i="2"/>
  <c r="AC533" i="2"/>
  <c r="AG533" i="2"/>
  <c r="AE533" i="2"/>
  <c r="AM533" i="2"/>
  <c r="BA515" i="2"/>
  <c r="BE515" i="2"/>
  <c r="AU521" i="2"/>
  <c r="U524" i="2"/>
  <c r="AG525" i="2"/>
  <c r="BA489" i="2"/>
  <c r="AY489" i="2"/>
  <c r="U515" i="2"/>
  <c r="AW521" i="2"/>
  <c r="AI525" i="2"/>
  <c r="U87" i="4"/>
  <c r="BA541" i="2"/>
  <c r="BA540" i="2" s="1"/>
  <c r="BA514" i="2"/>
  <c r="BC514" i="2"/>
  <c r="AY521" i="2"/>
  <c r="AK525" i="2"/>
  <c r="W467" i="3"/>
  <c r="BA488" i="2"/>
  <c r="AW488" i="2"/>
  <c r="U514" i="2"/>
  <c r="BA521" i="2"/>
  <c r="V523" i="2"/>
  <c r="AC524" i="2"/>
  <c r="AM525" i="2"/>
  <c r="Y529" i="2"/>
  <c r="AA533" i="2"/>
  <c r="W743" i="3"/>
  <c r="BA513" i="2"/>
  <c r="AY513" i="2"/>
  <c r="Y515" i="2"/>
  <c r="BC523" i="2"/>
  <c r="AO523" i="2"/>
  <c r="AE524" i="2"/>
  <c r="AO525" i="2"/>
  <c r="BC528" i="2"/>
  <c r="AQ528" i="2"/>
  <c r="AO528" i="2"/>
  <c r="AC528" i="2"/>
  <c r="AA529" i="2"/>
  <c r="AI533" i="2"/>
  <c r="AY541" i="2"/>
  <c r="AY540" i="2" s="1"/>
  <c r="W835" i="3"/>
  <c r="BA487" i="2"/>
  <c r="AU487" i="2"/>
  <c r="Y489" i="2"/>
  <c r="U513" i="2"/>
  <c r="AA515" i="2"/>
  <c r="U523" i="2"/>
  <c r="AG524" i="2"/>
  <c r="AQ525" i="2"/>
  <c r="U528" i="2"/>
  <c r="AC529" i="2"/>
  <c r="AK533" i="2"/>
  <c r="W375" i="3"/>
  <c r="U487" i="2"/>
  <c r="BA500" i="2"/>
  <c r="Y500" i="2"/>
  <c r="BA512" i="2"/>
  <c r="AW512" i="2"/>
  <c r="Y514" i="2"/>
  <c r="AC515" i="2"/>
  <c r="Y523" i="2"/>
  <c r="AI524" i="2"/>
  <c r="AS525" i="2"/>
  <c r="AE529" i="2"/>
  <c r="AO533" i="2"/>
  <c r="AC473" i="2"/>
  <c r="BA486" i="2"/>
  <c r="AS486" i="2"/>
  <c r="Y488" i="2"/>
  <c r="AC489" i="2"/>
  <c r="U500" i="2"/>
  <c r="U512" i="2"/>
  <c r="AA514" i="2"/>
  <c r="AE515" i="2"/>
  <c r="AA523" i="2"/>
  <c r="AK524" i="2"/>
  <c r="AU525" i="2"/>
  <c r="AG529" i="2"/>
  <c r="AQ533" i="2"/>
  <c r="AS539" i="2"/>
  <c r="AM539" i="2"/>
  <c r="AA539" i="2"/>
  <c r="AG539" i="2"/>
  <c r="AE539" i="2"/>
  <c r="AE537" i="2" s="1"/>
  <c r="AE536" i="2" s="1"/>
  <c r="BA511" i="2"/>
  <c r="AU511" i="2"/>
  <c r="Y513" i="2"/>
  <c r="AC514" i="2"/>
  <c r="AG515" i="2"/>
  <c r="AC523" i="2"/>
  <c r="AM524" i="2"/>
  <c r="AW525" i="2"/>
  <c r="V527" i="2"/>
  <c r="Y528" i="2"/>
  <c r="AI529" i="2"/>
  <c r="AS533" i="2"/>
  <c r="U539" i="2"/>
  <c r="V498" i="2"/>
  <c r="U511" i="2"/>
  <c r="AA513" i="2"/>
  <c r="AE514" i="2"/>
  <c r="AI515" i="2"/>
  <c r="AO524" i="2"/>
  <c r="AY525" i="2"/>
  <c r="BC527" i="2"/>
  <c r="AM527" i="2"/>
  <c r="AK527" i="2"/>
  <c r="AM529" i="2"/>
  <c r="AU533" i="2"/>
  <c r="W651" i="3"/>
  <c r="AC513" i="2"/>
  <c r="AG514" i="2"/>
  <c r="AK515" i="2"/>
  <c r="BC521" i="2"/>
  <c r="AA521" i="2"/>
  <c r="AQ524" i="2"/>
  <c r="BA525" i="2"/>
  <c r="U527" i="2"/>
  <c r="AO529" i="2"/>
  <c r="V531" i="2"/>
  <c r="AW533" i="2"/>
  <c r="W7" i="3"/>
  <c r="AO473" i="2"/>
  <c r="AA486" i="2"/>
  <c r="AE487" i="2"/>
  <c r="AI488" i="2"/>
  <c r="AM489" i="2"/>
  <c r="BA497" i="2"/>
  <c r="U497" i="2"/>
  <c r="AE500" i="2"/>
  <c r="BA509" i="2"/>
  <c r="AQ509" i="2"/>
  <c r="Y511" i="2"/>
  <c r="AC512" i="2"/>
  <c r="AG513" i="2"/>
  <c r="AK514" i="2"/>
  <c r="AO515" i="2"/>
  <c r="AK523" i="2"/>
  <c r="AU524" i="2"/>
  <c r="Y527" i="2"/>
  <c r="AI528" i="2"/>
  <c r="AW529" i="2"/>
  <c r="BA533" i="2"/>
  <c r="AC539" i="2"/>
  <c r="W1295" i="3"/>
  <c r="W1019" i="3"/>
  <c r="W559" i="3"/>
  <c r="W927" i="3"/>
  <c r="W1111" i="3"/>
  <c r="W1571" i="3"/>
  <c r="W1755" i="3"/>
  <c r="U522" i="2"/>
  <c r="BC542" i="2"/>
  <c r="AQ542" i="2"/>
  <c r="W1203" i="3"/>
  <c r="W1663" i="3"/>
  <c r="AC546" i="2"/>
  <c r="AG123" i="2" l="1"/>
  <c r="BF93" i="2"/>
  <c r="AY50" i="2"/>
  <c r="BA327" i="2"/>
  <c r="BB219" i="1"/>
  <c r="BE219" i="1" s="1"/>
  <c r="BE37" i="2"/>
  <c r="R17" i="1"/>
  <c r="S17" i="1" s="1"/>
  <c r="S16" i="1" s="1"/>
  <c r="BB348" i="1"/>
  <c r="BD348" i="1" s="1"/>
  <c r="AY545" i="2"/>
  <c r="AY544" i="2" s="1"/>
  <c r="AY543" i="2" s="1"/>
  <c r="W155" i="2"/>
  <c r="W13" i="2"/>
  <c r="W12" i="2" s="1"/>
  <c r="R10" i="1"/>
  <c r="S10" i="1" s="1"/>
  <c r="W285" i="2"/>
  <c r="BF139" i="2"/>
  <c r="W217" i="2"/>
  <c r="W135" i="2"/>
  <c r="AA23" i="2"/>
  <c r="AG279" i="2"/>
  <c r="BF169" i="2"/>
  <c r="W456" i="2"/>
  <c r="BF32" i="2"/>
  <c r="W349" i="2"/>
  <c r="Y545" i="2"/>
  <c r="Y544" i="2" s="1"/>
  <c r="Y543" i="2" s="1"/>
  <c r="BC87" i="2"/>
  <c r="BC83" i="2" s="1"/>
  <c r="BA62" i="2"/>
  <c r="R251" i="1"/>
  <c r="BB251" i="1" s="1"/>
  <c r="R216" i="1"/>
  <c r="S216" i="1" s="1"/>
  <c r="BC216" i="1" s="1"/>
  <c r="AQ98" i="2"/>
  <c r="S390" i="1"/>
  <c r="S389" i="1" s="1"/>
  <c r="R308" i="1"/>
  <c r="S308" i="1" s="1"/>
  <c r="BC308" i="1" s="1"/>
  <c r="BF485" i="2"/>
  <c r="AK368" i="2"/>
  <c r="BF376" i="2"/>
  <c r="BB50" i="1"/>
  <c r="BD50" i="1" s="1"/>
  <c r="BB84" i="1"/>
  <c r="AQ84" i="2"/>
  <c r="W185" i="2"/>
  <c r="BG185" i="2" s="1"/>
  <c r="AS541" i="2"/>
  <c r="AS540" i="2" s="1"/>
  <c r="W239" i="2"/>
  <c r="BF461" i="2"/>
  <c r="BB378" i="1"/>
  <c r="W186" i="2"/>
  <c r="W297" i="2"/>
  <c r="U363" i="2"/>
  <c r="BF418" i="2"/>
  <c r="AK84" i="2"/>
  <c r="R250" i="1"/>
  <c r="S250" i="1" s="1"/>
  <c r="BC250" i="1" s="1"/>
  <c r="AK346" i="2"/>
  <c r="BF221" i="2"/>
  <c r="BF122" i="2"/>
  <c r="BB131" i="1"/>
  <c r="AU368" i="2"/>
  <c r="W325" i="2"/>
  <c r="W324" i="2" s="1"/>
  <c r="W376" i="2"/>
  <c r="W299" i="2"/>
  <c r="BF152" i="2"/>
  <c r="BF472" i="2"/>
  <c r="BF299" i="2"/>
  <c r="R15" i="1"/>
  <c r="U37" i="2"/>
  <c r="AA200" i="2"/>
  <c r="AW98" i="2"/>
  <c r="BB355" i="1"/>
  <c r="BD355" i="1" s="1"/>
  <c r="BB319" i="1"/>
  <c r="BB243" i="1"/>
  <c r="BD243" i="1" s="1"/>
  <c r="BB324" i="1"/>
  <c r="BE324" i="1" s="1"/>
  <c r="BB346" i="1"/>
  <c r="BE346" i="1" s="1"/>
  <c r="BD352" i="1"/>
  <c r="BC201" i="1"/>
  <c r="BB80" i="1"/>
  <c r="BE80" i="1" s="1"/>
  <c r="BB393" i="1"/>
  <c r="BE393" i="1" s="1"/>
  <c r="BC272" i="1"/>
  <c r="BC92" i="1"/>
  <c r="S274" i="1"/>
  <c r="BC274" i="1" s="1"/>
  <c r="R304" i="1"/>
  <c r="S304" i="1" s="1"/>
  <c r="BC304" i="1" s="1"/>
  <c r="W223" i="2"/>
  <c r="AO327" i="2"/>
  <c r="W427" i="2"/>
  <c r="BG427" i="2" s="1"/>
  <c r="W131" i="2"/>
  <c r="W85" i="2"/>
  <c r="W84" i="2" s="1"/>
  <c r="W83" i="2" s="1"/>
  <c r="U356" i="2"/>
  <c r="BE221" i="1"/>
  <c r="U53" i="2"/>
  <c r="R196" i="1"/>
  <c r="S196" i="1" s="1"/>
  <c r="BC196" i="1" s="1"/>
  <c r="AW42" i="2"/>
  <c r="AE200" i="2"/>
  <c r="W435" i="2"/>
  <c r="W241" i="2"/>
  <c r="BB377" i="1"/>
  <c r="BD377" i="1" s="1"/>
  <c r="BB234" i="1"/>
  <c r="BE234" i="1" s="1"/>
  <c r="S234" i="1"/>
  <c r="BC234" i="1" s="1"/>
  <c r="R94" i="4"/>
  <c r="AK42" i="2"/>
  <c r="Y42" i="2"/>
  <c r="BB361" i="1"/>
  <c r="BD361" i="1" s="1"/>
  <c r="S358" i="1"/>
  <c r="AA327" i="2"/>
  <c r="BB195" i="1"/>
  <c r="BE195" i="1" s="1"/>
  <c r="AW84" i="2"/>
  <c r="W485" i="2"/>
  <c r="AG352" i="2"/>
  <c r="BB218" i="1"/>
  <c r="BE218" i="1" s="1"/>
  <c r="W56" i="2"/>
  <c r="BG56" i="2" s="1"/>
  <c r="AA37" i="2"/>
  <c r="BF491" i="2"/>
  <c r="AQ537" i="2"/>
  <c r="AQ536" i="2" s="1"/>
  <c r="AY368" i="2"/>
  <c r="V94" i="4"/>
  <c r="O87" i="4"/>
  <c r="W457" i="2"/>
  <c r="AU69" i="2"/>
  <c r="AU68" i="2" s="1"/>
  <c r="AA177" i="2"/>
  <c r="BB43" i="1"/>
  <c r="W415" i="2"/>
  <c r="AK352" i="2"/>
  <c r="AW346" i="2"/>
  <c r="W344" i="2"/>
  <c r="U98" i="2"/>
  <c r="AU27" i="2"/>
  <c r="AC50" i="2"/>
  <c r="BF471" i="2"/>
  <c r="W429" i="2"/>
  <c r="AY53" i="2"/>
  <c r="BB388" i="1"/>
  <c r="BE388" i="1" s="1"/>
  <c r="W471" i="2"/>
  <c r="BG471" i="2" s="1"/>
  <c r="BF429" i="2"/>
  <c r="BF400" i="2"/>
  <c r="W182" i="2"/>
  <c r="W283" i="2"/>
  <c r="W445" i="2"/>
  <c r="AW62" i="2"/>
  <c r="BF450" i="2"/>
  <c r="BF432" i="2"/>
  <c r="R283" i="1"/>
  <c r="BB273" i="1"/>
  <c r="W67" i="2"/>
  <c r="W66" i="2" s="1"/>
  <c r="AG541" i="2"/>
  <c r="AG540" i="2" s="1"/>
  <c r="BE172" i="2"/>
  <c r="AA98" i="2"/>
  <c r="R309" i="1"/>
  <c r="U16" i="2"/>
  <c r="R364" i="1"/>
  <c r="AS69" i="2"/>
  <c r="AS68" i="2" s="1"/>
  <c r="BF456" i="2"/>
  <c r="AC368" i="2"/>
  <c r="BA50" i="2"/>
  <c r="BB313" i="1"/>
  <c r="S24" i="1"/>
  <c r="BC400" i="1"/>
  <c r="BB289" i="1"/>
  <c r="BD215" i="1"/>
  <c r="BE215" i="1"/>
  <c r="BB226" i="1"/>
  <c r="BE226" i="1" s="1"/>
  <c r="BB121" i="1"/>
  <c r="BE121" i="1" s="1"/>
  <c r="BC97" i="1"/>
  <c r="BB303" i="1"/>
  <c r="BB25" i="1"/>
  <c r="BE386" i="1"/>
  <c r="S40" i="1"/>
  <c r="BC40" i="1" s="1"/>
  <c r="BB216" i="1"/>
  <c r="BE216" i="1" s="1"/>
  <c r="BB247" i="1"/>
  <c r="BD247" i="1" s="1"/>
  <c r="BF402" i="2"/>
  <c r="W390" i="2"/>
  <c r="BG390" i="2" s="1"/>
  <c r="AW16" i="2"/>
  <c r="BA545" i="2"/>
  <c r="BA544" i="2" s="1"/>
  <c r="BA543" i="2" s="1"/>
  <c r="AE327" i="2"/>
  <c r="S374" i="1"/>
  <c r="BE545" i="2"/>
  <c r="BE544" i="2" s="1"/>
  <c r="BE543" i="2" s="1"/>
  <c r="BF460" i="2"/>
  <c r="W450" i="2"/>
  <c r="BF466" i="2"/>
  <c r="BC311" i="1"/>
  <c r="W466" i="2"/>
  <c r="BG466" i="2" s="1"/>
  <c r="BB245" i="1"/>
  <c r="W465" i="2"/>
  <c r="AA16" i="2"/>
  <c r="BB92" i="1"/>
  <c r="BE92" i="1" s="1"/>
  <c r="BF171" i="2"/>
  <c r="R337" i="1"/>
  <c r="BB104" i="1"/>
  <c r="BF381" i="2"/>
  <c r="AA50" i="2"/>
  <c r="Y200" i="2"/>
  <c r="AA313" i="2"/>
  <c r="W87" i="2"/>
  <c r="W381" i="1"/>
  <c r="AC98" i="2"/>
  <c r="AK16" i="2"/>
  <c r="AG363" i="2"/>
  <c r="W402" i="2"/>
  <c r="AA189" i="2"/>
  <c r="W404" i="2"/>
  <c r="W472" i="2"/>
  <c r="BG472" i="2" s="1"/>
  <c r="AW352" i="2"/>
  <c r="BF404" i="2"/>
  <c r="BE119" i="1"/>
  <c r="R401" i="1"/>
  <c r="BB401" i="1" s="1"/>
  <c r="W81" i="2"/>
  <c r="W77" i="2" s="1"/>
  <c r="W76" i="2" s="1"/>
  <c r="BA352" i="2"/>
  <c r="BF168" i="2"/>
  <c r="BF265" i="2"/>
  <c r="BB269" i="1"/>
  <c r="Q94" i="4"/>
  <c r="Y537" i="2"/>
  <c r="Y536" i="2" s="1"/>
  <c r="W499" i="2"/>
  <c r="AS84" i="2"/>
  <c r="BB334" i="1"/>
  <c r="BF379" i="2"/>
  <c r="S365" i="1"/>
  <c r="BC365" i="1" s="1"/>
  <c r="AQ177" i="2"/>
  <c r="R343" i="1"/>
  <c r="S343" i="1" s="1"/>
  <c r="BC343" i="1" s="1"/>
  <c r="BC336" i="1"/>
  <c r="BB110" i="1"/>
  <c r="BE110" i="1" s="1"/>
  <c r="BB332" i="1"/>
  <c r="BD332" i="1" s="1"/>
  <c r="BC329" i="1"/>
  <c r="AO189" i="2"/>
  <c r="AG200" i="2"/>
  <c r="AC200" i="2"/>
  <c r="AM53" i="2"/>
  <c r="BB101" i="1"/>
  <c r="BD101" i="1" s="1"/>
  <c r="AQ27" i="2"/>
  <c r="BF347" i="2"/>
  <c r="AQ53" i="2"/>
  <c r="BF9" i="2"/>
  <c r="R8" i="1"/>
  <c r="BF243" i="2"/>
  <c r="J24" i="4"/>
  <c r="AK50" i="2"/>
  <c r="AM69" i="2"/>
  <c r="AM68" i="2" s="1"/>
  <c r="BA177" i="2"/>
  <c r="W358" i="2"/>
  <c r="BG358" i="2" s="1"/>
  <c r="W238" i="2"/>
  <c r="BF241" i="2"/>
  <c r="BF230" i="2"/>
  <c r="W151" i="2"/>
  <c r="BF465" i="2"/>
  <c r="Y50" i="2"/>
  <c r="AI16" i="2"/>
  <c r="BB392" i="1"/>
  <c r="BD392" i="1" s="1"/>
  <c r="BC273" i="1"/>
  <c r="BC52" i="1"/>
  <c r="AO98" i="2"/>
  <c r="BF60" i="2"/>
  <c r="R366" i="1"/>
  <c r="W183" i="2"/>
  <c r="W181" i="2" s="1"/>
  <c r="BB336" i="1"/>
  <c r="AW327" i="2"/>
  <c r="AM84" i="2"/>
  <c r="BF183" i="2"/>
  <c r="BB52" i="1"/>
  <c r="BF117" i="2"/>
  <c r="R249" i="1"/>
  <c r="W519" i="2"/>
  <c r="BF478" i="2"/>
  <c r="BF210" i="2"/>
  <c r="BF133" i="2"/>
  <c r="S93" i="1"/>
  <c r="BC93" i="1" s="1"/>
  <c r="AI537" i="2"/>
  <c r="AI536" i="2" s="1"/>
  <c r="BB396" i="1"/>
  <c r="BE396" i="1" s="1"/>
  <c r="AG545" i="2"/>
  <c r="AG544" i="2" s="1"/>
  <c r="AG543" i="2" s="1"/>
  <c r="AK537" i="2"/>
  <c r="AK536" i="2" s="1"/>
  <c r="AG37" i="2"/>
  <c r="W400" i="2"/>
  <c r="W205" i="2"/>
  <c r="W204" i="2" s="1"/>
  <c r="W203" i="2" s="1"/>
  <c r="Y368" i="2"/>
  <c r="W31" i="2"/>
  <c r="AO37" i="2"/>
  <c r="W163" i="2"/>
  <c r="BG163" i="2" s="1"/>
  <c r="S284" i="1"/>
  <c r="BC284" i="1" s="1"/>
  <c r="BF116" i="2"/>
  <c r="R248" i="1"/>
  <c r="BF439" i="2"/>
  <c r="AU537" i="2"/>
  <c r="AU536" i="2" s="1"/>
  <c r="AE189" i="2"/>
  <c r="U545" i="2"/>
  <c r="U544" i="2" s="1"/>
  <c r="U543" i="2" s="1"/>
  <c r="AW537" i="2"/>
  <c r="AW536" i="2" s="1"/>
  <c r="BF468" i="2"/>
  <c r="W374" i="2"/>
  <c r="BF250" i="2"/>
  <c r="BC177" i="2"/>
  <c r="BC120" i="1"/>
  <c r="BF163" i="2"/>
  <c r="BF89" i="2"/>
  <c r="R197" i="1"/>
  <c r="BC537" i="2"/>
  <c r="BC536" i="2" s="1"/>
  <c r="W452" i="2"/>
  <c r="BG452" i="2" s="1"/>
  <c r="BC307" i="1"/>
  <c r="BB276" i="1"/>
  <c r="BE276" i="1" s="1"/>
  <c r="BF497" i="2"/>
  <c r="C93" i="4"/>
  <c r="AO352" i="2"/>
  <c r="AI327" i="2"/>
  <c r="AQ352" i="2"/>
  <c r="AA352" i="2"/>
  <c r="AQ368" i="2"/>
  <c r="S44" i="1"/>
  <c r="BC44" i="1" s="1"/>
  <c r="R294" i="1"/>
  <c r="BC130" i="1"/>
  <c r="R263" i="1"/>
  <c r="R341" i="1"/>
  <c r="W256" i="2"/>
  <c r="W460" i="2"/>
  <c r="BG460" i="2" s="1"/>
  <c r="W468" i="2"/>
  <c r="U177" i="2"/>
  <c r="AA545" i="2"/>
  <c r="AA544" i="2" s="1"/>
  <c r="AA543" i="2" s="1"/>
  <c r="BG208" i="2"/>
  <c r="BG207" i="2" s="1"/>
  <c r="BF237" i="2"/>
  <c r="AY177" i="2"/>
  <c r="AW123" i="2"/>
  <c r="BD40" i="1"/>
  <c r="BF454" i="2"/>
  <c r="W443" i="2"/>
  <c r="BF428" i="2"/>
  <c r="BG103" i="2"/>
  <c r="BF378" i="2"/>
  <c r="BF529" i="2"/>
  <c r="BF482" i="2"/>
  <c r="W394" i="2"/>
  <c r="BG394" i="2" s="1"/>
  <c r="W269" i="2"/>
  <c r="BG269" i="2" s="1"/>
  <c r="BC327" i="2"/>
  <c r="W439" i="2"/>
  <c r="W351" i="2"/>
  <c r="BF238" i="2"/>
  <c r="W237" i="2"/>
  <c r="AI77" i="2"/>
  <c r="AI76" i="2" s="1"/>
  <c r="BD339" i="1"/>
  <c r="BB267" i="1"/>
  <c r="BD267" i="1" s="1"/>
  <c r="BF443" i="2"/>
  <c r="W428" i="2"/>
  <c r="BG428" i="2" s="1"/>
  <c r="BE45" i="2"/>
  <c r="Q213" i="1"/>
  <c r="W529" i="2"/>
  <c r="AS189" i="2"/>
  <c r="AW69" i="2"/>
  <c r="AW68" i="2" s="1"/>
  <c r="BB310" i="1"/>
  <c r="BF499" i="2"/>
  <c r="BF415" i="2"/>
  <c r="W251" i="2"/>
  <c r="BF235" i="2"/>
  <c r="BB220" i="1"/>
  <c r="BB97" i="1"/>
  <c r="BE97" i="1" s="1"/>
  <c r="W433" i="2"/>
  <c r="BG433" i="2" s="1"/>
  <c r="BF102" i="2"/>
  <c r="R229" i="1"/>
  <c r="AU45" i="2"/>
  <c r="BC16" i="2"/>
  <c r="W154" i="2"/>
  <c r="AO200" i="2"/>
  <c r="R370" i="1"/>
  <c r="BF48" i="2"/>
  <c r="R349" i="1"/>
  <c r="AU363" i="2"/>
  <c r="BF427" i="2"/>
  <c r="BG104" i="2"/>
  <c r="R231" i="1"/>
  <c r="R320" i="1"/>
  <c r="AO368" i="2"/>
  <c r="BB75" i="1"/>
  <c r="BE75" i="1" s="1"/>
  <c r="AI98" i="2"/>
  <c r="W458" i="2"/>
  <c r="BC53" i="2"/>
  <c r="R342" i="1"/>
  <c r="AK363" i="2"/>
  <c r="BD284" i="1"/>
  <c r="BE284" i="1"/>
  <c r="BB108" i="1"/>
  <c r="BB329" i="1"/>
  <c r="R256" i="1"/>
  <c r="S256" i="1" s="1"/>
  <c r="BC256" i="1" s="1"/>
  <c r="BE53" i="2"/>
  <c r="AM346" i="2"/>
  <c r="BC532" i="2"/>
  <c r="AU346" i="2"/>
  <c r="BF255" i="2"/>
  <c r="R293" i="1"/>
  <c r="W246" i="2"/>
  <c r="BG246" i="2" s="1"/>
  <c r="AU279" i="2"/>
  <c r="R380" i="1"/>
  <c r="AS363" i="2"/>
  <c r="W505" i="2"/>
  <c r="BG505" i="2" s="1"/>
  <c r="U87" i="2"/>
  <c r="BE21" i="1"/>
  <c r="BF469" i="2"/>
  <c r="AU352" i="2"/>
  <c r="AW368" i="2"/>
  <c r="AC327" i="2"/>
  <c r="AQ327" i="2"/>
  <c r="W469" i="2"/>
  <c r="BG469" i="2" s="1"/>
  <c r="W517" i="2"/>
  <c r="BG517" i="2" s="1"/>
  <c r="BF64" i="2"/>
  <c r="R371" i="1"/>
  <c r="AE62" i="2"/>
  <c r="AM77" i="2"/>
  <c r="AM76" i="2" s="1"/>
  <c r="BB83" i="1"/>
  <c r="S82" i="1"/>
  <c r="BC82" i="1" s="1"/>
  <c r="W507" i="2"/>
  <c r="AI346" i="2"/>
  <c r="BF309" i="2"/>
  <c r="W243" i="2"/>
  <c r="AG53" i="2"/>
  <c r="BF51" i="2"/>
  <c r="BA77" i="2"/>
  <c r="BA76" i="2" s="1"/>
  <c r="BA87" i="2"/>
  <c r="AY84" i="2"/>
  <c r="BE84" i="2"/>
  <c r="BE363" i="2"/>
  <c r="BE356" i="2"/>
  <c r="AQ346" i="2"/>
  <c r="W309" i="2"/>
  <c r="AG189" i="2"/>
  <c r="AI62" i="2"/>
  <c r="AG42" i="2"/>
  <c r="BE377" i="1"/>
  <c r="BE361" i="1"/>
  <c r="BD326" i="1"/>
  <c r="S171" i="1"/>
  <c r="BC171" i="1" s="1"/>
  <c r="BB125" i="1"/>
  <c r="AE16" i="2"/>
  <c r="BB90" i="1"/>
  <c r="W191" i="2"/>
  <c r="W189" i="2" s="1"/>
  <c r="R306" i="1"/>
  <c r="W491" i="2"/>
  <c r="BG491" i="2" s="1"/>
  <c r="U352" i="2"/>
  <c r="BF390" i="2"/>
  <c r="W302" i="2"/>
  <c r="W270" i="2"/>
  <c r="BG270" i="2" s="1"/>
  <c r="AI84" i="2"/>
  <c r="W199" i="2"/>
  <c r="W198" i="2" s="1"/>
  <c r="BF103" i="2"/>
  <c r="R230" i="1"/>
  <c r="Y346" i="2"/>
  <c r="AA42" i="2"/>
  <c r="Y69" i="2"/>
  <c r="Y68" i="2" s="1"/>
  <c r="AA281" i="1"/>
  <c r="BE541" i="2"/>
  <c r="BE540" i="2" s="1"/>
  <c r="BA537" i="2"/>
  <c r="BA536" i="2" s="1"/>
  <c r="AC352" i="2"/>
  <c r="AK327" i="2"/>
  <c r="BF186" i="2"/>
  <c r="BB81" i="1"/>
  <c r="Y16" i="2"/>
  <c r="BB38" i="1"/>
  <c r="BE38" i="1" s="1"/>
  <c r="BF259" i="2"/>
  <c r="R297" i="1"/>
  <c r="W437" i="2"/>
  <c r="AY16" i="2"/>
  <c r="BB13" i="1"/>
  <c r="BF261" i="2"/>
  <c r="R299" i="1"/>
  <c r="BF505" i="2"/>
  <c r="W250" i="2"/>
  <c r="AS98" i="2"/>
  <c r="BF302" i="2"/>
  <c r="AS62" i="2"/>
  <c r="BF433" i="2"/>
  <c r="BF165" i="2"/>
  <c r="R331" i="1"/>
  <c r="W484" i="2"/>
  <c r="BF484" i="2"/>
  <c r="AM50" i="2"/>
  <c r="W265" i="2"/>
  <c r="BE193" i="1"/>
  <c r="AI363" i="2"/>
  <c r="AW45" i="2"/>
  <c r="BF479" i="2"/>
  <c r="BE274" i="1"/>
  <c r="R261" i="1"/>
  <c r="AS16" i="2"/>
  <c r="AC363" i="2"/>
  <c r="W479" i="2"/>
  <c r="AI50" i="2"/>
  <c r="BD205" i="1"/>
  <c r="BE37" i="1"/>
  <c r="AM189" i="2"/>
  <c r="W148" i="2"/>
  <c r="BF340" i="2"/>
  <c r="W202" i="2"/>
  <c r="BG202" i="2" s="1"/>
  <c r="AK279" i="2"/>
  <c r="AI279" i="2"/>
  <c r="AK313" i="2"/>
  <c r="BB87" i="1"/>
  <c r="BE87" i="1" s="1"/>
  <c r="AE279" i="2"/>
  <c r="BG222" i="2"/>
  <c r="Y30" i="2"/>
  <c r="BB174" i="1"/>
  <c r="BD174" i="1" s="1"/>
  <c r="BC193" i="2"/>
  <c r="BB202" i="1"/>
  <c r="BG105" i="2"/>
  <c r="AY279" i="2"/>
  <c r="R254" i="1"/>
  <c r="AW200" i="2"/>
  <c r="AW193" i="2" s="1"/>
  <c r="Y37" i="2"/>
  <c r="W364" i="2"/>
  <c r="W363" i="2" s="1"/>
  <c r="AM200" i="2"/>
  <c r="R376" i="1"/>
  <c r="BA57" i="2"/>
  <c r="W493" i="2"/>
  <c r="BG493" i="2" s="1"/>
  <c r="BF445" i="2"/>
  <c r="BD219" i="1"/>
  <c r="BE352" i="2"/>
  <c r="BF156" i="2"/>
  <c r="R322" i="1"/>
  <c r="BG417" i="2"/>
  <c r="BE374" i="1"/>
  <c r="BD374" i="1"/>
  <c r="U50" i="2"/>
  <c r="BF446" i="2"/>
  <c r="R100" i="1"/>
  <c r="BF493" i="2"/>
  <c r="BF374" i="2"/>
  <c r="BD44" i="1"/>
  <c r="BF219" i="2"/>
  <c r="R242" i="1"/>
  <c r="BF127" i="2"/>
  <c r="AQ77" i="2"/>
  <c r="AQ76" i="2" s="1"/>
  <c r="S123" i="1"/>
  <c r="BC123" i="1" s="1"/>
  <c r="BF458" i="2"/>
  <c r="AY189" i="2"/>
  <c r="BF148" i="2"/>
  <c r="R382" i="1"/>
  <c r="S382" i="1" s="1"/>
  <c r="BC382" i="1" s="1"/>
  <c r="BF263" i="2"/>
  <c r="R301" i="1"/>
  <c r="BF190" i="2"/>
  <c r="S251" i="1"/>
  <c r="BC251" i="1" s="1"/>
  <c r="AG16" i="2"/>
  <c r="AS200" i="2"/>
  <c r="AS193" i="2" s="1"/>
  <c r="BB54" i="1"/>
  <c r="BD54" i="1" s="1"/>
  <c r="BF488" i="2"/>
  <c r="BF403" i="2"/>
  <c r="W345" i="2"/>
  <c r="BG345" i="2" s="1"/>
  <c r="AW77" i="2"/>
  <c r="AW76" i="2" s="1"/>
  <c r="U23" i="2"/>
  <c r="AQ45" i="2"/>
  <c r="AC69" i="2"/>
  <c r="AC68" i="2" s="1"/>
  <c r="BF452" i="2"/>
  <c r="W403" i="2"/>
  <c r="BG403" i="2" s="1"/>
  <c r="BF345" i="2"/>
  <c r="I31" i="4"/>
  <c r="BF270" i="2"/>
  <c r="BF182" i="2"/>
  <c r="BC37" i="2"/>
  <c r="BE30" i="2"/>
  <c r="AM42" i="2"/>
  <c r="BE268" i="1"/>
  <c r="S151" i="1"/>
  <c r="BC151" i="1" s="1"/>
  <c r="BB111" i="1"/>
  <c r="W381" i="2"/>
  <c r="AQ16" i="2"/>
  <c r="BB318" i="1"/>
  <c r="BB28" i="1"/>
  <c r="BC115" i="1"/>
  <c r="BF140" i="2"/>
  <c r="R292" i="1"/>
  <c r="BF138" i="2"/>
  <c r="R290" i="1"/>
  <c r="W161" i="2"/>
  <c r="BG161" i="2" s="1"/>
  <c r="BA37" i="2"/>
  <c r="W378" i="2"/>
  <c r="BG378" i="2" s="1"/>
  <c r="BF161" i="2"/>
  <c r="AC37" i="2"/>
  <c r="BF80" i="2"/>
  <c r="R402" i="1"/>
  <c r="AE57" i="2"/>
  <c r="H87" i="4"/>
  <c r="BG144" i="2"/>
  <c r="AI57" i="2"/>
  <c r="Y123" i="2"/>
  <c r="AW50" i="2"/>
  <c r="BB161" i="1"/>
  <c r="BC98" i="2"/>
  <c r="R354" i="1"/>
  <c r="BF146" i="2"/>
  <c r="R305" i="1"/>
  <c r="BF437" i="2"/>
  <c r="AO306" i="2"/>
  <c r="AA306" i="2"/>
  <c r="AS313" i="2"/>
  <c r="AY123" i="2"/>
  <c r="BD185" i="1"/>
  <c r="S72" i="1"/>
  <c r="BC72" i="1" s="1"/>
  <c r="BC359" i="1"/>
  <c r="BC358" i="1" s="1"/>
  <c r="BB115" i="1"/>
  <c r="AU177" i="2"/>
  <c r="BE87" i="2"/>
  <c r="BG142" i="2"/>
  <c r="Q24" i="4"/>
  <c r="AQ42" i="2"/>
  <c r="H24" i="5"/>
  <c r="AE98" i="2"/>
  <c r="BB359" i="1"/>
  <c r="BB112" i="1"/>
  <c r="AM98" i="2"/>
  <c r="AQ298" i="2"/>
  <c r="AM172" i="2"/>
  <c r="W380" i="2"/>
  <c r="BG380" i="2" s="1"/>
  <c r="R29" i="1"/>
  <c r="AG77" i="2"/>
  <c r="AG76" i="2" s="1"/>
  <c r="W440" i="2"/>
  <c r="BG440" i="2" s="1"/>
  <c r="R94" i="1"/>
  <c r="BC306" i="2"/>
  <c r="W509" i="2"/>
  <c r="BF507" i="2"/>
  <c r="BA98" i="2"/>
  <c r="W301" i="2"/>
  <c r="BG301" i="2" s="1"/>
  <c r="BB327" i="1"/>
  <c r="BE327" i="1" s="1"/>
  <c r="AE352" i="2"/>
  <c r="BG223" i="2"/>
  <c r="BA53" i="2"/>
  <c r="BF150" i="2"/>
  <c r="R316" i="1"/>
  <c r="BF457" i="2"/>
  <c r="AK62" i="2"/>
  <c r="AC53" i="2"/>
  <c r="BC62" i="2"/>
  <c r="BB159" i="1"/>
  <c r="BC83" i="1"/>
  <c r="BG102" i="2"/>
  <c r="AI200" i="2"/>
  <c r="W125" i="2"/>
  <c r="BG125" i="2" s="1"/>
  <c r="R258" i="1"/>
  <c r="AY45" i="2"/>
  <c r="S237" i="1"/>
  <c r="BC237" i="1" s="1"/>
  <c r="BB237" i="1"/>
  <c r="BB325" i="1"/>
  <c r="S325" i="1"/>
  <c r="BC325" i="1" s="1"/>
  <c r="S238" i="1"/>
  <c r="BC238" i="1" s="1"/>
  <c r="BB238" i="1"/>
  <c r="BE238" i="1" s="1"/>
  <c r="BC57" i="2"/>
  <c r="AI69" i="2"/>
  <c r="AI68" i="2" s="1"/>
  <c r="BF323" i="2"/>
  <c r="R384" i="1"/>
  <c r="W486" i="2"/>
  <c r="R140" i="1"/>
  <c r="BF229" i="2"/>
  <c r="R260" i="1"/>
  <c r="BF314" i="2"/>
  <c r="R340" i="1"/>
  <c r="BF120" i="2"/>
  <c r="R252" i="1"/>
  <c r="AC279" i="2"/>
  <c r="AY327" i="2"/>
  <c r="AK337" i="2"/>
  <c r="BG31" i="2"/>
  <c r="R367" i="1"/>
  <c r="BF260" i="2"/>
  <c r="R298" i="1"/>
  <c r="BF331" i="2"/>
  <c r="R189" i="1"/>
  <c r="AA226" i="2"/>
  <c r="AM30" i="2"/>
  <c r="BE122" i="1"/>
  <c r="BF258" i="2"/>
  <c r="W179" i="2"/>
  <c r="BG179" i="2" s="1"/>
  <c r="BF252" i="2"/>
  <c r="R286" i="1"/>
  <c r="BF414" i="2"/>
  <c r="R68" i="1"/>
  <c r="AO213" i="1"/>
  <c r="W258" i="2"/>
  <c r="BG258" i="2" s="1"/>
  <c r="BG29" i="2"/>
  <c r="W141" i="2"/>
  <c r="BG141" i="2" s="1"/>
  <c r="R300" i="1"/>
  <c r="W24" i="4"/>
  <c r="R285" i="1"/>
  <c r="BF180" i="2"/>
  <c r="R368" i="1"/>
  <c r="W463" i="2"/>
  <c r="BG463" i="2" s="1"/>
  <c r="R117" i="1"/>
  <c r="BA356" i="2"/>
  <c r="AA363" i="2"/>
  <c r="W284" i="2"/>
  <c r="W281" i="1"/>
  <c r="BD234" i="1"/>
  <c r="BB30" i="1"/>
  <c r="BE30" i="1" s="1"/>
  <c r="BG127" i="2"/>
  <c r="W157" i="2"/>
  <c r="R323" i="1"/>
  <c r="BF284" i="2"/>
  <c r="BE243" i="1"/>
  <c r="BA363" i="2"/>
  <c r="BF455" i="2"/>
  <c r="R109" i="1"/>
  <c r="AU98" i="2"/>
  <c r="W253" i="2"/>
  <c r="BG253" i="2" s="1"/>
  <c r="R291" i="1"/>
  <c r="BG365" i="2"/>
  <c r="BB296" i="1"/>
  <c r="BE296" i="1" s="1"/>
  <c r="BE279" i="1"/>
  <c r="W454" i="2"/>
  <c r="BG454" i="2" s="1"/>
  <c r="W379" i="2"/>
  <c r="BG379" i="2" s="1"/>
  <c r="AE541" i="2"/>
  <c r="AE540" i="2" s="1"/>
  <c r="AE346" i="2"/>
  <c r="AU318" i="2"/>
  <c r="AE42" i="2"/>
  <c r="BG221" i="2"/>
  <c r="BF392" i="2"/>
  <c r="R41" i="1"/>
  <c r="W257" i="2"/>
  <c r="R295" i="1"/>
  <c r="BG312" i="2"/>
  <c r="AM306" i="2"/>
  <c r="AK37" i="2"/>
  <c r="U532" i="2"/>
  <c r="AU226" i="2"/>
  <c r="AA62" i="2"/>
  <c r="BB383" i="1"/>
  <c r="BE383" i="1" s="1"/>
  <c r="Q6" i="1"/>
  <c r="BF264" i="2"/>
  <c r="R302" i="1"/>
  <c r="AC189" i="2"/>
  <c r="AE69" i="2"/>
  <c r="AE68" i="2" s="1"/>
  <c r="AY30" i="2"/>
  <c r="BC69" i="2"/>
  <c r="BC68" i="2" s="1"/>
  <c r="AC16" i="2"/>
  <c r="W291" i="2"/>
  <c r="W290" i="2" s="1"/>
  <c r="BB287" i="1"/>
  <c r="BB47" i="1"/>
  <c r="Y356" i="2"/>
  <c r="AG318" i="2"/>
  <c r="BF224" i="2"/>
  <c r="L24" i="4"/>
  <c r="W30" i="2"/>
  <c r="BB145" i="1"/>
  <c r="BD145" i="1" s="1"/>
  <c r="BF387" i="2"/>
  <c r="R36" i="1"/>
  <c r="AM318" i="2"/>
  <c r="W224" i="2"/>
  <c r="M24" i="4"/>
  <c r="AI23" i="2"/>
  <c r="Y98" i="2"/>
  <c r="AM396" i="2"/>
  <c r="AW318" i="2"/>
  <c r="W308" i="2"/>
  <c r="AS101" i="2"/>
  <c r="AO87" i="2"/>
  <c r="AO83" i="2" s="1"/>
  <c r="BC30" i="2"/>
  <c r="BE23" i="1"/>
  <c r="AY37" i="2"/>
  <c r="BF300" i="2"/>
  <c r="R199" i="1"/>
  <c r="BC219" i="1"/>
  <c r="BF453" i="2"/>
  <c r="R107" i="1"/>
  <c r="BF218" i="2"/>
  <c r="R241" i="1"/>
  <c r="W280" i="2"/>
  <c r="W279" i="2" s="1"/>
  <c r="R363" i="1"/>
  <c r="BF423" i="2"/>
  <c r="R77" i="1"/>
  <c r="BF162" i="2"/>
  <c r="R328" i="1"/>
  <c r="S126" i="1"/>
  <c r="BC126" i="1" s="1"/>
  <c r="BB27" i="1"/>
  <c r="W168" i="2"/>
  <c r="BF386" i="2"/>
  <c r="R35" i="1"/>
  <c r="BE126" i="1"/>
  <c r="BD126" i="1"/>
  <c r="BE82" i="1"/>
  <c r="BD82" i="1"/>
  <c r="BD123" i="1"/>
  <c r="BE123" i="1"/>
  <c r="BD171" i="1"/>
  <c r="BE171" i="1"/>
  <c r="AU57" i="2"/>
  <c r="AK23" i="2"/>
  <c r="W478" i="2"/>
  <c r="BG478" i="2" s="1"/>
  <c r="W482" i="2"/>
  <c r="BG482" i="2" s="1"/>
  <c r="BC356" i="2"/>
  <c r="BC363" i="2"/>
  <c r="BG300" i="2"/>
  <c r="AS298" i="2"/>
  <c r="U77" i="2"/>
  <c r="U76" i="2" s="1"/>
  <c r="W172" i="2"/>
  <c r="AY69" i="2"/>
  <c r="AY68" i="2" s="1"/>
  <c r="AC57" i="2"/>
  <c r="BB91" i="1"/>
  <c r="BE91" i="1" s="1"/>
  <c r="BB139" i="1"/>
  <c r="W107" i="2"/>
  <c r="BG107" i="2" s="1"/>
  <c r="R236" i="1"/>
  <c r="BF248" i="2"/>
  <c r="R282" i="1"/>
  <c r="AM356" i="2"/>
  <c r="AY377" i="2"/>
  <c r="U30" i="2"/>
  <c r="AS6" i="1"/>
  <c r="Y337" i="2"/>
  <c r="BG145" i="2"/>
  <c r="W418" i="2"/>
  <c r="BG418" i="2" s="1"/>
  <c r="BB307" i="1"/>
  <c r="R235" i="1"/>
  <c r="BF212" i="2"/>
  <c r="BC106" i="1"/>
  <c r="BF399" i="2"/>
  <c r="R51" i="1"/>
  <c r="AE84" i="2"/>
  <c r="P24" i="4"/>
  <c r="AO57" i="2"/>
  <c r="W228" i="1"/>
  <c r="S133" i="1"/>
  <c r="BC133" i="1" s="1"/>
  <c r="W115" i="2"/>
  <c r="R244" i="1"/>
  <c r="AM57" i="2"/>
  <c r="BA532" i="2"/>
  <c r="U537" i="2"/>
  <c r="U536" i="2" s="1"/>
  <c r="AA279" i="2"/>
  <c r="AA318" i="2"/>
  <c r="BG47" i="2"/>
  <c r="BC13" i="1"/>
  <c r="BC12" i="1" s="1"/>
  <c r="BE16" i="2"/>
  <c r="BF321" i="2"/>
  <c r="R351" i="1"/>
  <c r="W111" i="2"/>
  <c r="BG111" i="2" s="1"/>
  <c r="R240" i="1"/>
  <c r="AG537" i="2"/>
  <c r="AG536" i="2" s="1"/>
  <c r="AM279" i="2"/>
  <c r="AC91" i="2"/>
  <c r="AI53" i="2"/>
  <c r="BB106" i="1"/>
  <c r="AA188" i="1"/>
  <c r="AA6" i="1" s="1"/>
  <c r="BC30" i="1"/>
  <c r="AO16" i="2"/>
  <c r="AU181" i="2"/>
  <c r="BC346" i="2"/>
  <c r="BG254" i="2"/>
  <c r="W31" i="4"/>
  <c r="AQ318" i="2"/>
  <c r="AI233" i="2"/>
  <c r="BC226" i="2"/>
  <c r="AG30" i="2"/>
  <c r="Y87" i="2"/>
  <c r="BG497" i="2"/>
  <c r="T24" i="4"/>
  <c r="Y211" i="2"/>
  <c r="AO537" i="2"/>
  <c r="AO536" i="2" s="1"/>
  <c r="AS318" i="2"/>
  <c r="AG211" i="2"/>
  <c r="AQ226" i="2"/>
  <c r="AK233" i="2"/>
  <c r="BE226" i="2"/>
  <c r="AI247" i="2"/>
  <c r="AQ193" i="2"/>
  <c r="AM123" i="2"/>
  <c r="Y91" i="2"/>
  <c r="AQ30" i="2"/>
  <c r="AA87" i="2"/>
  <c r="AC23" i="2"/>
  <c r="BD365" i="1"/>
  <c r="BB153" i="1"/>
  <c r="BD153" i="1" s="1"/>
  <c r="BB233" i="1"/>
  <c r="BD233" i="1" s="1"/>
  <c r="BC136" i="1"/>
  <c r="U398" i="1"/>
  <c r="U397" i="1" s="1"/>
  <c r="S119" i="1"/>
  <c r="BC119" i="1" s="1"/>
  <c r="Y396" i="2"/>
  <c r="AE177" i="2"/>
  <c r="BA318" i="2"/>
  <c r="Y130" i="2"/>
  <c r="AI123" i="2"/>
  <c r="AU6" i="1"/>
  <c r="AG50" i="2"/>
  <c r="BF417" i="2"/>
  <c r="R71" i="1"/>
  <c r="BF336" i="2"/>
  <c r="R227" i="1"/>
  <c r="W73" i="4"/>
  <c r="AS172" i="2"/>
  <c r="AS181" i="2"/>
  <c r="AK541" i="2"/>
  <c r="AK540" i="2" s="1"/>
  <c r="AY537" i="2"/>
  <c r="AY536" i="2" s="1"/>
  <c r="AY483" i="2"/>
  <c r="BF459" i="2"/>
  <c r="AU377" i="2"/>
  <c r="AG356" i="2"/>
  <c r="AQ377" i="2"/>
  <c r="BC233" i="2"/>
  <c r="AO172" i="2"/>
  <c r="Q59" i="4"/>
  <c r="AS87" i="2"/>
  <c r="AU23" i="2"/>
  <c r="AS37" i="2"/>
  <c r="BF517" i="2"/>
  <c r="BF291" i="2"/>
  <c r="BB201" i="1"/>
  <c r="BF329" i="2"/>
  <c r="R11" i="1"/>
  <c r="AG177" i="2"/>
  <c r="V73" i="4"/>
  <c r="W459" i="2"/>
  <c r="BG459" i="2" s="1"/>
  <c r="AC396" i="2"/>
  <c r="AU306" i="2"/>
  <c r="BG139" i="2"/>
  <c r="Y62" i="2"/>
  <c r="AU91" i="2"/>
  <c r="Y255" i="1"/>
  <c r="BF492" i="2"/>
  <c r="R146" i="1"/>
  <c r="W311" i="2"/>
  <c r="BG311" i="2" s="1"/>
  <c r="R253" i="1"/>
  <c r="BF424" i="2"/>
  <c r="R78" i="1"/>
  <c r="W341" i="2"/>
  <c r="BG341" i="2" s="1"/>
  <c r="R239" i="1"/>
  <c r="AY213" i="1"/>
  <c r="AO42" i="2"/>
  <c r="BF320" i="2"/>
  <c r="R350" i="1"/>
  <c r="AA247" i="2"/>
  <c r="BF462" i="2"/>
  <c r="BG248" i="2"/>
  <c r="BC91" i="2"/>
  <c r="AC87" i="2"/>
  <c r="BC346" i="1"/>
  <c r="BA213" i="1"/>
  <c r="AK6" i="1"/>
  <c r="W234" i="2"/>
  <c r="BG234" i="2" s="1"/>
  <c r="R266" i="1"/>
  <c r="BF234" i="2"/>
  <c r="AM313" i="2"/>
  <c r="AI313" i="2"/>
  <c r="BA30" i="2"/>
  <c r="AA537" i="2"/>
  <c r="AA536" i="2" s="1"/>
  <c r="BF519" i="2"/>
  <c r="AS356" i="2"/>
  <c r="BA377" i="2"/>
  <c r="W432" i="2"/>
  <c r="BG432" i="2" s="1"/>
  <c r="BE282" i="2"/>
  <c r="AU282" i="2"/>
  <c r="BF308" i="2"/>
  <c r="AE50" i="2"/>
  <c r="AD404" i="1"/>
  <c r="AD407" i="1" s="1"/>
  <c r="AD414" i="1" s="1"/>
  <c r="S147" i="1"/>
  <c r="BC147" i="1" s="1"/>
  <c r="BB132" i="1"/>
  <c r="BD132" i="1" s="1"/>
  <c r="BF222" i="2"/>
  <c r="R246" i="1"/>
  <c r="AW189" i="2"/>
  <c r="O24" i="4"/>
  <c r="BF413" i="2"/>
  <c r="R67" i="1"/>
  <c r="W494" i="2"/>
  <c r="BG494" i="2" s="1"/>
  <c r="R148" i="1"/>
  <c r="W164" i="2"/>
  <c r="BG164" i="2" s="1"/>
  <c r="R330" i="1"/>
  <c r="BE57" i="2"/>
  <c r="AK53" i="2"/>
  <c r="BF397" i="2"/>
  <c r="W397" i="2"/>
  <c r="BG397" i="2" s="1"/>
  <c r="R49" i="1"/>
  <c r="BF136" i="2"/>
  <c r="R288" i="1"/>
  <c r="BD133" i="1"/>
  <c r="BD147" i="1"/>
  <c r="W408" i="2"/>
  <c r="BG408" i="2" s="1"/>
  <c r="BF408" i="2"/>
  <c r="R62" i="1"/>
  <c r="BG413" i="2"/>
  <c r="BG259" i="2"/>
  <c r="BG343" i="2"/>
  <c r="BD190" i="1"/>
  <c r="AJ407" i="1"/>
  <c r="AJ414" i="1" s="1"/>
  <c r="BF444" i="2"/>
  <c r="AA346" i="2"/>
  <c r="BG381" i="2"/>
  <c r="BG443" i="2"/>
  <c r="BA313" i="2"/>
  <c r="AO211" i="2"/>
  <c r="BG175" i="2"/>
  <c r="BG228" i="2"/>
  <c r="BG39" i="2"/>
  <c r="AO50" i="2"/>
  <c r="AR549" i="2"/>
  <c r="AA45" i="2"/>
  <c r="AM213" i="1"/>
  <c r="AZ407" i="1"/>
  <c r="AZ414" i="1" s="1"/>
  <c r="S113" i="1"/>
  <c r="BC113" i="1" s="1"/>
  <c r="BF449" i="2"/>
  <c r="W449" i="2"/>
  <c r="BG449" i="2" s="1"/>
  <c r="R103" i="1"/>
  <c r="W406" i="2"/>
  <c r="BG406" i="2" s="1"/>
  <c r="BF406" i="2"/>
  <c r="R60" i="1"/>
  <c r="J45" i="4"/>
  <c r="AY282" i="2"/>
  <c r="BG148" i="2"/>
  <c r="W444" i="2"/>
  <c r="BG444" i="2" s="1"/>
  <c r="BG153" i="2"/>
  <c r="AW101" i="2"/>
  <c r="U42" i="2"/>
  <c r="AR407" i="1"/>
  <c r="AR414" i="1" s="1"/>
  <c r="AU213" i="1"/>
  <c r="BF422" i="2"/>
  <c r="R76" i="1"/>
  <c r="BF393" i="2"/>
  <c r="R42" i="1"/>
  <c r="I87" i="4"/>
  <c r="AC541" i="2"/>
  <c r="AC540" i="2" s="1"/>
  <c r="W401" i="2"/>
  <c r="BG401" i="2" s="1"/>
  <c r="R53" i="1"/>
  <c r="BF354" i="2"/>
  <c r="W354" i="2"/>
  <c r="BG354" i="2" s="1"/>
  <c r="R278" i="1"/>
  <c r="AU130" i="2"/>
  <c r="I66" i="4"/>
  <c r="C26" i="7"/>
  <c r="D26" i="7" s="1"/>
  <c r="E26" i="7" s="1"/>
  <c r="AC130" i="2"/>
  <c r="BG65" i="2"/>
  <c r="V66" i="4"/>
  <c r="C15" i="7"/>
  <c r="D15" i="7" s="1"/>
  <c r="E15" i="7" s="1"/>
  <c r="AN407" i="1"/>
  <c r="AN414" i="1" s="1"/>
  <c r="BD275" i="1"/>
  <c r="AE213" i="1"/>
  <c r="BB86" i="1"/>
  <c r="BE86" i="1" s="1"/>
  <c r="BF370" i="2"/>
  <c r="W370" i="2"/>
  <c r="BG370" i="2" s="1"/>
  <c r="AQ130" i="2"/>
  <c r="AM130" i="2"/>
  <c r="BD98" i="1"/>
  <c r="W355" i="2"/>
  <c r="BG355" i="2" s="1"/>
  <c r="R280" i="1"/>
  <c r="BB130" i="1"/>
  <c r="BG169" i="2"/>
  <c r="H66" i="4"/>
  <c r="BG453" i="2"/>
  <c r="BG458" i="2"/>
  <c r="AG226" i="2"/>
  <c r="Y233" i="2"/>
  <c r="U73" i="4"/>
  <c r="AQ23" i="2"/>
  <c r="AG57" i="2"/>
  <c r="Q98" i="4"/>
  <c r="BF509" i="2"/>
  <c r="BC313" i="2"/>
  <c r="BA189" i="2"/>
  <c r="AY211" i="2"/>
  <c r="AK247" i="2"/>
  <c r="AE101" i="2"/>
  <c r="BA23" i="2"/>
  <c r="AA57" i="2"/>
  <c r="AM23" i="2"/>
  <c r="AS50" i="2"/>
  <c r="BG20" i="2"/>
  <c r="BG19" i="2" s="1"/>
  <c r="T404" i="1"/>
  <c r="BB69" i="1"/>
  <c r="BE69" i="1" s="1"/>
  <c r="S23" i="1"/>
  <c r="BC23" i="1" s="1"/>
  <c r="BC22" i="1" s="1"/>
  <c r="AO6" i="1"/>
  <c r="J94" i="4"/>
  <c r="J98" i="4" s="1"/>
  <c r="AE545" i="2"/>
  <c r="AE544" i="2" s="1"/>
  <c r="AE543" i="2" s="1"/>
  <c r="U279" i="2"/>
  <c r="O45" i="4"/>
  <c r="G87" i="4"/>
  <c r="Y541" i="2"/>
  <c r="Y540" i="2" s="1"/>
  <c r="AG405" i="2"/>
  <c r="AA211" i="2"/>
  <c r="BG147" i="2"/>
  <c r="BE130" i="2"/>
  <c r="AW57" i="2"/>
  <c r="BC298" i="2"/>
  <c r="BG256" i="2"/>
  <c r="AC532" i="2"/>
  <c r="BA483" i="2"/>
  <c r="AG483" i="2"/>
  <c r="AY313" i="2"/>
  <c r="BG321" i="2"/>
  <c r="AC177" i="2"/>
  <c r="BE101" i="2"/>
  <c r="U57" i="2"/>
  <c r="BG425" i="2"/>
  <c r="AU356" i="2"/>
  <c r="AW337" i="2"/>
  <c r="BA282" i="2"/>
  <c r="AC306" i="2"/>
  <c r="I73" i="4"/>
  <c r="BC189" i="2"/>
  <c r="BE233" i="2"/>
  <c r="BG155" i="2"/>
  <c r="AM247" i="2"/>
  <c r="BG156" i="2"/>
  <c r="AG101" i="2"/>
  <c r="BG157" i="2"/>
  <c r="R59" i="4"/>
  <c r="AQ213" i="1"/>
  <c r="BB173" i="1"/>
  <c r="BD173" i="1" s="1"/>
  <c r="AQ6" i="1"/>
  <c r="BF410" i="2"/>
  <c r="R64" i="1"/>
  <c r="BA279" i="2"/>
  <c r="BB136" i="1"/>
  <c r="BC211" i="2"/>
  <c r="AO247" i="2"/>
  <c r="BC101" i="2"/>
  <c r="AU123" i="2"/>
  <c r="AY172" i="2"/>
  <c r="AY101" i="2"/>
  <c r="U69" i="2"/>
  <c r="U68" i="2" s="1"/>
  <c r="BF407" i="2"/>
  <c r="R61" i="1"/>
  <c r="M94" i="4"/>
  <c r="M98" i="4" s="1"/>
  <c r="AK545" i="2"/>
  <c r="AK544" i="2" s="1"/>
  <c r="AK543" i="2" s="1"/>
  <c r="AU53" i="2"/>
  <c r="W506" i="2"/>
  <c r="BG506" i="2" s="1"/>
  <c r="BF506" i="2"/>
  <c r="R160" i="1"/>
  <c r="BB114" i="1"/>
  <c r="S114" i="1"/>
  <c r="BC114" i="1" s="1"/>
  <c r="BB39" i="1"/>
  <c r="S39" i="1"/>
  <c r="BC39" i="1" s="1"/>
  <c r="N94" i="4"/>
  <c r="N98" i="4" s="1"/>
  <c r="AM545" i="2"/>
  <c r="AM544" i="2" s="1"/>
  <c r="AM543" i="2" s="1"/>
  <c r="BB120" i="1"/>
  <c r="BG173" i="2"/>
  <c r="U313" i="2"/>
  <c r="BG18" i="2"/>
  <c r="U368" i="2"/>
  <c r="AW377" i="2"/>
  <c r="BE377" i="2"/>
  <c r="AS346" i="2"/>
  <c r="BG257" i="2"/>
  <c r="AY233" i="2"/>
  <c r="AY298" i="2"/>
  <c r="BG275" i="2"/>
  <c r="AE211" i="2"/>
  <c r="AI130" i="2"/>
  <c r="Y226" i="2"/>
  <c r="AW247" i="2"/>
  <c r="M66" i="4"/>
  <c r="AY87" i="2"/>
  <c r="N24" i="4"/>
  <c r="AW213" i="1"/>
  <c r="S279" i="1"/>
  <c r="BC279" i="1" s="1"/>
  <c r="BB163" i="1"/>
  <c r="BE163" i="1" s="1"/>
  <c r="AI213" i="1"/>
  <c r="P94" i="4"/>
  <c r="P98" i="4" s="1"/>
  <c r="AQ545" i="2"/>
  <c r="AQ544" i="2" s="1"/>
  <c r="AQ543" i="2" s="1"/>
  <c r="V80" i="4"/>
  <c r="AG313" i="2"/>
  <c r="BG477" i="2"/>
  <c r="AM377" i="2"/>
  <c r="V45" i="4"/>
  <c r="Y247" i="2"/>
  <c r="BG262" i="2"/>
  <c r="BG309" i="2"/>
  <c r="AG233" i="2"/>
  <c r="BG188" i="2"/>
  <c r="AY247" i="2"/>
  <c r="AE337" i="2"/>
  <c r="Y172" i="2"/>
  <c r="AE37" i="2"/>
  <c r="AA91" i="2"/>
  <c r="AK57" i="2"/>
  <c r="BG80" i="2"/>
  <c r="AA77" i="2"/>
  <c r="AA76" i="2" s="1"/>
  <c r="AC338" i="1"/>
  <c r="AC213" i="1" s="1"/>
  <c r="W474" i="2"/>
  <c r="BG474" i="2" s="1"/>
  <c r="R128" i="1"/>
  <c r="BB270" i="1"/>
  <c r="S270" i="1"/>
  <c r="BC270" i="1" s="1"/>
  <c r="BC279" i="2"/>
  <c r="AS279" i="2"/>
  <c r="BB311" i="1"/>
  <c r="AA130" i="2"/>
  <c r="W470" i="2"/>
  <c r="BG470" i="2" s="1"/>
  <c r="BF470" i="2"/>
  <c r="R124" i="1"/>
  <c r="BF476" i="2"/>
  <c r="AS377" i="2"/>
  <c r="AM337" i="2"/>
  <c r="AW226" i="2"/>
  <c r="AK226" i="2"/>
  <c r="BE247" i="2"/>
  <c r="AT549" i="2"/>
  <c r="BC195" i="1"/>
  <c r="AB404" i="1"/>
  <c r="BD113" i="1"/>
  <c r="S56" i="1"/>
  <c r="BC56" i="1" s="1"/>
  <c r="W434" i="2"/>
  <c r="BG434" i="2" s="1"/>
  <c r="BF434" i="2"/>
  <c r="R88" i="1"/>
  <c r="BG140" i="2"/>
  <c r="AO53" i="2"/>
  <c r="AS53" i="2"/>
  <c r="AI337" i="2"/>
  <c r="AC346" i="2"/>
  <c r="AW211" i="2"/>
  <c r="BE532" i="2"/>
  <c r="BG261" i="2"/>
  <c r="C72" i="4"/>
  <c r="F72" i="4" s="1"/>
  <c r="AS247" i="2"/>
  <c r="W476" i="2"/>
  <c r="BG476" i="2" s="1"/>
  <c r="G45" i="4"/>
  <c r="BA337" i="2"/>
  <c r="AG247" i="2"/>
  <c r="AM211" i="2"/>
  <c r="G66" i="4"/>
  <c r="AG172" i="2"/>
  <c r="AC172" i="2"/>
  <c r="V24" i="4"/>
  <c r="AI87" i="2"/>
  <c r="AI83" i="2" s="1"/>
  <c r="AY23" i="2"/>
  <c r="S24" i="4"/>
  <c r="S99" i="1"/>
  <c r="BC99" i="1" s="1"/>
  <c r="W442" i="2"/>
  <c r="BG442" i="2" s="1"/>
  <c r="BF442" i="2"/>
  <c r="R96" i="1"/>
  <c r="W475" i="2"/>
  <c r="BG475" i="2" s="1"/>
  <c r="BF475" i="2"/>
  <c r="R129" i="1"/>
  <c r="W419" i="2"/>
  <c r="BG419" i="2" s="1"/>
  <c r="BF419" i="2"/>
  <c r="R73" i="1"/>
  <c r="O94" i="4"/>
  <c r="O98" i="4" s="1"/>
  <c r="AO545" i="2"/>
  <c r="AO544" i="2" s="1"/>
  <c r="AO543" i="2" s="1"/>
  <c r="AS537" i="2"/>
  <c r="AS536" i="2" s="1"/>
  <c r="Y483" i="2"/>
  <c r="AE396" i="2"/>
  <c r="AE172" i="2"/>
  <c r="BG117" i="2"/>
  <c r="U123" i="2"/>
  <c r="AW30" i="2"/>
  <c r="AC30" i="2"/>
  <c r="BA45" i="2"/>
  <c r="BF431" i="2"/>
  <c r="R85" i="1"/>
  <c r="W385" i="2"/>
  <c r="R34" i="1"/>
  <c r="AC233" i="2"/>
  <c r="BG112" i="2"/>
  <c r="Y281" i="1"/>
  <c r="U483" i="2"/>
  <c r="AK532" i="2"/>
  <c r="AE483" i="2"/>
  <c r="BF464" i="2"/>
  <c r="AA405" i="2"/>
  <c r="BG344" i="2"/>
  <c r="BG239" i="2"/>
  <c r="AS532" i="2"/>
  <c r="Y532" i="2"/>
  <c r="W488" i="2"/>
  <c r="BG488" i="2" s="1"/>
  <c r="AO396" i="2"/>
  <c r="I45" i="4"/>
  <c r="W464" i="2"/>
  <c r="BG464" i="2" s="1"/>
  <c r="BE313" i="2"/>
  <c r="AW313" i="2"/>
  <c r="BC130" i="2"/>
  <c r="BG166" i="2"/>
  <c r="BF246" i="2"/>
  <c r="AK172" i="2"/>
  <c r="AM226" i="2"/>
  <c r="AK30" i="2"/>
  <c r="AI101" i="2"/>
  <c r="AK77" i="2"/>
  <c r="AK76" i="2" s="1"/>
  <c r="Y45" i="2"/>
  <c r="BB183" i="1"/>
  <c r="BD183" i="1" s="1"/>
  <c r="S122" i="1"/>
  <c r="BC122" i="1" s="1"/>
  <c r="BB138" i="1"/>
  <c r="BD138" i="1" s="1"/>
  <c r="BF412" i="2"/>
  <c r="R66" i="1"/>
  <c r="R87" i="4"/>
  <c r="AU541" i="2"/>
  <c r="AU540" i="2" s="1"/>
  <c r="AG98" i="2"/>
  <c r="AO279" i="2"/>
  <c r="BD251" i="1"/>
  <c r="BE251" i="1"/>
  <c r="AC247" i="2"/>
  <c r="AK101" i="2"/>
  <c r="AX407" i="1"/>
  <c r="AX414" i="1" s="1"/>
  <c r="AT407" i="1"/>
  <c r="AT414" i="1" s="1"/>
  <c r="AP407" i="1"/>
  <c r="AP414" i="1" s="1"/>
  <c r="AH407" i="1"/>
  <c r="BC116" i="1"/>
  <c r="BB142" i="1"/>
  <c r="BD142" i="1" s="1"/>
  <c r="W409" i="2"/>
  <c r="BG409" i="2" s="1"/>
  <c r="R63" i="1"/>
  <c r="W334" i="2"/>
  <c r="W333" i="2" s="1"/>
  <c r="R223" i="1"/>
  <c r="S87" i="4"/>
  <c r="AW541" i="2"/>
  <c r="AW540" i="2" s="1"/>
  <c r="W495" i="2"/>
  <c r="BG495" i="2" s="1"/>
  <c r="R149" i="1"/>
  <c r="W441" i="2"/>
  <c r="BG441" i="2" s="1"/>
  <c r="BF441" i="2"/>
  <c r="R95" i="1"/>
  <c r="BA16" i="2"/>
  <c r="AQ279" i="2"/>
  <c r="AA483" i="2"/>
  <c r="K45" i="4"/>
  <c r="AE363" i="2"/>
  <c r="W462" i="2"/>
  <c r="BG462" i="2" s="1"/>
  <c r="U405" i="2"/>
  <c r="AI356" i="2"/>
  <c r="AA233" i="2"/>
  <c r="AU87" i="2"/>
  <c r="AU83" i="2" s="1"/>
  <c r="C86" i="4"/>
  <c r="K91" i="4" s="1"/>
  <c r="U541" i="2"/>
  <c r="U540" i="2" s="1"/>
  <c r="W451" i="2"/>
  <c r="BG451" i="2" s="1"/>
  <c r="BF451" i="2"/>
  <c r="R105" i="1"/>
  <c r="S98" i="1"/>
  <c r="BC98" i="1" s="1"/>
  <c r="BB55" i="1"/>
  <c r="BE55" i="1" s="1"/>
  <c r="V403" i="1"/>
  <c r="W98" i="4"/>
  <c r="T98" i="4"/>
  <c r="AI352" i="2"/>
  <c r="AK306" i="2"/>
  <c r="AS226" i="2"/>
  <c r="U233" i="2"/>
  <c r="V31" i="4"/>
  <c r="AK189" i="2"/>
  <c r="AO123" i="2"/>
  <c r="BG71" i="2"/>
  <c r="AO101" i="2"/>
  <c r="BE23" i="2"/>
  <c r="BG97" i="2"/>
  <c r="AS57" i="2"/>
  <c r="X403" i="1"/>
  <c r="X406" i="1" s="1"/>
  <c r="U59" i="1"/>
  <c r="BC47" i="1"/>
  <c r="BC45" i="1" s="1"/>
  <c r="W384" i="2"/>
  <c r="BG384" i="2" s="1"/>
  <c r="R33" i="1"/>
  <c r="BF508" i="2"/>
  <c r="R162" i="1"/>
  <c r="BF416" i="2"/>
  <c r="R70" i="1"/>
  <c r="AW363" i="2"/>
  <c r="AM16" i="2"/>
  <c r="L94" i="4"/>
  <c r="L98" i="4" s="1"/>
  <c r="AI545" i="2"/>
  <c r="AI544" i="2" s="1"/>
  <c r="AI543" i="2" s="1"/>
  <c r="BF448" i="2"/>
  <c r="R102" i="1"/>
  <c r="U381" i="1"/>
  <c r="BE211" i="2"/>
  <c r="AY532" i="2"/>
  <c r="AM352" i="2"/>
  <c r="AE356" i="2"/>
  <c r="Y282" i="2"/>
  <c r="AM177" i="2"/>
  <c r="AC101" i="2"/>
  <c r="BG479" i="2"/>
  <c r="BG25" i="2"/>
  <c r="AQ101" i="2"/>
  <c r="AW532" i="2"/>
  <c r="AA532" i="2"/>
  <c r="BG456" i="2"/>
  <c r="BG423" i="2"/>
  <c r="AY356" i="2"/>
  <c r="BG446" i="2"/>
  <c r="P45" i="4"/>
  <c r="AO356" i="2"/>
  <c r="AQ306" i="2"/>
  <c r="AE233" i="2"/>
  <c r="BG250" i="2"/>
  <c r="BG72" i="2"/>
  <c r="BG96" i="2"/>
  <c r="AW172" i="2"/>
  <c r="AY57" i="2"/>
  <c r="AO69" i="2"/>
  <c r="AO68" i="2" s="1"/>
  <c r="AW23" i="2"/>
  <c r="BB116" i="1"/>
  <c r="H73" i="4"/>
  <c r="AL407" i="1"/>
  <c r="AL414" i="1" s="1"/>
  <c r="U281" i="1"/>
  <c r="W360" i="2"/>
  <c r="BG360" i="2" s="1"/>
  <c r="BF360" i="2"/>
  <c r="R312" i="1"/>
  <c r="AW53" i="2"/>
  <c r="R385" i="1"/>
  <c r="AM101" i="2"/>
  <c r="AV407" i="1"/>
  <c r="AV414" i="1" s="1"/>
  <c r="BB118" i="1"/>
  <c r="S118" i="1"/>
  <c r="BC118" i="1" s="1"/>
  <c r="BF480" i="2"/>
  <c r="W480" i="2"/>
  <c r="BG480" i="2" s="1"/>
  <c r="R134" i="1"/>
  <c r="W420" i="2"/>
  <c r="BG420" i="2" s="1"/>
  <c r="BF420" i="2"/>
  <c r="R74" i="1"/>
  <c r="AW279" i="2"/>
  <c r="D24" i="5"/>
  <c r="F7" i="4" s="1"/>
  <c r="B25" i="5"/>
  <c r="F6" i="4"/>
  <c r="V4" i="2" s="1"/>
  <c r="S558" i="2"/>
  <c r="S559" i="2" s="1"/>
  <c r="O414" i="1"/>
  <c r="AG213" i="1"/>
  <c r="BG43" i="2"/>
  <c r="W42" i="2"/>
  <c r="BD43" i="1"/>
  <c r="BE43" i="1"/>
  <c r="AX405" i="1"/>
  <c r="AX406" i="1"/>
  <c r="AX413" i="1" s="1"/>
  <c r="AD406" i="1"/>
  <c r="BF525" i="2"/>
  <c r="W525" i="2"/>
  <c r="BG525" i="2" s="1"/>
  <c r="R179" i="1"/>
  <c r="W503" i="2"/>
  <c r="BG503" i="2" s="1"/>
  <c r="BF503" i="2"/>
  <c r="R157" i="1"/>
  <c r="BG448" i="2"/>
  <c r="BG457" i="2"/>
  <c r="AE405" i="2"/>
  <c r="AY396" i="2"/>
  <c r="U337" i="2"/>
  <c r="AU327" i="2"/>
  <c r="BG315" i="2"/>
  <c r="BG342" i="2"/>
  <c r="AW298" i="2"/>
  <c r="AW289" i="2" s="1"/>
  <c r="H80" i="4"/>
  <c r="AA304" i="2"/>
  <c r="AE306" i="2"/>
  <c r="P38" i="4"/>
  <c r="AQ290" i="2"/>
  <c r="AQ289" i="2" s="1"/>
  <c r="AI298" i="2"/>
  <c r="AU233" i="2"/>
  <c r="BG264" i="2"/>
  <c r="AQ211" i="2"/>
  <c r="BG249" i="2"/>
  <c r="AE130" i="2"/>
  <c r="BG150" i="2"/>
  <c r="BG126" i="2"/>
  <c r="BC123" i="2"/>
  <c r="BG184" i="2"/>
  <c r="BG151" i="2"/>
  <c r="BG190" i="2"/>
  <c r="BE77" i="2"/>
  <c r="BE76" i="2" s="1"/>
  <c r="BG94" i="2"/>
  <c r="AA69" i="2"/>
  <c r="AA68" i="2" s="1"/>
  <c r="AA123" i="2"/>
  <c r="BD396" i="1"/>
  <c r="BE191" i="1"/>
  <c r="BD191" i="1"/>
  <c r="AF404" i="1"/>
  <c r="AF405" i="1" s="1"/>
  <c r="W528" i="2"/>
  <c r="BG528" i="2" s="1"/>
  <c r="BF528" i="2"/>
  <c r="R182" i="1"/>
  <c r="K73" i="4"/>
  <c r="BG119" i="2"/>
  <c r="AU101" i="2"/>
  <c r="J59" i="4"/>
  <c r="AD549" i="2"/>
  <c r="AE27" i="2"/>
  <c r="C20" i="7"/>
  <c r="D20" i="7" s="1"/>
  <c r="E20" i="7" s="1"/>
  <c r="C25" i="7"/>
  <c r="C16" i="4"/>
  <c r="U8" i="2"/>
  <c r="BE245" i="1"/>
  <c r="BD245" i="1"/>
  <c r="P87" i="4"/>
  <c r="AQ541" i="2"/>
  <c r="AQ540" i="2" s="1"/>
  <c r="G98" i="4"/>
  <c r="S98" i="4"/>
  <c r="W502" i="2"/>
  <c r="BG502" i="2" s="1"/>
  <c r="BF502" i="2"/>
  <c r="R156" i="1"/>
  <c r="W538" i="2"/>
  <c r="BF538" i="2"/>
  <c r="R208" i="1"/>
  <c r="AC356" i="2"/>
  <c r="AI396" i="2"/>
  <c r="BE396" i="2"/>
  <c r="BG331" i="2"/>
  <c r="BG330" i="2" s="1"/>
  <c r="W330" i="2"/>
  <c r="BG316" i="2"/>
  <c r="N80" i="4"/>
  <c r="AM304" i="2"/>
  <c r="AM233" i="2"/>
  <c r="T38" i="4"/>
  <c r="AY290" i="2"/>
  <c r="AG298" i="2"/>
  <c r="AC226" i="2"/>
  <c r="AY318" i="2"/>
  <c r="Q73" i="4"/>
  <c r="AC123" i="2"/>
  <c r="BG116" i="2"/>
  <c r="BG108" i="2"/>
  <c r="BG13" i="2"/>
  <c r="BG12" i="2" s="1"/>
  <c r="AU77" i="2"/>
  <c r="AU76" i="2" s="1"/>
  <c r="G17" i="4"/>
  <c r="X548" i="2"/>
  <c r="Y8" i="2"/>
  <c r="AN405" i="1"/>
  <c r="AN406" i="1"/>
  <c r="BE32" i="1"/>
  <c r="BD32" i="1"/>
  <c r="AI6" i="1"/>
  <c r="BG48" i="2"/>
  <c r="BG508" i="2"/>
  <c r="BG392" i="2"/>
  <c r="BG430" i="2"/>
  <c r="BG393" i="2"/>
  <c r="BG410" i="2"/>
  <c r="AK396" i="2"/>
  <c r="BG407" i="2"/>
  <c r="Y279" i="2"/>
  <c r="BG280" i="2"/>
  <c r="C18" i="7"/>
  <c r="D18" i="7" s="1"/>
  <c r="E18" i="7" s="1"/>
  <c r="U328" i="2"/>
  <c r="U327" i="2" s="1"/>
  <c r="BE327" i="2"/>
  <c r="AW306" i="2"/>
  <c r="AO282" i="2"/>
  <c r="G38" i="4"/>
  <c r="Y290" i="2"/>
  <c r="U38" i="4"/>
  <c r="BA290" i="2"/>
  <c r="U282" i="2"/>
  <c r="AE226" i="2"/>
  <c r="BG245" i="2"/>
  <c r="BG255" i="2"/>
  <c r="G31" i="4"/>
  <c r="Y194" i="2"/>
  <c r="Y193" i="2" s="1"/>
  <c r="AS130" i="2"/>
  <c r="BG216" i="2"/>
  <c r="J66" i="4"/>
  <c r="AE91" i="2"/>
  <c r="BG213" i="2"/>
  <c r="BG109" i="2"/>
  <c r="BG46" i="2"/>
  <c r="W45" i="2"/>
  <c r="AY77" i="2"/>
  <c r="AY76" i="2" s="1"/>
  <c r="H17" i="4"/>
  <c r="Z548" i="2"/>
  <c r="AA8" i="2"/>
  <c r="AA7" i="2" s="1"/>
  <c r="W14" i="2"/>
  <c r="BG15" i="2"/>
  <c r="BG14" i="2" s="1"/>
  <c r="BD391" i="1"/>
  <c r="BE391" i="1"/>
  <c r="BE272" i="1"/>
  <c r="BD272" i="1"/>
  <c r="BE273" i="1"/>
  <c r="BD273" i="1"/>
  <c r="AP405" i="1"/>
  <c r="AP406" i="1"/>
  <c r="BD72" i="1"/>
  <c r="BE72" i="1"/>
  <c r="AH406" i="1"/>
  <c r="AH405" i="1"/>
  <c r="I38" i="4"/>
  <c r="AC290" i="2"/>
  <c r="S31" i="4"/>
  <c r="BC396" i="1"/>
  <c r="BC395" i="1" s="1"/>
  <c r="BC394" i="1" s="1"/>
  <c r="S395" i="1"/>
  <c r="S394" i="1" s="1"/>
  <c r="BF473" i="2"/>
  <c r="W473" i="2"/>
  <c r="BG473" i="2" s="1"/>
  <c r="R127" i="1"/>
  <c r="AO532" i="2"/>
  <c r="BG461" i="2"/>
  <c r="R45" i="4"/>
  <c r="AU373" i="2"/>
  <c r="Q45" i="4"/>
  <c r="AW396" i="2"/>
  <c r="AG377" i="2"/>
  <c r="AC377" i="2"/>
  <c r="R80" i="4"/>
  <c r="AU304" i="2"/>
  <c r="AO226" i="2"/>
  <c r="AE282" i="2"/>
  <c r="AO298" i="2"/>
  <c r="AY306" i="2"/>
  <c r="W346" i="2"/>
  <c r="BG347" i="2"/>
  <c r="V38" i="4"/>
  <c r="BC290" i="2"/>
  <c r="AI172" i="2"/>
  <c r="BG180" i="2"/>
  <c r="AS211" i="2"/>
  <c r="BE193" i="2"/>
  <c r="L73" i="4"/>
  <c r="AO177" i="2"/>
  <c r="U101" i="2"/>
  <c r="AY193" i="2"/>
  <c r="BG136" i="2"/>
  <c r="BG100" i="2"/>
  <c r="AO77" i="2"/>
  <c r="AO76" i="2" s="1"/>
  <c r="BC77" i="2"/>
  <c r="BC76" i="2" s="1"/>
  <c r="AU50" i="2"/>
  <c r="I17" i="4"/>
  <c r="AB548" i="2"/>
  <c r="AC8" i="2"/>
  <c r="BG88" i="2"/>
  <c r="BE335" i="1"/>
  <c r="BD335" i="1"/>
  <c r="BE224" i="1"/>
  <c r="BD224" i="1"/>
  <c r="X404" i="1"/>
  <c r="AF406" i="1"/>
  <c r="AF413" i="1" s="1"/>
  <c r="W304" i="2"/>
  <c r="BG305" i="2"/>
  <c r="BG304" i="2" s="1"/>
  <c r="BA396" i="2"/>
  <c r="R38" i="4"/>
  <c r="AU290" i="2"/>
  <c r="V87" i="4"/>
  <c r="BC541" i="2"/>
  <c r="BC540" i="2" s="1"/>
  <c r="BG485" i="2"/>
  <c r="S45" i="4"/>
  <c r="AW373" i="2"/>
  <c r="U346" i="2"/>
  <c r="U396" i="2"/>
  <c r="AA396" i="2"/>
  <c r="W313" i="2"/>
  <c r="BG314" i="2"/>
  <c r="K38" i="4"/>
  <c r="AG290" i="2"/>
  <c r="AK282" i="2"/>
  <c r="BG225" i="2"/>
  <c r="BA306" i="2"/>
  <c r="H38" i="4"/>
  <c r="AA290" i="2"/>
  <c r="BG285" i="2"/>
  <c r="AU172" i="2"/>
  <c r="Y101" i="2"/>
  <c r="Y181" i="2"/>
  <c r="T31" i="4"/>
  <c r="BG134" i="2"/>
  <c r="L66" i="4"/>
  <c r="AI91" i="2"/>
  <c r="O73" i="4"/>
  <c r="BG93" i="2"/>
  <c r="J17" i="4"/>
  <c r="AD548" i="2"/>
  <c r="AE8" i="2"/>
  <c r="BE372" i="1"/>
  <c r="BD372" i="1"/>
  <c r="BC205" i="1"/>
  <c r="BC204" i="1" s="1"/>
  <c r="BC203" i="1" s="1"/>
  <c r="S204" i="1"/>
  <c r="S203" i="1" s="1"/>
  <c r="AR405" i="1"/>
  <c r="AR406" i="1"/>
  <c r="AR413" i="1" s="1"/>
  <c r="BE99" i="1"/>
  <c r="BD99" i="1"/>
  <c r="AW6" i="1"/>
  <c r="Z403" i="1"/>
  <c r="BG338" i="2"/>
  <c r="BA130" i="2"/>
  <c r="AO130" i="2"/>
  <c r="BG201" i="2"/>
  <c r="BG200" i="2" s="1"/>
  <c r="W200" i="2"/>
  <c r="BG411" i="2"/>
  <c r="BG41" i="2"/>
  <c r="BG40" i="2" s="1"/>
  <c r="BD314" i="1"/>
  <c r="BE314" i="1"/>
  <c r="U98" i="4"/>
  <c r="U45" i="4"/>
  <c r="BA373" i="2"/>
  <c r="BG499" i="2"/>
  <c r="AO377" i="2"/>
  <c r="Q38" i="4"/>
  <c r="AS290" i="2"/>
  <c r="BG387" i="2"/>
  <c r="BG323" i="2"/>
  <c r="BG322" i="2" s="1"/>
  <c r="W322" i="2"/>
  <c r="BG274" i="2"/>
  <c r="BG369" i="2"/>
  <c r="AY130" i="2"/>
  <c r="T73" i="4"/>
  <c r="S73" i="4"/>
  <c r="BC172" i="2"/>
  <c r="R66" i="4"/>
  <c r="AA181" i="2"/>
  <c r="BG120" i="2"/>
  <c r="BG132" i="2"/>
  <c r="Q66" i="4"/>
  <c r="AS91" i="2"/>
  <c r="AE123" i="2"/>
  <c r="Y189" i="2"/>
  <c r="AE87" i="2"/>
  <c r="Y53" i="2"/>
  <c r="BG160" i="2"/>
  <c r="AI30" i="2"/>
  <c r="BG59" i="2"/>
  <c r="BG49" i="2"/>
  <c r="BG70" i="2"/>
  <c r="W69" i="2"/>
  <c r="W68" i="2" s="1"/>
  <c r="K17" i="4"/>
  <c r="AF548" i="2"/>
  <c r="AG8" i="2"/>
  <c r="AG7" i="2" s="1"/>
  <c r="W16" i="2"/>
  <c r="BG17" i="2"/>
  <c r="BE303" i="1"/>
  <c r="BD303" i="1"/>
  <c r="BE317" i="1"/>
  <c r="BD317" i="1"/>
  <c r="BE151" i="1"/>
  <c r="BD151" i="1"/>
  <c r="Y59" i="1"/>
  <c r="BE101" i="1"/>
  <c r="T403" i="1"/>
  <c r="AV405" i="1"/>
  <c r="AV406" i="1"/>
  <c r="Y26" i="1"/>
  <c r="W48" i="1"/>
  <c r="G80" i="4"/>
  <c r="Y304" i="2"/>
  <c r="BG52" i="2"/>
  <c r="AJ406" i="1"/>
  <c r="AJ405" i="1"/>
  <c r="AU532" i="2"/>
  <c r="BG455" i="2"/>
  <c r="AM532" i="2"/>
  <c r="W501" i="2"/>
  <c r="BG501" i="2" s="1"/>
  <c r="BF501" i="2"/>
  <c r="R155" i="1"/>
  <c r="BG450" i="2"/>
  <c r="W45" i="4"/>
  <c r="BE373" i="2"/>
  <c r="AO405" i="2"/>
  <c r="AO346" i="2"/>
  <c r="BG439" i="2"/>
  <c r="BA226" i="2"/>
  <c r="Y352" i="2"/>
  <c r="AC282" i="2"/>
  <c r="BE306" i="2"/>
  <c r="BG340" i="2"/>
  <c r="AQ172" i="2"/>
  <c r="S80" i="4"/>
  <c r="BG229" i="2"/>
  <c r="BG170" i="2"/>
  <c r="BA101" i="2"/>
  <c r="AC181" i="2"/>
  <c r="N66" i="4"/>
  <c r="AM91" i="2"/>
  <c r="AQ123" i="2"/>
  <c r="C65" i="4"/>
  <c r="U91" i="2"/>
  <c r="S66" i="4"/>
  <c r="AW91" i="2"/>
  <c r="AK130" i="2"/>
  <c r="BG187" i="2"/>
  <c r="BG67" i="2"/>
  <c r="BG66" i="2" s="1"/>
  <c r="AP549" i="2"/>
  <c r="AO30" i="2"/>
  <c r="BG122" i="2"/>
  <c r="AI45" i="2"/>
  <c r="AC45" i="2"/>
  <c r="BG64" i="2"/>
  <c r="AG45" i="2"/>
  <c r="L17" i="4"/>
  <c r="AH548" i="2"/>
  <c r="AI8" i="2"/>
  <c r="BE392" i="1"/>
  <c r="BG51" i="2"/>
  <c r="U345" i="1"/>
  <c r="BE319" i="1"/>
  <c r="BD319" i="1"/>
  <c r="BE232" i="1"/>
  <c r="BD232" i="1"/>
  <c r="BE192" i="1"/>
  <c r="BD192" i="1"/>
  <c r="BE104" i="1"/>
  <c r="BD104" i="1"/>
  <c r="BE125" i="1"/>
  <c r="BD125" i="1"/>
  <c r="H98" i="4"/>
  <c r="AI532" i="2"/>
  <c r="AE532" i="2"/>
  <c r="AC483" i="2"/>
  <c r="BG437" i="2"/>
  <c r="T45" i="4"/>
  <c r="AY373" i="2"/>
  <c r="BG468" i="2"/>
  <c r="AG306" i="2"/>
  <c r="U298" i="2"/>
  <c r="U289" i="2" s="1"/>
  <c r="W294" i="2"/>
  <c r="BG295" i="2"/>
  <c r="BG294" i="2" s="1"/>
  <c r="BG286" i="2"/>
  <c r="H31" i="4"/>
  <c r="AA194" i="2"/>
  <c r="BG251" i="2"/>
  <c r="BG244" i="2"/>
  <c r="BA172" i="2"/>
  <c r="BG162" i="2"/>
  <c r="U181" i="2"/>
  <c r="AE181" i="2"/>
  <c r="O66" i="4"/>
  <c r="AO91" i="2"/>
  <c r="BG308" i="2"/>
  <c r="BG167" i="2"/>
  <c r="H24" i="4"/>
  <c r="AA84" i="2"/>
  <c r="U66" i="4"/>
  <c r="BA91" i="2"/>
  <c r="BG178" i="2"/>
  <c r="W177" i="2"/>
  <c r="BG124" i="2"/>
  <c r="BG135" i="2"/>
  <c r="AQ37" i="2"/>
  <c r="AM87" i="2"/>
  <c r="AM83" i="2" s="1"/>
  <c r="P59" i="4"/>
  <c r="AA30" i="2"/>
  <c r="AE45" i="2"/>
  <c r="AK45" i="2"/>
  <c r="M17" i="4"/>
  <c r="AJ548" i="2"/>
  <c r="AK8" i="2"/>
  <c r="BG44" i="2"/>
  <c r="BE271" i="1"/>
  <c r="BD271" i="1"/>
  <c r="BE161" i="1"/>
  <c r="BD161" i="1"/>
  <c r="BE131" i="1"/>
  <c r="BD131" i="1"/>
  <c r="BE79" i="1"/>
  <c r="BD79" i="1"/>
  <c r="BC405" i="2"/>
  <c r="M59" i="4"/>
  <c r="AJ549" i="2"/>
  <c r="AK27" i="2"/>
  <c r="BE83" i="1"/>
  <c r="BD83" i="1"/>
  <c r="W523" i="2"/>
  <c r="BG523" i="2" s="1"/>
  <c r="BF523" i="2"/>
  <c r="R177" i="1"/>
  <c r="V98" i="4"/>
  <c r="AG532" i="2"/>
  <c r="AK483" i="2"/>
  <c r="AQ405" i="2"/>
  <c r="BG438" i="2"/>
  <c r="BG348" i="2"/>
  <c r="AW233" i="2"/>
  <c r="BG349" i="2"/>
  <c r="AI306" i="2"/>
  <c r="Y298" i="2"/>
  <c r="BG171" i="2"/>
  <c r="M31" i="4"/>
  <c r="AK194" i="2"/>
  <c r="AK193" i="2" s="1"/>
  <c r="AK177" i="2"/>
  <c r="BG391" i="2"/>
  <c r="Y318" i="2"/>
  <c r="C30" i="4"/>
  <c r="I35" i="4" s="1"/>
  <c r="J31" i="4"/>
  <c r="AE194" i="2"/>
  <c r="AE193" i="2" s="1"/>
  <c r="AU337" i="2"/>
  <c r="BG114" i="2"/>
  <c r="AI181" i="2"/>
  <c r="K66" i="4"/>
  <c r="AG91" i="2"/>
  <c r="W66" i="4"/>
  <c r="BE91" i="2"/>
  <c r="AQ87" i="2"/>
  <c r="AE30" i="2"/>
  <c r="AG62" i="2"/>
  <c r="AE77" i="2"/>
  <c r="AE76" i="2" s="1"/>
  <c r="BC45" i="2"/>
  <c r="BG54" i="2"/>
  <c r="W53" i="2"/>
  <c r="N17" i="4"/>
  <c r="AL548" i="2"/>
  <c r="AM8" i="2"/>
  <c r="BD549" i="2"/>
  <c r="U264" i="1"/>
  <c r="BE222" i="1"/>
  <c r="BD222" i="1"/>
  <c r="BD80" i="1"/>
  <c r="BE31" i="1"/>
  <c r="BD31" i="1"/>
  <c r="AU396" i="2"/>
  <c r="U193" i="2"/>
  <c r="BG113" i="2"/>
  <c r="BE56" i="1"/>
  <c r="BD56" i="1"/>
  <c r="AM483" i="2"/>
  <c r="AY405" i="2"/>
  <c r="BG399" i="2"/>
  <c r="BG422" i="2"/>
  <c r="BG402" i="2"/>
  <c r="BG415" i="2"/>
  <c r="AS306" i="2"/>
  <c r="AY226" i="2"/>
  <c r="AM298" i="2"/>
  <c r="AA298" i="2"/>
  <c r="BG310" i="2"/>
  <c r="W318" i="2"/>
  <c r="BG319" i="2"/>
  <c r="AI318" i="2"/>
  <c r="C16" i="7"/>
  <c r="D16" i="7" s="1"/>
  <c r="E16" i="7" s="1"/>
  <c r="K31" i="4"/>
  <c r="AG194" i="2"/>
  <c r="AG193" i="2" s="1"/>
  <c r="BG214" i="2"/>
  <c r="P66" i="4"/>
  <c r="AQ91" i="2"/>
  <c r="AK181" i="2"/>
  <c r="BA211" i="2"/>
  <c r="BG465" i="2"/>
  <c r="AA53" i="2"/>
  <c r="O59" i="4"/>
  <c r="AN549" i="2"/>
  <c r="AO27" i="2"/>
  <c r="AO62" i="2"/>
  <c r="I59" i="4"/>
  <c r="AB549" i="2"/>
  <c r="AC27" i="2"/>
  <c r="O17" i="4"/>
  <c r="AN548" i="2"/>
  <c r="AO8" i="2"/>
  <c r="AS30" i="2"/>
  <c r="BG55" i="2"/>
  <c r="W59" i="4"/>
  <c r="BB399" i="1"/>
  <c r="S399" i="1"/>
  <c r="BE347" i="1"/>
  <c r="BD347" i="1"/>
  <c r="BE145" i="1"/>
  <c r="BD75" i="1"/>
  <c r="BE19" i="1"/>
  <c r="BD19" i="1"/>
  <c r="AO483" i="2"/>
  <c r="BG529" i="2"/>
  <c r="AK377" i="2"/>
  <c r="AS396" i="2"/>
  <c r="AK405" i="2"/>
  <c r="BG383" i="2"/>
  <c r="BG386" i="2"/>
  <c r="AG337" i="2"/>
  <c r="BG361" i="2"/>
  <c r="BG388" i="2"/>
  <c r="Q80" i="4"/>
  <c r="AS304" i="2"/>
  <c r="AE247" i="2"/>
  <c r="O80" i="4"/>
  <c r="AO304" i="2"/>
  <c r="AQ233" i="2"/>
  <c r="C37" i="4"/>
  <c r="AG282" i="2"/>
  <c r="AC298" i="2"/>
  <c r="BG291" i="2"/>
  <c r="BG290" i="2" s="1"/>
  <c r="AS177" i="2"/>
  <c r="BE318" i="2"/>
  <c r="C27" i="7"/>
  <c r="D27" i="7" s="1"/>
  <c r="E27" i="7" s="1"/>
  <c r="N31" i="4"/>
  <c r="AM194" i="2"/>
  <c r="AM193" i="2" s="1"/>
  <c r="BG273" i="2"/>
  <c r="N73" i="4"/>
  <c r="U130" i="2"/>
  <c r="W80" i="4"/>
  <c r="AM181" i="2"/>
  <c r="BA193" i="2"/>
  <c r="AW87" i="2"/>
  <c r="AW83" i="2" s="1"/>
  <c r="AI37" i="2"/>
  <c r="AE53" i="2"/>
  <c r="BG95" i="2"/>
  <c r="AC62" i="2"/>
  <c r="R24" i="4"/>
  <c r="H59" i="4"/>
  <c r="Z549" i="2"/>
  <c r="AA27" i="2"/>
  <c r="C58" i="4"/>
  <c r="U27" i="2"/>
  <c r="AI42" i="2"/>
  <c r="P17" i="4"/>
  <c r="AP548" i="2"/>
  <c r="AQ8" i="2"/>
  <c r="BG36" i="2"/>
  <c r="BE360" i="1"/>
  <c r="BD360" i="1"/>
  <c r="BG78" i="2"/>
  <c r="BE375" i="1"/>
  <c r="BD375" i="1"/>
  <c r="BC327" i="1"/>
  <c r="BE277" i="1"/>
  <c r="BD277" i="1"/>
  <c r="AA345" i="1"/>
  <c r="AA213" i="1" s="1"/>
  <c r="V404" i="1"/>
  <c r="BE257" i="1"/>
  <c r="BD257" i="1"/>
  <c r="BE202" i="1"/>
  <c r="BD202" i="1"/>
  <c r="W59" i="1"/>
  <c r="U48" i="1"/>
  <c r="W504" i="2"/>
  <c r="BG504" i="2" s="1"/>
  <c r="BF504" i="2"/>
  <c r="R158" i="1"/>
  <c r="BF518" i="2"/>
  <c r="W518" i="2"/>
  <c r="BG518" i="2" s="1"/>
  <c r="R172" i="1"/>
  <c r="AQ532" i="2"/>
  <c r="W514" i="2"/>
  <c r="BG514" i="2" s="1"/>
  <c r="BF514" i="2"/>
  <c r="R168" i="1"/>
  <c r="AS483" i="2"/>
  <c r="BG412" i="2"/>
  <c r="Y377" i="2"/>
  <c r="W366" i="2"/>
  <c r="BG367" i="2"/>
  <c r="BG366" i="2" s="1"/>
  <c r="AO337" i="2"/>
  <c r="BG398" i="2"/>
  <c r="BC377" i="2"/>
  <c r="AQ247" i="2"/>
  <c r="C17" i="7"/>
  <c r="D17" i="7" s="1"/>
  <c r="E17" i="7" s="1"/>
  <c r="AM282" i="2"/>
  <c r="AE298" i="2"/>
  <c r="BG271" i="2"/>
  <c r="BG212" i="2"/>
  <c r="W211" i="2"/>
  <c r="S38" i="4"/>
  <c r="U318" i="2"/>
  <c r="R31" i="4"/>
  <c r="AU194" i="2"/>
  <c r="AU193" i="2" s="1"/>
  <c r="BG241" i="2"/>
  <c r="AC337" i="2"/>
  <c r="BG267" i="2"/>
  <c r="U24" i="4"/>
  <c r="BA84" i="2"/>
  <c r="BA83" i="2" s="1"/>
  <c r="AO181" i="2"/>
  <c r="U31" i="4"/>
  <c r="BG138" i="2"/>
  <c r="BG215" i="2"/>
  <c r="V59" i="4"/>
  <c r="BB549" i="2"/>
  <c r="BC27" i="2"/>
  <c r="BG86" i="2"/>
  <c r="AM37" i="2"/>
  <c r="AM62" i="2"/>
  <c r="AQ69" i="2"/>
  <c r="AQ68" i="2" s="1"/>
  <c r="Y57" i="2"/>
  <c r="G59" i="4"/>
  <c r="X549" i="2"/>
  <c r="Y27" i="2"/>
  <c r="U45" i="2"/>
  <c r="BG60" i="2"/>
  <c r="Q17" i="4"/>
  <c r="AR548" i="2"/>
  <c r="AS8" i="2"/>
  <c r="BG24" i="2"/>
  <c r="W23" i="2"/>
  <c r="BE357" i="1"/>
  <c r="BD357" i="1"/>
  <c r="Z404" i="1"/>
  <c r="AU483" i="2"/>
  <c r="AA377" i="2"/>
  <c r="BE346" i="2"/>
  <c r="AC405" i="2"/>
  <c r="AQ337" i="2"/>
  <c r="H45" i="4"/>
  <c r="BG374" i="2"/>
  <c r="BG373" i="2" s="1"/>
  <c r="W373" i="2"/>
  <c r="BG353" i="2"/>
  <c r="O38" i="4"/>
  <c r="AO290" i="2"/>
  <c r="BC337" i="2"/>
  <c r="AU247" i="2"/>
  <c r="BA298" i="2"/>
  <c r="C28" i="7"/>
  <c r="D28" i="7" s="1"/>
  <c r="E28" i="7" s="1"/>
  <c r="AS282" i="2"/>
  <c r="AU298" i="2"/>
  <c r="BG252" i="2"/>
  <c r="BG165" i="2"/>
  <c r="R73" i="4"/>
  <c r="BA233" i="2"/>
  <c r="U226" i="2"/>
  <c r="BG297" i="2"/>
  <c r="BG296" i="2" s="1"/>
  <c r="W296" i="2"/>
  <c r="BG278" i="2"/>
  <c r="BG277" i="2" s="1"/>
  <c r="W277" i="2"/>
  <c r="AQ181" i="2"/>
  <c r="BG232" i="2"/>
  <c r="BG231" i="2" s="1"/>
  <c r="BG158" i="2"/>
  <c r="G24" i="4"/>
  <c r="Y84" i="2"/>
  <c r="Y83" i="2" s="1"/>
  <c r="BG79" i="2"/>
  <c r="AS77" i="2"/>
  <c r="AS76" i="2" s="1"/>
  <c r="AQ62" i="2"/>
  <c r="AO45" i="2"/>
  <c r="AO23" i="2"/>
  <c r="AU42" i="2"/>
  <c r="AQ50" i="2"/>
  <c r="R17" i="4"/>
  <c r="AT548" i="2"/>
  <c r="AU8" i="2"/>
  <c r="BD393" i="1"/>
  <c r="BE111" i="1"/>
  <c r="BD111" i="1"/>
  <c r="BE65" i="1"/>
  <c r="BD65" i="1"/>
  <c r="AC537" i="2"/>
  <c r="AC536" i="2" s="1"/>
  <c r="W498" i="2"/>
  <c r="BG498" i="2" s="1"/>
  <c r="BF498" i="2"/>
  <c r="R152" i="1"/>
  <c r="W512" i="2"/>
  <c r="BG512" i="2" s="1"/>
  <c r="BF512" i="2"/>
  <c r="R166" i="1"/>
  <c r="BC483" i="2"/>
  <c r="BG492" i="2"/>
  <c r="AE377" i="2"/>
  <c r="AI377" i="2"/>
  <c r="AU405" i="2"/>
  <c r="BC396" i="2"/>
  <c r="AA356" i="2"/>
  <c r="N45" i="4"/>
  <c r="AM373" i="2"/>
  <c r="M45" i="4"/>
  <c r="AK373" i="2"/>
  <c r="BG435" i="2"/>
  <c r="AS337" i="2"/>
  <c r="BG359" i="2"/>
  <c r="W350" i="2"/>
  <c r="BG351" i="2"/>
  <c r="BG350" i="2" s="1"/>
  <c r="BA247" i="2"/>
  <c r="BG293" i="2"/>
  <c r="BG292" i="2" s="1"/>
  <c r="AA282" i="2"/>
  <c r="AW282" i="2"/>
  <c r="BE298" i="2"/>
  <c r="BE289" i="2" s="1"/>
  <c r="BG317" i="2"/>
  <c r="AC193" i="2"/>
  <c r="AA172" i="2"/>
  <c r="BG266" i="2"/>
  <c r="AK318" i="2"/>
  <c r="BG284" i="2"/>
  <c r="AW181" i="2"/>
  <c r="BA123" i="2"/>
  <c r="I24" i="4"/>
  <c r="AC84" i="2"/>
  <c r="AC83" i="2" s="1"/>
  <c r="Y23" i="2"/>
  <c r="AG87" i="2"/>
  <c r="U83" i="2"/>
  <c r="AU62" i="2"/>
  <c r="AS23" i="2"/>
  <c r="F24" i="4"/>
  <c r="AY42" i="2"/>
  <c r="W50" i="2"/>
  <c r="S17" i="4"/>
  <c r="AV548" i="2"/>
  <c r="AW8" i="2"/>
  <c r="AW7" i="2" s="1"/>
  <c r="BG99" i="2"/>
  <c r="W98" i="2"/>
  <c r="BG61" i="2"/>
  <c r="S184" i="1"/>
  <c r="BC185" i="1"/>
  <c r="BC184" i="1" s="1"/>
  <c r="AS213" i="1"/>
  <c r="BE159" i="1"/>
  <c r="BD159" i="1"/>
  <c r="BD87" i="1"/>
  <c r="S20" i="1"/>
  <c r="BC21" i="1"/>
  <c r="BC20" i="1" s="1"/>
  <c r="BE93" i="1"/>
  <c r="BD93" i="1"/>
  <c r="AS233" i="2"/>
  <c r="N59" i="4"/>
  <c r="AL549" i="2"/>
  <c r="AM27" i="2"/>
  <c r="W500" i="2"/>
  <c r="BG500" i="2" s="1"/>
  <c r="BF500" i="2"/>
  <c r="R154" i="1"/>
  <c r="K98" i="4"/>
  <c r="AM537" i="2"/>
  <c r="AM536" i="2" s="1"/>
  <c r="W522" i="2"/>
  <c r="BG522" i="2" s="1"/>
  <c r="BF522" i="2"/>
  <c r="R176" i="1"/>
  <c r="AW483" i="2"/>
  <c r="BG424" i="2"/>
  <c r="U377" i="2"/>
  <c r="C19" i="7"/>
  <c r="D19" i="7" s="1"/>
  <c r="E19" i="7" s="1"/>
  <c r="C29" i="7"/>
  <c r="D29" i="7" s="1"/>
  <c r="E29" i="7" s="1"/>
  <c r="C44" i="4"/>
  <c r="U373" i="2"/>
  <c r="BC352" i="2"/>
  <c r="AQ356" i="2"/>
  <c r="AY337" i="2"/>
  <c r="BG421" i="2"/>
  <c r="BC282" i="2"/>
  <c r="P80" i="4"/>
  <c r="AQ304" i="2"/>
  <c r="BC247" i="2"/>
  <c r="M38" i="4"/>
  <c r="AK290" i="2"/>
  <c r="AQ282" i="2"/>
  <c r="AO233" i="2"/>
  <c r="AU313" i="2"/>
  <c r="AI282" i="2"/>
  <c r="BG236" i="2"/>
  <c r="L31" i="4"/>
  <c r="AI194" i="2"/>
  <c r="AI193" i="2" s="1"/>
  <c r="BG242" i="2"/>
  <c r="AO318" i="2"/>
  <c r="BG260" i="2"/>
  <c r="AY181" i="2"/>
  <c r="U62" i="2"/>
  <c r="BG224" i="2"/>
  <c r="K24" i="4"/>
  <c r="AG84" i="2"/>
  <c r="BG75" i="2"/>
  <c r="BG74" i="2" s="1"/>
  <c r="BG73" i="2" s="1"/>
  <c r="W74" i="2"/>
  <c r="W73" i="2" s="1"/>
  <c r="AK87" i="2"/>
  <c r="AK83" i="2" s="1"/>
  <c r="AY62" i="2"/>
  <c r="BG33" i="2"/>
  <c r="BC42" i="2"/>
  <c r="T17" i="4"/>
  <c r="AX548" i="2"/>
  <c r="AY8" i="2"/>
  <c r="W37" i="2"/>
  <c r="BG38" i="2"/>
  <c r="W57" i="2"/>
  <c r="BE46" i="1"/>
  <c r="BD46" i="1"/>
  <c r="W487" i="2"/>
  <c r="BG487" i="2" s="1"/>
  <c r="BF487" i="2"/>
  <c r="R141" i="1"/>
  <c r="W328" i="2"/>
  <c r="BG329" i="2"/>
  <c r="BG328" i="2" s="1"/>
  <c r="BG362" i="2"/>
  <c r="BG263" i="2"/>
  <c r="BG217" i="2"/>
  <c r="BC181" i="2"/>
  <c r="W226" i="2"/>
  <c r="BG227" i="2"/>
  <c r="BG174" i="2"/>
  <c r="K59" i="4"/>
  <c r="AF549" i="2"/>
  <c r="AG27" i="2"/>
  <c r="BG118" i="2"/>
  <c r="AG69" i="2"/>
  <c r="AG68" i="2" s="1"/>
  <c r="C7" i="7"/>
  <c r="D7" i="7" s="1"/>
  <c r="E7" i="7" s="1"/>
  <c r="P408" i="1"/>
  <c r="P409" i="1" s="1"/>
  <c r="U17" i="4"/>
  <c r="AZ548" i="2"/>
  <c r="BA8" i="2"/>
  <c r="BE378" i="1"/>
  <c r="BD378" i="1"/>
  <c r="BE313" i="1"/>
  <c r="BD313" i="1"/>
  <c r="BD237" i="1"/>
  <c r="BE237" i="1"/>
  <c r="BE58" i="1"/>
  <c r="BD58" i="1"/>
  <c r="AM6" i="1"/>
  <c r="L38" i="4"/>
  <c r="AI290" i="2"/>
  <c r="BE483" i="2"/>
  <c r="BG376" i="2"/>
  <c r="BG375" i="2" s="1"/>
  <c r="W375" i="2"/>
  <c r="BF526" i="2"/>
  <c r="W526" i="2"/>
  <c r="BG526" i="2" s="1"/>
  <c r="R180" i="1"/>
  <c r="W490" i="2"/>
  <c r="BG490" i="2" s="1"/>
  <c r="BF490" i="2"/>
  <c r="R144" i="1"/>
  <c r="W535" i="2"/>
  <c r="BG535" i="2" s="1"/>
  <c r="BF535" i="2"/>
  <c r="R200" i="1"/>
  <c r="BF511" i="2"/>
  <c r="W511" i="2"/>
  <c r="BG511" i="2" s="1"/>
  <c r="R165" i="1"/>
  <c r="AQ483" i="2"/>
  <c r="BG447" i="2"/>
  <c r="Y363" i="2"/>
  <c r="AA337" i="2"/>
  <c r="BE337" i="2"/>
  <c r="C79" i="4"/>
  <c r="U304" i="2"/>
  <c r="U306" i="2"/>
  <c r="BG240" i="2"/>
  <c r="AU211" i="2"/>
  <c r="U189" i="2"/>
  <c r="BG281" i="2"/>
  <c r="BG268" i="2"/>
  <c r="BG243" i="2"/>
  <c r="BE181" i="2"/>
  <c r="BG235" i="2"/>
  <c r="U59" i="4"/>
  <c r="AZ549" i="2"/>
  <c r="BA27" i="2"/>
  <c r="BG85" i="2"/>
  <c r="AM45" i="2"/>
  <c r="BG137" i="2"/>
  <c r="BG152" i="2"/>
  <c r="N1867" i="3"/>
  <c r="P1867" i="3" s="1"/>
  <c r="Q1867" i="3" s="1"/>
  <c r="V17" i="4"/>
  <c r="BB548" i="2"/>
  <c r="BC8" i="2"/>
  <c r="BC7" i="2" s="1"/>
  <c r="BG92" i="2"/>
  <c r="W91" i="2"/>
  <c r="W27" i="2"/>
  <c r="BG28" i="2"/>
  <c r="BE269" i="1"/>
  <c r="BD269" i="1"/>
  <c r="BE220" i="1"/>
  <c r="BD220" i="1"/>
  <c r="AK213" i="1"/>
  <c r="AT405" i="1"/>
  <c r="AT406" i="1"/>
  <c r="AL406" i="1"/>
  <c r="AL405" i="1"/>
  <c r="AC6" i="1"/>
  <c r="BF481" i="2"/>
  <c r="W481" i="2"/>
  <c r="BG481" i="2" s="1"/>
  <c r="R135" i="1"/>
  <c r="BG507" i="2"/>
  <c r="BF542" i="2"/>
  <c r="W542" i="2"/>
  <c r="R265" i="1"/>
  <c r="W513" i="2"/>
  <c r="BG513" i="2" s="1"/>
  <c r="BF513" i="2"/>
  <c r="R167" i="1"/>
  <c r="AI483" i="2"/>
  <c r="BG484" i="2"/>
  <c r="BG431" i="2"/>
  <c r="AM405" i="2"/>
  <c r="BG436" i="2"/>
  <c r="BG429" i="2"/>
  <c r="AS352" i="2"/>
  <c r="Y313" i="2"/>
  <c r="W335" i="2"/>
  <c r="BG336" i="2"/>
  <c r="BG335" i="2" s="1"/>
  <c r="BG389" i="2"/>
  <c r="BG276" i="2"/>
  <c r="N38" i="4"/>
  <c r="AM290" i="2"/>
  <c r="I80" i="4"/>
  <c r="AC304" i="2"/>
  <c r="BG382" i="2"/>
  <c r="T80" i="4"/>
  <c r="U211" i="2"/>
  <c r="M73" i="4"/>
  <c r="M77" i="4" s="1"/>
  <c r="G73" i="4"/>
  <c r="BG307" i="2"/>
  <c r="BG230" i="2"/>
  <c r="BG143" i="2"/>
  <c r="BG283" i="2"/>
  <c r="BG146" i="2"/>
  <c r="T59" i="4"/>
  <c r="AX549" i="2"/>
  <c r="AY27" i="2"/>
  <c r="BG58" i="2"/>
  <c r="BG89" i="2"/>
  <c r="BG22" i="2"/>
  <c r="BG21" i="2" s="1"/>
  <c r="W21" i="2"/>
  <c r="W17" i="4"/>
  <c r="BD548" i="2"/>
  <c r="BE8" i="2"/>
  <c r="BD310" i="1"/>
  <c r="BE310" i="1"/>
  <c r="BC276" i="1"/>
  <c r="BE132" i="1"/>
  <c r="AG6" i="1"/>
  <c r="BE81" i="1"/>
  <c r="BD81" i="1"/>
  <c r="AB403" i="1"/>
  <c r="AI405" i="2"/>
  <c r="BG486" i="2"/>
  <c r="BF521" i="2"/>
  <c r="W521" i="2"/>
  <c r="BG521" i="2" s="1"/>
  <c r="R175" i="1"/>
  <c r="AE313" i="2"/>
  <c r="J80" i="4"/>
  <c r="AE304" i="2"/>
  <c r="BG357" i="2"/>
  <c r="W38" i="4"/>
  <c r="AW130" i="2"/>
  <c r="BG219" i="2"/>
  <c r="BG210" i="2"/>
  <c r="BG209" i="2" s="1"/>
  <c r="T66" i="4"/>
  <c r="AY91" i="2"/>
  <c r="BG197" i="2"/>
  <c r="BG196" i="2" s="1"/>
  <c r="BG182" i="2"/>
  <c r="AQ57" i="2"/>
  <c r="AA101" i="2"/>
  <c r="S59" i="4"/>
  <c r="AV549" i="2"/>
  <c r="AW27" i="2"/>
  <c r="BG106" i="2"/>
  <c r="BG149" i="2"/>
  <c r="BG133" i="2"/>
  <c r="C111" i="4"/>
  <c r="T552" i="2"/>
  <c r="BC374" i="1"/>
  <c r="BD379" i="1"/>
  <c r="BE379" i="1"/>
  <c r="BG11" i="2"/>
  <c r="BG10" i="2" s="1"/>
  <c r="W10" i="2"/>
  <c r="BE108" i="1"/>
  <c r="BD108" i="1"/>
  <c r="BE25" i="1"/>
  <c r="BD25" i="1"/>
  <c r="W524" i="2"/>
  <c r="BG524" i="2" s="1"/>
  <c r="BF524" i="2"/>
  <c r="R178" i="1"/>
  <c r="BF516" i="2"/>
  <c r="W516" i="2"/>
  <c r="BG516" i="2" s="1"/>
  <c r="R170" i="1"/>
  <c r="BF527" i="2"/>
  <c r="W527" i="2"/>
  <c r="BG527" i="2" s="1"/>
  <c r="R181" i="1"/>
  <c r="BG520" i="2"/>
  <c r="BG445" i="2"/>
  <c r="AK356" i="2"/>
  <c r="AW405" i="2"/>
  <c r="AW356" i="2"/>
  <c r="AO313" i="2"/>
  <c r="BG426" i="2"/>
  <c r="K80" i="4"/>
  <c r="AG304" i="2"/>
  <c r="BC318" i="2"/>
  <c r="U172" i="2"/>
  <c r="AG130" i="2"/>
  <c r="BG154" i="2"/>
  <c r="J73" i="4"/>
  <c r="AG181" i="2"/>
  <c r="BA181" i="2"/>
  <c r="BG199" i="2"/>
  <c r="BG198" i="2" s="1"/>
  <c r="BG159" i="2"/>
  <c r="BG129" i="2"/>
  <c r="BG128" i="2" s="1"/>
  <c r="Y77" i="2"/>
  <c r="Y76" i="2" s="1"/>
  <c r="BG121" i="2"/>
  <c r="BG131" i="2"/>
  <c r="C100" i="4"/>
  <c r="T551" i="2"/>
  <c r="T550" i="2"/>
  <c r="BH543" i="2" s="1"/>
  <c r="BG34" i="2"/>
  <c r="BE344" i="1"/>
  <c r="BD344" i="1"/>
  <c r="BD296" i="1"/>
  <c r="BE259" i="1"/>
  <c r="BD259" i="1"/>
  <c r="BE89" i="1"/>
  <c r="BD89" i="1"/>
  <c r="BA6" i="1"/>
  <c r="W539" i="2"/>
  <c r="BG539" i="2" s="1"/>
  <c r="BF539" i="2"/>
  <c r="R209" i="1"/>
  <c r="BF496" i="2"/>
  <c r="W496" i="2"/>
  <c r="BG496" i="2" s="1"/>
  <c r="R150" i="1"/>
  <c r="BF489" i="2"/>
  <c r="W489" i="2"/>
  <c r="BG489" i="2" s="1"/>
  <c r="R143" i="1"/>
  <c r="W534" i="2"/>
  <c r="BG534" i="2" s="1"/>
  <c r="BF534" i="2"/>
  <c r="R198" i="1"/>
  <c r="BF510" i="2"/>
  <c r="W510" i="2"/>
  <c r="BG510" i="2" s="1"/>
  <c r="R164" i="1"/>
  <c r="BG414" i="2"/>
  <c r="BA346" i="2"/>
  <c r="Y405" i="2"/>
  <c r="AQ313" i="2"/>
  <c r="BG404" i="2"/>
  <c r="BG395" i="2"/>
  <c r="L80" i="4"/>
  <c r="AI304" i="2"/>
  <c r="AK298" i="2"/>
  <c r="BG272" i="2"/>
  <c r="BG218" i="2"/>
  <c r="AI211" i="2"/>
  <c r="BG238" i="2"/>
  <c r="AC211" i="2"/>
  <c r="AC318" i="2"/>
  <c r="P73" i="4"/>
  <c r="BG237" i="2"/>
  <c r="BG220" i="2"/>
  <c r="BG186" i="2"/>
  <c r="AS123" i="2"/>
  <c r="BG32" i="2"/>
  <c r="AK69" i="2"/>
  <c r="AK68" i="2" s="1"/>
  <c r="AC77" i="2"/>
  <c r="AC76" i="2" s="1"/>
  <c r="BG265" i="2"/>
  <c r="BE69" i="2"/>
  <c r="BE68" i="2" s="1"/>
  <c r="BC390" i="1"/>
  <c r="BC389" i="1" s="1"/>
  <c r="BE333" i="1"/>
  <c r="BD333" i="1"/>
  <c r="BD121" i="1"/>
  <c r="BE84" i="1"/>
  <c r="BD84" i="1"/>
  <c r="AZ405" i="1"/>
  <c r="AZ406" i="1"/>
  <c r="BC10" i="1"/>
  <c r="L45" i="4"/>
  <c r="AI373" i="2"/>
  <c r="W533" i="2"/>
  <c r="BF533" i="2"/>
  <c r="R194" i="1"/>
  <c r="W515" i="2"/>
  <c r="BG515" i="2" s="1"/>
  <c r="BF515" i="2"/>
  <c r="R169" i="1"/>
  <c r="BG519" i="2"/>
  <c r="BF531" i="2"/>
  <c r="W531" i="2"/>
  <c r="R187" i="1"/>
  <c r="I94" i="4"/>
  <c r="I98" i="4" s="1"/>
  <c r="AC545" i="2"/>
  <c r="AC544" i="2" s="1"/>
  <c r="AC543" i="2" s="1"/>
  <c r="BG467" i="2"/>
  <c r="BG400" i="2"/>
  <c r="BG509" i="2"/>
  <c r="BE405" i="2"/>
  <c r="BG416" i="2"/>
  <c r="BA405" i="2"/>
  <c r="AY363" i="2"/>
  <c r="AQ396" i="2"/>
  <c r="AS405" i="2"/>
  <c r="AG396" i="2"/>
  <c r="AC313" i="2"/>
  <c r="BG339" i="2"/>
  <c r="BG325" i="2"/>
  <c r="BG324" i="2" s="1"/>
  <c r="M80" i="4"/>
  <c r="AK304" i="2"/>
  <c r="Y306" i="2"/>
  <c r="U247" i="2"/>
  <c r="U80" i="4"/>
  <c r="BA304" i="2"/>
  <c r="AI226" i="2"/>
  <c r="J38" i="4"/>
  <c r="AE290" i="2"/>
  <c r="BG320" i="2"/>
  <c r="BG299" i="2"/>
  <c r="P31" i="4"/>
  <c r="O31" i="4"/>
  <c r="AO194" i="2"/>
  <c r="AO193" i="2" s="1"/>
  <c r="AK211" i="2"/>
  <c r="Y177" i="2"/>
  <c r="AE318" i="2"/>
  <c r="Q31" i="4"/>
  <c r="AS83" i="2"/>
  <c r="BG176" i="2"/>
  <c r="W194" i="2"/>
  <c r="BG195" i="2"/>
  <c r="BG194" i="2" s="1"/>
  <c r="AK123" i="2"/>
  <c r="AK91" i="2"/>
  <c r="BG63" i="2"/>
  <c r="W62" i="2"/>
  <c r="AS45" i="2"/>
  <c r="L59" i="4"/>
  <c r="AH549" i="2"/>
  <c r="AI27" i="2"/>
  <c r="AU30" i="2"/>
  <c r="BA69" i="2"/>
  <c r="BA68" i="2" s="1"/>
  <c r="C23" i="4"/>
  <c r="J28" i="4" s="1"/>
  <c r="F17" i="4"/>
  <c r="BG9" i="2"/>
  <c r="W8" i="2"/>
  <c r="BG110" i="2"/>
  <c r="BE400" i="1"/>
  <c r="BD400" i="1"/>
  <c r="BG35" i="2"/>
  <c r="BE315" i="1"/>
  <c r="BD315" i="1"/>
  <c r="BE321" i="1"/>
  <c r="BD321" i="1"/>
  <c r="BC215" i="1"/>
  <c r="BC214" i="1" s="1"/>
  <c r="S214" i="1"/>
  <c r="AY6" i="1"/>
  <c r="AE6" i="1"/>
  <c r="BC17" i="1" l="1"/>
  <c r="BC16" i="1" s="1"/>
  <c r="BE348" i="1"/>
  <c r="BE174" i="1"/>
  <c r="BD110" i="1"/>
  <c r="BB17" i="1"/>
  <c r="BE17" i="1" s="1"/>
  <c r="W247" i="2"/>
  <c r="BE26" i="2"/>
  <c r="BE83" i="2"/>
  <c r="BG191" i="2"/>
  <c r="BB10" i="1"/>
  <c r="BD10" i="1" s="1"/>
  <c r="BD195" i="1"/>
  <c r="BB304" i="1"/>
  <c r="AE7" i="2"/>
  <c r="W213" i="1"/>
  <c r="BG37" i="2"/>
  <c r="R98" i="4"/>
  <c r="BE50" i="1"/>
  <c r="BB308" i="1"/>
  <c r="BD308" i="1" s="1"/>
  <c r="BG183" i="2"/>
  <c r="BE267" i="1"/>
  <c r="BB382" i="1"/>
  <c r="BD382" i="1" s="1"/>
  <c r="S401" i="1"/>
  <c r="BC401" i="1" s="1"/>
  <c r="F59" i="4"/>
  <c r="F63" i="4" s="1"/>
  <c r="BG327" i="2"/>
  <c r="W282" i="2"/>
  <c r="BD324" i="1"/>
  <c r="BG81" i="2"/>
  <c r="BD226" i="1"/>
  <c r="BD30" i="1"/>
  <c r="BD346" i="1"/>
  <c r="P77" i="4"/>
  <c r="AQ83" i="2"/>
  <c r="AA193" i="2"/>
  <c r="BB250" i="1"/>
  <c r="BD327" i="1"/>
  <c r="J77" i="4"/>
  <c r="AU7" i="2"/>
  <c r="BG205" i="2"/>
  <c r="BG204" i="2" s="1"/>
  <c r="BG203" i="2" s="1"/>
  <c r="BB15" i="1"/>
  <c r="S15" i="1"/>
  <c r="BD218" i="1"/>
  <c r="BE233" i="1"/>
  <c r="W298" i="2"/>
  <c r="O77" i="4"/>
  <c r="BD276" i="1"/>
  <c r="W101" i="2"/>
  <c r="F31" i="4"/>
  <c r="F35" i="4" s="1"/>
  <c r="BE54" i="1"/>
  <c r="BE355" i="1"/>
  <c r="BD86" i="1"/>
  <c r="BD388" i="1"/>
  <c r="S22" i="1"/>
  <c r="BB196" i="1"/>
  <c r="W306" i="2"/>
  <c r="W303" i="2" s="1"/>
  <c r="W368" i="2"/>
  <c r="BD91" i="1"/>
  <c r="M70" i="4"/>
  <c r="BG302" i="2"/>
  <c r="R63" i="4"/>
  <c r="AI7" i="2"/>
  <c r="F38" i="4"/>
  <c r="Y38" i="4" s="1"/>
  <c r="Z38" i="4" s="1"/>
  <c r="BG115" i="2"/>
  <c r="AG332" i="2"/>
  <c r="AG326" i="2" s="1"/>
  <c r="BE153" i="1"/>
  <c r="AK206" i="2"/>
  <c r="AK192" i="2" s="1"/>
  <c r="BC303" i="2"/>
  <c r="N77" i="4"/>
  <c r="G77" i="4"/>
  <c r="R72" i="4"/>
  <c r="T77" i="4"/>
  <c r="L77" i="4"/>
  <c r="G72" i="4"/>
  <c r="AK7" i="2"/>
  <c r="P72" i="4"/>
  <c r="T72" i="4"/>
  <c r="J72" i="4"/>
  <c r="S364" i="1"/>
  <c r="BC364" i="1" s="1"/>
  <c r="BB364" i="1"/>
  <c r="S309" i="1"/>
  <c r="BC309" i="1" s="1"/>
  <c r="BB309" i="1"/>
  <c r="BB283" i="1"/>
  <c r="S283" i="1"/>
  <c r="BC283" i="1" s="1"/>
  <c r="BD289" i="1"/>
  <c r="BE289" i="1"/>
  <c r="BE247" i="1"/>
  <c r="BD216" i="1"/>
  <c r="BD55" i="1"/>
  <c r="BE173" i="1"/>
  <c r="BB343" i="1"/>
  <c r="BE343" i="1" s="1"/>
  <c r="BD17" i="1"/>
  <c r="BD92" i="1"/>
  <c r="BE332" i="1"/>
  <c r="Q72" i="4"/>
  <c r="S337" i="1"/>
  <c r="BC337" i="1" s="1"/>
  <c r="BB337" i="1"/>
  <c r="W123" i="2"/>
  <c r="M72" i="4"/>
  <c r="G24" i="5"/>
  <c r="I24" i="5"/>
  <c r="W352" i="2"/>
  <c r="BE334" i="1"/>
  <c r="BD334" i="1"/>
  <c r="AA206" i="2"/>
  <c r="P35" i="4"/>
  <c r="BG84" i="2"/>
  <c r="U72" i="4"/>
  <c r="I72" i="4"/>
  <c r="K72" i="4"/>
  <c r="AY83" i="2"/>
  <c r="AC7" i="2"/>
  <c r="AH408" i="1"/>
  <c r="AH409" i="1" s="1"/>
  <c r="AK332" i="2"/>
  <c r="AK326" i="2" s="1"/>
  <c r="AW303" i="2"/>
  <c r="AW288" i="2" s="1"/>
  <c r="U77" i="4"/>
  <c r="S197" i="1"/>
  <c r="BC197" i="1" s="1"/>
  <c r="BB197" i="1"/>
  <c r="AE83" i="2"/>
  <c r="BB256" i="1"/>
  <c r="BD256" i="1" s="1"/>
  <c r="BD238" i="1"/>
  <c r="S249" i="1"/>
  <c r="BC249" i="1" s="1"/>
  <c r="BB249" i="1"/>
  <c r="BE52" i="1"/>
  <c r="BD52" i="1"/>
  <c r="S8" i="1"/>
  <c r="BB8" i="1"/>
  <c r="BD97" i="1"/>
  <c r="S248" i="1"/>
  <c r="BC248" i="1" s="1"/>
  <c r="BB248" i="1"/>
  <c r="BD336" i="1"/>
  <c r="BE336" i="1"/>
  <c r="AG206" i="2"/>
  <c r="W337" i="2"/>
  <c r="S366" i="1"/>
  <c r="BC366" i="1" s="1"/>
  <c r="BB366" i="1"/>
  <c r="AU332" i="2"/>
  <c r="S231" i="1"/>
  <c r="BC231" i="1" s="1"/>
  <c r="BB231" i="1"/>
  <c r="L49" i="4"/>
  <c r="H77" i="4"/>
  <c r="S349" i="1"/>
  <c r="BC349" i="1" s="1"/>
  <c r="BB349" i="1"/>
  <c r="BB370" i="1"/>
  <c r="S370" i="1"/>
  <c r="BC370" i="1" s="1"/>
  <c r="O35" i="4"/>
  <c r="AN408" i="1"/>
  <c r="AM332" i="2"/>
  <c r="AM326" i="2" s="1"/>
  <c r="BG364" i="2"/>
  <c r="BG363" i="2" s="1"/>
  <c r="S341" i="1"/>
  <c r="BC341" i="1" s="1"/>
  <c r="BB341" i="1"/>
  <c r="R77" i="4"/>
  <c r="AJ408" i="1"/>
  <c r="AJ409" i="1" s="1"/>
  <c r="S229" i="1"/>
  <c r="BC229" i="1" s="1"/>
  <c r="BB229" i="1"/>
  <c r="S263" i="1"/>
  <c r="BB263" i="1"/>
  <c r="BB294" i="1"/>
  <c r="S294" i="1"/>
  <c r="BC294" i="1" s="1"/>
  <c r="J42" i="4"/>
  <c r="S342" i="1"/>
  <c r="BC342" i="1" s="1"/>
  <c r="BB342" i="1"/>
  <c r="BG62" i="2"/>
  <c r="AY303" i="2"/>
  <c r="H72" i="4"/>
  <c r="O91" i="4"/>
  <c r="Y213" i="1"/>
  <c r="BB320" i="1"/>
  <c r="S320" i="1"/>
  <c r="BC320" i="1" s="1"/>
  <c r="W233" i="2"/>
  <c r="W206" i="2" s="1"/>
  <c r="BG334" i="2"/>
  <c r="BG333" i="2" s="1"/>
  <c r="S230" i="1"/>
  <c r="BC230" i="1" s="1"/>
  <c r="BB230" i="1"/>
  <c r="AA332" i="2"/>
  <c r="AA326" i="2" s="1"/>
  <c r="BG16" i="2"/>
  <c r="AM7" i="2"/>
  <c r="AK303" i="2"/>
  <c r="S380" i="1"/>
  <c r="BC380" i="1" s="1"/>
  <c r="BB380" i="1"/>
  <c r="BG23" i="2"/>
  <c r="V35" i="4"/>
  <c r="S306" i="1"/>
  <c r="BC306" i="1" s="1"/>
  <c r="BB306" i="1"/>
  <c r="BB293" i="1"/>
  <c r="S293" i="1"/>
  <c r="BC293" i="1" s="1"/>
  <c r="BG98" i="2"/>
  <c r="BD90" i="1"/>
  <c r="BE90" i="1"/>
  <c r="AY332" i="2"/>
  <c r="AY326" i="2" s="1"/>
  <c r="AY7" i="2"/>
  <c r="S371" i="1"/>
  <c r="BB371" i="1"/>
  <c r="BE329" i="1"/>
  <c r="BD329" i="1"/>
  <c r="AA303" i="2"/>
  <c r="W77" i="4"/>
  <c r="W327" i="2"/>
  <c r="S376" i="1"/>
  <c r="BB376" i="1"/>
  <c r="Q77" i="4"/>
  <c r="V77" i="4"/>
  <c r="BB299" i="1"/>
  <c r="S299" i="1"/>
  <c r="BC299" i="1" s="1"/>
  <c r="BA7" i="2"/>
  <c r="S77" i="4"/>
  <c r="N72" i="4"/>
  <c r="BD13" i="1"/>
  <c r="BE13" i="1"/>
  <c r="AY206" i="2"/>
  <c r="AY192" i="2" s="1"/>
  <c r="AI332" i="2"/>
  <c r="AI326" i="2" s="1"/>
  <c r="S254" i="1"/>
  <c r="BC254" i="1" s="1"/>
  <c r="BB254" i="1"/>
  <c r="S261" i="1"/>
  <c r="BC261" i="1" s="1"/>
  <c r="BB261" i="1"/>
  <c r="BC332" i="2"/>
  <c r="BC326" i="2" s="1"/>
  <c r="BG368" i="2"/>
  <c r="S72" i="4"/>
  <c r="S297" i="1"/>
  <c r="BC297" i="1" s="1"/>
  <c r="BB297" i="1"/>
  <c r="BD38" i="1"/>
  <c r="Y6" i="1"/>
  <c r="K77" i="4"/>
  <c r="L72" i="4"/>
  <c r="S331" i="1"/>
  <c r="BC331" i="1" s="1"/>
  <c r="BB331" i="1"/>
  <c r="AE289" i="2"/>
  <c r="AE288" i="2" s="1"/>
  <c r="S322" i="1"/>
  <c r="BC322" i="1" s="1"/>
  <c r="BB322" i="1"/>
  <c r="S354" i="1"/>
  <c r="BB354" i="1"/>
  <c r="BD69" i="1"/>
  <c r="BE112" i="1"/>
  <c r="BD112" i="1"/>
  <c r="AA372" i="2"/>
  <c r="AA371" i="2" s="1"/>
  <c r="AS289" i="2"/>
  <c r="U7" i="2"/>
  <c r="BG189" i="2"/>
  <c r="O72" i="4"/>
  <c r="BE359" i="1"/>
  <c r="BD359" i="1"/>
  <c r="BB316" i="1"/>
  <c r="S316" i="1"/>
  <c r="BC316" i="1" s="1"/>
  <c r="BB301" i="1"/>
  <c r="S301" i="1"/>
  <c r="BC301" i="1" s="1"/>
  <c r="BA332" i="2"/>
  <c r="BA326" i="2" s="1"/>
  <c r="AG303" i="2"/>
  <c r="AM303" i="2"/>
  <c r="AT408" i="1"/>
  <c r="AT409" i="1" s="1"/>
  <c r="AW332" i="2"/>
  <c r="AW326" i="2" s="1"/>
  <c r="BA26" i="2"/>
  <c r="S402" i="1"/>
  <c r="BC402" i="1" s="1"/>
  <c r="BB402" i="1"/>
  <c r="BE115" i="1"/>
  <c r="BD115" i="1"/>
  <c r="W396" i="2"/>
  <c r="S242" i="1"/>
  <c r="BC242" i="1" s="1"/>
  <c r="BB242" i="1"/>
  <c r="AD405" i="1"/>
  <c r="BE183" i="1"/>
  <c r="I77" i="4"/>
  <c r="S94" i="1"/>
  <c r="BC94" i="1" s="1"/>
  <c r="BB94" i="1"/>
  <c r="S290" i="1"/>
  <c r="BC290" i="1" s="1"/>
  <c r="BB290" i="1"/>
  <c r="S258" i="1"/>
  <c r="BC258" i="1" s="1"/>
  <c r="BB258" i="1"/>
  <c r="S100" i="1"/>
  <c r="BC100" i="1" s="1"/>
  <c r="BB100" i="1"/>
  <c r="S292" i="1"/>
  <c r="BC292" i="1" s="1"/>
  <c r="BB292" i="1"/>
  <c r="BA303" i="2"/>
  <c r="F66" i="4"/>
  <c r="F70" i="4" s="1"/>
  <c r="S29" i="1"/>
  <c r="BC29" i="1" s="1"/>
  <c r="BB29" i="1"/>
  <c r="AQ7" i="2"/>
  <c r="AP408" i="1"/>
  <c r="AP409" i="1" s="1"/>
  <c r="AP410" i="1" s="1"/>
  <c r="W91" i="4"/>
  <c r="BE382" i="1"/>
  <c r="AU90" i="2"/>
  <c r="AU82" i="2" s="1"/>
  <c r="AI303" i="2"/>
  <c r="AQ332" i="2"/>
  <c r="AQ326" i="2" s="1"/>
  <c r="W377" i="2"/>
  <c r="F73" i="4"/>
  <c r="F77" i="4" s="1"/>
  <c r="S305" i="1"/>
  <c r="BC305" i="1" s="1"/>
  <c r="BB305" i="1"/>
  <c r="BE28" i="1"/>
  <c r="BD28" i="1"/>
  <c r="BD318" i="1"/>
  <c r="BE318" i="1"/>
  <c r="BE27" i="1"/>
  <c r="BD27" i="1"/>
  <c r="S291" i="1"/>
  <c r="BC291" i="1" s="1"/>
  <c r="BB291" i="1"/>
  <c r="S300" i="1"/>
  <c r="BC300" i="1" s="1"/>
  <c r="BB300" i="1"/>
  <c r="S252" i="1"/>
  <c r="BC252" i="1" s="1"/>
  <c r="BB252" i="1"/>
  <c r="S70" i="4"/>
  <c r="S328" i="1"/>
  <c r="BC328" i="1" s="1"/>
  <c r="BB328" i="1"/>
  <c r="AS372" i="2"/>
  <c r="AS371" i="2" s="1"/>
  <c r="BB109" i="1"/>
  <c r="S109" i="1"/>
  <c r="BC109" i="1" s="1"/>
  <c r="S340" i="1"/>
  <c r="BB340" i="1"/>
  <c r="U213" i="1"/>
  <c r="S77" i="1"/>
  <c r="BC77" i="1" s="1"/>
  <c r="BB77" i="1"/>
  <c r="BB36" i="1"/>
  <c r="S36" i="1"/>
  <c r="BC36" i="1" s="1"/>
  <c r="S68" i="1"/>
  <c r="BC68" i="1" s="1"/>
  <c r="BB68" i="1"/>
  <c r="S260" i="1"/>
  <c r="BB260" i="1"/>
  <c r="S363" i="1"/>
  <c r="BB363" i="1"/>
  <c r="S295" i="1"/>
  <c r="BC295" i="1" s="1"/>
  <c r="BB295" i="1"/>
  <c r="S286" i="1"/>
  <c r="BC286" i="1" s="1"/>
  <c r="BB286" i="1"/>
  <c r="S140" i="1"/>
  <c r="BC140" i="1" s="1"/>
  <c r="BB140" i="1"/>
  <c r="BG168" i="2"/>
  <c r="BG130" i="2" s="1"/>
  <c r="S241" i="1"/>
  <c r="BC241" i="1" s="1"/>
  <c r="BB241" i="1"/>
  <c r="S323" i="1"/>
  <c r="BC323" i="1" s="1"/>
  <c r="BB323" i="1"/>
  <c r="BD383" i="1"/>
  <c r="BB41" i="1"/>
  <c r="S41" i="1"/>
  <c r="BC41" i="1" s="1"/>
  <c r="S384" i="1"/>
  <c r="BC384" i="1" s="1"/>
  <c r="BB384" i="1"/>
  <c r="BA206" i="2"/>
  <c r="BA192" i="2" s="1"/>
  <c r="S107" i="1"/>
  <c r="BC107" i="1" s="1"/>
  <c r="BB107" i="1"/>
  <c r="AI206" i="2"/>
  <c r="AI192" i="2" s="1"/>
  <c r="AA83" i="2"/>
  <c r="BE10" i="1"/>
  <c r="BE47" i="1"/>
  <c r="BD47" i="1"/>
  <c r="W6" i="1"/>
  <c r="S199" i="1"/>
  <c r="BC199" i="1" s="1"/>
  <c r="BB199" i="1"/>
  <c r="BE287" i="1"/>
  <c r="BD287" i="1"/>
  <c r="BC289" i="2"/>
  <c r="W130" i="2"/>
  <c r="P49" i="4"/>
  <c r="U35" i="4"/>
  <c r="AV408" i="1"/>
  <c r="AV409" i="1" s="1"/>
  <c r="AV410" i="1" s="1"/>
  <c r="AV411" i="1" s="1"/>
  <c r="S189" i="1"/>
  <c r="BC189" i="1" s="1"/>
  <c r="BB189" i="1"/>
  <c r="S117" i="1"/>
  <c r="BC117" i="1" s="1"/>
  <c r="BB117" i="1"/>
  <c r="Y206" i="2"/>
  <c r="Y192" i="2" s="1"/>
  <c r="S298" i="1"/>
  <c r="BC298" i="1" s="1"/>
  <c r="BB298" i="1"/>
  <c r="AE332" i="2"/>
  <c r="AE326" i="2" s="1"/>
  <c r="S368" i="1"/>
  <c r="BC368" i="1" s="1"/>
  <c r="BB368" i="1"/>
  <c r="S302" i="1"/>
  <c r="BC302" i="1" s="1"/>
  <c r="BB302" i="1"/>
  <c r="BB367" i="1"/>
  <c r="S367" i="1"/>
  <c r="BC367" i="1" s="1"/>
  <c r="BE325" i="1"/>
  <c r="BD325" i="1"/>
  <c r="S35" i="1"/>
  <c r="BC35" i="1" s="1"/>
  <c r="BB35" i="1"/>
  <c r="S285" i="1"/>
  <c r="BC285" i="1" s="1"/>
  <c r="BB285" i="1"/>
  <c r="Q35" i="4"/>
  <c r="AO289" i="2"/>
  <c r="AU303" i="2"/>
  <c r="BE206" i="2"/>
  <c r="BE192" i="2" s="1"/>
  <c r="BG306" i="2"/>
  <c r="BG91" i="2"/>
  <c r="BG172" i="2"/>
  <c r="BE142" i="1"/>
  <c r="BG69" i="2"/>
  <c r="BG68" i="2" s="1"/>
  <c r="S91" i="4"/>
  <c r="G49" i="4"/>
  <c r="U206" i="2"/>
  <c r="U192" i="2" s="1"/>
  <c r="BH192" i="2" s="1"/>
  <c r="AI289" i="2"/>
  <c r="BE7" i="2"/>
  <c r="BE6" i="2" s="1"/>
  <c r="AO332" i="2"/>
  <c r="AO326" i="2" s="1"/>
  <c r="BE303" i="2"/>
  <c r="BE288" i="2" s="1"/>
  <c r="AR408" i="1"/>
  <c r="AR409" i="1" s="1"/>
  <c r="AR410" i="1" s="1"/>
  <c r="AR411" i="1" s="1"/>
  <c r="N91" i="4"/>
  <c r="AE303" i="2"/>
  <c r="AL408" i="1"/>
  <c r="AL409" i="1" s="1"/>
  <c r="BD163" i="1"/>
  <c r="S246" i="1"/>
  <c r="BC246" i="1" s="1"/>
  <c r="BB246" i="1"/>
  <c r="BE106" i="1"/>
  <c r="BD106" i="1"/>
  <c r="S227" i="1"/>
  <c r="BB227" i="1"/>
  <c r="S51" i="1"/>
  <c r="BC51" i="1" s="1"/>
  <c r="BB51" i="1"/>
  <c r="S11" i="1"/>
  <c r="BB11" i="1"/>
  <c r="S71" i="1"/>
  <c r="BC71" i="1" s="1"/>
  <c r="BB71" i="1"/>
  <c r="BE201" i="1"/>
  <c r="BD201" i="1"/>
  <c r="S240" i="1"/>
  <c r="BC240" i="1" s="1"/>
  <c r="BB240" i="1"/>
  <c r="AC332" i="2"/>
  <c r="AC326" i="2" s="1"/>
  <c r="S288" i="1"/>
  <c r="BC288" i="1" s="1"/>
  <c r="BB288" i="1"/>
  <c r="BB350" i="1"/>
  <c r="S350" i="1"/>
  <c r="S235" i="1"/>
  <c r="BB235" i="1"/>
  <c r="AQ372" i="2"/>
  <c r="AQ371" i="2" s="1"/>
  <c r="S351" i="1"/>
  <c r="BC351" i="1" s="1"/>
  <c r="BB351" i="1"/>
  <c r="BE307" i="1"/>
  <c r="BD307" i="1"/>
  <c r="AS206" i="2"/>
  <c r="AS192" i="2" s="1"/>
  <c r="S49" i="1"/>
  <c r="BC49" i="1" s="1"/>
  <c r="BB49" i="1"/>
  <c r="AZ408" i="1"/>
  <c r="AZ409" i="1" s="1"/>
  <c r="AS332" i="2"/>
  <c r="AS326" i="2" s="1"/>
  <c r="H49" i="4"/>
  <c r="R35" i="4"/>
  <c r="V72" i="4"/>
  <c r="R52" i="4"/>
  <c r="R112" i="4" s="1"/>
  <c r="W72" i="4"/>
  <c r="S239" i="1"/>
  <c r="BC239" i="1" s="1"/>
  <c r="BB239" i="1"/>
  <c r="AC372" i="2"/>
  <c r="AC371" i="2" s="1"/>
  <c r="AG289" i="2"/>
  <c r="Y26" i="2"/>
  <c r="BB78" i="1"/>
  <c r="S78" i="1"/>
  <c r="BC78" i="1" s="1"/>
  <c r="P91" i="4"/>
  <c r="S330" i="1"/>
  <c r="BC330" i="1" s="1"/>
  <c r="BB330" i="1"/>
  <c r="S253" i="1"/>
  <c r="BC253" i="1" s="1"/>
  <c r="BB253" i="1"/>
  <c r="BB148" i="1"/>
  <c r="S148" i="1"/>
  <c r="BC148" i="1" s="1"/>
  <c r="S282" i="1"/>
  <c r="BC282" i="1" s="1"/>
  <c r="BB282" i="1"/>
  <c r="AU206" i="2"/>
  <c r="AU192" i="2" s="1"/>
  <c r="AY90" i="2"/>
  <c r="AY82" i="2" s="1"/>
  <c r="W26" i="2"/>
  <c r="S146" i="1"/>
  <c r="BC146" i="1" s="1"/>
  <c r="BB146" i="1"/>
  <c r="S67" i="1"/>
  <c r="BC67" i="1" s="1"/>
  <c r="BB67" i="1"/>
  <c r="S236" i="1"/>
  <c r="BC236" i="1" s="1"/>
  <c r="BB236" i="1"/>
  <c r="S244" i="1"/>
  <c r="BC244" i="1" s="1"/>
  <c r="BB244" i="1"/>
  <c r="Y332" i="2"/>
  <c r="Y326" i="2" s="1"/>
  <c r="S266" i="1"/>
  <c r="BC266" i="1" s="1"/>
  <c r="BB266" i="1"/>
  <c r="BE139" i="1"/>
  <c r="BD139" i="1"/>
  <c r="BE138" i="1"/>
  <c r="M42" i="4"/>
  <c r="AO372" i="2"/>
  <c r="AO371" i="2" s="1"/>
  <c r="AR415" i="1"/>
  <c r="AN413" i="1"/>
  <c r="AN415" i="1" s="1"/>
  <c r="S85" i="1"/>
  <c r="BC85" i="1" s="1"/>
  <c r="BB85" i="1"/>
  <c r="S96" i="1"/>
  <c r="BC96" i="1" s="1"/>
  <c r="BB96" i="1"/>
  <c r="J91" i="4"/>
  <c r="BC206" i="2"/>
  <c r="BC192" i="2" s="1"/>
  <c r="AB552" i="2"/>
  <c r="AB559" i="2" s="1"/>
  <c r="I141" i="4" s="1"/>
  <c r="F80" i="4"/>
  <c r="F84" i="4" s="1"/>
  <c r="S33" i="1"/>
  <c r="BB33" i="1"/>
  <c r="BG385" i="2"/>
  <c r="BG377" i="2" s="1"/>
  <c r="L91" i="4"/>
  <c r="BE120" i="1"/>
  <c r="BD120" i="1"/>
  <c r="BE136" i="1"/>
  <c r="BD136" i="1"/>
  <c r="Y372" i="2"/>
  <c r="Y371" i="2" s="1"/>
  <c r="U91" i="4"/>
  <c r="S74" i="1"/>
  <c r="BC74" i="1" s="1"/>
  <c r="BB74" i="1"/>
  <c r="AV413" i="1"/>
  <c r="AV415" i="1" s="1"/>
  <c r="BB64" i="1"/>
  <c r="S64" i="1"/>
  <c r="BC64" i="1" s="1"/>
  <c r="BB95" i="1"/>
  <c r="S95" i="1"/>
  <c r="BC95" i="1" s="1"/>
  <c r="BB124" i="1"/>
  <c r="S124" i="1"/>
  <c r="BC124" i="1" s="1"/>
  <c r="AX415" i="1"/>
  <c r="BC90" i="2"/>
  <c r="BC82" i="2" s="1"/>
  <c r="AD552" i="2"/>
  <c r="AD559" i="2" s="1"/>
  <c r="J141" i="4" s="1"/>
  <c r="W42" i="4"/>
  <c r="AN552" i="2"/>
  <c r="AN559" i="2" s="1"/>
  <c r="O141" i="4" s="1"/>
  <c r="X407" i="1"/>
  <c r="X414" i="1" s="1"/>
  <c r="U332" i="2"/>
  <c r="U326" i="2" s="1"/>
  <c r="BH326" i="2" s="1"/>
  <c r="BE116" i="1"/>
  <c r="BD116" i="1"/>
  <c r="X413" i="1"/>
  <c r="BE39" i="1"/>
  <c r="BD39" i="1"/>
  <c r="BG356" i="2"/>
  <c r="S134" i="1"/>
  <c r="BC134" i="1" s="1"/>
  <c r="BB134" i="1"/>
  <c r="AP413" i="1"/>
  <c r="AP415" i="1" s="1"/>
  <c r="BG352" i="2"/>
  <c r="S149" i="1"/>
  <c r="BC149" i="1" s="1"/>
  <c r="BB149" i="1"/>
  <c r="BB88" i="1"/>
  <c r="S88" i="1"/>
  <c r="BC88" i="1" s="1"/>
  <c r="BE114" i="1"/>
  <c r="BD114" i="1"/>
  <c r="T407" i="1"/>
  <c r="T414" i="1" s="1"/>
  <c r="AK26" i="2"/>
  <c r="AK6" i="2" s="1"/>
  <c r="BB160" i="1"/>
  <c r="S160" i="1"/>
  <c r="BC160" i="1" s="1"/>
  <c r="Z552" i="2"/>
  <c r="Z559" i="2" s="1"/>
  <c r="H141" i="4" s="1"/>
  <c r="L28" i="4"/>
  <c r="BD552" i="2"/>
  <c r="BD559" i="2" s="1"/>
  <c r="W141" i="4" s="1"/>
  <c r="AJ552" i="2"/>
  <c r="AJ559" i="2" s="1"/>
  <c r="M141" i="4" s="1"/>
  <c r="BG405" i="2"/>
  <c r="R91" i="4"/>
  <c r="S60" i="1"/>
  <c r="BC60" i="1" s="1"/>
  <c r="BB60" i="1"/>
  <c r="BG30" i="2"/>
  <c r="AP552" i="2"/>
  <c r="AP559" i="2" s="1"/>
  <c r="P141" i="4" s="1"/>
  <c r="BE118" i="1"/>
  <c r="BD118" i="1"/>
  <c r="S105" i="1"/>
  <c r="BC105" i="1" s="1"/>
  <c r="BB105" i="1"/>
  <c r="S66" i="1"/>
  <c r="BC66" i="1" s="1"/>
  <c r="BB66" i="1"/>
  <c r="M91" i="4"/>
  <c r="BE311" i="1"/>
  <c r="BD311" i="1"/>
  <c r="S278" i="1"/>
  <c r="BC278" i="1" s="1"/>
  <c r="BB278" i="1"/>
  <c r="BE401" i="1"/>
  <c r="BD401" i="1"/>
  <c r="N42" i="4"/>
  <c r="U303" i="2"/>
  <c r="U288" i="2" s="1"/>
  <c r="BH288" i="2" s="1"/>
  <c r="AT413" i="1"/>
  <c r="AT415" i="1" s="1"/>
  <c r="S223" i="1"/>
  <c r="BB223" i="1"/>
  <c r="BE130" i="1"/>
  <c r="BD130" i="1"/>
  <c r="H35" i="4"/>
  <c r="BB280" i="1"/>
  <c r="S280" i="1"/>
  <c r="BC280" i="1" s="1"/>
  <c r="BB103" i="1"/>
  <c r="S103" i="1"/>
  <c r="BC103" i="1" s="1"/>
  <c r="V407" i="1"/>
  <c r="V414" i="1" s="1"/>
  <c r="AF552" i="2"/>
  <c r="AF559" i="2" s="1"/>
  <c r="K141" i="4" s="1"/>
  <c r="S42" i="4"/>
  <c r="W49" i="4"/>
  <c r="AC90" i="2"/>
  <c r="AC82" i="2" s="1"/>
  <c r="BG247" i="2"/>
  <c r="BB63" i="1"/>
  <c r="S63" i="1"/>
  <c r="BC63" i="1" s="1"/>
  <c r="BB53" i="1"/>
  <c r="S53" i="1"/>
  <c r="W356" i="2"/>
  <c r="BG101" i="2"/>
  <c r="N49" i="4"/>
  <c r="AF407" i="1"/>
  <c r="AF414" i="1" s="1"/>
  <c r="AF415" i="1" s="1"/>
  <c r="AQ206" i="2"/>
  <c r="AQ192" i="2" s="1"/>
  <c r="V406" i="1"/>
  <c r="V413" i="1" s="1"/>
  <c r="AB407" i="1"/>
  <c r="AB414" i="1" s="1"/>
  <c r="BD270" i="1"/>
  <c r="BE270" i="1"/>
  <c r="BB61" i="1"/>
  <c r="S61" i="1"/>
  <c r="BC61" i="1" s="1"/>
  <c r="BB552" i="2"/>
  <c r="BB559" i="2" s="1"/>
  <c r="V141" i="4" s="1"/>
  <c r="BB102" i="1"/>
  <c r="S102" i="1"/>
  <c r="BC102" i="1" s="1"/>
  <c r="V86" i="4"/>
  <c r="S86" i="4"/>
  <c r="R86" i="4"/>
  <c r="Q86" i="4"/>
  <c r="W86" i="4"/>
  <c r="P86" i="4"/>
  <c r="O86" i="4"/>
  <c r="N86" i="4"/>
  <c r="M86" i="4"/>
  <c r="K86" i="4"/>
  <c r="I86" i="4"/>
  <c r="H86" i="4"/>
  <c r="T86" i="4"/>
  <c r="F86" i="4"/>
  <c r="G86" i="4"/>
  <c r="J86" i="4"/>
  <c r="L86" i="4"/>
  <c r="U86" i="4"/>
  <c r="T91" i="4"/>
  <c r="BB128" i="1"/>
  <c r="S128" i="1"/>
  <c r="BC128" i="1" s="1"/>
  <c r="S162" i="1"/>
  <c r="BC162" i="1" s="1"/>
  <c r="BB162" i="1"/>
  <c r="AM289" i="2"/>
  <c r="L42" i="4"/>
  <c r="M84" i="4"/>
  <c r="K84" i="4"/>
  <c r="O28" i="4"/>
  <c r="I28" i="4"/>
  <c r="X552" i="2"/>
  <c r="X559" i="2" s="1"/>
  <c r="G141" i="4" s="1"/>
  <c r="W193" i="2"/>
  <c r="AW26" i="2"/>
  <c r="AW6" i="2" s="1"/>
  <c r="AY26" i="2"/>
  <c r="K35" i="4"/>
  <c r="AW206" i="2"/>
  <c r="AW192" i="2" s="1"/>
  <c r="AT552" i="2"/>
  <c r="AT559" i="2" s="1"/>
  <c r="R141" i="4" s="1"/>
  <c r="AK90" i="2"/>
  <c r="AK82" i="2" s="1"/>
  <c r="AX552" i="2"/>
  <c r="AX559" i="2" s="1"/>
  <c r="T141" i="4" s="1"/>
  <c r="BG123" i="2"/>
  <c r="AD408" i="1"/>
  <c r="S385" i="1"/>
  <c r="BB385" i="1"/>
  <c r="AD413" i="1"/>
  <c r="AD415" i="1" s="1"/>
  <c r="I91" i="4"/>
  <c r="AL552" i="2"/>
  <c r="AV552" i="2"/>
  <c r="AV559" i="2" s="1"/>
  <c r="S141" i="4" s="1"/>
  <c r="L35" i="4"/>
  <c r="U6" i="1"/>
  <c r="S73" i="1"/>
  <c r="BC73" i="1" s="1"/>
  <c r="BB73" i="1"/>
  <c r="S42" i="1"/>
  <c r="BC42" i="1" s="1"/>
  <c r="BB42" i="1"/>
  <c r="AC206" i="2"/>
  <c r="AC192" i="2" s="1"/>
  <c r="AA90" i="2"/>
  <c r="AE372" i="2"/>
  <c r="AE371" i="2" s="1"/>
  <c r="BG177" i="2"/>
  <c r="BA372" i="2"/>
  <c r="BA371" i="2" s="1"/>
  <c r="V91" i="4"/>
  <c r="I42" i="4"/>
  <c r="AE206" i="2"/>
  <c r="AE192" i="2" s="1"/>
  <c r="AY289" i="2"/>
  <c r="AY288" i="2" s="1"/>
  <c r="AX408" i="1"/>
  <c r="AX409" i="1" s="1"/>
  <c r="AJ413" i="1"/>
  <c r="AJ415" i="1" s="1"/>
  <c r="AS26" i="2"/>
  <c r="T35" i="4"/>
  <c r="AZ413" i="1"/>
  <c r="AZ415" i="1" s="1"/>
  <c r="S76" i="1"/>
  <c r="BC76" i="1" s="1"/>
  <c r="BB76" i="1"/>
  <c r="AR552" i="2"/>
  <c r="AR559" i="2" s="1"/>
  <c r="Q141" i="4" s="1"/>
  <c r="S62" i="1"/>
  <c r="BC62" i="1" s="1"/>
  <c r="BB62" i="1"/>
  <c r="AU26" i="2"/>
  <c r="AH552" i="2"/>
  <c r="AH559" i="2" s="1"/>
  <c r="L141" i="4" s="1"/>
  <c r="BC372" i="2"/>
  <c r="BC371" i="2" s="1"/>
  <c r="BE90" i="2"/>
  <c r="BE82" i="2" s="1"/>
  <c r="S312" i="1"/>
  <c r="BB312" i="1"/>
  <c r="S70" i="1"/>
  <c r="BC70" i="1" s="1"/>
  <c r="BB70" i="1"/>
  <c r="Q91" i="4"/>
  <c r="S129" i="1"/>
  <c r="BC129" i="1" s="1"/>
  <c r="BB129" i="1"/>
  <c r="BG181" i="2"/>
  <c r="W483" i="2"/>
  <c r="AZ552" i="2"/>
  <c r="AZ559" i="2" s="1"/>
  <c r="U141" i="4" s="1"/>
  <c r="AQ26" i="2"/>
  <c r="Z407" i="1"/>
  <c r="Z414" i="1" s="1"/>
  <c r="BG396" i="2"/>
  <c r="Y90" i="2"/>
  <c r="Y82" i="2" s="1"/>
  <c r="AO206" i="2"/>
  <c r="AO192" i="2" s="1"/>
  <c r="AM206" i="2"/>
  <c r="AM192" i="2" s="1"/>
  <c r="AL413" i="1"/>
  <c r="AL415" i="1" s="1"/>
  <c r="H91" i="4"/>
  <c r="S34" i="1"/>
  <c r="BC34" i="1" s="1"/>
  <c r="BB34" i="1"/>
  <c r="G91" i="4"/>
  <c r="R4" i="1"/>
  <c r="T646" i="3"/>
  <c r="T186" i="3"/>
  <c r="T278" i="3"/>
  <c r="T922" i="3"/>
  <c r="T94" i="3"/>
  <c r="T2" i="3"/>
  <c r="T370" i="3"/>
  <c r="T1750" i="3"/>
  <c r="T1566" i="3"/>
  <c r="T1842" i="3"/>
  <c r="T1658" i="3"/>
  <c r="T462" i="3"/>
  <c r="T1474" i="3"/>
  <c r="T738" i="3"/>
  <c r="T554" i="3"/>
  <c r="T1290" i="3"/>
  <c r="T1198" i="3"/>
  <c r="T1382" i="3"/>
  <c r="T1014" i="3"/>
  <c r="T1106" i="3"/>
  <c r="T830" i="3"/>
  <c r="C25" i="5"/>
  <c r="S157" i="1"/>
  <c r="BC157" i="1" s="1"/>
  <c r="BB157" i="1"/>
  <c r="F21" i="4"/>
  <c r="Y17" i="4"/>
  <c r="Z17" i="4" s="1"/>
  <c r="I84" i="4"/>
  <c r="AK289" i="2"/>
  <c r="O42" i="4"/>
  <c r="P10" i="4"/>
  <c r="P21" i="4"/>
  <c r="I63" i="4"/>
  <c r="I52" i="4"/>
  <c r="U90" i="2"/>
  <c r="U82" i="2" s="1"/>
  <c r="BH82" i="2" s="1"/>
  <c r="J21" i="4"/>
  <c r="J10" i="4"/>
  <c r="H21" i="4"/>
  <c r="H10" i="4"/>
  <c r="T42" i="4"/>
  <c r="O49" i="4"/>
  <c r="BB152" i="1"/>
  <c r="S152" i="1"/>
  <c r="BC152" i="1" s="1"/>
  <c r="BG8" i="2"/>
  <c r="AI372" i="2"/>
  <c r="AI371" i="2" s="1"/>
  <c r="AD550" i="2"/>
  <c r="AD551" i="2"/>
  <c r="BB155" i="1"/>
  <c r="S155" i="1"/>
  <c r="BC155" i="1" s="1"/>
  <c r="BG313" i="2"/>
  <c r="Q49" i="4"/>
  <c r="BG233" i="2"/>
  <c r="BB194" i="1"/>
  <c r="S194" i="1"/>
  <c r="V548" i="2"/>
  <c r="C102" i="4"/>
  <c r="C104" i="4" s="1"/>
  <c r="C122" i="4"/>
  <c r="AP550" i="2"/>
  <c r="AP551" i="2"/>
  <c r="AP558" i="2" s="1"/>
  <c r="Z551" i="2"/>
  <c r="Z550" i="2"/>
  <c r="N23" i="4"/>
  <c r="M23" i="4"/>
  <c r="L23" i="4"/>
  <c r="K23" i="4"/>
  <c r="J23" i="4"/>
  <c r="I23" i="4"/>
  <c r="H23" i="4"/>
  <c r="G23" i="4"/>
  <c r="F23" i="4"/>
  <c r="W23" i="4"/>
  <c r="V23" i="4"/>
  <c r="U23" i="4"/>
  <c r="T23" i="4"/>
  <c r="S23" i="4"/>
  <c r="P23" i="4"/>
  <c r="R23" i="4"/>
  <c r="Q23" i="4"/>
  <c r="O23" i="4"/>
  <c r="AY372" i="2"/>
  <c r="AY371" i="2" s="1"/>
  <c r="AU372" i="2"/>
  <c r="AU371" i="2" s="1"/>
  <c r="BB179" i="1"/>
  <c r="S179" i="1"/>
  <c r="BC179" i="1" s="1"/>
  <c r="S198" i="1"/>
  <c r="BC198" i="1" s="1"/>
  <c r="BB198" i="1"/>
  <c r="AV550" i="2"/>
  <c r="AV551" i="2"/>
  <c r="Z405" i="1"/>
  <c r="Z406" i="1"/>
  <c r="V65" i="4"/>
  <c r="U65" i="4"/>
  <c r="T65" i="4"/>
  <c r="S65" i="4"/>
  <c r="R65" i="4"/>
  <c r="Q65" i="4"/>
  <c r="P65" i="4"/>
  <c r="O65" i="4"/>
  <c r="N65" i="4"/>
  <c r="M65" i="4"/>
  <c r="L65" i="4"/>
  <c r="K65" i="4"/>
  <c r="J65" i="4"/>
  <c r="I65" i="4"/>
  <c r="H65" i="4"/>
  <c r="G65" i="4"/>
  <c r="F65" i="4"/>
  <c r="W65" i="4"/>
  <c r="AZ550" i="2"/>
  <c r="AZ551" i="2"/>
  <c r="AO26" i="2"/>
  <c r="BA90" i="2"/>
  <c r="BA82" i="2" s="1"/>
  <c r="U21" i="4"/>
  <c r="U10" i="4"/>
  <c r="AQ303" i="2"/>
  <c r="AQ288" i="2" s="1"/>
  <c r="AM26" i="2"/>
  <c r="AK372" i="2"/>
  <c r="AK371" i="2" s="1"/>
  <c r="U28" i="4"/>
  <c r="U26" i="2"/>
  <c r="W70" i="4"/>
  <c r="U70" i="4"/>
  <c r="T49" i="4"/>
  <c r="AM90" i="2"/>
  <c r="AM82" i="2" s="1"/>
  <c r="Q42" i="4"/>
  <c r="R49" i="4"/>
  <c r="BG45" i="2"/>
  <c r="G35" i="4"/>
  <c r="H70" i="4"/>
  <c r="P28" i="4"/>
  <c r="S181" i="1"/>
  <c r="BC181" i="1" s="1"/>
  <c r="BB181" i="1"/>
  <c r="AB405" i="1"/>
  <c r="AB406" i="1"/>
  <c r="AB408" i="1" s="1"/>
  <c r="BG57" i="2"/>
  <c r="P84" i="4"/>
  <c r="M49" i="4"/>
  <c r="J58" i="4"/>
  <c r="F58" i="4"/>
  <c r="W58" i="4"/>
  <c r="V58" i="4"/>
  <c r="U58" i="4"/>
  <c r="C51" i="4"/>
  <c r="T58" i="4"/>
  <c r="S58" i="4"/>
  <c r="R58" i="4"/>
  <c r="Q58" i="4"/>
  <c r="P58" i="4"/>
  <c r="O58" i="4"/>
  <c r="N58" i="4"/>
  <c r="M58" i="4"/>
  <c r="L58" i="4"/>
  <c r="K58" i="4"/>
  <c r="H58" i="4"/>
  <c r="I58" i="4"/>
  <c r="G58" i="4"/>
  <c r="O63" i="4"/>
  <c r="O52" i="4"/>
  <c r="AG90" i="2"/>
  <c r="N70" i="4"/>
  <c r="N84" i="4"/>
  <c r="BB209" i="1"/>
  <c r="S209" i="1"/>
  <c r="BC209" i="1" s="1"/>
  <c r="G21" i="4"/>
  <c r="G10" i="4"/>
  <c r="S63" i="4"/>
  <c r="S52" i="4"/>
  <c r="G28" i="4"/>
  <c r="BG298" i="2"/>
  <c r="BG289" i="2" s="1"/>
  <c r="AI26" i="2"/>
  <c r="L84" i="4"/>
  <c r="N63" i="4"/>
  <c r="N52" i="4"/>
  <c r="AM372" i="2"/>
  <c r="AM371" i="2" s="1"/>
  <c r="F45" i="4"/>
  <c r="AS7" i="2"/>
  <c r="AA26" i="2"/>
  <c r="AA6" i="2" s="1"/>
  <c r="N37" i="4"/>
  <c r="M37" i="4"/>
  <c r="L37" i="4"/>
  <c r="K37" i="4"/>
  <c r="J37" i="4"/>
  <c r="I37" i="4"/>
  <c r="H37" i="4"/>
  <c r="G37" i="4"/>
  <c r="F37" i="4"/>
  <c r="W37" i="4"/>
  <c r="V37" i="4"/>
  <c r="U37" i="4"/>
  <c r="T37" i="4"/>
  <c r="S37" i="4"/>
  <c r="P37" i="4"/>
  <c r="R37" i="4"/>
  <c r="Q37" i="4"/>
  <c r="O37" i="4"/>
  <c r="K70" i="4"/>
  <c r="H28" i="4"/>
  <c r="S135" i="1"/>
  <c r="BC135" i="1" s="1"/>
  <c r="BB135" i="1"/>
  <c r="AR551" i="2"/>
  <c r="AR558" i="2" s="1"/>
  <c r="AR550" i="2"/>
  <c r="BB168" i="1"/>
  <c r="S168" i="1"/>
  <c r="BC168" i="1" s="1"/>
  <c r="BG50" i="2"/>
  <c r="AI90" i="2"/>
  <c r="AI82" i="2" s="1"/>
  <c r="AW372" i="2"/>
  <c r="AW371" i="2" s="1"/>
  <c r="P42" i="4"/>
  <c r="BB176" i="1"/>
  <c r="S176" i="1"/>
  <c r="BC176" i="1" s="1"/>
  <c r="S170" i="1"/>
  <c r="BC170" i="1" s="1"/>
  <c r="BB170" i="1"/>
  <c r="V21" i="4"/>
  <c r="V10" i="4"/>
  <c r="BE332" i="2"/>
  <c r="BE326" i="2" s="1"/>
  <c r="AG83" i="2"/>
  <c r="Q21" i="4"/>
  <c r="Q10" i="4"/>
  <c r="H63" i="4"/>
  <c r="H52" i="4"/>
  <c r="AO303" i="2"/>
  <c r="W405" i="2"/>
  <c r="V28" i="4"/>
  <c r="L70" i="4"/>
  <c r="S49" i="4"/>
  <c r="W16" i="4"/>
  <c r="V16" i="4"/>
  <c r="U16" i="4"/>
  <c r="T16" i="4"/>
  <c r="S16" i="4"/>
  <c r="R16" i="4"/>
  <c r="C9" i="4"/>
  <c r="Q16" i="4"/>
  <c r="P16" i="4"/>
  <c r="O16" i="4"/>
  <c r="N16" i="4"/>
  <c r="M16" i="4"/>
  <c r="L16" i="4"/>
  <c r="K16" i="4"/>
  <c r="J16" i="4"/>
  <c r="I16" i="4"/>
  <c r="H16" i="4"/>
  <c r="G16" i="4"/>
  <c r="F16" i="4"/>
  <c r="S28" i="4"/>
  <c r="R1867" i="3"/>
  <c r="S1867" i="3" s="1"/>
  <c r="U1867" i="3" s="1"/>
  <c r="W1867" i="3" s="1"/>
  <c r="W1847" i="3" s="1"/>
  <c r="V546" i="2" s="1"/>
  <c r="AC303" i="2"/>
  <c r="V79" i="4"/>
  <c r="W79" i="4"/>
  <c r="U79" i="4"/>
  <c r="T79" i="4"/>
  <c r="S79" i="4"/>
  <c r="R79" i="4"/>
  <c r="Q79" i="4"/>
  <c r="P79" i="4"/>
  <c r="O79" i="4"/>
  <c r="N79" i="4"/>
  <c r="M79" i="4"/>
  <c r="L79" i="4"/>
  <c r="K79" i="4"/>
  <c r="J79" i="4"/>
  <c r="I79" i="4"/>
  <c r="H79" i="4"/>
  <c r="G79" i="4"/>
  <c r="F79" i="4"/>
  <c r="O84" i="4"/>
  <c r="Q28" i="4"/>
  <c r="AO90" i="2"/>
  <c r="AO82" i="2" s="1"/>
  <c r="BB127" i="1"/>
  <c r="S127" i="1"/>
  <c r="BA289" i="2"/>
  <c r="C31" i="7"/>
  <c r="D31" i="7" s="1"/>
  <c r="E31" i="7" s="1"/>
  <c r="D25" i="7"/>
  <c r="E25" i="7" s="1"/>
  <c r="BB154" i="1"/>
  <c r="S154" i="1"/>
  <c r="BC154" i="1" s="1"/>
  <c r="BB550" i="2"/>
  <c r="BB551" i="2"/>
  <c r="T52" i="4"/>
  <c r="T63" i="4"/>
  <c r="C9" i="7"/>
  <c r="D9" i="7" s="1"/>
  <c r="E9" i="7" s="1"/>
  <c r="P410" i="1"/>
  <c r="P411" i="1" s="1"/>
  <c r="K28" i="4"/>
  <c r="R28" i="4"/>
  <c r="U84" i="4"/>
  <c r="T70" i="4"/>
  <c r="AG26" i="2"/>
  <c r="AG6" i="2" s="1"/>
  <c r="T28" i="4"/>
  <c r="O70" i="4"/>
  <c r="AS90" i="2"/>
  <c r="AS82" i="2" s="1"/>
  <c r="U49" i="4"/>
  <c r="U42" i="4"/>
  <c r="BB164" i="1"/>
  <c r="S164" i="1"/>
  <c r="BC164" i="1" s="1"/>
  <c r="L63" i="4"/>
  <c r="L52" i="4"/>
  <c r="BB172" i="1"/>
  <c r="S172" i="1"/>
  <c r="BC172" i="1" s="1"/>
  <c r="AS303" i="2"/>
  <c r="AS288" i="2" s="1"/>
  <c r="J35" i="4"/>
  <c r="AH550" i="2"/>
  <c r="AH551" i="2"/>
  <c r="Y303" i="2"/>
  <c r="Q70" i="4"/>
  <c r="Y289" i="2"/>
  <c r="AE26" i="2"/>
  <c r="AE6" i="2" s="1"/>
  <c r="H84" i="4"/>
  <c r="S177" i="1"/>
  <c r="BC177" i="1" s="1"/>
  <c r="BB177" i="1"/>
  <c r="BG531" i="2"/>
  <c r="BG530" i="2" s="1"/>
  <c r="W530" i="2"/>
  <c r="BG282" i="2"/>
  <c r="K63" i="4"/>
  <c r="K52" i="4"/>
  <c r="U372" i="2"/>
  <c r="U371" i="2" s="1"/>
  <c r="BH371" i="2" s="1"/>
  <c r="Q84" i="4"/>
  <c r="AQ90" i="2"/>
  <c r="W30" i="4"/>
  <c r="V30" i="4"/>
  <c r="U30" i="4"/>
  <c r="T30" i="4"/>
  <c r="S30" i="4"/>
  <c r="R30" i="4"/>
  <c r="Q30" i="4"/>
  <c r="P30" i="4"/>
  <c r="O30" i="4"/>
  <c r="N30" i="4"/>
  <c r="M30" i="4"/>
  <c r="L30" i="4"/>
  <c r="K30" i="4"/>
  <c r="J30" i="4"/>
  <c r="I30" i="4"/>
  <c r="H30" i="4"/>
  <c r="G30" i="4"/>
  <c r="F30" i="4"/>
  <c r="L10" i="4"/>
  <c r="L21" i="4"/>
  <c r="S84" i="4"/>
  <c r="G84" i="4"/>
  <c r="AU289" i="2"/>
  <c r="V42" i="4"/>
  <c r="G42" i="4"/>
  <c r="I70" i="4"/>
  <c r="X405" i="1"/>
  <c r="BG483" i="2"/>
  <c r="BB187" i="1"/>
  <c r="S187" i="1"/>
  <c r="BG193" i="2"/>
  <c r="W28" i="4"/>
  <c r="W44" i="4"/>
  <c r="V44" i="4"/>
  <c r="U44" i="4"/>
  <c r="T44" i="4"/>
  <c r="S44" i="4"/>
  <c r="R44" i="4"/>
  <c r="Q44" i="4"/>
  <c r="P44" i="4"/>
  <c r="O44" i="4"/>
  <c r="N44" i="4"/>
  <c r="M44" i="4"/>
  <c r="L44" i="4"/>
  <c r="K44" i="4"/>
  <c r="J44" i="4"/>
  <c r="I44" i="4"/>
  <c r="H44" i="4"/>
  <c r="G44" i="4"/>
  <c r="F44" i="4"/>
  <c r="BG211" i="2"/>
  <c r="P70" i="4"/>
  <c r="AJ550" i="2"/>
  <c r="AJ551" i="2"/>
  <c r="AJ558" i="2" s="1"/>
  <c r="R42" i="4"/>
  <c r="BG346" i="2"/>
  <c r="J63" i="4"/>
  <c r="J52" i="4"/>
  <c r="V70" i="4"/>
  <c r="Q63" i="4"/>
  <c r="BB165" i="1"/>
  <c r="S165" i="1"/>
  <c r="BC165" i="1" s="1"/>
  <c r="BG226" i="2"/>
  <c r="G63" i="4"/>
  <c r="G52" i="4"/>
  <c r="BB158" i="1"/>
  <c r="S158" i="1"/>
  <c r="BC158" i="1" s="1"/>
  <c r="M10" i="4"/>
  <c r="M21" i="4"/>
  <c r="BG87" i="2"/>
  <c r="BG83" i="2" s="1"/>
  <c r="S35" i="4"/>
  <c r="AN409" i="1"/>
  <c r="Q52" i="4"/>
  <c r="AT550" i="2"/>
  <c r="AT551" i="2"/>
  <c r="BC399" i="1"/>
  <c r="R70" i="4"/>
  <c r="AC289" i="2"/>
  <c r="S166" i="1"/>
  <c r="BC166" i="1" s="1"/>
  <c r="BB166" i="1"/>
  <c r="R21" i="4"/>
  <c r="R10" i="4"/>
  <c r="BE399" i="1"/>
  <c r="BD399" i="1"/>
  <c r="M63" i="4"/>
  <c r="M52" i="4"/>
  <c r="AA289" i="2"/>
  <c r="AA288" i="2" s="1"/>
  <c r="AA287" i="2" s="1"/>
  <c r="S208" i="1"/>
  <c r="BB208" i="1"/>
  <c r="M28" i="4"/>
  <c r="J49" i="4"/>
  <c r="K49" i="4"/>
  <c r="S167" i="1"/>
  <c r="BC167" i="1" s="1"/>
  <c r="BB167" i="1"/>
  <c r="BB200" i="1"/>
  <c r="S200" i="1"/>
  <c r="BC200" i="1" s="1"/>
  <c r="W84" i="4"/>
  <c r="W63" i="4"/>
  <c r="W52" i="4"/>
  <c r="AG192" i="2"/>
  <c r="AL550" i="2"/>
  <c r="AL551" i="2"/>
  <c r="M35" i="4"/>
  <c r="H42" i="4"/>
  <c r="W35" i="4"/>
  <c r="AU326" i="2"/>
  <c r="BG42" i="2"/>
  <c r="V84" i="4"/>
  <c r="BB178" i="1"/>
  <c r="S178" i="1"/>
  <c r="BC178" i="1" s="1"/>
  <c r="J84" i="4"/>
  <c r="U63" i="4"/>
  <c r="U52" i="4"/>
  <c r="BG77" i="2"/>
  <c r="BG76" i="2" s="1"/>
  <c r="N10" i="4"/>
  <c r="N21" i="4"/>
  <c r="AB550" i="2"/>
  <c r="AB551" i="2"/>
  <c r="BG538" i="2"/>
  <c r="BG537" i="2" s="1"/>
  <c r="BG536" i="2" s="1"/>
  <c r="W537" i="2"/>
  <c r="W536" i="2" s="1"/>
  <c r="BB182" i="1"/>
  <c r="S182" i="1"/>
  <c r="BC182" i="1" s="1"/>
  <c r="V405" i="1"/>
  <c r="BB169" i="1"/>
  <c r="S169" i="1"/>
  <c r="BC169" i="1" s="1"/>
  <c r="C113" i="4"/>
  <c r="C115" i="4" s="1"/>
  <c r="C117" i="4" s="1"/>
  <c r="P63" i="4"/>
  <c r="P52" i="4"/>
  <c r="T405" i="1"/>
  <c r="T406" i="1"/>
  <c r="I21" i="4"/>
  <c r="I10" i="4"/>
  <c r="S156" i="1"/>
  <c r="BC156" i="1" s="1"/>
  <c r="BB156" i="1"/>
  <c r="C21" i="7"/>
  <c r="D21" i="7" s="1"/>
  <c r="E21" i="7" s="1"/>
  <c r="S150" i="1"/>
  <c r="BC150" i="1" s="1"/>
  <c r="BB150" i="1"/>
  <c r="BB144" i="1"/>
  <c r="S144" i="1"/>
  <c r="BC144" i="1" s="1"/>
  <c r="S21" i="4"/>
  <c r="S10" i="4"/>
  <c r="BC26" i="2"/>
  <c r="BC6" i="2" s="1"/>
  <c r="AO7" i="2"/>
  <c r="BG53" i="2"/>
  <c r="R84" i="4"/>
  <c r="I49" i="4"/>
  <c r="S265" i="1"/>
  <c r="BB265" i="1"/>
  <c r="W7" i="2"/>
  <c r="W532" i="2"/>
  <c r="BG533" i="2"/>
  <c r="BG532" i="2" s="1"/>
  <c r="F87" i="4"/>
  <c r="BG542" i="2"/>
  <c r="BG541" i="2" s="1"/>
  <c r="BG540" i="2" s="1"/>
  <c r="W541" i="2"/>
  <c r="W540" i="2" s="1"/>
  <c r="AN551" i="2"/>
  <c r="AN550" i="2"/>
  <c r="BG318" i="2"/>
  <c r="AF550" i="2"/>
  <c r="AF551" i="2"/>
  <c r="AG288" i="2"/>
  <c r="AG287" i="2" s="1"/>
  <c r="AE90" i="2"/>
  <c r="V49" i="4"/>
  <c r="BB143" i="1"/>
  <c r="S143" i="1"/>
  <c r="BC143" i="1" s="1"/>
  <c r="T553" i="2"/>
  <c r="T554" i="2" s="1"/>
  <c r="BD550" i="2"/>
  <c r="BD551" i="2"/>
  <c r="T84" i="4"/>
  <c r="BB141" i="1"/>
  <c r="S141" i="1"/>
  <c r="AX550" i="2"/>
  <c r="AX551" i="2"/>
  <c r="V63" i="4"/>
  <c r="V52" i="4"/>
  <c r="N35" i="4"/>
  <c r="O10" i="4"/>
  <c r="O21" i="4"/>
  <c r="K10" i="4"/>
  <c r="K21" i="4"/>
  <c r="K42" i="4"/>
  <c r="J70" i="4"/>
  <c r="BG279" i="2"/>
  <c r="Y7" i="2"/>
  <c r="N28" i="4"/>
  <c r="BB175" i="1"/>
  <c r="S175" i="1"/>
  <c r="BC175" i="1" s="1"/>
  <c r="W21" i="4"/>
  <c r="W10" i="4"/>
  <c r="BG27" i="2"/>
  <c r="S180" i="1"/>
  <c r="BC180" i="1" s="1"/>
  <c r="BB180" i="1"/>
  <c r="T21" i="4"/>
  <c r="T10" i="4"/>
  <c r="F28" i="4"/>
  <c r="Y24" i="4"/>
  <c r="Z24" i="4" s="1"/>
  <c r="AC26" i="2"/>
  <c r="W289" i="2"/>
  <c r="AW90" i="2"/>
  <c r="AW82" i="2" s="1"/>
  <c r="BE372" i="2"/>
  <c r="BE371" i="2" s="1"/>
  <c r="BG337" i="2"/>
  <c r="AG372" i="2"/>
  <c r="AG371" i="2" s="1"/>
  <c r="X551" i="2"/>
  <c r="X550" i="2"/>
  <c r="G70" i="4"/>
  <c r="Y31" i="4" l="1"/>
  <c r="Z31" i="4" s="1"/>
  <c r="F42" i="4"/>
  <c r="AA192" i="2"/>
  <c r="AI6" i="2"/>
  <c r="F10" i="4"/>
  <c r="U6" i="2"/>
  <c r="BH6" i="2" s="1"/>
  <c r="Y59" i="4"/>
  <c r="Z59" i="4" s="1"/>
  <c r="AU6" i="2"/>
  <c r="BE308" i="1"/>
  <c r="BG7" i="2"/>
  <c r="BE304" i="1"/>
  <c r="BD304" i="1"/>
  <c r="BA288" i="2"/>
  <c r="BA287" i="2" s="1"/>
  <c r="AQ82" i="2"/>
  <c r="BC288" i="2"/>
  <c r="BE250" i="1"/>
  <c r="BD250" i="1"/>
  <c r="AK288" i="2"/>
  <c r="AK287" i="2" s="1"/>
  <c r="BA6" i="2"/>
  <c r="BC15" i="1"/>
  <c r="BC14" i="1" s="1"/>
  <c r="S14" i="1"/>
  <c r="BD15" i="1"/>
  <c r="BE15" i="1"/>
  <c r="BE196" i="1"/>
  <c r="BD196" i="1"/>
  <c r="AI288" i="2"/>
  <c r="AI287" i="2" s="1"/>
  <c r="AE82" i="2"/>
  <c r="Y6" i="2"/>
  <c r="AY6" i="2"/>
  <c r="AE287" i="2"/>
  <c r="W90" i="2"/>
  <c r="W82" i="2" s="1"/>
  <c r="AC6" i="2"/>
  <c r="AQ287" i="2"/>
  <c r="X408" i="1"/>
  <c r="X409" i="1" s="1"/>
  <c r="BD553" i="2"/>
  <c r="BD554" i="2" s="1"/>
  <c r="BD555" i="2" s="1"/>
  <c r="BD283" i="1"/>
  <c r="BE283" i="1"/>
  <c r="BD309" i="1"/>
  <c r="BE309" i="1"/>
  <c r="BD364" i="1"/>
  <c r="BE364" i="1"/>
  <c r="BE256" i="1"/>
  <c r="BD343" i="1"/>
  <c r="Y80" i="4"/>
  <c r="Z80" i="4" s="1"/>
  <c r="F52" i="4"/>
  <c r="Y52" i="4" s="1"/>
  <c r="Z52" i="4" s="1"/>
  <c r="AT553" i="2"/>
  <c r="AT554" i="2" s="1"/>
  <c r="AS287" i="2"/>
  <c r="BE337" i="1"/>
  <c r="BD337" i="1"/>
  <c r="W192" i="2"/>
  <c r="Y72" i="4"/>
  <c r="Z72" i="4" s="1"/>
  <c r="AL553" i="2"/>
  <c r="AL554" i="2" s="1"/>
  <c r="AB553" i="2"/>
  <c r="AB554" i="2" s="1"/>
  <c r="AM6" i="2"/>
  <c r="BE366" i="1"/>
  <c r="BD366" i="1"/>
  <c r="BE248" i="1"/>
  <c r="BD248" i="1"/>
  <c r="BD8" i="1"/>
  <c r="BE8" i="1"/>
  <c r="S7" i="1"/>
  <c r="BC8" i="1"/>
  <c r="BC7" i="1" s="1"/>
  <c r="BD249" i="1"/>
  <c r="BE249" i="1"/>
  <c r="AO288" i="2"/>
  <c r="AO287" i="2" s="1"/>
  <c r="BD197" i="1"/>
  <c r="BE197" i="1"/>
  <c r="X553" i="2"/>
  <c r="X554" i="2" s="1"/>
  <c r="X555" i="2" s="1"/>
  <c r="X556" i="2" s="1"/>
  <c r="W332" i="2"/>
  <c r="W326" i="2" s="1"/>
  <c r="BE294" i="1"/>
  <c r="BD294" i="1"/>
  <c r="BD263" i="1"/>
  <c r="BE263" i="1"/>
  <c r="S262" i="1"/>
  <c r="BC263" i="1"/>
  <c r="BC262" i="1" s="1"/>
  <c r="BE229" i="1"/>
  <c r="BD229" i="1"/>
  <c r="BD341" i="1"/>
  <c r="BE341" i="1"/>
  <c r="AU288" i="2"/>
  <c r="AU287" i="2" s="1"/>
  <c r="BD320" i="1"/>
  <c r="BE320" i="1"/>
  <c r="BD370" i="1"/>
  <c r="BE370" i="1"/>
  <c r="BD349" i="1"/>
  <c r="BE349" i="1"/>
  <c r="BE231" i="1"/>
  <c r="BD231" i="1"/>
  <c r="BE342" i="1"/>
  <c r="BD342" i="1"/>
  <c r="BE371" i="1"/>
  <c r="BD371" i="1"/>
  <c r="BC371" i="1"/>
  <c r="BC369" i="1" s="1"/>
  <c r="S369" i="1"/>
  <c r="BD293" i="1"/>
  <c r="BE293" i="1"/>
  <c r="BE306" i="1"/>
  <c r="BD306" i="1"/>
  <c r="BE380" i="1"/>
  <c r="BD380" i="1"/>
  <c r="BE230" i="1"/>
  <c r="BD230" i="1"/>
  <c r="BE261" i="1"/>
  <c r="BD261" i="1"/>
  <c r="BE254" i="1"/>
  <c r="BD254" i="1"/>
  <c r="BE322" i="1"/>
  <c r="BD322" i="1"/>
  <c r="BC287" i="2"/>
  <c r="AW287" i="2"/>
  <c r="BE331" i="1"/>
  <c r="BD331" i="1"/>
  <c r="T408" i="1"/>
  <c r="T409" i="1" s="1"/>
  <c r="BE299" i="1"/>
  <c r="BD299" i="1"/>
  <c r="Y73" i="4"/>
  <c r="Z73" i="4" s="1"/>
  <c r="AZ553" i="2"/>
  <c r="AZ554" i="2" s="1"/>
  <c r="BE376" i="1"/>
  <c r="BD376" i="1"/>
  <c r="BC376" i="1"/>
  <c r="BC373" i="1" s="1"/>
  <c r="S373" i="1"/>
  <c r="Z553" i="2"/>
  <c r="Z554" i="2" s="1"/>
  <c r="Z555" i="2" s="1"/>
  <c r="Z556" i="2" s="1"/>
  <c r="AD409" i="1"/>
  <c r="AD410" i="1" s="1"/>
  <c r="AD411" i="1" s="1"/>
  <c r="AD416" i="1" s="1"/>
  <c r="W6" i="2"/>
  <c r="BE297" i="1"/>
  <c r="BD297" i="1"/>
  <c r="BD29" i="1"/>
  <c r="BE29" i="1"/>
  <c r="BD292" i="1"/>
  <c r="BE292" i="1"/>
  <c r="AQ6" i="2"/>
  <c r="AY287" i="2"/>
  <c r="BE100" i="1"/>
  <c r="BD100" i="1"/>
  <c r="BE301" i="1"/>
  <c r="BD301" i="1"/>
  <c r="BD258" i="1"/>
  <c r="BE258" i="1"/>
  <c r="BD316" i="1"/>
  <c r="BE316" i="1"/>
  <c r="BE290" i="1"/>
  <c r="BD290" i="1"/>
  <c r="S398" i="1"/>
  <c r="S397" i="1" s="1"/>
  <c r="BB553" i="2"/>
  <c r="BB554" i="2" s="1"/>
  <c r="BE94" i="1"/>
  <c r="BD94" i="1"/>
  <c r="BE287" i="2"/>
  <c r="AX553" i="2"/>
  <c r="AX554" i="2" s="1"/>
  <c r="BE305" i="1"/>
  <c r="BD305" i="1"/>
  <c r="V408" i="1"/>
  <c r="V409" i="1" s="1"/>
  <c r="V410" i="1" s="1"/>
  <c r="V411" i="1" s="1"/>
  <c r="BE242" i="1"/>
  <c r="BD242" i="1"/>
  <c r="Y66" i="4"/>
  <c r="Z66" i="4" s="1"/>
  <c r="BC398" i="1"/>
  <c r="BC397" i="1" s="1"/>
  <c r="AM288" i="2"/>
  <c r="AM287" i="2" s="1"/>
  <c r="BE354" i="1"/>
  <c r="BD354" i="1"/>
  <c r="BE402" i="1"/>
  <c r="BD402" i="1"/>
  <c r="AS6" i="2"/>
  <c r="BC354" i="1"/>
  <c r="BC353" i="1" s="1"/>
  <c r="S353" i="1"/>
  <c r="BC260" i="1"/>
  <c r="BC255" i="1" s="1"/>
  <c r="S255" i="1"/>
  <c r="BD68" i="1"/>
  <c r="BE68" i="1"/>
  <c r="BE298" i="1"/>
  <c r="BD298" i="1"/>
  <c r="BE107" i="1"/>
  <c r="BD107" i="1"/>
  <c r="BE36" i="1"/>
  <c r="BD36" i="1"/>
  <c r="BD117" i="1"/>
  <c r="BE117" i="1"/>
  <c r="BD384" i="1"/>
  <c r="BE384" i="1"/>
  <c r="BE77" i="1"/>
  <c r="BD77" i="1"/>
  <c r="BE189" i="1"/>
  <c r="BD189" i="1"/>
  <c r="BE41" i="1"/>
  <c r="BD41" i="1"/>
  <c r="BE340" i="1"/>
  <c r="BD340" i="1"/>
  <c r="BC340" i="1"/>
  <c r="BC338" i="1" s="1"/>
  <c r="S338" i="1"/>
  <c r="BE323" i="1"/>
  <c r="BD323" i="1"/>
  <c r="BE109" i="1"/>
  <c r="BD109" i="1"/>
  <c r="BD241" i="1"/>
  <c r="BE241" i="1"/>
  <c r="BD285" i="1"/>
  <c r="BE285" i="1"/>
  <c r="BE328" i="1"/>
  <c r="BD328" i="1"/>
  <c r="BG90" i="2"/>
  <c r="BG82" i="2" s="1"/>
  <c r="BE35" i="1"/>
  <c r="BD35" i="1"/>
  <c r="BE140" i="1"/>
  <c r="BD140" i="1"/>
  <c r="BE252" i="1"/>
  <c r="BD252" i="1"/>
  <c r="BE199" i="1"/>
  <c r="BD199" i="1"/>
  <c r="BE286" i="1"/>
  <c r="BD286" i="1"/>
  <c r="AP411" i="1"/>
  <c r="AP412" i="1" s="1"/>
  <c r="AA82" i="2"/>
  <c r="BD300" i="1"/>
  <c r="BE300" i="1"/>
  <c r="AF553" i="2"/>
  <c r="AF554" i="2" s="1"/>
  <c r="BE295" i="1"/>
  <c r="BD295" i="1"/>
  <c r="AD553" i="2"/>
  <c r="AD554" i="2" s="1"/>
  <c r="BD367" i="1"/>
  <c r="BE367" i="1"/>
  <c r="BE291" i="1"/>
  <c r="BD291" i="1"/>
  <c r="BD302" i="1"/>
  <c r="BE302" i="1"/>
  <c r="BE363" i="1"/>
  <c r="BD363" i="1"/>
  <c r="BC363" i="1"/>
  <c r="BC362" i="1" s="1"/>
  <c r="S362" i="1"/>
  <c r="BE368" i="1"/>
  <c r="BD368" i="1"/>
  <c r="BD260" i="1"/>
  <c r="BE260" i="1"/>
  <c r="BC227" i="1"/>
  <c r="BC225" i="1" s="1"/>
  <c r="S225" i="1"/>
  <c r="BD330" i="1"/>
  <c r="BE330" i="1"/>
  <c r="BD235" i="1"/>
  <c r="BE235" i="1"/>
  <c r="BD246" i="1"/>
  <c r="BE246" i="1"/>
  <c r="X415" i="1"/>
  <c r="BC235" i="1"/>
  <c r="BC228" i="1" s="1"/>
  <c r="S228" i="1"/>
  <c r="BE266" i="1"/>
  <c r="BD266" i="1"/>
  <c r="BD78" i="1"/>
  <c r="BE78" i="1"/>
  <c r="BC350" i="1"/>
  <c r="BC345" i="1" s="1"/>
  <c r="S345" i="1"/>
  <c r="BD350" i="1"/>
  <c r="BE350" i="1"/>
  <c r="BE288" i="1"/>
  <c r="BD288" i="1"/>
  <c r="BE244" i="1"/>
  <c r="BD244" i="1"/>
  <c r="BE236" i="1"/>
  <c r="BD236" i="1"/>
  <c r="BE239" i="1"/>
  <c r="BD239" i="1"/>
  <c r="BE240" i="1"/>
  <c r="BD240" i="1"/>
  <c r="BE67" i="1"/>
  <c r="BD67" i="1"/>
  <c r="AX558" i="2"/>
  <c r="T137" i="4" s="1"/>
  <c r="T145" i="4" s="1"/>
  <c r="BD146" i="1"/>
  <c r="BE146" i="1"/>
  <c r="AT558" i="2"/>
  <c r="R137" i="4" s="1"/>
  <c r="R145" i="4" s="1"/>
  <c r="BD71" i="1"/>
  <c r="BE71" i="1"/>
  <c r="BG303" i="2"/>
  <c r="BG288" i="2" s="1"/>
  <c r="BE11" i="1"/>
  <c r="BD11" i="1"/>
  <c r="AF558" i="2"/>
  <c r="K137" i="4" s="1"/>
  <c r="K145" i="4" s="1"/>
  <c r="BE282" i="1"/>
  <c r="BD282" i="1"/>
  <c r="BE49" i="1"/>
  <c r="BD49" i="1"/>
  <c r="BC11" i="1"/>
  <c r="BC9" i="1" s="1"/>
  <c r="S9" i="1"/>
  <c r="BE351" i="1"/>
  <c r="BD351" i="1"/>
  <c r="AJ553" i="2"/>
  <c r="AJ554" i="2" s="1"/>
  <c r="AO6" i="2"/>
  <c r="BE51" i="1"/>
  <c r="BD51" i="1"/>
  <c r="BG332" i="2"/>
  <c r="BG326" i="2" s="1"/>
  <c r="BE148" i="1"/>
  <c r="BD148" i="1"/>
  <c r="BG206" i="2"/>
  <c r="BG192" i="2" s="1"/>
  <c r="AH553" i="2"/>
  <c r="AH554" i="2" s="1"/>
  <c r="AH555" i="2" s="1"/>
  <c r="BD253" i="1"/>
  <c r="BE253" i="1"/>
  <c r="BE227" i="1"/>
  <c r="BD227" i="1"/>
  <c r="AH410" i="1"/>
  <c r="AH411" i="1" s="1"/>
  <c r="AH412" i="1" s="1"/>
  <c r="AP560" i="2"/>
  <c r="P137" i="4"/>
  <c r="P145" i="4" s="1"/>
  <c r="BD88" i="1"/>
  <c r="BE88" i="1"/>
  <c r="Y23" i="4"/>
  <c r="Z23" i="4" s="1"/>
  <c r="BE76" i="1"/>
  <c r="BD76" i="1"/>
  <c r="BD223" i="1"/>
  <c r="BE223" i="1"/>
  <c r="BD149" i="1"/>
  <c r="BE149" i="1"/>
  <c r="Q137" i="4"/>
  <c r="Q145" i="4" s="1"/>
  <c r="AR560" i="2"/>
  <c r="BC223" i="1"/>
  <c r="BC217" i="1" s="1"/>
  <c r="S217" i="1"/>
  <c r="BE33" i="1"/>
  <c r="BD33" i="1"/>
  <c r="BE60" i="1"/>
  <c r="BD60" i="1"/>
  <c r="X558" i="2"/>
  <c r="AF408" i="1"/>
  <c r="AF409" i="1" s="1"/>
  <c r="AF410" i="1" s="1"/>
  <c r="S26" i="1"/>
  <c r="BC33" i="1"/>
  <c r="BC26" i="1" s="1"/>
  <c r="V415" i="1"/>
  <c r="M137" i="4"/>
  <c r="M145" i="4" s="1"/>
  <c r="AJ560" i="2"/>
  <c r="Z408" i="1"/>
  <c r="Z409" i="1" s="1"/>
  <c r="BC53" i="1"/>
  <c r="BC48" i="1" s="1"/>
  <c r="S48" i="1"/>
  <c r="BE53" i="1"/>
  <c r="BD53" i="1"/>
  <c r="N51" i="4"/>
  <c r="N55" i="4" s="1"/>
  <c r="AV553" i="2"/>
  <c r="AV554" i="2" s="1"/>
  <c r="BE134" i="1"/>
  <c r="BD134" i="1"/>
  <c r="BE124" i="1"/>
  <c r="BD124" i="1"/>
  <c r="O51" i="4"/>
  <c r="O55" i="4" s="1"/>
  <c r="BE129" i="1"/>
  <c r="BD129" i="1"/>
  <c r="BE385" i="1"/>
  <c r="BD385" i="1"/>
  <c r="BE63" i="1"/>
  <c r="BD63" i="1"/>
  <c r="P51" i="4"/>
  <c r="P55" i="4" s="1"/>
  <c r="BC385" i="1"/>
  <c r="BC381" i="1" s="1"/>
  <c r="S381" i="1"/>
  <c r="BE162" i="1"/>
  <c r="BD162" i="1"/>
  <c r="BE95" i="1"/>
  <c r="BD95" i="1"/>
  <c r="W9" i="4"/>
  <c r="W100" i="4" s="1"/>
  <c r="Q51" i="4"/>
  <c r="Q55" i="4" s="1"/>
  <c r="BD102" i="1"/>
  <c r="BE102" i="1"/>
  <c r="BE278" i="1"/>
  <c r="BD278" i="1"/>
  <c r="AZ558" i="2"/>
  <c r="BE96" i="1"/>
  <c r="BD96" i="1"/>
  <c r="BG372" i="2"/>
  <c r="BG371" i="2" s="1"/>
  <c r="R51" i="4"/>
  <c r="R55" i="4" s="1"/>
  <c r="BE70" i="1"/>
  <c r="BD70" i="1"/>
  <c r="AV558" i="2"/>
  <c r="BD558" i="2"/>
  <c r="BD64" i="1"/>
  <c r="BE64" i="1"/>
  <c r="S51" i="4"/>
  <c r="S55" i="4" s="1"/>
  <c r="AV417" i="1"/>
  <c r="AV416" i="1"/>
  <c r="BD85" i="1"/>
  <c r="BE85" i="1"/>
  <c r="T51" i="4"/>
  <c r="T55" i="4" s="1"/>
  <c r="AP553" i="2"/>
  <c r="AP554" i="2" s="1"/>
  <c r="BE312" i="1"/>
  <c r="BD312" i="1"/>
  <c r="BE128" i="1"/>
  <c r="BD128" i="1"/>
  <c r="BE74" i="1"/>
  <c r="BD74" i="1"/>
  <c r="BE34" i="1"/>
  <c r="BD34" i="1"/>
  <c r="BC312" i="1"/>
  <c r="BC281" i="1" s="1"/>
  <c r="S281" i="1"/>
  <c r="AN553" i="2"/>
  <c r="AN554" i="2" s="1"/>
  <c r="AN555" i="2" s="1"/>
  <c r="AN556" i="2" s="1"/>
  <c r="W372" i="2"/>
  <c r="W371" i="2" s="1"/>
  <c r="U51" i="4"/>
  <c r="U55" i="4" s="1"/>
  <c r="BE61" i="1"/>
  <c r="BD61" i="1"/>
  <c r="BE66" i="1"/>
  <c r="BD66" i="1"/>
  <c r="Z558" i="2"/>
  <c r="AR416" i="1"/>
  <c r="AR417" i="1"/>
  <c r="BD160" i="1"/>
  <c r="BE160" i="1"/>
  <c r="BB558" i="2"/>
  <c r="BE105" i="1"/>
  <c r="BD105" i="1"/>
  <c r="T413" i="1"/>
  <c r="T415" i="1" s="1"/>
  <c r="AH558" i="2"/>
  <c r="AB558" i="2"/>
  <c r="AR553" i="2"/>
  <c r="AR554" i="2" s="1"/>
  <c r="AR555" i="2" s="1"/>
  <c r="AR556" i="2" s="1"/>
  <c r="BE42" i="1"/>
  <c r="BD42" i="1"/>
  <c r="BE103" i="1"/>
  <c r="BD103" i="1"/>
  <c r="Y86" i="4"/>
  <c r="Z86" i="4" s="1"/>
  <c r="BE73" i="1"/>
  <c r="BD73" i="1"/>
  <c r="BD280" i="1"/>
  <c r="BE280" i="1"/>
  <c r="Y288" i="2"/>
  <c r="Y287" i="2" s="1"/>
  <c r="BE62" i="1"/>
  <c r="BD62" i="1"/>
  <c r="AD558" i="2"/>
  <c r="AN558" i="2"/>
  <c r="AB413" i="1"/>
  <c r="AB415" i="1" s="1"/>
  <c r="Z413" i="1"/>
  <c r="Z415" i="1" s="1"/>
  <c r="B26" i="5"/>
  <c r="G6" i="4"/>
  <c r="X4" i="2" s="1"/>
  <c r="T4" i="1" s="1"/>
  <c r="D25" i="5"/>
  <c r="G7" i="4" s="1"/>
  <c r="E25" i="5"/>
  <c r="F25" i="5"/>
  <c r="H25" i="5" s="1"/>
  <c r="F101" i="4"/>
  <c r="Y10" i="4"/>
  <c r="Z10" i="4" s="1"/>
  <c r="F14" i="4"/>
  <c r="AV412" i="1"/>
  <c r="C11" i="7"/>
  <c r="D11" i="7" s="1"/>
  <c r="E11" i="7" s="1"/>
  <c r="U91" i="6"/>
  <c r="P412" i="1"/>
  <c r="BE187" i="1"/>
  <c r="BD187" i="1"/>
  <c r="BC127" i="1"/>
  <c r="R403" i="1"/>
  <c r="S59" i="1"/>
  <c r="I112" i="4"/>
  <c r="I56" i="4"/>
  <c r="BE127" i="1"/>
  <c r="BD127" i="1"/>
  <c r="BE155" i="1"/>
  <c r="BD155" i="1"/>
  <c r="BF546" i="2"/>
  <c r="W546" i="2"/>
  <c r="R212" i="1"/>
  <c r="AJ410" i="1"/>
  <c r="AJ411" i="1" s="1"/>
  <c r="AJ417" i="1" s="1"/>
  <c r="P101" i="4"/>
  <c r="P14" i="4"/>
  <c r="BE158" i="1"/>
  <c r="BD158" i="1"/>
  <c r="Y37" i="4"/>
  <c r="Z37" i="4" s="1"/>
  <c r="G112" i="4"/>
  <c r="G56" i="4"/>
  <c r="Y79" i="4"/>
  <c r="Z79" i="4" s="1"/>
  <c r="Y16" i="4"/>
  <c r="Z16" i="4" s="1"/>
  <c r="F9" i="4"/>
  <c r="S112" i="4"/>
  <c r="S56" i="4"/>
  <c r="R14" i="4"/>
  <c r="R101" i="4"/>
  <c r="G9" i="4"/>
  <c r="H56" i="4"/>
  <c r="H112" i="4"/>
  <c r="BE168" i="1"/>
  <c r="BD168" i="1"/>
  <c r="BE198" i="1"/>
  <c r="BD198" i="1"/>
  <c r="BD144" i="1"/>
  <c r="BE144" i="1"/>
  <c r="H9" i="4"/>
  <c r="G101" i="4"/>
  <c r="G14" i="4"/>
  <c r="Y65" i="4"/>
  <c r="Z65" i="4" s="1"/>
  <c r="O14" i="4"/>
  <c r="O101" i="4"/>
  <c r="N101" i="4"/>
  <c r="N14" i="4"/>
  <c r="W56" i="4"/>
  <c r="W112" i="4"/>
  <c r="BE166" i="1"/>
  <c r="BD166" i="1"/>
  <c r="I9" i="4"/>
  <c r="V51" i="4"/>
  <c r="J9" i="4"/>
  <c r="Q101" i="4"/>
  <c r="Q14" i="4"/>
  <c r="W51" i="4"/>
  <c r="BE179" i="1"/>
  <c r="BD179" i="1"/>
  <c r="AC288" i="2"/>
  <c r="AC287" i="2" s="1"/>
  <c r="BE165" i="1"/>
  <c r="BD165" i="1"/>
  <c r="K9" i="4"/>
  <c r="BE135" i="1"/>
  <c r="BD135" i="1"/>
  <c r="BE209" i="1"/>
  <c r="BD209" i="1"/>
  <c r="Y87" i="4"/>
  <c r="Z87" i="4" s="1"/>
  <c r="F91" i="4"/>
  <c r="L9" i="4"/>
  <c r="AG82" i="2"/>
  <c r="Y58" i="4"/>
  <c r="Z58" i="4" s="1"/>
  <c r="F51" i="4"/>
  <c r="R56" i="4"/>
  <c r="L101" i="4"/>
  <c r="L14" i="4"/>
  <c r="K112" i="4"/>
  <c r="K56" i="4"/>
  <c r="M9" i="4"/>
  <c r="J51" i="4"/>
  <c r="R114" i="4"/>
  <c r="R116" i="4" s="1"/>
  <c r="R118" i="4" s="1"/>
  <c r="BE167" i="1"/>
  <c r="BD167" i="1"/>
  <c r="J112" i="4"/>
  <c r="J56" i="4"/>
  <c r="T112" i="4"/>
  <c r="T56" i="4"/>
  <c r="N9" i="4"/>
  <c r="C106" i="4"/>
  <c r="C126" i="4"/>
  <c r="BF548" i="2"/>
  <c r="BE157" i="1"/>
  <c r="BD157" i="1"/>
  <c r="S101" i="4"/>
  <c r="S14" i="4"/>
  <c r="O9" i="4"/>
  <c r="V14" i="4"/>
  <c r="V101" i="4"/>
  <c r="AR412" i="1"/>
  <c r="BE177" i="1"/>
  <c r="BD177" i="1"/>
  <c r="T101" i="4"/>
  <c r="T14" i="4"/>
  <c r="BC141" i="1"/>
  <c r="BC137" i="1" s="1"/>
  <c r="S137" i="1"/>
  <c r="Y30" i="4"/>
  <c r="Z30" i="4" s="1"/>
  <c r="BE172" i="1"/>
  <c r="BD172" i="1"/>
  <c r="P9" i="4"/>
  <c r="F49" i="4"/>
  <c r="Y45" i="4"/>
  <c r="Z45" i="4" s="1"/>
  <c r="O112" i="4"/>
  <c r="O56" i="4"/>
  <c r="C124" i="4"/>
  <c r="BE152" i="1"/>
  <c r="BD152" i="1"/>
  <c r="BE200" i="1"/>
  <c r="BD200" i="1"/>
  <c r="BD178" i="1"/>
  <c r="BE178" i="1"/>
  <c r="Q9" i="4"/>
  <c r="AT410" i="1"/>
  <c r="AT411" i="1" s="1"/>
  <c r="AT417" i="1" s="1"/>
  <c r="V551" i="2"/>
  <c r="V558" i="2" s="1"/>
  <c r="BD156" i="1"/>
  <c r="BE156" i="1"/>
  <c r="BG26" i="2"/>
  <c r="BG6" i="2" s="1"/>
  <c r="BD265" i="1"/>
  <c r="BE265" i="1"/>
  <c r="L112" i="4"/>
  <c r="L56" i="4"/>
  <c r="BD154" i="1"/>
  <c r="BE154" i="1"/>
  <c r="BE170" i="1"/>
  <c r="BD170" i="1"/>
  <c r="G51" i="4"/>
  <c r="U14" i="4"/>
  <c r="U101" i="4"/>
  <c r="BC194" i="1"/>
  <c r="BC188" i="1" s="1"/>
  <c r="S188" i="1"/>
  <c r="BE150" i="1"/>
  <c r="BD150" i="1"/>
  <c r="BC265" i="1"/>
  <c r="BC264" i="1" s="1"/>
  <c r="S264" i="1"/>
  <c r="BE208" i="1"/>
  <c r="BD208" i="1"/>
  <c r="R9" i="4"/>
  <c r="N112" i="4"/>
  <c r="N56" i="4"/>
  <c r="I51" i="4"/>
  <c r="AL410" i="1"/>
  <c r="AL411" i="1" s="1"/>
  <c r="BE194" i="1"/>
  <c r="BD194" i="1"/>
  <c r="H101" i="4"/>
  <c r="H14" i="4"/>
  <c r="BE180" i="1"/>
  <c r="BD180" i="1"/>
  <c r="I101" i="4"/>
  <c r="I14" i="4"/>
  <c r="BE169" i="1"/>
  <c r="BD169" i="1"/>
  <c r="S207" i="1"/>
  <c r="S206" i="1" s="1"/>
  <c r="BC208" i="1"/>
  <c r="BC207" i="1" s="1"/>
  <c r="BC206" i="1" s="1"/>
  <c r="Q112" i="4"/>
  <c r="Q56" i="4"/>
  <c r="AX410" i="1"/>
  <c r="AX411" i="1" s="1"/>
  <c r="AX417" i="1" s="1"/>
  <c r="S9" i="4"/>
  <c r="H51" i="4"/>
  <c r="M112" i="4"/>
  <c r="M56" i="4"/>
  <c r="W288" i="2"/>
  <c r="V112" i="4"/>
  <c r="V56" i="4"/>
  <c r="U112" i="4"/>
  <c r="U56" i="4"/>
  <c r="T555" i="2"/>
  <c r="T556" i="2" s="1"/>
  <c r="AN410" i="1"/>
  <c r="AN411" i="1" s="1"/>
  <c r="AN417" i="1" s="1"/>
  <c r="BE164" i="1"/>
  <c r="BD164" i="1"/>
  <c r="T9" i="4"/>
  <c r="K51" i="4"/>
  <c r="AZ410" i="1"/>
  <c r="AZ411" i="1" s="1"/>
  <c r="AZ417" i="1" s="1"/>
  <c r="J101" i="4"/>
  <c r="J14" i="4"/>
  <c r="U287" i="2"/>
  <c r="BH287" i="2" s="1"/>
  <c r="BE141" i="1"/>
  <c r="BD141" i="1"/>
  <c r="W101" i="4"/>
  <c r="W14" i="4"/>
  <c r="P112" i="4"/>
  <c r="P56" i="4"/>
  <c r="BE143" i="1"/>
  <c r="BD143" i="1"/>
  <c r="U9" i="4"/>
  <c r="L51" i="4"/>
  <c r="AB409" i="1"/>
  <c r="M14" i="4"/>
  <c r="M101" i="4"/>
  <c r="K101" i="4"/>
  <c r="K14" i="4"/>
  <c r="BE175" i="1"/>
  <c r="BD175" i="1"/>
  <c r="BE182" i="1"/>
  <c r="BD182" i="1"/>
  <c r="Y44" i="4"/>
  <c r="Z44" i="4" s="1"/>
  <c r="BC187" i="1"/>
  <c r="BC186" i="1" s="1"/>
  <c r="S186" i="1"/>
  <c r="V9" i="4"/>
  <c r="BE176" i="1"/>
  <c r="BD176" i="1"/>
  <c r="M51" i="4"/>
  <c r="BE181" i="1"/>
  <c r="BD181" i="1"/>
  <c r="F56" i="4" l="1"/>
  <c r="I25" i="5"/>
  <c r="G25" i="5"/>
  <c r="AX560" i="2"/>
  <c r="AP416" i="1"/>
  <c r="W287" i="2"/>
  <c r="BG287" i="2"/>
  <c r="AP417" i="1"/>
  <c r="H93" i="4"/>
  <c r="H97" i="4" s="1"/>
  <c r="W13" i="4"/>
  <c r="AF560" i="2"/>
  <c r="AL417" i="1"/>
  <c r="AL416" i="1"/>
  <c r="N93" i="4"/>
  <c r="N111" i="4" s="1"/>
  <c r="N113" i="4" s="1"/>
  <c r="AF411" i="1"/>
  <c r="AF417" i="1" s="1"/>
  <c r="M93" i="4"/>
  <c r="M97" i="4" s="1"/>
  <c r="S93" i="4"/>
  <c r="S97" i="4" s="1"/>
  <c r="Q93" i="4"/>
  <c r="Q97" i="4" s="1"/>
  <c r="S213" i="1"/>
  <c r="L93" i="4"/>
  <c r="L97" i="4" s="1"/>
  <c r="BD556" i="2"/>
  <c r="BD557" i="2" s="1"/>
  <c r="AD417" i="1"/>
  <c r="K93" i="4"/>
  <c r="K97" i="4" s="1"/>
  <c r="AT560" i="2"/>
  <c r="V93" i="4"/>
  <c r="V97" i="4" s="1"/>
  <c r="AX416" i="1"/>
  <c r="I93" i="4"/>
  <c r="I97" i="4" s="1"/>
  <c r="F137" i="4"/>
  <c r="I137" i="4"/>
  <c r="I145" i="4" s="1"/>
  <c r="AB560" i="2"/>
  <c r="S137" i="4"/>
  <c r="S145" i="4" s="1"/>
  <c r="AV560" i="2"/>
  <c r="L137" i="4"/>
  <c r="L145" i="4" s="1"/>
  <c r="AH560" i="2"/>
  <c r="AR562" i="2"/>
  <c r="AR561" i="2"/>
  <c r="P93" i="4"/>
  <c r="P111" i="4" s="1"/>
  <c r="V137" i="4"/>
  <c r="V145" i="4" s="1"/>
  <c r="BB560" i="2"/>
  <c r="AH556" i="2"/>
  <c r="AH557" i="2" s="1"/>
  <c r="V417" i="1"/>
  <c r="V416" i="1"/>
  <c r="O137" i="4"/>
  <c r="O145" i="4" s="1"/>
  <c r="AN560" i="2"/>
  <c r="J137" i="4"/>
  <c r="J145" i="4" s="1"/>
  <c r="AD560" i="2"/>
  <c r="AZ560" i="2"/>
  <c r="U137" i="4"/>
  <c r="U145" i="4" s="1"/>
  <c r="AJ416" i="1"/>
  <c r="G137" i="4"/>
  <c r="G145" i="4" s="1"/>
  <c r="X560" i="2"/>
  <c r="W137" i="4"/>
  <c r="W145" i="4" s="1"/>
  <c r="BD560" i="2"/>
  <c r="H137" i="4"/>
  <c r="H145" i="4" s="1"/>
  <c r="Z560" i="2"/>
  <c r="AT416" i="1"/>
  <c r="BC213" i="1"/>
  <c r="AN416" i="1"/>
  <c r="AZ416" i="1"/>
  <c r="C26" i="5"/>
  <c r="B27" i="5" s="1"/>
  <c r="H6" i="4"/>
  <c r="Z4" i="2" s="1"/>
  <c r="V4" i="1" s="1"/>
  <c r="V412" i="1"/>
  <c r="Z557" i="2"/>
  <c r="T557" i="2"/>
  <c r="AR557" i="2"/>
  <c r="X557" i="2"/>
  <c r="R120" i="4"/>
  <c r="AN557" i="2"/>
  <c r="AD412" i="1"/>
  <c r="U114" i="4"/>
  <c r="U116" i="4"/>
  <c r="U118" i="4" s="1"/>
  <c r="G114" i="4"/>
  <c r="G116" i="4" s="1"/>
  <c r="G118" i="4" s="1"/>
  <c r="AL555" i="2"/>
  <c r="AL556" i="2" s="1"/>
  <c r="W102" i="4"/>
  <c r="W104" i="4" s="1"/>
  <c r="S6" i="1"/>
  <c r="R406" i="1"/>
  <c r="R413" i="1" s="1"/>
  <c r="AZ555" i="2"/>
  <c r="AZ556" i="2" s="1"/>
  <c r="X410" i="1"/>
  <c r="X411" i="1" s="1"/>
  <c r="BC59" i="1"/>
  <c r="BC6" i="1" s="1"/>
  <c r="BB403" i="1"/>
  <c r="V114" i="4"/>
  <c r="V116" i="4" s="1"/>
  <c r="V118" i="4" s="1"/>
  <c r="V103" i="4"/>
  <c r="V105" i="4" s="1"/>
  <c r="V123" i="4"/>
  <c r="O100" i="4"/>
  <c r="O13" i="4"/>
  <c r="L123" i="4"/>
  <c r="L103" i="4"/>
  <c r="L105" i="4" s="1"/>
  <c r="K114" i="4"/>
  <c r="K116" i="4"/>
  <c r="K118" i="4" s="1"/>
  <c r="Q103" i="4"/>
  <c r="Q123" i="4"/>
  <c r="J55" i="4"/>
  <c r="AX555" i="2"/>
  <c r="AX556" i="2" s="1"/>
  <c r="AX561" i="2" s="1"/>
  <c r="H123" i="4"/>
  <c r="H103" i="4"/>
  <c r="S103" i="4"/>
  <c r="S123" i="4"/>
  <c r="Y51" i="4"/>
  <c r="Z51" i="4" s="1"/>
  <c r="F55" i="4"/>
  <c r="J100" i="4"/>
  <c r="J13" i="4"/>
  <c r="Y56" i="4"/>
  <c r="Z56" i="4" s="1"/>
  <c r="W123" i="4"/>
  <c r="W103" i="4"/>
  <c r="W105" i="4" s="1"/>
  <c r="AX412" i="1"/>
  <c r="AF555" i="2"/>
  <c r="AF556" i="2" s="1"/>
  <c r="P103" i="4"/>
  <c r="P123" i="4"/>
  <c r="P105" i="4"/>
  <c r="U123" i="4"/>
  <c r="U103" i="4"/>
  <c r="AB555" i="2"/>
  <c r="AB556" i="2" s="1"/>
  <c r="G55" i="4"/>
  <c r="H55" i="4"/>
  <c r="H111" i="4"/>
  <c r="O114" i="4"/>
  <c r="O116" i="4" s="1"/>
  <c r="O118" i="4" s="1"/>
  <c r="V55" i="4"/>
  <c r="Z410" i="1"/>
  <c r="Z411" i="1" s="1"/>
  <c r="Z417" i="1" s="1"/>
  <c r="BF551" i="2"/>
  <c r="L100" i="4"/>
  <c r="L13" i="4"/>
  <c r="I100" i="4"/>
  <c r="I13" i="4"/>
  <c r="AJ412" i="1"/>
  <c r="AZ412" i="1"/>
  <c r="T13" i="4"/>
  <c r="T100" i="4"/>
  <c r="N114" i="4"/>
  <c r="N116" i="4" s="1"/>
  <c r="N118" i="4" s="1"/>
  <c r="AP555" i="2"/>
  <c r="AP556" i="2" s="1"/>
  <c r="H114" i="4"/>
  <c r="H116" i="4" s="1"/>
  <c r="H118" i="4" s="1"/>
  <c r="BB212" i="1"/>
  <c r="S212" i="1"/>
  <c r="G123" i="4"/>
  <c r="G103" i="4"/>
  <c r="K123" i="4"/>
  <c r="K103" i="4"/>
  <c r="AJ555" i="2"/>
  <c r="AJ556" i="2"/>
  <c r="AJ562" i="2" s="1"/>
  <c r="BB555" i="2"/>
  <c r="BB556" i="2" s="1"/>
  <c r="AD555" i="2"/>
  <c r="AD556" i="2" s="1"/>
  <c r="W114" i="4"/>
  <c r="W116" i="4" s="1"/>
  <c r="W118" i="4" s="1"/>
  <c r="G100" i="4"/>
  <c r="G13" i="4"/>
  <c r="F94" i="4"/>
  <c r="BG546" i="2"/>
  <c r="W545" i="2"/>
  <c r="W544" i="2" s="1"/>
  <c r="W543" i="2" s="1"/>
  <c r="V549" i="2"/>
  <c r="P114" i="4"/>
  <c r="P116" i="4" s="1"/>
  <c r="P118" i="4" s="1"/>
  <c r="O93" i="4"/>
  <c r="N13" i="4"/>
  <c r="N100" i="4"/>
  <c r="R123" i="4"/>
  <c r="R103" i="4"/>
  <c r="R125" i="4" s="1"/>
  <c r="W55" i="4"/>
  <c r="C128" i="4"/>
  <c r="AL412" i="1"/>
  <c r="I55" i="4"/>
  <c r="T114" i="4"/>
  <c r="T116" i="4" s="1"/>
  <c r="T118" i="4" s="1"/>
  <c r="N103" i="4"/>
  <c r="N105" i="4" s="1"/>
  <c r="N123" i="4"/>
  <c r="AV555" i="2"/>
  <c r="AV556" i="2" s="1"/>
  <c r="R13" i="4"/>
  <c r="R100" i="4"/>
  <c r="O123" i="4"/>
  <c r="O103" i="4"/>
  <c r="O105" i="4" s="1"/>
  <c r="V100" i="4"/>
  <c r="V13" i="4"/>
  <c r="M100" i="4"/>
  <c r="M13" i="4"/>
  <c r="H100" i="4"/>
  <c r="H13" i="4"/>
  <c r="S100" i="4"/>
  <c r="S13" i="4"/>
  <c r="AT555" i="2"/>
  <c r="AT556" i="2" s="1"/>
  <c r="P100" i="4"/>
  <c r="P13" i="4"/>
  <c r="J114" i="4"/>
  <c r="J116" i="4"/>
  <c r="J118" i="4" s="1"/>
  <c r="M114" i="4"/>
  <c r="M116" i="4" s="1"/>
  <c r="M118" i="4" s="1"/>
  <c r="J103" i="4"/>
  <c r="J105" i="4" s="1"/>
  <c r="J123" i="4"/>
  <c r="J93" i="4"/>
  <c r="J97" i="4" s="1"/>
  <c r="T93" i="4"/>
  <c r="U100" i="4"/>
  <c r="U13" i="4"/>
  <c r="W93" i="4"/>
  <c r="W97" i="4" s="1"/>
  <c r="AT412" i="1"/>
  <c r="S114" i="4"/>
  <c r="S116" i="4" s="1"/>
  <c r="S118" i="4" s="1"/>
  <c r="Y14" i="4"/>
  <c r="Z14" i="4" s="1"/>
  <c r="I103" i="4"/>
  <c r="I105" i="4" s="1"/>
  <c r="I123" i="4"/>
  <c r="R93" i="4"/>
  <c r="F93" i="4"/>
  <c r="F111" i="4" s="1"/>
  <c r="T123" i="4"/>
  <c r="T103" i="4"/>
  <c r="T105" i="4" s="1"/>
  <c r="K100" i="4"/>
  <c r="K13" i="4"/>
  <c r="F100" i="4"/>
  <c r="Y9" i="4"/>
  <c r="Z9" i="4" s="1"/>
  <c r="F13" i="4"/>
  <c r="L114" i="4"/>
  <c r="L116" i="4"/>
  <c r="L118" i="4" s="1"/>
  <c r="G93" i="4"/>
  <c r="G97" i="4" s="1"/>
  <c r="K55" i="4"/>
  <c r="M103" i="4"/>
  <c r="M105" i="4" s="1"/>
  <c r="M123" i="4"/>
  <c r="AN412" i="1"/>
  <c r="Q114" i="4"/>
  <c r="Q116" i="4" s="1"/>
  <c r="Q118" i="4" s="1"/>
  <c r="AB410" i="1"/>
  <c r="AB411" i="1" s="1"/>
  <c r="AB417" i="1" s="1"/>
  <c r="L55" i="4"/>
  <c r="M55" i="4"/>
  <c r="T410" i="1"/>
  <c r="T411" i="1" s="1"/>
  <c r="T416" i="1" s="1"/>
  <c r="U93" i="4"/>
  <c r="Q13" i="4"/>
  <c r="Q100" i="4"/>
  <c r="I114" i="4"/>
  <c r="I116" i="4" s="1"/>
  <c r="I118" i="4" s="1"/>
  <c r="F103" i="4"/>
  <c r="F105" i="4" s="1"/>
  <c r="Y101" i="4"/>
  <c r="Z101" i="4" s="1"/>
  <c r="AF562" i="2" l="1"/>
  <c r="Q111" i="4"/>
  <c r="S111" i="4"/>
  <c r="AF412" i="1"/>
  <c r="N97" i="4"/>
  <c r="R105" i="4"/>
  <c r="R107" i="4" s="1"/>
  <c r="M111" i="4"/>
  <c r="M122" i="4" s="1"/>
  <c r="AT562" i="2"/>
  <c r="L111" i="4"/>
  <c r="L113" i="4" s="1"/>
  <c r="L115" i="4" s="1"/>
  <c r="L117" i="4" s="1"/>
  <c r="S125" i="4"/>
  <c r="AF416" i="1"/>
  <c r="G125" i="4"/>
  <c r="AX562" i="2"/>
  <c r="K111" i="4"/>
  <c r="K113" i="4" s="1"/>
  <c r="K115" i="4" s="1"/>
  <c r="K117" i="4" s="1"/>
  <c r="N115" i="4"/>
  <c r="N117" i="4" s="1"/>
  <c r="N119" i="4" s="1"/>
  <c r="G111" i="4"/>
  <c r="G122" i="4" s="1"/>
  <c r="M125" i="4"/>
  <c r="AP562" i="2"/>
  <c r="AP561" i="2"/>
  <c r="AF561" i="2"/>
  <c r="V111" i="4"/>
  <c r="V122" i="4" s="1"/>
  <c r="I111" i="4"/>
  <c r="I122" i="4" s="1"/>
  <c r="K125" i="4"/>
  <c r="S105" i="4"/>
  <c r="S107" i="4" s="1"/>
  <c r="X417" i="1"/>
  <c r="X416" i="1"/>
  <c r="AH562" i="2"/>
  <c r="AH561" i="2"/>
  <c r="X562" i="2"/>
  <c r="X561" i="2"/>
  <c r="Z416" i="1"/>
  <c r="AV562" i="2"/>
  <c r="AV561" i="2"/>
  <c r="AD562" i="2"/>
  <c r="AD561" i="2"/>
  <c r="T417" i="1"/>
  <c r="AN561" i="2"/>
  <c r="AN562" i="2"/>
  <c r="AB562" i="2"/>
  <c r="AB561" i="2"/>
  <c r="P97" i="4"/>
  <c r="AT561" i="2"/>
  <c r="T125" i="4"/>
  <c r="AZ562" i="2"/>
  <c r="AZ561" i="2"/>
  <c r="AB416" i="1"/>
  <c r="BB562" i="2"/>
  <c r="BB561" i="2"/>
  <c r="Z561" i="2"/>
  <c r="Z562" i="2"/>
  <c r="Q125" i="4"/>
  <c r="J125" i="4"/>
  <c r="O125" i="4"/>
  <c r="BD562" i="2"/>
  <c r="BD561" i="2"/>
  <c r="AJ561" i="2"/>
  <c r="V125" i="4"/>
  <c r="D26" i="5"/>
  <c r="H7" i="4" s="1"/>
  <c r="F26" i="5"/>
  <c r="H26" i="5" s="1"/>
  <c r="C27" i="5"/>
  <c r="B28" i="5" s="1"/>
  <c r="E26" i="5"/>
  <c r="P120" i="4"/>
  <c r="AD557" i="2"/>
  <c r="X412" i="1"/>
  <c r="AX557" i="2"/>
  <c r="AF557" i="2"/>
  <c r="W107" i="4"/>
  <c r="W127" i="4"/>
  <c r="Z412" i="1"/>
  <c r="L107" i="4"/>
  <c r="L127" i="4"/>
  <c r="AB412" i="1"/>
  <c r="H120" i="4"/>
  <c r="W106" i="4"/>
  <c r="J102" i="4"/>
  <c r="Y94" i="4"/>
  <c r="Z94" i="4" s="1"/>
  <c r="F98" i="4"/>
  <c r="Y98" i="4" s="1"/>
  <c r="Z98" i="4" s="1"/>
  <c r="F112" i="4"/>
  <c r="U125" i="4"/>
  <c r="F113" i="4"/>
  <c r="F115" i="4" s="1"/>
  <c r="V120" i="4"/>
  <c r="P127" i="4"/>
  <c r="P107" i="4"/>
  <c r="M127" i="4"/>
  <c r="M107" i="4"/>
  <c r="AP557" i="2"/>
  <c r="U102" i="4"/>
  <c r="U104" i="4"/>
  <c r="AB557" i="2"/>
  <c r="Q122" i="4"/>
  <c r="Q102" i="4"/>
  <c r="Q104" i="4" s="1"/>
  <c r="Y13" i="4"/>
  <c r="Z13" i="4" s="1"/>
  <c r="N127" i="4"/>
  <c r="N107" i="4"/>
  <c r="M102" i="4"/>
  <c r="H113" i="4"/>
  <c r="H115" i="4" s="1"/>
  <c r="H117" i="4" s="1"/>
  <c r="N120" i="4"/>
  <c r="P125" i="4"/>
  <c r="J111" i="4"/>
  <c r="J122" i="4" s="1"/>
  <c r="W111" i="4"/>
  <c r="J127" i="4"/>
  <c r="J107" i="4"/>
  <c r="F102" i="4"/>
  <c r="F104" i="4" s="1"/>
  <c r="Y100" i="4"/>
  <c r="Z100" i="4" s="1"/>
  <c r="F122" i="4"/>
  <c r="N125" i="4"/>
  <c r="S113" i="4"/>
  <c r="S115" i="4"/>
  <c r="S117" i="4" s="1"/>
  <c r="N122" i="4"/>
  <c r="N102" i="4"/>
  <c r="N124" i="4" s="1"/>
  <c r="N104" i="4"/>
  <c r="O97" i="4"/>
  <c r="O111" i="4"/>
  <c r="T412" i="1"/>
  <c r="L122" i="4"/>
  <c r="L102" i="4"/>
  <c r="Q105" i="4"/>
  <c r="L120" i="4"/>
  <c r="G102" i="4"/>
  <c r="G104" i="4" s="1"/>
  <c r="U105" i="4"/>
  <c r="K105" i="4"/>
  <c r="V127" i="4"/>
  <c r="V107" i="4"/>
  <c r="U97" i="4"/>
  <c r="U111" i="4"/>
  <c r="U122" i="4" s="1"/>
  <c r="K102" i="4"/>
  <c r="K104" i="4"/>
  <c r="J120" i="4"/>
  <c r="T120" i="4"/>
  <c r="K120" i="4"/>
  <c r="U120" i="4"/>
  <c r="Y55" i="4"/>
  <c r="Z55" i="4" s="1"/>
  <c r="O107" i="4"/>
  <c r="O127" i="4"/>
  <c r="T97" i="4"/>
  <c r="T111" i="4"/>
  <c r="T122" i="4" s="1"/>
  <c r="H125" i="4"/>
  <c r="AV557" i="2"/>
  <c r="Q113" i="4"/>
  <c r="Q115" i="4" s="1"/>
  <c r="Q117" i="4" s="1"/>
  <c r="G105" i="4"/>
  <c r="AL557" i="2"/>
  <c r="P122" i="4"/>
  <c r="P102" i="4"/>
  <c r="P104" i="4" s="1"/>
  <c r="BB406" i="1"/>
  <c r="R102" i="4"/>
  <c r="R104" i="4" s="1"/>
  <c r="M120" i="4"/>
  <c r="T127" i="4"/>
  <c r="T107" i="4"/>
  <c r="Q120" i="4"/>
  <c r="L125" i="4"/>
  <c r="G120" i="4"/>
  <c r="W120" i="4"/>
  <c r="AZ557" i="2"/>
  <c r="BB557" i="2"/>
  <c r="AJ557" i="2"/>
  <c r="R97" i="4"/>
  <c r="R111" i="4"/>
  <c r="R122" i="4" s="1"/>
  <c r="AT557" i="2"/>
  <c r="R404" i="1"/>
  <c r="S211" i="1"/>
  <c r="S210" i="1" s="1"/>
  <c r="BC212" i="1"/>
  <c r="D86" i="4"/>
  <c r="D72" i="4"/>
  <c r="D93" i="4"/>
  <c r="D44" i="4"/>
  <c r="D30" i="4"/>
  <c r="D58" i="4"/>
  <c r="D65" i="4"/>
  <c r="D16" i="4"/>
  <c r="D79" i="4"/>
  <c r="D37" i="4"/>
  <c r="D23" i="4"/>
  <c r="D9" i="4"/>
  <c r="D51" i="4"/>
  <c r="F107" i="4"/>
  <c r="BG545" i="2"/>
  <c r="BG544" i="2" s="1"/>
  <c r="BG543" i="2" s="1"/>
  <c r="BF549" i="2"/>
  <c r="I120" i="4"/>
  <c r="I107" i="4"/>
  <c r="I127" i="4"/>
  <c r="I125" i="4"/>
  <c r="S122" i="4"/>
  <c r="S102" i="4"/>
  <c r="S104" i="4" s="1"/>
  <c r="S120" i="4"/>
  <c r="BE212" i="1"/>
  <c r="BD212" i="1"/>
  <c r="O120" i="4"/>
  <c r="P113" i="4"/>
  <c r="P115" i="4" s="1"/>
  <c r="P117" i="4" s="1"/>
  <c r="V552" i="2"/>
  <c r="V553" i="2" s="1"/>
  <c r="V550" i="2"/>
  <c r="V102" i="4"/>
  <c r="V104" i="4" s="1"/>
  <c r="Y103" i="4"/>
  <c r="Z103" i="4" s="1"/>
  <c r="T102" i="4"/>
  <c r="T104" i="4" s="1"/>
  <c r="H105" i="4"/>
  <c r="I102" i="4"/>
  <c r="I104" i="4" s="1"/>
  <c r="Y93" i="4"/>
  <c r="Z93" i="4" s="1"/>
  <c r="F97" i="4"/>
  <c r="W125" i="4"/>
  <c r="H122" i="4"/>
  <c r="H102" i="4"/>
  <c r="O102" i="4"/>
  <c r="O104" i="4"/>
  <c r="F27" i="5" l="1"/>
  <c r="E27" i="5"/>
  <c r="R127" i="4"/>
  <c r="R129" i="4" s="1"/>
  <c r="R153" i="4" s="1"/>
  <c r="M113" i="4"/>
  <c r="M115" i="4" s="1"/>
  <c r="V554" i="2"/>
  <c r="G113" i="4"/>
  <c r="G115" i="4" s="1"/>
  <c r="G26" i="5"/>
  <c r="I26" i="5"/>
  <c r="K122" i="4"/>
  <c r="M124" i="4"/>
  <c r="M104" i="4"/>
  <c r="V113" i="4"/>
  <c r="V115" i="4" s="1"/>
  <c r="V117" i="4" s="1"/>
  <c r="T129" i="4"/>
  <c r="T153" i="4" s="1"/>
  <c r="M129" i="4"/>
  <c r="M153" i="4" s="1"/>
  <c r="S127" i="4"/>
  <c r="S129" i="4" s="1"/>
  <c r="S153" i="4" s="1"/>
  <c r="L124" i="4"/>
  <c r="I113" i="4"/>
  <c r="I115" i="4" s="1"/>
  <c r="I117" i="4" s="1"/>
  <c r="I119" i="4" s="1"/>
  <c r="I6" i="4"/>
  <c r="AB4" i="2" s="1"/>
  <c r="X4" i="1" s="1"/>
  <c r="J129" i="4"/>
  <c r="J153" i="4" s="1"/>
  <c r="P124" i="4"/>
  <c r="V129" i="4"/>
  <c r="V153" i="4" s="1"/>
  <c r="H124" i="4"/>
  <c r="S124" i="4"/>
  <c r="Y97" i="4"/>
  <c r="Z97" i="4" s="1"/>
  <c r="L104" i="4"/>
  <c r="L106" i="4" s="1"/>
  <c r="O129" i="4"/>
  <c r="O153" i="4" s="1"/>
  <c r="H140" i="4"/>
  <c r="V559" i="2"/>
  <c r="Y111" i="4"/>
  <c r="Z111" i="4" s="1"/>
  <c r="H104" i="4"/>
  <c r="H106" i="4" s="1"/>
  <c r="C28" i="5"/>
  <c r="B29" i="5" s="1"/>
  <c r="H27" i="5"/>
  <c r="D27" i="5"/>
  <c r="I7" i="4" s="1"/>
  <c r="U106" i="4"/>
  <c r="R109" i="4"/>
  <c r="L129" i="4"/>
  <c r="L153" i="4" s="1"/>
  <c r="L109" i="4"/>
  <c r="H119" i="4"/>
  <c r="P109" i="4"/>
  <c r="P129" i="4"/>
  <c r="P153" i="4" s="1"/>
  <c r="V119" i="4"/>
  <c r="M106" i="4"/>
  <c r="W129" i="4"/>
  <c r="W153" i="4" s="1"/>
  <c r="W109" i="4"/>
  <c r="P126" i="4"/>
  <c r="P128" i="4" s="1"/>
  <c r="P106" i="4"/>
  <c r="Q119" i="4"/>
  <c r="O113" i="4"/>
  <c r="O124" i="4" s="1"/>
  <c r="V109" i="4"/>
  <c r="F117" i="4"/>
  <c r="F140" i="4" s="1"/>
  <c r="R131" i="4"/>
  <c r="N45" i="6" s="1"/>
  <c r="I106" i="4"/>
  <c r="S106" i="4"/>
  <c r="S126" i="4"/>
  <c r="K106" i="4"/>
  <c r="K126" i="4"/>
  <c r="S119" i="4"/>
  <c r="Q127" i="4"/>
  <c r="Q129" i="4" s="1"/>
  <c r="Q153" i="4" s="1"/>
  <c r="Q107" i="4"/>
  <c r="K119" i="4"/>
  <c r="W113" i="4"/>
  <c r="W124" i="4" s="1"/>
  <c r="W115" i="4"/>
  <c r="W122" i="4"/>
  <c r="G127" i="4"/>
  <c r="G129" i="4" s="1"/>
  <c r="G153" i="4" s="1"/>
  <c r="G107" i="4"/>
  <c r="M131" i="4"/>
  <c r="I45" i="6" s="1"/>
  <c r="N106" i="4"/>
  <c r="N126" i="4"/>
  <c r="N128" i="4" s="1"/>
  <c r="H127" i="4"/>
  <c r="H129" i="4" s="1"/>
  <c r="H153" i="4" s="1"/>
  <c r="H107" i="4"/>
  <c r="BB404" i="1"/>
  <c r="BC211" i="1"/>
  <c r="BC210" i="1" s="1"/>
  <c r="K127" i="4"/>
  <c r="K129" i="4" s="1"/>
  <c r="K153" i="4" s="1"/>
  <c r="K107" i="4"/>
  <c r="N109" i="4"/>
  <c r="S109" i="4"/>
  <c r="T106" i="4"/>
  <c r="L119" i="4"/>
  <c r="T113" i="4"/>
  <c r="T124" i="4" s="1"/>
  <c r="T115" i="4"/>
  <c r="T117" i="4" s="1"/>
  <c r="U127" i="4"/>
  <c r="U129" i="4" s="1"/>
  <c r="U153" i="4" s="1"/>
  <c r="U107" i="4"/>
  <c r="F126" i="4"/>
  <c r="F106" i="4"/>
  <c r="F136" i="4" s="1"/>
  <c r="N129" i="4"/>
  <c r="J113" i="4"/>
  <c r="J124" i="4" s="1"/>
  <c r="J115" i="4"/>
  <c r="J117" i="4" s="1"/>
  <c r="I129" i="4"/>
  <c r="I153" i="4" s="1"/>
  <c r="G106" i="4"/>
  <c r="G136" i="4" s="1"/>
  <c r="W108" i="4"/>
  <c r="Q126" i="4"/>
  <c r="Q106" i="4"/>
  <c r="Y112" i="4"/>
  <c r="Z112" i="4" s="1"/>
  <c r="F114" i="4"/>
  <c r="F116" i="4" s="1"/>
  <c r="F123" i="4"/>
  <c r="Y123" i="4" s="1"/>
  <c r="Z123" i="4" s="1"/>
  <c r="K124" i="4"/>
  <c r="U113" i="4"/>
  <c r="U124" i="4" s="1"/>
  <c r="I109" i="4"/>
  <c r="T109" i="4"/>
  <c r="V106" i="4"/>
  <c r="V555" i="2"/>
  <c r="V556" i="2" s="1"/>
  <c r="O106" i="4"/>
  <c r="O109" i="4"/>
  <c r="F124" i="4"/>
  <c r="Y102" i="4"/>
  <c r="Z102" i="4" s="1"/>
  <c r="Q124" i="4"/>
  <c r="M109" i="4"/>
  <c r="BF552" i="2"/>
  <c r="BF553" i="2" s="1"/>
  <c r="BF550" i="2"/>
  <c r="R113" i="4"/>
  <c r="R115" i="4" s="1"/>
  <c r="R106" i="4"/>
  <c r="R124" i="4"/>
  <c r="J109" i="4"/>
  <c r="R407" i="1"/>
  <c r="R408" i="1" s="1"/>
  <c r="R405" i="1"/>
  <c r="Y105" i="4"/>
  <c r="Z105" i="4" s="1"/>
  <c r="F109" i="4"/>
  <c r="G124" i="4"/>
  <c r="P119" i="4"/>
  <c r="O122" i="4"/>
  <c r="J104" i="4"/>
  <c r="Y122" i="4" l="1"/>
  <c r="Z122" i="4" s="1"/>
  <c r="S131" i="4"/>
  <c r="O45" i="6" s="1"/>
  <c r="M117" i="4"/>
  <c r="M119" i="4" s="1"/>
  <c r="M126" i="4"/>
  <c r="M128" i="4" s="1"/>
  <c r="M130" i="4" s="1"/>
  <c r="I43" i="6" s="1"/>
  <c r="O131" i="4"/>
  <c r="K45" i="6" s="1"/>
  <c r="V126" i="4"/>
  <c r="O115" i="4"/>
  <c r="O117" i="4" s="1"/>
  <c r="O119" i="4" s="1"/>
  <c r="G117" i="4"/>
  <c r="G126" i="4"/>
  <c r="G128" i="4" s="1"/>
  <c r="L126" i="4"/>
  <c r="L128" i="4" s="1"/>
  <c r="L130" i="4" s="1"/>
  <c r="H43" i="6" s="1"/>
  <c r="V124" i="4"/>
  <c r="H136" i="4"/>
  <c r="H144" i="4" s="1"/>
  <c r="T131" i="4"/>
  <c r="P45" i="6" s="1"/>
  <c r="P196" i="6" s="1"/>
  <c r="G27" i="5"/>
  <c r="I136" i="4" s="1"/>
  <c r="I27" i="5"/>
  <c r="I124" i="4"/>
  <c r="I140" i="4"/>
  <c r="BF554" i="2"/>
  <c r="BF555" i="2" s="1"/>
  <c r="BF556" i="2" s="1"/>
  <c r="J131" i="4"/>
  <c r="F45" i="6" s="1"/>
  <c r="F196" i="6" s="1"/>
  <c r="I126" i="4"/>
  <c r="I128" i="4" s="1"/>
  <c r="V131" i="4"/>
  <c r="R45" i="6" s="1"/>
  <c r="R196" i="6" s="1"/>
  <c r="S128" i="4"/>
  <c r="S130" i="4" s="1"/>
  <c r="O43" i="6" s="1"/>
  <c r="K128" i="4"/>
  <c r="K130" i="4" s="1"/>
  <c r="G43" i="6" s="1"/>
  <c r="F144" i="4"/>
  <c r="F148" i="4" s="1"/>
  <c r="F141" i="4"/>
  <c r="F145" i="4" s="1"/>
  <c r="F149" i="4" s="1"/>
  <c r="G149" i="4" s="1"/>
  <c r="H149" i="4" s="1"/>
  <c r="I149" i="4" s="1"/>
  <c r="J149" i="4" s="1"/>
  <c r="K149" i="4" s="1"/>
  <c r="L149" i="4" s="1"/>
  <c r="M149" i="4" s="1"/>
  <c r="V560" i="2"/>
  <c r="H126" i="4"/>
  <c r="H128" i="4" s="1"/>
  <c r="U115" i="4"/>
  <c r="U117" i="4" s="1"/>
  <c r="U119" i="4" s="1"/>
  <c r="R414" i="1"/>
  <c r="R409" i="1"/>
  <c r="R410" i="1" s="1"/>
  <c r="F28" i="5"/>
  <c r="H28" i="5" s="1"/>
  <c r="J140" i="4" s="1"/>
  <c r="J6" i="4"/>
  <c r="AD4" i="2" s="1"/>
  <c r="Z4" i="1" s="1"/>
  <c r="E28" i="5"/>
  <c r="C29" i="5"/>
  <c r="B30" i="5" s="1"/>
  <c r="K6" i="4"/>
  <c r="AF4" i="2" s="1"/>
  <c r="AB4" i="1" s="1"/>
  <c r="D28" i="5"/>
  <c r="J7" i="4" s="1"/>
  <c r="V557" i="2"/>
  <c r="R117" i="4"/>
  <c r="R126" i="4"/>
  <c r="R128" i="4" s="1"/>
  <c r="F128" i="4"/>
  <c r="G131" i="4"/>
  <c r="C45" i="6" s="1"/>
  <c r="Y124" i="4"/>
  <c r="Z124" i="4" s="1"/>
  <c r="F118" i="4"/>
  <c r="Y116" i="4"/>
  <c r="Z116" i="4" s="1"/>
  <c r="F127" i="4"/>
  <c r="Q109" i="4"/>
  <c r="G109" i="4"/>
  <c r="P131" i="4"/>
  <c r="L45" i="6" s="1"/>
  <c r="Q131" i="4"/>
  <c r="M45" i="6" s="1"/>
  <c r="T126" i="4"/>
  <c r="T128" i="4" s="1"/>
  <c r="K109" i="4"/>
  <c r="L131" i="4"/>
  <c r="H45" i="6" s="1"/>
  <c r="T119" i="4"/>
  <c r="P130" i="4"/>
  <c r="L43" i="6" s="1"/>
  <c r="I131" i="4"/>
  <c r="E45" i="6" s="1"/>
  <c r="Y107" i="4"/>
  <c r="Z107" i="4" s="1"/>
  <c r="Y114" i="4"/>
  <c r="Z114" i="4" s="1"/>
  <c r="F125" i="4"/>
  <c r="Y125" i="4" s="1"/>
  <c r="Z125" i="4" s="1"/>
  <c r="U109" i="4"/>
  <c r="K108" i="4"/>
  <c r="K131" i="4"/>
  <c r="G45" i="6" s="1"/>
  <c r="W117" i="4"/>
  <c r="W126" i="4"/>
  <c r="W128" i="4" s="1"/>
  <c r="Q108" i="4"/>
  <c r="P108" i="4"/>
  <c r="V128" i="4"/>
  <c r="J126" i="4"/>
  <c r="J128" i="4" s="1"/>
  <c r="J106" i="4"/>
  <c r="H131" i="4"/>
  <c r="D45" i="6" s="1"/>
  <c r="N93" i="6"/>
  <c r="N148" i="6" s="1"/>
  <c r="N196" i="6"/>
  <c r="H108" i="4"/>
  <c r="Q128" i="4"/>
  <c r="V108" i="4"/>
  <c r="Y113" i="4"/>
  <c r="Z113" i="4" s="1"/>
  <c r="L108" i="4"/>
  <c r="G108" i="4"/>
  <c r="N130" i="4"/>
  <c r="J43" i="6" s="1"/>
  <c r="F119" i="4"/>
  <c r="W131" i="4"/>
  <c r="S45" i="6" s="1"/>
  <c r="U108" i="4"/>
  <c r="U131" i="4"/>
  <c r="Q45" i="6" s="1"/>
  <c r="K196" i="6"/>
  <c r="K93" i="6"/>
  <c r="K148" i="6" s="1"/>
  <c r="S108" i="4"/>
  <c r="R108" i="4"/>
  <c r="I108" i="4"/>
  <c r="O93" i="6"/>
  <c r="O148" i="6" s="1"/>
  <c r="O196" i="6"/>
  <c r="N131" i="4"/>
  <c r="J45" i="6" s="1"/>
  <c r="N108" i="4"/>
  <c r="M108" i="4"/>
  <c r="BB407" i="1"/>
  <c r="BB408" i="1" s="1"/>
  <c r="BB405" i="1"/>
  <c r="H109" i="4"/>
  <c r="F108" i="4"/>
  <c r="O108" i="4"/>
  <c r="T108" i="4"/>
  <c r="J119" i="4"/>
  <c r="Y104" i="4"/>
  <c r="Z104" i="4" s="1"/>
  <c r="I196" i="6"/>
  <c r="I93" i="6"/>
  <c r="I148" i="6" s="1"/>
  <c r="O126" i="4" l="1"/>
  <c r="O128" i="4" s="1"/>
  <c r="BB409" i="1"/>
  <c r="I144" i="4"/>
  <c r="I152" i="4" s="1"/>
  <c r="F93" i="6"/>
  <c r="F148" i="6" s="1"/>
  <c r="H152" i="4"/>
  <c r="R93" i="6"/>
  <c r="R148" i="6" s="1"/>
  <c r="P93" i="6"/>
  <c r="P148" i="6" s="1"/>
  <c r="U126" i="4"/>
  <c r="U128" i="4" s="1"/>
  <c r="Y128" i="4" s="1"/>
  <c r="Z128" i="4" s="1"/>
  <c r="Y115" i="4"/>
  <c r="Z115" i="4" s="1"/>
  <c r="G140" i="4"/>
  <c r="G144" i="4" s="1"/>
  <c r="G148" i="4" s="1"/>
  <c r="H148" i="4" s="1"/>
  <c r="G119" i="4"/>
  <c r="I28" i="5"/>
  <c r="G28" i="5"/>
  <c r="J136" i="4" s="1"/>
  <c r="J144" i="4" s="1"/>
  <c r="J152" i="4" s="1"/>
  <c r="Y117" i="4"/>
  <c r="Z117" i="4" s="1"/>
  <c r="F152" i="4"/>
  <c r="F156" i="4" s="1"/>
  <c r="V562" i="2"/>
  <c r="V561" i="2"/>
  <c r="R411" i="1"/>
  <c r="R412" i="1" s="1"/>
  <c r="R415" i="1"/>
  <c r="H130" i="4"/>
  <c r="D43" i="6" s="1"/>
  <c r="D91" i="6" s="1"/>
  <c r="D146" i="6" s="1"/>
  <c r="C30" i="5"/>
  <c r="B31" i="5" s="1"/>
  <c r="E29" i="5"/>
  <c r="D29" i="5"/>
  <c r="K7" i="4" s="1"/>
  <c r="F29" i="5"/>
  <c r="H29" i="5" s="1"/>
  <c r="K140" i="4" s="1"/>
  <c r="BF557" i="2"/>
  <c r="I130" i="4"/>
  <c r="E43" i="6" s="1"/>
  <c r="H91" i="6"/>
  <c r="H146" i="6" s="1"/>
  <c r="H194" i="6"/>
  <c r="BB410" i="1"/>
  <c r="BB411" i="1"/>
  <c r="L91" i="6"/>
  <c r="L146" i="6" s="1"/>
  <c r="L194" i="6"/>
  <c r="O130" i="4"/>
  <c r="K43" i="6" s="1"/>
  <c r="Q93" i="6"/>
  <c r="Q148" i="6" s="1"/>
  <c r="Q196" i="6"/>
  <c r="V130" i="4"/>
  <c r="R43" i="6" s="1"/>
  <c r="H196" i="6"/>
  <c r="H93" i="6"/>
  <c r="H148" i="6" s="1"/>
  <c r="C196" i="6"/>
  <c r="C93" i="6"/>
  <c r="C148" i="6" s="1"/>
  <c r="G196" i="6"/>
  <c r="G93" i="6"/>
  <c r="G148" i="6" s="1"/>
  <c r="G194" i="6"/>
  <c r="G91" i="6"/>
  <c r="G146" i="6" s="1"/>
  <c r="Y126" i="4"/>
  <c r="Z126" i="4" s="1"/>
  <c r="O194" i="6"/>
  <c r="O91" i="6"/>
  <c r="O146" i="6" s="1"/>
  <c r="Y127" i="4"/>
  <c r="Z127" i="4" s="1"/>
  <c r="F129" i="4"/>
  <c r="F153" i="4" s="1"/>
  <c r="F157" i="4" s="1"/>
  <c r="G157" i="4" s="1"/>
  <c r="H157" i="4" s="1"/>
  <c r="I157" i="4" s="1"/>
  <c r="J157" i="4" s="1"/>
  <c r="K157" i="4" s="1"/>
  <c r="L157" i="4" s="1"/>
  <c r="M157" i="4" s="1"/>
  <c r="J194" i="6"/>
  <c r="J91" i="6"/>
  <c r="J146" i="6" s="1"/>
  <c r="F130" i="4"/>
  <c r="F132" i="4"/>
  <c r="G132" i="4" s="1"/>
  <c r="H132" i="4" s="1"/>
  <c r="I132" i="4" s="1"/>
  <c r="J132" i="4" s="1"/>
  <c r="K132" i="4" s="1"/>
  <c r="L132" i="4" s="1"/>
  <c r="M132" i="4" s="1"/>
  <c r="N132" i="4" s="1"/>
  <c r="O132" i="4" s="1"/>
  <c r="P132" i="4" s="1"/>
  <c r="Q132" i="4" s="1"/>
  <c r="R132" i="4" s="1"/>
  <c r="S132" i="4" s="1"/>
  <c r="T132" i="4" s="1"/>
  <c r="R130" i="4"/>
  <c r="N43" i="6" s="1"/>
  <c r="L196" i="6"/>
  <c r="L93" i="6"/>
  <c r="L148" i="6" s="1"/>
  <c r="J108" i="4"/>
  <c r="J196" i="6"/>
  <c r="J93" i="6"/>
  <c r="J148" i="6" s="1"/>
  <c r="T130" i="4"/>
  <c r="P43" i="6" s="1"/>
  <c r="R119" i="4"/>
  <c r="D196" i="6"/>
  <c r="D93" i="6"/>
  <c r="D148" i="6" s="1"/>
  <c r="J130" i="4"/>
  <c r="F43" i="6" s="1"/>
  <c r="W119" i="4"/>
  <c r="G130" i="4"/>
  <c r="C43" i="6" s="1"/>
  <c r="M196" i="6"/>
  <c r="M93" i="6"/>
  <c r="M148" i="6" s="1"/>
  <c r="F120" i="4"/>
  <c r="Y118" i="4"/>
  <c r="Z118" i="4" s="1"/>
  <c r="I194" i="6"/>
  <c r="I91" i="6"/>
  <c r="I146" i="6" s="1"/>
  <c r="Q130" i="4"/>
  <c r="M43" i="6" s="1"/>
  <c r="E196" i="6"/>
  <c r="E93" i="6"/>
  <c r="E148" i="6" s="1"/>
  <c r="S196" i="6"/>
  <c r="S93" i="6"/>
  <c r="S148" i="6" s="1"/>
  <c r="W130" i="4"/>
  <c r="S43" i="6" s="1"/>
  <c r="Y106" i="4"/>
  <c r="Z106" i="4" s="1"/>
  <c r="U130" i="4" l="1"/>
  <c r="Q43" i="6" s="1"/>
  <c r="U132" i="4"/>
  <c r="V132" i="4" s="1"/>
  <c r="W132" i="4" s="1"/>
  <c r="Y132" i="4" s="1"/>
  <c r="I148" i="4"/>
  <c r="L6" i="4"/>
  <c r="AH4" i="2" s="1"/>
  <c r="AD4" i="1" s="1"/>
  <c r="G152" i="4"/>
  <c r="G156" i="4"/>
  <c r="H156" i="4" s="1"/>
  <c r="I156" i="4" s="1"/>
  <c r="J156" i="4" s="1"/>
  <c r="I29" i="5"/>
  <c r="G29" i="5"/>
  <c r="K136" i="4" s="1"/>
  <c r="J148" i="4"/>
  <c r="D194" i="6"/>
  <c r="R417" i="1"/>
  <c r="R416" i="1"/>
  <c r="K144" i="4"/>
  <c r="K152" i="4" s="1"/>
  <c r="E30" i="5"/>
  <c r="C31" i="5"/>
  <c r="B32" i="5" s="1"/>
  <c r="F30" i="5"/>
  <c r="H30" i="5" s="1"/>
  <c r="L140" i="4" s="1"/>
  <c r="D30" i="5"/>
  <c r="L7" i="4" s="1"/>
  <c r="F194" i="6"/>
  <c r="F91" i="6"/>
  <c r="F146" i="6" s="1"/>
  <c r="K91" i="6"/>
  <c r="K146" i="6" s="1"/>
  <c r="K194" i="6"/>
  <c r="C91" i="6"/>
  <c r="C146" i="6" s="1"/>
  <c r="C194" i="6"/>
  <c r="S91" i="6"/>
  <c r="S146" i="6" s="1"/>
  <c r="S194" i="6"/>
  <c r="E91" i="6"/>
  <c r="E146" i="6" s="1"/>
  <c r="E194" i="6"/>
  <c r="Y129" i="4"/>
  <c r="Z129" i="4" s="1"/>
  <c r="F131" i="4"/>
  <c r="F133" i="4"/>
  <c r="G133" i="4" s="1"/>
  <c r="H133" i="4" s="1"/>
  <c r="I133" i="4" s="1"/>
  <c r="J133" i="4" s="1"/>
  <c r="K133" i="4" s="1"/>
  <c r="L133" i="4" s="1"/>
  <c r="M133" i="4" s="1"/>
  <c r="N133" i="4" s="1"/>
  <c r="O133" i="4" s="1"/>
  <c r="P133" i="4" s="1"/>
  <c r="Q133" i="4" s="1"/>
  <c r="R133" i="4" s="1"/>
  <c r="S133" i="4" s="1"/>
  <c r="T133" i="4" s="1"/>
  <c r="U133" i="4" s="1"/>
  <c r="V133" i="4" s="1"/>
  <c r="W133" i="4" s="1"/>
  <c r="Q194" i="6"/>
  <c r="Q91" i="6"/>
  <c r="Q146" i="6" s="1"/>
  <c r="BB412" i="1"/>
  <c r="BF411" i="1"/>
  <c r="M194" i="6"/>
  <c r="M91" i="6"/>
  <c r="M146" i="6" s="1"/>
  <c r="F134" i="4"/>
  <c r="G134" i="4" s="1"/>
  <c r="H134" i="4" s="1"/>
  <c r="I134" i="4" s="1"/>
  <c r="J134" i="4" s="1"/>
  <c r="K134" i="4" s="1"/>
  <c r="L134" i="4" s="1"/>
  <c r="M134" i="4" s="1"/>
  <c r="N134" i="4" s="1"/>
  <c r="O134" i="4" s="1"/>
  <c r="P134" i="4" s="1"/>
  <c r="Q134" i="4" s="1"/>
  <c r="R134" i="4" s="1"/>
  <c r="S134" i="4" s="1"/>
  <c r="T134" i="4" s="1"/>
  <c r="U134" i="4" s="1"/>
  <c r="V134" i="4" s="1"/>
  <c r="W134" i="4" s="1"/>
  <c r="B43" i="6"/>
  <c r="P194" i="6"/>
  <c r="P91" i="6"/>
  <c r="P146" i="6" s="1"/>
  <c r="R194" i="6"/>
  <c r="R91" i="6"/>
  <c r="R146" i="6" s="1"/>
  <c r="N91" i="6"/>
  <c r="N146" i="6" s="1"/>
  <c r="N194" i="6"/>
  <c r="M6" i="4" l="1"/>
  <c r="AJ4" i="2" s="1"/>
  <c r="AF4" i="1" s="1"/>
  <c r="K148" i="4"/>
  <c r="G30" i="5"/>
  <c r="L136" i="4" s="1"/>
  <c r="I30" i="5"/>
  <c r="C32" i="5"/>
  <c r="F32" i="5" s="1"/>
  <c r="H32" i="5" s="1"/>
  <c r="E31" i="5"/>
  <c r="F31" i="5"/>
  <c r="H31" i="5" s="1"/>
  <c r="M140" i="4" s="1"/>
  <c r="D31" i="5"/>
  <c r="M7" i="4" s="1"/>
  <c r="L144" i="4"/>
  <c r="L152" i="4" s="1"/>
  <c r="K156" i="4"/>
  <c r="B91" i="6"/>
  <c r="B44" i="6"/>
  <c r="B194" i="6"/>
  <c r="B45" i="6"/>
  <c r="F135" i="4"/>
  <c r="G135" i="4" s="1"/>
  <c r="H135" i="4" s="1"/>
  <c r="I135" i="4" s="1"/>
  <c r="J135" i="4" s="1"/>
  <c r="K135" i="4" s="1"/>
  <c r="L135" i="4" s="1"/>
  <c r="M135" i="4" s="1"/>
  <c r="N135" i="4" s="1"/>
  <c r="O135" i="4" s="1"/>
  <c r="P135" i="4" s="1"/>
  <c r="Q135" i="4" s="1"/>
  <c r="R135" i="4" s="1"/>
  <c r="S135" i="4" s="1"/>
  <c r="T135" i="4" s="1"/>
  <c r="U135" i="4" s="1"/>
  <c r="V135" i="4" s="1"/>
  <c r="W135" i="4" s="1"/>
  <c r="G31" i="5" l="1"/>
  <c r="M136" i="4" s="1"/>
  <c r="M144" i="4" s="1"/>
  <c r="M152" i="4" s="1"/>
  <c r="I31" i="5"/>
  <c r="B33" i="5"/>
  <c r="C33" i="5" s="1"/>
  <c r="B34" i="5" s="1"/>
  <c r="E32" i="5"/>
  <c r="L156" i="4"/>
  <c r="N6" i="4"/>
  <c r="AL4" i="2" s="1"/>
  <c r="AH4" i="1" s="1"/>
  <c r="D32" i="5"/>
  <c r="N7" i="4" s="1"/>
  <c r="L148" i="4"/>
  <c r="B46" i="6"/>
  <c r="B196" i="6"/>
  <c r="B93" i="6"/>
  <c r="B195" i="6"/>
  <c r="C44" i="6"/>
  <c r="B92" i="6"/>
  <c r="B146" i="6"/>
  <c r="O6" i="4" l="1"/>
  <c r="AN4" i="2" s="1"/>
  <c r="AJ4" i="1" s="1"/>
  <c r="G32" i="5"/>
  <c r="N136" i="4" s="1"/>
  <c r="I32" i="5"/>
  <c r="AH413" i="1"/>
  <c r="AL558" i="2"/>
  <c r="N140" i="4"/>
  <c r="AH414" i="1"/>
  <c r="P414" i="1" s="1"/>
  <c r="AL559" i="2"/>
  <c r="F33" i="5"/>
  <c r="H33" i="5" s="1"/>
  <c r="M148" i="4"/>
  <c r="C34" i="5"/>
  <c r="B35" i="5" s="1"/>
  <c r="P6" i="4"/>
  <c r="AP4" i="2" s="1"/>
  <c r="AL4" i="1" s="1"/>
  <c r="D33" i="5"/>
  <c r="O7" i="4" s="1"/>
  <c r="E33" i="5"/>
  <c r="M156" i="4"/>
  <c r="O140" i="4"/>
  <c r="C92" i="6"/>
  <c r="B147" i="6"/>
  <c r="C195" i="6"/>
  <c r="D44" i="6"/>
  <c r="B94" i="6"/>
  <c r="B148" i="6"/>
  <c r="C46" i="6"/>
  <c r="B197" i="6"/>
  <c r="N144" i="4" l="1"/>
  <c r="N152" i="4" s="1"/>
  <c r="N156" i="4" s="1"/>
  <c r="G33" i="5"/>
  <c r="O136" i="4" s="1"/>
  <c r="O144" i="4" s="1"/>
  <c r="I33" i="5"/>
  <c r="N148" i="4"/>
  <c r="N141" i="4"/>
  <c r="T559" i="2"/>
  <c r="AH415" i="1"/>
  <c r="P413" i="1"/>
  <c r="P415" i="1" s="1"/>
  <c r="AL560" i="2"/>
  <c r="T558" i="2"/>
  <c r="N137" i="4"/>
  <c r="N145" i="4" s="1"/>
  <c r="D34" i="5"/>
  <c r="P7" i="4" s="1"/>
  <c r="E34" i="5"/>
  <c r="F34" i="5"/>
  <c r="C35" i="5"/>
  <c r="B36" i="5" s="1"/>
  <c r="Q6" i="4"/>
  <c r="AR4" i="2" s="1"/>
  <c r="AN4" i="1" s="1"/>
  <c r="D195" i="6"/>
  <c r="E44" i="6"/>
  <c r="C197" i="6"/>
  <c r="D46" i="6"/>
  <c r="D92" i="6"/>
  <c r="C147" i="6"/>
  <c r="C94" i="6"/>
  <c r="B149" i="6"/>
  <c r="O152" i="4" l="1"/>
  <c r="O156" i="4" s="1"/>
  <c r="O148" i="4"/>
  <c r="G34" i="5"/>
  <c r="P136" i="4" s="1"/>
  <c r="I34" i="5"/>
  <c r="H34" i="5"/>
  <c r="P140" i="4" s="1"/>
  <c r="P417" i="1"/>
  <c r="P416" i="1"/>
  <c r="AL562" i="2"/>
  <c r="AL561" i="2"/>
  <c r="T560" i="2"/>
  <c r="N153" i="4"/>
  <c r="N157" i="4" s="1"/>
  <c r="O157" i="4" s="1"/>
  <c r="P157" i="4" s="1"/>
  <c r="Q157" i="4" s="1"/>
  <c r="R157" i="4" s="1"/>
  <c r="S157" i="4" s="1"/>
  <c r="T157" i="4" s="1"/>
  <c r="U157" i="4" s="1"/>
  <c r="V157" i="4" s="1"/>
  <c r="W157" i="4" s="1"/>
  <c r="N149" i="4"/>
  <c r="O149" i="4" s="1"/>
  <c r="P149" i="4" s="1"/>
  <c r="Q149" i="4" s="1"/>
  <c r="R149" i="4" s="1"/>
  <c r="S149" i="4" s="1"/>
  <c r="T149" i="4" s="1"/>
  <c r="U149" i="4" s="1"/>
  <c r="V149" i="4" s="1"/>
  <c r="W149" i="4" s="1"/>
  <c r="AH417" i="1"/>
  <c r="AH416" i="1"/>
  <c r="F35" i="5"/>
  <c r="H35" i="5" s="1"/>
  <c r="Q140" i="4" s="1"/>
  <c r="C36" i="5"/>
  <c r="B37" i="5" s="1"/>
  <c r="D35" i="5"/>
  <c r="Q7" i="4" s="1"/>
  <c r="E35" i="5"/>
  <c r="D94" i="6"/>
  <c r="C149" i="6"/>
  <c r="D147" i="6"/>
  <c r="E92" i="6"/>
  <c r="D197" i="6"/>
  <c r="E46" i="6"/>
  <c r="F44" i="6"/>
  <c r="E195" i="6"/>
  <c r="P144" i="4" l="1"/>
  <c r="P152" i="4" s="1"/>
  <c r="P156" i="4" s="1"/>
  <c r="G35" i="5"/>
  <c r="Q136" i="4" s="1"/>
  <c r="I35" i="5"/>
  <c r="R6" i="4"/>
  <c r="AT4" i="2" s="1"/>
  <c r="AP4" i="1" s="1"/>
  <c r="T562" i="2"/>
  <c r="T561" i="2"/>
  <c r="Q144" i="4"/>
  <c r="Q152" i="4" s="1"/>
  <c r="F36" i="5"/>
  <c r="H36" i="5" s="1"/>
  <c r="R140" i="4" s="1"/>
  <c r="C37" i="5"/>
  <c r="B38" i="5" s="1"/>
  <c r="S6" i="4"/>
  <c r="AV4" i="2" s="1"/>
  <c r="AR4" i="1" s="1"/>
  <c r="D36" i="5"/>
  <c r="R7" i="4" s="1"/>
  <c r="E36" i="5"/>
  <c r="E147" i="6"/>
  <c r="F92" i="6"/>
  <c r="D149" i="6"/>
  <c r="E94" i="6"/>
  <c r="F46" i="6"/>
  <c r="E197" i="6"/>
  <c r="G44" i="6"/>
  <c r="F195" i="6"/>
  <c r="P148" i="4" l="1"/>
  <c r="I36" i="5"/>
  <c r="G36" i="5"/>
  <c r="R136" i="4" s="1"/>
  <c r="Q156" i="4"/>
  <c r="D37" i="5"/>
  <c r="S7" i="4" s="1"/>
  <c r="E37" i="5"/>
  <c r="F37" i="5"/>
  <c r="H37" i="5" s="1"/>
  <c r="S140" i="4" s="1"/>
  <c r="C38" i="5"/>
  <c r="B39" i="5" s="1"/>
  <c r="Q148" i="4"/>
  <c r="G195" i="6"/>
  <c r="H44" i="6"/>
  <c r="G92" i="6"/>
  <c r="F147" i="6"/>
  <c r="G46" i="6"/>
  <c r="F197" i="6"/>
  <c r="E149" i="6"/>
  <c r="F94" i="6"/>
  <c r="T6" i="4" l="1"/>
  <c r="AX4" i="2" s="1"/>
  <c r="AT4" i="1" s="1"/>
  <c r="I37" i="5"/>
  <c r="G37" i="5"/>
  <c r="S136" i="4" s="1"/>
  <c r="S144" i="4" s="1"/>
  <c r="S152" i="4" s="1"/>
  <c r="C39" i="5"/>
  <c r="B40" i="5" s="1"/>
  <c r="U6" i="4"/>
  <c r="AZ4" i="2" s="1"/>
  <c r="AV4" i="1" s="1"/>
  <c r="E38" i="5"/>
  <c r="D38" i="5"/>
  <c r="T7" i="4" s="1"/>
  <c r="F38" i="5"/>
  <c r="R144" i="4"/>
  <c r="R152" i="4" s="1"/>
  <c r="G197" i="6"/>
  <c r="H46" i="6"/>
  <c r="G147" i="6"/>
  <c r="H92" i="6"/>
  <c r="G94" i="6"/>
  <c r="F149" i="6"/>
  <c r="I44" i="6"/>
  <c r="H195" i="6"/>
  <c r="H38" i="5" l="1"/>
  <c r="T140" i="4" s="1"/>
  <c r="G38" i="5"/>
  <c r="T136" i="4" s="1"/>
  <c r="I38" i="5"/>
  <c r="R156" i="4"/>
  <c r="S156" i="4" s="1"/>
  <c r="F39" i="5"/>
  <c r="H39" i="5" s="1"/>
  <c r="U140" i="4" s="1"/>
  <c r="C40" i="5"/>
  <c r="B41" i="5" s="1"/>
  <c r="D39" i="5"/>
  <c r="U7" i="4" s="1"/>
  <c r="E39" i="5"/>
  <c r="R148" i="4"/>
  <c r="S148" i="4" s="1"/>
  <c r="BB414" i="1"/>
  <c r="BF559" i="2"/>
  <c r="J44" i="6"/>
  <c r="I195" i="6"/>
  <c r="H147" i="6"/>
  <c r="I92" i="6"/>
  <c r="I46" i="6"/>
  <c r="H197" i="6"/>
  <c r="G149" i="6"/>
  <c r="H94" i="6"/>
  <c r="T144" i="4" l="1"/>
  <c r="T152" i="4" s="1"/>
  <c r="G39" i="5"/>
  <c r="U136" i="4" s="1"/>
  <c r="U144" i="4" s="1"/>
  <c r="U152" i="4" s="1"/>
  <c r="I39" i="5"/>
  <c r="T148" i="4"/>
  <c r="V6" i="4"/>
  <c r="BB4" i="2" s="1"/>
  <c r="AX4" i="1" s="1"/>
  <c r="T156" i="4"/>
  <c r="D40" i="5"/>
  <c r="V7" i="4" s="1"/>
  <c r="E40" i="5"/>
  <c r="F40" i="5"/>
  <c r="C41" i="5"/>
  <c r="D41" i="5" s="1"/>
  <c r="W7" i="4" s="1"/>
  <c r="X7" i="4" s="1"/>
  <c r="W6" i="4"/>
  <c r="BD4" i="2" s="1"/>
  <c r="AZ4" i="1" s="1"/>
  <c r="BB413" i="1"/>
  <c r="BB415" i="1" s="1"/>
  <c r="J195" i="6"/>
  <c r="K44" i="6"/>
  <c r="J92" i="6"/>
  <c r="I147" i="6"/>
  <c r="I197" i="6"/>
  <c r="J46" i="6"/>
  <c r="I94" i="6"/>
  <c r="H149" i="6"/>
  <c r="BF558" i="2"/>
  <c r="BF560" i="2" s="1"/>
  <c r="U156" i="4" l="1"/>
  <c r="G40" i="5"/>
  <c r="V136" i="4" s="1"/>
  <c r="I40" i="5"/>
  <c r="H40" i="5"/>
  <c r="V140" i="4" s="1"/>
  <c r="U148" i="4"/>
  <c r="F41" i="5"/>
  <c r="X6" i="4"/>
  <c r="E41" i="5"/>
  <c r="J147" i="6"/>
  <c r="K92" i="6"/>
  <c r="BB416" i="1"/>
  <c r="BB417" i="1"/>
  <c r="J197" i="6"/>
  <c r="K46" i="6"/>
  <c r="BF561" i="2"/>
  <c r="BF562" i="2"/>
  <c r="J94" i="6"/>
  <c r="I149" i="6"/>
  <c r="L44" i="6"/>
  <c r="K195" i="6"/>
  <c r="V144" i="4" l="1"/>
  <c r="G41" i="5"/>
  <c r="W136" i="4" s="1"/>
  <c r="I41" i="5"/>
  <c r="H41" i="5"/>
  <c r="W140" i="4" s="1"/>
  <c r="C140" i="4" s="1"/>
  <c r="K94" i="6"/>
  <c r="J149" i="6"/>
  <c r="L195" i="6"/>
  <c r="M44" i="6"/>
  <c r="K197" i="6"/>
  <c r="L46" i="6"/>
  <c r="L92" i="6"/>
  <c r="K147" i="6"/>
  <c r="W144" i="4" l="1"/>
  <c r="W152" i="4" s="1"/>
  <c r="C136" i="4"/>
  <c r="V152" i="4"/>
  <c r="V156" i="4" s="1"/>
  <c r="V148" i="4"/>
  <c r="C144" i="4"/>
  <c r="M92" i="6"/>
  <c r="L147" i="6"/>
  <c r="L197" i="6"/>
  <c r="M46" i="6"/>
  <c r="M195" i="6"/>
  <c r="N44" i="6"/>
  <c r="L94" i="6"/>
  <c r="K149" i="6"/>
  <c r="W148" i="4" l="1"/>
  <c r="W156" i="4"/>
  <c r="C152" i="4"/>
  <c r="M143" i="4"/>
  <c r="L139" i="4"/>
  <c r="N139" i="4"/>
  <c r="F143" i="4"/>
  <c r="T139" i="4"/>
  <c r="Q143" i="4"/>
  <c r="W139" i="4"/>
  <c r="R139" i="4"/>
  <c r="I143" i="4"/>
  <c r="T143" i="4"/>
  <c r="N143" i="4"/>
  <c r="O139" i="4"/>
  <c r="G143" i="4"/>
  <c r="L143" i="4"/>
  <c r="R143" i="4"/>
  <c r="J139" i="4"/>
  <c r="W143" i="4"/>
  <c r="O143" i="4"/>
  <c r="M139" i="4"/>
  <c r="M147" i="4" s="1"/>
  <c r="U143" i="4"/>
  <c r="G139" i="4"/>
  <c r="G147" i="4" s="1"/>
  <c r="J143" i="4"/>
  <c r="P143" i="4"/>
  <c r="H139" i="4"/>
  <c r="V139" i="4"/>
  <c r="S139" i="4"/>
  <c r="F139" i="4"/>
  <c r="K139" i="4"/>
  <c r="H143" i="4"/>
  <c r="Q139" i="4"/>
  <c r="S143" i="4"/>
  <c r="V143" i="4"/>
  <c r="I139" i="4"/>
  <c r="K143" i="4"/>
  <c r="F142" i="4"/>
  <c r="F138" i="4"/>
  <c r="U139" i="4"/>
  <c r="P139" i="4"/>
  <c r="G142" i="4"/>
  <c r="G138" i="4"/>
  <c r="H138" i="4"/>
  <c r="H142" i="4"/>
  <c r="I142" i="4"/>
  <c r="I138" i="4"/>
  <c r="J142" i="4"/>
  <c r="J138" i="4"/>
  <c r="K138" i="4"/>
  <c r="K142" i="4"/>
  <c r="L138" i="4"/>
  <c r="L142" i="4"/>
  <c r="M142" i="4"/>
  <c r="M138" i="4"/>
  <c r="N138" i="4"/>
  <c r="N142" i="4"/>
  <c r="O142" i="4"/>
  <c r="O138" i="4"/>
  <c r="P142" i="4"/>
  <c r="P138" i="4"/>
  <c r="Q138" i="4"/>
  <c r="Q142" i="4"/>
  <c r="R142" i="4"/>
  <c r="S138" i="4"/>
  <c r="S142" i="4"/>
  <c r="R138" i="4"/>
  <c r="T142" i="4"/>
  <c r="T138" i="4"/>
  <c r="U138" i="4"/>
  <c r="U142" i="4"/>
  <c r="V142" i="4"/>
  <c r="V138" i="4"/>
  <c r="W138" i="4"/>
  <c r="W142" i="4"/>
  <c r="O44" i="6"/>
  <c r="N195" i="6"/>
  <c r="L149" i="6"/>
  <c r="M94" i="6"/>
  <c r="N46" i="6"/>
  <c r="M197" i="6"/>
  <c r="M147" i="6"/>
  <c r="N92" i="6"/>
  <c r="W146" i="4" l="1"/>
  <c r="K146" i="4"/>
  <c r="R146" i="4"/>
  <c r="V146" i="4"/>
  <c r="I146" i="4"/>
  <c r="F146" i="4"/>
  <c r="F150" i="4" s="1"/>
  <c r="J146" i="4"/>
  <c r="M146" i="4"/>
  <c r="G146" i="4"/>
  <c r="Q147" i="4"/>
  <c r="O146" i="4"/>
  <c r="P146" i="4"/>
  <c r="I147" i="4"/>
  <c r="T146" i="4"/>
  <c r="Q146" i="4"/>
  <c r="O147" i="4"/>
  <c r="J147" i="4"/>
  <c r="S146" i="4"/>
  <c r="N147" i="4"/>
  <c r="U147" i="4"/>
  <c r="N146" i="4"/>
  <c r="S147" i="4"/>
  <c r="L147" i="4"/>
  <c r="P147" i="4"/>
  <c r="W147" i="4"/>
  <c r="K147" i="4"/>
  <c r="L146" i="4"/>
  <c r="V147" i="4"/>
  <c r="U146" i="4"/>
  <c r="H146" i="4"/>
  <c r="R147" i="4"/>
  <c r="T147" i="4"/>
  <c r="F147" i="4"/>
  <c r="F151" i="4" s="1"/>
  <c r="G151" i="4" s="1"/>
  <c r="H147" i="4"/>
  <c r="Q155" i="4"/>
  <c r="R155" i="4"/>
  <c r="H155" i="4"/>
  <c r="W155" i="4"/>
  <c r="T155" i="4"/>
  <c r="K155" i="4"/>
  <c r="N155" i="4"/>
  <c r="M155" i="4"/>
  <c r="L155" i="4"/>
  <c r="I155" i="4"/>
  <c r="J155" i="4"/>
  <c r="S155" i="4"/>
  <c r="O155" i="4"/>
  <c r="G155" i="4"/>
  <c r="V155" i="4"/>
  <c r="P155" i="4"/>
  <c r="U155" i="4"/>
  <c r="F155" i="4"/>
  <c r="F159" i="4" s="1"/>
  <c r="F154" i="4"/>
  <c r="F158" i="4" s="1"/>
  <c r="G154" i="4"/>
  <c r="H154" i="4"/>
  <c r="I154" i="4"/>
  <c r="J154" i="4"/>
  <c r="K154" i="4"/>
  <c r="L154" i="4"/>
  <c r="M154" i="4"/>
  <c r="N154" i="4"/>
  <c r="O154" i="4"/>
  <c r="P154" i="4"/>
  <c r="Q154" i="4"/>
  <c r="R154" i="4"/>
  <c r="S154" i="4"/>
  <c r="T154" i="4"/>
  <c r="U154" i="4"/>
  <c r="V154" i="4"/>
  <c r="W154" i="4"/>
  <c r="O92" i="6"/>
  <c r="N147" i="6"/>
  <c r="N197" i="6"/>
  <c r="O46" i="6"/>
  <c r="N94" i="6"/>
  <c r="M149" i="6"/>
  <c r="O195" i="6"/>
  <c r="P44" i="6"/>
  <c r="G150" i="4" l="1"/>
  <c r="G158" i="4"/>
  <c r="H158" i="4" s="1"/>
  <c r="I158" i="4" s="1"/>
  <c r="J158" i="4" s="1"/>
  <c r="K158" i="4" s="1"/>
  <c r="L158" i="4" s="1"/>
  <c r="M158" i="4" s="1"/>
  <c r="N158" i="4" s="1"/>
  <c r="O158" i="4" s="1"/>
  <c r="P158" i="4" s="1"/>
  <c r="Q158" i="4" s="1"/>
  <c r="R158" i="4" s="1"/>
  <c r="S158" i="4" s="1"/>
  <c r="T158" i="4" s="1"/>
  <c r="U158" i="4" s="1"/>
  <c r="V158" i="4" s="1"/>
  <c r="W158" i="4" s="1"/>
  <c r="G159" i="4"/>
  <c r="H159" i="4" s="1"/>
  <c r="I159" i="4" s="1"/>
  <c r="J159" i="4" s="1"/>
  <c r="K159" i="4" s="1"/>
  <c r="L159" i="4" s="1"/>
  <c r="M159" i="4" s="1"/>
  <c r="N159" i="4" s="1"/>
  <c r="O159" i="4" s="1"/>
  <c r="P159" i="4" s="1"/>
  <c r="Q159" i="4" s="1"/>
  <c r="R159" i="4" s="1"/>
  <c r="S159" i="4" s="1"/>
  <c r="T159" i="4" s="1"/>
  <c r="U159" i="4" s="1"/>
  <c r="V159" i="4" s="1"/>
  <c r="W159" i="4" s="1"/>
  <c r="H150" i="4"/>
  <c r="I150" i="4" s="1"/>
  <c r="J150" i="4" s="1"/>
  <c r="K150" i="4" s="1"/>
  <c r="L150" i="4" s="1"/>
  <c r="M150" i="4" s="1"/>
  <c r="N150" i="4" s="1"/>
  <c r="O150" i="4" s="1"/>
  <c r="P150" i="4" s="1"/>
  <c r="Q150" i="4" s="1"/>
  <c r="R150" i="4" s="1"/>
  <c r="S150" i="4" s="1"/>
  <c r="T150" i="4" s="1"/>
  <c r="U150" i="4" s="1"/>
  <c r="V150" i="4" s="1"/>
  <c r="W150" i="4" s="1"/>
  <c r="H151" i="4"/>
  <c r="I151" i="4" s="1"/>
  <c r="J151" i="4" s="1"/>
  <c r="K151" i="4" s="1"/>
  <c r="L151" i="4" s="1"/>
  <c r="M151" i="4" s="1"/>
  <c r="N151" i="4" s="1"/>
  <c r="O151" i="4" s="1"/>
  <c r="P151" i="4" s="1"/>
  <c r="Q151" i="4" s="1"/>
  <c r="R151" i="4" s="1"/>
  <c r="S151" i="4" s="1"/>
  <c r="T151" i="4" s="1"/>
  <c r="U151" i="4" s="1"/>
  <c r="V151" i="4" s="1"/>
  <c r="W151" i="4" s="1"/>
  <c r="O94" i="6"/>
  <c r="N149" i="6"/>
  <c r="P195" i="6"/>
  <c r="Q44" i="6"/>
  <c r="O197" i="6"/>
  <c r="P46" i="6"/>
  <c r="P92" i="6"/>
  <c r="O147" i="6"/>
  <c r="P147" i="6" l="1"/>
  <c r="Q92" i="6"/>
  <c r="P197" i="6"/>
  <c r="Q46" i="6"/>
  <c r="Q195" i="6"/>
  <c r="R44" i="6"/>
  <c r="P94" i="6"/>
  <c r="O149" i="6"/>
  <c r="P149" i="6" l="1"/>
  <c r="Q94" i="6"/>
  <c r="Q147" i="6"/>
  <c r="R92" i="6"/>
  <c r="R195" i="6"/>
  <c r="S44" i="6"/>
  <c r="S195" i="6" s="1"/>
  <c r="R46" i="6"/>
  <c r="Q197" i="6"/>
  <c r="S46" i="6" l="1"/>
  <c r="S197" i="6" s="1"/>
  <c r="R197" i="6"/>
  <c r="S92" i="6"/>
  <c r="S147" i="6" s="1"/>
  <c r="R147" i="6"/>
  <c r="R94" i="6"/>
  <c r="Q149" i="6"/>
  <c r="S94" i="6" l="1"/>
  <c r="S149" i="6" s="1"/>
  <c r="R14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P2" authorId="0" shapeId="0" xr:uid="{00000000-0006-0000-0000-000003000000}">
      <text>
        <r>
          <rPr>
            <sz val="10"/>
            <rFont val="Arial"/>
            <family val="2"/>
          </rPr>
          <t>Preencher o número do contrato assinado (LC 014/2026).</t>
        </r>
      </text>
    </comment>
    <comment ref="P403" authorId="0" shapeId="0" xr:uid="{00000000-0006-0000-0000-000004000000}">
      <text>
        <r>
          <rPr>
            <sz val="10"/>
            <rFont val="Arial"/>
            <family val="2"/>
          </rPr>
          <t>Subtotal do contrato calculado como na juntada 1426: soma de quantidade x preço unitário sem arredondar item a item, arredondada só no final (materiais R$ 15.063.612,61; serviços R$ 33.470.695,55). A coluna TOTAL de cada item é arredondada a centavos, como no BM Lago Sul; por isso a soma dessa coluna dá R$ 0,02 a mais nos serviços.</t>
        </r>
      </text>
    </comment>
    <comment ref="O410" authorId="0" shapeId="0" xr:uid="{00000000-0006-0000-0000-000001000000}">
      <text>
        <r>
          <rPr>
            <sz val="10"/>
            <rFont val="Arial"/>
            <family val="2"/>
          </rPr>
          <t>Fator K da Ankara na LC 014/2026: desconto de 14,04 % (K = 0,8596), conforme resultado da licitação. Conferir no contrato assinado.</t>
        </r>
      </text>
    </comment>
    <comment ref="O413" authorId="0" shapeId="0" xr:uid="{00000000-0006-0000-0000-000002000000}">
      <text>
        <r>
          <rPr>
            <sz val="10"/>
            <rFont val="Arial"/>
            <family val="2"/>
          </rPr>
          <t>Percentual do 1º aniversário (usado só na coluna do contrato). Cada medição usa o percentual da sua própria linha na aba REAJUSTE (coluna G), já que o reajuste depende do período medido.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F2" authorId="0" shapeId="0" xr:uid="{00000000-0006-0000-0100-000002000000}">
      <text>
        <r>
          <rPr>
            <sz val="10"/>
            <rFont val="Arial"/>
            <family val="2"/>
          </rPr>
          <t>Digitar a data do boletim de medição. O BM e as memórias puxam esta data.</t>
        </r>
      </text>
    </comment>
    <comment ref="X9" authorId="0" shapeId="0" xr:uid="{00000000-0006-0000-0100-000001000000}">
      <text>
        <r>
          <rPr>
            <sz val="10"/>
            <rFont val="Arial"/>
            <family val="2"/>
          </rPr>
          <t>Colunas da 2ª à 18ª medição: ao criar a aba 02ª MC (cópia da 01ª MC), trocar o zero por =SEERRO(SOMASES('02ª MC'!$W$1:$W$1840;'02ª MC'!$C$1:$C$1840;$D7);0) e arrastar. Não colar valores por cima das fórmulas das medições fechadas.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7" authorId="0" shapeId="0" xr:uid="{00000000-0006-0000-0200-000001000000}">
      <text>
        <r>
          <rPr>
            <sz val="10"/>
            <rFont val="Arial"/>
            <family val="2"/>
          </rPr>
          <t>Memorial da 1ª medição: 20 blocos em branco + bloco da ADM local (folha 21). Em cada bloco, digitar a chave na célula C da linha 7 do bloco (formato CÓD.CRON.FF_ITEM-BM, ex.: 2.2_5.4.12, ver coluna D do VERTICAL) e as linhas de cálculo. Para a 2ª medição, copiar esta aba como "02ª MC".</t>
        </r>
      </text>
    </comment>
    <comment ref="R1867" authorId="0" shapeId="0" xr:uid="{00000000-0006-0000-0200-000002000000}">
      <text>
        <r>
          <rPr>
            <sz val="10"/>
            <rFont val="Arial"/>
            <family val="2"/>
          </rPr>
          <t>Faturamento de material e serviço da medição SEM a administração local, somado direto do VERTICAL (coluna da 1ª medição) até a linha anterior ao bloco da ADM. Calculado por fórmula: não digitar. TR item 14.6: a administração local é paga proporcionalmente aos serviços medidos no mês.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BC8248E2-9FDB-4EA4-BEFD-E6A6A1C9471C}">
      <text>
        <r>
          <rPr>
            <sz val="11"/>
            <color theme="1"/>
            <rFont val="Calibri"/>
          </rPr>
          <t>Data da proposta da Ankara na LC 014/2026. A sessão foi em 25/06/2026; confirmar a data que constará do contrato.</t>
        </r>
      </text>
    </comment>
    <comment ref="E23" authorId="0" shapeId="0" xr:uid="{9CB64ADF-9A64-4962-BD13-774795618AF1}">
      <text>
        <r>
          <rPr>
            <sz val="11"/>
            <color theme="1"/>
            <rFont val="Calibri"/>
          </rPr>
          <t>Minuta, cláusula 7.2: após 1 ano, e desde que haja pedido da CONTRATADA, o reajuste vale exclusivamente para as obrigações iniciadas e concluídas após a anualidade. Se a medição atravessa o aniversário, a coluna E pede a fração do valor medido que foi executada depois dele (0 a 1). Digitar o número por cima da fórmula.</t>
        </r>
      </text>
    </comment>
  </commentList>
</comments>
</file>

<file path=xl/sharedStrings.xml><?xml version="1.0" encoding="utf-8"?>
<sst xmlns="http://schemas.openxmlformats.org/spreadsheetml/2006/main" count="13352" uniqueCount="1878">
  <si>
    <t>BM - PLANILHA DE MEDIÇÃO - JUNTADA</t>
  </si>
  <si>
    <t>CONTRATO:</t>
  </si>
  <si>
    <t>MED. Nº.:</t>
  </si>
  <si>
    <t>DATA:</t>
  </si>
  <si>
    <t>_____ /</t>
  </si>
  <si>
    <t>OBRA:</t>
  </si>
  <si>
    <t>DATA BASE - ORÇAMENTO:</t>
  </si>
  <si>
    <t>ORIGINAL - P0 (CAESB) - PV</t>
  </si>
  <si>
    <t>PERÍODO:</t>
  </si>
  <si>
    <t>ELAB. POR:</t>
  </si>
  <si>
    <t>STATUS DO CONTRATO</t>
  </si>
  <si>
    <t>IMPLANTAÇÃO DE REDES DE DISTRIBUIÇÃO NO MORRO DA CRUZ, SÃO SEBASTIÃO/DF - LC 014/2026 - JUNTADA 1426 (RED.SSB-D014)</t>
  </si>
  <si>
    <t>01/2025</t>
  </si>
  <si>
    <t>ANKARA ENGENHARIA LTDA</t>
  </si>
  <si>
    <t>ITEM - BM</t>
  </si>
  <si>
    <t>DESCRIÇÃO</t>
  </si>
  <si>
    <t>PRESSÃO</t>
  </si>
  <si>
    <t>RESINA</t>
  </si>
  <si>
    <t>TIPO_CONEXÃO</t>
  </si>
  <si>
    <t>SOLDA</t>
  </si>
  <si>
    <t>DIÂMETRO</t>
  </si>
  <si>
    <t>MATERIAL</t>
  </si>
  <si>
    <t>GRUPO</t>
  </si>
  <si>
    <t>GRUPO ORÇAMENTO ANKARA</t>
  </si>
  <si>
    <t>CÓDIGO CAESB</t>
  </si>
  <si>
    <t>CLASSIFICAÇÃO</t>
  </si>
  <si>
    <t>UNID.</t>
  </si>
  <si>
    <t>QUANT.</t>
  </si>
  <si>
    <t>VALOR UNITÁRIO</t>
  </si>
  <si>
    <t>TOTAL</t>
  </si>
  <si>
    <t>TOTAL ACUMULADO</t>
  </si>
  <si>
    <t>% MEDIDO</t>
  </si>
  <si>
    <t>% SALDO</t>
  </si>
  <si>
    <t>03</t>
  </si>
  <si>
    <t>1.1</t>
  </si>
  <si>
    <t>01730</t>
  </si>
  <si>
    <t>ADMINISTRAÇÃO LOCAL</t>
  </si>
  <si>
    <t>1.1.1</t>
  </si>
  <si>
    <t>RECURSOS MATERIAIS PARA ADMINISTRAÇÃO LOCAL</t>
  </si>
  <si>
    <t>N/A</t>
  </si>
  <si>
    <t>CANTEIRO</t>
  </si>
  <si>
    <t>OUTROS</t>
  </si>
  <si>
    <t>0173003001001</t>
  </si>
  <si>
    <t>RECURSOS MATERIAIS PARA ADMINISTRAÇÃO LOCAL (MATERIAIS DE CONSUMO, ÁGUA, ENERGIA ELÉTRICA E COMUNICAÇÃO) - TIPO 2</t>
  </si>
  <si>
    <t>MES</t>
  </si>
  <si>
    <t>1.2</t>
  </si>
  <si>
    <t>01741</t>
  </si>
  <si>
    <t>CONSERVAÇÃO E LIMPEZA</t>
  </si>
  <si>
    <t>1.2.1</t>
  </si>
  <si>
    <t>TAXA DISPOSIÇÃO FINAL RCC - NÃO SEGREGADOS</t>
  </si>
  <si>
    <t>REDES/LIGAÇÕES</t>
  </si>
  <si>
    <t>DESCARTE</t>
  </si>
  <si>
    <t>0174103006001</t>
  </si>
  <si>
    <t>TAXA PARA DISPOSIÇÃO FINAL DE RESÍDUOS DA CONSTRUÇÃO CIVIL NÃO SEGREGADOS, CONFORME RESOLUÇÃO ADASA N° 45/2024, A PARTIR DE 01/01/2025.</t>
  </si>
  <si>
    <t>T</t>
  </si>
  <si>
    <t>1.2.2</t>
  </si>
  <si>
    <t>TAXA DISPOSIÇÃO FINAL RCC - SEGREGADOS</t>
  </si>
  <si>
    <t>CANTEIRO/REDES/CAIXAS/INTERLIGAÇÃO</t>
  </si>
  <si>
    <t>0174103006002</t>
  </si>
  <si>
    <t>TAXA PARA DISPOSIÇÃO FINAL DE RESÍDUOS DA CONSTRUÇÃO CIVIL SEGREGADOS, CONFORME RESOLUÇÃO ADASA N° 45/2024, A PARTIR DE 01/01/2025.</t>
  </si>
  <si>
    <t>1.3</t>
  </si>
  <si>
    <t>02510</t>
  </si>
  <si>
    <t>FORNECIMENTO DE ÁGUA</t>
  </si>
  <si>
    <t>1.3.1</t>
  </si>
  <si>
    <t>KIT CAVALETE 3/4" UNIVERSAL</t>
  </si>
  <si>
    <t>KIT CAVALETE</t>
  </si>
  <si>
    <t>3/4"</t>
  </si>
  <si>
    <t>LATÃO</t>
  </si>
  <si>
    <t>LIGAÇÕES</t>
  </si>
  <si>
    <t>0251003002006</t>
  </si>
  <si>
    <t>KIT CAVALETE 3/4" UNIVERSAL, HÍBRIDO PADRÃO CAESB EM LATÃO FORJADO COM BASE PARA FIXAÇÃO, EXCLUSIVE HIDRÔMETRO.</t>
  </si>
  <si>
    <t>UN</t>
  </si>
  <si>
    <t>1.4</t>
  </si>
  <si>
    <t>02630</t>
  </si>
  <si>
    <t>DRENAGEM DE ÁGUAS PLUVIAIS</t>
  </si>
  <si>
    <t>1.4.1</t>
  </si>
  <si>
    <t>TAMPA DE CONCRETO ARMADO PARA CAIXA DE INSPEÇÃO</t>
  </si>
  <si>
    <t>TAMPA</t>
  </si>
  <si>
    <t>CONCRETO</t>
  </si>
  <si>
    <t>CAIXAS</t>
  </si>
  <si>
    <t>0263003006007</t>
  </si>
  <si>
    <t>TAMPA DE CONCRETO ARMADO PARA CAIXA DE INSPEÇÃO (DIÂMETRO NOMINAL: 600 MM / ESPESSURA: 60 MM)</t>
  </si>
  <si>
    <t>1.5</t>
  </si>
  <si>
    <t>03480</t>
  </si>
  <si>
    <t>CONCRETOS PRÉ-MOLDADOS</t>
  </si>
  <si>
    <t>1.5.1</t>
  </si>
  <si>
    <t>ABRIGO/MURETA PRÉ-MOLDADA P/ 02 HIDRÔMETROS</t>
  </si>
  <si>
    <t>MURETA</t>
  </si>
  <si>
    <t>0348003003016</t>
  </si>
  <si>
    <t>ABRIGO/MURETA PRÉ-MOLDADA DE CONCRETO ARMADO FCK = 25 MPA PADRÃO CAESB COM CAIXA DE POLICARBONATO PARA DOIS HIDRÔMETROS INSTALADA. MEDIDAS DO REQUADRO: 0,70 X 0,60 X 0,15 M. MEDIDAS DOS PILARES: 0,16 X 0,64 X 0,15 M. MEDIDAS EXTERNAS: 0,70 X 1,24 X 0,15 M. PREVISÃO DE TUBOS DE PVC COM DIÂMETRO DE 50 MM: UM COM COMPRIMENTO DE 0,75 M PARA ENTRADA E DOIS COM COMPRIMENTO DE 0,11 M PARA SAÍDAS</t>
  </si>
  <si>
    <t>1.6</t>
  </si>
  <si>
    <t>10180</t>
  </si>
  <si>
    <t>COBERTURAS</t>
  </si>
  <si>
    <t>1.6.1</t>
  </si>
  <si>
    <t>TENDA PIRAMIDAL 3,00 X 3,00 M COM FECHAMENTOS LATERAIS</t>
  </si>
  <si>
    <t>TENDA</t>
  </si>
  <si>
    <t>3,00X3,00</t>
  </si>
  <si>
    <t>LONA PVC</t>
  </si>
  <si>
    <t>1018003001001</t>
  </si>
  <si>
    <t>1.7</t>
  </si>
  <si>
    <t>12510</t>
  </si>
  <si>
    <t>MÓVEIS PARA ESCRITÓRIO</t>
  </si>
  <si>
    <t>1.7.1</t>
  </si>
  <si>
    <t>INFRAESTRUTURA BÁSICA PARA FISCALIZAÇÃO</t>
  </si>
  <si>
    <t>1251003008004</t>
  </si>
  <si>
    <t>INFRAESTRUTURA BÁSICA PARA FISCALIZAÇÃO INCLUINDO NO MÍNIMO OS ITENS A SEGUIR: MÓVEIS E EQUIPAMENTOS (DUAS MESAS, QUATRO CADEIRAS, UM PURIFICADOR DE ÁGUA, UM APARELHO DE AR CONDICIONADO 7500 BTUS, UM NOTEBOOK INTEL CORE I7, 12GB, SSD 256GB, TELA COM RESOLUÇÃO MÍNIMA 1920X1080P, WINDOWS 10 OU VERSÕES SUPERIORES, COM PACOTE MICROSOFT OFFICE 360 E ACESSO À INTERNET).</t>
  </si>
  <si>
    <t>1.8</t>
  </si>
  <si>
    <t>15002</t>
  </si>
  <si>
    <t>ACESSÓRIOS PARA TRATAMENTO DE ÁGUA</t>
  </si>
  <si>
    <t>1.8.1</t>
  </si>
  <si>
    <t>ARRUELA BORRACHA S/ ALMA METÁLICA (ABF)</t>
  </si>
  <si>
    <t>PN10</t>
  </si>
  <si>
    <t>ARRUELA</t>
  </si>
  <si>
    <t>BORRACHA</t>
  </si>
  <si>
    <t>HIDROMECÂNICO</t>
  </si>
  <si>
    <t>FOFO</t>
  </si>
  <si>
    <t>1500203055014</t>
  </si>
  <si>
    <t>ACESSÓRIO PARA FLANGE: ARRUELA DE BORRACHA SEM ALMA METÁLICA (ABF), COM ELASTÔMERO SBR, EXCLUSIVO PARA ÁGUA (CLASSE DE PRESSÃO: 10 KGF/CM² / DIÂMETRO DA SEÇÃO: 200 MM)</t>
  </si>
  <si>
    <t>1.9</t>
  </si>
  <si>
    <t>15055</t>
  </si>
  <si>
    <t>TAMPÕES E CAIXAS PARA MANUTENÇÃO DE REDES</t>
  </si>
  <si>
    <t>1.9.1</t>
  </si>
  <si>
    <t>TAMPA FºFº BIARTICULADA - T2RBI</t>
  </si>
  <si>
    <t>TAMPA BIARTICULADA</t>
  </si>
  <si>
    <t>1285X980</t>
  </si>
  <si>
    <t>FºFº</t>
  </si>
  <si>
    <t>TAMPÃO</t>
  </si>
  <si>
    <t>1505503002016</t>
  </si>
  <si>
    <t>TAMPA METÁLICA BIARTICULADA, FERRO FUNDIDO, MODELO T2RBI</t>
  </si>
  <si>
    <t>1.10</t>
  </si>
  <si>
    <t>15110</t>
  </si>
  <si>
    <t>REGISTROS, VÁLVULAS E ACESSÓRIOS</t>
  </si>
  <si>
    <t>1.10.1</t>
  </si>
  <si>
    <t>TAMPA P/ ACIONAMENTO DE REGISTRO</t>
  </si>
  <si>
    <t>TAMPA ACIONAMENTO</t>
  </si>
  <si>
    <t>1511003106005</t>
  </si>
  <si>
    <t>TAMPA PARA ACIONAMENTO DE REGISTRO DE FERRO FUNDIDO (DIÂMETRO: 100 MM)</t>
  </si>
  <si>
    <t>1.10.2</t>
  </si>
  <si>
    <t>VÁLVULA BORBOLETA FF CC - ACIONAMENTO CABEÇOTE</t>
  </si>
  <si>
    <t>VÁLVULA BORBOLETA</t>
  </si>
  <si>
    <t>VÁLVULA</t>
  </si>
  <si>
    <t>1511003139041</t>
  </si>
  <si>
    <t>VÁLVULA BORBOLETA FLANGEADA DE FERRO FUNDIDO DÚCTIL COM CORPO CURTO, MECANISMO DE REDUÇÃO TIPO C E ACIONAMENTO COM CABEÇOTE (CLASSE DE PRESSÃO: 10 KGF/CM² / DIÂMETRO DA SEÇÃO: 200 MM)</t>
  </si>
  <si>
    <t>1.10.3</t>
  </si>
  <si>
    <t>1511003139044</t>
  </si>
  <si>
    <t>VÁLVULA BORBOLETA FLANGEADA DE FERRO FUNDIDO DÚCTIL COM CORPO CURTO, MECANISMO DE REDUÇÃO TIPO C E ACIONAMENTO COM CABEÇOTE (CLASSE DE PRESSÃO: 10 KGF/CM² / DIÂMETRO DA SEÇÃO: 350 MM)</t>
  </si>
  <si>
    <t>1.10.4</t>
  </si>
  <si>
    <t>PN10/16</t>
  </si>
  <si>
    <t>1511003139037</t>
  </si>
  <si>
    <t>VÁLVULA BORBOLETA FLANGEADA DE FERRO FUNDIDO DÚCTIL COM CORPO CURTO, MECANISMO DE REDUÇÃO TIPO C E ACIONAMENTO COM CABEÇOTE (CLASSE DE PRESSÃO: 10/16 KGF/CM² / DIÂMETRO DA SEÇÃO: 100 MM)</t>
  </si>
  <si>
    <t>1.10.5</t>
  </si>
  <si>
    <t>1511003139038</t>
  </si>
  <si>
    <t>VÁLVULA BORBOLETA FLANGEADA DE FERRO FUNDIDO DÚCTIL COM CORPO CURTO, MECANISMO DE REDUÇÃO TIPO C E ACIONAMENTO COM CABEÇOTE (CLASSE DE PRESSÃO: 10/16 KGF/CM² / DIÂMETRO DA SEÇÃO: 150 MM)</t>
  </si>
  <si>
    <t>1.10.6</t>
  </si>
  <si>
    <t>VÁLVULA CONTROLE REDUTORA DE PRESSÃO EM Y - PROPORCIONAL</t>
  </si>
  <si>
    <t>VRP</t>
  </si>
  <si>
    <t>2.1/2"</t>
  </si>
  <si>
    <t>1511003043036</t>
  </si>
  <si>
    <t>VÁLVULA DE CONTROLE EM Y REDUTORA DE PRESSÃO DE FERRO FUNDIDO FLANGEADA PD - PROPORCIONAL (CLASSE DE PRESSÃO: 10 KGF/CM² / DIÂMETRO DA SEÇÃO: 2 1/2 ")</t>
  </si>
  <si>
    <t>1.10.7</t>
  </si>
  <si>
    <t>VÁLVULA CONTROLE REDUTORA DE PRESSÃO FLANGE X FLANGE</t>
  </si>
  <si>
    <t>1511003043030</t>
  </si>
  <si>
    <t>VÁLVULA DE CONTROLE REDUTORA DE PRESSÃO DE FERRO FUNDIDO FLANGEADA (CLASSE DE PRESSÃO: 10 KGF/CM² / DIÂMETRO DA SEÇÃO: 80 MM)</t>
  </si>
  <si>
    <t>1.10.8</t>
  </si>
  <si>
    <t>VÁLVULA CONTROLE REDUTORA DE PRESSÃO FLANGE X FLANGE - AUTO OPERADA TIPO GLOBO</t>
  </si>
  <si>
    <t>1511003043042</t>
  </si>
  <si>
    <t>VÁLVULA DE CONTROLE REDUTORA DE PRESSÃO DE FERRO FUNDIDO FLANGEADA, AUTO OPERADA COM CORPO TIPO GLOBO (CLASSE DE PRESSÃO: 10 KGF/CM² / DIÂMETRO DA SEÇÃO: 100 MM)</t>
  </si>
  <si>
    <t>1.10.9</t>
  </si>
  <si>
    <t>1511003043040</t>
  </si>
  <si>
    <t>VÁLVULA DE CONTROLE REDUTORA DE PRESSÃO DE FERRO FUNDIDO FLANGEADA, AUTO OPERADA COM CORPO TIPO GLOBO (CLASSE DE PRESSÃO: 10 KGF/CM² / DIÂMETRO DA SEÇÃO: 150 MM)</t>
  </si>
  <si>
    <t>1.10.10</t>
  </si>
  <si>
    <t>1511003043041</t>
  </si>
  <si>
    <t>VÁLVULA DE CONTROLE REDUTORA DE PRESSÃO DE FERRO FUNDIDO FLANGEADA, AUTO OPERADA COM CORPO TIPO GLOBO (CLASSE DE PRESSÃO: 10 KGF/CM² / DIÂMETRO DA SEÇÃO: 200 MM)</t>
  </si>
  <si>
    <t>1.10.11</t>
  </si>
  <si>
    <t>VÁLVULA GAVETA FF CUNHA BORRACHA CC - ACIONAMENTO CABEÇOTE</t>
  </si>
  <si>
    <t>VÁLVULA GAVETA</t>
  </si>
  <si>
    <t>1511003138007</t>
  </si>
  <si>
    <t>VÁLVULA DE GAVETA FLANGEADA DE FERRO FUNDIDO DÚCTIL COM CUNHA DE BORRACHA, CORPO CURTO E ACIONAMENTO COM CABEÇOTE (CLASSE DE PRESSÃO: 10/16 KGF/CM² / DIÂMETRO DA SEÇÃO: 100 MM)</t>
  </si>
  <si>
    <t>1.10.12</t>
  </si>
  <si>
    <t>1511003138034</t>
  </si>
  <si>
    <t>VÁLVULA DE GAVETA FLANGEADA DE FERRO FUNDIDO DÚCTIL COM CUNHA DE BORRACHA, CORPO CURTO E ACIONAMENTO COM CABEÇOTE (CLASSE DE PRESSÃO: 10/16 KGF/CM² / DIÂMETRO DA SEÇÃO: 150 MM)</t>
  </si>
  <si>
    <t>1.10.13</t>
  </si>
  <si>
    <t>1511003138001</t>
  </si>
  <si>
    <t>VÁLVULA DE GAVETA FLANGEADA DE FERRO FUNDIDO DÚCTIL COM CUNHA DE BORRACHA, CORPO CURTO E ACIONAMENTO COM CABEÇOTE (CLASSE DE PRESSÃO: 10/16 KGF/CM² / DIÂMETRO DA SEÇÃO: 200 MM)</t>
  </si>
  <si>
    <t>1.10.14</t>
  </si>
  <si>
    <t>1511003138002</t>
  </si>
  <si>
    <t>VÁLVULA DE GAVETA FLANGEADA DE FERRO FUNDIDO DÚCTIL COM CUNHA DE BORRACHA, CORPO CURTO E ACIONAMENTO COM CABEÇOTE (CLASSE DE PRESSÃO: 10/16 KGF/CM² / DIÂMETRO DA SEÇÃO: 250 MM)</t>
  </si>
  <si>
    <t>1.10.15</t>
  </si>
  <si>
    <t>1511003138014</t>
  </si>
  <si>
    <t>VÁLVULA DE GAVETA FLANGEADA DE FERRO FUNDIDO DÚCTIL COM CUNHA DE BORRACHA, CORPO CURTO E ACIONAMENTO COM CABEÇOTE (CLASSE DE PRESSÃO: 10/16 KGF/CM² / DIÂMETRO DA SEÇÃO: 50 MM)</t>
  </si>
  <si>
    <t>1.10.16</t>
  </si>
  <si>
    <t>1511003138042</t>
  </si>
  <si>
    <t>VÁLVULA DE GAVETA FLANGEADA DE FERRO FUNDIDO DÚCTIL COM CUNHA DE BORRACHA, CORPO CURTO E ACIONAMENTO COM CABEÇOTE (CLASSE DE PRESSÃO: 10/16 KGF/CM² / DIÂMETRO DA SEÇÃO: 80 MM)</t>
  </si>
  <si>
    <t>1.10.17</t>
  </si>
  <si>
    <t>VÁLVULA SUSTENTADORA E REDUTORA DE PRESSÃO</t>
  </si>
  <si>
    <t>1511003043XX19</t>
  </si>
  <si>
    <t>VÁLVULA SUSTENTADORA E REDUTORA DE PRESSÃO, DN 300MM, PN 10, FLANGES NBR 7675. - VÁLVULA PRINCIPAL: CORPO EM F°F° DÚCTIL, REVESTIMENTO FBE, MOLA AÇO INOX, DIAFRAGMA DE BORRACHA NATURAL REFORÇADA C/ NYLON, MANGUEIRAS DO SISTEMA DE CONTROLE EM BORRACHA</t>
  </si>
  <si>
    <t>1.10.18</t>
  </si>
  <si>
    <t>VENTOSA TRÍPLICE FUNÇÃO FLANGEADA</t>
  </si>
  <si>
    <t>VENTOSA</t>
  </si>
  <si>
    <t>1511003130004</t>
  </si>
  <si>
    <t>VENTOSA TRÍPLICE FUNÇÃO DE FERRO FUNDIDO DÚCTIL COM FLANGE (CLASSE DE PRESSÃO: 10 KGF/CM² / DIÂMETRO NOMINAL: 50 MM)</t>
  </si>
  <si>
    <t>1.11</t>
  </si>
  <si>
    <t>15120</t>
  </si>
  <si>
    <t>PRODUTOS ESPECIAIS PARA TUBULAÇÕES</t>
  </si>
  <si>
    <t>1.11.1</t>
  </si>
  <si>
    <t>CAIXA DE PROTEÇÃO PARA 01 HIDRÔMETRO - PADRÃO CAESB</t>
  </si>
  <si>
    <t>CAIXA PROTEÇÃO</t>
  </si>
  <si>
    <t>50X40</t>
  </si>
  <si>
    <t>PLÁSTICO</t>
  </si>
  <si>
    <t>CX HIDRÔMETRO</t>
  </si>
  <si>
    <t>1512003007001</t>
  </si>
  <si>
    <t>1.11.2</t>
  </si>
  <si>
    <t>HIDRÔMETRO UNIJATO COM CORPO EM COBRE</t>
  </si>
  <si>
    <t>HIDRÔMETRO</t>
  </si>
  <si>
    <t>COBRE</t>
  </si>
  <si>
    <t>CANTEIRO/LIGAÇÕES</t>
  </si>
  <si>
    <t>1512003001034</t>
  </si>
  <si>
    <t>HIDRÔMETRO UNIJATO COM CORPO EM COBRE (CLASSE: B / DIÂMETRO NOMINAL: 3/4" OU 20 MM / VAZÃO MÁXIMA: 1,5 M³/H / COMPRIMENTO: 115 MM)</t>
  </si>
  <si>
    <t>1.12</t>
  </si>
  <si>
    <t>15139</t>
  </si>
  <si>
    <t>TUBOS E CONEXÕES DE AÇO CARBONO - LÍQUIDOS, GASES E VAPORES</t>
  </si>
  <si>
    <t>1.12.1</t>
  </si>
  <si>
    <t>FLANGE AVULSO P/ COLARINHO</t>
  </si>
  <si>
    <t>PE100</t>
  </si>
  <si>
    <t>FLANGE AVULSO</t>
  </si>
  <si>
    <t>AÇO</t>
  </si>
  <si>
    <t>1513903021082</t>
  </si>
  <si>
    <t>FLANGE SOLTO, FORNECIDO EM AÇO SAE 1020, CONFORME NORMA NBR 7675/DIN (PARA COLARINHO DE PEAD / DIÂMETRO EXTERNO: 110 MM / CLASSE DE PRESSÃO: 10 KGF/CM²)</t>
  </si>
  <si>
    <t>1.12.2</t>
  </si>
  <si>
    <t>1513903021091</t>
  </si>
  <si>
    <t>FLANGE SOLTO, FORNECIDO EM AÇO SAE 1020, CONFORME NORMA NBR 7675/DIN (PARA COLARINHO DE PEAD / DIÂMETRO EXTERNO: 160 MM / CLASSE DE PRESSÃO: 10 KGF/CM²)</t>
  </si>
  <si>
    <t>1.12.3</t>
  </si>
  <si>
    <t>1513903021097</t>
  </si>
  <si>
    <t>FLANGE SOLTO, FORNECIDO EM AÇO SAE 1020, CONFORME NORMA NBR 7675/DIN (PARA COLARINHO DE PEAD / DIÂMETRO EXTERNO: 200 MM / CLASSE DE PRESSÃO: 10 KGF/CM²)</t>
  </si>
  <si>
    <t>1.12.4</t>
  </si>
  <si>
    <t>1513903021100</t>
  </si>
  <si>
    <t>FLANGE SOLTO, FORNECIDO EM AÇO SAE 1020, CONFORME NORMA NBR 7675/DIN (PARA COLARINHO DE PEAD / DIÂMETRO EXTERNO: 225 MM / CLASSE DE PRESSÃO: 10 KGF/CM²)</t>
  </si>
  <si>
    <t>1.12.5</t>
  </si>
  <si>
    <t>1513903021103</t>
  </si>
  <si>
    <t>FLANGE SOLTO, FORNECIDO EM AÇO SAE 1020, CONFORME NORMA NBR 7675/DIN (PARA COLARINHO DE PEAD / DIÂMETRO EXTERNO: 250 MM / CLASSE DE PRESSÃO: 10 KGF/CM²)</t>
  </si>
  <si>
    <t>1.12.6</t>
  </si>
  <si>
    <t>1513903021121</t>
  </si>
  <si>
    <t>FLANGE SOLTO, FORNECIDO EM AÇO SAE 1020, CONFORME NORMA NBR 7675/DIN (PARA COLARINHO DE PEAD / DIÂMETRO EXTERNO: 500 MM / CLASSE DE PRESSÃO: 10 KGF/CM²)</t>
  </si>
  <si>
    <t>1.12.7</t>
  </si>
  <si>
    <t>1513903021073</t>
  </si>
  <si>
    <t>FLANGE SOLTO, FORNECIDO EM AÇO SAE 1020, CONFORME NORMA NBR 7675/DIN (PARA COLARINHO DE PEAD / DIÂMETRO EXTERNO: 63 MM / CLASSE DE PRESSÃO: 10 KGF/CM²)</t>
  </si>
  <si>
    <t>1.12.8</t>
  </si>
  <si>
    <t>1513903021079</t>
  </si>
  <si>
    <t>FLANGE SOLTO, FORNECIDO EM AÇO SAE 1020, CONFORME NORMA NBR 7675/DIN (PARA COLARINHO DE PEAD / DIÂMETRO EXTERNO: 90 MM / CLASSE DE PRESSÃO: 10 KGF/CM²)</t>
  </si>
  <si>
    <t>1.13</t>
  </si>
  <si>
    <t>15143</t>
  </si>
  <si>
    <t>TUBOS E CONEXÕES DE PVC - ÁGUA FRIA (ROSCÁVEL)</t>
  </si>
  <si>
    <t>1.13.1</t>
  </si>
  <si>
    <t>ADAPTADOR DE PVC BRANCO ROSCÁVEL COM ANEL PARA CAIXA D'ÁGUA</t>
  </si>
  <si>
    <t>ADAPTADOR</t>
  </si>
  <si>
    <t>1.1/2"</t>
  </si>
  <si>
    <t>PVC</t>
  </si>
  <si>
    <t>1514303022006</t>
  </si>
  <si>
    <t>ADAPTADOR DE PVC BRANCO ROSCÁVEL COM ANEL PARA CAIXA D'ÁGUA (DIÂMETRO DA SEÇÃO: 1 1/2 ")</t>
  </si>
  <si>
    <t>1.14</t>
  </si>
  <si>
    <t>15146</t>
  </si>
  <si>
    <t>TUBOS E CONEXÕES DE POLIETILENO DE ALTA DENSIDADE</t>
  </si>
  <si>
    <t>1.14.1</t>
  </si>
  <si>
    <t>LUVA ELETROFUSÃO</t>
  </si>
  <si>
    <t>LUVA</t>
  </si>
  <si>
    <t>ELETROFUSÃO</t>
  </si>
  <si>
    <t>PEAD</t>
  </si>
  <si>
    <t>1514603060XX11</t>
  </si>
  <si>
    <t>LUVA DE POLIETILENO DE ALTA DENSIDADE ELETROFUSÃO (CLASSE DE PRESSÃO: 10/16 KGF/CM² / DIÂMETRO DA SEÇÃO: 250 MM / TIPO DE RESINA: PE100)</t>
  </si>
  <si>
    <t>1.14.2</t>
  </si>
  <si>
    <t>COLARINHO INJETADO PONTA LONGA</t>
  </si>
  <si>
    <t>COLARINHO</t>
  </si>
  <si>
    <t>TERMOFUSÃO</t>
  </si>
  <si>
    <t>1514603025022</t>
  </si>
  <si>
    <t>COLARINHO DE POLIETILENO DE ALTA DENSIDADE (PEAD), DN 110, PN-10 (10 KGF/CM²), INJETADA PE-100 SDR-17; PONTA LONGA; PARA ÁGUA OU ESGOTO; NBR 15593</t>
  </si>
  <si>
    <t>1.14.3</t>
  </si>
  <si>
    <t>1514603025023</t>
  </si>
  <si>
    <t>COLARINHO DE POLIETILENO DE ALTA DENSIDADE (PEAD), DN 125, PN-10 (10 KGF/CM²), INJETADA PE-100 SDR-17; PONTA LONGA; PARA ÁGUA OU ESGOTO; NBR 15593</t>
  </si>
  <si>
    <t>1.14.4</t>
  </si>
  <si>
    <t>1514603025025</t>
  </si>
  <si>
    <t>COLARINHO DE POLIETILENO DE ALTA DENSIDADE (PEAD), DN 160, PN-10 (10 KGF/CM²), INJETADA PE-100 SDR-17; PONTA LONGA; PARA ÁGUA OU ESGOTO; NBR 15593</t>
  </si>
  <si>
    <t>1.14.5</t>
  </si>
  <si>
    <t>1514603025027</t>
  </si>
  <si>
    <t>COLARINHO DE POLIETILENO DE ALTA DENSIDADE (PEAD), DN 200, PN-10 (10 KGF/CM²), INJETADA PE-100 SDR-17; PONTA LONGA; PARA ÁGUA OU ESGOTO; NBR 15593; PARA ÁGUA OU ESGOTO; NBR 15593</t>
  </si>
  <si>
    <t>1.14.6</t>
  </si>
  <si>
    <t>1514603025028</t>
  </si>
  <si>
    <t>COLARINHO DE POLIETILENO DE ALTA DENSIDADE (PEAD), DN 225, PN-10 (10 KGF/CM²), INJETADA PE-100 SDR-17; PONTA LONGA; PARA ÁGUA OU ESGOTO; NBR 15593</t>
  </si>
  <si>
    <t>1.14.7</t>
  </si>
  <si>
    <t>1514603025029</t>
  </si>
  <si>
    <t>COLARINHO DE POLIETILENO DE ALTA DENSIDADE (PEAD), DN 250, PN-10 (10 KGF/CM²), INJETADA PE-100 SDR-17; PONTA LONGA; PARA ÁGUA OU ESGOTO; NBR 15593</t>
  </si>
  <si>
    <t>1.14.8</t>
  </si>
  <si>
    <t>1514603025035</t>
  </si>
  <si>
    <t>COLARINHO DE POLIETILENO DE ALTA DENSIDADE (PEAD), DN 500, PN-10 (10 KGF/CM²), INJETADA PE-100 SDR-17; PONTA LONGA; PARA ÁGUA OU ESGOTO; NBR 15593</t>
  </si>
  <si>
    <t>1.14.9</t>
  </si>
  <si>
    <t>1514603025019</t>
  </si>
  <si>
    <t>COLARINHO DE POLIETILENO DE ALTA DENSIDADE (PEAD), DN 63, PN-10 (10 KGF/CM²), INJETADA PE-100 SDR-17; PONTA LONGA; PARA ÁGUA OU ESGOTO; NBR 15593</t>
  </si>
  <si>
    <t>1.14.10</t>
  </si>
  <si>
    <t>1514603025021</t>
  </si>
  <si>
    <t>COLARINHO DE POLIETILENO DE ALTA DENSIDADE (PEAD), DN 90, PN-10 (10 KGF/CM²), INJETADA PE-100 SDR-17; PONTA LONGA; PARA ÁGUA OU ESGOTO; NBR 15593</t>
  </si>
  <si>
    <t>1.14.11</t>
  </si>
  <si>
    <t>CURVA DE 90º + 02 LUVAS ELETROFUSÃO</t>
  </si>
  <si>
    <t>CURVA DE 90º</t>
  </si>
  <si>
    <t>1514603084042</t>
  </si>
  <si>
    <t>CURVA 90° DE POLIETILENO DE ALTA DENSIDADE ELETROFUSÃO (CLASSE DE PRESSÃO: 10/16 KGF/CM² / DIÂMETRO EXTERNO: 225 MM / TIPO DE RESINA: PE100), INCLUSO DUAS LUVAS EF</t>
  </si>
  <si>
    <t>1.14.12</t>
  </si>
  <si>
    <t>1514603084038</t>
  </si>
  <si>
    <t>CURVA 90° DE POLIETILENO DE ALTA DENSIDADE ELETROFUSÃO (CLASSE DE PRESSÃO: 10/16 KGF/CM² / DIÂMETRO EXTERNO: 250 MM / TIPO DE RESINA: PE100), INCLUSO DUAS LUVAS EF</t>
  </si>
  <si>
    <t>1.14.13</t>
  </si>
  <si>
    <t>1514603084011</t>
  </si>
  <si>
    <t>CURVA 90° DE POLIETILENO DE ALTA DENSIDADE ELETROFUSÃO (CLASSE DE PRESSÃO: 10/16 KGF/CM² / DIÂMETRO EXTERNO: 110 MM / TIPO DE RESINA: PE100), INCLUSO DUAS LUVAS EF</t>
  </si>
  <si>
    <t>1.14.14</t>
  </si>
  <si>
    <t>1514603084XX10</t>
  </si>
  <si>
    <t>CURVA 90° DE POLIETILENO DE ALTA DENSIDADE ELETROFUSÃO (CLASSE DE PRESSÃO: 10/16 KGF/CM² / DIÂMETRO EXTERNO: 160 MM / TIPO DE RESINA: PE100), INCLUSO DUAS LUVAS EF</t>
  </si>
  <si>
    <t>1.14.15</t>
  </si>
  <si>
    <t>1514603084034</t>
  </si>
  <si>
    <t>CURVA 90° DE POLIETILENO DE ALTA DENSIDADE ELETROFUSÃO (CLASSE DE PRESSÃO: 10/16 KGF/CM² / DIÂMETRO EXTERNO: 63 MM / TIPO DE RESINA: PE100), INCLUSO DUAS LUVAS EF</t>
  </si>
  <si>
    <t>1.14.16</t>
  </si>
  <si>
    <t>CURVA DE 90º ELETROFUSÃO INJETADA</t>
  </si>
  <si>
    <t>1514603084030</t>
  </si>
  <si>
    <t>CURVA 90° DE POLIETILENO DE ALTA DENSIDADE ELETROFUSÃO INJETADA (CLASSE DE PRESSÃO: 10 KGF/CM² / DIÂMETRO EXTERNO: 90 MM / TIPO DE RESINA: PE100 )</t>
  </si>
  <si>
    <t>1.14.17</t>
  </si>
  <si>
    <t>CURVA DE 90º SEGMENTADA</t>
  </si>
  <si>
    <t>1514603070013</t>
  </si>
  <si>
    <t>CURVA 90° DE POLIETILENO DE ALTA DENSIDADE TERMOFUSÃO SEGMENTADA (CLASSE DE PRESSÃO: 10 KGF/CM² / DIÂMETRO EXTERNO: 355 MM / TIPO DE RESINA: PE100 )</t>
  </si>
  <si>
    <t>1.14.18</t>
  </si>
  <si>
    <t>1514603070016</t>
  </si>
  <si>
    <t>CURVA 90° DE POLIETILENO DE ALTA DENSIDADE TERMOFUSÃO SEGMENTADA (CLASSE DE PRESSÃO: 10 KGF/CM² / DIÂMETRO EXTERNO: 500 MM / TIPO DE RESINA: PE100 )</t>
  </si>
  <si>
    <t>1.14.19</t>
  </si>
  <si>
    <t>1514603070011</t>
  </si>
  <si>
    <t>CURVA 90° DE POLIETILENO DE ALTA DENSIDADE TERMOFUSÃO SEGMENTADA (CLASSE DE PRESSÃO: 10 KGF/CM² /DIÂMETRO EXTERNO: 280 MM /TIPO DE RESINA: PE100 )</t>
  </si>
  <si>
    <t>1.14.20</t>
  </si>
  <si>
    <t>1514603070012</t>
  </si>
  <si>
    <t>CURVA 90° DE POLIETILENO DE ALTA DENSIDADE TERMOFUSÃO SEGMENTADA (CLASSE DE PRESSÃO: 10 KGF/CM² / DIÂMETRO EXTERNO: 315 MM / TIPO DE RESINA: PE100 )</t>
  </si>
  <si>
    <t>1.14.21</t>
  </si>
  <si>
    <t>1514603060020</t>
  </si>
  <si>
    <t>LUVA DE POLIETILENO DE ALTA DENSIDADE ELETROFUSÃO (CLASSE DE PRESSÃO: 10/16 KGF/CM² / DIÂMETRO DA SEÇÃO: 160 MM / TIPO DE RESINA: PE100 )</t>
  </si>
  <si>
    <t>1.14.22</t>
  </si>
  <si>
    <t>1514603060022</t>
  </si>
  <si>
    <t>LUVA DE POLIETILENO DE ALTA DENSIDADE ELETROFUSÃO (CLASSE DE PRESSÃO: 10/16 KGF/CM² / DIÂMETRO DA SEÇÃO: 200 MM / TIPO DE RESINA: PE100 )</t>
  </si>
  <si>
    <t>1.14.23</t>
  </si>
  <si>
    <t>1514603060023</t>
  </si>
  <si>
    <t>LUVA DE POLIETILENO DE ALTA DENSIDADE ELETROFUSÃO (CLASSE DE PRESSÃO: 10/16 KGF/CM² / DIÂMETRO DA SEÇÃO: 225 MM / TIPO DE RESINA: PE100 )</t>
  </si>
  <si>
    <t>1.14.24</t>
  </si>
  <si>
    <t>1514603060024</t>
  </si>
  <si>
    <t>LUVA DE POLIETILENO DE ALTA DENSIDADE ELETROFUSÃO (CLASSE DE PRESSÃO: 10/16 KGF/CM² / DIÂMETRO DA SEÇÃO: 315 MM / TIPO DE RESINA: PE100 )</t>
  </si>
  <si>
    <t>1.14.25</t>
  </si>
  <si>
    <t>1514603060XX21</t>
  </si>
  <si>
    <t>LUVA DE POLIETILENO DE ALTA DENSIDADE ELETROFUSÃO (CLASSE DE PRESSÃO: 10/16 KGF/CM² / DIÂMETRO DA SEÇÃO: 400 MM / TIPO DE RESINA: PE100)</t>
  </si>
  <si>
    <t>1.14.26</t>
  </si>
  <si>
    <t>1514603060XX12</t>
  </si>
  <si>
    <t>LUVA DE POLIETILENO DE ALTA DENSIDADE ELETROFUSÃO (CLASSE DE PRESSÃO: 10/16 KGF/CM² / DIÂMETRO DA SEÇÃO: 500 MM / TIPO DE RESINA: PE100)</t>
  </si>
  <si>
    <t>1.14.27</t>
  </si>
  <si>
    <t>1514603060001</t>
  </si>
  <si>
    <t>LUVA DE POLIETILENO DE ALTA DENSIDADE ELETROFUSÃO (CLASSE DE PRESSÃO: 10/16 KGF/CM² / DIÂMETRO DA SEÇÃO: 63 MM / TIPO DE RESINA: PE100 )</t>
  </si>
  <si>
    <t>1.14.28</t>
  </si>
  <si>
    <t>1514603060004</t>
  </si>
  <si>
    <t>LUVA DE POLIETILENO DE ALTA DENSIDADE ELETROFUSÃO (CLASSE DE PRESSÃO: 10/16 KGF/CM² / DIÂMETRO EXTERNO: 110 MM / TIPO DE RESINA: PE100 )</t>
  </si>
  <si>
    <t>1.14.29</t>
  </si>
  <si>
    <t>1514603060014</t>
  </si>
  <si>
    <t>LUVA DE POLIETILENO DE ALTA DENSIDADE ELETROFUSÃO (CLASSE DE PRESSÃO: 10/16 KGF/CM² / DIÂMETRO EXTERNO: 125 MM / TIPO DE RESINA: PE100)</t>
  </si>
  <si>
    <t>1.14.30</t>
  </si>
  <si>
    <t>1514603060XXX5</t>
  </si>
  <si>
    <t>LUVA DE POLIETILENO DE ALTA DENSIDADE ELETROFUSÃO (CLASSE DE PRESSÃO: 10/16 KGF/CM² / DIÂMETRO EXTERNO: 280 MM / TIPO DE RESINA: PE100)</t>
  </si>
  <si>
    <t>1.14.31</t>
  </si>
  <si>
    <t>1514603060XX16</t>
  </si>
  <si>
    <t>LUVA DE POLIETILENO DE ALTA DENSIDADE ELETROFUSÃO (CLASSE DE PRESSÃO: 10/16 KGF/CM² / DIÂMETRO EXTERNO: 355 MM / TIPO DE RESINA: PE100 )</t>
  </si>
  <si>
    <t>M</t>
  </si>
  <si>
    <t>1.14.32</t>
  </si>
  <si>
    <t>LUVA ELETROFUSÃO INJETADA</t>
  </si>
  <si>
    <t>1514603060003</t>
  </si>
  <si>
    <t>LUVA DE POLIETILENO DE ALTA DENSIDADE ELETROFUSÃO INJETADA (CLASSE DE PRESSÃO: 10 KGF/CM² / DIÂMETRO EXTERNO: 90 MM / TIPO DE RESINA: PE100)</t>
  </si>
  <si>
    <t>1.14.33</t>
  </si>
  <si>
    <t>REDUÇÃO CONCÊNTRICA INJETADA</t>
  </si>
  <si>
    <t>REDUÇÃO</t>
  </si>
  <si>
    <t>110X63</t>
  </si>
  <si>
    <t>1514603076105</t>
  </si>
  <si>
    <t>REDUÇÃO CONCÊNTRICA DE POLIETILENO DE ALTA DENSIDADE (PEAD) INJETADO, PONTA LONGA, PARA PN-10 (10 KGF/CM²), DN-110X63 MM, SDR-17, PE-100, PARA ÁGUA OU ESGOTO, CONFORME NBR-15593</t>
  </si>
  <si>
    <t>1.14.34</t>
  </si>
  <si>
    <t>110X90</t>
  </si>
  <si>
    <t>1514603076102</t>
  </si>
  <si>
    <t>REDUÇÃO CONCÊNTRICA DE POLIETILENO DE ALTA DENSIDADE (PEAD) INJETADO, PONTA LONGA, PARA PN-10 (10 KGF/CM²), DN-110X90 MM, SDR-17, PE-100, PARA ÁGUA OU ESGOTO, CONFORME NBR-15593</t>
  </si>
  <si>
    <t>1.14.35</t>
  </si>
  <si>
    <t>160X110</t>
  </si>
  <si>
    <t>1514603076101</t>
  </si>
  <si>
    <t>REDUÇÃO CONCÊNTRICA DE POLIETILENO DE ALTA DENSIDADE (PEAD) INJETADO, PONTA LONGA, PARA PN-10 (10 KGF/CM²), DN-160X110 MM, SDR-17, PE-100, PARA ÁGUA OU ESGOTO, CONFORME NBR-15593</t>
  </si>
  <si>
    <t>1.14.36</t>
  </si>
  <si>
    <t>160X90</t>
  </si>
  <si>
    <t>1514603076106</t>
  </si>
  <si>
    <t>REDUÇÃO CONCÊNTRICA DE POLIETILENO DE ALTA DENSIDADE (PEAD) INJETADO, PONTA LONGA, PARA PN-10 (10 KGF/CM²), DN-160X90 MM, SDR-17, PE-100, PARA ÁGUA OU ESGOTO, CONFORME NBR-15593</t>
  </si>
  <si>
    <t>1.14.37</t>
  </si>
  <si>
    <t>280X250</t>
  </si>
  <si>
    <t>1514603076107</t>
  </si>
  <si>
    <t>REDUÇÃO CONCÊNTRICA DE POLIETILENO DE ALTA DENSIDADE (PEAD) INJETADO, PONTA LONGA, PARA PN-10 (10 KGF/CM²), DN-280X250 MM, SDR-17, PE-100, PARA ÁGUA OU ESGOTO, CONFORME NBR-15593</t>
  </si>
  <si>
    <t>1.14.38</t>
  </si>
  <si>
    <t>315X280</t>
  </si>
  <si>
    <t>1514603076109</t>
  </si>
  <si>
    <t>REDUÇÃO CONCÊNTRICA DE POLIETILENO DE ALTA DENSIDADE (PEAD) INJETADO, PONTA LONGA, PARA PN-10 (10 KGF/CM²), DN-315X280 MM, SDR-17, PE-100, PARA ÁGUA OU ESGOTO, CONFORME NBR-15593</t>
  </si>
  <si>
    <t>1.14.39</t>
  </si>
  <si>
    <t>90X63</t>
  </si>
  <si>
    <t>1514603076104</t>
  </si>
  <si>
    <t>REDUÇÃO CONCÊNTRICA DE POLIETILENO DE ALTA DENSIDADE (PEAD) INJETADO, PONTA LONGA, PARA PN-10 (10 KGF/CM²), DN-90X63 MM, SDR-17, PE-100, PARA ÁGUA OU ESGOTO, CONFORME NBR-15593</t>
  </si>
  <si>
    <t>1.14.40</t>
  </si>
  <si>
    <t>REDUÇÃO CONCÊNTRICA ELETROFUSÃO INJETADA</t>
  </si>
  <si>
    <t>PN16</t>
  </si>
  <si>
    <t>125X110</t>
  </si>
  <si>
    <t>1514603080013</t>
  </si>
  <si>
    <t>REDUÇÃO CONCÊNTRICA DE POLIETILENO DE ALTA DENSIDADE ELETROFUSÃO INJETADA (CLASSE DE PRESSÃO: 16 KGF/CM² / DIÂMETRO DE ENTRADA: 125 MM / DIÂMETRO DE SAÍDA: 110 MM / TIPO DE RESINA: PE100)</t>
  </si>
  <si>
    <t>1.14.41</t>
  </si>
  <si>
    <t>500X400</t>
  </si>
  <si>
    <t>1514603080019</t>
  </si>
  <si>
    <t>REDUÇÃO CONCÊNTRICA DE POLIETILENO DE ALTA DENSIDADE ELETROFUSÃO INJETADO (CLASSE DE PRESSÃO: 10 KGF/CM² / DIÂMETRO MAIOR: 500 MM / DIÂMETRO MENOR: 400 MM / TIPO DE RESINA: PE100)</t>
  </si>
  <si>
    <t>1.14.42</t>
  </si>
  <si>
    <t>225X160</t>
  </si>
  <si>
    <t>1514603076151</t>
  </si>
  <si>
    <t>REDUÇÃO CONCÊNTRICA DE POLIETILENO DE ALTA DENSIDADE TERMOFUSÃO INJETADA (CLASSE DE PRESSÃO: 10 KGF/CM² / DIÂMETRO MAIOR: 225 MM / DIÂMETRO MENOR: 160 MM / TIPO DE RESINA: PE100 )</t>
  </si>
  <si>
    <t>1.14.43</t>
  </si>
  <si>
    <t>250X160</t>
  </si>
  <si>
    <t>1514603076152</t>
  </si>
  <si>
    <t>REDUÇÃO CONCÊNTRICA DE POLIETILENO DE ALTA DENSIDADE TERMOFUSÃO INJETADA (CLASSE DE PRESSÃO: 10 KGF/CM² / DIÂMETRO MAIOR: 250 MM / DIÂMETRO MENOR: 160 MM / TIPO DE RESINA: PE100 )</t>
  </si>
  <si>
    <t>1.14.44</t>
  </si>
  <si>
    <t>250X200</t>
  </si>
  <si>
    <t>1514603076153</t>
  </si>
  <si>
    <t>REDUÇÃO CONCÊNTRICA DE POLIETILENO DE ALTA DENSIDADE TERMOFUSÃO INJETADA (CLASSE DE PRESSÃO: 10 KGF/CM² / DIÂMETRO MAIOR: 250 MM / DIÂMETRO MENOR: 200 MM / TIPO DE RESINA: PE100 )</t>
  </si>
  <si>
    <t>1.14.45</t>
  </si>
  <si>
    <t>250X225</t>
  </si>
  <si>
    <t>1514603076155</t>
  </si>
  <si>
    <t>REDUÇÃO CONCÊNTRICA DE POLIETILENO DE ALTA DENSIDADE TERMOFUSÃO INJETADA (CLASSE DE PRESSÃO: 10 KGF/CM² / DIÂMETRO MAIOR: 250 MM / DIÂMETRO MENOR: 225 MM / TIPO DE RESINA: PE100 )</t>
  </si>
  <si>
    <t>1.14.46</t>
  </si>
  <si>
    <t>355X250</t>
  </si>
  <si>
    <t>1514603076158</t>
  </si>
  <si>
    <t>REDUÇÃO CONCÊNTRICA DE POLIETILENO DE ALTA DENSIDADE TERMOFUSÃO INJETADA (CLASSE DE PRESSÃO: 10 KGF/CM² / DIÂMETRO MAIOR: 355 MM / DIÂMETRO MENOR: 250 MM / TIPO DE RESINA: PE100 )</t>
  </si>
  <si>
    <t>1.14.47</t>
  </si>
  <si>
    <t>355X315</t>
  </si>
  <si>
    <t>1514603076156</t>
  </si>
  <si>
    <t>REDUÇÃO CONCÊNTRICA DE POLIETILENO DE ALTA DENSIDADE TERMOFUSÃO INJETADA (CLASSE DE PRESSÃO: 10 KGF/CM² / DIÂMETRO MAIOR: 355 MM / DIÂMETRO MENOR: 315 MM / TIPO DE RESINA: PE100 )</t>
  </si>
  <si>
    <t>1.14.48</t>
  </si>
  <si>
    <t>400X315</t>
  </si>
  <si>
    <t>1514603076160</t>
  </si>
  <si>
    <t>REDUÇÃO CONCÊNTRICA DE POLIETILENO DE ALTA DENSIDADE TERMOFUSÃO INJETADA (CLASSE DE PRESSÃO: 10 KGF/CM² / DIÂMETRO MAIOR: 400 MM / DIÂMETRO MENOR: 315 MM / TIPO DE RESINA: PE100 )</t>
  </si>
  <si>
    <t>1.14.49</t>
  </si>
  <si>
    <t>225X110</t>
  </si>
  <si>
    <t>1514603076157</t>
  </si>
  <si>
    <t>REDUÇÃO CONCÊNTRICA DE POLIETILENO DE ALTA DENSIDADE TERMOFUSÃO INJETADA (CLASSE DE PRESSÃO: 10 KGF/CM² / DIÂMETRO MAIOR: 225 MM / DIÂMETRO MENOR: 110 MM / TIPO DE RESINA: PE100 )</t>
  </si>
  <si>
    <t>1.14.50</t>
  </si>
  <si>
    <t>225X90</t>
  </si>
  <si>
    <t>1514603076159</t>
  </si>
  <si>
    <t>REDUÇÃO CONCÊNTRICA DE POLIETILENO DE ALTA DENSIDADE TERMOFUSÃO INJETADA (CLASSE DE PRESSÃO: 10 KGF/CM² / DIÂMETRO MAIOR: 225 MM / DIÂMETRO MENOR: 90 MM / TIPO DE RESINA: PE100 )</t>
  </si>
  <si>
    <t>1.14.51</t>
  </si>
  <si>
    <t>500X355</t>
  </si>
  <si>
    <t>1514603076161</t>
  </si>
  <si>
    <t>REDUÇÃO CONCÊNTRICA DE POLIETILENO DE ALTA DENSIDADE TERMOFUSÃO INJETADA (CLASSE DE PRESSÃO: 10 KGF/CM² / DIÂMETRO MAIOR: 500 MM / DIÂMETRO MENOR: 355 MM / TIPO DE RESINA: PE100)</t>
  </si>
  <si>
    <t>1.14.52</t>
  </si>
  <si>
    <t>125X90</t>
  </si>
  <si>
    <t>1514603076098</t>
  </si>
  <si>
    <t>REDUÇÃO CONCÊNTRICA DE POLIETILENO DE ALTA DENSIDADE TERMOFUSÃO INJETADA (CLASSE DE PRESSÃO: 16 KGF/CM² / DIÂMETRO MAIOR: 125 MM / DIÂMETRO MENOR: 90 MM / TIPO DE RESINA: PE100)</t>
  </si>
  <si>
    <t>1.14.53</t>
  </si>
  <si>
    <t>TÊ 90º ELETROFUSÃO INJETADO</t>
  </si>
  <si>
    <t>TÊ 90º</t>
  </si>
  <si>
    <t>1514603062003</t>
  </si>
  <si>
    <t>TÊ 90° DE POLIETILENO DE ALTA DENSIDADE ELETROFUSÃO INJETADO (CLASSE DE PRESSÃO: 10 KGF/CM² / DIÂMETRO EXTERNO: 63 MM / TIPO DE RESINA: PE100 )</t>
  </si>
  <si>
    <t>1.14.54</t>
  </si>
  <si>
    <t>1514603062005</t>
  </si>
  <si>
    <t>TÊ 90° DE POLIETILENO DE ALTA DENSIDADE ELETROFUSÃO INJETADO (CLASSE DE PRESSÃO: 10 KGF/CM² / DIÂMETRO EXTERNO: 90 MM / TIPO DE RESINA: PE100 )</t>
  </si>
  <si>
    <t>1.14.55</t>
  </si>
  <si>
    <t>1514603062001</t>
  </si>
  <si>
    <t>TÊ 90° DE POLIETILENO DE ALTA DENSIDADE ELETROFUSÃO INJETADO (CLASSE DE PRESSÃO: 16 KGF/CM² / DIÂMETRO EXTERNO: 110 MM / TIPO DE RESINA: PE100 )</t>
  </si>
  <si>
    <t>1.14.56</t>
  </si>
  <si>
    <t>1514603062002</t>
  </si>
  <si>
    <t>TÊ 90° DE POLIETILENO DE ALTA DENSIDADE ELETROFUSÃO INJETADO (CLASSE DE PRESSÃO: 16 KGF/CM² / DIÂMETRO EXTERNO: 125 MM / TIPO DE RESINA: PE100 )</t>
  </si>
  <si>
    <t>1.14.57</t>
  </si>
  <si>
    <t>TÊ 90º INJETADO</t>
  </si>
  <si>
    <t>1514603005032</t>
  </si>
  <si>
    <t>TÊ 90° DE POLIETILENO DE ALTA DENSIDADE INJETADO (CLASSE DE PRESSÃO: 16 KGF/CM² / DIÂMETRO EXTERNO: 90 MM / TIPO DE RESINA: PE100 )</t>
  </si>
  <si>
    <t>pç</t>
  </si>
  <si>
    <t>1.14.58</t>
  </si>
  <si>
    <t>1514603061005</t>
  </si>
  <si>
    <t>TÊ 90° DE POLIETILENO DE ALTA DENSIDADE TERMOFUSÃO INJETADO (CLASSE DE PRESSÃO: 10 KGF/CM² / DIÂMETRO EXTERNO: 225 MM / TIPO DE RESINA: PE100 )</t>
  </si>
  <si>
    <t>1.14.59</t>
  </si>
  <si>
    <t>1514603061006</t>
  </si>
  <si>
    <t>TÊ 90° DE POLIETILENO DE ALTA DENSIDADE TERMOFUSÃO INJETADO (CLASSE DE PRESSÃO: 10 KGF/CM² / DIÂMETRO EXTERNO: 250 MM / TIPO DE RESINA: PE100 )</t>
  </si>
  <si>
    <t>1.14.60</t>
  </si>
  <si>
    <t>1514603061007</t>
  </si>
  <si>
    <t>TÊ 90° DE POLIETILENO DE ALTA DENSIDADE TERMOFUSÃO INJETADO (CLASSE DE PRESSÃO: 10 KGF/CM² / DIÂMETRO EXTERNO: 280 MM / TIPO DE RESINA: PE100 )</t>
  </si>
  <si>
    <t>1.14.61</t>
  </si>
  <si>
    <t>1514603061008</t>
  </si>
  <si>
    <t>TÊ 90° DE POLIETILENO DE ALTA DENSIDADE TERMOFUSÃO INJETADO (CLASSE DE PRESSÃO: 10 KGF/CM² / DIÂMETRO EXTERNO: 315 MM / TIPO DE RESINA: PE100 )</t>
  </si>
  <si>
    <t>1.14.62</t>
  </si>
  <si>
    <t>1514603061017</t>
  </si>
  <si>
    <t>TÊ 90° DE POLIETILENO DE ALTA DENSIDADE TERMOFUSÃO INJETADO (CLASSE DE PRESSÃO: 10 KGF/CM² / DIÂMETRO EXTERNO: 355 MM / TIPO DE RESINA: PE100 )</t>
  </si>
  <si>
    <t>1.14.63</t>
  </si>
  <si>
    <t>1514603061020</t>
  </si>
  <si>
    <t>TÊ 90° DE POLIETILENO DE ALTA DENSIDADE TERMOFUSÃO INJETADO (CLASSE DE PRESSÃO: 10 KGF/CM² / DIÂMETRO EXTERNO: 500 MM / TIPO DE RESINA: PE100 )</t>
  </si>
  <si>
    <t>1.14.64</t>
  </si>
  <si>
    <t>1514603061002</t>
  </si>
  <si>
    <t>TÊ 90° DE POLIETILENO DE ALTA DENSIDADE TERMOFUSÃO INJETADO (CLASSE DE PRESSÃO: 10 KGF/CM² / DIÂMETRO EXTERNO: 160 MM / TIPO DE RESINA: PE100)</t>
  </si>
  <si>
    <t>1.14.65</t>
  </si>
  <si>
    <t>TÊ 90º DE REDUÇÃO INJETADO</t>
  </si>
  <si>
    <t>TÊ 90º DE REDUÇÃO</t>
  </si>
  <si>
    <t>1514603087059</t>
  </si>
  <si>
    <t>TÊ 90º DE REDUÇÃO DE POLIETILENO DE ALTA DENSIDADE TERMOFUSÃO INJETADA (CLASSE DE PRESSÃO:10 KGF/CM² /DIÂMETRO MAIOR:225MM / DIÂMETRO MENOR:110 MM /TIPO DE RESINA: PE 100)</t>
  </si>
  <si>
    <t>1.14.66</t>
  </si>
  <si>
    <t>1514603087058</t>
  </si>
  <si>
    <t>TÊ 90º DE REDUÇÃO DE POLIETILENO DE ALTA DENSIDADE TERMOFUSÃO INJETADA (CLASSE DE PRESSÃO:10 KGF/CM² /DIÂMETRO MAIOR:225MM / DIÂMETRO MENOR:90 MM /TIPO DE RESINA: PE 100)</t>
  </si>
  <si>
    <t>1.14.67</t>
  </si>
  <si>
    <t>315X160</t>
  </si>
  <si>
    <t>1514603061051</t>
  </si>
  <si>
    <t>TÊ 90º DE REDUÇÃO DE POLIETILENO DE ALTA DENSIDADE TERMOFUSÃO INJETADA (CLASSE DE PRESSÃO:10 KGF/CM² /DIÂMETRO MAIOR:315MM / DIÂMETRO MENOR:160 MM /TIPO DE RESINA: PE 100)</t>
  </si>
  <si>
    <t>1.14.68</t>
  </si>
  <si>
    <t>1514603087052</t>
  </si>
  <si>
    <t>TÊ 90º DE REDUÇÃO DE POLIETILENO DE ALTA DENSIDADE TERMOFUSÃO INJETADA (CLASSE DE PRESSÃO:16 KGF/CM² /DIÂMETRO MAIOR:160MM / DIÂMETRO MENOR:90 MM /TIPO DE RESINA: PE 100)</t>
  </si>
  <si>
    <t>1.14.69</t>
  </si>
  <si>
    <t>TÊ DE SELA TOP LOAD ELETROFUSÃO C/ SAÍDA PONTA</t>
  </si>
  <si>
    <t>TÊ DE SELA TOP LOAD</t>
  </si>
  <si>
    <t>1514603100054</t>
  </si>
  <si>
    <t>TÊ DE SELA TOPLOAD DE POLIETILENO DE ALTA DENSIDADE ELETROFUSÃO INJETADO COM SAÍDA PONTA - PARA TUBO COM DIÂMETRO EXTERNO DE 110MM (CLASSE DE PRESSÃO: 16 KGF/CM2 / DIÂMETRO EXTERNO DA SAÍDA: 63MM / TIPO DE RESINA: PE100)</t>
  </si>
  <si>
    <t>1.14.70</t>
  </si>
  <si>
    <t>160X63</t>
  </si>
  <si>
    <t>1514603100055</t>
  </si>
  <si>
    <t>TÊ DE SELA TOPLOAD DE POLIETILENO DE ALTA DENSIDADE ELETROFUSÃO INJETADO COM SAÍDAPONTA - PARA TUBO COM DIÂMETRO EXTERNO DE 160MM (CLASSE DE PRESSÃO: 16 KGF/CM2 / DIÂMETRO EXTERNO DA SAÍDA: 63MM / TIPO DE RESINA: PE100)</t>
  </si>
  <si>
    <t>1.14.71</t>
  </si>
  <si>
    <t>225X63</t>
  </si>
  <si>
    <t>1514603100056</t>
  </si>
  <si>
    <t>TÊ DE SELA TOPLOAD DE POLIETILENO DE ALTA DENSIDADE ELETROFUSÃO INJETADO COM SAÍDA PONTA - PARA TUBO COM DIÂMETRO EXTERNO DE 225MM (CLASSE DE PRESSÃO: 16 KGF/CM2 / DIÂMETRO EXTERNO DA SAÍDA: 63MM / TIPO DE RESINA: PE100)</t>
  </si>
  <si>
    <t>1.14.72</t>
  </si>
  <si>
    <t>250X63</t>
  </si>
  <si>
    <t>1514603100057</t>
  </si>
  <si>
    <t>TÊ DE SELA TOPLOAD DE POLIETILENO DE ALTA DENSIDADE ELETROFUSÃO INJETADO COM SAÍDA PONTA - PARA TUBO COM DIÂMETRO EXTERNO DE 250MM (CLASSE DE PRESSÃO: 16 KGF/CM2 / DIÂMETRO EXTERNO DA SAÍDA: 63MM / TIPO DE RESINA: PE100)</t>
  </si>
  <si>
    <t>1.14.73</t>
  </si>
  <si>
    <t>280X63</t>
  </si>
  <si>
    <t>1514603100058</t>
  </si>
  <si>
    <t>TÊ DE SELA TOPLOAD DE POLIETILENO DE ALTA DENSIDADE ELETROFUSÃO INJETADO COM SAÍDA PONTA - PARA TUBO COM DIÂMETRO EXTERNO DE 280MM (CLASSE DE PRESSÃO: 16 KGF/CM2 / DIÂMETRO EXTERNO DA SAÍDA: 63MM / TIPO DE RESINA: PE100)</t>
  </si>
  <si>
    <t>1.14.74</t>
  </si>
  <si>
    <t>63X63</t>
  </si>
  <si>
    <t>1514603100059</t>
  </si>
  <si>
    <t>TÊ DE SELA TOPLOAD DE POLIETILENO DE ALTA DENSIDADE ELETROFUSÃO INJETADO COM SAÍDA PONTA - PARA TUBO COM DIÂMETRO EXTERNO DE 63MM (CLASSE DE PRESSÃO: 16 KGF/CM2 / DIÂMETRO EXTERNO DA SAÍDA: 63MM / TIPO DE RESINA: PE100)</t>
  </si>
  <si>
    <t>1.14.75</t>
  </si>
  <si>
    <t>1514603100060</t>
  </si>
  <si>
    <t>TÊ DE SELA TOPLOAD DE POLIETILENO DE ALTA DENSIDADE ELETROFUSÃO INJETADO COM SAÍDA PONTA - PARA TUBO COM DIÂMETRO EXTERNO DE 90MM (CLASSE DE PRESSÃO: 16 KGF/CM2 / DIÂMETRO EXTERNO DA SAÍDA: 63MM / TIPO DE RESINA: PE100)</t>
  </si>
  <si>
    <t>1.14.76</t>
  </si>
  <si>
    <t>TUBO</t>
  </si>
  <si>
    <t>TUBO PEAD</t>
  </si>
  <si>
    <t>1514603006003</t>
  </si>
  <si>
    <t>TUBO DE POLIETILENO DE ALTA DENSIDADE (CLASSE DE PRESSÃO: 10 KGF/CM² / DIÂMETRO EXTERNO NOMINAL: 225 MM / TIPO DE RESINA: PE100)</t>
  </si>
  <si>
    <t>1.14.77</t>
  </si>
  <si>
    <t>CANTEIRO/HIDROMECÂNICO</t>
  </si>
  <si>
    <t>1514603006037</t>
  </si>
  <si>
    <t>TUBO DE POLIETILENO DE ALTA DENSIDADE (CLASSE DE PRESSÃO: 10 KGF/CM² / DIÂMETRO EXTERNO NOMINAL: 63 MM / TIPO DE RESINA: PE100)</t>
  </si>
  <si>
    <t>1.15</t>
  </si>
  <si>
    <t>15159</t>
  </si>
  <si>
    <t>TUBOS E CONEXÕES DE FERRO FUNDIDO DÚCTIL</t>
  </si>
  <si>
    <t>1.15.1</t>
  </si>
  <si>
    <t>ARRUELA EPDM C/ ALMA METÁLICA</t>
  </si>
  <si>
    <t>PN10/16/25/40</t>
  </si>
  <si>
    <t>1515903098049</t>
  </si>
  <si>
    <t>ACESSÓRIOS PARA FLANGE - ARRUELA DE BORRACHA (EPDM) COM ALMA METÁLICA (CLASSE DE PRESSÃO: 10/16/25/40 KGF/CM² / DIÂMETRO DA SEÇÃO: 100 MM)</t>
  </si>
  <si>
    <t>1.15.2</t>
  </si>
  <si>
    <t>1515903098023</t>
  </si>
  <si>
    <t>ACESSÓRIOS PARA FLANGE - ARRUELA DE BORRACHA (EPDM) COM ALMA METÁLICA (CLASSE DE PRESSÃO: 10/16/25/40 KGF/CM² / DIÂMETRO DA SEÇÃO: 150 MM)</t>
  </si>
  <si>
    <t>1.15.3</t>
  </si>
  <si>
    <t>1515903098020</t>
  </si>
  <si>
    <t>ACESSÓRIOS PARA FLANGE - ARRUELA DE BORRACHA (EPDM) COM ALMA METÁLICA (CLASSE DE PRESSÃO: 10/16/25/40 KGF/CM² / DIÂMETRO DA SEÇÃO: 200 MM)</t>
  </si>
  <si>
    <t>1.15.4</t>
  </si>
  <si>
    <t>1515903098054</t>
  </si>
  <si>
    <t>ACESSÓRIOS PARA FLANGE - ARRUELA DE BORRACHA (EPDM) COM ALMA METÁLICA (CLASSE DE PRESSÃO: 10/16/25/40 KGF/CM² / DIÂMETRO DA SEÇÃO: 250 MM)</t>
  </si>
  <si>
    <t>1.15.5</t>
  </si>
  <si>
    <t>1515903098035</t>
  </si>
  <si>
    <t>ACESSÓRIOS PARA FLANGE - ARRUELA DE BORRACHA (EPDM) COM ALMA METÁLICA (CLASSE DE PRESSÃO: 10/16/25/40 KGF/CM² / DIÂMETRO DA SEÇÃO: 300 MM)</t>
  </si>
  <si>
    <t>1.15.6</t>
  </si>
  <si>
    <t>1515903098053</t>
  </si>
  <si>
    <t>ACESSÓRIOS PARA FLANGE - ARRUELA DE BORRACHA (EPDM) COM ALMA METÁLICA (CLASSE DE PRESSÃO: 10/16/25/40 KGF/CM² / DIÂMETRO DA SEÇÃO: 50 MM)</t>
  </si>
  <si>
    <t>1.15.7</t>
  </si>
  <si>
    <t>1515903098050</t>
  </si>
  <si>
    <t>ACESSÓRIOS PARA FLANGE - ARRUELA DE BORRACHA (EPDM) COM ALMA METÁLICA (CLASSE DE PRESSÃO: 10/16/25/40 KGF/CM² / DIÂMETRO DA SEÇÃO: 80 MM)</t>
  </si>
  <si>
    <t>1.15.8</t>
  </si>
  <si>
    <t>PARAFUSO SEXTAVADO COM PORCA E 02 ARRUELAS</t>
  </si>
  <si>
    <t>PN10/16/25</t>
  </si>
  <si>
    <t>PARAFUSO</t>
  </si>
  <si>
    <t>16X80</t>
  </si>
  <si>
    <t>1515903014108</t>
  </si>
  <si>
    <t>ACESSÓRIOS PARA FLANGE - PARAFUSO SEXTAVADO DE AÇO GALVANIZADO À FOGO, COM PORCA E DUAS ARRUELAS, PARA JUNTA COM FLANGES, CONFORME NBR 7675. DIÂMETRO DO PARAFUSO: 16 MM / COMPRIMENTO: 80 MM. UTILIZADO PARA OS TUBOS: PN 10/16 (DIÂMETRO 50 ATÉ 100 MM) E PN 25 (DIÂMETRO 50 ATÉ 80 MM).</t>
  </si>
  <si>
    <t>1.15.9</t>
  </si>
  <si>
    <t>20X100</t>
  </si>
  <si>
    <t>1515903014107</t>
  </si>
  <si>
    <t>ACESSÓRIOS PARA FLANGE - PARAFUSO SEXTAVADO DE AÇO GALVANIZADO À FOGO, COM PORCA E DUAS ARRUELAS, PARA JUNTA COM FLANGES, CONFORME NBR 7675. DIÂMETRO DO PARAFUSO: 20 MM / COMPRIMENTO: 100 MM. UTILIZADO PARA OS TUBOS: PN 10 (DIÂMETRO 300 ATÉ 350 MM).</t>
  </si>
  <si>
    <t>1.15.10</t>
  </si>
  <si>
    <t>20X90</t>
  </si>
  <si>
    <t>1515903014109</t>
  </si>
  <si>
    <t>ACESSÓRIOS PARA FLANGE - PARAFUSO SEXTAVADO DE AÇO GALVANIZADO À FOGO, COM PORCA E DUAS ARRUELAS, PARA JUNTA COM FLANGES, CONFORME NBR 7675. DIÂMETRO DO PARAFUSO: 20 MM / COMPRIMENTO: 90 MM. UTILIZADO PARA OS TUBOS: PN 10 (DIÂMETRO 150 ATÉ 250 MM), PN 16 (DIÂMETRO 150 ATÉ 200 MM) E PN 25 (DIÂMETRO 100 MM).</t>
  </si>
  <si>
    <t>1.15.11</t>
  </si>
  <si>
    <t>24X110</t>
  </si>
  <si>
    <t>1515903014138</t>
  </si>
  <si>
    <t>ACESSÓRIOS PARA FLANGE - PARAFUSO SEXTAVADO DE AÇO GALVANIZADO À FOGO, COM PORCA E DUAS ARRUELAS, PARA JUNTA COM FLANGES, CONFORME NBR 7675. DIÂMETRO DO PARAFUSO: 24 MM / COMPRIMENTO: 110 MM. UTILIZADO PARA OS TUBOS: PN 10 (DIÂMETRO 400 ATÉ 500 MM) E PN 16 (DIÂMETRO 350 MM).</t>
  </si>
  <si>
    <t>1.15.12</t>
  </si>
  <si>
    <t>CURVA DE 90º FLANGE X FLANGE</t>
  </si>
  <si>
    <t>1515903023077</t>
  </si>
  <si>
    <t>CURVA 90° DE FERRO FUNDIDO DÚCTIL COM FLANGES PARA ÁGUA (CLASSE DE PRESSÃO: 10 KGF/CM² / DIÂMETRO DA SEÇÃO: 200 MM)</t>
  </si>
  <si>
    <t>1.15.13</t>
  </si>
  <si>
    <t>CURVA DE 90º FLANGE X FLANGE DISSIMÉTRICA</t>
  </si>
  <si>
    <t>100X80</t>
  </si>
  <si>
    <t>1515903023084</t>
  </si>
  <si>
    <t>CURVA 90° DE FERRO FUNDIDO DÚCTIL DISSIMÉTRICA COM FLANGES PARA HIDRANTE DE COLUNA (CLASSE DE PRESSÃO: 10 KGF/CM² / DIÂMETRO DE ENTRADA: 100 MM / DIÂMETRO DE SAÍDA: 80 MM)</t>
  </si>
  <si>
    <t>1.15.14</t>
  </si>
  <si>
    <t>EXTREMIDADE FLANGE X PONTA</t>
  </si>
  <si>
    <t>EXTREMIDADE</t>
  </si>
  <si>
    <t>1515903076005</t>
  </si>
  <si>
    <t>EXTREMIDADE DE FERRO FUNDIDO DÚCTIL COM FLANGE E PONTA (CLASSE DE PRESSÃO: 10 KGF/CM² / DIÂMETRO DA SEÇÃO: 200 MM)</t>
  </si>
  <si>
    <t>1.15.15</t>
  </si>
  <si>
    <t>LUVA DE CORRER JUNTA MECÂNICA</t>
  </si>
  <si>
    <t>LUVA DE CORRER</t>
  </si>
  <si>
    <t>1515903004002</t>
  </si>
  <si>
    <t>LUVA DE CORRER DE FERRO FUNDIDO DÚCTIL COM BOLSA JUNTA MECÂNICA (DIÂMETRO DA SEÇÃO: 100 MM)</t>
  </si>
  <si>
    <t>1.15.16</t>
  </si>
  <si>
    <t>1515903004023</t>
  </si>
  <si>
    <t>LUVA DE CORRER DE FERRO FUNDIDO DÚCTIL COM BOLSA JUNTA MECÂNICA (DIÂMETRO DA SEÇÃO: 150 MM)</t>
  </si>
  <si>
    <t>1.15.17</t>
  </si>
  <si>
    <t>1515903004019</t>
  </si>
  <si>
    <t>LUVA DE CORRER DE FERRO FUNDIDO DÚCTIL COM BOLSA JUNTA MECÂNICA (DIÂMETRO DA SEÇÃO: 200 MM)</t>
  </si>
  <si>
    <t>1.15.18</t>
  </si>
  <si>
    <t>1515903004020</t>
  </si>
  <si>
    <t>LUVA DE CORRER DE FERRO FUNDIDO DÚCTIL COM BOLSA JUNTA MECÂNICA (DIÂMETRO DA SEÇÃO: 300 MM)</t>
  </si>
  <si>
    <t>1.15.19</t>
  </si>
  <si>
    <t>1515903004012</t>
  </si>
  <si>
    <t>LUVA DE CORRER DE FERRO FUNDIDO DÚCTIL COM BOLSA JUNTA MECÂNICA (DIÂMETRO DA SEÇÃO: 50 MM)</t>
  </si>
  <si>
    <t>1.15.20</t>
  </si>
  <si>
    <t>1515903004017</t>
  </si>
  <si>
    <t>LUVA DE CORRER DE FERRO FUNDIDO DÚCTIL COM BOLSA JUNTA MECÂNICA (DIÂMETRO DA SEÇÃO: 80 MM)</t>
  </si>
  <si>
    <t>1.15.21</t>
  </si>
  <si>
    <t>REDUÇÃO CONCÊNTRICA FLANGE X FLANGE</t>
  </si>
  <si>
    <t>REDUÇÃO CONCÊNTRICA</t>
  </si>
  <si>
    <t>350X300</t>
  </si>
  <si>
    <t>1515903061015</t>
  </si>
  <si>
    <t>REDUÇÃO CONCÊNTRICA DE FERRO FUNDIDO DÚCTIL COM FLANGES (CLASSE DE PRESSÃO: 10 KGF/CM² / DIÂMETRO DE ENTRADA: 350 MM / DIÂMETRO DE SAÍDA: 300 MM)</t>
  </si>
  <si>
    <t>1.15.22</t>
  </si>
  <si>
    <t>200X150</t>
  </si>
  <si>
    <t>1515903061007</t>
  </si>
  <si>
    <t>REDUÇÃO CONCÊNTRICA DE FERRO FUNDIDO DÚCTIL COM FLANGES (CLASSE DE PRESSÃO: 10/16 KGF/CM² / DIÂMETRO DE ENTRADA: 200 MM / DIÂMETRO DE SAÍDA: 150 MM)</t>
  </si>
  <si>
    <t>1.15.23</t>
  </si>
  <si>
    <t>500X350</t>
  </si>
  <si>
    <t>1515903061023</t>
  </si>
  <si>
    <t>REDUÇÃO CONCÊNTRICA DE FERRO FUNDIDO DÚCTIL COM FLANGES (CLASSE DE PRESSÃO: 10/16 KGF/CM² / DIÂMETRO DE ENTRADA: 500 MM / DIÂMETRO DE SAÍDA: 350 MM)</t>
  </si>
  <si>
    <t>1.15.24</t>
  </si>
  <si>
    <t>150X80</t>
  </si>
  <si>
    <t>1515903061103</t>
  </si>
  <si>
    <t>REDUÇÃO CONCÊNTRICA DE FERRO FUNDIDO DÚCTIL COM FLANGES (CLASSE DE PRESSÃO: 10/16 KGF/CM² / DIÂMETRO DE ENTRADA: 150 MM / DIÂMETRO DE SAÍDA: 80 MM)</t>
  </si>
  <si>
    <t>1.15.25</t>
  </si>
  <si>
    <t>1515903061009</t>
  </si>
  <si>
    <t>REDUÇÃO CONCÊNTRICA DE FERRO FUNDIDO DÚCTIL COM FLANGES (CLASSE DE PRESSÃO: 10/16 KGF/CM² / DIÂMETRO DE ENTRADA: 250 MM / DIÂMETRO DE SAÍDA: 200 MM)</t>
  </si>
  <si>
    <t>1.15.26</t>
  </si>
  <si>
    <t>REDUÇÃO EXCÊNTRICA FLANGE X FLANGE</t>
  </si>
  <si>
    <t>REDUÇÃO EXCÊNTRICA</t>
  </si>
  <si>
    <t>100X50</t>
  </si>
  <si>
    <t>1515903008001</t>
  </si>
  <si>
    <t>REDUÇÃO EXCÊNTRICA DE FERRO FUNDIDO DÚCTIL COM FLANGES PARA ÁGUA (CLASSE DE PRESSÃO: 10 KGF/CM² / DIÂMETRO DE ENTRADA: 100 MM / DIÂMETRO DE SAÍDA: 50 MM)</t>
  </si>
  <si>
    <t>1.15.27</t>
  </si>
  <si>
    <t>150X100</t>
  </si>
  <si>
    <t>1515903008032</t>
  </si>
  <si>
    <t>REDUÇÃO EXCÊNTRICA DE FERRO FUNDIDO DÚCTIL COM FLANGES PARA ÁGUA (CLASSE DE PRESSÃO: 10/16 KGF/CM² / DIÂMETRO DE ENTRADA: 150 MM / DIÂMETRO DE SAÍDA: 100 MM)</t>
  </si>
  <si>
    <t>1.15.28</t>
  </si>
  <si>
    <t>80X50</t>
  </si>
  <si>
    <t>1515903008019</t>
  </si>
  <si>
    <t>REDUÇÃO EXCÊNTRICA DE FERRO FUNDIDO DÚCTIL COM FLANGES PARA ÁGUA (CLASSE DE PRESSÃO: 10/16/25 KGF/CM² / DIÂMETRO DE ENTRADA: 80 MM / DIÂMETRO DE SAÍDA: 50 MM)</t>
  </si>
  <si>
    <t>1.15.29</t>
  </si>
  <si>
    <t>TÊ FLANGE X FLANGE</t>
  </si>
  <si>
    <t>1515903064002</t>
  </si>
  <si>
    <t>TÊ DE FERRO FUNDIDO DÚCTIL COM FLANGES (CLASSE DE PRESSÃO: 10/16 KGF/CM² / DIÂMETRO: 200 MM)</t>
  </si>
  <si>
    <t>1.15.30</t>
  </si>
  <si>
    <t>TOCO FLANGE X FLANGE L = 0,50 M</t>
  </si>
  <si>
    <t>TOCO</t>
  </si>
  <si>
    <t>1515903060020</t>
  </si>
  <si>
    <t>TOCO DE FERRO FUNDIDO DÚCTIL COM FLANGES (CLASSE DE PRESSÃO: 10/16 KGF/CM² / COMPRIMENTO: 0,50 M / DIÂMETRO DA SEÇÃO: 150 MM)</t>
  </si>
  <si>
    <t>1.15.31</t>
  </si>
  <si>
    <t>1515903060021</t>
  </si>
  <si>
    <t>TOCO DE FERRO FUNDIDO DÚCTIL COM FLANGES (CLASSE DE PRESSÃO: 10/16 KGF/CM² / COMPRIMENTO: 0,50 M / DIÂMETRO DA SEÇÃO: 200 MM)</t>
  </si>
  <si>
    <t>1.15.32</t>
  </si>
  <si>
    <t>1515903060030</t>
  </si>
  <si>
    <t>TOCO DE FERRO FUNDIDO DÚCTIL COM FLANGES (CLASSE DE PRESSÃO: 10/16/25 KGF/CM² / COMPRIMENTO: 0,50 M / DIÂMETRO DA SEÇÃO: 80 MM)</t>
  </si>
  <si>
    <t>1.15.33</t>
  </si>
  <si>
    <t>TOCO FLANGE X FLANGE E ABA VEDAÇÃO L = 0,70 M</t>
  </si>
  <si>
    <t>1515903070006</t>
  </si>
  <si>
    <t>TOCO DE FERRO FUNDIDO DÚCTIL COM FLANGES E ABA DE VEDAÇÃO (CLASSE DE PRESSÃO: 10 KGF/CM² / COMPRIMENTO: 0,70 M / DIÂMETRO DA SEÇÃO: 350 MM)</t>
  </si>
  <si>
    <t>1.15.34</t>
  </si>
  <si>
    <t>1515903070072</t>
  </si>
  <si>
    <t>TOCO DE FERRO FUNDIDO DÚCTIL COM FLANGES E ABA DE VEDAÇÃO (CLASSE DE PRESSÃO: 10 KGF/CM² / COMPRIMENTO: 0,70 M / DIÂMETRO DA SEÇÃO: 50 MM / TIPO DE PINTURA: BETUMINOSA)</t>
  </si>
  <si>
    <t>1.15.35</t>
  </si>
  <si>
    <t>1515903070015</t>
  </si>
  <si>
    <t>TOCO DE FERRO FUNDIDO DÚCTIL COM FLANGES E ABA DE VEDAÇÃO (CLASSE DE PRESSÃO: 10/16 KGF/CM² / COMPRIMENTO: 0,70 M / DIÂMETRO DA SEÇÃO: 150 MM)</t>
  </si>
  <si>
    <t>1.15.36</t>
  </si>
  <si>
    <t>1515903070014</t>
  </si>
  <si>
    <t>TOCO DE FERRO FUNDIDO DÚCTIL COM FLANGES E ABA DE VEDAÇÃO (CLASSE DE PRESSÃO: 10/16/25 KGF/CM² / COMPRIMENTO: 0,70 M / DIÂMETRO DA SEÇÃO: 100 MM)</t>
  </si>
  <si>
    <t>1.15.37</t>
  </si>
  <si>
    <t>1515903070016</t>
  </si>
  <si>
    <t>TOCO DE FERRO FUNDIDO DÚCTIL COM FLANGES E ABA DE VEDAÇÃO (CLASSE DE PRESSÃO: 10/16/25 KGF/CM² / COMPRIMENTO: 0,70 M / DIÂMETRO DA SEÇÃO: 80 MM)</t>
  </si>
  <si>
    <t>1.15.38</t>
  </si>
  <si>
    <t>1515903070003</t>
  </si>
  <si>
    <t>TOCO DE FERRO FUNDIDO DÚCTIL COM FLANGES E ABA DE VEDAÇÃO PARA ÁGUA (CLASSE DE PRESSÃO: 10 KGF/CM² / COMPRIMENTO: 0,70 M / DIÂMETRO DA SEÇÃO: 200 MM / TIPO DE PINTURA: BETUMINOSA)</t>
  </si>
  <si>
    <t>1.15.39</t>
  </si>
  <si>
    <t>TUBO FLANGE X PONTA L = 1,00 M</t>
  </si>
  <si>
    <t>1515903043078</t>
  </si>
  <si>
    <t>TUBO DE FERRO FUNDIDO DÚCTIL COM FLANGE E PONTA (CLASSE DE PRESSÃO: 10 KGF/CM² / COMPRIMENTO: 1,00 M / DIÂMETRO: 200 MM)</t>
  </si>
  <si>
    <t>1.15.40</t>
  </si>
  <si>
    <t>1515903043113</t>
  </si>
  <si>
    <t>TUBO DE FERRO FUNDIDO DÚCTIL COM FLANGE E PONTA (CLASSE DE PRESSÃO: 10 KGF/CM² / COMPRIMENTO: 1,00 M / DIÂMETRO: 300 MM)</t>
  </si>
  <si>
    <t>1.15.41</t>
  </si>
  <si>
    <t>1515903043255</t>
  </si>
  <si>
    <t>TUBO DE FERRO FUNDIDO DÚCTIL COM FLANGE E PONTA (CLASSE DE PRESSÃO: 10/16 KGF/CM² / COMPRIMENTO: 1,00 M / DIÂMETRO: 100 MM)</t>
  </si>
  <si>
    <t>1.15.42</t>
  </si>
  <si>
    <t>1515903043266</t>
  </si>
  <si>
    <t>TUBO DE FERRO FUNDIDO DÚCTIL COM FLANGE E PONTA (CLASSE DE PRESSÃO: 10/16 KGF/CM² / COMPRIMENTO: 1,00 M / DIÂMETRO: 150 MM)</t>
  </si>
  <si>
    <t>1.15.43</t>
  </si>
  <si>
    <t>1515903043309</t>
  </si>
  <si>
    <t>TUBO DE FERRO FUNDIDO DÚCTIL COM FLANGE E PONTA PARA ÁGUA (CLASSE DE PRESSÃO: 10/16/25 KGF/CM² / COMPRIMENTO: 1,00 M / DIÂMETRO: 80 MM)</t>
  </si>
  <si>
    <t>1.15.44</t>
  </si>
  <si>
    <t>TUBO FLANGE X FLANGE L = 1,00 M</t>
  </si>
  <si>
    <t>1515903042104</t>
  </si>
  <si>
    <t>TUBO DE FERRO FUNDIDO DÚCTIL COM FLANGES (CLASSE DE PRESSÃO: 10 KGF/CM² / COMPRIMENTO: 1,00 M / DIÂMETRO DA SEÇÃO: 200 MM)</t>
  </si>
  <si>
    <t>1.15.45</t>
  </si>
  <si>
    <t>TUBO FLANGE X FLANGE L = 3,00 M</t>
  </si>
  <si>
    <t>1515903042136</t>
  </si>
  <si>
    <t>TUBO DE FERRO FUNDIDO DÚCTIL COM FLANGES (CLASSE DE PRESSÃO: 10 KGF/CM² / COMPRIMENTO: 3,00 M / DIÂMETRO DA SEÇÃO: 200 MM)</t>
  </si>
  <si>
    <t>1.15.46</t>
  </si>
  <si>
    <t>TUBO FLANGE X FLANGE L = 5,80 M</t>
  </si>
  <si>
    <t>1515903042183</t>
  </si>
  <si>
    <t>TUBO DE FERRO FUNDIDO DÚCTIL COM FLANGES (CLASSE DE PRESSÃO: 10 KGF/CM² / COMPRIMENTO: 5,80 M / DIÂMETRO DA SEÇÃO: 200 MM)</t>
  </si>
  <si>
    <t>1.16</t>
  </si>
  <si>
    <t>15450</t>
  </si>
  <si>
    <t>RESERVATÓRIOS DE ÁGUA POTÁVEL</t>
  </si>
  <si>
    <t>1.16.1</t>
  </si>
  <si>
    <t>ESCADA TIPO MARINHEIRO EM TUBO DE AÇO INOX</t>
  </si>
  <si>
    <t>ESCADA MARINHEIRO</t>
  </si>
  <si>
    <t>0,60</t>
  </si>
  <si>
    <t>1545003008XXX1</t>
  </si>
  <si>
    <t>ESCADA TIPO MARINHEIRO EM TUBO DE AÇO INOX, COM LARGURA DE 0,60M, FIXADO COM PARAFUSOS E SEM GUARDA-CORPO</t>
  </si>
  <si>
    <t>1.17</t>
  </si>
  <si>
    <t>16146</t>
  </si>
  <si>
    <t>EQUIPAMENTO DE CONTROLE ELÉTRICO E ELETRÔNICO</t>
  </si>
  <si>
    <t>1.17.1</t>
  </si>
  <si>
    <t>MEDIDOR DE VAZÃO ELETROMAGNÉTICO TIPO TUBO FLANGE X FLANGE</t>
  </si>
  <si>
    <t>MEDIDOR DE VAZÃO</t>
  </si>
  <si>
    <t>MEDIDOR</t>
  </si>
  <si>
    <t>1614603003003</t>
  </si>
  <si>
    <t>MEDIDOR DE VAZÃO ELETROMAGNÉTICO TIPO TUBO COM TRECHO RETO FLANGEADO ALIMENTAÇÃO REDE ELÉTRICA SISTEMA ELETRÔNICO INTEGRADO (CLASSE DE PRESSÃO: 10 KGF/CM² / DIÂMETRO DA SEÇÃO: 200 MM)</t>
  </si>
  <si>
    <t>1.18</t>
  </si>
  <si>
    <t>89001</t>
  </si>
  <si>
    <t>INSUMOS COMPLEMENTARES</t>
  </si>
  <si>
    <t>1.18.1</t>
  </si>
  <si>
    <t>ANEL EM CONCRETO ARMADO</t>
  </si>
  <si>
    <t>ANEL</t>
  </si>
  <si>
    <t>INTERLIGAÇÃO</t>
  </si>
  <si>
    <t>8900103001SI43445</t>
  </si>
  <si>
    <t>ANEL EM CONCRETO ARMADO, LISO, PARA, POCOS DE VISITA, POCOS DE INSPECAO, FOSSAS SEPTICAS E SUMIDOUROS, COM FUNDO, DIAMETRO INTERNO DE 1,50 M E ALTURA DE 1,00 M</t>
  </si>
  <si>
    <t>1.18.2</t>
  </si>
  <si>
    <t>CONCRETO AUTOADENSÁVEL C15 C/ BOMBEAMENTO</t>
  </si>
  <si>
    <t>8900103001SI11146</t>
  </si>
  <si>
    <t>CONCRETO AUTOADENSAVEL (CAA) CLASSE DE RESISTENCIA C15, ESPALHAMENTO SF2, COM BOMBEAMENTO (DISPONIBILIZACAO DE BOMBA), SEM O LANCAMENTO (NBR 15823)</t>
  </si>
  <si>
    <t>M3</t>
  </si>
  <si>
    <t>1.18.3</t>
  </si>
  <si>
    <t>CONCRETO USINADO BOMBEÁVEL C35</t>
  </si>
  <si>
    <t>8900103001SI34495</t>
  </si>
  <si>
    <t>CONCRETO USINADO BOMBEAVEL, CLASSE DE RESISTENCIA C35, COM BRITA 0 E 1, SLUMP = 100 +/-20 MM, EXCLUI SERVICO DE BOMBEAMENTO (NBR 8953)</t>
  </si>
  <si>
    <t>1.18.4</t>
  </si>
  <si>
    <t>CONE DE SINALIZACAO EM PVC RIGIDO COM FAIXA REFLETIVA</t>
  </si>
  <si>
    <t>CONE</t>
  </si>
  <si>
    <t>REDES</t>
  </si>
  <si>
    <t>8900103001SI13244</t>
  </si>
  <si>
    <t>CONE DE SINALIZACAO EM PVC RIGIDO COM FAIXA REFLETIVA, H = 70 / 76 CM</t>
  </si>
  <si>
    <t>1.18.5</t>
  </si>
  <si>
    <t>FOSSA SÉPTICA SEM FILTRO - 15 A 30 CONTRIBUINTES</t>
  </si>
  <si>
    <t>FOSSA</t>
  </si>
  <si>
    <t>8900103001SI39363</t>
  </si>
  <si>
    <t>FOSSA SEPTICA, SEM FILTRO, EM POLIETILENO DE ALTA DENSIDADE (PEAD), PARA 15 A 30 CONTRIBUINTES, CILINDRICA, COM TAMPA, CAPACIDADE APROXIMADA DE *5500* LITROS (NBR 7229)</t>
  </si>
  <si>
    <t>1.18.6</t>
  </si>
  <si>
    <t>HIDRANTE DE COLUNA COMPLETO - HCCM</t>
  </si>
  <si>
    <t>HIDRANTE - HCCM</t>
  </si>
  <si>
    <t>8900103001SI10921</t>
  </si>
  <si>
    <t>HIDRANTE DE COLUNA COMPLETO, EM FERRO FUNDIDO, DN = 100 MM, COM REGISTRO, CUNHA DE BORRACHA, CURVA DESSIMETRICA, EXTREMIDADE E TAMPAS (INCLUI KIT FIXACAO)</t>
  </si>
  <si>
    <t>1.18.7</t>
  </si>
  <si>
    <t>8900103001SI37424</t>
  </si>
  <si>
    <t>LUVA, PEAD PE 100, DE 20 MM, PARA ELETROFUSAO</t>
  </si>
  <si>
    <t>1.18.8</t>
  </si>
  <si>
    <t>PILAR QUADRADO NAO APARELHADO 20 X 20 CM</t>
  </si>
  <si>
    <t>PILAR</t>
  </si>
  <si>
    <t>20X20</t>
  </si>
  <si>
    <t>MADEIRA</t>
  </si>
  <si>
    <t>8900103001SI35276</t>
  </si>
  <si>
    <t>PILAR QUADRADO NAO APARELHADO *20 X 20* CM, EM MACARANDUBA/MASSARANDUBA, ANGELIM OU EQUIVALENTE DA REGIAO - BRUTA</t>
  </si>
  <si>
    <t>1.18.9</t>
  </si>
  <si>
    <t>PLACA DE OBRA</t>
  </si>
  <si>
    <t>2,4X1,2</t>
  </si>
  <si>
    <t>CHAPA METÁLICA</t>
  </si>
  <si>
    <t>8900103001SI4813</t>
  </si>
  <si>
    <t>PLACA DE OBRA (PARA CONSTRUCAO CIVIL) EM CHAPA GALVANIZADA *N. 22*, ADESIVADA, DE *2,4 X 1,2* M (SEM POSTES PARA FIXACAO)</t>
  </si>
  <si>
    <t>M2</t>
  </si>
  <si>
    <t>1.18.10</t>
  </si>
  <si>
    <t>TAMPÃO FºFº ARTICULADO C/ BASE REQUADRO</t>
  </si>
  <si>
    <t>B125</t>
  </si>
  <si>
    <t>TAMPÃO ARTICULADO</t>
  </si>
  <si>
    <t>8900103001SI11301</t>
  </si>
  <si>
    <t>TAMPAO FOFO ARTICULADO, COM BASE / REQUADRO, CLASSE B125 CARGA MAX 12,5 T, REDONDO, TAMPA 600 MM (COM INSCRICAO EM RELEVO DO TIPO DE REDE)</t>
  </si>
  <si>
    <t>1.18.11</t>
  </si>
  <si>
    <t>TÊ DE SERVIÇO INTEGRADO PP P/ TUBO PEAD</t>
  </si>
  <si>
    <t>TÊ DE SERVIÇO</t>
  </si>
  <si>
    <t>63X20</t>
  </si>
  <si>
    <t>PP</t>
  </si>
  <si>
    <t>8900103001SI37422</t>
  </si>
  <si>
    <t>TE DE SERVICO INTEGRADO, EM POLIPROPILENO (PP), PARA TUBOS EM PEAD, 63 X 20 MM - LIGACAO PREDIAL DE AGUA</t>
  </si>
  <si>
    <t>1.18.12</t>
  </si>
  <si>
    <t>TELA DE ARAME GALVANIZADA</t>
  </si>
  <si>
    <t>TELA DE ARAME</t>
  </si>
  <si>
    <t>0,56X24BWGX1/2"</t>
  </si>
  <si>
    <t>ARAME</t>
  </si>
  <si>
    <t>8900103001SI10931</t>
  </si>
  <si>
    <t>TELA DE ARAME GALVANIZADA, HEXAGONAL, FIO 0,56 MM (24 BWG), MALHA 1/2", H = 1 M</t>
  </si>
  <si>
    <t>1.18.13</t>
  </si>
  <si>
    <t>PE80</t>
  </si>
  <si>
    <t>8900103001SI9813</t>
  </si>
  <si>
    <t>TUBO DE POLIETILENO DE ALTA DENSIDADE (PEAD), PE-80, DE = 20 MM X 2,3 MM DE PAREDE, PARA LIGACAO DE AGUA PREDIAL (NBR 15561)</t>
  </si>
  <si>
    <t>1.18.14</t>
  </si>
  <si>
    <t>UNIÃO PP P/ TUBO PEAD</t>
  </si>
  <si>
    <t>UNIÃO</t>
  </si>
  <si>
    <t>8900103001SI64</t>
  </si>
  <si>
    <t>UNIAO EM POLIPROPILENO (PP), PARA TUBO EM PEAD, 20 MM - LIGACAO PREDIAL DE AGUA</t>
  </si>
  <si>
    <t>04</t>
  </si>
  <si>
    <t>SERVIÇO (COTADO)</t>
  </si>
  <si>
    <t>2.1</t>
  </si>
  <si>
    <t>80010</t>
  </si>
  <si>
    <t>SERVICOS TÉCNICOS</t>
  </si>
  <si>
    <t>2.1.1</t>
  </si>
  <si>
    <t>SERVIÇO DE BOMBEAMENTO DE CONCRETO (MÍN. 40 M3)</t>
  </si>
  <si>
    <t>8001004002SI44535</t>
  </si>
  <si>
    <t>SERVICO DE BOMBEAMENTO DE CONCRETO COM CONSUMO MINIMO DE 40 M3, (DISPONIBILIZACAO DE BOMBA), SEM O LANCAMENTO</t>
  </si>
  <si>
    <t>05</t>
  </si>
  <si>
    <t>EQUIPAMENTO (AQUISIÇÃO)</t>
  </si>
  <si>
    <t>3.1</t>
  </si>
  <si>
    <t>22900</t>
  </si>
  <si>
    <t>EQUIPAMENTOS PARA MEDIÇÃO</t>
  </si>
  <si>
    <t>3.1.1</t>
  </si>
  <si>
    <t>2290005007054</t>
  </si>
  <si>
    <t>MEDIDOR DE VAZÃO ELETROMAGNÉTICO TIPO TUBO COM TRECHO RETO FLANGEADO ALIMENTAÇÃO REDE ELÉTRICA SISTEMA ELETRÔNICO INTEGRADO (CLASSE DE PRESSÃO: 10 KGF/CM² / DIÂMETRO DA SEÇÃO: 150 MM)</t>
  </si>
  <si>
    <t>3.1.2</t>
  </si>
  <si>
    <t>2290005007053</t>
  </si>
  <si>
    <t>MEDIDOR DE VAZÃO ELETROMAGNÉTICO TIPO TUBO COM TRECHO RETO FLANGEADO ALIMENTAÇÃO REDE ELÉTRICA SISTEMA ELETRÔNICO INTEGRADO (CLASSE DE PRESSÃO: 10 KGF/CM² / DIÂMETRO DA SEÇÃO: 80 MM)</t>
  </si>
  <si>
    <t>06</t>
  </si>
  <si>
    <t>4.1</t>
  </si>
  <si>
    <t>4.1.1</t>
  </si>
  <si>
    <t>0173006019002</t>
  </si>
  <si>
    <t>SERVIÇO</t>
  </si>
  <si>
    <t>ADMINISTRAÇÃO LOCAL PARA AS OBRAS DE IMPLANTAÇÃO DAS REDES DE ABASTECIMENTO DE ÁGUA NO MORRO DA CRUZ, EM SÃO SEBASTIÃO/DF</t>
  </si>
  <si>
    <t>08</t>
  </si>
  <si>
    <t>SERVICOS COMPOSTOS - CONSTRUÇÃO EM GERAL</t>
  </si>
  <si>
    <t>5.1</t>
  </si>
  <si>
    <t>80005</t>
  </si>
  <si>
    <t>CANTEIRO DE OBRAS</t>
  </si>
  <si>
    <t>5.1.1</t>
  </si>
  <si>
    <t>8000508010SI105115</t>
  </si>
  <si>
    <t>INSTALAÇÃO E DESINSTALAÇÃO MECANIZADA DE CONTÊINER OU MÓDULO HABITÁVEL DE USOS DIVERSOS. AF_03/2024</t>
  </si>
  <si>
    <t>5.1.2</t>
  </si>
  <si>
    <t>8000508010SI98459</t>
  </si>
  <si>
    <t>TAPUME COM TELHA METÁLICA. AF_03/2024</t>
  </si>
  <si>
    <t>5.2</t>
  </si>
  <si>
    <t>5.2.1</t>
  </si>
  <si>
    <t>8001008020005</t>
  </si>
  <si>
    <t>CADASTRO DE CANALIZAÇÕES CIRCULARES</t>
  </si>
  <si>
    <t>5.2.2</t>
  </si>
  <si>
    <t>8001008060SI74022/10</t>
  </si>
  <si>
    <t>ENSAIO DE COMPACTACAO - AMOSTRAS NAO TRABALHADAS - ENERGIA NORMAL - SOLOS (ATUALIZADO CAESB)</t>
  </si>
  <si>
    <t>5.2.3</t>
  </si>
  <si>
    <t>8001008060SI74022/6</t>
  </si>
  <si>
    <t>ENSAIO DE GRANULOMETRIA POR PENEIRAMENTO - SOLOS (ATUALIZADO CAESB)</t>
  </si>
  <si>
    <t>5.2.4</t>
  </si>
  <si>
    <t>8001008060SI74022/8</t>
  </si>
  <si>
    <t>ENSAIO DE LIMITE DE LIQUIDEZ - SOLOS (ATUALIZADO CAESB)</t>
  </si>
  <si>
    <t>5.2.5</t>
  </si>
  <si>
    <t>8001008060SI74022/9</t>
  </si>
  <si>
    <t>ENSAIO DE LIMITE DE PLASTICIDADE - SOLOS (ATUALIZADO CAESB)</t>
  </si>
  <si>
    <t>5.2.6</t>
  </si>
  <si>
    <t>8001008010SI99059</t>
  </si>
  <si>
    <t>LOCAÇÃO CONVENCIONAL DE OBRA, UTILIZANDO GABARITO DE TÁBUAS CORRIDAS PONTALETADAS A CADA 2,00M - 2 UTILIZAÇÕES. AF_03/2024</t>
  </si>
  <si>
    <t>5.2.7</t>
  </si>
  <si>
    <t>8001008010002</t>
  </si>
  <si>
    <t>LOCAÇÃO E NIVELAMENTO DE REDES DE ÁGUA, COM ELABORAÇÃO DE NOTA DE SERVIÇOS E LEVANTAMENTO NORMAIS</t>
  </si>
  <si>
    <t>5.3</t>
  </si>
  <si>
    <t>80015</t>
  </si>
  <si>
    <t>SERVIÇOS PRELIMINARES</t>
  </si>
  <si>
    <t>5.3.1</t>
  </si>
  <si>
    <t>8001508040SI104789</t>
  </si>
  <si>
    <t>DEMOLIÇÃO DE PISO DE CONCRETO SIMPLES, DE FORMA MANUAL, SEM REAPROVEITAMENTO. AF_09/2023</t>
  </si>
  <si>
    <t>5.3.2</t>
  </si>
  <si>
    <t>8001508020XX10</t>
  </si>
  <si>
    <t>ISOLAMENTO DE OBRA COM TELA PLÁSTICA E ESTRUTURA DE MADEIRA PONTALETEADA - COM TELA DE ISOLAMENTO/SINALIZAÇÃO LARANJA MEDINDO 1,20 X 50M NO FORMATO RETANGULAR. REV 06/2017</t>
  </si>
  <si>
    <t>5.4</t>
  </si>
  <si>
    <t>80020</t>
  </si>
  <si>
    <t>MOVIMENTO DE TERRA</t>
  </si>
  <si>
    <t>5.4.1</t>
  </si>
  <si>
    <t>8002008050SI94327</t>
  </si>
  <si>
    <t>ATERRO MECANIZADO DE VALA COM ESCAVADEIRA HIDRÁULICA (CAPACIDADE DA CAÇAMBA: 0,8 M³/POTÊNCIA: 111 HP), LARGURA ATÉ 2,5 M, PROFUNDIDADE ATÉ 1,5 M, COM AREIA PARA ATERRO. AF_08/2023</t>
  </si>
  <si>
    <t>5.4.2</t>
  </si>
  <si>
    <t>8002008050SI94329</t>
  </si>
  <si>
    <t>ATERRO MECANIZADO DE VALA COM ESCAVADEIRA HIDRÁULICA (CAPACIDADE DA CAÇAMBA: 0,8 M³/POTÊNCIA: 111 HP), LARGURA ATÉ 2,5 M, PROFUNDIDADE DE 1,5 A 3,0 M, COM AREIA PARA ATERRO. AF_08/2023</t>
  </si>
  <si>
    <t>5.4.3</t>
  </si>
  <si>
    <t>8002008099SI101004</t>
  </si>
  <si>
    <t>CARGA DE MISTURA ASFÁLTICA EM CAMINHÃO BASCULANTE 18 M³ (UNIDADE: T). AF_07/2020</t>
  </si>
  <si>
    <t>5.4.4</t>
  </si>
  <si>
    <t>8002008099SI100983</t>
  </si>
  <si>
    <t>CARGA, MANOBRA E DESCARGA DE ENTULHO EM CAMINHÃO BASCULANTE 14 M³ - CARGA COM ESCAVADEIRA HIDRÁULICA (CAÇAMBA DE 0,80 M³ / 111 HP) E DESCARGA LIVRE (UNIDADE: M3). AF_07/2020</t>
  </si>
  <si>
    <t>5.4.5</t>
  </si>
  <si>
    <t>8002008099SI100981</t>
  </si>
  <si>
    <t>CARGA, MANOBRA E DESCARGA DE ENTULHO EM CAMINHÃO BASCULANTE 6 M³ - CARGA COM ESCAVADEIRA HIDRÁULICA (CAÇAMBA DE 0,80 M³ / 111 HP) E DESCARGA LIVRE (UNIDADE: M3). AF_07/2020</t>
  </si>
  <si>
    <t>5.4.6</t>
  </si>
  <si>
    <t>8002008099SI100997</t>
  </si>
  <si>
    <t>CARGA, MANOBRA E DESCARGA DE ENTULHO EM CAMINHÃO BASCULANTE 6 M³ - CARGA COM ESCAVADEIRA HIDRÁULICA (CAÇAMBA DE 0,80 M³ / 111 HP) E DESCARGA LIVRE (UNIDADE: T). AF_07/2020</t>
  </si>
  <si>
    <t>5.4.7</t>
  </si>
  <si>
    <t>8002008099SI100979</t>
  </si>
  <si>
    <t>CARGA, MANOBRA E DESCARGA DE SOLOS E MATERIAIS GRANULARES EM CAMINHÃO BASCULANTE 14 M³ - CARGA COM ESCAVADEIRA HIDRÁULICA (CAÇAMBA DE 1,20 M³ / 155 HP) E DESCARGA LIVRE (UNIDADE: M3). AF_07/2020</t>
  </si>
  <si>
    <t>5.4.8</t>
  </si>
  <si>
    <t>8002008010SI102354</t>
  </si>
  <si>
    <t>DESMONTE DE MATERIAL DE 3ª CATEGORIA (BLOCOS DE ROCHAS OU MATACOS), COM MARTELETE PNEUMÁTICO MANUAL - EXCLUSIVE CARGA E TRANSPORTE. AF_03/2021</t>
  </si>
  <si>
    <t>5.4.9</t>
  </si>
  <si>
    <t>8002008020009</t>
  </si>
  <si>
    <t>ESCAVAÇÃO MANUAL DE VALAS EM SOLO MOLE, PROFUNDIDADE ATÉ 1,50 M</t>
  </si>
  <si>
    <t>5.4.10</t>
  </si>
  <si>
    <t>8002008020010</t>
  </si>
  <si>
    <t>ESCAVAÇÃO MANUAL DE VALAS EM SOLO MOLE, PROFUNDIDADE MAIOR QUE 1,50 A 3,00 M. (AF_04/2021)</t>
  </si>
  <si>
    <t>5.4.11</t>
  </si>
  <si>
    <t>8002008030SI90091</t>
  </si>
  <si>
    <t>ESCAVAÇÃO MECANIZADA DE VALA COM PROF. ATÉ 1,5 M (MÉDIA MONTANTE E JUSANTE/UMA COMPOSIÇÃO POR TRECHO), ESCAVADEIRA (0,8 M3), LARG. DE 1,5 M A 2,5 M, EM SOLO DE 1A CATEGORIA, LOCAIS COM BAIXO NÍVEL DE INTERFERÊNCIA. AF_09/2024</t>
  </si>
  <si>
    <t>5.4.12</t>
  </si>
  <si>
    <t>8002008030SI102315</t>
  </si>
  <si>
    <t>ESCAVAÇÃO MECANIZADA DE VALA COM PROF. ATÉ 1,5 M (MÉDIA MONTANTE E JUSANTE/UMA COMPOSIÇÃO POR TRECHO), ESCAVADEIRA (0,8 M3), LARG. DE 1,5 M A 2,5 M, EM SOLO DE 2A CATEGORIA, LOCAIS COM BAIXO NÍVEL DE INTERFERÊNCIA. AF_09/2024</t>
  </si>
  <si>
    <t>5.4.13</t>
  </si>
  <si>
    <t>8002008030SI102291</t>
  </si>
  <si>
    <t>ESCAVAÇÃO MECANIZADA DE VALA COM PROF. ATÉ 1,5 M (MÉDIA MONTANTE E JUSANTE/UMA COMPOSIÇÃO POR TRECHO), ESCAVADEIRA (0,8 M3), LARG. DE 1,5 M A 2,5 M, EM SOLO MOLE, LOCAIS COM BAIXO NÍVEL DE INTERFERÊNCIA. AF_09/2024</t>
  </si>
  <si>
    <t>5.4.14</t>
  </si>
  <si>
    <t>8002008030SI102295</t>
  </si>
  <si>
    <t>ESCAVAÇÃO MECANIZADA DE VALA COM PROF. MAIOR QUE 1,5 M ATÉ 3,0 M (MÉDIA MONTANTE E JUSANTE/UMA COMPOSIÇÃO POR TRECHO),COM ESCAVADEIRA (1,2 M3), LARG. DE 1,5 M A 2,5 M, EM SOLO MOLE, LOCAIS COM BAIXO NÍVEL DE INTERFERÊNCIA. AF_09/2024</t>
  </si>
  <si>
    <t>5.4.15</t>
  </si>
  <si>
    <t>8002008030SI102281</t>
  </si>
  <si>
    <t>ESCAVAÇÃO MECANIZADA DE VALA COM PROF. MAIOR QUE 1,5 M ATÉ 3,0 M (MÉDIA MONTANTE E JUSANTE/UMA COMPOSIÇÃO POR TRECHO),COM ESCAVADEIRA (1,2 M3),LARG. DE 1,5 M A 2,5 M, EM SOLO DE 1A CATEGORIA, LOCAIS COM BAIXO NÍVEL DE INTERFERÊNCIA. AF_09/2024</t>
  </si>
  <si>
    <t>5.4.16</t>
  </si>
  <si>
    <t>8002008030SI102319</t>
  </si>
  <si>
    <t>ESCAVAÇÃO MECANIZADA DE VALA COM PROF. MAIOR QUE 1,5 M ATÉ 3,0 M (MÉDIA MONTANTE E JUSANTE/UMA COMPOSIÇÃO POR TRECHO),COM ESCAVADEIRA (1,2 M3),LARG. DE 1,5 M A 2,5 M, EM SOLO DE 2A CATEGORIA, LOCAIS COM BAIXO NÍVEL DE INTERFERÊNCIA. AF_09/2024</t>
  </si>
  <si>
    <t>5.4.17</t>
  </si>
  <si>
    <t>8002008050SI93382</t>
  </si>
  <si>
    <t>REATERRO MANUAL DE VALAS, COM COMPACTADOR DE SOLOS DE PERCUSSÃO. AF_08/2023</t>
  </si>
  <si>
    <t>5.4.18</t>
  </si>
  <si>
    <t>8002008050SI93368</t>
  </si>
  <si>
    <t>REATERRO MECANIZADO DE VALA COM ESCAVADEIRA HIDRÁULICA (CAPACIDADE DA CAÇAMBA: 0,8 M³/POTÊNCIA: 111 HP), LARGURA ATÉ 1,5 M, PROFUNDIDADE DE 1,5 A 3,0 M, COM SOLO (SEM SUBSTITUIÇÃO) DE 1ª CATEGORIA, COM COMPACTADOR DE SOLOS DE PERCUSSÃO. AF_08/2023</t>
  </si>
  <si>
    <t>5.4.19</t>
  </si>
  <si>
    <t>8002008050SI93367</t>
  </si>
  <si>
    <t>REATERRO MECANIZADO DE VALA COM ESCAVADEIRA HIDRÁULICA (CAPACIDADE DA CAÇAMBA: 0,8 M³/POTÊNCIA: 111 HP), LARGURA DE 1,5 A 2,5 M, PROFUNDIDADE ATÉ 1,5 M, COM SOLO (SEM SUBSTITUIÇÃO) DE 1ª CATEGORIA, COM COMPACTADOR DE SOLOS DE PERCUSSÃO. AF_08/2023</t>
  </si>
  <si>
    <t>5.4.20</t>
  </si>
  <si>
    <t>8002008050SI93381</t>
  </si>
  <si>
    <t>REATERRO MECANIZADO DE VALA COM RETROESCAVADEIRA (CAPACIDADE DA CAÇAMBA DA RETRO: 0,26 M³/POTÊNCIA: 88 HP), LARGURA 0,8 A 1,5 M, PROFUNDIDADE 1,5 A 3,0 M, COM SOLO (SEM SUBSTITUIÇÃO) DE 1ª CATEGORIA E COMPACTADOR DE SOLOS DE PERCUSSÃO. AF_08/2023</t>
  </si>
  <si>
    <t>5.4.21</t>
  </si>
  <si>
    <t>8002008050SI93379</t>
  </si>
  <si>
    <t>REATERRO MECANIZADO DE VALA COM RETROESCAVADEIRA (CAPACIDADE DA CAÇAMBA DA RETRO: 0,26 M³/POTÊNCIA: 88 HP), LARGURA 0,8 A 1,5 M, PROFUNDIDADE ATÉ 1,5 M, COM SOLO (SEM SUBSTITUIÇÃO) DE 1ª CATEGORIA, COM COMPACTADOR DE SOLOS DE PERCUSSÃO AF_08/2023</t>
  </si>
  <si>
    <t>5.4.22</t>
  </si>
  <si>
    <t>8002008099SI93593</t>
  </si>
  <si>
    <t>TRANSPORTE COM CAMINHÃO BASCULANTE DE 14 M³, EM VIA URBANA PAVIMENTADA, ADICIONAL PARA DMT EXCEDENTE A 30 KM (UNIDADE: M3XKM). AF_07/2020</t>
  </si>
  <si>
    <t>M3XKM</t>
  </si>
  <si>
    <t>5.4.23</t>
  </si>
  <si>
    <t>8002008099SI95876</t>
  </si>
  <si>
    <t>TRANSPORTE COM CAMINHÃO BASCULANTE DE 14 M³, EM VIA URBANA PAVIMENTADA, DMT ATÉ 30 KM (UNIDADE: M3XKM). AF_07/2020</t>
  </si>
  <si>
    <t>5.4.24</t>
  </si>
  <si>
    <t>8002008099SI97915</t>
  </si>
  <si>
    <t>TRANSPORTE COM CAMINHÃO BASCULANTE DE 6 M³, EM VIA URBANA PAVIMENTADA, ADICIONAL PARA DMT EXCEDENTE A 30 KM (UNIDADE: M3XKM). AF_07/2020</t>
  </si>
  <si>
    <t>5.4.25</t>
  </si>
  <si>
    <t>8002008099SI97914</t>
  </si>
  <si>
    <t>TRANSPORTE COM CAMINHÃO BASCULANTE DE 6 M³, EM VIA URBANA PAVIMENTADA, DMT ATÉ 30 KM (UNIDADE: M3XKM). AF_07/2020</t>
  </si>
  <si>
    <t>5.4.26</t>
  </si>
  <si>
    <t>8002008099SI102330</t>
  </si>
  <si>
    <t>TRANSPORTE COM CAMINHÃO TANQUE DE TRANSPORTE DE MATERIAL ASFÁLTICO DE 30000 L, EM VIA URBANA PAVIMENTADA, DMT ATÉ 30KM (UNIDADE: TXKM). AF_07/2020</t>
  </si>
  <si>
    <t>TXKM</t>
  </si>
  <si>
    <t>5.5</t>
  </si>
  <si>
    <t>80025</t>
  </si>
  <si>
    <t>ESCORAMENTOS</t>
  </si>
  <si>
    <t>5.5.1</t>
  </si>
  <si>
    <t>8002508040SI102719</t>
  </si>
  <si>
    <t>ENCHIMENTO DE BRITA PARA DRENO, LANÇAMENTO MANUAL. AF_07/2021</t>
  </si>
  <si>
    <t>5.5.2</t>
  </si>
  <si>
    <t>8002508020SI101573</t>
  </si>
  <si>
    <t>ESCORAMENTO DE VALA, TIPO PONTALETEAMENTO, COM PROFUNDIDADE DE 1,5 A 3,0 M, LARGURA MAIOR OU IGUAL A 1,5 M E MENOR QUE 2,5 M. AF_08/2020</t>
  </si>
  <si>
    <t>5.5.3</t>
  </si>
  <si>
    <t>8002508020SI101572</t>
  </si>
  <si>
    <t>ESCORAMENTO DE VALA, TIPO PONTALETEAMENTO, COM PROFUNDIDADE DE 1,5 A 3,0 M, LARGURA MENOR QUE 1,5 M. AF_08/2020</t>
  </si>
  <si>
    <t>5.5.4</t>
  </si>
  <si>
    <t>8002508020SI101625</t>
  </si>
  <si>
    <t>PREPARO DE FUNDO DE VALA COM LARGURA MAIOR OU IGUAL A 1,5 M E MENOR QUE 2,5 M, COM CAMADA DE AREIA, LANÇAMENTO MECANIZADO. AF_08/2020</t>
  </si>
  <si>
    <t>5.5.5</t>
  </si>
  <si>
    <t>8002508020SI101616</t>
  </si>
  <si>
    <t>PREPARO DE FUNDO DE VALA COM LARGURA MENOR QUE 1,5 M (ACERTO DO SOLO NATURAL). AF_08/2020</t>
  </si>
  <si>
    <t>5.5.6</t>
  </si>
  <si>
    <t>8002508040SI102705</t>
  </si>
  <si>
    <t>TUBO DE PVC CORRUGADO RÍGIDO PERFURADO, DN 100 MM, PARA DRENO - FORNECIMENTO E ASSENTAMENTO. AF_07/2021</t>
  </si>
  <si>
    <t>5.6</t>
  </si>
  <si>
    <t>80030</t>
  </si>
  <si>
    <t>ESGOTAMENTOS E DRENAGEM</t>
  </si>
  <si>
    <t>5.6.1</t>
  </si>
  <si>
    <t>8003008010SI104482</t>
  </si>
  <si>
    <t>ESGOTAMENTO DE VALA COM BOMBA SUBMERSÍVEL. AF_12/2022</t>
  </si>
  <si>
    <t>H</t>
  </si>
  <si>
    <t>5.7</t>
  </si>
  <si>
    <t>80040</t>
  </si>
  <si>
    <t>FUNDAÇÕES E ESTRUTURAS</t>
  </si>
  <si>
    <t>5.7.1</t>
  </si>
  <si>
    <t>8004008080040</t>
  </si>
  <si>
    <t>ALÇA DE FERRO CA-60, DIÂMETRO 12,5 MM DE 0,15 X 0,20 M, PARA TAMPA DA CAIXA E VÁLVULA REDUTORA DE PRESSÃO (VRP)</t>
  </si>
  <si>
    <t>5.7.2</t>
  </si>
  <si>
    <t>8004008030SI92919</t>
  </si>
  <si>
    <t>ARMAÇÃO DE ESTRUTURAS DIVERSAS DE CONCRETO ARMADO, EXCETO VIGAS, PILARES, LAJES E FUNDAÇÕES, UTILIZANDO AÇO CA-50 DE 10,0 MM - MONTAGEM. AF_06/2022</t>
  </si>
  <si>
    <t>KG</t>
  </si>
  <si>
    <t>5.7.3</t>
  </si>
  <si>
    <t>8004008030SI92923</t>
  </si>
  <si>
    <t>ARMAÇÃO DE ESTRUTURAS DIVERSAS DE CONCRETO ARMADO, EXCETO VIGAS, PILARES, LAJES E FUNDAÇÕES, UTILIZANDO AÇO CA-50 DE 20,0 MM - MONTAGEM. AF_06/2022</t>
  </si>
  <si>
    <t>5.7.4</t>
  </si>
  <si>
    <t>8004008030SI92916</t>
  </si>
  <si>
    <t>ARMAÇÃO DE ESTRUTURAS DIVERSAS DE CONCRETO ARMADO, EXCETO VIGAS, PILARES, LAJES E FUNDAÇÕES, UTILIZANDO AÇO CA-50 DE 6,3 MM - MONTAGEM. AF_06/2022</t>
  </si>
  <si>
    <t>5.7.5</t>
  </si>
  <si>
    <t>8004008030SI92917</t>
  </si>
  <si>
    <t>ARMAÇÃO DE ESTRUTURAS DIVERSAS DE CONCRETO ARMADO, EXCETO VIGAS, PILARES, LAJES E FUNDAÇÕES, UTILIZANDO AÇO CA-50 DE 8,0 MM - MONTAGEM. AF_06/2022</t>
  </si>
  <si>
    <t>5.7.6</t>
  </si>
  <si>
    <t>8004008030SI92915</t>
  </si>
  <si>
    <t>ARMAÇÃO DE ESTRUTURAS DIVERSAS DE CONCRETO ARMADO, EXCETO VIGAS, PILARES, LAJES E FUNDAÇÕES, UTILIZANDO AÇO CA-60 DE 5,0 MM - MONTAGEM. AF_06/2022</t>
  </si>
  <si>
    <t>5.7.7</t>
  </si>
  <si>
    <t>8004008080066</t>
  </si>
  <si>
    <t>ASSENTAMENTO DE HIDRANTE DE COLUNA, INCLUSIVE REGISTRO E CONEXÕES, CONSTRUÇÃO DA CAIXA DE REGISTRO E LAJE DE APOIO</t>
  </si>
  <si>
    <t>5.7.8</t>
  </si>
  <si>
    <t>8004008065024</t>
  </si>
  <si>
    <t>ASSENTAMENTO DE TAMPA METÁLICA BIARTICULADA, FERRO FUNDIDO, DIMENSÕES *1200* X *980* MM (NÃO INCLUI FORNECIMENTO).</t>
  </si>
  <si>
    <t>5.7.9</t>
  </si>
  <si>
    <t>8004008080063</t>
  </si>
  <si>
    <t>ASSENTAMENTO DE TAMPÃO DE FERRO FUNDIDO T - 100</t>
  </si>
  <si>
    <t>5.7.10</t>
  </si>
  <si>
    <t>8004008028SI103075</t>
  </si>
  <si>
    <t>EXECUÇÃO DE PISO DE CONCRETO, COM ACABAMENTO SUPERFICIAL, ESPESSURA DE 15 CM, FCK = 30 MPA, COM USO DE FORMAS EM MADEIRA SERRADA. AF_09/2021</t>
  </si>
  <si>
    <t>5.7.11</t>
  </si>
  <si>
    <t>8004008025010</t>
  </si>
  <si>
    <t>FORMAS PLANAS PARA ESTRUTURA EM CHAPA DE MADEIRA COMPENSADA DE 12 MM, 2 REAPROVEITAMENTOS, INCLUSIVE DESFORMA</t>
  </si>
  <si>
    <t>5.7.12</t>
  </si>
  <si>
    <t>8004008040SI103673</t>
  </si>
  <si>
    <t>LANÇAMENTO COM USO DE BOMBA, ADENSAMENTO E ACABAMENTO DE CONCRETO EM ESTRUTURAS. AF_02/2022</t>
  </si>
  <si>
    <t>5.7.13</t>
  </si>
  <si>
    <t>8004008020SI100324</t>
  </si>
  <si>
    <t>LASTRO COM MATERIAL GRANULAR (PEDRA BRITADA N.1 E PEDRA BRITADA N.2), APLICADO EM PISOS OU LAJES SOBRE SOLO, ESPESSURA DE *10 CM*. AF_01/2024</t>
  </si>
  <si>
    <t>5.7.14</t>
  </si>
  <si>
    <t>8004008020SI96624</t>
  </si>
  <si>
    <t>LASTRO COM MATERIAL GRANULAR (PEDRA BRITADA N.2), APLICADO EM PISOS OU LAJES SOBRE SOLO, ESPESSURA DE *10 CM*. AF_01/2024</t>
  </si>
  <si>
    <t>5.7.15</t>
  </si>
  <si>
    <t>8004008020001</t>
  </si>
  <si>
    <t>LASTRO DE AREIA LAVADA DE RIO COM FORNECIMENTO DO MATERIAL, TRANSPORTE E LANÇAMENTO</t>
  </si>
  <si>
    <t>5.7.16</t>
  </si>
  <si>
    <t>8004008095SI97738</t>
  </si>
  <si>
    <t>PEÇA CIRCULAR PRÉ-MOLDADA, VOLUME DE CONCRETO DE 10 A 30 LITROS, TAXA DE FIBRA DE POLIPROPILENO APROXIMADA DE 6 KG/M³. AF_03/2024_PS</t>
  </si>
  <si>
    <t>5.8</t>
  </si>
  <si>
    <t>80045</t>
  </si>
  <si>
    <t>ASSENTAMENTO</t>
  </si>
  <si>
    <t>5.8.1</t>
  </si>
  <si>
    <t>8004508283SI103401</t>
  </si>
  <si>
    <t>ASSENTAMENTO DE CONEXÃO COM 2 ACESSOS, EM PEAD LISO PARA REDE DE ÁGUA OU ESGOTO, DIÂMETRO DE 110 MM, JUNTA SOLDADA (NÃO INCLUI O FORNECIMENTO E EXECUÇÃO DE SOLDA). AF_12/2021</t>
  </si>
  <si>
    <t>5.8.2</t>
  </si>
  <si>
    <t>8004508283SI103402</t>
  </si>
  <si>
    <t>ASSENTAMENTO DE CONEXÃO COM 2 ACESSOS, EM PEAD LISO PARA REDE DE ÁGUA OU ESGOTO, DIÂMETRO DE 160 MM, JUNTA SOLDADA (NÃO INCLUI O FORNECIMENTO E EXECUÇÃO DE SOLDA). AF_12/2021</t>
  </si>
  <si>
    <t>5.8.3</t>
  </si>
  <si>
    <t>8004508283SI103404</t>
  </si>
  <si>
    <t>ASSENTAMENTO DE CONEXÃO COM 2 ACESSOS, EM PEAD LISO PARA REDE DE ÁGUA OU ESGOTO, DIÂMETRO DE 200 MM, JUNTA SOLDADA (NÃO INCLUI O FORNECIMENTO E EXECUÇÃO DE SOLDA). AF_12/2021</t>
  </si>
  <si>
    <t>5.8.4</t>
  </si>
  <si>
    <t>8004508283SI103405</t>
  </si>
  <si>
    <t>ASSENTAMENTO DE CONEXÃO COM 2 ACESSOS, EM PEAD LISO PARA REDE DE ÁGUA OU ESGOTO, DIÂMETRO DE 225 MM, JUNTA SOLDADA (NÃO INCLUI O FORNECIMENTO E EXECUÇÃO DE SOLDA). AF_12/2021</t>
  </si>
  <si>
    <t>5.8.5</t>
  </si>
  <si>
    <t>8004508283SI103406</t>
  </si>
  <si>
    <t>ASSENTAMENTO DE CONEXÃO COM 2 ACESSOS, EM PEAD LISO PARA REDE DE ÁGUA OU ESGOTO, DIÂMETRO DE 250 MM, JUNTA SOLDADA (NÃO INCLUI O FORNECIMENTO E EXECUÇÃO DE SOLDA). AF_12/2021</t>
  </si>
  <si>
    <t>5.8.6</t>
  </si>
  <si>
    <t>8004508283SI103407</t>
  </si>
  <si>
    <t>ASSENTAMENTO DE CONEXÃO COM 2 ACESSOS, EM PEAD LISO PARA REDE DE ÁGUA OU ESGOTO, DIÂMETRO DE 280 MM, JUNTA SOLDADA (NÃO INCLUI O FORNECIMENTO E EXECUÇÃO DE SOLDA). AF_12/2021</t>
  </si>
  <si>
    <t>5.8.7</t>
  </si>
  <si>
    <t>8004508283SI103408</t>
  </si>
  <si>
    <t>ASSENTAMENTO DE CONEXÃO COM 2 ACESSOS, EM PEAD LISO PARA REDE DE ÁGUA OU ESGOTO, DIÂMETRO DE 315 MM, JUNTA SOLDADA (NÃO INCLUI O FORNECIMENTO E EXECUÇÃO DE SOLDA). AF_12/2021</t>
  </si>
  <si>
    <t>5.8.8</t>
  </si>
  <si>
    <t>8004508283SI103409</t>
  </si>
  <si>
    <t>ASSENTAMENTO DE CONEXÃO COM 2 ACESSOS, EM PEAD LISO PARA REDE DE ÁGUA OU ESGOTO, DIÂMETRO DE 355 MM, JUNTA SOLDADA (NÃO INCLUI O FORNECIMENTO E EXECUÇÃO DE SOLDA). AF_12/2021</t>
  </si>
  <si>
    <t>5.8.9</t>
  </si>
  <si>
    <t>8004508283SI103410</t>
  </si>
  <si>
    <t>ASSENTAMENTO DE CONEXÃO COM 2 ACESSOS, EM PEAD LISO PARA REDE DE ÁGUA OU ESGOTO, DIÂMETRO DE 400 MM, JUNTA SOLDADA (NÃO INCLUI O FORNECIMENTO E EXECUÇÃO DE SOLDA). AF_12/2021</t>
  </si>
  <si>
    <t>5.8.10</t>
  </si>
  <si>
    <t>8004508283SI103399</t>
  </si>
  <si>
    <t>ASSENTAMENTO DE CONEXÃO COM 2 ACESSOS, EM PEAD LISO PARA REDE DE ÁGUA OU ESGOTO, DIÂMETRO DE 63 MM, JUNTA SOLDADA (NÃO INCLUI O FORNECIMENTO E EXECUÇÃO DE SOLDA). AF_12/2021</t>
  </si>
  <si>
    <t>5.8.11</t>
  </si>
  <si>
    <t>8004508283SI103400</t>
  </si>
  <si>
    <t>ASSENTAMENTO DE CONEXÃO COM 2 ACESSOS, EM PEAD LISO PARA REDE DE ÁGUA OU ESGOTO, DIÂMETRO DE 90 MM, JUNTA SOLDADA (NÃO INCLUI O FORNECIMENTO E EXECUÇÃO DE SOLDA). AF_12/2021</t>
  </si>
  <si>
    <t>5.8.12</t>
  </si>
  <si>
    <t>8004508110SI103106</t>
  </si>
  <si>
    <t>ASSENTAMENTO DE CONEXÃO COM 2 ACESSOS, FERRO FUNDIDO PARA REDE DE ÁGUA, DN 100 MM, JUNTA FLANGEADA (NÃO INCLUI O FORNECIMENTO). AF_09/2021</t>
  </si>
  <si>
    <t>5.8.13</t>
  </si>
  <si>
    <t>8004508110SI103107</t>
  </si>
  <si>
    <t>ASSENTAMENTO DE CONEXÃO COM 2 ACESSOS, FERRO FUNDIDO PARA REDE DE ÁGUA, DN 150 MM, JUNTA FLANGEADA (NÃO INCLUI O FORNECIMENTO). AF_09/2021</t>
  </si>
  <si>
    <t>5.8.14</t>
  </si>
  <si>
    <t>8004508110SI103108</t>
  </si>
  <si>
    <t>ASSENTAMENTO DE CONEXÃO COM 2 ACESSOS, FERRO FUNDIDO PARA REDE DE ÁGUA, DN 200 MM, JUNTA FLANGEADA (NÃO INCLUI O FORNECIMENTO). AF_09/2021</t>
  </si>
  <si>
    <t>5.8.15</t>
  </si>
  <si>
    <t>8004508110SI103109</t>
  </si>
  <si>
    <t>ASSENTAMENTO DE CONEXÃO COM 2 ACESSOS, FERRO FUNDIDO PARA REDE DE ÁGUA, DN 250 MM, JUNTA FLANGEADA (NÃO INCLUI O FORNECIMENTO). AF_09/2021</t>
  </si>
  <si>
    <t>5.8.16</t>
  </si>
  <si>
    <t>8004508110SI103110</t>
  </si>
  <si>
    <t>ASSENTAMENTO DE CONEXÃO COM 2 ACESSOS, FERRO FUNDIDO PARA REDE DE ÁGUA, DN 300 MM, JUNTA FLANGEADA (NÃO INCLUI O FORNECIMENTO). AF_09/2021</t>
  </si>
  <si>
    <t>5.8.17</t>
  </si>
  <si>
    <t>8004508110SI103111</t>
  </si>
  <si>
    <t>ASSENTAMENTO DE CONEXÃO COM 2 ACESSOS, FERRO FUNDIDO PARA REDE DE ÁGUA, DN 350 MM, JUNTA FLANGEADA (NÃO INCLUI O FORNECIMENTO). AF_09/2021</t>
  </si>
  <si>
    <t>5.8.18</t>
  </si>
  <si>
    <t>8004508110SI103105</t>
  </si>
  <si>
    <t>ASSENTAMENTO DE CONEXÃO COM 2 ACESSOS, FERRO FUNDIDO PARA REDE DE ÁGUA, DN 80 MM, JUNTA FLANGEADA (NÃO INCLUI O FORNECIMENTO). AF_09/2021</t>
  </si>
  <si>
    <t>5.8.19</t>
  </si>
  <si>
    <t>8004508283SI103415</t>
  </si>
  <si>
    <t>ASSENTAMENTO DE CONEXÃO COM 3 ACESSOS, EM PEAD LISO PARA REDE DE ÁGUA OU ESGOTO, DIÂMETRO DE 110 MM, JUNTA SOLDADA (NÃO INCLUI O FORNECIMENTO E EXECUÇÃO DE SOLDA). AF_12/2021</t>
  </si>
  <si>
    <t>5.8.20</t>
  </si>
  <si>
    <t>8004508283SI103416</t>
  </si>
  <si>
    <t>ASSENTAMENTO DE CONEXÃO COM 3 ACESSOS, EM PEAD LISO PARA REDE DE ÁGUA OU ESGOTO, DIÂMETRO DE 160 MM, JUNTA SOLDADA (NÃO INCLUI O FORNECIMENTO E EXECUÇÃO DE SOLDA). AF_12/2021</t>
  </si>
  <si>
    <t>5.8.21</t>
  </si>
  <si>
    <t>8004508283SI103419</t>
  </si>
  <si>
    <t>ASSENTAMENTO DE CONEXÃO COM 3 ACESSOS, EM PEAD LISO PARA REDE DE ÁGUA OU ESGOTO, DIÂMETRO DE 225 MM, JUNTA SOLDADA (NÃO INCLUI O FORNECIMENTO E EXECUÇÃO DE SOLDA). AF_12/2021</t>
  </si>
  <si>
    <t>5.8.22</t>
  </si>
  <si>
    <t>8004508283SI103420</t>
  </si>
  <si>
    <t>ASSENTAMENTO DE CONEXÃO COM 3 ACESSOS, EM PEAD LISO PARA REDE DE ÁGUA OU ESGOTO, DIÂMETRO DE 250 MM, JUNTA SOLDADA (NÃO INCLUI O FORNECIMENTO E EXECUÇÃO DE SOLDA). AF_12/2021</t>
  </si>
  <si>
    <t>5.8.23</t>
  </si>
  <si>
    <t>8004508283SI103421</t>
  </si>
  <si>
    <t>ASSENTAMENTO DE CONEXÃO COM 3 ACESSOS, EM PEAD LISO PARA REDE DE ÁGUA OU ESGOTO, DIÂMETRO DE 280 MM, JUNTA SOLDADA (NÃO INCLUI O FORNECIMENTO E EXECUÇÃO DE SOLDA). AF_12/2021</t>
  </si>
  <si>
    <t>5.8.24</t>
  </si>
  <si>
    <t>8004508283SI103422</t>
  </si>
  <si>
    <t>ASSENTAMENTO DE CONEXÃO COM 3 ACESSOS, EM PEAD LISO PARA REDE DE ÁGUA OU ESGOTO, DIÂMETRO DE 315 MM, JUNTA SOLDADA (NÃO INCLUI O FORNECIMENTO E EXECUÇÃO DE SOLDA). AF_12/2021</t>
  </si>
  <si>
    <t>5.8.25</t>
  </si>
  <si>
    <t>8004508283SI103423</t>
  </si>
  <si>
    <t>ASSENTAMENTO DE CONEXÃO COM 3 ACESSOS, EM PEAD LISO PARA REDE DE ÁGUA OU ESGOTO, DIÂMETRO DE 355 MM, JUNTA SOLDADA (NÃO INCLUI O FORNECIMENTO E EXECUÇÃO DE SOLDA). AF_12/2021</t>
  </si>
  <si>
    <t>5.8.26</t>
  </si>
  <si>
    <t>8004508283SI103413</t>
  </si>
  <si>
    <t>ASSENTAMENTO DE CONEXÃO COM 3 ACESSOS, EM PEAD LISO PARA REDE DE ÁGUA OU ESGOTO, DIÂMETRO DE 63 MM, JUNTA SOLDADA (NÃO INCLUI O FORNECIMENTO E EXECUÇÃO DE SOLDA). AF_12/2021</t>
  </si>
  <si>
    <t>5.8.27</t>
  </si>
  <si>
    <t>8004508283SI103414</t>
  </si>
  <si>
    <t>ASSENTAMENTO DE CONEXÃO COM 3 ACESSOS, EM PEAD LISO PARA REDE DE ÁGUA OU ESGOTO, DIÂMETRO DE 90 MM, JUNTA SOLDADA (NÃO INCLUI O FORNECIMENTO E EXECUÇÃO DE SOLDA). AF_12/2021</t>
  </si>
  <si>
    <t>5.8.28</t>
  </si>
  <si>
    <t>8004508110SI103124</t>
  </si>
  <si>
    <t>ASSENTAMENTO DE CONEXÃO COM 3 ACESSOS, FERRO FUNDIDO PARA REDE DE ÁGUA, DN 200 MM, JUNTA FLANGEADA (NÃO INCLUI O FORNECIMENTO). AF_09/2021</t>
  </si>
  <si>
    <t>5.8.29</t>
  </si>
  <si>
    <t>8004508110SI103090</t>
  </si>
  <si>
    <t>ASSENTAMENTO DE TUBO DE FERRO FUNDIDO PARA REDE DE ÁGUA, DN 100 MM, JUNTA FLANGEADA (NÃO INCLUI O FORNECIMENTO). AF_09/2021</t>
  </si>
  <si>
    <t>5.8.30</t>
  </si>
  <si>
    <t>8004508110SI103091</t>
  </si>
  <si>
    <t>ASSENTAMENTO DE TUBO DE FERRO FUNDIDO PARA REDE DE ÁGUA, DN 150 MM, JUNTA FLANGEADA (NÃO INCLUI O FORNECIMENTO). AF_09/2021</t>
  </si>
  <si>
    <t>5.8.31</t>
  </si>
  <si>
    <t>8004508110SI103092</t>
  </si>
  <si>
    <t>ASSENTAMENTO DE TUBO DE FERRO FUNDIDO PARA REDE DE ÁGUA, DN 200 MM, JUNTA FLANGEADA (NÃO INCLUI O FORNECIMENTO). AF_09/2021</t>
  </si>
  <si>
    <t>5.8.32</t>
  </si>
  <si>
    <t>8004508110SI103094</t>
  </si>
  <si>
    <t>ASSENTAMENTO DE TUBO DE FERRO FUNDIDO PARA REDE DE ÁGUA, DN 300 MM, JUNTA FLANGEADA (NÃO INCLUI O FORNECIMENTO). AF_09/2021</t>
  </si>
  <si>
    <t>5.8.33</t>
  </si>
  <si>
    <t>8004508110SI103095</t>
  </si>
  <si>
    <t>ASSENTAMENTO DE TUBO DE FERRO FUNDIDO PARA REDE DE ÁGUA, DN 350 MM, JUNTA FLANGEADA (NÃO INCLUI O FORNECIMENTO). AF_09/2021</t>
  </si>
  <si>
    <t>5.8.34</t>
  </si>
  <si>
    <t>8004508110SI103089</t>
  </si>
  <si>
    <t>ASSENTAMENTO DE TUBO DE FERRO FUNDIDO PARA REDE DE ÁGUA, DN 80 MM, JUNTA FLANGEADA (NÃO INCLUI O FORNECIMENTO). AF_09/2021</t>
  </si>
  <si>
    <t>5.8.35</t>
  </si>
  <si>
    <t>8004508283070</t>
  </si>
  <si>
    <t>ASSENTAMENTO DE TUBO PEAD LISO PARA REDE DE ÁGUA OU ESGOTO, DIÂMETRO DE 280 MM, JUNTA SOLDADA (NÃO INCLUI A EXECUÇÃO DE SOLDA) - EXCLUSO FORNECIMENTO DE TUBO</t>
  </si>
  <si>
    <t>5.8.36</t>
  </si>
  <si>
    <t>8004508283075</t>
  </si>
  <si>
    <t>ASSENTAMENTO DE TUBO PEAD LISO PARA REDE DE ÁGUA OU ESGOTO, DIÂMETRO DE 110 MM, JUNTA SOLDADA (NÃO INCLUI A EXECUÇÃO DE SOLDA) - EXCLUSO FORNECIMENTO DE TUBO</t>
  </si>
  <si>
    <t>5.8.37</t>
  </si>
  <si>
    <t>8004508283071</t>
  </si>
  <si>
    <t>ASSENTAMENTO DE TUBO PEAD LISO PARA REDE DE ÁGUA OU ESGOTO, DIÂMETRO DE 160 MM, JUNTA SOLDADA (NÃO INCLUI A EXECUÇÃO DE SOLDA) - EXCLUSO FORNECIMENTO DE TUBO</t>
  </si>
  <si>
    <t>5.8.38</t>
  </si>
  <si>
    <t>8004508283063</t>
  </si>
  <si>
    <t>ASSENTAMENTO DE TUBO PEAD LISO PARA REDE DE ÁGUA OU ESGOTO, DIÂMETRO DE 225 MM, JUNTA SOLDADA (NÃO INCLUI A EXECUÇÃO DE SOLDA) - EXCLUSO FORNECIMENTO DE TUBO</t>
  </si>
  <si>
    <t>5.8.39</t>
  </si>
  <si>
    <t>8004508283064</t>
  </si>
  <si>
    <t>ASSENTAMENTO DE TUBO PEAD LISO PARA REDE DE ÁGUA OU ESGOTO, DIÂMETRO DE 250 MM, JUNTA SOLDADA (NÃO INCLUI A EXECUÇÃO DE SOLDA) - EXCLUSO FORNECIMENTO DE TUBO</t>
  </si>
  <si>
    <t>5.8.40</t>
  </si>
  <si>
    <t>8004508283055</t>
  </si>
  <si>
    <t>ASSENTAMENTO DE TUBO PEAD LISO PARA REDE DE ÁGUA OU ESGOTO, DIÂMETRO DE 315 MM, JUNTA SOLDADA (NÃO INCLUI A EXECUÇÃO DE SOLDA) - EXCLUSO FORNECIMENTO DE TUBO</t>
  </si>
  <si>
    <t>5.8.41</t>
  </si>
  <si>
    <t>8004508283001</t>
  </si>
  <si>
    <t>ASSENTAMENTO DE TUBO PEAD LISO PARA REDE DE ÁGUA OU ESGOTO, DIÂMETRO DE 355 MM, JUNTA SOLDADA (NÃO INCLUI A EXECUÇÃO DE SOLDA) - EXCLUSO FORNECIMENTO DE TUBO</t>
  </si>
  <si>
    <t>5.8.42</t>
  </si>
  <si>
    <t>8004508283056</t>
  </si>
  <si>
    <t>ASSENTAMENTO DE TUBO PEAD LISO PARA REDE DE ÁGUA OU ESGOTO, DIÂMETRO DE 400 MM, JUNTA SOLDADA (NÃO INCLUI A EXECUÇÃO DE SOLDA) - EXCLUSO FORNECIMENTO DE TUBO</t>
  </si>
  <si>
    <t>5.8.43</t>
  </si>
  <si>
    <t>8004508283057</t>
  </si>
  <si>
    <t>ASSENTAMENTO DE TUBO PEAD LISO PARA REDE DE ÁGUA OU ESGOTO, DIÂMETRO DE 500 MM, JUNTA SOLDADA (NÃO INCLUI A EXECUÇÃO DE SOLDA) - EXCLUSO FORNECIMENTO DE TUBO</t>
  </si>
  <si>
    <t>5.8.44</t>
  </si>
  <si>
    <t>8004508283005</t>
  </si>
  <si>
    <t>ASSENTAMENTO DE TUBO PEAD LISO PARA REDE DE ÁGUA OU ESGOTO, DIÂMETRO DE 63 MM, JUNTA SOLDADA (NÃO INCLUI A EXECUÇÃO DE SOLDA) - EXCLUSO FORNECIMENTO DE TUBO</t>
  </si>
  <si>
    <t>5.8.45</t>
  </si>
  <si>
    <t>8004508283074</t>
  </si>
  <si>
    <t>ASSENTAMENTO DE TUBO PEAD LISO PARA REDE DE ÁGUA OU ESGOTO, DIÂMETRO DE 90 MM, JUNTA SOLDADA (NÃO INCLUI A EXECUÇÃO DE SOLDA) - EXCLUSO FORNECIMENTO DE TUBO</t>
  </si>
  <si>
    <t>5.8.46</t>
  </si>
  <si>
    <t>8004508130019</t>
  </si>
  <si>
    <t>EXECUÇÃO DE JUNTA SOLDADA POR ELETROFUSÃO, DE TUBO OU CONEXÃO EM PEAD LISO PARA REDE DE ÁGUA OU ESGOTO, DIÂMETRO DE 110 MM (NÃO INCLUI O FORNECIMENTO DE TUBO E CONEXÃO). AF_12/2021</t>
  </si>
  <si>
    <t>5.8.47</t>
  </si>
  <si>
    <t>8004508130017</t>
  </si>
  <si>
    <t>EXECUÇÃO DE JUNTA SOLDADA POR ELETROFUSÃO, DE TUBO OU CONEXÃO EM PEAD LISO PARA REDE DE ÁGUA OU ESGOTO, DIÂMETRO DE 63 MM (NÃO INCLUI O FORNECIMENTO DE TUBO E CONEXÃO). AF_12/2021</t>
  </si>
  <si>
    <t>5.8.48</t>
  </si>
  <si>
    <t>8004508130018</t>
  </si>
  <si>
    <t>EXECUÇÃO DE JUNTA SOLDADA POR ELETROFUSÃO, DE TUBO OU CONEXÃO EM PEAD LISO PARA REDE DE ÁGUA OU ESGOTO, DIÂMETRO DE 90 MM (NÃO INCLUI O FORNECIMENTO DE TUBO E CONEXÃO). AF_12/2021</t>
  </si>
  <si>
    <t>5.8.49</t>
  </si>
  <si>
    <t>8004508135033</t>
  </si>
  <si>
    <t>EXECUÇÃO DE JUNTA SOLDADA POR TERMOFUSÃO, DE TUBO OU CONEXÃO EM PEAD LISO PARA REDE DE ÁGUA OU ESGOTO, DIÂMETRO DE 160 MM (NÃO INCLUI O FORNECIMENTO DE TUBO E CONEXÃO). AF_12/2021</t>
  </si>
  <si>
    <t>5.8.50</t>
  </si>
  <si>
    <t>8004508135052</t>
  </si>
  <si>
    <t>EXECUÇÃO DE JUNTA SOLDADA POR TERMOFUSÃO, DE TUBO OU CONEXÃO EM PEAD LISO PARA REDE DE ÁGUA OU ESGOTO, DIÂMETRO DE 225 MM (NÃO INCLUI O FORNECIMENTO DE TUBO E CONEXÃO). AF_12/2021</t>
  </si>
  <si>
    <t>5.8.51</t>
  </si>
  <si>
    <t>8004508135051</t>
  </si>
  <si>
    <t>EXECUÇÃO DE JUNTA SOLDADA POR TERMOFUSÃO, DE TUBO OU CONEXÃO EM PEAD LISO PARA REDE DE ÁGUA OU ESGOTO, DIÂMETRO DE 250 MM (NÃO INCLUI O FORNECIMENTO DE TUBO E CONEXÃO). AF_12/2021</t>
  </si>
  <si>
    <t>5.8.52</t>
  </si>
  <si>
    <t>8004508135050</t>
  </si>
  <si>
    <t>EXECUÇÃO DE JUNTA SOLDADA POR TERMOFUSÃO, DE TUBO OU CONEXÃO EM PEAD LISO PARA REDE DE ÁGUA OU ESGOTO, DIÂMETRO DE 280 MM (NÃO INCLUI O FORNECIMENTO DE TUBO E CONEXÃO). AF_12/2021</t>
  </si>
  <si>
    <t>5.8.53</t>
  </si>
  <si>
    <t>8004508135037</t>
  </si>
  <si>
    <t>EXECUÇÃO DE JUNTA SOLDADA POR TERMOFUSÃO, DE TUBO OU CONEXÃO EM PEAD LISO PARA REDE DE ÁGUA OU ESGOTO, DIÂMETRO DE 315 MM (NÃO INCLUI O FORNECIMENTO DE TUBO E CONEXÃO). AF_12/2021</t>
  </si>
  <si>
    <t>5.8.54</t>
  </si>
  <si>
    <t>8004508135049</t>
  </si>
  <si>
    <t>EXECUÇÃO DE JUNTA SOLDADA POR TERMOFUSÃO, DE TUBO OU CONEXÃO EM PEAD LISO PARA REDE DE ÁGUA OU ESGOTO, DIÂMETRO DE 355 MM (NÃO INCLUI O FORNECIMENTO DE TUBO E CONEXÃO). AF_12/2021</t>
  </si>
  <si>
    <t>5.8.55</t>
  </si>
  <si>
    <t>8004508135038</t>
  </si>
  <si>
    <t>EXECUÇÃO DE JUNTA SOLDADA POR TERMOFUSÃO, DE TUBO OU CONEXÃO EM PEAD LISO PARA REDE DE ÁGUA OU ESGOTO, DIÂMETRO DE 400 MM (NÃO INCLUI O FORNECIMENTO DE TUBO E CONEXÃO). AF_12/2021</t>
  </si>
  <si>
    <t>5.8.56</t>
  </si>
  <si>
    <t>8004508135041</t>
  </si>
  <si>
    <t>EXECUÇÃO DE JUNTA SOLDADA POR TERMOFUSÃO, DE TUBO OU CONEXÃO EM PEAD LISO PARA REDE DE ÁGUA OU ESGOTO, DIÂMETRO DE 500 MM (NÃO INCLUI O FORNECIMENTO DE TUBO E CONEXÃO). AF_12/2021</t>
  </si>
  <si>
    <t>5.9</t>
  </si>
  <si>
    <t>80050</t>
  </si>
  <si>
    <t>PAVIMENTAÇÃO</t>
  </si>
  <si>
    <t>5.9.1</t>
  </si>
  <si>
    <t>8005008010SI100574</t>
  </si>
  <si>
    <t>ESPALHAMENTO DE MATERIAL COM TRATOR DE ESTEIRAS. AF_09/2024</t>
  </si>
  <si>
    <t>5.9.2</t>
  </si>
  <si>
    <t>8005008010081</t>
  </si>
  <si>
    <t>EXECUÇÃO DE IMPRIMAÇÃO COM ASFALTO DILUÍDO CM-30. AF_11/2019 (ATUALIZADO CAESB)</t>
  </si>
  <si>
    <t>5.9.3</t>
  </si>
  <si>
    <t>8005008010SI94994</t>
  </si>
  <si>
    <t>EXECUÇÃO DE PASSEIO (CALÇADA) OU PISO DE CONCRETO COM CONCRETO MOLDADO IN LOCO, FEITO EM OBRA, ACABAMENTO CONVENCIONAL, ESPESSURA 8 CM, ARMADO. AF_08/2022</t>
  </si>
  <si>
    <t>5.9.4</t>
  </si>
  <si>
    <t>8005008010085</t>
  </si>
  <si>
    <t>EXECUÇÃO DE PINTURA DE LIGAÇÃO COM EMULSÃO ASFÁLTICA RR-2C.</t>
  </si>
  <si>
    <t>5.9.5</t>
  </si>
  <si>
    <t>8005008020SI102098</t>
  </si>
  <si>
    <t>RECOMPOSIÇÃO DE REVESTIMENTO EM CONCRETO ASFÁLTICO (AQUISIÇÃO EM USINA), PARA O FECHAMENTO DE VALAS - INCLUSO DEMOLIÇÃO DO PAVIMENTO. AF_12/2020</t>
  </si>
  <si>
    <t>5.9.6</t>
  </si>
  <si>
    <t>8005008020SI100575</t>
  </si>
  <si>
    <t>REGULARIZAÇÃO DE SUPERFÍCIES COM MOTONIVELADORA. AF_09/2024</t>
  </si>
  <si>
    <t>5.10</t>
  </si>
  <si>
    <t>80055</t>
  </si>
  <si>
    <t>LIGAÇÕES PREDIAIS</t>
  </si>
  <si>
    <t>5.10.1</t>
  </si>
  <si>
    <t>8005508100001</t>
  </si>
  <si>
    <t>ASSENTAMENTO DE HIDRÔMETRO DE 1,50 M3/HORA</t>
  </si>
  <si>
    <t>5.10.2</t>
  </si>
  <si>
    <t>8005508010XX13</t>
  </si>
  <si>
    <t>ASSENTAMENTO DE MURETA PRÉ-MOLDADA DE CONCRETO ARMADO PARA HIDRÔMETROS</t>
  </si>
  <si>
    <t>5.10.3</t>
  </si>
  <si>
    <t>8005508100SI95676</t>
  </si>
  <si>
    <t>CAIXA EM CONCRETO PRÉ-MOLDADO PARA ABRIGO DE HIDRÔMETRO COM DN 20 MM - FORNECIMENTO E INSTALAÇÃO. AF_03/2024</t>
  </si>
  <si>
    <t>5.10.4</t>
  </si>
  <si>
    <t>8005508100SI97741</t>
  </si>
  <si>
    <t>KIT CAVALETE PARA MEDIÇÃO DE ÁGUA - ENTRADA INDIVIDUALIZADA, EM PVC 25 MM (3/4"), PARA 1 MEDIDOR - FORNECIMENTO E INSTALAÇÃO (EXCLUSIVE HIDRÔMETRO). AF_03/2024</t>
  </si>
  <si>
    <t>5.10.5</t>
  </si>
  <si>
    <t>8005508130004</t>
  </si>
  <si>
    <t>LIGAÇÃO PREDIAL (CAVALETE/TÊ DE SELA) - ASSENTAMENTO DE TUBOS DE POLIETILENO DE ALTA DENSIDADE (PEAD), COM 01 ADAPTADOR E LUVA DE ELETROFUSÃO, DIÂMETRO 20 MM</t>
  </si>
  <si>
    <t>5.10.6</t>
  </si>
  <si>
    <t>8005508120013</t>
  </si>
  <si>
    <t>LIGAÇÃO PREDIAL DE ÁGUA EM REDE DE PEAD - ASSENTAMENTO POR ELETROFUSÃO DE TÊ DE SELA, DIÂMETRO DE 63 X 20 MM E LUVA DE 20 MM</t>
  </si>
  <si>
    <t>5.10.7</t>
  </si>
  <si>
    <t>8005508120XXX8</t>
  </si>
  <si>
    <t>LIGAÇÃO PREDIAL DE ÁGUA EM REDES, DIÂMETROS ATÉ 32 MM</t>
  </si>
  <si>
    <t>5.11</t>
  </si>
  <si>
    <t>80060</t>
  </si>
  <si>
    <t>FECHAMENTO</t>
  </si>
  <si>
    <t>5.11.1</t>
  </si>
  <si>
    <t>8006008020SI94216</t>
  </si>
  <si>
    <t>TELHAMENTO COM TELHA METÁLICA TERMOACÚSTICA E = 30 MM, COM ATÉ 2 ÁGUAS, INCLUSO IÇAMENTO. AF_07/2019</t>
  </si>
  <si>
    <t>5.11.2</t>
  </si>
  <si>
    <t>8006008020SI92580</t>
  </si>
  <si>
    <t>TRAMA DE AÇO COMPOSTA POR TERÇAS PARA TELHADOS DE ATÉ 2 ÁGUAS PARA TELHA ONDULADA DE FIBROCIMENTO, METÁLICA, PLÁSTICA OU TERMOACÚSTICA, INCLUSO TRANSPORTE VERTICAL. AF_07/2019</t>
  </si>
  <si>
    <t>5.12</t>
  </si>
  <si>
    <t>80065</t>
  </si>
  <si>
    <t>REVESTIMENTO E TRATAMENTO DE SUPERFÍCIE</t>
  </si>
  <si>
    <t>5.12.1</t>
  </si>
  <si>
    <t>8006508040SI98557</t>
  </si>
  <si>
    <t>IMPERMEABILIZAÇÃO DE SUPERFÍCIE COM EMULSÃO ASFÁLTICA, 2 DEMÃOS. AF_09/2023</t>
  </si>
  <si>
    <t>5.13</t>
  </si>
  <si>
    <t>80070</t>
  </si>
  <si>
    <t>INSTALAÇÕES PREDIAIS</t>
  </si>
  <si>
    <t>5.13.1</t>
  </si>
  <si>
    <t>8007008395SI98059</t>
  </si>
  <si>
    <t>FILTRO ANAERÓBIO CIRCULAR, EM CONCRETO PRÉ-MOLDADO, DIÂMETRO INTERNO = 1,88 M, ALTURA INTERNA = 1,50 M, VOLUME ÚTIL: 3331,1 L (PARA 19 CONTRIBUINTES). AF_12/2020_PA</t>
  </si>
  <si>
    <t>5.13.2</t>
  </si>
  <si>
    <t>8007008395SI98065</t>
  </si>
  <si>
    <t>SUMIDOURO CIRCULAR, EM CONCRETO PRÉ-MOLDADO, DIÂMETRO INTERNO = 2,88 M, ALTURA INTERNA = 3,0 M, ÁREA DE INFILTRAÇÃO: 31,4 M² (PARA 12 CONTRIBUINTES). AF_12/2020_PA</t>
  </si>
  <si>
    <t>5.13.3</t>
  </si>
  <si>
    <t>8007008122SI103979</t>
  </si>
  <si>
    <t>TUBO, PVC, SOLDÁVEL, DE 50MM, INSTALADO EM RAMAL DE DISTRIBUIÇÃO DE ÁGUA - FORNECIMENTO E INSTALAÇÃO. AF_06/2022</t>
  </si>
  <si>
    <t>5.14</t>
  </si>
  <si>
    <t>80080</t>
  </si>
  <si>
    <t>URBANIZAÇÃO</t>
  </si>
  <si>
    <t>5.14.1</t>
  </si>
  <si>
    <t>8008008020SC4413942</t>
  </si>
  <si>
    <t>ESPALHAMENTO DE MATERIAL EM BOTA-FORA</t>
  </si>
  <si>
    <t>5.14.2</t>
  </si>
  <si>
    <t>8008008010XXX5</t>
  </si>
  <si>
    <t>ESTRUTURA DE CONCRETO ARMADO PARA APOIO E FIXAÇÃO DO PORTÃO METÁLICO DA CERCA DE CONCRETO, COMPOSTO POR 02 (DOIS) PILARES (COM FORMATO RETANGULAR E TRIANGULAR) COM ALTURA DE 2,05M, FIXADOS NA VIGA SUPERIOR DE CONCRETO PRÉ-MOLDADO, CINTA INFERIOR DE CONCRETO SIMPLES E BLOCO DE CONCRETO ARMADO.</t>
  </si>
  <si>
    <t>5.14.3</t>
  </si>
  <si>
    <t>8008008010033</t>
  </si>
  <si>
    <t>FORNECIMENTO E ASSENTAMENTO DE PORTÃO PARA VEÍCULOS PADRÃO CAESB, COM ESTRUTURA EM TUBO E TELAS EM ARAME GALVANIZADO</t>
  </si>
  <si>
    <t>5.14.4</t>
  </si>
  <si>
    <t>8008008041SI103689</t>
  </si>
  <si>
    <t>FORNECIMENTO E INSTALAÇÃO DE PLACA DE OBRA COM CHAPA GALVANIZADA E ESTRUTURA DE MADEIRA. AF_03/2022_PS</t>
  </si>
  <si>
    <t>5.14.5</t>
  </si>
  <si>
    <t>8008008020SI98525</t>
  </si>
  <si>
    <t>LIMPEZA MECANIZADA DE CAMADA VEGETAL, VEGETAÇÃO E PEQUENAS ÁRVORES (DIÂMETRO DE TRONCO MENOR QUE 0,20 M), COM TRATOR DE ESTEIRAS. AF_03/2024</t>
  </si>
  <si>
    <t>5.14.6</t>
  </si>
  <si>
    <t>8008008040SC5213424</t>
  </si>
  <si>
    <t>PLACA MODULADA EM AÇO Nº 18 GALVANIZADO COM PELÍCULA RETRORREFLETIVA TIPO III + III - CONFECÇÃO</t>
  </si>
  <si>
    <t>5.15</t>
  </si>
  <si>
    <t>80085</t>
  </si>
  <si>
    <t>SERVIÇOS DIVERSOS</t>
  </si>
  <si>
    <t>5.15.1</t>
  </si>
  <si>
    <t>8008508023SI102619</t>
  </si>
  <si>
    <t>CAIXA D´ÁGUA EM POLIÉSTER REFORÇADO COM FIBRA DE VIDRO, 10000 LITROS - FORNECIMENTO E INSTALAÇÃO. AF_06/2021</t>
  </si>
  <si>
    <t>5.15.2</t>
  </si>
  <si>
    <t>8008508024X238</t>
  </si>
  <si>
    <t>DESENVOLVIMENTO DE PLANO DE GERENCIAMENTO DE RESÍDUOS SÓLIDOS - TIPO 2 (OBRA DE GRANDE PORTE), INCLUSIVE RELATÓRIO TÉCNICO</t>
  </si>
  <si>
    <t>5.15.3</t>
  </si>
  <si>
    <t>8008508023SI94799</t>
  </si>
  <si>
    <t>TORNEIRA DE BOIA PARA CAIXA D'ÁGUA, ROSCÁVEL, 1 1/2" - FORNECIMENTO E INSTALAÇÃO. AF_08/2021</t>
  </si>
  <si>
    <t>5.16</t>
  </si>
  <si>
    <t>80100</t>
  </si>
  <si>
    <t>OBRAS SUBTERRÂNEAS</t>
  </si>
  <si>
    <t>5.16.1</t>
  </si>
  <si>
    <t>8010008010SI103615</t>
  </si>
  <si>
    <t>PERFURAÇÃO HORIZONTAL DIRECIONAL E INSTALAÇÃO DE TUBULAÇÃO PEAD 110 MM, EM SOLO DE 1ª CATEGORIA. AF_01/2022 - (EXCLUSO FORNECIMENTO DE TUBO)</t>
  </si>
  <si>
    <t>5.16.2</t>
  </si>
  <si>
    <t>8010008010SI103616</t>
  </si>
  <si>
    <t>PERFURAÇÃO HORIZONTAL DIRECIONAL E INSTALAÇÃO DE TUBULAÇÃO PEAD 160 MM, EM SOLO DE 1ª CATEGORIA. AF_01/2022 - (EXCLUSO FORNECIMENTO DE TUBO)</t>
  </si>
  <si>
    <t>5.16.3</t>
  </si>
  <si>
    <t>8010008010SI103619</t>
  </si>
  <si>
    <t>PERFURAÇÃO HORIZONTAL DIRECIONAL E INSTALAÇÃO DE TUBULAÇÃO PEAD 225 MM, EM SOLO DE 1ª CATEGORIA. AF_01/2022 - (EXCLUSO FORNECIMENTO DE TUBO)</t>
  </si>
  <si>
    <t>5.16.4</t>
  </si>
  <si>
    <t>8010008010SI103620</t>
  </si>
  <si>
    <t>PERFURAÇÃO HORIZONTAL DIRECIONAL E INSTALAÇÃO DE TUBULAÇÃO PEAD 250 MM, EM SOLO DE 1ª CATEGORIA. AF_01/2022 - (EXCLUSO FORNECIMENTO DE TUBO)</t>
  </si>
  <si>
    <t>5.16.5</t>
  </si>
  <si>
    <t>8010008010SI103621</t>
  </si>
  <si>
    <t>PERFURAÇÃO HORIZONTAL DIRECIONAL E INSTALAÇÃO DE TUBULAÇÃO PEAD 280 MM, EM SOLO DE 1ª CATEGORIA. AF_01/2022 - (EXCLUSO FORNECIMENTO DE TUBO)</t>
  </si>
  <si>
    <t>5.16.6</t>
  </si>
  <si>
    <t>8010008010SI103622</t>
  </si>
  <si>
    <t>PERFURAÇÃO HORIZONTAL DIRECIONAL E INSTALAÇÃO DE TUBULAÇÃO PEAD 315 MM, EM SOLO DE 1ª CATEGORIA. AF_01/2022 - (EXCLUSO FORNECIMENTO DE TUBO)</t>
  </si>
  <si>
    <t>5.16.7</t>
  </si>
  <si>
    <t>8010008010SI103612</t>
  </si>
  <si>
    <t>PERFURAÇÃO HORIZONTAL DIRECIONAL E INSTALAÇÃO DE TUBULAÇÃO PEAD 63 MM, EM SOLO DE 1ª CATEGORIA. AF_01/2022 - (EXCLUSO FORNECIMENTO DE TUBO)</t>
  </si>
  <si>
    <t>5.17</t>
  </si>
  <si>
    <t>80999</t>
  </si>
  <si>
    <t>SERVIÇO AUXILIAR PROVISÓRIO</t>
  </si>
  <si>
    <t>5.17.1</t>
  </si>
  <si>
    <t>8099908001SC4805751</t>
  </si>
  <si>
    <t>ESCAVAÇÃO MANUAL EM MATERIAL DE 1ª CATEGORIA NA PROFUNDIDADE DE 1 A 2 M</t>
  </si>
  <si>
    <t>5.17.2</t>
  </si>
  <si>
    <t>8099908001SC4805752</t>
  </si>
  <si>
    <t>ESCAVAÇÃO MANUAL EM MATERIAL DE 1ª CATEGORIA NA PROFUNDIDADE DE 2 A 3 M</t>
  </si>
  <si>
    <t>5.17.3</t>
  </si>
  <si>
    <t>8099908001SC4805750</t>
  </si>
  <si>
    <t>ESCAVAÇÃO MANUAL EM MATERIAL DE 1ª CATEGORIA NA PROFUNDIDADE DE ATÉ 1 M</t>
  </si>
  <si>
    <t>5.17.4</t>
  </si>
  <si>
    <t>8099908001SC4805767</t>
  </si>
  <si>
    <t>ESCAVAÇÃO MANUAL EM MATERIAL DE 2ª CATEGORIA NA PROFUNDIDADE DE 1 A 2 M</t>
  </si>
  <si>
    <t>5.17.5</t>
  </si>
  <si>
    <t>8099908001SC4805769</t>
  </si>
  <si>
    <t>ESCAVAÇÃO MANUAL EM MATERIAL DE 2ª CATEGORIA NA PROFUNDIDADE DE 2 A 3 M</t>
  </si>
  <si>
    <t>5.18</t>
  </si>
  <si>
    <t>88055</t>
  </si>
  <si>
    <t>5.18.1</t>
  </si>
  <si>
    <t>8805508010XXX3</t>
  </si>
  <si>
    <t>MONTAGEM E ASSENTAMENTO DE KIT CAVALETE DE LATÃO FORJADO, DIÂMETRO 3/4, SEM HIDRÔMETRO E TUBETE.</t>
  </si>
  <si>
    <t>10</t>
  </si>
  <si>
    <t>EQUIPAMENTOS (LOCAÇÃO) - BDI DIFERENCIADO</t>
  </si>
  <si>
    <t>6.1</t>
  </si>
  <si>
    <t>22020</t>
  </si>
  <si>
    <t>MÁQUINAS E EQUIPAMENTOS SINAPI</t>
  </si>
  <si>
    <t>6.1.1</t>
  </si>
  <si>
    <t>LOCAÇÃO CONTAINER ESCRITÓRIO C/ 01 SANITÁRIO</t>
  </si>
  <si>
    <t>LOCAÇÃO</t>
  </si>
  <si>
    <t>2,30X6,00X2,50</t>
  </si>
  <si>
    <t>2202010001SI10775</t>
  </si>
  <si>
    <t>LOCACAO DE CONTAINER 2,30 X 6,00 M, ALT. 2,50 M, COM 1 SANITARIO, PARA ESCRITORIO, COMPLETO, SEM DIVISORIAS INTERNAS (NAO INCLUI MOBILIZACAO/DESMOBILIZACAO)</t>
  </si>
  <si>
    <t>6.1.2</t>
  </si>
  <si>
    <t>LOCAÇÃO CONTAINER ESCRITÓRIO S/ SANITÁRIO</t>
  </si>
  <si>
    <t>2202010001SI10776</t>
  </si>
  <si>
    <t>LOCACAO DE CONTAINER 2,30 X 6,00 M, ALT. 2,50 M, PARA ESCRITORIO, SEM DIVISORIAS INTERNAS E SEM SANITARIO (NAO INCLUI MOBILIZACAO/DESMOBILIZACAO)</t>
  </si>
  <si>
    <t>6.1.3</t>
  </si>
  <si>
    <t>LOCAÇÃO CONTAINER SANITÁRIO</t>
  </si>
  <si>
    <t>2202010001SI10778</t>
  </si>
  <si>
    <t>LOCACAO DE CONTAINER 2,30 X 6,00 M, ALT. 2,50 M, PARA SANITARIO, COM 4 BACIAS, 8 CHUVEIROS,1 LAVATORIO E 1 MICTORIO (NAO INCLUI MOBILIZACAO/DESMOBILIZACAO)</t>
  </si>
  <si>
    <t>11</t>
  </si>
  <si>
    <t>EQUIPAMENTOS - MENSAL</t>
  </si>
  <si>
    <t>7.1</t>
  </si>
  <si>
    <t>22040</t>
  </si>
  <si>
    <t>ACESSÓRIOS PARA CANTEIRO DE OBRAS</t>
  </si>
  <si>
    <t>7.1.1</t>
  </si>
  <si>
    <t>LOCAÇÃO DE BANHEIRO QUÍMICO COM DUAS MANUTENÇÕES SEMANAIS</t>
  </si>
  <si>
    <t>2204011001001</t>
  </si>
  <si>
    <t>loc/un/mês</t>
  </si>
  <si>
    <t>19</t>
  </si>
  <si>
    <t>SERVICOS COMPOSTOS - CHE SEM OPERADOR</t>
  </si>
  <si>
    <t>8.1</t>
  </si>
  <si>
    <t>8.1.1</t>
  </si>
  <si>
    <t>2202019200SI6260</t>
  </si>
  <si>
    <t>CAMINHÃO PIPA 6.000 L, PESO BRUTO TOTAL 13.000 KG, DISTÂNCIA ENTRE EIXOS 4,80 M, POTÊNCIA 189 CV INCLUSIVE TANQUE DE AÇO PARA TRANSPORTE DE ÁGUA, CAPACIDADE 6 M3 - CHI DIURNO. AF_06/2014</t>
  </si>
  <si>
    <t>CHI</t>
  </si>
  <si>
    <t>8.1.2</t>
  </si>
  <si>
    <t>2202019100SI6259</t>
  </si>
  <si>
    <t>CAMINHÃO PIPA 6.000 L, PESO BRUTO TOTAL 13.000 KG, DISTÂNCIA ENTRE EIXOS 4,80 M, POTÊNCIA 189 CV INCLUSIVE TANQUE DE AÇO PARA TRANSPORTE DE ÁGUA, CAPACIDADE 6 M3 - CHP DIURNO. AF_06/2014</t>
  </si>
  <si>
    <t>CHP</t>
  </si>
  <si>
    <t>8.1.3</t>
  </si>
  <si>
    <t>2202019100SCE9779</t>
  </si>
  <si>
    <t>GRUPO GERADOR - 113 KVA</t>
  </si>
  <si>
    <t>8.1.4</t>
  </si>
  <si>
    <t>2202019200SCE9779</t>
  </si>
  <si>
    <t>RESUMO PRINCIPAL</t>
  </si>
  <si>
    <t>SUB-TOTAL 01</t>
  </si>
  <si>
    <t>BDI MATERIAL =&gt;</t>
  </si>
  <si>
    <t>BDI SERVIÇO =&gt;</t>
  </si>
  <si>
    <t>SUB-TOTAL 02</t>
  </si>
  <si>
    <t>TOTAL 01 + 02 =&gt;</t>
  </si>
  <si>
    <t>COEF. - K =&gt;</t>
  </si>
  <si>
    <t>SALDO APÓS K</t>
  </si>
  <si>
    <t>TOTAL 01 + 02 + BDI -K</t>
  </si>
  <si>
    <t>% - PRINCIPAL</t>
  </si>
  <si>
    <t>RESUMO REAJUSTE</t>
  </si>
  <si>
    <t>REAJ. MATERIAL</t>
  </si>
  <si>
    <t>REAJ. SERVIÇO</t>
  </si>
  <si>
    <t>SUB-TOTAL REAJ.</t>
  </si>
  <si>
    <t>% - REAJUSTE</t>
  </si>
  <si>
    <t>RESUMO GERAL</t>
  </si>
  <si>
    <t>TOTAL GERAL</t>
  </si>
  <si>
    <t>APOIO PARA CRONOGRAMA FF</t>
  </si>
  <si>
    <t>BM - PLANILHA DE MEDIÇÃO - ORÇAMENTOS PARCIAIS</t>
  </si>
  <si>
    <t>1ª MEDIÇÃO</t>
  </si>
  <si>
    <t>2ª MEDIÇÃO</t>
  </si>
  <si>
    <t>3ª MEDIÇÃO</t>
  </si>
  <si>
    <t>4ª MEDIÇÃO</t>
  </si>
  <si>
    <t>5ª MEDIÇÃO</t>
  </si>
  <si>
    <t>6ª MEDIÇÃO</t>
  </si>
  <si>
    <t>7ª MEDIÇÃO</t>
  </si>
  <si>
    <t>8ª MEDIÇÃO</t>
  </si>
  <si>
    <t>9ª MEDIÇÃO</t>
  </si>
  <si>
    <t>10ª MEDIÇÃO</t>
  </si>
  <si>
    <t>11ª MEDIÇÃO</t>
  </si>
  <si>
    <t>12ª MEDIÇÃO</t>
  </si>
  <si>
    <t>13ª MEDIÇÃO</t>
  </si>
  <si>
    <t>14ª MEDIÇÃO</t>
  </si>
  <si>
    <t>15ª MEDIÇÃO</t>
  </si>
  <si>
    <t>16ª MEDIÇÃO</t>
  </si>
  <si>
    <t>17ª MEDIÇÃO</t>
  </si>
  <si>
    <t>18ª MEDIÇÃO</t>
  </si>
  <si>
    <t>SEQUÊNCIA</t>
  </si>
  <si>
    <t>CÓD. 
CRON. FF</t>
  </si>
  <si>
    <t>DESCRIÇÃO DO ORÇAMENTO</t>
  </si>
  <si>
    <t>ITEM - BM VERTICAL</t>
  </si>
  <si>
    <t>DESCRIÇÃO SUMÁRIA</t>
  </si>
  <si>
    <t>CANTEIRO DE OBRAS - MATERIAL + SERVIÇO</t>
  </si>
  <si>
    <t>1</t>
  </si>
  <si>
    <t>CANTEIRO - MATERIAL</t>
  </si>
  <si>
    <t>5</t>
  </si>
  <si>
    <t>CANTEIRO - SERVIÇO</t>
  </si>
  <si>
    <t>6</t>
  </si>
  <si>
    <t>7</t>
  </si>
  <si>
    <t>8</t>
  </si>
  <si>
    <t>REDES - MATERIAL + SERVIÇO</t>
  </si>
  <si>
    <t>REDES - MATERIAL</t>
  </si>
  <si>
    <t>2.2</t>
  </si>
  <si>
    <t>REDES - SERVIÇO</t>
  </si>
  <si>
    <t>CAIXAS - MATERIAL + SERVIÇO</t>
  </si>
  <si>
    <t>CAIXAS - MATERIAL</t>
  </si>
  <si>
    <t>2</t>
  </si>
  <si>
    <t>3.2</t>
  </si>
  <si>
    <t>CAIXAS - SERVIÇO</t>
  </si>
  <si>
    <t>INTERLIGAÇÃO E LIGAÇÕES - MATERIAL + SERVIÇO</t>
  </si>
  <si>
    <t>LIGAÇÕES (ORÇAMENTO 2025100102) - MATERIAL + SERVIÇO</t>
  </si>
  <si>
    <t>LIGAÇÕES - MATERIAL</t>
  </si>
  <si>
    <t>4.2</t>
  </si>
  <si>
    <t>LIGAÇÕES - SERVIÇO</t>
  </si>
  <si>
    <t>INTERLIGAÇÃO (ORÇAMENTO 2025080605) - MATERIAL + SERVIÇO</t>
  </si>
  <si>
    <t>INTERLIGAÇÃO - MATERIAL</t>
  </si>
  <si>
    <t>INTERLIGAÇÃO - SERVIÇO</t>
  </si>
  <si>
    <t>HIDROMECÂNICO - MATERIAL + SERVIÇO</t>
  </si>
  <si>
    <t>HIDROMECÂNICO - MATERIAL</t>
  </si>
  <si>
    <t>3</t>
  </si>
  <si>
    <t>HIDROMECÂNICO - SERVIÇO</t>
  </si>
  <si>
    <t>4</t>
  </si>
  <si>
    <t>6.2</t>
  </si>
  <si>
    <t>FOLHA - 001</t>
  </si>
  <si>
    <t>MEMORIAL VERTICAL DE QUANTIFICAÇÃO DE SERVIÇOS / MATERIAIS</t>
  </si>
  <si>
    <t>_____ / 2026</t>
  </si>
  <si>
    <t>MED. Nº:</t>
  </si>
  <si>
    <t>GALERIA DE FOTOS / CROQUIS ILUSTRATIVOS</t>
  </si>
  <si>
    <t>JUSTIFICATIVA TÉCNICA</t>
  </si>
  <si>
    <t>MEMÓRIAL DE CÁLCULO</t>
  </si>
  <si>
    <t>NOMENCLATURA DA OBRA</t>
  </si>
  <si>
    <t>PROJETO</t>
  </si>
  <si>
    <t>DATA VER.</t>
  </si>
  <si>
    <t>EST. INICIAL</t>
  </si>
  <si>
    <t>FRAÇÃO</t>
  </si>
  <si>
    <t>EST. FINAL</t>
  </si>
  <si>
    <t>PONTO REFERÊNCIA</t>
  </si>
  <si>
    <t>DISTANCIA</t>
  </si>
  <si>
    <t>SUB-TOTAL</t>
  </si>
  <si>
    <t>FOLHA - 002</t>
  </si>
  <si>
    <t>FOLHA - 003</t>
  </si>
  <si>
    <t>FOLHA - 004</t>
  </si>
  <si>
    <t>FOLHA - 005</t>
  </si>
  <si>
    <t>FOLHA - 006</t>
  </si>
  <si>
    <t>FOLHA - 007</t>
  </si>
  <si>
    <t>FOLHA - 008</t>
  </si>
  <si>
    <t>FOLHA - 009</t>
  </si>
  <si>
    <t>FOLHA - 010</t>
  </si>
  <si>
    <t>FOLHA - 011</t>
  </si>
  <si>
    <t>FOLHA - 012</t>
  </si>
  <si>
    <t>FOLHA - 013</t>
  </si>
  <si>
    <t>FOLHA - 014</t>
  </si>
  <si>
    <t>FOLHA - 015</t>
  </si>
  <si>
    <t>FOLHA - 016</t>
  </si>
  <si>
    <t>FOLHA - 017</t>
  </si>
  <si>
    <t>FOLHA - 018</t>
  </si>
  <si>
    <t>FOLHA - 019</t>
  </si>
  <si>
    <t>FOLHA - 020</t>
  </si>
  <si>
    <t>FOLHA - 021</t>
  </si>
  <si>
    <t>EQUIPE ADMINISTRATIVA / ENGENHARIA DA OBRA</t>
  </si>
  <si>
    <t>6.2_4.1.1</t>
  </si>
  <si>
    <t>LOCAL</t>
  </si>
  <si>
    <t>R$ M.O + MAT</t>
  </si>
  <si>
    <t>R$ ADM</t>
  </si>
  <si>
    <t>R$ M.O + MAT - ADM</t>
  </si>
  <si>
    <t>% ADM</t>
  </si>
  <si>
    <t>FAT. MÊS M.O + MAT</t>
  </si>
  <si>
    <t>FAT. ADM MÊS</t>
  </si>
  <si>
    <t>QUANT. MÊS</t>
  </si>
  <si>
    <t>MORRO DA CRUZ - SÃO SEBASTIÃO/DF</t>
  </si>
  <si>
    <t>CLIENTE:</t>
  </si>
  <si>
    <t>CONTRATO Nº:</t>
  </si>
  <si>
    <t>OBJETO:</t>
  </si>
  <si>
    <t>REVISÃO / DATA:</t>
  </si>
  <si>
    <t>COMPANHIA DE SANEAMENTO AMBIENTAL DO DISTRITO FEDERAL</t>
  </si>
  <si>
    <t>V00 - CRONOGRAMA CAESB SP0686 (GDOC 2836304)</t>
  </si>
  <si>
    <t>ITEM</t>
  </si>
  <si>
    <t>VALORES</t>
  </si>
  <si>
    <t>MÊS 01</t>
  </si>
  <si>
    <t>MÊS 02</t>
  </si>
  <si>
    <t>MÊS 03</t>
  </si>
  <si>
    <t>MÊS 04</t>
  </si>
  <si>
    <t>MÊS 05</t>
  </si>
  <si>
    <t>MÊS 06</t>
  </si>
  <si>
    <t>MÊS 07</t>
  </si>
  <si>
    <t>MÊS 08</t>
  </si>
  <si>
    <t>MÊS 09</t>
  </si>
  <si>
    <t>MÊS 10</t>
  </si>
  <si>
    <t>MÊS 11</t>
  </si>
  <si>
    <t>MÊS 12</t>
  </si>
  <si>
    <t>MÊS 13</t>
  </si>
  <si>
    <t>MÊS 14</t>
  </si>
  <si>
    <t>MÊS 15</t>
  </si>
  <si>
    <t>MÊS 16</t>
  </si>
  <si>
    <t>MÊS 17</t>
  </si>
  <si>
    <t>MÊS 18</t>
  </si>
  <si>
    <t>PRAZO - DIAS</t>
  </si>
  <si>
    <t>SOMA MÊS 1 ATÉ MÊS 18</t>
  </si>
  <si>
    <t>FORNECIMENTO MATERIAIS</t>
  </si>
  <si>
    <t>FINANC. PROGRAMADO - R$</t>
  </si>
  <si>
    <t>FINANC. EXECUTADO - R$</t>
  </si>
  <si>
    <t>FÍSICO PROGRAMADO - %</t>
  </si>
  <si>
    <t>FÍSICO EXECUTADO - %</t>
  </si>
  <si>
    <t>CANTEIRO DE OBRAS - MATERIAL</t>
  </si>
  <si>
    <t>INTERLIGAÇÃO E LIGAÇÕES - MATERIAL</t>
  </si>
  <si>
    <t>EXECUÇÃO DE SERVIÇOS</t>
  </si>
  <si>
    <t>CANTEIRO DE OBRAS - SERVIÇO</t>
  </si>
  <si>
    <t>INTERLIGAÇÃO E LIGAÇÕES - SERVIÇO</t>
  </si>
  <si>
    <t>SUB-TOTAL MATERIAL =&gt;</t>
  </si>
  <si>
    <t>DESCONTO CONTRATUAL =&gt;</t>
  </si>
  <si>
    <t>TOTAL MATERIAL =&gt;</t>
  </si>
  <si>
    <t>SUB-TOTAL SERVIÇO =&gt;</t>
  </si>
  <si>
    <t>TOTAL SERVIÇO =&gt;</t>
  </si>
  <si>
    <t>SUB-TOTAL GERAL =&gt;</t>
  </si>
  <si>
    <t>SUB-TOTAL BDI =&gt;</t>
  </si>
  <si>
    <t>SUB-TOTAL DESCONTO CONTRATUAL =&gt;</t>
  </si>
  <si>
    <t>TOTAL GERAL MATERIAL + SERVIÇO =&gt;</t>
  </si>
  <si>
    <t>FATURAMENTO - ACUMULADO =&gt;</t>
  </si>
  <si>
    <t>FAT. PROGRAMADO - R$ (ACUM)</t>
  </si>
  <si>
    <t>FAT. FINANC. EXECUTADO - R$ (ACUM)</t>
  </si>
  <si>
    <t>FÍSICO PROGRAMADO - % (ACUM)</t>
  </si>
  <si>
    <t>FÍSICO EXECUTADO - % (ACUM)</t>
  </si>
  <si>
    <t>REAJUSTE - MÊS A MÊS =&gt;</t>
  </si>
  <si>
    <t>FAT. PROGRAMADO - R$ (MÊS)</t>
  </si>
  <si>
    <t>FAT. FINANC. EXECUTADO - R$ (MÊS)</t>
  </si>
  <si>
    <t>FÍSICO PROGRAMADO - % (MÊS)</t>
  </si>
  <si>
    <t>FÍSICO EXECUTADO - % (MÊS)</t>
  </si>
  <si>
    <t>TOTAL REAJUSTE =&gt;</t>
  </si>
  <si>
    <t>TOTAL MÊS - %</t>
  </si>
  <si>
    <t>ACUMULADO - %</t>
  </si>
  <si>
    <t>TOTAL MEDIÇÃO + REAJUSTE =&gt;</t>
  </si>
  <si>
    <t>Nº dias de proporcionalidade ( pró-rata ) - d0</t>
  </si>
  <si>
    <t>Indicador econômico do reajustamento</t>
  </si>
  <si>
    <t>MEDIÇÃO</t>
  </si>
  <si>
    <t>DIAS</t>
  </si>
  <si>
    <t>SITUAÇÃO</t>
  </si>
  <si>
    <t>GRÁFICO ACUMULADO - %</t>
  </si>
  <si>
    <t>% - PREVISTO</t>
  </si>
  <si>
    <t>% - PREVISTO ACUM.</t>
  </si>
  <si>
    <t>% - REALIZADO</t>
  </si>
  <si>
    <t>% - REALIZADO ACUM.</t>
  </si>
  <si>
    <t>% - REPROGRAMADO</t>
  </si>
  <si>
    <t>% - REPROGRAMADO ACUM.</t>
  </si>
  <si>
    <t>GRÁFICO ACUMULADO - R$</t>
  </si>
  <si>
    <t>PREVISTO R$/1000</t>
  </si>
  <si>
    <t>VALOR CONTRATUAL (APÓS K):</t>
  </si>
  <si>
    <t>PREVISTO ACUM. R$/1000</t>
  </si>
  <si>
    <t>REALIZADO R$/1000</t>
  </si>
  <si>
    <t>REALIZADO ACUM. R$/1000</t>
  </si>
  <si>
    <t>REPROGRAMADO R$/1000</t>
  </si>
  <si>
    <t>REPROGRAMADO ACUM. R$/1000</t>
  </si>
  <si>
    <t>GRÁFICO MENSAL - R$</t>
  </si>
  <si>
    <t>GRÁFICO MENSAL - %</t>
  </si>
  <si>
    <t>CONFERÊNCIA DO BM COM A JUNTADA 1426 E O RESULTADO DA LC 014/2026</t>
  </si>
  <si>
    <t>Valores oficiais: juntada 1426 (GDOC 2836298), orçamentos parciais (GDOC PARCIAIS) e resultado da licitação. Diferenças de centavos vêm do cálculo interno da CAESB (preço com mais casas e BDI por item).</t>
  </si>
  <si>
    <t>COMPONENTE</t>
  </si>
  <si>
    <t>OFICIAL</t>
  </si>
  <si>
    <t>BM (PLANILHA)</t>
  </si>
  <si>
    <t>DIFERENÇA</t>
  </si>
  <si>
    <t>FONTE</t>
  </si>
  <si>
    <t>MATERIAIS (SUB-TOTAL)</t>
  </si>
  <si>
    <t>Juntada 1426, pág. 22</t>
  </si>
  <si>
    <t>SERVIÇOS (SUB-TOTAL)</t>
  </si>
  <si>
    <t>BDI MATERIAIS (15,28 %)</t>
  </si>
  <si>
    <t>BDI SERVIÇOS (21,48 %)</t>
  </si>
  <si>
    <t>TOTAL GERAL CAESB (COM BDI)</t>
  </si>
  <si>
    <t>Juntada 1426 e parciais</t>
  </si>
  <si>
    <t>FATOR K DA ANKARA</t>
  </si>
  <si>
    <t>Resultado LC 014/2026 (desconto 14,04 %)</t>
  </si>
  <si>
    <t>VALOR CONTRATUAL ANKARA (APÓS K)</t>
  </si>
  <si>
    <t>Resultado LC 014/2026</t>
  </si>
  <si>
    <t>ORÇAMENTOS PARCIAIS (COM BDI)</t>
  </si>
  <si>
    <t>ORÇAMENTO</t>
  </si>
  <si>
    <t>OFICIAL (COM BDI)</t>
  </si>
  <si>
    <t>VERTICAL (COM BDI)</t>
  </si>
  <si>
    <t>CÓD. CRON. FF</t>
  </si>
  <si>
    <t>2026031906 - REDES</t>
  </si>
  <si>
    <t>REDES - MATERIAL, REDES - SERVIÇO</t>
  </si>
  <si>
    <t>2025080604 - CAIXAS</t>
  </si>
  <si>
    <t>CAIXAS - MATERIAL, CAIXAS - SERVIÇO</t>
  </si>
  <si>
    <t>2025100102 - LIGAÇÕES</t>
  </si>
  <si>
    <t>LIGAÇÕES - MATERIAL, LIGAÇÕES - SERVIÇO</t>
  </si>
  <si>
    <t>2025080605 - INTERLIGAÇÃO</t>
  </si>
  <si>
    <t>INTERLIGAÇÃO - MATERIAL, INTERLIGAÇÃO - SERVIÇO</t>
  </si>
  <si>
    <t>2025080606 - HIDROMECÂNICO</t>
  </si>
  <si>
    <t>HIDROMECÂNICO - MATERIAL, HIDROMECÂNICO - SERVIÇO</t>
  </si>
  <si>
    <t>2025080607 - CANTEIRO DE OBRA (INCLUI ADM LOCAL)</t>
  </si>
  <si>
    <t>CANTEIRO - MATERIAL, CANTEIRO - SERVIÇO, ADMINISTRAÇÃO LOCAL</t>
  </si>
  <si>
    <t>TOTAL DOS PARCIAIS</t>
  </si>
  <si>
    <t>CRONOGRAMA OFICIAL DA CAESB (GDOC 2836304) - 6 ITENS (COM BDI)</t>
  </si>
  <si>
    <t>ITEM DO CRONOGRAMA</t>
  </si>
  <si>
    <t>1 - CANTEIRO DE OBRAS</t>
  </si>
  <si>
    <t>1.1, 1.2</t>
  </si>
  <si>
    <t>2 - REDES</t>
  </si>
  <si>
    <t>2.1, 2.2</t>
  </si>
  <si>
    <t>3 - CAIXAS</t>
  </si>
  <si>
    <t>3.1, 3.2</t>
  </si>
  <si>
    <t>4 - INTERLIGAÇÃO E LIGAÇÕES</t>
  </si>
  <si>
    <t>4.1, 4.2</t>
  </si>
  <si>
    <t>5 - HIDROMECÂNICO</t>
  </si>
  <si>
    <t>5.1, 5.2</t>
  </si>
  <si>
    <t>6 - ADM. LOCAL</t>
  </si>
  <si>
    <t>TOTAL DO CRONOGRAMA</t>
  </si>
  <si>
    <t>CONFERÊNCIAS FEITAS NA MONTAGEM</t>
  </si>
  <si>
    <t>1. 347 itens da juntada conferidos um a um com o PDF oficial: código, descrição, unidade, quantidade, preço unitário e total (0 divergência).</t>
  </si>
  <si>
    <t>2. 432 linhas dos 6 orçamentos parciais: a soma das quantidades de cada código nos parciais é igual à quantidade da juntada em 347 de 347 códigos.</t>
  </si>
  <si>
    <t>3. Classificação MATERIAL/SERVIÇO pela estrutura da juntada: grupos 03, 04, 05, 10 e 11 = materiais (BDI 15,28 %); 06, 08 e 19 = serviços (BDI 21,48 %). Confere com os subtotais de materiais e de serviços de cada orçamento parcial.</t>
  </si>
  <si>
    <t>4. Subtotais do contrato calculados como na juntada: soma de quantidade x preço unitário sem arredondar item a item, arredondada no final. A coluna TOTAL dos itens é arredondada a centavos (padrão do BM), por isso a soma dessa coluna dá R$ 0,02 a mais nos serviços. Nenhum ajuste é digitado.</t>
  </si>
  <si>
    <t>5. O BDI e o total geral da CAESB são somados orçamento parcial por orçamento parcial, cada um com seu arredondamento. Por isso o BDI e o total do BM ficam centavos acima e, após o K, o BM dá R$ 0,10 a mais que a proposta (R$ 49.878.748,56).</t>
  </si>
  <si>
    <t>6. Fator K 0,8596 (desconto de 14,04 %) conforme proposta registrada e resultado da LC 014/2026.</t>
  </si>
  <si>
    <t>7. Reajuste: ICC-Brasília-DI, marco inicial na data da proposta, fórmula do edital 2.19.4 com pró-rata; só para obrigações iniciadas e concluídas após a anualidade e mediante pedido da contratada (minuta, 7.2).</t>
  </si>
  <si>
    <t>8. Administração local paga proporcionalmente aos serviços medidos no mês (TR, item 14.6). No 01ª MC, a folha da ADM calcula o faturamento do mês sem digitação.</t>
  </si>
  <si>
    <t>9. Tubos de PEAD são fornecidos pela CAESB (edital 1.38). Tubos da contratada podem ser faturados 80/20 e peças de aço/FoFo 80/10/10 (TR, item 14.7): registrar a fração na quantidade da memória.</t>
  </si>
  <si>
    <t>10. VERTICAL organizado nos 6 itens do cronograma oficial (GDOC 2836304). O item 4 (Interligação e Ligações) reúne os orçamentos 2025100102 (Ligações) e 2025080605 (Interligação), cada um no seu sub-bloco, com os códigos 4.1 (material) e 4.2 (serviço).</t>
  </si>
  <si>
    <t>11. Colunas B a J do BM (atributos dos materiais): tiradas da descrição CAESB de cada item, no mesmo vocabulário do BM Lago Sul. GRUPO = orçamento(s) parcial(is) em que o item aparece.</t>
  </si>
  <si>
    <t>12. Como lançar: digitar as linhas de cálculo na 01ª MC com a chave do VERTICAL (coluna D). O VERTICAL soma por chave, o BM soma por código CAESB e o resumo aplica BDI, K e reajuste.</t>
  </si>
  <si>
    <t>REGRA E FONTES DO REAJUSTE</t>
  </si>
  <si>
    <t>Início da execução (OS, página 1):</t>
  </si>
  <si>
    <t>Prazo (dias):</t>
  </si>
  <si>
    <t>INÍCIO PREVISTO</t>
  </si>
  <si>
    <t>FIM PREVISTO</t>
  </si>
  <si>
    <t>FRAÇÃO ELEGÍVEL MATERIAL</t>
  </si>
  <si>
    <t>FRAÇÃO ELEGÍVEL SERVIÇO</t>
  </si>
  <si>
    <t>Reajuste CT 10239/2026 - Morro da Cruz</t>
  </si>
  <si>
    <t>Data-base do reajuste - conforme CEFR</t>
  </si>
  <si>
    <t>ICC-Brasília-DI - MES (1466807)</t>
  </si>
  <si>
    <t>Número-índice - mês da data-base (Ib)</t>
  </si>
  <si>
    <t>Número-índice - mês anterior à data-base (Ia)</t>
  </si>
  <si>
    <t>Número-índice - mês do 1º aniversário (Id)</t>
  </si>
  <si>
    <t>Número-índice - mês anterior ao 1º aniversário (Ic)</t>
  </si>
  <si>
    <t>Conferência de I0 (pró-rata; memória pendente)</t>
  </si>
  <si>
    <t>Conferência de I1 (pró-rata)</t>
  </si>
  <si>
    <t>Percentual do 1º reajuste informado pela CEFR</t>
  </si>
  <si>
    <t>1º aniversário da data-base</t>
  </si>
  <si>
    <t>Previsão mensal a partir da OS. Informar as parcelas elegíveis e conferir aniversários subsequentes no apostilamento.</t>
  </si>
  <si>
    <t>Despacho nº 322/2026-CEFR, GDOC 2998208, de 01/10/2026, página 1: base 31/01/2025; ICCB materiais, equipamentos e serviços; até 3,29% sobre P0.</t>
  </si>
  <si>
    <t>Contrato 10239/2026, cláusula 6.1: orçamento estimado de 31/01/2025. A CEFR usa essa data no SISFINR, embora a denomine data da proposta.</t>
  </si>
  <si>
    <t>C7, C10 e C11: FECHAMENTO - LC 014/26 - MARCOS ALFREDO, aba REAJUSTE com espaço final, B37/B49/B48. Série identificada como FGV 1466807.</t>
  </si>
  <si>
    <t>C8 (dezembro/2024) pendente da memória Reajuste CT 10239 ICCB.pdf, listada no GDOC. C18 usa o percentual informado pela CEFR e não depende dessa conferência.</t>
  </si>
  <si>
    <t>CEFR, observação 5: percentuais com duas casas decimais, sem arredondamento. Para coeficiente decimal r, a regra é TRUNC(r*100,2)/100.</t>
  </si>
  <si>
    <t>A interpolação de I0/I1 é uma conferência dos índices. Falta o anexo SISFINR para confirmar todos os dados e a contagem pro rata. O percentual comunicado está em C18.</t>
  </si>
  <si>
    <t>Fonte da série 1466807: catálogo FGV Standard 2025. O percentual de C18 vem do despacho CEFR, não do ICC total nem do INCC nacional.</t>
  </si>
  <si>
    <t>E/F: informar a fração do principal elegível de materiais e serviços, com BDI e K. Deixar em branco quando não conferida. Zero significa nenhuma parcela elegível.</t>
  </si>
  <si>
    <t>CEFR, observações 1, 3 e 6: verificar negociações, eventual preclusão e quais parcelas têm direito. Não presumir 100% da medição como elegível.</t>
  </si>
  <si>
    <t>CEFR, observações 4 e 7: separar parcelas por aniversário; apostilar o saldo. O reajuste integra a nota fiscal principal, sem nota fiscal apartada de reajuste.</t>
  </si>
  <si>
    <t>C18 contém 3,29% da CEFR. A partir do próximo aniversário previsto (31/01/2027), o cálculo fica pendente do novo índice e do rateio, sem repetir automaticamente 3,29%.</t>
  </si>
  <si>
    <t>Nos meses que cruzam o aniversário, separar as parcelas e confirmar o marco dos efeitos financeiros no apostilamento. Os valores do BM usam o principal com BDI e K.</t>
  </si>
  <si>
    <t>Amarelo: dados a completar. Janeiro/2027 e meses seguintes dependem do reajuste subsequente e das parcelas de cada aniversário.</t>
  </si>
  <si>
    <t/>
  </si>
  <si>
    <t>AÇO GALVANIZADO</t>
  </si>
  <si>
    <t>BRITA</t>
  </si>
  <si>
    <t>ADMINISTRAÇÃO</t>
  </si>
  <si>
    <t>INSTALAÇÃO E DESINSTALAÇÃO MECANIZADA DE CONTÊINER OU MÓDULO HABITÁVEL DE USOS DIVERSOS</t>
  </si>
  <si>
    <t>CONTÊINER</t>
  </si>
  <si>
    <t>TAPUME COM TELHA METÁLICA</t>
  </si>
  <si>
    <t>TAPUME</t>
  </si>
  <si>
    <t>SINALIZAÇÃO</t>
  </si>
  <si>
    <t>CADASTRO</t>
  </si>
  <si>
    <t>ENSAIO DE COMPACTACAO - AMOSTRAS NAO TRABALHADAS - ENERGIA NORMAL - SOLOS</t>
  </si>
  <si>
    <t>ENSAIO</t>
  </si>
  <si>
    <t>SOLO</t>
  </si>
  <si>
    <t>ENSAIOS</t>
  </si>
  <si>
    <t>ENSAIO DE GRANULOMETRIA POR PENEIRAMENTO - SOLOS</t>
  </si>
  <si>
    <t>ENSAIO DE LIMITE DE LIQUIDEZ - SOLOS</t>
  </si>
  <si>
    <t>ENSAIO DE LIMITE DE PLASTICIDADE - SOLOS</t>
  </si>
  <si>
    <t>LOCAÇÃO CONVENCIONAL DE OBRA, UTILIZANDO GABARITO DE TÁBUAS CORRIDAS PONTALETADAS A CADA 2,00M - 2 UTILIZAÇÕES</t>
  </si>
  <si>
    <t>CAIXAS / INTERLIGAÇÃO</t>
  </si>
  <si>
    <t>DEMOLIÇÃO DE PISO DE CONCRETO SIMPLES, DE FORMA MANUAL, SEM REAPROVEITAMENTO</t>
  </si>
  <si>
    <t>DEMOLIÇÃO</t>
  </si>
  <si>
    <t>REDES / LIGAÇÕES</t>
  </si>
  <si>
    <t>ISOLAMENTO DE OBRA COM TELA PLÁSTICA E ESTRUTURA DE MADEIRA PONTALETEADA - COM TELA DE ISOLAMENTO/SINALIZAÇÃO LARANJA MEDINDO 1,20 X 50M NO FORMATO RETANGULAR</t>
  </si>
  <si>
    <t>ISOLAMENTO</t>
  </si>
  <si>
    <t>REDES / CAIXAS / INTERLIGAÇÃO</t>
  </si>
  <si>
    <t>ATERRO MECANIZADO DE VALA COM ESCAVADEIRA HIDRÁULICA, LARGURA ATÉ 2,5 M, PROFUNDIDADE ATÉ 1,5 M, COM AREIA PARA ATERRO</t>
  </si>
  <si>
    <t>ATERRO</t>
  </si>
  <si>
    <t>AREIA</t>
  </si>
  <si>
    <t>ATERRO MECANIZADO DE VALA COM ESCAVADEIRA HIDRÁULICA, LARGURA ATÉ 2,5 M, PROFUNDIDADE DE 1,5 A 3,0 M, COM AREIA PARA ATERRO</t>
  </si>
  <si>
    <t>CARGA DE MISTURA ASFÁLTICA EM CAMINHÃO BASCULANTE 18 M³</t>
  </si>
  <si>
    <t>CARGA E DESCARGA</t>
  </si>
  <si>
    <t>ASFALTO</t>
  </si>
  <si>
    <t>CARGA</t>
  </si>
  <si>
    <t>CARGA, MANOBRA E DESCARGA DE ENTULHO EM CAMINHÃO BASCULANTE 14 M³ - CARGA COM ESCAVADEIRA HIDRÁULICA E DESCARGA LIVRE</t>
  </si>
  <si>
    <t>CARGA, MANOBRA E DESCARGA DE ENTULHO EM CAMINHÃO BASCULANTE 6 M³ - CARGA COM ESCAVADEIRA HIDRÁULICA E DESCARGA LIVRE</t>
  </si>
  <si>
    <t>CARGA, MANOBRA E DESCARGA DE SOLOS E MATERIAIS GRANULARES EM CAMINHÃO BASCULANTE 14 M³ - CARGA COM ESCAVADEIRA HIDRÁULICA E DESCARGA LIVRE</t>
  </si>
  <si>
    <t>DESMONTE DE MATERIAL DE 3ª CATEGORIA, COM MARTELETE PNEUMÁTICO MANUAL - EXCLUSIVE CARGA E TRANSPORTE</t>
  </si>
  <si>
    <t>DESMONTE DE ROCHA</t>
  </si>
  <si>
    <t>ROCHA</t>
  </si>
  <si>
    <t>ESCAVAÇÃO</t>
  </si>
  <si>
    <t>SOLO MOLE</t>
  </si>
  <si>
    <t>ESCAVAÇÃO MANUAL DE VALAS EM SOLO MOLE, PROFUNDIDADE MAIOR QUE 1,50 A 3,00 M</t>
  </si>
  <si>
    <t>REDES / CAIXAS</t>
  </si>
  <si>
    <t>ESCAVAÇÃO MECANIZADA DE VALA COM PROF. ATÉ 1,5 M, ESCAVADEIRA, LARG. DE 1,5 M A 2,5 M, EM SOLO DE 1A CATEGORIA, LOCAIS COM BAIXO NÍVEL DE INTERFERÊNCIA</t>
  </si>
  <si>
    <t>SOLO 1ª CATEGORIA</t>
  </si>
  <si>
    <t>ESCAVAÇÃO MECANIZADA DE VALA COM PROF. ATÉ 1,5 M, ESCAVADEIRA, LARG. DE 1,5 M A 2,5 M, EM SOLO DE 2A CATEGORIA, LOCAIS COM BAIXO NÍVEL DE INTERFERÊNCIA</t>
  </si>
  <si>
    <t>SOLO 2ª CATEGORIA</t>
  </si>
  <si>
    <t>ESCAVAÇÃO MECANIZADA DE VALA COM PROF. ATÉ 1,5 M, ESCAVADEIRA, LARG. DE 1,5 M A 2,5 M, EM SOLO MOLE, LOCAIS COM BAIXO NÍVEL DE INTERFERÊNCIA</t>
  </si>
  <si>
    <t>ESCAVAÇÃO MECANIZADA DE VALA COM PROF. MAIOR QUE 1,5 M ATÉ 3,0 M,COM ESCAVADEIRA, LARG. DE 1,5 M A 2,5 M, EM SOLO MOLE, LOCAIS COM BAIXO NÍVEL DE INTERFERÊNCIA</t>
  </si>
  <si>
    <t>ESCAVAÇÃO MECANIZADA DE VALA COM PROF. MAIOR QUE 1,5 M ATÉ 3,0 M,COM ESCAVADEIRA,LARG. DE 1,5 M A 2,5 M, EM SOLO DE 1A CATEGORIA, LOCAIS COM BAIXO NÍVEL DE INTE</t>
  </si>
  <si>
    <t>ESCAVAÇÃO MECANIZADA DE VALA COM PROF. MAIOR QUE 1,5 M ATÉ 3,0 M,COM ESCAVADEIRA,LARG. DE 1,5 M A 2,5 M, EM SOLO DE 2A CATEGORIA, LOCAIS COM BAIXO NÍVEL DE INTE</t>
  </si>
  <si>
    <t>REATERRO MANUAL DE VALAS, COM COMPACTADOR DE SOLOS DE PERCUSSÃO</t>
  </si>
  <si>
    <t>REATERRO</t>
  </si>
  <si>
    <t>CANTEIRO / LIGAÇÕES</t>
  </si>
  <si>
    <t>REATERRO MECANIZADO DE VALA COM ESCAVADEIRA HIDRÁULICA, LARGURA ATÉ 1,5 M, PROFUNDIDADE DE 1,5 A 3,0 M, COM SOLO DE 1ª CATEGORIA, COM COMPACTADOR DE SOLOS DE PE</t>
  </si>
  <si>
    <t>REATERRO MECANIZADO DE VALA COM ESCAVADEIRA HIDRÁULICA, LARGURA DE 1,5 A 2,5 M, PROFUNDIDADE ATÉ 1,5 M, COM SOLO DE 1ª CATEGORIA, COM COMPACTADOR DE SOLOS DE PE</t>
  </si>
  <si>
    <t>REATERRO MECANIZADO DE VALA COM RETROESCAVADEIRA, LARGURA 0,8 A 1,5 M, PROFUNDIDADE 1,5 A 3,0 M, COM SOLO DE 1ª CATEGORIA E COMPACTADOR DE SOLOS DE PERCUSSÃO</t>
  </si>
  <si>
    <t>REATERRO MECANIZADO DE VALA COM RETROESCAVADEIRA, LARGURA 0,8 A 1,5 M, PROFUNDIDADE ATÉ 1,5 M, COM SOLO DE 1ª CATEGORIA, COM COMPACTADOR DE SOLOS DE PERCUSSÃO</t>
  </si>
  <si>
    <t>TRANSPORTE COM CAMINHÃO BASCULANTE DE 14 M³, EM VIA URBANA PAVIMENTADA, ADICIONAL PARA DMT EXCEDENTE A 30 KM</t>
  </si>
  <si>
    <t>TRANSPORTE</t>
  </si>
  <si>
    <t>CANTEIRO / REDES / CAIXAS / INTERLIGAÇÃO</t>
  </si>
  <si>
    <t>TRANSPORTE COM CAMINHÃO BASCULANTE DE 14 M³, EM VIA URBANA PAVIMENTADA, DMT ATÉ 30 KM</t>
  </si>
  <si>
    <t>TRANSPORTE COM CAMINHÃO BASCULANTE DE 6 M³, EM VIA URBANA PAVIMENTADA, ADICIONAL PARA DMT EXCEDENTE A 30 KM</t>
  </si>
  <si>
    <t>TRANSPORTE COM CAMINHÃO BASCULANTE DE 6 M³, EM VIA URBANA PAVIMENTADA, DMT ATÉ 30 KM</t>
  </si>
  <si>
    <t>CANTEIRO / REDES / LIGAÇÕES</t>
  </si>
  <si>
    <t>TRANSPORTE COM CAMINHÃO TANQUE DE TRANSPORTE DE MATERIAL ASFÁLTICO DE 30000 L, EM VIA URBANA PAVIMENTADA, DMT ATÉ 30KM</t>
  </si>
  <si>
    <t>ENCHIMENTO DE BRITA PARA DRENO, LANÇAMENTO MANUAL</t>
  </si>
  <si>
    <t>DRENO DE BRITA</t>
  </si>
  <si>
    <t>DRENAGEM</t>
  </si>
  <si>
    <t>ESCORAMENTO DE VALA, TIPO PONTALETEAMENTO, COM PROFUNDIDADE DE 1,5 A 3,0 M, LARGURA MAIOR OU IGUAL A 1,5 M E MENOR QUE 2,5 M</t>
  </si>
  <si>
    <t>ESCORAMENTO</t>
  </si>
  <si>
    <t>ESCORAMENTO DE VALA, TIPO PONTALETEAMENTO, COM PROFUNDIDADE DE 1,5 A 3,0 M, LARGURA MENOR QUE 1,5 M</t>
  </si>
  <si>
    <t>PREPARO DE FUNDO DE VALA COM LARGURA MAIOR OU IGUAL A 1,5 M E MENOR QUE 2,5 M, COM CAMADA DE AREIA, LANÇAMENTO MECANIZADO</t>
  </si>
  <si>
    <t>PREPARO DE FUNDO DE VALA</t>
  </si>
  <si>
    <t>LASTRO</t>
  </si>
  <si>
    <t>PREPARO DE FUNDO DE VALA COM LARGURA MENOR QUE 1,5 M</t>
  </si>
  <si>
    <t>TUBO DE PVC CORRUGADO RÍGIDO PERFURADO, DN 100 MM, PARA DRENO - FORNECIMENTO E ASSENTAMENTO</t>
  </si>
  <si>
    <t>N/I</t>
  </si>
  <si>
    <t>ESGOTAMENTO DE VALA COM BOMBA SUBMERSÍVEL</t>
  </si>
  <si>
    <t>ESGOTAMENTO</t>
  </si>
  <si>
    <t>ALÇA DE FERRO CA-60, DIÂMETRO 12,5 MM DE 0,15 X 0,20 M, PARA TAMPA DA CAIXA E VÁLVULA REDUTORA DE PRESSÃO</t>
  </si>
  <si>
    <t>ARMAÇÃO DE ESTRUTURAS DIVERSAS DE CONCRETO ARMADO, EXCETO VIGAS, PILARES, LAJES E FUNDAÇÕES, UTILIZANDO AÇO CA-50 DE 10,0 MM - MONTAGEM</t>
  </si>
  <si>
    <t>ARMAÇÃO DE ESTRUTURAS DIVERSAS DE CONCRETO ARMADO, EXCETO VIGAS, PILARES, LAJES E FUNDAÇÕES, UTILIZANDO AÇO CA-50 DE 20,0 MM - MONTAGEM</t>
  </si>
  <si>
    <t>ARMAÇÃO DE ESTRUTURAS DIVERSAS DE CONCRETO ARMADO, EXCETO VIGAS, PILARES, LAJES E FUNDAÇÕES, UTILIZANDO AÇO CA-50 DE 6,3 MM - MONTAGEM</t>
  </si>
  <si>
    <t>ARMAÇÃO DE ESTRUTURAS DIVERSAS DE CONCRETO ARMADO, EXCETO VIGAS, PILARES, LAJES E FUNDAÇÕES, UTILIZANDO AÇO CA-50 DE 8,0 MM - MONTAGEM</t>
  </si>
  <si>
    <t>ARMAÇÃO DE ESTRUTURAS DIVERSAS DE CONCRETO ARMADO, EXCETO VIGAS, PILARES, LAJES E FUNDAÇÕES, UTILIZANDO AÇO CA-60 DE 5,0 MM - MONTAGEM</t>
  </si>
  <si>
    <t xml:space="preserve">CAIXA D’ÁGUA </t>
  </si>
  <si>
    <t>CAIXA D’ÁGUA</t>
  </si>
  <si>
    <t>RESERVATÓRIO</t>
  </si>
  <si>
    <t>TAMPÃO FºFº (EXCLUSÕES NA DESCRIÇÃO OFICIAL)</t>
  </si>
  <si>
    <t>TAMPÃO FºFº</t>
  </si>
  <si>
    <t>EXECUÇÃO DE PISO DE CONCRETO, COM ACABAMENTO SUPERFICIAL, ESPESSURA DE 15 CM, FCK = 30 MPA, COM USO DE FORMAS EM MADEIRA SERRADA</t>
  </si>
  <si>
    <t>FORMA</t>
  </si>
  <si>
    <t>FORMAS</t>
  </si>
  <si>
    <t>LANÇAMENTO COM USO DE BOMBA, ADENSAMENTO E ACABAMENTO DE CONCRETO EM ESTRUTURAS</t>
  </si>
  <si>
    <t>LASTRO COM MATERIAL GRANULAR, APLICADO EM PISOS OU LAJES SOBRE SOLO, ESPESSURA DE *10 CM*</t>
  </si>
  <si>
    <t>CANTEIRO / CAIXAS / INTERLIGAÇÃO</t>
  </si>
  <si>
    <t>PEÇA CIRCULAR PRÉ-MOLDADA, VOLUME DE CONCRETO DE 10 A 30 LITROS, TAXA DE FIBRA DE POLIPROPILENO APROXIMADA DE 6 KG/M³._PS</t>
  </si>
  <si>
    <t>ASSENTAMENTO DE CONEXÃO PEAD — 2 ACESSOS — JUNTA SOLDADA (EXCLUSÕES NA DESCRIÇÃO OFICIAL)</t>
  </si>
  <si>
    <t>ASSENTAMENTO DE CONEXÃO</t>
  </si>
  <si>
    <t>JUNTA SOLDADA — MÉTODO NÃO INFORMADO</t>
  </si>
  <si>
    <t>ASSENTAMENTO DE CONEXÃO FºFº — 2 ACESSOS — JUNTA FLANGEADA (EXCLUSÕES NA DESCRIÇÃO OFICIAL)</t>
  </si>
  <si>
    <t>ASSENTAMENTO DE CONEXÃO PEAD — 3 ACESSOS — JUNTA SOLDADA (EXCLUSÕES NA DESCRIÇÃO OFICIAL)</t>
  </si>
  <si>
    <t>ASSENTAMENTO DE CONEXÃO FºFº — 3 ACESSOS — JUNTA FLANGEADA (EXCLUSÕES NA DESCRIÇÃO OFICIAL)</t>
  </si>
  <si>
    <t>ASSENTAMENTO DE TUBO FºFº — JUNTA FLANGEADA (EXCLUSÕES NA DESCRIÇÃO OFICIAL)</t>
  </si>
  <si>
    <t>ASSENTAMENTO DE TUBO</t>
  </si>
  <si>
    <t>ASSENTAMENTO DE TUBO PEAD — JUNTA SOLDADA (EXCLUSÕES NA DESCRIÇÃO OFICIAL)</t>
  </si>
  <si>
    <t>REDES / INTERLIGAÇÃO</t>
  </si>
  <si>
    <t>CANTEIRO / REDES / CAIXAS</t>
  </si>
  <si>
    <t>EXECUÇÃO DE JUNTA POR ELETROFUSÃO</t>
  </si>
  <si>
    <t>JUNTA SOLDADA</t>
  </si>
  <si>
    <t>SOLDAS</t>
  </si>
  <si>
    <t>EXECUÇÃO DE JUNTA POR TERMOFUSÃO</t>
  </si>
  <si>
    <t>ESPALHAMENTO DE MATERIAL COM TRATOR DE ESTEIRAS</t>
  </si>
  <si>
    <t>ESPALHAMENTO</t>
  </si>
  <si>
    <t>EXECUÇÃO DE IMPRIMAÇÃO COM ASFALTO DILUÍDO CM-30</t>
  </si>
  <si>
    <t>IMPRIMAÇÃO</t>
  </si>
  <si>
    <t>EXECUÇÃO DE PASSEIO OU PISO DE CONCRETO COM CONCRETO MOLDADO IN LOCO, FEITO EM OBRA, ACABAMENTO CONVENCIONAL, ESPESSURA 8 CM, ARMADO</t>
  </si>
  <si>
    <t>EXECUÇÃO DE PINTURA DE LIGAÇÃO COM EMULSÃO ASFÁLTICA RR-2C</t>
  </si>
  <si>
    <t>PINTURA DE LIGAÇÃO</t>
  </si>
  <si>
    <t>RECOMPOSIÇÃO DE REVESTIMENTO EM CONCRETO ASFÁLTICO, PARA O FECHAMENTO DE VALAS - INCLUSO DEMOLIÇÃO DO PAVIMENTO</t>
  </si>
  <si>
    <t>REGULARIZAÇÃO DE SUPERFÍCIES COM MOTONIVELADORA</t>
  </si>
  <si>
    <t>REGULARIZAÇÃO</t>
  </si>
  <si>
    <t>TERRAPLENAGEM</t>
  </si>
  <si>
    <t xml:space="preserve">HIDRÔMETRO </t>
  </si>
  <si>
    <t>HIDRÔMETRO CONCRETO</t>
  </si>
  <si>
    <t>CAIXA EM CONCRETO PRÉ-MOLDADO PARA ABRIGO DE HIDRÔMETRO COM DN 20 MM - FORNECIMENTO E INSTALAÇÃO</t>
  </si>
  <si>
    <t>KIT CAVALETE PARA MEDIÇÃO DE ÁGUA - ENTRADA INDIVIDUALIZADA, EM PVC 25 MM, PARA 1 MEDIDOR - FORNECIMENTO E INSTALAÇÃO</t>
  </si>
  <si>
    <t>ASSENTAMENTO DE TUBO PEAD</t>
  </si>
  <si>
    <t>LIGAÇÃO PREDIAL</t>
  </si>
  <si>
    <t>ATÉ 32 MM</t>
  </si>
  <si>
    <t>TELHAMENTO COM TELHA METÁLICA TERMOACÚSTICA E = 30 MM, COM ATÉ 2 ÁGUAS, INCLUSO IÇAMENTO</t>
  </si>
  <si>
    <t>TELHAMENTO</t>
  </si>
  <si>
    <t>TRAMA DE AÇO COMPOSTA POR TERÇAS PARA TELHADOS DE ATÉ 2 ÁGUAS PARA TELHA ONDULADA DE FIBROCIMENTO, METÁLICA, PLÁSTICA OU TERMOACÚSTICA, INCLUSO TRANSPORTE VERTI</t>
  </si>
  <si>
    <t>IMPERMEABILIZAÇÃO DE SUPERFÍCIE COM EMULSÃO ASFÁLTICA, 2 DEMÃOS</t>
  </si>
  <si>
    <t>IMPERMEABILIZAÇÃO</t>
  </si>
  <si>
    <t>FILTRO ANAERÓBIO CIRCULAR, EM CONCRETO PRÉ-MOLDADO, DIÂMETRO INTERNO = 1,88 M, ALTURA INTERNA = 1,50 M, VOLUME ÚTIL: 3331,1 L._PA</t>
  </si>
  <si>
    <t>SUMIDOURO CIRCULAR, EM CONCRETO PRÉ-MOLDADO, DIÂMETRO INTERNO = 2,88 M, ALTURA INTERNA = 3,0 M, ÁREA DE INFILTRAÇÃO: 31,4 M²._PA</t>
  </si>
  <si>
    <t>TUBO, PVC, SOLDÁVEL, DE 50MM, INSTALADO EM RAMAL DE DISTRIBUIÇÃO DE ÁGUA - FORNECIMENTO E INSTALAÇÃO</t>
  </si>
  <si>
    <t>ESTRUTURA DE CONCRETO ARMADO PARA APOIO E FIXAÇÃO DO PORTÃO METÁLICO DA CERCA DE CONCRETO, COMPOSTO POR 02 PILARES COM ALTURA DE 2,05M, FIXADOS NA VIGA SUPERIOR</t>
  </si>
  <si>
    <t xml:space="preserve">TUBO </t>
  </si>
  <si>
    <t>FORNECIMENTO E INSTALAÇÃO DE PLACA DE OBRA COM CHAPA GALVANIZADA E ESTRUTURA DE MADEIRA._PS</t>
  </si>
  <si>
    <t>LIMPEZA MECANIZADA DE CAMADA VEGETAL, VEGETAÇÃO E PEQUENAS ÁRVORES, COM TRATOR DE ESTEIRAS</t>
  </si>
  <si>
    <t>LIMPEZA</t>
  </si>
  <si>
    <t>PLACA DE SINALIZAÇÃO</t>
  </si>
  <si>
    <t>CAIXA D´ÁGUA EM POLIÉSTER REFORÇADO COM FIBRA DE VIDRO, 10000 LITROS - FORNECIMENTO E INSTALAÇÃO</t>
  </si>
  <si>
    <t>FIBRA DE VIDRO</t>
  </si>
  <si>
    <t>DESENVOLVIMENTO DE PLANO DE GERENCIAMENTO DE RESÍDUOS SÓLIDOS - TIPO 2, INCLUSIVE RELATÓRIO TÉCNICO</t>
  </si>
  <si>
    <t>PLANO DE RESÍDUOS</t>
  </si>
  <si>
    <t>TORNEIRA DE BOIA PARA CAIXA D'ÁGUA, ROSCÁVEL, 1 1/2" - FORNECIMENTO E INSTALAÇÃO</t>
  </si>
  <si>
    <t>PERFURAÇÃO HORIZONTAL DIRECIONAL E INSTALAÇÃO DE TUBULAÇÃO PEAD 110 MM, EM SOLO DE 1ª CATEGORIA</t>
  </si>
  <si>
    <t>MND</t>
  </si>
  <si>
    <t>PERFURAÇÃO HORIZONTAL DIRECIONAL E INSTALAÇÃO DE TUBULAÇÃO PEAD 160 MM, EM SOLO DE 1ª CATEGORIA</t>
  </si>
  <si>
    <t>PERFURAÇÃO HORIZONTAL DIRECIONAL E INSTALAÇÃO DE TUBULAÇÃO PEAD 225 MM, EM SOLO DE 1ª CATEGORIA</t>
  </si>
  <si>
    <t>PERFURAÇÃO HORIZONTAL DIRECIONAL E INSTALAÇÃO DE TUBULAÇÃO PEAD 250 MM, EM SOLO DE 1ª CATEGORIA</t>
  </si>
  <si>
    <t>PERFURAÇÃO HORIZONTAL DIRECIONAL E INSTALAÇÃO DE TUBULAÇÃO PEAD 280 MM, EM SOLO DE 1ª CATEGORIA</t>
  </si>
  <si>
    <t>PERFURAÇÃO HORIZONTAL DIRECIONAL E INSTALAÇÃO DE TUBULAÇÃO PEAD 315 MM, EM SOLO DE 1ª CATEGORIA</t>
  </si>
  <si>
    <t>PERFURAÇÃO HORIZONTAL DIRECIONAL E INSTALAÇÃO DE TUBULAÇÃO PEAD 63 MM, EM SOLO DE 1ª CATEGORIA</t>
  </si>
  <si>
    <t>CAMINHÃO PIPA 6.000 L, PESO BRUTO TOTAL 13.000 KG, DISTÂNCIA ENTRE EIXOS 4,80 M, POTÊNCIA 189 CV INCLUSIVE TANQUE DE AÇO PARA TRANSPORTE DE ÁGUA, CAPACIDADE 6 M</t>
  </si>
  <si>
    <t>GERADOR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</si>
</sst>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416]dd\-mmm\-yy;@"/>
    <numFmt numFmtId="165" formatCode="00000"/>
    <numFmt numFmtId="166" formatCode="###00;###00"/>
    <numFmt numFmtId="167" formatCode="_-* #,##0.00_-;\-* #,##0.00_-;_-* \-??_-;_-@_-"/>
    <numFmt numFmtId="168" formatCode="_-&quot;R$ &quot;* #,##0.00_-;&quot;-R$ &quot;* #,##0.00_-;_-&quot;R$ &quot;* \-??_-;_-@_-"/>
    <numFmt numFmtId="169" formatCode="###00000;###00000"/>
    <numFmt numFmtId="170" formatCode="###0000000000000;###0000000000000"/>
    <numFmt numFmtId="171" formatCode="#,##0.00;#,##0.00"/>
    <numFmt numFmtId="172" formatCode="_-* #,##0.00000000_-;\-* #,##0.00000000_-;_-* \-?????????_-;_-@_-"/>
    <numFmt numFmtId="173" formatCode="_-* #,##0.000000000_-;\-* #,##0.000000000_-;_-* \-?????????_-;_-@_-"/>
    <numFmt numFmtId="174" formatCode="0.00000000000%"/>
    <numFmt numFmtId="175" formatCode="_-* #,##0.000000000_-;\-* #,##0.000000000_-;_-* \-??_-;_-@_-"/>
    <numFmt numFmtId="176" formatCode="m/d/yyyy"/>
    <numFmt numFmtId="177" formatCode="00&quot; - MESES&quot;"/>
    <numFmt numFmtId="178" formatCode="00&quot; - DIAS&quot;"/>
    <numFmt numFmtId="179" formatCode="&quot;R$ &quot;#,##0.00"/>
    <numFmt numFmtId="180" formatCode="ge&quot;ral&quot;"/>
    <numFmt numFmtId="181" formatCode="[$-416]d\-mmm;@"/>
    <numFmt numFmtId="182" formatCode="0.000%"/>
    <numFmt numFmtId="183" formatCode="d\-mmm"/>
    <numFmt numFmtId="184" formatCode="mm/yyyy"/>
    <numFmt numFmtId="185" formatCode="[$-416]mmm\-yy;@"/>
    <numFmt numFmtId="186" formatCode="[$-416]mmmm\-yy;@"/>
    <numFmt numFmtId="187" formatCode="0.000"/>
    <numFmt numFmtId="188" formatCode="0.0000%"/>
    <numFmt numFmtId="189" formatCode="mmm\-yy"/>
    <numFmt numFmtId="190" formatCode="_-&quot;R$&quot;* #,##0.00_-;&quot;-R$&quot;* #,##0.00_-;_-&quot;R$&quot;* \-??_-;_-@_-"/>
    <numFmt numFmtId="191" formatCode="0.0000"/>
    <numFmt numFmtId="192" formatCode="0.000000"/>
    <numFmt numFmtId="193" formatCode="dd/mm/yy"/>
  </numFmts>
  <fonts count="59" x14ac:knownFonts="1">
    <font>
      <sz val="11"/>
      <color theme="1"/>
      <name val="Calibri"/>
      <family val="2"/>
      <charset val="1"/>
    </font>
    <font>
      <b/>
      <sz val="20"/>
      <color rgb="FFFF0000"/>
      <name val="Calibri"/>
      <family val="2"/>
      <charset val="1"/>
    </font>
    <font>
      <b/>
      <sz val="10"/>
      <color theme="1"/>
      <name val="Calibri"/>
      <family val="2"/>
      <charset val="1"/>
    </font>
    <font>
      <sz val="10"/>
      <color theme="1"/>
      <name val="Calibri"/>
      <family val="2"/>
      <charset val="1"/>
    </font>
    <font>
      <b/>
      <sz val="9"/>
      <name val="Calibri"/>
      <family val="2"/>
      <charset val="1"/>
    </font>
    <font>
      <b/>
      <sz val="14"/>
      <name val="Calibri"/>
      <family val="2"/>
      <charset val="1"/>
    </font>
    <font>
      <b/>
      <sz val="9"/>
      <color theme="1"/>
      <name val="Calibri"/>
      <family val="2"/>
      <charset val="1"/>
    </font>
    <font>
      <b/>
      <sz val="11"/>
      <color theme="1"/>
      <name val="Calibri"/>
      <family val="2"/>
      <charset val="1"/>
    </font>
    <font>
      <b/>
      <sz val="11"/>
      <color rgb="FFFF0000"/>
      <name val="Calibri"/>
      <family val="2"/>
      <charset val="1"/>
    </font>
    <font>
      <b/>
      <sz val="9"/>
      <color rgb="FFFF0000"/>
      <name val="Calibri"/>
      <family val="2"/>
      <charset val="1"/>
    </font>
    <font>
      <sz val="9"/>
      <color rgb="FF000000"/>
      <name val="Calibri"/>
      <family val="2"/>
      <charset val="1"/>
    </font>
    <font>
      <b/>
      <sz val="9"/>
      <color rgb="FF000000"/>
      <name val="Calibri"/>
      <family val="2"/>
      <charset val="1"/>
    </font>
    <font>
      <sz val="9"/>
      <name val="Calibri"/>
      <family val="2"/>
      <charset val="1"/>
    </font>
    <font>
      <b/>
      <sz val="22"/>
      <color rgb="FF000000"/>
      <name val="Calibri"/>
      <family val="2"/>
      <charset val="1"/>
    </font>
    <font>
      <b/>
      <sz val="10"/>
      <color rgb="FF000000"/>
      <name val="Calibri"/>
      <family val="2"/>
      <charset val="1"/>
    </font>
    <font>
      <b/>
      <sz val="10"/>
      <color rgb="FFFF0000"/>
      <name val="Calibri"/>
      <family val="2"/>
      <charset val="1"/>
    </font>
    <font>
      <b/>
      <sz val="10"/>
      <name val="Calibri"/>
      <family val="2"/>
      <charset val="1"/>
    </font>
    <font>
      <sz val="10"/>
      <name val="Arial"/>
      <family val="2"/>
    </font>
    <font>
      <b/>
      <sz val="18"/>
      <color rgb="FF000000"/>
      <name val="Calibri"/>
      <family val="2"/>
      <charset val="1"/>
    </font>
    <font>
      <b/>
      <sz val="26"/>
      <color rgb="FFFF0000"/>
      <name val="Calibri"/>
      <family val="2"/>
      <charset val="1"/>
    </font>
    <font>
      <b/>
      <sz val="8"/>
      <name val="Calibri"/>
      <family val="2"/>
      <charset val="1"/>
    </font>
    <font>
      <sz val="8"/>
      <color theme="1"/>
      <name val="Calibri"/>
      <family val="2"/>
      <charset val="1"/>
    </font>
    <font>
      <b/>
      <sz val="8"/>
      <color theme="1"/>
      <name val="Calibri"/>
      <family val="2"/>
      <charset val="1"/>
    </font>
    <font>
      <b/>
      <sz val="14"/>
      <color theme="1"/>
      <name val="Calibri"/>
      <family val="2"/>
      <charset val="1"/>
    </font>
    <font>
      <sz val="9"/>
      <color theme="1"/>
      <name val="Calibri"/>
      <family val="2"/>
      <charset val="1"/>
    </font>
    <font>
      <sz val="10"/>
      <color rgb="FF000000"/>
      <name val="Times New Roman"/>
      <family val="1"/>
      <charset val="1"/>
    </font>
    <font>
      <b/>
      <sz val="12"/>
      <name val="Calibri"/>
      <family val="2"/>
      <charset val="1"/>
    </font>
    <font>
      <sz val="12"/>
      <name val="Calibri"/>
      <family val="2"/>
      <charset val="1"/>
    </font>
    <font>
      <b/>
      <sz val="12"/>
      <color theme="1"/>
      <name val="Calibri"/>
      <family val="2"/>
      <charset val="1"/>
    </font>
    <font>
      <b/>
      <sz val="10"/>
      <color rgb="FF000000"/>
      <name val="Times New Roman"/>
      <family val="1"/>
      <charset val="1"/>
    </font>
    <font>
      <b/>
      <sz val="8"/>
      <color rgb="FFFF0000"/>
      <name val="Times New Roman"/>
      <family val="1"/>
      <charset val="1"/>
    </font>
    <font>
      <sz val="10"/>
      <color rgb="FFFF0000"/>
      <name val="Times New Roman"/>
      <family val="1"/>
      <charset val="1"/>
    </font>
    <font>
      <sz val="12"/>
      <color theme="1"/>
      <name val="Calibri"/>
      <family val="2"/>
      <charset val="1"/>
    </font>
    <font>
      <sz val="10"/>
      <name val="Calibri"/>
      <family val="2"/>
      <charset val="1"/>
    </font>
    <font>
      <b/>
      <sz val="12"/>
      <color rgb="FFFF0000"/>
      <name val="Calibri"/>
      <family val="2"/>
      <charset val="1"/>
    </font>
    <font>
      <sz val="12"/>
      <color rgb="FFFF0000"/>
      <name val="Calibri"/>
      <family val="2"/>
      <charset val="1"/>
    </font>
    <font>
      <sz val="10"/>
      <color rgb="FF000000"/>
      <name val="Calibri"/>
      <family val="2"/>
      <charset val="1"/>
    </font>
    <font>
      <b/>
      <sz val="12"/>
      <name val="Times New Roman"/>
      <family val="1"/>
      <charset val="1"/>
    </font>
    <font>
      <b/>
      <sz val="14"/>
      <color rgb="FFFF0000"/>
      <name val="Calibri"/>
      <family val="2"/>
      <charset val="1"/>
    </font>
    <font>
      <b/>
      <sz val="7"/>
      <name val="Calibri"/>
      <family val="2"/>
      <charset val="1"/>
    </font>
    <font>
      <b/>
      <sz val="7"/>
      <color theme="1"/>
      <name val="Calibri"/>
      <family val="2"/>
      <charset val="1"/>
    </font>
    <font>
      <sz val="10"/>
      <color theme="0"/>
      <name val="Times New Roman"/>
      <family val="1"/>
      <charset val="1"/>
    </font>
    <font>
      <sz val="9"/>
      <color theme="0"/>
      <name val="Times New Roman"/>
      <family val="1"/>
      <charset val="1"/>
    </font>
    <font>
      <b/>
      <sz val="16"/>
      <name val="Calibri"/>
    </font>
    <font>
      <sz val="12"/>
      <name val="Calibri"/>
    </font>
    <font>
      <sz val="12"/>
      <color rgb="FF0000FF"/>
      <name val="Calibri"/>
    </font>
    <font>
      <b/>
      <sz val="12"/>
      <color rgb="FF1F4E78"/>
      <name val="Calibri"/>
    </font>
    <font>
      <sz val="11"/>
      <color rgb="FF333333"/>
      <name val="Calibri"/>
    </font>
    <font>
      <sz val="10"/>
      <name val="Arial"/>
    </font>
    <font>
      <sz val="12"/>
      <color rgb="FF000000"/>
      <name val="Calibri"/>
    </font>
    <font>
      <b/>
      <sz val="12"/>
      <name val="Calibri"/>
    </font>
    <font>
      <b/>
      <sz val="10"/>
      <name val="Arial"/>
    </font>
    <font>
      <b/>
      <sz val="12"/>
      <color rgb="FF0000FF"/>
      <name val="Calibri"/>
    </font>
    <font>
      <b/>
      <sz val="11"/>
      <color rgb="FFFFFFFF"/>
      <name val="Calibri"/>
    </font>
    <font>
      <sz val="11"/>
      <color rgb="FF0000FF"/>
      <name val="Calibri"/>
    </font>
    <font>
      <sz val="11"/>
      <color rgb="FF000000"/>
      <name val="Calibri"/>
    </font>
    <font>
      <sz val="11"/>
      <color theme="1"/>
      <name val="Calibri"/>
    </font>
    <font>
      <b/>
      <sz val="16"/>
      <color rgb="FFFF0000"/>
      <name val="Calibri"/>
      <family val="2"/>
    </font>
    <font>
      <sz val="16"/>
      <color theme="1"/>
      <name val="Calibri"/>
      <family val="2"/>
    </font>
  </fonts>
  <fills count="21">
    <fill>
      <patternFill patternType="none"/>
    </fill>
    <fill>
      <patternFill patternType="gray125"/>
    </fill>
    <fill>
      <patternFill patternType="solid">
        <fgColor rgb="FFFFFFCC"/>
        <bgColor rgb="FFFFFFFF"/>
      </patternFill>
    </fill>
    <fill>
      <patternFill patternType="solid">
        <fgColor rgb="FF00B0F0"/>
        <bgColor rgb="FF33CCCC"/>
      </patternFill>
    </fill>
    <fill>
      <patternFill patternType="solid">
        <fgColor rgb="FFFFC000"/>
        <bgColor rgb="FFFF9900"/>
      </patternFill>
    </fill>
    <fill>
      <patternFill patternType="solid">
        <fgColor rgb="FF92D050"/>
        <bgColor rgb="FFC5E0B4"/>
      </patternFill>
    </fill>
    <fill>
      <patternFill patternType="solid">
        <fgColor theme="0" tint="-0.14999847407452621"/>
        <bgColor rgb="FFC5E0B4"/>
      </patternFill>
    </fill>
    <fill>
      <patternFill patternType="solid">
        <fgColor rgb="FFFFFF00"/>
        <bgColor rgb="FFFFFF00"/>
      </patternFill>
    </fill>
    <fill>
      <patternFill patternType="solid">
        <fgColor theme="5"/>
        <bgColor rgb="FFFF8080"/>
      </patternFill>
    </fill>
    <fill>
      <patternFill patternType="solid">
        <fgColor rgb="FFF9A1FB"/>
        <bgColor rgb="FFCC99FF"/>
      </patternFill>
    </fill>
    <fill>
      <patternFill patternType="solid">
        <fgColor rgb="FF66FFFF"/>
        <bgColor rgb="FF33CCCC"/>
      </patternFill>
    </fill>
    <fill>
      <patternFill patternType="solid">
        <fgColor theme="0"/>
        <bgColor rgb="FFF2F2F2"/>
      </patternFill>
    </fill>
    <fill>
      <patternFill patternType="solid">
        <fgColor rgb="FFF0F0F0"/>
        <bgColor rgb="FFF2F2F2"/>
      </patternFill>
    </fill>
    <fill>
      <patternFill patternType="solid">
        <fgColor theme="5" tint="0.79989013336588644"/>
        <bgColor rgb="FFF0F0F0"/>
      </patternFill>
    </fill>
    <fill>
      <patternFill patternType="solid">
        <fgColor theme="9" tint="0.59987182226020086"/>
        <bgColor rgb="FFD9D9D9"/>
      </patternFill>
    </fill>
    <fill>
      <patternFill patternType="solid">
        <fgColor theme="0" tint="-4.9989318521683403E-2"/>
        <bgColor rgb="FFF0F0F0"/>
      </patternFill>
    </fill>
    <fill>
      <patternFill patternType="solid">
        <fgColor rgb="FFFFFF00"/>
      </patternFill>
    </fill>
    <fill>
      <patternFill patternType="solid">
        <fgColor theme="0"/>
      </patternFill>
    </fill>
    <fill>
      <patternFill patternType="solid">
        <fgColor rgb="FFFFFF99"/>
      </patternFill>
    </fill>
    <fill>
      <patternFill patternType="solid">
        <fgColor rgb="FF1F4E78"/>
      </patternFill>
    </fill>
    <fill>
      <patternFill patternType="solid">
        <fgColor rgb="FFFFF2CC"/>
      </patternFill>
    </fill>
  </fills>
  <borders count="103">
    <border>
      <left/>
      <right/>
      <top/>
      <bottom/>
      <diagonal/>
    </border>
    <border>
      <left style="medium">
        <color auto="1"/>
      </left>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style="medium">
        <color auto="1"/>
      </left>
      <right/>
      <top/>
      <bottom/>
      <diagonal/>
    </border>
    <border>
      <left style="thin">
        <color auto="1"/>
      </left>
      <right/>
      <top style="thin">
        <color auto="1"/>
      </top>
      <bottom/>
      <diagonal/>
    </border>
    <border>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medium">
        <color auto="1"/>
      </left>
      <right/>
      <top style="thin">
        <color theme="1"/>
      </top>
      <bottom style="thin">
        <color theme="1"/>
      </bottom>
      <diagonal/>
    </border>
    <border>
      <left style="thin">
        <color auto="1"/>
      </left>
      <right style="medium">
        <color auto="1"/>
      </right>
      <top style="medium">
        <color auto="1"/>
      </top>
      <bottom style="thin">
        <color theme="1"/>
      </bottom>
      <diagonal/>
    </border>
    <border>
      <left style="medium">
        <color auto="1"/>
      </left>
      <right style="thin">
        <color auto="1"/>
      </right>
      <top style="medium">
        <color auto="1"/>
      </top>
      <bottom style="thin">
        <color theme="1"/>
      </bottom>
      <diagonal/>
    </border>
    <border>
      <left style="thin">
        <color theme="1"/>
      </left>
      <right style="medium">
        <color auto="1"/>
      </right>
      <top style="thin">
        <color theme="1"/>
      </top>
      <bottom style="thin">
        <color theme="1"/>
      </bottom>
      <diagonal/>
    </border>
    <border>
      <left style="medium">
        <color auto="1"/>
      </left>
      <right style="thin">
        <color theme="1"/>
      </right>
      <top style="hair">
        <color theme="1"/>
      </top>
      <bottom style="hair">
        <color theme="1"/>
      </bottom>
      <diagonal/>
    </border>
    <border>
      <left/>
      <right style="thin">
        <color theme="1"/>
      </right>
      <top/>
      <bottom style="hair">
        <color theme="1"/>
      </bottom>
      <diagonal/>
    </border>
    <border>
      <left style="thin">
        <color theme="1"/>
      </left>
      <right style="thin">
        <color theme="1"/>
      </right>
      <top/>
      <bottom style="hair">
        <color theme="1"/>
      </bottom>
      <diagonal/>
    </border>
    <border>
      <left style="thin">
        <color theme="1"/>
      </left>
      <right/>
      <top/>
      <bottom style="hair">
        <color theme="1"/>
      </bottom>
      <diagonal/>
    </border>
    <border>
      <left style="medium">
        <color auto="1"/>
      </left>
      <right/>
      <top/>
      <bottom style="hair">
        <color theme="1"/>
      </bottom>
      <diagonal/>
    </border>
    <border>
      <left style="thin">
        <color auto="1"/>
      </left>
      <right style="medium">
        <color auto="1"/>
      </right>
      <top/>
      <bottom style="hair">
        <color theme="1"/>
      </bottom>
      <diagonal/>
    </border>
    <border>
      <left/>
      <right style="thin">
        <color theme="1"/>
      </right>
      <top style="hair">
        <color theme="1"/>
      </top>
      <bottom style="hair">
        <color theme="1"/>
      </bottom>
      <diagonal/>
    </border>
    <border>
      <left style="thin">
        <color theme="1"/>
      </left>
      <right style="thin">
        <color theme="1"/>
      </right>
      <top style="hair">
        <color theme="1"/>
      </top>
      <bottom style="hair">
        <color theme="1"/>
      </bottom>
      <diagonal/>
    </border>
    <border>
      <left style="thin">
        <color theme="1"/>
      </left>
      <right/>
      <top style="hair">
        <color theme="1"/>
      </top>
      <bottom style="hair">
        <color theme="1"/>
      </bottom>
      <diagonal/>
    </border>
    <border>
      <left style="medium">
        <color auto="1"/>
      </left>
      <right/>
      <top style="hair">
        <color theme="1"/>
      </top>
      <bottom style="hair">
        <color theme="1"/>
      </bottom>
      <diagonal/>
    </border>
    <border>
      <left style="thin">
        <color auto="1"/>
      </left>
      <right style="medium">
        <color auto="1"/>
      </right>
      <top style="hair">
        <color theme="1"/>
      </top>
      <bottom style="hair">
        <color theme="1"/>
      </bottom>
      <diagonal/>
    </border>
    <border>
      <left style="medium">
        <color auto="1"/>
      </left>
      <right style="thin">
        <color theme="1"/>
      </right>
      <top style="medium">
        <color theme="1"/>
      </top>
      <bottom/>
      <diagonal/>
    </border>
    <border>
      <left style="thin">
        <color theme="1"/>
      </left>
      <right/>
      <top style="medium">
        <color theme="1"/>
      </top>
      <bottom style="hair">
        <color theme="1"/>
      </bottom>
      <diagonal/>
    </border>
    <border>
      <left/>
      <right/>
      <top style="medium">
        <color theme="1"/>
      </top>
      <bottom style="hair">
        <color theme="1"/>
      </bottom>
      <diagonal/>
    </border>
    <border>
      <left style="medium">
        <color auto="1"/>
      </left>
      <right style="medium">
        <color auto="1"/>
      </right>
      <top style="medium">
        <color theme="1"/>
      </top>
      <bottom style="hair">
        <color theme="1"/>
      </bottom>
      <diagonal/>
    </border>
    <border>
      <left style="thin">
        <color auto="1"/>
      </left>
      <right style="medium">
        <color auto="1"/>
      </right>
      <top style="medium">
        <color theme="1"/>
      </top>
      <bottom style="hair">
        <color theme="1"/>
      </bottom>
      <diagonal/>
    </border>
    <border>
      <left/>
      <right/>
      <top style="medium">
        <color theme="1"/>
      </top>
      <bottom/>
      <diagonal/>
    </border>
    <border>
      <left/>
      <right/>
      <top style="hair">
        <color theme="1"/>
      </top>
      <bottom style="hair">
        <color theme="1"/>
      </bottom>
      <diagonal/>
    </border>
    <border>
      <left style="medium">
        <color auto="1"/>
      </left>
      <right style="medium">
        <color auto="1"/>
      </right>
      <top style="hair">
        <color theme="1"/>
      </top>
      <bottom style="hair">
        <color theme="1"/>
      </bottom>
      <diagonal/>
    </border>
    <border>
      <left/>
      <right/>
      <top style="hair">
        <color theme="1"/>
      </top>
      <bottom/>
      <diagonal/>
    </border>
    <border>
      <left style="thin">
        <color theme="1"/>
      </left>
      <right/>
      <top style="hair">
        <color theme="1"/>
      </top>
      <bottom/>
      <diagonal/>
    </border>
    <border>
      <left style="medium">
        <color auto="1"/>
      </left>
      <right style="medium">
        <color auto="1"/>
      </right>
      <top style="hair">
        <color auto="1"/>
      </top>
      <bottom/>
      <diagonal/>
    </border>
    <border>
      <left style="thin">
        <color auto="1"/>
      </left>
      <right style="medium">
        <color auto="1"/>
      </right>
      <top style="hair">
        <color auto="1"/>
      </top>
      <bottom/>
      <diagonal/>
    </border>
    <border>
      <left style="medium">
        <color auto="1"/>
      </left>
      <right style="medium">
        <color auto="1"/>
      </right>
      <top style="thin">
        <color auto="1"/>
      </top>
      <bottom style="hair">
        <color theme="1"/>
      </bottom>
      <diagonal/>
    </border>
    <border>
      <left style="thin">
        <color theme="1"/>
      </left>
      <right/>
      <top style="hair">
        <color auto="1"/>
      </top>
      <bottom style="thin">
        <color auto="1"/>
      </bottom>
      <diagonal/>
    </border>
    <border>
      <left/>
      <right/>
      <top style="hair">
        <color auto="1"/>
      </top>
      <bottom style="thin">
        <color auto="1"/>
      </bottom>
      <diagonal/>
    </border>
    <border>
      <left style="medium">
        <color auto="1"/>
      </left>
      <right style="medium">
        <color auto="1"/>
      </right>
      <top style="hair">
        <color auto="1"/>
      </top>
      <bottom style="thin">
        <color auto="1"/>
      </bottom>
      <diagonal/>
    </border>
    <border>
      <left style="thin">
        <color auto="1"/>
      </left>
      <right style="medium">
        <color auto="1"/>
      </right>
      <top style="hair">
        <color auto="1"/>
      </top>
      <bottom style="thin">
        <color auto="1"/>
      </bottom>
      <diagonal/>
    </border>
    <border>
      <left style="medium">
        <color auto="1"/>
      </left>
      <right style="thin">
        <color theme="1"/>
      </right>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medium">
        <color theme="1"/>
      </bottom>
      <diagonal/>
    </border>
    <border>
      <left/>
      <right style="medium">
        <color auto="1"/>
      </right>
      <top/>
      <bottom/>
      <diagonal/>
    </border>
    <border>
      <left style="medium">
        <color auto="1"/>
      </left>
      <right/>
      <top style="medium">
        <color theme="1"/>
      </top>
      <bottom style="hair">
        <color auto="1"/>
      </bottom>
      <diagonal/>
    </border>
    <border>
      <left style="thin">
        <color theme="1"/>
      </left>
      <right style="thin">
        <color theme="1"/>
      </right>
      <top style="medium">
        <color theme="1"/>
      </top>
      <bottom style="hair">
        <color auto="1"/>
      </bottom>
      <diagonal/>
    </border>
    <border>
      <left style="medium">
        <color auto="1"/>
      </left>
      <right style="thin">
        <color theme="1"/>
      </right>
      <top/>
      <bottom/>
      <diagonal/>
    </border>
    <border>
      <left/>
      <right style="thin">
        <color theme="1"/>
      </right>
      <top/>
      <bottom/>
      <diagonal/>
    </border>
    <border>
      <left style="thin">
        <color theme="1"/>
      </left>
      <right style="thin">
        <color theme="1"/>
      </right>
      <top/>
      <bottom/>
      <diagonal/>
    </border>
    <border>
      <left style="thin">
        <color theme="1"/>
      </left>
      <right style="thin">
        <color theme="1"/>
      </right>
      <top style="thin">
        <color theme="1"/>
      </top>
      <bottom style="hair">
        <color auto="1"/>
      </bottom>
      <diagonal/>
    </border>
    <border>
      <left style="thin">
        <color auto="1"/>
      </left>
      <right style="medium">
        <color auto="1"/>
      </right>
      <top style="thin">
        <color theme="1"/>
      </top>
      <bottom style="hair">
        <color auto="1"/>
      </bottom>
      <diagonal/>
    </border>
    <border>
      <left style="medium">
        <color auto="1"/>
      </left>
      <right style="thin">
        <color auto="1"/>
      </right>
      <top style="thin">
        <color theme="1"/>
      </top>
      <bottom style="hair">
        <color auto="1"/>
      </bottom>
      <diagonal/>
    </border>
    <border>
      <left/>
      <right/>
      <top/>
      <bottom style="hair">
        <color auto="1"/>
      </bottom>
      <diagonal/>
    </border>
    <border>
      <left style="medium">
        <color auto="1"/>
      </left>
      <right style="thin">
        <color theme="1"/>
      </right>
      <top/>
      <bottom style="hair">
        <color theme="1"/>
      </bottom>
      <diagonal/>
    </border>
    <border>
      <left style="thin">
        <color auto="1"/>
      </left>
      <right style="medium">
        <color auto="1"/>
      </right>
      <top style="medium">
        <color theme="1"/>
      </top>
      <bottom/>
      <diagonal/>
    </border>
    <border>
      <left style="thin">
        <color auto="1"/>
      </left>
      <right style="thin">
        <color auto="1"/>
      </right>
      <top style="medium">
        <color auto="1"/>
      </top>
      <bottom style="thin">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bottom style="thin">
        <color auto="1"/>
      </bottom>
      <diagonal/>
    </border>
    <border>
      <left/>
      <right/>
      <top/>
      <bottom style="thin">
        <color auto="1"/>
      </bottom>
      <diagonal/>
    </border>
    <border>
      <left style="medium">
        <color auto="1"/>
      </left>
      <right style="medium">
        <color auto="1"/>
      </right>
      <top/>
      <bottom/>
      <diagonal/>
    </border>
    <border>
      <left/>
      <right style="thin">
        <color auto="1"/>
      </right>
      <top style="thin">
        <color auto="1"/>
      </top>
      <bottom/>
      <diagonal/>
    </border>
    <border>
      <left style="thin">
        <color auto="1"/>
      </left>
      <right style="thin">
        <color auto="1"/>
      </right>
      <top/>
      <bottom style="medium">
        <color auto="1"/>
      </bottom>
      <diagonal/>
    </border>
    <border>
      <left/>
      <right style="thin">
        <color auto="1"/>
      </right>
      <top/>
      <bottom style="medium">
        <color auto="1"/>
      </bottom>
      <diagonal/>
    </border>
    <border>
      <left style="thin">
        <color auto="1"/>
      </left>
      <right/>
      <top/>
      <bottom/>
      <diagonal/>
    </border>
    <border>
      <left style="thin">
        <color auto="1"/>
      </left>
      <right style="thin">
        <color auto="1"/>
      </right>
      <top style="medium">
        <color auto="1"/>
      </top>
      <bottom style="medium">
        <color auto="1"/>
      </bottom>
      <diagonal/>
    </border>
    <border>
      <left style="thin">
        <color theme="1"/>
      </left>
      <right style="thin">
        <color theme="1"/>
      </right>
      <top style="thin">
        <color theme="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medium">
        <color auto="1"/>
      </top>
      <bottom/>
      <diagonal/>
    </border>
    <border>
      <left style="thin">
        <color auto="1"/>
      </left>
      <right style="thin">
        <color auto="1"/>
      </right>
      <top style="hair">
        <color auto="1"/>
      </top>
      <bottom/>
      <diagonal/>
    </border>
    <border>
      <left/>
      <right style="thin">
        <color auto="1"/>
      </right>
      <top style="hair">
        <color auto="1"/>
      </top>
      <bottom/>
      <diagonal/>
    </border>
    <border>
      <left/>
      <right style="thin">
        <color auto="1"/>
      </right>
      <top style="thin">
        <color auto="1"/>
      </top>
      <bottom style="hair">
        <color auto="1"/>
      </bottom>
      <diagonal/>
    </border>
    <border>
      <left style="thin">
        <color auto="1"/>
      </left>
      <right style="thin">
        <color auto="1"/>
      </right>
      <top style="hair">
        <color auto="1"/>
      </top>
      <bottom style="medium">
        <color auto="1"/>
      </bottom>
      <diagonal/>
    </border>
    <border>
      <left/>
      <right/>
      <top style="hair">
        <color auto="1"/>
      </top>
      <bottom style="medium">
        <color auto="1"/>
      </bottom>
      <diagonal/>
    </border>
    <border>
      <left/>
      <right style="thin">
        <color auto="1"/>
      </right>
      <top style="medium">
        <color auto="1"/>
      </top>
      <bottom style="hair">
        <color auto="1"/>
      </bottom>
      <diagonal/>
    </border>
    <border>
      <left style="thin">
        <color auto="1"/>
      </left>
      <right/>
      <top style="medium">
        <color auto="1"/>
      </top>
      <bottom style="thin">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hair">
        <color auto="1"/>
      </bottom>
      <diagonal/>
    </border>
    <border>
      <left style="medium">
        <color auto="1"/>
      </left>
      <right style="thin">
        <color auto="1"/>
      </right>
      <top style="hair">
        <color auto="1"/>
      </top>
      <bottom style="medium">
        <color auto="1"/>
      </bottom>
      <diagonal/>
    </border>
    <border>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thin">
        <color auto="1"/>
      </right>
      <top style="hair">
        <color auto="1"/>
      </top>
      <bottom/>
      <diagonal/>
    </border>
    <border>
      <left/>
      <right style="medium">
        <color auto="1"/>
      </right>
      <top style="medium">
        <color auto="1"/>
      </top>
      <bottom style="hair">
        <color auto="1"/>
      </bottom>
      <diagonal/>
    </border>
    <border>
      <left/>
      <right style="medium">
        <color auto="1"/>
      </right>
      <top/>
      <bottom style="hair">
        <color auto="1"/>
      </bottom>
      <diagonal/>
    </border>
  </borders>
  <cellStyleXfs count="1">
    <xf numFmtId="0" fontId="0" fillId="0" borderId="0"/>
  </cellStyleXfs>
  <cellXfs count="517">
    <xf numFmtId="0" fontId="0" fillId="0" borderId="0" xfId="0"/>
    <xf numFmtId="0" fontId="2" fillId="0" borderId="2" xfId="0" applyFont="1" applyBorder="1" applyAlignment="1">
      <alignment horizontal="left" vertical="top" indent="1"/>
    </xf>
    <xf numFmtId="0" fontId="3" fillId="0" borderId="3" xfId="0" applyFont="1" applyBorder="1"/>
    <xf numFmtId="0" fontId="4" fillId="0" borderId="2" xfId="0" applyFont="1" applyBorder="1" applyAlignment="1">
      <alignment horizontal="left" vertical="center" indent="1"/>
    </xf>
    <xf numFmtId="0" fontId="5" fillId="0" borderId="3" xfId="0" applyFont="1" applyBorder="1" applyAlignment="1">
      <alignment vertical="center"/>
    </xf>
    <xf numFmtId="0" fontId="2" fillId="2" borderId="2" xfId="0" applyFont="1" applyFill="1" applyBorder="1" applyAlignment="1">
      <alignment horizontal="left" vertical="top" indent="1"/>
    </xf>
    <xf numFmtId="0" fontId="0" fillId="2" borderId="3" xfId="0" applyFill="1" applyBorder="1"/>
    <xf numFmtId="0" fontId="6" fillId="0" borderId="5" xfId="0" applyFont="1" applyBorder="1" applyAlignment="1">
      <alignment horizontal="right"/>
    </xf>
    <xf numFmtId="0" fontId="6" fillId="0" borderId="6" xfId="0" applyFont="1" applyBorder="1" applyAlignment="1">
      <alignment horizontal="left"/>
    </xf>
    <xf numFmtId="0" fontId="7" fillId="0" borderId="8" xfId="0" applyFont="1" applyBorder="1" applyAlignment="1">
      <alignment horizontal="left" indent="1"/>
    </xf>
    <xf numFmtId="0" fontId="7" fillId="0" borderId="0" xfId="0" applyFont="1" applyAlignment="1">
      <alignment horizontal="left" indent="1"/>
    </xf>
    <xf numFmtId="0" fontId="6" fillId="0" borderId="9" xfId="0" applyFont="1" applyBorder="1" applyAlignment="1">
      <alignment horizontal="left" indent="1"/>
    </xf>
    <xf numFmtId="0" fontId="6" fillId="0" borderId="10" xfId="0" applyFont="1" applyBorder="1" applyAlignment="1">
      <alignment vertical="center"/>
    </xf>
    <xf numFmtId="0" fontId="4" fillId="0" borderId="12" xfId="0" applyFont="1" applyBorder="1" applyAlignment="1">
      <alignment horizontal="left" vertical="center" indent="1"/>
    </xf>
    <xf numFmtId="0" fontId="4" fillId="0" borderId="13" xfId="0" applyFont="1" applyBorder="1" applyAlignment="1">
      <alignment vertical="center"/>
    </xf>
    <xf numFmtId="0" fontId="2" fillId="2" borderId="12" xfId="0" applyFont="1" applyFill="1" applyBorder="1" applyAlignment="1">
      <alignment horizontal="left" vertical="top" indent="1"/>
    </xf>
    <xf numFmtId="0" fontId="0" fillId="2" borderId="13" xfId="0" applyFill="1" applyBorder="1"/>
    <xf numFmtId="0" fontId="3" fillId="0" borderId="14" xfId="0" applyFont="1" applyBorder="1" applyAlignment="1">
      <alignment horizontal="left" indent="1"/>
    </xf>
    <xf numFmtId="0" fontId="3" fillId="0" borderId="15" xfId="0" applyFont="1" applyBorder="1" applyAlignment="1">
      <alignment horizontal="left" indent="1"/>
    </xf>
    <xf numFmtId="0" fontId="3" fillId="0" borderId="15" xfId="0" applyFont="1" applyBorder="1" applyAlignment="1">
      <alignment horizontal="left"/>
    </xf>
    <xf numFmtId="0" fontId="3" fillId="2" borderId="14" xfId="0" applyFont="1" applyFill="1" applyBorder="1" applyAlignment="1">
      <alignment horizontal="left" indent="1"/>
    </xf>
    <xf numFmtId="0" fontId="0" fillId="2" borderId="18" xfId="0" applyFill="1" applyBorder="1" applyAlignment="1">
      <alignment horizontal="left"/>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4" borderId="20" xfId="0" applyFont="1" applyFill="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2" borderId="25"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4" fillId="4" borderId="25" xfId="0" applyFont="1" applyFill="1" applyBorder="1" applyAlignment="1">
      <alignment horizontal="center" vertical="center" wrapText="1"/>
    </xf>
    <xf numFmtId="0" fontId="4" fillId="5" borderId="26" xfId="0" applyFont="1" applyFill="1" applyBorder="1" applyAlignment="1">
      <alignment horizontal="center" vertical="center" wrapText="1"/>
    </xf>
    <xf numFmtId="0" fontId="9" fillId="2" borderId="27" xfId="0" applyFont="1" applyFill="1" applyBorder="1" applyAlignment="1">
      <alignment horizontal="left" indent="1"/>
    </xf>
    <xf numFmtId="165" fontId="9" fillId="2" borderId="29" xfId="0" applyNumberFormat="1" applyFont="1" applyFill="1" applyBorder="1" applyAlignment="1">
      <alignment horizontal="left" wrapText="1" indent="1"/>
    </xf>
    <xf numFmtId="166" fontId="9" fillId="2" borderId="29" xfId="0" applyNumberFormat="1" applyFont="1" applyFill="1" applyBorder="1" applyAlignment="1">
      <alignment horizontal="center" wrapText="1"/>
    </xf>
    <xf numFmtId="0" fontId="9" fillId="2" borderId="29" xfId="0" applyFont="1" applyFill="1" applyBorder="1" applyAlignment="1">
      <alignment horizontal="left" wrapText="1" indent="1"/>
    </xf>
    <xf numFmtId="0" fontId="9" fillId="2" borderId="30" xfId="0" applyFont="1" applyFill="1" applyBorder="1" applyAlignment="1">
      <alignment horizontal="center" wrapText="1"/>
    </xf>
    <xf numFmtId="167" fontId="9" fillId="2" borderId="30" xfId="0" applyNumberFormat="1" applyFont="1" applyFill="1" applyBorder="1" applyAlignment="1">
      <alignment wrapText="1"/>
    </xf>
    <xf numFmtId="168" fontId="9" fillId="2" borderId="31" xfId="0" applyNumberFormat="1" applyFont="1" applyFill="1" applyBorder="1" applyAlignment="1">
      <alignment wrapText="1"/>
    </xf>
    <xf numFmtId="168" fontId="9" fillId="2" borderId="32" xfId="0" applyNumberFormat="1" applyFont="1" applyFill="1" applyBorder="1" applyAlignment="1">
      <alignment wrapText="1"/>
    </xf>
    <xf numFmtId="10" fontId="9" fillId="2" borderId="30" xfId="0" applyNumberFormat="1" applyFont="1" applyFill="1" applyBorder="1" applyAlignment="1">
      <alignment wrapText="1"/>
    </xf>
    <xf numFmtId="10" fontId="9" fillId="2" borderId="32" xfId="0" applyNumberFormat="1" applyFont="1" applyFill="1" applyBorder="1" applyAlignment="1">
      <alignment wrapText="1"/>
    </xf>
    <xf numFmtId="168" fontId="10" fillId="0" borderId="0" xfId="0" applyNumberFormat="1" applyFont="1" applyAlignment="1">
      <alignment horizontal="left" vertical="top"/>
    </xf>
    <xf numFmtId="0" fontId="11" fillId="6" borderId="27" xfId="0" applyFont="1" applyFill="1" applyBorder="1" applyAlignment="1">
      <alignment horizontal="left" indent="1"/>
    </xf>
    <xf numFmtId="165" fontId="11" fillId="6" borderId="34" xfId="0" applyNumberFormat="1" applyFont="1" applyFill="1" applyBorder="1" applyAlignment="1">
      <alignment horizontal="left" wrapText="1" indent="1"/>
    </xf>
    <xf numFmtId="169" fontId="11" fillId="6" borderId="34" xfId="0" applyNumberFormat="1" applyFont="1" applyFill="1" applyBorder="1" applyAlignment="1">
      <alignment horizontal="center" wrapText="1"/>
    </xf>
    <xf numFmtId="0" fontId="4" fillId="6" borderId="34" xfId="0" applyFont="1" applyFill="1" applyBorder="1" applyAlignment="1">
      <alignment horizontal="left" wrapText="1" indent="1"/>
    </xf>
    <xf numFmtId="0" fontId="4" fillId="6" borderId="35" xfId="0" applyFont="1" applyFill="1" applyBorder="1" applyAlignment="1">
      <alignment horizontal="center" wrapText="1"/>
    </xf>
    <xf numFmtId="167" fontId="4" fillId="6" borderId="35" xfId="0" applyNumberFormat="1" applyFont="1" applyFill="1" applyBorder="1" applyAlignment="1">
      <alignment wrapText="1"/>
    </xf>
    <xf numFmtId="168" fontId="4" fillId="6" borderId="36" xfId="0" applyNumberFormat="1" applyFont="1" applyFill="1" applyBorder="1" applyAlignment="1">
      <alignment wrapText="1"/>
    </xf>
    <xf numFmtId="168" fontId="11" fillId="6" borderId="37" xfId="0" applyNumberFormat="1" applyFont="1" applyFill="1" applyBorder="1" applyAlignment="1">
      <alignment wrapText="1"/>
    </xf>
    <xf numFmtId="10" fontId="4" fillId="6" borderId="35" xfId="0" applyNumberFormat="1" applyFont="1" applyFill="1" applyBorder="1" applyAlignment="1">
      <alignment wrapText="1"/>
    </xf>
    <xf numFmtId="10" fontId="11" fillId="6" borderId="37" xfId="0" applyNumberFormat="1" applyFont="1" applyFill="1" applyBorder="1" applyAlignment="1">
      <alignment wrapText="1"/>
    </xf>
    <xf numFmtId="0" fontId="10" fillId="0" borderId="27" xfId="0" applyFont="1" applyBorder="1" applyAlignment="1">
      <alignment horizontal="left" indent="1"/>
    </xf>
    <xf numFmtId="49" fontId="10" fillId="0" borderId="34" xfId="0" applyNumberFormat="1" applyFont="1" applyBorder="1" applyAlignment="1">
      <alignment horizontal="left" wrapText="1" indent="1"/>
    </xf>
    <xf numFmtId="170" fontId="10" fillId="0" borderId="34" xfId="0" applyNumberFormat="1" applyFont="1" applyBorder="1" applyAlignment="1">
      <alignment horizontal="center" wrapText="1"/>
    </xf>
    <xf numFmtId="0" fontId="12" fillId="0" borderId="34" xfId="0" applyFont="1" applyBorder="1" applyAlignment="1">
      <alignment horizontal="left" wrapText="1" indent="1"/>
    </xf>
    <xf numFmtId="0" fontId="12" fillId="0" borderId="35" xfId="0" applyFont="1" applyBorder="1" applyAlignment="1">
      <alignment horizontal="center" wrapText="1"/>
    </xf>
    <xf numFmtId="167" fontId="10" fillId="0" borderId="35" xfId="0" applyNumberFormat="1" applyFont="1" applyBorder="1" applyAlignment="1">
      <alignment wrapText="1"/>
    </xf>
    <xf numFmtId="168" fontId="10" fillId="0" borderId="36" xfId="0" applyNumberFormat="1" applyFont="1" applyBorder="1" applyAlignment="1">
      <alignment horizontal="right" wrapText="1"/>
    </xf>
    <xf numFmtId="168" fontId="10" fillId="0" borderId="37" xfId="0" applyNumberFormat="1" applyFont="1" applyBorder="1" applyAlignment="1">
      <alignment wrapText="1"/>
    </xf>
    <xf numFmtId="10" fontId="10" fillId="0" borderId="35" xfId="0" applyNumberFormat="1" applyFont="1" applyBorder="1" applyAlignment="1">
      <alignment wrapText="1"/>
    </xf>
    <xf numFmtId="10" fontId="10" fillId="0" borderId="37" xfId="0" applyNumberFormat="1" applyFont="1" applyBorder="1" applyAlignment="1">
      <alignment wrapText="1"/>
    </xf>
    <xf numFmtId="171" fontId="14" fillId="0" borderId="39" xfId="0" applyNumberFormat="1" applyFont="1" applyBorder="1" applyAlignment="1">
      <alignment horizontal="left" wrapText="1" indent="1"/>
    </xf>
    <xf numFmtId="171" fontId="14" fillId="0" borderId="40" xfId="0" applyNumberFormat="1" applyFont="1" applyBorder="1" applyAlignment="1">
      <alignment horizontal="center" wrapText="1"/>
    </xf>
    <xf numFmtId="168" fontId="14" fillId="0" borderId="2" xfId="0" applyNumberFormat="1" applyFont="1" applyBorder="1" applyAlignment="1">
      <alignment wrapText="1"/>
    </xf>
    <xf numFmtId="168" fontId="14" fillId="0" borderId="43" xfId="0" applyNumberFormat="1" applyFont="1" applyBorder="1" applyAlignment="1">
      <alignment wrapText="1"/>
    </xf>
    <xf numFmtId="168" fontId="10" fillId="0" borderId="0" xfId="0" applyNumberFormat="1" applyFont="1" applyAlignment="1">
      <alignment horizontal="left"/>
    </xf>
    <xf numFmtId="171" fontId="14" fillId="0" borderId="35" xfId="0" applyNumberFormat="1" applyFont="1" applyBorder="1" applyAlignment="1">
      <alignment horizontal="left" wrapText="1" indent="1"/>
    </xf>
    <xf numFmtId="171" fontId="14" fillId="0" borderId="44" xfId="0" applyNumberFormat="1" applyFont="1" applyBorder="1" applyAlignment="1">
      <alignment horizontal="center" wrapText="1"/>
    </xf>
    <xf numFmtId="168" fontId="14" fillId="0" borderId="8" xfId="0" applyNumberFormat="1" applyFont="1" applyBorder="1" applyAlignment="1">
      <alignment wrapText="1"/>
    </xf>
    <xf numFmtId="168" fontId="14" fillId="0" borderId="0" xfId="0" applyNumberFormat="1" applyFont="1" applyAlignment="1">
      <alignment wrapText="1"/>
    </xf>
    <xf numFmtId="171" fontId="15" fillId="0" borderId="35" xfId="0" applyNumberFormat="1" applyFont="1" applyBorder="1" applyAlignment="1">
      <alignment horizontal="left" wrapText="1" indent="1"/>
    </xf>
    <xf numFmtId="171" fontId="15" fillId="0" borderId="44" xfId="0" applyNumberFormat="1" applyFont="1" applyBorder="1" applyAlignment="1">
      <alignment horizontal="center" wrapText="1"/>
    </xf>
    <xf numFmtId="168" fontId="15" fillId="0" borderId="8" xfId="0" applyNumberFormat="1" applyFont="1" applyBorder="1" applyAlignment="1">
      <alignment wrapText="1"/>
    </xf>
    <xf numFmtId="168" fontId="15" fillId="0" borderId="0" xfId="0" applyNumberFormat="1" applyFont="1" applyAlignment="1">
      <alignment wrapText="1"/>
    </xf>
    <xf numFmtId="10" fontId="14" fillId="0" borderId="44" xfId="0" applyNumberFormat="1" applyFont="1" applyBorder="1" applyAlignment="1">
      <alignment horizontal="center" wrapText="1"/>
    </xf>
    <xf numFmtId="10" fontId="15" fillId="0" borderId="46" xfId="0" applyNumberFormat="1" applyFont="1" applyBorder="1" applyAlignment="1">
      <alignment horizontal="center" wrapText="1"/>
    </xf>
    <xf numFmtId="171" fontId="14" fillId="0" borderId="47" xfId="0" applyNumberFormat="1" applyFont="1" applyBorder="1" applyAlignment="1">
      <alignment horizontal="left" wrapText="1" indent="1"/>
    </xf>
    <xf numFmtId="10" fontId="14" fillId="0" borderId="46" xfId="0" applyNumberFormat="1" applyFont="1" applyBorder="1" applyAlignment="1">
      <alignment horizontal="center" wrapText="1"/>
    </xf>
    <xf numFmtId="171" fontId="15" fillId="0" borderId="47" xfId="0" applyNumberFormat="1" applyFont="1" applyBorder="1" applyAlignment="1">
      <alignment horizontal="left" wrapText="1" indent="1"/>
    </xf>
    <xf numFmtId="168" fontId="15" fillId="0" borderId="0" xfId="0" applyNumberFormat="1" applyFont="1" applyAlignment="1">
      <alignment horizontal="left"/>
    </xf>
    <xf numFmtId="0" fontId="16" fillId="2" borderId="47" xfId="0" applyFont="1" applyFill="1" applyBorder="1" applyAlignment="1">
      <alignment horizontal="left" wrapText="1" indent="1"/>
    </xf>
    <xf numFmtId="171" fontId="14" fillId="2" borderId="46" xfId="0" applyNumberFormat="1" applyFont="1" applyFill="1" applyBorder="1" applyAlignment="1">
      <alignment horizontal="center" wrapText="1"/>
    </xf>
    <xf numFmtId="10" fontId="14" fillId="0" borderId="8" xfId="0" applyNumberFormat="1" applyFont="1" applyBorder="1" applyAlignment="1">
      <alignment wrapText="1"/>
    </xf>
    <xf numFmtId="10" fontId="14" fillId="0" borderId="0" xfId="0" applyNumberFormat="1" applyFont="1" applyAlignment="1">
      <alignment wrapText="1"/>
    </xf>
    <xf numFmtId="171" fontId="14" fillId="0" borderId="9" xfId="0" applyNumberFormat="1" applyFont="1" applyBorder="1" applyAlignment="1">
      <alignment horizontal="left" wrapText="1" indent="1"/>
    </xf>
    <xf numFmtId="10" fontId="14" fillId="0" borderId="10" xfId="0" applyNumberFormat="1" applyFont="1" applyBorder="1" applyAlignment="1">
      <alignment horizontal="center" wrapText="1"/>
    </xf>
    <xf numFmtId="0" fontId="16" fillId="2" borderId="51" xfId="0" applyFont="1" applyFill="1" applyBorder="1" applyAlignment="1">
      <alignment horizontal="left" wrapText="1" indent="1"/>
    </xf>
    <xf numFmtId="171" fontId="14" fillId="2" borderId="52" xfId="0" applyNumberFormat="1" applyFont="1" applyFill="1" applyBorder="1" applyAlignment="1">
      <alignment horizontal="center" wrapText="1"/>
    </xf>
    <xf numFmtId="171" fontId="15" fillId="2" borderId="16" xfId="0" applyNumberFormat="1" applyFont="1" applyFill="1" applyBorder="1" applyAlignment="1">
      <alignment horizontal="left" wrapText="1" indent="1"/>
    </xf>
    <xf numFmtId="10" fontId="15" fillId="2" borderId="15" xfId="0" applyNumberFormat="1" applyFont="1" applyFill="1" applyBorder="1" applyAlignment="1">
      <alignment horizontal="center" wrapText="1"/>
    </xf>
    <xf numFmtId="0" fontId="18" fillId="0" borderId="3" xfId="0" applyFont="1" applyBorder="1" applyAlignment="1">
      <alignment horizontal="center" vertical="center"/>
    </xf>
    <xf numFmtId="0" fontId="0" fillId="0" borderId="3" xfId="0" applyBorder="1"/>
    <xf numFmtId="0" fontId="18" fillId="0" borderId="58" xfId="0" applyFont="1" applyBorder="1" applyAlignment="1">
      <alignment horizontal="center" vertical="center"/>
    </xf>
    <xf numFmtId="0" fontId="11" fillId="7" borderId="59" xfId="0" applyFont="1" applyFill="1" applyBorder="1" applyAlignment="1">
      <alignment horizontal="center" vertical="center" wrapText="1"/>
    </xf>
    <xf numFmtId="0" fontId="11" fillId="7" borderId="60" xfId="0" applyFont="1" applyFill="1" applyBorder="1" applyAlignment="1">
      <alignment horizontal="center" vertical="center" wrapText="1"/>
    </xf>
    <xf numFmtId="0" fontId="11" fillId="7" borderId="40" xfId="0" applyFont="1" applyFill="1" applyBorder="1" applyAlignment="1">
      <alignment horizontal="center" vertical="center" wrapText="1"/>
    </xf>
    <xf numFmtId="0" fontId="11" fillId="7" borderId="42" xfId="0" applyFont="1" applyFill="1" applyBorder="1" applyAlignment="1">
      <alignment horizontal="center" vertical="center" wrapText="1"/>
    </xf>
    <xf numFmtId="10" fontId="4" fillId="0" borderId="0" xfId="0" applyNumberFormat="1" applyFont="1" applyAlignment="1">
      <alignment horizontal="left"/>
    </xf>
    <xf numFmtId="0" fontId="4" fillId="5" borderId="36" xfId="0" applyFont="1" applyFill="1" applyBorder="1" applyAlignment="1">
      <alignment horizontal="left" indent="1"/>
    </xf>
    <xf numFmtId="0" fontId="4" fillId="5" borderId="34" xfId="0" applyFont="1" applyFill="1" applyBorder="1" applyAlignment="1">
      <alignment horizontal="left" indent="1"/>
    </xf>
    <xf numFmtId="0" fontId="4" fillId="5" borderId="44" xfId="0" applyFont="1" applyFill="1" applyBorder="1" applyAlignment="1">
      <alignment horizontal="left" indent="1"/>
    </xf>
    <xf numFmtId="0" fontId="4" fillId="5" borderId="37" xfId="0" applyFont="1" applyFill="1" applyBorder="1" applyAlignment="1">
      <alignment horizontal="left" indent="1"/>
    </xf>
    <xf numFmtId="0" fontId="4" fillId="5" borderId="61" xfId="0" applyFont="1" applyFill="1" applyBorder="1" applyAlignment="1">
      <alignment horizontal="left" vertical="center" wrapText="1" indent="1"/>
    </xf>
    <xf numFmtId="0" fontId="4" fillId="5" borderId="62" xfId="0" applyFont="1" applyFill="1" applyBorder="1" applyAlignment="1">
      <alignment horizontal="center" wrapText="1"/>
    </xf>
    <xf numFmtId="0" fontId="4" fillId="5" borderId="63" xfId="0" applyFont="1" applyFill="1" applyBorder="1" applyAlignment="1">
      <alignment horizontal="left" vertical="center" wrapText="1" indent="1"/>
    </xf>
    <xf numFmtId="0" fontId="4" fillId="5" borderId="63" xfId="0" applyFont="1" applyFill="1" applyBorder="1" applyAlignment="1">
      <alignment horizontal="center" vertical="center" wrapText="1"/>
    </xf>
    <xf numFmtId="0" fontId="4" fillId="5" borderId="64" xfId="0" applyFont="1" applyFill="1" applyBorder="1" applyAlignment="1">
      <alignment horizontal="left" indent="1"/>
    </xf>
    <xf numFmtId="0" fontId="4" fillId="5" borderId="0" xfId="0" applyFont="1" applyFill="1" applyAlignment="1">
      <alignment horizontal="center" vertical="center" wrapText="1"/>
    </xf>
    <xf numFmtId="167" fontId="4" fillId="5" borderId="65" xfId="0" applyNumberFormat="1" applyFont="1" applyFill="1" applyBorder="1" applyAlignment="1">
      <alignment horizontal="center" vertical="center" wrapText="1"/>
    </xf>
    <xf numFmtId="0" fontId="4" fillId="5" borderId="8" xfId="0" applyFont="1" applyFill="1" applyBorder="1" applyAlignment="1">
      <alignment horizontal="center" vertical="center" wrapText="1"/>
    </xf>
    <xf numFmtId="168" fontId="4" fillId="5" borderId="65" xfId="0" applyNumberFormat="1" applyFont="1" applyFill="1" applyBorder="1" applyAlignment="1">
      <alignment horizontal="center" vertical="center" wrapText="1"/>
    </xf>
    <xf numFmtId="0" fontId="4" fillId="5" borderId="66" xfId="0" applyFont="1" applyFill="1" applyBorder="1" applyAlignment="1">
      <alignment horizontal="center" vertical="center" wrapText="1"/>
    </xf>
    <xf numFmtId="0" fontId="9" fillId="2" borderId="36" xfId="0" applyFont="1" applyFill="1" applyBorder="1" applyAlignment="1">
      <alignment horizontal="left" indent="1"/>
    </xf>
    <xf numFmtId="0" fontId="9" fillId="2" borderId="34" xfId="0" applyFont="1" applyFill="1" applyBorder="1" applyAlignment="1">
      <alignment horizontal="left" indent="1"/>
    </xf>
    <xf numFmtId="0" fontId="9" fillId="2" borderId="44" xfId="0" applyFont="1" applyFill="1" applyBorder="1" applyAlignment="1">
      <alignment horizontal="left" indent="1"/>
    </xf>
    <xf numFmtId="0" fontId="9" fillId="2" borderId="37" xfId="0" applyFont="1" applyFill="1" applyBorder="1" applyAlignment="1">
      <alignment horizontal="left" indent="1"/>
    </xf>
    <xf numFmtId="165" fontId="9" fillId="2" borderId="34" xfId="0" applyNumberFormat="1" applyFont="1" applyFill="1" applyBorder="1" applyAlignment="1">
      <alignment horizontal="left" wrapText="1" indent="1"/>
    </xf>
    <xf numFmtId="166" fontId="9" fillId="2" borderId="34" xfId="0" applyNumberFormat="1" applyFont="1" applyFill="1" applyBorder="1" applyAlignment="1">
      <alignment horizontal="center" wrapText="1"/>
    </xf>
    <xf numFmtId="0" fontId="9" fillId="2" borderId="34" xfId="0" applyFont="1" applyFill="1" applyBorder="1" applyAlignment="1">
      <alignment horizontal="left" wrapText="1" indent="1"/>
    </xf>
    <xf numFmtId="0" fontId="9" fillId="2" borderId="35" xfId="0" applyFont="1" applyFill="1" applyBorder="1" applyAlignment="1">
      <alignment horizontal="center" wrapText="1"/>
    </xf>
    <xf numFmtId="167" fontId="9" fillId="2" borderId="35" xfId="0" applyNumberFormat="1" applyFont="1" applyFill="1" applyBorder="1" applyAlignment="1">
      <alignment wrapText="1"/>
    </xf>
    <xf numFmtId="168" fontId="9" fillId="2" borderId="36" xfId="0" applyNumberFormat="1" applyFont="1" applyFill="1" applyBorder="1" applyAlignment="1">
      <alignment wrapText="1"/>
    </xf>
    <xf numFmtId="168" fontId="9" fillId="2" borderId="37" xfId="0" applyNumberFormat="1" applyFont="1" applyFill="1" applyBorder="1" applyAlignment="1">
      <alignment wrapText="1"/>
    </xf>
    <xf numFmtId="0" fontId="10" fillId="6" borderId="31" xfId="0" applyFont="1" applyFill="1" applyBorder="1" applyAlignment="1">
      <alignment horizontal="left" indent="1"/>
    </xf>
    <xf numFmtId="0" fontId="10" fillId="6" borderId="29" xfId="0" applyFont="1" applyFill="1" applyBorder="1" applyAlignment="1">
      <alignment horizontal="left" indent="1"/>
    </xf>
    <xf numFmtId="0" fontId="10" fillId="6" borderId="67" xfId="0" applyFont="1" applyFill="1" applyBorder="1" applyAlignment="1">
      <alignment horizontal="left" indent="1"/>
    </xf>
    <xf numFmtId="0" fontId="10" fillId="6" borderId="37" xfId="0" applyFont="1" applyFill="1" applyBorder="1" applyAlignment="1">
      <alignment horizontal="left" indent="1"/>
    </xf>
    <xf numFmtId="0" fontId="11" fillId="6" borderId="68" xfId="0" applyFont="1" applyFill="1" applyBorder="1" applyAlignment="1">
      <alignment horizontal="left" indent="1"/>
    </xf>
    <xf numFmtId="165" fontId="11" fillId="6" borderId="29" xfId="0" applyNumberFormat="1" applyFont="1" applyFill="1" applyBorder="1" applyAlignment="1">
      <alignment horizontal="left" wrapText="1" indent="1"/>
    </xf>
    <xf numFmtId="169" fontId="11" fillId="6" borderId="29" xfId="0" applyNumberFormat="1" applyFont="1" applyFill="1" applyBorder="1" applyAlignment="1">
      <alignment horizontal="center" wrapText="1"/>
    </xf>
    <xf numFmtId="0" fontId="4" fillId="6" borderId="29" xfId="0" applyFont="1" applyFill="1" applyBorder="1" applyAlignment="1">
      <alignment horizontal="left" wrapText="1" indent="1"/>
    </xf>
    <xf numFmtId="0" fontId="4" fillId="6" borderId="30" xfId="0" applyFont="1" applyFill="1" applyBorder="1" applyAlignment="1">
      <alignment horizontal="center" wrapText="1"/>
    </xf>
    <xf numFmtId="167" fontId="4" fillId="6" borderId="30" xfId="0" applyNumberFormat="1" applyFont="1" applyFill="1" applyBorder="1" applyAlignment="1">
      <alignment wrapText="1"/>
    </xf>
    <xf numFmtId="168" fontId="4" fillId="6" borderId="31" xfId="0" applyNumberFormat="1" applyFont="1" applyFill="1" applyBorder="1" applyAlignment="1">
      <alignment wrapText="1"/>
    </xf>
    <xf numFmtId="168" fontId="11" fillId="6" borderId="32" xfId="0" applyNumberFormat="1" applyFont="1" applyFill="1" applyBorder="1" applyAlignment="1">
      <alignment wrapText="1"/>
    </xf>
    <xf numFmtId="0" fontId="10" fillId="0" borderId="36" xfId="0" applyFont="1" applyBorder="1" applyAlignment="1">
      <alignment horizontal="left" indent="1"/>
    </xf>
    <xf numFmtId="0" fontId="10" fillId="0" borderId="34" xfId="0" applyFont="1" applyBorder="1" applyAlignment="1">
      <alignment horizontal="left" indent="1"/>
    </xf>
    <xf numFmtId="0" fontId="10" fillId="0" borderId="44" xfId="0" applyFont="1" applyBorder="1" applyAlignment="1">
      <alignment horizontal="left" indent="1"/>
    </xf>
    <xf numFmtId="0" fontId="10" fillId="0" borderId="37" xfId="0" applyFont="1" applyBorder="1" applyAlignment="1">
      <alignment horizontal="left" indent="1"/>
    </xf>
    <xf numFmtId="0" fontId="10" fillId="0" borderId="0" xfId="0" applyFont="1" applyAlignment="1">
      <alignment horizontal="left" vertical="top"/>
    </xf>
    <xf numFmtId="0" fontId="2" fillId="0" borderId="71" xfId="0" applyFont="1" applyBorder="1" applyAlignment="1">
      <alignment horizontal="left" vertical="top" indent="1"/>
    </xf>
    <xf numFmtId="0" fontId="3" fillId="0" borderId="43" xfId="0" applyFont="1" applyBorder="1"/>
    <xf numFmtId="0" fontId="3" fillId="0" borderId="72" xfId="0" applyFont="1" applyBorder="1"/>
    <xf numFmtId="0" fontId="2" fillId="0" borderId="43" xfId="0" applyFont="1" applyBorder="1" applyAlignment="1">
      <alignment horizontal="left" vertical="top" indent="1"/>
    </xf>
    <xf numFmtId="0" fontId="2" fillId="0" borderId="4" xfId="0" applyFont="1" applyBorder="1" applyAlignment="1">
      <alignment vertical="center" wrapText="1"/>
    </xf>
    <xf numFmtId="0" fontId="2" fillId="0" borderId="75" xfId="0" applyFont="1" applyBorder="1" applyAlignment="1">
      <alignment vertical="center" wrapText="1"/>
    </xf>
    <xf numFmtId="0" fontId="2" fillId="0" borderId="12" xfId="0" applyFont="1" applyBorder="1"/>
    <xf numFmtId="0" fontId="3" fillId="0" borderId="10" xfId="0" applyFont="1" applyBorder="1"/>
    <xf numFmtId="0" fontId="3" fillId="0" borderId="10" xfId="0" applyFont="1" applyBorder="1" applyAlignment="1">
      <alignment horizontal="center"/>
    </xf>
    <xf numFmtId="167" fontId="3" fillId="0" borderId="10" xfId="0" applyNumberFormat="1" applyFont="1" applyBorder="1"/>
    <xf numFmtId="0" fontId="2" fillId="0" borderId="10" xfId="0" applyFont="1" applyBorder="1" applyAlignment="1">
      <alignment vertical="center"/>
    </xf>
    <xf numFmtId="0" fontId="2" fillId="0" borderId="9" xfId="0" applyFont="1" applyBorder="1" applyAlignment="1">
      <alignment horizontal="left" vertical="center" indent="1"/>
    </xf>
    <xf numFmtId="0" fontId="2" fillId="0" borderId="76" xfId="0" applyFont="1" applyBorder="1" applyAlignment="1">
      <alignment vertical="center"/>
    </xf>
    <xf numFmtId="0" fontId="2" fillId="2" borderId="10" xfId="0" applyFont="1" applyFill="1" applyBorder="1" applyAlignment="1">
      <alignment horizontal="left" vertical="center" indent="1"/>
    </xf>
    <xf numFmtId="0" fontId="2" fillId="2" borderId="10" xfId="0" applyFont="1" applyFill="1" applyBorder="1" applyAlignment="1">
      <alignment vertical="center"/>
    </xf>
    <xf numFmtId="0" fontId="3" fillId="0" borderId="15" xfId="0" applyFont="1" applyBorder="1"/>
    <xf numFmtId="0" fontId="3" fillId="0" borderId="15" xfId="0" applyFont="1" applyBorder="1" applyAlignment="1">
      <alignment horizontal="center"/>
    </xf>
    <xf numFmtId="167" fontId="3" fillId="0" borderId="15" xfId="0" applyNumberFormat="1" applyFont="1" applyBorder="1"/>
    <xf numFmtId="0" fontId="2" fillId="0" borderId="15" xfId="0" applyFont="1" applyBorder="1" applyAlignment="1">
      <alignment vertical="center"/>
    </xf>
    <xf numFmtId="0" fontId="20" fillId="8" borderId="2" xfId="0" applyFont="1" applyFill="1" applyBorder="1" applyAlignment="1">
      <alignment horizontal="center" vertical="center" wrapText="1"/>
    </xf>
    <xf numFmtId="0" fontId="20" fillId="8" borderId="43" xfId="0" applyFont="1" applyFill="1" applyBorder="1" applyAlignment="1">
      <alignment horizontal="center" vertical="center"/>
    </xf>
    <xf numFmtId="0" fontId="20" fillId="8" borderId="43" xfId="0" applyFont="1" applyFill="1" applyBorder="1" applyAlignment="1">
      <alignment horizontal="left" vertical="center"/>
    </xf>
    <xf numFmtId="0" fontId="20" fillId="8" borderId="3" xfId="0" applyFont="1" applyFill="1" applyBorder="1" applyAlignment="1">
      <alignment horizontal="center" vertical="center"/>
    </xf>
    <xf numFmtId="0" fontId="20" fillId="8" borderId="4" xfId="0" applyFont="1" applyFill="1" applyBorder="1" applyAlignment="1">
      <alignment horizontal="center" vertical="center"/>
    </xf>
    <xf numFmtId="0" fontId="21" fillId="0" borderId="8" xfId="0" applyFont="1" applyBorder="1"/>
    <xf numFmtId="0" fontId="21" fillId="0" borderId="0" xfId="0" applyFont="1"/>
    <xf numFmtId="0" fontId="21" fillId="0" borderId="58" xfId="0" applyFont="1" applyBorder="1"/>
    <xf numFmtId="0" fontId="21" fillId="0" borderId="75" xfId="0" applyFont="1" applyBorder="1"/>
    <xf numFmtId="0" fontId="22" fillId="2" borderId="8" xfId="0" applyFont="1" applyFill="1" applyBorder="1" applyAlignment="1">
      <alignment vertical="center"/>
    </xf>
    <xf numFmtId="0" fontId="23" fillId="9" borderId="0" xfId="0" applyFont="1" applyFill="1" applyAlignment="1">
      <alignment horizontal="left" vertical="center"/>
    </xf>
    <xf numFmtId="165" fontId="22" fillId="2" borderId="0" xfId="0" applyNumberFormat="1" applyFont="1" applyFill="1" applyAlignment="1">
      <alignment horizontal="left" vertical="center"/>
    </xf>
    <xf numFmtId="0" fontId="22" fillId="2" borderId="0" xfId="0" applyFont="1" applyFill="1" applyAlignment="1">
      <alignment vertical="center"/>
    </xf>
    <xf numFmtId="165" fontId="22" fillId="2" borderId="0" xfId="0" applyNumberFormat="1" applyFont="1" applyFill="1" applyAlignment="1">
      <alignment horizontal="center" vertical="center"/>
    </xf>
    <xf numFmtId="172" fontId="22" fillId="2" borderId="58" xfId="0" applyNumberFormat="1" applyFont="1" applyFill="1" applyBorder="1" applyAlignment="1">
      <alignment vertical="center"/>
    </xf>
    <xf numFmtId="0" fontId="21" fillId="2" borderId="75" xfId="0" applyFont="1" applyFill="1" applyBorder="1"/>
    <xf numFmtId="0" fontId="22" fillId="10" borderId="75" xfId="0" applyFont="1" applyFill="1" applyBorder="1" applyAlignment="1">
      <alignment horizontal="center" vertical="center"/>
    </xf>
    <xf numFmtId="0" fontId="22" fillId="11" borderId="8" xfId="0" applyFont="1" applyFill="1" applyBorder="1" applyAlignment="1">
      <alignment horizontal="right" vertical="center" textRotation="90"/>
    </xf>
    <xf numFmtId="0" fontId="22" fillId="11" borderId="0" xfId="0" applyFont="1" applyFill="1"/>
    <xf numFmtId="173" fontId="22" fillId="11" borderId="58" xfId="0" applyNumberFormat="1" applyFont="1" applyFill="1" applyBorder="1"/>
    <xf numFmtId="0" fontId="2" fillId="2" borderId="8" xfId="0" applyFont="1" applyFill="1" applyBorder="1" applyAlignment="1">
      <alignment horizontal="center" vertical="center" textRotation="90"/>
    </xf>
    <xf numFmtId="0" fontId="2" fillId="2" borderId="0" xfId="0" applyFont="1" applyFill="1"/>
    <xf numFmtId="173" fontId="2" fillId="2" borderId="58" xfId="0" applyNumberFormat="1" applyFont="1" applyFill="1" applyBorder="1"/>
    <xf numFmtId="0" fontId="3" fillId="2" borderId="75" xfId="0" applyFont="1" applyFill="1" applyBorder="1"/>
    <xf numFmtId="0" fontId="2" fillId="2" borderId="8" xfId="0" applyFont="1" applyFill="1" applyBorder="1" applyAlignment="1">
      <alignment wrapText="1"/>
    </xf>
    <xf numFmtId="0" fontId="2" fillId="2" borderId="0" xfId="0" applyFont="1" applyFill="1" applyAlignment="1">
      <alignment horizontal="center"/>
    </xf>
    <xf numFmtId="0" fontId="2" fillId="2" borderId="0" xfId="0" applyFont="1" applyFill="1" applyAlignment="1">
      <alignment horizontal="right"/>
    </xf>
    <xf numFmtId="173" fontId="2" fillId="2" borderId="58" xfId="0" applyNumberFormat="1" applyFont="1" applyFill="1" applyBorder="1" applyAlignment="1">
      <alignment horizontal="center"/>
    </xf>
    <xf numFmtId="0" fontId="2" fillId="2" borderId="75" xfId="0" applyFont="1" applyFill="1" applyBorder="1"/>
    <xf numFmtId="0" fontId="0" fillId="0" borderId="0" xfId="0" applyAlignment="1">
      <alignment horizontal="center"/>
    </xf>
    <xf numFmtId="0" fontId="21" fillId="0" borderId="8" xfId="0" applyFont="1" applyBorder="1" applyAlignment="1">
      <alignment horizontal="left" indent="1"/>
    </xf>
    <xf numFmtId="0" fontId="21" fillId="0" borderId="0" xfId="0" applyFont="1" applyAlignment="1">
      <alignment horizontal="right"/>
    </xf>
    <xf numFmtId="167" fontId="21" fillId="0" borderId="0" xfId="0" applyNumberFormat="1" applyFont="1"/>
    <xf numFmtId="167" fontId="21" fillId="0" borderId="0" xfId="0" applyNumberFormat="1" applyFont="1" applyAlignment="1">
      <alignment horizontal="center"/>
    </xf>
    <xf numFmtId="0" fontId="21" fillId="0" borderId="0" xfId="0" applyFont="1" applyAlignment="1">
      <alignment horizontal="center"/>
    </xf>
    <xf numFmtId="2" fontId="21" fillId="0" borderId="0" xfId="0" applyNumberFormat="1" applyFont="1"/>
    <xf numFmtId="167" fontId="21" fillId="0" borderId="0" xfId="0" applyNumberFormat="1" applyFont="1" applyAlignment="1">
      <alignment horizontal="center" vertical="center"/>
    </xf>
    <xf numFmtId="0" fontId="21" fillId="0" borderId="0" xfId="0" applyFont="1" applyAlignment="1">
      <alignment horizontal="center" vertical="center"/>
    </xf>
    <xf numFmtId="173" fontId="21" fillId="0" borderId="58" xfId="0" applyNumberFormat="1" applyFont="1" applyBorder="1" applyAlignment="1">
      <alignment horizontal="center" vertical="center"/>
    </xf>
    <xf numFmtId="49" fontId="21" fillId="0" borderId="0" xfId="0" applyNumberFormat="1" applyFont="1" applyAlignment="1">
      <alignment horizontal="center"/>
    </xf>
    <xf numFmtId="0" fontId="21" fillId="0" borderId="14" xfId="0" applyFont="1" applyBorder="1"/>
    <xf numFmtId="0" fontId="21" fillId="0" borderId="15" xfId="0" applyFont="1" applyBorder="1"/>
    <xf numFmtId="167" fontId="21" fillId="0" borderId="15" xfId="0" applyNumberFormat="1" applyFont="1" applyBorder="1" applyAlignment="1">
      <alignment horizontal="center"/>
    </xf>
    <xf numFmtId="0" fontId="21" fillId="0" borderId="18" xfId="0" applyFont="1" applyBorder="1"/>
    <xf numFmtId="0" fontId="2" fillId="2" borderId="0" xfId="0" applyFont="1" applyFill="1" applyAlignment="1">
      <alignment horizontal="left"/>
    </xf>
    <xf numFmtId="168" fontId="21" fillId="0" borderId="0" xfId="0" applyNumberFormat="1" applyFont="1"/>
    <xf numFmtId="174" fontId="21" fillId="0" borderId="0" xfId="0" applyNumberFormat="1" applyFont="1" applyAlignment="1">
      <alignment horizontal="center" vertical="center"/>
    </xf>
    <xf numFmtId="175" fontId="21" fillId="0" borderId="0" xfId="0" applyNumberFormat="1" applyFont="1" applyAlignment="1">
      <alignment horizontal="center" vertical="center"/>
    </xf>
    <xf numFmtId="0" fontId="25" fillId="0" borderId="43" xfId="0" applyFont="1" applyBorder="1" applyAlignment="1">
      <alignment horizontal="left" vertical="top" indent="2"/>
    </xf>
    <xf numFmtId="0" fontId="25" fillId="0" borderId="72" xfId="0" applyFont="1" applyBorder="1" applyAlignment="1">
      <alignment horizontal="left" vertical="top" indent="2"/>
    </xf>
    <xf numFmtId="0" fontId="20" fillId="0" borderId="43" xfId="0" applyFont="1" applyBorder="1" applyAlignment="1">
      <alignment horizontal="left" vertical="center" indent="1"/>
    </xf>
    <xf numFmtId="0" fontId="20" fillId="0" borderId="71" xfId="0" applyFont="1" applyBorder="1" applyAlignment="1">
      <alignment horizontal="left" vertical="center" indent="1"/>
    </xf>
    <xf numFmtId="0" fontId="20" fillId="0" borderId="43" xfId="0" applyFont="1" applyBorder="1" applyAlignment="1">
      <alignment horizontal="left" vertical="center" indent="2"/>
    </xf>
    <xf numFmtId="0" fontId="25" fillId="12" borderId="71" xfId="0" applyFont="1" applyFill="1" applyBorder="1" applyAlignment="1">
      <alignment vertical="top"/>
    </xf>
    <xf numFmtId="0" fontId="25" fillId="12" borderId="43" xfId="0" applyFont="1" applyFill="1" applyBorder="1" applyAlignment="1">
      <alignment vertical="top"/>
    </xf>
    <xf numFmtId="0" fontId="25" fillId="12" borderId="72" xfId="0" applyFont="1" applyFill="1" applyBorder="1" applyAlignment="1">
      <alignment vertical="top"/>
    </xf>
    <xf numFmtId="0" fontId="26" fillId="0" borderId="0" xfId="0" applyFont="1" applyAlignment="1">
      <alignment horizontal="left" vertical="center" wrapText="1" indent="2"/>
    </xf>
    <xf numFmtId="0" fontId="26" fillId="0" borderId="62" xfId="0" applyFont="1" applyBorder="1" applyAlignment="1">
      <alignment horizontal="left" vertical="center" wrapText="1" indent="2"/>
    </xf>
    <xf numFmtId="0" fontId="25" fillId="12" borderId="79" xfId="0" applyFont="1" applyFill="1" applyBorder="1" applyAlignment="1">
      <alignment vertical="top"/>
    </xf>
    <xf numFmtId="0" fontId="25" fillId="12" borderId="0" xfId="0" applyFont="1" applyFill="1" applyAlignment="1">
      <alignment vertical="top"/>
    </xf>
    <xf numFmtId="0" fontId="25" fillId="12" borderId="62" xfId="0" applyFont="1" applyFill="1" applyBorder="1" applyAlignment="1">
      <alignment vertical="top"/>
    </xf>
    <xf numFmtId="0" fontId="26" fillId="0" borderId="15" xfId="0" applyFont="1" applyBorder="1" applyAlignment="1">
      <alignment horizontal="left" vertical="center" wrapText="1" indent="2"/>
    </xf>
    <xf numFmtId="0" fontId="26" fillId="0" borderId="78" xfId="0" applyFont="1" applyBorder="1" applyAlignment="1">
      <alignment horizontal="left" vertical="center" wrapText="1" indent="2"/>
    </xf>
    <xf numFmtId="0" fontId="25" fillId="12" borderId="16" xfId="0" applyFont="1" applyFill="1" applyBorder="1" applyAlignment="1">
      <alignment vertical="top"/>
    </xf>
    <xf numFmtId="0" fontId="25" fillId="12" borderId="15" xfId="0" applyFont="1" applyFill="1" applyBorder="1" applyAlignment="1">
      <alignment vertical="top"/>
    </xf>
    <xf numFmtId="0" fontId="25" fillId="12" borderId="78" xfId="0" applyFont="1" applyFill="1" applyBorder="1" applyAlignment="1">
      <alignment vertical="top"/>
    </xf>
    <xf numFmtId="0" fontId="28" fillId="0" borderId="43" xfId="0" applyFont="1" applyBorder="1" applyAlignment="1">
      <alignment horizontal="left" vertical="center" indent="1"/>
    </xf>
    <xf numFmtId="0" fontId="28" fillId="0" borderId="43" xfId="0" applyFont="1" applyBorder="1" applyAlignment="1">
      <alignment vertical="center"/>
    </xf>
    <xf numFmtId="0" fontId="28" fillId="0" borderId="72" xfId="0" applyFont="1" applyBorder="1" applyAlignment="1">
      <alignment vertical="center"/>
    </xf>
    <xf numFmtId="0" fontId="16" fillId="2" borderId="76" xfId="0" applyFont="1" applyFill="1" applyBorder="1" applyAlignment="1">
      <alignment horizontal="center" vertical="center"/>
    </xf>
    <xf numFmtId="0" fontId="16" fillId="0" borderId="81" xfId="0" applyFont="1" applyBorder="1" applyAlignment="1">
      <alignment horizontal="center" vertical="center"/>
    </xf>
    <xf numFmtId="0" fontId="29" fillId="0" borderId="0" xfId="0" applyFont="1" applyAlignment="1">
      <alignment horizontal="left" vertical="top"/>
    </xf>
    <xf numFmtId="0" fontId="12" fillId="2" borderId="62" xfId="0" applyFont="1" applyFill="1" applyBorder="1" applyAlignment="1">
      <alignment horizontal="center" vertical="center"/>
    </xf>
    <xf numFmtId="0" fontId="12" fillId="0" borderId="63" xfId="0" applyFont="1" applyBorder="1" applyAlignment="1">
      <alignment horizontal="center" vertical="center"/>
    </xf>
    <xf numFmtId="177" fontId="28" fillId="0" borderId="0" xfId="0" applyNumberFormat="1" applyFont="1" applyAlignment="1">
      <alignment horizontal="center" vertical="center"/>
    </xf>
    <xf numFmtId="0" fontId="29" fillId="0" borderId="0" xfId="0" applyFont="1" applyAlignment="1">
      <alignment horizontal="center" vertical="center"/>
    </xf>
    <xf numFmtId="178" fontId="16" fillId="2" borderId="78" xfId="0" applyNumberFormat="1" applyFont="1" applyFill="1" applyBorder="1" applyAlignment="1">
      <alignment horizontal="center" vertical="center"/>
    </xf>
    <xf numFmtId="178" fontId="16" fillId="0" borderId="77" xfId="0" applyNumberFormat="1" applyFont="1" applyBorder="1" applyAlignment="1">
      <alignment horizontal="center" vertical="center"/>
    </xf>
    <xf numFmtId="178" fontId="28" fillId="0" borderId="0" xfId="0" applyNumberFormat="1" applyFont="1" applyAlignment="1">
      <alignment horizontal="center" vertical="center"/>
    </xf>
    <xf numFmtId="0" fontId="30" fillId="2" borderId="21" xfId="0" applyFont="1" applyFill="1" applyBorder="1" applyAlignment="1">
      <alignment horizontal="center" vertical="center"/>
    </xf>
    <xf numFmtId="0" fontId="31" fillId="2" borderId="21" xfId="0" applyFont="1" applyFill="1" applyBorder="1" applyAlignment="1">
      <alignment horizontal="left" vertical="top"/>
    </xf>
    <xf numFmtId="3" fontId="26" fillId="0" borderId="79" xfId="0" applyNumberFormat="1" applyFont="1" applyBorder="1" applyAlignment="1">
      <alignment horizontal="left" vertical="center" wrapText="1" indent="1"/>
    </xf>
    <xf numFmtId="0" fontId="32" fillId="0" borderId="0" xfId="0" applyFont="1" applyAlignment="1">
      <alignment horizontal="left" vertical="center" indent="1"/>
    </xf>
    <xf numFmtId="168" fontId="32" fillId="0" borderId="0" xfId="0" applyNumberFormat="1" applyFont="1" applyAlignment="1">
      <alignment horizontal="center" vertical="center"/>
    </xf>
    <xf numFmtId="179" fontId="32" fillId="0" borderId="0" xfId="0" applyNumberFormat="1" applyFont="1" applyAlignment="1">
      <alignment horizontal="center" vertical="center"/>
    </xf>
    <xf numFmtId="0" fontId="25" fillId="0" borderId="0" xfId="0" applyFont="1" applyAlignment="1">
      <alignment horizontal="center" vertical="top"/>
    </xf>
    <xf numFmtId="0" fontId="25" fillId="0" borderId="62" xfId="0" applyFont="1" applyBorder="1" applyAlignment="1">
      <alignment horizontal="center" vertical="top"/>
    </xf>
    <xf numFmtId="179" fontId="27" fillId="10" borderId="83" xfId="0" applyNumberFormat="1" applyFont="1" applyFill="1" applyBorder="1" applyAlignment="1">
      <alignment horizontal="right" vertical="center" indent="1"/>
    </xf>
    <xf numFmtId="168" fontId="16" fillId="10" borderId="64" xfId="0" applyNumberFormat="1" applyFont="1" applyFill="1" applyBorder="1" applyAlignment="1">
      <alignment horizontal="center"/>
    </xf>
    <xf numFmtId="168" fontId="33" fillId="10" borderId="64" xfId="0" applyNumberFormat="1" applyFont="1" applyFill="1" applyBorder="1" applyAlignment="1">
      <alignment horizontal="center"/>
    </xf>
    <xf numFmtId="179" fontId="27" fillId="13" borderId="44" xfId="0" applyNumberFormat="1" applyFont="1" applyFill="1" applyBorder="1" applyAlignment="1">
      <alignment horizontal="right" vertical="center" indent="1"/>
    </xf>
    <xf numFmtId="168" fontId="16" fillId="13" borderId="34" xfId="0" applyNumberFormat="1" applyFont="1" applyFill="1" applyBorder="1" applyAlignment="1">
      <alignment horizontal="center"/>
    </xf>
    <xf numFmtId="0" fontId="16" fillId="13" borderId="34" xfId="0" applyFont="1" applyFill="1" applyBorder="1" applyAlignment="1">
      <alignment horizontal="center"/>
    </xf>
    <xf numFmtId="168" fontId="33" fillId="13" borderId="84" xfId="0" applyNumberFormat="1" applyFont="1" applyFill="1" applyBorder="1" applyAlignment="1">
      <alignment horizontal="center"/>
    </xf>
    <xf numFmtId="0" fontId="33" fillId="0" borderId="33" xfId="0" applyFont="1" applyBorder="1" applyAlignment="1">
      <alignment horizontal="center"/>
    </xf>
    <xf numFmtId="0" fontId="16" fillId="0" borderId="34" xfId="0" applyFont="1" applyBorder="1" applyAlignment="1">
      <alignment horizontal="center"/>
    </xf>
    <xf numFmtId="179" fontId="27" fillId="10" borderId="44" xfId="0" applyNumberFormat="1" applyFont="1" applyFill="1" applyBorder="1" applyAlignment="1">
      <alignment horizontal="right" vertical="center" indent="1"/>
    </xf>
    <xf numFmtId="10" fontId="16" fillId="10" borderId="34" xfId="0" applyNumberFormat="1" applyFont="1" applyFill="1" applyBorder="1" applyAlignment="1">
      <alignment horizontal="center"/>
    </xf>
    <xf numFmtId="10" fontId="33" fillId="10" borderId="64" xfId="0" applyNumberFormat="1" applyFont="1" applyFill="1" applyBorder="1" applyAlignment="1">
      <alignment horizontal="center"/>
    </xf>
    <xf numFmtId="179" fontId="27" fillId="13" borderId="52" xfId="0" applyNumberFormat="1" applyFont="1" applyFill="1" applyBorder="1" applyAlignment="1">
      <alignment horizontal="right" vertical="center" indent="1"/>
    </xf>
    <xf numFmtId="10" fontId="16" fillId="13" borderId="84" xfId="0" applyNumberFormat="1" applyFont="1" applyFill="1" applyBorder="1" applyAlignment="1">
      <alignment horizontal="center"/>
    </xf>
    <xf numFmtId="10" fontId="33" fillId="13" borderId="84" xfId="0" applyNumberFormat="1" applyFont="1" applyFill="1" applyBorder="1" applyAlignment="1">
      <alignment horizontal="center"/>
    </xf>
    <xf numFmtId="3" fontId="28" fillId="0" borderId="63" xfId="0" applyNumberFormat="1" applyFont="1" applyBorder="1" applyAlignment="1">
      <alignment horizontal="left" vertical="center" wrapText="1" indent="1"/>
    </xf>
    <xf numFmtId="0" fontId="28" fillId="0" borderId="63" xfId="0" applyFont="1" applyBorder="1" applyAlignment="1">
      <alignment horizontal="left" vertical="center" indent="1"/>
    </xf>
    <xf numFmtId="168" fontId="28" fillId="0" borderId="79" xfId="0" applyNumberFormat="1" applyFont="1" applyBorder="1" applyAlignment="1">
      <alignment horizontal="center" vertical="center"/>
    </xf>
    <xf numFmtId="168" fontId="28" fillId="0" borderId="63" xfId="0" applyNumberFormat="1" applyFont="1" applyBorder="1" applyAlignment="1">
      <alignment horizontal="center" vertical="center"/>
    </xf>
    <xf numFmtId="179" fontId="28" fillId="0" borderId="0" xfId="0" applyNumberFormat="1" applyFont="1" applyAlignment="1">
      <alignment horizontal="center" vertical="center"/>
    </xf>
    <xf numFmtId="4" fontId="3" fillId="0" borderId="63" xfId="0" applyNumberFormat="1" applyFont="1" applyBorder="1" applyAlignment="1">
      <alignment horizontal="center"/>
    </xf>
    <xf numFmtId="4" fontId="3" fillId="0" borderId="62" xfId="0" applyNumberFormat="1" applyFont="1" applyBorder="1" applyAlignment="1">
      <alignment horizontal="center"/>
    </xf>
    <xf numFmtId="168" fontId="33" fillId="13" borderId="34" xfId="0" applyNumberFormat="1" applyFont="1" applyFill="1" applyBorder="1" applyAlignment="1">
      <alignment horizontal="center"/>
    </xf>
    <xf numFmtId="0" fontId="33" fillId="0" borderId="34" xfId="0" applyFont="1" applyBorder="1" applyAlignment="1">
      <alignment horizontal="center"/>
    </xf>
    <xf numFmtId="0" fontId="25" fillId="0" borderId="0" xfId="0" applyFont="1" applyAlignment="1">
      <alignment horizontal="left" vertical="top"/>
    </xf>
    <xf numFmtId="10" fontId="33" fillId="10" borderId="34" xfId="0" applyNumberFormat="1" applyFont="1" applyFill="1" applyBorder="1" applyAlignment="1">
      <alignment horizontal="center"/>
    </xf>
    <xf numFmtId="10" fontId="0" fillId="0" borderId="0" xfId="0" applyNumberFormat="1"/>
    <xf numFmtId="3" fontId="27" fillId="0" borderId="71" xfId="0" applyNumberFormat="1" applyFont="1" applyBorder="1" applyAlignment="1">
      <alignment horizontal="left" vertical="center" wrapText="1" indent="1"/>
    </xf>
    <xf numFmtId="0" fontId="32" fillId="0" borderId="43" xfId="0" applyFont="1" applyBorder="1" applyAlignment="1">
      <alignment horizontal="right" vertical="center" indent="2"/>
    </xf>
    <xf numFmtId="179" fontId="35" fillId="0" borderId="43" xfId="0" applyNumberFormat="1" applyFont="1" applyBorder="1" applyAlignment="1">
      <alignment horizontal="center" vertical="center"/>
    </xf>
    <xf numFmtId="179" fontId="35" fillId="0" borderId="85" xfId="0" applyNumberFormat="1" applyFont="1" applyBorder="1" applyAlignment="1">
      <alignment horizontal="center" vertical="center"/>
    </xf>
    <xf numFmtId="0" fontId="36" fillId="0" borderId="43" xfId="0" applyFont="1" applyBorder="1" applyAlignment="1">
      <alignment horizontal="left" vertical="top"/>
    </xf>
    <xf numFmtId="0" fontId="25" fillId="0" borderId="43" xfId="0" applyFont="1" applyBorder="1" applyAlignment="1">
      <alignment horizontal="left" vertical="top"/>
    </xf>
    <xf numFmtId="0" fontId="25" fillId="0" borderId="72" xfId="0" applyFont="1" applyBorder="1" applyAlignment="1">
      <alignment horizontal="left" vertical="top"/>
    </xf>
    <xf numFmtId="168" fontId="26" fillId="0" borderId="85" xfId="0" applyNumberFormat="1" applyFont="1" applyBorder="1" applyAlignment="1">
      <alignment horizontal="center" vertical="center"/>
    </xf>
    <xf numFmtId="179" fontId="27" fillId="10" borderId="40" xfId="0" applyNumberFormat="1" applyFont="1" applyFill="1" applyBorder="1" applyAlignment="1">
      <alignment horizontal="right" vertical="center" indent="1"/>
    </xf>
    <xf numFmtId="168" fontId="33" fillId="0" borderId="60" xfId="0" applyNumberFormat="1" applyFont="1" applyBorder="1" applyAlignment="1">
      <alignment horizontal="center"/>
    </xf>
    <xf numFmtId="168" fontId="26" fillId="0" borderId="63" xfId="0" applyNumberFormat="1" applyFont="1" applyBorder="1" applyAlignment="1">
      <alignment horizontal="center" vertical="center"/>
    </xf>
    <xf numFmtId="179" fontId="27" fillId="13" borderId="46" xfId="0" applyNumberFormat="1" applyFont="1" applyFill="1" applyBorder="1" applyAlignment="1">
      <alignment horizontal="right" vertical="center" indent="1"/>
    </xf>
    <xf numFmtId="168" fontId="33" fillId="0" borderId="34" xfId="0" applyNumberFormat="1" applyFont="1" applyBorder="1" applyAlignment="1">
      <alignment horizontal="center"/>
    </xf>
    <xf numFmtId="168" fontId="26" fillId="0" borderId="86" xfId="0" applyNumberFormat="1" applyFont="1" applyBorder="1" applyAlignment="1">
      <alignment horizontal="center" vertical="center"/>
    </xf>
    <xf numFmtId="179" fontId="27" fillId="10" borderId="33" xfId="0" applyNumberFormat="1" applyFont="1" applyFill="1" applyBorder="1" applyAlignment="1">
      <alignment horizontal="right" vertical="center" indent="1"/>
    </xf>
    <xf numFmtId="168" fontId="26" fillId="0" borderId="29" xfId="0" applyNumberFormat="1" applyFont="1" applyBorder="1" applyAlignment="1">
      <alignment horizontal="center" vertical="center"/>
    </xf>
    <xf numFmtId="179" fontId="27" fillId="13" borderId="33" xfId="0" applyNumberFormat="1" applyFont="1" applyFill="1" applyBorder="1" applyAlignment="1">
      <alignment horizontal="right" vertical="center" indent="1"/>
    </xf>
    <xf numFmtId="179" fontId="27" fillId="10" borderId="67" xfId="0" applyNumberFormat="1" applyFont="1" applyFill="1" applyBorder="1" applyAlignment="1">
      <alignment horizontal="right" vertical="center" indent="1"/>
    </xf>
    <xf numFmtId="168" fontId="33" fillId="0" borderId="86" xfId="0" applyNumberFormat="1" applyFont="1" applyBorder="1" applyAlignment="1">
      <alignment horizontal="center"/>
    </xf>
    <xf numFmtId="168" fontId="34" fillId="6" borderId="64" xfId="0" applyNumberFormat="1" applyFont="1" applyFill="1" applyBorder="1" applyAlignment="1">
      <alignment horizontal="center" vertical="center"/>
    </xf>
    <xf numFmtId="179" fontId="27" fillId="10" borderId="88" xfId="0" applyNumberFormat="1" applyFont="1" applyFill="1" applyBorder="1" applyAlignment="1">
      <alignment horizontal="right" vertical="center" indent="1"/>
    </xf>
    <xf numFmtId="168" fontId="33" fillId="0" borderId="64" xfId="0" applyNumberFormat="1" applyFont="1" applyBorder="1" applyAlignment="1">
      <alignment horizontal="center"/>
    </xf>
    <xf numFmtId="168" fontId="34" fillId="6" borderId="34" xfId="0" applyNumberFormat="1" applyFont="1" applyFill="1" applyBorder="1" applyAlignment="1">
      <alignment horizontal="center" vertical="center"/>
    </xf>
    <xf numFmtId="10" fontId="33" fillId="0" borderId="34" xfId="0" applyNumberFormat="1" applyFont="1" applyBorder="1" applyAlignment="1">
      <alignment horizontal="center"/>
    </xf>
    <xf numFmtId="168" fontId="34" fillId="6" borderId="89" xfId="0" applyNumberFormat="1" applyFont="1" applyFill="1" applyBorder="1" applyAlignment="1">
      <alignment horizontal="center" vertical="center"/>
    </xf>
    <xf numFmtId="179" fontId="27" fillId="13" borderId="90" xfId="0" applyNumberFormat="1" applyFont="1" applyFill="1" applyBorder="1" applyAlignment="1">
      <alignment horizontal="right" vertical="center" indent="1"/>
    </xf>
    <xf numFmtId="10" fontId="33" fillId="0" borderId="89" xfId="0" applyNumberFormat="1" applyFont="1" applyBorder="1" applyAlignment="1">
      <alignment horizontal="center"/>
    </xf>
    <xf numFmtId="4" fontId="33" fillId="0" borderId="0" xfId="0" applyNumberFormat="1" applyFont="1" applyAlignment="1">
      <alignment horizontal="center"/>
    </xf>
    <xf numFmtId="168" fontId="26" fillId="14" borderId="60" xfId="0" applyNumberFormat="1" applyFont="1" applyFill="1" applyBorder="1" applyAlignment="1">
      <alignment horizontal="center" vertical="center"/>
    </xf>
    <xf numFmtId="179" fontId="27" fillId="10" borderId="91" xfId="0" applyNumberFormat="1" applyFont="1" applyFill="1" applyBorder="1" applyAlignment="1">
      <alignment horizontal="right" vertical="center" indent="1"/>
    </xf>
    <xf numFmtId="168" fontId="26" fillId="0" borderId="60" xfId="0" applyNumberFormat="1" applyFont="1" applyBorder="1" applyAlignment="1">
      <alignment horizontal="center"/>
    </xf>
    <xf numFmtId="168" fontId="26" fillId="14" borderId="34" xfId="0" applyNumberFormat="1" applyFont="1" applyFill="1" applyBorder="1" applyAlignment="1">
      <alignment horizontal="center" vertical="center"/>
    </xf>
    <xf numFmtId="168" fontId="26" fillId="0" borderId="34" xfId="0" applyNumberFormat="1" applyFont="1" applyBorder="1" applyAlignment="1">
      <alignment horizontal="center"/>
    </xf>
    <xf numFmtId="10" fontId="26" fillId="0" borderId="34" xfId="0" applyNumberFormat="1" applyFont="1" applyBorder="1" applyAlignment="1">
      <alignment horizontal="center"/>
    </xf>
    <xf numFmtId="168" fontId="26" fillId="14" borderId="84" xfId="0" applyNumberFormat="1" applyFont="1" applyFill="1" applyBorder="1" applyAlignment="1">
      <alignment horizontal="center" vertical="center"/>
    </xf>
    <xf numFmtId="10" fontId="26" fillId="0" borderId="84" xfId="0" applyNumberFormat="1" applyFont="1" applyBorder="1" applyAlignment="1">
      <alignment horizontal="center"/>
    </xf>
    <xf numFmtId="0" fontId="5" fillId="14" borderId="63" xfId="0" applyFont="1" applyFill="1" applyBorder="1" applyAlignment="1">
      <alignment horizontal="right" vertical="center" indent="1"/>
    </xf>
    <xf numFmtId="179" fontId="27" fillId="10" borderId="28" xfId="0" applyNumberFormat="1" applyFont="1" applyFill="1" applyBorder="1" applyAlignment="1">
      <alignment horizontal="right" vertical="center" indent="1"/>
    </xf>
    <xf numFmtId="168" fontId="26" fillId="0" borderId="29" xfId="0" applyNumberFormat="1" applyFont="1" applyBorder="1" applyAlignment="1">
      <alignment horizontal="center"/>
    </xf>
    <xf numFmtId="168" fontId="37" fillId="9" borderId="0" xfId="0" applyNumberFormat="1" applyFont="1" applyFill="1" applyAlignment="1">
      <alignment horizontal="left" vertical="top"/>
    </xf>
    <xf numFmtId="0" fontId="5" fillId="14" borderId="77" xfId="0" applyFont="1" applyFill="1" applyBorder="1" applyAlignment="1">
      <alignment horizontal="right" vertical="center" indent="1"/>
    </xf>
    <xf numFmtId="10" fontId="26" fillId="0" borderId="89" xfId="0" applyNumberFormat="1" applyFont="1" applyBorder="1" applyAlignment="1">
      <alignment horizontal="center"/>
    </xf>
    <xf numFmtId="168" fontId="26" fillId="0" borderId="64" xfId="0" applyNumberFormat="1" applyFont="1" applyBorder="1" applyAlignment="1">
      <alignment horizontal="center"/>
    </xf>
    <xf numFmtId="0" fontId="0" fillId="0" borderId="8" xfId="0" applyBorder="1"/>
    <xf numFmtId="0" fontId="39" fillId="0" borderId="94" xfId="0" applyFont="1" applyBorder="1" applyAlignment="1">
      <alignment horizontal="center" vertical="center"/>
    </xf>
    <xf numFmtId="189" fontId="40" fillId="0" borderId="93" xfId="0" applyNumberFormat="1" applyFont="1" applyBorder="1" applyAlignment="1">
      <alignment horizontal="center" vertical="center"/>
    </xf>
    <xf numFmtId="189" fontId="40" fillId="0" borderId="95" xfId="0" applyNumberFormat="1" applyFont="1" applyBorder="1" applyAlignment="1">
      <alignment horizontal="center" vertical="center"/>
    </xf>
    <xf numFmtId="0" fontId="40" fillId="15" borderId="96" xfId="0" applyFont="1" applyFill="1" applyBorder="1" applyAlignment="1">
      <alignment horizontal="right" vertical="center" indent="1"/>
    </xf>
    <xf numFmtId="10" fontId="40" fillId="2" borderId="91" xfId="0" applyNumberFormat="1" applyFont="1" applyFill="1" applyBorder="1" applyAlignment="1">
      <alignment horizontal="center" vertical="center"/>
    </xf>
    <xf numFmtId="10" fontId="25" fillId="0" borderId="0" xfId="0" applyNumberFormat="1" applyFont="1" applyAlignment="1">
      <alignment horizontal="left" vertical="top"/>
    </xf>
    <xf numFmtId="0" fontId="40" fillId="15" borderId="97" xfId="0" applyFont="1" applyFill="1" applyBorder="1" applyAlignment="1">
      <alignment horizontal="right" vertical="center" indent="1"/>
    </xf>
    <xf numFmtId="10" fontId="40" fillId="2" borderId="98" xfId="0" applyNumberFormat="1" applyFont="1" applyFill="1" applyBorder="1" applyAlignment="1">
      <alignment horizontal="center" vertical="center"/>
    </xf>
    <xf numFmtId="10" fontId="40" fillId="2" borderId="89" xfId="0" applyNumberFormat="1" applyFont="1" applyFill="1" applyBorder="1" applyAlignment="1">
      <alignment horizontal="center" vertical="center"/>
    </xf>
    <xf numFmtId="10" fontId="40" fillId="2" borderId="99" xfId="0" applyNumberFormat="1" applyFont="1" applyFill="1" applyBorder="1" applyAlignment="1">
      <alignment horizontal="center" vertical="center"/>
    </xf>
    <xf numFmtId="0" fontId="40" fillId="15" borderId="68" xfId="0" applyFont="1" applyFill="1" applyBorder="1" applyAlignment="1">
      <alignment horizontal="right" vertical="center" indent="1"/>
    </xf>
    <xf numFmtId="10" fontId="40" fillId="2" borderId="28" xfId="0" applyNumberFormat="1" applyFont="1" applyFill="1" applyBorder="1" applyAlignment="1">
      <alignment horizontal="center" vertical="center"/>
    </xf>
    <xf numFmtId="0" fontId="40" fillId="15" borderId="100" xfId="0" applyFont="1" applyFill="1" applyBorder="1" applyAlignment="1">
      <alignment horizontal="right" vertical="center" indent="1"/>
    </xf>
    <xf numFmtId="10" fontId="40" fillId="2" borderId="33" xfId="0" applyNumberFormat="1" applyFont="1" applyFill="1" applyBorder="1" applyAlignment="1">
      <alignment horizontal="center" vertical="center"/>
    </xf>
    <xf numFmtId="10" fontId="40" fillId="2" borderId="34" xfId="0" applyNumberFormat="1" applyFont="1" applyFill="1" applyBorder="1" applyAlignment="1">
      <alignment horizontal="center" vertical="center"/>
    </xf>
    <xf numFmtId="10" fontId="40" fillId="2" borderId="37" xfId="0" applyNumberFormat="1" applyFont="1" applyFill="1" applyBorder="1" applyAlignment="1">
      <alignment horizontal="center" vertical="center"/>
    </xf>
    <xf numFmtId="179" fontId="40" fillId="2" borderId="60" xfId="0" applyNumberFormat="1" applyFont="1" applyFill="1" applyBorder="1" applyAlignment="1">
      <alignment horizontal="center" vertical="center"/>
    </xf>
    <xf numFmtId="179" fontId="40" fillId="2" borderId="42" xfId="0" applyNumberFormat="1" applyFont="1" applyFill="1" applyBorder="1" applyAlignment="1">
      <alignment horizontal="center" vertical="center"/>
    </xf>
    <xf numFmtId="168" fontId="29" fillId="2" borderId="89" xfId="0" applyNumberFormat="1" applyFont="1" applyFill="1" applyBorder="1" applyAlignment="1">
      <alignment horizontal="center" vertical="center"/>
    </xf>
    <xf numFmtId="179" fontId="40" fillId="2" borderId="86" xfId="0" applyNumberFormat="1" applyFont="1" applyFill="1" applyBorder="1" applyAlignment="1">
      <alignment horizontal="center" vertical="center"/>
    </xf>
    <xf numFmtId="179" fontId="40" fillId="2" borderId="49" xfId="0" applyNumberFormat="1" applyFont="1" applyFill="1" applyBorder="1" applyAlignment="1">
      <alignment horizontal="center" vertical="center"/>
    </xf>
    <xf numFmtId="179" fontId="40" fillId="2" borderId="89" xfId="0" applyNumberFormat="1" applyFont="1" applyFill="1" applyBorder="1" applyAlignment="1">
      <alignment horizontal="center" vertical="center"/>
    </xf>
    <xf numFmtId="179" fontId="40" fillId="2" borderId="99" xfId="0" applyNumberFormat="1" applyFont="1" applyFill="1" applyBorder="1" applyAlignment="1">
      <alignment horizontal="center" vertical="center"/>
    </xf>
    <xf numFmtId="179" fontId="2" fillId="2" borderId="89" xfId="0" applyNumberFormat="1" applyFont="1" applyFill="1" applyBorder="1" applyAlignment="1">
      <alignment horizontal="center" vertical="center"/>
    </xf>
    <xf numFmtId="190" fontId="40" fillId="2" borderId="60" xfId="0" applyNumberFormat="1" applyFont="1" applyFill="1" applyBorder="1" applyAlignment="1">
      <alignment horizontal="center" vertical="center"/>
    </xf>
    <xf numFmtId="179" fontId="41" fillId="0" borderId="43" xfId="0" applyNumberFormat="1" applyFont="1" applyBorder="1" applyAlignment="1">
      <alignment horizontal="left" vertical="top"/>
    </xf>
    <xf numFmtId="0" fontId="41" fillId="0" borderId="43" xfId="0" applyFont="1" applyBorder="1" applyAlignment="1">
      <alignment horizontal="left" vertical="top"/>
    </xf>
    <xf numFmtId="179" fontId="42" fillId="0" borderId="0" xfId="0" applyNumberFormat="1" applyFont="1" applyAlignment="1">
      <alignment horizontal="left" vertical="top"/>
    </xf>
    <xf numFmtId="179" fontId="2" fillId="0" borderId="0" xfId="0" applyNumberFormat="1" applyFont="1" applyAlignment="1">
      <alignment horizontal="center" vertical="center"/>
    </xf>
    <xf numFmtId="10" fontId="40" fillId="2" borderId="101" xfId="0" applyNumberFormat="1" applyFont="1" applyFill="1" applyBorder="1" applyAlignment="1">
      <alignment horizontal="center" vertical="center"/>
    </xf>
    <xf numFmtId="10" fontId="40" fillId="2" borderId="102" xfId="0" applyNumberFormat="1" applyFont="1" applyFill="1" applyBorder="1" applyAlignment="1">
      <alignment horizontal="center" vertical="center"/>
    </xf>
    <xf numFmtId="0" fontId="1" fillId="0" borderId="0" xfId="0" applyFont="1"/>
    <xf numFmtId="191" fontId="10" fillId="0" borderId="37" xfId="0" applyNumberFormat="1" applyFont="1" applyBorder="1" applyAlignment="1">
      <alignment wrapText="1"/>
    </xf>
    <xf numFmtId="168" fontId="0" fillId="0" borderId="0" xfId="0" applyNumberFormat="1"/>
    <xf numFmtId="168" fontId="4" fillId="0" borderId="21" xfId="0" applyNumberFormat="1" applyFont="1" applyBorder="1" applyAlignment="1">
      <alignment horizontal="center" vertical="center" wrapText="1"/>
    </xf>
    <xf numFmtId="0" fontId="14" fillId="0" borderId="0" xfId="0" applyFont="1"/>
    <xf numFmtId="180" fontId="43" fillId="0" borderId="8" xfId="0" applyNumberFormat="1" applyFont="1" applyBorder="1" applyAlignment="1">
      <alignment horizontal="center"/>
    </xf>
    <xf numFmtId="180" fontId="43" fillId="0" borderId="0" xfId="0" applyNumberFormat="1" applyFont="1" applyAlignment="1">
      <alignment horizontal="center"/>
    </xf>
    <xf numFmtId="180" fontId="43" fillId="0" borderId="58" xfId="0" applyNumberFormat="1" applyFont="1" applyBorder="1" applyAlignment="1">
      <alignment horizontal="center"/>
    </xf>
    <xf numFmtId="180" fontId="44" fillId="0" borderId="8" xfId="0" applyNumberFormat="1" applyFont="1" applyBorder="1" applyAlignment="1">
      <alignment horizontal="left"/>
    </xf>
    <xf numFmtId="183" fontId="48" fillId="17" borderId="0" xfId="0" applyNumberFormat="1" applyFont="1" applyFill="1" applyAlignment="1">
      <alignment horizontal="center"/>
    </xf>
    <xf numFmtId="0" fontId="44" fillId="0" borderId="0" xfId="0" applyFont="1" applyAlignment="1">
      <alignment horizontal="center"/>
    </xf>
    <xf numFmtId="182" fontId="44" fillId="0" borderId="58" xfId="0" applyNumberFormat="1" applyFont="1" applyBorder="1" applyAlignment="1">
      <alignment horizontal="left"/>
    </xf>
    <xf numFmtId="184" fontId="44" fillId="0" borderId="0" xfId="0" applyNumberFormat="1" applyFont="1" applyAlignment="1">
      <alignment horizontal="center"/>
    </xf>
    <xf numFmtId="186" fontId="44" fillId="0" borderId="0" xfId="0" applyNumberFormat="1" applyFont="1" applyAlignment="1">
      <alignment horizontal="center"/>
    </xf>
    <xf numFmtId="187" fontId="44" fillId="0" borderId="58" xfId="0" applyNumberFormat="1" applyFont="1" applyBorder="1" applyAlignment="1">
      <alignment horizontal="center"/>
    </xf>
    <xf numFmtId="187" fontId="48" fillId="17" borderId="0" xfId="0" applyNumberFormat="1" applyFont="1" applyFill="1"/>
    <xf numFmtId="180" fontId="44" fillId="0" borderId="5" xfId="0" applyNumberFormat="1" applyFont="1" applyBorder="1" applyAlignment="1">
      <alignment horizontal="left"/>
    </xf>
    <xf numFmtId="0" fontId="44" fillId="0" borderId="74" xfId="0" applyFont="1" applyBorder="1" applyAlignment="1">
      <alignment horizontal="center"/>
    </xf>
    <xf numFmtId="179" fontId="44" fillId="0" borderId="6" xfId="0" applyNumberFormat="1" applyFont="1" applyBorder="1" applyAlignment="1">
      <alignment horizontal="left"/>
    </xf>
    <xf numFmtId="179" fontId="44" fillId="0" borderId="58" xfId="0" applyNumberFormat="1" applyFont="1" applyBorder="1" applyAlignment="1">
      <alignment horizontal="left"/>
    </xf>
    <xf numFmtId="192" fontId="49" fillId="0" borderId="58" xfId="0" applyNumberFormat="1" applyFont="1" applyBorder="1" applyAlignment="1">
      <alignment horizontal="center"/>
    </xf>
    <xf numFmtId="192" fontId="49" fillId="0" borderId="58" xfId="0" applyNumberFormat="1" applyFont="1" applyBorder="1" applyAlignment="1">
      <alignment horizontal="left"/>
    </xf>
    <xf numFmtId="14" fontId="44" fillId="0" borderId="0" xfId="0" applyNumberFormat="1" applyFont="1" applyAlignment="1">
      <alignment horizontal="center"/>
    </xf>
    <xf numFmtId="10" fontId="50" fillId="0" borderId="58" xfId="0" applyNumberFormat="1" applyFont="1" applyBorder="1" applyAlignment="1">
      <alignment horizontal="center"/>
    </xf>
    <xf numFmtId="0" fontId="51" fillId="0" borderId="8" xfId="0" applyFont="1" applyBorder="1"/>
    <xf numFmtId="14" fontId="52" fillId="16" borderId="8" xfId="0" applyNumberFormat="1" applyFont="1" applyFill="1" applyBorder="1" applyAlignment="1">
      <alignment horizontal="right" vertical="center"/>
    </xf>
    <xf numFmtId="168" fontId="50" fillId="0" borderId="58" xfId="0" applyNumberFormat="1" applyFont="1" applyBorder="1" applyAlignment="1">
      <alignment vertical="center"/>
    </xf>
    <xf numFmtId="0" fontId="0" fillId="17" borderId="58" xfId="0" applyFill="1" applyBorder="1"/>
    <xf numFmtId="0" fontId="53" fillId="19" borderId="8" xfId="0" applyFont="1" applyFill="1" applyBorder="1" applyAlignment="1">
      <alignment horizontal="center" vertical="center" wrapText="1"/>
    </xf>
    <xf numFmtId="0" fontId="53" fillId="19" borderId="0" xfId="0" applyFont="1" applyFill="1" applyAlignment="1">
      <alignment horizontal="center" vertical="center" wrapText="1"/>
    </xf>
    <xf numFmtId="193" fontId="0" fillId="17" borderId="58" xfId="0" applyNumberFormat="1" applyFill="1" applyBorder="1"/>
    <xf numFmtId="1" fontId="0" fillId="17" borderId="58" xfId="0" applyNumberFormat="1" applyFill="1" applyBorder="1"/>
    <xf numFmtId="188" fontId="54" fillId="20" borderId="58" xfId="0" applyNumberFormat="1" applyFont="1" applyFill="1" applyBorder="1"/>
    <xf numFmtId="188" fontId="55" fillId="17" borderId="58" xfId="0" applyNumberFormat="1" applyFont="1" applyFill="1" applyBorder="1"/>
    <xf numFmtId="188" fontId="55" fillId="0" borderId="0" xfId="0" applyNumberFormat="1" applyFont="1" applyAlignment="1">
      <alignment horizontal="center"/>
    </xf>
    <xf numFmtId="0" fontId="47" fillId="0" borderId="0" xfId="0" applyFont="1"/>
    <xf numFmtId="10" fontId="52" fillId="18" borderId="58" xfId="0" applyNumberFormat="1" applyFont="1" applyFill="1" applyBorder="1" applyAlignment="1">
      <alignment horizontal="center"/>
    </xf>
    <xf numFmtId="187" fontId="45" fillId="16" borderId="58" xfId="0" applyNumberFormat="1" applyFont="1" applyFill="1" applyBorder="1" applyAlignment="1">
      <alignment horizontal="center"/>
    </xf>
    <xf numFmtId="187" fontId="49" fillId="0" borderId="58" xfId="0" applyNumberFormat="1" applyFont="1" applyBorder="1" applyAlignment="1">
      <alignment horizontal="center"/>
    </xf>
    <xf numFmtId="168" fontId="15" fillId="2" borderId="56" xfId="0" applyNumberFormat="1" applyFont="1" applyFill="1" applyBorder="1" applyAlignment="1">
      <alignment horizontal="center" wrapText="1"/>
    </xf>
    <xf numFmtId="0" fontId="18" fillId="6" borderId="55" xfId="0" applyFont="1" applyFill="1" applyBorder="1" applyAlignment="1">
      <alignment horizontal="right" vertical="center" indent="1"/>
    </xf>
    <xf numFmtId="168" fontId="15" fillId="2" borderId="17" xfId="0" applyNumberFormat="1" applyFont="1" applyFill="1" applyBorder="1" applyAlignment="1">
      <alignment horizontal="center" wrapText="1"/>
    </xf>
    <xf numFmtId="168" fontId="14" fillId="0" borderId="37" xfId="0" applyNumberFormat="1" applyFont="1" applyBorder="1" applyAlignment="1">
      <alignment horizontal="center" wrapText="1"/>
    </xf>
    <xf numFmtId="10" fontId="14" fillId="2" borderId="53" xfId="0" applyNumberFormat="1" applyFont="1" applyFill="1" applyBorder="1" applyAlignment="1">
      <alignment horizontal="center" wrapText="1"/>
    </xf>
    <xf numFmtId="168" fontId="14" fillId="0" borderId="50" xfId="0" applyNumberFormat="1" applyFont="1" applyBorder="1" applyAlignment="1">
      <alignment horizontal="center" wrapText="1"/>
    </xf>
    <xf numFmtId="168" fontId="14" fillId="0" borderId="45" xfId="0" applyNumberFormat="1" applyFont="1" applyBorder="1" applyAlignment="1">
      <alignment horizontal="center" wrapText="1"/>
    </xf>
    <xf numFmtId="0" fontId="18" fillId="6" borderId="19" xfId="0" applyFont="1" applyFill="1" applyBorder="1" applyAlignment="1">
      <alignment horizontal="right" vertical="center" indent="1"/>
    </xf>
    <xf numFmtId="168" fontId="14" fillId="2" borderId="37" xfId="0" applyNumberFormat="1" applyFont="1" applyFill="1" applyBorder="1" applyAlignment="1">
      <alignment horizontal="center" wrapText="1"/>
    </xf>
    <xf numFmtId="10" fontId="14" fillId="2" borderId="48" xfId="0" applyNumberFormat="1" applyFont="1" applyFill="1" applyBorder="1" applyAlignment="1">
      <alignment horizontal="center" wrapText="1"/>
    </xf>
    <xf numFmtId="10" fontId="14" fillId="2" borderId="49" xfId="0" applyNumberFormat="1" applyFont="1" applyFill="1" applyBorder="1" applyAlignment="1">
      <alignment horizontal="center" wrapText="1"/>
    </xf>
    <xf numFmtId="168" fontId="14" fillId="2" borderId="45" xfId="0" applyNumberFormat="1" applyFont="1" applyFill="1" applyBorder="1" applyAlignment="1">
      <alignment horizontal="center" wrapText="1"/>
    </xf>
    <xf numFmtId="168" fontId="15" fillId="0" borderId="45" xfId="0" applyNumberFormat="1" applyFont="1" applyBorder="1" applyAlignment="1">
      <alignment horizontal="center" wrapText="1"/>
    </xf>
    <xf numFmtId="168" fontId="15" fillId="0" borderId="37" xfId="0" applyNumberFormat="1" applyFont="1" applyBorder="1" applyAlignment="1">
      <alignment horizontal="center" wrapText="1"/>
    </xf>
    <xf numFmtId="168" fontId="14" fillId="0" borderId="69" xfId="0" applyNumberFormat="1" applyFont="1" applyBorder="1" applyAlignment="1">
      <alignment horizontal="center" wrapText="1"/>
    </xf>
    <xf numFmtId="168" fontId="14" fillId="0" borderId="42" xfId="0" applyNumberFormat="1" applyFont="1" applyBorder="1" applyAlignment="1">
      <alignment horizontal="center" wrapText="1"/>
    </xf>
    <xf numFmtId="0" fontId="18" fillId="6" borderId="38" xfId="0" applyFont="1" applyFill="1" applyBorder="1" applyAlignment="1">
      <alignment horizontal="right" vertical="center" indent="1"/>
    </xf>
    <xf numFmtId="168" fontId="14" fillId="0" borderId="41" xfId="0" applyNumberFormat="1" applyFont="1" applyBorder="1" applyAlignment="1">
      <alignment horizontal="center" wrapText="1"/>
    </xf>
    <xf numFmtId="0" fontId="5" fillId="0" borderId="7" xfId="0" applyFont="1" applyBorder="1" applyAlignment="1">
      <alignment horizontal="center" vertical="center"/>
    </xf>
    <xf numFmtId="164" fontId="3" fillId="0" borderId="7" xfId="0" applyNumberFormat="1" applyFont="1" applyBorder="1" applyAlignment="1">
      <alignment horizontal="center"/>
    </xf>
    <xf numFmtId="0" fontId="6" fillId="3" borderId="11" xfId="0" applyFont="1" applyFill="1" applyBorder="1" applyAlignment="1">
      <alignment horizontal="center" vertical="center"/>
    </xf>
    <xf numFmtId="49" fontId="8" fillId="0" borderId="16" xfId="0" applyNumberFormat="1" applyFont="1" applyBorder="1" applyAlignment="1">
      <alignment horizontal="center"/>
    </xf>
    <xf numFmtId="0" fontId="4" fillId="0" borderId="17" xfId="0" applyFont="1" applyBorder="1" applyAlignment="1">
      <alignment horizontal="center" vertical="center"/>
    </xf>
    <xf numFmtId="0" fontId="18" fillId="0" borderId="57" xfId="0" applyFont="1" applyBorder="1" applyAlignment="1">
      <alignment horizontal="center" vertical="center"/>
    </xf>
    <xf numFmtId="0" fontId="1" fillId="0" borderId="25" xfId="0" applyFont="1" applyBorder="1" applyAlignment="1">
      <alignment horizontal="center" vertical="center"/>
    </xf>
    <xf numFmtId="0" fontId="1" fillId="0" borderId="24" xfId="0" applyFont="1" applyBorder="1" applyAlignment="1">
      <alignment horizontal="center" vertical="center"/>
    </xf>
    <xf numFmtId="0" fontId="13" fillId="6" borderId="55" xfId="0" applyFont="1" applyFill="1" applyBorder="1" applyAlignment="1">
      <alignment horizontal="left" vertical="center" indent="1"/>
    </xf>
    <xf numFmtId="10" fontId="14" fillId="2" borderId="54" xfId="0" applyNumberFormat="1" applyFont="1" applyFill="1" applyBorder="1" applyAlignment="1">
      <alignment horizontal="center" wrapText="1"/>
    </xf>
    <xf numFmtId="0" fontId="13" fillId="6" borderId="19" xfId="0" applyFont="1" applyFill="1" applyBorder="1" applyAlignment="1">
      <alignment horizontal="left" vertical="center" indent="1"/>
    </xf>
    <xf numFmtId="0" fontId="13" fillId="6" borderId="38" xfId="0" applyFont="1" applyFill="1" applyBorder="1" applyAlignment="1">
      <alignment horizontal="left" vertical="center" indent="1"/>
    </xf>
    <xf numFmtId="0" fontId="2" fillId="0" borderId="11" xfId="0" applyFont="1" applyBorder="1" applyAlignment="1">
      <alignment horizontal="center" vertical="center"/>
    </xf>
    <xf numFmtId="0" fontId="1" fillId="0" borderId="1" xfId="0" applyFont="1" applyBorder="1" applyAlignment="1">
      <alignment horizontal="center" vertical="center"/>
    </xf>
    <xf numFmtId="0" fontId="2" fillId="0" borderId="4" xfId="0" applyFont="1" applyBorder="1" applyAlignment="1">
      <alignment horizontal="center" vertical="center"/>
    </xf>
    <xf numFmtId="164" fontId="3" fillId="2" borderId="7" xfId="0" applyNumberFormat="1" applyFont="1" applyFill="1" applyBorder="1" applyAlignment="1">
      <alignment horizontal="center"/>
    </xf>
    <xf numFmtId="0" fontId="22" fillId="10" borderId="75" xfId="0" applyFont="1" applyFill="1" applyBorder="1" applyAlignment="1">
      <alignment horizontal="center" vertical="center"/>
    </xf>
    <xf numFmtId="0" fontId="24" fillId="0" borderId="75" xfId="0" applyFont="1" applyBorder="1" applyAlignment="1">
      <alignment horizontal="center" vertical="center" wrapText="1"/>
    </xf>
    <xf numFmtId="0" fontId="19" fillId="0" borderId="25" xfId="0" applyFont="1" applyBorder="1" applyAlignment="1">
      <alignment horizontal="center" vertical="center"/>
    </xf>
    <xf numFmtId="0" fontId="19" fillId="0" borderId="70" xfId="0" applyFont="1" applyBorder="1" applyAlignment="1">
      <alignment horizontal="center" vertical="center"/>
    </xf>
    <xf numFmtId="0" fontId="2" fillId="0" borderId="73" xfId="0" applyFont="1" applyBorder="1" applyAlignment="1">
      <alignment horizontal="center"/>
    </xf>
    <xf numFmtId="0" fontId="3" fillId="0" borderId="73" xfId="0" applyFont="1" applyBorder="1" applyAlignment="1">
      <alignment horizontal="center"/>
    </xf>
    <xf numFmtId="164" fontId="3" fillId="0" borderId="74" xfId="0" applyNumberFormat="1" applyFont="1" applyBorder="1" applyAlignment="1">
      <alignment horizontal="center"/>
    </xf>
    <xf numFmtId="0" fontId="2" fillId="0" borderId="11" xfId="0" applyFont="1" applyBorder="1" applyAlignment="1">
      <alignment horizontal="center" vertical="center" wrapText="1"/>
    </xf>
    <xf numFmtId="0" fontId="2" fillId="0" borderId="77" xfId="0" applyFont="1" applyBorder="1" applyAlignment="1">
      <alignment horizontal="center" vertical="center"/>
    </xf>
    <xf numFmtId="0" fontId="2" fillId="2" borderId="15" xfId="0" applyFont="1" applyFill="1" applyBorder="1" applyAlignment="1">
      <alignment horizontal="center" vertical="center"/>
    </xf>
    <xf numFmtId="10" fontId="5" fillId="6" borderId="21" xfId="0" applyNumberFormat="1" applyFont="1" applyFill="1" applyBorder="1" applyAlignment="1">
      <alignment horizontal="center" vertical="center"/>
    </xf>
    <xf numFmtId="0" fontId="5" fillId="6" borderId="22" xfId="0" applyFont="1" applyFill="1" applyBorder="1" applyAlignment="1">
      <alignment horizontal="right" vertical="center" indent="1"/>
    </xf>
    <xf numFmtId="168" fontId="5" fillId="6" borderId="21" xfId="0" applyNumberFormat="1" applyFont="1" applyFill="1" applyBorder="1" applyAlignment="1">
      <alignment horizontal="center" vertical="center"/>
    </xf>
    <xf numFmtId="0" fontId="5" fillId="6" borderId="21" xfId="0" applyFont="1" applyFill="1" applyBorder="1" applyAlignment="1">
      <alignment horizontal="right" vertical="center" indent="1"/>
    </xf>
    <xf numFmtId="0" fontId="5" fillId="6" borderId="77" xfId="0" applyFont="1" applyFill="1" applyBorder="1" applyAlignment="1">
      <alignment horizontal="right" vertical="center" indent="1"/>
    </xf>
    <xf numFmtId="168" fontId="5" fillId="6" borderId="78" xfId="0" applyNumberFormat="1" applyFont="1" applyFill="1" applyBorder="1" applyAlignment="1">
      <alignment horizontal="center" vertical="center"/>
    </xf>
    <xf numFmtId="0" fontId="38" fillId="2" borderId="80" xfId="0" applyFont="1" applyFill="1" applyBorder="1" applyAlignment="1">
      <alignment horizontal="right" vertical="center" indent="1"/>
    </xf>
    <xf numFmtId="168" fontId="38" fillId="2" borderId="93" xfId="0" applyNumberFormat="1" applyFont="1" applyFill="1" applyBorder="1" applyAlignment="1">
      <alignment horizontal="center" vertical="center"/>
    </xf>
    <xf numFmtId="0" fontId="26" fillId="0" borderId="86" xfId="0" applyFont="1" applyBorder="1" applyAlignment="1">
      <alignment horizontal="right" vertical="center" indent="1"/>
    </xf>
    <xf numFmtId="168" fontId="26" fillId="0" borderId="47" xfId="0" applyNumberFormat="1" applyFont="1" applyBorder="1" applyAlignment="1">
      <alignment horizontal="center" vertical="center"/>
    </xf>
    <xf numFmtId="0" fontId="5" fillId="14" borderId="60" xfId="0" applyFont="1" applyFill="1" applyBorder="1" applyAlignment="1">
      <alignment horizontal="right" vertical="center" indent="1"/>
    </xf>
    <xf numFmtId="168" fontId="5" fillId="14" borderId="39" xfId="0" applyNumberFormat="1" applyFont="1" applyFill="1" applyBorder="1" applyAlignment="1">
      <alignment horizontal="center" vertical="center"/>
    </xf>
    <xf numFmtId="0" fontId="5" fillId="14" borderId="16" xfId="0" applyFont="1" applyFill="1" applyBorder="1" applyAlignment="1">
      <alignment horizontal="right" vertical="center" indent="1"/>
    </xf>
    <xf numFmtId="10" fontId="5" fillId="6" borderId="70" xfId="0" applyNumberFormat="1" applyFont="1" applyFill="1" applyBorder="1" applyAlignment="1">
      <alignment horizontal="center" vertical="center"/>
    </xf>
    <xf numFmtId="0" fontId="5" fillId="6" borderId="92" xfId="0" applyFont="1" applyFill="1" applyBorder="1" applyAlignment="1">
      <alignment horizontal="right" vertical="center" indent="1"/>
    </xf>
    <xf numFmtId="168" fontId="5" fillId="6" borderId="70" xfId="0" applyNumberFormat="1" applyFont="1" applyFill="1" applyBorder="1" applyAlignment="1">
      <alignment horizontal="center" vertical="center"/>
    </xf>
    <xf numFmtId="0" fontId="5" fillId="6" borderId="70" xfId="0" applyFont="1" applyFill="1" applyBorder="1" applyAlignment="1">
      <alignment horizontal="right" vertical="center" indent="1"/>
    </xf>
    <xf numFmtId="10" fontId="26" fillId="0" borderId="86" xfId="0" applyNumberFormat="1" applyFont="1" applyBorder="1" applyAlignment="1">
      <alignment horizontal="center" vertical="center"/>
    </xf>
    <xf numFmtId="0" fontId="26" fillId="0" borderId="87" xfId="0" applyFont="1" applyBorder="1" applyAlignment="1">
      <alignment horizontal="right" vertical="center" indent="1"/>
    </xf>
    <xf numFmtId="0" fontId="34" fillId="6" borderId="64" xfId="0" applyFont="1" applyFill="1" applyBorder="1" applyAlignment="1">
      <alignment horizontal="right" vertical="center" indent="1"/>
    </xf>
    <xf numFmtId="168" fontId="34" fillId="6" borderId="82" xfId="0" applyNumberFormat="1" applyFont="1" applyFill="1" applyBorder="1" applyAlignment="1">
      <alignment horizontal="center" vertical="center"/>
    </xf>
    <xf numFmtId="0" fontId="26" fillId="0" borderId="60" xfId="0" applyFont="1" applyBorder="1" applyAlignment="1">
      <alignment horizontal="right" vertical="center" indent="1"/>
    </xf>
    <xf numFmtId="168" fontId="26" fillId="0" borderId="39" xfId="0" applyNumberFormat="1" applyFont="1" applyBorder="1" applyAlignment="1">
      <alignment horizontal="center" vertical="center"/>
    </xf>
    <xf numFmtId="0" fontId="26" fillId="0" borderId="34" xfId="0" applyFont="1" applyBorder="1" applyAlignment="1">
      <alignment horizontal="right" vertical="center" indent="1"/>
    </xf>
    <xf numFmtId="168" fontId="26" fillId="0" borderId="35" xfId="0" applyNumberFormat="1" applyFont="1" applyBorder="1" applyAlignment="1">
      <alignment horizontal="center" vertical="center"/>
    </xf>
    <xf numFmtId="10" fontId="26" fillId="0" borderId="34" xfId="0" applyNumberFormat="1" applyFont="1" applyBorder="1" applyAlignment="1">
      <alignment horizontal="center" vertical="center"/>
    </xf>
    <xf numFmtId="0" fontId="26" fillId="0" borderId="33" xfId="0" applyFont="1" applyBorder="1" applyAlignment="1">
      <alignment horizontal="right" vertical="center" indent="1"/>
    </xf>
    <xf numFmtId="3" fontId="34" fillId="10" borderId="64" xfId="0" applyNumberFormat="1" applyFont="1" applyFill="1" applyBorder="1" applyAlignment="1">
      <alignment horizontal="left" vertical="center" wrapText="1" indent="1"/>
    </xf>
    <xf numFmtId="0" fontId="34" fillId="10" borderId="64" xfId="0" applyFont="1" applyFill="1" applyBorder="1" applyAlignment="1">
      <alignment horizontal="right" vertical="center" indent="2"/>
    </xf>
    <xf numFmtId="168" fontId="34" fillId="10" borderId="82" xfId="0" applyNumberFormat="1" applyFont="1" applyFill="1" applyBorder="1" applyAlignment="1">
      <alignment horizontal="center" vertical="center"/>
    </xf>
    <xf numFmtId="10" fontId="34" fillId="10" borderId="21" xfId="0" applyNumberFormat="1" applyFont="1" applyFill="1" applyBorder="1" applyAlignment="1">
      <alignment horizontal="center" vertical="center"/>
    </xf>
    <xf numFmtId="3" fontId="27" fillId="0" borderId="64" xfId="0" applyNumberFormat="1" applyFont="1" applyBorder="1" applyAlignment="1">
      <alignment horizontal="left" vertical="center" wrapText="1" indent="1"/>
    </xf>
    <xf numFmtId="0" fontId="27" fillId="0" borderId="64" xfId="0" applyFont="1" applyBorder="1" applyAlignment="1">
      <alignment horizontal="right" vertical="center" indent="2"/>
    </xf>
    <xf numFmtId="168" fontId="27" fillId="0" borderId="82" xfId="0" applyNumberFormat="1" applyFont="1" applyBorder="1" applyAlignment="1">
      <alignment horizontal="center" vertical="center"/>
    </xf>
    <xf numFmtId="10" fontId="27" fillId="0" borderId="21" xfId="0" applyNumberFormat="1" applyFont="1" applyBorder="1" applyAlignment="1">
      <alignment horizontal="center" vertical="center"/>
    </xf>
    <xf numFmtId="3" fontId="26" fillId="10" borderId="64" xfId="0" applyNumberFormat="1" applyFont="1" applyFill="1" applyBorder="1" applyAlignment="1">
      <alignment horizontal="left" vertical="center" wrapText="1" indent="1"/>
    </xf>
    <xf numFmtId="0" fontId="26" fillId="10" borderId="64" xfId="0" applyFont="1" applyFill="1" applyBorder="1" applyAlignment="1">
      <alignment horizontal="right" vertical="center" indent="2"/>
    </xf>
    <xf numFmtId="168" fontId="26" fillId="10" borderId="82" xfId="0" applyNumberFormat="1" applyFont="1" applyFill="1" applyBorder="1" applyAlignment="1">
      <alignment horizontal="center" vertical="center"/>
    </xf>
    <xf numFmtId="10" fontId="26" fillId="10" borderId="21" xfId="0" applyNumberFormat="1" applyFont="1" applyFill="1" applyBorder="1" applyAlignment="1">
      <alignment horizontal="center" vertical="center"/>
    </xf>
    <xf numFmtId="0" fontId="20" fillId="0" borderId="71" xfId="0" applyFont="1" applyBorder="1" applyAlignment="1">
      <alignment horizontal="left" vertical="center" indent="2"/>
    </xf>
    <xf numFmtId="0" fontId="20" fillId="0" borderId="71" xfId="0" applyFont="1" applyBorder="1" applyAlignment="1">
      <alignment horizontal="left" vertical="center" indent="1"/>
    </xf>
    <xf numFmtId="0" fontId="26" fillId="0" borderId="16" xfId="0" applyFont="1" applyBorder="1" applyAlignment="1">
      <alignment horizontal="left" vertical="center" wrapText="1" indent="2"/>
    </xf>
    <xf numFmtId="0" fontId="26" fillId="0" borderId="78" xfId="0" applyFont="1" applyBorder="1" applyAlignment="1">
      <alignment horizontal="left" vertical="center" wrapText="1" indent="1"/>
    </xf>
    <xf numFmtId="0" fontId="27" fillId="0" borderId="77" xfId="0" applyFont="1" applyBorder="1" applyAlignment="1">
      <alignment horizontal="left" vertical="center" wrapText="1" indent="1"/>
    </xf>
    <xf numFmtId="176" fontId="26" fillId="0" borderId="16" xfId="0" applyNumberFormat="1" applyFont="1" applyBorder="1" applyAlignment="1">
      <alignment horizontal="left" vertical="center" indent="1"/>
    </xf>
    <xf numFmtId="0" fontId="26" fillId="0" borderId="60" xfId="0" applyFont="1" applyBorder="1" applyAlignment="1">
      <alignment horizontal="left" vertical="center" indent="1"/>
    </xf>
    <xf numFmtId="0" fontId="26" fillId="0" borderId="80" xfId="0" applyFont="1" applyBorder="1" applyAlignment="1">
      <alignment horizontal="center" vertical="center"/>
    </xf>
    <xf numFmtId="0" fontId="26" fillId="0" borderId="80" xfId="0" applyFont="1" applyBorder="1" applyAlignment="1">
      <alignment horizontal="center" vertical="center" wrapText="1"/>
    </xf>
    <xf numFmtId="14" fontId="45" fillId="16" borderId="58" xfId="0" applyNumberFormat="1" applyFont="1" applyFill="1" applyBorder="1" applyAlignment="1">
      <alignment horizontal="center"/>
    </xf>
    <xf numFmtId="14" fontId="44" fillId="16" borderId="58" xfId="0" applyNumberFormat="1" applyFont="1" applyFill="1" applyBorder="1" applyAlignment="1">
      <alignment horizontal="center"/>
    </xf>
    <xf numFmtId="1" fontId="44" fillId="0" borderId="58" xfId="0" applyNumberFormat="1" applyFont="1" applyBorder="1" applyAlignment="1">
      <alignment horizontal="center"/>
    </xf>
    <xf numFmtId="182" fontId="44" fillId="0" borderId="58" xfId="0" applyNumberFormat="1" applyFont="1" applyBorder="1" applyAlignment="1">
      <alignment horizontal="center"/>
    </xf>
    <xf numFmtId="180" fontId="57" fillId="0" borderId="4" xfId="0" applyNumberFormat="1" applyFont="1" applyBorder="1" applyAlignment="1">
      <alignment horizontal="center"/>
    </xf>
    <xf numFmtId="0" fontId="58" fillId="0" borderId="0" xfId="0" applyFont="1"/>
    <xf numFmtId="181" fontId="46" fillId="17" borderId="0" xfId="0" applyNumberFormat="1" applyFont="1" applyFill="1" applyAlignment="1">
      <alignment horizontal="left" vertical="center" wrapText="1"/>
    </xf>
    <xf numFmtId="0" fontId="46" fillId="0" borderId="0" xfId="0" applyFont="1" applyAlignment="1">
      <alignment horizontal="left" vertical="center" wrapText="1"/>
    </xf>
    <xf numFmtId="0" fontId="47" fillId="17" borderId="0" xfId="0" applyFont="1" applyFill="1" applyAlignment="1">
      <alignment horizontal="left" vertical="center" wrapText="1"/>
    </xf>
    <xf numFmtId="0" fontId="47" fillId="0" borderId="0" xfId="0" applyFont="1" applyAlignment="1">
      <alignment horizontal="left" vertical="center" wrapText="1"/>
    </xf>
    <xf numFmtId="185" fontId="47" fillId="17" borderId="0" xfId="0" applyNumberFormat="1" applyFont="1" applyFill="1" applyAlignment="1">
      <alignment horizontal="left" vertical="center" wrapText="1"/>
    </xf>
    <xf numFmtId="0" fontId="0" fillId="0" borderId="2" xfId="0" applyBorder="1"/>
    <xf numFmtId="14" fontId="0" fillId="0" borderId="43" xfId="0" applyNumberFormat="1" applyBorder="1" applyAlignment="1">
      <alignment horizontal="center"/>
    </xf>
    <xf numFmtId="0" fontId="0" fillId="17" borderId="3" xfId="0" applyFill="1" applyBorder="1"/>
    <xf numFmtId="0" fontId="0" fillId="0" borderId="0" xfId="0"/>
    <xf numFmtId="187" fontId="47" fillId="17" borderId="0" xfId="0" applyNumberFormat="1" applyFont="1" applyFill="1" applyAlignment="1">
      <alignment horizontal="left" vertical="center" wrapText="1"/>
    </xf>
    <xf numFmtId="0" fontId="9" fillId="2" borderId="28" xfId="0" applyFont="1" applyFill="1" applyBorder="1" applyAlignment="1">
      <alignment horizontal="left" wrapText="1"/>
    </xf>
    <xf numFmtId="0" fontId="9" fillId="2" borderId="28" xfId="0" applyFont="1" applyFill="1" applyBorder="1" applyAlignment="1">
      <alignment horizontal="center" wrapText="1"/>
    </xf>
    <xf numFmtId="49" fontId="9" fillId="2" borderId="28" xfId="0" applyNumberFormat="1" applyFont="1" applyFill="1" applyBorder="1" applyAlignment="1">
      <alignment horizontal="center" wrapText="1"/>
    </xf>
    <xf numFmtId="0" fontId="11" fillId="6" borderId="33" xfId="0" applyFont="1" applyFill="1" applyBorder="1" applyAlignment="1">
      <alignment horizontal="left" wrapText="1"/>
    </xf>
    <xf numFmtId="0" fontId="11" fillId="6" borderId="33" xfId="0" applyFont="1" applyFill="1" applyBorder="1" applyAlignment="1">
      <alignment horizontal="center" wrapText="1"/>
    </xf>
    <xf numFmtId="49" fontId="11" fillId="6" borderId="33" xfId="0" applyNumberFormat="1" applyFont="1" applyFill="1" applyBorder="1" applyAlignment="1">
      <alignment horizontal="center" wrapText="1"/>
    </xf>
    <xf numFmtId="0" fontId="10" fillId="0" borderId="33" xfId="0" applyFont="1" applyBorder="1" applyAlignment="1">
      <alignment horizontal="left" wrapText="1"/>
    </xf>
    <xf numFmtId="0" fontId="10" fillId="0" borderId="33" xfId="0" applyFont="1" applyBorder="1" applyAlignment="1">
      <alignment horizontal="center" wrapText="1"/>
    </xf>
    <xf numFmtId="49" fontId="10" fillId="0" borderId="33" xfId="0" applyNumberFormat="1" applyFont="1" applyBorder="1" applyAlignment="1">
      <alignment horizontal="center" wrapText="1"/>
    </xf>
    <xf numFmtId="0" fontId="13" fillId="6" borderId="3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55" xfId="0" applyFont="1" applyFill="1" applyBorder="1" applyAlignment="1">
      <alignment horizontal="left" vertical="center" wrapText="1"/>
    </xf>
    <xf numFmtId="0" fontId="4" fillId="5" borderId="62" xfId="0" applyFont="1" applyFill="1" applyBorder="1" applyAlignment="1">
      <alignment horizontal="left" wrapText="1"/>
    </xf>
    <xf numFmtId="0" fontId="9" fillId="2" borderId="33" xfId="0" applyFont="1" applyFill="1" applyBorder="1" applyAlignment="1">
      <alignment horizontal="left" wrapText="1"/>
    </xf>
    <xf numFmtId="0" fontId="9" fillId="2" borderId="33" xfId="0" applyFont="1" applyFill="1" applyBorder="1" applyAlignment="1">
      <alignment horizontal="center" wrapText="1"/>
    </xf>
    <xf numFmtId="0" fontId="11" fillId="6" borderId="28" xfId="0" applyFont="1" applyFill="1" applyBorder="1" applyAlignment="1">
      <alignment horizontal="left" wrapText="1"/>
    </xf>
    <xf numFmtId="0" fontId="11" fillId="6" borderId="28" xfId="0" applyFont="1" applyFill="1" applyBorder="1" applyAlignment="1">
      <alignment horizontal="center" wrapText="1"/>
    </xf>
  </cellXfs>
  <cellStyles count="1">
    <cellStyle name="Normal" xfId="0" builtinId="0"/>
  </cellStyles>
  <dxfs count="32">
    <dxf>
      <fill>
        <patternFill>
          <bgColor theme="5" tint="0.79989013336588644"/>
        </patternFill>
      </fill>
    </dxf>
    <dxf>
      <fill>
        <patternFill>
          <bgColor theme="5" tint="0.79989013336588644"/>
        </patternFill>
      </fill>
    </dxf>
    <dxf>
      <fill>
        <patternFill>
          <bgColor theme="5" tint="0.79989013336588644"/>
        </patternFill>
      </fill>
    </dxf>
    <dxf>
      <fill>
        <patternFill>
          <bgColor theme="5" tint="0.79989013336588644"/>
        </patternFill>
      </fill>
    </dxf>
    <dxf>
      <fill>
        <patternFill>
          <bgColor theme="5" tint="0.79989013336588644"/>
        </patternFill>
      </fill>
    </dxf>
    <dxf>
      <fill>
        <patternFill>
          <bgColor theme="5" tint="0.79989013336588644"/>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B8B8B"/>
      <rgbColor rgb="FF5B9BD5"/>
      <rgbColor rgb="FF993366"/>
      <rgbColor rgb="FFFFFFCC"/>
      <rgbColor rgb="FFF0F0F0"/>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F2F2F2"/>
      <rgbColor rgb="FFCCFFCC"/>
      <rgbColor rgb="FFFFFF99"/>
      <rgbColor rgb="FF66FFFF"/>
      <rgbColor rgb="FFF9A1FB"/>
      <rgbColor rgb="FFCC99FF"/>
      <rgbColor rgb="FFFBE5D6"/>
      <rgbColor rgb="FF3366FF"/>
      <rgbColor rgb="FF33CCCC"/>
      <rgbColor rgb="FF92D050"/>
      <rgbColor rgb="FFFFC000"/>
      <rgbColor rgb="FFFF9900"/>
      <rgbColor rgb="FFED7D3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CURVA S - ACUMULADO (%)</a:t>
            </a:r>
          </a:p>
        </c:rich>
      </c:tx>
      <c:overlay val="0"/>
      <c:spPr>
        <a:noFill/>
        <a:ln w="0">
          <a:noFill/>
        </a:ln>
      </c:spPr>
    </c:title>
    <c:autoTitleDeleted val="0"/>
    <c:plotArea>
      <c:layout/>
      <c:lineChart>
        <c:grouping val="standard"/>
        <c:varyColors val="0"/>
        <c:ser>
          <c:idx val="0"/>
          <c:order val="0"/>
          <c:tx>
            <c:v>% - PREVISTO ACUM.</c:v>
          </c:tx>
          <c:spPr>
            <a:ln w="19080">
              <a:solidFill>
                <a:srgbClr val="5B9BD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GRÁFICOS!$B$42:$S$42</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GRÁFICOS!$B$44:$S$44</c:f>
              <c:numCache>
                <c:formatCode>0.00%</c:formatCode>
                <c:ptCount val="18"/>
                <c:pt idx="0">
                  <c:v>1.3596697860475658E-3</c:v>
                </c:pt>
                <c:pt idx="1">
                  <c:v>6.3689711062791615E-2</c:v>
                </c:pt>
                <c:pt idx="2">
                  <c:v>0.12601975233953566</c:v>
                </c:pt>
                <c:pt idx="3">
                  <c:v>0.18834979361627971</c:v>
                </c:pt>
                <c:pt idx="4">
                  <c:v>0.25067983489302376</c:v>
                </c:pt>
                <c:pt idx="5">
                  <c:v>0.31300987616976783</c:v>
                </c:pt>
                <c:pt idx="6">
                  <c:v>0.37533991744651191</c:v>
                </c:pt>
                <c:pt idx="7">
                  <c:v>0.43766995872325598</c:v>
                </c:pt>
                <c:pt idx="8">
                  <c:v>0.5</c:v>
                </c:pt>
                <c:pt idx="9">
                  <c:v>0.56233004127674402</c:v>
                </c:pt>
                <c:pt idx="10">
                  <c:v>0.62466008255348804</c:v>
                </c:pt>
                <c:pt idx="11">
                  <c:v>0.68699012383023206</c:v>
                </c:pt>
                <c:pt idx="12">
                  <c:v>0.74932016510697608</c:v>
                </c:pt>
                <c:pt idx="13">
                  <c:v>0.8116502063837201</c:v>
                </c:pt>
                <c:pt idx="14">
                  <c:v>0.87398024766046412</c:v>
                </c:pt>
                <c:pt idx="15">
                  <c:v>0.93631028893720813</c:v>
                </c:pt>
                <c:pt idx="16">
                  <c:v>0.99864033021395215</c:v>
                </c:pt>
                <c:pt idx="17">
                  <c:v>0.99999999999999967</c:v>
                </c:pt>
              </c:numCache>
            </c:numRef>
          </c:val>
          <c:smooth val="1"/>
          <c:extLst>
            <c:ext xmlns:c16="http://schemas.microsoft.com/office/drawing/2014/chart" uri="{C3380CC4-5D6E-409C-BE32-E72D297353CC}">
              <c16:uniqueId val="{00000000-9391-41C8-9656-8F71D75A4B02}"/>
            </c:ext>
          </c:extLst>
        </c:ser>
        <c:ser>
          <c:idx val="1"/>
          <c:order val="1"/>
          <c:tx>
            <c:v>% - REALIZADO ACUM.</c:v>
          </c:tx>
          <c:spPr>
            <a:ln w="19080">
              <a:solidFill>
                <a:srgbClr val="ED7D3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GRÁFICOS!$B$42:$S$42</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GRÁFICOS!$B$46:$S$46</c:f>
              <c:numCache>
                <c:formatCode>0.00%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1"/>
          <c:extLst>
            <c:ext xmlns:c16="http://schemas.microsoft.com/office/drawing/2014/chart" uri="{C3380CC4-5D6E-409C-BE32-E72D297353CC}">
              <c16:uniqueId val="{00000001-9391-41C8-9656-8F71D75A4B02}"/>
            </c:ext>
          </c:extLst>
        </c:ser>
        <c:dLbls>
          <c:showLegendKey val="0"/>
          <c:showVal val="0"/>
          <c:showCatName val="0"/>
          <c:showSerName val="0"/>
          <c:showPercent val="0"/>
          <c:showBubbleSize val="0"/>
        </c:dLbls>
        <c:hiLowLines>
          <c:spPr>
            <a:ln w="0">
              <a:noFill/>
            </a:ln>
          </c:spPr>
        </c:hiLowLines>
        <c:smooth val="0"/>
        <c:axId val="39920742"/>
        <c:axId val="53366432"/>
      </c:lineChart>
      <c:catAx>
        <c:axId val="39920742"/>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3366432"/>
        <c:crosses val="autoZero"/>
        <c:auto val="1"/>
        <c:lblAlgn val="ctr"/>
        <c:lblOffset val="100"/>
        <c:noMultiLvlLbl val="0"/>
      </c:catAx>
      <c:valAx>
        <c:axId val="53366432"/>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992074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CURVA S - ACUMULADO (R$ mil)</a:t>
            </a:r>
          </a:p>
        </c:rich>
      </c:tx>
      <c:overlay val="0"/>
      <c:spPr>
        <a:noFill/>
        <a:ln w="0">
          <a:noFill/>
        </a:ln>
      </c:spPr>
    </c:title>
    <c:autoTitleDeleted val="0"/>
    <c:plotArea>
      <c:layout/>
      <c:lineChart>
        <c:grouping val="standard"/>
        <c:varyColors val="0"/>
        <c:ser>
          <c:idx val="0"/>
          <c:order val="0"/>
          <c:tx>
            <c:v>PREVISTO ACUM. R$/1000</c:v>
          </c:tx>
          <c:spPr>
            <a:ln w="19080">
              <a:solidFill>
                <a:srgbClr val="5B9BD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GRÁFICOS!$B$90:$S$90</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GRÁFICOS!$B$92:$S$92</c:f>
              <c:numCache>
                <c:formatCode>"R$ "#,##0.00</c:formatCode>
                <c:ptCount val="18"/>
                <c:pt idx="0">
                  <c:v>67.818627515581497</c:v>
                </c:pt>
                <c:pt idx="1">
                  <c:v>3176.763090175315</c:v>
                </c:pt>
                <c:pt idx="2">
                  <c:v>6285.7075528350488</c:v>
                </c:pt>
                <c:pt idx="3">
                  <c:v>9394.652015494783</c:v>
                </c:pt>
                <c:pt idx="4">
                  <c:v>12503.596478154517</c:v>
                </c:pt>
                <c:pt idx="5">
                  <c:v>15612.540940814251</c:v>
                </c:pt>
                <c:pt idx="6">
                  <c:v>18721.485403473984</c:v>
                </c:pt>
                <c:pt idx="7">
                  <c:v>21830.429866133716</c:v>
                </c:pt>
                <c:pt idx="8">
                  <c:v>24939.374328793449</c:v>
                </c:pt>
                <c:pt idx="9">
                  <c:v>28048.318791453181</c:v>
                </c:pt>
                <c:pt idx="10">
                  <c:v>31157.263254112913</c:v>
                </c:pt>
                <c:pt idx="11">
                  <c:v>34266.207716772646</c:v>
                </c:pt>
                <c:pt idx="12">
                  <c:v>37375.152179432378</c:v>
                </c:pt>
                <c:pt idx="13">
                  <c:v>40484.09664209211</c:v>
                </c:pt>
                <c:pt idx="14">
                  <c:v>43593.041104751843</c:v>
                </c:pt>
                <c:pt idx="15">
                  <c:v>46701.985567411575</c:v>
                </c:pt>
                <c:pt idx="16">
                  <c:v>49810.930030071308</c:v>
                </c:pt>
                <c:pt idx="17">
                  <c:v>49878.74865758689</c:v>
                </c:pt>
              </c:numCache>
            </c:numRef>
          </c:val>
          <c:smooth val="1"/>
          <c:extLst>
            <c:ext xmlns:c16="http://schemas.microsoft.com/office/drawing/2014/chart" uri="{C3380CC4-5D6E-409C-BE32-E72D297353CC}">
              <c16:uniqueId val="{00000000-0ABA-4A41-B13D-EFBE7E55C51B}"/>
            </c:ext>
          </c:extLst>
        </c:ser>
        <c:ser>
          <c:idx val="1"/>
          <c:order val="1"/>
          <c:tx>
            <c:v>REALIZADO ACUM. R$/1000</c:v>
          </c:tx>
          <c:spPr>
            <a:ln w="19080">
              <a:solidFill>
                <a:srgbClr val="ED7D3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GRÁFICOS!$B$90:$S$90</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GRÁFICOS!$B$94:$S$94</c:f>
              <c:numCache>
                <c:formatCode>"R$ "#,##0.00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1"/>
          <c:extLst>
            <c:ext xmlns:c16="http://schemas.microsoft.com/office/drawing/2014/chart" uri="{C3380CC4-5D6E-409C-BE32-E72D297353CC}">
              <c16:uniqueId val="{00000001-0ABA-4A41-B13D-EFBE7E55C51B}"/>
            </c:ext>
          </c:extLst>
        </c:ser>
        <c:dLbls>
          <c:showLegendKey val="0"/>
          <c:showVal val="0"/>
          <c:showCatName val="0"/>
          <c:showSerName val="0"/>
          <c:showPercent val="0"/>
          <c:showBubbleSize val="0"/>
        </c:dLbls>
        <c:hiLowLines>
          <c:spPr>
            <a:ln w="0">
              <a:noFill/>
            </a:ln>
          </c:spPr>
        </c:hiLowLines>
        <c:smooth val="0"/>
        <c:axId val="49428679"/>
        <c:axId val="70974392"/>
      </c:lineChart>
      <c:catAx>
        <c:axId val="49428679"/>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0974392"/>
        <c:crosses val="autoZero"/>
        <c:auto val="1"/>
        <c:lblAlgn val="ctr"/>
        <c:lblOffset val="100"/>
        <c:noMultiLvlLbl val="0"/>
      </c:catAx>
      <c:valAx>
        <c:axId val="70974392"/>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 mil</a:t>
                </a:r>
              </a:p>
            </c:rich>
          </c:tx>
          <c:overlay val="0"/>
          <c:spPr>
            <a:noFill/>
            <a:ln w="0">
              <a:noFill/>
            </a:ln>
          </c:spPr>
        </c:title>
        <c:numFmt formatCode="&quot;R$ &quot;#,##0.00"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4942867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FATURAMENTO MENSAL (R$ mil)</a:t>
            </a:r>
          </a:p>
        </c:rich>
      </c:tx>
      <c:overlay val="0"/>
      <c:spPr>
        <a:noFill/>
        <a:ln w="0">
          <a:noFill/>
        </a:ln>
      </c:spPr>
    </c:title>
    <c:autoTitleDeleted val="0"/>
    <c:plotArea>
      <c:layout/>
      <c:barChart>
        <c:barDir val="col"/>
        <c:grouping val="clustered"/>
        <c:varyColors val="0"/>
        <c:ser>
          <c:idx val="0"/>
          <c:order val="0"/>
          <c:tx>
            <c:v>PREVISTO R$/1000</c:v>
          </c:tx>
          <c:spPr>
            <a:solidFill>
              <a:srgbClr val="5B9BD5"/>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GRÁFICOS!$B$145:$S$145</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GRÁFICOS!$B$146:$S$146</c:f>
              <c:numCache>
                <c:formatCode>"R$ "#,##0.00</c:formatCode>
                <c:ptCount val="18"/>
                <c:pt idx="0">
                  <c:v>67.818627515581497</c:v>
                </c:pt>
                <c:pt idx="1">
                  <c:v>3108.9444626597337</c:v>
                </c:pt>
                <c:pt idx="2">
                  <c:v>3108.9444626597337</c:v>
                </c:pt>
                <c:pt idx="3">
                  <c:v>3108.9444626597337</c:v>
                </c:pt>
                <c:pt idx="4">
                  <c:v>3108.9444626597337</c:v>
                </c:pt>
                <c:pt idx="5">
                  <c:v>3108.9444626597337</c:v>
                </c:pt>
                <c:pt idx="6">
                  <c:v>3108.9444626597337</c:v>
                </c:pt>
                <c:pt idx="7">
                  <c:v>3108.9444626597337</c:v>
                </c:pt>
                <c:pt idx="8">
                  <c:v>3108.9444626597337</c:v>
                </c:pt>
                <c:pt idx="9">
                  <c:v>3108.9444626597337</c:v>
                </c:pt>
                <c:pt idx="10">
                  <c:v>3108.9444626597337</c:v>
                </c:pt>
                <c:pt idx="11">
                  <c:v>3108.9444626597337</c:v>
                </c:pt>
                <c:pt idx="12">
                  <c:v>3108.9444626597337</c:v>
                </c:pt>
                <c:pt idx="13">
                  <c:v>3108.9444626597337</c:v>
                </c:pt>
                <c:pt idx="14">
                  <c:v>3108.9444626597337</c:v>
                </c:pt>
                <c:pt idx="15">
                  <c:v>3108.9444626597337</c:v>
                </c:pt>
                <c:pt idx="16">
                  <c:v>3108.9444626597337</c:v>
                </c:pt>
                <c:pt idx="17">
                  <c:v>67.818627515581497</c:v>
                </c:pt>
              </c:numCache>
            </c:numRef>
          </c:val>
          <c:extLst>
            <c:ext xmlns:c16="http://schemas.microsoft.com/office/drawing/2014/chart" uri="{C3380CC4-5D6E-409C-BE32-E72D297353CC}">
              <c16:uniqueId val="{00000000-CFA6-4436-A6D5-80F8E055092D}"/>
            </c:ext>
          </c:extLst>
        </c:ser>
        <c:ser>
          <c:idx val="1"/>
          <c:order val="1"/>
          <c:tx>
            <c:v>REALIZADO R$/1000</c:v>
          </c:tx>
          <c:spPr>
            <a:solidFill>
              <a:srgbClr val="ED7D31"/>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GRÁFICOS!$B$145:$S$145</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GRÁFICOS!$B$148:$S$148</c:f>
              <c:numCache>
                <c:formatCode>"R$ "#,##0.00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CFA6-4436-A6D5-80F8E055092D}"/>
            </c:ext>
          </c:extLst>
        </c:ser>
        <c:dLbls>
          <c:showLegendKey val="0"/>
          <c:showVal val="0"/>
          <c:showCatName val="0"/>
          <c:showSerName val="0"/>
          <c:showPercent val="0"/>
          <c:showBubbleSize val="0"/>
        </c:dLbls>
        <c:gapWidth val="150"/>
        <c:axId val="17756386"/>
        <c:axId val="82300173"/>
      </c:barChart>
      <c:catAx>
        <c:axId val="17756386"/>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82300173"/>
        <c:crosses val="autoZero"/>
        <c:auto val="1"/>
        <c:lblAlgn val="ctr"/>
        <c:lblOffset val="100"/>
        <c:noMultiLvlLbl val="0"/>
      </c:catAx>
      <c:valAx>
        <c:axId val="82300173"/>
        <c:scaling>
          <c:orientation val="minMax"/>
        </c:scaling>
        <c:delete val="0"/>
        <c:axPos val="l"/>
        <c:majorGridlines>
          <c:spPr>
            <a:ln w="6480">
              <a:solidFill>
                <a:srgbClr val="8B8B8B"/>
              </a:solidFill>
              <a:round/>
            </a:ln>
          </c:spPr>
        </c:majorGridlines>
        <c:numFmt formatCode="&quot;R$ &quot;#,##0.00"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1775638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AVANÇO MENSAL (%)</a:t>
            </a:r>
          </a:p>
        </c:rich>
      </c:tx>
      <c:overlay val="0"/>
      <c:spPr>
        <a:noFill/>
        <a:ln w="0">
          <a:noFill/>
        </a:ln>
      </c:spPr>
    </c:title>
    <c:autoTitleDeleted val="0"/>
    <c:plotArea>
      <c:layout/>
      <c:barChart>
        <c:barDir val="col"/>
        <c:grouping val="clustered"/>
        <c:varyColors val="0"/>
        <c:ser>
          <c:idx val="0"/>
          <c:order val="0"/>
          <c:tx>
            <c:v>% - PREVISTO</c:v>
          </c:tx>
          <c:spPr>
            <a:solidFill>
              <a:srgbClr val="5B9BD5"/>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GRÁFICOS!$B$193:$S$193</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GRÁFICOS!$B$194:$S$194</c:f>
              <c:numCache>
                <c:formatCode>0.00%</c:formatCode>
                <c:ptCount val="18"/>
                <c:pt idx="0">
                  <c:v>1.3596697860475658E-3</c:v>
                </c:pt>
                <c:pt idx="1">
                  <c:v>6.2330041276744054E-2</c:v>
                </c:pt>
                <c:pt idx="2">
                  <c:v>6.2330041276744054E-2</c:v>
                </c:pt>
                <c:pt idx="3">
                  <c:v>6.2330041276744054E-2</c:v>
                </c:pt>
                <c:pt idx="4">
                  <c:v>6.2330041276744054E-2</c:v>
                </c:pt>
                <c:pt idx="5">
                  <c:v>6.2330041276744054E-2</c:v>
                </c:pt>
                <c:pt idx="6">
                  <c:v>6.2330041276744054E-2</c:v>
                </c:pt>
                <c:pt idx="7">
                  <c:v>6.2330041276744054E-2</c:v>
                </c:pt>
                <c:pt idx="8">
                  <c:v>6.2330041276744054E-2</c:v>
                </c:pt>
                <c:pt idx="9">
                  <c:v>6.2330041276744054E-2</c:v>
                </c:pt>
                <c:pt idx="10">
                  <c:v>6.2330041276744054E-2</c:v>
                </c:pt>
                <c:pt idx="11">
                  <c:v>6.2330041276744054E-2</c:v>
                </c:pt>
                <c:pt idx="12">
                  <c:v>6.2330041276744054E-2</c:v>
                </c:pt>
                <c:pt idx="13">
                  <c:v>6.2330041276744054E-2</c:v>
                </c:pt>
                <c:pt idx="14">
                  <c:v>6.2330041276744054E-2</c:v>
                </c:pt>
                <c:pt idx="15">
                  <c:v>6.2330041276744054E-2</c:v>
                </c:pt>
                <c:pt idx="16">
                  <c:v>6.2330041276744054E-2</c:v>
                </c:pt>
                <c:pt idx="17">
                  <c:v>1.3596697860475658E-3</c:v>
                </c:pt>
              </c:numCache>
            </c:numRef>
          </c:val>
          <c:extLst>
            <c:ext xmlns:c16="http://schemas.microsoft.com/office/drawing/2014/chart" uri="{C3380CC4-5D6E-409C-BE32-E72D297353CC}">
              <c16:uniqueId val="{00000000-B80C-4866-AE46-015AAFD39868}"/>
            </c:ext>
          </c:extLst>
        </c:ser>
        <c:ser>
          <c:idx val="1"/>
          <c:order val="1"/>
          <c:tx>
            <c:v>% - REALIZADO</c:v>
          </c:tx>
          <c:spPr>
            <a:solidFill>
              <a:srgbClr val="ED7D31"/>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GRÁFICOS!$B$193:$S$193</c:f>
              <c:strCache>
                <c:ptCount val="18"/>
                <c:pt idx="0">
                  <c:v>MÊS 01</c:v>
                </c:pt>
                <c:pt idx="1">
                  <c:v>MÊS 02</c:v>
                </c:pt>
                <c:pt idx="2">
                  <c:v>MÊS 03</c:v>
                </c:pt>
                <c:pt idx="3">
                  <c:v>MÊS 04</c:v>
                </c:pt>
                <c:pt idx="4">
                  <c:v>MÊS 05</c:v>
                </c:pt>
                <c:pt idx="5">
                  <c:v>MÊS 06</c:v>
                </c:pt>
                <c:pt idx="6">
                  <c:v>MÊS 07</c:v>
                </c:pt>
                <c:pt idx="7">
                  <c:v>MÊS 08</c:v>
                </c:pt>
                <c:pt idx="8">
                  <c:v>MÊS 09</c:v>
                </c:pt>
                <c:pt idx="9">
                  <c:v>MÊS 10</c:v>
                </c:pt>
                <c:pt idx="10">
                  <c:v>MÊS 11</c:v>
                </c:pt>
                <c:pt idx="11">
                  <c:v>MÊS 12</c:v>
                </c:pt>
                <c:pt idx="12">
                  <c:v>MÊS 13</c:v>
                </c:pt>
                <c:pt idx="13">
                  <c:v>MÊS 14</c:v>
                </c:pt>
                <c:pt idx="14">
                  <c:v>MÊS 15</c:v>
                </c:pt>
                <c:pt idx="15">
                  <c:v>MÊS 16</c:v>
                </c:pt>
                <c:pt idx="16">
                  <c:v>MÊS 17</c:v>
                </c:pt>
                <c:pt idx="17">
                  <c:v>MÊS 18</c:v>
                </c:pt>
              </c:strCache>
            </c:strRef>
          </c:cat>
          <c:val>
            <c:numRef>
              <c:f>GRÁFICOS!$B$196:$S$196</c:f>
              <c:numCache>
                <c:formatCode>0.00%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B80C-4866-AE46-015AAFD39868}"/>
            </c:ext>
          </c:extLst>
        </c:ser>
        <c:dLbls>
          <c:showLegendKey val="0"/>
          <c:showVal val="0"/>
          <c:showCatName val="0"/>
          <c:showSerName val="0"/>
          <c:showPercent val="0"/>
          <c:showBubbleSize val="0"/>
        </c:dLbls>
        <c:gapWidth val="150"/>
        <c:axId val="74522152"/>
        <c:axId val="26883438"/>
      </c:barChart>
      <c:catAx>
        <c:axId val="74522152"/>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6883438"/>
        <c:crosses val="autoZero"/>
        <c:auto val="1"/>
        <c:lblAlgn val="ctr"/>
        <c:lblOffset val="100"/>
        <c:noMultiLvlLbl val="0"/>
      </c:catAx>
      <c:valAx>
        <c:axId val="26883438"/>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452215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55</xdr:col>
      <xdr:colOff>85680</xdr:colOff>
      <xdr:row>0</xdr:row>
      <xdr:rowOff>29160</xdr:rowOff>
    </xdr:from>
    <xdr:to>
      <xdr:col>56</xdr:col>
      <xdr:colOff>677307</xdr:colOff>
      <xdr:row>1</xdr:row>
      <xdr:rowOff>236454</xdr:rowOff>
    </xdr:to>
    <xdr:pic>
      <xdr:nvPicPr>
        <xdr:cNvPr id="2" name="Imagem 1" descr="Logotipo&#10;&#10;Descrição gerada automaticament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9355480" y="29160"/>
          <a:ext cx="1350720" cy="4518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318240</xdr:colOff>
      <xdr:row>0</xdr:row>
      <xdr:rowOff>28440</xdr:rowOff>
    </xdr:from>
    <xdr:to>
      <xdr:col>18</xdr:col>
      <xdr:colOff>628560</xdr:colOff>
      <xdr:row>2</xdr:row>
      <xdr:rowOff>14252</xdr:rowOff>
    </xdr:to>
    <xdr:pic>
      <xdr:nvPicPr>
        <xdr:cNvPr id="2" name="Imagem 1" descr="Logotipo&#10;&#10;Descrição gerada automaticament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22556520" y="28440"/>
          <a:ext cx="1423440" cy="4827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473040</xdr:colOff>
      <xdr:row>0</xdr:row>
      <xdr:rowOff>28440</xdr:rowOff>
    </xdr:from>
    <xdr:to>
      <xdr:col>23</xdr:col>
      <xdr:colOff>2381400</xdr:colOff>
      <xdr:row>2</xdr:row>
      <xdr:rowOff>35640</xdr:rowOff>
    </xdr:to>
    <xdr:pic>
      <xdr:nvPicPr>
        <xdr:cNvPr id="2" name="Imagem 2" descr="Logotipo&#10;&#10;Descrição gerada automaticament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26983800" y="28440"/>
          <a:ext cx="1908360" cy="635760"/>
        </a:xfrm>
        <a:prstGeom prst="rect">
          <a:avLst/>
        </a:prstGeom>
        <a:ln w="0">
          <a:noFill/>
        </a:ln>
      </xdr:spPr>
    </xdr:pic>
    <xdr:clientData/>
  </xdr:twoCellAnchor>
  <xdr:twoCellAnchor editAs="oneCell">
    <xdr:from>
      <xdr:col>23</xdr:col>
      <xdr:colOff>473040</xdr:colOff>
      <xdr:row>92</xdr:row>
      <xdr:rowOff>28440</xdr:rowOff>
    </xdr:from>
    <xdr:to>
      <xdr:col>23</xdr:col>
      <xdr:colOff>2381400</xdr:colOff>
      <xdr:row>94</xdr:row>
      <xdr:rowOff>35640</xdr:rowOff>
    </xdr:to>
    <xdr:pic>
      <xdr:nvPicPr>
        <xdr:cNvPr id="3" name="Imagem 2" descr="Logotipo&#10;&#10;Descrição gerada automaticament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26983800" y="18525960"/>
          <a:ext cx="1908360" cy="635760"/>
        </a:xfrm>
        <a:prstGeom prst="rect">
          <a:avLst/>
        </a:prstGeom>
        <a:ln w="0">
          <a:noFill/>
        </a:ln>
      </xdr:spPr>
    </xdr:pic>
    <xdr:clientData/>
  </xdr:twoCellAnchor>
  <xdr:twoCellAnchor editAs="oneCell">
    <xdr:from>
      <xdr:col>23</xdr:col>
      <xdr:colOff>473040</xdr:colOff>
      <xdr:row>184</xdr:row>
      <xdr:rowOff>28440</xdr:rowOff>
    </xdr:from>
    <xdr:to>
      <xdr:col>23</xdr:col>
      <xdr:colOff>2381400</xdr:colOff>
      <xdr:row>186</xdr:row>
      <xdr:rowOff>35640</xdr:rowOff>
    </xdr:to>
    <xdr:pic>
      <xdr:nvPicPr>
        <xdr:cNvPr id="4" name="Imagem 2" descr="Logotipo&#10;&#10;Descrição gerada automaticament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xdr:blipFill>
      <xdr:spPr>
        <a:xfrm>
          <a:off x="26983800" y="37023480"/>
          <a:ext cx="1908360" cy="635760"/>
        </a:xfrm>
        <a:prstGeom prst="rect">
          <a:avLst/>
        </a:prstGeom>
        <a:ln w="0">
          <a:noFill/>
        </a:ln>
      </xdr:spPr>
    </xdr:pic>
    <xdr:clientData/>
  </xdr:twoCellAnchor>
  <xdr:twoCellAnchor editAs="oneCell">
    <xdr:from>
      <xdr:col>23</xdr:col>
      <xdr:colOff>473040</xdr:colOff>
      <xdr:row>276</xdr:row>
      <xdr:rowOff>28440</xdr:rowOff>
    </xdr:from>
    <xdr:to>
      <xdr:col>23</xdr:col>
      <xdr:colOff>2381400</xdr:colOff>
      <xdr:row>278</xdr:row>
      <xdr:rowOff>35280</xdr:rowOff>
    </xdr:to>
    <xdr:pic>
      <xdr:nvPicPr>
        <xdr:cNvPr id="5" name="Imagem 2" descr="Logotipo&#10;&#10;Descrição gerada automaticament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1"/>
        <a:stretch/>
      </xdr:blipFill>
      <xdr:spPr>
        <a:xfrm>
          <a:off x="26983800" y="55521000"/>
          <a:ext cx="1908360" cy="635760"/>
        </a:xfrm>
        <a:prstGeom prst="rect">
          <a:avLst/>
        </a:prstGeom>
        <a:ln w="0">
          <a:noFill/>
        </a:ln>
      </xdr:spPr>
    </xdr:pic>
    <xdr:clientData/>
  </xdr:twoCellAnchor>
  <xdr:twoCellAnchor editAs="oneCell">
    <xdr:from>
      <xdr:col>23</xdr:col>
      <xdr:colOff>473040</xdr:colOff>
      <xdr:row>368</xdr:row>
      <xdr:rowOff>28440</xdr:rowOff>
    </xdr:from>
    <xdr:to>
      <xdr:col>23</xdr:col>
      <xdr:colOff>2381400</xdr:colOff>
      <xdr:row>370</xdr:row>
      <xdr:rowOff>35280</xdr:rowOff>
    </xdr:to>
    <xdr:pic>
      <xdr:nvPicPr>
        <xdr:cNvPr id="6" name="Imagem 2" descr="Logotipo&#10;&#10;Descrição gerada automaticament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1"/>
        <a:stretch/>
      </xdr:blipFill>
      <xdr:spPr>
        <a:xfrm>
          <a:off x="26983800" y="74018520"/>
          <a:ext cx="1908360" cy="635760"/>
        </a:xfrm>
        <a:prstGeom prst="rect">
          <a:avLst/>
        </a:prstGeom>
        <a:ln w="0">
          <a:noFill/>
        </a:ln>
      </xdr:spPr>
    </xdr:pic>
    <xdr:clientData/>
  </xdr:twoCellAnchor>
  <xdr:twoCellAnchor editAs="oneCell">
    <xdr:from>
      <xdr:col>23</xdr:col>
      <xdr:colOff>473040</xdr:colOff>
      <xdr:row>460</xdr:row>
      <xdr:rowOff>28440</xdr:rowOff>
    </xdr:from>
    <xdr:to>
      <xdr:col>23</xdr:col>
      <xdr:colOff>2381400</xdr:colOff>
      <xdr:row>462</xdr:row>
      <xdr:rowOff>35280</xdr:rowOff>
    </xdr:to>
    <xdr:pic>
      <xdr:nvPicPr>
        <xdr:cNvPr id="7" name="Imagem 2" descr="Logotipo&#10;&#10;Descrição gerada automaticament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1"/>
        <a:stretch/>
      </xdr:blipFill>
      <xdr:spPr>
        <a:xfrm>
          <a:off x="26983800" y="92516040"/>
          <a:ext cx="1908360" cy="635760"/>
        </a:xfrm>
        <a:prstGeom prst="rect">
          <a:avLst/>
        </a:prstGeom>
        <a:ln w="0">
          <a:noFill/>
        </a:ln>
      </xdr:spPr>
    </xdr:pic>
    <xdr:clientData/>
  </xdr:twoCellAnchor>
  <xdr:twoCellAnchor editAs="oneCell">
    <xdr:from>
      <xdr:col>23</xdr:col>
      <xdr:colOff>473040</xdr:colOff>
      <xdr:row>552</xdr:row>
      <xdr:rowOff>28440</xdr:rowOff>
    </xdr:from>
    <xdr:to>
      <xdr:col>23</xdr:col>
      <xdr:colOff>2381400</xdr:colOff>
      <xdr:row>554</xdr:row>
      <xdr:rowOff>35640</xdr:rowOff>
    </xdr:to>
    <xdr:pic>
      <xdr:nvPicPr>
        <xdr:cNvPr id="8" name="Imagem 2" descr="Logotipo&#10;&#10;Descrição gerada automaticament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1"/>
        <a:stretch/>
      </xdr:blipFill>
      <xdr:spPr>
        <a:xfrm>
          <a:off x="26983800" y="111013920"/>
          <a:ext cx="1908360" cy="635760"/>
        </a:xfrm>
        <a:prstGeom prst="rect">
          <a:avLst/>
        </a:prstGeom>
        <a:ln w="0">
          <a:noFill/>
        </a:ln>
      </xdr:spPr>
    </xdr:pic>
    <xdr:clientData/>
  </xdr:twoCellAnchor>
  <xdr:twoCellAnchor editAs="oneCell">
    <xdr:from>
      <xdr:col>23</xdr:col>
      <xdr:colOff>473040</xdr:colOff>
      <xdr:row>644</xdr:row>
      <xdr:rowOff>28440</xdr:rowOff>
    </xdr:from>
    <xdr:to>
      <xdr:col>23</xdr:col>
      <xdr:colOff>2381400</xdr:colOff>
      <xdr:row>646</xdr:row>
      <xdr:rowOff>35640</xdr:rowOff>
    </xdr:to>
    <xdr:pic>
      <xdr:nvPicPr>
        <xdr:cNvPr id="9" name="Imagem 2" descr="Logotipo&#10;&#10;Descrição gerada automaticament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1"/>
        <a:stretch/>
      </xdr:blipFill>
      <xdr:spPr>
        <a:xfrm>
          <a:off x="26983800" y="129511440"/>
          <a:ext cx="1908360" cy="635760"/>
        </a:xfrm>
        <a:prstGeom prst="rect">
          <a:avLst/>
        </a:prstGeom>
        <a:ln w="0">
          <a:noFill/>
        </a:ln>
      </xdr:spPr>
    </xdr:pic>
    <xdr:clientData/>
  </xdr:twoCellAnchor>
  <xdr:twoCellAnchor editAs="oneCell">
    <xdr:from>
      <xdr:col>23</xdr:col>
      <xdr:colOff>473040</xdr:colOff>
      <xdr:row>736</xdr:row>
      <xdr:rowOff>28440</xdr:rowOff>
    </xdr:from>
    <xdr:to>
      <xdr:col>23</xdr:col>
      <xdr:colOff>2381400</xdr:colOff>
      <xdr:row>738</xdr:row>
      <xdr:rowOff>35640</xdr:rowOff>
    </xdr:to>
    <xdr:pic>
      <xdr:nvPicPr>
        <xdr:cNvPr id="10" name="Imagem 2" descr="Logotipo&#10;&#10;Descrição gerada automaticament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1"/>
        <a:stretch/>
      </xdr:blipFill>
      <xdr:spPr>
        <a:xfrm>
          <a:off x="26983800" y="148008960"/>
          <a:ext cx="1908360" cy="635760"/>
        </a:xfrm>
        <a:prstGeom prst="rect">
          <a:avLst/>
        </a:prstGeom>
        <a:ln w="0">
          <a:noFill/>
        </a:ln>
      </xdr:spPr>
    </xdr:pic>
    <xdr:clientData/>
  </xdr:twoCellAnchor>
  <xdr:twoCellAnchor editAs="oneCell">
    <xdr:from>
      <xdr:col>23</xdr:col>
      <xdr:colOff>473040</xdr:colOff>
      <xdr:row>828</xdr:row>
      <xdr:rowOff>28440</xdr:rowOff>
    </xdr:from>
    <xdr:to>
      <xdr:col>23</xdr:col>
      <xdr:colOff>2381400</xdr:colOff>
      <xdr:row>830</xdr:row>
      <xdr:rowOff>35640</xdr:rowOff>
    </xdr:to>
    <xdr:pic>
      <xdr:nvPicPr>
        <xdr:cNvPr id="11" name="Imagem 2" descr="Logotipo&#10;&#10;Descrição gerada automaticament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
        <a:stretch/>
      </xdr:blipFill>
      <xdr:spPr>
        <a:xfrm>
          <a:off x="26983800" y="166506480"/>
          <a:ext cx="1908360" cy="635760"/>
        </a:xfrm>
        <a:prstGeom prst="rect">
          <a:avLst/>
        </a:prstGeom>
        <a:ln w="0">
          <a:noFill/>
        </a:ln>
      </xdr:spPr>
    </xdr:pic>
    <xdr:clientData/>
  </xdr:twoCellAnchor>
  <xdr:twoCellAnchor editAs="oneCell">
    <xdr:from>
      <xdr:col>23</xdr:col>
      <xdr:colOff>473040</xdr:colOff>
      <xdr:row>920</xdr:row>
      <xdr:rowOff>28440</xdr:rowOff>
    </xdr:from>
    <xdr:to>
      <xdr:col>23</xdr:col>
      <xdr:colOff>2381400</xdr:colOff>
      <xdr:row>922</xdr:row>
      <xdr:rowOff>35640</xdr:rowOff>
    </xdr:to>
    <xdr:pic>
      <xdr:nvPicPr>
        <xdr:cNvPr id="12" name="Imagem 2" descr="Logotipo&#10;&#10;Descrição gerada automaticament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
        <a:stretch/>
      </xdr:blipFill>
      <xdr:spPr>
        <a:xfrm>
          <a:off x="26983800" y="185004000"/>
          <a:ext cx="1908360" cy="635760"/>
        </a:xfrm>
        <a:prstGeom prst="rect">
          <a:avLst/>
        </a:prstGeom>
        <a:ln w="0">
          <a:noFill/>
        </a:ln>
      </xdr:spPr>
    </xdr:pic>
    <xdr:clientData/>
  </xdr:twoCellAnchor>
  <xdr:twoCellAnchor editAs="oneCell">
    <xdr:from>
      <xdr:col>23</xdr:col>
      <xdr:colOff>473040</xdr:colOff>
      <xdr:row>1012</xdr:row>
      <xdr:rowOff>28440</xdr:rowOff>
    </xdr:from>
    <xdr:to>
      <xdr:col>23</xdr:col>
      <xdr:colOff>2381400</xdr:colOff>
      <xdr:row>1014</xdr:row>
      <xdr:rowOff>35640</xdr:rowOff>
    </xdr:to>
    <xdr:pic>
      <xdr:nvPicPr>
        <xdr:cNvPr id="13" name="Imagem 2" descr="Logotipo&#10;&#10;Descrição gerada automaticament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
        <a:stretch/>
      </xdr:blipFill>
      <xdr:spPr>
        <a:xfrm>
          <a:off x="26983800" y="203501520"/>
          <a:ext cx="1908360" cy="635760"/>
        </a:xfrm>
        <a:prstGeom prst="rect">
          <a:avLst/>
        </a:prstGeom>
        <a:ln w="0">
          <a:noFill/>
        </a:ln>
      </xdr:spPr>
    </xdr:pic>
    <xdr:clientData/>
  </xdr:twoCellAnchor>
  <xdr:twoCellAnchor editAs="oneCell">
    <xdr:from>
      <xdr:col>23</xdr:col>
      <xdr:colOff>473040</xdr:colOff>
      <xdr:row>1104</xdr:row>
      <xdr:rowOff>28440</xdr:rowOff>
    </xdr:from>
    <xdr:to>
      <xdr:col>23</xdr:col>
      <xdr:colOff>2381400</xdr:colOff>
      <xdr:row>1106</xdr:row>
      <xdr:rowOff>35640</xdr:rowOff>
    </xdr:to>
    <xdr:pic>
      <xdr:nvPicPr>
        <xdr:cNvPr id="14" name="Imagem 2" descr="Logotipo&#10;&#10;Descrição gerada automaticamente">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
        <a:stretch/>
      </xdr:blipFill>
      <xdr:spPr>
        <a:xfrm>
          <a:off x="26983800" y="221999040"/>
          <a:ext cx="1908360" cy="635760"/>
        </a:xfrm>
        <a:prstGeom prst="rect">
          <a:avLst/>
        </a:prstGeom>
        <a:ln w="0">
          <a:noFill/>
        </a:ln>
      </xdr:spPr>
    </xdr:pic>
    <xdr:clientData/>
  </xdr:twoCellAnchor>
  <xdr:twoCellAnchor editAs="oneCell">
    <xdr:from>
      <xdr:col>23</xdr:col>
      <xdr:colOff>473040</xdr:colOff>
      <xdr:row>1196</xdr:row>
      <xdr:rowOff>28440</xdr:rowOff>
    </xdr:from>
    <xdr:to>
      <xdr:col>23</xdr:col>
      <xdr:colOff>2381400</xdr:colOff>
      <xdr:row>1198</xdr:row>
      <xdr:rowOff>35640</xdr:rowOff>
    </xdr:to>
    <xdr:pic>
      <xdr:nvPicPr>
        <xdr:cNvPr id="15" name="Imagem 2" descr="Logotipo&#10;&#10;Descrição gerada automaticamente">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
        <a:stretch/>
      </xdr:blipFill>
      <xdr:spPr>
        <a:xfrm>
          <a:off x="26983800" y="240496560"/>
          <a:ext cx="1908360" cy="635760"/>
        </a:xfrm>
        <a:prstGeom prst="rect">
          <a:avLst/>
        </a:prstGeom>
        <a:ln w="0">
          <a:noFill/>
        </a:ln>
      </xdr:spPr>
    </xdr:pic>
    <xdr:clientData/>
  </xdr:twoCellAnchor>
  <xdr:twoCellAnchor editAs="oneCell">
    <xdr:from>
      <xdr:col>23</xdr:col>
      <xdr:colOff>473040</xdr:colOff>
      <xdr:row>1288</xdr:row>
      <xdr:rowOff>28440</xdr:rowOff>
    </xdr:from>
    <xdr:to>
      <xdr:col>23</xdr:col>
      <xdr:colOff>2381400</xdr:colOff>
      <xdr:row>1290</xdr:row>
      <xdr:rowOff>35640</xdr:rowOff>
    </xdr:to>
    <xdr:pic>
      <xdr:nvPicPr>
        <xdr:cNvPr id="16" name="Imagem 2" descr="Logotipo&#10;&#10;Descrição gerada automaticamente">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
        <a:stretch/>
      </xdr:blipFill>
      <xdr:spPr>
        <a:xfrm>
          <a:off x="26983800" y="258994080"/>
          <a:ext cx="1908360" cy="635760"/>
        </a:xfrm>
        <a:prstGeom prst="rect">
          <a:avLst/>
        </a:prstGeom>
        <a:ln w="0">
          <a:noFill/>
        </a:ln>
      </xdr:spPr>
    </xdr:pic>
    <xdr:clientData/>
  </xdr:twoCellAnchor>
  <xdr:twoCellAnchor editAs="oneCell">
    <xdr:from>
      <xdr:col>23</xdr:col>
      <xdr:colOff>473040</xdr:colOff>
      <xdr:row>1380</xdr:row>
      <xdr:rowOff>28440</xdr:rowOff>
    </xdr:from>
    <xdr:to>
      <xdr:col>23</xdr:col>
      <xdr:colOff>2381400</xdr:colOff>
      <xdr:row>1382</xdr:row>
      <xdr:rowOff>35280</xdr:rowOff>
    </xdr:to>
    <xdr:pic>
      <xdr:nvPicPr>
        <xdr:cNvPr id="17" name="Imagem 2" descr="Logotipo&#10;&#10;Descrição gerada automaticamente">
          <a:extLst>
            <a:ext uri="{FF2B5EF4-FFF2-40B4-BE49-F238E27FC236}">
              <a16:creationId xmlns:a16="http://schemas.microsoft.com/office/drawing/2014/main" id="{00000000-0008-0000-0200-000011000000}"/>
            </a:ext>
          </a:extLst>
        </xdr:cNvPr>
        <xdr:cNvPicPr/>
      </xdr:nvPicPr>
      <xdr:blipFill>
        <a:blip xmlns:r="http://schemas.openxmlformats.org/officeDocument/2006/relationships" r:embed="rId1"/>
        <a:stretch/>
      </xdr:blipFill>
      <xdr:spPr>
        <a:xfrm>
          <a:off x="26983800" y="277491600"/>
          <a:ext cx="1908360" cy="635760"/>
        </a:xfrm>
        <a:prstGeom prst="rect">
          <a:avLst/>
        </a:prstGeom>
        <a:ln w="0">
          <a:noFill/>
        </a:ln>
      </xdr:spPr>
    </xdr:pic>
    <xdr:clientData/>
  </xdr:twoCellAnchor>
  <xdr:twoCellAnchor editAs="oneCell">
    <xdr:from>
      <xdr:col>23</xdr:col>
      <xdr:colOff>473040</xdr:colOff>
      <xdr:row>1472</xdr:row>
      <xdr:rowOff>28440</xdr:rowOff>
    </xdr:from>
    <xdr:to>
      <xdr:col>23</xdr:col>
      <xdr:colOff>2381400</xdr:colOff>
      <xdr:row>1474</xdr:row>
      <xdr:rowOff>35280</xdr:rowOff>
    </xdr:to>
    <xdr:pic>
      <xdr:nvPicPr>
        <xdr:cNvPr id="18" name="Imagem 2" descr="Logotipo&#10;&#10;Descrição gerada automaticamente">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
        <a:stretch/>
      </xdr:blipFill>
      <xdr:spPr>
        <a:xfrm>
          <a:off x="26983800" y="295989120"/>
          <a:ext cx="1908360" cy="635760"/>
        </a:xfrm>
        <a:prstGeom prst="rect">
          <a:avLst/>
        </a:prstGeom>
        <a:ln w="0">
          <a:noFill/>
        </a:ln>
      </xdr:spPr>
    </xdr:pic>
    <xdr:clientData/>
  </xdr:twoCellAnchor>
  <xdr:twoCellAnchor editAs="oneCell">
    <xdr:from>
      <xdr:col>23</xdr:col>
      <xdr:colOff>473040</xdr:colOff>
      <xdr:row>1564</xdr:row>
      <xdr:rowOff>28440</xdr:rowOff>
    </xdr:from>
    <xdr:to>
      <xdr:col>23</xdr:col>
      <xdr:colOff>2381400</xdr:colOff>
      <xdr:row>1566</xdr:row>
      <xdr:rowOff>35280</xdr:rowOff>
    </xdr:to>
    <xdr:pic>
      <xdr:nvPicPr>
        <xdr:cNvPr id="19" name="Imagem 2" descr="Logotipo&#10;&#10;Descrição gerada automaticamente">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1"/>
        <a:stretch/>
      </xdr:blipFill>
      <xdr:spPr>
        <a:xfrm>
          <a:off x="26983800" y="314486640"/>
          <a:ext cx="1908360" cy="635760"/>
        </a:xfrm>
        <a:prstGeom prst="rect">
          <a:avLst/>
        </a:prstGeom>
        <a:ln w="0">
          <a:noFill/>
        </a:ln>
      </xdr:spPr>
    </xdr:pic>
    <xdr:clientData/>
  </xdr:twoCellAnchor>
  <xdr:twoCellAnchor editAs="oneCell">
    <xdr:from>
      <xdr:col>23</xdr:col>
      <xdr:colOff>473040</xdr:colOff>
      <xdr:row>1656</xdr:row>
      <xdr:rowOff>28440</xdr:rowOff>
    </xdr:from>
    <xdr:to>
      <xdr:col>23</xdr:col>
      <xdr:colOff>2381400</xdr:colOff>
      <xdr:row>1658</xdr:row>
      <xdr:rowOff>35640</xdr:rowOff>
    </xdr:to>
    <xdr:pic>
      <xdr:nvPicPr>
        <xdr:cNvPr id="20" name="Imagem 2" descr="Logotipo&#10;&#10;Descrição gerada automaticamente">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1"/>
        <a:stretch/>
      </xdr:blipFill>
      <xdr:spPr>
        <a:xfrm>
          <a:off x="26983800" y="332984520"/>
          <a:ext cx="1908360" cy="635760"/>
        </a:xfrm>
        <a:prstGeom prst="rect">
          <a:avLst/>
        </a:prstGeom>
        <a:ln w="0">
          <a:noFill/>
        </a:ln>
      </xdr:spPr>
    </xdr:pic>
    <xdr:clientData/>
  </xdr:twoCellAnchor>
  <xdr:twoCellAnchor editAs="oneCell">
    <xdr:from>
      <xdr:col>23</xdr:col>
      <xdr:colOff>473040</xdr:colOff>
      <xdr:row>1748</xdr:row>
      <xdr:rowOff>28440</xdr:rowOff>
    </xdr:from>
    <xdr:to>
      <xdr:col>23</xdr:col>
      <xdr:colOff>2381400</xdr:colOff>
      <xdr:row>1750</xdr:row>
      <xdr:rowOff>35640</xdr:rowOff>
    </xdr:to>
    <xdr:pic>
      <xdr:nvPicPr>
        <xdr:cNvPr id="21" name="Imagem 2" descr="Logotipo&#10;&#10;Descrição gerada automaticamente">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1"/>
        <a:stretch/>
      </xdr:blipFill>
      <xdr:spPr>
        <a:xfrm>
          <a:off x="26983800" y="351482040"/>
          <a:ext cx="1908360" cy="635760"/>
        </a:xfrm>
        <a:prstGeom prst="rect">
          <a:avLst/>
        </a:prstGeom>
        <a:ln w="0">
          <a:noFill/>
        </a:ln>
      </xdr:spPr>
    </xdr:pic>
    <xdr:clientData/>
  </xdr:twoCellAnchor>
  <xdr:twoCellAnchor editAs="oneCell">
    <xdr:from>
      <xdr:col>23</xdr:col>
      <xdr:colOff>473040</xdr:colOff>
      <xdr:row>1840</xdr:row>
      <xdr:rowOff>28440</xdr:rowOff>
    </xdr:from>
    <xdr:to>
      <xdr:col>23</xdr:col>
      <xdr:colOff>2381400</xdr:colOff>
      <xdr:row>1842</xdr:row>
      <xdr:rowOff>35640</xdr:rowOff>
    </xdr:to>
    <xdr:pic>
      <xdr:nvPicPr>
        <xdr:cNvPr id="22" name="Imagem 2" descr="Logotipo&#10;&#10;Descrição gerada automaticamente">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1"/>
        <a:stretch/>
      </xdr:blipFill>
      <xdr:spPr>
        <a:xfrm>
          <a:off x="26983800" y="369979560"/>
          <a:ext cx="1908360" cy="6357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12</xdr:col>
      <xdr:colOff>261000</xdr:colOff>
      <xdr:row>18</xdr:row>
      <xdr:rowOff>1080</xdr:rowOff>
    </xdr:to>
    <xdr:graphicFrame macro="">
      <xdr:nvGraphicFramePr>
        <xdr:cNvPr id="23" name="Chart 1">
          <a:extLst>
            <a:ext uri="{FF2B5EF4-FFF2-40B4-BE49-F238E27FC236}">
              <a16:creationId xmlns:a16="http://schemas.microsoft.com/office/drawing/2014/main" id="{00000000-0008-0000-05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49</xdr:row>
      <xdr:rowOff>0</xdr:rowOff>
    </xdr:from>
    <xdr:to>
      <xdr:col>12</xdr:col>
      <xdr:colOff>261000</xdr:colOff>
      <xdr:row>66</xdr:row>
      <xdr:rowOff>1080</xdr:rowOff>
    </xdr:to>
    <xdr:graphicFrame macro="">
      <xdr:nvGraphicFramePr>
        <xdr:cNvPr id="24" name="Chart 2">
          <a:extLst>
            <a:ext uri="{FF2B5EF4-FFF2-40B4-BE49-F238E27FC236}">
              <a16:creationId xmlns:a16="http://schemas.microsoft.com/office/drawing/2014/main" id="{00000000-0008-0000-05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101</xdr:row>
      <xdr:rowOff>0</xdr:rowOff>
    </xdr:from>
    <xdr:to>
      <xdr:col>12</xdr:col>
      <xdr:colOff>261000</xdr:colOff>
      <xdr:row>118</xdr:row>
      <xdr:rowOff>1080</xdr:rowOff>
    </xdr:to>
    <xdr:graphicFrame macro="">
      <xdr:nvGraphicFramePr>
        <xdr:cNvPr id="25" name="Chart 3">
          <a:extLst>
            <a:ext uri="{FF2B5EF4-FFF2-40B4-BE49-F238E27FC236}">
              <a16:creationId xmlns:a16="http://schemas.microsoft.com/office/drawing/2014/main" id="{00000000-0008-0000-05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151</xdr:row>
      <xdr:rowOff>0</xdr:rowOff>
    </xdr:from>
    <xdr:to>
      <xdr:col>12</xdr:col>
      <xdr:colOff>261000</xdr:colOff>
      <xdr:row>168</xdr:row>
      <xdr:rowOff>1080</xdr:rowOff>
    </xdr:to>
    <xdr:graphicFrame macro="">
      <xdr:nvGraphicFramePr>
        <xdr:cNvPr id="26" name="Chart 4">
          <a:extLst>
            <a:ext uri="{FF2B5EF4-FFF2-40B4-BE49-F238E27FC236}">
              <a16:creationId xmlns:a16="http://schemas.microsoft.com/office/drawing/2014/main" id="{00000000-0008-0000-05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Tema do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F417"/>
  <sheetViews>
    <sheetView showGridLines="0" zoomScale="40" zoomScaleNormal="40" workbookViewId="0">
      <pane ySplit="5" topLeftCell="A84" activePane="bottomLeft" state="frozen"/>
      <selection pane="bottomLeft" activeCell="R344" sqref="R344"/>
    </sheetView>
  </sheetViews>
  <sheetFormatPr defaultColWidth="8.6640625" defaultRowHeight="14.25" outlineLevelCol="1" x14ac:dyDescent="0.45"/>
  <cols>
    <col min="1" max="1" width="15.796875" customWidth="1"/>
    <col min="2" max="2" width="47.19921875" customWidth="1" outlineLevel="1"/>
    <col min="3" max="10" width="15.796875" customWidth="1" outlineLevel="1"/>
    <col min="11" max="11" width="20.796875" customWidth="1"/>
    <col min="12" max="12" width="15.796875" customWidth="1"/>
    <col min="13" max="13" width="63" customWidth="1"/>
    <col min="14" max="17" width="15.796875" customWidth="1"/>
    <col min="18" max="19" width="15.796875" customWidth="1" outlineLevel="1"/>
    <col min="20" max="53" width="15.796875" hidden="1" customWidth="1" outlineLevel="1"/>
    <col min="54" max="55" width="15.796875" customWidth="1"/>
    <col min="56" max="57" width="10.796875" customWidth="1"/>
    <col min="58" max="58" width="20.796875" customWidth="1"/>
    <col min="59" max="200" width="9.33203125" customWidth="1"/>
  </cols>
  <sheetData>
    <row r="1" spans="1:58" ht="19.5" customHeight="1" x14ac:dyDescent="0.45">
      <c r="A1" s="423" t="s">
        <v>0</v>
      </c>
      <c r="B1" s="423"/>
      <c r="C1" s="423"/>
      <c r="D1" s="423"/>
      <c r="E1" s="423"/>
      <c r="F1" s="423"/>
      <c r="G1" s="423"/>
      <c r="H1" s="423"/>
      <c r="I1" s="423"/>
      <c r="J1" s="423"/>
      <c r="K1" s="423"/>
      <c r="L1" s="423"/>
      <c r="M1" s="423"/>
      <c r="N1" s="423"/>
      <c r="O1" s="423"/>
      <c r="P1" s="1" t="s">
        <v>1</v>
      </c>
      <c r="Q1" s="2"/>
      <c r="R1" s="3" t="s">
        <v>2</v>
      </c>
      <c r="S1" s="4"/>
      <c r="T1" s="3" t="s">
        <v>2</v>
      </c>
      <c r="U1" s="4"/>
      <c r="V1" s="3" t="s">
        <v>2</v>
      </c>
      <c r="W1" s="4"/>
      <c r="X1" s="3" t="s">
        <v>2</v>
      </c>
      <c r="Y1" s="4"/>
      <c r="Z1" s="3" t="s">
        <v>2</v>
      </c>
      <c r="AA1" s="4"/>
      <c r="AB1" s="3" t="s">
        <v>2</v>
      </c>
      <c r="AC1" s="4"/>
      <c r="AD1" s="3" t="s">
        <v>2</v>
      </c>
      <c r="AE1" s="4"/>
      <c r="AF1" s="3" t="s">
        <v>2</v>
      </c>
      <c r="AG1" s="4"/>
      <c r="AH1" s="3" t="s">
        <v>2</v>
      </c>
      <c r="AI1" s="4"/>
      <c r="AJ1" s="3" t="s">
        <v>2</v>
      </c>
      <c r="AK1" s="4"/>
      <c r="AL1" s="3" t="s">
        <v>2</v>
      </c>
      <c r="AM1" s="4"/>
      <c r="AN1" s="3" t="s">
        <v>2</v>
      </c>
      <c r="AO1" s="4"/>
      <c r="AP1" s="3" t="s">
        <v>2</v>
      </c>
      <c r="AQ1" s="4"/>
      <c r="AR1" s="3" t="s">
        <v>2</v>
      </c>
      <c r="AS1" s="4"/>
      <c r="AT1" s="3" t="s">
        <v>2</v>
      </c>
      <c r="AU1" s="4"/>
      <c r="AV1" s="3" t="s">
        <v>2</v>
      </c>
      <c r="AW1" s="4"/>
      <c r="AX1" s="3" t="s">
        <v>2</v>
      </c>
      <c r="AY1" s="4"/>
      <c r="AZ1" s="3" t="s">
        <v>2</v>
      </c>
      <c r="BA1" s="4"/>
      <c r="BB1" s="5" t="s">
        <v>3</v>
      </c>
      <c r="BC1" s="6"/>
      <c r="BD1" s="424"/>
      <c r="BE1" s="424"/>
    </row>
    <row r="2" spans="1:58" ht="19.5" customHeight="1" x14ac:dyDescent="0.45">
      <c r="A2" s="423"/>
      <c r="B2" s="423"/>
      <c r="C2" s="423"/>
      <c r="D2" s="423"/>
      <c r="E2" s="423"/>
      <c r="F2" s="423"/>
      <c r="G2" s="423"/>
      <c r="H2" s="423"/>
      <c r="I2" s="423"/>
      <c r="J2" s="423"/>
      <c r="K2" s="423"/>
      <c r="L2" s="423"/>
      <c r="M2" s="423"/>
      <c r="N2" s="423"/>
      <c r="O2" s="423"/>
      <c r="P2" s="7" t="s">
        <v>4</v>
      </c>
      <c r="Q2" s="8">
        <v>2026</v>
      </c>
      <c r="R2" s="410" t="str">
        <f>'BM MORRO DA CRUZ - VERTICAL'!V$2</f>
        <v>1ª MEDIÇÃO</v>
      </c>
      <c r="S2" s="410"/>
      <c r="T2" s="410" t="str">
        <f>'BM MORRO DA CRUZ - VERTICAL'!X$2</f>
        <v>2ª MEDIÇÃO</v>
      </c>
      <c r="U2" s="410"/>
      <c r="V2" s="410" t="str">
        <f>'BM MORRO DA CRUZ - VERTICAL'!Z$2</f>
        <v>3ª MEDIÇÃO</v>
      </c>
      <c r="W2" s="410"/>
      <c r="X2" s="410" t="str">
        <f>'BM MORRO DA CRUZ - VERTICAL'!AB$2</f>
        <v>4ª MEDIÇÃO</v>
      </c>
      <c r="Y2" s="410"/>
      <c r="Z2" s="410" t="str">
        <f>'BM MORRO DA CRUZ - VERTICAL'!AD$2</f>
        <v>5ª MEDIÇÃO</v>
      </c>
      <c r="AA2" s="410"/>
      <c r="AB2" s="410" t="str">
        <f>'BM MORRO DA CRUZ - VERTICAL'!AF$2</f>
        <v>6ª MEDIÇÃO</v>
      </c>
      <c r="AC2" s="410"/>
      <c r="AD2" s="410" t="str">
        <f>'BM MORRO DA CRUZ - VERTICAL'!AH$2</f>
        <v>7ª MEDIÇÃO</v>
      </c>
      <c r="AE2" s="410"/>
      <c r="AF2" s="410" t="str">
        <f>'BM MORRO DA CRUZ - VERTICAL'!AJ$2</f>
        <v>8ª MEDIÇÃO</v>
      </c>
      <c r="AG2" s="410"/>
      <c r="AH2" s="410" t="str">
        <f>'BM MORRO DA CRUZ - VERTICAL'!AL$2</f>
        <v>9ª MEDIÇÃO</v>
      </c>
      <c r="AI2" s="410"/>
      <c r="AJ2" s="410" t="str">
        <f>'BM MORRO DA CRUZ - VERTICAL'!AN$2</f>
        <v>10ª MEDIÇÃO</v>
      </c>
      <c r="AK2" s="410"/>
      <c r="AL2" s="410" t="str">
        <f>'BM MORRO DA CRUZ - VERTICAL'!AP$2</f>
        <v>11ª MEDIÇÃO</v>
      </c>
      <c r="AM2" s="410"/>
      <c r="AN2" s="410" t="str">
        <f>'BM MORRO DA CRUZ - VERTICAL'!AR$2</f>
        <v>12ª MEDIÇÃO</v>
      </c>
      <c r="AO2" s="410"/>
      <c r="AP2" s="410" t="str">
        <f>'BM MORRO DA CRUZ - VERTICAL'!AT$2</f>
        <v>13ª MEDIÇÃO</v>
      </c>
      <c r="AQ2" s="410"/>
      <c r="AR2" s="410" t="str">
        <f>'BM MORRO DA CRUZ - VERTICAL'!AV$2</f>
        <v>14ª MEDIÇÃO</v>
      </c>
      <c r="AS2" s="410"/>
      <c r="AT2" s="410" t="str">
        <f>'BM MORRO DA CRUZ - VERTICAL'!AX$2</f>
        <v>15ª MEDIÇÃO</v>
      </c>
      <c r="AU2" s="410"/>
      <c r="AV2" s="410" t="str">
        <f>'BM MORRO DA CRUZ - VERTICAL'!AZ$2</f>
        <v>16ª MEDIÇÃO</v>
      </c>
      <c r="AW2" s="410"/>
      <c r="AX2" s="410" t="str">
        <f>'BM MORRO DA CRUZ - VERTICAL'!BB$2</f>
        <v>17ª MEDIÇÃO</v>
      </c>
      <c r="AY2" s="410"/>
      <c r="AZ2" s="410" t="str">
        <f>'BM MORRO DA CRUZ - VERTICAL'!BD$2</f>
        <v>18ª MEDIÇÃO</v>
      </c>
      <c r="BA2" s="410"/>
      <c r="BB2" s="425" t="str">
        <f>IF('BM MORRO DA CRUZ - VERTICAL'!$BF$2="","",'BM MORRO DA CRUZ - VERTICAL'!$BF$2)</f>
        <v/>
      </c>
      <c r="BC2" s="425"/>
      <c r="BD2" s="424"/>
      <c r="BE2" s="424"/>
    </row>
    <row r="3" spans="1:58" ht="19.5" customHeight="1" x14ac:dyDescent="0.45">
      <c r="A3" s="9" t="s">
        <v>5</v>
      </c>
      <c r="B3" s="10"/>
      <c r="C3" s="10"/>
      <c r="D3" s="10"/>
      <c r="E3" s="10"/>
      <c r="F3" s="10"/>
      <c r="G3" s="10"/>
      <c r="H3" s="10"/>
      <c r="I3" s="10"/>
      <c r="J3" s="10"/>
      <c r="N3" s="11" t="s">
        <v>6</v>
      </c>
      <c r="O3" s="12"/>
      <c r="P3" s="412" t="s">
        <v>7</v>
      </c>
      <c r="Q3" s="412"/>
      <c r="R3" s="13" t="s">
        <v>8</v>
      </c>
      <c r="S3" s="14"/>
      <c r="T3" s="13" t="s">
        <v>8</v>
      </c>
      <c r="U3" s="14"/>
      <c r="V3" s="13" t="s">
        <v>8</v>
      </c>
      <c r="W3" s="14"/>
      <c r="X3" s="13" t="s">
        <v>8</v>
      </c>
      <c r="Y3" s="14"/>
      <c r="Z3" s="13" t="s">
        <v>8</v>
      </c>
      <c r="AA3" s="14"/>
      <c r="AB3" s="13" t="s">
        <v>8</v>
      </c>
      <c r="AC3" s="14"/>
      <c r="AD3" s="13" t="s">
        <v>8</v>
      </c>
      <c r="AE3" s="14"/>
      <c r="AF3" s="13" t="s">
        <v>8</v>
      </c>
      <c r="AG3" s="14"/>
      <c r="AH3" s="13" t="s">
        <v>8</v>
      </c>
      <c r="AI3" s="14"/>
      <c r="AJ3" s="13" t="s">
        <v>8</v>
      </c>
      <c r="AK3" s="14"/>
      <c r="AL3" s="13" t="s">
        <v>8</v>
      </c>
      <c r="AM3" s="14"/>
      <c r="AN3" s="13" t="s">
        <v>8</v>
      </c>
      <c r="AO3" s="14"/>
      <c r="AP3" s="13" t="s">
        <v>8</v>
      </c>
      <c r="AQ3" s="14"/>
      <c r="AR3" s="13" t="s">
        <v>8</v>
      </c>
      <c r="AS3" s="14"/>
      <c r="AT3" s="13" t="s">
        <v>8</v>
      </c>
      <c r="AU3" s="14"/>
      <c r="AV3" s="13" t="s">
        <v>8</v>
      </c>
      <c r="AW3" s="14"/>
      <c r="AX3" s="13" t="s">
        <v>8</v>
      </c>
      <c r="AY3" s="14"/>
      <c r="AZ3" s="13" t="s">
        <v>8</v>
      </c>
      <c r="BA3" s="14"/>
      <c r="BB3" s="15" t="s">
        <v>9</v>
      </c>
      <c r="BC3" s="16"/>
      <c r="BD3" s="422" t="s">
        <v>10</v>
      </c>
      <c r="BE3" s="422"/>
    </row>
    <row r="4" spans="1:58" ht="19.5" customHeight="1" x14ac:dyDescent="0.45">
      <c r="A4" s="17" t="s">
        <v>11</v>
      </c>
      <c r="B4" s="18"/>
      <c r="C4" s="18"/>
      <c r="D4" s="18"/>
      <c r="E4" s="18"/>
      <c r="F4" s="18"/>
      <c r="G4" s="18"/>
      <c r="H4" s="18"/>
      <c r="I4" s="18"/>
      <c r="J4" s="18"/>
      <c r="K4" s="19"/>
      <c r="L4" s="19"/>
      <c r="M4" s="19"/>
      <c r="N4" s="413" t="s">
        <v>12</v>
      </c>
      <c r="O4" s="413"/>
      <c r="P4" s="412"/>
      <c r="Q4" s="412"/>
      <c r="R4" s="414" t="str">
        <f>'BM MORRO DA CRUZ - VERTICAL'!V$4</f>
        <v>01-10-26 A 31-10-26</v>
      </c>
      <c r="S4" s="414"/>
      <c r="T4" s="414" t="str">
        <f>'BM MORRO DA CRUZ - VERTICAL'!X$4</f>
        <v>01-11-26 A 30-11-26</v>
      </c>
      <c r="U4" s="414"/>
      <c r="V4" s="414" t="str">
        <f>'BM MORRO DA CRUZ - VERTICAL'!Z$4</f>
        <v>01-12-26 A 31-12-26</v>
      </c>
      <c r="W4" s="414"/>
      <c r="X4" s="414" t="str">
        <f>'BM MORRO DA CRUZ - VERTICAL'!AB$4</f>
        <v>01-01-27 A 31-01-27</v>
      </c>
      <c r="Y4" s="414"/>
      <c r="Z4" s="414" t="str">
        <f>'BM MORRO DA CRUZ - VERTICAL'!AD$4</f>
        <v>01-02-27 A 28-02-27</v>
      </c>
      <c r="AA4" s="414"/>
      <c r="AB4" s="414" t="str">
        <f>'BM MORRO DA CRUZ - VERTICAL'!AF$4</f>
        <v>01-03-27 A 31-03-27</v>
      </c>
      <c r="AC4" s="414"/>
      <c r="AD4" s="414" t="str">
        <f>'BM MORRO DA CRUZ - VERTICAL'!AH$4</f>
        <v>01-04-27 A 30-04-27</v>
      </c>
      <c r="AE4" s="414"/>
      <c r="AF4" s="414" t="str">
        <f>'BM MORRO DA CRUZ - VERTICAL'!AJ$4</f>
        <v>01-05-27 A 31-05-27</v>
      </c>
      <c r="AG4" s="414"/>
      <c r="AH4" s="414" t="str">
        <f>'BM MORRO DA CRUZ - VERTICAL'!AL$4</f>
        <v>01-06-27 A 30-06-27</v>
      </c>
      <c r="AI4" s="414"/>
      <c r="AJ4" s="414" t="str">
        <f>'BM MORRO DA CRUZ - VERTICAL'!AN$4</f>
        <v>01-07-27 A 31-07-27</v>
      </c>
      <c r="AK4" s="414"/>
      <c r="AL4" s="414" t="str">
        <f>'BM MORRO DA CRUZ - VERTICAL'!AP$4</f>
        <v>01-08-27 A 31-08-27</v>
      </c>
      <c r="AM4" s="414"/>
      <c r="AN4" s="414" t="str">
        <f>'BM MORRO DA CRUZ - VERTICAL'!AR$4</f>
        <v>01-09-27 A 30-09-27</v>
      </c>
      <c r="AO4" s="414"/>
      <c r="AP4" s="414" t="str">
        <f>'BM MORRO DA CRUZ - VERTICAL'!AT$4</f>
        <v>01-10-27 A 31-10-27</v>
      </c>
      <c r="AQ4" s="414"/>
      <c r="AR4" s="414" t="str">
        <f>'BM MORRO DA CRUZ - VERTICAL'!AV$4</f>
        <v>01-11-27 A 30-11-27</v>
      </c>
      <c r="AS4" s="414"/>
      <c r="AT4" s="414" t="str">
        <f>'BM MORRO DA CRUZ - VERTICAL'!AX$4</f>
        <v>01-12-27 A 31-12-27</v>
      </c>
      <c r="AU4" s="414"/>
      <c r="AV4" s="414" t="str">
        <f>'BM MORRO DA CRUZ - VERTICAL'!AZ$4</f>
        <v>01-01-28 A 31-01-28</v>
      </c>
      <c r="AW4" s="414"/>
      <c r="AX4" s="414" t="str">
        <f>'BM MORRO DA CRUZ - VERTICAL'!BB$4</f>
        <v>01-02-28 A 29-02-28</v>
      </c>
      <c r="AY4" s="414"/>
      <c r="AZ4" s="414" t="str">
        <f>'BM MORRO DA CRUZ - VERTICAL'!BD$4</f>
        <v>01-03-28 A 23-03-28</v>
      </c>
      <c r="BA4" s="414"/>
      <c r="BB4" s="20" t="s">
        <v>13</v>
      </c>
      <c r="BC4" s="21"/>
      <c r="BD4" s="422"/>
      <c r="BE4" s="422"/>
    </row>
    <row r="5" spans="1:58" ht="42" customHeight="1" x14ac:dyDescent="0.45">
      <c r="A5" s="22" t="s">
        <v>14</v>
      </c>
      <c r="B5" s="23" t="s">
        <v>15</v>
      </c>
      <c r="C5" s="23" t="s">
        <v>16</v>
      </c>
      <c r="D5" s="23" t="s">
        <v>17</v>
      </c>
      <c r="E5" s="23" t="s">
        <v>18</v>
      </c>
      <c r="F5" s="23" t="s">
        <v>19</v>
      </c>
      <c r="G5" s="23" t="s">
        <v>20</v>
      </c>
      <c r="H5" s="23" t="s">
        <v>21</v>
      </c>
      <c r="I5" s="23" t="s">
        <v>22</v>
      </c>
      <c r="J5" s="24" t="s">
        <v>23</v>
      </c>
      <c r="K5" s="25" t="s">
        <v>24</v>
      </c>
      <c r="L5" s="25" t="s">
        <v>25</v>
      </c>
      <c r="M5" s="25" t="s">
        <v>15</v>
      </c>
      <c r="N5" s="26" t="s">
        <v>26</v>
      </c>
      <c r="O5" s="26" t="s">
        <v>27</v>
      </c>
      <c r="P5" s="27" t="s">
        <v>28</v>
      </c>
      <c r="Q5" s="28" t="s">
        <v>29</v>
      </c>
      <c r="R5" s="29" t="s">
        <v>27</v>
      </c>
      <c r="S5" s="30" t="s">
        <v>29</v>
      </c>
      <c r="T5" s="29" t="s">
        <v>27</v>
      </c>
      <c r="U5" s="30" t="s">
        <v>29</v>
      </c>
      <c r="V5" s="29" t="s">
        <v>27</v>
      </c>
      <c r="W5" s="30" t="s">
        <v>29</v>
      </c>
      <c r="X5" s="29" t="s">
        <v>27</v>
      </c>
      <c r="Y5" s="30" t="s">
        <v>29</v>
      </c>
      <c r="Z5" s="29" t="s">
        <v>27</v>
      </c>
      <c r="AA5" s="30" t="s">
        <v>29</v>
      </c>
      <c r="AB5" s="29" t="s">
        <v>27</v>
      </c>
      <c r="AC5" s="30" t="s">
        <v>29</v>
      </c>
      <c r="AD5" s="29" t="s">
        <v>27</v>
      </c>
      <c r="AE5" s="30" t="s">
        <v>29</v>
      </c>
      <c r="AF5" s="29" t="s">
        <v>27</v>
      </c>
      <c r="AG5" s="30" t="s">
        <v>29</v>
      </c>
      <c r="AH5" s="29" t="s">
        <v>27</v>
      </c>
      <c r="AI5" s="30" t="s">
        <v>29</v>
      </c>
      <c r="AJ5" s="29" t="s">
        <v>27</v>
      </c>
      <c r="AK5" s="30" t="s">
        <v>29</v>
      </c>
      <c r="AL5" s="29" t="s">
        <v>27</v>
      </c>
      <c r="AM5" s="30" t="s">
        <v>29</v>
      </c>
      <c r="AN5" s="29" t="s">
        <v>27</v>
      </c>
      <c r="AO5" s="30" t="s">
        <v>29</v>
      </c>
      <c r="AP5" s="29" t="s">
        <v>27</v>
      </c>
      <c r="AQ5" s="30" t="s">
        <v>29</v>
      </c>
      <c r="AR5" s="29" t="s">
        <v>27</v>
      </c>
      <c r="AS5" s="30" t="s">
        <v>29</v>
      </c>
      <c r="AT5" s="29" t="s">
        <v>27</v>
      </c>
      <c r="AU5" s="30" t="s">
        <v>29</v>
      </c>
      <c r="AV5" s="29" t="s">
        <v>27</v>
      </c>
      <c r="AW5" s="30" t="s">
        <v>29</v>
      </c>
      <c r="AX5" s="29" t="s">
        <v>27</v>
      </c>
      <c r="AY5" s="30" t="s">
        <v>29</v>
      </c>
      <c r="AZ5" s="29" t="s">
        <v>27</v>
      </c>
      <c r="BA5" s="30" t="s">
        <v>29</v>
      </c>
      <c r="BB5" s="31" t="s">
        <v>27</v>
      </c>
      <c r="BC5" s="32" t="s">
        <v>30</v>
      </c>
      <c r="BD5" s="33" t="s">
        <v>31</v>
      </c>
      <c r="BE5" s="34" t="s">
        <v>32</v>
      </c>
    </row>
    <row r="6" spans="1:58" ht="19.5" customHeight="1" x14ac:dyDescent="0.45">
      <c r="A6" s="35">
        <v>1</v>
      </c>
      <c r="B6" s="500"/>
      <c r="C6" s="501"/>
      <c r="D6" s="501"/>
      <c r="E6" s="501"/>
      <c r="F6" s="501"/>
      <c r="G6" s="501"/>
      <c r="H6" s="502" t="s">
        <v>1718</v>
      </c>
      <c r="I6" s="501"/>
      <c r="J6" s="502" t="s">
        <v>1718</v>
      </c>
      <c r="K6" s="36" t="s">
        <v>33</v>
      </c>
      <c r="L6" s="37"/>
      <c r="M6" s="38" t="s">
        <v>21</v>
      </c>
      <c r="N6" s="39"/>
      <c r="O6" s="40"/>
      <c r="P6" s="41"/>
      <c r="Q6" s="42">
        <f>SUM(Q7,Q9,Q12,Q14,Q16,Q18,Q20,Q22,Q24,Q26,Q45,Q48,Q57,Q59,Q137,Q184,Q186,Q188)</f>
        <v>14442996.52</v>
      </c>
      <c r="R6" s="40"/>
      <c r="S6" s="42">
        <f>SUM(S7,S9,S12,S14,S16,S18,S20,S22,S24,S26,S45,S48,S57,S59,S137,S184,S186,S188)</f>
        <v>0</v>
      </c>
      <c r="T6" s="40"/>
      <c r="U6" s="42">
        <f>SUM(U7,U9,U12,U14,U16,U18,U20,U22,U24,U26,U45,U48,U57,U59,U137,U184,U186,U188)</f>
        <v>0</v>
      </c>
      <c r="V6" s="40"/>
      <c r="W6" s="42">
        <f>SUM(W7,W9,W12,W14,W16,W18,W20,W22,W24,W26,W45,W48,W57,W59,W137,W184,W186,W188)</f>
        <v>0</v>
      </c>
      <c r="X6" s="40"/>
      <c r="Y6" s="42">
        <f>SUM(Y7,Y9,Y12,Y14,Y16,Y18,Y20,Y22,Y24,Y26,Y45,Y48,Y57,Y59,Y137,Y184,Y186,Y188)</f>
        <v>0</v>
      </c>
      <c r="Z6" s="40"/>
      <c r="AA6" s="42">
        <f>SUM(AA7,AA9,AA12,AA14,AA16,AA18,AA20,AA22,AA24,AA26,AA45,AA48,AA57,AA59,AA137,AA184,AA186,AA188)</f>
        <v>0</v>
      </c>
      <c r="AB6" s="40"/>
      <c r="AC6" s="42">
        <f>SUM(AC7,AC9,AC12,AC14,AC16,AC18,AC20,AC22,AC24,AC26,AC45,AC48,AC57,AC59,AC137,AC184,AC186,AC188)</f>
        <v>0</v>
      </c>
      <c r="AD6" s="40"/>
      <c r="AE6" s="42">
        <f>SUM(AE7,AE9,AE12,AE14,AE16,AE18,AE20,AE22,AE24,AE26,AE45,AE48,AE57,AE59,AE137,AE184,AE186,AE188)</f>
        <v>0</v>
      </c>
      <c r="AF6" s="40"/>
      <c r="AG6" s="42">
        <f>SUM(AG7,AG9,AG12,AG14,AG16,AG18,AG20,AG22,AG24,AG26,AG45,AG48,AG57,AG59,AG137,AG184,AG186,AG188)</f>
        <v>0</v>
      </c>
      <c r="AH6" s="40"/>
      <c r="AI6" s="42">
        <f>SUM(AI7,AI9,AI12,AI14,AI16,AI18,AI20,AI22,AI24,AI26,AI45,AI48,AI57,AI59,AI137,AI184,AI186,AI188)</f>
        <v>0</v>
      </c>
      <c r="AJ6" s="40"/>
      <c r="AK6" s="42">
        <f>SUM(AK7,AK9,AK12,AK14,AK16,AK18,AK20,AK22,AK24,AK26,AK45,AK48,AK57,AK59,AK137,AK184,AK186,AK188)</f>
        <v>0</v>
      </c>
      <c r="AL6" s="40"/>
      <c r="AM6" s="42">
        <f>SUM(AM7,AM9,AM12,AM14,AM16,AM18,AM20,AM22,AM24,AM26,AM45,AM48,AM57,AM59,AM137,AM184,AM186,AM188)</f>
        <v>0</v>
      </c>
      <c r="AN6" s="40"/>
      <c r="AO6" s="42">
        <f>SUM(AO7,AO9,AO12,AO14,AO16,AO18,AO20,AO22,AO24,AO26,AO45,AO48,AO57,AO59,AO137,AO184,AO186,AO188)</f>
        <v>0</v>
      </c>
      <c r="AP6" s="40"/>
      <c r="AQ6" s="42">
        <f>SUM(AQ7,AQ9,AQ12,AQ14,AQ16,AQ18,AQ20,AQ22,AQ24,AQ26,AQ45,AQ48,AQ57,AQ59,AQ137,AQ184,AQ186,AQ188)</f>
        <v>0</v>
      </c>
      <c r="AR6" s="40"/>
      <c r="AS6" s="42">
        <f>SUM(AS7,AS9,AS12,AS14,AS16,AS18,AS20,AS22,AS24,AS26,AS45,AS48,AS57,AS59,AS137,AS184,AS186,AS188)</f>
        <v>0</v>
      </c>
      <c r="AT6" s="40"/>
      <c r="AU6" s="42">
        <f>SUM(AU7,AU9,AU12,AU14,AU16,AU18,AU20,AU22,AU24,AU26,AU45,AU48,AU57,AU59,AU137,AU184,AU186,AU188)</f>
        <v>0</v>
      </c>
      <c r="AV6" s="40"/>
      <c r="AW6" s="42">
        <f>SUM(AW7,AW9,AW12,AW14,AW16,AW18,AW20,AW22,AW24,AW26,AW45,AW48,AW57,AW59,AW137,AW184,AW186,AW188)</f>
        <v>0</v>
      </c>
      <c r="AX6" s="40"/>
      <c r="AY6" s="42">
        <f>SUM(AY7,AY9,AY12,AY14,AY16,AY18,AY20,AY22,AY24,AY26,AY45,AY48,AY57,AY59,AY137,AY184,AY186,AY188)</f>
        <v>0</v>
      </c>
      <c r="AZ6" s="40"/>
      <c r="BA6" s="42">
        <f>SUM(BA7,BA9,BA12,BA14,BA16,BA18,BA20,BA22,BA24,BA26,BA45,BA48,BA57,BA59,BA137,BA184,BA186,BA188)</f>
        <v>0</v>
      </c>
      <c r="BB6" s="40"/>
      <c r="BC6" s="42">
        <f>SUM(BC7,BC9,BC12,BC14,BC16,BC18,BC20,BC22,BC24,BC26,BC45,BC48,BC57,BC59,BC137,BC184,BC186,BC188)</f>
        <v>0</v>
      </c>
      <c r="BD6" s="43"/>
      <c r="BE6" s="44"/>
      <c r="BF6" s="45"/>
    </row>
    <row r="7" spans="1:58" ht="19.5" customHeight="1" x14ac:dyDescent="0.45">
      <c r="A7" s="46" t="s">
        <v>34</v>
      </c>
      <c r="B7" s="503"/>
      <c r="C7" s="504"/>
      <c r="D7" s="504"/>
      <c r="E7" s="504"/>
      <c r="F7" s="504"/>
      <c r="G7" s="504"/>
      <c r="H7" s="505" t="s">
        <v>1718</v>
      </c>
      <c r="I7" s="504"/>
      <c r="J7" s="505" t="s">
        <v>1718</v>
      </c>
      <c r="K7" s="47" t="s">
        <v>35</v>
      </c>
      <c r="L7" s="48"/>
      <c r="M7" s="49" t="s">
        <v>36</v>
      </c>
      <c r="N7" s="50"/>
      <c r="O7" s="51"/>
      <c r="P7" s="52"/>
      <c r="Q7" s="53">
        <f>SUM(Q8:Q8)</f>
        <v>28416.959999999999</v>
      </c>
      <c r="R7" s="51"/>
      <c r="S7" s="53">
        <f>SUM(S8:S8)</f>
        <v>0</v>
      </c>
      <c r="T7" s="51"/>
      <c r="U7" s="53">
        <f>SUM(U8:U8)</f>
        <v>0</v>
      </c>
      <c r="V7" s="51"/>
      <c r="W7" s="53">
        <f>SUM(W8:W8)</f>
        <v>0</v>
      </c>
      <c r="X7" s="51"/>
      <c r="Y7" s="53">
        <f>SUM(Y8:Y8)</f>
        <v>0</v>
      </c>
      <c r="Z7" s="51"/>
      <c r="AA7" s="53">
        <f>SUM(AA8:AA8)</f>
        <v>0</v>
      </c>
      <c r="AB7" s="51"/>
      <c r="AC7" s="53">
        <f>SUM(AC8:AC8)</f>
        <v>0</v>
      </c>
      <c r="AD7" s="51"/>
      <c r="AE7" s="53">
        <f>SUM(AE8:AE8)</f>
        <v>0</v>
      </c>
      <c r="AF7" s="51"/>
      <c r="AG7" s="53">
        <f>SUM(AG8:AG8)</f>
        <v>0</v>
      </c>
      <c r="AH7" s="51"/>
      <c r="AI7" s="53">
        <f>SUM(AI8:AI8)</f>
        <v>0</v>
      </c>
      <c r="AJ7" s="51"/>
      <c r="AK7" s="53">
        <f>SUM(AK8:AK8)</f>
        <v>0</v>
      </c>
      <c r="AL7" s="51"/>
      <c r="AM7" s="53">
        <f>SUM(AM8:AM8)</f>
        <v>0</v>
      </c>
      <c r="AN7" s="51"/>
      <c r="AO7" s="53">
        <f>SUM(AO8:AO8)</f>
        <v>0</v>
      </c>
      <c r="AP7" s="51"/>
      <c r="AQ7" s="53">
        <f>SUM(AQ8:AQ8)</f>
        <v>0</v>
      </c>
      <c r="AR7" s="51"/>
      <c r="AS7" s="53">
        <f>SUM(AS8:AS8)</f>
        <v>0</v>
      </c>
      <c r="AT7" s="51"/>
      <c r="AU7" s="53">
        <f>SUM(AU8:AU8)</f>
        <v>0</v>
      </c>
      <c r="AV7" s="51"/>
      <c r="AW7" s="53">
        <f>SUM(AW8:AW8)</f>
        <v>0</v>
      </c>
      <c r="AX7" s="51"/>
      <c r="AY7" s="53">
        <f>SUM(AY8:AY8)</f>
        <v>0</v>
      </c>
      <c r="AZ7" s="51"/>
      <c r="BA7" s="53">
        <f>SUM(BA8:BA8)</f>
        <v>0</v>
      </c>
      <c r="BB7" s="51"/>
      <c r="BC7" s="53">
        <f>SUM(BC8:BC8)</f>
        <v>0</v>
      </c>
      <c r="BD7" s="54"/>
      <c r="BE7" s="55"/>
      <c r="BF7" s="45"/>
    </row>
    <row r="8" spans="1:58" ht="26.25" customHeight="1" x14ac:dyDescent="0.45">
      <c r="A8" s="56" t="s">
        <v>37</v>
      </c>
      <c r="B8" s="506" t="s">
        <v>38</v>
      </c>
      <c r="C8" s="507" t="s">
        <v>39</v>
      </c>
      <c r="D8" s="507" t="s">
        <v>39</v>
      </c>
      <c r="E8" s="507" t="s">
        <v>39</v>
      </c>
      <c r="F8" s="507" t="s">
        <v>39</v>
      </c>
      <c r="G8" s="507" t="s">
        <v>39</v>
      </c>
      <c r="H8" s="508" t="s">
        <v>39</v>
      </c>
      <c r="I8" s="507" t="s">
        <v>40</v>
      </c>
      <c r="J8" s="508" t="s">
        <v>41</v>
      </c>
      <c r="K8" s="57" t="s">
        <v>42</v>
      </c>
      <c r="L8" s="58" t="s">
        <v>21</v>
      </c>
      <c r="M8" s="59" t="s">
        <v>43</v>
      </c>
      <c r="N8" s="60" t="s">
        <v>44</v>
      </c>
      <c r="O8" s="61">
        <v>18</v>
      </c>
      <c r="P8" s="62">
        <v>1578.72</v>
      </c>
      <c r="Q8" s="63">
        <f>ROUND(P8*$O8,2)</f>
        <v>28416.959999999999</v>
      </c>
      <c r="R8" s="61">
        <f>IFERROR(SUMIFS('BM MORRO DA CRUZ - VERTICAL'!V$6:V$546,'BM MORRO DA CRUZ - VERTICAL'!$O$6:$O$546,'BM MORRO DA CRUZ'!$K8),0)</f>
        <v>0</v>
      </c>
      <c r="S8" s="63">
        <f>ROUND(R8*$P8,2)</f>
        <v>0</v>
      </c>
      <c r="T8" s="61">
        <f>IFERROR(SUMIFS('BM MORRO DA CRUZ - VERTICAL'!X$6:X$546,'BM MORRO DA CRUZ - VERTICAL'!$O$6:$O$546,'BM MORRO DA CRUZ'!$K8),0)</f>
        <v>0</v>
      </c>
      <c r="U8" s="63">
        <f>ROUND(T8*$P8,2)</f>
        <v>0</v>
      </c>
      <c r="V8" s="61">
        <f>IFERROR(SUMIFS('BM MORRO DA CRUZ - VERTICAL'!Z$6:Z$546,'BM MORRO DA CRUZ - VERTICAL'!$O$6:$O$546,'BM MORRO DA CRUZ'!$K8),0)</f>
        <v>0</v>
      </c>
      <c r="W8" s="63">
        <f>ROUND(V8*$P8,2)</f>
        <v>0</v>
      </c>
      <c r="X8" s="61">
        <f>IFERROR(SUMIFS('BM MORRO DA CRUZ - VERTICAL'!AB$6:AB$546,'BM MORRO DA CRUZ - VERTICAL'!$O$6:$O$546,'BM MORRO DA CRUZ'!$K8),0)</f>
        <v>0</v>
      </c>
      <c r="Y8" s="63">
        <f>ROUND(X8*$P8,2)</f>
        <v>0</v>
      </c>
      <c r="Z8" s="61">
        <f>IFERROR(SUMIFS('BM MORRO DA CRUZ - VERTICAL'!AD$6:AD$546,'BM MORRO DA CRUZ - VERTICAL'!$O$6:$O$546,'BM MORRO DA CRUZ'!$K8),0)</f>
        <v>0</v>
      </c>
      <c r="AA8" s="63">
        <f>ROUND(Z8*$P8,2)</f>
        <v>0</v>
      </c>
      <c r="AB8" s="61">
        <f>IFERROR(SUMIFS('BM MORRO DA CRUZ - VERTICAL'!AF$6:AF$546,'BM MORRO DA CRUZ - VERTICAL'!$O$6:$O$546,'BM MORRO DA CRUZ'!$K8),0)</f>
        <v>0</v>
      </c>
      <c r="AC8" s="63">
        <f>ROUND(AB8*$P8,2)</f>
        <v>0</v>
      </c>
      <c r="AD8" s="61">
        <f>IFERROR(SUMIFS('BM MORRO DA CRUZ - VERTICAL'!AH$6:AH$546,'BM MORRO DA CRUZ - VERTICAL'!$O$6:$O$546,'BM MORRO DA CRUZ'!$K8),0)</f>
        <v>0</v>
      </c>
      <c r="AE8" s="63">
        <f>ROUND(AD8*$P8,2)</f>
        <v>0</v>
      </c>
      <c r="AF8" s="61">
        <f>IFERROR(SUMIFS('BM MORRO DA CRUZ - VERTICAL'!AJ$6:AJ$546,'BM MORRO DA CRUZ - VERTICAL'!$O$6:$O$546,'BM MORRO DA CRUZ'!$K8),0)</f>
        <v>0</v>
      </c>
      <c r="AG8" s="63">
        <f>ROUND(AF8*$P8,2)</f>
        <v>0</v>
      </c>
      <c r="AH8" s="61">
        <f>IFERROR(SUMIFS('BM MORRO DA CRUZ - VERTICAL'!AL$6:AL$546,'BM MORRO DA CRUZ - VERTICAL'!$O$6:$O$546,'BM MORRO DA CRUZ'!$K8),0)</f>
        <v>0</v>
      </c>
      <c r="AI8" s="63">
        <f>ROUND(AH8*$P8,2)</f>
        <v>0</v>
      </c>
      <c r="AJ8" s="61">
        <f>IFERROR(SUMIFS('BM MORRO DA CRUZ - VERTICAL'!AN$6:AN$546,'BM MORRO DA CRUZ - VERTICAL'!$O$6:$O$546,'BM MORRO DA CRUZ'!$K8),0)</f>
        <v>0</v>
      </c>
      <c r="AK8" s="63">
        <f>ROUND(AJ8*$P8,2)</f>
        <v>0</v>
      </c>
      <c r="AL8" s="61">
        <f>IFERROR(SUMIFS('BM MORRO DA CRUZ - VERTICAL'!AP$6:AP$546,'BM MORRO DA CRUZ - VERTICAL'!$O$6:$O$546,'BM MORRO DA CRUZ'!$K8),0)</f>
        <v>0</v>
      </c>
      <c r="AM8" s="63">
        <f>ROUND(AL8*$P8,2)</f>
        <v>0</v>
      </c>
      <c r="AN8" s="61">
        <f>IFERROR(SUMIFS('BM MORRO DA CRUZ - VERTICAL'!AR$6:AR$546,'BM MORRO DA CRUZ - VERTICAL'!$O$6:$O$546,'BM MORRO DA CRUZ'!$K8),0)</f>
        <v>0</v>
      </c>
      <c r="AO8" s="63">
        <f>ROUND(AN8*$P8,2)</f>
        <v>0</v>
      </c>
      <c r="AP8" s="61">
        <f>IFERROR(SUMIFS('BM MORRO DA CRUZ - VERTICAL'!AT$6:AT$546,'BM MORRO DA CRUZ - VERTICAL'!$O$6:$O$546,'BM MORRO DA CRUZ'!$K8),0)</f>
        <v>0</v>
      </c>
      <c r="AQ8" s="63">
        <f>ROUND(AP8*$P8,2)</f>
        <v>0</v>
      </c>
      <c r="AR8" s="61">
        <f>IFERROR(SUMIFS('BM MORRO DA CRUZ - VERTICAL'!AV$6:AV$546,'BM MORRO DA CRUZ - VERTICAL'!$O$6:$O$546,'BM MORRO DA CRUZ'!$K8),0)</f>
        <v>0</v>
      </c>
      <c r="AS8" s="63">
        <f>ROUND(AR8*$P8,2)</f>
        <v>0</v>
      </c>
      <c r="AT8" s="61">
        <f>IFERROR(SUMIFS('BM MORRO DA CRUZ - VERTICAL'!AX$6:AX$546,'BM MORRO DA CRUZ - VERTICAL'!$O$6:$O$546,'BM MORRO DA CRUZ'!$K8),0)</f>
        <v>0</v>
      </c>
      <c r="AU8" s="63">
        <f>ROUND(AT8*$P8,2)</f>
        <v>0</v>
      </c>
      <c r="AV8" s="61">
        <f>IFERROR(SUMIFS('BM MORRO DA CRUZ - VERTICAL'!AZ$6:AZ$546,'BM MORRO DA CRUZ - VERTICAL'!$O$6:$O$546,'BM MORRO DA CRUZ'!$K8),0)</f>
        <v>0</v>
      </c>
      <c r="AW8" s="63">
        <f>ROUND(AV8*$P8,2)</f>
        <v>0</v>
      </c>
      <c r="AX8" s="61">
        <f>IFERROR(SUMIFS('BM MORRO DA CRUZ - VERTICAL'!BB$6:BB$546,'BM MORRO DA CRUZ - VERTICAL'!$O$6:$O$546,'BM MORRO DA CRUZ'!$K8),0)</f>
        <v>0</v>
      </c>
      <c r="AY8" s="63">
        <f>ROUND(AX8*$P8,2)</f>
        <v>0</v>
      </c>
      <c r="AZ8" s="61">
        <f>IFERROR(SUMIFS('BM MORRO DA CRUZ - VERTICAL'!BD$6:BD$546,'BM MORRO DA CRUZ - VERTICAL'!$O$6:$O$546,'BM MORRO DA CRUZ'!$K8),0)</f>
        <v>0</v>
      </c>
      <c r="BA8" s="63">
        <f>ROUND(AZ8*$P8,2)</f>
        <v>0</v>
      </c>
      <c r="BB8" s="61">
        <f>IFERROR(SUMIFS($R8:$BA8,$R$5:$BA$5,$BB$5),0)</f>
        <v>0</v>
      </c>
      <c r="BC8" s="63">
        <f>SUMIFS($R8:$BA8,$R$5:$BA$5,$S$5)</f>
        <v>0</v>
      </c>
      <c r="BD8" s="64">
        <f>IFERROR(BB8/O8,0)</f>
        <v>0</v>
      </c>
      <c r="BE8" s="65">
        <f>IFERROR((O8-BB8)/O8,0)</f>
        <v>1</v>
      </c>
      <c r="BF8" s="45"/>
    </row>
    <row r="9" spans="1:58" ht="19.5" customHeight="1" x14ac:dyDescent="0.45">
      <c r="A9" s="46" t="s">
        <v>45</v>
      </c>
      <c r="B9" s="503"/>
      <c r="C9" s="504"/>
      <c r="D9" s="504"/>
      <c r="E9" s="504"/>
      <c r="F9" s="504"/>
      <c r="G9" s="504"/>
      <c r="H9" s="505" t="s">
        <v>1718</v>
      </c>
      <c r="I9" s="504"/>
      <c r="J9" s="505" t="s">
        <v>1718</v>
      </c>
      <c r="K9" s="47" t="s">
        <v>46</v>
      </c>
      <c r="L9" s="48"/>
      <c r="M9" s="49" t="s">
        <v>47</v>
      </c>
      <c r="N9" s="50"/>
      <c r="O9" s="51"/>
      <c r="P9" s="52"/>
      <c r="Q9" s="53">
        <f>SUM(Q10:Q11)</f>
        <v>1105693.8700000001</v>
      </c>
      <c r="R9" s="51"/>
      <c r="S9" s="53">
        <f>SUM(S10:S11)</f>
        <v>0</v>
      </c>
      <c r="T9" s="51"/>
      <c r="U9" s="53">
        <f>SUM(U10:U11)</f>
        <v>0</v>
      </c>
      <c r="V9" s="51"/>
      <c r="W9" s="53">
        <f>SUM(W10:W11)</f>
        <v>0</v>
      </c>
      <c r="X9" s="51"/>
      <c r="Y9" s="53">
        <f>SUM(Y10:Y11)</f>
        <v>0</v>
      </c>
      <c r="Z9" s="51"/>
      <c r="AA9" s="53">
        <f>SUM(AA10:AA11)</f>
        <v>0</v>
      </c>
      <c r="AB9" s="51"/>
      <c r="AC9" s="53">
        <f>SUM(AC10:AC11)</f>
        <v>0</v>
      </c>
      <c r="AD9" s="51"/>
      <c r="AE9" s="53">
        <f>SUM(AE10:AE11)</f>
        <v>0</v>
      </c>
      <c r="AF9" s="51"/>
      <c r="AG9" s="53">
        <f>SUM(AG10:AG11)</f>
        <v>0</v>
      </c>
      <c r="AH9" s="51"/>
      <c r="AI9" s="53">
        <f>SUM(AI10:AI11)</f>
        <v>0</v>
      </c>
      <c r="AJ9" s="51"/>
      <c r="AK9" s="53">
        <f>SUM(AK10:AK11)</f>
        <v>0</v>
      </c>
      <c r="AL9" s="51"/>
      <c r="AM9" s="53">
        <f>SUM(AM10:AM11)</f>
        <v>0</v>
      </c>
      <c r="AN9" s="51"/>
      <c r="AO9" s="53">
        <f>SUM(AO10:AO11)</f>
        <v>0</v>
      </c>
      <c r="AP9" s="51"/>
      <c r="AQ9" s="53">
        <f>SUM(AQ10:AQ11)</f>
        <v>0</v>
      </c>
      <c r="AR9" s="51"/>
      <c r="AS9" s="53">
        <f>SUM(AS10:AS11)</f>
        <v>0</v>
      </c>
      <c r="AT9" s="51"/>
      <c r="AU9" s="53">
        <f>SUM(AU10:AU11)</f>
        <v>0</v>
      </c>
      <c r="AV9" s="51"/>
      <c r="AW9" s="53">
        <f>SUM(AW10:AW11)</f>
        <v>0</v>
      </c>
      <c r="AX9" s="51"/>
      <c r="AY9" s="53">
        <f>SUM(AY10:AY11)</f>
        <v>0</v>
      </c>
      <c r="AZ9" s="51"/>
      <c r="BA9" s="53">
        <f>SUM(BA10:BA11)</f>
        <v>0</v>
      </c>
      <c r="BB9" s="51"/>
      <c r="BC9" s="53">
        <f>SUM(BC10:BC11)</f>
        <v>0</v>
      </c>
      <c r="BD9" s="54"/>
      <c r="BE9" s="55"/>
      <c r="BF9" s="45"/>
    </row>
    <row r="10" spans="1:58" ht="26.25" customHeight="1" x14ac:dyDescent="0.45">
      <c r="A10" s="56" t="s">
        <v>48</v>
      </c>
      <c r="B10" s="506" t="s">
        <v>49</v>
      </c>
      <c r="C10" s="507" t="s">
        <v>39</v>
      </c>
      <c r="D10" s="507" t="s">
        <v>39</v>
      </c>
      <c r="E10" s="507" t="s">
        <v>39</v>
      </c>
      <c r="F10" s="507" t="s">
        <v>39</v>
      </c>
      <c r="G10" s="507" t="s">
        <v>39</v>
      </c>
      <c r="H10" s="508" t="s">
        <v>39</v>
      </c>
      <c r="I10" s="507" t="s">
        <v>50</v>
      </c>
      <c r="J10" s="508" t="s">
        <v>51</v>
      </c>
      <c r="K10" s="57" t="s">
        <v>52</v>
      </c>
      <c r="L10" s="58" t="s">
        <v>21</v>
      </c>
      <c r="M10" s="59" t="s">
        <v>53</v>
      </c>
      <c r="N10" s="60" t="s">
        <v>54</v>
      </c>
      <c r="O10" s="61">
        <v>204.27</v>
      </c>
      <c r="P10" s="62">
        <v>28.42</v>
      </c>
      <c r="Q10" s="63">
        <f>ROUND(P10*$O10,2)</f>
        <v>5805.35</v>
      </c>
      <c r="R10" s="61">
        <f>IFERROR(SUMIFS('BM MORRO DA CRUZ - VERTICAL'!V$6:V$546,'BM MORRO DA CRUZ - VERTICAL'!$O$6:$O$546,'BM MORRO DA CRUZ'!$K10),0)</f>
        <v>0</v>
      </c>
      <c r="S10" s="63">
        <f>ROUND(R10*$P10,2)</f>
        <v>0</v>
      </c>
      <c r="T10" s="61">
        <f>IFERROR(SUMIFS('BM MORRO DA CRUZ - VERTICAL'!X$6:X$546,'BM MORRO DA CRUZ - VERTICAL'!$O$6:$O$546,'BM MORRO DA CRUZ'!$K10),0)</f>
        <v>0</v>
      </c>
      <c r="U10" s="63">
        <f>ROUND(T10*$P10,2)</f>
        <v>0</v>
      </c>
      <c r="V10" s="61">
        <f>IFERROR(SUMIFS('BM MORRO DA CRUZ - VERTICAL'!Z$6:Z$546,'BM MORRO DA CRUZ - VERTICAL'!$O$6:$O$546,'BM MORRO DA CRUZ'!$K10),0)</f>
        <v>0</v>
      </c>
      <c r="W10" s="63">
        <f>ROUND(V10*$P10,2)</f>
        <v>0</v>
      </c>
      <c r="X10" s="61">
        <f>IFERROR(SUMIFS('BM MORRO DA CRUZ - VERTICAL'!AB$6:AB$546,'BM MORRO DA CRUZ - VERTICAL'!$O$6:$O$546,'BM MORRO DA CRUZ'!$K10),0)</f>
        <v>0</v>
      </c>
      <c r="Y10" s="63">
        <f>ROUND(X10*$P10,2)</f>
        <v>0</v>
      </c>
      <c r="Z10" s="61">
        <f>IFERROR(SUMIFS('BM MORRO DA CRUZ - VERTICAL'!AD$6:AD$546,'BM MORRO DA CRUZ - VERTICAL'!$O$6:$O$546,'BM MORRO DA CRUZ'!$K10),0)</f>
        <v>0</v>
      </c>
      <c r="AA10" s="63">
        <f>ROUND(Z10*$P10,2)</f>
        <v>0</v>
      </c>
      <c r="AB10" s="61">
        <f>IFERROR(SUMIFS('BM MORRO DA CRUZ - VERTICAL'!AF$6:AF$546,'BM MORRO DA CRUZ - VERTICAL'!$O$6:$O$546,'BM MORRO DA CRUZ'!$K10),0)</f>
        <v>0</v>
      </c>
      <c r="AC10" s="63">
        <f>ROUND(AB10*$P10,2)</f>
        <v>0</v>
      </c>
      <c r="AD10" s="61">
        <f>IFERROR(SUMIFS('BM MORRO DA CRUZ - VERTICAL'!AH$6:AH$546,'BM MORRO DA CRUZ - VERTICAL'!$O$6:$O$546,'BM MORRO DA CRUZ'!$K10),0)</f>
        <v>0</v>
      </c>
      <c r="AE10" s="63">
        <f>ROUND(AD10*$P10,2)</f>
        <v>0</v>
      </c>
      <c r="AF10" s="61">
        <f>IFERROR(SUMIFS('BM MORRO DA CRUZ - VERTICAL'!AJ$6:AJ$546,'BM MORRO DA CRUZ - VERTICAL'!$O$6:$O$546,'BM MORRO DA CRUZ'!$K10),0)</f>
        <v>0</v>
      </c>
      <c r="AG10" s="63">
        <f>ROUND(AF10*$P10,2)</f>
        <v>0</v>
      </c>
      <c r="AH10" s="61">
        <f>IFERROR(SUMIFS('BM MORRO DA CRUZ - VERTICAL'!AL$6:AL$546,'BM MORRO DA CRUZ - VERTICAL'!$O$6:$O$546,'BM MORRO DA CRUZ'!$K10),0)</f>
        <v>0</v>
      </c>
      <c r="AI10" s="63">
        <f>ROUND(AH10*$P10,2)</f>
        <v>0</v>
      </c>
      <c r="AJ10" s="61">
        <f>IFERROR(SUMIFS('BM MORRO DA CRUZ - VERTICAL'!AN$6:AN$546,'BM MORRO DA CRUZ - VERTICAL'!$O$6:$O$546,'BM MORRO DA CRUZ'!$K10),0)</f>
        <v>0</v>
      </c>
      <c r="AK10" s="63">
        <f>ROUND(AJ10*$P10,2)</f>
        <v>0</v>
      </c>
      <c r="AL10" s="61">
        <f>IFERROR(SUMIFS('BM MORRO DA CRUZ - VERTICAL'!AP$6:AP$546,'BM MORRO DA CRUZ - VERTICAL'!$O$6:$O$546,'BM MORRO DA CRUZ'!$K10),0)</f>
        <v>0</v>
      </c>
      <c r="AM10" s="63">
        <f>ROUND(AL10*$P10,2)</f>
        <v>0</v>
      </c>
      <c r="AN10" s="61">
        <f>IFERROR(SUMIFS('BM MORRO DA CRUZ - VERTICAL'!AR$6:AR$546,'BM MORRO DA CRUZ - VERTICAL'!$O$6:$O$546,'BM MORRO DA CRUZ'!$K10),0)</f>
        <v>0</v>
      </c>
      <c r="AO10" s="63">
        <f>ROUND(AN10*$P10,2)</f>
        <v>0</v>
      </c>
      <c r="AP10" s="61">
        <f>IFERROR(SUMIFS('BM MORRO DA CRUZ - VERTICAL'!AT$6:AT$546,'BM MORRO DA CRUZ - VERTICAL'!$O$6:$O$546,'BM MORRO DA CRUZ'!$K10),0)</f>
        <v>0</v>
      </c>
      <c r="AQ10" s="63">
        <f>ROUND(AP10*$P10,2)</f>
        <v>0</v>
      </c>
      <c r="AR10" s="61">
        <f>IFERROR(SUMIFS('BM MORRO DA CRUZ - VERTICAL'!AV$6:AV$546,'BM MORRO DA CRUZ - VERTICAL'!$O$6:$O$546,'BM MORRO DA CRUZ'!$K10),0)</f>
        <v>0</v>
      </c>
      <c r="AS10" s="63">
        <f>ROUND(AR10*$P10,2)</f>
        <v>0</v>
      </c>
      <c r="AT10" s="61">
        <f>IFERROR(SUMIFS('BM MORRO DA CRUZ - VERTICAL'!AX$6:AX$546,'BM MORRO DA CRUZ - VERTICAL'!$O$6:$O$546,'BM MORRO DA CRUZ'!$K10),0)</f>
        <v>0</v>
      </c>
      <c r="AU10" s="63">
        <f>ROUND(AT10*$P10,2)</f>
        <v>0</v>
      </c>
      <c r="AV10" s="61">
        <f>IFERROR(SUMIFS('BM MORRO DA CRUZ - VERTICAL'!AZ$6:AZ$546,'BM MORRO DA CRUZ - VERTICAL'!$O$6:$O$546,'BM MORRO DA CRUZ'!$K10),0)</f>
        <v>0</v>
      </c>
      <c r="AW10" s="63">
        <f>ROUND(AV10*$P10,2)</f>
        <v>0</v>
      </c>
      <c r="AX10" s="61">
        <f>IFERROR(SUMIFS('BM MORRO DA CRUZ - VERTICAL'!BB$6:BB$546,'BM MORRO DA CRUZ - VERTICAL'!$O$6:$O$546,'BM MORRO DA CRUZ'!$K10),0)</f>
        <v>0</v>
      </c>
      <c r="AY10" s="63">
        <f>ROUND(AX10*$P10,2)</f>
        <v>0</v>
      </c>
      <c r="AZ10" s="61">
        <f>IFERROR(SUMIFS('BM MORRO DA CRUZ - VERTICAL'!BD$6:BD$546,'BM MORRO DA CRUZ - VERTICAL'!$O$6:$O$546,'BM MORRO DA CRUZ'!$K10),0)</f>
        <v>0</v>
      </c>
      <c r="BA10" s="63">
        <f>ROUND(AZ10*$P10,2)</f>
        <v>0</v>
      </c>
      <c r="BB10" s="61">
        <f>IFERROR(SUMIFS($R10:$BA10,$R$5:$BA$5,$BB$5),0)</f>
        <v>0</v>
      </c>
      <c r="BC10" s="63">
        <f>SUMIFS($R10:$BA10,$R$5:$BA$5,$S$5)</f>
        <v>0</v>
      </c>
      <c r="BD10" s="64">
        <f>IFERROR(BB10/O10,0)</f>
        <v>0</v>
      </c>
      <c r="BE10" s="65">
        <f>IFERROR((O10-BB10)/O10,0)</f>
        <v>1</v>
      </c>
      <c r="BF10" s="45"/>
    </row>
    <row r="11" spans="1:58" ht="26.25" customHeight="1" x14ac:dyDescent="0.45">
      <c r="A11" s="56" t="s">
        <v>55</v>
      </c>
      <c r="B11" s="506" t="s">
        <v>56</v>
      </c>
      <c r="C11" s="507" t="s">
        <v>39</v>
      </c>
      <c r="D11" s="507" t="s">
        <v>39</v>
      </c>
      <c r="E11" s="507" t="s">
        <v>39</v>
      </c>
      <c r="F11" s="507" t="s">
        <v>39</v>
      </c>
      <c r="G11" s="507" t="s">
        <v>39</v>
      </c>
      <c r="H11" s="508" t="s">
        <v>39</v>
      </c>
      <c r="I11" s="507" t="s">
        <v>57</v>
      </c>
      <c r="J11" s="508" t="s">
        <v>51</v>
      </c>
      <c r="K11" s="57" t="s">
        <v>58</v>
      </c>
      <c r="L11" s="58" t="s">
        <v>21</v>
      </c>
      <c r="M11" s="59" t="s">
        <v>59</v>
      </c>
      <c r="N11" s="60" t="s">
        <v>54</v>
      </c>
      <c r="O11" s="61">
        <v>64208.32</v>
      </c>
      <c r="P11" s="62">
        <v>17.13</v>
      </c>
      <c r="Q11" s="63">
        <f>ROUND(P11*$O11,2)</f>
        <v>1099888.52</v>
      </c>
      <c r="R11" s="61">
        <f>IFERROR(SUMIFS('BM MORRO DA CRUZ - VERTICAL'!V$6:V$546,'BM MORRO DA CRUZ - VERTICAL'!$O$6:$O$546,'BM MORRO DA CRUZ'!$K11),0)</f>
        <v>0</v>
      </c>
      <c r="S11" s="63">
        <f>ROUND(R11*$P11,2)</f>
        <v>0</v>
      </c>
      <c r="T11" s="61">
        <f>IFERROR(SUMIFS('BM MORRO DA CRUZ - VERTICAL'!X$6:X$546,'BM MORRO DA CRUZ - VERTICAL'!$O$6:$O$546,'BM MORRO DA CRUZ'!$K11),0)</f>
        <v>0</v>
      </c>
      <c r="U11" s="63">
        <f>ROUND(T11*$P11,2)</f>
        <v>0</v>
      </c>
      <c r="V11" s="61">
        <f>IFERROR(SUMIFS('BM MORRO DA CRUZ - VERTICAL'!Z$6:Z$546,'BM MORRO DA CRUZ - VERTICAL'!$O$6:$O$546,'BM MORRO DA CRUZ'!$K11),0)</f>
        <v>0</v>
      </c>
      <c r="W11" s="63">
        <f>ROUND(V11*$P11,2)</f>
        <v>0</v>
      </c>
      <c r="X11" s="61">
        <f>IFERROR(SUMIFS('BM MORRO DA CRUZ - VERTICAL'!AB$6:AB$546,'BM MORRO DA CRUZ - VERTICAL'!$O$6:$O$546,'BM MORRO DA CRUZ'!$K11),0)</f>
        <v>0</v>
      </c>
      <c r="Y11" s="63">
        <f>ROUND(X11*$P11,2)</f>
        <v>0</v>
      </c>
      <c r="Z11" s="61">
        <f>IFERROR(SUMIFS('BM MORRO DA CRUZ - VERTICAL'!AD$6:AD$546,'BM MORRO DA CRUZ - VERTICAL'!$O$6:$O$546,'BM MORRO DA CRUZ'!$K11),0)</f>
        <v>0</v>
      </c>
      <c r="AA11" s="63">
        <f>ROUND(Z11*$P11,2)</f>
        <v>0</v>
      </c>
      <c r="AB11" s="61">
        <f>IFERROR(SUMIFS('BM MORRO DA CRUZ - VERTICAL'!AF$6:AF$546,'BM MORRO DA CRUZ - VERTICAL'!$O$6:$O$546,'BM MORRO DA CRUZ'!$K11),0)</f>
        <v>0</v>
      </c>
      <c r="AC11" s="63">
        <f>ROUND(AB11*$P11,2)</f>
        <v>0</v>
      </c>
      <c r="AD11" s="61">
        <f>IFERROR(SUMIFS('BM MORRO DA CRUZ - VERTICAL'!AH$6:AH$546,'BM MORRO DA CRUZ - VERTICAL'!$O$6:$O$546,'BM MORRO DA CRUZ'!$K11),0)</f>
        <v>0</v>
      </c>
      <c r="AE11" s="63">
        <f>ROUND(AD11*$P11,2)</f>
        <v>0</v>
      </c>
      <c r="AF11" s="61">
        <f>IFERROR(SUMIFS('BM MORRO DA CRUZ - VERTICAL'!AJ$6:AJ$546,'BM MORRO DA CRUZ - VERTICAL'!$O$6:$O$546,'BM MORRO DA CRUZ'!$K11),0)</f>
        <v>0</v>
      </c>
      <c r="AG11" s="63">
        <f>ROUND(AF11*$P11,2)</f>
        <v>0</v>
      </c>
      <c r="AH11" s="61">
        <f>IFERROR(SUMIFS('BM MORRO DA CRUZ - VERTICAL'!AL$6:AL$546,'BM MORRO DA CRUZ - VERTICAL'!$O$6:$O$546,'BM MORRO DA CRUZ'!$K11),0)</f>
        <v>0</v>
      </c>
      <c r="AI11" s="63">
        <f>ROUND(AH11*$P11,2)</f>
        <v>0</v>
      </c>
      <c r="AJ11" s="61">
        <f>IFERROR(SUMIFS('BM MORRO DA CRUZ - VERTICAL'!AN$6:AN$546,'BM MORRO DA CRUZ - VERTICAL'!$O$6:$O$546,'BM MORRO DA CRUZ'!$K11),0)</f>
        <v>0</v>
      </c>
      <c r="AK11" s="63">
        <f>ROUND(AJ11*$P11,2)</f>
        <v>0</v>
      </c>
      <c r="AL11" s="61">
        <f>IFERROR(SUMIFS('BM MORRO DA CRUZ - VERTICAL'!AP$6:AP$546,'BM MORRO DA CRUZ - VERTICAL'!$O$6:$O$546,'BM MORRO DA CRUZ'!$K11),0)</f>
        <v>0</v>
      </c>
      <c r="AM11" s="63">
        <f>ROUND(AL11*$P11,2)</f>
        <v>0</v>
      </c>
      <c r="AN11" s="61">
        <f>IFERROR(SUMIFS('BM MORRO DA CRUZ - VERTICAL'!AR$6:AR$546,'BM MORRO DA CRUZ - VERTICAL'!$O$6:$O$546,'BM MORRO DA CRUZ'!$K11),0)</f>
        <v>0</v>
      </c>
      <c r="AO11" s="63">
        <f>ROUND(AN11*$P11,2)</f>
        <v>0</v>
      </c>
      <c r="AP11" s="61">
        <f>IFERROR(SUMIFS('BM MORRO DA CRUZ - VERTICAL'!AT$6:AT$546,'BM MORRO DA CRUZ - VERTICAL'!$O$6:$O$546,'BM MORRO DA CRUZ'!$K11),0)</f>
        <v>0</v>
      </c>
      <c r="AQ11" s="63">
        <f>ROUND(AP11*$P11,2)</f>
        <v>0</v>
      </c>
      <c r="AR11" s="61">
        <f>IFERROR(SUMIFS('BM MORRO DA CRUZ - VERTICAL'!AV$6:AV$546,'BM MORRO DA CRUZ - VERTICAL'!$O$6:$O$546,'BM MORRO DA CRUZ'!$K11),0)</f>
        <v>0</v>
      </c>
      <c r="AS11" s="63">
        <f>ROUND(AR11*$P11,2)</f>
        <v>0</v>
      </c>
      <c r="AT11" s="61">
        <f>IFERROR(SUMIFS('BM MORRO DA CRUZ - VERTICAL'!AX$6:AX$546,'BM MORRO DA CRUZ - VERTICAL'!$O$6:$O$546,'BM MORRO DA CRUZ'!$K11),0)</f>
        <v>0</v>
      </c>
      <c r="AU11" s="63">
        <f>ROUND(AT11*$P11,2)</f>
        <v>0</v>
      </c>
      <c r="AV11" s="61">
        <f>IFERROR(SUMIFS('BM MORRO DA CRUZ - VERTICAL'!AZ$6:AZ$546,'BM MORRO DA CRUZ - VERTICAL'!$O$6:$O$546,'BM MORRO DA CRUZ'!$K11),0)</f>
        <v>0</v>
      </c>
      <c r="AW11" s="63">
        <f>ROUND(AV11*$P11,2)</f>
        <v>0</v>
      </c>
      <c r="AX11" s="61">
        <f>IFERROR(SUMIFS('BM MORRO DA CRUZ - VERTICAL'!BB$6:BB$546,'BM MORRO DA CRUZ - VERTICAL'!$O$6:$O$546,'BM MORRO DA CRUZ'!$K11),0)</f>
        <v>0</v>
      </c>
      <c r="AY11" s="63">
        <f>ROUND(AX11*$P11,2)</f>
        <v>0</v>
      </c>
      <c r="AZ11" s="61">
        <f>IFERROR(SUMIFS('BM MORRO DA CRUZ - VERTICAL'!BD$6:BD$546,'BM MORRO DA CRUZ - VERTICAL'!$O$6:$O$546,'BM MORRO DA CRUZ'!$K11),0)</f>
        <v>0</v>
      </c>
      <c r="BA11" s="63">
        <f>ROUND(AZ11*$P11,2)</f>
        <v>0</v>
      </c>
      <c r="BB11" s="61">
        <f>IFERROR(SUMIFS($R11:$BA11,$R$5:$BA$5,$BB$5),0)</f>
        <v>0</v>
      </c>
      <c r="BC11" s="63">
        <f>SUMIFS($R11:$BA11,$R$5:$BA$5,$S$5)</f>
        <v>0</v>
      </c>
      <c r="BD11" s="64">
        <f>IFERROR(BB11/O11,0)</f>
        <v>0</v>
      </c>
      <c r="BE11" s="65">
        <f>IFERROR((O11-BB11)/O11,0)</f>
        <v>1</v>
      </c>
      <c r="BF11" s="45"/>
    </row>
    <row r="12" spans="1:58" ht="19.5" customHeight="1" x14ac:dyDescent="0.45">
      <c r="A12" s="46" t="s">
        <v>60</v>
      </c>
      <c r="B12" s="503"/>
      <c r="C12" s="504"/>
      <c r="D12" s="504"/>
      <c r="E12" s="504"/>
      <c r="F12" s="504"/>
      <c r="G12" s="504"/>
      <c r="H12" s="505" t="s">
        <v>1718</v>
      </c>
      <c r="I12" s="504"/>
      <c r="J12" s="505" t="s">
        <v>1718</v>
      </c>
      <c r="K12" s="47" t="s">
        <v>61</v>
      </c>
      <c r="L12" s="48"/>
      <c r="M12" s="49" t="s">
        <v>62</v>
      </c>
      <c r="N12" s="50"/>
      <c r="O12" s="51"/>
      <c r="P12" s="52"/>
      <c r="Q12" s="53">
        <f>SUM(Q13:Q13)</f>
        <v>2080260.6</v>
      </c>
      <c r="R12" s="51"/>
      <c r="S12" s="53">
        <f>SUM(S13:S13)</f>
        <v>0</v>
      </c>
      <c r="T12" s="51"/>
      <c r="U12" s="53">
        <f>SUM(U13:U13)</f>
        <v>0</v>
      </c>
      <c r="V12" s="51"/>
      <c r="W12" s="53">
        <f>SUM(W13:W13)</f>
        <v>0</v>
      </c>
      <c r="X12" s="51"/>
      <c r="Y12" s="53">
        <f>SUM(Y13:Y13)</f>
        <v>0</v>
      </c>
      <c r="Z12" s="51"/>
      <c r="AA12" s="53">
        <f>SUM(AA13:AA13)</f>
        <v>0</v>
      </c>
      <c r="AB12" s="51"/>
      <c r="AC12" s="53">
        <f>SUM(AC13:AC13)</f>
        <v>0</v>
      </c>
      <c r="AD12" s="51"/>
      <c r="AE12" s="53">
        <f>SUM(AE13:AE13)</f>
        <v>0</v>
      </c>
      <c r="AF12" s="51"/>
      <c r="AG12" s="53">
        <f>SUM(AG13:AG13)</f>
        <v>0</v>
      </c>
      <c r="AH12" s="51"/>
      <c r="AI12" s="53">
        <f>SUM(AI13:AI13)</f>
        <v>0</v>
      </c>
      <c r="AJ12" s="51"/>
      <c r="AK12" s="53">
        <f>SUM(AK13:AK13)</f>
        <v>0</v>
      </c>
      <c r="AL12" s="51"/>
      <c r="AM12" s="53">
        <f>SUM(AM13:AM13)</f>
        <v>0</v>
      </c>
      <c r="AN12" s="51"/>
      <c r="AO12" s="53">
        <f>SUM(AO13:AO13)</f>
        <v>0</v>
      </c>
      <c r="AP12" s="51"/>
      <c r="AQ12" s="53">
        <f>SUM(AQ13:AQ13)</f>
        <v>0</v>
      </c>
      <c r="AR12" s="51"/>
      <c r="AS12" s="53">
        <f>SUM(AS13:AS13)</f>
        <v>0</v>
      </c>
      <c r="AT12" s="51"/>
      <c r="AU12" s="53">
        <f>SUM(AU13:AU13)</f>
        <v>0</v>
      </c>
      <c r="AV12" s="51"/>
      <c r="AW12" s="53">
        <f>SUM(AW13:AW13)</f>
        <v>0</v>
      </c>
      <c r="AX12" s="51"/>
      <c r="AY12" s="53">
        <f>SUM(AY13:AY13)</f>
        <v>0</v>
      </c>
      <c r="AZ12" s="51"/>
      <c r="BA12" s="53">
        <f>SUM(BA13:BA13)</f>
        <v>0</v>
      </c>
      <c r="BB12" s="51"/>
      <c r="BC12" s="53">
        <f>SUM(BC13:BC13)</f>
        <v>0</v>
      </c>
      <c r="BD12" s="54"/>
      <c r="BE12" s="55"/>
      <c r="BF12" s="45"/>
    </row>
    <row r="13" spans="1:58" ht="26.25" customHeight="1" x14ac:dyDescent="0.45">
      <c r="A13" s="56" t="s">
        <v>63</v>
      </c>
      <c r="B13" s="506" t="s">
        <v>64</v>
      </c>
      <c r="C13" s="507" t="s">
        <v>39</v>
      </c>
      <c r="D13" s="507" t="s">
        <v>39</v>
      </c>
      <c r="E13" s="507" t="s">
        <v>65</v>
      </c>
      <c r="F13" s="507" t="s">
        <v>39</v>
      </c>
      <c r="G13" s="507" t="s">
        <v>66</v>
      </c>
      <c r="H13" s="508" t="s">
        <v>67</v>
      </c>
      <c r="I13" s="507" t="s">
        <v>68</v>
      </c>
      <c r="J13" s="508" t="s">
        <v>41</v>
      </c>
      <c r="K13" s="57" t="s">
        <v>69</v>
      </c>
      <c r="L13" s="58" t="s">
        <v>21</v>
      </c>
      <c r="M13" s="59" t="s">
        <v>70</v>
      </c>
      <c r="N13" s="60" t="s">
        <v>71</v>
      </c>
      <c r="O13" s="61">
        <v>11894</v>
      </c>
      <c r="P13" s="62">
        <v>174.9</v>
      </c>
      <c r="Q13" s="63">
        <f>ROUND(P13*$O13,2)</f>
        <v>2080260.6</v>
      </c>
      <c r="R13" s="61">
        <f>IFERROR(SUMIFS('BM MORRO DA CRUZ - VERTICAL'!V$6:V$546,'BM MORRO DA CRUZ - VERTICAL'!$O$6:$O$546,'BM MORRO DA CRUZ'!$K13),0)</f>
        <v>0</v>
      </c>
      <c r="S13" s="63">
        <f>ROUND(R13*$P13,2)</f>
        <v>0</v>
      </c>
      <c r="T13" s="61">
        <f>IFERROR(SUMIFS('BM MORRO DA CRUZ - VERTICAL'!X$6:X$546,'BM MORRO DA CRUZ - VERTICAL'!$O$6:$O$546,'BM MORRO DA CRUZ'!$K13),0)</f>
        <v>0</v>
      </c>
      <c r="U13" s="63">
        <f>ROUND(T13*$P13,2)</f>
        <v>0</v>
      </c>
      <c r="V13" s="61">
        <f>IFERROR(SUMIFS('BM MORRO DA CRUZ - VERTICAL'!Z$6:Z$546,'BM MORRO DA CRUZ - VERTICAL'!$O$6:$O$546,'BM MORRO DA CRUZ'!$K13),0)</f>
        <v>0</v>
      </c>
      <c r="W13" s="63">
        <f>ROUND(V13*$P13,2)</f>
        <v>0</v>
      </c>
      <c r="X13" s="61">
        <f>IFERROR(SUMIFS('BM MORRO DA CRUZ - VERTICAL'!AB$6:AB$546,'BM MORRO DA CRUZ - VERTICAL'!$O$6:$O$546,'BM MORRO DA CRUZ'!$K13),0)</f>
        <v>0</v>
      </c>
      <c r="Y13" s="63">
        <f>ROUND(X13*$P13,2)</f>
        <v>0</v>
      </c>
      <c r="Z13" s="61">
        <f>IFERROR(SUMIFS('BM MORRO DA CRUZ - VERTICAL'!AD$6:AD$546,'BM MORRO DA CRUZ - VERTICAL'!$O$6:$O$546,'BM MORRO DA CRUZ'!$K13),0)</f>
        <v>0</v>
      </c>
      <c r="AA13" s="63">
        <f>ROUND(Z13*$P13,2)</f>
        <v>0</v>
      </c>
      <c r="AB13" s="61">
        <f>IFERROR(SUMIFS('BM MORRO DA CRUZ - VERTICAL'!AF$6:AF$546,'BM MORRO DA CRUZ - VERTICAL'!$O$6:$O$546,'BM MORRO DA CRUZ'!$K13),0)</f>
        <v>0</v>
      </c>
      <c r="AC13" s="63">
        <f>ROUND(AB13*$P13,2)</f>
        <v>0</v>
      </c>
      <c r="AD13" s="61">
        <f>IFERROR(SUMIFS('BM MORRO DA CRUZ - VERTICAL'!AH$6:AH$546,'BM MORRO DA CRUZ - VERTICAL'!$O$6:$O$546,'BM MORRO DA CRUZ'!$K13),0)</f>
        <v>0</v>
      </c>
      <c r="AE13" s="63">
        <f>ROUND(AD13*$P13,2)</f>
        <v>0</v>
      </c>
      <c r="AF13" s="61">
        <f>IFERROR(SUMIFS('BM MORRO DA CRUZ - VERTICAL'!AJ$6:AJ$546,'BM MORRO DA CRUZ - VERTICAL'!$O$6:$O$546,'BM MORRO DA CRUZ'!$K13),0)</f>
        <v>0</v>
      </c>
      <c r="AG13" s="63">
        <f>ROUND(AF13*$P13,2)</f>
        <v>0</v>
      </c>
      <c r="AH13" s="61">
        <f>IFERROR(SUMIFS('BM MORRO DA CRUZ - VERTICAL'!AL$6:AL$546,'BM MORRO DA CRUZ - VERTICAL'!$O$6:$O$546,'BM MORRO DA CRUZ'!$K13),0)</f>
        <v>0</v>
      </c>
      <c r="AI13" s="63">
        <f>ROUND(AH13*$P13,2)</f>
        <v>0</v>
      </c>
      <c r="AJ13" s="61">
        <f>IFERROR(SUMIFS('BM MORRO DA CRUZ - VERTICAL'!AN$6:AN$546,'BM MORRO DA CRUZ - VERTICAL'!$O$6:$O$546,'BM MORRO DA CRUZ'!$K13),0)</f>
        <v>0</v>
      </c>
      <c r="AK13" s="63">
        <f>ROUND(AJ13*$P13,2)</f>
        <v>0</v>
      </c>
      <c r="AL13" s="61">
        <f>IFERROR(SUMIFS('BM MORRO DA CRUZ - VERTICAL'!AP$6:AP$546,'BM MORRO DA CRUZ - VERTICAL'!$O$6:$O$546,'BM MORRO DA CRUZ'!$K13),0)</f>
        <v>0</v>
      </c>
      <c r="AM13" s="63">
        <f>ROUND(AL13*$P13,2)</f>
        <v>0</v>
      </c>
      <c r="AN13" s="61">
        <f>IFERROR(SUMIFS('BM MORRO DA CRUZ - VERTICAL'!AR$6:AR$546,'BM MORRO DA CRUZ - VERTICAL'!$O$6:$O$546,'BM MORRO DA CRUZ'!$K13),0)</f>
        <v>0</v>
      </c>
      <c r="AO13" s="63">
        <f>ROUND(AN13*$P13,2)</f>
        <v>0</v>
      </c>
      <c r="AP13" s="61">
        <f>IFERROR(SUMIFS('BM MORRO DA CRUZ - VERTICAL'!AT$6:AT$546,'BM MORRO DA CRUZ - VERTICAL'!$O$6:$O$546,'BM MORRO DA CRUZ'!$K13),0)</f>
        <v>0</v>
      </c>
      <c r="AQ13" s="63">
        <f>ROUND(AP13*$P13,2)</f>
        <v>0</v>
      </c>
      <c r="AR13" s="61">
        <f>IFERROR(SUMIFS('BM MORRO DA CRUZ - VERTICAL'!AV$6:AV$546,'BM MORRO DA CRUZ - VERTICAL'!$O$6:$O$546,'BM MORRO DA CRUZ'!$K13),0)</f>
        <v>0</v>
      </c>
      <c r="AS13" s="63">
        <f>ROUND(AR13*$P13,2)</f>
        <v>0</v>
      </c>
      <c r="AT13" s="61">
        <f>IFERROR(SUMIFS('BM MORRO DA CRUZ - VERTICAL'!AX$6:AX$546,'BM MORRO DA CRUZ - VERTICAL'!$O$6:$O$546,'BM MORRO DA CRUZ'!$K13),0)</f>
        <v>0</v>
      </c>
      <c r="AU13" s="63">
        <f>ROUND(AT13*$P13,2)</f>
        <v>0</v>
      </c>
      <c r="AV13" s="61">
        <f>IFERROR(SUMIFS('BM MORRO DA CRUZ - VERTICAL'!AZ$6:AZ$546,'BM MORRO DA CRUZ - VERTICAL'!$O$6:$O$546,'BM MORRO DA CRUZ'!$K13),0)</f>
        <v>0</v>
      </c>
      <c r="AW13" s="63">
        <f>ROUND(AV13*$P13,2)</f>
        <v>0</v>
      </c>
      <c r="AX13" s="61">
        <f>IFERROR(SUMIFS('BM MORRO DA CRUZ - VERTICAL'!BB$6:BB$546,'BM MORRO DA CRUZ - VERTICAL'!$O$6:$O$546,'BM MORRO DA CRUZ'!$K13),0)</f>
        <v>0</v>
      </c>
      <c r="AY13" s="63">
        <f>ROUND(AX13*$P13,2)</f>
        <v>0</v>
      </c>
      <c r="AZ13" s="61">
        <f>IFERROR(SUMIFS('BM MORRO DA CRUZ - VERTICAL'!BD$6:BD$546,'BM MORRO DA CRUZ - VERTICAL'!$O$6:$O$546,'BM MORRO DA CRUZ'!$K13),0)</f>
        <v>0</v>
      </c>
      <c r="BA13" s="63">
        <f>ROUND(AZ13*$P13,2)</f>
        <v>0</v>
      </c>
      <c r="BB13" s="61">
        <f>IFERROR(SUMIFS($R13:$BA13,$R$5:$BA$5,$BB$5),0)</f>
        <v>0</v>
      </c>
      <c r="BC13" s="63">
        <f>SUMIFS($R13:$BA13,$R$5:$BA$5,$S$5)</f>
        <v>0</v>
      </c>
      <c r="BD13" s="64">
        <f>IFERROR(BB13/O13,0)</f>
        <v>0</v>
      </c>
      <c r="BE13" s="65">
        <f>IFERROR((O13-BB13)/O13,0)</f>
        <v>1</v>
      </c>
      <c r="BF13" s="45"/>
    </row>
    <row r="14" spans="1:58" ht="19.5" customHeight="1" x14ac:dyDescent="0.45">
      <c r="A14" s="46" t="s">
        <v>72</v>
      </c>
      <c r="B14" s="503"/>
      <c r="C14" s="504"/>
      <c r="D14" s="504"/>
      <c r="E14" s="504"/>
      <c r="F14" s="504"/>
      <c r="G14" s="504"/>
      <c r="H14" s="505" t="s">
        <v>1718</v>
      </c>
      <c r="I14" s="504"/>
      <c r="J14" s="505" t="s">
        <v>1718</v>
      </c>
      <c r="K14" s="47" t="s">
        <v>73</v>
      </c>
      <c r="L14" s="48"/>
      <c r="M14" s="49" t="s">
        <v>74</v>
      </c>
      <c r="N14" s="50"/>
      <c r="O14" s="51"/>
      <c r="P14" s="52"/>
      <c r="Q14" s="53">
        <f>SUM(Q15:Q15)</f>
        <v>18953.72</v>
      </c>
      <c r="R14" s="51"/>
      <c r="S14" s="53">
        <f>SUM(S15:S15)</f>
        <v>0</v>
      </c>
      <c r="T14" s="51"/>
      <c r="U14" s="53">
        <f>SUM(U15:U15)</f>
        <v>0</v>
      </c>
      <c r="V14" s="51"/>
      <c r="W14" s="53">
        <f>SUM(W15:W15)</f>
        <v>0</v>
      </c>
      <c r="X14" s="51"/>
      <c r="Y14" s="53">
        <f>SUM(Y15:Y15)</f>
        <v>0</v>
      </c>
      <c r="Z14" s="51"/>
      <c r="AA14" s="53">
        <f>SUM(AA15:AA15)</f>
        <v>0</v>
      </c>
      <c r="AB14" s="51"/>
      <c r="AC14" s="53">
        <f>SUM(AC15:AC15)</f>
        <v>0</v>
      </c>
      <c r="AD14" s="51"/>
      <c r="AE14" s="53">
        <f>SUM(AE15:AE15)</f>
        <v>0</v>
      </c>
      <c r="AF14" s="51"/>
      <c r="AG14" s="53">
        <f>SUM(AG15:AG15)</f>
        <v>0</v>
      </c>
      <c r="AH14" s="51"/>
      <c r="AI14" s="53">
        <f>SUM(AI15:AI15)</f>
        <v>0</v>
      </c>
      <c r="AJ14" s="51"/>
      <c r="AK14" s="53">
        <f>SUM(AK15:AK15)</f>
        <v>0</v>
      </c>
      <c r="AL14" s="51"/>
      <c r="AM14" s="53">
        <f>SUM(AM15:AM15)</f>
        <v>0</v>
      </c>
      <c r="AN14" s="51"/>
      <c r="AO14" s="53">
        <f>SUM(AO15:AO15)</f>
        <v>0</v>
      </c>
      <c r="AP14" s="51"/>
      <c r="AQ14" s="53">
        <f>SUM(AQ15:AQ15)</f>
        <v>0</v>
      </c>
      <c r="AR14" s="51"/>
      <c r="AS14" s="53">
        <f>SUM(AS15:AS15)</f>
        <v>0</v>
      </c>
      <c r="AT14" s="51"/>
      <c r="AU14" s="53">
        <f>SUM(AU15:AU15)</f>
        <v>0</v>
      </c>
      <c r="AV14" s="51"/>
      <c r="AW14" s="53">
        <f>SUM(AW15:AW15)</f>
        <v>0</v>
      </c>
      <c r="AX14" s="51"/>
      <c r="AY14" s="53">
        <f>SUM(AY15:AY15)</f>
        <v>0</v>
      </c>
      <c r="AZ14" s="51"/>
      <c r="BA14" s="53">
        <f>SUM(BA15:BA15)</f>
        <v>0</v>
      </c>
      <c r="BB14" s="51"/>
      <c r="BC14" s="53">
        <f>SUM(BC15:BC15)</f>
        <v>0</v>
      </c>
      <c r="BD14" s="54"/>
      <c r="BE14" s="55"/>
      <c r="BF14" s="45"/>
    </row>
    <row r="15" spans="1:58" ht="26.25" customHeight="1" x14ac:dyDescent="0.45">
      <c r="A15" s="56" t="s">
        <v>75</v>
      </c>
      <c r="B15" s="506" t="s">
        <v>76</v>
      </c>
      <c r="C15" s="507" t="s">
        <v>39</v>
      </c>
      <c r="D15" s="507" t="s">
        <v>39</v>
      </c>
      <c r="E15" s="507" t="s">
        <v>77</v>
      </c>
      <c r="F15" s="507" t="s">
        <v>39</v>
      </c>
      <c r="G15" s="507">
        <v>600</v>
      </c>
      <c r="H15" s="508" t="s">
        <v>78</v>
      </c>
      <c r="I15" s="507" t="s">
        <v>79</v>
      </c>
      <c r="J15" s="508" t="s">
        <v>78</v>
      </c>
      <c r="K15" s="57" t="s">
        <v>80</v>
      </c>
      <c r="L15" s="58" t="s">
        <v>21</v>
      </c>
      <c r="M15" s="59" t="s">
        <v>81</v>
      </c>
      <c r="N15" s="60" t="s">
        <v>71</v>
      </c>
      <c r="O15" s="61">
        <v>146</v>
      </c>
      <c r="P15" s="62">
        <v>129.82</v>
      </c>
      <c r="Q15" s="63">
        <f>ROUND(P15*$O15,2)</f>
        <v>18953.72</v>
      </c>
      <c r="R15" s="61">
        <f>IFERROR(SUMIFS('BM MORRO DA CRUZ - VERTICAL'!V$6:V$546,'BM MORRO DA CRUZ - VERTICAL'!$O$6:$O$546,'BM MORRO DA CRUZ'!$K15),0)</f>
        <v>0</v>
      </c>
      <c r="S15" s="63">
        <f>ROUND(R15*$P15,2)</f>
        <v>0</v>
      </c>
      <c r="T15" s="61">
        <f>IFERROR(SUMIFS('BM MORRO DA CRUZ - VERTICAL'!X$6:X$546,'BM MORRO DA CRUZ - VERTICAL'!$O$6:$O$546,'BM MORRO DA CRUZ'!$K15),0)</f>
        <v>0</v>
      </c>
      <c r="U15" s="63">
        <f>ROUND(T15*$P15,2)</f>
        <v>0</v>
      </c>
      <c r="V15" s="61">
        <f>IFERROR(SUMIFS('BM MORRO DA CRUZ - VERTICAL'!Z$6:Z$546,'BM MORRO DA CRUZ - VERTICAL'!$O$6:$O$546,'BM MORRO DA CRUZ'!$K15),0)</f>
        <v>0</v>
      </c>
      <c r="W15" s="63">
        <f>ROUND(V15*$P15,2)</f>
        <v>0</v>
      </c>
      <c r="X15" s="61">
        <f>IFERROR(SUMIFS('BM MORRO DA CRUZ - VERTICAL'!AB$6:AB$546,'BM MORRO DA CRUZ - VERTICAL'!$O$6:$O$546,'BM MORRO DA CRUZ'!$K15),0)</f>
        <v>0</v>
      </c>
      <c r="Y15" s="63">
        <f>ROUND(X15*$P15,2)</f>
        <v>0</v>
      </c>
      <c r="Z15" s="61">
        <f>IFERROR(SUMIFS('BM MORRO DA CRUZ - VERTICAL'!AD$6:AD$546,'BM MORRO DA CRUZ - VERTICAL'!$O$6:$O$546,'BM MORRO DA CRUZ'!$K15),0)</f>
        <v>0</v>
      </c>
      <c r="AA15" s="63">
        <f>ROUND(Z15*$P15,2)</f>
        <v>0</v>
      </c>
      <c r="AB15" s="61">
        <f>IFERROR(SUMIFS('BM MORRO DA CRUZ - VERTICAL'!AF$6:AF$546,'BM MORRO DA CRUZ - VERTICAL'!$O$6:$O$546,'BM MORRO DA CRUZ'!$K15),0)</f>
        <v>0</v>
      </c>
      <c r="AC15" s="63">
        <f>ROUND(AB15*$P15,2)</f>
        <v>0</v>
      </c>
      <c r="AD15" s="61">
        <f>IFERROR(SUMIFS('BM MORRO DA CRUZ - VERTICAL'!AH$6:AH$546,'BM MORRO DA CRUZ - VERTICAL'!$O$6:$O$546,'BM MORRO DA CRUZ'!$K15),0)</f>
        <v>0</v>
      </c>
      <c r="AE15" s="63">
        <f>ROUND(AD15*$P15,2)</f>
        <v>0</v>
      </c>
      <c r="AF15" s="61">
        <f>IFERROR(SUMIFS('BM MORRO DA CRUZ - VERTICAL'!AJ$6:AJ$546,'BM MORRO DA CRUZ - VERTICAL'!$O$6:$O$546,'BM MORRO DA CRUZ'!$K15),0)</f>
        <v>0</v>
      </c>
      <c r="AG15" s="63">
        <f>ROUND(AF15*$P15,2)</f>
        <v>0</v>
      </c>
      <c r="AH15" s="61">
        <f>IFERROR(SUMIFS('BM MORRO DA CRUZ - VERTICAL'!AL$6:AL$546,'BM MORRO DA CRUZ - VERTICAL'!$O$6:$O$546,'BM MORRO DA CRUZ'!$K15),0)</f>
        <v>0</v>
      </c>
      <c r="AI15" s="63">
        <f>ROUND(AH15*$P15,2)</f>
        <v>0</v>
      </c>
      <c r="AJ15" s="61">
        <f>IFERROR(SUMIFS('BM MORRO DA CRUZ - VERTICAL'!AN$6:AN$546,'BM MORRO DA CRUZ - VERTICAL'!$O$6:$O$546,'BM MORRO DA CRUZ'!$K15),0)</f>
        <v>0</v>
      </c>
      <c r="AK15" s="63">
        <f>ROUND(AJ15*$P15,2)</f>
        <v>0</v>
      </c>
      <c r="AL15" s="61">
        <f>IFERROR(SUMIFS('BM MORRO DA CRUZ - VERTICAL'!AP$6:AP$546,'BM MORRO DA CRUZ - VERTICAL'!$O$6:$O$546,'BM MORRO DA CRUZ'!$K15),0)</f>
        <v>0</v>
      </c>
      <c r="AM15" s="63">
        <f>ROUND(AL15*$P15,2)</f>
        <v>0</v>
      </c>
      <c r="AN15" s="61">
        <f>IFERROR(SUMIFS('BM MORRO DA CRUZ - VERTICAL'!AR$6:AR$546,'BM MORRO DA CRUZ - VERTICAL'!$O$6:$O$546,'BM MORRO DA CRUZ'!$K15),0)</f>
        <v>0</v>
      </c>
      <c r="AO15" s="63">
        <f>ROUND(AN15*$P15,2)</f>
        <v>0</v>
      </c>
      <c r="AP15" s="61">
        <f>IFERROR(SUMIFS('BM MORRO DA CRUZ - VERTICAL'!AT$6:AT$546,'BM MORRO DA CRUZ - VERTICAL'!$O$6:$O$546,'BM MORRO DA CRUZ'!$K15),0)</f>
        <v>0</v>
      </c>
      <c r="AQ15" s="63">
        <f>ROUND(AP15*$P15,2)</f>
        <v>0</v>
      </c>
      <c r="AR15" s="61">
        <f>IFERROR(SUMIFS('BM MORRO DA CRUZ - VERTICAL'!AV$6:AV$546,'BM MORRO DA CRUZ - VERTICAL'!$O$6:$O$546,'BM MORRO DA CRUZ'!$K15),0)</f>
        <v>0</v>
      </c>
      <c r="AS15" s="63">
        <f>ROUND(AR15*$P15,2)</f>
        <v>0</v>
      </c>
      <c r="AT15" s="61">
        <f>IFERROR(SUMIFS('BM MORRO DA CRUZ - VERTICAL'!AX$6:AX$546,'BM MORRO DA CRUZ - VERTICAL'!$O$6:$O$546,'BM MORRO DA CRUZ'!$K15),0)</f>
        <v>0</v>
      </c>
      <c r="AU15" s="63">
        <f>ROUND(AT15*$P15,2)</f>
        <v>0</v>
      </c>
      <c r="AV15" s="61">
        <f>IFERROR(SUMIFS('BM MORRO DA CRUZ - VERTICAL'!AZ$6:AZ$546,'BM MORRO DA CRUZ - VERTICAL'!$O$6:$O$546,'BM MORRO DA CRUZ'!$K15),0)</f>
        <v>0</v>
      </c>
      <c r="AW15" s="63">
        <f>ROUND(AV15*$P15,2)</f>
        <v>0</v>
      </c>
      <c r="AX15" s="61">
        <f>IFERROR(SUMIFS('BM MORRO DA CRUZ - VERTICAL'!BB$6:BB$546,'BM MORRO DA CRUZ - VERTICAL'!$O$6:$O$546,'BM MORRO DA CRUZ'!$K15),0)</f>
        <v>0</v>
      </c>
      <c r="AY15" s="63">
        <f>ROUND(AX15*$P15,2)</f>
        <v>0</v>
      </c>
      <c r="AZ15" s="61">
        <f>IFERROR(SUMIFS('BM MORRO DA CRUZ - VERTICAL'!BD$6:BD$546,'BM MORRO DA CRUZ - VERTICAL'!$O$6:$O$546,'BM MORRO DA CRUZ'!$K15),0)</f>
        <v>0</v>
      </c>
      <c r="BA15" s="63">
        <f>ROUND(AZ15*$P15,2)</f>
        <v>0</v>
      </c>
      <c r="BB15" s="61">
        <f>IFERROR(SUMIFS($R15:$BA15,$R$5:$BA$5,$BB$5),0)</f>
        <v>0</v>
      </c>
      <c r="BC15" s="63">
        <f>SUMIFS($R15:$BA15,$R$5:$BA$5,$S$5)</f>
        <v>0</v>
      </c>
      <c r="BD15" s="64">
        <f>IFERROR(BB15/O15,0)</f>
        <v>0</v>
      </c>
      <c r="BE15" s="65">
        <f>IFERROR((O15-BB15)/O15,0)</f>
        <v>1</v>
      </c>
      <c r="BF15" s="45"/>
    </row>
    <row r="16" spans="1:58" ht="19.5" customHeight="1" x14ac:dyDescent="0.45">
      <c r="A16" s="46" t="s">
        <v>82</v>
      </c>
      <c r="B16" s="503"/>
      <c r="C16" s="504"/>
      <c r="D16" s="504"/>
      <c r="E16" s="504"/>
      <c r="F16" s="504"/>
      <c r="G16" s="504"/>
      <c r="H16" s="505" t="s">
        <v>1718</v>
      </c>
      <c r="I16" s="504"/>
      <c r="J16" s="505" t="s">
        <v>1718</v>
      </c>
      <c r="K16" s="47" t="s">
        <v>83</v>
      </c>
      <c r="L16" s="48"/>
      <c r="M16" s="49" t="s">
        <v>84</v>
      </c>
      <c r="N16" s="50"/>
      <c r="O16" s="51"/>
      <c r="P16" s="52"/>
      <c r="Q16" s="53">
        <f>SUM(Q17:Q17)</f>
        <v>6211998.3200000003</v>
      </c>
      <c r="R16" s="51"/>
      <c r="S16" s="53">
        <f>SUM(S17:S17)</f>
        <v>0</v>
      </c>
      <c r="T16" s="51"/>
      <c r="U16" s="53">
        <f>SUM(U17:U17)</f>
        <v>0</v>
      </c>
      <c r="V16" s="51"/>
      <c r="W16" s="53">
        <f>SUM(W17:W17)</f>
        <v>0</v>
      </c>
      <c r="X16" s="51"/>
      <c r="Y16" s="53">
        <f>SUM(Y17:Y17)</f>
        <v>0</v>
      </c>
      <c r="Z16" s="51"/>
      <c r="AA16" s="53">
        <f>SUM(AA17:AA17)</f>
        <v>0</v>
      </c>
      <c r="AB16" s="51"/>
      <c r="AC16" s="53">
        <f>SUM(AC17:AC17)</f>
        <v>0</v>
      </c>
      <c r="AD16" s="51"/>
      <c r="AE16" s="53">
        <f>SUM(AE17:AE17)</f>
        <v>0</v>
      </c>
      <c r="AF16" s="51"/>
      <c r="AG16" s="53">
        <f>SUM(AG17:AG17)</f>
        <v>0</v>
      </c>
      <c r="AH16" s="51"/>
      <c r="AI16" s="53">
        <f>SUM(AI17:AI17)</f>
        <v>0</v>
      </c>
      <c r="AJ16" s="51"/>
      <c r="AK16" s="53">
        <f>SUM(AK17:AK17)</f>
        <v>0</v>
      </c>
      <c r="AL16" s="51"/>
      <c r="AM16" s="53">
        <f>SUM(AM17:AM17)</f>
        <v>0</v>
      </c>
      <c r="AN16" s="51"/>
      <c r="AO16" s="53">
        <f>SUM(AO17:AO17)</f>
        <v>0</v>
      </c>
      <c r="AP16" s="51"/>
      <c r="AQ16" s="53">
        <f>SUM(AQ17:AQ17)</f>
        <v>0</v>
      </c>
      <c r="AR16" s="51"/>
      <c r="AS16" s="53">
        <f>SUM(AS17:AS17)</f>
        <v>0</v>
      </c>
      <c r="AT16" s="51"/>
      <c r="AU16" s="53">
        <f>SUM(AU17:AU17)</f>
        <v>0</v>
      </c>
      <c r="AV16" s="51"/>
      <c r="AW16" s="53">
        <f>SUM(AW17:AW17)</f>
        <v>0</v>
      </c>
      <c r="AX16" s="51"/>
      <c r="AY16" s="53">
        <f>SUM(AY17:AY17)</f>
        <v>0</v>
      </c>
      <c r="AZ16" s="51"/>
      <c r="BA16" s="53">
        <f>SUM(BA17:BA17)</f>
        <v>0</v>
      </c>
      <c r="BB16" s="51"/>
      <c r="BC16" s="53">
        <f>SUM(BC17:BC17)</f>
        <v>0</v>
      </c>
      <c r="BD16" s="54"/>
      <c r="BE16" s="55"/>
      <c r="BF16" s="45"/>
    </row>
    <row r="17" spans="1:58" ht="70.5" x14ac:dyDescent="0.45">
      <c r="A17" s="56" t="s">
        <v>85</v>
      </c>
      <c r="B17" s="506" t="s">
        <v>86</v>
      </c>
      <c r="C17" s="507" t="s">
        <v>39</v>
      </c>
      <c r="D17" s="507" t="s">
        <v>39</v>
      </c>
      <c r="E17" s="507" t="s">
        <v>87</v>
      </c>
      <c r="F17" s="507" t="s">
        <v>39</v>
      </c>
      <c r="G17" s="507">
        <v>50</v>
      </c>
      <c r="H17" s="508" t="s">
        <v>257</v>
      </c>
      <c r="I17" s="507" t="s">
        <v>68</v>
      </c>
      <c r="J17" s="508" t="s">
        <v>78</v>
      </c>
      <c r="K17" s="57" t="s">
        <v>88</v>
      </c>
      <c r="L17" s="58" t="s">
        <v>21</v>
      </c>
      <c r="M17" s="59" t="s">
        <v>89</v>
      </c>
      <c r="N17" s="60" t="s">
        <v>71</v>
      </c>
      <c r="O17" s="61">
        <v>11894</v>
      </c>
      <c r="P17" s="62">
        <v>522.28</v>
      </c>
      <c r="Q17" s="63">
        <f>ROUND(P17*$O17,2)</f>
        <v>6211998.3200000003</v>
      </c>
      <c r="R17" s="61">
        <f>IFERROR(SUMIFS('BM MORRO DA CRUZ - VERTICAL'!V$6:V$546,'BM MORRO DA CRUZ - VERTICAL'!$O$6:$O$546,'BM MORRO DA CRUZ'!$K17),0)</f>
        <v>0</v>
      </c>
      <c r="S17" s="63">
        <f>ROUND(R17*$P17,2)</f>
        <v>0</v>
      </c>
      <c r="T17" s="61">
        <f>IFERROR(SUMIFS('BM MORRO DA CRUZ - VERTICAL'!X$6:X$546,'BM MORRO DA CRUZ - VERTICAL'!$O$6:$O$546,'BM MORRO DA CRUZ'!$K17),0)</f>
        <v>0</v>
      </c>
      <c r="U17" s="63">
        <f>ROUND(T17*$P17,2)</f>
        <v>0</v>
      </c>
      <c r="V17" s="61">
        <f>IFERROR(SUMIFS('BM MORRO DA CRUZ - VERTICAL'!Z$6:Z$546,'BM MORRO DA CRUZ - VERTICAL'!$O$6:$O$546,'BM MORRO DA CRUZ'!$K17),0)</f>
        <v>0</v>
      </c>
      <c r="W17" s="63">
        <f>ROUND(V17*$P17,2)</f>
        <v>0</v>
      </c>
      <c r="X17" s="61">
        <f>IFERROR(SUMIFS('BM MORRO DA CRUZ - VERTICAL'!AB$6:AB$546,'BM MORRO DA CRUZ - VERTICAL'!$O$6:$O$546,'BM MORRO DA CRUZ'!$K17),0)</f>
        <v>0</v>
      </c>
      <c r="Y17" s="63">
        <f>ROUND(X17*$P17,2)</f>
        <v>0</v>
      </c>
      <c r="Z17" s="61">
        <f>IFERROR(SUMIFS('BM MORRO DA CRUZ - VERTICAL'!AD$6:AD$546,'BM MORRO DA CRUZ - VERTICAL'!$O$6:$O$546,'BM MORRO DA CRUZ'!$K17),0)</f>
        <v>0</v>
      </c>
      <c r="AA17" s="63">
        <f>ROUND(Z17*$P17,2)</f>
        <v>0</v>
      </c>
      <c r="AB17" s="61">
        <f>IFERROR(SUMIFS('BM MORRO DA CRUZ - VERTICAL'!AF$6:AF$546,'BM MORRO DA CRUZ - VERTICAL'!$O$6:$O$546,'BM MORRO DA CRUZ'!$K17),0)</f>
        <v>0</v>
      </c>
      <c r="AC17" s="63">
        <f>ROUND(AB17*$P17,2)</f>
        <v>0</v>
      </c>
      <c r="AD17" s="61">
        <f>IFERROR(SUMIFS('BM MORRO DA CRUZ - VERTICAL'!AH$6:AH$546,'BM MORRO DA CRUZ - VERTICAL'!$O$6:$O$546,'BM MORRO DA CRUZ'!$K17),0)</f>
        <v>0</v>
      </c>
      <c r="AE17" s="63">
        <f>ROUND(AD17*$P17,2)</f>
        <v>0</v>
      </c>
      <c r="AF17" s="61">
        <f>IFERROR(SUMIFS('BM MORRO DA CRUZ - VERTICAL'!AJ$6:AJ$546,'BM MORRO DA CRUZ - VERTICAL'!$O$6:$O$546,'BM MORRO DA CRUZ'!$K17),0)</f>
        <v>0</v>
      </c>
      <c r="AG17" s="63">
        <f>ROUND(AF17*$P17,2)</f>
        <v>0</v>
      </c>
      <c r="AH17" s="61">
        <f>IFERROR(SUMIFS('BM MORRO DA CRUZ - VERTICAL'!AL$6:AL$546,'BM MORRO DA CRUZ - VERTICAL'!$O$6:$O$546,'BM MORRO DA CRUZ'!$K17),0)</f>
        <v>0</v>
      </c>
      <c r="AI17" s="63">
        <f>ROUND(AH17*$P17,2)</f>
        <v>0</v>
      </c>
      <c r="AJ17" s="61">
        <f>IFERROR(SUMIFS('BM MORRO DA CRUZ - VERTICAL'!AN$6:AN$546,'BM MORRO DA CRUZ - VERTICAL'!$O$6:$O$546,'BM MORRO DA CRUZ'!$K17),0)</f>
        <v>0</v>
      </c>
      <c r="AK17" s="63">
        <f>ROUND(AJ17*$P17,2)</f>
        <v>0</v>
      </c>
      <c r="AL17" s="61">
        <f>IFERROR(SUMIFS('BM MORRO DA CRUZ - VERTICAL'!AP$6:AP$546,'BM MORRO DA CRUZ - VERTICAL'!$O$6:$O$546,'BM MORRO DA CRUZ'!$K17),0)</f>
        <v>0</v>
      </c>
      <c r="AM17" s="63">
        <f>ROUND(AL17*$P17,2)</f>
        <v>0</v>
      </c>
      <c r="AN17" s="61">
        <f>IFERROR(SUMIFS('BM MORRO DA CRUZ - VERTICAL'!AR$6:AR$546,'BM MORRO DA CRUZ - VERTICAL'!$O$6:$O$546,'BM MORRO DA CRUZ'!$K17),0)</f>
        <v>0</v>
      </c>
      <c r="AO17" s="63">
        <f>ROUND(AN17*$P17,2)</f>
        <v>0</v>
      </c>
      <c r="AP17" s="61">
        <f>IFERROR(SUMIFS('BM MORRO DA CRUZ - VERTICAL'!AT$6:AT$546,'BM MORRO DA CRUZ - VERTICAL'!$O$6:$O$546,'BM MORRO DA CRUZ'!$K17),0)</f>
        <v>0</v>
      </c>
      <c r="AQ17" s="63">
        <f>ROUND(AP17*$P17,2)</f>
        <v>0</v>
      </c>
      <c r="AR17" s="61">
        <f>IFERROR(SUMIFS('BM MORRO DA CRUZ - VERTICAL'!AV$6:AV$546,'BM MORRO DA CRUZ - VERTICAL'!$O$6:$O$546,'BM MORRO DA CRUZ'!$K17),0)</f>
        <v>0</v>
      </c>
      <c r="AS17" s="63">
        <f>ROUND(AR17*$P17,2)</f>
        <v>0</v>
      </c>
      <c r="AT17" s="61">
        <f>IFERROR(SUMIFS('BM MORRO DA CRUZ - VERTICAL'!AX$6:AX$546,'BM MORRO DA CRUZ - VERTICAL'!$O$6:$O$546,'BM MORRO DA CRUZ'!$K17),0)</f>
        <v>0</v>
      </c>
      <c r="AU17" s="63">
        <f>ROUND(AT17*$P17,2)</f>
        <v>0</v>
      </c>
      <c r="AV17" s="61">
        <f>IFERROR(SUMIFS('BM MORRO DA CRUZ - VERTICAL'!AZ$6:AZ$546,'BM MORRO DA CRUZ - VERTICAL'!$O$6:$O$546,'BM MORRO DA CRUZ'!$K17),0)</f>
        <v>0</v>
      </c>
      <c r="AW17" s="63">
        <f>ROUND(AV17*$P17,2)</f>
        <v>0</v>
      </c>
      <c r="AX17" s="61">
        <f>IFERROR(SUMIFS('BM MORRO DA CRUZ - VERTICAL'!BB$6:BB$546,'BM MORRO DA CRUZ - VERTICAL'!$O$6:$O$546,'BM MORRO DA CRUZ'!$K17),0)</f>
        <v>0</v>
      </c>
      <c r="AY17" s="63">
        <f>ROUND(AX17*$P17,2)</f>
        <v>0</v>
      </c>
      <c r="AZ17" s="61">
        <f>IFERROR(SUMIFS('BM MORRO DA CRUZ - VERTICAL'!BD$6:BD$546,'BM MORRO DA CRUZ - VERTICAL'!$O$6:$O$546,'BM MORRO DA CRUZ'!$K17),0)</f>
        <v>0</v>
      </c>
      <c r="BA17" s="63">
        <f>ROUND(AZ17*$P17,2)</f>
        <v>0</v>
      </c>
      <c r="BB17" s="61">
        <f>IFERROR(SUMIFS($R17:$BA17,$R$5:$BA$5,$BB$5),0)</f>
        <v>0</v>
      </c>
      <c r="BC17" s="63">
        <f>SUMIFS($R17:$BA17,$R$5:$BA$5,$S$5)</f>
        <v>0</v>
      </c>
      <c r="BD17" s="64">
        <f>IFERROR(BB17/O17,0)</f>
        <v>0</v>
      </c>
      <c r="BE17" s="65">
        <f>IFERROR((O17-BB17)/O17,0)</f>
        <v>1</v>
      </c>
      <c r="BF17" s="45"/>
    </row>
    <row r="18" spans="1:58" ht="19.5" customHeight="1" x14ac:dyDescent="0.45">
      <c r="A18" s="46" t="s">
        <v>90</v>
      </c>
      <c r="B18" s="503"/>
      <c r="C18" s="504"/>
      <c r="D18" s="504"/>
      <c r="E18" s="504"/>
      <c r="F18" s="504"/>
      <c r="G18" s="504"/>
      <c r="H18" s="505" t="s">
        <v>1718</v>
      </c>
      <c r="I18" s="504"/>
      <c r="J18" s="505" t="s">
        <v>1718</v>
      </c>
      <c r="K18" s="47" t="s">
        <v>91</v>
      </c>
      <c r="L18" s="48"/>
      <c r="M18" s="49" t="s">
        <v>92</v>
      </c>
      <c r="N18" s="50"/>
      <c r="O18" s="51"/>
      <c r="P18" s="52"/>
      <c r="Q18" s="53">
        <f>SUM(Q19:Q19)</f>
        <v>5200</v>
      </c>
      <c r="R18" s="51"/>
      <c r="S18" s="53">
        <f>SUM(S19:S19)</f>
        <v>0</v>
      </c>
      <c r="T18" s="51"/>
      <c r="U18" s="53">
        <f>SUM(U19:U19)</f>
        <v>0</v>
      </c>
      <c r="V18" s="51"/>
      <c r="W18" s="53">
        <f>SUM(W19:W19)</f>
        <v>0</v>
      </c>
      <c r="X18" s="51"/>
      <c r="Y18" s="53">
        <f>SUM(Y19:Y19)</f>
        <v>0</v>
      </c>
      <c r="Z18" s="51"/>
      <c r="AA18" s="53">
        <f>SUM(AA19:AA19)</f>
        <v>0</v>
      </c>
      <c r="AB18" s="51"/>
      <c r="AC18" s="53">
        <f>SUM(AC19:AC19)</f>
        <v>0</v>
      </c>
      <c r="AD18" s="51"/>
      <c r="AE18" s="53">
        <f>SUM(AE19:AE19)</f>
        <v>0</v>
      </c>
      <c r="AF18" s="51"/>
      <c r="AG18" s="53">
        <f>SUM(AG19:AG19)</f>
        <v>0</v>
      </c>
      <c r="AH18" s="51"/>
      <c r="AI18" s="53">
        <f>SUM(AI19:AI19)</f>
        <v>0</v>
      </c>
      <c r="AJ18" s="51"/>
      <c r="AK18" s="53">
        <f>SUM(AK19:AK19)</f>
        <v>0</v>
      </c>
      <c r="AL18" s="51"/>
      <c r="AM18" s="53">
        <f>SUM(AM19:AM19)</f>
        <v>0</v>
      </c>
      <c r="AN18" s="51"/>
      <c r="AO18" s="53">
        <f>SUM(AO19:AO19)</f>
        <v>0</v>
      </c>
      <c r="AP18" s="51"/>
      <c r="AQ18" s="53">
        <f>SUM(AQ19:AQ19)</f>
        <v>0</v>
      </c>
      <c r="AR18" s="51"/>
      <c r="AS18" s="53">
        <f>SUM(AS19:AS19)</f>
        <v>0</v>
      </c>
      <c r="AT18" s="51"/>
      <c r="AU18" s="53">
        <f>SUM(AU19:AU19)</f>
        <v>0</v>
      </c>
      <c r="AV18" s="51"/>
      <c r="AW18" s="53">
        <f>SUM(AW19:AW19)</f>
        <v>0</v>
      </c>
      <c r="AX18" s="51"/>
      <c r="AY18" s="53">
        <f>SUM(AY19:AY19)</f>
        <v>0</v>
      </c>
      <c r="AZ18" s="51"/>
      <c r="BA18" s="53">
        <f>SUM(BA19:BA19)</f>
        <v>0</v>
      </c>
      <c r="BB18" s="51"/>
      <c r="BC18" s="53">
        <f>SUM(BC19:BC19)</f>
        <v>0</v>
      </c>
      <c r="BD18" s="54"/>
      <c r="BE18" s="55"/>
      <c r="BF18" s="45"/>
    </row>
    <row r="19" spans="1:58" ht="19.5" customHeight="1" x14ac:dyDescent="0.45">
      <c r="A19" s="56" t="s">
        <v>93</v>
      </c>
      <c r="B19" s="506" t="s">
        <v>94</v>
      </c>
      <c r="C19" s="507" t="s">
        <v>39</v>
      </c>
      <c r="D19" s="507" t="s">
        <v>39</v>
      </c>
      <c r="E19" s="507" t="s">
        <v>95</v>
      </c>
      <c r="F19" s="507" t="s">
        <v>39</v>
      </c>
      <c r="G19" s="507" t="s">
        <v>96</v>
      </c>
      <c r="H19" s="508" t="s">
        <v>97</v>
      </c>
      <c r="I19" s="507" t="s">
        <v>40</v>
      </c>
      <c r="J19" s="508" t="s">
        <v>40</v>
      </c>
      <c r="K19" s="57" t="s">
        <v>98</v>
      </c>
      <c r="L19" s="58" t="s">
        <v>21</v>
      </c>
      <c r="M19" s="59" t="s">
        <v>94</v>
      </c>
      <c r="N19" s="60" t="s">
        <v>71</v>
      </c>
      <c r="O19" s="61">
        <v>2</v>
      </c>
      <c r="P19" s="62">
        <v>2600</v>
      </c>
      <c r="Q19" s="63">
        <f>ROUND(P19*$O19,2)</f>
        <v>5200</v>
      </c>
      <c r="R19" s="61">
        <f>IFERROR(SUMIFS('BM MORRO DA CRUZ - VERTICAL'!V$6:V$546,'BM MORRO DA CRUZ - VERTICAL'!$O$6:$O$546,'BM MORRO DA CRUZ'!$K19),0)</f>
        <v>0</v>
      </c>
      <c r="S19" s="63">
        <f>ROUND(R19*$P19,2)</f>
        <v>0</v>
      </c>
      <c r="T19" s="61">
        <f>IFERROR(SUMIFS('BM MORRO DA CRUZ - VERTICAL'!X$6:X$546,'BM MORRO DA CRUZ - VERTICAL'!$O$6:$O$546,'BM MORRO DA CRUZ'!$K19),0)</f>
        <v>0</v>
      </c>
      <c r="U19" s="63">
        <f>ROUND(T19*$P19,2)</f>
        <v>0</v>
      </c>
      <c r="V19" s="61">
        <f>IFERROR(SUMIFS('BM MORRO DA CRUZ - VERTICAL'!Z$6:Z$546,'BM MORRO DA CRUZ - VERTICAL'!$O$6:$O$546,'BM MORRO DA CRUZ'!$K19),0)</f>
        <v>0</v>
      </c>
      <c r="W19" s="63">
        <f>ROUND(V19*$P19,2)</f>
        <v>0</v>
      </c>
      <c r="X19" s="61">
        <f>IFERROR(SUMIFS('BM MORRO DA CRUZ - VERTICAL'!AB$6:AB$546,'BM MORRO DA CRUZ - VERTICAL'!$O$6:$O$546,'BM MORRO DA CRUZ'!$K19),0)</f>
        <v>0</v>
      </c>
      <c r="Y19" s="63">
        <f>ROUND(X19*$P19,2)</f>
        <v>0</v>
      </c>
      <c r="Z19" s="61">
        <f>IFERROR(SUMIFS('BM MORRO DA CRUZ - VERTICAL'!AD$6:AD$546,'BM MORRO DA CRUZ - VERTICAL'!$O$6:$O$546,'BM MORRO DA CRUZ'!$K19),0)</f>
        <v>0</v>
      </c>
      <c r="AA19" s="63">
        <f>ROUND(Z19*$P19,2)</f>
        <v>0</v>
      </c>
      <c r="AB19" s="61">
        <f>IFERROR(SUMIFS('BM MORRO DA CRUZ - VERTICAL'!AF$6:AF$546,'BM MORRO DA CRUZ - VERTICAL'!$O$6:$O$546,'BM MORRO DA CRUZ'!$K19),0)</f>
        <v>0</v>
      </c>
      <c r="AC19" s="63">
        <f>ROUND(AB19*$P19,2)</f>
        <v>0</v>
      </c>
      <c r="AD19" s="61">
        <f>IFERROR(SUMIFS('BM MORRO DA CRUZ - VERTICAL'!AH$6:AH$546,'BM MORRO DA CRUZ - VERTICAL'!$O$6:$O$546,'BM MORRO DA CRUZ'!$K19),0)</f>
        <v>0</v>
      </c>
      <c r="AE19" s="63">
        <f>ROUND(AD19*$P19,2)</f>
        <v>0</v>
      </c>
      <c r="AF19" s="61">
        <f>IFERROR(SUMIFS('BM MORRO DA CRUZ - VERTICAL'!AJ$6:AJ$546,'BM MORRO DA CRUZ - VERTICAL'!$O$6:$O$546,'BM MORRO DA CRUZ'!$K19),0)</f>
        <v>0</v>
      </c>
      <c r="AG19" s="63">
        <f>ROUND(AF19*$P19,2)</f>
        <v>0</v>
      </c>
      <c r="AH19" s="61">
        <f>IFERROR(SUMIFS('BM MORRO DA CRUZ - VERTICAL'!AL$6:AL$546,'BM MORRO DA CRUZ - VERTICAL'!$O$6:$O$546,'BM MORRO DA CRUZ'!$K19),0)</f>
        <v>0</v>
      </c>
      <c r="AI19" s="63">
        <f>ROUND(AH19*$P19,2)</f>
        <v>0</v>
      </c>
      <c r="AJ19" s="61">
        <f>IFERROR(SUMIFS('BM MORRO DA CRUZ - VERTICAL'!AN$6:AN$546,'BM MORRO DA CRUZ - VERTICAL'!$O$6:$O$546,'BM MORRO DA CRUZ'!$K19),0)</f>
        <v>0</v>
      </c>
      <c r="AK19" s="63">
        <f>ROUND(AJ19*$P19,2)</f>
        <v>0</v>
      </c>
      <c r="AL19" s="61">
        <f>IFERROR(SUMIFS('BM MORRO DA CRUZ - VERTICAL'!AP$6:AP$546,'BM MORRO DA CRUZ - VERTICAL'!$O$6:$O$546,'BM MORRO DA CRUZ'!$K19),0)</f>
        <v>0</v>
      </c>
      <c r="AM19" s="63">
        <f>ROUND(AL19*$P19,2)</f>
        <v>0</v>
      </c>
      <c r="AN19" s="61">
        <f>IFERROR(SUMIFS('BM MORRO DA CRUZ - VERTICAL'!AR$6:AR$546,'BM MORRO DA CRUZ - VERTICAL'!$O$6:$O$546,'BM MORRO DA CRUZ'!$K19),0)</f>
        <v>0</v>
      </c>
      <c r="AO19" s="63">
        <f>ROUND(AN19*$P19,2)</f>
        <v>0</v>
      </c>
      <c r="AP19" s="61">
        <f>IFERROR(SUMIFS('BM MORRO DA CRUZ - VERTICAL'!AT$6:AT$546,'BM MORRO DA CRUZ - VERTICAL'!$O$6:$O$546,'BM MORRO DA CRUZ'!$K19),0)</f>
        <v>0</v>
      </c>
      <c r="AQ19" s="63">
        <f>ROUND(AP19*$P19,2)</f>
        <v>0</v>
      </c>
      <c r="AR19" s="61">
        <f>IFERROR(SUMIFS('BM MORRO DA CRUZ - VERTICAL'!AV$6:AV$546,'BM MORRO DA CRUZ - VERTICAL'!$O$6:$O$546,'BM MORRO DA CRUZ'!$K19),0)</f>
        <v>0</v>
      </c>
      <c r="AS19" s="63">
        <f>ROUND(AR19*$P19,2)</f>
        <v>0</v>
      </c>
      <c r="AT19" s="61">
        <f>IFERROR(SUMIFS('BM MORRO DA CRUZ - VERTICAL'!AX$6:AX$546,'BM MORRO DA CRUZ - VERTICAL'!$O$6:$O$546,'BM MORRO DA CRUZ'!$K19),0)</f>
        <v>0</v>
      </c>
      <c r="AU19" s="63">
        <f>ROUND(AT19*$P19,2)</f>
        <v>0</v>
      </c>
      <c r="AV19" s="61">
        <f>IFERROR(SUMIFS('BM MORRO DA CRUZ - VERTICAL'!AZ$6:AZ$546,'BM MORRO DA CRUZ - VERTICAL'!$O$6:$O$546,'BM MORRO DA CRUZ'!$K19),0)</f>
        <v>0</v>
      </c>
      <c r="AW19" s="63">
        <f>ROUND(AV19*$P19,2)</f>
        <v>0</v>
      </c>
      <c r="AX19" s="61">
        <f>IFERROR(SUMIFS('BM MORRO DA CRUZ - VERTICAL'!BB$6:BB$546,'BM MORRO DA CRUZ - VERTICAL'!$O$6:$O$546,'BM MORRO DA CRUZ'!$K19),0)</f>
        <v>0</v>
      </c>
      <c r="AY19" s="63">
        <f>ROUND(AX19*$P19,2)</f>
        <v>0</v>
      </c>
      <c r="AZ19" s="61">
        <f>IFERROR(SUMIFS('BM MORRO DA CRUZ - VERTICAL'!BD$6:BD$546,'BM MORRO DA CRUZ - VERTICAL'!$O$6:$O$546,'BM MORRO DA CRUZ'!$K19),0)</f>
        <v>0</v>
      </c>
      <c r="BA19" s="63">
        <f>ROUND(AZ19*$P19,2)</f>
        <v>0</v>
      </c>
      <c r="BB19" s="61">
        <f>IFERROR(SUMIFS($R19:$BA19,$R$5:$BA$5,$BB$5),0)</f>
        <v>0</v>
      </c>
      <c r="BC19" s="63">
        <f>SUMIFS($R19:$BA19,$R$5:$BA$5,$S$5)</f>
        <v>0</v>
      </c>
      <c r="BD19" s="64">
        <f>IFERROR(BB19/O19,0)</f>
        <v>0</v>
      </c>
      <c r="BE19" s="65">
        <f>IFERROR((O19-BB19)/O19,0)</f>
        <v>1</v>
      </c>
      <c r="BF19" s="45"/>
    </row>
    <row r="20" spans="1:58" ht="19.5" customHeight="1" x14ac:dyDescent="0.45">
      <c r="A20" s="46" t="s">
        <v>99</v>
      </c>
      <c r="B20" s="503"/>
      <c r="C20" s="504"/>
      <c r="D20" s="504"/>
      <c r="E20" s="504"/>
      <c r="F20" s="504"/>
      <c r="G20" s="504"/>
      <c r="H20" s="505" t="s">
        <v>1718</v>
      </c>
      <c r="I20" s="504"/>
      <c r="J20" s="505" t="s">
        <v>1718</v>
      </c>
      <c r="K20" s="47" t="s">
        <v>100</v>
      </c>
      <c r="L20" s="48"/>
      <c r="M20" s="49" t="s">
        <v>101</v>
      </c>
      <c r="N20" s="50"/>
      <c r="O20" s="51"/>
      <c r="P20" s="52"/>
      <c r="Q20" s="53">
        <f>SUM(Q21:Q21)</f>
        <v>8892.18</v>
      </c>
      <c r="R20" s="51"/>
      <c r="S20" s="53">
        <f>SUM(S21:S21)</f>
        <v>0</v>
      </c>
      <c r="T20" s="51"/>
      <c r="U20" s="53">
        <f>SUM(U21:U21)</f>
        <v>0</v>
      </c>
      <c r="V20" s="51"/>
      <c r="W20" s="53">
        <f>SUM(W21:W21)</f>
        <v>0</v>
      </c>
      <c r="X20" s="51"/>
      <c r="Y20" s="53">
        <f>SUM(Y21:Y21)</f>
        <v>0</v>
      </c>
      <c r="Z20" s="51"/>
      <c r="AA20" s="53">
        <f>SUM(AA21:AA21)</f>
        <v>0</v>
      </c>
      <c r="AB20" s="51"/>
      <c r="AC20" s="53">
        <f>SUM(AC21:AC21)</f>
        <v>0</v>
      </c>
      <c r="AD20" s="51"/>
      <c r="AE20" s="53">
        <f>SUM(AE21:AE21)</f>
        <v>0</v>
      </c>
      <c r="AF20" s="51"/>
      <c r="AG20" s="53">
        <f>SUM(AG21:AG21)</f>
        <v>0</v>
      </c>
      <c r="AH20" s="51"/>
      <c r="AI20" s="53">
        <f>SUM(AI21:AI21)</f>
        <v>0</v>
      </c>
      <c r="AJ20" s="51"/>
      <c r="AK20" s="53">
        <f>SUM(AK21:AK21)</f>
        <v>0</v>
      </c>
      <c r="AL20" s="51"/>
      <c r="AM20" s="53">
        <f>SUM(AM21:AM21)</f>
        <v>0</v>
      </c>
      <c r="AN20" s="51"/>
      <c r="AO20" s="53">
        <f>SUM(AO21:AO21)</f>
        <v>0</v>
      </c>
      <c r="AP20" s="51"/>
      <c r="AQ20" s="53">
        <f>SUM(AQ21:AQ21)</f>
        <v>0</v>
      </c>
      <c r="AR20" s="51"/>
      <c r="AS20" s="53">
        <f>SUM(AS21:AS21)</f>
        <v>0</v>
      </c>
      <c r="AT20" s="51"/>
      <c r="AU20" s="53">
        <f>SUM(AU21:AU21)</f>
        <v>0</v>
      </c>
      <c r="AV20" s="51"/>
      <c r="AW20" s="53">
        <f>SUM(AW21:AW21)</f>
        <v>0</v>
      </c>
      <c r="AX20" s="51"/>
      <c r="AY20" s="53">
        <f>SUM(AY21:AY21)</f>
        <v>0</v>
      </c>
      <c r="AZ20" s="51"/>
      <c r="BA20" s="53">
        <f>SUM(BA21:BA21)</f>
        <v>0</v>
      </c>
      <c r="BB20" s="51"/>
      <c r="BC20" s="53">
        <f>SUM(BC21:BC21)</f>
        <v>0</v>
      </c>
      <c r="BD20" s="54"/>
      <c r="BE20" s="55"/>
      <c r="BF20" s="45"/>
    </row>
    <row r="21" spans="1:58" ht="63" customHeight="1" x14ac:dyDescent="0.45">
      <c r="A21" s="56" t="s">
        <v>102</v>
      </c>
      <c r="B21" s="506" t="s">
        <v>103</v>
      </c>
      <c r="C21" s="507" t="s">
        <v>39</v>
      </c>
      <c r="D21" s="507" t="s">
        <v>39</v>
      </c>
      <c r="E21" s="507" t="s">
        <v>39</v>
      </c>
      <c r="F21" s="507" t="s">
        <v>39</v>
      </c>
      <c r="G21" s="507" t="s">
        <v>39</v>
      </c>
      <c r="H21" s="508" t="s">
        <v>39</v>
      </c>
      <c r="I21" s="507" t="s">
        <v>40</v>
      </c>
      <c r="J21" s="508" t="s">
        <v>40</v>
      </c>
      <c r="K21" s="57" t="s">
        <v>104</v>
      </c>
      <c r="L21" s="58" t="s">
        <v>21</v>
      </c>
      <c r="M21" s="59" t="s">
        <v>105</v>
      </c>
      <c r="N21" s="60" t="s">
        <v>44</v>
      </c>
      <c r="O21" s="61">
        <v>18</v>
      </c>
      <c r="P21" s="62">
        <v>494.01</v>
      </c>
      <c r="Q21" s="63">
        <f>ROUND(P21*$O21,2)</f>
        <v>8892.18</v>
      </c>
      <c r="R21" s="61">
        <f>IFERROR(SUMIFS('BM MORRO DA CRUZ - VERTICAL'!V$6:V$546,'BM MORRO DA CRUZ - VERTICAL'!$O$6:$O$546,'BM MORRO DA CRUZ'!$K21),0)</f>
        <v>0</v>
      </c>
      <c r="S21" s="63">
        <f>ROUND(R21*$P21,2)</f>
        <v>0</v>
      </c>
      <c r="T21" s="61">
        <f>IFERROR(SUMIFS('BM MORRO DA CRUZ - VERTICAL'!X$6:X$546,'BM MORRO DA CRUZ - VERTICAL'!$O$6:$O$546,'BM MORRO DA CRUZ'!$K21),0)</f>
        <v>0</v>
      </c>
      <c r="U21" s="63">
        <f>ROUND(T21*$P21,2)</f>
        <v>0</v>
      </c>
      <c r="V21" s="61">
        <f>IFERROR(SUMIFS('BM MORRO DA CRUZ - VERTICAL'!Z$6:Z$546,'BM MORRO DA CRUZ - VERTICAL'!$O$6:$O$546,'BM MORRO DA CRUZ'!$K21),0)</f>
        <v>0</v>
      </c>
      <c r="W21" s="63">
        <f>ROUND(V21*$P21,2)</f>
        <v>0</v>
      </c>
      <c r="X21" s="61">
        <f>IFERROR(SUMIFS('BM MORRO DA CRUZ - VERTICAL'!AB$6:AB$546,'BM MORRO DA CRUZ - VERTICAL'!$O$6:$O$546,'BM MORRO DA CRUZ'!$K21),0)</f>
        <v>0</v>
      </c>
      <c r="Y21" s="63">
        <f>ROUND(X21*$P21,2)</f>
        <v>0</v>
      </c>
      <c r="Z21" s="61">
        <f>IFERROR(SUMIFS('BM MORRO DA CRUZ - VERTICAL'!AD$6:AD$546,'BM MORRO DA CRUZ - VERTICAL'!$O$6:$O$546,'BM MORRO DA CRUZ'!$K21),0)</f>
        <v>0</v>
      </c>
      <c r="AA21" s="63">
        <f>ROUND(Z21*$P21,2)</f>
        <v>0</v>
      </c>
      <c r="AB21" s="61">
        <f>IFERROR(SUMIFS('BM MORRO DA CRUZ - VERTICAL'!AF$6:AF$546,'BM MORRO DA CRUZ - VERTICAL'!$O$6:$O$546,'BM MORRO DA CRUZ'!$K21),0)</f>
        <v>0</v>
      </c>
      <c r="AC21" s="63">
        <f>ROUND(AB21*$P21,2)</f>
        <v>0</v>
      </c>
      <c r="AD21" s="61">
        <f>IFERROR(SUMIFS('BM MORRO DA CRUZ - VERTICAL'!AH$6:AH$546,'BM MORRO DA CRUZ - VERTICAL'!$O$6:$O$546,'BM MORRO DA CRUZ'!$K21),0)</f>
        <v>0</v>
      </c>
      <c r="AE21" s="63">
        <f>ROUND(AD21*$P21,2)</f>
        <v>0</v>
      </c>
      <c r="AF21" s="61">
        <f>IFERROR(SUMIFS('BM MORRO DA CRUZ - VERTICAL'!AJ$6:AJ$546,'BM MORRO DA CRUZ - VERTICAL'!$O$6:$O$546,'BM MORRO DA CRUZ'!$K21),0)</f>
        <v>0</v>
      </c>
      <c r="AG21" s="63">
        <f>ROUND(AF21*$P21,2)</f>
        <v>0</v>
      </c>
      <c r="AH21" s="61">
        <f>IFERROR(SUMIFS('BM MORRO DA CRUZ - VERTICAL'!AL$6:AL$546,'BM MORRO DA CRUZ - VERTICAL'!$O$6:$O$546,'BM MORRO DA CRUZ'!$K21),0)</f>
        <v>0</v>
      </c>
      <c r="AI21" s="63">
        <f>ROUND(AH21*$P21,2)</f>
        <v>0</v>
      </c>
      <c r="AJ21" s="61">
        <f>IFERROR(SUMIFS('BM MORRO DA CRUZ - VERTICAL'!AN$6:AN$546,'BM MORRO DA CRUZ - VERTICAL'!$O$6:$O$546,'BM MORRO DA CRUZ'!$K21),0)</f>
        <v>0</v>
      </c>
      <c r="AK21" s="63">
        <f>ROUND(AJ21*$P21,2)</f>
        <v>0</v>
      </c>
      <c r="AL21" s="61">
        <f>IFERROR(SUMIFS('BM MORRO DA CRUZ - VERTICAL'!AP$6:AP$546,'BM MORRO DA CRUZ - VERTICAL'!$O$6:$O$546,'BM MORRO DA CRUZ'!$K21),0)</f>
        <v>0</v>
      </c>
      <c r="AM21" s="63">
        <f>ROUND(AL21*$P21,2)</f>
        <v>0</v>
      </c>
      <c r="AN21" s="61">
        <f>IFERROR(SUMIFS('BM MORRO DA CRUZ - VERTICAL'!AR$6:AR$546,'BM MORRO DA CRUZ - VERTICAL'!$O$6:$O$546,'BM MORRO DA CRUZ'!$K21),0)</f>
        <v>0</v>
      </c>
      <c r="AO21" s="63">
        <f>ROUND(AN21*$P21,2)</f>
        <v>0</v>
      </c>
      <c r="AP21" s="61">
        <f>IFERROR(SUMIFS('BM MORRO DA CRUZ - VERTICAL'!AT$6:AT$546,'BM MORRO DA CRUZ - VERTICAL'!$O$6:$O$546,'BM MORRO DA CRUZ'!$K21),0)</f>
        <v>0</v>
      </c>
      <c r="AQ21" s="63">
        <f>ROUND(AP21*$P21,2)</f>
        <v>0</v>
      </c>
      <c r="AR21" s="61">
        <f>IFERROR(SUMIFS('BM MORRO DA CRUZ - VERTICAL'!AV$6:AV$546,'BM MORRO DA CRUZ - VERTICAL'!$O$6:$O$546,'BM MORRO DA CRUZ'!$K21),0)</f>
        <v>0</v>
      </c>
      <c r="AS21" s="63">
        <f>ROUND(AR21*$P21,2)</f>
        <v>0</v>
      </c>
      <c r="AT21" s="61">
        <f>IFERROR(SUMIFS('BM MORRO DA CRUZ - VERTICAL'!AX$6:AX$546,'BM MORRO DA CRUZ - VERTICAL'!$O$6:$O$546,'BM MORRO DA CRUZ'!$K21),0)</f>
        <v>0</v>
      </c>
      <c r="AU21" s="63">
        <f>ROUND(AT21*$P21,2)</f>
        <v>0</v>
      </c>
      <c r="AV21" s="61">
        <f>IFERROR(SUMIFS('BM MORRO DA CRUZ - VERTICAL'!AZ$6:AZ$546,'BM MORRO DA CRUZ - VERTICAL'!$O$6:$O$546,'BM MORRO DA CRUZ'!$K21),0)</f>
        <v>0</v>
      </c>
      <c r="AW21" s="63">
        <f>ROUND(AV21*$P21,2)</f>
        <v>0</v>
      </c>
      <c r="AX21" s="61">
        <f>IFERROR(SUMIFS('BM MORRO DA CRUZ - VERTICAL'!BB$6:BB$546,'BM MORRO DA CRUZ - VERTICAL'!$O$6:$O$546,'BM MORRO DA CRUZ'!$K21),0)</f>
        <v>0</v>
      </c>
      <c r="AY21" s="63">
        <f>ROUND(AX21*$P21,2)</f>
        <v>0</v>
      </c>
      <c r="AZ21" s="61">
        <f>IFERROR(SUMIFS('BM MORRO DA CRUZ - VERTICAL'!BD$6:BD$546,'BM MORRO DA CRUZ - VERTICAL'!$O$6:$O$546,'BM MORRO DA CRUZ'!$K21),0)</f>
        <v>0</v>
      </c>
      <c r="BA21" s="63">
        <f>ROUND(AZ21*$P21,2)</f>
        <v>0</v>
      </c>
      <c r="BB21" s="61">
        <f>IFERROR(SUMIFS($R21:$BA21,$R$5:$BA$5,$BB$5),0)</f>
        <v>0</v>
      </c>
      <c r="BC21" s="63">
        <f>SUMIFS($R21:$BA21,$R$5:$BA$5,$S$5)</f>
        <v>0</v>
      </c>
      <c r="BD21" s="64">
        <f>IFERROR(BB21/O21,0)</f>
        <v>0</v>
      </c>
      <c r="BE21" s="65">
        <f>IFERROR((O21-BB21)/O21,0)</f>
        <v>1</v>
      </c>
      <c r="BF21" s="45"/>
    </row>
    <row r="22" spans="1:58" ht="19.5" customHeight="1" x14ac:dyDescent="0.45">
      <c r="A22" s="46" t="s">
        <v>106</v>
      </c>
      <c r="B22" s="503"/>
      <c r="C22" s="504"/>
      <c r="D22" s="504"/>
      <c r="E22" s="504"/>
      <c r="F22" s="504"/>
      <c r="G22" s="504"/>
      <c r="H22" s="505" t="s">
        <v>1718</v>
      </c>
      <c r="I22" s="504"/>
      <c r="J22" s="505" t="s">
        <v>1718</v>
      </c>
      <c r="K22" s="47" t="s">
        <v>107</v>
      </c>
      <c r="L22" s="48"/>
      <c r="M22" s="49" t="s">
        <v>108</v>
      </c>
      <c r="N22" s="50"/>
      <c r="O22" s="51"/>
      <c r="P22" s="52"/>
      <c r="Q22" s="53">
        <f>SUM(Q23:Q23)</f>
        <v>147.30000000000001</v>
      </c>
      <c r="R22" s="51"/>
      <c r="S22" s="53">
        <f>SUM(S23:S23)</f>
        <v>0</v>
      </c>
      <c r="T22" s="51"/>
      <c r="U22" s="53">
        <f>SUM(U23:U23)</f>
        <v>0</v>
      </c>
      <c r="V22" s="51"/>
      <c r="W22" s="53">
        <f>SUM(W23:W23)</f>
        <v>0</v>
      </c>
      <c r="X22" s="51"/>
      <c r="Y22" s="53">
        <f>SUM(Y23:Y23)</f>
        <v>0</v>
      </c>
      <c r="Z22" s="51"/>
      <c r="AA22" s="53">
        <f>SUM(AA23:AA23)</f>
        <v>0</v>
      </c>
      <c r="AB22" s="51"/>
      <c r="AC22" s="53">
        <f>SUM(AC23:AC23)</f>
        <v>0</v>
      </c>
      <c r="AD22" s="51"/>
      <c r="AE22" s="53">
        <f>SUM(AE23:AE23)</f>
        <v>0</v>
      </c>
      <c r="AF22" s="51"/>
      <c r="AG22" s="53">
        <f>SUM(AG23:AG23)</f>
        <v>0</v>
      </c>
      <c r="AH22" s="51"/>
      <c r="AI22" s="53">
        <f>SUM(AI23:AI23)</f>
        <v>0</v>
      </c>
      <c r="AJ22" s="51"/>
      <c r="AK22" s="53">
        <f>SUM(AK23:AK23)</f>
        <v>0</v>
      </c>
      <c r="AL22" s="51"/>
      <c r="AM22" s="53">
        <f>SUM(AM23:AM23)</f>
        <v>0</v>
      </c>
      <c r="AN22" s="51"/>
      <c r="AO22" s="53">
        <f>SUM(AO23:AO23)</f>
        <v>0</v>
      </c>
      <c r="AP22" s="51"/>
      <c r="AQ22" s="53">
        <f>SUM(AQ23:AQ23)</f>
        <v>0</v>
      </c>
      <c r="AR22" s="51"/>
      <c r="AS22" s="53">
        <f>SUM(AS23:AS23)</f>
        <v>0</v>
      </c>
      <c r="AT22" s="51"/>
      <c r="AU22" s="53">
        <f>SUM(AU23:AU23)</f>
        <v>0</v>
      </c>
      <c r="AV22" s="51"/>
      <c r="AW22" s="53">
        <f>SUM(AW23:AW23)</f>
        <v>0</v>
      </c>
      <c r="AX22" s="51"/>
      <c r="AY22" s="53">
        <f>SUM(AY23:AY23)</f>
        <v>0</v>
      </c>
      <c r="AZ22" s="51"/>
      <c r="BA22" s="53">
        <f>SUM(BA23:BA23)</f>
        <v>0</v>
      </c>
      <c r="BB22" s="51"/>
      <c r="BC22" s="53">
        <f>SUM(BC23:BC23)</f>
        <v>0</v>
      </c>
      <c r="BD22" s="54"/>
      <c r="BE22" s="55"/>
      <c r="BF22" s="45"/>
    </row>
    <row r="23" spans="1:58" ht="38.25" customHeight="1" x14ac:dyDescent="0.45">
      <c r="A23" s="56" t="s">
        <v>109</v>
      </c>
      <c r="B23" s="506" t="s">
        <v>110</v>
      </c>
      <c r="C23" s="507" t="s">
        <v>111</v>
      </c>
      <c r="D23" s="507" t="s">
        <v>39</v>
      </c>
      <c r="E23" s="507" t="s">
        <v>112</v>
      </c>
      <c r="F23" s="507" t="s">
        <v>39</v>
      </c>
      <c r="G23" s="507">
        <v>200</v>
      </c>
      <c r="H23" s="508" t="s">
        <v>113</v>
      </c>
      <c r="I23" s="507" t="s">
        <v>114</v>
      </c>
      <c r="J23" s="508" t="s">
        <v>115</v>
      </c>
      <c r="K23" s="57" t="s">
        <v>116</v>
      </c>
      <c r="L23" s="58" t="s">
        <v>21</v>
      </c>
      <c r="M23" s="59" t="s">
        <v>117</v>
      </c>
      <c r="N23" s="60" t="s">
        <v>71</v>
      </c>
      <c r="O23" s="61">
        <v>15</v>
      </c>
      <c r="P23" s="62">
        <v>9.82</v>
      </c>
      <c r="Q23" s="63">
        <f>ROUND(P23*$O23,2)</f>
        <v>147.30000000000001</v>
      </c>
      <c r="R23" s="61">
        <f>IFERROR(SUMIFS('BM MORRO DA CRUZ - VERTICAL'!V$6:V$546,'BM MORRO DA CRUZ - VERTICAL'!$O$6:$O$546,'BM MORRO DA CRUZ'!$K23),0)</f>
        <v>0</v>
      </c>
      <c r="S23" s="63">
        <f>ROUND(R23*$P23,2)</f>
        <v>0</v>
      </c>
      <c r="T23" s="61">
        <f>IFERROR(SUMIFS('BM MORRO DA CRUZ - VERTICAL'!X$6:X$546,'BM MORRO DA CRUZ - VERTICAL'!$O$6:$O$546,'BM MORRO DA CRUZ'!$K23),0)</f>
        <v>0</v>
      </c>
      <c r="U23" s="63">
        <f>ROUND(T23*$P23,2)</f>
        <v>0</v>
      </c>
      <c r="V23" s="61">
        <f>IFERROR(SUMIFS('BM MORRO DA CRUZ - VERTICAL'!Z$6:Z$546,'BM MORRO DA CRUZ - VERTICAL'!$O$6:$O$546,'BM MORRO DA CRUZ'!$K23),0)</f>
        <v>0</v>
      </c>
      <c r="W23" s="63">
        <f>ROUND(V23*$P23,2)</f>
        <v>0</v>
      </c>
      <c r="X23" s="61">
        <f>IFERROR(SUMIFS('BM MORRO DA CRUZ - VERTICAL'!AB$6:AB$546,'BM MORRO DA CRUZ - VERTICAL'!$O$6:$O$546,'BM MORRO DA CRUZ'!$K23),0)</f>
        <v>0</v>
      </c>
      <c r="Y23" s="63">
        <f>ROUND(X23*$P23,2)</f>
        <v>0</v>
      </c>
      <c r="Z23" s="61">
        <f>IFERROR(SUMIFS('BM MORRO DA CRUZ - VERTICAL'!AD$6:AD$546,'BM MORRO DA CRUZ - VERTICAL'!$O$6:$O$546,'BM MORRO DA CRUZ'!$K23),0)</f>
        <v>0</v>
      </c>
      <c r="AA23" s="63">
        <f>ROUND(Z23*$P23,2)</f>
        <v>0</v>
      </c>
      <c r="AB23" s="61">
        <f>IFERROR(SUMIFS('BM MORRO DA CRUZ - VERTICAL'!AF$6:AF$546,'BM MORRO DA CRUZ - VERTICAL'!$O$6:$O$546,'BM MORRO DA CRUZ'!$K23),0)</f>
        <v>0</v>
      </c>
      <c r="AC23" s="63">
        <f>ROUND(AB23*$P23,2)</f>
        <v>0</v>
      </c>
      <c r="AD23" s="61">
        <f>IFERROR(SUMIFS('BM MORRO DA CRUZ - VERTICAL'!AH$6:AH$546,'BM MORRO DA CRUZ - VERTICAL'!$O$6:$O$546,'BM MORRO DA CRUZ'!$K23),0)</f>
        <v>0</v>
      </c>
      <c r="AE23" s="63">
        <f>ROUND(AD23*$P23,2)</f>
        <v>0</v>
      </c>
      <c r="AF23" s="61">
        <f>IFERROR(SUMIFS('BM MORRO DA CRUZ - VERTICAL'!AJ$6:AJ$546,'BM MORRO DA CRUZ - VERTICAL'!$O$6:$O$546,'BM MORRO DA CRUZ'!$K23),0)</f>
        <v>0</v>
      </c>
      <c r="AG23" s="63">
        <f>ROUND(AF23*$P23,2)</f>
        <v>0</v>
      </c>
      <c r="AH23" s="61">
        <f>IFERROR(SUMIFS('BM MORRO DA CRUZ - VERTICAL'!AL$6:AL$546,'BM MORRO DA CRUZ - VERTICAL'!$O$6:$O$546,'BM MORRO DA CRUZ'!$K23),0)</f>
        <v>0</v>
      </c>
      <c r="AI23" s="63">
        <f>ROUND(AH23*$P23,2)</f>
        <v>0</v>
      </c>
      <c r="AJ23" s="61">
        <f>IFERROR(SUMIFS('BM MORRO DA CRUZ - VERTICAL'!AN$6:AN$546,'BM MORRO DA CRUZ - VERTICAL'!$O$6:$O$546,'BM MORRO DA CRUZ'!$K23),0)</f>
        <v>0</v>
      </c>
      <c r="AK23" s="63">
        <f>ROUND(AJ23*$P23,2)</f>
        <v>0</v>
      </c>
      <c r="AL23" s="61">
        <f>IFERROR(SUMIFS('BM MORRO DA CRUZ - VERTICAL'!AP$6:AP$546,'BM MORRO DA CRUZ - VERTICAL'!$O$6:$O$546,'BM MORRO DA CRUZ'!$K23),0)</f>
        <v>0</v>
      </c>
      <c r="AM23" s="63">
        <f>ROUND(AL23*$P23,2)</f>
        <v>0</v>
      </c>
      <c r="AN23" s="61">
        <f>IFERROR(SUMIFS('BM MORRO DA CRUZ - VERTICAL'!AR$6:AR$546,'BM MORRO DA CRUZ - VERTICAL'!$O$6:$O$546,'BM MORRO DA CRUZ'!$K23),0)</f>
        <v>0</v>
      </c>
      <c r="AO23" s="63">
        <f>ROUND(AN23*$P23,2)</f>
        <v>0</v>
      </c>
      <c r="AP23" s="61">
        <f>IFERROR(SUMIFS('BM MORRO DA CRUZ - VERTICAL'!AT$6:AT$546,'BM MORRO DA CRUZ - VERTICAL'!$O$6:$O$546,'BM MORRO DA CRUZ'!$K23),0)</f>
        <v>0</v>
      </c>
      <c r="AQ23" s="63">
        <f>ROUND(AP23*$P23,2)</f>
        <v>0</v>
      </c>
      <c r="AR23" s="61">
        <f>IFERROR(SUMIFS('BM MORRO DA CRUZ - VERTICAL'!AV$6:AV$546,'BM MORRO DA CRUZ - VERTICAL'!$O$6:$O$546,'BM MORRO DA CRUZ'!$K23),0)</f>
        <v>0</v>
      </c>
      <c r="AS23" s="63">
        <f>ROUND(AR23*$P23,2)</f>
        <v>0</v>
      </c>
      <c r="AT23" s="61">
        <f>IFERROR(SUMIFS('BM MORRO DA CRUZ - VERTICAL'!AX$6:AX$546,'BM MORRO DA CRUZ - VERTICAL'!$O$6:$O$546,'BM MORRO DA CRUZ'!$K23),0)</f>
        <v>0</v>
      </c>
      <c r="AU23" s="63">
        <f>ROUND(AT23*$P23,2)</f>
        <v>0</v>
      </c>
      <c r="AV23" s="61">
        <f>IFERROR(SUMIFS('BM MORRO DA CRUZ - VERTICAL'!AZ$6:AZ$546,'BM MORRO DA CRUZ - VERTICAL'!$O$6:$O$546,'BM MORRO DA CRUZ'!$K23),0)</f>
        <v>0</v>
      </c>
      <c r="AW23" s="63">
        <f>ROUND(AV23*$P23,2)</f>
        <v>0</v>
      </c>
      <c r="AX23" s="61">
        <f>IFERROR(SUMIFS('BM MORRO DA CRUZ - VERTICAL'!BB$6:BB$546,'BM MORRO DA CRUZ - VERTICAL'!$O$6:$O$546,'BM MORRO DA CRUZ'!$K23),0)</f>
        <v>0</v>
      </c>
      <c r="AY23" s="63">
        <f>ROUND(AX23*$P23,2)</f>
        <v>0</v>
      </c>
      <c r="AZ23" s="61">
        <f>IFERROR(SUMIFS('BM MORRO DA CRUZ - VERTICAL'!BD$6:BD$546,'BM MORRO DA CRUZ - VERTICAL'!$O$6:$O$546,'BM MORRO DA CRUZ'!$K23),0)</f>
        <v>0</v>
      </c>
      <c r="BA23" s="63">
        <f>ROUND(AZ23*$P23,2)</f>
        <v>0</v>
      </c>
      <c r="BB23" s="61">
        <f>IFERROR(SUMIFS($R23:$BA23,$R$5:$BA$5,$BB$5),0)</f>
        <v>0</v>
      </c>
      <c r="BC23" s="63">
        <f>SUMIFS($R23:$BA23,$R$5:$BA$5,$S$5)</f>
        <v>0</v>
      </c>
      <c r="BD23" s="64">
        <f>IFERROR(BB23/O23,0)</f>
        <v>0</v>
      </c>
      <c r="BE23" s="65">
        <f>IFERROR((O23-BB23)/O23,0)</f>
        <v>1</v>
      </c>
      <c r="BF23" s="45"/>
    </row>
    <row r="24" spans="1:58" ht="19.5" customHeight="1" x14ac:dyDescent="0.45">
      <c r="A24" s="46" t="s">
        <v>118</v>
      </c>
      <c r="B24" s="503"/>
      <c r="C24" s="504"/>
      <c r="D24" s="504"/>
      <c r="E24" s="504"/>
      <c r="F24" s="504"/>
      <c r="G24" s="504"/>
      <c r="H24" s="505" t="s">
        <v>1718</v>
      </c>
      <c r="I24" s="504"/>
      <c r="J24" s="505" t="s">
        <v>1718</v>
      </c>
      <c r="K24" s="47" t="s">
        <v>119</v>
      </c>
      <c r="L24" s="48"/>
      <c r="M24" s="49" t="s">
        <v>120</v>
      </c>
      <c r="N24" s="50"/>
      <c r="O24" s="51"/>
      <c r="P24" s="52"/>
      <c r="Q24" s="53">
        <f>SUM(Q25:Q25)</f>
        <v>53243.68</v>
      </c>
      <c r="R24" s="51"/>
      <c r="S24" s="53">
        <f>SUM(S25:S25)</f>
        <v>0</v>
      </c>
      <c r="T24" s="51"/>
      <c r="U24" s="53">
        <f>SUM(U25:U25)</f>
        <v>0</v>
      </c>
      <c r="V24" s="51"/>
      <c r="W24" s="53">
        <f>SUM(W25:W25)</f>
        <v>0</v>
      </c>
      <c r="X24" s="51"/>
      <c r="Y24" s="53">
        <f>SUM(Y25:Y25)</f>
        <v>0</v>
      </c>
      <c r="Z24" s="51"/>
      <c r="AA24" s="53">
        <f>SUM(AA25:AA25)</f>
        <v>0</v>
      </c>
      <c r="AB24" s="51"/>
      <c r="AC24" s="53">
        <f>SUM(AC25:AC25)</f>
        <v>0</v>
      </c>
      <c r="AD24" s="51"/>
      <c r="AE24" s="53">
        <f>SUM(AE25:AE25)</f>
        <v>0</v>
      </c>
      <c r="AF24" s="51"/>
      <c r="AG24" s="53">
        <f>SUM(AG25:AG25)</f>
        <v>0</v>
      </c>
      <c r="AH24" s="51"/>
      <c r="AI24" s="53">
        <f>SUM(AI25:AI25)</f>
        <v>0</v>
      </c>
      <c r="AJ24" s="51"/>
      <c r="AK24" s="53">
        <f>SUM(AK25:AK25)</f>
        <v>0</v>
      </c>
      <c r="AL24" s="51"/>
      <c r="AM24" s="53">
        <f>SUM(AM25:AM25)</f>
        <v>0</v>
      </c>
      <c r="AN24" s="51"/>
      <c r="AO24" s="53">
        <f>SUM(AO25:AO25)</f>
        <v>0</v>
      </c>
      <c r="AP24" s="51"/>
      <c r="AQ24" s="53">
        <f>SUM(AQ25:AQ25)</f>
        <v>0</v>
      </c>
      <c r="AR24" s="51"/>
      <c r="AS24" s="53">
        <f>SUM(AS25:AS25)</f>
        <v>0</v>
      </c>
      <c r="AT24" s="51"/>
      <c r="AU24" s="53">
        <f>SUM(AU25:AU25)</f>
        <v>0</v>
      </c>
      <c r="AV24" s="51"/>
      <c r="AW24" s="53">
        <f>SUM(AW25:AW25)</f>
        <v>0</v>
      </c>
      <c r="AX24" s="51"/>
      <c r="AY24" s="53">
        <f>SUM(AY25:AY25)</f>
        <v>0</v>
      </c>
      <c r="AZ24" s="51"/>
      <c r="BA24" s="53">
        <f>SUM(BA25:BA25)</f>
        <v>0</v>
      </c>
      <c r="BB24" s="51"/>
      <c r="BC24" s="53">
        <f>SUM(BC25:BC25)</f>
        <v>0</v>
      </c>
      <c r="BD24" s="54"/>
      <c r="BE24" s="55"/>
      <c r="BF24" s="45"/>
    </row>
    <row r="25" spans="1:58" ht="19.5" customHeight="1" x14ac:dyDescent="0.45">
      <c r="A25" s="56" t="s">
        <v>121</v>
      </c>
      <c r="B25" s="506" t="s">
        <v>122</v>
      </c>
      <c r="C25" s="507" t="s">
        <v>39</v>
      </c>
      <c r="D25" s="507" t="s">
        <v>39</v>
      </c>
      <c r="E25" s="507" t="s">
        <v>123</v>
      </c>
      <c r="F25" s="507" t="s">
        <v>39</v>
      </c>
      <c r="G25" s="507" t="s">
        <v>124</v>
      </c>
      <c r="H25" s="508" t="s">
        <v>125</v>
      </c>
      <c r="I25" s="507" t="s">
        <v>114</v>
      </c>
      <c r="J25" s="508" t="s">
        <v>126</v>
      </c>
      <c r="K25" s="57" t="s">
        <v>127</v>
      </c>
      <c r="L25" s="58" t="s">
        <v>21</v>
      </c>
      <c r="M25" s="59" t="s">
        <v>128</v>
      </c>
      <c r="N25" s="60" t="s">
        <v>71</v>
      </c>
      <c r="O25" s="61">
        <v>28</v>
      </c>
      <c r="P25" s="62">
        <v>1901.56</v>
      </c>
      <c r="Q25" s="63">
        <f>ROUND(P25*$O25,2)</f>
        <v>53243.68</v>
      </c>
      <c r="R25" s="61">
        <f>IFERROR(SUMIFS('BM MORRO DA CRUZ - VERTICAL'!V$6:V$546,'BM MORRO DA CRUZ - VERTICAL'!$O$6:$O$546,'BM MORRO DA CRUZ'!$K25),0)</f>
        <v>0</v>
      </c>
      <c r="S25" s="63">
        <f>ROUND(R25*$P25,2)</f>
        <v>0</v>
      </c>
      <c r="T25" s="61">
        <f>IFERROR(SUMIFS('BM MORRO DA CRUZ - VERTICAL'!X$6:X$546,'BM MORRO DA CRUZ - VERTICAL'!$O$6:$O$546,'BM MORRO DA CRUZ'!$K25),0)</f>
        <v>0</v>
      </c>
      <c r="U25" s="63">
        <f>ROUND(T25*$P25,2)</f>
        <v>0</v>
      </c>
      <c r="V25" s="61">
        <f>IFERROR(SUMIFS('BM MORRO DA CRUZ - VERTICAL'!Z$6:Z$546,'BM MORRO DA CRUZ - VERTICAL'!$O$6:$O$546,'BM MORRO DA CRUZ'!$K25),0)</f>
        <v>0</v>
      </c>
      <c r="W25" s="63">
        <f>ROUND(V25*$P25,2)</f>
        <v>0</v>
      </c>
      <c r="X25" s="61">
        <f>IFERROR(SUMIFS('BM MORRO DA CRUZ - VERTICAL'!AB$6:AB$546,'BM MORRO DA CRUZ - VERTICAL'!$O$6:$O$546,'BM MORRO DA CRUZ'!$K25),0)</f>
        <v>0</v>
      </c>
      <c r="Y25" s="63">
        <f>ROUND(X25*$P25,2)</f>
        <v>0</v>
      </c>
      <c r="Z25" s="61">
        <f>IFERROR(SUMIFS('BM MORRO DA CRUZ - VERTICAL'!AD$6:AD$546,'BM MORRO DA CRUZ - VERTICAL'!$O$6:$O$546,'BM MORRO DA CRUZ'!$K25),0)</f>
        <v>0</v>
      </c>
      <c r="AA25" s="63">
        <f>ROUND(Z25*$P25,2)</f>
        <v>0</v>
      </c>
      <c r="AB25" s="61">
        <f>IFERROR(SUMIFS('BM MORRO DA CRUZ - VERTICAL'!AF$6:AF$546,'BM MORRO DA CRUZ - VERTICAL'!$O$6:$O$546,'BM MORRO DA CRUZ'!$K25),0)</f>
        <v>0</v>
      </c>
      <c r="AC25" s="63">
        <f>ROUND(AB25*$P25,2)</f>
        <v>0</v>
      </c>
      <c r="AD25" s="61">
        <f>IFERROR(SUMIFS('BM MORRO DA CRUZ - VERTICAL'!AH$6:AH$546,'BM MORRO DA CRUZ - VERTICAL'!$O$6:$O$546,'BM MORRO DA CRUZ'!$K25),0)</f>
        <v>0</v>
      </c>
      <c r="AE25" s="63">
        <f>ROUND(AD25*$P25,2)</f>
        <v>0</v>
      </c>
      <c r="AF25" s="61">
        <f>IFERROR(SUMIFS('BM MORRO DA CRUZ - VERTICAL'!AJ$6:AJ$546,'BM MORRO DA CRUZ - VERTICAL'!$O$6:$O$546,'BM MORRO DA CRUZ'!$K25),0)</f>
        <v>0</v>
      </c>
      <c r="AG25" s="63">
        <f>ROUND(AF25*$P25,2)</f>
        <v>0</v>
      </c>
      <c r="AH25" s="61">
        <f>IFERROR(SUMIFS('BM MORRO DA CRUZ - VERTICAL'!AL$6:AL$546,'BM MORRO DA CRUZ - VERTICAL'!$O$6:$O$546,'BM MORRO DA CRUZ'!$K25),0)</f>
        <v>0</v>
      </c>
      <c r="AI25" s="63">
        <f>ROUND(AH25*$P25,2)</f>
        <v>0</v>
      </c>
      <c r="AJ25" s="61">
        <f>IFERROR(SUMIFS('BM MORRO DA CRUZ - VERTICAL'!AN$6:AN$546,'BM MORRO DA CRUZ - VERTICAL'!$O$6:$O$546,'BM MORRO DA CRUZ'!$K25),0)</f>
        <v>0</v>
      </c>
      <c r="AK25" s="63">
        <f>ROUND(AJ25*$P25,2)</f>
        <v>0</v>
      </c>
      <c r="AL25" s="61">
        <f>IFERROR(SUMIFS('BM MORRO DA CRUZ - VERTICAL'!AP$6:AP$546,'BM MORRO DA CRUZ - VERTICAL'!$O$6:$O$546,'BM MORRO DA CRUZ'!$K25),0)</f>
        <v>0</v>
      </c>
      <c r="AM25" s="63">
        <f>ROUND(AL25*$P25,2)</f>
        <v>0</v>
      </c>
      <c r="AN25" s="61">
        <f>IFERROR(SUMIFS('BM MORRO DA CRUZ - VERTICAL'!AR$6:AR$546,'BM MORRO DA CRUZ - VERTICAL'!$O$6:$O$546,'BM MORRO DA CRUZ'!$K25),0)</f>
        <v>0</v>
      </c>
      <c r="AO25" s="63">
        <f>ROUND(AN25*$P25,2)</f>
        <v>0</v>
      </c>
      <c r="AP25" s="61">
        <f>IFERROR(SUMIFS('BM MORRO DA CRUZ - VERTICAL'!AT$6:AT$546,'BM MORRO DA CRUZ - VERTICAL'!$O$6:$O$546,'BM MORRO DA CRUZ'!$K25),0)</f>
        <v>0</v>
      </c>
      <c r="AQ25" s="63">
        <f>ROUND(AP25*$P25,2)</f>
        <v>0</v>
      </c>
      <c r="AR25" s="61">
        <f>IFERROR(SUMIFS('BM MORRO DA CRUZ - VERTICAL'!AV$6:AV$546,'BM MORRO DA CRUZ - VERTICAL'!$O$6:$O$546,'BM MORRO DA CRUZ'!$K25),0)</f>
        <v>0</v>
      </c>
      <c r="AS25" s="63">
        <f>ROUND(AR25*$P25,2)</f>
        <v>0</v>
      </c>
      <c r="AT25" s="61">
        <f>IFERROR(SUMIFS('BM MORRO DA CRUZ - VERTICAL'!AX$6:AX$546,'BM MORRO DA CRUZ - VERTICAL'!$O$6:$O$546,'BM MORRO DA CRUZ'!$K25),0)</f>
        <v>0</v>
      </c>
      <c r="AU25" s="63">
        <f>ROUND(AT25*$P25,2)</f>
        <v>0</v>
      </c>
      <c r="AV25" s="61">
        <f>IFERROR(SUMIFS('BM MORRO DA CRUZ - VERTICAL'!AZ$6:AZ$546,'BM MORRO DA CRUZ - VERTICAL'!$O$6:$O$546,'BM MORRO DA CRUZ'!$K25),0)</f>
        <v>0</v>
      </c>
      <c r="AW25" s="63">
        <f>ROUND(AV25*$P25,2)</f>
        <v>0</v>
      </c>
      <c r="AX25" s="61">
        <f>IFERROR(SUMIFS('BM MORRO DA CRUZ - VERTICAL'!BB$6:BB$546,'BM MORRO DA CRUZ - VERTICAL'!$O$6:$O$546,'BM MORRO DA CRUZ'!$K25),0)</f>
        <v>0</v>
      </c>
      <c r="AY25" s="63">
        <f>ROUND(AX25*$P25,2)</f>
        <v>0</v>
      </c>
      <c r="AZ25" s="61">
        <f>IFERROR(SUMIFS('BM MORRO DA CRUZ - VERTICAL'!BD$6:BD$546,'BM MORRO DA CRUZ - VERTICAL'!$O$6:$O$546,'BM MORRO DA CRUZ'!$K25),0)</f>
        <v>0</v>
      </c>
      <c r="BA25" s="63">
        <f>ROUND(AZ25*$P25,2)</f>
        <v>0</v>
      </c>
      <c r="BB25" s="61">
        <f>IFERROR(SUMIFS($R25:$BA25,$R$5:$BA$5,$BB$5),0)</f>
        <v>0</v>
      </c>
      <c r="BC25" s="63">
        <f>SUMIFS($R25:$BA25,$R$5:$BA$5,$S$5)</f>
        <v>0</v>
      </c>
      <c r="BD25" s="64">
        <f>IFERROR(BB25/O25,0)</f>
        <v>0</v>
      </c>
      <c r="BE25" s="65">
        <f>IFERROR((O25-BB25)/O25,0)</f>
        <v>1</v>
      </c>
      <c r="BF25" s="45"/>
    </row>
    <row r="26" spans="1:58" ht="19.5" customHeight="1" x14ac:dyDescent="0.45">
      <c r="A26" s="46" t="s">
        <v>129</v>
      </c>
      <c r="B26" s="503"/>
      <c r="C26" s="504"/>
      <c r="D26" s="504"/>
      <c r="E26" s="504"/>
      <c r="F26" s="504"/>
      <c r="G26" s="504"/>
      <c r="H26" s="505" t="s">
        <v>1718</v>
      </c>
      <c r="I26" s="504"/>
      <c r="J26" s="505" t="s">
        <v>1718</v>
      </c>
      <c r="K26" s="47" t="s">
        <v>130</v>
      </c>
      <c r="L26" s="48"/>
      <c r="M26" s="49" t="s">
        <v>131</v>
      </c>
      <c r="N26" s="50"/>
      <c r="O26" s="51"/>
      <c r="P26" s="52"/>
      <c r="Q26" s="53">
        <f>SUM(Q27:Q44)</f>
        <v>446602.52000000008</v>
      </c>
      <c r="R26" s="51"/>
      <c r="S26" s="53">
        <f>SUM(S27:S44)</f>
        <v>0</v>
      </c>
      <c r="T26" s="51"/>
      <c r="U26" s="53">
        <f>SUM(U27:U44)</f>
        <v>0</v>
      </c>
      <c r="V26" s="51"/>
      <c r="W26" s="53">
        <f>SUM(W27:W44)</f>
        <v>0</v>
      </c>
      <c r="X26" s="51"/>
      <c r="Y26" s="53">
        <f>SUM(Y27:Y44)</f>
        <v>0</v>
      </c>
      <c r="Z26" s="51"/>
      <c r="AA26" s="53">
        <f>SUM(AA27:AA44)</f>
        <v>0</v>
      </c>
      <c r="AB26" s="51"/>
      <c r="AC26" s="53">
        <f>SUM(AC27:AC44)</f>
        <v>0</v>
      </c>
      <c r="AD26" s="51"/>
      <c r="AE26" s="53">
        <f>SUM(AE27:AE44)</f>
        <v>0</v>
      </c>
      <c r="AF26" s="51"/>
      <c r="AG26" s="53">
        <f>SUM(AG27:AG44)</f>
        <v>0</v>
      </c>
      <c r="AH26" s="51"/>
      <c r="AI26" s="53">
        <f>SUM(AI27:AI44)</f>
        <v>0</v>
      </c>
      <c r="AJ26" s="51"/>
      <c r="AK26" s="53">
        <f>SUM(AK27:AK44)</f>
        <v>0</v>
      </c>
      <c r="AL26" s="51"/>
      <c r="AM26" s="53">
        <f>SUM(AM27:AM44)</f>
        <v>0</v>
      </c>
      <c r="AN26" s="51"/>
      <c r="AO26" s="53">
        <f>SUM(AO27:AO44)</f>
        <v>0</v>
      </c>
      <c r="AP26" s="51"/>
      <c r="AQ26" s="53">
        <f>SUM(AQ27:AQ44)</f>
        <v>0</v>
      </c>
      <c r="AR26" s="51"/>
      <c r="AS26" s="53">
        <f>SUM(AS27:AS44)</f>
        <v>0</v>
      </c>
      <c r="AT26" s="51"/>
      <c r="AU26" s="53">
        <f>SUM(AU27:AU44)</f>
        <v>0</v>
      </c>
      <c r="AV26" s="51"/>
      <c r="AW26" s="53">
        <f>SUM(AW27:AW44)</f>
        <v>0</v>
      </c>
      <c r="AX26" s="51"/>
      <c r="AY26" s="53">
        <f>SUM(AY27:AY44)</f>
        <v>0</v>
      </c>
      <c r="AZ26" s="51"/>
      <c r="BA26" s="53">
        <f>SUM(BA27:BA44)</f>
        <v>0</v>
      </c>
      <c r="BB26" s="51"/>
      <c r="BC26" s="53">
        <f>SUM(BC27:BC44)</f>
        <v>0</v>
      </c>
      <c r="BD26" s="54"/>
      <c r="BE26" s="55"/>
      <c r="BF26" s="45"/>
    </row>
    <row r="27" spans="1:58" ht="19.5" customHeight="1" x14ac:dyDescent="0.45">
      <c r="A27" s="56" t="s">
        <v>132</v>
      </c>
      <c r="B27" s="506" t="s">
        <v>133</v>
      </c>
      <c r="C27" s="507" t="s">
        <v>39</v>
      </c>
      <c r="D27" s="507" t="s">
        <v>39</v>
      </c>
      <c r="E27" s="507" t="s">
        <v>134</v>
      </c>
      <c r="F27" s="507" t="s">
        <v>39</v>
      </c>
      <c r="G27" s="507">
        <v>100</v>
      </c>
      <c r="H27" s="508" t="s">
        <v>125</v>
      </c>
      <c r="I27" s="507" t="s">
        <v>114</v>
      </c>
      <c r="J27" s="508" t="s">
        <v>126</v>
      </c>
      <c r="K27" s="57" t="s">
        <v>135</v>
      </c>
      <c r="L27" s="58" t="s">
        <v>21</v>
      </c>
      <c r="M27" s="59" t="s">
        <v>136</v>
      </c>
      <c r="N27" s="60" t="s">
        <v>71</v>
      </c>
      <c r="O27" s="61">
        <v>6</v>
      </c>
      <c r="P27" s="62">
        <v>189.06</v>
      </c>
      <c r="Q27" s="63">
        <f t="shared" ref="Q27:Q44" si="0">ROUND(P27*$O27,2)</f>
        <v>1134.3599999999999</v>
      </c>
      <c r="R27" s="61">
        <f>IFERROR(SUMIFS('BM MORRO DA CRUZ - VERTICAL'!V$6:V$546,'BM MORRO DA CRUZ - VERTICAL'!$O$6:$O$546,'BM MORRO DA CRUZ'!$K27),0)</f>
        <v>0</v>
      </c>
      <c r="S27" s="63">
        <f t="shared" ref="S27:S44" si="1">ROUND(R27*$P27,2)</f>
        <v>0</v>
      </c>
      <c r="T27" s="61">
        <f>IFERROR(SUMIFS('BM MORRO DA CRUZ - VERTICAL'!X$6:X$546,'BM MORRO DA CRUZ - VERTICAL'!$O$6:$O$546,'BM MORRO DA CRUZ'!$K27),0)</f>
        <v>0</v>
      </c>
      <c r="U27" s="63">
        <f t="shared" ref="U27:U44" si="2">ROUND(T27*$P27,2)</f>
        <v>0</v>
      </c>
      <c r="V27" s="61">
        <f>IFERROR(SUMIFS('BM MORRO DA CRUZ - VERTICAL'!Z$6:Z$546,'BM MORRO DA CRUZ - VERTICAL'!$O$6:$O$546,'BM MORRO DA CRUZ'!$K27),0)</f>
        <v>0</v>
      </c>
      <c r="W27" s="63">
        <f t="shared" ref="W27:W44" si="3">ROUND(V27*$P27,2)</f>
        <v>0</v>
      </c>
      <c r="X27" s="61">
        <f>IFERROR(SUMIFS('BM MORRO DA CRUZ - VERTICAL'!AB$6:AB$546,'BM MORRO DA CRUZ - VERTICAL'!$O$6:$O$546,'BM MORRO DA CRUZ'!$K27),0)</f>
        <v>0</v>
      </c>
      <c r="Y27" s="63">
        <f t="shared" ref="Y27:Y44" si="4">ROUND(X27*$P27,2)</f>
        <v>0</v>
      </c>
      <c r="Z27" s="61">
        <f>IFERROR(SUMIFS('BM MORRO DA CRUZ - VERTICAL'!AD$6:AD$546,'BM MORRO DA CRUZ - VERTICAL'!$O$6:$O$546,'BM MORRO DA CRUZ'!$K27),0)</f>
        <v>0</v>
      </c>
      <c r="AA27" s="63">
        <f t="shared" ref="AA27:AA44" si="5">ROUND(Z27*$P27,2)</f>
        <v>0</v>
      </c>
      <c r="AB27" s="61">
        <f>IFERROR(SUMIFS('BM MORRO DA CRUZ - VERTICAL'!AF$6:AF$546,'BM MORRO DA CRUZ - VERTICAL'!$O$6:$O$546,'BM MORRO DA CRUZ'!$K27),0)</f>
        <v>0</v>
      </c>
      <c r="AC27" s="63">
        <f t="shared" ref="AC27:AC44" si="6">ROUND(AB27*$P27,2)</f>
        <v>0</v>
      </c>
      <c r="AD27" s="61">
        <f>IFERROR(SUMIFS('BM MORRO DA CRUZ - VERTICAL'!AH$6:AH$546,'BM MORRO DA CRUZ - VERTICAL'!$O$6:$O$546,'BM MORRO DA CRUZ'!$K27),0)</f>
        <v>0</v>
      </c>
      <c r="AE27" s="63">
        <f t="shared" ref="AE27:AE44" si="7">ROUND(AD27*$P27,2)</f>
        <v>0</v>
      </c>
      <c r="AF27" s="61">
        <f>IFERROR(SUMIFS('BM MORRO DA CRUZ - VERTICAL'!AJ$6:AJ$546,'BM MORRO DA CRUZ - VERTICAL'!$O$6:$O$546,'BM MORRO DA CRUZ'!$K27),0)</f>
        <v>0</v>
      </c>
      <c r="AG27" s="63">
        <f t="shared" ref="AG27:AG44" si="8">ROUND(AF27*$P27,2)</f>
        <v>0</v>
      </c>
      <c r="AH27" s="61">
        <f>IFERROR(SUMIFS('BM MORRO DA CRUZ - VERTICAL'!AL$6:AL$546,'BM MORRO DA CRUZ - VERTICAL'!$O$6:$O$546,'BM MORRO DA CRUZ'!$K27),0)</f>
        <v>0</v>
      </c>
      <c r="AI27" s="63">
        <f t="shared" ref="AI27:AI44" si="9">ROUND(AH27*$P27,2)</f>
        <v>0</v>
      </c>
      <c r="AJ27" s="61">
        <f>IFERROR(SUMIFS('BM MORRO DA CRUZ - VERTICAL'!AN$6:AN$546,'BM MORRO DA CRUZ - VERTICAL'!$O$6:$O$546,'BM MORRO DA CRUZ'!$K27),0)</f>
        <v>0</v>
      </c>
      <c r="AK27" s="63">
        <f t="shared" ref="AK27:AK44" si="10">ROUND(AJ27*$P27,2)</f>
        <v>0</v>
      </c>
      <c r="AL27" s="61">
        <f>IFERROR(SUMIFS('BM MORRO DA CRUZ - VERTICAL'!AP$6:AP$546,'BM MORRO DA CRUZ - VERTICAL'!$O$6:$O$546,'BM MORRO DA CRUZ'!$K27),0)</f>
        <v>0</v>
      </c>
      <c r="AM27" s="63">
        <f t="shared" ref="AM27:AM44" si="11">ROUND(AL27*$P27,2)</f>
        <v>0</v>
      </c>
      <c r="AN27" s="61">
        <f>IFERROR(SUMIFS('BM MORRO DA CRUZ - VERTICAL'!AR$6:AR$546,'BM MORRO DA CRUZ - VERTICAL'!$O$6:$O$546,'BM MORRO DA CRUZ'!$K27),0)</f>
        <v>0</v>
      </c>
      <c r="AO27" s="63">
        <f t="shared" ref="AO27:AO44" si="12">ROUND(AN27*$P27,2)</f>
        <v>0</v>
      </c>
      <c r="AP27" s="61">
        <f>IFERROR(SUMIFS('BM MORRO DA CRUZ - VERTICAL'!AT$6:AT$546,'BM MORRO DA CRUZ - VERTICAL'!$O$6:$O$546,'BM MORRO DA CRUZ'!$K27),0)</f>
        <v>0</v>
      </c>
      <c r="AQ27" s="63">
        <f t="shared" ref="AQ27:AQ44" si="13">ROUND(AP27*$P27,2)</f>
        <v>0</v>
      </c>
      <c r="AR27" s="61">
        <f>IFERROR(SUMIFS('BM MORRO DA CRUZ - VERTICAL'!AV$6:AV$546,'BM MORRO DA CRUZ - VERTICAL'!$O$6:$O$546,'BM MORRO DA CRUZ'!$K27),0)</f>
        <v>0</v>
      </c>
      <c r="AS27" s="63">
        <f t="shared" ref="AS27:AS44" si="14">ROUND(AR27*$P27,2)</f>
        <v>0</v>
      </c>
      <c r="AT27" s="61">
        <f>IFERROR(SUMIFS('BM MORRO DA CRUZ - VERTICAL'!AX$6:AX$546,'BM MORRO DA CRUZ - VERTICAL'!$O$6:$O$546,'BM MORRO DA CRUZ'!$K27),0)</f>
        <v>0</v>
      </c>
      <c r="AU27" s="63">
        <f t="shared" ref="AU27:AU44" si="15">ROUND(AT27*$P27,2)</f>
        <v>0</v>
      </c>
      <c r="AV27" s="61">
        <f>IFERROR(SUMIFS('BM MORRO DA CRUZ - VERTICAL'!AZ$6:AZ$546,'BM MORRO DA CRUZ - VERTICAL'!$O$6:$O$546,'BM MORRO DA CRUZ'!$K27),0)</f>
        <v>0</v>
      </c>
      <c r="AW27" s="63">
        <f t="shared" ref="AW27:AW44" si="16">ROUND(AV27*$P27,2)</f>
        <v>0</v>
      </c>
      <c r="AX27" s="61">
        <f>IFERROR(SUMIFS('BM MORRO DA CRUZ - VERTICAL'!BB$6:BB$546,'BM MORRO DA CRUZ - VERTICAL'!$O$6:$O$546,'BM MORRO DA CRUZ'!$K27),0)</f>
        <v>0</v>
      </c>
      <c r="AY27" s="63">
        <f t="shared" ref="AY27:AY44" si="17">ROUND(AX27*$P27,2)</f>
        <v>0</v>
      </c>
      <c r="AZ27" s="61">
        <f>IFERROR(SUMIFS('BM MORRO DA CRUZ - VERTICAL'!BD$6:BD$546,'BM MORRO DA CRUZ - VERTICAL'!$O$6:$O$546,'BM MORRO DA CRUZ'!$K27),0)</f>
        <v>0</v>
      </c>
      <c r="BA27" s="63">
        <f t="shared" ref="BA27:BA44" si="18">ROUND(AZ27*$P27,2)</f>
        <v>0</v>
      </c>
      <c r="BB27" s="61">
        <f t="shared" ref="BB27:BB44" si="19">IFERROR(SUMIFS($R27:$BA27,$R$5:$BA$5,$BB$5),0)</f>
        <v>0</v>
      </c>
      <c r="BC27" s="63">
        <f t="shared" ref="BC27:BC44" si="20">SUMIFS($R27:$BA27,$R$5:$BA$5,$S$5)</f>
        <v>0</v>
      </c>
      <c r="BD27" s="64">
        <f t="shared" ref="BD27:BD44" si="21">IFERROR(BB27/O27,0)</f>
        <v>0</v>
      </c>
      <c r="BE27" s="65">
        <f t="shared" ref="BE27:BE44" si="22">IFERROR((O27-BB27)/O27,0)</f>
        <v>1</v>
      </c>
      <c r="BF27" s="45"/>
    </row>
    <row r="28" spans="1:58" ht="38.25" customHeight="1" x14ac:dyDescent="0.45">
      <c r="A28" s="56" t="s">
        <v>137</v>
      </c>
      <c r="B28" s="506" t="s">
        <v>138</v>
      </c>
      <c r="C28" s="507" t="s">
        <v>111</v>
      </c>
      <c r="D28" s="507" t="s">
        <v>39</v>
      </c>
      <c r="E28" s="507" t="s">
        <v>139</v>
      </c>
      <c r="F28" s="507" t="s">
        <v>39</v>
      </c>
      <c r="G28" s="507">
        <v>200</v>
      </c>
      <c r="H28" s="508" t="s">
        <v>125</v>
      </c>
      <c r="I28" s="507" t="s">
        <v>114</v>
      </c>
      <c r="J28" s="508" t="s">
        <v>140</v>
      </c>
      <c r="K28" s="57" t="s">
        <v>141</v>
      </c>
      <c r="L28" s="58" t="s">
        <v>21</v>
      </c>
      <c r="M28" s="59" t="s">
        <v>142</v>
      </c>
      <c r="N28" s="60" t="s">
        <v>71</v>
      </c>
      <c r="O28" s="61">
        <v>4</v>
      </c>
      <c r="P28" s="62">
        <v>17589.88</v>
      </c>
      <c r="Q28" s="63">
        <f t="shared" si="0"/>
        <v>70359.520000000004</v>
      </c>
      <c r="R28" s="61">
        <f>IFERROR(SUMIFS('BM MORRO DA CRUZ - VERTICAL'!V$6:V$546,'BM MORRO DA CRUZ - VERTICAL'!$O$6:$O$546,'BM MORRO DA CRUZ'!$K28),0)</f>
        <v>0</v>
      </c>
      <c r="S28" s="63">
        <f t="shared" si="1"/>
        <v>0</v>
      </c>
      <c r="T28" s="61">
        <f>IFERROR(SUMIFS('BM MORRO DA CRUZ - VERTICAL'!X$6:X$546,'BM MORRO DA CRUZ - VERTICAL'!$O$6:$O$546,'BM MORRO DA CRUZ'!$K28),0)</f>
        <v>0</v>
      </c>
      <c r="U28" s="63">
        <f t="shared" si="2"/>
        <v>0</v>
      </c>
      <c r="V28" s="61">
        <f>IFERROR(SUMIFS('BM MORRO DA CRUZ - VERTICAL'!Z$6:Z$546,'BM MORRO DA CRUZ - VERTICAL'!$O$6:$O$546,'BM MORRO DA CRUZ'!$K28),0)</f>
        <v>0</v>
      </c>
      <c r="W28" s="63">
        <f t="shared" si="3"/>
        <v>0</v>
      </c>
      <c r="X28" s="61">
        <f>IFERROR(SUMIFS('BM MORRO DA CRUZ - VERTICAL'!AB$6:AB$546,'BM MORRO DA CRUZ - VERTICAL'!$O$6:$O$546,'BM MORRO DA CRUZ'!$K28),0)</f>
        <v>0</v>
      </c>
      <c r="Y28" s="63">
        <f t="shared" si="4"/>
        <v>0</v>
      </c>
      <c r="Z28" s="61">
        <f>IFERROR(SUMIFS('BM MORRO DA CRUZ - VERTICAL'!AD$6:AD$546,'BM MORRO DA CRUZ - VERTICAL'!$O$6:$O$546,'BM MORRO DA CRUZ'!$K28),0)</f>
        <v>0</v>
      </c>
      <c r="AA28" s="63">
        <f t="shared" si="5"/>
        <v>0</v>
      </c>
      <c r="AB28" s="61">
        <f>IFERROR(SUMIFS('BM MORRO DA CRUZ - VERTICAL'!AF$6:AF$546,'BM MORRO DA CRUZ - VERTICAL'!$O$6:$O$546,'BM MORRO DA CRUZ'!$K28),0)</f>
        <v>0</v>
      </c>
      <c r="AC28" s="63">
        <f t="shared" si="6"/>
        <v>0</v>
      </c>
      <c r="AD28" s="61">
        <f>IFERROR(SUMIFS('BM MORRO DA CRUZ - VERTICAL'!AH$6:AH$546,'BM MORRO DA CRUZ - VERTICAL'!$O$6:$O$546,'BM MORRO DA CRUZ'!$K28),0)</f>
        <v>0</v>
      </c>
      <c r="AE28" s="63">
        <f t="shared" si="7"/>
        <v>0</v>
      </c>
      <c r="AF28" s="61">
        <f>IFERROR(SUMIFS('BM MORRO DA CRUZ - VERTICAL'!AJ$6:AJ$546,'BM MORRO DA CRUZ - VERTICAL'!$O$6:$O$546,'BM MORRO DA CRUZ'!$K28),0)</f>
        <v>0</v>
      </c>
      <c r="AG28" s="63">
        <f t="shared" si="8"/>
        <v>0</v>
      </c>
      <c r="AH28" s="61">
        <f>IFERROR(SUMIFS('BM MORRO DA CRUZ - VERTICAL'!AL$6:AL$546,'BM MORRO DA CRUZ - VERTICAL'!$O$6:$O$546,'BM MORRO DA CRUZ'!$K28),0)</f>
        <v>0</v>
      </c>
      <c r="AI28" s="63">
        <f t="shared" si="9"/>
        <v>0</v>
      </c>
      <c r="AJ28" s="61">
        <f>IFERROR(SUMIFS('BM MORRO DA CRUZ - VERTICAL'!AN$6:AN$546,'BM MORRO DA CRUZ - VERTICAL'!$O$6:$O$546,'BM MORRO DA CRUZ'!$K28),0)</f>
        <v>0</v>
      </c>
      <c r="AK28" s="63">
        <f t="shared" si="10"/>
        <v>0</v>
      </c>
      <c r="AL28" s="61">
        <f>IFERROR(SUMIFS('BM MORRO DA CRUZ - VERTICAL'!AP$6:AP$546,'BM MORRO DA CRUZ - VERTICAL'!$O$6:$O$546,'BM MORRO DA CRUZ'!$K28),0)</f>
        <v>0</v>
      </c>
      <c r="AM28" s="63">
        <f t="shared" si="11"/>
        <v>0</v>
      </c>
      <c r="AN28" s="61">
        <f>IFERROR(SUMIFS('BM MORRO DA CRUZ - VERTICAL'!AR$6:AR$546,'BM MORRO DA CRUZ - VERTICAL'!$O$6:$O$546,'BM MORRO DA CRUZ'!$K28),0)</f>
        <v>0</v>
      </c>
      <c r="AO28" s="63">
        <f t="shared" si="12"/>
        <v>0</v>
      </c>
      <c r="AP28" s="61">
        <f>IFERROR(SUMIFS('BM MORRO DA CRUZ - VERTICAL'!AT$6:AT$546,'BM MORRO DA CRUZ - VERTICAL'!$O$6:$O$546,'BM MORRO DA CRUZ'!$K28),0)</f>
        <v>0</v>
      </c>
      <c r="AQ28" s="63">
        <f t="shared" si="13"/>
        <v>0</v>
      </c>
      <c r="AR28" s="61">
        <f>IFERROR(SUMIFS('BM MORRO DA CRUZ - VERTICAL'!AV$6:AV$546,'BM MORRO DA CRUZ - VERTICAL'!$O$6:$O$546,'BM MORRO DA CRUZ'!$K28),0)</f>
        <v>0</v>
      </c>
      <c r="AS28" s="63">
        <f t="shared" si="14"/>
        <v>0</v>
      </c>
      <c r="AT28" s="61">
        <f>IFERROR(SUMIFS('BM MORRO DA CRUZ - VERTICAL'!AX$6:AX$546,'BM MORRO DA CRUZ - VERTICAL'!$O$6:$O$546,'BM MORRO DA CRUZ'!$K28),0)</f>
        <v>0</v>
      </c>
      <c r="AU28" s="63">
        <f t="shared" si="15"/>
        <v>0</v>
      </c>
      <c r="AV28" s="61">
        <f>IFERROR(SUMIFS('BM MORRO DA CRUZ - VERTICAL'!AZ$6:AZ$546,'BM MORRO DA CRUZ - VERTICAL'!$O$6:$O$546,'BM MORRO DA CRUZ'!$K28),0)</f>
        <v>0</v>
      </c>
      <c r="AW28" s="63">
        <f t="shared" si="16"/>
        <v>0</v>
      </c>
      <c r="AX28" s="61">
        <f>IFERROR(SUMIFS('BM MORRO DA CRUZ - VERTICAL'!BB$6:BB$546,'BM MORRO DA CRUZ - VERTICAL'!$O$6:$O$546,'BM MORRO DA CRUZ'!$K28),0)</f>
        <v>0</v>
      </c>
      <c r="AY28" s="63">
        <f t="shared" si="17"/>
        <v>0</v>
      </c>
      <c r="AZ28" s="61">
        <f>IFERROR(SUMIFS('BM MORRO DA CRUZ - VERTICAL'!BD$6:BD$546,'BM MORRO DA CRUZ - VERTICAL'!$O$6:$O$546,'BM MORRO DA CRUZ'!$K28),0)</f>
        <v>0</v>
      </c>
      <c r="BA28" s="63">
        <f t="shared" si="18"/>
        <v>0</v>
      </c>
      <c r="BB28" s="61">
        <f t="shared" si="19"/>
        <v>0</v>
      </c>
      <c r="BC28" s="63">
        <f t="shared" si="20"/>
        <v>0</v>
      </c>
      <c r="BD28" s="64">
        <f t="shared" si="21"/>
        <v>0</v>
      </c>
      <c r="BE28" s="65">
        <f t="shared" si="22"/>
        <v>1</v>
      </c>
      <c r="BF28" s="45"/>
    </row>
    <row r="29" spans="1:58" ht="38.25" customHeight="1" x14ac:dyDescent="0.45">
      <c r="A29" s="56" t="s">
        <v>143</v>
      </c>
      <c r="B29" s="506" t="s">
        <v>138</v>
      </c>
      <c r="C29" s="507" t="s">
        <v>111</v>
      </c>
      <c r="D29" s="507" t="s">
        <v>39</v>
      </c>
      <c r="E29" s="507" t="s">
        <v>139</v>
      </c>
      <c r="F29" s="507" t="s">
        <v>39</v>
      </c>
      <c r="G29" s="507">
        <v>350</v>
      </c>
      <c r="H29" s="508" t="s">
        <v>125</v>
      </c>
      <c r="I29" s="507" t="s">
        <v>114</v>
      </c>
      <c r="J29" s="508" t="s">
        <v>140</v>
      </c>
      <c r="K29" s="57" t="s">
        <v>144</v>
      </c>
      <c r="L29" s="58" t="s">
        <v>21</v>
      </c>
      <c r="M29" s="59" t="s">
        <v>145</v>
      </c>
      <c r="N29" s="60" t="s">
        <v>71</v>
      </c>
      <c r="O29" s="61">
        <v>2</v>
      </c>
      <c r="P29" s="62">
        <v>23595.41</v>
      </c>
      <c r="Q29" s="63">
        <f t="shared" si="0"/>
        <v>47190.82</v>
      </c>
      <c r="R29" s="61">
        <f>IFERROR(SUMIFS('BM MORRO DA CRUZ - VERTICAL'!V$6:V$546,'BM MORRO DA CRUZ - VERTICAL'!$O$6:$O$546,'BM MORRO DA CRUZ'!$K29),0)</f>
        <v>0</v>
      </c>
      <c r="S29" s="63">
        <f t="shared" si="1"/>
        <v>0</v>
      </c>
      <c r="T29" s="61">
        <f>IFERROR(SUMIFS('BM MORRO DA CRUZ - VERTICAL'!X$6:X$546,'BM MORRO DA CRUZ - VERTICAL'!$O$6:$O$546,'BM MORRO DA CRUZ'!$K29),0)</f>
        <v>0</v>
      </c>
      <c r="U29" s="63">
        <f t="shared" si="2"/>
        <v>0</v>
      </c>
      <c r="V29" s="61">
        <f>IFERROR(SUMIFS('BM MORRO DA CRUZ - VERTICAL'!Z$6:Z$546,'BM MORRO DA CRUZ - VERTICAL'!$O$6:$O$546,'BM MORRO DA CRUZ'!$K29),0)</f>
        <v>0</v>
      </c>
      <c r="W29" s="63">
        <f t="shared" si="3"/>
        <v>0</v>
      </c>
      <c r="X29" s="61">
        <f>IFERROR(SUMIFS('BM MORRO DA CRUZ - VERTICAL'!AB$6:AB$546,'BM MORRO DA CRUZ - VERTICAL'!$O$6:$O$546,'BM MORRO DA CRUZ'!$K29),0)</f>
        <v>0</v>
      </c>
      <c r="Y29" s="63">
        <f t="shared" si="4"/>
        <v>0</v>
      </c>
      <c r="Z29" s="61">
        <f>IFERROR(SUMIFS('BM MORRO DA CRUZ - VERTICAL'!AD$6:AD$546,'BM MORRO DA CRUZ - VERTICAL'!$O$6:$O$546,'BM MORRO DA CRUZ'!$K29),0)</f>
        <v>0</v>
      </c>
      <c r="AA29" s="63">
        <f t="shared" si="5"/>
        <v>0</v>
      </c>
      <c r="AB29" s="61">
        <f>IFERROR(SUMIFS('BM MORRO DA CRUZ - VERTICAL'!AF$6:AF$546,'BM MORRO DA CRUZ - VERTICAL'!$O$6:$O$546,'BM MORRO DA CRUZ'!$K29),0)</f>
        <v>0</v>
      </c>
      <c r="AC29" s="63">
        <f t="shared" si="6"/>
        <v>0</v>
      </c>
      <c r="AD29" s="61">
        <f>IFERROR(SUMIFS('BM MORRO DA CRUZ - VERTICAL'!AH$6:AH$546,'BM MORRO DA CRUZ - VERTICAL'!$O$6:$O$546,'BM MORRO DA CRUZ'!$K29),0)</f>
        <v>0</v>
      </c>
      <c r="AE29" s="63">
        <f t="shared" si="7"/>
        <v>0</v>
      </c>
      <c r="AF29" s="61">
        <f>IFERROR(SUMIFS('BM MORRO DA CRUZ - VERTICAL'!AJ$6:AJ$546,'BM MORRO DA CRUZ - VERTICAL'!$O$6:$O$546,'BM MORRO DA CRUZ'!$K29),0)</f>
        <v>0</v>
      </c>
      <c r="AG29" s="63">
        <f t="shared" si="8"/>
        <v>0</v>
      </c>
      <c r="AH29" s="61">
        <f>IFERROR(SUMIFS('BM MORRO DA CRUZ - VERTICAL'!AL$6:AL$546,'BM MORRO DA CRUZ - VERTICAL'!$O$6:$O$546,'BM MORRO DA CRUZ'!$K29),0)</f>
        <v>0</v>
      </c>
      <c r="AI29" s="63">
        <f t="shared" si="9"/>
        <v>0</v>
      </c>
      <c r="AJ29" s="61">
        <f>IFERROR(SUMIFS('BM MORRO DA CRUZ - VERTICAL'!AN$6:AN$546,'BM MORRO DA CRUZ - VERTICAL'!$O$6:$O$546,'BM MORRO DA CRUZ'!$K29),0)</f>
        <v>0</v>
      </c>
      <c r="AK29" s="63">
        <f t="shared" si="10"/>
        <v>0</v>
      </c>
      <c r="AL29" s="61">
        <f>IFERROR(SUMIFS('BM MORRO DA CRUZ - VERTICAL'!AP$6:AP$546,'BM MORRO DA CRUZ - VERTICAL'!$O$6:$O$546,'BM MORRO DA CRUZ'!$K29),0)</f>
        <v>0</v>
      </c>
      <c r="AM29" s="63">
        <f t="shared" si="11"/>
        <v>0</v>
      </c>
      <c r="AN29" s="61">
        <f>IFERROR(SUMIFS('BM MORRO DA CRUZ - VERTICAL'!AR$6:AR$546,'BM MORRO DA CRUZ - VERTICAL'!$O$6:$O$546,'BM MORRO DA CRUZ'!$K29),0)</f>
        <v>0</v>
      </c>
      <c r="AO29" s="63">
        <f t="shared" si="12"/>
        <v>0</v>
      </c>
      <c r="AP29" s="61">
        <f>IFERROR(SUMIFS('BM MORRO DA CRUZ - VERTICAL'!AT$6:AT$546,'BM MORRO DA CRUZ - VERTICAL'!$O$6:$O$546,'BM MORRO DA CRUZ'!$K29),0)</f>
        <v>0</v>
      </c>
      <c r="AQ29" s="63">
        <f t="shared" si="13"/>
        <v>0</v>
      </c>
      <c r="AR29" s="61">
        <f>IFERROR(SUMIFS('BM MORRO DA CRUZ - VERTICAL'!AV$6:AV$546,'BM MORRO DA CRUZ - VERTICAL'!$O$6:$O$546,'BM MORRO DA CRUZ'!$K29),0)</f>
        <v>0</v>
      </c>
      <c r="AS29" s="63">
        <f t="shared" si="14"/>
        <v>0</v>
      </c>
      <c r="AT29" s="61">
        <f>IFERROR(SUMIFS('BM MORRO DA CRUZ - VERTICAL'!AX$6:AX$546,'BM MORRO DA CRUZ - VERTICAL'!$O$6:$O$546,'BM MORRO DA CRUZ'!$K29),0)</f>
        <v>0</v>
      </c>
      <c r="AU29" s="63">
        <f t="shared" si="15"/>
        <v>0</v>
      </c>
      <c r="AV29" s="61">
        <f>IFERROR(SUMIFS('BM MORRO DA CRUZ - VERTICAL'!AZ$6:AZ$546,'BM MORRO DA CRUZ - VERTICAL'!$O$6:$O$546,'BM MORRO DA CRUZ'!$K29),0)</f>
        <v>0</v>
      </c>
      <c r="AW29" s="63">
        <f t="shared" si="16"/>
        <v>0</v>
      </c>
      <c r="AX29" s="61">
        <f>IFERROR(SUMIFS('BM MORRO DA CRUZ - VERTICAL'!BB$6:BB$546,'BM MORRO DA CRUZ - VERTICAL'!$O$6:$O$546,'BM MORRO DA CRUZ'!$K29),0)</f>
        <v>0</v>
      </c>
      <c r="AY29" s="63">
        <f t="shared" si="17"/>
        <v>0</v>
      </c>
      <c r="AZ29" s="61">
        <f>IFERROR(SUMIFS('BM MORRO DA CRUZ - VERTICAL'!BD$6:BD$546,'BM MORRO DA CRUZ - VERTICAL'!$O$6:$O$546,'BM MORRO DA CRUZ'!$K29),0)</f>
        <v>0</v>
      </c>
      <c r="BA29" s="63">
        <f t="shared" si="18"/>
        <v>0</v>
      </c>
      <c r="BB29" s="61">
        <f t="shared" si="19"/>
        <v>0</v>
      </c>
      <c r="BC29" s="63">
        <f t="shared" si="20"/>
        <v>0</v>
      </c>
      <c r="BD29" s="64">
        <f t="shared" si="21"/>
        <v>0</v>
      </c>
      <c r="BE29" s="65">
        <f t="shared" si="22"/>
        <v>1</v>
      </c>
      <c r="BF29" s="45"/>
    </row>
    <row r="30" spans="1:58" ht="38.25" customHeight="1" x14ac:dyDescent="0.45">
      <c r="A30" s="56" t="s">
        <v>146</v>
      </c>
      <c r="B30" s="506" t="s">
        <v>138</v>
      </c>
      <c r="C30" s="507" t="s">
        <v>147</v>
      </c>
      <c r="D30" s="507" t="s">
        <v>39</v>
      </c>
      <c r="E30" s="507" t="s">
        <v>139</v>
      </c>
      <c r="F30" s="507" t="s">
        <v>39</v>
      </c>
      <c r="G30" s="507">
        <v>100</v>
      </c>
      <c r="H30" s="508" t="s">
        <v>125</v>
      </c>
      <c r="I30" s="507" t="s">
        <v>114</v>
      </c>
      <c r="J30" s="508" t="s">
        <v>140</v>
      </c>
      <c r="K30" s="57" t="s">
        <v>148</v>
      </c>
      <c r="L30" s="58" t="s">
        <v>21</v>
      </c>
      <c r="M30" s="59" t="s">
        <v>149</v>
      </c>
      <c r="N30" s="60" t="s">
        <v>71</v>
      </c>
      <c r="O30" s="61">
        <v>2</v>
      </c>
      <c r="P30" s="62">
        <v>15871.73</v>
      </c>
      <c r="Q30" s="63">
        <f t="shared" si="0"/>
        <v>31743.46</v>
      </c>
      <c r="R30" s="61">
        <f>IFERROR(SUMIFS('BM MORRO DA CRUZ - VERTICAL'!V$6:V$546,'BM MORRO DA CRUZ - VERTICAL'!$O$6:$O$546,'BM MORRO DA CRUZ'!$K30),0)</f>
        <v>0</v>
      </c>
      <c r="S30" s="63">
        <f t="shared" si="1"/>
        <v>0</v>
      </c>
      <c r="T30" s="61">
        <f>IFERROR(SUMIFS('BM MORRO DA CRUZ - VERTICAL'!X$6:X$546,'BM MORRO DA CRUZ - VERTICAL'!$O$6:$O$546,'BM MORRO DA CRUZ'!$K30),0)</f>
        <v>0</v>
      </c>
      <c r="U30" s="63">
        <f t="shared" si="2"/>
        <v>0</v>
      </c>
      <c r="V30" s="61">
        <f>IFERROR(SUMIFS('BM MORRO DA CRUZ - VERTICAL'!Z$6:Z$546,'BM MORRO DA CRUZ - VERTICAL'!$O$6:$O$546,'BM MORRO DA CRUZ'!$K30),0)</f>
        <v>0</v>
      </c>
      <c r="W30" s="63">
        <f t="shared" si="3"/>
        <v>0</v>
      </c>
      <c r="X30" s="61">
        <f>IFERROR(SUMIFS('BM MORRO DA CRUZ - VERTICAL'!AB$6:AB$546,'BM MORRO DA CRUZ - VERTICAL'!$O$6:$O$546,'BM MORRO DA CRUZ'!$K30),0)</f>
        <v>0</v>
      </c>
      <c r="Y30" s="63">
        <f t="shared" si="4"/>
        <v>0</v>
      </c>
      <c r="Z30" s="61">
        <f>IFERROR(SUMIFS('BM MORRO DA CRUZ - VERTICAL'!AD$6:AD$546,'BM MORRO DA CRUZ - VERTICAL'!$O$6:$O$546,'BM MORRO DA CRUZ'!$K30),0)</f>
        <v>0</v>
      </c>
      <c r="AA30" s="63">
        <f t="shared" si="5"/>
        <v>0</v>
      </c>
      <c r="AB30" s="61">
        <f>IFERROR(SUMIFS('BM MORRO DA CRUZ - VERTICAL'!AF$6:AF$546,'BM MORRO DA CRUZ - VERTICAL'!$O$6:$O$546,'BM MORRO DA CRUZ'!$K30),0)</f>
        <v>0</v>
      </c>
      <c r="AC30" s="63">
        <f t="shared" si="6"/>
        <v>0</v>
      </c>
      <c r="AD30" s="61">
        <f>IFERROR(SUMIFS('BM MORRO DA CRUZ - VERTICAL'!AH$6:AH$546,'BM MORRO DA CRUZ - VERTICAL'!$O$6:$O$546,'BM MORRO DA CRUZ'!$K30),0)</f>
        <v>0</v>
      </c>
      <c r="AE30" s="63">
        <f t="shared" si="7"/>
        <v>0</v>
      </c>
      <c r="AF30" s="61">
        <f>IFERROR(SUMIFS('BM MORRO DA CRUZ - VERTICAL'!AJ$6:AJ$546,'BM MORRO DA CRUZ - VERTICAL'!$O$6:$O$546,'BM MORRO DA CRUZ'!$K30),0)</f>
        <v>0</v>
      </c>
      <c r="AG30" s="63">
        <f t="shared" si="8"/>
        <v>0</v>
      </c>
      <c r="AH30" s="61">
        <f>IFERROR(SUMIFS('BM MORRO DA CRUZ - VERTICAL'!AL$6:AL$546,'BM MORRO DA CRUZ - VERTICAL'!$O$6:$O$546,'BM MORRO DA CRUZ'!$K30),0)</f>
        <v>0</v>
      </c>
      <c r="AI30" s="63">
        <f t="shared" si="9"/>
        <v>0</v>
      </c>
      <c r="AJ30" s="61">
        <f>IFERROR(SUMIFS('BM MORRO DA CRUZ - VERTICAL'!AN$6:AN$546,'BM MORRO DA CRUZ - VERTICAL'!$O$6:$O$546,'BM MORRO DA CRUZ'!$K30),0)</f>
        <v>0</v>
      </c>
      <c r="AK30" s="63">
        <f t="shared" si="10"/>
        <v>0</v>
      </c>
      <c r="AL30" s="61">
        <f>IFERROR(SUMIFS('BM MORRO DA CRUZ - VERTICAL'!AP$6:AP$546,'BM MORRO DA CRUZ - VERTICAL'!$O$6:$O$546,'BM MORRO DA CRUZ'!$K30),0)</f>
        <v>0</v>
      </c>
      <c r="AM30" s="63">
        <f t="shared" si="11"/>
        <v>0</v>
      </c>
      <c r="AN30" s="61">
        <f>IFERROR(SUMIFS('BM MORRO DA CRUZ - VERTICAL'!AR$6:AR$546,'BM MORRO DA CRUZ - VERTICAL'!$O$6:$O$546,'BM MORRO DA CRUZ'!$K30),0)</f>
        <v>0</v>
      </c>
      <c r="AO30" s="63">
        <f t="shared" si="12"/>
        <v>0</v>
      </c>
      <c r="AP30" s="61">
        <f>IFERROR(SUMIFS('BM MORRO DA CRUZ - VERTICAL'!AT$6:AT$546,'BM MORRO DA CRUZ - VERTICAL'!$O$6:$O$546,'BM MORRO DA CRUZ'!$K30),0)</f>
        <v>0</v>
      </c>
      <c r="AQ30" s="63">
        <f t="shared" si="13"/>
        <v>0</v>
      </c>
      <c r="AR30" s="61">
        <f>IFERROR(SUMIFS('BM MORRO DA CRUZ - VERTICAL'!AV$6:AV$546,'BM MORRO DA CRUZ - VERTICAL'!$O$6:$O$546,'BM MORRO DA CRUZ'!$K30),0)</f>
        <v>0</v>
      </c>
      <c r="AS30" s="63">
        <f t="shared" si="14"/>
        <v>0</v>
      </c>
      <c r="AT30" s="61">
        <f>IFERROR(SUMIFS('BM MORRO DA CRUZ - VERTICAL'!AX$6:AX$546,'BM MORRO DA CRUZ - VERTICAL'!$O$6:$O$546,'BM MORRO DA CRUZ'!$K30),0)</f>
        <v>0</v>
      </c>
      <c r="AU30" s="63">
        <f t="shared" si="15"/>
        <v>0</v>
      </c>
      <c r="AV30" s="61">
        <f>IFERROR(SUMIFS('BM MORRO DA CRUZ - VERTICAL'!AZ$6:AZ$546,'BM MORRO DA CRUZ - VERTICAL'!$O$6:$O$546,'BM MORRO DA CRUZ'!$K30),0)</f>
        <v>0</v>
      </c>
      <c r="AW30" s="63">
        <f t="shared" si="16"/>
        <v>0</v>
      </c>
      <c r="AX30" s="61">
        <f>IFERROR(SUMIFS('BM MORRO DA CRUZ - VERTICAL'!BB$6:BB$546,'BM MORRO DA CRUZ - VERTICAL'!$O$6:$O$546,'BM MORRO DA CRUZ'!$K30),0)</f>
        <v>0</v>
      </c>
      <c r="AY30" s="63">
        <f t="shared" si="17"/>
        <v>0</v>
      </c>
      <c r="AZ30" s="61">
        <f>IFERROR(SUMIFS('BM MORRO DA CRUZ - VERTICAL'!BD$6:BD$546,'BM MORRO DA CRUZ - VERTICAL'!$O$6:$O$546,'BM MORRO DA CRUZ'!$K30),0)</f>
        <v>0</v>
      </c>
      <c r="BA30" s="63">
        <f t="shared" si="18"/>
        <v>0</v>
      </c>
      <c r="BB30" s="61">
        <f t="shared" si="19"/>
        <v>0</v>
      </c>
      <c r="BC30" s="63">
        <f t="shared" si="20"/>
        <v>0</v>
      </c>
      <c r="BD30" s="64">
        <f t="shared" si="21"/>
        <v>0</v>
      </c>
      <c r="BE30" s="65">
        <f t="shared" si="22"/>
        <v>1</v>
      </c>
      <c r="BF30" s="45"/>
    </row>
    <row r="31" spans="1:58" ht="38.25" customHeight="1" x14ac:dyDescent="0.45">
      <c r="A31" s="56" t="s">
        <v>150</v>
      </c>
      <c r="B31" s="506" t="s">
        <v>138</v>
      </c>
      <c r="C31" s="507" t="s">
        <v>147</v>
      </c>
      <c r="D31" s="507" t="s">
        <v>39</v>
      </c>
      <c r="E31" s="507" t="s">
        <v>139</v>
      </c>
      <c r="F31" s="507" t="s">
        <v>39</v>
      </c>
      <c r="G31" s="507">
        <v>150</v>
      </c>
      <c r="H31" s="508" t="s">
        <v>125</v>
      </c>
      <c r="I31" s="507" t="s">
        <v>114</v>
      </c>
      <c r="J31" s="508" t="s">
        <v>140</v>
      </c>
      <c r="K31" s="57" t="s">
        <v>151</v>
      </c>
      <c r="L31" s="58" t="s">
        <v>21</v>
      </c>
      <c r="M31" s="59" t="s">
        <v>152</v>
      </c>
      <c r="N31" s="60" t="s">
        <v>71</v>
      </c>
      <c r="O31" s="61">
        <v>4</v>
      </c>
      <c r="P31" s="62">
        <v>16664.810000000001</v>
      </c>
      <c r="Q31" s="63">
        <f t="shared" si="0"/>
        <v>66659.240000000005</v>
      </c>
      <c r="R31" s="61">
        <f>IFERROR(SUMIFS('BM MORRO DA CRUZ - VERTICAL'!V$6:V$546,'BM MORRO DA CRUZ - VERTICAL'!$O$6:$O$546,'BM MORRO DA CRUZ'!$K31),0)</f>
        <v>0</v>
      </c>
      <c r="S31" s="63">
        <f t="shared" si="1"/>
        <v>0</v>
      </c>
      <c r="T31" s="61">
        <f>IFERROR(SUMIFS('BM MORRO DA CRUZ - VERTICAL'!X$6:X$546,'BM MORRO DA CRUZ - VERTICAL'!$O$6:$O$546,'BM MORRO DA CRUZ'!$K31),0)</f>
        <v>0</v>
      </c>
      <c r="U31" s="63">
        <f t="shared" si="2"/>
        <v>0</v>
      </c>
      <c r="V31" s="61">
        <f>IFERROR(SUMIFS('BM MORRO DA CRUZ - VERTICAL'!Z$6:Z$546,'BM MORRO DA CRUZ - VERTICAL'!$O$6:$O$546,'BM MORRO DA CRUZ'!$K31),0)</f>
        <v>0</v>
      </c>
      <c r="W31" s="63">
        <f t="shared" si="3"/>
        <v>0</v>
      </c>
      <c r="X31" s="61">
        <f>IFERROR(SUMIFS('BM MORRO DA CRUZ - VERTICAL'!AB$6:AB$546,'BM MORRO DA CRUZ - VERTICAL'!$O$6:$O$546,'BM MORRO DA CRUZ'!$K31),0)</f>
        <v>0</v>
      </c>
      <c r="Y31" s="63">
        <f t="shared" si="4"/>
        <v>0</v>
      </c>
      <c r="Z31" s="61">
        <f>IFERROR(SUMIFS('BM MORRO DA CRUZ - VERTICAL'!AD$6:AD$546,'BM MORRO DA CRUZ - VERTICAL'!$O$6:$O$546,'BM MORRO DA CRUZ'!$K31),0)</f>
        <v>0</v>
      </c>
      <c r="AA31" s="63">
        <f t="shared" si="5"/>
        <v>0</v>
      </c>
      <c r="AB31" s="61">
        <f>IFERROR(SUMIFS('BM MORRO DA CRUZ - VERTICAL'!AF$6:AF$546,'BM MORRO DA CRUZ - VERTICAL'!$O$6:$O$546,'BM MORRO DA CRUZ'!$K31),0)</f>
        <v>0</v>
      </c>
      <c r="AC31" s="63">
        <f t="shared" si="6"/>
        <v>0</v>
      </c>
      <c r="AD31" s="61">
        <f>IFERROR(SUMIFS('BM MORRO DA CRUZ - VERTICAL'!AH$6:AH$546,'BM MORRO DA CRUZ - VERTICAL'!$O$6:$O$546,'BM MORRO DA CRUZ'!$K31),0)</f>
        <v>0</v>
      </c>
      <c r="AE31" s="63">
        <f t="shared" si="7"/>
        <v>0</v>
      </c>
      <c r="AF31" s="61">
        <f>IFERROR(SUMIFS('BM MORRO DA CRUZ - VERTICAL'!AJ$6:AJ$546,'BM MORRO DA CRUZ - VERTICAL'!$O$6:$O$546,'BM MORRO DA CRUZ'!$K31),0)</f>
        <v>0</v>
      </c>
      <c r="AG31" s="63">
        <f t="shared" si="8"/>
        <v>0</v>
      </c>
      <c r="AH31" s="61">
        <f>IFERROR(SUMIFS('BM MORRO DA CRUZ - VERTICAL'!AL$6:AL$546,'BM MORRO DA CRUZ - VERTICAL'!$O$6:$O$546,'BM MORRO DA CRUZ'!$K31),0)</f>
        <v>0</v>
      </c>
      <c r="AI31" s="63">
        <f t="shared" si="9"/>
        <v>0</v>
      </c>
      <c r="AJ31" s="61">
        <f>IFERROR(SUMIFS('BM MORRO DA CRUZ - VERTICAL'!AN$6:AN$546,'BM MORRO DA CRUZ - VERTICAL'!$O$6:$O$546,'BM MORRO DA CRUZ'!$K31),0)</f>
        <v>0</v>
      </c>
      <c r="AK31" s="63">
        <f t="shared" si="10"/>
        <v>0</v>
      </c>
      <c r="AL31" s="61">
        <f>IFERROR(SUMIFS('BM MORRO DA CRUZ - VERTICAL'!AP$6:AP$546,'BM MORRO DA CRUZ - VERTICAL'!$O$6:$O$546,'BM MORRO DA CRUZ'!$K31),0)</f>
        <v>0</v>
      </c>
      <c r="AM31" s="63">
        <f t="shared" si="11"/>
        <v>0</v>
      </c>
      <c r="AN31" s="61">
        <f>IFERROR(SUMIFS('BM MORRO DA CRUZ - VERTICAL'!AR$6:AR$546,'BM MORRO DA CRUZ - VERTICAL'!$O$6:$O$546,'BM MORRO DA CRUZ'!$K31),0)</f>
        <v>0</v>
      </c>
      <c r="AO31" s="63">
        <f t="shared" si="12"/>
        <v>0</v>
      </c>
      <c r="AP31" s="61">
        <f>IFERROR(SUMIFS('BM MORRO DA CRUZ - VERTICAL'!AT$6:AT$546,'BM MORRO DA CRUZ - VERTICAL'!$O$6:$O$546,'BM MORRO DA CRUZ'!$K31),0)</f>
        <v>0</v>
      </c>
      <c r="AQ31" s="63">
        <f t="shared" si="13"/>
        <v>0</v>
      </c>
      <c r="AR31" s="61">
        <f>IFERROR(SUMIFS('BM MORRO DA CRUZ - VERTICAL'!AV$6:AV$546,'BM MORRO DA CRUZ - VERTICAL'!$O$6:$O$546,'BM MORRO DA CRUZ'!$K31),0)</f>
        <v>0</v>
      </c>
      <c r="AS31" s="63">
        <f t="shared" si="14"/>
        <v>0</v>
      </c>
      <c r="AT31" s="61">
        <f>IFERROR(SUMIFS('BM MORRO DA CRUZ - VERTICAL'!AX$6:AX$546,'BM MORRO DA CRUZ - VERTICAL'!$O$6:$O$546,'BM MORRO DA CRUZ'!$K31),0)</f>
        <v>0</v>
      </c>
      <c r="AU31" s="63">
        <f t="shared" si="15"/>
        <v>0</v>
      </c>
      <c r="AV31" s="61">
        <f>IFERROR(SUMIFS('BM MORRO DA CRUZ - VERTICAL'!AZ$6:AZ$546,'BM MORRO DA CRUZ - VERTICAL'!$O$6:$O$546,'BM MORRO DA CRUZ'!$K31),0)</f>
        <v>0</v>
      </c>
      <c r="AW31" s="63">
        <f t="shared" si="16"/>
        <v>0</v>
      </c>
      <c r="AX31" s="61">
        <f>IFERROR(SUMIFS('BM MORRO DA CRUZ - VERTICAL'!BB$6:BB$546,'BM MORRO DA CRUZ - VERTICAL'!$O$6:$O$546,'BM MORRO DA CRUZ'!$K31),0)</f>
        <v>0</v>
      </c>
      <c r="AY31" s="63">
        <f t="shared" si="17"/>
        <v>0</v>
      </c>
      <c r="AZ31" s="61">
        <f>IFERROR(SUMIFS('BM MORRO DA CRUZ - VERTICAL'!BD$6:BD$546,'BM MORRO DA CRUZ - VERTICAL'!$O$6:$O$546,'BM MORRO DA CRUZ'!$K31),0)</f>
        <v>0</v>
      </c>
      <c r="BA31" s="63">
        <f t="shared" si="18"/>
        <v>0</v>
      </c>
      <c r="BB31" s="61">
        <f t="shared" si="19"/>
        <v>0</v>
      </c>
      <c r="BC31" s="63">
        <f t="shared" si="20"/>
        <v>0</v>
      </c>
      <c r="BD31" s="64">
        <f t="shared" si="21"/>
        <v>0</v>
      </c>
      <c r="BE31" s="65">
        <f t="shared" si="22"/>
        <v>1</v>
      </c>
      <c r="BF31" s="45"/>
    </row>
    <row r="32" spans="1:58" ht="26.25" customHeight="1" x14ac:dyDescent="0.45">
      <c r="A32" s="56" t="s">
        <v>153</v>
      </c>
      <c r="B32" s="506" t="s">
        <v>154</v>
      </c>
      <c r="C32" s="507" t="s">
        <v>111</v>
      </c>
      <c r="D32" s="507" t="s">
        <v>39</v>
      </c>
      <c r="E32" s="507" t="s">
        <v>155</v>
      </c>
      <c r="F32" s="507" t="s">
        <v>39</v>
      </c>
      <c r="G32" s="507" t="s">
        <v>156</v>
      </c>
      <c r="H32" s="508" t="s">
        <v>125</v>
      </c>
      <c r="I32" s="507" t="s">
        <v>114</v>
      </c>
      <c r="J32" s="508" t="s">
        <v>140</v>
      </c>
      <c r="K32" s="57" t="s">
        <v>157</v>
      </c>
      <c r="L32" s="58" t="s">
        <v>21</v>
      </c>
      <c r="M32" s="59" t="s">
        <v>158</v>
      </c>
      <c r="N32" s="60" t="s">
        <v>71</v>
      </c>
      <c r="O32" s="61">
        <v>8</v>
      </c>
      <c r="P32" s="62">
        <v>3351.67</v>
      </c>
      <c r="Q32" s="63">
        <f t="shared" si="0"/>
        <v>26813.360000000001</v>
      </c>
      <c r="R32" s="61">
        <f>IFERROR(SUMIFS('BM MORRO DA CRUZ - VERTICAL'!V$6:V$546,'BM MORRO DA CRUZ - VERTICAL'!$O$6:$O$546,'BM MORRO DA CRUZ'!$K32),0)</f>
        <v>0</v>
      </c>
      <c r="S32" s="63">
        <f t="shared" si="1"/>
        <v>0</v>
      </c>
      <c r="T32" s="61">
        <f>IFERROR(SUMIFS('BM MORRO DA CRUZ - VERTICAL'!X$6:X$546,'BM MORRO DA CRUZ - VERTICAL'!$O$6:$O$546,'BM MORRO DA CRUZ'!$K32),0)</f>
        <v>0</v>
      </c>
      <c r="U32" s="63">
        <f t="shared" si="2"/>
        <v>0</v>
      </c>
      <c r="V32" s="61">
        <f>IFERROR(SUMIFS('BM MORRO DA CRUZ - VERTICAL'!Z$6:Z$546,'BM MORRO DA CRUZ - VERTICAL'!$O$6:$O$546,'BM MORRO DA CRUZ'!$K32),0)</f>
        <v>0</v>
      </c>
      <c r="W32" s="63">
        <f t="shared" si="3"/>
        <v>0</v>
      </c>
      <c r="X32" s="61">
        <f>IFERROR(SUMIFS('BM MORRO DA CRUZ - VERTICAL'!AB$6:AB$546,'BM MORRO DA CRUZ - VERTICAL'!$O$6:$O$546,'BM MORRO DA CRUZ'!$K32),0)</f>
        <v>0</v>
      </c>
      <c r="Y32" s="63">
        <f t="shared" si="4"/>
        <v>0</v>
      </c>
      <c r="Z32" s="61">
        <f>IFERROR(SUMIFS('BM MORRO DA CRUZ - VERTICAL'!AD$6:AD$546,'BM MORRO DA CRUZ - VERTICAL'!$O$6:$O$546,'BM MORRO DA CRUZ'!$K32),0)</f>
        <v>0</v>
      </c>
      <c r="AA32" s="63">
        <f t="shared" si="5"/>
        <v>0</v>
      </c>
      <c r="AB32" s="61">
        <f>IFERROR(SUMIFS('BM MORRO DA CRUZ - VERTICAL'!AF$6:AF$546,'BM MORRO DA CRUZ - VERTICAL'!$O$6:$O$546,'BM MORRO DA CRUZ'!$K32),0)</f>
        <v>0</v>
      </c>
      <c r="AC32" s="63">
        <f t="shared" si="6"/>
        <v>0</v>
      </c>
      <c r="AD32" s="61">
        <f>IFERROR(SUMIFS('BM MORRO DA CRUZ - VERTICAL'!AH$6:AH$546,'BM MORRO DA CRUZ - VERTICAL'!$O$6:$O$546,'BM MORRO DA CRUZ'!$K32),0)</f>
        <v>0</v>
      </c>
      <c r="AE32" s="63">
        <f t="shared" si="7"/>
        <v>0</v>
      </c>
      <c r="AF32" s="61">
        <f>IFERROR(SUMIFS('BM MORRO DA CRUZ - VERTICAL'!AJ$6:AJ$546,'BM MORRO DA CRUZ - VERTICAL'!$O$6:$O$546,'BM MORRO DA CRUZ'!$K32),0)</f>
        <v>0</v>
      </c>
      <c r="AG32" s="63">
        <f t="shared" si="8"/>
        <v>0</v>
      </c>
      <c r="AH32" s="61">
        <f>IFERROR(SUMIFS('BM MORRO DA CRUZ - VERTICAL'!AL$6:AL$546,'BM MORRO DA CRUZ - VERTICAL'!$O$6:$O$546,'BM MORRO DA CRUZ'!$K32),0)</f>
        <v>0</v>
      </c>
      <c r="AI32" s="63">
        <f t="shared" si="9"/>
        <v>0</v>
      </c>
      <c r="AJ32" s="61">
        <f>IFERROR(SUMIFS('BM MORRO DA CRUZ - VERTICAL'!AN$6:AN$546,'BM MORRO DA CRUZ - VERTICAL'!$O$6:$O$546,'BM MORRO DA CRUZ'!$K32),0)</f>
        <v>0</v>
      </c>
      <c r="AK32" s="63">
        <f t="shared" si="10"/>
        <v>0</v>
      </c>
      <c r="AL32" s="61">
        <f>IFERROR(SUMIFS('BM MORRO DA CRUZ - VERTICAL'!AP$6:AP$546,'BM MORRO DA CRUZ - VERTICAL'!$O$6:$O$546,'BM MORRO DA CRUZ'!$K32),0)</f>
        <v>0</v>
      </c>
      <c r="AM32" s="63">
        <f t="shared" si="11"/>
        <v>0</v>
      </c>
      <c r="AN32" s="61">
        <f>IFERROR(SUMIFS('BM MORRO DA CRUZ - VERTICAL'!AR$6:AR$546,'BM MORRO DA CRUZ - VERTICAL'!$O$6:$O$546,'BM MORRO DA CRUZ'!$K32),0)</f>
        <v>0</v>
      </c>
      <c r="AO32" s="63">
        <f t="shared" si="12"/>
        <v>0</v>
      </c>
      <c r="AP32" s="61">
        <f>IFERROR(SUMIFS('BM MORRO DA CRUZ - VERTICAL'!AT$6:AT$546,'BM MORRO DA CRUZ - VERTICAL'!$O$6:$O$546,'BM MORRO DA CRUZ'!$K32),0)</f>
        <v>0</v>
      </c>
      <c r="AQ32" s="63">
        <f t="shared" si="13"/>
        <v>0</v>
      </c>
      <c r="AR32" s="61">
        <f>IFERROR(SUMIFS('BM MORRO DA CRUZ - VERTICAL'!AV$6:AV$546,'BM MORRO DA CRUZ - VERTICAL'!$O$6:$O$546,'BM MORRO DA CRUZ'!$K32),0)</f>
        <v>0</v>
      </c>
      <c r="AS32" s="63">
        <f t="shared" si="14"/>
        <v>0</v>
      </c>
      <c r="AT32" s="61">
        <f>IFERROR(SUMIFS('BM MORRO DA CRUZ - VERTICAL'!AX$6:AX$546,'BM MORRO DA CRUZ - VERTICAL'!$O$6:$O$546,'BM MORRO DA CRUZ'!$K32),0)</f>
        <v>0</v>
      </c>
      <c r="AU32" s="63">
        <f t="shared" si="15"/>
        <v>0</v>
      </c>
      <c r="AV32" s="61">
        <f>IFERROR(SUMIFS('BM MORRO DA CRUZ - VERTICAL'!AZ$6:AZ$546,'BM MORRO DA CRUZ - VERTICAL'!$O$6:$O$546,'BM MORRO DA CRUZ'!$K32),0)</f>
        <v>0</v>
      </c>
      <c r="AW32" s="63">
        <f t="shared" si="16"/>
        <v>0</v>
      </c>
      <c r="AX32" s="61">
        <f>IFERROR(SUMIFS('BM MORRO DA CRUZ - VERTICAL'!BB$6:BB$546,'BM MORRO DA CRUZ - VERTICAL'!$O$6:$O$546,'BM MORRO DA CRUZ'!$K32),0)</f>
        <v>0</v>
      </c>
      <c r="AY32" s="63">
        <f t="shared" si="17"/>
        <v>0</v>
      </c>
      <c r="AZ32" s="61">
        <f>IFERROR(SUMIFS('BM MORRO DA CRUZ - VERTICAL'!BD$6:BD$546,'BM MORRO DA CRUZ - VERTICAL'!$O$6:$O$546,'BM MORRO DA CRUZ'!$K32),0)</f>
        <v>0</v>
      </c>
      <c r="BA32" s="63">
        <f t="shared" si="18"/>
        <v>0</v>
      </c>
      <c r="BB32" s="61">
        <f t="shared" si="19"/>
        <v>0</v>
      </c>
      <c r="BC32" s="63">
        <f t="shared" si="20"/>
        <v>0</v>
      </c>
      <c r="BD32" s="64">
        <f t="shared" si="21"/>
        <v>0</v>
      </c>
      <c r="BE32" s="65">
        <f t="shared" si="22"/>
        <v>1</v>
      </c>
      <c r="BF32" s="45"/>
    </row>
    <row r="33" spans="1:58" ht="26.25" customHeight="1" x14ac:dyDescent="0.45">
      <c r="A33" s="56" t="s">
        <v>159</v>
      </c>
      <c r="B33" s="506" t="s">
        <v>160</v>
      </c>
      <c r="C33" s="507" t="s">
        <v>111</v>
      </c>
      <c r="D33" s="507" t="s">
        <v>39</v>
      </c>
      <c r="E33" s="507" t="s">
        <v>155</v>
      </c>
      <c r="F33" s="507" t="s">
        <v>39</v>
      </c>
      <c r="G33" s="507">
        <v>80</v>
      </c>
      <c r="H33" s="508" t="s">
        <v>125</v>
      </c>
      <c r="I33" s="507" t="s">
        <v>114</v>
      </c>
      <c r="J33" s="508" t="s">
        <v>140</v>
      </c>
      <c r="K33" s="57" t="s">
        <v>161</v>
      </c>
      <c r="L33" s="58" t="s">
        <v>21</v>
      </c>
      <c r="M33" s="59" t="s">
        <v>162</v>
      </c>
      <c r="N33" s="60" t="s">
        <v>71</v>
      </c>
      <c r="O33" s="61">
        <v>3</v>
      </c>
      <c r="P33" s="62">
        <v>1568.14</v>
      </c>
      <c r="Q33" s="63">
        <f t="shared" si="0"/>
        <v>4704.42</v>
      </c>
      <c r="R33" s="61">
        <f>IFERROR(SUMIFS('BM MORRO DA CRUZ - VERTICAL'!V$6:V$546,'BM MORRO DA CRUZ - VERTICAL'!$O$6:$O$546,'BM MORRO DA CRUZ'!$K33),0)</f>
        <v>0</v>
      </c>
      <c r="S33" s="63">
        <f t="shared" si="1"/>
        <v>0</v>
      </c>
      <c r="T33" s="61">
        <f>IFERROR(SUMIFS('BM MORRO DA CRUZ - VERTICAL'!X$6:X$546,'BM MORRO DA CRUZ - VERTICAL'!$O$6:$O$546,'BM MORRO DA CRUZ'!$K33),0)</f>
        <v>0</v>
      </c>
      <c r="U33" s="63">
        <f t="shared" si="2"/>
        <v>0</v>
      </c>
      <c r="V33" s="61">
        <f>IFERROR(SUMIFS('BM MORRO DA CRUZ - VERTICAL'!Z$6:Z$546,'BM MORRO DA CRUZ - VERTICAL'!$O$6:$O$546,'BM MORRO DA CRUZ'!$K33),0)</f>
        <v>0</v>
      </c>
      <c r="W33" s="63">
        <f t="shared" si="3"/>
        <v>0</v>
      </c>
      <c r="X33" s="61">
        <f>IFERROR(SUMIFS('BM MORRO DA CRUZ - VERTICAL'!AB$6:AB$546,'BM MORRO DA CRUZ - VERTICAL'!$O$6:$O$546,'BM MORRO DA CRUZ'!$K33),0)</f>
        <v>0</v>
      </c>
      <c r="Y33" s="63">
        <f t="shared" si="4"/>
        <v>0</v>
      </c>
      <c r="Z33" s="61">
        <f>IFERROR(SUMIFS('BM MORRO DA CRUZ - VERTICAL'!AD$6:AD$546,'BM MORRO DA CRUZ - VERTICAL'!$O$6:$O$546,'BM MORRO DA CRUZ'!$K33),0)</f>
        <v>0</v>
      </c>
      <c r="AA33" s="63">
        <f t="shared" si="5"/>
        <v>0</v>
      </c>
      <c r="AB33" s="61">
        <f>IFERROR(SUMIFS('BM MORRO DA CRUZ - VERTICAL'!AF$6:AF$546,'BM MORRO DA CRUZ - VERTICAL'!$O$6:$O$546,'BM MORRO DA CRUZ'!$K33),0)</f>
        <v>0</v>
      </c>
      <c r="AC33" s="63">
        <f t="shared" si="6"/>
        <v>0</v>
      </c>
      <c r="AD33" s="61">
        <f>IFERROR(SUMIFS('BM MORRO DA CRUZ - VERTICAL'!AH$6:AH$546,'BM MORRO DA CRUZ - VERTICAL'!$O$6:$O$546,'BM MORRO DA CRUZ'!$K33),0)</f>
        <v>0</v>
      </c>
      <c r="AE33" s="63">
        <f t="shared" si="7"/>
        <v>0</v>
      </c>
      <c r="AF33" s="61">
        <f>IFERROR(SUMIFS('BM MORRO DA CRUZ - VERTICAL'!AJ$6:AJ$546,'BM MORRO DA CRUZ - VERTICAL'!$O$6:$O$546,'BM MORRO DA CRUZ'!$K33),0)</f>
        <v>0</v>
      </c>
      <c r="AG33" s="63">
        <f t="shared" si="8"/>
        <v>0</v>
      </c>
      <c r="AH33" s="61">
        <f>IFERROR(SUMIFS('BM MORRO DA CRUZ - VERTICAL'!AL$6:AL$546,'BM MORRO DA CRUZ - VERTICAL'!$O$6:$O$546,'BM MORRO DA CRUZ'!$K33),0)</f>
        <v>0</v>
      </c>
      <c r="AI33" s="63">
        <f t="shared" si="9"/>
        <v>0</v>
      </c>
      <c r="AJ33" s="61">
        <f>IFERROR(SUMIFS('BM MORRO DA CRUZ - VERTICAL'!AN$6:AN$546,'BM MORRO DA CRUZ - VERTICAL'!$O$6:$O$546,'BM MORRO DA CRUZ'!$K33),0)</f>
        <v>0</v>
      </c>
      <c r="AK33" s="63">
        <f t="shared" si="10"/>
        <v>0</v>
      </c>
      <c r="AL33" s="61">
        <f>IFERROR(SUMIFS('BM MORRO DA CRUZ - VERTICAL'!AP$6:AP$546,'BM MORRO DA CRUZ - VERTICAL'!$O$6:$O$546,'BM MORRO DA CRUZ'!$K33),0)</f>
        <v>0</v>
      </c>
      <c r="AM33" s="63">
        <f t="shared" si="11"/>
        <v>0</v>
      </c>
      <c r="AN33" s="61">
        <f>IFERROR(SUMIFS('BM MORRO DA CRUZ - VERTICAL'!AR$6:AR$546,'BM MORRO DA CRUZ - VERTICAL'!$O$6:$O$546,'BM MORRO DA CRUZ'!$K33),0)</f>
        <v>0</v>
      </c>
      <c r="AO33" s="63">
        <f t="shared" si="12"/>
        <v>0</v>
      </c>
      <c r="AP33" s="61">
        <f>IFERROR(SUMIFS('BM MORRO DA CRUZ - VERTICAL'!AT$6:AT$546,'BM MORRO DA CRUZ - VERTICAL'!$O$6:$O$546,'BM MORRO DA CRUZ'!$K33),0)</f>
        <v>0</v>
      </c>
      <c r="AQ33" s="63">
        <f t="shared" si="13"/>
        <v>0</v>
      </c>
      <c r="AR33" s="61">
        <f>IFERROR(SUMIFS('BM MORRO DA CRUZ - VERTICAL'!AV$6:AV$546,'BM MORRO DA CRUZ - VERTICAL'!$O$6:$O$546,'BM MORRO DA CRUZ'!$K33),0)</f>
        <v>0</v>
      </c>
      <c r="AS33" s="63">
        <f t="shared" si="14"/>
        <v>0</v>
      </c>
      <c r="AT33" s="61">
        <f>IFERROR(SUMIFS('BM MORRO DA CRUZ - VERTICAL'!AX$6:AX$546,'BM MORRO DA CRUZ - VERTICAL'!$O$6:$O$546,'BM MORRO DA CRUZ'!$K33),0)</f>
        <v>0</v>
      </c>
      <c r="AU33" s="63">
        <f t="shared" si="15"/>
        <v>0</v>
      </c>
      <c r="AV33" s="61">
        <f>IFERROR(SUMIFS('BM MORRO DA CRUZ - VERTICAL'!AZ$6:AZ$546,'BM MORRO DA CRUZ - VERTICAL'!$O$6:$O$546,'BM MORRO DA CRUZ'!$K33),0)</f>
        <v>0</v>
      </c>
      <c r="AW33" s="63">
        <f t="shared" si="16"/>
        <v>0</v>
      </c>
      <c r="AX33" s="61">
        <f>IFERROR(SUMIFS('BM MORRO DA CRUZ - VERTICAL'!BB$6:BB$546,'BM MORRO DA CRUZ - VERTICAL'!$O$6:$O$546,'BM MORRO DA CRUZ'!$K33),0)</f>
        <v>0</v>
      </c>
      <c r="AY33" s="63">
        <f t="shared" si="17"/>
        <v>0</v>
      </c>
      <c r="AZ33" s="61">
        <f>IFERROR(SUMIFS('BM MORRO DA CRUZ - VERTICAL'!BD$6:BD$546,'BM MORRO DA CRUZ - VERTICAL'!$O$6:$O$546,'BM MORRO DA CRUZ'!$K33),0)</f>
        <v>0</v>
      </c>
      <c r="BA33" s="63">
        <f t="shared" si="18"/>
        <v>0</v>
      </c>
      <c r="BB33" s="61">
        <f t="shared" si="19"/>
        <v>0</v>
      </c>
      <c r="BC33" s="63">
        <f t="shared" si="20"/>
        <v>0</v>
      </c>
      <c r="BD33" s="64">
        <f t="shared" si="21"/>
        <v>0</v>
      </c>
      <c r="BE33" s="65">
        <f t="shared" si="22"/>
        <v>1</v>
      </c>
      <c r="BF33" s="45"/>
    </row>
    <row r="34" spans="1:58" ht="38.25" customHeight="1" x14ac:dyDescent="0.45">
      <c r="A34" s="56" t="s">
        <v>163</v>
      </c>
      <c r="B34" s="506" t="s">
        <v>164</v>
      </c>
      <c r="C34" s="507" t="s">
        <v>111</v>
      </c>
      <c r="D34" s="507" t="s">
        <v>39</v>
      </c>
      <c r="E34" s="507" t="s">
        <v>155</v>
      </c>
      <c r="F34" s="507" t="s">
        <v>39</v>
      </c>
      <c r="G34" s="507">
        <v>100</v>
      </c>
      <c r="H34" s="508" t="s">
        <v>125</v>
      </c>
      <c r="I34" s="507" t="s">
        <v>114</v>
      </c>
      <c r="J34" s="508" t="s">
        <v>140</v>
      </c>
      <c r="K34" s="57" t="s">
        <v>165</v>
      </c>
      <c r="L34" s="58" t="s">
        <v>21</v>
      </c>
      <c r="M34" s="59" t="s">
        <v>166</v>
      </c>
      <c r="N34" s="60" t="s">
        <v>71</v>
      </c>
      <c r="O34" s="61">
        <v>1</v>
      </c>
      <c r="P34" s="62">
        <v>2010.82</v>
      </c>
      <c r="Q34" s="63">
        <f t="shared" si="0"/>
        <v>2010.82</v>
      </c>
      <c r="R34" s="61">
        <f>IFERROR(SUMIFS('BM MORRO DA CRUZ - VERTICAL'!V$6:V$546,'BM MORRO DA CRUZ - VERTICAL'!$O$6:$O$546,'BM MORRO DA CRUZ'!$K34),0)</f>
        <v>0</v>
      </c>
      <c r="S34" s="63">
        <f t="shared" si="1"/>
        <v>0</v>
      </c>
      <c r="T34" s="61">
        <f>IFERROR(SUMIFS('BM MORRO DA CRUZ - VERTICAL'!X$6:X$546,'BM MORRO DA CRUZ - VERTICAL'!$O$6:$O$546,'BM MORRO DA CRUZ'!$K34),0)</f>
        <v>0</v>
      </c>
      <c r="U34" s="63">
        <f t="shared" si="2"/>
        <v>0</v>
      </c>
      <c r="V34" s="61">
        <f>IFERROR(SUMIFS('BM MORRO DA CRUZ - VERTICAL'!Z$6:Z$546,'BM MORRO DA CRUZ - VERTICAL'!$O$6:$O$546,'BM MORRO DA CRUZ'!$K34),0)</f>
        <v>0</v>
      </c>
      <c r="W34" s="63">
        <f t="shared" si="3"/>
        <v>0</v>
      </c>
      <c r="X34" s="61">
        <f>IFERROR(SUMIFS('BM MORRO DA CRUZ - VERTICAL'!AB$6:AB$546,'BM MORRO DA CRUZ - VERTICAL'!$O$6:$O$546,'BM MORRO DA CRUZ'!$K34),0)</f>
        <v>0</v>
      </c>
      <c r="Y34" s="63">
        <f t="shared" si="4"/>
        <v>0</v>
      </c>
      <c r="Z34" s="61">
        <f>IFERROR(SUMIFS('BM MORRO DA CRUZ - VERTICAL'!AD$6:AD$546,'BM MORRO DA CRUZ - VERTICAL'!$O$6:$O$546,'BM MORRO DA CRUZ'!$K34),0)</f>
        <v>0</v>
      </c>
      <c r="AA34" s="63">
        <f t="shared" si="5"/>
        <v>0</v>
      </c>
      <c r="AB34" s="61">
        <f>IFERROR(SUMIFS('BM MORRO DA CRUZ - VERTICAL'!AF$6:AF$546,'BM MORRO DA CRUZ - VERTICAL'!$O$6:$O$546,'BM MORRO DA CRUZ'!$K34),0)</f>
        <v>0</v>
      </c>
      <c r="AC34" s="63">
        <f t="shared" si="6"/>
        <v>0</v>
      </c>
      <c r="AD34" s="61">
        <f>IFERROR(SUMIFS('BM MORRO DA CRUZ - VERTICAL'!AH$6:AH$546,'BM MORRO DA CRUZ - VERTICAL'!$O$6:$O$546,'BM MORRO DA CRUZ'!$K34),0)</f>
        <v>0</v>
      </c>
      <c r="AE34" s="63">
        <f t="shared" si="7"/>
        <v>0</v>
      </c>
      <c r="AF34" s="61">
        <f>IFERROR(SUMIFS('BM MORRO DA CRUZ - VERTICAL'!AJ$6:AJ$546,'BM MORRO DA CRUZ - VERTICAL'!$O$6:$O$546,'BM MORRO DA CRUZ'!$K34),0)</f>
        <v>0</v>
      </c>
      <c r="AG34" s="63">
        <f t="shared" si="8"/>
        <v>0</v>
      </c>
      <c r="AH34" s="61">
        <f>IFERROR(SUMIFS('BM MORRO DA CRUZ - VERTICAL'!AL$6:AL$546,'BM MORRO DA CRUZ - VERTICAL'!$O$6:$O$546,'BM MORRO DA CRUZ'!$K34),0)</f>
        <v>0</v>
      </c>
      <c r="AI34" s="63">
        <f t="shared" si="9"/>
        <v>0</v>
      </c>
      <c r="AJ34" s="61">
        <f>IFERROR(SUMIFS('BM MORRO DA CRUZ - VERTICAL'!AN$6:AN$546,'BM MORRO DA CRUZ - VERTICAL'!$O$6:$O$546,'BM MORRO DA CRUZ'!$K34),0)</f>
        <v>0</v>
      </c>
      <c r="AK34" s="63">
        <f t="shared" si="10"/>
        <v>0</v>
      </c>
      <c r="AL34" s="61">
        <f>IFERROR(SUMIFS('BM MORRO DA CRUZ - VERTICAL'!AP$6:AP$546,'BM MORRO DA CRUZ - VERTICAL'!$O$6:$O$546,'BM MORRO DA CRUZ'!$K34),0)</f>
        <v>0</v>
      </c>
      <c r="AM34" s="63">
        <f t="shared" si="11"/>
        <v>0</v>
      </c>
      <c r="AN34" s="61">
        <f>IFERROR(SUMIFS('BM MORRO DA CRUZ - VERTICAL'!AR$6:AR$546,'BM MORRO DA CRUZ - VERTICAL'!$O$6:$O$546,'BM MORRO DA CRUZ'!$K34),0)</f>
        <v>0</v>
      </c>
      <c r="AO34" s="63">
        <f t="shared" si="12"/>
        <v>0</v>
      </c>
      <c r="AP34" s="61">
        <f>IFERROR(SUMIFS('BM MORRO DA CRUZ - VERTICAL'!AT$6:AT$546,'BM MORRO DA CRUZ - VERTICAL'!$O$6:$O$546,'BM MORRO DA CRUZ'!$K34),0)</f>
        <v>0</v>
      </c>
      <c r="AQ34" s="63">
        <f t="shared" si="13"/>
        <v>0</v>
      </c>
      <c r="AR34" s="61">
        <f>IFERROR(SUMIFS('BM MORRO DA CRUZ - VERTICAL'!AV$6:AV$546,'BM MORRO DA CRUZ - VERTICAL'!$O$6:$O$546,'BM MORRO DA CRUZ'!$K34),0)</f>
        <v>0</v>
      </c>
      <c r="AS34" s="63">
        <f t="shared" si="14"/>
        <v>0</v>
      </c>
      <c r="AT34" s="61">
        <f>IFERROR(SUMIFS('BM MORRO DA CRUZ - VERTICAL'!AX$6:AX$546,'BM MORRO DA CRUZ - VERTICAL'!$O$6:$O$546,'BM MORRO DA CRUZ'!$K34),0)</f>
        <v>0</v>
      </c>
      <c r="AU34" s="63">
        <f t="shared" si="15"/>
        <v>0</v>
      </c>
      <c r="AV34" s="61">
        <f>IFERROR(SUMIFS('BM MORRO DA CRUZ - VERTICAL'!AZ$6:AZ$546,'BM MORRO DA CRUZ - VERTICAL'!$O$6:$O$546,'BM MORRO DA CRUZ'!$K34),0)</f>
        <v>0</v>
      </c>
      <c r="AW34" s="63">
        <f t="shared" si="16"/>
        <v>0</v>
      </c>
      <c r="AX34" s="61">
        <f>IFERROR(SUMIFS('BM MORRO DA CRUZ - VERTICAL'!BB$6:BB$546,'BM MORRO DA CRUZ - VERTICAL'!$O$6:$O$546,'BM MORRO DA CRUZ'!$K34),0)</f>
        <v>0</v>
      </c>
      <c r="AY34" s="63">
        <f t="shared" si="17"/>
        <v>0</v>
      </c>
      <c r="AZ34" s="61">
        <f>IFERROR(SUMIFS('BM MORRO DA CRUZ - VERTICAL'!BD$6:BD$546,'BM MORRO DA CRUZ - VERTICAL'!$O$6:$O$546,'BM MORRO DA CRUZ'!$K34),0)</f>
        <v>0</v>
      </c>
      <c r="BA34" s="63">
        <f t="shared" si="18"/>
        <v>0</v>
      </c>
      <c r="BB34" s="61">
        <f t="shared" si="19"/>
        <v>0</v>
      </c>
      <c r="BC34" s="63">
        <f t="shared" si="20"/>
        <v>0</v>
      </c>
      <c r="BD34" s="64">
        <f t="shared" si="21"/>
        <v>0</v>
      </c>
      <c r="BE34" s="65">
        <f t="shared" si="22"/>
        <v>1</v>
      </c>
      <c r="BF34" s="45"/>
    </row>
    <row r="35" spans="1:58" ht="38.25" customHeight="1" x14ac:dyDescent="0.45">
      <c r="A35" s="56" t="s">
        <v>167</v>
      </c>
      <c r="B35" s="506" t="s">
        <v>164</v>
      </c>
      <c r="C35" s="507" t="s">
        <v>111</v>
      </c>
      <c r="D35" s="507" t="s">
        <v>39</v>
      </c>
      <c r="E35" s="507" t="s">
        <v>155</v>
      </c>
      <c r="F35" s="507" t="s">
        <v>39</v>
      </c>
      <c r="G35" s="507">
        <v>150</v>
      </c>
      <c r="H35" s="508" t="s">
        <v>125</v>
      </c>
      <c r="I35" s="507" t="s">
        <v>114</v>
      </c>
      <c r="J35" s="508" t="s">
        <v>140</v>
      </c>
      <c r="K35" s="57" t="s">
        <v>168</v>
      </c>
      <c r="L35" s="58" t="s">
        <v>21</v>
      </c>
      <c r="M35" s="59" t="s">
        <v>169</v>
      </c>
      <c r="N35" s="60" t="s">
        <v>71</v>
      </c>
      <c r="O35" s="61">
        <v>2</v>
      </c>
      <c r="P35" s="62">
        <v>2343.08</v>
      </c>
      <c r="Q35" s="63">
        <f t="shared" si="0"/>
        <v>4686.16</v>
      </c>
      <c r="R35" s="61">
        <f>IFERROR(SUMIFS('BM MORRO DA CRUZ - VERTICAL'!V$6:V$546,'BM MORRO DA CRUZ - VERTICAL'!$O$6:$O$546,'BM MORRO DA CRUZ'!$K35),0)</f>
        <v>0</v>
      </c>
      <c r="S35" s="63">
        <f t="shared" si="1"/>
        <v>0</v>
      </c>
      <c r="T35" s="61">
        <f>IFERROR(SUMIFS('BM MORRO DA CRUZ - VERTICAL'!X$6:X$546,'BM MORRO DA CRUZ - VERTICAL'!$O$6:$O$546,'BM MORRO DA CRUZ'!$K35),0)</f>
        <v>0</v>
      </c>
      <c r="U35" s="63">
        <f t="shared" si="2"/>
        <v>0</v>
      </c>
      <c r="V35" s="61">
        <f>IFERROR(SUMIFS('BM MORRO DA CRUZ - VERTICAL'!Z$6:Z$546,'BM MORRO DA CRUZ - VERTICAL'!$O$6:$O$546,'BM MORRO DA CRUZ'!$K35),0)</f>
        <v>0</v>
      </c>
      <c r="W35" s="63">
        <f t="shared" si="3"/>
        <v>0</v>
      </c>
      <c r="X35" s="61">
        <f>IFERROR(SUMIFS('BM MORRO DA CRUZ - VERTICAL'!AB$6:AB$546,'BM MORRO DA CRUZ - VERTICAL'!$O$6:$O$546,'BM MORRO DA CRUZ'!$K35),0)</f>
        <v>0</v>
      </c>
      <c r="Y35" s="63">
        <f t="shared" si="4"/>
        <v>0</v>
      </c>
      <c r="Z35" s="61">
        <f>IFERROR(SUMIFS('BM MORRO DA CRUZ - VERTICAL'!AD$6:AD$546,'BM MORRO DA CRUZ - VERTICAL'!$O$6:$O$546,'BM MORRO DA CRUZ'!$K35),0)</f>
        <v>0</v>
      </c>
      <c r="AA35" s="63">
        <f t="shared" si="5"/>
        <v>0</v>
      </c>
      <c r="AB35" s="61">
        <f>IFERROR(SUMIFS('BM MORRO DA CRUZ - VERTICAL'!AF$6:AF$546,'BM MORRO DA CRUZ - VERTICAL'!$O$6:$O$546,'BM MORRO DA CRUZ'!$K35),0)</f>
        <v>0</v>
      </c>
      <c r="AC35" s="63">
        <f t="shared" si="6"/>
        <v>0</v>
      </c>
      <c r="AD35" s="61">
        <f>IFERROR(SUMIFS('BM MORRO DA CRUZ - VERTICAL'!AH$6:AH$546,'BM MORRO DA CRUZ - VERTICAL'!$O$6:$O$546,'BM MORRO DA CRUZ'!$K35),0)</f>
        <v>0</v>
      </c>
      <c r="AE35" s="63">
        <f t="shared" si="7"/>
        <v>0</v>
      </c>
      <c r="AF35" s="61">
        <f>IFERROR(SUMIFS('BM MORRO DA CRUZ - VERTICAL'!AJ$6:AJ$546,'BM MORRO DA CRUZ - VERTICAL'!$O$6:$O$546,'BM MORRO DA CRUZ'!$K35),0)</f>
        <v>0</v>
      </c>
      <c r="AG35" s="63">
        <f t="shared" si="8"/>
        <v>0</v>
      </c>
      <c r="AH35" s="61">
        <f>IFERROR(SUMIFS('BM MORRO DA CRUZ - VERTICAL'!AL$6:AL$546,'BM MORRO DA CRUZ - VERTICAL'!$O$6:$O$546,'BM MORRO DA CRUZ'!$K35),0)</f>
        <v>0</v>
      </c>
      <c r="AI35" s="63">
        <f t="shared" si="9"/>
        <v>0</v>
      </c>
      <c r="AJ35" s="61">
        <f>IFERROR(SUMIFS('BM MORRO DA CRUZ - VERTICAL'!AN$6:AN$546,'BM MORRO DA CRUZ - VERTICAL'!$O$6:$O$546,'BM MORRO DA CRUZ'!$K35),0)</f>
        <v>0</v>
      </c>
      <c r="AK35" s="63">
        <f t="shared" si="10"/>
        <v>0</v>
      </c>
      <c r="AL35" s="61">
        <f>IFERROR(SUMIFS('BM MORRO DA CRUZ - VERTICAL'!AP$6:AP$546,'BM MORRO DA CRUZ - VERTICAL'!$O$6:$O$546,'BM MORRO DA CRUZ'!$K35),0)</f>
        <v>0</v>
      </c>
      <c r="AM35" s="63">
        <f t="shared" si="11"/>
        <v>0</v>
      </c>
      <c r="AN35" s="61">
        <f>IFERROR(SUMIFS('BM MORRO DA CRUZ - VERTICAL'!AR$6:AR$546,'BM MORRO DA CRUZ - VERTICAL'!$O$6:$O$546,'BM MORRO DA CRUZ'!$K35),0)</f>
        <v>0</v>
      </c>
      <c r="AO35" s="63">
        <f t="shared" si="12"/>
        <v>0</v>
      </c>
      <c r="AP35" s="61">
        <f>IFERROR(SUMIFS('BM MORRO DA CRUZ - VERTICAL'!AT$6:AT$546,'BM MORRO DA CRUZ - VERTICAL'!$O$6:$O$546,'BM MORRO DA CRUZ'!$K35),0)</f>
        <v>0</v>
      </c>
      <c r="AQ35" s="63">
        <f t="shared" si="13"/>
        <v>0</v>
      </c>
      <c r="AR35" s="61">
        <f>IFERROR(SUMIFS('BM MORRO DA CRUZ - VERTICAL'!AV$6:AV$546,'BM MORRO DA CRUZ - VERTICAL'!$O$6:$O$546,'BM MORRO DA CRUZ'!$K35),0)</f>
        <v>0</v>
      </c>
      <c r="AS35" s="63">
        <f t="shared" si="14"/>
        <v>0</v>
      </c>
      <c r="AT35" s="61">
        <f>IFERROR(SUMIFS('BM MORRO DA CRUZ - VERTICAL'!AX$6:AX$546,'BM MORRO DA CRUZ - VERTICAL'!$O$6:$O$546,'BM MORRO DA CRUZ'!$K35),0)</f>
        <v>0</v>
      </c>
      <c r="AU35" s="63">
        <f t="shared" si="15"/>
        <v>0</v>
      </c>
      <c r="AV35" s="61">
        <f>IFERROR(SUMIFS('BM MORRO DA CRUZ - VERTICAL'!AZ$6:AZ$546,'BM MORRO DA CRUZ - VERTICAL'!$O$6:$O$546,'BM MORRO DA CRUZ'!$K35),0)</f>
        <v>0</v>
      </c>
      <c r="AW35" s="63">
        <f t="shared" si="16"/>
        <v>0</v>
      </c>
      <c r="AX35" s="61">
        <f>IFERROR(SUMIFS('BM MORRO DA CRUZ - VERTICAL'!BB$6:BB$546,'BM MORRO DA CRUZ - VERTICAL'!$O$6:$O$546,'BM MORRO DA CRUZ'!$K35),0)</f>
        <v>0</v>
      </c>
      <c r="AY35" s="63">
        <f t="shared" si="17"/>
        <v>0</v>
      </c>
      <c r="AZ35" s="61">
        <f>IFERROR(SUMIFS('BM MORRO DA CRUZ - VERTICAL'!BD$6:BD$546,'BM MORRO DA CRUZ - VERTICAL'!$O$6:$O$546,'BM MORRO DA CRUZ'!$K35),0)</f>
        <v>0</v>
      </c>
      <c r="BA35" s="63">
        <f t="shared" si="18"/>
        <v>0</v>
      </c>
      <c r="BB35" s="61">
        <f t="shared" si="19"/>
        <v>0</v>
      </c>
      <c r="BC35" s="63">
        <f t="shared" si="20"/>
        <v>0</v>
      </c>
      <c r="BD35" s="64">
        <f t="shared" si="21"/>
        <v>0</v>
      </c>
      <c r="BE35" s="65">
        <f t="shared" si="22"/>
        <v>1</v>
      </c>
      <c r="BF35" s="45"/>
    </row>
    <row r="36" spans="1:58" ht="38.25" customHeight="1" x14ac:dyDescent="0.45">
      <c r="A36" s="56" t="s">
        <v>170</v>
      </c>
      <c r="B36" s="506" t="s">
        <v>164</v>
      </c>
      <c r="C36" s="507" t="s">
        <v>111</v>
      </c>
      <c r="D36" s="507" t="s">
        <v>39</v>
      </c>
      <c r="E36" s="507" t="s">
        <v>155</v>
      </c>
      <c r="F36" s="507" t="s">
        <v>39</v>
      </c>
      <c r="G36" s="507">
        <v>200</v>
      </c>
      <c r="H36" s="508" t="s">
        <v>125</v>
      </c>
      <c r="I36" s="507" t="s">
        <v>114</v>
      </c>
      <c r="J36" s="508" t="s">
        <v>140</v>
      </c>
      <c r="K36" s="57" t="s">
        <v>171</v>
      </c>
      <c r="L36" s="58" t="s">
        <v>21</v>
      </c>
      <c r="M36" s="59" t="s">
        <v>172</v>
      </c>
      <c r="N36" s="60" t="s">
        <v>71</v>
      </c>
      <c r="O36" s="61">
        <v>2</v>
      </c>
      <c r="P36" s="62">
        <v>5060.67</v>
      </c>
      <c r="Q36" s="63">
        <f t="shared" si="0"/>
        <v>10121.34</v>
      </c>
      <c r="R36" s="61">
        <f>IFERROR(SUMIFS('BM MORRO DA CRUZ - VERTICAL'!V$6:V$546,'BM MORRO DA CRUZ - VERTICAL'!$O$6:$O$546,'BM MORRO DA CRUZ'!$K36),0)</f>
        <v>0</v>
      </c>
      <c r="S36" s="63">
        <f t="shared" si="1"/>
        <v>0</v>
      </c>
      <c r="T36" s="61">
        <f>IFERROR(SUMIFS('BM MORRO DA CRUZ - VERTICAL'!X$6:X$546,'BM MORRO DA CRUZ - VERTICAL'!$O$6:$O$546,'BM MORRO DA CRUZ'!$K36),0)</f>
        <v>0</v>
      </c>
      <c r="U36" s="63">
        <f t="shared" si="2"/>
        <v>0</v>
      </c>
      <c r="V36" s="61">
        <f>IFERROR(SUMIFS('BM MORRO DA CRUZ - VERTICAL'!Z$6:Z$546,'BM MORRO DA CRUZ - VERTICAL'!$O$6:$O$546,'BM MORRO DA CRUZ'!$K36),0)</f>
        <v>0</v>
      </c>
      <c r="W36" s="63">
        <f t="shared" si="3"/>
        <v>0</v>
      </c>
      <c r="X36" s="61">
        <f>IFERROR(SUMIFS('BM MORRO DA CRUZ - VERTICAL'!AB$6:AB$546,'BM MORRO DA CRUZ - VERTICAL'!$O$6:$O$546,'BM MORRO DA CRUZ'!$K36),0)</f>
        <v>0</v>
      </c>
      <c r="Y36" s="63">
        <f t="shared" si="4"/>
        <v>0</v>
      </c>
      <c r="Z36" s="61">
        <f>IFERROR(SUMIFS('BM MORRO DA CRUZ - VERTICAL'!AD$6:AD$546,'BM MORRO DA CRUZ - VERTICAL'!$O$6:$O$546,'BM MORRO DA CRUZ'!$K36),0)</f>
        <v>0</v>
      </c>
      <c r="AA36" s="63">
        <f t="shared" si="5"/>
        <v>0</v>
      </c>
      <c r="AB36" s="61">
        <f>IFERROR(SUMIFS('BM MORRO DA CRUZ - VERTICAL'!AF$6:AF$546,'BM MORRO DA CRUZ - VERTICAL'!$O$6:$O$546,'BM MORRO DA CRUZ'!$K36),0)</f>
        <v>0</v>
      </c>
      <c r="AC36" s="63">
        <f t="shared" si="6"/>
        <v>0</v>
      </c>
      <c r="AD36" s="61">
        <f>IFERROR(SUMIFS('BM MORRO DA CRUZ - VERTICAL'!AH$6:AH$546,'BM MORRO DA CRUZ - VERTICAL'!$O$6:$O$546,'BM MORRO DA CRUZ'!$K36),0)</f>
        <v>0</v>
      </c>
      <c r="AE36" s="63">
        <f t="shared" si="7"/>
        <v>0</v>
      </c>
      <c r="AF36" s="61">
        <f>IFERROR(SUMIFS('BM MORRO DA CRUZ - VERTICAL'!AJ$6:AJ$546,'BM MORRO DA CRUZ - VERTICAL'!$O$6:$O$546,'BM MORRO DA CRUZ'!$K36),0)</f>
        <v>0</v>
      </c>
      <c r="AG36" s="63">
        <f t="shared" si="8"/>
        <v>0</v>
      </c>
      <c r="AH36" s="61">
        <f>IFERROR(SUMIFS('BM MORRO DA CRUZ - VERTICAL'!AL$6:AL$546,'BM MORRO DA CRUZ - VERTICAL'!$O$6:$O$546,'BM MORRO DA CRUZ'!$K36),0)</f>
        <v>0</v>
      </c>
      <c r="AI36" s="63">
        <f t="shared" si="9"/>
        <v>0</v>
      </c>
      <c r="AJ36" s="61">
        <f>IFERROR(SUMIFS('BM MORRO DA CRUZ - VERTICAL'!AN$6:AN$546,'BM MORRO DA CRUZ - VERTICAL'!$O$6:$O$546,'BM MORRO DA CRUZ'!$K36),0)</f>
        <v>0</v>
      </c>
      <c r="AK36" s="63">
        <f t="shared" si="10"/>
        <v>0</v>
      </c>
      <c r="AL36" s="61">
        <f>IFERROR(SUMIFS('BM MORRO DA CRUZ - VERTICAL'!AP$6:AP$546,'BM MORRO DA CRUZ - VERTICAL'!$O$6:$O$546,'BM MORRO DA CRUZ'!$K36),0)</f>
        <v>0</v>
      </c>
      <c r="AM36" s="63">
        <f t="shared" si="11"/>
        <v>0</v>
      </c>
      <c r="AN36" s="61">
        <f>IFERROR(SUMIFS('BM MORRO DA CRUZ - VERTICAL'!AR$6:AR$546,'BM MORRO DA CRUZ - VERTICAL'!$O$6:$O$546,'BM MORRO DA CRUZ'!$K36),0)</f>
        <v>0</v>
      </c>
      <c r="AO36" s="63">
        <f t="shared" si="12"/>
        <v>0</v>
      </c>
      <c r="AP36" s="61">
        <f>IFERROR(SUMIFS('BM MORRO DA CRUZ - VERTICAL'!AT$6:AT$546,'BM MORRO DA CRUZ - VERTICAL'!$O$6:$O$546,'BM MORRO DA CRUZ'!$K36),0)</f>
        <v>0</v>
      </c>
      <c r="AQ36" s="63">
        <f t="shared" si="13"/>
        <v>0</v>
      </c>
      <c r="AR36" s="61">
        <f>IFERROR(SUMIFS('BM MORRO DA CRUZ - VERTICAL'!AV$6:AV$546,'BM MORRO DA CRUZ - VERTICAL'!$O$6:$O$546,'BM MORRO DA CRUZ'!$K36),0)</f>
        <v>0</v>
      </c>
      <c r="AS36" s="63">
        <f t="shared" si="14"/>
        <v>0</v>
      </c>
      <c r="AT36" s="61">
        <f>IFERROR(SUMIFS('BM MORRO DA CRUZ - VERTICAL'!AX$6:AX$546,'BM MORRO DA CRUZ - VERTICAL'!$O$6:$O$546,'BM MORRO DA CRUZ'!$K36),0)</f>
        <v>0</v>
      </c>
      <c r="AU36" s="63">
        <f t="shared" si="15"/>
        <v>0</v>
      </c>
      <c r="AV36" s="61">
        <f>IFERROR(SUMIFS('BM MORRO DA CRUZ - VERTICAL'!AZ$6:AZ$546,'BM MORRO DA CRUZ - VERTICAL'!$O$6:$O$546,'BM MORRO DA CRUZ'!$K36),0)</f>
        <v>0</v>
      </c>
      <c r="AW36" s="63">
        <f t="shared" si="16"/>
        <v>0</v>
      </c>
      <c r="AX36" s="61">
        <f>IFERROR(SUMIFS('BM MORRO DA CRUZ - VERTICAL'!BB$6:BB$546,'BM MORRO DA CRUZ - VERTICAL'!$O$6:$O$546,'BM MORRO DA CRUZ'!$K36),0)</f>
        <v>0</v>
      </c>
      <c r="AY36" s="63">
        <f t="shared" si="17"/>
        <v>0</v>
      </c>
      <c r="AZ36" s="61">
        <f>IFERROR(SUMIFS('BM MORRO DA CRUZ - VERTICAL'!BD$6:BD$546,'BM MORRO DA CRUZ - VERTICAL'!$O$6:$O$546,'BM MORRO DA CRUZ'!$K36),0)</f>
        <v>0</v>
      </c>
      <c r="BA36" s="63">
        <f t="shared" si="18"/>
        <v>0</v>
      </c>
      <c r="BB36" s="61">
        <f t="shared" si="19"/>
        <v>0</v>
      </c>
      <c r="BC36" s="63">
        <f t="shared" si="20"/>
        <v>0</v>
      </c>
      <c r="BD36" s="64">
        <f t="shared" si="21"/>
        <v>0</v>
      </c>
      <c r="BE36" s="65">
        <f t="shared" si="22"/>
        <v>1</v>
      </c>
      <c r="BF36" s="45"/>
    </row>
    <row r="37" spans="1:58" ht="38.25" customHeight="1" x14ac:dyDescent="0.45">
      <c r="A37" s="56" t="s">
        <v>173</v>
      </c>
      <c r="B37" s="506" t="s">
        <v>174</v>
      </c>
      <c r="C37" s="507" t="s">
        <v>147</v>
      </c>
      <c r="D37" s="507" t="s">
        <v>39</v>
      </c>
      <c r="E37" s="507" t="s">
        <v>175</v>
      </c>
      <c r="F37" s="507" t="s">
        <v>39</v>
      </c>
      <c r="G37" s="507">
        <v>100</v>
      </c>
      <c r="H37" s="508" t="s">
        <v>125</v>
      </c>
      <c r="I37" s="507" t="s">
        <v>114</v>
      </c>
      <c r="J37" s="508" t="s">
        <v>140</v>
      </c>
      <c r="K37" s="57" t="s">
        <v>176</v>
      </c>
      <c r="L37" s="58" t="s">
        <v>21</v>
      </c>
      <c r="M37" s="59" t="s">
        <v>177</v>
      </c>
      <c r="N37" s="60" t="s">
        <v>71</v>
      </c>
      <c r="O37" s="61">
        <v>2</v>
      </c>
      <c r="P37" s="62">
        <v>893.5</v>
      </c>
      <c r="Q37" s="63">
        <f t="shared" si="0"/>
        <v>1787</v>
      </c>
      <c r="R37" s="61">
        <f>IFERROR(SUMIFS('BM MORRO DA CRUZ - VERTICAL'!V$6:V$546,'BM MORRO DA CRUZ - VERTICAL'!$O$6:$O$546,'BM MORRO DA CRUZ'!$K37),0)</f>
        <v>0</v>
      </c>
      <c r="S37" s="63">
        <f t="shared" si="1"/>
        <v>0</v>
      </c>
      <c r="T37" s="61">
        <f>IFERROR(SUMIFS('BM MORRO DA CRUZ - VERTICAL'!X$6:X$546,'BM MORRO DA CRUZ - VERTICAL'!$O$6:$O$546,'BM MORRO DA CRUZ'!$K37),0)</f>
        <v>0</v>
      </c>
      <c r="U37" s="63">
        <f t="shared" si="2"/>
        <v>0</v>
      </c>
      <c r="V37" s="61">
        <f>IFERROR(SUMIFS('BM MORRO DA CRUZ - VERTICAL'!Z$6:Z$546,'BM MORRO DA CRUZ - VERTICAL'!$O$6:$O$546,'BM MORRO DA CRUZ'!$K37),0)</f>
        <v>0</v>
      </c>
      <c r="W37" s="63">
        <f t="shared" si="3"/>
        <v>0</v>
      </c>
      <c r="X37" s="61">
        <f>IFERROR(SUMIFS('BM MORRO DA CRUZ - VERTICAL'!AB$6:AB$546,'BM MORRO DA CRUZ - VERTICAL'!$O$6:$O$546,'BM MORRO DA CRUZ'!$K37),0)</f>
        <v>0</v>
      </c>
      <c r="Y37" s="63">
        <f t="shared" si="4"/>
        <v>0</v>
      </c>
      <c r="Z37" s="61">
        <f>IFERROR(SUMIFS('BM MORRO DA CRUZ - VERTICAL'!AD$6:AD$546,'BM MORRO DA CRUZ - VERTICAL'!$O$6:$O$546,'BM MORRO DA CRUZ'!$K37),0)</f>
        <v>0</v>
      </c>
      <c r="AA37" s="63">
        <f t="shared" si="5"/>
        <v>0</v>
      </c>
      <c r="AB37" s="61">
        <f>IFERROR(SUMIFS('BM MORRO DA CRUZ - VERTICAL'!AF$6:AF$546,'BM MORRO DA CRUZ - VERTICAL'!$O$6:$O$546,'BM MORRO DA CRUZ'!$K37),0)</f>
        <v>0</v>
      </c>
      <c r="AC37" s="63">
        <f t="shared" si="6"/>
        <v>0</v>
      </c>
      <c r="AD37" s="61">
        <f>IFERROR(SUMIFS('BM MORRO DA CRUZ - VERTICAL'!AH$6:AH$546,'BM MORRO DA CRUZ - VERTICAL'!$O$6:$O$546,'BM MORRO DA CRUZ'!$K37),0)</f>
        <v>0</v>
      </c>
      <c r="AE37" s="63">
        <f t="shared" si="7"/>
        <v>0</v>
      </c>
      <c r="AF37" s="61">
        <f>IFERROR(SUMIFS('BM MORRO DA CRUZ - VERTICAL'!AJ$6:AJ$546,'BM MORRO DA CRUZ - VERTICAL'!$O$6:$O$546,'BM MORRO DA CRUZ'!$K37),0)</f>
        <v>0</v>
      </c>
      <c r="AG37" s="63">
        <f t="shared" si="8"/>
        <v>0</v>
      </c>
      <c r="AH37" s="61">
        <f>IFERROR(SUMIFS('BM MORRO DA CRUZ - VERTICAL'!AL$6:AL$546,'BM MORRO DA CRUZ - VERTICAL'!$O$6:$O$546,'BM MORRO DA CRUZ'!$K37),0)</f>
        <v>0</v>
      </c>
      <c r="AI37" s="63">
        <f t="shared" si="9"/>
        <v>0</v>
      </c>
      <c r="AJ37" s="61">
        <f>IFERROR(SUMIFS('BM MORRO DA CRUZ - VERTICAL'!AN$6:AN$546,'BM MORRO DA CRUZ - VERTICAL'!$O$6:$O$546,'BM MORRO DA CRUZ'!$K37),0)</f>
        <v>0</v>
      </c>
      <c r="AK37" s="63">
        <f t="shared" si="10"/>
        <v>0</v>
      </c>
      <c r="AL37" s="61">
        <f>IFERROR(SUMIFS('BM MORRO DA CRUZ - VERTICAL'!AP$6:AP$546,'BM MORRO DA CRUZ - VERTICAL'!$O$6:$O$546,'BM MORRO DA CRUZ'!$K37),0)</f>
        <v>0</v>
      </c>
      <c r="AM37" s="63">
        <f t="shared" si="11"/>
        <v>0</v>
      </c>
      <c r="AN37" s="61">
        <f>IFERROR(SUMIFS('BM MORRO DA CRUZ - VERTICAL'!AR$6:AR$546,'BM MORRO DA CRUZ - VERTICAL'!$O$6:$O$546,'BM MORRO DA CRUZ'!$K37),0)</f>
        <v>0</v>
      </c>
      <c r="AO37" s="63">
        <f t="shared" si="12"/>
        <v>0</v>
      </c>
      <c r="AP37" s="61">
        <f>IFERROR(SUMIFS('BM MORRO DA CRUZ - VERTICAL'!AT$6:AT$546,'BM MORRO DA CRUZ - VERTICAL'!$O$6:$O$546,'BM MORRO DA CRUZ'!$K37),0)</f>
        <v>0</v>
      </c>
      <c r="AQ37" s="63">
        <f t="shared" si="13"/>
        <v>0</v>
      </c>
      <c r="AR37" s="61">
        <f>IFERROR(SUMIFS('BM MORRO DA CRUZ - VERTICAL'!AV$6:AV$546,'BM MORRO DA CRUZ - VERTICAL'!$O$6:$O$546,'BM MORRO DA CRUZ'!$K37),0)</f>
        <v>0</v>
      </c>
      <c r="AS37" s="63">
        <f t="shared" si="14"/>
        <v>0</v>
      </c>
      <c r="AT37" s="61">
        <f>IFERROR(SUMIFS('BM MORRO DA CRUZ - VERTICAL'!AX$6:AX$546,'BM MORRO DA CRUZ - VERTICAL'!$O$6:$O$546,'BM MORRO DA CRUZ'!$K37),0)</f>
        <v>0</v>
      </c>
      <c r="AU37" s="63">
        <f t="shared" si="15"/>
        <v>0</v>
      </c>
      <c r="AV37" s="61">
        <f>IFERROR(SUMIFS('BM MORRO DA CRUZ - VERTICAL'!AZ$6:AZ$546,'BM MORRO DA CRUZ - VERTICAL'!$O$6:$O$546,'BM MORRO DA CRUZ'!$K37),0)</f>
        <v>0</v>
      </c>
      <c r="AW37" s="63">
        <f t="shared" si="16"/>
        <v>0</v>
      </c>
      <c r="AX37" s="61">
        <f>IFERROR(SUMIFS('BM MORRO DA CRUZ - VERTICAL'!BB$6:BB$546,'BM MORRO DA CRUZ - VERTICAL'!$O$6:$O$546,'BM MORRO DA CRUZ'!$K37),0)</f>
        <v>0</v>
      </c>
      <c r="AY37" s="63">
        <f t="shared" si="17"/>
        <v>0</v>
      </c>
      <c r="AZ37" s="61">
        <f>IFERROR(SUMIFS('BM MORRO DA CRUZ - VERTICAL'!BD$6:BD$546,'BM MORRO DA CRUZ - VERTICAL'!$O$6:$O$546,'BM MORRO DA CRUZ'!$K37),0)</f>
        <v>0</v>
      </c>
      <c r="BA37" s="63">
        <f t="shared" si="18"/>
        <v>0</v>
      </c>
      <c r="BB37" s="61">
        <f t="shared" si="19"/>
        <v>0</v>
      </c>
      <c r="BC37" s="63">
        <f t="shared" si="20"/>
        <v>0</v>
      </c>
      <c r="BD37" s="64">
        <f t="shared" si="21"/>
        <v>0</v>
      </c>
      <c r="BE37" s="65">
        <f t="shared" si="22"/>
        <v>1</v>
      </c>
      <c r="BF37" s="45"/>
    </row>
    <row r="38" spans="1:58" ht="38.25" customHeight="1" x14ac:dyDescent="0.45">
      <c r="A38" s="56" t="s">
        <v>178</v>
      </c>
      <c r="B38" s="506" t="s">
        <v>174</v>
      </c>
      <c r="C38" s="507" t="s">
        <v>147</v>
      </c>
      <c r="D38" s="507" t="s">
        <v>39</v>
      </c>
      <c r="E38" s="507" t="s">
        <v>175</v>
      </c>
      <c r="F38" s="507" t="s">
        <v>39</v>
      </c>
      <c r="G38" s="507">
        <v>150</v>
      </c>
      <c r="H38" s="508" t="s">
        <v>125</v>
      </c>
      <c r="I38" s="507" t="s">
        <v>114</v>
      </c>
      <c r="J38" s="508" t="s">
        <v>140</v>
      </c>
      <c r="K38" s="57" t="s">
        <v>179</v>
      </c>
      <c r="L38" s="58" t="s">
        <v>21</v>
      </c>
      <c r="M38" s="59" t="s">
        <v>180</v>
      </c>
      <c r="N38" s="60" t="s">
        <v>71</v>
      </c>
      <c r="O38" s="61">
        <v>20</v>
      </c>
      <c r="P38" s="62">
        <v>1436.8</v>
      </c>
      <c r="Q38" s="63">
        <f t="shared" si="0"/>
        <v>28736</v>
      </c>
      <c r="R38" s="61">
        <f>IFERROR(SUMIFS('BM MORRO DA CRUZ - VERTICAL'!V$6:V$546,'BM MORRO DA CRUZ - VERTICAL'!$O$6:$O$546,'BM MORRO DA CRUZ'!$K38),0)</f>
        <v>0</v>
      </c>
      <c r="S38" s="63">
        <f t="shared" si="1"/>
        <v>0</v>
      </c>
      <c r="T38" s="61">
        <f>IFERROR(SUMIFS('BM MORRO DA CRUZ - VERTICAL'!X$6:X$546,'BM MORRO DA CRUZ - VERTICAL'!$O$6:$O$546,'BM MORRO DA CRUZ'!$K38),0)</f>
        <v>0</v>
      </c>
      <c r="U38" s="63">
        <f t="shared" si="2"/>
        <v>0</v>
      </c>
      <c r="V38" s="61">
        <f>IFERROR(SUMIFS('BM MORRO DA CRUZ - VERTICAL'!Z$6:Z$546,'BM MORRO DA CRUZ - VERTICAL'!$O$6:$O$546,'BM MORRO DA CRUZ'!$K38),0)</f>
        <v>0</v>
      </c>
      <c r="W38" s="63">
        <f t="shared" si="3"/>
        <v>0</v>
      </c>
      <c r="X38" s="61">
        <f>IFERROR(SUMIFS('BM MORRO DA CRUZ - VERTICAL'!AB$6:AB$546,'BM MORRO DA CRUZ - VERTICAL'!$O$6:$O$546,'BM MORRO DA CRUZ'!$K38),0)</f>
        <v>0</v>
      </c>
      <c r="Y38" s="63">
        <f t="shared" si="4"/>
        <v>0</v>
      </c>
      <c r="Z38" s="61">
        <f>IFERROR(SUMIFS('BM MORRO DA CRUZ - VERTICAL'!AD$6:AD$546,'BM MORRO DA CRUZ - VERTICAL'!$O$6:$O$546,'BM MORRO DA CRUZ'!$K38),0)</f>
        <v>0</v>
      </c>
      <c r="AA38" s="63">
        <f t="shared" si="5"/>
        <v>0</v>
      </c>
      <c r="AB38" s="61">
        <f>IFERROR(SUMIFS('BM MORRO DA CRUZ - VERTICAL'!AF$6:AF$546,'BM MORRO DA CRUZ - VERTICAL'!$O$6:$O$546,'BM MORRO DA CRUZ'!$K38),0)</f>
        <v>0</v>
      </c>
      <c r="AC38" s="63">
        <f t="shared" si="6"/>
        <v>0</v>
      </c>
      <c r="AD38" s="61">
        <f>IFERROR(SUMIFS('BM MORRO DA CRUZ - VERTICAL'!AH$6:AH$546,'BM MORRO DA CRUZ - VERTICAL'!$O$6:$O$546,'BM MORRO DA CRUZ'!$K38),0)</f>
        <v>0</v>
      </c>
      <c r="AE38" s="63">
        <f t="shared" si="7"/>
        <v>0</v>
      </c>
      <c r="AF38" s="61">
        <f>IFERROR(SUMIFS('BM MORRO DA CRUZ - VERTICAL'!AJ$6:AJ$546,'BM MORRO DA CRUZ - VERTICAL'!$O$6:$O$546,'BM MORRO DA CRUZ'!$K38),0)</f>
        <v>0</v>
      </c>
      <c r="AG38" s="63">
        <f t="shared" si="8"/>
        <v>0</v>
      </c>
      <c r="AH38" s="61">
        <f>IFERROR(SUMIFS('BM MORRO DA CRUZ - VERTICAL'!AL$6:AL$546,'BM MORRO DA CRUZ - VERTICAL'!$O$6:$O$546,'BM MORRO DA CRUZ'!$K38),0)</f>
        <v>0</v>
      </c>
      <c r="AI38" s="63">
        <f t="shared" si="9"/>
        <v>0</v>
      </c>
      <c r="AJ38" s="61">
        <f>IFERROR(SUMIFS('BM MORRO DA CRUZ - VERTICAL'!AN$6:AN$546,'BM MORRO DA CRUZ - VERTICAL'!$O$6:$O$546,'BM MORRO DA CRUZ'!$K38),0)</f>
        <v>0</v>
      </c>
      <c r="AK38" s="63">
        <f t="shared" si="10"/>
        <v>0</v>
      </c>
      <c r="AL38" s="61">
        <f>IFERROR(SUMIFS('BM MORRO DA CRUZ - VERTICAL'!AP$6:AP$546,'BM MORRO DA CRUZ - VERTICAL'!$O$6:$O$546,'BM MORRO DA CRUZ'!$K38),0)</f>
        <v>0</v>
      </c>
      <c r="AM38" s="63">
        <f t="shared" si="11"/>
        <v>0</v>
      </c>
      <c r="AN38" s="61">
        <f>IFERROR(SUMIFS('BM MORRO DA CRUZ - VERTICAL'!AR$6:AR$546,'BM MORRO DA CRUZ - VERTICAL'!$O$6:$O$546,'BM MORRO DA CRUZ'!$K38),0)</f>
        <v>0</v>
      </c>
      <c r="AO38" s="63">
        <f t="shared" si="12"/>
        <v>0</v>
      </c>
      <c r="AP38" s="61">
        <f>IFERROR(SUMIFS('BM MORRO DA CRUZ - VERTICAL'!AT$6:AT$546,'BM MORRO DA CRUZ - VERTICAL'!$O$6:$O$546,'BM MORRO DA CRUZ'!$K38),0)</f>
        <v>0</v>
      </c>
      <c r="AQ38" s="63">
        <f t="shared" si="13"/>
        <v>0</v>
      </c>
      <c r="AR38" s="61">
        <f>IFERROR(SUMIFS('BM MORRO DA CRUZ - VERTICAL'!AV$6:AV$546,'BM MORRO DA CRUZ - VERTICAL'!$O$6:$O$546,'BM MORRO DA CRUZ'!$K38),0)</f>
        <v>0</v>
      </c>
      <c r="AS38" s="63">
        <f t="shared" si="14"/>
        <v>0</v>
      </c>
      <c r="AT38" s="61">
        <f>IFERROR(SUMIFS('BM MORRO DA CRUZ - VERTICAL'!AX$6:AX$546,'BM MORRO DA CRUZ - VERTICAL'!$O$6:$O$546,'BM MORRO DA CRUZ'!$K38),0)</f>
        <v>0</v>
      </c>
      <c r="AU38" s="63">
        <f t="shared" si="15"/>
        <v>0</v>
      </c>
      <c r="AV38" s="61">
        <f>IFERROR(SUMIFS('BM MORRO DA CRUZ - VERTICAL'!AZ$6:AZ$546,'BM MORRO DA CRUZ - VERTICAL'!$O$6:$O$546,'BM MORRO DA CRUZ'!$K38),0)</f>
        <v>0</v>
      </c>
      <c r="AW38" s="63">
        <f t="shared" si="16"/>
        <v>0</v>
      </c>
      <c r="AX38" s="61">
        <f>IFERROR(SUMIFS('BM MORRO DA CRUZ - VERTICAL'!BB$6:BB$546,'BM MORRO DA CRUZ - VERTICAL'!$O$6:$O$546,'BM MORRO DA CRUZ'!$K38),0)</f>
        <v>0</v>
      </c>
      <c r="AY38" s="63">
        <f t="shared" si="17"/>
        <v>0</v>
      </c>
      <c r="AZ38" s="61">
        <f>IFERROR(SUMIFS('BM MORRO DA CRUZ - VERTICAL'!BD$6:BD$546,'BM MORRO DA CRUZ - VERTICAL'!$O$6:$O$546,'BM MORRO DA CRUZ'!$K38),0)</f>
        <v>0</v>
      </c>
      <c r="BA38" s="63">
        <f t="shared" si="18"/>
        <v>0</v>
      </c>
      <c r="BB38" s="61">
        <f t="shared" si="19"/>
        <v>0</v>
      </c>
      <c r="BC38" s="63">
        <f t="shared" si="20"/>
        <v>0</v>
      </c>
      <c r="BD38" s="64">
        <f t="shared" si="21"/>
        <v>0</v>
      </c>
      <c r="BE38" s="65">
        <f t="shared" si="22"/>
        <v>1</v>
      </c>
      <c r="BF38" s="45"/>
    </row>
    <row r="39" spans="1:58" ht="38.25" customHeight="1" x14ac:dyDescent="0.45">
      <c r="A39" s="56" t="s">
        <v>181</v>
      </c>
      <c r="B39" s="506" t="s">
        <v>174</v>
      </c>
      <c r="C39" s="507" t="s">
        <v>147</v>
      </c>
      <c r="D39" s="507" t="s">
        <v>39</v>
      </c>
      <c r="E39" s="507" t="s">
        <v>175</v>
      </c>
      <c r="F39" s="507" t="s">
        <v>39</v>
      </c>
      <c r="G39" s="507">
        <v>200</v>
      </c>
      <c r="H39" s="508" t="s">
        <v>125</v>
      </c>
      <c r="I39" s="507" t="s">
        <v>114</v>
      </c>
      <c r="J39" s="508" t="s">
        <v>140</v>
      </c>
      <c r="K39" s="57" t="s">
        <v>182</v>
      </c>
      <c r="L39" s="58" t="s">
        <v>21</v>
      </c>
      <c r="M39" s="59" t="s">
        <v>183</v>
      </c>
      <c r="N39" s="60" t="s">
        <v>71</v>
      </c>
      <c r="O39" s="61">
        <v>9</v>
      </c>
      <c r="P39" s="62">
        <v>2692.06</v>
      </c>
      <c r="Q39" s="63">
        <f t="shared" si="0"/>
        <v>24228.54</v>
      </c>
      <c r="R39" s="61">
        <f>IFERROR(SUMIFS('BM MORRO DA CRUZ - VERTICAL'!V$6:V$546,'BM MORRO DA CRUZ - VERTICAL'!$O$6:$O$546,'BM MORRO DA CRUZ'!$K39),0)</f>
        <v>0</v>
      </c>
      <c r="S39" s="63">
        <f t="shared" si="1"/>
        <v>0</v>
      </c>
      <c r="T39" s="61">
        <f>IFERROR(SUMIFS('BM MORRO DA CRUZ - VERTICAL'!X$6:X$546,'BM MORRO DA CRUZ - VERTICAL'!$O$6:$O$546,'BM MORRO DA CRUZ'!$K39),0)</f>
        <v>0</v>
      </c>
      <c r="U39" s="63">
        <f t="shared" si="2"/>
        <v>0</v>
      </c>
      <c r="V39" s="61">
        <f>IFERROR(SUMIFS('BM MORRO DA CRUZ - VERTICAL'!Z$6:Z$546,'BM MORRO DA CRUZ - VERTICAL'!$O$6:$O$546,'BM MORRO DA CRUZ'!$K39),0)</f>
        <v>0</v>
      </c>
      <c r="W39" s="63">
        <f t="shared" si="3"/>
        <v>0</v>
      </c>
      <c r="X39" s="61">
        <f>IFERROR(SUMIFS('BM MORRO DA CRUZ - VERTICAL'!AB$6:AB$546,'BM MORRO DA CRUZ - VERTICAL'!$O$6:$O$546,'BM MORRO DA CRUZ'!$K39),0)</f>
        <v>0</v>
      </c>
      <c r="Y39" s="63">
        <f t="shared" si="4"/>
        <v>0</v>
      </c>
      <c r="Z39" s="61">
        <f>IFERROR(SUMIFS('BM MORRO DA CRUZ - VERTICAL'!AD$6:AD$546,'BM MORRO DA CRUZ - VERTICAL'!$O$6:$O$546,'BM MORRO DA CRUZ'!$K39),0)</f>
        <v>0</v>
      </c>
      <c r="AA39" s="63">
        <f t="shared" si="5"/>
        <v>0</v>
      </c>
      <c r="AB39" s="61">
        <f>IFERROR(SUMIFS('BM MORRO DA CRUZ - VERTICAL'!AF$6:AF$546,'BM MORRO DA CRUZ - VERTICAL'!$O$6:$O$546,'BM MORRO DA CRUZ'!$K39),0)</f>
        <v>0</v>
      </c>
      <c r="AC39" s="63">
        <f t="shared" si="6"/>
        <v>0</v>
      </c>
      <c r="AD39" s="61">
        <f>IFERROR(SUMIFS('BM MORRO DA CRUZ - VERTICAL'!AH$6:AH$546,'BM MORRO DA CRUZ - VERTICAL'!$O$6:$O$546,'BM MORRO DA CRUZ'!$K39),0)</f>
        <v>0</v>
      </c>
      <c r="AE39" s="63">
        <f t="shared" si="7"/>
        <v>0</v>
      </c>
      <c r="AF39" s="61">
        <f>IFERROR(SUMIFS('BM MORRO DA CRUZ - VERTICAL'!AJ$6:AJ$546,'BM MORRO DA CRUZ - VERTICAL'!$O$6:$O$546,'BM MORRO DA CRUZ'!$K39),0)</f>
        <v>0</v>
      </c>
      <c r="AG39" s="63">
        <f t="shared" si="8"/>
        <v>0</v>
      </c>
      <c r="AH39" s="61">
        <f>IFERROR(SUMIFS('BM MORRO DA CRUZ - VERTICAL'!AL$6:AL$546,'BM MORRO DA CRUZ - VERTICAL'!$O$6:$O$546,'BM MORRO DA CRUZ'!$K39),0)</f>
        <v>0</v>
      </c>
      <c r="AI39" s="63">
        <f t="shared" si="9"/>
        <v>0</v>
      </c>
      <c r="AJ39" s="61">
        <f>IFERROR(SUMIFS('BM MORRO DA CRUZ - VERTICAL'!AN$6:AN$546,'BM MORRO DA CRUZ - VERTICAL'!$O$6:$O$546,'BM MORRO DA CRUZ'!$K39),0)</f>
        <v>0</v>
      </c>
      <c r="AK39" s="63">
        <f t="shared" si="10"/>
        <v>0</v>
      </c>
      <c r="AL39" s="61">
        <f>IFERROR(SUMIFS('BM MORRO DA CRUZ - VERTICAL'!AP$6:AP$546,'BM MORRO DA CRUZ - VERTICAL'!$O$6:$O$546,'BM MORRO DA CRUZ'!$K39),0)</f>
        <v>0</v>
      </c>
      <c r="AM39" s="63">
        <f t="shared" si="11"/>
        <v>0</v>
      </c>
      <c r="AN39" s="61">
        <f>IFERROR(SUMIFS('BM MORRO DA CRUZ - VERTICAL'!AR$6:AR$546,'BM MORRO DA CRUZ - VERTICAL'!$O$6:$O$546,'BM MORRO DA CRUZ'!$K39),0)</f>
        <v>0</v>
      </c>
      <c r="AO39" s="63">
        <f t="shared" si="12"/>
        <v>0</v>
      </c>
      <c r="AP39" s="61">
        <f>IFERROR(SUMIFS('BM MORRO DA CRUZ - VERTICAL'!AT$6:AT$546,'BM MORRO DA CRUZ - VERTICAL'!$O$6:$O$546,'BM MORRO DA CRUZ'!$K39),0)</f>
        <v>0</v>
      </c>
      <c r="AQ39" s="63">
        <f t="shared" si="13"/>
        <v>0</v>
      </c>
      <c r="AR39" s="61">
        <f>IFERROR(SUMIFS('BM MORRO DA CRUZ - VERTICAL'!AV$6:AV$546,'BM MORRO DA CRUZ - VERTICAL'!$O$6:$O$546,'BM MORRO DA CRUZ'!$K39),0)</f>
        <v>0</v>
      </c>
      <c r="AS39" s="63">
        <f t="shared" si="14"/>
        <v>0</v>
      </c>
      <c r="AT39" s="61">
        <f>IFERROR(SUMIFS('BM MORRO DA CRUZ - VERTICAL'!AX$6:AX$546,'BM MORRO DA CRUZ - VERTICAL'!$O$6:$O$546,'BM MORRO DA CRUZ'!$K39),0)</f>
        <v>0</v>
      </c>
      <c r="AU39" s="63">
        <f t="shared" si="15"/>
        <v>0</v>
      </c>
      <c r="AV39" s="61">
        <f>IFERROR(SUMIFS('BM MORRO DA CRUZ - VERTICAL'!AZ$6:AZ$546,'BM MORRO DA CRUZ - VERTICAL'!$O$6:$O$546,'BM MORRO DA CRUZ'!$K39),0)</f>
        <v>0</v>
      </c>
      <c r="AW39" s="63">
        <f t="shared" si="16"/>
        <v>0</v>
      </c>
      <c r="AX39" s="61">
        <f>IFERROR(SUMIFS('BM MORRO DA CRUZ - VERTICAL'!BB$6:BB$546,'BM MORRO DA CRUZ - VERTICAL'!$O$6:$O$546,'BM MORRO DA CRUZ'!$K39),0)</f>
        <v>0</v>
      </c>
      <c r="AY39" s="63">
        <f t="shared" si="17"/>
        <v>0</v>
      </c>
      <c r="AZ39" s="61">
        <f>IFERROR(SUMIFS('BM MORRO DA CRUZ - VERTICAL'!BD$6:BD$546,'BM MORRO DA CRUZ - VERTICAL'!$O$6:$O$546,'BM MORRO DA CRUZ'!$K39),0)</f>
        <v>0</v>
      </c>
      <c r="BA39" s="63">
        <f t="shared" si="18"/>
        <v>0</v>
      </c>
      <c r="BB39" s="61">
        <f t="shared" si="19"/>
        <v>0</v>
      </c>
      <c r="BC39" s="63">
        <f t="shared" si="20"/>
        <v>0</v>
      </c>
      <c r="BD39" s="64">
        <f t="shared" si="21"/>
        <v>0</v>
      </c>
      <c r="BE39" s="65">
        <f t="shared" si="22"/>
        <v>1</v>
      </c>
      <c r="BF39" s="45"/>
    </row>
    <row r="40" spans="1:58" ht="38.25" customHeight="1" x14ac:dyDescent="0.45">
      <c r="A40" s="56" t="s">
        <v>184</v>
      </c>
      <c r="B40" s="506" t="s">
        <v>174</v>
      </c>
      <c r="C40" s="507" t="s">
        <v>147</v>
      </c>
      <c r="D40" s="507" t="s">
        <v>39</v>
      </c>
      <c r="E40" s="507" t="s">
        <v>175</v>
      </c>
      <c r="F40" s="507" t="s">
        <v>39</v>
      </c>
      <c r="G40" s="507">
        <v>250</v>
      </c>
      <c r="H40" s="508" t="s">
        <v>125</v>
      </c>
      <c r="I40" s="507" t="s">
        <v>114</v>
      </c>
      <c r="J40" s="508" t="s">
        <v>140</v>
      </c>
      <c r="K40" s="57" t="s">
        <v>185</v>
      </c>
      <c r="L40" s="58" t="s">
        <v>21</v>
      </c>
      <c r="M40" s="59" t="s">
        <v>186</v>
      </c>
      <c r="N40" s="60" t="s">
        <v>71</v>
      </c>
      <c r="O40" s="61">
        <v>3</v>
      </c>
      <c r="P40" s="62">
        <v>3538.73</v>
      </c>
      <c r="Q40" s="63">
        <f t="shared" si="0"/>
        <v>10616.19</v>
      </c>
      <c r="R40" s="61">
        <f>IFERROR(SUMIFS('BM MORRO DA CRUZ - VERTICAL'!V$6:V$546,'BM MORRO DA CRUZ - VERTICAL'!$O$6:$O$546,'BM MORRO DA CRUZ'!$K40),0)</f>
        <v>0</v>
      </c>
      <c r="S40" s="63">
        <f t="shared" si="1"/>
        <v>0</v>
      </c>
      <c r="T40" s="61">
        <f>IFERROR(SUMIFS('BM MORRO DA CRUZ - VERTICAL'!X$6:X$546,'BM MORRO DA CRUZ - VERTICAL'!$O$6:$O$546,'BM MORRO DA CRUZ'!$K40),0)</f>
        <v>0</v>
      </c>
      <c r="U40" s="63">
        <f t="shared" si="2"/>
        <v>0</v>
      </c>
      <c r="V40" s="61">
        <f>IFERROR(SUMIFS('BM MORRO DA CRUZ - VERTICAL'!Z$6:Z$546,'BM MORRO DA CRUZ - VERTICAL'!$O$6:$O$546,'BM MORRO DA CRUZ'!$K40),0)</f>
        <v>0</v>
      </c>
      <c r="W40" s="63">
        <f t="shared" si="3"/>
        <v>0</v>
      </c>
      <c r="X40" s="61">
        <f>IFERROR(SUMIFS('BM MORRO DA CRUZ - VERTICAL'!AB$6:AB$546,'BM MORRO DA CRUZ - VERTICAL'!$O$6:$O$546,'BM MORRO DA CRUZ'!$K40),0)</f>
        <v>0</v>
      </c>
      <c r="Y40" s="63">
        <f t="shared" si="4"/>
        <v>0</v>
      </c>
      <c r="Z40" s="61">
        <f>IFERROR(SUMIFS('BM MORRO DA CRUZ - VERTICAL'!AD$6:AD$546,'BM MORRO DA CRUZ - VERTICAL'!$O$6:$O$546,'BM MORRO DA CRUZ'!$K40),0)</f>
        <v>0</v>
      </c>
      <c r="AA40" s="63">
        <f t="shared" si="5"/>
        <v>0</v>
      </c>
      <c r="AB40" s="61">
        <f>IFERROR(SUMIFS('BM MORRO DA CRUZ - VERTICAL'!AF$6:AF$546,'BM MORRO DA CRUZ - VERTICAL'!$O$6:$O$546,'BM MORRO DA CRUZ'!$K40),0)</f>
        <v>0</v>
      </c>
      <c r="AC40" s="63">
        <f t="shared" si="6"/>
        <v>0</v>
      </c>
      <c r="AD40" s="61">
        <f>IFERROR(SUMIFS('BM MORRO DA CRUZ - VERTICAL'!AH$6:AH$546,'BM MORRO DA CRUZ - VERTICAL'!$O$6:$O$546,'BM MORRO DA CRUZ'!$K40),0)</f>
        <v>0</v>
      </c>
      <c r="AE40" s="63">
        <f t="shared" si="7"/>
        <v>0</v>
      </c>
      <c r="AF40" s="61">
        <f>IFERROR(SUMIFS('BM MORRO DA CRUZ - VERTICAL'!AJ$6:AJ$546,'BM MORRO DA CRUZ - VERTICAL'!$O$6:$O$546,'BM MORRO DA CRUZ'!$K40),0)</f>
        <v>0</v>
      </c>
      <c r="AG40" s="63">
        <f t="shared" si="8"/>
        <v>0</v>
      </c>
      <c r="AH40" s="61">
        <f>IFERROR(SUMIFS('BM MORRO DA CRUZ - VERTICAL'!AL$6:AL$546,'BM MORRO DA CRUZ - VERTICAL'!$O$6:$O$546,'BM MORRO DA CRUZ'!$K40),0)</f>
        <v>0</v>
      </c>
      <c r="AI40" s="63">
        <f t="shared" si="9"/>
        <v>0</v>
      </c>
      <c r="AJ40" s="61">
        <f>IFERROR(SUMIFS('BM MORRO DA CRUZ - VERTICAL'!AN$6:AN$546,'BM MORRO DA CRUZ - VERTICAL'!$O$6:$O$546,'BM MORRO DA CRUZ'!$K40),0)</f>
        <v>0</v>
      </c>
      <c r="AK40" s="63">
        <f t="shared" si="10"/>
        <v>0</v>
      </c>
      <c r="AL40" s="61">
        <f>IFERROR(SUMIFS('BM MORRO DA CRUZ - VERTICAL'!AP$6:AP$546,'BM MORRO DA CRUZ - VERTICAL'!$O$6:$O$546,'BM MORRO DA CRUZ'!$K40),0)</f>
        <v>0</v>
      </c>
      <c r="AM40" s="63">
        <f t="shared" si="11"/>
        <v>0</v>
      </c>
      <c r="AN40" s="61">
        <f>IFERROR(SUMIFS('BM MORRO DA CRUZ - VERTICAL'!AR$6:AR$546,'BM MORRO DA CRUZ - VERTICAL'!$O$6:$O$546,'BM MORRO DA CRUZ'!$K40),0)</f>
        <v>0</v>
      </c>
      <c r="AO40" s="63">
        <f t="shared" si="12"/>
        <v>0</v>
      </c>
      <c r="AP40" s="61">
        <f>IFERROR(SUMIFS('BM MORRO DA CRUZ - VERTICAL'!AT$6:AT$546,'BM MORRO DA CRUZ - VERTICAL'!$O$6:$O$546,'BM MORRO DA CRUZ'!$K40),0)</f>
        <v>0</v>
      </c>
      <c r="AQ40" s="63">
        <f t="shared" si="13"/>
        <v>0</v>
      </c>
      <c r="AR40" s="61">
        <f>IFERROR(SUMIFS('BM MORRO DA CRUZ - VERTICAL'!AV$6:AV$546,'BM MORRO DA CRUZ - VERTICAL'!$O$6:$O$546,'BM MORRO DA CRUZ'!$K40),0)</f>
        <v>0</v>
      </c>
      <c r="AS40" s="63">
        <f t="shared" si="14"/>
        <v>0</v>
      </c>
      <c r="AT40" s="61">
        <f>IFERROR(SUMIFS('BM MORRO DA CRUZ - VERTICAL'!AX$6:AX$546,'BM MORRO DA CRUZ - VERTICAL'!$O$6:$O$546,'BM MORRO DA CRUZ'!$K40),0)</f>
        <v>0</v>
      </c>
      <c r="AU40" s="63">
        <f t="shared" si="15"/>
        <v>0</v>
      </c>
      <c r="AV40" s="61">
        <f>IFERROR(SUMIFS('BM MORRO DA CRUZ - VERTICAL'!AZ$6:AZ$546,'BM MORRO DA CRUZ - VERTICAL'!$O$6:$O$546,'BM MORRO DA CRUZ'!$K40),0)</f>
        <v>0</v>
      </c>
      <c r="AW40" s="63">
        <f t="shared" si="16"/>
        <v>0</v>
      </c>
      <c r="AX40" s="61">
        <f>IFERROR(SUMIFS('BM MORRO DA CRUZ - VERTICAL'!BB$6:BB$546,'BM MORRO DA CRUZ - VERTICAL'!$O$6:$O$546,'BM MORRO DA CRUZ'!$K40),0)</f>
        <v>0</v>
      </c>
      <c r="AY40" s="63">
        <f t="shared" si="17"/>
        <v>0</v>
      </c>
      <c r="AZ40" s="61">
        <f>IFERROR(SUMIFS('BM MORRO DA CRUZ - VERTICAL'!BD$6:BD$546,'BM MORRO DA CRUZ - VERTICAL'!$O$6:$O$546,'BM MORRO DA CRUZ'!$K40),0)</f>
        <v>0</v>
      </c>
      <c r="BA40" s="63">
        <f t="shared" si="18"/>
        <v>0</v>
      </c>
      <c r="BB40" s="61">
        <f t="shared" si="19"/>
        <v>0</v>
      </c>
      <c r="BC40" s="63">
        <f t="shared" si="20"/>
        <v>0</v>
      </c>
      <c r="BD40" s="64">
        <f t="shared" si="21"/>
        <v>0</v>
      </c>
      <c r="BE40" s="65">
        <f t="shared" si="22"/>
        <v>1</v>
      </c>
      <c r="BF40" s="45"/>
    </row>
    <row r="41" spans="1:58" ht="38.25" customHeight="1" x14ac:dyDescent="0.45">
      <c r="A41" s="56" t="s">
        <v>187</v>
      </c>
      <c r="B41" s="506" t="s">
        <v>174</v>
      </c>
      <c r="C41" s="507" t="s">
        <v>147</v>
      </c>
      <c r="D41" s="507" t="s">
        <v>39</v>
      </c>
      <c r="E41" s="507" t="s">
        <v>175</v>
      </c>
      <c r="F41" s="507" t="s">
        <v>39</v>
      </c>
      <c r="G41" s="507">
        <v>50</v>
      </c>
      <c r="H41" s="508" t="s">
        <v>125</v>
      </c>
      <c r="I41" s="507" t="s">
        <v>114</v>
      </c>
      <c r="J41" s="508" t="s">
        <v>140</v>
      </c>
      <c r="K41" s="57" t="s">
        <v>188</v>
      </c>
      <c r="L41" s="58" t="s">
        <v>21</v>
      </c>
      <c r="M41" s="59" t="s">
        <v>189</v>
      </c>
      <c r="N41" s="60" t="s">
        <v>71</v>
      </c>
      <c r="O41" s="61">
        <v>81</v>
      </c>
      <c r="P41" s="62">
        <v>551.46</v>
      </c>
      <c r="Q41" s="63">
        <f t="shared" si="0"/>
        <v>44668.26</v>
      </c>
      <c r="R41" s="61">
        <f>IFERROR(SUMIFS('BM MORRO DA CRUZ - VERTICAL'!V$6:V$546,'BM MORRO DA CRUZ - VERTICAL'!$O$6:$O$546,'BM MORRO DA CRUZ'!$K41),0)</f>
        <v>0</v>
      </c>
      <c r="S41" s="63">
        <f t="shared" si="1"/>
        <v>0</v>
      </c>
      <c r="T41" s="61">
        <f>IFERROR(SUMIFS('BM MORRO DA CRUZ - VERTICAL'!X$6:X$546,'BM MORRO DA CRUZ - VERTICAL'!$O$6:$O$546,'BM MORRO DA CRUZ'!$K41),0)</f>
        <v>0</v>
      </c>
      <c r="U41" s="63">
        <f t="shared" si="2"/>
        <v>0</v>
      </c>
      <c r="V41" s="61">
        <f>IFERROR(SUMIFS('BM MORRO DA CRUZ - VERTICAL'!Z$6:Z$546,'BM MORRO DA CRUZ - VERTICAL'!$O$6:$O$546,'BM MORRO DA CRUZ'!$K41),0)</f>
        <v>0</v>
      </c>
      <c r="W41" s="63">
        <f t="shared" si="3"/>
        <v>0</v>
      </c>
      <c r="X41" s="61">
        <f>IFERROR(SUMIFS('BM MORRO DA CRUZ - VERTICAL'!AB$6:AB$546,'BM MORRO DA CRUZ - VERTICAL'!$O$6:$O$546,'BM MORRO DA CRUZ'!$K41),0)</f>
        <v>0</v>
      </c>
      <c r="Y41" s="63">
        <f t="shared" si="4"/>
        <v>0</v>
      </c>
      <c r="Z41" s="61">
        <f>IFERROR(SUMIFS('BM MORRO DA CRUZ - VERTICAL'!AD$6:AD$546,'BM MORRO DA CRUZ - VERTICAL'!$O$6:$O$546,'BM MORRO DA CRUZ'!$K41),0)</f>
        <v>0</v>
      </c>
      <c r="AA41" s="63">
        <f t="shared" si="5"/>
        <v>0</v>
      </c>
      <c r="AB41" s="61">
        <f>IFERROR(SUMIFS('BM MORRO DA CRUZ - VERTICAL'!AF$6:AF$546,'BM MORRO DA CRUZ - VERTICAL'!$O$6:$O$546,'BM MORRO DA CRUZ'!$K41),0)</f>
        <v>0</v>
      </c>
      <c r="AC41" s="63">
        <f t="shared" si="6"/>
        <v>0</v>
      </c>
      <c r="AD41" s="61">
        <f>IFERROR(SUMIFS('BM MORRO DA CRUZ - VERTICAL'!AH$6:AH$546,'BM MORRO DA CRUZ - VERTICAL'!$O$6:$O$546,'BM MORRO DA CRUZ'!$K41),0)</f>
        <v>0</v>
      </c>
      <c r="AE41" s="63">
        <f t="shared" si="7"/>
        <v>0</v>
      </c>
      <c r="AF41" s="61">
        <f>IFERROR(SUMIFS('BM MORRO DA CRUZ - VERTICAL'!AJ$6:AJ$546,'BM MORRO DA CRUZ - VERTICAL'!$O$6:$O$546,'BM MORRO DA CRUZ'!$K41),0)</f>
        <v>0</v>
      </c>
      <c r="AG41" s="63">
        <f t="shared" si="8"/>
        <v>0</v>
      </c>
      <c r="AH41" s="61">
        <f>IFERROR(SUMIFS('BM MORRO DA CRUZ - VERTICAL'!AL$6:AL$546,'BM MORRO DA CRUZ - VERTICAL'!$O$6:$O$546,'BM MORRO DA CRUZ'!$K41),0)</f>
        <v>0</v>
      </c>
      <c r="AI41" s="63">
        <f t="shared" si="9"/>
        <v>0</v>
      </c>
      <c r="AJ41" s="61">
        <f>IFERROR(SUMIFS('BM MORRO DA CRUZ - VERTICAL'!AN$6:AN$546,'BM MORRO DA CRUZ - VERTICAL'!$O$6:$O$546,'BM MORRO DA CRUZ'!$K41),0)</f>
        <v>0</v>
      </c>
      <c r="AK41" s="63">
        <f t="shared" si="10"/>
        <v>0</v>
      </c>
      <c r="AL41" s="61">
        <f>IFERROR(SUMIFS('BM MORRO DA CRUZ - VERTICAL'!AP$6:AP$546,'BM MORRO DA CRUZ - VERTICAL'!$O$6:$O$546,'BM MORRO DA CRUZ'!$K41),0)</f>
        <v>0</v>
      </c>
      <c r="AM41" s="63">
        <f t="shared" si="11"/>
        <v>0</v>
      </c>
      <c r="AN41" s="61">
        <f>IFERROR(SUMIFS('BM MORRO DA CRUZ - VERTICAL'!AR$6:AR$546,'BM MORRO DA CRUZ - VERTICAL'!$O$6:$O$546,'BM MORRO DA CRUZ'!$K41),0)</f>
        <v>0</v>
      </c>
      <c r="AO41" s="63">
        <f t="shared" si="12"/>
        <v>0</v>
      </c>
      <c r="AP41" s="61">
        <f>IFERROR(SUMIFS('BM MORRO DA CRUZ - VERTICAL'!AT$6:AT$546,'BM MORRO DA CRUZ - VERTICAL'!$O$6:$O$546,'BM MORRO DA CRUZ'!$K41),0)</f>
        <v>0</v>
      </c>
      <c r="AQ41" s="63">
        <f t="shared" si="13"/>
        <v>0</v>
      </c>
      <c r="AR41" s="61">
        <f>IFERROR(SUMIFS('BM MORRO DA CRUZ - VERTICAL'!AV$6:AV$546,'BM MORRO DA CRUZ - VERTICAL'!$O$6:$O$546,'BM MORRO DA CRUZ'!$K41),0)</f>
        <v>0</v>
      </c>
      <c r="AS41" s="63">
        <f t="shared" si="14"/>
        <v>0</v>
      </c>
      <c r="AT41" s="61">
        <f>IFERROR(SUMIFS('BM MORRO DA CRUZ - VERTICAL'!AX$6:AX$546,'BM MORRO DA CRUZ - VERTICAL'!$O$6:$O$546,'BM MORRO DA CRUZ'!$K41),0)</f>
        <v>0</v>
      </c>
      <c r="AU41" s="63">
        <f t="shared" si="15"/>
        <v>0</v>
      </c>
      <c r="AV41" s="61">
        <f>IFERROR(SUMIFS('BM MORRO DA CRUZ - VERTICAL'!AZ$6:AZ$546,'BM MORRO DA CRUZ - VERTICAL'!$O$6:$O$546,'BM MORRO DA CRUZ'!$K41),0)</f>
        <v>0</v>
      </c>
      <c r="AW41" s="63">
        <f t="shared" si="16"/>
        <v>0</v>
      </c>
      <c r="AX41" s="61">
        <f>IFERROR(SUMIFS('BM MORRO DA CRUZ - VERTICAL'!BB$6:BB$546,'BM MORRO DA CRUZ - VERTICAL'!$O$6:$O$546,'BM MORRO DA CRUZ'!$K41),0)</f>
        <v>0</v>
      </c>
      <c r="AY41" s="63">
        <f t="shared" si="17"/>
        <v>0</v>
      </c>
      <c r="AZ41" s="61">
        <f>IFERROR(SUMIFS('BM MORRO DA CRUZ - VERTICAL'!BD$6:BD$546,'BM MORRO DA CRUZ - VERTICAL'!$O$6:$O$546,'BM MORRO DA CRUZ'!$K41),0)</f>
        <v>0</v>
      </c>
      <c r="BA41" s="63">
        <f t="shared" si="18"/>
        <v>0</v>
      </c>
      <c r="BB41" s="61">
        <f t="shared" si="19"/>
        <v>0</v>
      </c>
      <c r="BC41" s="63">
        <f t="shared" si="20"/>
        <v>0</v>
      </c>
      <c r="BD41" s="64">
        <f t="shared" si="21"/>
        <v>0</v>
      </c>
      <c r="BE41" s="65">
        <f t="shared" si="22"/>
        <v>1</v>
      </c>
      <c r="BF41" s="45"/>
    </row>
    <row r="42" spans="1:58" ht="38.25" customHeight="1" x14ac:dyDescent="0.45">
      <c r="A42" s="56" t="s">
        <v>190</v>
      </c>
      <c r="B42" s="506" t="s">
        <v>174</v>
      </c>
      <c r="C42" s="507" t="s">
        <v>147</v>
      </c>
      <c r="D42" s="507" t="s">
        <v>39</v>
      </c>
      <c r="E42" s="507" t="s">
        <v>175</v>
      </c>
      <c r="F42" s="507" t="s">
        <v>39</v>
      </c>
      <c r="G42" s="507">
        <v>80</v>
      </c>
      <c r="H42" s="508" t="s">
        <v>125</v>
      </c>
      <c r="I42" s="507" t="s">
        <v>114</v>
      </c>
      <c r="J42" s="508" t="s">
        <v>140</v>
      </c>
      <c r="K42" s="57" t="s">
        <v>191</v>
      </c>
      <c r="L42" s="58" t="s">
        <v>21</v>
      </c>
      <c r="M42" s="59" t="s">
        <v>192</v>
      </c>
      <c r="N42" s="60" t="s">
        <v>71</v>
      </c>
      <c r="O42" s="61">
        <v>35</v>
      </c>
      <c r="P42" s="62">
        <v>745.07</v>
      </c>
      <c r="Q42" s="63">
        <f t="shared" si="0"/>
        <v>26077.45</v>
      </c>
      <c r="R42" s="61">
        <f>IFERROR(SUMIFS('BM MORRO DA CRUZ - VERTICAL'!V$6:V$546,'BM MORRO DA CRUZ - VERTICAL'!$O$6:$O$546,'BM MORRO DA CRUZ'!$K42),0)</f>
        <v>0</v>
      </c>
      <c r="S42" s="63">
        <f t="shared" si="1"/>
        <v>0</v>
      </c>
      <c r="T42" s="61">
        <f>IFERROR(SUMIFS('BM MORRO DA CRUZ - VERTICAL'!X$6:X$546,'BM MORRO DA CRUZ - VERTICAL'!$O$6:$O$546,'BM MORRO DA CRUZ'!$K42),0)</f>
        <v>0</v>
      </c>
      <c r="U42" s="63">
        <f t="shared" si="2"/>
        <v>0</v>
      </c>
      <c r="V42" s="61">
        <f>IFERROR(SUMIFS('BM MORRO DA CRUZ - VERTICAL'!Z$6:Z$546,'BM MORRO DA CRUZ - VERTICAL'!$O$6:$O$546,'BM MORRO DA CRUZ'!$K42),0)</f>
        <v>0</v>
      </c>
      <c r="W42" s="63">
        <f t="shared" si="3"/>
        <v>0</v>
      </c>
      <c r="X42" s="61">
        <f>IFERROR(SUMIFS('BM MORRO DA CRUZ - VERTICAL'!AB$6:AB$546,'BM MORRO DA CRUZ - VERTICAL'!$O$6:$O$546,'BM MORRO DA CRUZ'!$K42),0)</f>
        <v>0</v>
      </c>
      <c r="Y42" s="63">
        <f t="shared" si="4"/>
        <v>0</v>
      </c>
      <c r="Z42" s="61">
        <f>IFERROR(SUMIFS('BM MORRO DA CRUZ - VERTICAL'!AD$6:AD$546,'BM MORRO DA CRUZ - VERTICAL'!$O$6:$O$546,'BM MORRO DA CRUZ'!$K42),0)</f>
        <v>0</v>
      </c>
      <c r="AA42" s="63">
        <f t="shared" si="5"/>
        <v>0</v>
      </c>
      <c r="AB42" s="61">
        <f>IFERROR(SUMIFS('BM MORRO DA CRUZ - VERTICAL'!AF$6:AF$546,'BM MORRO DA CRUZ - VERTICAL'!$O$6:$O$546,'BM MORRO DA CRUZ'!$K42),0)</f>
        <v>0</v>
      </c>
      <c r="AC42" s="63">
        <f t="shared" si="6"/>
        <v>0</v>
      </c>
      <c r="AD42" s="61">
        <f>IFERROR(SUMIFS('BM MORRO DA CRUZ - VERTICAL'!AH$6:AH$546,'BM MORRO DA CRUZ - VERTICAL'!$O$6:$O$546,'BM MORRO DA CRUZ'!$K42),0)</f>
        <v>0</v>
      </c>
      <c r="AE42" s="63">
        <f t="shared" si="7"/>
        <v>0</v>
      </c>
      <c r="AF42" s="61">
        <f>IFERROR(SUMIFS('BM MORRO DA CRUZ - VERTICAL'!AJ$6:AJ$546,'BM MORRO DA CRUZ - VERTICAL'!$O$6:$O$546,'BM MORRO DA CRUZ'!$K42),0)</f>
        <v>0</v>
      </c>
      <c r="AG42" s="63">
        <f t="shared" si="8"/>
        <v>0</v>
      </c>
      <c r="AH42" s="61">
        <f>IFERROR(SUMIFS('BM MORRO DA CRUZ - VERTICAL'!AL$6:AL$546,'BM MORRO DA CRUZ - VERTICAL'!$O$6:$O$546,'BM MORRO DA CRUZ'!$K42),0)</f>
        <v>0</v>
      </c>
      <c r="AI42" s="63">
        <f t="shared" si="9"/>
        <v>0</v>
      </c>
      <c r="AJ42" s="61">
        <f>IFERROR(SUMIFS('BM MORRO DA CRUZ - VERTICAL'!AN$6:AN$546,'BM MORRO DA CRUZ - VERTICAL'!$O$6:$O$546,'BM MORRO DA CRUZ'!$K42),0)</f>
        <v>0</v>
      </c>
      <c r="AK42" s="63">
        <f t="shared" si="10"/>
        <v>0</v>
      </c>
      <c r="AL42" s="61">
        <f>IFERROR(SUMIFS('BM MORRO DA CRUZ - VERTICAL'!AP$6:AP$546,'BM MORRO DA CRUZ - VERTICAL'!$O$6:$O$546,'BM MORRO DA CRUZ'!$K42),0)</f>
        <v>0</v>
      </c>
      <c r="AM42" s="63">
        <f t="shared" si="11"/>
        <v>0</v>
      </c>
      <c r="AN42" s="61">
        <f>IFERROR(SUMIFS('BM MORRO DA CRUZ - VERTICAL'!AR$6:AR$546,'BM MORRO DA CRUZ - VERTICAL'!$O$6:$O$546,'BM MORRO DA CRUZ'!$K42),0)</f>
        <v>0</v>
      </c>
      <c r="AO42" s="63">
        <f t="shared" si="12"/>
        <v>0</v>
      </c>
      <c r="AP42" s="61">
        <f>IFERROR(SUMIFS('BM MORRO DA CRUZ - VERTICAL'!AT$6:AT$546,'BM MORRO DA CRUZ - VERTICAL'!$O$6:$O$546,'BM MORRO DA CRUZ'!$K42),0)</f>
        <v>0</v>
      </c>
      <c r="AQ42" s="63">
        <f t="shared" si="13"/>
        <v>0</v>
      </c>
      <c r="AR42" s="61">
        <f>IFERROR(SUMIFS('BM MORRO DA CRUZ - VERTICAL'!AV$6:AV$546,'BM MORRO DA CRUZ - VERTICAL'!$O$6:$O$546,'BM MORRO DA CRUZ'!$K42),0)</f>
        <v>0</v>
      </c>
      <c r="AS42" s="63">
        <f t="shared" si="14"/>
        <v>0</v>
      </c>
      <c r="AT42" s="61">
        <f>IFERROR(SUMIFS('BM MORRO DA CRUZ - VERTICAL'!AX$6:AX$546,'BM MORRO DA CRUZ - VERTICAL'!$O$6:$O$546,'BM MORRO DA CRUZ'!$K42),0)</f>
        <v>0</v>
      </c>
      <c r="AU42" s="63">
        <f t="shared" si="15"/>
        <v>0</v>
      </c>
      <c r="AV42" s="61">
        <f>IFERROR(SUMIFS('BM MORRO DA CRUZ - VERTICAL'!AZ$6:AZ$546,'BM MORRO DA CRUZ - VERTICAL'!$O$6:$O$546,'BM MORRO DA CRUZ'!$K42),0)</f>
        <v>0</v>
      </c>
      <c r="AW42" s="63">
        <f t="shared" si="16"/>
        <v>0</v>
      </c>
      <c r="AX42" s="61">
        <f>IFERROR(SUMIFS('BM MORRO DA CRUZ - VERTICAL'!BB$6:BB$546,'BM MORRO DA CRUZ - VERTICAL'!$O$6:$O$546,'BM MORRO DA CRUZ'!$K42),0)</f>
        <v>0</v>
      </c>
      <c r="AY42" s="63">
        <f t="shared" si="17"/>
        <v>0</v>
      </c>
      <c r="AZ42" s="61">
        <f>IFERROR(SUMIFS('BM MORRO DA CRUZ - VERTICAL'!BD$6:BD$546,'BM MORRO DA CRUZ - VERTICAL'!$O$6:$O$546,'BM MORRO DA CRUZ'!$K42),0)</f>
        <v>0</v>
      </c>
      <c r="BA42" s="63">
        <f t="shared" si="18"/>
        <v>0</v>
      </c>
      <c r="BB42" s="61">
        <f t="shared" si="19"/>
        <v>0</v>
      </c>
      <c r="BC42" s="63">
        <f t="shared" si="20"/>
        <v>0</v>
      </c>
      <c r="BD42" s="64">
        <f t="shared" si="21"/>
        <v>0</v>
      </c>
      <c r="BE42" s="65">
        <f t="shared" si="22"/>
        <v>1</v>
      </c>
      <c r="BF42" s="45"/>
    </row>
    <row r="43" spans="1:58" ht="50.25" customHeight="1" x14ac:dyDescent="0.45">
      <c r="A43" s="56" t="s">
        <v>193</v>
      </c>
      <c r="B43" s="506" t="s">
        <v>194</v>
      </c>
      <c r="C43" s="507" t="s">
        <v>111</v>
      </c>
      <c r="D43" s="507" t="s">
        <v>39</v>
      </c>
      <c r="E43" s="507" t="s">
        <v>155</v>
      </c>
      <c r="F43" s="507" t="s">
        <v>39</v>
      </c>
      <c r="G43" s="507">
        <v>300</v>
      </c>
      <c r="H43" s="508" t="s">
        <v>125</v>
      </c>
      <c r="I43" s="507" t="s">
        <v>114</v>
      </c>
      <c r="J43" s="508" t="s">
        <v>140</v>
      </c>
      <c r="K43" s="57" t="s">
        <v>195</v>
      </c>
      <c r="L43" s="58" t="s">
        <v>21</v>
      </c>
      <c r="M43" s="59" t="s">
        <v>196</v>
      </c>
      <c r="N43" s="60" t="s">
        <v>71</v>
      </c>
      <c r="O43" s="61">
        <v>1</v>
      </c>
      <c r="P43" s="62">
        <v>29340</v>
      </c>
      <c r="Q43" s="63">
        <f t="shared" si="0"/>
        <v>29340</v>
      </c>
      <c r="R43" s="61">
        <f>IFERROR(SUMIFS('BM MORRO DA CRUZ - VERTICAL'!V$6:V$546,'BM MORRO DA CRUZ - VERTICAL'!$O$6:$O$546,'BM MORRO DA CRUZ'!$K43),0)</f>
        <v>0</v>
      </c>
      <c r="S43" s="63">
        <f t="shared" si="1"/>
        <v>0</v>
      </c>
      <c r="T43" s="61">
        <f>IFERROR(SUMIFS('BM MORRO DA CRUZ - VERTICAL'!X$6:X$546,'BM MORRO DA CRUZ - VERTICAL'!$O$6:$O$546,'BM MORRO DA CRUZ'!$K43),0)</f>
        <v>0</v>
      </c>
      <c r="U43" s="63">
        <f t="shared" si="2"/>
        <v>0</v>
      </c>
      <c r="V43" s="61">
        <f>IFERROR(SUMIFS('BM MORRO DA CRUZ - VERTICAL'!Z$6:Z$546,'BM MORRO DA CRUZ - VERTICAL'!$O$6:$O$546,'BM MORRO DA CRUZ'!$K43),0)</f>
        <v>0</v>
      </c>
      <c r="W43" s="63">
        <f t="shared" si="3"/>
        <v>0</v>
      </c>
      <c r="X43" s="61">
        <f>IFERROR(SUMIFS('BM MORRO DA CRUZ - VERTICAL'!AB$6:AB$546,'BM MORRO DA CRUZ - VERTICAL'!$O$6:$O$546,'BM MORRO DA CRUZ'!$K43),0)</f>
        <v>0</v>
      </c>
      <c r="Y43" s="63">
        <f t="shared" si="4"/>
        <v>0</v>
      </c>
      <c r="Z43" s="61">
        <f>IFERROR(SUMIFS('BM MORRO DA CRUZ - VERTICAL'!AD$6:AD$546,'BM MORRO DA CRUZ - VERTICAL'!$O$6:$O$546,'BM MORRO DA CRUZ'!$K43),0)</f>
        <v>0</v>
      </c>
      <c r="AA43" s="63">
        <f t="shared" si="5"/>
        <v>0</v>
      </c>
      <c r="AB43" s="61">
        <f>IFERROR(SUMIFS('BM MORRO DA CRUZ - VERTICAL'!AF$6:AF$546,'BM MORRO DA CRUZ - VERTICAL'!$O$6:$O$546,'BM MORRO DA CRUZ'!$K43),0)</f>
        <v>0</v>
      </c>
      <c r="AC43" s="63">
        <f t="shared" si="6"/>
        <v>0</v>
      </c>
      <c r="AD43" s="61">
        <f>IFERROR(SUMIFS('BM MORRO DA CRUZ - VERTICAL'!AH$6:AH$546,'BM MORRO DA CRUZ - VERTICAL'!$O$6:$O$546,'BM MORRO DA CRUZ'!$K43),0)</f>
        <v>0</v>
      </c>
      <c r="AE43" s="63">
        <f t="shared" si="7"/>
        <v>0</v>
      </c>
      <c r="AF43" s="61">
        <f>IFERROR(SUMIFS('BM MORRO DA CRUZ - VERTICAL'!AJ$6:AJ$546,'BM MORRO DA CRUZ - VERTICAL'!$O$6:$O$546,'BM MORRO DA CRUZ'!$K43),0)</f>
        <v>0</v>
      </c>
      <c r="AG43" s="63">
        <f t="shared" si="8"/>
        <v>0</v>
      </c>
      <c r="AH43" s="61">
        <f>IFERROR(SUMIFS('BM MORRO DA CRUZ - VERTICAL'!AL$6:AL$546,'BM MORRO DA CRUZ - VERTICAL'!$O$6:$O$546,'BM MORRO DA CRUZ'!$K43),0)</f>
        <v>0</v>
      </c>
      <c r="AI43" s="63">
        <f t="shared" si="9"/>
        <v>0</v>
      </c>
      <c r="AJ43" s="61">
        <f>IFERROR(SUMIFS('BM MORRO DA CRUZ - VERTICAL'!AN$6:AN$546,'BM MORRO DA CRUZ - VERTICAL'!$O$6:$O$546,'BM MORRO DA CRUZ'!$K43),0)</f>
        <v>0</v>
      </c>
      <c r="AK43" s="63">
        <f t="shared" si="10"/>
        <v>0</v>
      </c>
      <c r="AL43" s="61">
        <f>IFERROR(SUMIFS('BM MORRO DA CRUZ - VERTICAL'!AP$6:AP$546,'BM MORRO DA CRUZ - VERTICAL'!$O$6:$O$546,'BM MORRO DA CRUZ'!$K43),0)</f>
        <v>0</v>
      </c>
      <c r="AM43" s="63">
        <f t="shared" si="11"/>
        <v>0</v>
      </c>
      <c r="AN43" s="61">
        <f>IFERROR(SUMIFS('BM MORRO DA CRUZ - VERTICAL'!AR$6:AR$546,'BM MORRO DA CRUZ - VERTICAL'!$O$6:$O$546,'BM MORRO DA CRUZ'!$K43),0)</f>
        <v>0</v>
      </c>
      <c r="AO43" s="63">
        <f t="shared" si="12"/>
        <v>0</v>
      </c>
      <c r="AP43" s="61">
        <f>IFERROR(SUMIFS('BM MORRO DA CRUZ - VERTICAL'!AT$6:AT$546,'BM MORRO DA CRUZ - VERTICAL'!$O$6:$O$546,'BM MORRO DA CRUZ'!$K43),0)</f>
        <v>0</v>
      </c>
      <c r="AQ43" s="63">
        <f t="shared" si="13"/>
        <v>0</v>
      </c>
      <c r="AR43" s="61">
        <f>IFERROR(SUMIFS('BM MORRO DA CRUZ - VERTICAL'!AV$6:AV$546,'BM MORRO DA CRUZ - VERTICAL'!$O$6:$O$546,'BM MORRO DA CRUZ'!$K43),0)</f>
        <v>0</v>
      </c>
      <c r="AS43" s="63">
        <f t="shared" si="14"/>
        <v>0</v>
      </c>
      <c r="AT43" s="61">
        <f>IFERROR(SUMIFS('BM MORRO DA CRUZ - VERTICAL'!AX$6:AX$546,'BM MORRO DA CRUZ - VERTICAL'!$O$6:$O$546,'BM MORRO DA CRUZ'!$K43),0)</f>
        <v>0</v>
      </c>
      <c r="AU43" s="63">
        <f t="shared" si="15"/>
        <v>0</v>
      </c>
      <c r="AV43" s="61">
        <f>IFERROR(SUMIFS('BM MORRO DA CRUZ - VERTICAL'!AZ$6:AZ$546,'BM MORRO DA CRUZ - VERTICAL'!$O$6:$O$546,'BM MORRO DA CRUZ'!$K43),0)</f>
        <v>0</v>
      </c>
      <c r="AW43" s="63">
        <f t="shared" si="16"/>
        <v>0</v>
      </c>
      <c r="AX43" s="61">
        <f>IFERROR(SUMIFS('BM MORRO DA CRUZ - VERTICAL'!BB$6:BB$546,'BM MORRO DA CRUZ - VERTICAL'!$O$6:$O$546,'BM MORRO DA CRUZ'!$K43),0)</f>
        <v>0</v>
      </c>
      <c r="AY43" s="63">
        <f t="shared" si="17"/>
        <v>0</v>
      </c>
      <c r="AZ43" s="61">
        <f>IFERROR(SUMIFS('BM MORRO DA CRUZ - VERTICAL'!BD$6:BD$546,'BM MORRO DA CRUZ - VERTICAL'!$O$6:$O$546,'BM MORRO DA CRUZ'!$K43),0)</f>
        <v>0</v>
      </c>
      <c r="BA43" s="63">
        <f t="shared" si="18"/>
        <v>0</v>
      </c>
      <c r="BB43" s="61">
        <f t="shared" si="19"/>
        <v>0</v>
      </c>
      <c r="BC43" s="63">
        <f t="shared" si="20"/>
        <v>0</v>
      </c>
      <c r="BD43" s="64">
        <f t="shared" si="21"/>
        <v>0</v>
      </c>
      <c r="BE43" s="65">
        <f t="shared" si="22"/>
        <v>1</v>
      </c>
      <c r="BF43" s="45"/>
    </row>
    <row r="44" spans="1:58" ht="26.25" customHeight="1" x14ac:dyDescent="0.45">
      <c r="A44" s="56" t="s">
        <v>197</v>
      </c>
      <c r="B44" s="506" t="s">
        <v>198</v>
      </c>
      <c r="C44" s="507" t="s">
        <v>111</v>
      </c>
      <c r="D44" s="507" t="s">
        <v>39</v>
      </c>
      <c r="E44" s="507" t="s">
        <v>199</v>
      </c>
      <c r="F44" s="507" t="s">
        <v>39</v>
      </c>
      <c r="G44" s="507">
        <v>50</v>
      </c>
      <c r="H44" s="508" t="s">
        <v>125</v>
      </c>
      <c r="I44" s="507" t="s">
        <v>114</v>
      </c>
      <c r="J44" s="508" t="s">
        <v>140</v>
      </c>
      <c r="K44" s="57" t="s">
        <v>200</v>
      </c>
      <c r="L44" s="58" t="s">
        <v>21</v>
      </c>
      <c r="M44" s="59" t="s">
        <v>201</v>
      </c>
      <c r="N44" s="60" t="s">
        <v>71</v>
      </c>
      <c r="O44" s="61">
        <v>26</v>
      </c>
      <c r="P44" s="62">
        <v>604.83000000000004</v>
      </c>
      <c r="Q44" s="63">
        <f t="shared" si="0"/>
        <v>15725.58</v>
      </c>
      <c r="R44" s="61">
        <f>IFERROR(SUMIFS('BM MORRO DA CRUZ - VERTICAL'!V$6:V$546,'BM MORRO DA CRUZ - VERTICAL'!$O$6:$O$546,'BM MORRO DA CRUZ'!$K44),0)</f>
        <v>0</v>
      </c>
      <c r="S44" s="63">
        <f t="shared" si="1"/>
        <v>0</v>
      </c>
      <c r="T44" s="61">
        <f>IFERROR(SUMIFS('BM MORRO DA CRUZ - VERTICAL'!X$6:X$546,'BM MORRO DA CRUZ - VERTICAL'!$O$6:$O$546,'BM MORRO DA CRUZ'!$K44),0)</f>
        <v>0</v>
      </c>
      <c r="U44" s="63">
        <f t="shared" si="2"/>
        <v>0</v>
      </c>
      <c r="V44" s="61">
        <f>IFERROR(SUMIFS('BM MORRO DA CRUZ - VERTICAL'!Z$6:Z$546,'BM MORRO DA CRUZ - VERTICAL'!$O$6:$O$546,'BM MORRO DA CRUZ'!$K44),0)</f>
        <v>0</v>
      </c>
      <c r="W44" s="63">
        <f t="shared" si="3"/>
        <v>0</v>
      </c>
      <c r="X44" s="61">
        <f>IFERROR(SUMIFS('BM MORRO DA CRUZ - VERTICAL'!AB$6:AB$546,'BM MORRO DA CRUZ - VERTICAL'!$O$6:$O$546,'BM MORRO DA CRUZ'!$K44),0)</f>
        <v>0</v>
      </c>
      <c r="Y44" s="63">
        <f t="shared" si="4"/>
        <v>0</v>
      </c>
      <c r="Z44" s="61">
        <f>IFERROR(SUMIFS('BM MORRO DA CRUZ - VERTICAL'!AD$6:AD$546,'BM MORRO DA CRUZ - VERTICAL'!$O$6:$O$546,'BM MORRO DA CRUZ'!$K44),0)</f>
        <v>0</v>
      </c>
      <c r="AA44" s="63">
        <f t="shared" si="5"/>
        <v>0</v>
      </c>
      <c r="AB44" s="61">
        <f>IFERROR(SUMIFS('BM MORRO DA CRUZ - VERTICAL'!AF$6:AF$546,'BM MORRO DA CRUZ - VERTICAL'!$O$6:$O$546,'BM MORRO DA CRUZ'!$K44),0)</f>
        <v>0</v>
      </c>
      <c r="AC44" s="63">
        <f t="shared" si="6"/>
        <v>0</v>
      </c>
      <c r="AD44" s="61">
        <f>IFERROR(SUMIFS('BM MORRO DA CRUZ - VERTICAL'!AH$6:AH$546,'BM MORRO DA CRUZ - VERTICAL'!$O$6:$O$546,'BM MORRO DA CRUZ'!$K44),0)</f>
        <v>0</v>
      </c>
      <c r="AE44" s="63">
        <f t="shared" si="7"/>
        <v>0</v>
      </c>
      <c r="AF44" s="61">
        <f>IFERROR(SUMIFS('BM MORRO DA CRUZ - VERTICAL'!AJ$6:AJ$546,'BM MORRO DA CRUZ - VERTICAL'!$O$6:$O$546,'BM MORRO DA CRUZ'!$K44),0)</f>
        <v>0</v>
      </c>
      <c r="AG44" s="63">
        <f t="shared" si="8"/>
        <v>0</v>
      </c>
      <c r="AH44" s="61">
        <f>IFERROR(SUMIFS('BM MORRO DA CRUZ - VERTICAL'!AL$6:AL$546,'BM MORRO DA CRUZ - VERTICAL'!$O$6:$O$546,'BM MORRO DA CRUZ'!$K44),0)</f>
        <v>0</v>
      </c>
      <c r="AI44" s="63">
        <f t="shared" si="9"/>
        <v>0</v>
      </c>
      <c r="AJ44" s="61">
        <f>IFERROR(SUMIFS('BM MORRO DA CRUZ - VERTICAL'!AN$6:AN$546,'BM MORRO DA CRUZ - VERTICAL'!$O$6:$O$546,'BM MORRO DA CRUZ'!$K44),0)</f>
        <v>0</v>
      </c>
      <c r="AK44" s="63">
        <f t="shared" si="10"/>
        <v>0</v>
      </c>
      <c r="AL44" s="61">
        <f>IFERROR(SUMIFS('BM MORRO DA CRUZ - VERTICAL'!AP$6:AP$546,'BM MORRO DA CRUZ - VERTICAL'!$O$6:$O$546,'BM MORRO DA CRUZ'!$K44),0)</f>
        <v>0</v>
      </c>
      <c r="AM44" s="63">
        <f t="shared" si="11"/>
        <v>0</v>
      </c>
      <c r="AN44" s="61">
        <f>IFERROR(SUMIFS('BM MORRO DA CRUZ - VERTICAL'!AR$6:AR$546,'BM MORRO DA CRUZ - VERTICAL'!$O$6:$O$546,'BM MORRO DA CRUZ'!$K44),0)</f>
        <v>0</v>
      </c>
      <c r="AO44" s="63">
        <f t="shared" si="12"/>
        <v>0</v>
      </c>
      <c r="AP44" s="61">
        <f>IFERROR(SUMIFS('BM MORRO DA CRUZ - VERTICAL'!AT$6:AT$546,'BM MORRO DA CRUZ - VERTICAL'!$O$6:$O$546,'BM MORRO DA CRUZ'!$K44),0)</f>
        <v>0</v>
      </c>
      <c r="AQ44" s="63">
        <f t="shared" si="13"/>
        <v>0</v>
      </c>
      <c r="AR44" s="61">
        <f>IFERROR(SUMIFS('BM MORRO DA CRUZ - VERTICAL'!AV$6:AV$546,'BM MORRO DA CRUZ - VERTICAL'!$O$6:$O$546,'BM MORRO DA CRUZ'!$K44),0)</f>
        <v>0</v>
      </c>
      <c r="AS44" s="63">
        <f t="shared" si="14"/>
        <v>0</v>
      </c>
      <c r="AT44" s="61">
        <f>IFERROR(SUMIFS('BM MORRO DA CRUZ - VERTICAL'!AX$6:AX$546,'BM MORRO DA CRUZ - VERTICAL'!$O$6:$O$546,'BM MORRO DA CRUZ'!$K44),0)</f>
        <v>0</v>
      </c>
      <c r="AU44" s="63">
        <f t="shared" si="15"/>
        <v>0</v>
      </c>
      <c r="AV44" s="61">
        <f>IFERROR(SUMIFS('BM MORRO DA CRUZ - VERTICAL'!AZ$6:AZ$546,'BM MORRO DA CRUZ - VERTICAL'!$O$6:$O$546,'BM MORRO DA CRUZ'!$K44),0)</f>
        <v>0</v>
      </c>
      <c r="AW44" s="63">
        <f t="shared" si="16"/>
        <v>0</v>
      </c>
      <c r="AX44" s="61">
        <f>IFERROR(SUMIFS('BM MORRO DA CRUZ - VERTICAL'!BB$6:BB$546,'BM MORRO DA CRUZ - VERTICAL'!$O$6:$O$546,'BM MORRO DA CRUZ'!$K44),0)</f>
        <v>0</v>
      </c>
      <c r="AY44" s="63">
        <f t="shared" si="17"/>
        <v>0</v>
      </c>
      <c r="AZ44" s="61">
        <f>IFERROR(SUMIFS('BM MORRO DA CRUZ - VERTICAL'!BD$6:BD$546,'BM MORRO DA CRUZ - VERTICAL'!$O$6:$O$546,'BM MORRO DA CRUZ'!$K44),0)</f>
        <v>0</v>
      </c>
      <c r="BA44" s="63">
        <f t="shared" si="18"/>
        <v>0</v>
      </c>
      <c r="BB44" s="61">
        <f t="shared" si="19"/>
        <v>0</v>
      </c>
      <c r="BC44" s="63">
        <f t="shared" si="20"/>
        <v>0</v>
      </c>
      <c r="BD44" s="64">
        <f t="shared" si="21"/>
        <v>0</v>
      </c>
      <c r="BE44" s="65">
        <f t="shared" si="22"/>
        <v>1</v>
      </c>
      <c r="BF44" s="45"/>
    </row>
    <row r="45" spans="1:58" ht="19.5" customHeight="1" x14ac:dyDescent="0.45">
      <c r="A45" s="46" t="s">
        <v>202</v>
      </c>
      <c r="B45" s="503"/>
      <c r="C45" s="504"/>
      <c r="D45" s="504"/>
      <c r="E45" s="504"/>
      <c r="F45" s="504"/>
      <c r="G45" s="504"/>
      <c r="H45" s="505" t="s">
        <v>1718</v>
      </c>
      <c r="I45" s="504"/>
      <c r="J45" s="505" t="s">
        <v>1718</v>
      </c>
      <c r="K45" s="47" t="s">
        <v>203</v>
      </c>
      <c r="L45" s="48"/>
      <c r="M45" s="49" t="s">
        <v>204</v>
      </c>
      <c r="N45" s="50"/>
      <c r="O45" s="51"/>
      <c r="P45" s="52"/>
      <c r="Q45" s="53">
        <f>SUM(Q46:Q47)</f>
        <v>1435737.45</v>
      </c>
      <c r="R45" s="51"/>
      <c r="S45" s="53">
        <f>SUM(S46:S47)</f>
        <v>0</v>
      </c>
      <c r="T45" s="51"/>
      <c r="U45" s="53">
        <f>SUM(U46:U47)</f>
        <v>0</v>
      </c>
      <c r="V45" s="51"/>
      <c r="W45" s="53">
        <f>SUM(W46:W47)</f>
        <v>0</v>
      </c>
      <c r="X45" s="51"/>
      <c r="Y45" s="53">
        <f>SUM(Y46:Y47)</f>
        <v>0</v>
      </c>
      <c r="Z45" s="51"/>
      <c r="AA45" s="53">
        <f>SUM(AA46:AA47)</f>
        <v>0</v>
      </c>
      <c r="AB45" s="51"/>
      <c r="AC45" s="53">
        <f>SUM(AC46:AC47)</f>
        <v>0</v>
      </c>
      <c r="AD45" s="51"/>
      <c r="AE45" s="53">
        <f>SUM(AE46:AE47)</f>
        <v>0</v>
      </c>
      <c r="AF45" s="51"/>
      <c r="AG45" s="53">
        <f>SUM(AG46:AG47)</f>
        <v>0</v>
      </c>
      <c r="AH45" s="51"/>
      <c r="AI45" s="53">
        <f>SUM(AI46:AI47)</f>
        <v>0</v>
      </c>
      <c r="AJ45" s="51"/>
      <c r="AK45" s="53">
        <f>SUM(AK46:AK47)</f>
        <v>0</v>
      </c>
      <c r="AL45" s="51"/>
      <c r="AM45" s="53">
        <f>SUM(AM46:AM47)</f>
        <v>0</v>
      </c>
      <c r="AN45" s="51"/>
      <c r="AO45" s="53">
        <f>SUM(AO46:AO47)</f>
        <v>0</v>
      </c>
      <c r="AP45" s="51"/>
      <c r="AQ45" s="53">
        <f>SUM(AQ46:AQ47)</f>
        <v>0</v>
      </c>
      <c r="AR45" s="51"/>
      <c r="AS45" s="53">
        <f>SUM(AS46:AS47)</f>
        <v>0</v>
      </c>
      <c r="AT45" s="51"/>
      <c r="AU45" s="53">
        <f>SUM(AU46:AU47)</f>
        <v>0</v>
      </c>
      <c r="AV45" s="51"/>
      <c r="AW45" s="53">
        <f>SUM(AW46:AW47)</f>
        <v>0</v>
      </c>
      <c r="AX45" s="51"/>
      <c r="AY45" s="53">
        <f>SUM(AY46:AY47)</f>
        <v>0</v>
      </c>
      <c r="AZ45" s="51"/>
      <c r="BA45" s="53">
        <f>SUM(BA46:BA47)</f>
        <v>0</v>
      </c>
      <c r="BB45" s="51"/>
      <c r="BC45" s="53">
        <f>SUM(BC46:BC47)</f>
        <v>0</v>
      </c>
      <c r="BD45" s="54"/>
      <c r="BE45" s="55"/>
      <c r="BF45" s="45"/>
    </row>
    <row r="46" spans="1:58" ht="19.5" customHeight="1" x14ac:dyDescent="0.45">
      <c r="A46" s="56" t="s">
        <v>205</v>
      </c>
      <c r="B46" s="506" t="s">
        <v>206</v>
      </c>
      <c r="C46" s="507" t="s">
        <v>39</v>
      </c>
      <c r="D46" s="507" t="s">
        <v>39</v>
      </c>
      <c r="E46" s="507" t="s">
        <v>207</v>
      </c>
      <c r="F46" s="507" t="s">
        <v>39</v>
      </c>
      <c r="G46" s="507" t="s">
        <v>208</v>
      </c>
      <c r="H46" s="508" t="s">
        <v>209</v>
      </c>
      <c r="I46" s="507" t="s">
        <v>40</v>
      </c>
      <c r="J46" s="508" t="s">
        <v>210</v>
      </c>
      <c r="K46" s="57" t="s">
        <v>211</v>
      </c>
      <c r="L46" s="58" t="s">
        <v>21</v>
      </c>
      <c r="M46" s="59" t="s">
        <v>206</v>
      </c>
      <c r="N46" s="60" t="s">
        <v>71</v>
      </c>
      <c r="O46" s="61">
        <v>1</v>
      </c>
      <c r="P46" s="62">
        <v>129.9</v>
      </c>
      <c r="Q46" s="63">
        <f>ROUND(P46*$O46,2)</f>
        <v>129.9</v>
      </c>
      <c r="R46" s="61">
        <f>IFERROR(SUMIFS('BM MORRO DA CRUZ - VERTICAL'!V$6:V$546,'BM MORRO DA CRUZ - VERTICAL'!$O$6:$O$546,'BM MORRO DA CRUZ'!$K46),0)</f>
        <v>0</v>
      </c>
      <c r="S46" s="63">
        <f>ROUND(R46*$P46,2)</f>
        <v>0</v>
      </c>
      <c r="T46" s="61">
        <f>IFERROR(SUMIFS('BM MORRO DA CRUZ - VERTICAL'!X$6:X$546,'BM MORRO DA CRUZ - VERTICAL'!$O$6:$O$546,'BM MORRO DA CRUZ'!$K46),0)</f>
        <v>0</v>
      </c>
      <c r="U46" s="63">
        <f>ROUND(T46*$P46,2)</f>
        <v>0</v>
      </c>
      <c r="V46" s="61">
        <f>IFERROR(SUMIFS('BM MORRO DA CRUZ - VERTICAL'!Z$6:Z$546,'BM MORRO DA CRUZ - VERTICAL'!$O$6:$O$546,'BM MORRO DA CRUZ'!$K46),0)</f>
        <v>0</v>
      </c>
      <c r="W46" s="63">
        <f>ROUND(V46*$P46,2)</f>
        <v>0</v>
      </c>
      <c r="X46" s="61">
        <f>IFERROR(SUMIFS('BM MORRO DA CRUZ - VERTICAL'!AB$6:AB$546,'BM MORRO DA CRUZ - VERTICAL'!$O$6:$O$546,'BM MORRO DA CRUZ'!$K46),0)</f>
        <v>0</v>
      </c>
      <c r="Y46" s="63">
        <f>ROUND(X46*$P46,2)</f>
        <v>0</v>
      </c>
      <c r="Z46" s="61">
        <f>IFERROR(SUMIFS('BM MORRO DA CRUZ - VERTICAL'!AD$6:AD$546,'BM MORRO DA CRUZ - VERTICAL'!$O$6:$O$546,'BM MORRO DA CRUZ'!$K46),0)</f>
        <v>0</v>
      </c>
      <c r="AA46" s="63">
        <f>ROUND(Z46*$P46,2)</f>
        <v>0</v>
      </c>
      <c r="AB46" s="61">
        <f>IFERROR(SUMIFS('BM MORRO DA CRUZ - VERTICAL'!AF$6:AF$546,'BM MORRO DA CRUZ - VERTICAL'!$O$6:$O$546,'BM MORRO DA CRUZ'!$K46),0)</f>
        <v>0</v>
      </c>
      <c r="AC46" s="63">
        <f>ROUND(AB46*$P46,2)</f>
        <v>0</v>
      </c>
      <c r="AD46" s="61">
        <f>IFERROR(SUMIFS('BM MORRO DA CRUZ - VERTICAL'!AH$6:AH$546,'BM MORRO DA CRUZ - VERTICAL'!$O$6:$O$546,'BM MORRO DA CRUZ'!$K46),0)</f>
        <v>0</v>
      </c>
      <c r="AE46" s="63">
        <f>ROUND(AD46*$P46,2)</f>
        <v>0</v>
      </c>
      <c r="AF46" s="61">
        <f>IFERROR(SUMIFS('BM MORRO DA CRUZ - VERTICAL'!AJ$6:AJ$546,'BM MORRO DA CRUZ - VERTICAL'!$O$6:$O$546,'BM MORRO DA CRUZ'!$K46),0)</f>
        <v>0</v>
      </c>
      <c r="AG46" s="63">
        <f>ROUND(AF46*$P46,2)</f>
        <v>0</v>
      </c>
      <c r="AH46" s="61">
        <f>IFERROR(SUMIFS('BM MORRO DA CRUZ - VERTICAL'!AL$6:AL$546,'BM MORRO DA CRUZ - VERTICAL'!$O$6:$O$546,'BM MORRO DA CRUZ'!$K46),0)</f>
        <v>0</v>
      </c>
      <c r="AI46" s="63">
        <f>ROUND(AH46*$P46,2)</f>
        <v>0</v>
      </c>
      <c r="AJ46" s="61">
        <f>IFERROR(SUMIFS('BM MORRO DA CRUZ - VERTICAL'!AN$6:AN$546,'BM MORRO DA CRUZ - VERTICAL'!$O$6:$O$546,'BM MORRO DA CRUZ'!$K46),0)</f>
        <v>0</v>
      </c>
      <c r="AK46" s="63">
        <f>ROUND(AJ46*$P46,2)</f>
        <v>0</v>
      </c>
      <c r="AL46" s="61">
        <f>IFERROR(SUMIFS('BM MORRO DA CRUZ - VERTICAL'!AP$6:AP$546,'BM MORRO DA CRUZ - VERTICAL'!$O$6:$O$546,'BM MORRO DA CRUZ'!$K46),0)</f>
        <v>0</v>
      </c>
      <c r="AM46" s="63">
        <f>ROUND(AL46*$P46,2)</f>
        <v>0</v>
      </c>
      <c r="AN46" s="61">
        <f>IFERROR(SUMIFS('BM MORRO DA CRUZ - VERTICAL'!AR$6:AR$546,'BM MORRO DA CRUZ - VERTICAL'!$O$6:$O$546,'BM MORRO DA CRUZ'!$K46),0)</f>
        <v>0</v>
      </c>
      <c r="AO46" s="63">
        <f>ROUND(AN46*$P46,2)</f>
        <v>0</v>
      </c>
      <c r="AP46" s="61">
        <f>IFERROR(SUMIFS('BM MORRO DA CRUZ - VERTICAL'!AT$6:AT$546,'BM MORRO DA CRUZ - VERTICAL'!$O$6:$O$546,'BM MORRO DA CRUZ'!$K46),0)</f>
        <v>0</v>
      </c>
      <c r="AQ46" s="63">
        <f>ROUND(AP46*$P46,2)</f>
        <v>0</v>
      </c>
      <c r="AR46" s="61">
        <f>IFERROR(SUMIFS('BM MORRO DA CRUZ - VERTICAL'!AV$6:AV$546,'BM MORRO DA CRUZ - VERTICAL'!$O$6:$O$546,'BM MORRO DA CRUZ'!$K46),0)</f>
        <v>0</v>
      </c>
      <c r="AS46" s="63">
        <f>ROUND(AR46*$P46,2)</f>
        <v>0</v>
      </c>
      <c r="AT46" s="61">
        <f>IFERROR(SUMIFS('BM MORRO DA CRUZ - VERTICAL'!AX$6:AX$546,'BM MORRO DA CRUZ - VERTICAL'!$O$6:$O$546,'BM MORRO DA CRUZ'!$K46),0)</f>
        <v>0</v>
      </c>
      <c r="AU46" s="63">
        <f>ROUND(AT46*$P46,2)</f>
        <v>0</v>
      </c>
      <c r="AV46" s="61">
        <f>IFERROR(SUMIFS('BM MORRO DA CRUZ - VERTICAL'!AZ$6:AZ$546,'BM MORRO DA CRUZ - VERTICAL'!$O$6:$O$546,'BM MORRO DA CRUZ'!$K46),0)</f>
        <v>0</v>
      </c>
      <c r="AW46" s="63">
        <f>ROUND(AV46*$P46,2)</f>
        <v>0</v>
      </c>
      <c r="AX46" s="61">
        <f>IFERROR(SUMIFS('BM MORRO DA CRUZ - VERTICAL'!BB$6:BB$546,'BM MORRO DA CRUZ - VERTICAL'!$O$6:$O$546,'BM MORRO DA CRUZ'!$K46),0)</f>
        <v>0</v>
      </c>
      <c r="AY46" s="63">
        <f>ROUND(AX46*$P46,2)</f>
        <v>0</v>
      </c>
      <c r="AZ46" s="61">
        <f>IFERROR(SUMIFS('BM MORRO DA CRUZ - VERTICAL'!BD$6:BD$546,'BM MORRO DA CRUZ - VERTICAL'!$O$6:$O$546,'BM MORRO DA CRUZ'!$K46),0)</f>
        <v>0</v>
      </c>
      <c r="BA46" s="63">
        <f>ROUND(AZ46*$P46,2)</f>
        <v>0</v>
      </c>
      <c r="BB46" s="61">
        <f>IFERROR(SUMIFS($R46:$BA46,$R$5:$BA$5,$BB$5),0)</f>
        <v>0</v>
      </c>
      <c r="BC46" s="63">
        <f>SUMIFS($R46:$BA46,$R$5:$BA$5,$S$5)</f>
        <v>0</v>
      </c>
      <c r="BD46" s="64">
        <f>IFERROR(BB46/O46,0)</f>
        <v>0</v>
      </c>
      <c r="BE46" s="65">
        <f>IFERROR((O46-BB46)/O46,0)</f>
        <v>1</v>
      </c>
      <c r="BF46" s="45"/>
    </row>
    <row r="47" spans="1:58" ht="26.25" customHeight="1" x14ac:dyDescent="0.45">
      <c r="A47" s="56" t="s">
        <v>212</v>
      </c>
      <c r="B47" s="506" t="s">
        <v>213</v>
      </c>
      <c r="C47" s="507" t="s">
        <v>39</v>
      </c>
      <c r="D47" s="507" t="s">
        <v>39</v>
      </c>
      <c r="E47" s="507" t="s">
        <v>214</v>
      </c>
      <c r="F47" s="507" t="s">
        <v>39</v>
      </c>
      <c r="G47" s="507" t="s">
        <v>66</v>
      </c>
      <c r="H47" s="508" t="s">
        <v>215</v>
      </c>
      <c r="I47" s="507" t="s">
        <v>216</v>
      </c>
      <c r="J47" s="508" t="s">
        <v>41</v>
      </c>
      <c r="K47" s="57" t="s">
        <v>217</v>
      </c>
      <c r="L47" s="58" t="s">
        <v>21</v>
      </c>
      <c r="M47" s="59" t="s">
        <v>218</v>
      </c>
      <c r="N47" s="60" t="s">
        <v>71</v>
      </c>
      <c r="O47" s="61">
        <v>11895</v>
      </c>
      <c r="P47" s="62">
        <v>120.69</v>
      </c>
      <c r="Q47" s="63">
        <f>ROUND(P47*$O47,2)</f>
        <v>1435607.55</v>
      </c>
      <c r="R47" s="61">
        <f>IFERROR(SUMIFS('BM MORRO DA CRUZ - VERTICAL'!V$6:V$546,'BM MORRO DA CRUZ - VERTICAL'!$O$6:$O$546,'BM MORRO DA CRUZ'!$K47),0)</f>
        <v>0</v>
      </c>
      <c r="S47" s="63">
        <f>ROUND(R47*$P47,2)</f>
        <v>0</v>
      </c>
      <c r="T47" s="61">
        <f>IFERROR(SUMIFS('BM MORRO DA CRUZ - VERTICAL'!X$6:X$546,'BM MORRO DA CRUZ - VERTICAL'!$O$6:$O$546,'BM MORRO DA CRUZ'!$K47),0)</f>
        <v>0</v>
      </c>
      <c r="U47" s="63">
        <f>ROUND(T47*$P47,2)</f>
        <v>0</v>
      </c>
      <c r="V47" s="61">
        <f>IFERROR(SUMIFS('BM MORRO DA CRUZ - VERTICAL'!Z$6:Z$546,'BM MORRO DA CRUZ - VERTICAL'!$O$6:$O$546,'BM MORRO DA CRUZ'!$K47),0)</f>
        <v>0</v>
      </c>
      <c r="W47" s="63">
        <f>ROUND(V47*$P47,2)</f>
        <v>0</v>
      </c>
      <c r="X47" s="61">
        <f>IFERROR(SUMIFS('BM MORRO DA CRUZ - VERTICAL'!AB$6:AB$546,'BM MORRO DA CRUZ - VERTICAL'!$O$6:$O$546,'BM MORRO DA CRUZ'!$K47),0)</f>
        <v>0</v>
      </c>
      <c r="Y47" s="63">
        <f>ROUND(X47*$P47,2)</f>
        <v>0</v>
      </c>
      <c r="Z47" s="61">
        <f>IFERROR(SUMIFS('BM MORRO DA CRUZ - VERTICAL'!AD$6:AD$546,'BM MORRO DA CRUZ - VERTICAL'!$O$6:$O$546,'BM MORRO DA CRUZ'!$K47),0)</f>
        <v>0</v>
      </c>
      <c r="AA47" s="63">
        <f>ROUND(Z47*$P47,2)</f>
        <v>0</v>
      </c>
      <c r="AB47" s="61">
        <f>IFERROR(SUMIFS('BM MORRO DA CRUZ - VERTICAL'!AF$6:AF$546,'BM MORRO DA CRUZ - VERTICAL'!$O$6:$O$546,'BM MORRO DA CRUZ'!$K47),0)</f>
        <v>0</v>
      </c>
      <c r="AC47" s="63">
        <f>ROUND(AB47*$P47,2)</f>
        <v>0</v>
      </c>
      <c r="AD47" s="61">
        <f>IFERROR(SUMIFS('BM MORRO DA CRUZ - VERTICAL'!AH$6:AH$546,'BM MORRO DA CRUZ - VERTICAL'!$O$6:$O$546,'BM MORRO DA CRUZ'!$K47),0)</f>
        <v>0</v>
      </c>
      <c r="AE47" s="63">
        <f>ROUND(AD47*$P47,2)</f>
        <v>0</v>
      </c>
      <c r="AF47" s="61">
        <f>IFERROR(SUMIFS('BM MORRO DA CRUZ - VERTICAL'!AJ$6:AJ$546,'BM MORRO DA CRUZ - VERTICAL'!$O$6:$O$546,'BM MORRO DA CRUZ'!$K47),0)</f>
        <v>0</v>
      </c>
      <c r="AG47" s="63">
        <f>ROUND(AF47*$P47,2)</f>
        <v>0</v>
      </c>
      <c r="AH47" s="61">
        <f>IFERROR(SUMIFS('BM MORRO DA CRUZ - VERTICAL'!AL$6:AL$546,'BM MORRO DA CRUZ - VERTICAL'!$O$6:$O$546,'BM MORRO DA CRUZ'!$K47),0)</f>
        <v>0</v>
      </c>
      <c r="AI47" s="63">
        <f>ROUND(AH47*$P47,2)</f>
        <v>0</v>
      </c>
      <c r="AJ47" s="61">
        <f>IFERROR(SUMIFS('BM MORRO DA CRUZ - VERTICAL'!AN$6:AN$546,'BM MORRO DA CRUZ - VERTICAL'!$O$6:$O$546,'BM MORRO DA CRUZ'!$K47),0)</f>
        <v>0</v>
      </c>
      <c r="AK47" s="63">
        <f>ROUND(AJ47*$P47,2)</f>
        <v>0</v>
      </c>
      <c r="AL47" s="61">
        <f>IFERROR(SUMIFS('BM MORRO DA CRUZ - VERTICAL'!AP$6:AP$546,'BM MORRO DA CRUZ - VERTICAL'!$O$6:$O$546,'BM MORRO DA CRUZ'!$K47),0)</f>
        <v>0</v>
      </c>
      <c r="AM47" s="63">
        <f>ROUND(AL47*$P47,2)</f>
        <v>0</v>
      </c>
      <c r="AN47" s="61">
        <f>IFERROR(SUMIFS('BM MORRO DA CRUZ - VERTICAL'!AR$6:AR$546,'BM MORRO DA CRUZ - VERTICAL'!$O$6:$O$546,'BM MORRO DA CRUZ'!$K47),0)</f>
        <v>0</v>
      </c>
      <c r="AO47" s="63">
        <f>ROUND(AN47*$P47,2)</f>
        <v>0</v>
      </c>
      <c r="AP47" s="61">
        <f>IFERROR(SUMIFS('BM MORRO DA CRUZ - VERTICAL'!AT$6:AT$546,'BM MORRO DA CRUZ - VERTICAL'!$O$6:$O$546,'BM MORRO DA CRUZ'!$K47),0)</f>
        <v>0</v>
      </c>
      <c r="AQ47" s="63">
        <f>ROUND(AP47*$P47,2)</f>
        <v>0</v>
      </c>
      <c r="AR47" s="61">
        <f>IFERROR(SUMIFS('BM MORRO DA CRUZ - VERTICAL'!AV$6:AV$546,'BM MORRO DA CRUZ - VERTICAL'!$O$6:$O$546,'BM MORRO DA CRUZ'!$K47),0)</f>
        <v>0</v>
      </c>
      <c r="AS47" s="63">
        <f>ROUND(AR47*$P47,2)</f>
        <v>0</v>
      </c>
      <c r="AT47" s="61">
        <f>IFERROR(SUMIFS('BM MORRO DA CRUZ - VERTICAL'!AX$6:AX$546,'BM MORRO DA CRUZ - VERTICAL'!$O$6:$O$546,'BM MORRO DA CRUZ'!$K47),0)</f>
        <v>0</v>
      </c>
      <c r="AU47" s="63">
        <f>ROUND(AT47*$P47,2)</f>
        <v>0</v>
      </c>
      <c r="AV47" s="61">
        <f>IFERROR(SUMIFS('BM MORRO DA CRUZ - VERTICAL'!AZ$6:AZ$546,'BM MORRO DA CRUZ - VERTICAL'!$O$6:$O$546,'BM MORRO DA CRUZ'!$K47),0)</f>
        <v>0</v>
      </c>
      <c r="AW47" s="63">
        <f>ROUND(AV47*$P47,2)</f>
        <v>0</v>
      </c>
      <c r="AX47" s="61">
        <f>IFERROR(SUMIFS('BM MORRO DA CRUZ - VERTICAL'!BB$6:BB$546,'BM MORRO DA CRUZ - VERTICAL'!$O$6:$O$546,'BM MORRO DA CRUZ'!$K47),0)</f>
        <v>0</v>
      </c>
      <c r="AY47" s="63">
        <f>ROUND(AX47*$P47,2)</f>
        <v>0</v>
      </c>
      <c r="AZ47" s="61">
        <f>IFERROR(SUMIFS('BM MORRO DA CRUZ - VERTICAL'!BD$6:BD$546,'BM MORRO DA CRUZ - VERTICAL'!$O$6:$O$546,'BM MORRO DA CRUZ'!$K47),0)</f>
        <v>0</v>
      </c>
      <c r="BA47" s="63">
        <f>ROUND(AZ47*$P47,2)</f>
        <v>0</v>
      </c>
      <c r="BB47" s="61">
        <f>IFERROR(SUMIFS($R47:$BA47,$R$5:$BA$5,$BB$5),0)</f>
        <v>0</v>
      </c>
      <c r="BC47" s="63">
        <f>SUMIFS($R47:$BA47,$R$5:$BA$5,$S$5)</f>
        <v>0</v>
      </c>
      <c r="BD47" s="64">
        <f>IFERROR(BB47/O47,0)</f>
        <v>0</v>
      </c>
      <c r="BE47" s="65">
        <f>IFERROR((O47-BB47)/O47,0)</f>
        <v>1</v>
      </c>
      <c r="BF47" s="45"/>
    </row>
    <row r="48" spans="1:58" ht="19.5" customHeight="1" x14ac:dyDescent="0.45">
      <c r="A48" s="46" t="s">
        <v>219</v>
      </c>
      <c r="B48" s="503"/>
      <c r="C48" s="504"/>
      <c r="D48" s="504"/>
      <c r="E48" s="504"/>
      <c r="F48" s="504"/>
      <c r="G48" s="504"/>
      <c r="H48" s="505" t="s">
        <v>1718</v>
      </c>
      <c r="I48" s="504"/>
      <c r="J48" s="505" t="s">
        <v>1718</v>
      </c>
      <c r="K48" s="47" t="s">
        <v>220</v>
      </c>
      <c r="L48" s="48"/>
      <c r="M48" s="49" t="s">
        <v>221</v>
      </c>
      <c r="N48" s="50"/>
      <c r="O48" s="51"/>
      <c r="P48" s="52"/>
      <c r="Q48" s="53">
        <f>SUM(Q49:Q56)</f>
        <v>40620.110000000008</v>
      </c>
      <c r="R48" s="51"/>
      <c r="S48" s="53">
        <f>SUM(S49:S56)</f>
        <v>0</v>
      </c>
      <c r="T48" s="51"/>
      <c r="U48" s="53">
        <f>SUM(U49:U56)</f>
        <v>0</v>
      </c>
      <c r="V48" s="51"/>
      <c r="W48" s="53">
        <f>SUM(W49:W56)</f>
        <v>0</v>
      </c>
      <c r="X48" s="51"/>
      <c r="Y48" s="53">
        <f>SUM(Y49:Y56)</f>
        <v>0</v>
      </c>
      <c r="Z48" s="51"/>
      <c r="AA48" s="53">
        <f>SUM(AA49:AA56)</f>
        <v>0</v>
      </c>
      <c r="AB48" s="51"/>
      <c r="AC48" s="53">
        <f>SUM(AC49:AC56)</f>
        <v>0</v>
      </c>
      <c r="AD48" s="51"/>
      <c r="AE48" s="53">
        <f>SUM(AE49:AE56)</f>
        <v>0</v>
      </c>
      <c r="AF48" s="51"/>
      <c r="AG48" s="53">
        <f>SUM(AG49:AG56)</f>
        <v>0</v>
      </c>
      <c r="AH48" s="51"/>
      <c r="AI48" s="53">
        <f>SUM(AI49:AI56)</f>
        <v>0</v>
      </c>
      <c r="AJ48" s="51"/>
      <c r="AK48" s="53">
        <f>SUM(AK49:AK56)</f>
        <v>0</v>
      </c>
      <c r="AL48" s="51"/>
      <c r="AM48" s="53">
        <f>SUM(AM49:AM56)</f>
        <v>0</v>
      </c>
      <c r="AN48" s="51"/>
      <c r="AO48" s="53">
        <f>SUM(AO49:AO56)</f>
        <v>0</v>
      </c>
      <c r="AP48" s="51"/>
      <c r="AQ48" s="53">
        <f>SUM(AQ49:AQ56)</f>
        <v>0</v>
      </c>
      <c r="AR48" s="51"/>
      <c r="AS48" s="53">
        <f>SUM(AS49:AS56)</f>
        <v>0</v>
      </c>
      <c r="AT48" s="51"/>
      <c r="AU48" s="53">
        <f>SUM(AU49:AU56)</f>
        <v>0</v>
      </c>
      <c r="AV48" s="51"/>
      <c r="AW48" s="53">
        <f>SUM(AW49:AW56)</f>
        <v>0</v>
      </c>
      <c r="AX48" s="51"/>
      <c r="AY48" s="53">
        <f>SUM(AY49:AY56)</f>
        <v>0</v>
      </c>
      <c r="AZ48" s="51"/>
      <c r="BA48" s="53">
        <f>SUM(BA49:BA56)</f>
        <v>0</v>
      </c>
      <c r="BB48" s="51"/>
      <c r="BC48" s="53">
        <f>SUM(BC49:BC56)</f>
        <v>0</v>
      </c>
      <c r="BD48" s="54"/>
      <c r="BE48" s="55"/>
      <c r="BF48" s="45"/>
    </row>
    <row r="49" spans="1:58" ht="35.65" x14ac:dyDescent="0.45">
      <c r="A49" s="56" t="s">
        <v>222</v>
      </c>
      <c r="B49" s="506" t="s">
        <v>223</v>
      </c>
      <c r="C49" s="507" t="s">
        <v>111</v>
      </c>
      <c r="D49" s="507" t="s">
        <v>224</v>
      </c>
      <c r="E49" s="507" t="s">
        <v>225</v>
      </c>
      <c r="F49" s="507" t="s">
        <v>39</v>
      </c>
      <c r="G49" s="507">
        <v>110</v>
      </c>
      <c r="H49" s="508" t="s">
        <v>267</v>
      </c>
      <c r="I49" s="507" t="s">
        <v>114</v>
      </c>
      <c r="J49" s="508" t="s">
        <v>41</v>
      </c>
      <c r="K49" s="57" t="s">
        <v>227</v>
      </c>
      <c r="L49" s="58" t="s">
        <v>21</v>
      </c>
      <c r="M49" s="59" t="s">
        <v>228</v>
      </c>
      <c r="N49" s="60" t="s">
        <v>71</v>
      </c>
      <c r="O49" s="61">
        <v>6</v>
      </c>
      <c r="P49" s="62">
        <v>154.77000000000001</v>
      </c>
      <c r="Q49" s="63">
        <f t="shared" ref="Q49:Q56" si="23">ROUND(P49*$O49,2)</f>
        <v>928.62</v>
      </c>
      <c r="R49" s="61">
        <f>IFERROR(SUMIFS('BM MORRO DA CRUZ - VERTICAL'!V$6:V$546,'BM MORRO DA CRUZ - VERTICAL'!$O$6:$O$546,'BM MORRO DA CRUZ'!$K49),0)</f>
        <v>0</v>
      </c>
      <c r="S49" s="63">
        <f t="shared" ref="S49:S56" si="24">ROUND(R49*$P49,2)</f>
        <v>0</v>
      </c>
      <c r="T49" s="61">
        <f>IFERROR(SUMIFS('BM MORRO DA CRUZ - VERTICAL'!X$6:X$546,'BM MORRO DA CRUZ - VERTICAL'!$O$6:$O$546,'BM MORRO DA CRUZ'!$K49),0)</f>
        <v>0</v>
      </c>
      <c r="U49" s="63">
        <f t="shared" ref="U49:U56" si="25">ROUND(T49*$P49,2)</f>
        <v>0</v>
      </c>
      <c r="V49" s="61">
        <f>IFERROR(SUMIFS('BM MORRO DA CRUZ - VERTICAL'!Z$6:Z$546,'BM MORRO DA CRUZ - VERTICAL'!$O$6:$O$546,'BM MORRO DA CRUZ'!$K49),0)</f>
        <v>0</v>
      </c>
      <c r="W49" s="63">
        <f t="shared" ref="W49:W56" si="26">ROUND(V49*$P49,2)</f>
        <v>0</v>
      </c>
      <c r="X49" s="61">
        <f>IFERROR(SUMIFS('BM MORRO DA CRUZ - VERTICAL'!AB$6:AB$546,'BM MORRO DA CRUZ - VERTICAL'!$O$6:$O$546,'BM MORRO DA CRUZ'!$K49),0)</f>
        <v>0</v>
      </c>
      <c r="Y49" s="63">
        <f t="shared" ref="Y49:Y56" si="27">ROUND(X49*$P49,2)</f>
        <v>0</v>
      </c>
      <c r="Z49" s="61">
        <f>IFERROR(SUMIFS('BM MORRO DA CRUZ - VERTICAL'!AD$6:AD$546,'BM MORRO DA CRUZ - VERTICAL'!$O$6:$O$546,'BM MORRO DA CRUZ'!$K49),0)</f>
        <v>0</v>
      </c>
      <c r="AA49" s="63">
        <f t="shared" ref="AA49:AA56" si="28">ROUND(Z49*$P49,2)</f>
        <v>0</v>
      </c>
      <c r="AB49" s="61">
        <f>IFERROR(SUMIFS('BM MORRO DA CRUZ - VERTICAL'!AF$6:AF$546,'BM MORRO DA CRUZ - VERTICAL'!$O$6:$O$546,'BM MORRO DA CRUZ'!$K49),0)</f>
        <v>0</v>
      </c>
      <c r="AC49" s="63">
        <f t="shared" ref="AC49:AC56" si="29">ROUND(AB49*$P49,2)</f>
        <v>0</v>
      </c>
      <c r="AD49" s="61">
        <f>IFERROR(SUMIFS('BM MORRO DA CRUZ - VERTICAL'!AH$6:AH$546,'BM MORRO DA CRUZ - VERTICAL'!$O$6:$O$546,'BM MORRO DA CRUZ'!$K49),0)</f>
        <v>0</v>
      </c>
      <c r="AE49" s="63">
        <f t="shared" ref="AE49:AE56" si="30">ROUND(AD49*$P49,2)</f>
        <v>0</v>
      </c>
      <c r="AF49" s="61">
        <f>IFERROR(SUMIFS('BM MORRO DA CRUZ - VERTICAL'!AJ$6:AJ$546,'BM MORRO DA CRUZ - VERTICAL'!$O$6:$O$546,'BM MORRO DA CRUZ'!$K49),0)</f>
        <v>0</v>
      </c>
      <c r="AG49" s="63">
        <f t="shared" ref="AG49:AG56" si="31">ROUND(AF49*$P49,2)</f>
        <v>0</v>
      </c>
      <c r="AH49" s="61">
        <f>IFERROR(SUMIFS('BM MORRO DA CRUZ - VERTICAL'!AL$6:AL$546,'BM MORRO DA CRUZ - VERTICAL'!$O$6:$O$546,'BM MORRO DA CRUZ'!$K49),0)</f>
        <v>0</v>
      </c>
      <c r="AI49" s="63">
        <f t="shared" ref="AI49:AI56" si="32">ROUND(AH49*$P49,2)</f>
        <v>0</v>
      </c>
      <c r="AJ49" s="61">
        <f>IFERROR(SUMIFS('BM MORRO DA CRUZ - VERTICAL'!AN$6:AN$546,'BM MORRO DA CRUZ - VERTICAL'!$O$6:$O$546,'BM MORRO DA CRUZ'!$K49),0)</f>
        <v>0</v>
      </c>
      <c r="AK49" s="63">
        <f t="shared" ref="AK49:AK56" si="33">ROUND(AJ49*$P49,2)</f>
        <v>0</v>
      </c>
      <c r="AL49" s="61">
        <f>IFERROR(SUMIFS('BM MORRO DA CRUZ - VERTICAL'!AP$6:AP$546,'BM MORRO DA CRUZ - VERTICAL'!$O$6:$O$546,'BM MORRO DA CRUZ'!$K49),0)</f>
        <v>0</v>
      </c>
      <c r="AM49" s="63">
        <f t="shared" ref="AM49:AM56" si="34">ROUND(AL49*$P49,2)</f>
        <v>0</v>
      </c>
      <c r="AN49" s="61">
        <f>IFERROR(SUMIFS('BM MORRO DA CRUZ - VERTICAL'!AR$6:AR$546,'BM MORRO DA CRUZ - VERTICAL'!$O$6:$O$546,'BM MORRO DA CRUZ'!$K49),0)</f>
        <v>0</v>
      </c>
      <c r="AO49" s="63">
        <f t="shared" ref="AO49:AO56" si="35">ROUND(AN49*$P49,2)</f>
        <v>0</v>
      </c>
      <c r="AP49" s="61">
        <f>IFERROR(SUMIFS('BM MORRO DA CRUZ - VERTICAL'!AT$6:AT$546,'BM MORRO DA CRUZ - VERTICAL'!$O$6:$O$546,'BM MORRO DA CRUZ'!$K49),0)</f>
        <v>0</v>
      </c>
      <c r="AQ49" s="63">
        <f t="shared" ref="AQ49:AQ56" si="36">ROUND(AP49*$P49,2)</f>
        <v>0</v>
      </c>
      <c r="AR49" s="61">
        <f>IFERROR(SUMIFS('BM MORRO DA CRUZ - VERTICAL'!AV$6:AV$546,'BM MORRO DA CRUZ - VERTICAL'!$O$6:$O$546,'BM MORRO DA CRUZ'!$K49),0)</f>
        <v>0</v>
      </c>
      <c r="AS49" s="63">
        <f t="shared" ref="AS49:AS56" si="37">ROUND(AR49*$P49,2)</f>
        <v>0</v>
      </c>
      <c r="AT49" s="61">
        <f>IFERROR(SUMIFS('BM MORRO DA CRUZ - VERTICAL'!AX$6:AX$546,'BM MORRO DA CRUZ - VERTICAL'!$O$6:$O$546,'BM MORRO DA CRUZ'!$K49),0)</f>
        <v>0</v>
      </c>
      <c r="AU49" s="63">
        <f t="shared" ref="AU49:AU56" si="38">ROUND(AT49*$P49,2)</f>
        <v>0</v>
      </c>
      <c r="AV49" s="61">
        <f>IFERROR(SUMIFS('BM MORRO DA CRUZ - VERTICAL'!AZ$6:AZ$546,'BM MORRO DA CRUZ - VERTICAL'!$O$6:$O$546,'BM MORRO DA CRUZ'!$K49),0)</f>
        <v>0</v>
      </c>
      <c r="AW49" s="63">
        <f t="shared" ref="AW49:AW56" si="39">ROUND(AV49*$P49,2)</f>
        <v>0</v>
      </c>
      <c r="AX49" s="61">
        <f>IFERROR(SUMIFS('BM MORRO DA CRUZ - VERTICAL'!BB$6:BB$546,'BM MORRO DA CRUZ - VERTICAL'!$O$6:$O$546,'BM MORRO DA CRUZ'!$K49),0)</f>
        <v>0</v>
      </c>
      <c r="AY49" s="63">
        <f t="shared" ref="AY49:AY56" si="40">ROUND(AX49*$P49,2)</f>
        <v>0</v>
      </c>
      <c r="AZ49" s="61">
        <f>IFERROR(SUMIFS('BM MORRO DA CRUZ - VERTICAL'!BD$6:BD$546,'BM MORRO DA CRUZ - VERTICAL'!$O$6:$O$546,'BM MORRO DA CRUZ'!$K49),0)</f>
        <v>0</v>
      </c>
      <c r="BA49" s="63">
        <f t="shared" ref="BA49:BA56" si="41">ROUND(AZ49*$P49,2)</f>
        <v>0</v>
      </c>
      <c r="BB49" s="61">
        <f t="shared" ref="BB49:BB56" si="42">IFERROR(SUMIFS($R49:$BA49,$R$5:$BA$5,$BB$5),0)</f>
        <v>0</v>
      </c>
      <c r="BC49" s="63">
        <f t="shared" ref="BC49:BC56" si="43">SUMIFS($R49:$BA49,$R$5:$BA$5,$S$5)</f>
        <v>0</v>
      </c>
      <c r="BD49" s="64">
        <f t="shared" ref="BD49:BD56" si="44">IFERROR(BB49/O49,0)</f>
        <v>0</v>
      </c>
      <c r="BE49" s="65">
        <f t="shared" ref="BE49:BE56" si="45">IFERROR((O49-BB49)/O49,0)</f>
        <v>1</v>
      </c>
      <c r="BF49" s="45"/>
    </row>
    <row r="50" spans="1:58" ht="35.65" x14ac:dyDescent="0.45">
      <c r="A50" s="56" t="s">
        <v>229</v>
      </c>
      <c r="B50" s="506" t="s">
        <v>223</v>
      </c>
      <c r="C50" s="507" t="s">
        <v>111</v>
      </c>
      <c r="D50" s="507" t="s">
        <v>224</v>
      </c>
      <c r="E50" s="507" t="s">
        <v>225</v>
      </c>
      <c r="F50" s="507" t="s">
        <v>39</v>
      </c>
      <c r="G50" s="507">
        <v>160</v>
      </c>
      <c r="H50" s="508" t="s">
        <v>267</v>
      </c>
      <c r="I50" s="507" t="s">
        <v>114</v>
      </c>
      <c r="J50" s="508" t="s">
        <v>41</v>
      </c>
      <c r="K50" s="57" t="s">
        <v>230</v>
      </c>
      <c r="L50" s="58" t="s">
        <v>21</v>
      </c>
      <c r="M50" s="59" t="s">
        <v>231</v>
      </c>
      <c r="N50" s="60" t="s">
        <v>71</v>
      </c>
      <c r="O50" s="61">
        <v>48</v>
      </c>
      <c r="P50" s="62">
        <v>237.19</v>
      </c>
      <c r="Q50" s="63">
        <f t="shared" si="23"/>
        <v>11385.12</v>
      </c>
      <c r="R50" s="61">
        <f>IFERROR(SUMIFS('BM MORRO DA CRUZ - VERTICAL'!V$6:V$546,'BM MORRO DA CRUZ - VERTICAL'!$O$6:$O$546,'BM MORRO DA CRUZ'!$K50),0)</f>
        <v>0</v>
      </c>
      <c r="S50" s="63">
        <f t="shared" si="24"/>
        <v>0</v>
      </c>
      <c r="T50" s="61">
        <f>IFERROR(SUMIFS('BM MORRO DA CRUZ - VERTICAL'!X$6:X$546,'BM MORRO DA CRUZ - VERTICAL'!$O$6:$O$546,'BM MORRO DA CRUZ'!$K50),0)</f>
        <v>0</v>
      </c>
      <c r="U50" s="63">
        <f t="shared" si="25"/>
        <v>0</v>
      </c>
      <c r="V50" s="61">
        <f>IFERROR(SUMIFS('BM MORRO DA CRUZ - VERTICAL'!Z$6:Z$546,'BM MORRO DA CRUZ - VERTICAL'!$O$6:$O$546,'BM MORRO DA CRUZ'!$K50),0)</f>
        <v>0</v>
      </c>
      <c r="W50" s="63">
        <f t="shared" si="26"/>
        <v>0</v>
      </c>
      <c r="X50" s="61">
        <f>IFERROR(SUMIFS('BM MORRO DA CRUZ - VERTICAL'!AB$6:AB$546,'BM MORRO DA CRUZ - VERTICAL'!$O$6:$O$546,'BM MORRO DA CRUZ'!$K50),0)</f>
        <v>0</v>
      </c>
      <c r="Y50" s="63">
        <f t="shared" si="27"/>
        <v>0</v>
      </c>
      <c r="Z50" s="61">
        <f>IFERROR(SUMIFS('BM MORRO DA CRUZ - VERTICAL'!AD$6:AD$546,'BM MORRO DA CRUZ - VERTICAL'!$O$6:$O$546,'BM MORRO DA CRUZ'!$K50),0)</f>
        <v>0</v>
      </c>
      <c r="AA50" s="63">
        <f t="shared" si="28"/>
        <v>0</v>
      </c>
      <c r="AB50" s="61">
        <f>IFERROR(SUMIFS('BM MORRO DA CRUZ - VERTICAL'!AF$6:AF$546,'BM MORRO DA CRUZ - VERTICAL'!$O$6:$O$546,'BM MORRO DA CRUZ'!$K50),0)</f>
        <v>0</v>
      </c>
      <c r="AC50" s="63">
        <f t="shared" si="29"/>
        <v>0</v>
      </c>
      <c r="AD50" s="61">
        <f>IFERROR(SUMIFS('BM MORRO DA CRUZ - VERTICAL'!AH$6:AH$546,'BM MORRO DA CRUZ - VERTICAL'!$O$6:$O$546,'BM MORRO DA CRUZ'!$K50),0)</f>
        <v>0</v>
      </c>
      <c r="AE50" s="63">
        <f t="shared" si="30"/>
        <v>0</v>
      </c>
      <c r="AF50" s="61">
        <f>IFERROR(SUMIFS('BM MORRO DA CRUZ - VERTICAL'!AJ$6:AJ$546,'BM MORRO DA CRUZ - VERTICAL'!$O$6:$O$546,'BM MORRO DA CRUZ'!$K50),0)</f>
        <v>0</v>
      </c>
      <c r="AG50" s="63">
        <f t="shared" si="31"/>
        <v>0</v>
      </c>
      <c r="AH50" s="61">
        <f>IFERROR(SUMIFS('BM MORRO DA CRUZ - VERTICAL'!AL$6:AL$546,'BM MORRO DA CRUZ - VERTICAL'!$O$6:$O$546,'BM MORRO DA CRUZ'!$K50),0)</f>
        <v>0</v>
      </c>
      <c r="AI50" s="63">
        <f t="shared" si="32"/>
        <v>0</v>
      </c>
      <c r="AJ50" s="61">
        <f>IFERROR(SUMIFS('BM MORRO DA CRUZ - VERTICAL'!AN$6:AN$546,'BM MORRO DA CRUZ - VERTICAL'!$O$6:$O$546,'BM MORRO DA CRUZ'!$K50),0)</f>
        <v>0</v>
      </c>
      <c r="AK50" s="63">
        <f t="shared" si="33"/>
        <v>0</v>
      </c>
      <c r="AL50" s="61">
        <f>IFERROR(SUMIFS('BM MORRO DA CRUZ - VERTICAL'!AP$6:AP$546,'BM MORRO DA CRUZ - VERTICAL'!$O$6:$O$546,'BM MORRO DA CRUZ'!$K50),0)</f>
        <v>0</v>
      </c>
      <c r="AM50" s="63">
        <f t="shared" si="34"/>
        <v>0</v>
      </c>
      <c r="AN50" s="61">
        <f>IFERROR(SUMIFS('BM MORRO DA CRUZ - VERTICAL'!AR$6:AR$546,'BM MORRO DA CRUZ - VERTICAL'!$O$6:$O$546,'BM MORRO DA CRUZ'!$K50),0)</f>
        <v>0</v>
      </c>
      <c r="AO50" s="63">
        <f t="shared" si="35"/>
        <v>0</v>
      </c>
      <c r="AP50" s="61">
        <f>IFERROR(SUMIFS('BM MORRO DA CRUZ - VERTICAL'!AT$6:AT$546,'BM MORRO DA CRUZ - VERTICAL'!$O$6:$O$546,'BM MORRO DA CRUZ'!$K50),0)</f>
        <v>0</v>
      </c>
      <c r="AQ50" s="63">
        <f t="shared" si="36"/>
        <v>0</v>
      </c>
      <c r="AR50" s="61">
        <f>IFERROR(SUMIFS('BM MORRO DA CRUZ - VERTICAL'!AV$6:AV$546,'BM MORRO DA CRUZ - VERTICAL'!$O$6:$O$546,'BM MORRO DA CRUZ'!$K50),0)</f>
        <v>0</v>
      </c>
      <c r="AS50" s="63">
        <f t="shared" si="37"/>
        <v>0</v>
      </c>
      <c r="AT50" s="61">
        <f>IFERROR(SUMIFS('BM MORRO DA CRUZ - VERTICAL'!AX$6:AX$546,'BM MORRO DA CRUZ - VERTICAL'!$O$6:$O$546,'BM MORRO DA CRUZ'!$K50),0)</f>
        <v>0</v>
      </c>
      <c r="AU50" s="63">
        <f t="shared" si="38"/>
        <v>0</v>
      </c>
      <c r="AV50" s="61">
        <f>IFERROR(SUMIFS('BM MORRO DA CRUZ - VERTICAL'!AZ$6:AZ$546,'BM MORRO DA CRUZ - VERTICAL'!$O$6:$O$546,'BM MORRO DA CRUZ'!$K50),0)</f>
        <v>0</v>
      </c>
      <c r="AW50" s="63">
        <f t="shared" si="39"/>
        <v>0</v>
      </c>
      <c r="AX50" s="61">
        <f>IFERROR(SUMIFS('BM MORRO DA CRUZ - VERTICAL'!BB$6:BB$546,'BM MORRO DA CRUZ - VERTICAL'!$O$6:$O$546,'BM MORRO DA CRUZ'!$K50),0)</f>
        <v>0</v>
      </c>
      <c r="AY50" s="63">
        <f t="shared" si="40"/>
        <v>0</v>
      </c>
      <c r="AZ50" s="61">
        <f>IFERROR(SUMIFS('BM MORRO DA CRUZ - VERTICAL'!BD$6:BD$546,'BM MORRO DA CRUZ - VERTICAL'!$O$6:$O$546,'BM MORRO DA CRUZ'!$K50),0)</f>
        <v>0</v>
      </c>
      <c r="BA50" s="63">
        <f t="shared" si="41"/>
        <v>0</v>
      </c>
      <c r="BB50" s="61">
        <f t="shared" si="42"/>
        <v>0</v>
      </c>
      <c r="BC50" s="63">
        <f t="shared" si="43"/>
        <v>0</v>
      </c>
      <c r="BD50" s="64">
        <f t="shared" si="44"/>
        <v>0</v>
      </c>
      <c r="BE50" s="65">
        <f t="shared" si="45"/>
        <v>1</v>
      </c>
      <c r="BF50" s="45"/>
    </row>
    <row r="51" spans="1:58" ht="35.65" x14ac:dyDescent="0.45">
      <c r="A51" s="56" t="s">
        <v>232</v>
      </c>
      <c r="B51" s="506" t="s">
        <v>223</v>
      </c>
      <c r="C51" s="507" t="s">
        <v>111</v>
      </c>
      <c r="D51" s="507" t="s">
        <v>224</v>
      </c>
      <c r="E51" s="507" t="s">
        <v>225</v>
      </c>
      <c r="F51" s="507" t="s">
        <v>39</v>
      </c>
      <c r="G51" s="507">
        <v>200</v>
      </c>
      <c r="H51" s="508" t="s">
        <v>267</v>
      </c>
      <c r="I51" s="507" t="s">
        <v>114</v>
      </c>
      <c r="J51" s="508" t="s">
        <v>41</v>
      </c>
      <c r="K51" s="57" t="s">
        <v>233</v>
      </c>
      <c r="L51" s="58" t="s">
        <v>21</v>
      </c>
      <c r="M51" s="59" t="s">
        <v>234</v>
      </c>
      <c r="N51" s="60" t="s">
        <v>71</v>
      </c>
      <c r="O51" s="61">
        <v>12</v>
      </c>
      <c r="P51" s="62">
        <v>343.59</v>
      </c>
      <c r="Q51" s="63">
        <f t="shared" si="23"/>
        <v>4123.08</v>
      </c>
      <c r="R51" s="61">
        <f>IFERROR(SUMIFS('BM MORRO DA CRUZ - VERTICAL'!V$6:V$546,'BM MORRO DA CRUZ - VERTICAL'!$O$6:$O$546,'BM MORRO DA CRUZ'!$K51),0)</f>
        <v>0</v>
      </c>
      <c r="S51" s="63">
        <f t="shared" si="24"/>
        <v>0</v>
      </c>
      <c r="T51" s="61">
        <f>IFERROR(SUMIFS('BM MORRO DA CRUZ - VERTICAL'!X$6:X$546,'BM MORRO DA CRUZ - VERTICAL'!$O$6:$O$546,'BM MORRO DA CRUZ'!$K51),0)</f>
        <v>0</v>
      </c>
      <c r="U51" s="63">
        <f t="shared" si="25"/>
        <v>0</v>
      </c>
      <c r="V51" s="61">
        <f>IFERROR(SUMIFS('BM MORRO DA CRUZ - VERTICAL'!Z$6:Z$546,'BM MORRO DA CRUZ - VERTICAL'!$O$6:$O$546,'BM MORRO DA CRUZ'!$K51),0)</f>
        <v>0</v>
      </c>
      <c r="W51" s="63">
        <f t="shared" si="26"/>
        <v>0</v>
      </c>
      <c r="X51" s="61">
        <f>IFERROR(SUMIFS('BM MORRO DA CRUZ - VERTICAL'!AB$6:AB$546,'BM MORRO DA CRUZ - VERTICAL'!$O$6:$O$546,'BM MORRO DA CRUZ'!$K51),0)</f>
        <v>0</v>
      </c>
      <c r="Y51" s="63">
        <f t="shared" si="27"/>
        <v>0</v>
      </c>
      <c r="Z51" s="61">
        <f>IFERROR(SUMIFS('BM MORRO DA CRUZ - VERTICAL'!AD$6:AD$546,'BM MORRO DA CRUZ - VERTICAL'!$O$6:$O$546,'BM MORRO DA CRUZ'!$K51),0)</f>
        <v>0</v>
      </c>
      <c r="AA51" s="63">
        <f t="shared" si="28"/>
        <v>0</v>
      </c>
      <c r="AB51" s="61">
        <f>IFERROR(SUMIFS('BM MORRO DA CRUZ - VERTICAL'!AF$6:AF$546,'BM MORRO DA CRUZ - VERTICAL'!$O$6:$O$546,'BM MORRO DA CRUZ'!$K51),0)</f>
        <v>0</v>
      </c>
      <c r="AC51" s="63">
        <f t="shared" si="29"/>
        <v>0</v>
      </c>
      <c r="AD51" s="61">
        <f>IFERROR(SUMIFS('BM MORRO DA CRUZ - VERTICAL'!AH$6:AH$546,'BM MORRO DA CRUZ - VERTICAL'!$O$6:$O$546,'BM MORRO DA CRUZ'!$K51),0)</f>
        <v>0</v>
      </c>
      <c r="AE51" s="63">
        <f t="shared" si="30"/>
        <v>0</v>
      </c>
      <c r="AF51" s="61">
        <f>IFERROR(SUMIFS('BM MORRO DA CRUZ - VERTICAL'!AJ$6:AJ$546,'BM MORRO DA CRUZ - VERTICAL'!$O$6:$O$546,'BM MORRO DA CRUZ'!$K51),0)</f>
        <v>0</v>
      </c>
      <c r="AG51" s="63">
        <f t="shared" si="31"/>
        <v>0</v>
      </c>
      <c r="AH51" s="61">
        <f>IFERROR(SUMIFS('BM MORRO DA CRUZ - VERTICAL'!AL$6:AL$546,'BM MORRO DA CRUZ - VERTICAL'!$O$6:$O$546,'BM MORRO DA CRUZ'!$K51),0)</f>
        <v>0</v>
      </c>
      <c r="AI51" s="63">
        <f t="shared" si="32"/>
        <v>0</v>
      </c>
      <c r="AJ51" s="61">
        <f>IFERROR(SUMIFS('BM MORRO DA CRUZ - VERTICAL'!AN$6:AN$546,'BM MORRO DA CRUZ - VERTICAL'!$O$6:$O$546,'BM MORRO DA CRUZ'!$K51),0)</f>
        <v>0</v>
      </c>
      <c r="AK51" s="63">
        <f t="shared" si="33"/>
        <v>0</v>
      </c>
      <c r="AL51" s="61">
        <f>IFERROR(SUMIFS('BM MORRO DA CRUZ - VERTICAL'!AP$6:AP$546,'BM MORRO DA CRUZ - VERTICAL'!$O$6:$O$546,'BM MORRO DA CRUZ'!$K51),0)</f>
        <v>0</v>
      </c>
      <c r="AM51" s="63">
        <f t="shared" si="34"/>
        <v>0</v>
      </c>
      <c r="AN51" s="61">
        <f>IFERROR(SUMIFS('BM MORRO DA CRUZ - VERTICAL'!AR$6:AR$546,'BM MORRO DA CRUZ - VERTICAL'!$O$6:$O$546,'BM MORRO DA CRUZ'!$K51),0)</f>
        <v>0</v>
      </c>
      <c r="AO51" s="63">
        <f t="shared" si="35"/>
        <v>0</v>
      </c>
      <c r="AP51" s="61">
        <f>IFERROR(SUMIFS('BM MORRO DA CRUZ - VERTICAL'!AT$6:AT$546,'BM MORRO DA CRUZ - VERTICAL'!$O$6:$O$546,'BM MORRO DA CRUZ'!$K51),0)</f>
        <v>0</v>
      </c>
      <c r="AQ51" s="63">
        <f t="shared" si="36"/>
        <v>0</v>
      </c>
      <c r="AR51" s="61">
        <f>IFERROR(SUMIFS('BM MORRO DA CRUZ - VERTICAL'!AV$6:AV$546,'BM MORRO DA CRUZ - VERTICAL'!$O$6:$O$546,'BM MORRO DA CRUZ'!$K51),0)</f>
        <v>0</v>
      </c>
      <c r="AS51" s="63">
        <f t="shared" si="37"/>
        <v>0</v>
      </c>
      <c r="AT51" s="61">
        <f>IFERROR(SUMIFS('BM MORRO DA CRUZ - VERTICAL'!AX$6:AX$546,'BM MORRO DA CRUZ - VERTICAL'!$O$6:$O$546,'BM MORRO DA CRUZ'!$K51),0)</f>
        <v>0</v>
      </c>
      <c r="AU51" s="63">
        <f t="shared" si="38"/>
        <v>0</v>
      </c>
      <c r="AV51" s="61">
        <f>IFERROR(SUMIFS('BM MORRO DA CRUZ - VERTICAL'!AZ$6:AZ$546,'BM MORRO DA CRUZ - VERTICAL'!$O$6:$O$546,'BM MORRO DA CRUZ'!$K51),0)</f>
        <v>0</v>
      </c>
      <c r="AW51" s="63">
        <f t="shared" si="39"/>
        <v>0</v>
      </c>
      <c r="AX51" s="61">
        <f>IFERROR(SUMIFS('BM MORRO DA CRUZ - VERTICAL'!BB$6:BB$546,'BM MORRO DA CRUZ - VERTICAL'!$O$6:$O$546,'BM MORRO DA CRUZ'!$K51),0)</f>
        <v>0</v>
      </c>
      <c r="AY51" s="63">
        <f t="shared" si="40"/>
        <v>0</v>
      </c>
      <c r="AZ51" s="61">
        <f>IFERROR(SUMIFS('BM MORRO DA CRUZ - VERTICAL'!BD$6:BD$546,'BM MORRO DA CRUZ - VERTICAL'!$O$6:$O$546,'BM MORRO DA CRUZ'!$K51),0)</f>
        <v>0</v>
      </c>
      <c r="BA51" s="63">
        <f t="shared" si="41"/>
        <v>0</v>
      </c>
      <c r="BB51" s="61">
        <f t="shared" si="42"/>
        <v>0</v>
      </c>
      <c r="BC51" s="63">
        <f t="shared" si="43"/>
        <v>0</v>
      </c>
      <c r="BD51" s="64">
        <f t="shared" si="44"/>
        <v>0</v>
      </c>
      <c r="BE51" s="65">
        <f t="shared" si="45"/>
        <v>1</v>
      </c>
      <c r="BF51" s="45"/>
    </row>
    <row r="52" spans="1:58" ht="35.65" x14ac:dyDescent="0.45">
      <c r="A52" s="56" t="s">
        <v>235</v>
      </c>
      <c r="B52" s="506" t="s">
        <v>223</v>
      </c>
      <c r="C52" s="507" t="s">
        <v>111</v>
      </c>
      <c r="D52" s="507" t="s">
        <v>224</v>
      </c>
      <c r="E52" s="507" t="s">
        <v>225</v>
      </c>
      <c r="F52" s="507" t="s">
        <v>39</v>
      </c>
      <c r="G52" s="507">
        <v>225</v>
      </c>
      <c r="H52" s="508" t="s">
        <v>267</v>
      </c>
      <c r="I52" s="507" t="s">
        <v>114</v>
      </c>
      <c r="J52" s="508" t="s">
        <v>41</v>
      </c>
      <c r="K52" s="57" t="s">
        <v>236</v>
      </c>
      <c r="L52" s="58" t="s">
        <v>21</v>
      </c>
      <c r="M52" s="59" t="s">
        <v>237</v>
      </c>
      <c r="N52" s="60" t="s">
        <v>71</v>
      </c>
      <c r="O52" s="61">
        <v>7</v>
      </c>
      <c r="P52" s="62">
        <v>343.59</v>
      </c>
      <c r="Q52" s="63">
        <f t="shared" si="23"/>
        <v>2405.13</v>
      </c>
      <c r="R52" s="61">
        <f>IFERROR(SUMIFS('BM MORRO DA CRUZ - VERTICAL'!V$6:V$546,'BM MORRO DA CRUZ - VERTICAL'!$O$6:$O$546,'BM MORRO DA CRUZ'!$K52),0)</f>
        <v>0</v>
      </c>
      <c r="S52" s="63">
        <f t="shared" si="24"/>
        <v>0</v>
      </c>
      <c r="T52" s="61">
        <f>IFERROR(SUMIFS('BM MORRO DA CRUZ - VERTICAL'!X$6:X$546,'BM MORRO DA CRUZ - VERTICAL'!$O$6:$O$546,'BM MORRO DA CRUZ'!$K52),0)</f>
        <v>0</v>
      </c>
      <c r="U52" s="63">
        <f t="shared" si="25"/>
        <v>0</v>
      </c>
      <c r="V52" s="61">
        <f>IFERROR(SUMIFS('BM MORRO DA CRUZ - VERTICAL'!Z$6:Z$546,'BM MORRO DA CRUZ - VERTICAL'!$O$6:$O$546,'BM MORRO DA CRUZ'!$K52),0)</f>
        <v>0</v>
      </c>
      <c r="W52" s="63">
        <f t="shared" si="26"/>
        <v>0</v>
      </c>
      <c r="X52" s="61">
        <f>IFERROR(SUMIFS('BM MORRO DA CRUZ - VERTICAL'!AB$6:AB$546,'BM MORRO DA CRUZ - VERTICAL'!$O$6:$O$546,'BM MORRO DA CRUZ'!$K52),0)</f>
        <v>0</v>
      </c>
      <c r="Y52" s="63">
        <f t="shared" si="27"/>
        <v>0</v>
      </c>
      <c r="Z52" s="61">
        <f>IFERROR(SUMIFS('BM MORRO DA CRUZ - VERTICAL'!AD$6:AD$546,'BM MORRO DA CRUZ - VERTICAL'!$O$6:$O$546,'BM MORRO DA CRUZ'!$K52),0)</f>
        <v>0</v>
      </c>
      <c r="AA52" s="63">
        <f t="shared" si="28"/>
        <v>0</v>
      </c>
      <c r="AB52" s="61">
        <f>IFERROR(SUMIFS('BM MORRO DA CRUZ - VERTICAL'!AF$6:AF$546,'BM MORRO DA CRUZ - VERTICAL'!$O$6:$O$546,'BM MORRO DA CRUZ'!$K52),0)</f>
        <v>0</v>
      </c>
      <c r="AC52" s="63">
        <f t="shared" si="29"/>
        <v>0</v>
      </c>
      <c r="AD52" s="61">
        <f>IFERROR(SUMIFS('BM MORRO DA CRUZ - VERTICAL'!AH$6:AH$546,'BM MORRO DA CRUZ - VERTICAL'!$O$6:$O$546,'BM MORRO DA CRUZ'!$K52),0)</f>
        <v>0</v>
      </c>
      <c r="AE52" s="63">
        <f t="shared" si="30"/>
        <v>0</v>
      </c>
      <c r="AF52" s="61">
        <f>IFERROR(SUMIFS('BM MORRO DA CRUZ - VERTICAL'!AJ$6:AJ$546,'BM MORRO DA CRUZ - VERTICAL'!$O$6:$O$546,'BM MORRO DA CRUZ'!$K52),0)</f>
        <v>0</v>
      </c>
      <c r="AG52" s="63">
        <f t="shared" si="31"/>
        <v>0</v>
      </c>
      <c r="AH52" s="61">
        <f>IFERROR(SUMIFS('BM MORRO DA CRUZ - VERTICAL'!AL$6:AL$546,'BM MORRO DA CRUZ - VERTICAL'!$O$6:$O$546,'BM MORRO DA CRUZ'!$K52),0)</f>
        <v>0</v>
      </c>
      <c r="AI52" s="63">
        <f t="shared" si="32"/>
        <v>0</v>
      </c>
      <c r="AJ52" s="61">
        <f>IFERROR(SUMIFS('BM MORRO DA CRUZ - VERTICAL'!AN$6:AN$546,'BM MORRO DA CRUZ - VERTICAL'!$O$6:$O$546,'BM MORRO DA CRUZ'!$K52),0)</f>
        <v>0</v>
      </c>
      <c r="AK52" s="63">
        <f t="shared" si="33"/>
        <v>0</v>
      </c>
      <c r="AL52" s="61">
        <f>IFERROR(SUMIFS('BM MORRO DA CRUZ - VERTICAL'!AP$6:AP$546,'BM MORRO DA CRUZ - VERTICAL'!$O$6:$O$546,'BM MORRO DA CRUZ'!$K52),0)</f>
        <v>0</v>
      </c>
      <c r="AM52" s="63">
        <f t="shared" si="34"/>
        <v>0</v>
      </c>
      <c r="AN52" s="61">
        <f>IFERROR(SUMIFS('BM MORRO DA CRUZ - VERTICAL'!AR$6:AR$546,'BM MORRO DA CRUZ - VERTICAL'!$O$6:$O$546,'BM MORRO DA CRUZ'!$K52),0)</f>
        <v>0</v>
      </c>
      <c r="AO52" s="63">
        <f t="shared" si="35"/>
        <v>0</v>
      </c>
      <c r="AP52" s="61">
        <f>IFERROR(SUMIFS('BM MORRO DA CRUZ - VERTICAL'!AT$6:AT$546,'BM MORRO DA CRUZ - VERTICAL'!$O$6:$O$546,'BM MORRO DA CRUZ'!$K52),0)</f>
        <v>0</v>
      </c>
      <c r="AQ52" s="63">
        <f t="shared" si="36"/>
        <v>0</v>
      </c>
      <c r="AR52" s="61">
        <f>IFERROR(SUMIFS('BM MORRO DA CRUZ - VERTICAL'!AV$6:AV$546,'BM MORRO DA CRUZ - VERTICAL'!$O$6:$O$546,'BM MORRO DA CRUZ'!$K52),0)</f>
        <v>0</v>
      </c>
      <c r="AS52" s="63">
        <f t="shared" si="37"/>
        <v>0</v>
      </c>
      <c r="AT52" s="61">
        <f>IFERROR(SUMIFS('BM MORRO DA CRUZ - VERTICAL'!AX$6:AX$546,'BM MORRO DA CRUZ - VERTICAL'!$O$6:$O$546,'BM MORRO DA CRUZ'!$K52),0)</f>
        <v>0</v>
      </c>
      <c r="AU52" s="63">
        <f t="shared" si="38"/>
        <v>0</v>
      </c>
      <c r="AV52" s="61">
        <f>IFERROR(SUMIFS('BM MORRO DA CRUZ - VERTICAL'!AZ$6:AZ$546,'BM MORRO DA CRUZ - VERTICAL'!$O$6:$O$546,'BM MORRO DA CRUZ'!$K52),0)</f>
        <v>0</v>
      </c>
      <c r="AW52" s="63">
        <f t="shared" si="39"/>
        <v>0</v>
      </c>
      <c r="AX52" s="61">
        <f>IFERROR(SUMIFS('BM MORRO DA CRUZ - VERTICAL'!BB$6:BB$546,'BM MORRO DA CRUZ - VERTICAL'!$O$6:$O$546,'BM MORRO DA CRUZ'!$K52),0)</f>
        <v>0</v>
      </c>
      <c r="AY52" s="63">
        <f t="shared" si="40"/>
        <v>0</v>
      </c>
      <c r="AZ52" s="61">
        <f>IFERROR(SUMIFS('BM MORRO DA CRUZ - VERTICAL'!BD$6:BD$546,'BM MORRO DA CRUZ - VERTICAL'!$O$6:$O$546,'BM MORRO DA CRUZ'!$K52),0)</f>
        <v>0</v>
      </c>
      <c r="BA52" s="63">
        <f t="shared" si="41"/>
        <v>0</v>
      </c>
      <c r="BB52" s="61">
        <f t="shared" si="42"/>
        <v>0</v>
      </c>
      <c r="BC52" s="63">
        <f t="shared" si="43"/>
        <v>0</v>
      </c>
      <c r="BD52" s="64">
        <f t="shared" si="44"/>
        <v>0</v>
      </c>
      <c r="BE52" s="65">
        <f t="shared" si="45"/>
        <v>1</v>
      </c>
      <c r="BF52" s="45"/>
    </row>
    <row r="53" spans="1:58" ht="35.65" x14ac:dyDescent="0.45">
      <c r="A53" s="56" t="s">
        <v>238</v>
      </c>
      <c r="B53" s="506" t="s">
        <v>223</v>
      </c>
      <c r="C53" s="507" t="s">
        <v>111</v>
      </c>
      <c r="D53" s="507" t="s">
        <v>224</v>
      </c>
      <c r="E53" s="507" t="s">
        <v>225</v>
      </c>
      <c r="F53" s="507" t="s">
        <v>39</v>
      </c>
      <c r="G53" s="507">
        <v>250</v>
      </c>
      <c r="H53" s="508" t="s">
        <v>267</v>
      </c>
      <c r="I53" s="507" t="s">
        <v>114</v>
      </c>
      <c r="J53" s="508" t="s">
        <v>41</v>
      </c>
      <c r="K53" s="57" t="s">
        <v>239</v>
      </c>
      <c r="L53" s="58" t="s">
        <v>21</v>
      </c>
      <c r="M53" s="59" t="s">
        <v>240</v>
      </c>
      <c r="N53" s="60" t="s">
        <v>71</v>
      </c>
      <c r="O53" s="61">
        <v>10</v>
      </c>
      <c r="P53" s="62">
        <v>444.96</v>
      </c>
      <c r="Q53" s="63">
        <f t="shared" si="23"/>
        <v>4449.6000000000004</v>
      </c>
      <c r="R53" s="61">
        <f>IFERROR(SUMIFS('BM MORRO DA CRUZ - VERTICAL'!V$6:V$546,'BM MORRO DA CRUZ - VERTICAL'!$O$6:$O$546,'BM MORRO DA CRUZ'!$K53),0)</f>
        <v>0</v>
      </c>
      <c r="S53" s="63">
        <f t="shared" si="24"/>
        <v>0</v>
      </c>
      <c r="T53" s="61">
        <f>IFERROR(SUMIFS('BM MORRO DA CRUZ - VERTICAL'!X$6:X$546,'BM MORRO DA CRUZ - VERTICAL'!$O$6:$O$546,'BM MORRO DA CRUZ'!$K53),0)</f>
        <v>0</v>
      </c>
      <c r="U53" s="63">
        <f t="shared" si="25"/>
        <v>0</v>
      </c>
      <c r="V53" s="61">
        <f>IFERROR(SUMIFS('BM MORRO DA CRUZ - VERTICAL'!Z$6:Z$546,'BM MORRO DA CRUZ - VERTICAL'!$O$6:$O$546,'BM MORRO DA CRUZ'!$K53),0)</f>
        <v>0</v>
      </c>
      <c r="W53" s="63">
        <f t="shared" si="26"/>
        <v>0</v>
      </c>
      <c r="X53" s="61">
        <f>IFERROR(SUMIFS('BM MORRO DA CRUZ - VERTICAL'!AB$6:AB$546,'BM MORRO DA CRUZ - VERTICAL'!$O$6:$O$546,'BM MORRO DA CRUZ'!$K53),0)</f>
        <v>0</v>
      </c>
      <c r="Y53" s="63">
        <f t="shared" si="27"/>
        <v>0</v>
      </c>
      <c r="Z53" s="61">
        <f>IFERROR(SUMIFS('BM MORRO DA CRUZ - VERTICAL'!AD$6:AD$546,'BM MORRO DA CRUZ - VERTICAL'!$O$6:$O$546,'BM MORRO DA CRUZ'!$K53),0)</f>
        <v>0</v>
      </c>
      <c r="AA53" s="63">
        <f t="shared" si="28"/>
        <v>0</v>
      </c>
      <c r="AB53" s="61">
        <f>IFERROR(SUMIFS('BM MORRO DA CRUZ - VERTICAL'!AF$6:AF$546,'BM MORRO DA CRUZ - VERTICAL'!$O$6:$O$546,'BM MORRO DA CRUZ'!$K53),0)</f>
        <v>0</v>
      </c>
      <c r="AC53" s="63">
        <f t="shared" si="29"/>
        <v>0</v>
      </c>
      <c r="AD53" s="61">
        <f>IFERROR(SUMIFS('BM MORRO DA CRUZ - VERTICAL'!AH$6:AH$546,'BM MORRO DA CRUZ - VERTICAL'!$O$6:$O$546,'BM MORRO DA CRUZ'!$K53),0)</f>
        <v>0</v>
      </c>
      <c r="AE53" s="63">
        <f t="shared" si="30"/>
        <v>0</v>
      </c>
      <c r="AF53" s="61">
        <f>IFERROR(SUMIFS('BM MORRO DA CRUZ - VERTICAL'!AJ$6:AJ$546,'BM MORRO DA CRUZ - VERTICAL'!$O$6:$O$546,'BM MORRO DA CRUZ'!$K53),0)</f>
        <v>0</v>
      </c>
      <c r="AG53" s="63">
        <f t="shared" si="31"/>
        <v>0</v>
      </c>
      <c r="AH53" s="61">
        <f>IFERROR(SUMIFS('BM MORRO DA CRUZ - VERTICAL'!AL$6:AL$546,'BM MORRO DA CRUZ - VERTICAL'!$O$6:$O$546,'BM MORRO DA CRUZ'!$K53),0)</f>
        <v>0</v>
      </c>
      <c r="AI53" s="63">
        <f t="shared" si="32"/>
        <v>0</v>
      </c>
      <c r="AJ53" s="61">
        <f>IFERROR(SUMIFS('BM MORRO DA CRUZ - VERTICAL'!AN$6:AN$546,'BM MORRO DA CRUZ - VERTICAL'!$O$6:$O$546,'BM MORRO DA CRUZ'!$K53),0)</f>
        <v>0</v>
      </c>
      <c r="AK53" s="63">
        <f t="shared" si="33"/>
        <v>0</v>
      </c>
      <c r="AL53" s="61">
        <f>IFERROR(SUMIFS('BM MORRO DA CRUZ - VERTICAL'!AP$6:AP$546,'BM MORRO DA CRUZ - VERTICAL'!$O$6:$O$546,'BM MORRO DA CRUZ'!$K53),0)</f>
        <v>0</v>
      </c>
      <c r="AM53" s="63">
        <f t="shared" si="34"/>
        <v>0</v>
      </c>
      <c r="AN53" s="61">
        <f>IFERROR(SUMIFS('BM MORRO DA CRUZ - VERTICAL'!AR$6:AR$546,'BM MORRO DA CRUZ - VERTICAL'!$O$6:$O$546,'BM MORRO DA CRUZ'!$K53),0)</f>
        <v>0</v>
      </c>
      <c r="AO53" s="63">
        <f t="shared" si="35"/>
        <v>0</v>
      </c>
      <c r="AP53" s="61">
        <f>IFERROR(SUMIFS('BM MORRO DA CRUZ - VERTICAL'!AT$6:AT$546,'BM MORRO DA CRUZ - VERTICAL'!$O$6:$O$546,'BM MORRO DA CRUZ'!$K53),0)</f>
        <v>0</v>
      </c>
      <c r="AQ53" s="63">
        <f t="shared" si="36"/>
        <v>0</v>
      </c>
      <c r="AR53" s="61">
        <f>IFERROR(SUMIFS('BM MORRO DA CRUZ - VERTICAL'!AV$6:AV$546,'BM MORRO DA CRUZ - VERTICAL'!$O$6:$O$546,'BM MORRO DA CRUZ'!$K53),0)</f>
        <v>0</v>
      </c>
      <c r="AS53" s="63">
        <f t="shared" si="37"/>
        <v>0</v>
      </c>
      <c r="AT53" s="61">
        <f>IFERROR(SUMIFS('BM MORRO DA CRUZ - VERTICAL'!AX$6:AX$546,'BM MORRO DA CRUZ - VERTICAL'!$O$6:$O$546,'BM MORRO DA CRUZ'!$K53),0)</f>
        <v>0</v>
      </c>
      <c r="AU53" s="63">
        <f t="shared" si="38"/>
        <v>0</v>
      </c>
      <c r="AV53" s="61">
        <f>IFERROR(SUMIFS('BM MORRO DA CRUZ - VERTICAL'!AZ$6:AZ$546,'BM MORRO DA CRUZ - VERTICAL'!$O$6:$O$546,'BM MORRO DA CRUZ'!$K53),0)</f>
        <v>0</v>
      </c>
      <c r="AW53" s="63">
        <f t="shared" si="39"/>
        <v>0</v>
      </c>
      <c r="AX53" s="61">
        <f>IFERROR(SUMIFS('BM MORRO DA CRUZ - VERTICAL'!BB$6:BB$546,'BM MORRO DA CRUZ - VERTICAL'!$O$6:$O$546,'BM MORRO DA CRUZ'!$K53),0)</f>
        <v>0</v>
      </c>
      <c r="AY53" s="63">
        <f t="shared" si="40"/>
        <v>0</v>
      </c>
      <c r="AZ53" s="61">
        <f>IFERROR(SUMIFS('BM MORRO DA CRUZ - VERTICAL'!BD$6:BD$546,'BM MORRO DA CRUZ - VERTICAL'!$O$6:$O$546,'BM MORRO DA CRUZ'!$K53),0)</f>
        <v>0</v>
      </c>
      <c r="BA53" s="63">
        <f t="shared" si="41"/>
        <v>0</v>
      </c>
      <c r="BB53" s="61">
        <f t="shared" si="42"/>
        <v>0</v>
      </c>
      <c r="BC53" s="63">
        <f t="shared" si="43"/>
        <v>0</v>
      </c>
      <c r="BD53" s="64">
        <f t="shared" si="44"/>
        <v>0</v>
      </c>
      <c r="BE53" s="65">
        <f t="shared" si="45"/>
        <v>1</v>
      </c>
      <c r="BF53" s="45"/>
    </row>
    <row r="54" spans="1:58" ht="35.65" x14ac:dyDescent="0.45">
      <c r="A54" s="56" t="s">
        <v>241</v>
      </c>
      <c r="B54" s="506" t="s">
        <v>223</v>
      </c>
      <c r="C54" s="507" t="s">
        <v>111</v>
      </c>
      <c r="D54" s="507" t="s">
        <v>224</v>
      </c>
      <c r="E54" s="507" t="s">
        <v>225</v>
      </c>
      <c r="F54" s="507" t="s">
        <v>39</v>
      </c>
      <c r="G54" s="507">
        <v>500</v>
      </c>
      <c r="H54" s="508" t="s">
        <v>267</v>
      </c>
      <c r="I54" s="507" t="s">
        <v>114</v>
      </c>
      <c r="J54" s="508" t="s">
        <v>41</v>
      </c>
      <c r="K54" s="57" t="s">
        <v>242</v>
      </c>
      <c r="L54" s="58" t="s">
        <v>21</v>
      </c>
      <c r="M54" s="59" t="s">
        <v>243</v>
      </c>
      <c r="N54" s="60" t="s">
        <v>71</v>
      </c>
      <c r="O54" s="61">
        <v>2</v>
      </c>
      <c r="P54" s="62">
        <v>1281.8800000000001</v>
      </c>
      <c r="Q54" s="63">
        <f t="shared" si="23"/>
        <v>2563.7600000000002</v>
      </c>
      <c r="R54" s="61">
        <f>IFERROR(SUMIFS('BM MORRO DA CRUZ - VERTICAL'!V$6:V$546,'BM MORRO DA CRUZ - VERTICAL'!$O$6:$O$546,'BM MORRO DA CRUZ'!$K54),0)</f>
        <v>0</v>
      </c>
      <c r="S54" s="63">
        <f t="shared" si="24"/>
        <v>0</v>
      </c>
      <c r="T54" s="61">
        <f>IFERROR(SUMIFS('BM MORRO DA CRUZ - VERTICAL'!X$6:X$546,'BM MORRO DA CRUZ - VERTICAL'!$O$6:$O$546,'BM MORRO DA CRUZ'!$K54),0)</f>
        <v>0</v>
      </c>
      <c r="U54" s="63">
        <f t="shared" si="25"/>
        <v>0</v>
      </c>
      <c r="V54" s="61">
        <f>IFERROR(SUMIFS('BM MORRO DA CRUZ - VERTICAL'!Z$6:Z$546,'BM MORRO DA CRUZ - VERTICAL'!$O$6:$O$546,'BM MORRO DA CRUZ'!$K54),0)</f>
        <v>0</v>
      </c>
      <c r="W54" s="63">
        <f t="shared" si="26"/>
        <v>0</v>
      </c>
      <c r="X54" s="61">
        <f>IFERROR(SUMIFS('BM MORRO DA CRUZ - VERTICAL'!AB$6:AB$546,'BM MORRO DA CRUZ - VERTICAL'!$O$6:$O$546,'BM MORRO DA CRUZ'!$K54),0)</f>
        <v>0</v>
      </c>
      <c r="Y54" s="63">
        <f t="shared" si="27"/>
        <v>0</v>
      </c>
      <c r="Z54" s="61">
        <f>IFERROR(SUMIFS('BM MORRO DA CRUZ - VERTICAL'!AD$6:AD$546,'BM MORRO DA CRUZ - VERTICAL'!$O$6:$O$546,'BM MORRO DA CRUZ'!$K54),0)</f>
        <v>0</v>
      </c>
      <c r="AA54" s="63">
        <f t="shared" si="28"/>
        <v>0</v>
      </c>
      <c r="AB54" s="61">
        <f>IFERROR(SUMIFS('BM MORRO DA CRUZ - VERTICAL'!AF$6:AF$546,'BM MORRO DA CRUZ - VERTICAL'!$O$6:$O$546,'BM MORRO DA CRUZ'!$K54),0)</f>
        <v>0</v>
      </c>
      <c r="AC54" s="63">
        <f t="shared" si="29"/>
        <v>0</v>
      </c>
      <c r="AD54" s="61">
        <f>IFERROR(SUMIFS('BM MORRO DA CRUZ - VERTICAL'!AH$6:AH$546,'BM MORRO DA CRUZ - VERTICAL'!$O$6:$O$546,'BM MORRO DA CRUZ'!$K54),0)</f>
        <v>0</v>
      </c>
      <c r="AE54" s="63">
        <f t="shared" si="30"/>
        <v>0</v>
      </c>
      <c r="AF54" s="61">
        <f>IFERROR(SUMIFS('BM MORRO DA CRUZ - VERTICAL'!AJ$6:AJ$546,'BM MORRO DA CRUZ - VERTICAL'!$O$6:$O$546,'BM MORRO DA CRUZ'!$K54),0)</f>
        <v>0</v>
      </c>
      <c r="AG54" s="63">
        <f t="shared" si="31"/>
        <v>0</v>
      </c>
      <c r="AH54" s="61">
        <f>IFERROR(SUMIFS('BM MORRO DA CRUZ - VERTICAL'!AL$6:AL$546,'BM MORRO DA CRUZ - VERTICAL'!$O$6:$O$546,'BM MORRO DA CRUZ'!$K54),0)</f>
        <v>0</v>
      </c>
      <c r="AI54" s="63">
        <f t="shared" si="32"/>
        <v>0</v>
      </c>
      <c r="AJ54" s="61">
        <f>IFERROR(SUMIFS('BM MORRO DA CRUZ - VERTICAL'!AN$6:AN$546,'BM MORRO DA CRUZ - VERTICAL'!$O$6:$O$546,'BM MORRO DA CRUZ'!$K54),0)</f>
        <v>0</v>
      </c>
      <c r="AK54" s="63">
        <f t="shared" si="33"/>
        <v>0</v>
      </c>
      <c r="AL54" s="61">
        <f>IFERROR(SUMIFS('BM MORRO DA CRUZ - VERTICAL'!AP$6:AP$546,'BM MORRO DA CRUZ - VERTICAL'!$O$6:$O$546,'BM MORRO DA CRUZ'!$K54),0)</f>
        <v>0</v>
      </c>
      <c r="AM54" s="63">
        <f t="shared" si="34"/>
        <v>0</v>
      </c>
      <c r="AN54" s="61">
        <f>IFERROR(SUMIFS('BM MORRO DA CRUZ - VERTICAL'!AR$6:AR$546,'BM MORRO DA CRUZ - VERTICAL'!$O$6:$O$546,'BM MORRO DA CRUZ'!$K54),0)</f>
        <v>0</v>
      </c>
      <c r="AO54" s="63">
        <f t="shared" si="35"/>
        <v>0</v>
      </c>
      <c r="AP54" s="61">
        <f>IFERROR(SUMIFS('BM MORRO DA CRUZ - VERTICAL'!AT$6:AT$546,'BM MORRO DA CRUZ - VERTICAL'!$O$6:$O$546,'BM MORRO DA CRUZ'!$K54),0)</f>
        <v>0</v>
      </c>
      <c r="AQ54" s="63">
        <f t="shared" si="36"/>
        <v>0</v>
      </c>
      <c r="AR54" s="61">
        <f>IFERROR(SUMIFS('BM MORRO DA CRUZ - VERTICAL'!AV$6:AV$546,'BM MORRO DA CRUZ - VERTICAL'!$O$6:$O$546,'BM MORRO DA CRUZ'!$K54),0)</f>
        <v>0</v>
      </c>
      <c r="AS54" s="63">
        <f t="shared" si="37"/>
        <v>0</v>
      </c>
      <c r="AT54" s="61">
        <f>IFERROR(SUMIFS('BM MORRO DA CRUZ - VERTICAL'!AX$6:AX$546,'BM MORRO DA CRUZ - VERTICAL'!$O$6:$O$546,'BM MORRO DA CRUZ'!$K54),0)</f>
        <v>0</v>
      </c>
      <c r="AU54" s="63">
        <f t="shared" si="38"/>
        <v>0</v>
      </c>
      <c r="AV54" s="61">
        <f>IFERROR(SUMIFS('BM MORRO DA CRUZ - VERTICAL'!AZ$6:AZ$546,'BM MORRO DA CRUZ - VERTICAL'!$O$6:$O$546,'BM MORRO DA CRUZ'!$K54),0)</f>
        <v>0</v>
      </c>
      <c r="AW54" s="63">
        <f t="shared" si="39"/>
        <v>0</v>
      </c>
      <c r="AX54" s="61">
        <f>IFERROR(SUMIFS('BM MORRO DA CRUZ - VERTICAL'!BB$6:BB$546,'BM MORRO DA CRUZ - VERTICAL'!$O$6:$O$546,'BM MORRO DA CRUZ'!$K54),0)</f>
        <v>0</v>
      </c>
      <c r="AY54" s="63">
        <f t="shared" si="40"/>
        <v>0</v>
      </c>
      <c r="AZ54" s="61">
        <f>IFERROR(SUMIFS('BM MORRO DA CRUZ - VERTICAL'!BD$6:BD$546,'BM MORRO DA CRUZ - VERTICAL'!$O$6:$O$546,'BM MORRO DA CRUZ'!$K54),0)</f>
        <v>0</v>
      </c>
      <c r="BA54" s="63">
        <f t="shared" si="41"/>
        <v>0</v>
      </c>
      <c r="BB54" s="61">
        <f t="shared" si="42"/>
        <v>0</v>
      </c>
      <c r="BC54" s="63">
        <f t="shared" si="43"/>
        <v>0</v>
      </c>
      <c r="BD54" s="64">
        <f t="shared" si="44"/>
        <v>0</v>
      </c>
      <c r="BE54" s="65">
        <f t="shared" si="45"/>
        <v>1</v>
      </c>
      <c r="BF54" s="45"/>
    </row>
    <row r="55" spans="1:58" ht="35.65" x14ac:dyDescent="0.45">
      <c r="A55" s="56" t="s">
        <v>244</v>
      </c>
      <c r="B55" s="506" t="s">
        <v>223</v>
      </c>
      <c r="C55" s="507" t="s">
        <v>111</v>
      </c>
      <c r="D55" s="507" t="s">
        <v>224</v>
      </c>
      <c r="E55" s="507" t="s">
        <v>225</v>
      </c>
      <c r="F55" s="507" t="s">
        <v>39</v>
      </c>
      <c r="G55" s="507">
        <v>63</v>
      </c>
      <c r="H55" s="508" t="s">
        <v>267</v>
      </c>
      <c r="I55" s="507" t="s">
        <v>114</v>
      </c>
      <c r="J55" s="508" t="s">
        <v>41</v>
      </c>
      <c r="K55" s="57" t="s">
        <v>245</v>
      </c>
      <c r="L55" s="58" t="s">
        <v>21</v>
      </c>
      <c r="M55" s="59" t="s">
        <v>246</v>
      </c>
      <c r="N55" s="60" t="s">
        <v>71</v>
      </c>
      <c r="O55" s="61">
        <v>120</v>
      </c>
      <c r="P55" s="62">
        <v>94.02</v>
      </c>
      <c r="Q55" s="63">
        <f t="shared" si="23"/>
        <v>11282.4</v>
      </c>
      <c r="R55" s="61">
        <f>IFERROR(SUMIFS('BM MORRO DA CRUZ - VERTICAL'!V$6:V$546,'BM MORRO DA CRUZ - VERTICAL'!$O$6:$O$546,'BM MORRO DA CRUZ'!$K55),0)</f>
        <v>0</v>
      </c>
      <c r="S55" s="63">
        <f t="shared" si="24"/>
        <v>0</v>
      </c>
      <c r="T55" s="61">
        <f>IFERROR(SUMIFS('BM MORRO DA CRUZ - VERTICAL'!X$6:X$546,'BM MORRO DA CRUZ - VERTICAL'!$O$6:$O$546,'BM MORRO DA CRUZ'!$K55),0)</f>
        <v>0</v>
      </c>
      <c r="U55" s="63">
        <f t="shared" si="25"/>
        <v>0</v>
      </c>
      <c r="V55" s="61">
        <f>IFERROR(SUMIFS('BM MORRO DA CRUZ - VERTICAL'!Z$6:Z$546,'BM MORRO DA CRUZ - VERTICAL'!$O$6:$O$546,'BM MORRO DA CRUZ'!$K55),0)</f>
        <v>0</v>
      </c>
      <c r="W55" s="63">
        <f t="shared" si="26"/>
        <v>0</v>
      </c>
      <c r="X55" s="61">
        <f>IFERROR(SUMIFS('BM MORRO DA CRUZ - VERTICAL'!AB$6:AB$546,'BM MORRO DA CRUZ - VERTICAL'!$O$6:$O$546,'BM MORRO DA CRUZ'!$K55),0)</f>
        <v>0</v>
      </c>
      <c r="Y55" s="63">
        <f t="shared" si="27"/>
        <v>0</v>
      </c>
      <c r="Z55" s="61">
        <f>IFERROR(SUMIFS('BM MORRO DA CRUZ - VERTICAL'!AD$6:AD$546,'BM MORRO DA CRUZ - VERTICAL'!$O$6:$O$546,'BM MORRO DA CRUZ'!$K55),0)</f>
        <v>0</v>
      </c>
      <c r="AA55" s="63">
        <f t="shared" si="28"/>
        <v>0</v>
      </c>
      <c r="AB55" s="61">
        <f>IFERROR(SUMIFS('BM MORRO DA CRUZ - VERTICAL'!AF$6:AF$546,'BM MORRO DA CRUZ - VERTICAL'!$O$6:$O$546,'BM MORRO DA CRUZ'!$K55),0)</f>
        <v>0</v>
      </c>
      <c r="AC55" s="63">
        <f t="shared" si="29"/>
        <v>0</v>
      </c>
      <c r="AD55" s="61">
        <f>IFERROR(SUMIFS('BM MORRO DA CRUZ - VERTICAL'!AH$6:AH$546,'BM MORRO DA CRUZ - VERTICAL'!$O$6:$O$546,'BM MORRO DA CRUZ'!$K55),0)</f>
        <v>0</v>
      </c>
      <c r="AE55" s="63">
        <f t="shared" si="30"/>
        <v>0</v>
      </c>
      <c r="AF55" s="61">
        <f>IFERROR(SUMIFS('BM MORRO DA CRUZ - VERTICAL'!AJ$6:AJ$546,'BM MORRO DA CRUZ - VERTICAL'!$O$6:$O$546,'BM MORRO DA CRUZ'!$K55),0)</f>
        <v>0</v>
      </c>
      <c r="AG55" s="63">
        <f t="shared" si="31"/>
        <v>0</v>
      </c>
      <c r="AH55" s="61">
        <f>IFERROR(SUMIFS('BM MORRO DA CRUZ - VERTICAL'!AL$6:AL$546,'BM MORRO DA CRUZ - VERTICAL'!$O$6:$O$546,'BM MORRO DA CRUZ'!$K55),0)</f>
        <v>0</v>
      </c>
      <c r="AI55" s="63">
        <f t="shared" si="32"/>
        <v>0</v>
      </c>
      <c r="AJ55" s="61">
        <f>IFERROR(SUMIFS('BM MORRO DA CRUZ - VERTICAL'!AN$6:AN$546,'BM MORRO DA CRUZ - VERTICAL'!$O$6:$O$546,'BM MORRO DA CRUZ'!$K55),0)</f>
        <v>0</v>
      </c>
      <c r="AK55" s="63">
        <f t="shared" si="33"/>
        <v>0</v>
      </c>
      <c r="AL55" s="61">
        <f>IFERROR(SUMIFS('BM MORRO DA CRUZ - VERTICAL'!AP$6:AP$546,'BM MORRO DA CRUZ - VERTICAL'!$O$6:$O$546,'BM MORRO DA CRUZ'!$K55),0)</f>
        <v>0</v>
      </c>
      <c r="AM55" s="63">
        <f t="shared" si="34"/>
        <v>0</v>
      </c>
      <c r="AN55" s="61">
        <f>IFERROR(SUMIFS('BM MORRO DA CRUZ - VERTICAL'!AR$6:AR$546,'BM MORRO DA CRUZ - VERTICAL'!$O$6:$O$546,'BM MORRO DA CRUZ'!$K55),0)</f>
        <v>0</v>
      </c>
      <c r="AO55" s="63">
        <f t="shared" si="35"/>
        <v>0</v>
      </c>
      <c r="AP55" s="61">
        <f>IFERROR(SUMIFS('BM MORRO DA CRUZ - VERTICAL'!AT$6:AT$546,'BM MORRO DA CRUZ - VERTICAL'!$O$6:$O$546,'BM MORRO DA CRUZ'!$K55),0)</f>
        <v>0</v>
      </c>
      <c r="AQ55" s="63">
        <f t="shared" si="36"/>
        <v>0</v>
      </c>
      <c r="AR55" s="61">
        <f>IFERROR(SUMIFS('BM MORRO DA CRUZ - VERTICAL'!AV$6:AV$546,'BM MORRO DA CRUZ - VERTICAL'!$O$6:$O$546,'BM MORRO DA CRUZ'!$K55),0)</f>
        <v>0</v>
      </c>
      <c r="AS55" s="63">
        <f t="shared" si="37"/>
        <v>0</v>
      </c>
      <c r="AT55" s="61">
        <f>IFERROR(SUMIFS('BM MORRO DA CRUZ - VERTICAL'!AX$6:AX$546,'BM MORRO DA CRUZ - VERTICAL'!$O$6:$O$546,'BM MORRO DA CRUZ'!$K55),0)</f>
        <v>0</v>
      </c>
      <c r="AU55" s="63">
        <f t="shared" si="38"/>
        <v>0</v>
      </c>
      <c r="AV55" s="61">
        <f>IFERROR(SUMIFS('BM MORRO DA CRUZ - VERTICAL'!AZ$6:AZ$546,'BM MORRO DA CRUZ - VERTICAL'!$O$6:$O$546,'BM MORRO DA CRUZ'!$K55),0)</f>
        <v>0</v>
      </c>
      <c r="AW55" s="63">
        <f t="shared" si="39"/>
        <v>0</v>
      </c>
      <c r="AX55" s="61">
        <f>IFERROR(SUMIFS('BM MORRO DA CRUZ - VERTICAL'!BB$6:BB$546,'BM MORRO DA CRUZ - VERTICAL'!$O$6:$O$546,'BM MORRO DA CRUZ'!$K55),0)</f>
        <v>0</v>
      </c>
      <c r="AY55" s="63">
        <f t="shared" si="40"/>
        <v>0</v>
      </c>
      <c r="AZ55" s="61">
        <f>IFERROR(SUMIFS('BM MORRO DA CRUZ - VERTICAL'!BD$6:BD$546,'BM MORRO DA CRUZ - VERTICAL'!$O$6:$O$546,'BM MORRO DA CRUZ'!$K55),0)</f>
        <v>0</v>
      </c>
      <c r="BA55" s="63">
        <f t="shared" si="41"/>
        <v>0</v>
      </c>
      <c r="BB55" s="61">
        <f t="shared" si="42"/>
        <v>0</v>
      </c>
      <c r="BC55" s="63">
        <f t="shared" si="43"/>
        <v>0</v>
      </c>
      <c r="BD55" s="64">
        <f t="shared" si="44"/>
        <v>0</v>
      </c>
      <c r="BE55" s="65">
        <f t="shared" si="45"/>
        <v>1</v>
      </c>
      <c r="BF55" s="45"/>
    </row>
    <row r="56" spans="1:58" ht="35.65" x14ac:dyDescent="0.45">
      <c r="A56" s="56" t="s">
        <v>247</v>
      </c>
      <c r="B56" s="506" t="s">
        <v>223</v>
      </c>
      <c r="C56" s="507" t="s">
        <v>111</v>
      </c>
      <c r="D56" s="507" t="s">
        <v>224</v>
      </c>
      <c r="E56" s="507" t="s">
        <v>225</v>
      </c>
      <c r="F56" s="507" t="s">
        <v>39</v>
      </c>
      <c r="G56" s="507">
        <v>90</v>
      </c>
      <c r="H56" s="508" t="s">
        <v>267</v>
      </c>
      <c r="I56" s="507" t="s">
        <v>114</v>
      </c>
      <c r="J56" s="508" t="s">
        <v>41</v>
      </c>
      <c r="K56" s="57" t="s">
        <v>248</v>
      </c>
      <c r="L56" s="58" t="s">
        <v>21</v>
      </c>
      <c r="M56" s="59" t="s">
        <v>249</v>
      </c>
      <c r="N56" s="60" t="s">
        <v>71</v>
      </c>
      <c r="O56" s="61">
        <v>30</v>
      </c>
      <c r="P56" s="62">
        <v>116.08</v>
      </c>
      <c r="Q56" s="63">
        <f t="shared" si="23"/>
        <v>3482.4</v>
      </c>
      <c r="R56" s="61">
        <f>IFERROR(SUMIFS('BM MORRO DA CRUZ - VERTICAL'!V$6:V$546,'BM MORRO DA CRUZ - VERTICAL'!$O$6:$O$546,'BM MORRO DA CRUZ'!$K56),0)</f>
        <v>0</v>
      </c>
      <c r="S56" s="63">
        <f t="shared" si="24"/>
        <v>0</v>
      </c>
      <c r="T56" s="61">
        <f>IFERROR(SUMIFS('BM MORRO DA CRUZ - VERTICAL'!X$6:X$546,'BM MORRO DA CRUZ - VERTICAL'!$O$6:$O$546,'BM MORRO DA CRUZ'!$K56),0)</f>
        <v>0</v>
      </c>
      <c r="U56" s="63">
        <f t="shared" si="25"/>
        <v>0</v>
      </c>
      <c r="V56" s="61">
        <f>IFERROR(SUMIFS('BM MORRO DA CRUZ - VERTICAL'!Z$6:Z$546,'BM MORRO DA CRUZ - VERTICAL'!$O$6:$O$546,'BM MORRO DA CRUZ'!$K56),0)</f>
        <v>0</v>
      </c>
      <c r="W56" s="63">
        <f t="shared" si="26"/>
        <v>0</v>
      </c>
      <c r="X56" s="61">
        <f>IFERROR(SUMIFS('BM MORRO DA CRUZ - VERTICAL'!AB$6:AB$546,'BM MORRO DA CRUZ - VERTICAL'!$O$6:$O$546,'BM MORRO DA CRUZ'!$K56),0)</f>
        <v>0</v>
      </c>
      <c r="Y56" s="63">
        <f t="shared" si="27"/>
        <v>0</v>
      </c>
      <c r="Z56" s="61">
        <f>IFERROR(SUMIFS('BM MORRO DA CRUZ - VERTICAL'!AD$6:AD$546,'BM MORRO DA CRUZ - VERTICAL'!$O$6:$O$546,'BM MORRO DA CRUZ'!$K56),0)</f>
        <v>0</v>
      </c>
      <c r="AA56" s="63">
        <f t="shared" si="28"/>
        <v>0</v>
      </c>
      <c r="AB56" s="61">
        <f>IFERROR(SUMIFS('BM MORRO DA CRUZ - VERTICAL'!AF$6:AF$546,'BM MORRO DA CRUZ - VERTICAL'!$O$6:$O$546,'BM MORRO DA CRUZ'!$K56),0)</f>
        <v>0</v>
      </c>
      <c r="AC56" s="63">
        <f t="shared" si="29"/>
        <v>0</v>
      </c>
      <c r="AD56" s="61">
        <f>IFERROR(SUMIFS('BM MORRO DA CRUZ - VERTICAL'!AH$6:AH$546,'BM MORRO DA CRUZ - VERTICAL'!$O$6:$O$546,'BM MORRO DA CRUZ'!$K56),0)</f>
        <v>0</v>
      </c>
      <c r="AE56" s="63">
        <f t="shared" si="30"/>
        <v>0</v>
      </c>
      <c r="AF56" s="61">
        <f>IFERROR(SUMIFS('BM MORRO DA CRUZ - VERTICAL'!AJ$6:AJ$546,'BM MORRO DA CRUZ - VERTICAL'!$O$6:$O$546,'BM MORRO DA CRUZ'!$K56),0)</f>
        <v>0</v>
      </c>
      <c r="AG56" s="63">
        <f t="shared" si="31"/>
        <v>0</v>
      </c>
      <c r="AH56" s="61">
        <f>IFERROR(SUMIFS('BM MORRO DA CRUZ - VERTICAL'!AL$6:AL$546,'BM MORRO DA CRUZ - VERTICAL'!$O$6:$O$546,'BM MORRO DA CRUZ'!$K56),0)</f>
        <v>0</v>
      </c>
      <c r="AI56" s="63">
        <f t="shared" si="32"/>
        <v>0</v>
      </c>
      <c r="AJ56" s="61">
        <f>IFERROR(SUMIFS('BM MORRO DA CRUZ - VERTICAL'!AN$6:AN$546,'BM MORRO DA CRUZ - VERTICAL'!$O$6:$O$546,'BM MORRO DA CRUZ'!$K56),0)</f>
        <v>0</v>
      </c>
      <c r="AK56" s="63">
        <f t="shared" si="33"/>
        <v>0</v>
      </c>
      <c r="AL56" s="61">
        <f>IFERROR(SUMIFS('BM MORRO DA CRUZ - VERTICAL'!AP$6:AP$546,'BM MORRO DA CRUZ - VERTICAL'!$O$6:$O$546,'BM MORRO DA CRUZ'!$K56),0)</f>
        <v>0</v>
      </c>
      <c r="AM56" s="63">
        <f t="shared" si="34"/>
        <v>0</v>
      </c>
      <c r="AN56" s="61">
        <f>IFERROR(SUMIFS('BM MORRO DA CRUZ - VERTICAL'!AR$6:AR$546,'BM MORRO DA CRUZ - VERTICAL'!$O$6:$O$546,'BM MORRO DA CRUZ'!$K56),0)</f>
        <v>0</v>
      </c>
      <c r="AO56" s="63">
        <f t="shared" si="35"/>
        <v>0</v>
      </c>
      <c r="AP56" s="61">
        <f>IFERROR(SUMIFS('BM MORRO DA CRUZ - VERTICAL'!AT$6:AT$546,'BM MORRO DA CRUZ - VERTICAL'!$O$6:$O$546,'BM MORRO DA CRUZ'!$K56),0)</f>
        <v>0</v>
      </c>
      <c r="AQ56" s="63">
        <f t="shared" si="36"/>
        <v>0</v>
      </c>
      <c r="AR56" s="61">
        <f>IFERROR(SUMIFS('BM MORRO DA CRUZ - VERTICAL'!AV$6:AV$546,'BM MORRO DA CRUZ - VERTICAL'!$O$6:$O$546,'BM MORRO DA CRUZ'!$K56),0)</f>
        <v>0</v>
      </c>
      <c r="AS56" s="63">
        <f t="shared" si="37"/>
        <v>0</v>
      </c>
      <c r="AT56" s="61">
        <f>IFERROR(SUMIFS('BM MORRO DA CRUZ - VERTICAL'!AX$6:AX$546,'BM MORRO DA CRUZ - VERTICAL'!$O$6:$O$546,'BM MORRO DA CRUZ'!$K56),0)</f>
        <v>0</v>
      </c>
      <c r="AU56" s="63">
        <f t="shared" si="38"/>
        <v>0</v>
      </c>
      <c r="AV56" s="61">
        <f>IFERROR(SUMIFS('BM MORRO DA CRUZ - VERTICAL'!AZ$6:AZ$546,'BM MORRO DA CRUZ - VERTICAL'!$O$6:$O$546,'BM MORRO DA CRUZ'!$K56),0)</f>
        <v>0</v>
      </c>
      <c r="AW56" s="63">
        <f t="shared" si="39"/>
        <v>0</v>
      </c>
      <c r="AX56" s="61">
        <f>IFERROR(SUMIFS('BM MORRO DA CRUZ - VERTICAL'!BB$6:BB$546,'BM MORRO DA CRUZ - VERTICAL'!$O$6:$O$546,'BM MORRO DA CRUZ'!$K56),0)</f>
        <v>0</v>
      </c>
      <c r="AY56" s="63">
        <f t="shared" si="40"/>
        <v>0</v>
      </c>
      <c r="AZ56" s="61">
        <f>IFERROR(SUMIFS('BM MORRO DA CRUZ - VERTICAL'!BD$6:BD$546,'BM MORRO DA CRUZ - VERTICAL'!$O$6:$O$546,'BM MORRO DA CRUZ'!$K56),0)</f>
        <v>0</v>
      </c>
      <c r="BA56" s="63">
        <f t="shared" si="41"/>
        <v>0</v>
      </c>
      <c r="BB56" s="61">
        <f t="shared" si="42"/>
        <v>0</v>
      </c>
      <c r="BC56" s="63">
        <f t="shared" si="43"/>
        <v>0</v>
      </c>
      <c r="BD56" s="64">
        <f t="shared" si="44"/>
        <v>0</v>
      </c>
      <c r="BE56" s="65">
        <f t="shared" si="45"/>
        <v>1</v>
      </c>
      <c r="BF56" s="45"/>
    </row>
    <row r="57" spans="1:58" ht="19.5" customHeight="1" x14ac:dyDescent="0.45">
      <c r="A57" s="46" t="s">
        <v>250</v>
      </c>
      <c r="B57" s="503"/>
      <c r="C57" s="504"/>
      <c r="D57" s="504"/>
      <c r="E57" s="504"/>
      <c r="F57" s="504"/>
      <c r="G57" s="504"/>
      <c r="H57" s="505" t="s">
        <v>1718</v>
      </c>
      <c r="I57" s="504"/>
      <c r="J57" s="505" t="s">
        <v>1718</v>
      </c>
      <c r="K57" s="47" t="s">
        <v>251</v>
      </c>
      <c r="L57" s="48"/>
      <c r="M57" s="49" t="s">
        <v>252</v>
      </c>
      <c r="N57" s="50"/>
      <c r="O57" s="51"/>
      <c r="P57" s="52"/>
      <c r="Q57" s="53">
        <f>SUM(Q58:Q58)</f>
        <v>39.56</v>
      </c>
      <c r="R57" s="51"/>
      <c r="S57" s="53">
        <f>SUM(S58:S58)</f>
        <v>0</v>
      </c>
      <c r="T57" s="51"/>
      <c r="U57" s="53">
        <f>SUM(U58:U58)</f>
        <v>0</v>
      </c>
      <c r="V57" s="51"/>
      <c r="W57" s="53">
        <f>SUM(W58:W58)</f>
        <v>0</v>
      </c>
      <c r="X57" s="51"/>
      <c r="Y57" s="53">
        <f>SUM(Y58:Y58)</f>
        <v>0</v>
      </c>
      <c r="Z57" s="51"/>
      <c r="AA57" s="53">
        <f>SUM(AA58:AA58)</f>
        <v>0</v>
      </c>
      <c r="AB57" s="51"/>
      <c r="AC57" s="53">
        <f>SUM(AC58:AC58)</f>
        <v>0</v>
      </c>
      <c r="AD57" s="51"/>
      <c r="AE57" s="53">
        <f>SUM(AE58:AE58)</f>
        <v>0</v>
      </c>
      <c r="AF57" s="51"/>
      <c r="AG57" s="53">
        <f>SUM(AG58:AG58)</f>
        <v>0</v>
      </c>
      <c r="AH57" s="51"/>
      <c r="AI57" s="53">
        <f>SUM(AI58:AI58)</f>
        <v>0</v>
      </c>
      <c r="AJ57" s="51"/>
      <c r="AK57" s="53">
        <f>SUM(AK58:AK58)</f>
        <v>0</v>
      </c>
      <c r="AL57" s="51"/>
      <c r="AM57" s="53">
        <f>SUM(AM58:AM58)</f>
        <v>0</v>
      </c>
      <c r="AN57" s="51"/>
      <c r="AO57" s="53">
        <f>SUM(AO58:AO58)</f>
        <v>0</v>
      </c>
      <c r="AP57" s="51"/>
      <c r="AQ57" s="53">
        <f>SUM(AQ58:AQ58)</f>
        <v>0</v>
      </c>
      <c r="AR57" s="51"/>
      <c r="AS57" s="53">
        <f>SUM(AS58:AS58)</f>
        <v>0</v>
      </c>
      <c r="AT57" s="51"/>
      <c r="AU57" s="53">
        <f>SUM(AU58:AU58)</f>
        <v>0</v>
      </c>
      <c r="AV57" s="51"/>
      <c r="AW57" s="53">
        <f>SUM(AW58:AW58)</f>
        <v>0</v>
      </c>
      <c r="AX57" s="51"/>
      <c r="AY57" s="53">
        <f>SUM(AY58:AY58)</f>
        <v>0</v>
      </c>
      <c r="AZ57" s="51"/>
      <c r="BA57" s="53">
        <f>SUM(BA58:BA58)</f>
        <v>0</v>
      </c>
      <c r="BB57" s="51"/>
      <c r="BC57" s="53">
        <f>SUM(BC58:BC58)</f>
        <v>0</v>
      </c>
      <c r="BD57" s="54"/>
      <c r="BE57" s="55"/>
      <c r="BF57" s="45"/>
    </row>
    <row r="58" spans="1:58" ht="26.25" customHeight="1" x14ac:dyDescent="0.45">
      <c r="A58" s="56" t="s">
        <v>253</v>
      </c>
      <c r="B58" s="506" t="s">
        <v>254</v>
      </c>
      <c r="C58" s="507" t="s">
        <v>39</v>
      </c>
      <c r="D58" s="507" t="s">
        <v>39</v>
      </c>
      <c r="E58" s="507" t="s">
        <v>255</v>
      </c>
      <c r="F58" s="507" t="s">
        <v>39</v>
      </c>
      <c r="G58" s="507" t="s">
        <v>256</v>
      </c>
      <c r="H58" s="508" t="s">
        <v>257</v>
      </c>
      <c r="I58" s="507" t="s">
        <v>40</v>
      </c>
      <c r="J58" s="508" t="s">
        <v>41</v>
      </c>
      <c r="K58" s="57" t="s">
        <v>258</v>
      </c>
      <c r="L58" s="58" t="s">
        <v>21</v>
      </c>
      <c r="M58" s="59" t="s">
        <v>259</v>
      </c>
      <c r="N58" s="60" t="s">
        <v>71</v>
      </c>
      <c r="O58" s="61">
        <v>1</v>
      </c>
      <c r="P58" s="62">
        <v>39.56</v>
      </c>
      <c r="Q58" s="63">
        <f>ROUND(P58*$O58,2)</f>
        <v>39.56</v>
      </c>
      <c r="R58" s="61">
        <f>IFERROR(SUMIFS('BM MORRO DA CRUZ - VERTICAL'!V$6:V$546,'BM MORRO DA CRUZ - VERTICAL'!$O$6:$O$546,'BM MORRO DA CRUZ'!$K58),0)</f>
        <v>0</v>
      </c>
      <c r="S58" s="63">
        <f>ROUND(R58*$P58,2)</f>
        <v>0</v>
      </c>
      <c r="T58" s="61">
        <f>IFERROR(SUMIFS('BM MORRO DA CRUZ - VERTICAL'!X$6:X$546,'BM MORRO DA CRUZ - VERTICAL'!$O$6:$O$546,'BM MORRO DA CRUZ'!$K58),0)</f>
        <v>0</v>
      </c>
      <c r="U58" s="63">
        <f>ROUND(T58*$P58,2)</f>
        <v>0</v>
      </c>
      <c r="V58" s="61">
        <f>IFERROR(SUMIFS('BM MORRO DA CRUZ - VERTICAL'!Z$6:Z$546,'BM MORRO DA CRUZ - VERTICAL'!$O$6:$O$546,'BM MORRO DA CRUZ'!$K58),0)</f>
        <v>0</v>
      </c>
      <c r="W58" s="63">
        <f>ROUND(V58*$P58,2)</f>
        <v>0</v>
      </c>
      <c r="X58" s="61">
        <f>IFERROR(SUMIFS('BM MORRO DA CRUZ - VERTICAL'!AB$6:AB$546,'BM MORRO DA CRUZ - VERTICAL'!$O$6:$O$546,'BM MORRO DA CRUZ'!$K58),0)</f>
        <v>0</v>
      </c>
      <c r="Y58" s="63">
        <f>ROUND(X58*$P58,2)</f>
        <v>0</v>
      </c>
      <c r="Z58" s="61">
        <f>IFERROR(SUMIFS('BM MORRO DA CRUZ - VERTICAL'!AD$6:AD$546,'BM MORRO DA CRUZ - VERTICAL'!$O$6:$O$546,'BM MORRO DA CRUZ'!$K58),0)</f>
        <v>0</v>
      </c>
      <c r="AA58" s="63">
        <f>ROUND(Z58*$P58,2)</f>
        <v>0</v>
      </c>
      <c r="AB58" s="61">
        <f>IFERROR(SUMIFS('BM MORRO DA CRUZ - VERTICAL'!AF$6:AF$546,'BM MORRO DA CRUZ - VERTICAL'!$O$6:$O$546,'BM MORRO DA CRUZ'!$K58),0)</f>
        <v>0</v>
      </c>
      <c r="AC58" s="63">
        <f>ROUND(AB58*$P58,2)</f>
        <v>0</v>
      </c>
      <c r="AD58" s="61">
        <f>IFERROR(SUMIFS('BM MORRO DA CRUZ - VERTICAL'!AH$6:AH$546,'BM MORRO DA CRUZ - VERTICAL'!$O$6:$O$546,'BM MORRO DA CRUZ'!$K58),0)</f>
        <v>0</v>
      </c>
      <c r="AE58" s="63">
        <f>ROUND(AD58*$P58,2)</f>
        <v>0</v>
      </c>
      <c r="AF58" s="61">
        <f>IFERROR(SUMIFS('BM MORRO DA CRUZ - VERTICAL'!AJ$6:AJ$546,'BM MORRO DA CRUZ - VERTICAL'!$O$6:$O$546,'BM MORRO DA CRUZ'!$K58),0)</f>
        <v>0</v>
      </c>
      <c r="AG58" s="63">
        <f>ROUND(AF58*$P58,2)</f>
        <v>0</v>
      </c>
      <c r="AH58" s="61">
        <f>IFERROR(SUMIFS('BM MORRO DA CRUZ - VERTICAL'!AL$6:AL$546,'BM MORRO DA CRUZ - VERTICAL'!$O$6:$O$546,'BM MORRO DA CRUZ'!$K58),0)</f>
        <v>0</v>
      </c>
      <c r="AI58" s="63">
        <f>ROUND(AH58*$P58,2)</f>
        <v>0</v>
      </c>
      <c r="AJ58" s="61">
        <f>IFERROR(SUMIFS('BM MORRO DA CRUZ - VERTICAL'!AN$6:AN$546,'BM MORRO DA CRUZ - VERTICAL'!$O$6:$O$546,'BM MORRO DA CRUZ'!$K58),0)</f>
        <v>0</v>
      </c>
      <c r="AK58" s="63">
        <f>ROUND(AJ58*$P58,2)</f>
        <v>0</v>
      </c>
      <c r="AL58" s="61">
        <f>IFERROR(SUMIFS('BM MORRO DA CRUZ - VERTICAL'!AP$6:AP$546,'BM MORRO DA CRUZ - VERTICAL'!$O$6:$O$546,'BM MORRO DA CRUZ'!$K58),0)</f>
        <v>0</v>
      </c>
      <c r="AM58" s="63">
        <f>ROUND(AL58*$P58,2)</f>
        <v>0</v>
      </c>
      <c r="AN58" s="61">
        <f>IFERROR(SUMIFS('BM MORRO DA CRUZ - VERTICAL'!AR$6:AR$546,'BM MORRO DA CRUZ - VERTICAL'!$O$6:$O$546,'BM MORRO DA CRUZ'!$K58),0)</f>
        <v>0</v>
      </c>
      <c r="AO58" s="63">
        <f>ROUND(AN58*$P58,2)</f>
        <v>0</v>
      </c>
      <c r="AP58" s="61">
        <f>IFERROR(SUMIFS('BM MORRO DA CRUZ - VERTICAL'!AT$6:AT$546,'BM MORRO DA CRUZ - VERTICAL'!$O$6:$O$546,'BM MORRO DA CRUZ'!$K58),0)</f>
        <v>0</v>
      </c>
      <c r="AQ58" s="63">
        <f>ROUND(AP58*$P58,2)</f>
        <v>0</v>
      </c>
      <c r="AR58" s="61">
        <f>IFERROR(SUMIFS('BM MORRO DA CRUZ - VERTICAL'!AV$6:AV$546,'BM MORRO DA CRUZ - VERTICAL'!$O$6:$O$546,'BM MORRO DA CRUZ'!$K58),0)</f>
        <v>0</v>
      </c>
      <c r="AS58" s="63">
        <f>ROUND(AR58*$P58,2)</f>
        <v>0</v>
      </c>
      <c r="AT58" s="61">
        <f>IFERROR(SUMIFS('BM MORRO DA CRUZ - VERTICAL'!AX$6:AX$546,'BM MORRO DA CRUZ - VERTICAL'!$O$6:$O$546,'BM MORRO DA CRUZ'!$K58),0)</f>
        <v>0</v>
      </c>
      <c r="AU58" s="63">
        <f>ROUND(AT58*$P58,2)</f>
        <v>0</v>
      </c>
      <c r="AV58" s="61">
        <f>IFERROR(SUMIFS('BM MORRO DA CRUZ - VERTICAL'!AZ$6:AZ$546,'BM MORRO DA CRUZ - VERTICAL'!$O$6:$O$546,'BM MORRO DA CRUZ'!$K58),0)</f>
        <v>0</v>
      </c>
      <c r="AW58" s="63">
        <f>ROUND(AV58*$P58,2)</f>
        <v>0</v>
      </c>
      <c r="AX58" s="61">
        <f>IFERROR(SUMIFS('BM MORRO DA CRUZ - VERTICAL'!BB$6:BB$546,'BM MORRO DA CRUZ - VERTICAL'!$O$6:$O$546,'BM MORRO DA CRUZ'!$K58),0)</f>
        <v>0</v>
      </c>
      <c r="AY58" s="63">
        <f>ROUND(AX58*$P58,2)</f>
        <v>0</v>
      </c>
      <c r="AZ58" s="61">
        <f>IFERROR(SUMIFS('BM MORRO DA CRUZ - VERTICAL'!BD$6:BD$546,'BM MORRO DA CRUZ - VERTICAL'!$O$6:$O$546,'BM MORRO DA CRUZ'!$K58),0)</f>
        <v>0</v>
      </c>
      <c r="BA58" s="63">
        <f>ROUND(AZ58*$P58,2)</f>
        <v>0</v>
      </c>
      <c r="BB58" s="61">
        <f>IFERROR(SUMIFS($R58:$BA58,$R$5:$BA$5,$BB$5),0)</f>
        <v>0</v>
      </c>
      <c r="BC58" s="63">
        <f>SUMIFS($R58:$BA58,$R$5:$BA$5,$S$5)</f>
        <v>0</v>
      </c>
      <c r="BD58" s="64">
        <f>IFERROR(BB58/O58,0)</f>
        <v>0</v>
      </c>
      <c r="BE58" s="65">
        <f>IFERROR((O58-BB58)/O58,0)</f>
        <v>1</v>
      </c>
      <c r="BF58" s="45"/>
    </row>
    <row r="59" spans="1:58" ht="19.5" customHeight="1" x14ac:dyDescent="0.45">
      <c r="A59" s="46" t="s">
        <v>260</v>
      </c>
      <c r="B59" s="503"/>
      <c r="C59" s="504"/>
      <c r="D59" s="504"/>
      <c r="E59" s="504"/>
      <c r="F59" s="504"/>
      <c r="G59" s="504"/>
      <c r="H59" s="505" t="s">
        <v>1718</v>
      </c>
      <c r="I59" s="504"/>
      <c r="J59" s="505" t="s">
        <v>1718</v>
      </c>
      <c r="K59" s="47" t="s">
        <v>261</v>
      </c>
      <c r="L59" s="48"/>
      <c r="M59" s="49" t="s">
        <v>262</v>
      </c>
      <c r="N59" s="50"/>
      <c r="O59" s="51"/>
      <c r="P59" s="52"/>
      <c r="Q59" s="53">
        <f>SUM(Q60:Q136)</f>
        <v>1006599.75</v>
      </c>
      <c r="R59" s="51"/>
      <c r="S59" s="53">
        <f>SUM(S60:S136)</f>
        <v>0</v>
      </c>
      <c r="T59" s="51"/>
      <c r="U59" s="53">
        <f>SUM(U60:U136)</f>
        <v>0</v>
      </c>
      <c r="V59" s="51"/>
      <c r="W59" s="53">
        <f>SUM(W60:W136)</f>
        <v>0</v>
      </c>
      <c r="X59" s="51"/>
      <c r="Y59" s="53">
        <f>SUM(Y60:Y136)</f>
        <v>0</v>
      </c>
      <c r="Z59" s="51"/>
      <c r="AA59" s="53">
        <f>SUM(AA60:AA136)</f>
        <v>0</v>
      </c>
      <c r="AB59" s="51"/>
      <c r="AC59" s="53">
        <f>SUM(AC60:AC136)</f>
        <v>0</v>
      </c>
      <c r="AD59" s="51"/>
      <c r="AE59" s="53">
        <f>SUM(AE60:AE136)</f>
        <v>0</v>
      </c>
      <c r="AF59" s="51"/>
      <c r="AG59" s="53">
        <f>SUM(AG60:AG136)</f>
        <v>0</v>
      </c>
      <c r="AH59" s="51"/>
      <c r="AI59" s="53">
        <f>SUM(AI60:AI136)</f>
        <v>0</v>
      </c>
      <c r="AJ59" s="51"/>
      <c r="AK59" s="53">
        <f>SUM(AK60:AK136)</f>
        <v>0</v>
      </c>
      <c r="AL59" s="51"/>
      <c r="AM59" s="53">
        <f>SUM(AM60:AM136)</f>
        <v>0</v>
      </c>
      <c r="AN59" s="51"/>
      <c r="AO59" s="53">
        <f>SUM(AO60:AO136)</f>
        <v>0</v>
      </c>
      <c r="AP59" s="51"/>
      <c r="AQ59" s="53">
        <f>SUM(AQ60:AQ136)</f>
        <v>0</v>
      </c>
      <c r="AR59" s="51"/>
      <c r="AS59" s="53">
        <f>SUM(AS60:AS136)</f>
        <v>0</v>
      </c>
      <c r="AT59" s="51"/>
      <c r="AU59" s="53">
        <f>SUM(AU60:AU136)</f>
        <v>0</v>
      </c>
      <c r="AV59" s="51"/>
      <c r="AW59" s="53">
        <f>SUM(AW60:AW136)</f>
        <v>0</v>
      </c>
      <c r="AX59" s="51"/>
      <c r="AY59" s="53">
        <f>SUM(AY60:AY136)</f>
        <v>0</v>
      </c>
      <c r="AZ59" s="51"/>
      <c r="BA59" s="53">
        <f>SUM(BA60:BA136)</f>
        <v>0</v>
      </c>
      <c r="BB59" s="51"/>
      <c r="BC59" s="53">
        <f>SUM(BC60:BC136)</f>
        <v>0</v>
      </c>
      <c r="BD59" s="54"/>
      <c r="BE59" s="55"/>
      <c r="BF59" s="45"/>
    </row>
    <row r="60" spans="1:58" ht="26.25" customHeight="1" x14ac:dyDescent="0.45">
      <c r="A60" s="56" t="s">
        <v>263</v>
      </c>
      <c r="B60" s="506" t="s">
        <v>264</v>
      </c>
      <c r="C60" s="507" t="s">
        <v>147</v>
      </c>
      <c r="D60" s="507" t="s">
        <v>224</v>
      </c>
      <c r="E60" s="507" t="s">
        <v>265</v>
      </c>
      <c r="F60" s="507" t="s">
        <v>266</v>
      </c>
      <c r="G60" s="507">
        <v>250</v>
      </c>
      <c r="H60" s="508" t="s">
        <v>267</v>
      </c>
      <c r="I60" s="507" t="s">
        <v>114</v>
      </c>
      <c r="J60" s="508" t="s">
        <v>267</v>
      </c>
      <c r="K60" s="57" t="s">
        <v>268</v>
      </c>
      <c r="L60" s="58" t="s">
        <v>21</v>
      </c>
      <c r="M60" s="59" t="s">
        <v>269</v>
      </c>
      <c r="N60" s="60" t="s">
        <v>71</v>
      </c>
      <c r="O60" s="61">
        <v>25</v>
      </c>
      <c r="P60" s="62">
        <v>426.08</v>
      </c>
      <c r="Q60" s="63">
        <f t="shared" ref="Q60:Q91" si="46">ROUND(P60*$O60,2)</f>
        <v>10652</v>
      </c>
      <c r="R60" s="61">
        <f>IFERROR(SUMIFS('BM MORRO DA CRUZ - VERTICAL'!V$6:V$546,'BM MORRO DA CRUZ - VERTICAL'!$O$6:$O$546,'BM MORRO DA CRUZ'!$K60),0)</f>
        <v>0</v>
      </c>
      <c r="S60" s="63">
        <f t="shared" ref="S60:S91" si="47">ROUND(R60*$P60,2)</f>
        <v>0</v>
      </c>
      <c r="T60" s="61">
        <f>IFERROR(SUMIFS('BM MORRO DA CRUZ - VERTICAL'!X$6:X$546,'BM MORRO DA CRUZ - VERTICAL'!$O$6:$O$546,'BM MORRO DA CRUZ'!$K60),0)</f>
        <v>0</v>
      </c>
      <c r="U60" s="63">
        <f t="shared" ref="U60:U91" si="48">ROUND(T60*$P60,2)</f>
        <v>0</v>
      </c>
      <c r="V60" s="61">
        <f>IFERROR(SUMIFS('BM MORRO DA CRUZ - VERTICAL'!Z$6:Z$546,'BM MORRO DA CRUZ - VERTICAL'!$O$6:$O$546,'BM MORRO DA CRUZ'!$K60),0)</f>
        <v>0</v>
      </c>
      <c r="W60" s="63">
        <f t="shared" ref="W60:W91" si="49">ROUND(V60*$P60,2)</f>
        <v>0</v>
      </c>
      <c r="X60" s="61">
        <f>IFERROR(SUMIFS('BM MORRO DA CRUZ - VERTICAL'!AB$6:AB$546,'BM MORRO DA CRUZ - VERTICAL'!$O$6:$O$546,'BM MORRO DA CRUZ'!$K60),0)</f>
        <v>0</v>
      </c>
      <c r="Y60" s="63">
        <f t="shared" ref="Y60:Y91" si="50">ROUND(X60*$P60,2)</f>
        <v>0</v>
      </c>
      <c r="Z60" s="61">
        <f>IFERROR(SUMIFS('BM MORRO DA CRUZ - VERTICAL'!AD$6:AD$546,'BM MORRO DA CRUZ - VERTICAL'!$O$6:$O$546,'BM MORRO DA CRUZ'!$K60),0)</f>
        <v>0</v>
      </c>
      <c r="AA60" s="63">
        <f t="shared" ref="AA60:AA91" si="51">ROUND(Z60*$P60,2)</f>
        <v>0</v>
      </c>
      <c r="AB60" s="61">
        <f>IFERROR(SUMIFS('BM MORRO DA CRUZ - VERTICAL'!AF$6:AF$546,'BM MORRO DA CRUZ - VERTICAL'!$O$6:$O$546,'BM MORRO DA CRUZ'!$K60),0)</f>
        <v>0</v>
      </c>
      <c r="AC60" s="63">
        <f t="shared" ref="AC60:AC91" si="52">ROUND(AB60*$P60,2)</f>
        <v>0</v>
      </c>
      <c r="AD60" s="61">
        <f>IFERROR(SUMIFS('BM MORRO DA CRUZ - VERTICAL'!AH$6:AH$546,'BM MORRO DA CRUZ - VERTICAL'!$O$6:$O$546,'BM MORRO DA CRUZ'!$K60),0)</f>
        <v>0</v>
      </c>
      <c r="AE60" s="63">
        <f t="shared" ref="AE60:AE91" si="53">ROUND(AD60*$P60,2)</f>
        <v>0</v>
      </c>
      <c r="AF60" s="61">
        <f>IFERROR(SUMIFS('BM MORRO DA CRUZ - VERTICAL'!AJ$6:AJ$546,'BM MORRO DA CRUZ - VERTICAL'!$O$6:$O$546,'BM MORRO DA CRUZ'!$K60),0)</f>
        <v>0</v>
      </c>
      <c r="AG60" s="63">
        <f t="shared" ref="AG60:AG91" si="54">ROUND(AF60*$P60,2)</f>
        <v>0</v>
      </c>
      <c r="AH60" s="61">
        <f>IFERROR(SUMIFS('BM MORRO DA CRUZ - VERTICAL'!AL$6:AL$546,'BM MORRO DA CRUZ - VERTICAL'!$O$6:$O$546,'BM MORRO DA CRUZ'!$K60),0)</f>
        <v>0</v>
      </c>
      <c r="AI60" s="63">
        <f t="shared" ref="AI60:AI91" si="55">ROUND(AH60*$P60,2)</f>
        <v>0</v>
      </c>
      <c r="AJ60" s="61">
        <f>IFERROR(SUMIFS('BM MORRO DA CRUZ - VERTICAL'!AN$6:AN$546,'BM MORRO DA CRUZ - VERTICAL'!$O$6:$O$546,'BM MORRO DA CRUZ'!$K60),0)</f>
        <v>0</v>
      </c>
      <c r="AK60" s="63">
        <f t="shared" ref="AK60:AK91" si="56">ROUND(AJ60*$P60,2)</f>
        <v>0</v>
      </c>
      <c r="AL60" s="61">
        <f>IFERROR(SUMIFS('BM MORRO DA CRUZ - VERTICAL'!AP$6:AP$546,'BM MORRO DA CRUZ - VERTICAL'!$O$6:$O$546,'BM MORRO DA CRUZ'!$K60),0)</f>
        <v>0</v>
      </c>
      <c r="AM60" s="63">
        <f t="shared" ref="AM60:AM91" si="57">ROUND(AL60*$P60,2)</f>
        <v>0</v>
      </c>
      <c r="AN60" s="61">
        <f>IFERROR(SUMIFS('BM MORRO DA CRUZ - VERTICAL'!AR$6:AR$546,'BM MORRO DA CRUZ - VERTICAL'!$O$6:$O$546,'BM MORRO DA CRUZ'!$K60),0)</f>
        <v>0</v>
      </c>
      <c r="AO60" s="63">
        <f t="shared" ref="AO60:AO91" si="58">ROUND(AN60*$P60,2)</f>
        <v>0</v>
      </c>
      <c r="AP60" s="61">
        <f>IFERROR(SUMIFS('BM MORRO DA CRUZ - VERTICAL'!AT$6:AT$546,'BM MORRO DA CRUZ - VERTICAL'!$O$6:$O$546,'BM MORRO DA CRUZ'!$K60),0)</f>
        <v>0</v>
      </c>
      <c r="AQ60" s="63">
        <f t="shared" ref="AQ60:AQ91" si="59">ROUND(AP60*$P60,2)</f>
        <v>0</v>
      </c>
      <c r="AR60" s="61">
        <f>IFERROR(SUMIFS('BM MORRO DA CRUZ - VERTICAL'!AV$6:AV$546,'BM MORRO DA CRUZ - VERTICAL'!$O$6:$O$546,'BM MORRO DA CRUZ'!$K60),0)</f>
        <v>0</v>
      </c>
      <c r="AS60" s="63">
        <f t="shared" ref="AS60:AS91" si="60">ROUND(AR60*$P60,2)</f>
        <v>0</v>
      </c>
      <c r="AT60" s="61">
        <f>IFERROR(SUMIFS('BM MORRO DA CRUZ - VERTICAL'!AX$6:AX$546,'BM MORRO DA CRUZ - VERTICAL'!$O$6:$O$546,'BM MORRO DA CRUZ'!$K60),0)</f>
        <v>0</v>
      </c>
      <c r="AU60" s="63">
        <f t="shared" ref="AU60:AU91" si="61">ROUND(AT60*$P60,2)</f>
        <v>0</v>
      </c>
      <c r="AV60" s="61">
        <f>IFERROR(SUMIFS('BM MORRO DA CRUZ - VERTICAL'!AZ$6:AZ$546,'BM MORRO DA CRUZ - VERTICAL'!$O$6:$O$546,'BM MORRO DA CRUZ'!$K60),0)</f>
        <v>0</v>
      </c>
      <c r="AW60" s="63">
        <f t="shared" ref="AW60:AW91" si="62">ROUND(AV60*$P60,2)</f>
        <v>0</v>
      </c>
      <c r="AX60" s="61">
        <f>IFERROR(SUMIFS('BM MORRO DA CRUZ - VERTICAL'!BB$6:BB$546,'BM MORRO DA CRUZ - VERTICAL'!$O$6:$O$546,'BM MORRO DA CRUZ'!$K60),0)</f>
        <v>0</v>
      </c>
      <c r="AY60" s="63">
        <f t="shared" ref="AY60:AY91" si="63">ROUND(AX60*$P60,2)</f>
        <v>0</v>
      </c>
      <c r="AZ60" s="61">
        <f>IFERROR(SUMIFS('BM MORRO DA CRUZ - VERTICAL'!BD$6:BD$546,'BM MORRO DA CRUZ - VERTICAL'!$O$6:$O$546,'BM MORRO DA CRUZ'!$K60),0)</f>
        <v>0</v>
      </c>
      <c r="BA60" s="63">
        <f t="shared" ref="BA60:BA91" si="64">ROUND(AZ60*$P60,2)</f>
        <v>0</v>
      </c>
      <c r="BB60" s="61">
        <f t="shared" ref="BB60:BB91" si="65">IFERROR(SUMIFS($R60:$BA60,$R$5:$BA$5,$BB$5),0)</f>
        <v>0</v>
      </c>
      <c r="BC60" s="63">
        <f t="shared" ref="BC60:BC91" si="66">SUMIFS($R60:$BA60,$R$5:$BA$5,$S$5)</f>
        <v>0</v>
      </c>
      <c r="BD60" s="64">
        <f t="shared" ref="BD60:BD91" si="67">IFERROR(BB60/O60,0)</f>
        <v>0</v>
      </c>
      <c r="BE60" s="65">
        <f t="shared" ref="BE60:BE91" si="68">IFERROR((O60-BB60)/O60,0)</f>
        <v>1</v>
      </c>
      <c r="BF60" s="45"/>
    </row>
    <row r="61" spans="1:58" ht="26" customHeight="1" x14ac:dyDescent="0.45">
      <c r="A61" s="56" t="s">
        <v>270</v>
      </c>
      <c r="B61" s="506" t="s">
        <v>271</v>
      </c>
      <c r="C61" s="507" t="s">
        <v>111</v>
      </c>
      <c r="D61" s="507" t="s">
        <v>224</v>
      </c>
      <c r="E61" s="507" t="s">
        <v>272</v>
      </c>
      <c r="F61" s="507" t="s">
        <v>273</v>
      </c>
      <c r="G61" s="507">
        <v>110</v>
      </c>
      <c r="H61" s="508" t="s">
        <v>267</v>
      </c>
      <c r="I61" s="507" t="s">
        <v>114</v>
      </c>
      <c r="J61" s="508" t="s">
        <v>267</v>
      </c>
      <c r="K61" s="57" t="s">
        <v>274</v>
      </c>
      <c r="L61" s="58" t="s">
        <v>21</v>
      </c>
      <c r="M61" s="59" t="s">
        <v>275</v>
      </c>
      <c r="N61" s="60" t="s">
        <v>71</v>
      </c>
      <c r="O61" s="61">
        <v>2</v>
      </c>
      <c r="P61" s="62">
        <v>75.569999999999993</v>
      </c>
      <c r="Q61" s="63">
        <f t="shared" si="46"/>
        <v>151.13999999999999</v>
      </c>
      <c r="R61" s="61">
        <f>IFERROR(SUMIFS('BM MORRO DA CRUZ - VERTICAL'!V$6:V$546,'BM MORRO DA CRUZ - VERTICAL'!$O$6:$O$546,'BM MORRO DA CRUZ'!$K61),0)</f>
        <v>0</v>
      </c>
      <c r="S61" s="63">
        <f t="shared" si="47"/>
        <v>0</v>
      </c>
      <c r="T61" s="61">
        <f>IFERROR(SUMIFS('BM MORRO DA CRUZ - VERTICAL'!X$6:X$546,'BM MORRO DA CRUZ - VERTICAL'!$O$6:$O$546,'BM MORRO DA CRUZ'!$K61),0)</f>
        <v>0</v>
      </c>
      <c r="U61" s="63">
        <f t="shared" si="48"/>
        <v>0</v>
      </c>
      <c r="V61" s="61">
        <f>IFERROR(SUMIFS('BM MORRO DA CRUZ - VERTICAL'!Z$6:Z$546,'BM MORRO DA CRUZ - VERTICAL'!$O$6:$O$546,'BM MORRO DA CRUZ'!$K61),0)</f>
        <v>0</v>
      </c>
      <c r="W61" s="63">
        <f t="shared" si="49"/>
        <v>0</v>
      </c>
      <c r="X61" s="61">
        <f>IFERROR(SUMIFS('BM MORRO DA CRUZ - VERTICAL'!AB$6:AB$546,'BM MORRO DA CRUZ - VERTICAL'!$O$6:$O$546,'BM MORRO DA CRUZ'!$K61),0)</f>
        <v>0</v>
      </c>
      <c r="Y61" s="63">
        <f t="shared" si="50"/>
        <v>0</v>
      </c>
      <c r="Z61" s="61">
        <f>IFERROR(SUMIFS('BM MORRO DA CRUZ - VERTICAL'!AD$6:AD$546,'BM MORRO DA CRUZ - VERTICAL'!$O$6:$O$546,'BM MORRO DA CRUZ'!$K61),0)</f>
        <v>0</v>
      </c>
      <c r="AA61" s="63">
        <f t="shared" si="51"/>
        <v>0</v>
      </c>
      <c r="AB61" s="61">
        <f>IFERROR(SUMIFS('BM MORRO DA CRUZ - VERTICAL'!AF$6:AF$546,'BM MORRO DA CRUZ - VERTICAL'!$O$6:$O$546,'BM MORRO DA CRUZ'!$K61),0)</f>
        <v>0</v>
      </c>
      <c r="AC61" s="63">
        <f t="shared" si="52"/>
        <v>0</v>
      </c>
      <c r="AD61" s="61">
        <f>IFERROR(SUMIFS('BM MORRO DA CRUZ - VERTICAL'!AH$6:AH$546,'BM MORRO DA CRUZ - VERTICAL'!$O$6:$O$546,'BM MORRO DA CRUZ'!$K61),0)</f>
        <v>0</v>
      </c>
      <c r="AE61" s="63">
        <f t="shared" si="53"/>
        <v>0</v>
      </c>
      <c r="AF61" s="61">
        <f>IFERROR(SUMIFS('BM MORRO DA CRUZ - VERTICAL'!AJ$6:AJ$546,'BM MORRO DA CRUZ - VERTICAL'!$O$6:$O$546,'BM MORRO DA CRUZ'!$K61),0)</f>
        <v>0</v>
      </c>
      <c r="AG61" s="63">
        <f t="shared" si="54"/>
        <v>0</v>
      </c>
      <c r="AH61" s="61">
        <f>IFERROR(SUMIFS('BM MORRO DA CRUZ - VERTICAL'!AL$6:AL$546,'BM MORRO DA CRUZ - VERTICAL'!$O$6:$O$546,'BM MORRO DA CRUZ'!$K61),0)</f>
        <v>0</v>
      </c>
      <c r="AI61" s="63">
        <f t="shared" si="55"/>
        <v>0</v>
      </c>
      <c r="AJ61" s="61">
        <f>IFERROR(SUMIFS('BM MORRO DA CRUZ - VERTICAL'!AN$6:AN$546,'BM MORRO DA CRUZ - VERTICAL'!$O$6:$O$546,'BM MORRO DA CRUZ'!$K61),0)</f>
        <v>0</v>
      </c>
      <c r="AK61" s="63">
        <f t="shared" si="56"/>
        <v>0</v>
      </c>
      <c r="AL61" s="61">
        <f>IFERROR(SUMIFS('BM MORRO DA CRUZ - VERTICAL'!AP$6:AP$546,'BM MORRO DA CRUZ - VERTICAL'!$O$6:$O$546,'BM MORRO DA CRUZ'!$K61),0)</f>
        <v>0</v>
      </c>
      <c r="AM61" s="63">
        <f t="shared" si="57"/>
        <v>0</v>
      </c>
      <c r="AN61" s="61">
        <f>IFERROR(SUMIFS('BM MORRO DA CRUZ - VERTICAL'!AR$6:AR$546,'BM MORRO DA CRUZ - VERTICAL'!$O$6:$O$546,'BM MORRO DA CRUZ'!$K61),0)</f>
        <v>0</v>
      </c>
      <c r="AO61" s="63">
        <f t="shared" si="58"/>
        <v>0</v>
      </c>
      <c r="AP61" s="61">
        <f>IFERROR(SUMIFS('BM MORRO DA CRUZ - VERTICAL'!AT$6:AT$546,'BM MORRO DA CRUZ - VERTICAL'!$O$6:$O$546,'BM MORRO DA CRUZ'!$K61),0)</f>
        <v>0</v>
      </c>
      <c r="AQ61" s="63">
        <f t="shared" si="59"/>
        <v>0</v>
      </c>
      <c r="AR61" s="61">
        <f>IFERROR(SUMIFS('BM MORRO DA CRUZ - VERTICAL'!AV$6:AV$546,'BM MORRO DA CRUZ - VERTICAL'!$O$6:$O$546,'BM MORRO DA CRUZ'!$K61),0)</f>
        <v>0</v>
      </c>
      <c r="AS61" s="63">
        <f t="shared" si="60"/>
        <v>0</v>
      </c>
      <c r="AT61" s="61">
        <f>IFERROR(SUMIFS('BM MORRO DA CRUZ - VERTICAL'!AX$6:AX$546,'BM MORRO DA CRUZ - VERTICAL'!$O$6:$O$546,'BM MORRO DA CRUZ'!$K61),0)</f>
        <v>0</v>
      </c>
      <c r="AU61" s="63">
        <f t="shared" si="61"/>
        <v>0</v>
      </c>
      <c r="AV61" s="61">
        <f>IFERROR(SUMIFS('BM MORRO DA CRUZ - VERTICAL'!AZ$6:AZ$546,'BM MORRO DA CRUZ - VERTICAL'!$O$6:$O$546,'BM MORRO DA CRUZ'!$K61),0)</f>
        <v>0</v>
      </c>
      <c r="AW61" s="63">
        <f t="shared" si="62"/>
        <v>0</v>
      </c>
      <c r="AX61" s="61">
        <f>IFERROR(SUMIFS('BM MORRO DA CRUZ - VERTICAL'!BB$6:BB$546,'BM MORRO DA CRUZ - VERTICAL'!$O$6:$O$546,'BM MORRO DA CRUZ'!$K61),0)</f>
        <v>0</v>
      </c>
      <c r="AY61" s="63">
        <f t="shared" si="63"/>
        <v>0</v>
      </c>
      <c r="AZ61" s="61">
        <f>IFERROR(SUMIFS('BM MORRO DA CRUZ - VERTICAL'!BD$6:BD$546,'BM MORRO DA CRUZ - VERTICAL'!$O$6:$O$546,'BM MORRO DA CRUZ'!$K61),0)</f>
        <v>0</v>
      </c>
      <c r="BA61" s="63">
        <f t="shared" si="64"/>
        <v>0</v>
      </c>
      <c r="BB61" s="61">
        <f t="shared" si="65"/>
        <v>0</v>
      </c>
      <c r="BC61" s="63">
        <f t="shared" si="66"/>
        <v>0</v>
      </c>
      <c r="BD61" s="64">
        <f t="shared" si="67"/>
        <v>0</v>
      </c>
      <c r="BE61" s="65">
        <f t="shared" si="68"/>
        <v>1</v>
      </c>
      <c r="BF61" s="45"/>
    </row>
    <row r="62" spans="1:58" ht="26" customHeight="1" x14ac:dyDescent="0.45">
      <c r="A62" s="56" t="s">
        <v>276</v>
      </c>
      <c r="B62" s="506" t="s">
        <v>271</v>
      </c>
      <c r="C62" s="507" t="s">
        <v>111</v>
      </c>
      <c r="D62" s="507" t="s">
        <v>224</v>
      </c>
      <c r="E62" s="507" t="s">
        <v>272</v>
      </c>
      <c r="F62" s="507" t="s">
        <v>273</v>
      </c>
      <c r="G62" s="507">
        <v>125</v>
      </c>
      <c r="H62" s="508" t="s">
        <v>267</v>
      </c>
      <c r="I62" s="507" t="s">
        <v>114</v>
      </c>
      <c r="J62" s="508" t="s">
        <v>267</v>
      </c>
      <c r="K62" s="57" t="s">
        <v>277</v>
      </c>
      <c r="L62" s="58" t="s">
        <v>21</v>
      </c>
      <c r="M62" s="59" t="s">
        <v>278</v>
      </c>
      <c r="N62" s="60" t="s">
        <v>71</v>
      </c>
      <c r="O62" s="61">
        <v>4</v>
      </c>
      <c r="P62" s="62">
        <v>92.19</v>
      </c>
      <c r="Q62" s="63">
        <f t="shared" si="46"/>
        <v>368.76</v>
      </c>
      <c r="R62" s="61">
        <f>IFERROR(SUMIFS('BM MORRO DA CRUZ - VERTICAL'!V$6:V$546,'BM MORRO DA CRUZ - VERTICAL'!$O$6:$O$546,'BM MORRO DA CRUZ'!$K62),0)</f>
        <v>0</v>
      </c>
      <c r="S62" s="63">
        <f t="shared" si="47"/>
        <v>0</v>
      </c>
      <c r="T62" s="61">
        <f>IFERROR(SUMIFS('BM MORRO DA CRUZ - VERTICAL'!X$6:X$546,'BM MORRO DA CRUZ - VERTICAL'!$O$6:$O$546,'BM MORRO DA CRUZ'!$K62),0)</f>
        <v>0</v>
      </c>
      <c r="U62" s="63">
        <f t="shared" si="48"/>
        <v>0</v>
      </c>
      <c r="V62" s="61">
        <f>IFERROR(SUMIFS('BM MORRO DA CRUZ - VERTICAL'!Z$6:Z$546,'BM MORRO DA CRUZ - VERTICAL'!$O$6:$O$546,'BM MORRO DA CRUZ'!$K62),0)</f>
        <v>0</v>
      </c>
      <c r="W62" s="63">
        <f t="shared" si="49"/>
        <v>0</v>
      </c>
      <c r="X62" s="61">
        <f>IFERROR(SUMIFS('BM MORRO DA CRUZ - VERTICAL'!AB$6:AB$546,'BM MORRO DA CRUZ - VERTICAL'!$O$6:$O$546,'BM MORRO DA CRUZ'!$K62),0)</f>
        <v>0</v>
      </c>
      <c r="Y62" s="63">
        <f t="shared" si="50"/>
        <v>0</v>
      </c>
      <c r="Z62" s="61">
        <f>IFERROR(SUMIFS('BM MORRO DA CRUZ - VERTICAL'!AD$6:AD$546,'BM MORRO DA CRUZ - VERTICAL'!$O$6:$O$546,'BM MORRO DA CRUZ'!$K62),0)</f>
        <v>0</v>
      </c>
      <c r="AA62" s="63">
        <f t="shared" si="51"/>
        <v>0</v>
      </c>
      <c r="AB62" s="61">
        <f>IFERROR(SUMIFS('BM MORRO DA CRUZ - VERTICAL'!AF$6:AF$546,'BM MORRO DA CRUZ - VERTICAL'!$O$6:$O$546,'BM MORRO DA CRUZ'!$K62),0)</f>
        <v>0</v>
      </c>
      <c r="AC62" s="63">
        <f t="shared" si="52"/>
        <v>0</v>
      </c>
      <c r="AD62" s="61">
        <f>IFERROR(SUMIFS('BM MORRO DA CRUZ - VERTICAL'!AH$6:AH$546,'BM MORRO DA CRUZ - VERTICAL'!$O$6:$O$546,'BM MORRO DA CRUZ'!$K62),0)</f>
        <v>0</v>
      </c>
      <c r="AE62" s="63">
        <f t="shared" si="53"/>
        <v>0</v>
      </c>
      <c r="AF62" s="61">
        <f>IFERROR(SUMIFS('BM MORRO DA CRUZ - VERTICAL'!AJ$6:AJ$546,'BM MORRO DA CRUZ - VERTICAL'!$O$6:$O$546,'BM MORRO DA CRUZ'!$K62),0)</f>
        <v>0</v>
      </c>
      <c r="AG62" s="63">
        <f t="shared" si="54"/>
        <v>0</v>
      </c>
      <c r="AH62" s="61">
        <f>IFERROR(SUMIFS('BM MORRO DA CRUZ - VERTICAL'!AL$6:AL$546,'BM MORRO DA CRUZ - VERTICAL'!$O$6:$O$546,'BM MORRO DA CRUZ'!$K62),0)</f>
        <v>0</v>
      </c>
      <c r="AI62" s="63">
        <f t="shared" si="55"/>
        <v>0</v>
      </c>
      <c r="AJ62" s="61">
        <f>IFERROR(SUMIFS('BM MORRO DA CRUZ - VERTICAL'!AN$6:AN$546,'BM MORRO DA CRUZ - VERTICAL'!$O$6:$O$546,'BM MORRO DA CRUZ'!$K62),0)</f>
        <v>0</v>
      </c>
      <c r="AK62" s="63">
        <f t="shared" si="56"/>
        <v>0</v>
      </c>
      <c r="AL62" s="61">
        <f>IFERROR(SUMIFS('BM MORRO DA CRUZ - VERTICAL'!AP$6:AP$546,'BM MORRO DA CRUZ - VERTICAL'!$O$6:$O$546,'BM MORRO DA CRUZ'!$K62),0)</f>
        <v>0</v>
      </c>
      <c r="AM62" s="63">
        <f t="shared" si="57"/>
        <v>0</v>
      </c>
      <c r="AN62" s="61">
        <f>IFERROR(SUMIFS('BM MORRO DA CRUZ - VERTICAL'!AR$6:AR$546,'BM MORRO DA CRUZ - VERTICAL'!$O$6:$O$546,'BM MORRO DA CRUZ'!$K62),0)</f>
        <v>0</v>
      </c>
      <c r="AO62" s="63">
        <f t="shared" si="58"/>
        <v>0</v>
      </c>
      <c r="AP62" s="61">
        <f>IFERROR(SUMIFS('BM MORRO DA CRUZ - VERTICAL'!AT$6:AT$546,'BM MORRO DA CRUZ - VERTICAL'!$O$6:$O$546,'BM MORRO DA CRUZ'!$K62),0)</f>
        <v>0</v>
      </c>
      <c r="AQ62" s="63">
        <f t="shared" si="59"/>
        <v>0</v>
      </c>
      <c r="AR62" s="61">
        <f>IFERROR(SUMIFS('BM MORRO DA CRUZ - VERTICAL'!AV$6:AV$546,'BM MORRO DA CRUZ - VERTICAL'!$O$6:$O$546,'BM MORRO DA CRUZ'!$K62),0)</f>
        <v>0</v>
      </c>
      <c r="AS62" s="63">
        <f t="shared" si="60"/>
        <v>0</v>
      </c>
      <c r="AT62" s="61">
        <f>IFERROR(SUMIFS('BM MORRO DA CRUZ - VERTICAL'!AX$6:AX$546,'BM MORRO DA CRUZ - VERTICAL'!$O$6:$O$546,'BM MORRO DA CRUZ'!$K62),0)</f>
        <v>0</v>
      </c>
      <c r="AU62" s="63">
        <f t="shared" si="61"/>
        <v>0</v>
      </c>
      <c r="AV62" s="61">
        <f>IFERROR(SUMIFS('BM MORRO DA CRUZ - VERTICAL'!AZ$6:AZ$546,'BM MORRO DA CRUZ - VERTICAL'!$O$6:$O$546,'BM MORRO DA CRUZ'!$K62),0)</f>
        <v>0</v>
      </c>
      <c r="AW62" s="63">
        <f t="shared" si="62"/>
        <v>0</v>
      </c>
      <c r="AX62" s="61">
        <f>IFERROR(SUMIFS('BM MORRO DA CRUZ - VERTICAL'!BB$6:BB$546,'BM MORRO DA CRUZ - VERTICAL'!$O$6:$O$546,'BM MORRO DA CRUZ'!$K62),0)</f>
        <v>0</v>
      </c>
      <c r="AY62" s="63">
        <f t="shared" si="63"/>
        <v>0</v>
      </c>
      <c r="AZ62" s="61">
        <f>IFERROR(SUMIFS('BM MORRO DA CRUZ - VERTICAL'!BD$6:BD$546,'BM MORRO DA CRUZ - VERTICAL'!$O$6:$O$546,'BM MORRO DA CRUZ'!$K62),0)</f>
        <v>0</v>
      </c>
      <c r="BA62" s="63">
        <f t="shared" si="64"/>
        <v>0</v>
      </c>
      <c r="BB62" s="61">
        <f t="shared" si="65"/>
        <v>0</v>
      </c>
      <c r="BC62" s="63">
        <f t="shared" si="66"/>
        <v>0</v>
      </c>
      <c r="BD62" s="64">
        <f t="shared" si="67"/>
        <v>0</v>
      </c>
      <c r="BE62" s="65">
        <f t="shared" si="68"/>
        <v>1</v>
      </c>
      <c r="BF62" s="45"/>
    </row>
    <row r="63" spans="1:58" ht="26" customHeight="1" x14ac:dyDescent="0.45">
      <c r="A63" s="56" t="s">
        <v>279</v>
      </c>
      <c r="B63" s="506" t="s">
        <v>271</v>
      </c>
      <c r="C63" s="507" t="s">
        <v>111</v>
      </c>
      <c r="D63" s="507" t="s">
        <v>224</v>
      </c>
      <c r="E63" s="507" t="s">
        <v>272</v>
      </c>
      <c r="F63" s="507" t="s">
        <v>273</v>
      </c>
      <c r="G63" s="507">
        <v>160</v>
      </c>
      <c r="H63" s="508" t="s">
        <v>267</v>
      </c>
      <c r="I63" s="507" t="s">
        <v>114</v>
      </c>
      <c r="J63" s="508" t="s">
        <v>267</v>
      </c>
      <c r="K63" s="57" t="s">
        <v>280</v>
      </c>
      <c r="L63" s="58" t="s">
        <v>21</v>
      </c>
      <c r="M63" s="59" t="s">
        <v>281</v>
      </c>
      <c r="N63" s="60" t="s">
        <v>71</v>
      </c>
      <c r="O63" s="61">
        <v>48</v>
      </c>
      <c r="P63" s="62">
        <v>149.07</v>
      </c>
      <c r="Q63" s="63">
        <f t="shared" si="46"/>
        <v>7155.36</v>
      </c>
      <c r="R63" s="61">
        <f>IFERROR(SUMIFS('BM MORRO DA CRUZ - VERTICAL'!V$6:V$546,'BM MORRO DA CRUZ - VERTICAL'!$O$6:$O$546,'BM MORRO DA CRUZ'!$K63),0)</f>
        <v>0</v>
      </c>
      <c r="S63" s="63">
        <f t="shared" si="47"/>
        <v>0</v>
      </c>
      <c r="T63" s="61">
        <f>IFERROR(SUMIFS('BM MORRO DA CRUZ - VERTICAL'!X$6:X$546,'BM MORRO DA CRUZ - VERTICAL'!$O$6:$O$546,'BM MORRO DA CRUZ'!$K63),0)</f>
        <v>0</v>
      </c>
      <c r="U63" s="63">
        <f t="shared" si="48"/>
        <v>0</v>
      </c>
      <c r="V63" s="61">
        <f>IFERROR(SUMIFS('BM MORRO DA CRUZ - VERTICAL'!Z$6:Z$546,'BM MORRO DA CRUZ - VERTICAL'!$O$6:$O$546,'BM MORRO DA CRUZ'!$K63),0)</f>
        <v>0</v>
      </c>
      <c r="W63" s="63">
        <f t="shared" si="49"/>
        <v>0</v>
      </c>
      <c r="X63" s="61">
        <f>IFERROR(SUMIFS('BM MORRO DA CRUZ - VERTICAL'!AB$6:AB$546,'BM MORRO DA CRUZ - VERTICAL'!$O$6:$O$546,'BM MORRO DA CRUZ'!$K63),0)</f>
        <v>0</v>
      </c>
      <c r="Y63" s="63">
        <f t="shared" si="50"/>
        <v>0</v>
      </c>
      <c r="Z63" s="61">
        <f>IFERROR(SUMIFS('BM MORRO DA CRUZ - VERTICAL'!AD$6:AD$546,'BM MORRO DA CRUZ - VERTICAL'!$O$6:$O$546,'BM MORRO DA CRUZ'!$K63),0)</f>
        <v>0</v>
      </c>
      <c r="AA63" s="63">
        <f t="shared" si="51"/>
        <v>0</v>
      </c>
      <c r="AB63" s="61">
        <f>IFERROR(SUMIFS('BM MORRO DA CRUZ - VERTICAL'!AF$6:AF$546,'BM MORRO DA CRUZ - VERTICAL'!$O$6:$O$546,'BM MORRO DA CRUZ'!$K63),0)</f>
        <v>0</v>
      </c>
      <c r="AC63" s="63">
        <f t="shared" si="52"/>
        <v>0</v>
      </c>
      <c r="AD63" s="61">
        <f>IFERROR(SUMIFS('BM MORRO DA CRUZ - VERTICAL'!AH$6:AH$546,'BM MORRO DA CRUZ - VERTICAL'!$O$6:$O$546,'BM MORRO DA CRUZ'!$K63),0)</f>
        <v>0</v>
      </c>
      <c r="AE63" s="63">
        <f t="shared" si="53"/>
        <v>0</v>
      </c>
      <c r="AF63" s="61">
        <f>IFERROR(SUMIFS('BM MORRO DA CRUZ - VERTICAL'!AJ$6:AJ$546,'BM MORRO DA CRUZ - VERTICAL'!$O$6:$O$546,'BM MORRO DA CRUZ'!$K63),0)</f>
        <v>0</v>
      </c>
      <c r="AG63" s="63">
        <f t="shared" si="54"/>
        <v>0</v>
      </c>
      <c r="AH63" s="61">
        <f>IFERROR(SUMIFS('BM MORRO DA CRUZ - VERTICAL'!AL$6:AL$546,'BM MORRO DA CRUZ - VERTICAL'!$O$6:$O$546,'BM MORRO DA CRUZ'!$K63),0)</f>
        <v>0</v>
      </c>
      <c r="AI63" s="63">
        <f t="shared" si="55"/>
        <v>0</v>
      </c>
      <c r="AJ63" s="61">
        <f>IFERROR(SUMIFS('BM MORRO DA CRUZ - VERTICAL'!AN$6:AN$546,'BM MORRO DA CRUZ - VERTICAL'!$O$6:$O$546,'BM MORRO DA CRUZ'!$K63),0)</f>
        <v>0</v>
      </c>
      <c r="AK63" s="63">
        <f t="shared" si="56"/>
        <v>0</v>
      </c>
      <c r="AL63" s="61">
        <f>IFERROR(SUMIFS('BM MORRO DA CRUZ - VERTICAL'!AP$6:AP$546,'BM MORRO DA CRUZ - VERTICAL'!$O$6:$O$546,'BM MORRO DA CRUZ'!$K63),0)</f>
        <v>0</v>
      </c>
      <c r="AM63" s="63">
        <f t="shared" si="57"/>
        <v>0</v>
      </c>
      <c r="AN63" s="61">
        <f>IFERROR(SUMIFS('BM MORRO DA CRUZ - VERTICAL'!AR$6:AR$546,'BM MORRO DA CRUZ - VERTICAL'!$O$6:$O$546,'BM MORRO DA CRUZ'!$K63),0)</f>
        <v>0</v>
      </c>
      <c r="AO63" s="63">
        <f t="shared" si="58"/>
        <v>0</v>
      </c>
      <c r="AP63" s="61">
        <f>IFERROR(SUMIFS('BM MORRO DA CRUZ - VERTICAL'!AT$6:AT$546,'BM MORRO DA CRUZ - VERTICAL'!$O$6:$O$546,'BM MORRO DA CRUZ'!$K63),0)</f>
        <v>0</v>
      </c>
      <c r="AQ63" s="63">
        <f t="shared" si="59"/>
        <v>0</v>
      </c>
      <c r="AR63" s="61">
        <f>IFERROR(SUMIFS('BM MORRO DA CRUZ - VERTICAL'!AV$6:AV$546,'BM MORRO DA CRUZ - VERTICAL'!$O$6:$O$546,'BM MORRO DA CRUZ'!$K63),0)</f>
        <v>0</v>
      </c>
      <c r="AS63" s="63">
        <f t="shared" si="60"/>
        <v>0</v>
      </c>
      <c r="AT63" s="61">
        <f>IFERROR(SUMIFS('BM MORRO DA CRUZ - VERTICAL'!AX$6:AX$546,'BM MORRO DA CRUZ - VERTICAL'!$O$6:$O$546,'BM MORRO DA CRUZ'!$K63),0)</f>
        <v>0</v>
      </c>
      <c r="AU63" s="63">
        <f t="shared" si="61"/>
        <v>0</v>
      </c>
      <c r="AV63" s="61">
        <f>IFERROR(SUMIFS('BM MORRO DA CRUZ - VERTICAL'!AZ$6:AZ$546,'BM MORRO DA CRUZ - VERTICAL'!$O$6:$O$546,'BM MORRO DA CRUZ'!$K63),0)</f>
        <v>0</v>
      </c>
      <c r="AW63" s="63">
        <f t="shared" si="62"/>
        <v>0</v>
      </c>
      <c r="AX63" s="61">
        <f>IFERROR(SUMIFS('BM MORRO DA CRUZ - VERTICAL'!BB$6:BB$546,'BM MORRO DA CRUZ - VERTICAL'!$O$6:$O$546,'BM MORRO DA CRUZ'!$K63),0)</f>
        <v>0</v>
      </c>
      <c r="AY63" s="63">
        <f t="shared" si="63"/>
        <v>0</v>
      </c>
      <c r="AZ63" s="61">
        <f>IFERROR(SUMIFS('BM MORRO DA CRUZ - VERTICAL'!BD$6:BD$546,'BM MORRO DA CRUZ - VERTICAL'!$O$6:$O$546,'BM MORRO DA CRUZ'!$K63),0)</f>
        <v>0</v>
      </c>
      <c r="BA63" s="63">
        <f t="shared" si="64"/>
        <v>0</v>
      </c>
      <c r="BB63" s="61">
        <f t="shared" si="65"/>
        <v>0</v>
      </c>
      <c r="BC63" s="63">
        <f t="shared" si="66"/>
        <v>0</v>
      </c>
      <c r="BD63" s="64">
        <f t="shared" si="67"/>
        <v>0</v>
      </c>
      <c r="BE63" s="65">
        <f t="shared" si="68"/>
        <v>1</v>
      </c>
      <c r="BF63" s="45"/>
    </row>
    <row r="64" spans="1:58" ht="35.65" x14ac:dyDescent="0.45">
      <c r="A64" s="56" t="s">
        <v>282</v>
      </c>
      <c r="B64" s="506" t="s">
        <v>271</v>
      </c>
      <c r="C64" s="507" t="s">
        <v>111</v>
      </c>
      <c r="D64" s="507" t="s">
        <v>224</v>
      </c>
      <c r="E64" s="507" t="s">
        <v>272</v>
      </c>
      <c r="F64" s="507" t="s">
        <v>273</v>
      </c>
      <c r="G64" s="507">
        <v>200</v>
      </c>
      <c r="H64" s="508" t="s">
        <v>267</v>
      </c>
      <c r="I64" s="507" t="s">
        <v>114</v>
      </c>
      <c r="J64" s="508" t="s">
        <v>267</v>
      </c>
      <c r="K64" s="57" t="s">
        <v>283</v>
      </c>
      <c r="L64" s="58" t="s">
        <v>21</v>
      </c>
      <c r="M64" s="59" t="s">
        <v>284</v>
      </c>
      <c r="N64" s="60" t="s">
        <v>71</v>
      </c>
      <c r="O64" s="61">
        <v>2</v>
      </c>
      <c r="P64" s="62">
        <v>262.24</v>
      </c>
      <c r="Q64" s="63">
        <f t="shared" si="46"/>
        <v>524.48</v>
      </c>
      <c r="R64" s="61">
        <f>IFERROR(SUMIFS('BM MORRO DA CRUZ - VERTICAL'!V$6:V$546,'BM MORRO DA CRUZ - VERTICAL'!$O$6:$O$546,'BM MORRO DA CRUZ'!$K64),0)</f>
        <v>0</v>
      </c>
      <c r="S64" s="63">
        <f t="shared" si="47"/>
        <v>0</v>
      </c>
      <c r="T64" s="61">
        <f>IFERROR(SUMIFS('BM MORRO DA CRUZ - VERTICAL'!X$6:X$546,'BM MORRO DA CRUZ - VERTICAL'!$O$6:$O$546,'BM MORRO DA CRUZ'!$K64),0)</f>
        <v>0</v>
      </c>
      <c r="U64" s="63">
        <f t="shared" si="48"/>
        <v>0</v>
      </c>
      <c r="V64" s="61">
        <f>IFERROR(SUMIFS('BM MORRO DA CRUZ - VERTICAL'!Z$6:Z$546,'BM MORRO DA CRUZ - VERTICAL'!$O$6:$O$546,'BM MORRO DA CRUZ'!$K64),0)</f>
        <v>0</v>
      </c>
      <c r="W64" s="63">
        <f t="shared" si="49"/>
        <v>0</v>
      </c>
      <c r="X64" s="61">
        <f>IFERROR(SUMIFS('BM MORRO DA CRUZ - VERTICAL'!AB$6:AB$546,'BM MORRO DA CRUZ - VERTICAL'!$O$6:$O$546,'BM MORRO DA CRUZ'!$K64),0)</f>
        <v>0</v>
      </c>
      <c r="Y64" s="63">
        <f t="shared" si="50"/>
        <v>0</v>
      </c>
      <c r="Z64" s="61">
        <f>IFERROR(SUMIFS('BM MORRO DA CRUZ - VERTICAL'!AD$6:AD$546,'BM MORRO DA CRUZ - VERTICAL'!$O$6:$O$546,'BM MORRO DA CRUZ'!$K64),0)</f>
        <v>0</v>
      </c>
      <c r="AA64" s="63">
        <f t="shared" si="51"/>
        <v>0</v>
      </c>
      <c r="AB64" s="61">
        <f>IFERROR(SUMIFS('BM MORRO DA CRUZ - VERTICAL'!AF$6:AF$546,'BM MORRO DA CRUZ - VERTICAL'!$O$6:$O$546,'BM MORRO DA CRUZ'!$K64),0)</f>
        <v>0</v>
      </c>
      <c r="AC64" s="63">
        <f t="shared" si="52"/>
        <v>0</v>
      </c>
      <c r="AD64" s="61">
        <f>IFERROR(SUMIFS('BM MORRO DA CRUZ - VERTICAL'!AH$6:AH$546,'BM MORRO DA CRUZ - VERTICAL'!$O$6:$O$546,'BM MORRO DA CRUZ'!$K64),0)</f>
        <v>0</v>
      </c>
      <c r="AE64" s="63">
        <f t="shared" si="53"/>
        <v>0</v>
      </c>
      <c r="AF64" s="61">
        <f>IFERROR(SUMIFS('BM MORRO DA CRUZ - VERTICAL'!AJ$6:AJ$546,'BM MORRO DA CRUZ - VERTICAL'!$O$6:$O$546,'BM MORRO DA CRUZ'!$K64),0)</f>
        <v>0</v>
      </c>
      <c r="AG64" s="63">
        <f t="shared" si="54"/>
        <v>0</v>
      </c>
      <c r="AH64" s="61">
        <f>IFERROR(SUMIFS('BM MORRO DA CRUZ - VERTICAL'!AL$6:AL$546,'BM MORRO DA CRUZ - VERTICAL'!$O$6:$O$546,'BM MORRO DA CRUZ'!$K64),0)</f>
        <v>0</v>
      </c>
      <c r="AI64" s="63">
        <f t="shared" si="55"/>
        <v>0</v>
      </c>
      <c r="AJ64" s="61">
        <f>IFERROR(SUMIFS('BM MORRO DA CRUZ - VERTICAL'!AN$6:AN$546,'BM MORRO DA CRUZ - VERTICAL'!$O$6:$O$546,'BM MORRO DA CRUZ'!$K64),0)</f>
        <v>0</v>
      </c>
      <c r="AK64" s="63">
        <f t="shared" si="56"/>
        <v>0</v>
      </c>
      <c r="AL64" s="61">
        <f>IFERROR(SUMIFS('BM MORRO DA CRUZ - VERTICAL'!AP$6:AP$546,'BM MORRO DA CRUZ - VERTICAL'!$O$6:$O$546,'BM MORRO DA CRUZ'!$K64),0)</f>
        <v>0</v>
      </c>
      <c r="AM64" s="63">
        <f t="shared" si="57"/>
        <v>0</v>
      </c>
      <c r="AN64" s="61">
        <f>IFERROR(SUMIFS('BM MORRO DA CRUZ - VERTICAL'!AR$6:AR$546,'BM MORRO DA CRUZ - VERTICAL'!$O$6:$O$546,'BM MORRO DA CRUZ'!$K64),0)</f>
        <v>0</v>
      </c>
      <c r="AO64" s="63">
        <f t="shared" si="58"/>
        <v>0</v>
      </c>
      <c r="AP64" s="61">
        <f>IFERROR(SUMIFS('BM MORRO DA CRUZ - VERTICAL'!AT$6:AT$546,'BM MORRO DA CRUZ - VERTICAL'!$O$6:$O$546,'BM MORRO DA CRUZ'!$K64),0)</f>
        <v>0</v>
      </c>
      <c r="AQ64" s="63">
        <f t="shared" si="59"/>
        <v>0</v>
      </c>
      <c r="AR64" s="61">
        <f>IFERROR(SUMIFS('BM MORRO DA CRUZ - VERTICAL'!AV$6:AV$546,'BM MORRO DA CRUZ - VERTICAL'!$O$6:$O$546,'BM MORRO DA CRUZ'!$K64),0)</f>
        <v>0</v>
      </c>
      <c r="AS64" s="63">
        <f t="shared" si="60"/>
        <v>0</v>
      </c>
      <c r="AT64" s="61">
        <f>IFERROR(SUMIFS('BM MORRO DA CRUZ - VERTICAL'!AX$6:AX$546,'BM MORRO DA CRUZ - VERTICAL'!$O$6:$O$546,'BM MORRO DA CRUZ'!$K64),0)</f>
        <v>0</v>
      </c>
      <c r="AU64" s="63">
        <f t="shared" si="61"/>
        <v>0</v>
      </c>
      <c r="AV64" s="61">
        <f>IFERROR(SUMIFS('BM MORRO DA CRUZ - VERTICAL'!AZ$6:AZ$546,'BM MORRO DA CRUZ - VERTICAL'!$O$6:$O$546,'BM MORRO DA CRUZ'!$K64),0)</f>
        <v>0</v>
      </c>
      <c r="AW64" s="63">
        <f t="shared" si="62"/>
        <v>0</v>
      </c>
      <c r="AX64" s="61">
        <f>IFERROR(SUMIFS('BM MORRO DA CRUZ - VERTICAL'!BB$6:BB$546,'BM MORRO DA CRUZ - VERTICAL'!$O$6:$O$546,'BM MORRO DA CRUZ'!$K64),0)</f>
        <v>0</v>
      </c>
      <c r="AY64" s="63">
        <f t="shared" si="63"/>
        <v>0</v>
      </c>
      <c r="AZ64" s="61">
        <f>IFERROR(SUMIFS('BM MORRO DA CRUZ - VERTICAL'!BD$6:BD$546,'BM MORRO DA CRUZ - VERTICAL'!$O$6:$O$546,'BM MORRO DA CRUZ'!$K64),0)</f>
        <v>0</v>
      </c>
      <c r="BA64" s="63">
        <f t="shared" si="64"/>
        <v>0</v>
      </c>
      <c r="BB64" s="61">
        <f t="shared" si="65"/>
        <v>0</v>
      </c>
      <c r="BC64" s="63">
        <f t="shared" si="66"/>
        <v>0</v>
      </c>
      <c r="BD64" s="64">
        <f t="shared" si="67"/>
        <v>0</v>
      </c>
      <c r="BE64" s="65">
        <f t="shared" si="68"/>
        <v>1</v>
      </c>
      <c r="BF64" s="45"/>
    </row>
    <row r="65" spans="1:58" ht="26" customHeight="1" x14ac:dyDescent="0.45">
      <c r="A65" s="56" t="s">
        <v>285</v>
      </c>
      <c r="B65" s="506" t="s">
        <v>271</v>
      </c>
      <c r="C65" s="507" t="s">
        <v>111</v>
      </c>
      <c r="D65" s="507" t="s">
        <v>224</v>
      </c>
      <c r="E65" s="507" t="s">
        <v>272</v>
      </c>
      <c r="F65" s="507" t="s">
        <v>273</v>
      </c>
      <c r="G65" s="507">
        <v>225</v>
      </c>
      <c r="H65" s="508" t="s">
        <v>267</v>
      </c>
      <c r="I65" s="507" t="s">
        <v>114</v>
      </c>
      <c r="J65" s="508" t="s">
        <v>267</v>
      </c>
      <c r="K65" s="57" t="s">
        <v>286</v>
      </c>
      <c r="L65" s="58" t="s">
        <v>21</v>
      </c>
      <c r="M65" s="59" t="s">
        <v>287</v>
      </c>
      <c r="N65" s="60" t="s">
        <v>71</v>
      </c>
      <c r="O65" s="61">
        <v>17</v>
      </c>
      <c r="P65" s="62">
        <v>282.82</v>
      </c>
      <c r="Q65" s="63">
        <f t="shared" si="46"/>
        <v>4807.9399999999996</v>
      </c>
      <c r="R65" s="61">
        <f>IFERROR(SUMIFS('BM MORRO DA CRUZ - VERTICAL'!V$6:V$546,'BM MORRO DA CRUZ - VERTICAL'!$O$6:$O$546,'BM MORRO DA CRUZ'!$K65),0)</f>
        <v>0</v>
      </c>
      <c r="S65" s="63">
        <f t="shared" si="47"/>
        <v>0</v>
      </c>
      <c r="T65" s="61">
        <f>IFERROR(SUMIFS('BM MORRO DA CRUZ - VERTICAL'!X$6:X$546,'BM MORRO DA CRUZ - VERTICAL'!$O$6:$O$546,'BM MORRO DA CRUZ'!$K65),0)</f>
        <v>0</v>
      </c>
      <c r="U65" s="63">
        <f t="shared" si="48"/>
        <v>0</v>
      </c>
      <c r="V65" s="61">
        <f>IFERROR(SUMIFS('BM MORRO DA CRUZ - VERTICAL'!Z$6:Z$546,'BM MORRO DA CRUZ - VERTICAL'!$O$6:$O$546,'BM MORRO DA CRUZ'!$K65),0)</f>
        <v>0</v>
      </c>
      <c r="W65" s="63">
        <f t="shared" si="49"/>
        <v>0</v>
      </c>
      <c r="X65" s="61">
        <f>IFERROR(SUMIFS('BM MORRO DA CRUZ - VERTICAL'!AB$6:AB$546,'BM MORRO DA CRUZ - VERTICAL'!$O$6:$O$546,'BM MORRO DA CRUZ'!$K65),0)</f>
        <v>0</v>
      </c>
      <c r="Y65" s="63">
        <f t="shared" si="50"/>
        <v>0</v>
      </c>
      <c r="Z65" s="61">
        <f>IFERROR(SUMIFS('BM MORRO DA CRUZ - VERTICAL'!AD$6:AD$546,'BM MORRO DA CRUZ - VERTICAL'!$O$6:$O$546,'BM MORRO DA CRUZ'!$K65),0)</f>
        <v>0</v>
      </c>
      <c r="AA65" s="63">
        <f t="shared" si="51"/>
        <v>0</v>
      </c>
      <c r="AB65" s="61">
        <f>IFERROR(SUMIFS('BM MORRO DA CRUZ - VERTICAL'!AF$6:AF$546,'BM MORRO DA CRUZ - VERTICAL'!$O$6:$O$546,'BM MORRO DA CRUZ'!$K65),0)</f>
        <v>0</v>
      </c>
      <c r="AC65" s="63">
        <f t="shared" si="52"/>
        <v>0</v>
      </c>
      <c r="AD65" s="61">
        <f>IFERROR(SUMIFS('BM MORRO DA CRUZ - VERTICAL'!AH$6:AH$546,'BM MORRO DA CRUZ - VERTICAL'!$O$6:$O$546,'BM MORRO DA CRUZ'!$K65),0)</f>
        <v>0</v>
      </c>
      <c r="AE65" s="63">
        <f t="shared" si="53"/>
        <v>0</v>
      </c>
      <c r="AF65" s="61">
        <f>IFERROR(SUMIFS('BM MORRO DA CRUZ - VERTICAL'!AJ$6:AJ$546,'BM MORRO DA CRUZ - VERTICAL'!$O$6:$O$546,'BM MORRO DA CRUZ'!$K65),0)</f>
        <v>0</v>
      </c>
      <c r="AG65" s="63">
        <f t="shared" si="54"/>
        <v>0</v>
      </c>
      <c r="AH65" s="61">
        <f>IFERROR(SUMIFS('BM MORRO DA CRUZ - VERTICAL'!AL$6:AL$546,'BM MORRO DA CRUZ - VERTICAL'!$O$6:$O$546,'BM MORRO DA CRUZ'!$K65),0)</f>
        <v>0</v>
      </c>
      <c r="AI65" s="63">
        <f t="shared" si="55"/>
        <v>0</v>
      </c>
      <c r="AJ65" s="61">
        <f>IFERROR(SUMIFS('BM MORRO DA CRUZ - VERTICAL'!AN$6:AN$546,'BM MORRO DA CRUZ - VERTICAL'!$O$6:$O$546,'BM MORRO DA CRUZ'!$K65),0)</f>
        <v>0</v>
      </c>
      <c r="AK65" s="63">
        <f t="shared" si="56"/>
        <v>0</v>
      </c>
      <c r="AL65" s="61">
        <f>IFERROR(SUMIFS('BM MORRO DA CRUZ - VERTICAL'!AP$6:AP$546,'BM MORRO DA CRUZ - VERTICAL'!$O$6:$O$546,'BM MORRO DA CRUZ'!$K65),0)</f>
        <v>0</v>
      </c>
      <c r="AM65" s="63">
        <f t="shared" si="57"/>
        <v>0</v>
      </c>
      <c r="AN65" s="61">
        <f>IFERROR(SUMIFS('BM MORRO DA CRUZ - VERTICAL'!AR$6:AR$546,'BM MORRO DA CRUZ - VERTICAL'!$O$6:$O$546,'BM MORRO DA CRUZ'!$K65),0)</f>
        <v>0</v>
      </c>
      <c r="AO65" s="63">
        <f t="shared" si="58"/>
        <v>0</v>
      </c>
      <c r="AP65" s="61">
        <f>IFERROR(SUMIFS('BM MORRO DA CRUZ - VERTICAL'!AT$6:AT$546,'BM MORRO DA CRUZ - VERTICAL'!$O$6:$O$546,'BM MORRO DA CRUZ'!$K65),0)</f>
        <v>0</v>
      </c>
      <c r="AQ65" s="63">
        <f t="shared" si="59"/>
        <v>0</v>
      </c>
      <c r="AR65" s="61">
        <f>IFERROR(SUMIFS('BM MORRO DA CRUZ - VERTICAL'!AV$6:AV$546,'BM MORRO DA CRUZ - VERTICAL'!$O$6:$O$546,'BM MORRO DA CRUZ'!$K65),0)</f>
        <v>0</v>
      </c>
      <c r="AS65" s="63">
        <f t="shared" si="60"/>
        <v>0</v>
      </c>
      <c r="AT65" s="61">
        <f>IFERROR(SUMIFS('BM MORRO DA CRUZ - VERTICAL'!AX$6:AX$546,'BM MORRO DA CRUZ - VERTICAL'!$O$6:$O$546,'BM MORRO DA CRUZ'!$K65),0)</f>
        <v>0</v>
      </c>
      <c r="AU65" s="63">
        <f t="shared" si="61"/>
        <v>0</v>
      </c>
      <c r="AV65" s="61">
        <f>IFERROR(SUMIFS('BM MORRO DA CRUZ - VERTICAL'!AZ$6:AZ$546,'BM MORRO DA CRUZ - VERTICAL'!$O$6:$O$546,'BM MORRO DA CRUZ'!$K65),0)</f>
        <v>0</v>
      </c>
      <c r="AW65" s="63">
        <f t="shared" si="62"/>
        <v>0</v>
      </c>
      <c r="AX65" s="61">
        <f>IFERROR(SUMIFS('BM MORRO DA CRUZ - VERTICAL'!BB$6:BB$546,'BM MORRO DA CRUZ - VERTICAL'!$O$6:$O$546,'BM MORRO DA CRUZ'!$K65),0)</f>
        <v>0</v>
      </c>
      <c r="AY65" s="63">
        <f t="shared" si="63"/>
        <v>0</v>
      </c>
      <c r="AZ65" s="61">
        <f>IFERROR(SUMIFS('BM MORRO DA CRUZ - VERTICAL'!BD$6:BD$546,'BM MORRO DA CRUZ - VERTICAL'!$O$6:$O$546,'BM MORRO DA CRUZ'!$K65),0)</f>
        <v>0</v>
      </c>
      <c r="BA65" s="63">
        <f t="shared" si="64"/>
        <v>0</v>
      </c>
      <c r="BB65" s="61">
        <f t="shared" si="65"/>
        <v>0</v>
      </c>
      <c r="BC65" s="63">
        <f t="shared" si="66"/>
        <v>0</v>
      </c>
      <c r="BD65" s="64">
        <f t="shared" si="67"/>
        <v>0</v>
      </c>
      <c r="BE65" s="65">
        <f t="shared" si="68"/>
        <v>1</v>
      </c>
      <c r="BF65" s="45"/>
    </row>
    <row r="66" spans="1:58" ht="26" customHeight="1" x14ac:dyDescent="0.45">
      <c r="A66" s="56" t="s">
        <v>288</v>
      </c>
      <c r="B66" s="506" t="s">
        <v>271</v>
      </c>
      <c r="C66" s="507" t="s">
        <v>111</v>
      </c>
      <c r="D66" s="507" t="s">
        <v>224</v>
      </c>
      <c r="E66" s="507" t="s">
        <v>272</v>
      </c>
      <c r="F66" s="507" t="s">
        <v>273</v>
      </c>
      <c r="G66" s="507">
        <v>250</v>
      </c>
      <c r="H66" s="508" t="s">
        <v>267</v>
      </c>
      <c r="I66" s="507" t="s">
        <v>114</v>
      </c>
      <c r="J66" s="508" t="s">
        <v>267</v>
      </c>
      <c r="K66" s="57" t="s">
        <v>289</v>
      </c>
      <c r="L66" s="58" t="s">
        <v>21</v>
      </c>
      <c r="M66" s="59" t="s">
        <v>290</v>
      </c>
      <c r="N66" s="60" t="s">
        <v>71</v>
      </c>
      <c r="O66" s="61">
        <v>10</v>
      </c>
      <c r="P66" s="62">
        <v>459.3</v>
      </c>
      <c r="Q66" s="63">
        <f t="shared" si="46"/>
        <v>4593</v>
      </c>
      <c r="R66" s="61">
        <f>IFERROR(SUMIFS('BM MORRO DA CRUZ - VERTICAL'!V$6:V$546,'BM MORRO DA CRUZ - VERTICAL'!$O$6:$O$546,'BM MORRO DA CRUZ'!$K66),0)</f>
        <v>0</v>
      </c>
      <c r="S66" s="63">
        <f t="shared" si="47"/>
        <v>0</v>
      </c>
      <c r="T66" s="61">
        <f>IFERROR(SUMIFS('BM MORRO DA CRUZ - VERTICAL'!X$6:X$546,'BM MORRO DA CRUZ - VERTICAL'!$O$6:$O$546,'BM MORRO DA CRUZ'!$K66),0)</f>
        <v>0</v>
      </c>
      <c r="U66" s="63">
        <f t="shared" si="48"/>
        <v>0</v>
      </c>
      <c r="V66" s="61">
        <f>IFERROR(SUMIFS('BM MORRO DA CRUZ - VERTICAL'!Z$6:Z$546,'BM MORRO DA CRUZ - VERTICAL'!$O$6:$O$546,'BM MORRO DA CRUZ'!$K66),0)</f>
        <v>0</v>
      </c>
      <c r="W66" s="63">
        <f t="shared" si="49"/>
        <v>0</v>
      </c>
      <c r="X66" s="61">
        <f>IFERROR(SUMIFS('BM MORRO DA CRUZ - VERTICAL'!AB$6:AB$546,'BM MORRO DA CRUZ - VERTICAL'!$O$6:$O$546,'BM MORRO DA CRUZ'!$K66),0)</f>
        <v>0</v>
      </c>
      <c r="Y66" s="63">
        <f t="shared" si="50"/>
        <v>0</v>
      </c>
      <c r="Z66" s="61">
        <f>IFERROR(SUMIFS('BM MORRO DA CRUZ - VERTICAL'!AD$6:AD$546,'BM MORRO DA CRUZ - VERTICAL'!$O$6:$O$546,'BM MORRO DA CRUZ'!$K66),0)</f>
        <v>0</v>
      </c>
      <c r="AA66" s="63">
        <f t="shared" si="51"/>
        <v>0</v>
      </c>
      <c r="AB66" s="61">
        <f>IFERROR(SUMIFS('BM MORRO DA CRUZ - VERTICAL'!AF$6:AF$546,'BM MORRO DA CRUZ - VERTICAL'!$O$6:$O$546,'BM MORRO DA CRUZ'!$K66),0)</f>
        <v>0</v>
      </c>
      <c r="AC66" s="63">
        <f t="shared" si="52"/>
        <v>0</v>
      </c>
      <c r="AD66" s="61">
        <f>IFERROR(SUMIFS('BM MORRO DA CRUZ - VERTICAL'!AH$6:AH$546,'BM MORRO DA CRUZ - VERTICAL'!$O$6:$O$546,'BM MORRO DA CRUZ'!$K66),0)</f>
        <v>0</v>
      </c>
      <c r="AE66" s="63">
        <f t="shared" si="53"/>
        <v>0</v>
      </c>
      <c r="AF66" s="61">
        <f>IFERROR(SUMIFS('BM MORRO DA CRUZ - VERTICAL'!AJ$6:AJ$546,'BM MORRO DA CRUZ - VERTICAL'!$O$6:$O$546,'BM MORRO DA CRUZ'!$K66),0)</f>
        <v>0</v>
      </c>
      <c r="AG66" s="63">
        <f t="shared" si="54"/>
        <v>0</v>
      </c>
      <c r="AH66" s="61">
        <f>IFERROR(SUMIFS('BM MORRO DA CRUZ - VERTICAL'!AL$6:AL$546,'BM MORRO DA CRUZ - VERTICAL'!$O$6:$O$546,'BM MORRO DA CRUZ'!$K66),0)</f>
        <v>0</v>
      </c>
      <c r="AI66" s="63">
        <f t="shared" si="55"/>
        <v>0</v>
      </c>
      <c r="AJ66" s="61">
        <f>IFERROR(SUMIFS('BM MORRO DA CRUZ - VERTICAL'!AN$6:AN$546,'BM MORRO DA CRUZ - VERTICAL'!$O$6:$O$546,'BM MORRO DA CRUZ'!$K66),0)</f>
        <v>0</v>
      </c>
      <c r="AK66" s="63">
        <f t="shared" si="56"/>
        <v>0</v>
      </c>
      <c r="AL66" s="61">
        <f>IFERROR(SUMIFS('BM MORRO DA CRUZ - VERTICAL'!AP$6:AP$546,'BM MORRO DA CRUZ - VERTICAL'!$O$6:$O$546,'BM MORRO DA CRUZ'!$K66),0)</f>
        <v>0</v>
      </c>
      <c r="AM66" s="63">
        <f t="shared" si="57"/>
        <v>0</v>
      </c>
      <c r="AN66" s="61">
        <f>IFERROR(SUMIFS('BM MORRO DA CRUZ - VERTICAL'!AR$6:AR$546,'BM MORRO DA CRUZ - VERTICAL'!$O$6:$O$546,'BM MORRO DA CRUZ'!$K66),0)</f>
        <v>0</v>
      </c>
      <c r="AO66" s="63">
        <f t="shared" si="58"/>
        <v>0</v>
      </c>
      <c r="AP66" s="61">
        <f>IFERROR(SUMIFS('BM MORRO DA CRUZ - VERTICAL'!AT$6:AT$546,'BM MORRO DA CRUZ - VERTICAL'!$O$6:$O$546,'BM MORRO DA CRUZ'!$K66),0)</f>
        <v>0</v>
      </c>
      <c r="AQ66" s="63">
        <f t="shared" si="59"/>
        <v>0</v>
      </c>
      <c r="AR66" s="61">
        <f>IFERROR(SUMIFS('BM MORRO DA CRUZ - VERTICAL'!AV$6:AV$546,'BM MORRO DA CRUZ - VERTICAL'!$O$6:$O$546,'BM MORRO DA CRUZ'!$K66),0)</f>
        <v>0</v>
      </c>
      <c r="AS66" s="63">
        <f t="shared" si="60"/>
        <v>0</v>
      </c>
      <c r="AT66" s="61">
        <f>IFERROR(SUMIFS('BM MORRO DA CRUZ - VERTICAL'!AX$6:AX$546,'BM MORRO DA CRUZ - VERTICAL'!$O$6:$O$546,'BM MORRO DA CRUZ'!$K66),0)</f>
        <v>0</v>
      </c>
      <c r="AU66" s="63">
        <f t="shared" si="61"/>
        <v>0</v>
      </c>
      <c r="AV66" s="61">
        <f>IFERROR(SUMIFS('BM MORRO DA CRUZ - VERTICAL'!AZ$6:AZ$546,'BM MORRO DA CRUZ - VERTICAL'!$O$6:$O$546,'BM MORRO DA CRUZ'!$K66),0)</f>
        <v>0</v>
      </c>
      <c r="AW66" s="63">
        <f t="shared" si="62"/>
        <v>0</v>
      </c>
      <c r="AX66" s="61">
        <f>IFERROR(SUMIFS('BM MORRO DA CRUZ - VERTICAL'!BB$6:BB$546,'BM MORRO DA CRUZ - VERTICAL'!$O$6:$O$546,'BM MORRO DA CRUZ'!$K66),0)</f>
        <v>0</v>
      </c>
      <c r="AY66" s="63">
        <f t="shared" si="63"/>
        <v>0</v>
      </c>
      <c r="AZ66" s="61">
        <f>IFERROR(SUMIFS('BM MORRO DA CRUZ - VERTICAL'!BD$6:BD$546,'BM MORRO DA CRUZ - VERTICAL'!$O$6:$O$546,'BM MORRO DA CRUZ'!$K66),0)</f>
        <v>0</v>
      </c>
      <c r="BA66" s="63">
        <f t="shared" si="64"/>
        <v>0</v>
      </c>
      <c r="BB66" s="61">
        <f t="shared" si="65"/>
        <v>0</v>
      </c>
      <c r="BC66" s="63">
        <f t="shared" si="66"/>
        <v>0</v>
      </c>
      <c r="BD66" s="64">
        <f t="shared" si="67"/>
        <v>0</v>
      </c>
      <c r="BE66" s="65">
        <f t="shared" si="68"/>
        <v>1</v>
      </c>
      <c r="BF66" s="45"/>
    </row>
    <row r="67" spans="1:58" ht="26" customHeight="1" x14ac:dyDescent="0.45">
      <c r="A67" s="56" t="s">
        <v>291</v>
      </c>
      <c r="B67" s="506" t="s">
        <v>271</v>
      </c>
      <c r="C67" s="507" t="s">
        <v>111</v>
      </c>
      <c r="D67" s="507" t="s">
        <v>224</v>
      </c>
      <c r="E67" s="507" t="s">
        <v>272</v>
      </c>
      <c r="F67" s="507" t="s">
        <v>273</v>
      </c>
      <c r="G67" s="507">
        <v>500</v>
      </c>
      <c r="H67" s="508" t="s">
        <v>267</v>
      </c>
      <c r="I67" s="507" t="s">
        <v>114</v>
      </c>
      <c r="J67" s="508" t="s">
        <v>267</v>
      </c>
      <c r="K67" s="57" t="s">
        <v>292</v>
      </c>
      <c r="L67" s="58" t="s">
        <v>21</v>
      </c>
      <c r="M67" s="59" t="s">
        <v>293</v>
      </c>
      <c r="N67" s="60" t="s">
        <v>71</v>
      </c>
      <c r="O67" s="61">
        <v>2</v>
      </c>
      <c r="P67" s="62">
        <v>2629.23</v>
      </c>
      <c r="Q67" s="63">
        <f t="shared" si="46"/>
        <v>5258.46</v>
      </c>
      <c r="R67" s="61">
        <f>IFERROR(SUMIFS('BM MORRO DA CRUZ - VERTICAL'!V$6:V$546,'BM MORRO DA CRUZ - VERTICAL'!$O$6:$O$546,'BM MORRO DA CRUZ'!$K67),0)</f>
        <v>0</v>
      </c>
      <c r="S67" s="63">
        <f t="shared" si="47"/>
        <v>0</v>
      </c>
      <c r="T67" s="61">
        <f>IFERROR(SUMIFS('BM MORRO DA CRUZ - VERTICAL'!X$6:X$546,'BM MORRO DA CRUZ - VERTICAL'!$O$6:$O$546,'BM MORRO DA CRUZ'!$K67),0)</f>
        <v>0</v>
      </c>
      <c r="U67" s="63">
        <f t="shared" si="48"/>
        <v>0</v>
      </c>
      <c r="V67" s="61">
        <f>IFERROR(SUMIFS('BM MORRO DA CRUZ - VERTICAL'!Z$6:Z$546,'BM MORRO DA CRUZ - VERTICAL'!$O$6:$O$546,'BM MORRO DA CRUZ'!$K67),0)</f>
        <v>0</v>
      </c>
      <c r="W67" s="63">
        <f t="shared" si="49"/>
        <v>0</v>
      </c>
      <c r="X67" s="61">
        <f>IFERROR(SUMIFS('BM MORRO DA CRUZ - VERTICAL'!AB$6:AB$546,'BM MORRO DA CRUZ - VERTICAL'!$O$6:$O$546,'BM MORRO DA CRUZ'!$K67),0)</f>
        <v>0</v>
      </c>
      <c r="Y67" s="63">
        <f t="shared" si="50"/>
        <v>0</v>
      </c>
      <c r="Z67" s="61">
        <f>IFERROR(SUMIFS('BM MORRO DA CRUZ - VERTICAL'!AD$6:AD$546,'BM MORRO DA CRUZ - VERTICAL'!$O$6:$O$546,'BM MORRO DA CRUZ'!$K67),0)</f>
        <v>0</v>
      </c>
      <c r="AA67" s="63">
        <f t="shared" si="51"/>
        <v>0</v>
      </c>
      <c r="AB67" s="61">
        <f>IFERROR(SUMIFS('BM MORRO DA CRUZ - VERTICAL'!AF$6:AF$546,'BM MORRO DA CRUZ - VERTICAL'!$O$6:$O$546,'BM MORRO DA CRUZ'!$K67),0)</f>
        <v>0</v>
      </c>
      <c r="AC67" s="63">
        <f t="shared" si="52"/>
        <v>0</v>
      </c>
      <c r="AD67" s="61">
        <f>IFERROR(SUMIFS('BM MORRO DA CRUZ - VERTICAL'!AH$6:AH$546,'BM MORRO DA CRUZ - VERTICAL'!$O$6:$O$546,'BM MORRO DA CRUZ'!$K67),0)</f>
        <v>0</v>
      </c>
      <c r="AE67" s="63">
        <f t="shared" si="53"/>
        <v>0</v>
      </c>
      <c r="AF67" s="61">
        <f>IFERROR(SUMIFS('BM MORRO DA CRUZ - VERTICAL'!AJ$6:AJ$546,'BM MORRO DA CRUZ - VERTICAL'!$O$6:$O$546,'BM MORRO DA CRUZ'!$K67),0)</f>
        <v>0</v>
      </c>
      <c r="AG67" s="63">
        <f t="shared" si="54"/>
        <v>0</v>
      </c>
      <c r="AH67" s="61">
        <f>IFERROR(SUMIFS('BM MORRO DA CRUZ - VERTICAL'!AL$6:AL$546,'BM MORRO DA CRUZ - VERTICAL'!$O$6:$O$546,'BM MORRO DA CRUZ'!$K67),0)</f>
        <v>0</v>
      </c>
      <c r="AI67" s="63">
        <f t="shared" si="55"/>
        <v>0</v>
      </c>
      <c r="AJ67" s="61">
        <f>IFERROR(SUMIFS('BM MORRO DA CRUZ - VERTICAL'!AN$6:AN$546,'BM MORRO DA CRUZ - VERTICAL'!$O$6:$O$546,'BM MORRO DA CRUZ'!$K67),0)</f>
        <v>0</v>
      </c>
      <c r="AK67" s="63">
        <f t="shared" si="56"/>
        <v>0</v>
      </c>
      <c r="AL67" s="61">
        <f>IFERROR(SUMIFS('BM MORRO DA CRUZ - VERTICAL'!AP$6:AP$546,'BM MORRO DA CRUZ - VERTICAL'!$O$6:$O$546,'BM MORRO DA CRUZ'!$K67),0)</f>
        <v>0</v>
      </c>
      <c r="AM67" s="63">
        <f t="shared" si="57"/>
        <v>0</v>
      </c>
      <c r="AN67" s="61">
        <f>IFERROR(SUMIFS('BM MORRO DA CRUZ - VERTICAL'!AR$6:AR$546,'BM MORRO DA CRUZ - VERTICAL'!$O$6:$O$546,'BM MORRO DA CRUZ'!$K67),0)</f>
        <v>0</v>
      </c>
      <c r="AO67" s="63">
        <f t="shared" si="58"/>
        <v>0</v>
      </c>
      <c r="AP67" s="61">
        <f>IFERROR(SUMIFS('BM MORRO DA CRUZ - VERTICAL'!AT$6:AT$546,'BM MORRO DA CRUZ - VERTICAL'!$O$6:$O$546,'BM MORRO DA CRUZ'!$K67),0)</f>
        <v>0</v>
      </c>
      <c r="AQ67" s="63">
        <f t="shared" si="59"/>
        <v>0</v>
      </c>
      <c r="AR67" s="61">
        <f>IFERROR(SUMIFS('BM MORRO DA CRUZ - VERTICAL'!AV$6:AV$546,'BM MORRO DA CRUZ - VERTICAL'!$O$6:$O$546,'BM MORRO DA CRUZ'!$K67),0)</f>
        <v>0</v>
      </c>
      <c r="AS67" s="63">
        <f t="shared" si="60"/>
        <v>0</v>
      </c>
      <c r="AT67" s="61">
        <f>IFERROR(SUMIFS('BM MORRO DA CRUZ - VERTICAL'!AX$6:AX$546,'BM MORRO DA CRUZ - VERTICAL'!$O$6:$O$546,'BM MORRO DA CRUZ'!$K67),0)</f>
        <v>0</v>
      </c>
      <c r="AU67" s="63">
        <f t="shared" si="61"/>
        <v>0</v>
      </c>
      <c r="AV67" s="61">
        <f>IFERROR(SUMIFS('BM MORRO DA CRUZ - VERTICAL'!AZ$6:AZ$546,'BM MORRO DA CRUZ - VERTICAL'!$O$6:$O$546,'BM MORRO DA CRUZ'!$K67),0)</f>
        <v>0</v>
      </c>
      <c r="AW67" s="63">
        <f t="shared" si="62"/>
        <v>0</v>
      </c>
      <c r="AX67" s="61">
        <f>IFERROR(SUMIFS('BM MORRO DA CRUZ - VERTICAL'!BB$6:BB$546,'BM MORRO DA CRUZ - VERTICAL'!$O$6:$O$546,'BM MORRO DA CRUZ'!$K67),0)</f>
        <v>0</v>
      </c>
      <c r="AY67" s="63">
        <f t="shared" si="63"/>
        <v>0</v>
      </c>
      <c r="AZ67" s="61">
        <f>IFERROR(SUMIFS('BM MORRO DA CRUZ - VERTICAL'!BD$6:BD$546,'BM MORRO DA CRUZ - VERTICAL'!$O$6:$O$546,'BM MORRO DA CRUZ'!$K67),0)</f>
        <v>0</v>
      </c>
      <c r="BA67" s="63">
        <f t="shared" si="64"/>
        <v>0</v>
      </c>
      <c r="BB67" s="61">
        <f t="shared" si="65"/>
        <v>0</v>
      </c>
      <c r="BC67" s="63">
        <f t="shared" si="66"/>
        <v>0</v>
      </c>
      <c r="BD67" s="64">
        <f t="shared" si="67"/>
        <v>0</v>
      </c>
      <c r="BE67" s="65">
        <f t="shared" si="68"/>
        <v>1</v>
      </c>
      <c r="BF67" s="45"/>
    </row>
    <row r="68" spans="1:58" ht="26" customHeight="1" x14ac:dyDescent="0.45">
      <c r="A68" s="56" t="s">
        <v>294</v>
      </c>
      <c r="B68" s="506" t="s">
        <v>271</v>
      </c>
      <c r="C68" s="507" t="s">
        <v>111</v>
      </c>
      <c r="D68" s="507" t="s">
        <v>224</v>
      </c>
      <c r="E68" s="507" t="s">
        <v>272</v>
      </c>
      <c r="F68" s="507" t="s">
        <v>273</v>
      </c>
      <c r="G68" s="507">
        <v>63</v>
      </c>
      <c r="H68" s="508" t="s">
        <v>267</v>
      </c>
      <c r="I68" s="507" t="s">
        <v>114</v>
      </c>
      <c r="J68" s="508" t="s">
        <v>267</v>
      </c>
      <c r="K68" s="57" t="s">
        <v>295</v>
      </c>
      <c r="L68" s="58" t="s">
        <v>21</v>
      </c>
      <c r="M68" s="59" t="s">
        <v>296</v>
      </c>
      <c r="N68" s="60" t="s">
        <v>71</v>
      </c>
      <c r="O68" s="61">
        <v>120</v>
      </c>
      <c r="P68" s="62">
        <v>35.14</v>
      </c>
      <c r="Q68" s="63">
        <f t="shared" si="46"/>
        <v>4216.8</v>
      </c>
      <c r="R68" s="61">
        <f>IFERROR(SUMIFS('BM MORRO DA CRUZ - VERTICAL'!V$6:V$546,'BM MORRO DA CRUZ - VERTICAL'!$O$6:$O$546,'BM MORRO DA CRUZ'!$K68),0)</f>
        <v>0</v>
      </c>
      <c r="S68" s="63">
        <f t="shared" si="47"/>
        <v>0</v>
      </c>
      <c r="T68" s="61">
        <f>IFERROR(SUMIFS('BM MORRO DA CRUZ - VERTICAL'!X$6:X$546,'BM MORRO DA CRUZ - VERTICAL'!$O$6:$O$546,'BM MORRO DA CRUZ'!$K68),0)</f>
        <v>0</v>
      </c>
      <c r="U68" s="63">
        <f t="shared" si="48"/>
        <v>0</v>
      </c>
      <c r="V68" s="61">
        <f>IFERROR(SUMIFS('BM MORRO DA CRUZ - VERTICAL'!Z$6:Z$546,'BM MORRO DA CRUZ - VERTICAL'!$O$6:$O$546,'BM MORRO DA CRUZ'!$K68),0)</f>
        <v>0</v>
      </c>
      <c r="W68" s="63">
        <f t="shared" si="49"/>
        <v>0</v>
      </c>
      <c r="X68" s="61">
        <f>IFERROR(SUMIFS('BM MORRO DA CRUZ - VERTICAL'!AB$6:AB$546,'BM MORRO DA CRUZ - VERTICAL'!$O$6:$O$546,'BM MORRO DA CRUZ'!$K68),0)</f>
        <v>0</v>
      </c>
      <c r="Y68" s="63">
        <f t="shared" si="50"/>
        <v>0</v>
      </c>
      <c r="Z68" s="61">
        <f>IFERROR(SUMIFS('BM MORRO DA CRUZ - VERTICAL'!AD$6:AD$546,'BM MORRO DA CRUZ - VERTICAL'!$O$6:$O$546,'BM MORRO DA CRUZ'!$K68),0)</f>
        <v>0</v>
      </c>
      <c r="AA68" s="63">
        <f t="shared" si="51"/>
        <v>0</v>
      </c>
      <c r="AB68" s="61">
        <f>IFERROR(SUMIFS('BM MORRO DA CRUZ - VERTICAL'!AF$6:AF$546,'BM MORRO DA CRUZ - VERTICAL'!$O$6:$O$546,'BM MORRO DA CRUZ'!$K68),0)</f>
        <v>0</v>
      </c>
      <c r="AC68" s="63">
        <f t="shared" si="52"/>
        <v>0</v>
      </c>
      <c r="AD68" s="61">
        <f>IFERROR(SUMIFS('BM MORRO DA CRUZ - VERTICAL'!AH$6:AH$546,'BM MORRO DA CRUZ - VERTICAL'!$O$6:$O$546,'BM MORRO DA CRUZ'!$K68),0)</f>
        <v>0</v>
      </c>
      <c r="AE68" s="63">
        <f t="shared" si="53"/>
        <v>0</v>
      </c>
      <c r="AF68" s="61">
        <f>IFERROR(SUMIFS('BM MORRO DA CRUZ - VERTICAL'!AJ$6:AJ$546,'BM MORRO DA CRUZ - VERTICAL'!$O$6:$O$546,'BM MORRO DA CRUZ'!$K68),0)</f>
        <v>0</v>
      </c>
      <c r="AG68" s="63">
        <f t="shared" si="54"/>
        <v>0</v>
      </c>
      <c r="AH68" s="61">
        <f>IFERROR(SUMIFS('BM MORRO DA CRUZ - VERTICAL'!AL$6:AL$546,'BM MORRO DA CRUZ - VERTICAL'!$O$6:$O$546,'BM MORRO DA CRUZ'!$K68),0)</f>
        <v>0</v>
      </c>
      <c r="AI68" s="63">
        <f t="shared" si="55"/>
        <v>0</v>
      </c>
      <c r="AJ68" s="61">
        <f>IFERROR(SUMIFS('BM MORRO DA CRUZ - VERTICAL'!AN$6:AN$546,'BM MORRO DA CRUZ - VERTICAL'!$O$6:$O$546,'BM MORRO DA CRUZ'!$K68),0)</f>
        <v>0</v>
      </c>
      <c r="AK68" s="63">
        <f t="shared" si="56"/>
        <v>0</v>
      </c>
      <c r="AL68" s="61">
        <f>IFERROR(SUMIFS('BM MORRO DA CRUZ - VERTICAL'!AP$6:AP$546,'BM MORRO DA CRUZ - VERTICAL'!$O$6:$O$546,'BM MORRO DA CRUZ'!$K68),0)</f>
        <v>0</v>
      </c>
      <c r="AM68" s="63">
        <f t="shared" si="57"/>
        <v>0</v>
      </c>
      <c r="AN68" s="61">
        <f>IFERROR(SUMIFS('BM MORRO DA CRUZ - VERTICAL'!AR$6:AR$546,'BM MORRO DA CRUZ - VERTICAL'!$O$6:$O$546,'BM MORRO DA CRUZ'!$K68),0)</f>
        <v>0</v>
      </c>
      <c r="AO68" s="63">
        <f t="shared" si="58"/>
        <v>0</v>
      </c>
      <c r="AP68" s="61">
        <f>IFERROR(SUMIFS('BM MORRO DA CRUZ - VERTICAL'!AT$6:AT$546,'BM MORRO DA CRUZ - VERTICAL'!$O$6:$O$546,'BM MORRO DA CRUZ'!$K68),0)</f>
        <v>0</v>
      </c>
      <c r="AQ68" s="63">
        <f t="shared" si="59"/>
        <v>0</v>
      </c>
      <c r="AR68" s="61">
        <f>IFERROR(SUMIFS('BM MORRO DA CRUZ - VERTICAL'!AV$6:AV$546,'BM MORRO DA CRUZ - VERTICAL'!$O$6:$O$546,'BM MORRO DA CRUZ'!$K68),0)</f>
        <v>0</v>
      </c>
      <c r="AS68" s="63">
        <f t="shared" si="60"/>
        <v>0</v>
      </c>
      <c r="AT68" s="61">
        <f>IFERROR(SUMIFS('BM MORRO DA CRUZ - VERTICAL'!AX$6:AX$546,'BM MORRO DA CRUZ - VERTICAL'!$O$6:$O$546,'BM MORRO DA CRUZ'!$K68),0)</f>
        <v>0</v>
      </c>
      <c r="AU68" s="63">
        <f t="shared" si="61"/>
        <v>0</v>
      </c>
      <c r="AV68" s="61">
        <f>IFERROR(SUMIFS('BM MORRO DA CRUZ - VERTICAL'!AZ$6:AZ$546,'BM MORRO DA CRUZ - VERTICAL'!$O$6:$O$546,'BM MORRO DA CRUZ'!$K68),0)</f>
        <v>0</v>
      </c>
      <c r="AW68" s="63">
        <f t="shared" si="62"/>
        <v>0</v>
      </c>
      <c r="AX68" s="61">
        <f>IFERROR(SUMIFS('BM MORRO DA CRUZ - VERTICAL'!BB$6:BB$546,'BM MORRO DA CRUZ - VERTICAL'!$O$6:$O$546,'BM MORRO DA CRUZ'!$K68),0)</f>
        <v>0</v>
      </c>
      <c r="AY68" s="63">
        <f t="shared" si="63"/>
        <v>0</v>
      </c>
      <c r="AZ68" s="61">
        <f>IFERROR(SUMIFS('BM MORRO DA CRUZ - VERTICAL'!BD$6:BD$546,'BM MORRO DA CRUZ - VERTICAL'!$O$6:$O$546,'BM MORRO DA CRUZ'!$K68),0)</f>
        <v>0</v>
      </c>
      <c r="BA68" s="63">
        <f t="shared" si="64"/>
        <v>0</v>
      </c>
      <c r="BB68" s="61">
        <f t="shared" si="65"/>
        <v>0</v>
      </c>
      <c r="BC68" s="63">
        <f t="shared" si="66"/>
        <v>0</v>
      </c>
      <c r="BD68" s="64">
        <f t="shared" si="67"/>
        <v>0</v>
      </c>
      <c r="BE68" s="65">
        <f t="shared" si="68"/>
        <v>1</v>
      </c>
      <c r="BF68" s="45"/>
    </row>
    <row r="69" spans="1:58" ht="26" customHeight="1" x14ac:dyDescent="0.45">
      <c r="A69" s="56" t="s">
        <v>297</v>
      </c>
      <c r="B69" s="506" t="s">
        <v>271</v>
      </c>
      <c r="C69" s="507" t="s">
        <v>111</v>
      </c>
      <c r="D69" s="507" t="s">
        <v>224</v>
      </c>
      <c r="E69" s="507" t="s">
        <v>272</v>
      </c>
      <c r="F69" s="507" t="s">
        <v>273</v>
      </c>
      <c r="G69" s="507">
        <v>90</v>
      </c>
      <c r="H69" s="508" t="s">
        <v>267</v>
      </c>
      <c r="I69" s="507" t="s">
        <v>114</v>
      </c>
      <c r="J69" s="508" t="s">
        <v>267</v>
      </c>
      <c r="K69" s="57" t="s">
        <v>298</v>
      </c>
      <c r="L69" s="58" t="s">
        <v>21</v>
      </c>
      <c r="M69" s="59" t="s">
        <v>299</v>
      </c>
      <c r="N69" s="60" t="s">
        <v>71</v>
      </c>
      <c r="O69" s="61">
        <v>30</v>
      </c>
      <c r="P69" s="62">
        <v>59.13</v>
      </c>
      <c r="Q69" s="63">
        <f t="shared" si="46"/>
        <v>1773.9</v>
      </c>
      <c r="R69" s="61">
        <f>IFERROR(SUMIFS('BM MORRO DA CRUZ - VERTICAL'!V$6:V$546,'BM MORRO DA CRUZ - VERTICAL'!$O$6:$O$546,'BM MORRO DA CRUZ'!$K69),0)</f>
        <v>0</v>
      </c>
      <c r="S69" s="63">
        <f t="shared" si="47"/>
        <v>0</v>
      </c>
      <c r="T69" s="61">
        <f>IFERROR(SUMIFS('BM MORRO DA CRUZ - VERTICAL'!X$6:X$546,'BM MORRO DA CRUZ - VERTICAL'!$O$6:$O$546,'BM MORRO DA CRUZ'!$K69),0)</f>
        <v>0</v>
      </c>
      <c r="U69" s="63">
        <f t="shared" si="48"/>
        <v>0</v>
      </c>
      <c r="V69" s="61">
        <f>IFERROR(SUMIFS('BM MORRO DA CRUZ - VERTICAL'!Z$6:Z$546,'BM MORRO DA CRUZ - VERTICAL'!$O$6:$O$546,'BM MORRO DA CRUZ'!$K69),0)</f>
        <v>0</v>
      </c>
      <c r="W69" s="63">
        <f t="shared" si="49"/>
        <v>0</v>
      </c>
      <c r="X69" s="61">
        <f>IFERROR(SUMIFS('BM MORRO DA CRUZ - VERTICAL'!AB$6:AB$546,'BM MORRO DA CRUZ - VERTICAL'!$O$6:$O$546,'BM MORRO DA CRUZ'!$K69),0)</f>
        <v>0</v>
      </c>
      <c r="Y69" s="63">
        <f t="shared" si="50"/>
        <v>0</v>
      </c>
      <c r="Z69" s="61">
        <f>IFERROR(SUMIFS('BM MORRO DA CRUZ - VERTICAL'!AD$6:AD$546,'BM MORRO DA CRUZ - VERTICAL'!$O$6:$O$546,'BM MORRO DA CRUZ'!$K69),0)</f>
        <v>0</v>
      </c>
      <c r="AA69" s="63">
        <f t="shared" si="51"/>
        <v>0</v>
      </c>
      <c r="AB69" s="61">
        <f>IFERROR(SUMIFS('BM MORRO DA CRUZ - VERTICAL'!AF$6:AF$546,'BM MORRO DA CRUZ - VERTICAL'!$O$6:$O$546,'BM MORRO DA CRUZ'!$K69),0)</f>
        <v>0</v>
      </c>
      <c r="AC69" s="63">
        <f t="shared" si="52"/>
        <v>0</v>
      </c>
      <c r="AD69" s="61">
        <f>IFERROR(SUMIFS('BM MORRO DA CRUZ - VERTICAL'!AH$6:AH$546,'BM MORRO DA CRUZ - VERTICAL'!$O$6:$O$546,'BM MORRO DA CRUZ'!$K69),0)</f>
        <v>0</v>
      </c>
      <c r="AE69" s="63">
        <f t="shared" si="53"/>
        <v>0</v>
      </c>
      <c r="AF69" s="61">
        <f>IFERROR(SUMIFS('BM MORRO DA CRUZ - VERTICAL'!AJ$6:AJ$546,'BM MORRO DA CRUZ - VERTICAL'!$O$6:$O$546,'BM MORRO DA CRUZ'!$K69),0)</f>
        <v>0</v>
      </c>
      <c r="AG69" s="63">
        <f t="shared" si="54"/>
        <v>0</v>
      </c>
      <c r="AH69" s="61">
        <f>IFERROR(SUMIFS('BM MORRO DA CRUZ - VERTICAL'!AL$6:AL$546,'BM MORRO DA CRUZ - VERTICAL'!$O$6:$O$546,'BM MORRO DA CRUZ'!$K69),0)</f>
        <v>0</v>
      </c>
      <c r="AI69" s="63">
        <f t="shared" si="55"/>
        <v>0</v>
      </c>
      <c r="AJ69" s="61">
        <f>IFERROR(SUMIFS('BM MORRO DA CRUZ - VERTICAL'!AN$6:AN$546,'BM MORRO DA CRUZ - VERTICAL'!$O$6:$O$546,'BM MORRO DA CRUZ'!$K69),0)</f>
        <v>0</v>
      </c>
      <c r="AK69" s="63">
        <f t="shared" si="56"/>
        <v>0</v>
      </c>
      <c r="AL69" s="61">
        <f>IFERROR(SUMIFS('BM MORRO DA CRUZ - VERTICAL'!AP$6:AP$546,'BM MORRO DA CRUZ - VERTICAL'!$O$6:$O$546,'BM MORRO DA CRUZ'!$K69),0)</f>
        <v>0</v>
      </c>
      <c r="AM69" s="63">
        <f t="shared" si="57"/>
        <v>0</v>
      </c>
      <c r="AN69" s="61">
        <f>IFERROR(SUMIFS('BM MORRO DA CRUZ - VERTICAL'!AR$6:AR$546,'BM MORRO DA CRUZ - VERTICAL'!$O$6:$O$546,'BM MORRO DA CRUZ'!$K69),0)</f>
        <v>0</v>
      </c>
      <c r="AO69" s="63">
        <f t="shared" si="58"/>
        <v>0</v>
      </c>
      <c r="AP69" s="61">
        <f>IFERROR(SUMIFS('BM MORRO DA CRUZ - VERTICAL'!AT$6:AT$546,'BM MORRO DA CRUZ - VERTICAL'!$O$6:$O$546,'BM MORRO DA CRUZ'!$K69),0)</f>
        <v>0</v>
      </c>
      <c r="AQ69" s="63">
        <f t="shared" si="59"/>
        <v>0</v>
      </c>
      <c r="AR69" s="61">
        <f>IFERROR(SUMIFS('BM MORRO DA CRUZ - VERTICAL'!AV$6:AV$546,'BM MORRO DA CRUZ - VERTICAL'!$O$6:$O$546,'BM MORRO DA CRUZ'!$K69),0)</f>
        <v>0</v>
      </c>
      <c r="AS69" s="63">
        <f t="shared" si="60"/>
        <v>0</v>
      </c>
      <c r="AT69" s="61">
        <f>IFERROR(SUMIFS('BM MORRO DA CRUZ - VERTICAL'!AX$6:AX$546,'BM MORRO DA CRUZ - VERTICAL'!$O$6:$O$546,'BM MORRO DA CRUZ'!$K69),0)</f>
        <v>0</v>
      </c>
      <c r="AU69" s="63">
        <f t="shared" si="61"/>
        <v>0</v>
      </c>
      <c r="AV69" s="61">
        <f>IFERROR(SUMIFS('BM MORRO DA CRUZ - VERTICAL'!AZ$6:AZ$546,'BM MORRO DA CRUZ - VERTICAL'!$O$6:$O$546,'BM MORRO DA CRUZ'!$K69),0)</f>
        <v>0</v>
      </c>
      <c r="AW69" s="63">
        <f t="shared" si="62"/>
        <v>0</v>
      </c>
      <c r="AX69" s="61">
        <f>IFERROR(SUMIFS('BM MORRO DA CRUZ - VERTICAL'!BB$6:BB$546,'BM MORRO DA CRUZ - VERTICAL'!$O$6:$O$546,'BM MORRO DA CRUZ'!$K69),0)</f>
        <v>0</v>
      </c>
      <c r="AY69" s="63">
        <f t="shared" si="63"/>
        <v>0</v>
      </c>
      <c r="AZ69" s="61">
        <f>IFERROR(SUMIFS('BM MORRO DA CRUZ - VERTICAL'!BD$6:BD$546,'BM MORRO DA CRUZ - VERTICAL'!$O$6:$O$546,'BM MORRO DA CRUZ'!$K69),0)</f>
        <v>0</v>
      </c>
      <c r="BA69" s="63">
        <f t="shared" si="64"/>
        <v>0</v>
      </c>
      <c r="BB69" s="61">
        <f t="shared" si="65"/>
        <v>0</v>
      </c>
      <c r="BC69" s="63">
        <f t="shared" si="66"/>
        <v>0</v>
      </c>
      <c r="BD69" s="64">
        <f t="shared" si="67"/>
        <v>0</v>
      </c>
      <c r="BE69" s="65">
        <f t="shared" si="68"/>
        <v>1</v>
      </c>
      <c r="BF69" s="45"/>
    </row>
    <row r="70" spans="1:58" ht="38.25" customHeight="1" x14ac:dyDescent="0.45">
      <c r="A70" s="56" t="s">
        <v>300</v>
      </c>
      <c r="B70" s="506" t="s">
        <v>301</v>
      </c>
      <c r="C70" s="507" t="s">
        <v>147</v>
      </c>
      <c r="D70" s="507" t="s">
        <v>224</v>
      </c>
      <c r="E70" s="507" t="s">
        <v>302</v>
      </c>
      <c r="F70" s="507" t="s">
        <v>266</v>
      </c>
      <c r="G70" s="507">
        <v>225</v>
      </c>
      <c r="H70" s="508" t="s">
        <v>267</v>
      </c>
      <c r="I70" s="507" t="s">
        <v>114</v>
      </c>
      <c r="J70" s="508" t="s">
        <v>267</v>
      </c>
      <c r="K70" s="57" t="s">
        <v>303</v>
      </c>
      <c r="L70" s="58" t="s">
        <v>21</v>
      </c>
      <c r="M70" s="59" t="s">
        <v>304</v>
      </c>
      <c r="N70" s="60" t="s">
        <v>71</v>
      </c>
      <c r="O70" s="61">
        <v>10</v>
      </c>
      <c r="P70" s="62">
        <v>4855.3</v>
      </c>
      <c r="Q70" s="63">
        <f t="shared" si="46"/>
        <v>48553</v>
      </c>
      <c r="R70" s="61">
        <f>IFERROR(SUMIFS('BM MORRO DA CRUZ - VERTICAL'!V$6:V$546,'BM MORRO DA CRUZ - VERTICAL'!$O$6:$O$546,'BM MORRO DA CRUZ'!$K70),0)</f>
        <v>0</v>
      </c>
      <c r="S70" s="63">
        <f t="shared" si="47"/>
        <v>0</v>
      </c>
      <c r="T70" s="61">
        <f>IFERROR(SUMIFS('BM MORRO DA CRUZ - VERTICAL'!X$6:X$546,'BM MORRO DA CRUZ - VERTICAL'!$O$6:$O$546,'BM MORRO DA CRUZ'!$K70),0)</f>
        <v>0</v>
      </c>
      <c r="U70" s="63">
        <f t="shared" si="48"/>
        <v>0</v>
      </c>
      <c r="V70" s="61">
        <f>IFERROR(SUMIFS('BM MORRO DA CRUZ - VERTICAL'!Z$6:Z$546,'BM MORRO DA CRUZ - VERTICAL'!$O$6:$O$546,'BM MORRO DA CRUZ'!$K70),0)</f>
        <v>0</v>
      </c>
      <c r="W70" s="63">
        <f t="shared" si="49"/>
        <v>0</v>
      </c>
      <c r="X70" s="61">
        <f>IFERROR(SUMIFS('BM MORRO DA CRUZ - VERTICAL'!AB$6:AB$546,'BM MORRO DA CRUZ - VERTICAL'!$O$6:$O$546,'BM MORRO DA CRUZ'!$K70),0)</f>
        <v>0</v>
      </c>
      <c r="Y70" s="63">
        <f t="shared" si="50"/>
        <v>0</v>
      </c>
      <c r="Z70" s="61">
        <f>IFERROR(SUMIFS('BM MORRO DA CRUZ - VERTICAL'!AD$6:AD$546,'BM MORRO DA CRUZ - VERTICAL'!$O$6:$O$546,'BM MORRO DA CRUZ'!$K70),0)</f>
        <v>0</v>
      </c>
      <c r="AA70" s="63">
        <f t="shared" si="51"/>
        <v>0</v>
      </c>
      <c r="AB70" s="61">
        <f>IFERROR(SUMIFS('BM MORRO DA CRUZ - VERTICAL'!AF$6:AF$546,'BM MORRO DA CRUZ - VERTICAL'!$O$6:$O$546,'BM MORRO DA CRUZ'!$K70),0)</f>
        <v>0</v>
      </c>
      <c r="AC70" s="63">
        <f t="shared" si="52"/>
        <v>0</v>
      </c>
      <c r="AD70" s="61">
        <f>IFERROR(SUMIFS('BM MORRO DA CRUZ - VERTICAL'!AH$6:AH$546,'BM MORRO DA CRUZ - VERTICAL'!$O$6:$O$546,'BM MORRO DA CRUZ'!$K70),0)</f>
        <v>0</v>
      </c>
      <c r="AE70" s="63">
        <f t="shared" si="53"/>
        <v>0</v>
      </c>
      <c r="AF70" s="61">
        <f>IFERROR(SUMIFS('BM MORRO DA CRUZ - VERTICAL'!AJ$6:AJ$546,'BM MORRO DA CRUZ - VERTICAL'!$O$6:$O$546,'BM MORRO DA CRUZ'!$K70),0)</f>
        <v>0</v>
      </c>
      <c r="AG70" s="63">
        <f t="shared" si="54"/>
        <v>0</v>
      </c>
      <c r="AH70" s="61">
        <f>IFERROR(SUMIFS('BM MORRO DA CRUZ - VERTICAL'!AL$6:AL$546,'BM MORRO DA CRUZ - VERTICAL'!$O$6:$O$546,'BM MORRO DA CRUZ'!$K70),0)</f>
        <v>0</v>
      </c>
      <c r="AI70" s="63">
        <f t="shared" si="55"/>
        <v>0</v>
      </c>
      <c r="AJ70" s="61">
        <f>IFERROR(SUMIFS('BM MORRO DA CRUZ - VERTICAL'!AN$6:AN$546,'BM MORRO DA CRUZ - VERTICAL'!$O$6:$O$546,'BM MORRO DA CRUZ'!$K70),0)</f>
        <v>0</v>
      </c>
      <c r="AK70" s="63">
        <f t="shared" si="56"/>
        <v>0</v>
      </c>
      <c r="AL70" s="61">
        <f>IFERROR(SUMIFS('BM MORRO DA CRUZ - VERTICAL'!AP$6:AP$546,'BM MORRO DA CRUZ - VERTICAL'!$O$6:$O$546,'BM MORRO DA CRUZ'!$K70),0)</f>
        <v>0</v>
      </c>
      <c r="AM70" s="63">
        <f t="shared" si="57"/>
        <v>0</v>
      </c>
      <c r="AN70" s="61">
        <f>IFERROR(SUMIFS('BM MORRO DA CRUZ - VERTICAL'!AR$6:AR$546,'BM MORRO DA CRUZ - VERTICAL'!$O$6:$O$546,'BM MORRO DA CRUZ'!$K70),0)</f>
        <v>0</v>
      </c>
      <c r="AO70" s="63">
        <f t="shared" si="58"/>
        <v>0</v>
      </c>
      <c r="AP70" s="61">
        <f>IFERROR(SUMIFS('BM MORRO DA CRUZ - VERTICAL'!AT$6:AT$546,'BM MORRO DA CRUZ - VERTICAL'!$O$6:$O$546,'BM MORRO DA CRUZ'!$K70),0)</f>
        <v>0</v>
      </c>
      <c r="AQ70" s="63">
        <f t="shared" si="59"/>
        <v>0</v>
      </c>
      <c r="AR70" s="61">
        <f>IFERROR(SUMIFS('BM MORRO DA CRUZ - VERTICAL'!AV$6:AV$546,'BM MORRO DA CRUZ - VERTICAL'!$O$6:$O$546,'BM MORRO DA CRUZ'!$K70),0)</f>
        <v>0</v>
      </c>
      <c r="AS70" s="63">
        <f t="shared" si="60"/>
        <v>0</v>
      </c>
      <c r="AT70" s="61">
        <f>IFERROR(SUMIFS('BM MORRO DA CRUZ - VERTICAL'!AX$6:AX$546,'BM MORRO DA CRUZ - VERTICAL'!$O$6:$O$546,'BM MORRO DA CRUZ'!$K70),0)</f>
        <v>0</v>
      </c>
      <c r="AU70" s="63">
        <f t="shared" si="61"/>
        <v>0</v>
      </c>
      <c r="AV70" s="61">
        <f>IFERROR(SUMIFS('BM MORRO DA CRUZ - VERTICAL'!AZ$6:AZ$546,'BM MORRO DA CRUZ - VERTICAL'!$O$6:$O$546,'BM MORRO DA CRUZ'!$K70),0)</f>
        <v>0</v>
      </c>
      <c r="AW70" s="63">
        <f t="shared" si="62"/>
        <v>0</v>
      </c>
      <c r="AX70" s="61">
        <f>IFERROR(SUMIFS('BM MORRO DA CRUZ - VERTICAL'!BB$6:BB$546,'BM MORRO DA CRUZ - VERTICAL'!$O$6:$O$546,'BM MORRO DA CRUZ'!$K70),0)</f>
        <v>0</v>
      </c>
      <c r="AY70" s="63">
        <f t="shared" si="63"/>
        <v>0</v>
      </c>
      <c r="AZ70" s="61">
        <f>IFERROR(SUMIFS('BM MORRO DA CRUZ - VERTICAL'!BD$6:BD$546,'BM MORRO DA CRUZ - VERTICAL'!$O$6:$O$546,'BM MORRO DA CRUZ'!$K70),0)</f>
        <v>0</v>
      </c>
      <c r="BA70" s="63">
        <f t="shared" si="64"/>
        <v>0</v>
      </c>
      <c r="BB70" s="61">
        <f t="shared" si="65"/>
        <v>0</v>
      </c>
      <c r="BC70" s="63">
        <f t="shared" si="66"/>
        <v>0</v>
      </c>
      <c r="BD70" s="64">
        <f t="shared" si="67"/>
        <v>0</v>
      </c>
      <c r="BE70" s="65">
        <f t="shared" si="68"/>
        <v>1</v>
      </c>
      <c r="BF70" s="45"/>
    </row>
    <row r="71" spans="1:58" ht="38.25" customHeight="1" x14ac:dyDescent="0.45">
      <c r="A71" s="56" t="s">
        <v>305</v>
      </c>
      <c r="B71" s="506" t="s">
        <v>301</v>
      </c>
      <c r="C71" s="507" t="s">
        <v>147</v>
      </c>
      <c r="D71" s="507" t="s">
        <v>224</v>
      </c>
      <c r="E71" s="507" t="s">
        <v>302</v>
      </c>
      <c r="F71" s="507" t="s">
        <v>266</v>
      </c>
      <c r="G71" s="507">
        <v>250</v>
      </c>
      <c r="H71" s="508" t="s">
        <v>267</v>
      </c>
      <c r="I71" s="507" t="s">
        <v>114</v>
      </c>
      <c r="J71" s="508" t="s">
        <v>267</v>
      </c>
      <c r="K71" s="57" t="s">
        <v>306</v>
      </c>
      <c r="L71" s="58" t="s">
        <v>21</v>
      </c>
      <c r="M71" s="59" t="s">
        <v>307</v>
      </c>
      <c r="N71" s="60" t="s">
        <v>71</v>
      </c>
      <c r="O71" s="61">
        <v>7</v>
      </c>
      <c r="P71" s="62">
        <v>4423.03</v>
      </c>
      <c r="Q71" s="63">
        <f t="shared" si="46"/>
        <v>30961.21</v>
      </c>
      <c r="R71" s="61">
        <f>IFERROR(SUMIFS('BM MORRO DA CRUZ - VERTICAL'!V$6:V$546,'BM MORRO DA CRUZ - VERTICAL'!$O$6:$O$546,'BM MORRO DA CRUZ'!$K71),0)</f>
        <v>0</v>
      </c>
      <c r="S71" s="63">
        <f t="shared" si="47"/>
        <v>0</v>
      </c>
      <c r="T71" s="61">
        <f>IFERROR(SUMIFS('BM MORRO DA CRUZ - VERTICAL'!X$6:X$546,'BM MORRO DA CRUZ - VERTICAL'!$O$6:$O$546,'BM MORRO DA CRUZ'!$K71),0)</f>
        <v>0</v>
      </c>
      <c r="U71" s="63">
        <f t="shared" si="48"/>
        <v>0</v>
      </c>
      <c r="V71" s="61">
        <f>IFERROR(SUMIFS('BM MORRO DA CRUZ - VERTICAL'!Z$6:Z$546,'BM MORRO DA CRUZ - VERTICAL'!$O$6:$O$546,'BM MORRO DA CRUZ'!$K71),0)</f>
        <v>0</v>
      </c>
      <c r="W71" s="63">
        <f t="shared" si="49"/>
        <v>0</v>
      </c>
      <c r="X71" s="61">
        <f>IFERROR(SUMIFS('BM MORRO DA CRUZ - VERTICAL'!AB$6:AB$546,'BM MORRO DA CRUZ - VERTICAL'!$O$6:$O$546,'BM MORRO DA CRUZ'!$K71),0)</f>
        <v>0</v>
      </c>
      <c r="Y71" s="63">
        <f t="shared" si="50"/>
        <v>0</v>
      </c>
      <c r="Z71" s="61">
        <f>IFERROR(SUMIFS('BM MORRO DA CRUZ - VERTICAL'!AD$6:AD$546,'BM MORRO DA CRUZ - VERTICAL'!$O$6:$O$546,'BM MORRO DA CRUZ'!$K71),0)</f>
        <v>0</v>
      </c>
      <c r="AA71" s="63">
        <f t="shared" si="51"/>
        <v>0</v>
      </c>
      <c r="AB71" s="61">
        <f>IFERROR(SUMIFS('BM MORRO DA CRUZ - VERTICAL'!AF$6:AF$546,'BM MORRO DA CRUZ - VERTICAL'!$O$6:$O$546,'BM MORRO DA CRUZ'!$K71),0)</f>
        <v>0</v>
      </c>
      <c r="AC71" s="63">
        <f t="shared" si="52"/>
        <v>0</v>
      </c>
      <c r="AD71" s="61">
        <f>IFERROR(SUMIFS('BM MORRO DA CRUZ - VERTICAL'!AH$6:AH$546,'BM MORRO DA CRUZ - VERTICAL'!$O$6:$O$546,'BM MORRO DA CRUZ'!$K71),0)</f>
        <v>0</v>
      </c>
      <c r="AE71" s="63">
        <f t="shared" si="53"/>
        <v>0</v>
      </c>
      <c r="AF71" s="61">
        <f>IFERROR(SUMIFS('BM MORRO DA CRUZ - VERTICAL'!AJ$6:AJ$546,'BM MORRO DA CRUZ - VERTICAL'!$O$6:$O$546,'BM MORRO DA CRUZ'!$K71),0)</f>
        <v>0</v>
      </c>
      <c r="AG71" s="63">
        <f t="shared" si="54"/>
        <v>0</v>
      </c>
      <c r="AH71" s="61">
        <f>IFERROR(SUMIFS('BM MORRO DA CRUZ - VERTICAL'!AL$6:AL$546,'BM MORRO DA CRUZ - VERTICAL'!$O$6:$O$546,'BM MORRO DA CRUZ'!$K71),0)</f>
        <v>0</v>
      </c>
      <c r="AI71" s="63">
        <f t="shared" si="55"/>
        <v>0</v>
      </c>
      <c r="AJ71" s="61">
        <f>IFERROR(SUMIFS('BM MORRO DA CRUZ - VERTICAL'!AN$6:AN$546,'BM MORRO DA CRUZ - VERTICAL'!$O$6:$O$546,'BM MORRO DA CRUZ'!$K71),0)</f>
        <v>0</v>
      </c>
      <c r="AK71" s="63">
        <f t="shared" si="56"/>
        <v>0</v>
      </c>
      <c r="AL71" s="61">
        <f>IFERROR(SUMIFS('BM MORRO DA CRUZ - VERTICAL'!AP$6:AP$546,'BM MORRO DA CRUZ - VERTICAL'!$O$6:$O$546,'BM MORRO DA CRUZ'!$K71),0)</f>
        <v>0</v>
      </c>
      <c r="AM71" s="63">
        <f t="shared" si="57"/>
        <v>0</v>
      </c>
      <c r="AN71" s="61">
        <f>IFERROR(SUMIFS('BM MORRO DA CRUZ - VERTICAL'!AR$6:AR$546,'BM MORRO DA CRUZ - VERTICAL'!$O$6:$O$546,'BM MORRO DA CRUZ'!$K71),0)</f>
        <v>0</v>
      </c>
      <c r="AO71" s="63">
        <f t="shared" si="58"/>
        <v>0</v>
      </c>
      <c r="AP71" s="61">
        <f>IFERROR(SUMIFS('BM MORRO DA CRUZ - VERTICAL'!AT$6:AT$546,'BM MORRO DA CRUZ - VERTICAL'!$O$6:$O$546,'BM MORRO DA CRUZ'!$K71),0)</f>
        <v>0</v>
      </c>
      <c r="AQ71" s="63">
        <f t="shared" si="59"/>
        <v>0</v>
      </c>
      <c r="AR71" s="61">
        <f>IFERROR(SUMIFS('BM MORRO DA CRUZ - VERTICAL'!AV$6:AV$546,'BM MORRO DA CRUZ - VERTICAL'!$O$6:$O$546,'BM MORRO DA CRUZ'!$K71),0)</f>
        <v>0</v>
      </c>
      <c r="AS71" s="63">
        <f t="shared" si="60"/>
        <v>0</v>
      </c>
      <c r="AT71" s="61">
        <f>IFERROR(SUMIFS('BM MORRO DA CRUZ - VERTICAL'!AX$6:AX$546,'BM MORRO DA CRUZ - VERTICAL'!$O$6:$O$546,'BM MORRO DA CRUZ'!$K71),0)</f>
        <v>0</v>
      </c>
      <c r="AU71" s="63">
        <f t="shared" si="61"/>
        <v>0</v>
      </c>
      <c r="AV71" s="61">
        <f>IFERROR(SUMIFS('BM MORRO DA CRUZ - VERTICAL'!AZ$6:AZ$546,'BM MORRO DA CRUZ - VERTICAL'!$O$6:$O$546,'BM MORRO DA CRUZ'!$K71),0)</f>
        <v>0</v>
      </c>
      <c r="AW71" s="63">
        <f t="shared" si="62"/>
        <v>0</v>
      </c>
      <c r="AX71" s="61">
        <f>IFERROR(SUMIFS('BM MORRO DA CRUZ - VERTICAL'!BB$6:BB$546,'BM MORRO DA CRUZ - VERTICAL'!$O$6:$O$546,'BM MORRO DA CRUZ'!$K71),0)</f>
        <v>0</v>
      </c>
      <c r="AY71" s="63">
        <f t="shared" si="63"/>
        <v>0</v>
      </c>
      <c r="AZ71" s="61">
        <f>IFERROR(SUMIFS('BM MORRO DA CRUZ - VERTICAL'!BD$6:BD$546,'BM MORRO DA CRUZ - VERTICAL'!$O$6:$O$546,'BM MORRO DA CRUZ'!$K71),0)</f>
        <v>0</v>
      </c>
      <c r="BA71" s="63">
        <f t="shared" si="64"/>
        <v>0</v>
      </c>
      <c r="BB71" s="61">
        <f t="shared" si="65"/>
        <v>0</v>
      </c>
      <c r="BC71" s="63">
        <f t="shared" si="66"/>
        <v>0</v>
      </c>
      <c r="BD71" s="64">
        <f t="shared" si="67"/>
        <v>0</v>
      </c>
      <c r="BE71" s="65">
        <f t="shared" si="68"/>
        <v>1</v>
      </c>
      <c r="BF71" s="45"/>
    </row>
    <row r="72" spans="1:58" ht="38.25" customHeight="1" x14ac:dyDescent="0.45">
      <c r="A72" s="56" t="s">
        <v>308</v>
      </c>
      <c r="B72" s="506" t="s">
        <v>301</v>
      </c>
      <c r="C72" s="507" t="s">
        <v>147</v>
      </c>
      <c r="D72" s="507" t="s">
        <v>224</v>
      </c>
      <c r="E72" s="507" t="s">
        <v>302</v>
      </c>
      <c r="F72" s="507" t="s">
        <v>266</v>
      </c>
      <c r="G72" s="507">
        <v>110</v>
      </c>
      <c r="H72" s="508" t="s">
        <v>267</v>
      </c>
      <c r="I72" s="507" t="s">
        <v>114</v>
      </c>
      <c r="J72" s="508" t="s">
        <v>267</v>
      </c>
      <c r="K72" s="57" t="s">
        <v>309</v>
      </c>
      <c r="L72" s="58" t="s">
        <v>21</v>
      </c>
      <c r="M72" s="59" t="s">
        <v>310</v>
      </c>
      <c r="N72" s="60" t="s">
        <v>71</v>
      </c>
      <c r="O72" s="61">
        <v>7</v>
      </c>
      <c r="P72" s="62">
        <v>286.45999999999998</v>
      </c>
      <c r="Q72" s="63">
        <f t="shared" si="46"/>
        <v>2005.22</v>
      </c>
      <c r="R72" s="61">
        <f>IFERROR(SUMIFS('BM MORRO DA CRUZ - VERTICAL'!V$6:V$546,'BM MORRO DA CRUZ - VERTICAL'!$O$6:$O$546,'BM MORRO DA CRUZ'!$K72),0)</f>
        <v>0</v>
      </c>
      <c r="S72" s="63">
        <f t="shared" si="47"/>
        <v>0</v>
      </c>
      <c r="T72" s="61">
        <f>IFERROR(SUMIFS('BM MORRO DA CRUZ - VERTICAL'!X$6:X$546,'BM MORRO DA CRUZ - VERTICAL'!$O$6:$O$546,'BM MORRO DA CRUZ'!$K72),0)</f>
        <v>0</v>
      </c>
      <c r="U72" s="63">
        <f t="shared" si="48"/>
        <v>0</v>
      </c>
      <c r="V72" s="61">
        <f>IFERROR(SUMIFS('BM MORRO DA CRUZ - VERTICAL'!Z$6:Z$546,'BM MORRO DA CRUZ - VERTICAL'!$O$6:$O$546,'BM MORRO DA CRUZ'!$K72),0)</f>
        <v>0</v>
      </c>
      <c r="W72" s="63">
        <f t="shared" si="49"/>
        <v>0</v>
      </c>
      <c r="X72" s="61">
        <f>IFERROR(SUMIFS('BM MORRO DA CRUZ - VERTICAL'!AB$6:AB$546,'BM MORRO DA CRUZ - VERTICAL'!$O$6:$O$546,'BM MORRO DA CRUZ'!$K72),0)</f>
        <v>0</v>
      </c>
      <c r="Y72" s="63">
        <f t="shared" si="50"/>
        <v>0</v>
      </c>
      <c r="Z72" s="61">
        <f>IFERROR(SUMIFS('BM MORRO DA CRUZ - VERTICAL'!AD$6:AD$546,'BM MORRO DA CRUZ - VERTICAL'!$O$6:$O$546,'BM MORRO DA CRUZ'!$K72),0)</f>
        <v>0</v>
      </c>
      <c r="AA72" s="63">
        <f t="shared" si="51"/>
        <v>0</v>
      </c>
      <c r="AB72" s="61">
        <f>IFERROR(SUMIFS('BM MORRO DA CRUZ - VERTICAL'!AF$6:AF$546,'BM MORRO DA CRUZ - VERTICAL'!$O$6:$O$546,'BM MORRO DA CRUZ'!$K72),0)</f>
        <v>0</v>
      </c>
      <c r="AC72" s="63">
        <f t="shared" si="52"/>
        <v>0</v>
      </c>
      <c r="AD72" s="61">
        <f>IFERROR(SUMIFS('BM MORRO DA CRUZ - VERTICAL'!AH$6:AH$546,'BM MORRO DA CRUZ - VERTICAL'!$O$6:$O$546,'BM MORRO DA CRUZ'!$K72),0)</f>
        <v>0</v>
      </c>
      <c r="AE72" s="63">
        <f t="shared" si="53"/>
        <v>0</v>
      </c>
      <c r="AF72" s="61">
        <f>IFERROR(SUMIFS('BM MORRO DA CRUZ - VERTICAL'!AJ$6:AJ$546,'BM MORRO DA CRUZ - VERTICAL'!$O$6:$O$546,'BM MORRO DA CRUZ'!$K72),0)</f>
        <v>0</v>
      </c>
      <c r="AG72" s="63">
        <f t="shared" si="54"/>
        <v>0</v>
      </c>
      <c r="AH72" s="61">
        <f>IFERROR(SUMIFS('BM MORRO DA CRUZ - VERTICAL'!AL$6:AL$546,'BM MORRO DA CRUZ - VERTICAL'!$O$6:$O$546,'BM MORRO DA CRUZ'!$K72),0)</f>
        <v>0</v>
      </c>
      <c r="AI72" s="63">
        <f t="shared" si="55"/>
        <v>0</v>
      </c>
      <c r="AJ72" s="61">
        <f>IFERROR(SUMIFS('BM MORRO DA CRUZ - VERTICAL'!AN$6:AN$546,'BM MORRO DA CRUZ - VERTICAL'!$O$6:$O$546,'BM MORRO DA CRUZ'!$K72),0)</f>
        <v>0</v>
      </c>
      <c r="AK72" s="63">
        <f t="shared" si="56"/>
        <v>0</v>
      </c>
      <c r="AL72" s="61">
        <f>IFERROR(SUMIFS('BM MORRO DA CRUZ - VERTICAL'!AP$6:AP$546,'BM MORRO DA CRUZ - VERTICAL'!$O$6:$O$546,'BM MORRO DA CRUZ'!$K72),0)</f>
        <v>0</v>
      </c>
      <c r="AM72" s="63">
        <f t="shared" si="57"/>
        <v>0</v>
      </c>
      <c r="AN72" s="61">
        <f>IFERROR(SUMIFS('BM MORRO DA CRUZ - VERTICAL'!AR$6:AR$546,'BM MORRO DA CRUZ - VERTICAL'!$O$6:$O$546,'BM MORRO DA CRUZ'!$K72),0)</f>
        <v>0</v>
      </c>
      <c r="AO72" s="63">
        <f t="shared" si="58"/>
        <v>0</v>
      </c>
      <c r="AP72" s="61">
        <f>IFERROR(SUMIFS('BM MORRO DA CRUZ - VERTICAL'!AT$6:AT$546,'BM MORRO DA CRUZ - VERTICAL'!$O$6:$O$546,'BM MORRO DA CRUZ'!$K72),0)</f>
        <v>0</v>
      </c>
      <c r="AQ72" s="63">
        <f t="shared" si="59"/>
        <v>0</v>
      </c>
      <c r="AR72" s="61">
        <f>IFERROR(SUMIFS('BM MORRO DA CRUZ - VERTICAL'!AV$6:AV$546,'BM MORRO DA CRUZ - VERTICAL'!$O$6:$O$546,'BM MORRO DA CRUZ'!$K72),0)</f>
        <v>0</v>
      </c>
      <c r="AS72" s="63">
        <f t="shared" si="60"/>
        <v>0</v>
      </c>
      <c r="AT72" s="61">
        <f>IFERROR(SUMIFS('BM MORRO DA CRUZ - VERTICAL'!AX$6:AX$546,'BM MORRO DA CRUZ - VERTICAL'!$O$6:$O$546,'BM MORRO DA CRUZ'!$K72),0)</f>
        <v>0</v>
      </c>
      <c r="AU72" s="63">
        <f t="shared" si="61"/>
        <v>0</v>
      </c>
      <c r="AV72" s="61">
        <f>IFERROR(SUMIFS('BM MORRO DA CRUZ - VERTICAL'!AZ$6:AZ$546,'BM MORRO DA CRUZ - VERTICAL'!$O$6:$O$546,'BM MORRO DA CRUZ'!$K72),0)</f>
        <v>0</v>
      </c>
      <c r="AW72" s="63">
        <f t="shared" si="62"/>
        <v>0</v>
      </c>
      <c r="AX72" s="61">
        <f>IFERROR(SUMIFS('BM MORRO DA CRUZ - VERTICAL'!BB$6:BB$546,'BM MORRO DA CRUZ - VERTICAL'!$O$6:$O$546,'BM MORRO DA CRUZ'!$K72),0)</f>
        <v>0</v>
      </c>
      <c r="AY72" s="63">
        <f t="shared" si="63"/>
        <v>0</v>
      </c>
      <c r="AZ72" s="61">
        <f>IFERROR(SUMIFS('BM MORRO DA CRUZ - VERTICAL'!BD$6:BD$546,'BM MORRO DA CRUZ - VERTICAL'!$O$6:$O$546,'BM MORRO DA CRUZ'!$K72),0)</f>
        <v>0</v>
      </c>
      <c r="BA72" s="63">
        <f t="shared" si="64"/>
        <v>0</v>
      </c>
      <c r="BB72" s="61">
        <f t="shared" si="65"/>
        <v>0</v>
      </c>
      <c r="BC72" s="63">
        <f t="shared" si="66"/>
        <v>0</v>
      </c>
      <c r="BD72" s="64">
        <f t="shared" si="67"/>
        <v>0</v>
      </c>
      <c r="BE72" s="65">
        <f t="shared" si="68"/>
        <v>1</v>
      </c>
      <c r="BF72" s="45"/>
    </row>
    <row r="73" spans="1:58" ht="38.25" customHeight="1" x14ac:dyDescent="0.45">
      <c r="A73" s="56" t="s">
        <v>311</v>
      </c>
      <c r="B73" s="506" t="s">
        <v>301</v>
      </c>
      <c r="C73" s="507" t="s">
        <v>147</v>
      </c>
      <c r="D73" s="507" t="s">
        <v>224</v>
      </c>
      <c r="E73" s="507" t="s">
        <v>302</v>
      </c>
      <c r="F73" s="507" t="s">
        <v>266</v>
      </c>
      <c r="G73" s="507">
        <v>160</v>
      </c>
      <c r="H73" s="508" t="s">
        <v>267</v>
      </c>
      <c r="I73" s="507" t="s">
        <v>114</v>
      </c>
      <c r="J73" s="508" t="s">
        <v>267</v>
      </c>
      <c r="K73" s="57" t="s">
        <v>312</v>
      </c>
      <c r="L73" s="58" t="s">
        <v>21</v>
      </c>
      <c r="M73" s="59" t="s">
        <v>313</v>
      </c>
      <c r="N73" s="60" t="s">
        <v>71</v>
      </c>
      <c r="O73" s="61">
        <v>34</v>
      </c>
      <c r="P73" s="62">
        <v>1112.5999999999999</v>
      </c>
      <c r="Q73" s="63">
        <f t="shared" si="46"/>
        <v>37828.400000000001</v>
      </c>
      <c r="R73" s="61">
        <f>IFERROR(SUMIFS('BM MORRO DA CRUZ - VERTICAL'!V$6:V$546,'BM MORRO DA CRUZ - VERTICAL'!$O$6:$O$546,'BM MORRO DA CRUZ'!$K73),0)</f>
        <v>0</v>
      </c>
      <c r="S73" s="63">
        <f t="shared" si="47"/>
        <v>0</v>
      </c>
      <c r="T73" s="61">
        <f>IFERROR(SUMIFS('BM MORRO DA CRUZ - VERTICAL'!X$6:X$546,'BM MORRO DA CRUZ - VERTICAL'!$O$6:$O$546,'BM MORRO DA CRUZ'!$K73),0)</f>
        <v>0</v>
      </c>
      <c r="U73" s="63">
        <f t="shared" si="48"/>
        <v>0</v>
      </c>
      <c r="V73" s="61">
        <f>IFERROR(SUMIFS('BM MORRO DA CRUZ - VERTICAL'!Z$6:Z$546,'BM MORRO DA CRUZ - VERTICAL'!$O$6:$O$546,'BM MORRO DA CRUZ'!$K73),0)</f>
        <v>0</v>
      </c>
      <c r="W73" s="63">
        <f t="shared" si="49"/>
        <v>0</v>
      </c>
      <c r="X73" s="61">
        <f>IFERROR(SUMIFS('BM MORRO DA CRUZ - VERTICAL'!AB$6:AB$546,'BM MORRO DA CRUZ - VERTICAL'!$O$6:$O$546,'BM MORRO DA CRUZ'!$K73),0)</f>
        <v>0</v>
      </c>
      <c r="Y73" s="63">
        <f t="shared" si="50"/>
        <v>0</v>
      </c>
      <c r="Z73" s="61">
        <f>IFERROR(SUMIFS('BM MORRO DA CRUZ - VERTICAL'!AD$6:AD$546,'BM MORRO DA CRUZ - VERTICAL'!$O$6:$O$546,'BM MORRO DA CRUZ'!$K73),0)</f>
        <v>0</v>
      </c>
      <c r="AA73" s="63">
        <f t="shared" si="51"/>
        <v>0</v>
      </c>
      <c r="AB73" s="61">
        <f>IFERROR(SUMIFS('BM MORRO DA CRUZ - VERTICAL'!AF$6:AF$546,'BM MORRO DA CRUZ - VERTICAL'!$O$6:$O$546,'BM MORRO DA CRUZ'!$K73),0)</f>
        <v>0</v>
      </c>
      <c r="AC73" s="63">
        <f t="shared" si="52"/>
        <v>0</v>
      </c>
      <c r="AD73" s="61">
        <f>IFERROR(SUMIFS('BM MORRO DA CRUZ - VERTICAL'!AH$6:AH$546,'BM MORRO DA CRUZ - VERTICAL'!$O$6:$O$546,'BM MORRO DA CRUZ'!$K73),0)</f>
        <v>0</v>
      </c>
      <c r="AE73" s="63">
        <f t="shared" si="53"/>
        <v>0</v>
      </c>
      <c r="AF73" s="61">
        <f>IFERROR(SUMIFS('BM MORRO DA CRUZ - VERTICAL'!AJ$6:AJ$546,'BM MORRO DA CRUZ - VERTICAL'!$O$6:$O$546,'BM MORRO DA CRUZ'!$K73),0)</f>
        <v>0</v>
      </c>
      <c r="AG73" s="63">
        <f t="shared" si="54"/>
        <v>0</v>
      </c>
      <c r="AH73" s="61">
        <f>IFERROR(SUMIFS('BM MORRO DA CRUZ - VERTICAL'!AL$6:AL$546,'BM MORRO DA CRUZ - VERTICAL'!$O$6:$O$546,'BM MORRO DA CRUZ'!$K73),0)</f>
        <v>0</v>
      </c>
      <c r="AI73" s="63">
        <f t="shared" si="55"/>
        <v>0</v>
      </c>
      <c r="AJ73" s="61">
        <f>IFERROR(SUMIFS('BM MORRO DA CRUZ - VERTICAL'!AN$6:AN$546,'BM MORRO DA CRUZ - VERTICAL'!$O$6:$O$546,'BM MORRO DA CRUZ'!$K73),0)</f>
        <v>0</v>
      </c>
      <c r="AK73" s="63">
        <f t="shared" si="56"/>
        <v>0</v>
      </c>
      <c r="AL73" s="61">
        <f>IFERROR(SUMIFS('BM MORRO DA CRUZ - VERTICAL'!AP$6:AP$546,'BM MORRO DA CRUZ - VERTICAL'!$O$6:$O$546,'BM MORRO DA CRUZ'!$K73),0)</f>
        <v>0</v>
      </c>
      <c r="AM73" s="63">
        <f t="shared" si="57"/>
        <v>0</v>
      </c>
      <c r="AN73" s="61">
        <f>IFERROR(SUMIFS('BM MORRO DA CRUZ - VERTICAL'!AR$6:AR$546,'BM MORRO DA CRUZ - VERTICAL'!$O$6:$O$546,'BM MORRO DA CRUZ'!$K73),0)</f>
        <v>0</v>
      </c>
      <c r="AO73" s="63">
        <f t="shared" si="58"/>
        <v>0</v>
      </c>
      <c r="AP73" s="61">
        <f>IFERROR(SUMIFS('BM MORRO DA CRUZ - VERTICAL'!AT$6:AT$546,'BM MORRO DA CRUZ - VERTICAL'!$O$6:$O$546,'BM MORRO DA CRUZ'!$K73),0)</f>
        <v>0</v>
      </c>
      <c r="AQ73" s="63">
        <f t="shared" si="59"/>
        <v>0</v>
      </c>
      <c r="AR73" s="61">
        <f>IFERROR(SUMIFS('BM MORRO DA CRUZ - VERTICAL'!AV$6:AV$546,'BM MORRO DA CRUZ - VERTICAL'!$O$6:$O$546,'BM MORRO DA CRUZ'!$K73),0)</f>
        <v>0</v>
      </c>
      <c r="AS73" s="63">
        <f t="shared" si="60"/>
        <v>0</v>
      </c>
      <c r="AT73" s="61">
        <f>IFERROR(SUMIFS('BM MORRO DA CRUZ - VERTICAL'!AX$6:AX$546,'BM MORRO DA CRUZ - VERTICAL'!$O$6:$O$546,'BM MORRO DA CRUZ'!$K73),0)</f>
        <v>0</v>
      </c>
      <c r="AU73" s="63">
        <f t="shared" si="61"/>
        <v>0</v>
      </c>
      <c r="AV73" s="61">
        <f>IFERROR(SUMIFS('BM MORRO DA CRUZ - VERTICAL'!AZ$6:AZ$546,'BM MORRO DA CRUZ - VERTICAL'!$O$6:$O$546,'BM MORRO DA CRUZ'!$K73),0)</f>
        <v>0</v>
      </c>
      <c r="AW73" s="63">
        <f t="shared" si="62"/>
        <v>0</v>
      </c>
      <c r="AX73" s="61">
        <f>IFERROR(SUMIFS('BM MORRO DA CRUZ - VERTICAL'!BB$6:BB$546,'BM MORRO DA CRUZ - VERTICAL'!$O$6:$O$546,'BM MORRO DA CRUZ'!$K73),0)</f>
        <v>0</v>
      </c>
      <c r="AY73" s="63">
        <f t="shared" si="63"/>
        <v>0</v>
      </c>
      <c r="AZ73" s="61">
        <f>IFERROR(SUMIFS('BM MORRO DA CRUZ - VERTICAL'!BD$6:BD$546,'BM MORRO DA CRUZ - VERTICAL'!$O$6:$O$546,'BM MORRO DA CRUZ'!$K73),0)</f>
        <v>0</v>
      </c>
      <c r="BA73" s="63">
        <f t="shared" si="64"/>
        <v>0</v>
      </c>
      <c r="BB73" s="61">
        <f t="shared" si="65"/>
        <v>0</v>
      </c>
      <c r="BC73" s="63">
        <f t="shared" si="66"/>
        <v>0</v>
      </c>
      <c r="BD73" s="64">
        <f t="shared" si="67"/>
        <v>0</v>
      </c>
      <c r="BE73" s="65">
        <f t="shared" si="68"/>
        <v>1</v>
      </c>
      <c r="BF73" s="45"/>
    </row>
    <row r="74" spans="1:58" ht="38.25" customHeight="1" x14ac:dyDescent="0.45">
      <c r="A74" s="56" t="s">
        <v>314</v>
      </c>
      <c r="B74" s="506" t="s">
        <v>301</v>
      </c>
      <c r="C74" s="507" t="s">
        <v>147</v>
      </c>
      <c r="D74" s="507" t="s">
        <v>224</v>
      </c>
      <c r="E74" s="507" t="s">
        <v>302</v>
      </c>
      <c r="F74" s="507" t="s">
        <v>266</v>
      </c>
      <c r="G74" s="507">
        <v>63</v>
      </c>
      <c r="H74" s="508" t="s">
        <v>267</v>
      </c>
      <c r="I74" s="507" t="s">
        <v>114</v>
      </c>
      <c r="J74" s="508" t="s">
        <v>267</v>
      </c>
      <c r="K74" s="57" t="s">
        <v>315</v>
      </c>
      <c r="L74" s="58" t="s">
        <v>21</v>
      </c>
      <c r="M74" s="59" t="s">
        <v>316</v>
      </c>
      <c r="N74" s="60" t="s">
        <v>71</v>
      </c>
      <c r="O74" s="61">
        <v>740</v>
      </c>
      <c r="P74" s="62">
        <v>158.28</v>
      </c>
      <c r="Q74" s="63">
        <f t="shared" si="46"/>
        <v>117127.2</v>
      </c>
      <c r="R74" s="61">
        <f>IFERROR(SUMIFS('BM MORRO DA CRUZ - VERTICAL'!V$6:V$546,'BM MORRO DA CRUZ - VERTICAL'!$O$6:$O$546,'BM MORRO DA CRUZ'!$K74),0)</f>
        <v>0</v>
      </c>
      <c r="S74" s="63">
        <f t="shared" si="47"/>
        <v>0</v>
      </c>
      <c r="T74" s="61">
        <f>IFERROR(SUMIFS('BM MORRO DA CRUZ - VERTICAL'!X$6:X$546,'BM MORRO DA CRUZ - VERTICAL'!$O$6:$O$546,'BM MORRO DA CRUZ'!$K74),0)</f>
        <v>0</v>
      </c>
      <c r="U74" s="63">
        <f t="shared" si="48"/>
        <v>0</v>
      </c>
      <c r="V74" s="61">
        <f>IFERROR(SUMIFS('BM MORRO DA CRUZ - VERTICAL'!Z$6:Z$546,'BM MORRO DA CRUZ - VERTICAL'!$O$6:$O$546,'BM MORRO DA CRUZ'!$K74),0)</f>
        <v>0</v>
      </c>
      <c r="W74" s="63">
        <f t="shared" si="49"/>
        <v>0</v>
      </c>
      <c r="X74" s="61">
        <f>IFERROR(SUMIFS('BM MORRO DA CRUZ - VERTICAL'!AB$6:AB$546,'BM MORRO DA CRUZ - VERTICAL'!$O$6:$O$546,'BM MORRO DA CRUZ'!$K74),0)</f>
        <v>0</v>
      </c>
      <c r="Y74" s="63">
        <f t="shared" si="50"/>
        <v>0</v>
      </c>
      <c r="Z74" s="61">
        <f>IFERROR(SUMIFS('BM MORRO DA CRUZ - VERTICAL'!AD$6:AD$546,'BM MORRO DA CRUZ - VERTICAL'!$O$6:$O$546,'BM MORRO DA CRUZ'!$K74),0)</f>
        <v>0</v>
      </c>
      <c r="AA74" s="63">
        <f t="shared" si="51"/>
        <v>0</v>
      </c>
      <c r="AB74" s="61">
        <f>IFERROR(SUMIFS('BM MORRO DA CRUZ - VERTICAL'!AF$6:AF$546,'BM MORRO DA CRUZ - VERTICAL'!$O$6:$O$546,'BM MORRO DA CRUZ'!$K74),0)</f>
        <v>0</v>
      </c>
      <c r="AC74" s="63">
        <f t="shared" si="52"/>
        <v>0</v>
      </c>
      <c r="AD74" s="61">
        <f>IFERROR(SUMIFS('BM MORRO DA CRUZ - VERTICAL'!AH$6:AH$546,'BM MORRO DA CRUZ - VERTICAL'!$O$6:$O$546,'BM MORRO DA CRUZ'!$K74),0)</f>
        <v>0</v>
      </c>
      <c r="AE74" s="63">
        <f t="shared" si="53"/>
        <v>0</v>
      </c>
      <c r="AF74" s="61">
        <f>IFERROR(SUMIFS('BM MORRO DA CRUZ - VERTICAL'!AJ$6:AJ$546,'BM MORRO DA CRUZ - VERTICAL'!$O$6:$O$546,'BM MORRO DA CRUZ'!$K74),0)</f>
        <v>0</v>
      </c>
      <c r="AG74" s="63">
        <f t="shared" si="54"/>
        <v>0</v>
      </c>
      <c r="AH74" s="61">
        <f>IFERROR(SUMIFS('BM MORRO DA CRUZ - VERTICAL'!AL$6:AL$546,'BM MORRO DA CRUZ - VERTICAL'!$O$6:$O$546,'BM MORRO DA CRUZ'!$K74),0)</f>
        <v>0</v>
      </c>
      <c r="AI74" s="63">
        <f t="shared" si="55"/>
        <v>0</v>
      </c>
      <c r="AJ74" s="61">
        <f>IFERROR(SUMIFS('BM MORRO DA CRUZ - VERTICAL'!AN$6:AN$546,'BM MORRO DA CRUZ - VERTICAL'!$O$6:$O$546,'BM MORRO DA CRUZ'!$K74),0)</f>
        <v>0</v>
      </c>
      <c r="AK74" s="63">
        <f t="shared" si="56"/>
        <v>0</v>
      </c>
      <c r="AL74" s="61">
        <f>IFERROR(SUMIFS('BM MORRO DA CRUZ - VERTICAL'!AP$6:AP$546,'BM MORRO DA CRUZ - VERTICAL'!$O$6:$O$546,'BM MORRO DA CRUZ'!$K74),0)</f>
        <v>0</v>
      </c>
      <c r="AM74" s="63">
        <f t="shared" si="57"/>
        <v>0</v>
      </c>
      <c r="AN74" s="61">
        <f>IFERROR(SUMIFS('BM MORRO DA CRUZ - VERTICAL'!AR$6:AR$546,'BM MORRO DA CRUZ - VERTICAL'!$O$6:$O$546,'BM MORRO DA CRUZ'!$K74),0)</f>
        <v>0</v>
      </c>
      <c r="AO74" s="63">
        <f t="shared" si="58"/>
        <v>0</v>
      </c>
      <c r="AP74" s="61">
        <f>IFERROR(SUMIFS('BM MORRO DA CRUZ - VERTICAL'!AT$6:AT$546,'BM MORRO DA CRUZ - VERTICAL'!$O$6:$O$546,'BM MORRO DA CRUZ'!$K74),0)</f>
        <v>0</v>
      </c>
      <c r="AQ74" s="63">
        <f t="shared" si="59"/>
        <v>0</v>
      </c>
      <c r="AR74" s="61">
        <f>IFERROR(SUMIFS('BM MORRO DA CRUZ - VERTICAL'!AV$6:AV$546,'BM MORRO DA CRUZ - VERTICAL'!$O$6:$O$546,'BM MORRO DA CRUZ'!$K74),0)</f>
        <v>0</v>
      </c>
      <c r="AS74" s="63">
        <f t="shared" si="60"/>
        <v>0</v>
      </c>
      <c r="AT74" s="61">
        <f>IFERROR(SUMIFS('BM MORRO DA CRUZ - VERTICAL'!AX$6:AX$546,'BM MORRO DA CRUZ - VERTICAL'!$O$6:$O$546,'BM MORRO DA CRUZ'!$K74),0)</f>
        <v>0</v>
      </c>
      <c r="AU74" s="63">
        <f t="shared" si="61"/>
        <v>0</v>
      </c>
      <c r="AV74" s="61">
        <f>IFERROR(SUMIFS('BM MORRO DA CRUZ - VERTICAL'!AZ$6:AZ$546,'BM MORRO DA CRUZ - VERTICAL'!$O$6:$O$546,'BM MORRO DA CRUZ'!$K74),0)</f>
        <v>0</v>
      </c>
      <c r="AW74" s="63">
        <f t="shared" si="62"/>
        <v>0</v>
      </c>
      <c r="AX74" s="61">
        <f>IFERROR(SUMIFS('BM MORRO DA CRUZ - VERTICAL'!BB$6:BB$546,'BM MORRO DA CRUZ - VERTICAL'!$O$6:$O$546,'BM MORRO DA CRUZ'!$K74),0)</f>
        <v>0</v>
      </c>
      <c r="AY74" s="63">
        <f t="shared" si="63"/>
        <v>0</v>
      </c>
      <c r="AZ74" s="61">
        <f>IFERROR(SUMIFS('BM MORRO DA CRUZ - VERTICAL'!BD$6:BD$546,'BM MORRO DA CRUZ - VERTICAL'!$O$6:$O$546,'BM MORRO DA CRUZ'!$K74),0)</f>
        <v>0</v>
      </c>
      <c r="BA74" s="63">
        <f t="shared" si="64"/>
        <v>0</v>
      </c>
      <c r="BB74" s="61">
        <f t="shared" si="65"/>
        <v>0</v>
      </c>
      <c r="BC74" s="63">
        <f t="shared" si="66"/>
        <v>0</v>
      </c>
      <c r="BD74" s="64">
        <f t="shared" si="67"/>
        <v>0</v>
      </c>
      <c r="BE74" s="65">
        <f t="shared" si="68"/>
        <v>1</v>
      </c>
      <c r="BF74" s="45"/>
    </row>
    <row r="75" spans="1:58" ht="26.25" customHeight="1" x14ac:dyDescent="0.45">
      <c r="A75" s="56" t="s">
        <v>317</v>
      </c>
      <c r="B75" s="506" t="s">
        <v>318</v>
      </c>
      <c r="C75" s="507" t="s">
        <v>111</v>
      </c>
      <c r="D75" s="507" t="s">
        <v>224</v>
      </c>
      <c r="E75" s="507" t="s">
        <v>302</v>
      </c>
      <c r="F75" s="507" t="s">
        <v>266</v>
      </c>
      <c r="G75" s="507">
        <v>90</v>
      </c>
      <c r="H75" s="508" t="s">
        <v>267</v>
      </c>
      <c r="I75" s="507" t="s">
        <v>114</v>
      </c>
      <c r="J75" s="508" t="s">
        <v>267</v>
      </c>
      <c r="K75" s="57" t="s">
        <v>319</v>
      </c>
      <c r="L75" s="58" t="s">
        <v>21</v>
      </c>
      <c r="M75" s="59" t="s">
        <v>320</v>
      </c>
      <c r="N75" s="60" t="s">
        <v>71</v>
      </c>
      <c r="O75" s="61">
        <v>12</v>
      </c>
      <c r="P75" s="62">
        <v>197.77</v>
      </c>
      <c r="Q75" s="63">
        <f t="shared" si="46"/>
        <v>2373.2399999999998</v>
      </c>
      <c r="R75" s="61">
        <f>IFERROR(SUMIFS('BM MORRO DA CRUZ - VERTICAL'!V$6:V$546,'BM MORRO DA CRUZ - VERTICAL'!$O$6:$O$546,'BM MORRO DA CRUZ'!$K75),0)</f>
        <v>0</v>
      </c>
      <c r="S75" s="63">
        <f t="shared" si="47"/>
        <v>0</v>
      </c>
      <c r="T75" s="61">
        <f>IFERROR(SUMIFS('BM MORRO DA CRUZ - VERTICAL'!X$6:X$546,'BM MORRO DA CRUZ - VERTICAL'!$O$6:$O$546,'BM MORRO DA CRUZ'!$K75),0)</f>
        <v>0</v>
      </c>
      <c r="U75" s="63">
        <f t="shared" si="48"/>
        <v>0</v>
      </c>
      <c r="V75" s="61">
        <f>IFERROR(SUMIFS('BM MORRO DA CRUZ - VERTICAL'!Z$6:Z$546,'BM MORRO DA CRUZ - VERTICAL'!$O$6:$O$546,'BM MORRO DA CRUZ'!$K75),0)</f>
        <v>0</v>
      </c>
      <c r="W75" s="63">
        <f t="shared" si="49"/>
        <v>0</v>
      </c>
      <c r="X75" s="61">
        <f>IFERROR(SUMIFS('BM MORRO DA CRUZ - VERTICAL'!AB$6:AB$546,'BM MORRO DA CRUZ - VERTICAL'!$O$6:$O$546,'BM MORRO DA CRUZ'!$K75),0)</f>
        <v>0</v>
      </c>
      <c r="Y75" s="63">
        <f t="shared" si="50"/>
        <v>0</v>
      </c>
      <c r="Z75" s="61">
        <f>IFERROR(SUMIFS('BM MORRO DA CRUZ - VERTICAL'!AD$6:AD$546,'BM MORRO DA CRUZ - VERTICAL'!$O$6:$O$546,'BM MORRO DA CRUZ'!$K75),0)</f>
        <v>0</v>
      </c>
      <c r="AA75" s="63">
        <f t="shared" si="51"/>
        <v>0</v>
      </c>
      <c r="AB75" s="61">
        <f>IFERROR(SUMIFS('BM MORRO DA CRUZ - VERTICAL'!AF$6:AF$546,'BM MORRO DA CRUZ - VERTICAL'!$O$6:$O$546,'BM MORRO DA CRUZ'!$K75),0)</f>
        <v>0</v>
      </c>
      <c r="AC75" s="63">
        <f t="shared" si="52"/>
        <v>0</v>
      </c>
      <c r="AD75" s="61">
        <f>IFERROR(SUMIFS('BM MORRO DA CRUZ - VERTICAL'!AH$6:AH$546,'BM MORRO DA CRUZ - VERTICAL'!$O$6:$O$546,'BM MORRO DA CRUZ'!$K75),0)</f>
        <v>0</v>
      </c>
      <c r="AE75" s="63">
        <f t="shared" si="53"/>
        <v>0</v>
      </c>
      <c r="AF75" s="61">
        <f>IFERROR(SUMIFS('BM MORRO DA CRUZ - VERTICAL'!AJ$6:AJ$546,'BM MORRO DA CRUZ - VERTICAL'!$O$6:$O$546,'BM MORRO DA CRUZ'!$K75),0)</f>
        <v>0</v>
      </c>
      <c r="AG75" s="63">
        <f t="shared" si="54"/>
        <v>0</v>
      </c>
      <c r="AH75" s="61">
        <f>IFERROR(SUMIFS('BM MORRO DA CRUZ - VERTICAL'!AL$6:AL$546,'BM MORRO DA CRUZ - VERTICAL'!$O$6:$O$546,'BM MORRO DA CRUZ'!$K75),0)</f>
        <v>0</v>
      </c>
      <c r="AI75" s="63">
        <f t="shared" si="55"/>
        <v>0</v>
      </c>
      <c r="AJ75" s="61">
        <f>IFERROR(SUMIFS('BM MORRO DA CRUZ - VERTICAL'!AN$6:AN$546,'BM MORRO DA CRUZ - VERTICAL'!$O$6:$O$546,'BM MORRO DA CRUZ'!$K75),0)</f>
        <v>0</v>
      </c>
      <c r="AK75" s="63">
        <f t="shared" si="56"/>
        <v>0</v>
      </c>
      <c r="AL75" s="61">
        <f>IFERROR(SUMIFS('BM MORRO DA CRUZ - VERTICAL'!AP$6:AP$546,'BM MORRO DA CRUZ - VERTICAL'!$O$6:$O$546,'BM MORRO DA CRUZ'!$K75),0)</f>
        <v>0</v>
      </c>
      <c r="AM75" s="63">
        <f t="shared" si="57"/>
        <v>0</v>
      </c>
      <c r="AN75" s="61">
        <f>IFERROR(SUMIFS('BM MORRO DA CRUZ - VERTICAL'!AR$6:AR$546,'BM MORRO DA CRUZ - VERTICAL'!$O$6:$O$546,'BM MORRO DA CRUZ'!$K75),0)</f>
        <v>0</v>
      </c>
      <c r="AO75" s="63">
        <f t="shared" si="58"/>
        <v>0</v>
      </c>
      <c r="AP75" s="61">
        <f>IFERROR(SUMIFS('BM MORRO DA CRUZ - VERTICAL'!AT$6:AT$546,'BM MORRO DA CRUZ - VERTICAL'!$O$6:$O$546,'BM MORRO DA CRUZ'!$K75),0)</f>
        <v>0</v>
      </c>
      <c r="AQ75" s="63">
        <f t="shared" si="59"/>
        <v>0</v>
      </c>
      <c r="AR75" s="61">
        <f>IFERROR(SUMIFS('BM MORRO DA CRUZ - VERTICAL'!AV$6:AV$546,'BM MORRO DA CRUZ - VERTICAL'!$O$6:$O$546,'BM MORRO DA CRUZ'!$K75),0)</f>
        <v>0</v>
      </c>
      <c r="AS75" s="63">
        <f t="shared" si="60"/>
        <v>0</v>
      </c>
      <c r="AT75" s="61">
        <f>IFERROR(SUMIFS('BM MORRO DA CRUZ - VERTICAL'!AX$6:AX$546,'BM MORRO DA CRUZ - VERTICAL'!$O$6:$O$546,'BM MORRO DA CRUZ'!$K75),0)</f>
        <v>0</v>
      </c>
      <c r="AU75" s="63">
        <f t="shared" si="61"/>
        <v>0</v>
      </c>
      <c r="AV75" s="61">
        <f>IFERROR(SUMIFS('BM MORRO DA CRUZ - VERTICAL'!AZ$6:AZ$546,'BM MORRO DA CRUZ - VERTICAL'!$O$6:$O$546,'BM MORRO DA CRUZ'!$K75),0)</f>
        <v>0</v>
      </c>
      <c r="AW75" s="63">
        <f t="shared" si="62"/>
        <v>0</v>
      </c>
      <c r="AX75" s="61">
        <f>IFERROR(SUMIFS('BM MORRO DA CRUZ - VERTICAL'!BB$6:BB$546,'BM MORRO DA CRUZ - VERTICAL'!$O$6:$O$546,'BM MORRO DA CRUZ'!$K75),0)</f>
        <v>0</v>
      </c>
      <c r="AY75" s="63">
        <f t="shared" si="63"/>
        <v>0</v>
      </c>
      <c r="AZ75" s="61">
        <f>IFERROR(SUMIFS('BM MORRO DA CRUZ - VERTICAL'!BD$6:BD$546,'BM MORRO DA CRUZ - VERTICAL'!$O$6:$O$546,'BM MORRO DA CRUZ'!$K75),0)</f>
        <v>0</v>
      </c>
      <c r="BA75" s="63">
        <f t="shared" si="64"/>
        <v>0</v>
      </c>
      <c r="BB75" s="61">
        <f t="shared" si="65"/>
        <v>0</v>
      </c>
      <c r="BC75" s="63">
        <f t="shared" si="66"/>
        <v>0</v>
      </c>
      <c r="BD75" s="64">
        <f t="shared" si="67"/>
        <v>0</v>
      </c>
      <c r="BE75" s="65">
        <f t="shared" si="68"/>
        <v>1</v>
      </c>
      <c r="BF75" s="45"/>
    </row>
    <row r="76" spans="1:58" ht="26.25" customHeight="1" x14ac:dyDescent="0.45">
      <c r="A76" s="56" t="s">
        <v>321</v>
      </c>
      <c r="B76" s="506" t="s">
        <v>322</v>
      </c>
      <c r="C76" s="507" t="s">
        <v>111</v>
      </c>
      <c r="D76" s="507" t="s">
        <v>224</v>
      </c>
      <c r="E76" s="507" t="s">
        <v>302</v>
      </c>
      <c r="F76" s="507" t="s">
        <v>273</v>
      </c>
      <c r="G76" s="507">
        <v>355</v>
      </c>
      <c r="H76" s="508" t="s">
        <v>267</v>
      </c>
      <c r="I76" s="507" t="s">
        <v>114</v>
      </c>
      <c r="J76" s="508" t="s">
        <v>267</v>
      </c>
      <c r="K76" s="57" t="s">
        <v>323</v>
      </c>
      <c r="L76" s="58" t="s">
        <v>21</v>
      </c>
      <c r="M76" s="59" t="s">
        <v>324</v>
      </c>
      <c r="N76" s="60" t="s">
        <v>71</v>
      </c>
      <c r="O76" s="61">
        <v>1</v>
      </c>
      <c r="P76" s="62">
        <v>5717.2</v>
      </c>
      <c r="Q76" s="63">
        <f t="shared" si="46"/>
        <v>5717.2</v>
      </c>
      <c r="R76" s="61">
        <f>IFERROR(SUMIFS('BM MORRO DA CRUZ - VERTICAL'!V$6:V$546,'BM MORRO DA CRUZ - VERTICAL'!$O$6:$O$546,'BM MORRO DA CRUZ'!$K76),0)</f>
        <v>0</v>
      </c>
      <c r="S76" s="63">
        <f t="shared" si="47"/>
        <v>0</v>
      </c>
      <c r="T76" s="61">
        <f>IFERROR(SUMIFS('BM MORRO DA CRUZ - VERTICAL'!X$6:X$546,'BM MORRO DA CRUZ - VERTICAL'!$O$6:$O$546,'BM MORRO DA CRUZ'!$K76),0)</f>
        <v>0</v>
      </c>
      <c r="U76" s="63">
        <f t="shared" si="48"/>
        <v>0</v>
      </c>
      <c r="V76" s="61">
        <f>IFERROR(SUMIFS('BM MORRO DA CRUZ - VERTICAL'!Z$6:Z$546,'BM MORRO DA CRUZ - VERTICAL'!$O$6:$O$546,'BM MORRO DA CRUZ'!$K76),0)</f>
        <v>0</v>
      </c>
      <c r="W76" s="63">
        <f t="shared" si="49"/>
        <v>0</v>
      </c>
      <c r="X76" s="61">
        <f>IFERROR(SUMIFS('BM MORRO DA CRUZ - VERTICAL'!AB$6:AB$546,'BM MORRO DA CRUZ - VERTICAL'!$O$6:$O$546,'BM MORRO DA CRUZ'!$K76),0)</f>
        <v>0</v>
      </c>
      <c r="Y76" s="63">
        <f t="shared" si="50"/>
        <v>0</v>
      </c>
      <c r="Z76" s="61">
        <f>IFERROR(SUMIFS('BM MORRO DA CRUZ - VERTICAL'!AD$6:AD$546,'BM MORRO DA CRUZ - VERTICAL'!$O$6:$O$546,'BM MORRO DA CRUZ'!$K76),0)</f>
        <v>0</v>
      </c>
      <c r="AA76" s="63">
        <f t="shared" si="51"/>
        <v>0</v>
      </c>
      <c r="AB76" s="61">
        <f>IFERROR(SUMIFS('BM MORRO DA CRUZ - VERTICAL'!AF$6:AF$546,'BM MORRO DA CRUZ - VERTICAL'!$O$6:$O$546,'BM MORRO DA CRUZ'!$K76),0)</f>
        <v>0</v>
      </c>
      <c r="AC76" s="63">
        <f t="shared" si="52"/>
        <v>0</v>
      </c>
      <c r="AD76" s="61">
        <f>IFERROR(SUMIFS('BM MORRO DA CRUZ - VERTICAL'!AH$6:AH$546,'BM MORRO DA CRUZ - VERTICAL'!$O$6:$O$546,'BM MORRO DA CRUZ'!$K76),0)</f>
        <v>0</v>
      </c>
      <c r="AE76" s="63">
        <f t="shared" si="53"/>
        <v>0</v>
      </c>
      <c r="AF76" s="61">
        <f>IFERROR(SUMIFS('BM MORRO DA CRUZ - VERTICAL'!AJ$6:AJ$546,'BM MORRO DA CRUZ - VERTICAL'!$O$6:$O$546,'BM MORRO DA CRUZ'!$K76),0)</f>
        <v>0</v>
      </c>
      <c r="AG76" s="63">
        <f t="shared" si="54"/>
        <v>0</v>
      </c>
      <c r="AH76" s="61">
        <f>IFERROR(SUMIFS('BM MORRO DA CRUZ - VERTICAL'!AL$6:AL$546,'BM MORRO DA CRUZ - VERTICAL'!$O$6:$O$546,'BM MORRO DA CRUZ'!$K76),0)</f>
        <v>0</v>
      </c>
      <c r="AI76" s="63">
        <f t="shared" si="55"/>
        <v>0</v>
      </c>
      <c r="AJ76" s="61">
        <f>IFERROR(SUMIFS('BM MORRO DA CRUZ - VERTICAL'!AN$6:AN$546,'BM MORRO DA CRUZ - VERTICAL'!$O$6:$O$546,'BM MORRO DA CRUZ'!$K76),0)</f>
        <v>0</v>
      </c>
      <c r="AK76" s="63">
        <f t="shared" si="56"/>
        <v>0</v>
      </c>
      <c r="AL76" s="61">
        <f>IFERROR(SUMIFS('BM MORRO DA CRUZ - VERTICAL'!AP$6:AP$546,'BM MORRO DA CRUZ - VERTICAL'!$O$6:$O$546,'BM MORRO DA CRUZ'!$K76),0)</f>
        <v>0</v>
      </c>
      <c r="AM76" s="63">
        <f t="shared" si="57"/>
        <v>0</v>
      </c>
      <c r="AN76" s="61">
        <f>IFERROR(SUMIFS('BM MORRO DA CRUZ - VERTICAL'!AR$6:AR$546,'BM MORRO DA CRUZ - VERTICAL'!$O$6:$O$546,'BM MORRO DA CRUZ'!$K76),0)</f>
        <v>0</v>
      </c>
      <c r="AO76" s="63">
        <f t="shared" si="58"/>
        <v>0</v>
      </c>
      <c r="AP76" s="61">
        <f>IFERROR(SUMIFS('BM MORRO DA CRUZ - VERTICAL'!AT$6:AT$546,'BM MORRO DA CRUZ - VERTICAL'!$O$6:$O$546,'BM MORRO DA CRUZ'!$K76),0)</f>
        <v>0</v>
      </c>
      <c r="AQ76" s="63">
        <f t="shared" si="59"/>
        <v>0</v>
      </c>
      <c r="AR76" s="61">
        <f>IFERROR(SUMIFS('BM MORRO DA CRUZ - VERTICAL'!AV$6:AV$546,'BM MORRO DA CRUZ - VERTICAL'!$O$6:$O$546,'BM MORRO DA CRUZ'!$K76),0)</f>
        <v>0</v>
      </c>
      <c r="AS76" s="63">
        <f t="shared" si="60"/>
        <v>0</v>
      </c>
      <c r="AT76" s="61">
        <f>IFERROR(SUMIFS('BM MORRO DA CRUZ - VERTICAL'!AX$6:AX$546,'BM MORRO DA CRUZ - VERTICAL'!$O$6:$O$546,'BM MORRO DA CRUZ'!$K76),0)</f>
        <v>0</v>
      </c>
      <c r="AU76" s="63">
        <f t="shared" si="61"/>
        <v>0</v>
      </c>
      <c r="AV76" s="61">
        <f>IFERROR(SUMIFS('BM MORRO DA CRUZ - VERTICAL'!AZ$6:AZ$546,'BM MORRO DA CRUZ - VERTICAL'!$O$6:$O$546,'BM MORRO DA CRUZ'!$K76),0)</f>
        <v>0</v>
      </c>
      <c r="AW76" s="63">
        <f t="shared" si="62"/>
        <v>0</v>
      </c>
      <c r="AX76" s="61">
        <f>IFERROR(SUMIFS('BM MORRO DA CRUZ - VERTICAL'!BB$6:BB$546,'BM MORRO DA CRUZ - VERTICAL'!$O$6:$O$546,'BM MORRO DA CRUZ'!$K76),0)</f>
        <v>0</v>
      </c>
      <c r="AY76" s="63">
        <f t="shared" si="63"/>
        <v>0</v>
      </c>
      <c r="AZ76" s="61">
        <f>IFERROR(SUMIFS('BM MORRO DA CRUZ - VERTICAL'!BD$6:BD$546,'BM MORRO DA CRUZ - VERTICAL'!$O$6:$O$546,'BM MORRO DA CRUZ'!$K76),0)</f>
        <v>0</v>
      </c>
      <c r="BA76" s="63">
        <f t="shared" si="64"/>
        <v>0</v>
      </c>
      <c r="BB76" s="61">
        <f t="shared" si="65"/>
        <v>0</v>
      </c>
      <c r="BC76" s="63">
        <f t="shared" si="66"/>
        <v>0</v>
      </c>
      <c r="BD76" s="64">
        <f t="shared" si="67"/>
        <v>0</v>
      </c>
      <c r="BE76" s="65">
        <f t="shared" si="68"/>
        <v>1</v>
      </c>
      <c r="BF76" s="45"/>
    </row>
    <row r="77" spans="1:58" ht="26.25" customHeight="1" x14ac:dyDescent="0.45">
      <c r="A77" s="56" t="s">
        <v>325</v>
      </c>
      <c r="B77" s="506" t="s">
        <v>322</v>
      </c>
      <c r="C77" s="507" t="s">
        <v>111</v>
      </c>
      <c r="D77" s="507" t="s">
        <v>224</v>
      </c>
      <c r="E77" s="507" t="s">
        <v>302</v>
      </c>
      <c r="F77" s="507" t="s">
        <v>273</v>
      </c>
      <c r="G77" s="507">
        <v>500</v>
      </c>
      <c r="H77" s="508" t="s">
        <v>267</v>
      </c>
      <c r="I77" s="507" t="s">
        <v>114</v>
      </c>
      <c r="J77" s="508" t="s">
        <v>267</v>
      </c>
      <c r="K77" s="57" t="s">
        <v>326</v>
      </c>
      <c r="L77" s="58" t="s">
        <v>21</v>
      </c>
      <c r="M77" s="59" t="s">
        <v>327</v>
      </c>
      <c r="N77" s="60" t="s">
        <v>71</v>
      </c>
      <c r="O77" s="61">
        <v>5</v>
      </c>
      <c r="P77" s="62">
        <v>9877.82</v>
      </c>
      <c r="Q77" s="63">
        <f t="shared" si="46"/>
        <v>49389.1</v>
      </c>
      <c r="R77" s="61">
        <f>IFERROR(SUMIFS('BM MORRO DA CRUZ - VERTICAL'!V$6:V$546,'BM MORRO DA CRUZ - VERTICAL'!$O$6:$O$546,'BM MORRO DA CRUZ'!$K77),0)</f>
        <v>0</v>
      </c>
      <c r="S77" s="63">
        <f t="shared" si="47"/>
        <v>0</v>
      </c>
      <c r="T77" s="61">
        <f>IFERROR(SUMIFS('BM MORRO DA CRUZ - VERTICAL'!X$6:X$546,'BM MORRO DA CRUZ - VERTICAL'!$O$6:$O$546,'BM MORRO DA CRUZ'!$K77),0)</f>
        <v>0</v>
      </c>
      <c r="U77" s="63">
        <f t="shared" si="48"/>
        <v>0</v>
      </c>
      <c r="V77" s="61">
        <f>IFERROR(SUMIFS('BM MORRO DA CRUZ - VERTICAL'!Z$6:Z$546,'BM MORRO DA CRUZ - VERTICAL'!$O$6:$O$546,'BM MORRO DA CRUZ'!$K77),0)</f>
        <v>0</v>
      </c>
      <c r="W77" s="63">
        <f t="shared" si="49"/>
        <v>0</v>
      </c>
      <c r="X77" s="61">
        <f>IFERROR(SUMIFS('BM MORRO DA CRUZ - VERTICAL'!AB$6:AB$546,'BM MORRO DA CRUZ - VERTICAL'!$O$6:$O$546,'BM MORRO DA CRUZ'!$K77),0)</f>
        <v>0</v>
      </c>
      <c r="Y77" s="63">
        <f t="shared" si="50"/>
        <v>0</v>
      </c>
      <c r="Z77" s="61">
        <f>IFERROR(SUMIFS('BM MORRO DA CRUZ - VERTICAL'!AD$6:AD$546,'BM MORRO DA CRUZ - VERTICAL'!$O$6:$O$546,'BM MORRO DA CRUZ'!$K77),0)</f>
        <v>0</v>
      </c>
      <c r="AA77" s="63">
        <f t="shared" si="51"/>
        <v>0</v>
      </c>
      <c r="AB77" s="61">
        <f>IFERROR(SUMIFS('BM MORRO DA CRUZ - VERTICAL'!AF$6:AF$546,'BM MORRO DA CRUZ - VERTICAL'!$O$6:$O$546,'BM MORRO DA CRUZ'!$K77),0)</f>
        <v>0</v>
      </c>
      <c r="AC77" s="63">
        <f t="shared" si="52"/>
        <v>0</v>
      </c>
      <c r="AD77" s="61">
        <f>IFERROR(SUMIFS('BM MORRO DA CRUZ - VERTICAL'!AH$6:AH$546,'BM MORRO DA CRUZ - VERTICAL'!$O$6:$O$546,'BM MORRO DA CRUZ'!$K77),0)</f>
        <v>0</v>
      </c>
      <c r="AE77" s="63">
        <f t="shared" si="53"/>
        <v>0</v>
      </c>
      <c r="AF77" s="61">
        <f>IFERROR(SUMIFS('BM MORRO DA CRUZ - VERTICAL'!AJ$6:AJ$546,'BM MORRO DA CRUZ - VERTICAL'!$O$6:$O$546,'BM MORRO DA CRUZ'!$K77),0)</f>
        <v>0</v>
      </c>
      <c r="AG77" s="63">
        <f t="shared" si="54"/>
        <v>0</v>
      </c>
      <c r="AH77" s="61">
        <f>IFERROR(SUMIFS('BM MORRO DA CRUZ - VERTICAL'!AL$6:AL$546,'BM MORRO DA CRUZ - VERTICAL'!$O$6:$O$546,'BM MORRO DA CRUZ'!$K77),0)</f>
        <v>0</v>
      </c>
      <c r="AI77" s="63">
        <f t="shared" si="55"/>
        <v>0</v>
      </c>
      <c r="AJ77" s="61">
        <f>IFERROR(SUMIFS('BM MORRO DA CRUZ - VERTICAL'!AN$6:AN$546,'BM MORRO DA CRUZ - VERTICAL'!$O$6:$O$546,'BM MORRO DA CRUZ'!$K77),0)</f>
        <v>0</v>
      </c>
      <c r="AK77" s="63">
        <f t="shared" si="56"/>
        <v>0</v>
      </c>
      <c r="AL77" s="61">
        <f>IFERROR(SUMIFS('BM MORRO DA CRUZ - VERTICAL'!AP$6:AP$546,'BM MORRO DA CRUZ - VERTICAL'!$O$6:$O$546,'BM MORRO DA CRUZ'!$K77),0)</f>
        <v>0</v>
      </c>
      <c r="AM77" s="63">
        <f t="shared" si="57"/>
        <v>0</v>
      </c>
      <c r="AN77" s="61">
        <f>IFERROR(SUMIFS('BM MORRO DA CRUZ - VERTICAL'!AR$6:AR$546,'BM MORRO DA CRUZ - VERTICAL'!$O$6:$O$546,'BM MORRO DA CRUZ'!$K77),0)</f>
        <v>0</v>
      </c>
      <c r="AO77" s="63">
        <f t="shared" si="58"/>
        <v>0</v>
      </c>
      <c r="AP77" s="61">
        <f>IFERROR(SUMIFS('BM MORRO DA CRUZ - VERTICAL'!AT$6:AT$546,'BM MORRO DA CRUZ - VERTICAL'!$O$6:$O$546,'BM MORRO DA CRUZ'!$K77),0)</f>
        <v>0</v>
      </c>
      <c r="AQ77" s="63">
        <f t="shared" si="59"/>
        <v>0</v>
      </c>
      <c r="AR77" s="61">
        <f>IFERROR(SUMIFS('BM MORRO DA CRUZ - VERTICAL'!AV$6:AV$546,'BM MORRO DA CRUZ - VERTICAL'!$O$6:$O$546,'BM MORRO DA CRUZ'!$K77),0)</f>
        <v>0</v>
      </c>
      <c r="AS77" s="63">
        <f t="shared" si="60"/>
        <v>0</v>
      </c>
      <c r="AT77" s="61">
        <f>IFERROR(SUMIFS('BM MORRO DA CRUZ - VERTICAL'!AX$6:AX$546,'BM MORRO DA CRUZ - VERTICAL'!$O$6:$O$546,'BM MORRO DA CRUZ'!$K77),0)</f>
        <v>0</v>
      </c>
      <c r="AU77" s="63">
        <f t="shared" si="61"/>
        <v>0</v>
      </c>
      <c r="AV77" s="61">
        <f>IFERROR(SUMIFS('BM MORRO DA CRUZ - VERTICAL'!AZ$6:AZ$546,'BM MORRO DA CRUZ - VERTICAL'!$O$6:$O$546,'BM MORRO DA CRUZ'!$K77),0)</f>
        <v>0</v>
      </c>
      <c r="AW77" s="63">
        <f t="shared" si="62"/>
        <v>0</v>
      </c>
      <c r="AX77" s="61">
        <f>IFERROR(SUMIFS('BM MORRO DA CRUZ - VERTICAL'!BB$6:BB$546,'BM MORRO DA CRUZ - VERTICAL'!$O$6:$O$546,'BM MORRO DA CRUZ'!$K77),0)</f>
        <v>0</v>
      </c>
      <c r="AY77" s="63">
        <f t="shared" si="63"/>
        <v>0</v>
      </c>
      <c r="AZ77" s="61">
        <f>IFERROR(SUMIFS('BM MORRO DA CRUZ - VERTICAL'!BD$6:BD$546,'BM MORRO DA CRUZ - VERTICAL'!$O$6:$O$546,'BM MORRO DA CRUZ'!$K77),0)</f>
        <v>0</v>
      </c>
      <c r="BA77" s="63">
        <f t="shared" si="64"/>
        <v>0</v>
      </c>
      <c r="BB77" s="61">
        <f t="shared" si="65"/>
        <v>0</v>
      </c>
      <c r="BC77" s="63">
        <f t="shared" si="66"/>
        <v>0</v>
      </c>
      <c r="BD77" s="64">
        <f t="shared" si="67"/>
        <v>0</v>
      </c>
      <c r="BE77" s="65">
        <f t="shared" si="68"/>
        <v>1</v>
      </c>
      <c r="BF77" s="45"/>
    </row>
    <row r="78" spans="1:58" ht="26.25" customHeight="1" x14ac:dyDescent="0.45">
      <c r="A78" s="56" t="s">
        <v>328</v>
      </c>
      <c r="B78" s="506" t="s">
        <v>322</v>
      </c>
      <c r="C78" s="507" t="s">
        <v>111</v>
      </c>
      <c r="D78" s="507" t="s">
        <v>224</v>
      </c>
      <c r="E78" s="507" t="s">
        <v>302</v>
      </c>
      <c r="F78" s="507" t="s">
        <v>273</v>
      </c>
      <c r="G78" s="507">
        <v>280</v>
      </c>
      <c r="H78" s="508" t="s">
        <v>267</v>
      </c>
      <c r="I78" s="507" t="s">
        <v>114</v>
      </c>
      <c r="J78" s="508" t="s">
        <v>267</v>
      </c>
      <c r="K78" s="57" t="s">
        <v>329</v>
      </c>
      <c r="L78" s="58" t="s">
        <v>21</v>
      </c>
      <c r="M78" s="59" t="s">
        <v>330</v>
      </c>
      <c r="N78" s="60" t="s">
        <v>71</v>
      </c>
      <c r="O78" s="61">
        <v>1</v>
      </c>
      <c r="P78" s="62">
        <v>3807.31</v>
      </c>
      <c r="Q78" s="63">
        <f t="shared" si="46"/>
        <v>3807.31</v>
      </c>
      <c r="R78" s="61">
        <f>IFERROR(SUMIFS('BM MORRO DA CRUZ - VERTICAL'!V$6:V$546,'BM MORRO DA CRUZ - VERTICAL'!$O$6:$O$546,'BM MORRO DA CRUZ'!$K78),0)</f>
        <v>0</v>
      </c>
      <c r="S78" s="63">
        <f t="shared" si="47"/>
        <v>0</v>
      </c>
      <c r="T78" s="61">
        <f>IFERROR(SUMIFS('BM MORRO DA CRUZ - VERTICAL'!X$6:X$546,'BM MORRO DA CRUZ - VERTICAL'!$O$6:$O$546,'BM MORRO DA CRUZ'!$K78),0)</f>
        <v>0</v>
      </c>
      <c r="U78" s="63">
        <f t="shared" si="48"/>
        <v>0</v>
      </c>
      <c r="V78" s="61">
        <f>IFERROR(SUMIFS('BM MORRO DA CRUZ - VERTICAL'!Z$6:Z$546,'BM MORRO DA CRUZ - VERTICAL'!$O$6:$O$546,'BM MORRO DA CRUZ'!$K78),0)</f>
        <v>0</v>
      </c>
      <c r="W78" s="63">
        <f t="shared" si="49"/>
        <v>0</v>
      </c>
      <c r="X78" s="61">
        <f>IFERROR(SUMIFS('BM MORRO DA CRUZ - VERTICAL'!AB$6:AB$546,'BM MORRO DA CRUZ - VERTICAL'!$O$6:$O$546,'BM MORRO DA CRUZ'!$K78),0)</f>
        <v>0</v>
      </c>
      <c r="Y78" s="63">
        <f t="shared" si="50"/>
        <v>0</v>
      </c>
      <c r="Z78" s="61">
        <f>IFERROR(SUMIFS('BM MORRO DA CRUZ - VERTICAL'!AD$6:AD$546,'BM MORRO DA CRUZ - VERTICAL'!$O$6:$O$546,'BM MORRO DA CRUZ'!$K78),0)</f>
        <v>0</v>
      </c>
      <c r="AA78" s="63">
        <f t="shared" si="51"/>
        <v>0</v>
      </c>
      <c r="AB78" s="61">
        <f>IFERROR(SUMIFS('BM MORRO DA CRUZ - VERTICAL'!AF$6:AF$546,'BM MORRO DA CRUZ - VERTICAL'!$O$6:$O$546,'BM MORRO DA CRUZ'!$K78),0)</f>
        <v>0</v>
      </c>
      <c r="AC78" s="63">
        <f t="shared" si="52"/>
        <v>0</v>
      </c>
      <c r="AD78" s="61">
        <f>IFERROR(SUMIFS('BM MORRO DA CRUZ - VERTICAL'!AH$6:AH$546,'BM MORRO DA CRUZ - VERTICAL'!$O$6:$O$546,'BM MORRO DA CRUZ'!$K78),0)</f>
        <v>0</v>
      </c>
      <c r="AE78" s="63">
        <f t="shared" si="53"/>
        <v>0</v>
      </c>
      <c r="AF78" s="61">
        <f>IFERROR(SUMIFS('BM MORRO DA CRUZ - VERTICAL'!AJ$6:AJ$546,'BM MORRO DA CRUZ - VERTICAL'!$O$6:$O$546,'BM MORRO DA CRUZ'!$K78),0)</f>
        <v>0</v>
      </c>
      <c r="AG78" s="63">
        <f t="shared" si="54"/>
        <v>0</v>
      </c>
      <c r="AH78" s="61">
        <f>IFERROR(SUMIFS('BM MORRO DA CRUZ - VERTICAL'!AL$6:AL$546,'BM MORRO DA CRUZ - VERTICAL'!$O$6:$O$546,'BM MORRO DA CRUZ'!$K78),0)</f>
        <v>0</v>
      </c>
      <c r="AI78" s="63">
        <f t="shared" si="55"/>
        <v>0</v>
      </c>
      <c r="AJ78" s="61">
        <f>IFERROR(SUMIFS('BM MORRO DA CRUZ - VERTICAL'!AN$6:AN$546,'BM MORRO DA CRUZ - VERTICAL'!$O$6:$O$546,'BM MORRO DA CRUZ'!$K78),0)</f>
        <v>0</v>
      </c>
      <c r="AK78" s="63">
        <f t="shared" si="56"/>
        <v>0</v>
      </c>
      <c r="AL78" s="61">
        <f>IFERROR(SUMIFS('BM MORRO DA CRUZ - VERTICAL'!AP$6:AP$546,'BM MORRO DA CRUZ - VERTICAL'!$O$6:$O$546,'BM MORRO DA CRUZ'!$K78),0)</f>
        <v>0</v>
      </c>
      <c r="AM78" s="63">
        <f t="shared" si="57"/>
        <v>0</v>
      </c>
      <c r="AN78" s="61">
        <f>IFERROR(SUMIFS('BM MORRO DA CRUZ - VERTICAL'!AR$6:AR$546,'BM MORRO DA CRUZ - VERTICAL'!$O$6:$O$546,'BM MORRO DA CRUZ'!$K78),0)</f>
        <v>0</v>
      </c>
      <c r="AO78" s="63">
        <f t="shared" si="58"/>
        <v>0</v>
      </c>
      <c r="AP78" s="61">
        <f>IFERROR(SUMIFS('BM MORRO DA CRUZ - VERTICAL'!AT$6:AT$546,'BM MORRO DA CRUZ - VERTICAL'!$O$6:$O$546,'BM MORRO DA CRUZ'!$K78),0)</f>
        <v>0</v>
      </c>
      <c r="AQ78" s="63">
        <f t="shared" si="59"/>
        <v>0</v>
      </c>
      <c r="AR78" s="61">
        <f>IFERROR(SUMIFS('BM MORRO DA CRUZ - VERTICAL'!AV$6:AV$546,'BM MORRO DA CRUZ - VERTICAL'!$O$6:$O$546,'BM MORRO DA CRUZ'!$K78),0)</f>
        <v>0</v>
      </c>
      <c r="AS78" s="63">
        <f t="shared" si="60"/>
        <v>0</v>
      </c>
      <c r="AT78" s="61">
        <f>IFERROR(SUMIFS('BM MORRO DA CRUZ - VERTICAL'!AX$6:AX$546,'BM MORRO DA CRUZ - VERTICAL'!$O$6:$O$546,'BM MORRO DA CRUZ'!$K78),0)</f>
        <v>0</v>
      </c>
      <c r="AU78" s="63">
        <f t="shared" si="61"/>
        <v>0</v>
      </c>
      <c r="AV78" s="61">
        <f>IFERROR(SUMIFS('BM MORRO DA CRUZ - VERTICAL'!AZ$6:AZ$546,'BM MORRO DA CRUZ - VERTICAL'!$O$6:$O$546,'BM MORRO DA CRUZ'!$K78),0)</f>
        <v>0</v>
      </c>
      <c r="AW78" s="63">
        <f t="shared" si="62"/>
        <v>0</v>
      </c>
      <c r="AX78" s="61">
        <f>IFERROR(SUMIFS('BM MORRO DA CRUZ - VERTICAL'!BB$6:BB$546,'BM MORRO DA CRUZ - VERTICAL'!$O$6:$O$546,'BM MORRO DA CRUZ'!$K78),0)</f>
        <v>0</v>
      </c>
      <c r="AY78" s="63">
        <f t="shared" si="63"/>
        <v>0</v>
      </c>
      <c r="AZ78" s="61">
        <f>IFERROR(SUMIFS('BM MORRO DA CRUZ - VERTICAL'!BD$6:BD$546,'BM MORRO DA CRUZ - VERTICAL'!$O$6:$O$546,'BM MORRO DA CRUZ'!$K78),0)</f>
        <v>0</v>
      </c>
      <c r="BA78" s="63">
        <f t="shared" si="64"/>
        <v>0</v>
      </c>
      <c r="BB78" s="61">
        <f t="shared" si="65"/>
        <v>0</v>
      </c>
      <c r="BC78" s="63">
        <f t="shared" si="66"/>
        <v>0</v>
      </c>
      <c r="BD78" s="64">
        <f t="shared" si="67"/>
        <v>0</v>
      </c>
      <c r="BE78" s="65">
        <f t="shared" si="68"/>
        <v>1</v>
      </c>
      <c r="BF78" s="45"/>
    </row>
    <row r="79" spans="1:58" ht="26.25" customHeight="1" x14ac:dyDescent="0.45">
      <c r="A79" s="56" t="s">
        <v>331</v>
      </c>
      <c r="B79" s="506" t="s">
        <v>322</v>
      </c>
      <c r="C79" s="507" t="s">
        <v>111</v>
      </c>
      <c r="D79" s="507" t="s">
        <v>224</v>
      </c>
      <c r="E79" s="507" t="s">
        <v>302</v>
      </c>
      <c r="F79" s="507" t="s">
        <v>273</v>
      </c>
      <c r="G79" s="507">
        <v>315</v>
      </c>
      <c r="H79" s="508" t="s">
        <v>267</v>
      </c>
      <c r="I79" s="507" t="s">
        <v>114</v>
      </c>
      <c r="J79" s="508" t="s">
        <v>267</v>
      </c>
      <c r="K79" s="57" t="s">
        <v>332</v>
      </c>
      <c r="L79" s="58" t="s">
        <v>21</v>
      </c>
      <c r="M79" s="59" t="s">
        <v>333</v>
      </c>
      <c r="N79" s="60" t="s">
        <v>71</v>
      </c>
      <c r="O79" s="61">
        <v>9</v>
      </c>
      <c r="P79" s="62">
        <v>4860.5</v>
      </c>
      <c r="Q79" s="63">
        <f t="shared" si="46"/>
        <v>43744.5</v>
      </c>
      <c r="R79" s="61">
        <f>IFERROR(SUMIFS('BM MORRO DA CRUZ - VERTICAL'!V$6:V$546,'BM MORRO DA CRUZ - VERTICAL'!$O$6:$O$546,'BM MORRO DA CRUZ'!$K79),0)</f>
        <v>0</v>
      </c>
      <c r="S79" s="63">
        <f t="shared" si="47"/>
        <v>0</v>
      </c>
      <c r="T79" s="61">
        <f>IFERROR(SUMIFS('BM MORRO DA CRUZ - VERTICAL'!X$6:X$546,'BM MORRO DA CRUZ - VERTICAL'!$O$6:$O$546,'BM MORRO DA CRUZ'!$K79),0)</f>
        <v>0</v>
      </c>
      <c r="U79" s="63">
        <f t="shared" si="48"/>
        <v>0</v>
      </c>
      <c r="V79" s="61">
        <f>IFERROR(SUMIFS('BM MORRO DA CRUZ - VERTICAL'!Z$6:Z$546,'BM MORRO DA CRUZ - VERTICAL'!$O$6:$O$546,'BM MORRO DA CRUZ'!$K79),0)</f>
        <v>0</v>
      </c>
      <c r="W79" s="63">
        <f t="shared" si="49"/>
        <v>0</v>
      </c>
      <c r="X79" s="61">
        <f>IFERROR(SUMIFS('BM MORRO DA CRUZ - VERTICAL'!AB$6:AB$546,'BM MORRO DA CRUZ - VERTICAL'!$O$6:$O$546,'BM MORRO DA CRUZ'!$K79),0)</f>
        <v>0</v>
      </c>
      <c r="Y79" s="63">
        <f t="shared" si="50"/>
        <v>0</v>
      </c>
      <c r="Z79" s="61">
        <f>IFERROR(SUMIFS('BM MORRO DA CRUZ - VERTICAL'!AD$6:AD$546,'BM MORRO DA CRUZ - VERTICAL'!$O$6:$O$546,'BM MORRO DA CRUZ'!$K79),0)</f>
        <v>0</v>
      </c>
      <c r="AA79" s="63">
        <f t="shared" si="51"/>
        <v>0</v>
      </c>
      <c r="AB79" s="61">
        <f>IFERROR(SUMIFS('BM MORRO DA CRUZ - VERTICAL'!AF$6:AF$546,'BM MORRO DA CRUZ - VERTICAL'!$O$6:$O$546,'BM MORRO DA CRUZ'!$K79),0)</f>
        <v>0</v>
      </c>
      <c r="AC79" s="63">
        <f t="shared" si="52"/>
        <v>0</v>
      </c>
      <c r="AD79" s="61">
        <f>IFERROR(SUMIFS('BM MORRO DA CRUZ - VERTICAL'!AH$6:AH$546,'BM MORRO DA CRUZ - VERTICAL'!$O$6:$O$546,'BM MORRO DA CRUZ'!$K79),0)</f>
        <v>0</v>
      </c>
      <c r="AE79" s="63">
        <f t="shared" si="53"/>
        <v>0</v>
      </c>
      <c r="AF79" s="61">
        <f>IFERROR(SUMIFS('BM MORRO DA CRUZ - VERTICAL'!AJ$6:AJ$546,'BM MORRO DA CRUZ - VERTICAL'!$O$6:$O$546,'BM MORRO DA CRUZ'!$K79),0)</f>
        <v>0</v>
      </c>
      <c r="AG79" s="63">
        <f t="shared" si="54"/>
        <v>0</v>
      </c>
      <c r="AH79" s="61">
        <f>IFERROR(SUMIFS('BM MORRO DA CRUZ - VERTICAL'!AL$6:AL$546,'BM MORRO DA CRUZ - VERTICAL'!$O$6:$O$546,'BM MORRO DA CRUZ'!$K79),0)</f>
        <v>0</v>
      </c>
      <c r="AI79" s="63">
        <f t="shared" si="55"/>
        <v>0</v>
      </c>
      <c r="AJ79" s="61">
        <f>IFERROR(SUMIFS('BM MORRO DA CRUZ - VERTICAL'!AN$6:AN$546,'BM MORRO DA CRUZ - VERTICAL'!$O$6:$O$546,'BM MORRO DA CRUZ'!$K79),0)</f>
        <v>0</v>
      </c>
      <c r="AK79" s="63">
        <f t="shared" si="56"/>
        <v>0</v>
      </c>
      <c r="AL79" s="61">
        <f>IFERROR(SUMIFS('BM MORRO DA CRUZ - VERTICAL'!AP$6:AP$546,'BM MORRO DA CRUZ - VERTICAL'!$O$6:$O$546,'BM MORRO DA CRUZ'!$K79),0)</f>
        <v>0</v>
      </c>
      <c r="AM79" s="63">
        <f t="shared" si="57"/>
        <v>0</v>
      </c>
      <c r="AN79" s="61">
        <f>IFERROR(SUMIFS('BM MORRO DA CRUZ - VERTICAL'!AR$6:AR$546,'BM MORRO DA CRUZ - VERTICAL'!$O$6:$O$546,'BM MORRO DA CRUZ'!$K79),0)</f>
        <v>0</v>
      </c>
      <c r="AO79" s="63">
        <f t="shared" si="58"/>
        <v>0</v>
      </c>
      <c r="AP79" s="61">
        <f>IFERROR(SUMIFS('BM MORRO DA CRUZ - VERTICAL'!AT$6:AT$546,'BM MORRO DA CRUZ - VERTICAL'!$O$6:$O$546,'BM MORRO DA CRUZ'!$K79),0)</f>
        <v>0</v>
      </c>
      <c r="AQ79" s="63">
        <f t="shared" si="59"/>
        <v>0</v>
      </c>
      <c r="AR79" s="61">
        <f>IFERROR(SUMIFS('BM MORRO DA CRUZ - VERTICAL'!AV$6:AV$546,'BM MORRO DA CRUZ - VERTICAL'!$O$6:$O$546,'BM MORRO DA CRUZ'!$K79),0)</f>
        <v>0</v>
      </c>
      <c r="AS79" s="63">
        <f t="shared" si="60"/>
        <v>0</v>
      </c>
      <c r="AT79" s="61">
        <f>IFERROR(SUMIFS('BM MORRO DA CRUZ - VERTICAL'!AX$6:AX$546,'BM MORRO DA CRUZ - VERTICAL'!$O$6:$O$546,'BM MORRO DA CRUZ'!$K79),0)</f>
        <v>0</v>
      </c>
      <c r="AU79" s="63">
        <f t="shared" si="61"/>
        <v>0</v>
      </c>
      <c r="AV79" s="61">
        <f>IFERROR(SUMIFS('BM MORRO DA CRUZ - VERTICAL'!AZ$6:AZ$546,'BM MORRO DA CRUZ - VERTICAL'!$O$6:$O$546,'BM MORRO DA CRUZ'!$K79),0)</f>
        <v>0</v>
      </c>
      <c r="AW79" s="63">
        <f t="shared" si="62"/>
        <v>0</v>
      </c>
      <c r="AX79" s="61">
        <f>IFERROR(SUMIFS('BM MORRO DA CRUZ - VERTICAL'!BB$6:BB$546,'BM MORRO DA CRUZ - VERTICAL'!$O$6:$O$546,'BM MORRO DA CRUZ'!$K79),0)</f>
        <v>0</v>
      </c>
      <c r="AY79" s="63">
        <f t="shared" si="63"/>
        <v>0</v>
      </c>
      <c r="AZ79" s="61">
        <f>IFERROR(SUMIFS('BM MORRO DA CRUZ - VERTICAL'!BD$6:BD$546,'BM MORRO DA CRUZ - VERTICAL'!$O$6:$O$546,'BM MORRO DA CRUZ'!$K79),0)</f>
        <v>0</v>
      </c>
      <c r="BA79" s="63">
        <f t="shared" si="64"/>
        <v>0</v>
      </c>
      <c r="BB79" s="61">
        <f t="shared" si="65"/>
        <v>0</v>
      </c>
      <c r="BC79" s="63">
        <f t="shared" si="66"/>
        <v>0</v>
      </c>
      <c r="BD79" s="64">
        <f t="shared" si="67"/>
        <v>0</v>
      </c>
      <c r="BE79" s="65">
        <f t="shared" si="68"/>
        <v>1</v>
      </c>
      <c r="BF79" s="45"/>
    </row>
    <row r="80" spans="1:58" ht="26.25" customHeight="1" x14ac:dyDescent="0.45">
      <c r="A80" s="56" t="s">
        <v>334</v>
      </c>
      <c r="B80" s="506" t="s">
        <v>264</v>
      </c>
      <c r="C80" s="507" t="s">
        <v>147</v>
      </c>
      <c r="D80" s="507" t="s">
        <v>224</v>
      </c>
      <c r="E80" s="507" t="s">
        <v>265</v>
      </c>
      <c r="F80" s="507" t="s">
        <v>266</v>
      </c>
      <c r="G80" s="507">
        <v>160</v>
      </c>
      <c r="H80" s="508" t="s">
        <v>267</v>
      </c>
      <c r="I80" s="507" t="s">
        <v>114</v>
      </c>
      <c r="J80" s="508" t="s">
        <v>267</v>
      </c>
      <c r="K80" s="57" t="s">
        <v>335</v>
      </c>
      <c r="L80" s="58" t="s">
        <v>21</v>
      </c>
      <c r="M80" s="59" t="s">
        <v>336</v>
      </c>
      <c r="N80" s="60" t="s">
        <v>71</v>
      </c>
      <c r="O80" s="61">
        <v>284</v>
      </c>
      <c r="P80" s="62">
        <v>132.44999999999999</v>
      </c>
      <c r="Q80" s="63">
        <f t="shared" si="46"/>
        <v>37615.800000000003</v>
      </c>
      <c r="R80" s="61">
        <f>IFERROR(SUMIFS('BM MORRO DA CRUZ - VERTICAL'!V$6:V$546,'BM MORRO DA CRUZ - VERTICAL'!$O$6:$O$546,'BM MORRO DA CRUZ'!$K80),0)</f>
        <v>0</v>
      </c>
      <c r="S80" s="63">
        <f t="shared" si="47"/>
        <v>0</v>
      </c>
      <c r="T80" s="61">
        <f>IFERROR(SUMIFS('BM MORRO DA CRUZ - VERTICAL'!X$6:X$546,'BM MORRO DA CRUZ - VERTICAL'!$O$6:$O$546,'BM MORRO DA CRUZ'!$K80),0)</f>
        <v>0</v>
      </c>
      <c r="U80" s="63">
        <f t="shared" si="48"/>
        <v>0</v>
      </c>
      <c r="V80" s="61">
        <f>IFERROR(SUMIFS('BM MORRO DA CRUZ - VERTICAL'!Z$6:Z$546,'BM MORRO DA CRUZ - VERTICAL'!$O$6:$O$546,'BM MORRO DA CRUZ'!$K80),0)</f>
        <v>0</v>
      </c>
      <c r="W80" s="63">
        <f t="shared" si="49"/>
        <v>0</v>
      </c>
      <c r="X80" s="61">
        <f>IFERROR(SUMIFS('BM MORRO DA CRUZ - VERTICAL'!AB$6:AB$546,'BM MORRO DA CRUZ - VERTICAL'!$O$6:$O$546,'BM MORRO DA CRUZ'!$K80),0)</f>
        <v>0</v>
      </c>
      <c r="Y80" s="63">
        <f t="shared" si="50"/>
        <v>0</v>
      </c>
      <c r="Z80" s="61">
        <f>IFERROR(SUMIFS('BM MORRO DA CRUZ - VERTICAL'!AD$6:AD$546,'BM MORRO DA CRUZ - VERTICAL'!$O$6:$O$546,'BM MORRO DA CRUZ'!$K80),0)</f>
        <v>0</v>
      </c>
      <c r="AA80" s="63">
        <f t="shared" si="51"/>
        <v>0</v>
      </c>
      <c r="AB80" s="61">
        <f>IFERROR(SUMIFS('BM MORRO DA CRUZ - VERTICAL'!AF$6:AF$546,'BM MORRO DA CRUZ - VERTICAL'!$O$6:$O$546,'BM MORRO DA CRUZ'!$K80),0)</f>
        <v>0</v>
      </c>
      <c r="AC80" s="63">
        <f t="shared" si="52"/>
        <v>0</v>
      </c>
      <c r="AD80" s="61">
        <f>IFERROR(SUMIFS('BM MORRO DA CRUZ - VERTICAL'!AH$6:AH$546,'BM MORRO DA CRUZ - VERTICAL'!$O$6:$O$546,'BM MORRO DA CRUZ'!$K80),0)</f>
        <v>0</v>
      </c>
      <c r="AE80" s="63">
        <f t="shared" si="53"/>
        <v>0</v>
      </c>
      <c r="AF80" s="61">
        <f>IFERROR(SUMIFS('BM MORRO DA CRUZ - VERTICAL'!AJ$6:AJ$546,'BM MORRO DA CRUZ - VERTICAL'!$O$6:$O$546,'BM MORRO DA CRUZ'!$K80),0)</f>
        <v>0</v>
      </c>
      <c r="AG80" s="63">
        <f t="shared" si="54"/>
        <v>0</v>
      </c>
      <c r="AH80" s="61">
        <f>IFERROR(SUMIFS('BM MORRO DA CRUZ - VERTICAL'!AL$6:AL$546,'BM MORRO DA CRUZ - VERTICAL'!$O$6:$O$546,'BM MORRO DA CRUZ'!$K80),0)</f>
        <v>0</v>
      </c>
      <c r="AI80" s="63">
        <f t="shared" si="55"/>
        <v>0</v>
      </c>
      <c r="AJ80" s="61">
        <f>IFERROR(SUMIFS('BM MORRO DA CRUZ - VERTICAL'!AN$6:AN$546,'BM MORRO DA CRUZ - VERTICAL'!$O$6:$O$546,'BM MORRO DA CRUZ'!$K80),0)</f>
        <v>0</v>
      </c>
      <c r="AK80" s="63">
        <f t="shared" si="56"/>
        <v>0</v>
      </c>
      <c r="AL80" s="61">
        <f>IFERROR(SUMIFS('BM MORRO DA CRUZ - VERTICAL'!AP$6:AP$546,'BM MORRO DA CRUZ - VERTICAL'!$O$6:$O$546,'BM MORRO DA CRUZ'!$K80),0)</f>
        <v>0</v>
      </c>
      <c r="AM80" s="63">
        <f t="shared" si="57"/>
        <v>0</v>
      </c>
      <c r="AN80" s="61">
        <f>IFERROR(SUMIFS('BM MORRO DA CRUZ - VERTICAL'!AR$6:AR$546,'BM MORRO DA CRUZ - VERTICAL'!$O$6:$O$546,'BM MORRO DA CRUZ'!$K80),0)</f>
        <v>0</v>
      </c>
      <c r="AO80" s="63">
        <f t="shared" si="58"/>
        <v>0</v>
      </c>
      <c r="AP80" s="61">
        <f>IFERROR(SUMIFS('BM MORRO DA CRUZ - VERTICAL'!AT$6:AT$546,'BM MORRO DA CRUZ - VERTICAL'!$O$6:$O$546,'BM MORRO DA CRUZ'!$K80),0)</f>
        <v>0</v>
      </c>
      <c r="AQ80" s="63">
        <f t="shared" si="59"/>
        <v>0</v>
      </c>
      <c r="AR80" s="61">
        <f>IFERROR(SUMIFS('BM MORRO DA CRUZ - VERTICAL'!AV$6:AV$546,'BM MORRO DA CRUZ - VERTICAL'!$O$6:$O$546,'BM MORRO DA CRUZ'!$K80),0)</f>
        <v>0</v>
      </c>
      <c r="AS80" s="63">
        <f t="shared" si="60"/>
        <v>0</v>
      </c>
      <c r="AT80" s="61">
        <f>IFERROR(SUMIFS('BM MORRO DA CRUZ - VERTICAL'!AX$6:AX$546,'BM MORRO DA CRUZ - VERTICAL'!$O$6:$O$546,'BM MORRO DA CRUZ'!$K80),0)</f>
        <v>0</v>
      </c>
      <c r="AU80" s="63">
        <f t="shared" si="61"/>
        <v>0</v>
      </c>
      <c r="AV80" s="61">
        <f>IFERROR(SUMIFS('BM MORRO DA CRUZ - VERTICAL'!AZ$6:AZ$546,'BM MORRO DA CRUZ - VERTICAL'!$O$6:$O$546,'BM MORRO DA CRUZ'!$K80),0)</f>
        <v>0</v>
      </c>
      <c r="AW80" s="63">
        <f t="shared" si="62"/>
        <v>0</v>
      </c>
      <c r="AX80" s="61">
        <f>IFERROR(SUMIFS('BM MORRO DA CRUZ - VERTICAL'!BB$6:BB$546,'BM MORRO DA CRUZ - VERTICAL'!$O$6:$O$546,'BM MORRO DA CRUZ'!$K80),0)</f>
        <v>0</v>
      </c>
      <c r="AY80" s="63">
        <f t="shared" si="63"/>
        <v>0</v>
      </c>
      <c r="AZ80" s="61">
        <f>IFERROR(SUMIFS('BM MORRO DA CRUZ - VERTICAL'!BD$6:BD$546,'BM MORRO DA CRUZ - VERTICAL'!$O$6:$O$546,'BM MORRO DA CRUZ'!$K80),0)</f>
        <v>0</v>
      </c>
      <c r="BA80" s="63">
        <f t="shared" si="64"/>
        <v>0</v>
      </c>
      <c r="BB80" s="61">
        <f t="shared" si="65"/>
        <v>0</v>
      </c>
      <c r="BC80" s="63">
        <f t="shared" si="66"/>
        <v>0</v>
      </c>
      <c r="BD80" s="64">
        <f t="shared" si="67"/>
        <v>0</v>
      </c>
      <c r="BE80" s="65">
        <f t="shared" si="68"/>
        <v>1</v>
      </c>
      <c r="BF80" s="45"/>
    </row>
    <row r="81" spans="1:58" ht="26.25" customHeight="1" x14ac:dyDescent="0.45">
      <c r="A81" s="56" t="s">
        <v>337</v>
      </c>
      <c r="B81" s="506" t="s">
        <v>264</v>
      </c>
      <c r="C81" s="507" t="s">
        <v>147</v>
      </c>
      <c r="D81" s="507" t="s">
        <v>224</v>
      </c>
      <c r="E81" s="507" t="s">
        <v>265</v>
      </c>
      <c r="F81" s="507" t="s">
        <v>266</v>
      </c>
      <c r="G81" s="507">
        <v>200</v>
      </c>
      <c r="H81" s="508" t="s">
        <v>267</v>
      </c>
      <c r="I81" s="507" t="s">
        <v>114</v>
      </c>
      <c r="J81" s="508" t="s">
        <v>267</v>
      </c>
      <c r="K81" s="57" t="s">
        <v>338</v>
      </c>
      <c r="L81" s="58" t="s">
        <v>21</v>
      </c>
      <c r="M81" s="59" t="s">
        <v>339</v>
      </c>
      <c r="N81" s="60" t="s">
        <v>71</v>
      </c>
      <c r="O81" s="61">
        <v>2</v>
      </c>
      <c r="P81" s="62">
        <v>224.47</v>
      </c>
      <c r="Q81" s="63">
        <f t="shared" si="46"/>
        <v>448.94</v>
      </c>
      <c r="R81" s="61">
        <f>IFERROR(SUMIFS('BM MORRO DA CRUZ - VERTICAL'!V$6:V$546,'BM MORRO DA CRUZ - VERTICAL'!$O$6:$O$546,'BM MORRO DA CRUZ'!$K81),0)</f>
        <v>0</v>
      </c>
      <c r="S81" s="63">
        <f t="shared" si="47"/>
        <v>0</v>
      </c>
      <c r="T81" s="61">
        <f>IFERROR(SUMIFS('BM MORRO DA CRUZ - VERTICAL'!X$6:X$546,'BM MORRO DA CRUZ - VERTICAL'!$O$6:$O$546,'BM MORRO DA CRUZ'!$K81),0)</f>
        <v>0</v>
      </c>
      <c r="U81" s="63">
        <f t="shared" si="48"/>
        <v>0</v>
      </c>
      <c r="V81" s="61">
        <f>IFERROR(SUMIFS('BM MORRO DA CRUZ - VERTICAL'!Z$6:Z$546,'BM MORRO DA CRUZ - VERTICAL'!$O$6:$O$546,'BM MORRO DA CRUZ'!$K81),0)</f>
        <v>0</v>
      </c>
      <c r="W81" s="63">
        <f t="shared" si="49"/>
        <v>0</v>
      </c>
      <c r="X81" s="61">
        <f>IFERROR(SUMIFS('BM MORRO DA CRUZ - VERTICAL'!AB$6:AB$546,'BM MORRO DA CRUZ - VERTICAL'!$O$6:$O$546,'BM MORRO DA CRUZ'!$K81),0)</f>
        <v>0</v>
      </c>
      <c r="Y81" s="63">
        <f t="shared" si="50"/>
        <v>0</v>
      </c>
      <c r="Z81" s="61">
        <f>IFERROR(SUMIFS('BM MORRO DA CRUZ - VERTICAL'!AD$6:AD$546,'BM MORRO DA CRUZ - VERTICAL'!$O$6:$O$546,'BM MORRO DA CRUZ'!$K81),0)</f>
        <v>0</v>
      </c>
      <c r="AA81" s="63">
        <f t="shared" si="51"/>
        <v>0</v>
      </c>
      <c r="AB81" s="61">
        <f>IFERROR(SUMIFS('BM MORRO DA CRUZ - VERTICAL'!AF$6:AF$546,'BM MORRO DA CRUZ - VERTICAL'!$O$6:$O$546,'BM MORRO DA CRUZ'!$K81),0)</f>
        <v>0</v>
      </c>
      <c r="AC81" s="63">
        <f t="shared" si="52"/>
        <v>0</v>
      </c>
      <c r="AD81" s="61">
        <f>IFERROR(SUMIFS('BM MORRO DA CRUZ - VERTICAL'!AH$6:AH$546,'BM MORRO DA CRUZ - VERTICAL'!$O$6:$O$546,'BM MORRO DA CRUZ'!$K81),0)</f>
        <v>0</v>
      </c>
      <c r="AE81" s="63">
        <f t="shared" si="53"/>
        <v>0</v>
      </c>
      <c r="AF81" s="61">
        <f>IFERROR(SUMIFS('BM MORRO DA CRUZ - VERTICAL'!AJ$6:AJ$546,'BM MORRO DA CRUZ - VERTICAL'!$O$6:$O$546,'BM MORRO DA CRUZ'!$K81),0)</f>
        <v>0</v>
      </c>
      <c r="AG81" s="63">
        <f t="shared" si="54"/>
        <v>0</v>
      </c>
      <c r="AH81" s="61">
        <f>IFERROR(SUMIFS('BM MORRO DA CRUZ - VERTICAL'!AL$6:AL$546,'BM MORRO DA CRUZ - VERTICAL'!$O$6:$O$546,'BM MORRO DA CRUZ'!$K81),0)</f>
        <v>0</v>
      </c>
      <c r="AI81" s="63">
        <f t="shared" si="55"/>
        <v>0</v>
      </c>
      <c r="AJ81" s="61">
        <f>IFERROR(SUMIFS('BM MORRO DA CRUZ - VERTICAL'!AN$6:AN$546,'BM MORRO DA CRUZ - VERTICAL'!$O$6:$O$546,'BM MORRO DA CRUZ'!$K81),0)</f>
        <v>0</v>
      </c>
      <c r="AK81" s="63">
        <f t="shared" si="56"/>
        <v>0</v>
      </c>
      <c r="AL81" s="61">
        <f>IFERROR(SUMIFS('BM MORRO DA CRUZ - VERTICAL'!AP$6:AP$546,'BM MORRO DA CRUZ - VERTICAL'!$O$6:$O$546,'BM MORRO DA CRUZ'!$K81),0)</f>
        <v>0</v>
      </c>
      <c r="AM81" s="63">
        <f t="shared" si="57"/>
        <v>0</v>
      </c>
      <c r="AN81" s="61">
        <f>IFERROR(SUMIFS('BM MORRO DA CRUZ - VERTICAL'!AR$6:AR$546,'BM MORRO DA CRUZ - VERTICAL'!$O$6:$O$546,'BM MORRO DA CRUZ'!$K81),0)</f>
        <v>0</v>
      </c>
      <c r="AO81" s="63">
        <f t="shared" si="58"/>
        <v>0</v>
      </c>
      <c r="AP81" s="61">
        <f>IFERROR(SUMIFS('BM MORRO DA CRUZ - VERTICAL'!AT$6:AT$546,'BM MORRO DA CRUZ - VERTICAL'!$O$6:$O$546,'BM MORRO DA CRUZ'!$K81),0)</f>
        <v>0</v>
      </c>
      <c r="AQ81" s="63">
        <f t="shared" si="59"/>
        <v>0</v>
      </c>
      <c r="AR81" s="61">
        <f>IFERROR(SUMIFS('BM MORRO DA CRUZ - VERTICAL'!AV$6:AV$546,'BM MORRO DA CRUZ - VERTICAL'!$O$6:$O$546,'BM MORRO DA CRUZ'!$K81),0)</f>
        <v>0</v>
      </c>
      <c r="AS81" s="63">
        <f t="shared" si="60"/>
        <v>0</v>
      </c>
      <c r="AT81" s="61">
        <f>IFERROR(SUMIFS('BM MORRO DA CRUZ - VERTICAL'!AX$6:AX$546,'BM MORRO DA CRUZ - VERTICAL'!$O$6:$O$546,'BM MORRO DA CRUZ'!$K81),0)</f>
        <v>0</v>
      </c>
      <c r="AU81" s="63">
        <f t="shared" si="61"/>
        <v>0</v>
      </c>
      <c r="AV81" s="61">
        <f>IFERROR(SUMIFS('BM MORRO DA CRUZ - VERTICAL'!AZ$6:AZ$546,'BM MORRO DA CRUZ - VERTICAL'!$O$6:$O$546,'BM MORRO DA CRUZ'!$K81),0)</f>
        <v>0</v>
      </c>
      <c r="AW81" s="63">
        <f t="shared" si="62"/>
        <v>0</v>
      </c>
      <c r="AX81" s="61">
        <f>IFERROR(SUMIFS('BM MORRO DA CRUZ - VERTICAL'!BB$6:BB$546,'BM MORRO DA CRUZ - VERTICAL'!$O$6:$O$546,'BM MORRO DA CRUZ'!$K81),0)</f>
        <v>0</v>
      </c>
      <c r="AY81" s="63">
        <f t="shared" si="63"/>
        <v>0</v>
      </c>
      <c r="AZ81" s="61">
        <f>IFERROR(SUMIFS('BM MORRO DA CRUZ - VERTICAL'!BD$6:BD$546,'BM MORRO DA CRUZ - VERTICAL'!$O$6:$O$546,'BM MORRO DA CRUZ'!$K81),0)</f>
        <v>0</v>
      </c>
      <c r="BA81" s="63">
        <f t="shared" si="64"/>
        <v>0</v>
      </c>
      <c r="BB81" s="61">
        <f t="shared" si="65"/>
        <v>0</v>
      </c>
      <c r="BC81" s="63">
        <f t="shared" si="66"/>
        <v>0</v>
      </c>
      <c r="BD81" s="64">
        <f t="shared" si="67"/>
        <v>0</v>
      </c>
      <c r="BE81" s="65">
        <f t="shared" si="68"/>
        <v>1</v>
      </c>
      <c r="BF81" s="45"/>
    </row>
    <row r="82" spans="1:58" ht="26.25" customHeight="1" x14ac:dyDescent="0.45">
      <c r="A82" s="56" t="s">
        <v>340</v>
      </c>
      <c r="B82" s="506" t="s">
        <v>264</v>
      </c>
      <c r="C82" s="507" t="s">
        <v>147</v>
      </c>
      <c r="D82" s="507" t="s">
        <v>224</v>
      </c>
      <c r="E82" s="507" t="s">
        <v>265</v>
      </c>
      <c r="F82" s="507" t="s">
        <v>266</v>
      </c>
      <c r="G82" s="507">
        <v>225</v>
      </c>
      <c r="H82" s="508" t="s">
        <v>267</v>
      </c>
      <c r="I82" s="507" t="s">
        <v>114</v>
      </c>
      <c r="J82" s="508" t="s">
        <v>267</v>
      </c>
      <c r="K82" s="57" t="s">
        <v>341</v>
      </c>
      <c r="L82" s="58" t="s">
        <v>21</v>
      </c>
      <c r="M82" s="59" t="s">
        <v>342</v>
      </c>
      <c r="N82" s="60" t="s">
        <v>71</v>
      </c>
      <c r="O82" s="61">
        <v>102</v>
      </c>
      <c r="P82" s="62">
        <v>289.27</v>
      </c>
      <c r="Q82" s="63">
        <f t="shared" si="46"/>
        <v>29505.54</v>
      </c>
      <c r="R82" s="61">
        <f>IFERROR(SUMIFS('BM MORRO DA CRUZ - VERTICAL'!V$6:V$546,'BM MORRO DA CRUZ - VERTICAL'!$O$6:$O$546,'BM MORRO DA CRUZ'!$K82),0)</f>
        <v>0</v>
      </c>
      <c r="S82" s="63">
        <f t="shared" si="47"/>
        <v>0</v>
      </c>
      <c r="T82" s="61">
        <f>IFERROR(SUMIFS('BM MORRO DA CRUZ - VERTICAL'!X$6:X$546,'BM MORRO DA CRUZ - VERTICAL'!$O$6:$O$546,'BM MORRO DA CRUZ'!$K82),0)</f>
        <v>0</v>
      </c>
      <c r="U82" s="63">
        <f t="shared" si="48"/>
        <v>0</v>
      </c>
      <c r="V82" s="61">
        <f>IFERROR(SUMIFS('BM MORRO DA CRUZ - VERTICAL'!Z$6:Z$546,'BM MORRO DA CRUZ - VERTICAL'!$O$6:$O$546,'BM MORRO DA CRUZ'!$K82),0)</f>
        <v>0</v>
      </c>
      <c r="W82" s="63">
        <f t="shared" si="49"/>
        <v>0</v>
      </c>
      <c r="X82" s="61">
        <f>IFERROR(SUMIFS('BM MORRO DA CRUZ - VERTICAL'!AB$6:AB$546,'BM MORRO DA CRUZ - VERTICAL'!$O$6:$O$546,'BM MORRO DA CRUZ'!$K82),0)</f>
        <v>0</v>
      </c>
      <c r="Y82" s="63">
        <f t="shared" si="50"/>
        <v>0</v>
      </c>
      <c r="Z82" s="61">
        <f>IFERROR(SUMIFS('BM MORRO DA CRUZ - VERTICAL'!AD$6:AD$546,'BM MORRO DA CRUZ - VERTICAL'!$O$6:$O$546,'BM MORRO DA CRUZ'!$K82),0)</f>
        <v>0</v>
      </c>
      <c r="AA82" s="63">
        <f t="shared" si="51"/>
        <v>0</v>
      </c>
      <c r="AB82" s="61">
        <f>IFERROR(SUMIFS('BM MORRO DA CRUZ - VERTICAL'!AF$6:AF$546,'BM MORRO DA CRUZ - VERTICAL'!$O$6:$O$546,'BM MORRO DA CRUZ'!$K82),0)</f>
        <v>0</v>
      </c>
      <c r="AC82" s="63">
        <f t="shared" si="52"/>
        <v>0</v>
      </c>
      <c r="AD82" s="61">
        <f>IFERROR(SUMIFS('BM MORRO DA CRUZ - VERTICAL'!AH$6:AH$546,'BM MORRO DA CRUZ - VERTICAL'!$O$6:$O$546,'BM MORRO DA CRUZ'!$K82),0)</f>
        <v>0</v>
      </c>
      <c r="AE82" s="63">
        <f t="shared" si="53"/>
        <v>0</v>
      </c>
      <c r="AF82" s="61">
        <f>IFERROR(SUMIFS('BM MORRO DA CRUZ - VERTICAL'!AJ$6:AJ$546,'BM MORRO DA CRUZ - VERTICAL'!$O$6:$O$546,'BM MORRO DA CRUZ'!$K82),0)</f>
        <v>0</v>
      </c>
      <c r="AG82" s="63">
        <f t="shared" si="54"/>
        <v>0</v>
      </c>
      <c r="AH82" s="61">
        <f>IFERROR(SUMIFS('BM MORRO DA CRUZ - VERTICAL'!AL$6:AL$546,'BM MORRO DA CRUZ - VERTICAL'!$O$6:$O$546,'BM MORRO DA CRUZ'!$K82),0)</f>
        <v>0</v>
      </c>
      <c r="AI82" s="63">
        <f t="shared" si="55"/>
        <v>0</v>
      </c>
      <c r="AJ82" s="61">
        <f>IFERROR(SUMIFS('BM MORRO DA CRUZ - VERTICAL'!AN$6:AN$546,'BM MORRO DA CRUZ - VERTICAL'!$O$6:$O$546,'BM MORRO DA CRUZ'!$K82),0)</f>
        <v>0</v>
      </c>
      <c r="AK82" s="63">
        <f t="shared" si="56"/>
        <v>0</v>
      </c>
      <c r="AL82" s="61">
        <f>IFERROR(SUMIFS('BM MORRO DA CRUZ - VERTICAL'!AP$6:AP$546,'BM MORRO DA CRUZ - VERTICAL'!$O$6:$O$546,'BM MORRO DA CRUZ'!$K82),0)</f>
        <v>0</v>
      </c>
      <c r="AM82" s="63">
        <f t="shared" si="57"/>
        <v>0</v>
      </c>
      <c r="AN82" s="61">
        <f>IFERROR(SUMIFS('BM MORRO DA CRUZ - VERTICAL'!AR$6:AR$546,'BM MORRO DA CRUZ - VERTICAL'!$O$6:$O$546,'BM MORRO DA CRUZ'!$K82),0)</f>
        <v>0</v>
      </c>
      <c r="AO82" s="63">
        <f t="shared" si="58"/>
        <v>0</v>
      </c>
      <c r="AP82" s="61">
        <f>IFERROR(SUMIFS('BM MORRO DA CRUZ - VERTICAL'!AT$6:AT$546,'BM MORRO DA CRUZ - VERTICAL'!$O$6:$O$546,'BM MORRO DA CRUZ'!$K82),0)</f>
        <v>0</v>
      </c>
      <c r="AQ82" s="63">
        <f t="shared" si="59"/>
        <v>0</v>
      </c>
      <c r="AR82" s="61">
        <f>IFERROR(SUMIFS('BM MORRO DA CRUZ - VERTICAL'!AV$6:AV$546,'BM MORRO DA CRUZ - VERTICAL'!$O$6:$O$546,'BM MORRO DA CRUZ'!$K82),0)</f>
        <v>0</v>
      </c>
      <c r="AS82" s="63">
        <f t="shared" si="60"/>
        <v>0</v>
      </c>
      <c r="AT82" s="61">
        <f>IFERROR(SUMIFS('BM MORRO DA CRUZ - VERTICAL'!AX$6:AX$546,'BM MORRO DA CRUZ - VERTICAL'!$O$6:$O$546,'BM MORRO DA CRUZ'!$K82),0)</f>
        <v>0</v>
      </c>
      <c r="AU82" s="63">
        <f t="shared" si="61"/>
        <v>0</v>
      </c>
      <c r="AV82" s="61">
        <f>IFERROR(SUMIFS('BM MORRO DA CRUZ - VERTICAL'!AZ$6:AZ$546,'BM MORRO DA CRUZ - VERTICAL'!$O$6:$O$546,'BM MORRO DA CRUZ'!$K82),0)</f>
        <v>0</v>
      </c>
      <c r="AW82" s="63">
        <f t="shared" si="62"/>
        <v>0</v>
      </c>
      <c r="AX82" s="61">
        <f>IFERROR(SUMIFS('BM MORRO DA CRUZ - VERTICAL'!BB$6:BB$546,'BM MORRO DA CRUZ - VERTICAL'!$O$6:$O$546,'BM MORRO DA CRUZ'!$K82),0)</f>
        <v>0</v>
      </c>
      <c r="AY82" s="63">
        <f t="shared" si="63"/>
        <v>0</v>
      </c>
      <c r="AZ82" s="61">
        <f>IFERROR(SUMIFS('BM MORRO DA CRUZ - VERTICAL'!BD$6:BD$546,'BM MORRO DA CRUZ - VERTICAL'!$O$6:$O$546,'BM MORRO DA CRUZ'!$K82),0)</f>
        <v>0</v>
      </c>
      <c r="BA82" s="63">
        <f t="shared" si="64"/>
        <v>0</v>
      </c>
      <c r="BB82" s="61">
        <f t="shared" si="65"/>
        <v>0</v>
      </c>
      <c r="BC82" s="63">
        <f t="shared" si="66"/>
        <v>0</v>
      </c>
      <c r="BD82" s="64">
        <f t="shared" si="67"/>
        <v>0</v>
      </c>
      <c r="BE82" s="65">
        <f t="shared" si="68"/>
        <v>1</v>
      </c>
      <c r="BF82" s="45"/>
    </row>
    <row r="83" spans="1:58" ht="26.25" customHeight="1" x14ac:dyDescent="0.45">
      <c r="A83" s="56" t="s">
        <v>343</v>
      </c>
      <c r="B83" s="506" t="s">
        <v>264</v>
      </c>
      <c r="C83" s="507" t="s">
        <v>147</v>
      </c>
      <c r="D83" s="507" t="s">
        <v>224</v>
      </c>
      <c r="E83" s="507" t="s">
        <v>265</v>
      </c>
      <c r="F83" s="507" t="s">
        <v>266</v>
      </c>
      <c r="G83" s="507">
        <v>315</v>
      </c>
      <c r="H83" s="508" t="s">
        <v>267</v>
      </c>
      <c r="I83" s="507" t="s">
        <v>114</v>
      </c>
      <c r="J83" s="508" t="s">
        <v>267</v>
      </c>
      <c r="K83" s="57" t="s">
        <v>344</v>
      </c>
      <c r="L83" s="58" t="s">
        <v>21</v>
      </c>
      <c r="M83" s="59" t="s">
        <v>345</v>
      </c>
      <c r="N83" s="60" t="s">
        <v>71</v>
      </c>
      <c r="O83" s="61">
        <v>30</v>
      </c>
      <c r="P83" s="62">
        <v>694.6</v>
      </c>
      <c r="Q83" s="63">
        <f t="shared" si="46"/>
        <v>20838</v>
      </c>
      <c r="R83" s="61">
        <f>IFERROR(SUMIFS('BM MORRO DA CRUZ - VERTICAL'!V$6:V$546,'BM MORRO DA CRUZ - VERTICAL'!$O$6:$O$546,'BM MORRO DA CRUZ'!$K83),0)</f>
        <v>0</v>
      </c>
      <c r="S83" s="63">
        <f t="shared" si="47"/>
        <v>0</v>
      </c>
      <c r="T83" s="61">
        <f>IFERROR(SUMIFS('BM MORRO DA CRUZ - VERTICAL'!X$6:X$546,'BM MORRO DA CRUZ - VERTICAL'!$O$6:$O$546,'BM MORRO DA CRUZ'!$K83),0)</f>
        <v>0</v>
      </c>
      <c r="U83" s="63">
        <f t="shared" si="48"/>
        <v>0</v>
      </c>
      <c r="V83" s="61">
        <f>IFERROR(SUMIFS('BM MORRO DA CRUZ - VERTICAL'!Z$6:Z$546,'BM MORRO DA CRUZ - VERTICAL'!$O$6:$O$546,'BM MORRO DA CRUZ'!$K83),0)</f>
        <v>0</v>
      </c>
      <c r="W83" s="63">
        <f t="shared" si="49"/>
        <v>0</v>
      </c>
      <c r="X83" s="61">
        <f>IFERROR(SUMIFS('BM MORRO DA CRUZ - VERTICAL'!AB$6:AB$546,'BM MORRO DA CRUZ - VERTICAL'!$O$6:$O$546,'BM MORRO DA CRUZ'!$K83),0)</f>
        <v>0</v>
      </c>
      <c r="Y83" s="63">
        <f t="shared" si="50"/>
        <v>0</v>
      </c>
      <c r="Z83" s="61">
        <f>IFERROR(SUMIFS('BM MORRO DA CRUZ - VERTICAL'!AD$6:AD$546,'BM MORRO DA CRUZ - VERTICAL'!$O$6:$O$546,'BM MORRO DA CRUZ'!$K83),0)</f>
        <v>0</v>
      </c>
      <c r="AA83" s="63">
        <f t="shared" si="51"/>
        <v>0</v>
      </c>
      <c r="AB83" s="61">
        <f>IFERROR(SUMIFS('BM MORRO DA CRUZ - VERTICAL'!AF$6:AF$546,'BM MORRO DA CRUZ - VERTICAL'!$O$6:$O$546,'BM MORRO DA CRUZ'!$K83),0)</f>
        <v>0</v>
      </c>
      <c r="AC83" s="63">
        <f t="shared" si="52"/>
        <v>0</v>
      </c>
      <c r="AD83" s="61">
        <f>IFERROR(SUMIFS('BM MORRO DA CRUZ - VERTICAL'!AH$6:AH$546,'BM MORRO DA CRUZ - VERTICAL'!$O$6:$O$546,'BM MORRO DA CRUZ'!$K83),0)</f>
        <v>0</v>
      </c>
      <c r="AE83" s="63">
        <f t="shared" si="53"/>
        <v>0</v>
      </c>
      <c r="AF83" s="61">
        <f>IFERROR(SUMIFS('BM MORRO DA CRUZ - VERTICAL'!AJ$6:AJ$546,'BM MORRO DA CRUZ - VERTICAL'!$O$6:$O$546,'BM MORRO DA CRUZ'!$K83),0)</f>
        <v>0</v>
      </c>
      <c r="AG83" s="63">
        <f t="shared" si="54"/>
        <v>0</v>
      </c>
      <c r="AH83" s="61">
        <f>IFERROR(SUMIFS('BM MORRO DA CRUZ - VERTICAL'!AL$6:AL$546,'BM MORRO DA CRUZ - VERTICAL'!$O$6:$O$546,'BM MORRO DA CRUZ'!$K83),0)</f>
        <v>0</v>
      </c>
      <c r="AI83" s="63">
        <f t="shared" si="55"/>
        <v>0</v>
      </c>
      <c r="AJ83" s="61">
        <f>IFERROR(SUMIFS('BM MORRO DA CRUZ - VERTICAL'!AN$6:AN$546,'BM MORRO DA CRUZ - VERTICAL'!$O$6:$O$546,'BM MORRO DA CRUZ'!$K83),0)</f>
        <v>0</v>
      </c>
      <c r="AK83" s="63">
        <f t="shared" si="56"/>
        <v>0</v>
      </c>
      <c r="AL83" s="61">
        <f>IFERROR(SUMIFS('BM MORRO DA CRUZ - VERTICAL'!AP$6:AP$546,'BM MORRO DA CRUZ - VERTICAL'!$O$6:$O$546,'BM MORRO DA CRUZ'!$K83),0)</f>
        <v>0</v>
      </c>
      <c r="AM83" s="63">
        <f t="shared" si="57"/>
        <v>0</v>
      </c>
      <c r="AN83" s="61">
        <f>IFERROR(SUMIFS('BM MORRO DA CRUZ - VERTICAL'!AR$6:AR$546,'BM MORRO DA CRUZ - VERTICAL'!$O$6:$O$546,'BM MORRO DA CRUZ'!$K83),0)</f>
        <v>0</v>
      </c>
      <c r="AO83" s="63">
        <f t="shared" si="58"/>
        <v>0</v>
      </c>
      <c r="AP83" s="61">
        <f>IFERROR(SUMIFS('BM MORRO DA CRUZ - VERTICAL'!AT$6:AT$546,'BM MORRO DA CRUZ - VERTICAL'!$O$6:$O$546,'BM MORRO DA CRUZ'!$K83),0)</f>
        <v>0</v>
      </c>
      <c r="AQ83" s="63">
        <f t="shared" si="59"/>
        <v>0</v>
      </c>
      <c r="AR83" s="61">
        <f>IFERROR(SUMIFS('BM MORRO DA CRUZ - VERTICAL'!AV$6:AV$546,'BM MORRO DA CRUZ - VERTICAL'!$O$6:$O$546,'BM MORRO DA CRUZ'!$K83),0)</f>
        <v>0</v>
      </c>
      <c r="AS83" s="63">
        <f t="shared" si="60"/>
        <v>0</v>
      </c>
      <c r="AT83" s="61">
        <f>IFERROR(SUMIFS('BM MORRO DA CRUZ - VERTICAL'!AX$6:AX$546,'BM MORRO DA CRUZ - VERTICAL'!$O$6:$O$546,'BM MORRO DA CRUZ'!$K83),0)</f>
        <v>0</v>
      </c>
      <c r="AU83" s="63">
        <f t="shared" si="61"/>
        <v>0</v>
      </c>
      <c r="AV83" s="61">
        <f>IFERROR(SUMIFS('BM MORRO DA CRUZ - VERTICAL'!AZ$6:AZ$546,'BM MORRO DA CRUZ - VERTICAL'!$O$6:$O$546,'BM MORRO DA CRUZ'!$K83),0)</f>
        <v>0</v>
      </c>
      <c r="AW83" s="63">
        <f t="shared" si="62"/>
        <v>0</v>
      </c>
      <c r="AX83" s="61">
        <f>IFERROR(SUMIFS('BM MORRO DA CRUZ - VERTICAL'!BB$6:BB$546,'BM MORRO DA CRUZ - VERTICAL'!$O$6:$O$546,'BM MORRO DA CRUZ'!$K83),0)</f>
        <v>0</v>
      </c>
      <c r="AY83" s="63">
        <f t="shared" si="63"/>
        <v>0</v>
      </c>
      <c r="AZ83" s="61">
        <f>IFERROR(SUMIFS('BM MORRO DA CRUZ - VERTICAL'!BD$6:BD$546,'BM MORRO DA CRUZ - VERTICAL'!$O$6:$O$546,'BM MORRO DA CRUZ'!$K83),0)</f>
        <v>0</v>
      </c>
      <c r="BA83" s="63">
        <f t="shared" si="64"/>
        <v>0</v>
      </c>
      <c r="BB83" s="61">
        <f t="shared" si="65"/>
        <v>0</v>
      </c>
      <c r="BC83" s="63">
        <f t="shared" si="66"/>
        <v>0</v>
      </c>
      <c r="BD83" s="64">
        <f t="shared" si="67"/>
        <v>0</v>
      </c>
      <c r="BE83" s="65">
        <f t="shared" si="68"/>
        <v>1</v>
      </c>
      <c r="BF83" s="45"/>
    </row>
    <row r="84" spans="1:58" ht="26.25" customHeight="1" x14ac:dyDescent="0.45">
      <c r="A84" s="56" t="s">
        <v>346</v>
      </c>
      <c r="B84" s="506" t="s">
        <v>264</v>
      </c>
      <c r="C84" s="507" t="s">
        <v>147</v>
      </c>
      <c r="D84" s="507" t="s">
        <v>224</v>
      </c>
      <c r="E84" s="507" t="s">
        <v>265</v>
      </c>
      <c r="F84" s="507" t="s">
        <v>266</v>
      </c>
      <c r="G84" s="507">
        <v>400</v>
      </c>
      <c r="H84" s="508" t="s">
        <v>267</v>
      </c>
      <c r="I84" s="507" t="s">
        <v>114</v>
      </c>
      <c r="J84" s="508" t="s">
        <v>267</v>
      </c>
      <c r="K84" s="57" t="s">
        <v>347</v>
      </c>
      <c r="L84" s="58" t="s">
        <v>21</v>
      </c>
      <c r="M84" s="59" t="s">
        <v>348</v>
      </c>
      <c r="N84" s="60" t="s">
        <v>71</v>
      </c>
      <c r="O84" s="61">
        <v>7</v>
      </c>
      <c r="P84" s="62">
        <v>1595.04</v>
      </c>
      <c r="Q84" s="63">
        <f t="shared" si="46"/>
        <v>11165.28</v>
      </c>
      <c r="R84" s="61">
        <f>IFERROR(SUMIFS('BM MORRO DA CRUZ - VERTICAL'!V$6:V$546,'BM MORRO DA CRUZ - VERTICAL'!$O$6:$O$546,'BM MORRO DA CRUZ'!$K84),0)</f>
        <v>0</v>
      </c>
      <c r="S84" s="63">
        <f t="shared" si="47"/>
        <v>0</v>
      </c>
      <c r="T84" s="61">
        <f>IFERROR(SUMIFS('BM MORRO DA CRUZ - VERTICAL'!X$6:X$546,'BM MORRO DA CRUZ - VERTICAL'!$O$6:$O$546,'BM MORRO DA CRUZ'!$K84),0)</f>
        <v>0</v>
      </c>
      <c r="U84" s="63">
        <f t="shared" si="48"/>
        <v>0</v>
      </c>
      <c r="V84" s="61">
        <f>IFERROR(SUMIFS('BM MORRO DA CRUZ - VERTICAL'!Z$6:Z$546,'BM MORRO DA CRUZ - VERTICAL'!$O$6:$O$546,'BM MORRO DA CRUZ'!$K84),0)</f>
        <v>0</v>
      </c>
      <c r="W84" s="63">
        <f t="shared" si="49"/>
        <v>0</v>
      </c>
      <c r="X84" s="61">
        <f>IFERROR(SUMIFS('BM MORRO DA CRUZ - VERTICAL'!AB$6:AB$546,'BM MORRO DA CRUZ - VERTICAL'!$O$6:$O$546,'BM MORRO DA CRUZ'!$K84),0)</f>
        <v>0</v>
      </c>
      <c r="Y84" s="63">
        <f t="shared" si="50"/>
        <v>0</v>
      </c>
      <c r="Z84" s="61">
        <f>IFERROR(SUMIFS('BM MORRO DA CRUZ - VERTICAL'!AD$6:AD$546,'BM MORRO DA CRUZ - VERTICAL'!$O$6:$O$546,'BM MORRO DA CRUZ'!$K84),0)</f>
        <v>0</v>
      </c>
      <c r="AA84" s="63">
        <f t="shared" si="51"/>
        <v>0</v>
      </c>
      <c r="AB84" s="61">
        <f>IFERROR(SUMIFS('BM MORRO DA CRUZ - VERTICAL'!AF$6:AF$546,'BM MORRO DA CRUZ - VERTICAL'!$O$6:$O$546,'BM MORRO DA CRUZ'!$K84),0)</f>
        <v>0</v>
      </c>
      <c r="AC84" s="63">
        <f t="shared" si="52"/>
        <v>0</v>
      </c>
      <c r="AD84" s="61">
        <f>IFERROR(SUMIFS('BM MORRO DA CRUZ - VERTICAL'!AH$6:AH$546,'BM MORRO DA CRUZ - VERTICAL'!$O$6:$O$546,'BM MORRO DA CRUZ'!$K84),0)</f>
        <v>0</v>
      </c>
      <c r="AE84" s="63">
        <f t="shared" si="53"/>
        <v>0</v>
      </c>
      <c r="AF84" s="61">
        <f>IFERROR(SUMIFS('BM MORRO DA CRUZ - VERTICAL'!AJ$6:AJ$546,'BM MORRO DA CRUZ - VERTICAL'!$O$6:$O$546,'BM MORRO DA CRUZ'!$K84),0)</f>
        <v>0</v>
      </c>
      <c r="AG84" s="63">
        <f t="shared" si="54"/>
        <v>0</v>
      </c>
      <c r="AH84" s="61">
        <f>IFERROR(SUMIFS('BM MORRO DA CRUZ - VERTICAL'!AL$6:AL$546,'BM MORRO DA CRUZ - VERTICAL'!$O$6:$O$546,'BM MORRO DA CRUZ'!$K84),0)</f>
        <v>0</v>
      </c>
      <c r="AI84" s="63">
        <f t="shared" si="55"/>
        <v>0</v>
      </c>
      <c r="AJ84" s="61">
        <f>IFERROR(SUMIFS('BM MORRO DA CRUZ - VERTICAL'!AN$6:AN$546,'BM MORRO DA CRUZ - VERTICAL'!$O$6:$O$546,'BM MORRO DA CRUZ'!$K84),0)</f>
        <v>0</v>
      </c>
      <c r="AK84" s="63">
        <f t="shared" si="56"/>
        <v>0</v>
      </c>
      <c r="AL84" s="61">
        <f>IFERROR(SUMIFS('BM MORRO DA CRUZ - VERTICAL'!AP$6:AP$546,'BM MORRO DA CRUZ - VERTICAL'!$O$6:$O$546,'BM MORRO DA CRUZ'!$K84),0)</f>
        <v>0</v>
      </c>
      <c r="AM84" s="63">
        <f t="shared" si="57"/>
        <v>0</v>
      </c>
      <c r="AN84" s="61">
        <f>IFERROR(SUMIFS('BM MORRO DA CRUZ - VERTICAL'!AR$6:AR$546,'BM MORRO DA CRUZ - VERTICAL'!$O$6:$O$546,'BM MORRO DA CRUZ'!$K84),0)</f>
        <v>0</v>
      </c>
      <c r="AO84" s="63">
        <f t="shared" si="58"/>
        <v>0</v>
      </c>
      <c r="AP84" s="61">
        <f>IFERROR(SUMIFS('BM MORRO DA CRUZ - VERTICAL'!AT$6:AT$546,'BM MORRO DA CRUZ - VERTICAL'!$O$6:$O$546,'BM MORRO DA CRUZ'!$K84),0)</f>
        <v>0</v>
      </c>
      <c r="AQ84" s="63">
        <f t="shared" si="59"/>
        <v>0</v>
      </c>
      <c r="AR84" s="61">
        <f>IFERROR(SUMIFS('BM MORRO DA CRUZ - VERTICAL'!AV$6:AV$546,'BM MORRO DA CRUZ - VERTICAL'!$O$6:$O$546,'BM MORRO DA CRUZ'!$K84),0)</f>
        <v>0</v>
      </c>
      <c r="AS84" s="63">
        <f t="shared" si="60"/>
        <v>0</v>
      </c>
      <c r="AT84" s="61">
        <f>IFERROR(SUMIFS('BM MORRO DA CRUZ - VERTICAL'!AX$6:AX$546,'BM MORRO DA CRUZ - VERTICAL'!$O$6:$O$546,'BM MORRO DA CRUZ'!$K84),0)</f>
        <v>0</v>
      </c>
      <c r="AU84" s="63">
        <f t="shared" si="61"/>
        <v>0</v>
      </c>
      <c r="AV84" s="61">
        <f>IFERROR(SUMIFS('BM MORRO DA CRUZ - VERTICAL'!AZ$6:AZ$546,'BM MORRO DA CRUZ - VERTICAL'!$O$6:$O$546,'BM MORRO DA CRUZ'!$K84),0)</f>
        <v>0</v>
      </c>
      <c r="AW84" s="63">
        <f t="shared" si="62"/>
        <v>0</v>
      </c>
      <c r="AX84" s="61">
        <f>IFERROR(SUMIFS('BM MORRO DA CRUZ - VERTICAL'!BB$6:BB$546,'BM MORRO DA CRUZ - VERTICAL'!$O$6:$O$546,'BM MORRO DA CRUZ'!$K84),0)</f>
        <v>0</v>
      </c>
      <c r="AY84" s="63">
        <f t="shared" si="63"/>
        <v>0</v>
      </c>
      <c r="AZ84" s="61">
        <f>IFERROR(SUMIFS('BM MORRO DA CRUZ - VERTICAL'!BD$6:BD$546,'BM MORRO DA CRUZ - VERTICAL'!$O$6:$O$546,'BM MORRO DA CRUZ'!$K84),0)</f>
        <v>0</v>
      </c>
      <c r="BA84" s="63">
        <f t="shared" si="64"/>
        <v>0</v>
      </c>
      <c r="BB84" s="61">
        <f t="shared" si="65"/>
        <v>0</v>
      </c>
      <c r="BC84" s="63">
        <f t="shared" si="66"/>
        <v>0</v>
      </c>
      <c r="BD84" s="64">
        <f t="shared" si="67"/>
        <v>0</v>
      </c>
      <c r="BE84" s="65">
        <f t="shared" si="68"/>
        <v>1</v>
      </c>
      <c r="BF84" s="45"/>
    </row>
    <row r="85" spans="1:58" ht="26.25" customHeight="1" x14ac:dyDescent="0.45">
      <c r="A85" s="56" t="s">
        <v>349</v>
      </c>
      <c r="B85" s="506" t="s">
        <v>264</v>
      </c>
      <c r="C85" s="507" t="s">
        <v>147</v>
      </c>
      <c r="D85" s="507" t="s">
        <v>224</v>
      </c>
      <c r="E85" s="507" t="s">
        <v>265</v>
      </c>
      <c r="F85" s="507" t="s">
        <v>266</v>
      </c>
      <c r="G85" s="507">
        <v>500</v>
      </c>
      <c r="H85" s="508" t="s">
        <v>267</v>
      </c>
      <c r="I85" s="507" t="s">
        <v>114</v>
      </c>
      <c r="J85" s="508" t="s">
        <v>267</v>
      </c>
      <c r="K85" s="57" t="s">
        <v>350</v>
      </c>
      <c r="L85" s="58" t="s">
        <v>21</v>
      </c>
      <c r="M85" s="59" t="s">
        <v>351</v>
      </c>
      <c r="N85" s="60" t="s">
        <v>71</v>
      </c>
      <c r="O85" s="61">
        <v>18</v>
      </c>
      <c r="P85" s="62">
        <v>2365.2800000000002</v>
      </c>
      <c r="Q85" s="63">
        <f t="shared" si="46"/>
        <v>42575.040000000001</v>
      </c>
      <c r="R85" s="61">
        <f>IFERROR(SUMIFS('BM MORRO DA CRUZ - VERTICAL'!V$6:V$546,'BM MORRO DA CRUZ - VERTICAL'!$O$6:$O$546,'BM MORRO DA CRUZ'!$K85),0)</f>
        <v>0</v>
      </c>
      <c r="S85" s="63">
        <f t="shared" si="47"/>
        <v>0</v>
      </c>
      <c r="T85" s="61">
        <f>IFERROR(SUMIFS('BM MORRO DA CRUZ - VERTICAL'!X$6:X$546,'BM MORRO DA CRUZ - VERTICAL'!$O$6:$O$546,'BM MORRO DA CRUZ'!$K85),0)</f>
        <v>0</v>
      </c>
      <c r="U85" s="63">
        <f t="shared" si="48"/>
        <v>0</v>
      </c>
      <c r="V85" s="61">
        <f>IFERROR(SUMIFS('BM MORRO DA CRUZ - VERTICAL'!Z$6:Z$546,'BM MORRO DA CRUZ - VERTICAL'!$O$6:$O$546,'BM MORRO DA CRUZ'!$K85),0)</f>
        <v>0</v>
      </c>
      <c r="W85" s="63">
        <f t="shared" si="49"/>
        <v>0</v>
      </c>
      <c r="X85" s="61">
        <f>IFERROR(SUMIFS('BM MORRO DA CRUZ - VERTICAL'!AB$6:AB$546,'BM MORRO DA CRUZ - VERTICAL'!$O$6:$O$546,'BM MORRO DA CRUZ'!$K85),0)</f>
        <v>0</v>
      </c>
      <c r="Y85" s="63">
        <f t="shared" si="50"/>
        <v>0</v>
      </c>
      <c r="Z85" s="61">
        <f>IFERROR(SUMIFS('BM MORRO DA CRUZ - VERTICAL'!AD$6:AD$546,'BM MORRO DA CRUZ - VERTICAL'!$O$6:$O$546,'BM MORRO DA CRUZ'!$K85),0)</f>
        <v>0</v>
      </c>
      <c r="AA85" s="63">
        <f t="shared" si="51"/>
        <v>0</v>
      </c>
      <c r="AB85" s="61">
        <f>IFERROR(SUMIFS('BM MORRO DA CRUZ - VERTICAL'!AF$6:AF$546,'BM MORRO DA CRUZ - VERTICAL'!$O$6:$O$546,'BM MORRO DA CRUZ'!$K85),0)</f>
        <v>0</v>
      </c>
      <c r="AC85" s="63">
        <f t="shared" si="52"/>
        <v>0</v>
      </c>
      <c r="AD85" s="61">
        <f>IFERROR(SUMIFS('BM MORRO DA CRUZ - VERTICAL'!AH$6:AH$546,'BM MORRO DA CRUZ - VERTICAL'!$O$6:$O$546,'BM MORRO DA CRUZ'!$K85),0)</f>
        <v>0</v>
      </c>
      <c r="AE85" s="63">
        <f t="shared" si="53"/>
        <v>0</v>
      </c>
      <c r="AF85" s="61">
        <f>IFERROR(SUMIFS('BM MORRO DA CRUZ - VERTICAL'!AJ$6:AJ$546,'BM MORRO DA CRUZ - VERTICAL'!$O$6:$O$546,'BM MORRO DA CRUZ'!$K85),0)</f>
        <v>0</v>
      </c>
      <c r="AG85" s="63">
        <f t="shared" si="54"/>
        <v>0</v>
      </c>
      <c r="AH85" s="61">
        <f>IFERROR(SUMIFS('BM MORRO DA CRUZ - VERTICAL'!AL$6:AL$546,'BM MORRO DA CRUZ - VERTICAL'!$O$6:$O$546,'BM MORRO DA CRUZ'!$K85),0)</f>
        <v>0</v>
      </c>
      <c r="AI85" s="63">
        <f t="shared" si="55"/>
        <v>0</v>
      </c>
      <c r="AJ85" s="61">
        <f>IFERROR(SUMIFS('BM MORRO DA CRUZ - VERTICAL'!AN$6:AN$546,'BM MORRO DA CRUZ - VERTICAL'!$O$6:$O$546,'BM MORRO DA CRUZ'!$K85),0)</f>
        <v>0</v>
      </c>
      <c r="AK85" s="63">
        <f t="shared" si="56"/>
        <v>0</v>
      </c>
      <c r="AL85" s="61">
        <f>IFERROR(SUMIFS('BM MORRO DA CRUZ - VERTICAL'!AP$6:AP$546,'BM MORRO DA CRUZ - VERTICAL'!$O$6:$O$546,'BM MORRO DA CRUZ'!$K85),0)</f>
        <v>0</v>
      </c>
      <c r="AM85" s="63">
        <f t="shared" si="57"/>
        <v>0</v>
      </c>
      <c r="AN85" s="61">
        <f>IFERROR(SUMIFS('BM MORRO DA CRUZ - VERTICAL'!AR$6:AR$546,'BM MORRO DA CRUZ - VERTICAL'!$O$6:$O$546,'BM MORRO DA CRUZ'!$K85),0)</f>
        <v>0</v>
      </c>
      <c r="AO85" s="63">
        <f t="shared" si="58"/>
        <v>0</v>
      </c>
      <c r="AP85" s="61">
        <f>IFERROR(SUMIFS('BM MORRO DA CRUZ - VERTICAL'!AT$6:AT$546,'BM MORRO DA CRUZ - VERTICAL'!$O$6:$O$546,'BM MORRO DA CRUZ'!$K85),0)</f>
        <v>0</v>
      </c>
      <c r="AQ85" s="63">
        <f t="shared" si="59"/>
        <v>0</v>
      </c>
      <c r="AR85" s="61">
        <f>IFERROR(SUMIFS('BM MORRO DA CRUZ - VERTICAL'!AV$6:AV$546,'BM MORRO DA CRUZ - VERTICAL'!$O$6:$O$546,'BM MORRO DA CRUZ'!$K85),0)</f>
        <v>0</v>
      </c>
      <c r="AS85" s="63">
        <f t="shared" si="60"/>
        <v>0</v>
      </c>
      <c r="AT85" s="61">
        <f>IFERROR(SUMIFS('BM MORRO DA CRUZ - VERTICAL'!AX$6:AX$546,'BM MORRO DA CRUZ - VERTICAL'!$O$6:$O$546,'BM MORRO DA CRUZ'!$K85),0)</f>
        <v>0</v>
      </c>
      <c r="AU85" s="63">
        <f t="shared" si="61"/>
        <v>0</v>
      </c>
      <c r="AV85" s="61">
        <f>IFERROR(SUMIFS('BM MORRO DA CRUZ - VERTICAL'!AZ$6:AZ$546,'BM MORRO DA CRUZ - VERTICAL'!$O$6:$O$546,'BM MORRO DA CRUZ'!$K85),0)</f>
        <v>0</v>
      </c>
      <c r="AW85" s="63">
        <f t="shared" si="62"/>
        <v>0</v>
      </c>
      <c r="AX85" s="61">
        <f>IFERROR(SUMIFS('BM MORRO DA CRUZ - VERTICAL'!BB$6:BB$546,'BM MORRO DA CRUZ - VERTICAL'!$O$6:$O$546,'BM MORRO DA CRUZ'!$K85),0)</f>
        <v>0</v>
      </c>
      <c r="AY85" s="63">
        <f t="shared" si="63"/>
        <v>0</v>
      </c>
      <c r="AZ85" s="61">
        <f>IFERROR(SUMIFS('BM MORRO DA CRUZ - VERTICAL'!BD$6:BD$546,'BM MORRO DA CRUZ - VERTICAL'!$O$6:$O$546,'BM MORRO DA CRUZ'!$K85),0)</f>
        <v>0</v>
      </c>
      <c r="BA85" s="63">
        <f t="shared" si="64"/>
        <v>0</v>
      </c>
      <c r="BB85" s="61">
        <f t="shared" si="65"/>
        <v>0</v>
      </c>
      <c r="BC85" s="63">
        <f t="shared" si="66"/>
        <v>0</v>
      </c>
      <c r="BD85" s="64">
        <f t="shared" si="67"/>
        <v>0</v>
      </c>
      <c r="BE85" s="65">
        <f t="shared" si="68"/>
        <v>1</v>
      </c>
      <c r="BF85" s="45"/>
    </row>
    <row r="86" spans="1:58" ht="26.25" customHeight="1" x14ac:dyDescent="0.45">
      <c r="A86" s="56" t="s">
        <v>352</v>
      </c>
      <c r="B86" s="506" t="s">
        <v>264</v>
      </c>
      <c r="C86" s="507" t="s">
        <v>147</v>
      </c>
      <c r="D86" s="507" t="s">
        <v>224</v>
      </c>
      <c r="E86" s="507" t="s">
        <v>265</v>
      </c>
      <c r="F86" s="507" t="s">
        <v>266</v>
      </c>
      <c r="G86" s="507">
        <v>63</v>
      </c>
      <c r="H86" s="508" t="s">
        <v>267</v>
      </c>
      <c r="I86" s="507" t="s">
        <v>114</v>
      </c>
      <c r="J86" s="508" t="s">
        <v>267</v>
      </c>
      <c r="K86" s="57" t="s">
        <v>353</v>
      </c>
      <c r="L86" s="58" t="s">
        <v>21</v>
      </c>
      <c r="M86" s="59" t="s">
        <v>354</v>
      </c>
      <c r="N86" s="60" t="s">
        <v>71</v>
      </c>
      <c r="O86" s="61">
        <v>1313</v>
      </c>
      <c r="P86" s="62">
        <v>29.91</v>
      </c>
      <c r="Q86" s="63">
        <f t="shared" si="46"/>
        <v>39271.83</v>
      </c>
      <c r="R86" s="61">
        <f>IFERROR(SUMIFS('BM MORRO DA CRUZ - VERTICAL'!V$6:V$546,'BM MORRO DA CRUZ - VERTICAL'!$O$6:$O$546,'BM MORRO DA CRUZ'!$K86),0)</f>
        <v>0</v>
      </c>
      <c r="S86" s="63">
        <f t="shared" si="47"/>
        <v>0</v>
      </c>
      <c r="T86" s="61">
        <f>IFERROR(SUMIFS('BM MORRO DA CRUZ - VERTICAL'!X$6:X$546,'BM MORRO DA CRUZ - VERTICAL'!$O$6:$O$546,'BM MORRO DA CRUZ'!$K86),0)</f>
        <v>0</v>
      </c>
      <c r="U86" s="63">
        <f t="shared" si="48"/>
        <v>0</v>
      </c>
      <c r="V86" s="61">
        <f>IFERROR(SUMIFS('BM MORRO DA CRUZ - VERTICAL'!Z$6:Z$546,'BM MORRO DA CRUZ - VERTICAL'!$O$6:$O$546,'BM MORRO DA CRUZ'!$K86),0)</f>
        <v>0</v>
      </c>
      <c r="W86" s="63">
        <f t="shared" si="49"/>
        <v>0</v>
      </c>
      <c r="X86" s="61">
        <f>IFERROR(SUMIFS('BM MORRO DA CRUZ - VERTICAL'!AB$6:AB$546,'BM MORRO DA CRUZ - VERTICAL'!$O$6:$O$546,'BM MORRO DA CRUZ'!$K86),0)</f>
        <v>0</v>
      </c>
      <c r="Y86" s="63">
        <f t="shared" si="50"/>
        <v>0</v>
      </c>
      <c r="Z86" s="61">
        <f>IFERROR(SUMIFS('BM MORRO DA CRUZ - VERTICAL'!AD$6:AD$546,'BM MORRO DA CRUZ - VERTICAL'!$O$6:$O$546,'BM MORRO DA CRUZ'!$K86),0)</f>
        <v>0</v>
      </c>
      <c r="AA86" s="63">
        <f t="shared" si="51"/>
        <v>0</v>
      </c>
      <c r="AB86" s="61">
        <f>IFERROR(SUMIFS('BM MORRO DA CRUZ - VERTICAL'!AF$6:AF$546,'BM MORRO DA CRUZ - VERTICAL'!$O$6:$O$546,'BM MORRO DA CRUZ'!$K86),0)</f>
        <v>0</v>
      </c>
      <c r="AC86" s="63">
        <f t="shared" si="52"/>
        <v>0</v>
      </c>
      <c r="AD86" s="61">
        <f>IFERROR(SUMIFS('BM MORRO DA CRUZ - VERTICAL'!AH$6:AH$546,'BM MORRO DA CRUZ - VERTICAL'!$O$6:$O$546,'BM MORRO DA CRUZ'!$K86),0)</f>
        <v>0</v>
      </c>
      <c r="AE86" s="63">
        <f t="shared" si="53"/>
        <v>0</v>
      </c>
      <c r="AF86" s="61">
        <f>IFERROR(SUMIFS('BM MORRO DA CRUZ - VERTICAL'!AJ$6:AJ$546,'BM MORRO DA CRUZ - VERTICAL'!$O$6:$O$546,'BM MORRO DA CRUZ'!$K86),0)</f>
        <v>0</v>
      </c>
      <c r="AG86" s="63">
        <f t="shared" si="54"/>
        <v>0</v>
      </c>
      <c r="AH86" s="61">
        <f>IFERROR(SUMIFS('BM MORRO DA CRUZ - VERTICAL'!AL$6:AL$546,'BM MORRO DA CRUZ - VERTICAL'!$O$6:$O$546,'BM MORRO DA CRUZ'!$K86),0)</f>
        <v>0</v>
      </c>
      <c r="AI86" s="63">
        <f t="shared" si="55"/>
        <v>0</v>
      </c>
      <c r="AJ86" s="61">
        <f>IFERROR(SUMIFS('BM MORRO DA CRUZ - VERTICAL'!AN$6:AN$546,'BM MORRO DA CRUZ - VERTICAL'!$O$6:$O$546,'BM MORRO DA CRUZ'!$K86),0)</f>
        <v>0</v>
      </c>
      <c r="AK86" s="63">
        <f t="shared" si="56"/>
        <v>0</v>
      </c>
      <c r="AL86" s="61">
        <f>IFERROR(SUMIFS('BM MORRO DA CRUZ - VERTICAL'!AP$6:AP$546,'BM MORRO DA CRUZ - VERTICAL'!$O$6:$O$546,'BM MORRO DA CRUZ'!$K86),0)</f>
        <v>0</v>
      </c>
      <c r="AM86" s="63">
        <f t="shared" si="57"/>
        <v>0</v>
      </c>
      <c r="AN86" s="61">
        <f>IFERROR(SUMIFS('BM MORRO DA CRUZ - VERTICAL'!AR$6:AR$546,'BM MORRO DA CRUZ - VERTICAL'!$O$6:$O$546,'BM MORRO DA CRUZ'!$K86),0)</f>
        <v>0</v>
      </c>
      <c r="AO86" s="63">
        <f t="shared" si="58"/>
        <v>0</v>
      </c>
      <c r="AP86" s="61">
        <f>IFERROR(SUMIFS('BM MORRO DA CRUZ - VERTICAL'!AT$6:AT$546,'BM MORRO DA CRUZ - VERTICAL'!$O$6:$O$546,'BM MORRO DA CRUZ'!$K86),0)</f>
        <v>0</v>
      </c>
      <c r="AQ86" s="63">
        <f t="shared" si="59"/>
        <v>0</v>
      </c>
      <c r="AR86" s="61">
        <f>IFERROR(SUMIFS('BM MORRO DA CRUZ - VERTICAL'!AV$6:AV$546,'BM MORRO DA CRUZ - VERTICAL'!$O$6:$O$546,'BM MORRO DA CRUZ'!$K86),0)</f>
        <v>0</v>
      </c>
      <c r="AS86" s="63">
        <f t="shared" si="60"/>
        <v>0</v>
      </c>
      <c r="AT86" s="61">
        <f>IFERROR(SUMIFS('BM MORRO DA CRUZ - VERTICAL'!AX$6:AX$546,'BM MORRO DA CRUZ - VERTICAL'!$O$6:$O$546,'BM MORRO DA CRUZ'!$K86),0)</f>
        <v>0</v>
      </c>
      <c r="AU86" s="63">
        <f t="shared" si="61"/>
        <v>0</v>
      </c>
      <c r="AV86" s="61">
        <f>IFERROR(SUMIFS('BM MORRO DA CRUZ - VERTICAL'!AZ$6:AZ$546,'BM MORRO DA CRUZ - VERTICAL'!$O$6:$O$546,'BM MORRO DA CRUZ'!$K86),0)</f>
        <v>0</v>
      </c>
      <c r="AW86" s="63">
        <f t="shared" si="62"/>
        <v>0</v>
      </c>
      <c r="AX86" s="61">
        <f>IFERROR(SUMIFS('BM MORRO DA CRUZ - VERTICAL'!BB$6:BB$546,'BM MORRO DA CRUZ - VERTICAL'!$O$6:$O$546,'BM MORRO DA CRUZ'!$K86),0)</f>
        <v>0</v>
      </c>
      <c r="AY86" s="63">
        <f t="shared" si="63"/>
        <v>0</v>
      </c>
      <c r="AZ86" s="61">
        <f>IFERROR(SUMIFS('BM MORRO DA CRUZ - VERTICAL'!BD$6:BD$546,'BM MORRO DA CRUZ - VERTICAL'!$O$6:$O$546,'BM MORRO DA CRUZ'!$K86),0)</f>
        <v>0</v>
      </c>
      <c r="BA86" s="63">
        <f t="shared" si="64"/>
        <v>0</v>
      </c>
      <c r="BB86" s="61">
        <f t="shared" si="65"/>
        <v>0</v>
      </c>
      <c r="BC86" s="63">
        <f t="shared" si="66"/>
        <v>0</v>
      </c>
      <c r="BD86" s="64">
        <f t="shared" si="67"/>
        <v>0</v>
      </c>
      <c r="BE86" s="65">
        <f t="shared" si="68"/>
        <v>1</v>
      </c>
      <c r="BF86" s="45"/>
    </row>
    <row r="87" spans="1:58" ht="26.25" customHeight="1" x14ac:dyDescent="0.45">
      <c r="A87" s="56" t="s">
        <v>355</v>
      </c>
      <c r="B87" s="506" t="s">
        <v>264</v>
      </c>
      <c r="C87" s="507" t="s">
        <v>147</v>
      </c>
      <c r="D87" s="507" t="s">
        <v>224</v>
      </c>
      <c r="E87" s="507" t="s">
        <v>265</v>
      </c>
      <c r="F87" s="507" t="s">
        <v>266</v>
      </c>
      <c r="G87" s="507">
        <v>110</v>
      </c>
      <c r="H87" s="508" t="s">
        <v>267</v>
      </c>
      <c r="I87" s="507" t="s">
        <v>114</v>
      </c>
      <c r="J87" s="508" t="s">
        <v>267</v>
      </c>
      <c r="K87" s="57" t="s">
        <v>356</v>
      </c>
      <c r="L87" s="58" t="s">
        <v>21</v>
      </c>
      <c r="M87" s="59" t="s">
        <v>357</v>
      </c>
      <c r="N87" s="60" t="s">
        <v>71</v>
      </c>
      <c r="O87" s="61">
        <v>178</v>
      </c>
      <c r="P87" s="62">
        <v>68.25</v>
      </c>
      <c r="Q87" s="63">
        <f t="shared" si="46"/>
        <v>12148.5</v>
      </c>
      <c r="R87" s="61">
        <f>IFERROR(SUMIFS('BM MORRO DA CRUZ - VERTICAL'!V$6:V$546,'BM MORRO DA CRUZ - VERTICAL'!$O$6:$O$546,'BM MORRO DA CRUZ'!$K87),0)</f>
        <v>0</v>
      </c>
      <c r="S87" s="63">
        <f t="shared" si="47"/>
        <v>0</v>
      </c>
      <c r="T87" s="61">
        <f>IFERROR(SUMIFS('BM MORRO DA CRUZ - VERTICAL'!X$6:X$546,'BM MORRO DA CRUZ - VERTICAL'!$O$6:$O$546,'BM MORRO DA CRUZ'!$K87),0)</f>
        <v>0</v>
      </c>
      <c r="U87" s="63">
        <f t="shared" si="48"/>
        <v>0</v>
      </c>
      <c r="V87" s="61">
        <f>IFERROR(SUMIFS('BM MORRO DA CRUZ - VERTICAL'!Z$6:Z$546,'BM MORRO DA CRUZ - VERTICAL'!$O$6:$O$546,'BM MORRO DA CRUZ'!$K87),0)</f>
        <v>0</v>
      </c>
      <c r="W87" s="63">
        <f t="shared" si="49"/>
        <v>0</v>
      </c>
      <c r="X87" s="61">
        <f>IFERROR(SUMIFS('BM MORRO DA CRUZ - VERTICAL'!AB$6:AB$546,'BM MORRO DA CRUZ - VERTICAL'!$O$6:$O$546,'BM MORRO DA CRUZ'!$K87),0)</f>
        <v>0</v>
      </c>
      <c r="Y87" s="63">
        <f t="shared" si="50"/>
        <v>0</v>
      </c>
      <c r="Z87" s="61">
        <f>IFERROR(SUMIFS('BM MORRO DA CRUZ - VERTICAL'!AD$6:AD$546,'BM MORRO DA CRUZ - VERTICAL'!$O$6:$O$546,'BM MORRO DA CRUZ'!$K87),0)</f>
        <v>0</v>
      </c>
      <c r="AA87" s="63">
        <f t="shared" si="51"/>
        <v>0</v>
      </c>
      <c r="AB87" s="61">
        <f>IFERROR(SUMIFS('BM MORRO DA CRUZ - VERTICAL'!AF$6:AF$546,'BM MORRO DA CRUZ - VERTICAL'!$O$6:$O$546,'BM MORRO DA CRUZ'!$K87),0)</f>
        <v>0</v>
      </c>
      <c r="AC87" s="63">
        <f t="shared" si="52"/>
        <v>0</v>
      </c>
      <c r="AD87" s="61">
        <f>IFERROR(SUMIFS('BM MORRO DA CRUZ - VERTICAL'!AH$6:AH$546,'BM MORRO DA CRUZ - VERTICAL'!$O$6:$O$546,'BM MORRO DA CRUZ'!$K87),0)</f>
        <v>0</v>
      </c>
      <c r="AE87" s="63">
        <f t="shared" si="53"/>
        <v>0</v>
      </c>
      <c r="AF87" s="61">
        <f>IFERROR(SUMIFS('BM MORRO DA CRUZ - VERTICAL'!AJ$6:AJ$546,'BM MORRO DA CRUZ - VERTICAL'!$O$6:$O$546,'BM MORRO DA CRUZ'!$K87),0)</f>
        <v>0</v>
      </c>
      <c r="AG87" s="63">
        <f t="shared" si="54"/>
        <v>0</v>
      </c>
      <c r="AH87" s="61">
        <f>IFERROR(SUMIFS('BM MORRO DA CRUZ - VERTICAL'!AL$6:AL$546,'BM MORRO DA CRUZ - VERTICAL'!$O$6:$O$546,'BM MORRO DA CRUZ'!$K87),0)</f>
        <v>0</v>
      </c>
      <c r="AI87" s="63">
        <f t="shared" si="55"/>
        <v>0</v>
      </c>
      <c r="AJ87" s="61">
        <f>IFERROR(SUMIFS('BM MORRO DA CRUZ - VERTICAL'!AN$6:AN$546,'BM MORRO DA CRUZ - VERTICAL'!$O$6:$O$546,'BM MORRO DA CRUZ'!$K87),0)</f>
        <v>0</v>
      </c>
      <c r="AK87" s="63">
        <f t="shared" si="56"/>
        <v>0</v>
      </c>
      <c r="AL87" s="61">
        <f>IFERROR(SUMIFS('BM MORRO DA CRUZ - VERTICAL'!AP$6:AP$546,'BM MORRO DA CRUZ - VERTICAL'!$O$6:$O$546,'BM MORRO DA CRUZ'!$K87),0)</f>
        <v>0</v>
      </c>
      <c r="AM87" s="63">
        <f t="shared" si="57"/>
        <v>0</v>
      </c>
      <c r="AN87" s="61">
        <f>IFERROR(SUMIFS('BM MORRO DA CRUZ - VERTICAL'!AR$6:AR$546,'BM MORRO DA CRUZ - VERTICAL'!$O$6:$O$546,'BM MORRO DA CRUZ'!$K87),0)</f>
        <v>0</v>
      </c>
      <c r="AO87" s="63">
        <f t="shared" si="58"/>
        <v>0</v>
      </c>
      <c r="AP87" s="61">
        <f>IFERROR(SUMIFS('BM MORRO DA CRUZ - VERTICAL'!AT$6:AT$546,'BM MORRO DA CRUZ - VERTICAL'!$O$6:$O$546,'BM MORRO DA CRUZ'!$K87),0)</f>
        <v>0</v>
      </c>
      <c r="AQ87" s="63">
        <f t="shared" si="59"/>
        <v>0</v>
      </c>
      <c r="AR87" s="61">
        <f>IFERROR(SUMIFS('BM MORRO DA CRUZ - VERTICAL'!AV$6:AV$546,'BM MORRO DA CRUZ - VERTICAL'!$O$6:$O$546,'BM MORRO DA CRUZ'!$K87),0)</f>
        <v>0</v>
      </c>
      <c r="AS87" s="63">
        <f t="shared" si="60"/>
        <v>0</v>
      </c>
      <c r="AT87" s="61">
        <f>IFERROR(SUMIFS('BM MORRO DA CRUZ - VERTICAL'!AX$6:AX$546,'BM MORRO DA CRUZ - VERTICAL'!$O$6:$O$546,'BM MORRO DA CRUZ'!$K87),0)</f>
        <v>0</v>
      </c>
      <c r="AU87" s="63">
        <f t="shared" si="61"/>
        <v>0</v>
      </c>
      <c r="AV87" s="61">
        <f>IFERROR(SUMIFS('BM MORRO DA CRUZ - VERTICAL'!AZ$6:AZ$546,'BM MORRO DA CRUZ - VERTICAL'!$O$6:$O$546,'BM MORRO DA CRUZ'!$K87),0)</f>
        <v>0</v>
      </c>
      <c r="AW87" s="63">
        <f t="shared" si="62"/>
        <v>0</v>
      </c>
      <c r="AX87" s="61">
        <f>IFERROR(SUMIFS('BM MORRO DA CRUZ - VERTICAL'!BB$6:BB$546,'BM MORRO DA CRUZ - VERTICAL'!$O$6:$O$546,'BM MORRO DA CRUZ'!$K87),0)</f>
        <v>0</v>
      </c>
      <c r="AY87" s="63">
        <f t="shared" si="63"/>
        <v>0</v>
      </c>
      <c r="AZ87" s="61">
        <f>IFERROR(SUMIFS('BM MORRO DA CRUZ - VERTICAL'!BD$6:BD$546,'BM MORRO DA CRUZ - VERTICAL'!$O$6:$O$546,'BM MORRO DA CRUZ'!$K87),0)</f>
        <v>0</v>
      </c>
      <c r="BA87" s="63">
        <f t="shared" si="64"/>
        <v>0</v>
      </c>
      <c r="BB87" s="61">
        <f t="shared" si="65"/>
        <v>0</v>
      </c>
      <c r="BC87" s="63">
        <f t="shared" si="66"/>
        <v>0</v>
      </c>
      <c r="BD87" s="64">
        <f t="shared" si="67"/>
        <v>0</v>
      </c>
      <c r="BE87" s="65">
        <f t="shared" si="68"/>
        <v>1</v>
      </c>
      <c r="BF87" s="45"/>
    </row>
    <row r="88" spans="1:58" ht="26.25" customHeight="1" x14ac:dyDescent="0.45">
      <c r="A88" s="56" t="s">
        <v>358</v>
      </c>
      <c r="B88" s="506" t="s">
        <v>264</v>
      </c>
      <c r="C88" s="507" t="s">
        <v>147</v>
      </c>
      <c r="D88" s="507" t="s">
        <v>224</v>
      </c>
      <c r="E88" s="507" t="s">
        <v>265</v>
      </c>
      <c r="F88" s="507" t="s">
        <v>266</v>
      </c>
      <c r="G88" s="507">
        <v>125</v>
      </c>
      <c r="H88" s="508" t="s">
        <v>267</v>
      </c>
      <c r="I88" s="507" t="s">
        <v>114</v>
      </c>
      <c r="J88" s="508" t="s">
        <v>267</v>
      </c>
      <c r="K88" s="57" t="s">
        <v>359</v>
      </c>
      <c r="L88" s="58" t="s">
        <v>21</v>
      </c>
      <c r="M88" s="59" t="s">
        <v>360</v>
      </c>
      <c r="N88" s="60" t="s">
        <v>71</v>
      </c>
      <c r="O88" s="61">
        <v>25</v>
      </c>
      <c r="P88" s="62">
        <v>96.06</v>
      </c>
      <c r="Q88" s="63">
        <f t="shared" si="46"/>
        <v>2401.5</v>
      </c>
      <c r="R88" s="61">
        <f>IFERROR(SUMIFS('BM MORRO DA CRUZ - VERTICAL'!V$6:V$546,'BM MORRO DA CRUZ - VERTICAL'!$O$6:$O$546,'BM MORRO DA CRUZ'!$K88),0)</f>
        <v>0</v>
      </c>
      <c r="S88" s="63">
        <f t="shared" si="47"/>
        <v>0</v>
      </c>
      <c r="T88" s="61">
        <f>IFERROR(SUMIFS('BM MORRO DA CRUZ - VERTICAL'!X$6:X$546,'BM MORRO DA CRUZ - VERTICAL'!$O$6:$O$546,'BM MORRO DA CRUZ'!$K88),0)</f>
        <v>0</v>
      </c>
      <c r="U88" s="63">
        <f t="shared" si="48"/>
        <v>0</v>
      </c>
      <c r="V88" s="61">
        <f>IFERROR(SUMIFS('BM MORRO DA CRUZ - VERTICAL'!Z$6:Z$546,'BM MORRO DA CRUZ - VERTICAL'!$O$6:$O$546,'BM MORRO DA CRUZ'!$K88),0)</f>
        <v>0</v>
      </c>
      <c r="W88" s="63">
        <f t="shared" si="49"/>
        <v>0</v>
      </c>
      <c r="X88" s="61">
        <f>IFERROR(SUMIFS('BM MORRO DA CRUZ - VERTICAL'!AB$6:AB$546,'BM MORRO DA CRUZ - VERTICAL'!$O$6:$O$546,'BM MORRO DA CRUZ'!$K88),0)</f>
        <v>0</v>
      </c>
      <c r="Y88" s="63">
        <f t="shared" si="50"/>
        <v>0</v>
      </c>
      <c r="Z88" s="61">
        <f>IFERROR(SUMIFS('BM MORRO DA CRUZ - VERTICAL'!AD$6:AD$546,'BM MORRO DA CRUZ - VERTICAL'!$O$6:$O$546,'BM MORRO DA CRUZ'!$K88),0)</f>
        <v>0</v>
      </c>
      <c r="AA88" s="63">
        <f t="shared" si="51"/>
        <v>0</v>
      </c>
      <c r="AB88" s="61">
        <f>IFERROR(SUMIFS('BM MORRO DA CRUZ - VERTICAL'!AF$6:AF$546,'BM MORRO DA CRUZ - VERTICAL'!$O$6:$O$546,'BM MORRO DA CRUZ'!$K88),0)</f>
        <v>0</v>
      </c>
      <c r="AC88" s="63">
        <f t="shared" si="52"/>
        <v>0</v>
      </c>
      <c r="AD88" s="61">
        <f>IFERROR(SUMIFS('BM MORRO DA CRUZ - VERTICAL'!AH$6:AH$546,'BM MORRO DA CRUZ - VERTICAL'!$O$6:$O$546,'BM MORRO DA CRUZ'!$K88),0)</f>
        <v>0</v>
      </c>
      <c r="AE88" s="63">
        <f t="shared" si="53"/>
        <v>0</v>
      </c>
      <c r="AF88" s="61">
        <f>IFERROR(SUMIFS('BM MORRO DA CRUZ - VERTICAL'!AJ$6:AJ$546,'BM MORRO DA CRUZ - VERTICAL'!$O$6:$O$546,'BM MORRO DA CRUZ'!$K88),0)</f>
        <v>0</v>
      </c>
      <c r="AG88" s="63">
        <f t="shared" si="54"/>
        <v>0</v>
      </c>
      <c r="AH88" s="61">
        <f>IFERROR(SUMIFS('BM MORRO DA CRUZ - VERTICAL'!AL$6:AL$546,'BM MORRO DA CRUZ - VERTICAL'!$O$6:$O$546,'BM MORRO DA CRUZ'!$K88),0)</f>
        <v>0</v>
      </c>
      <c r="AI88" s="63">
        <f t="shared" si="55"/>
        <v>0</v>
      </c>
      <c r="AJ88" s="61">
        <f>IFERROR(SUMIFS('BM MORRO DA CRUZ - VERTICAL'!AN$6:AN$546,'BM MORRO DA CRUZ - VERTICAL'!$O$6:$O$546,'BM MORRO DA CRUZ'!$K88),0)</f>
        <v>0</v>
      </c>
      <c r="AK88" s="63">
        <f t="shared" si="56"/>
        <v>0</v>
      </c>
      <c r="AL88" s="61">
        <f>IFERROR(SUMIFS('BM MORRO DA CRUZ - VERTICAL'!AP$6:AP$546,'BM MORRO DA CRUZ - VERTICAL'!$O$6:$O$546,'BM MORRO DA CRUZ'!$K88),0)</f>
        <v>0</v>
      </c>
      <c r="AM88" s="63">
        <f t="shared" si="57"/>
        <v>0</v>
      </c>
      <c r="AN88" s="61">
        <f>IFERROR(SUMIFS('BM MORRO DA CRUZ - VERTICAL'!AR$6:AR$546,'BM MORRO DA CRUZ - VERTICAL'!$O$6:$O$546,'BM MORRO DA CRUZ'!$K88),0)</f>
        <v>0</v>
      </c>
      <c r="AO88" s="63">
        <f t="shared" si="58"/>
        <v>0</v>
      </c>
      <c r="AP88" s="61">
        <f>IFERROR(SUMIFS('BM MORRO DA CRUZ - VERTICAL'!AT$6:AT$546,'BM MORRO DA CRUZ - VERTICAL'!$O$6:$O$546,'BM MORRO DA CRUZ'!$K88),0)</f>
        <v>0</v>
      </c>
      <c r="AQ88" s="63">
        <f t="shared" si="59"/>
        <v>0</v>
      </c>
      <c r="AR88" s="61">
        <f>IFERROR(SUMIFS('BM MORRO DA CRUZ - VERTICAL'!AV$6:AV$546,'BM MORRO DA CRUZ - VERTICAL'!$O$6:$O$546,'BM MORRO DA CRUZ'!$K88),0)</f>
        <v>0</v>
      </c>
      <c r="AS88" s="63">
        <f t="shared" si="60"/>
        <v>0</v>
      </c>
      <c r="AT88" s="61">
        <f>IFERROR(SUMIFS('BM MORRO DA CRUZ - VERTICAL'!AX$6:AX$546,'BM MORRO DA CRUZ - VERTICAL'!$O$6:$O$546,'BM MORRO DA CRUZ'!$K88),0)</f>
        <v>0</v>
      </c>
      <c r="AU88" s="63">
        <f t="shared" si="61"/>
        <v>0</v>
      </c>
      <c r="AV88" s="61">
        <f>IFERROR(SUMIFS('BM MORRO DA CRUZ - VERTICAL'!AZ$6:AZ$546,'BM MORRO DA CRUZ - VERTICAL'!$O$6:$O$546,'BM MORRO DA CRUZ'!$K88),0)</f>
        <v>0</v>
      </c>
      <c r="AW88" s="63">
        <f t="shared" si="62"/>
        <v>0</v>
      </c>
      <c r="AX88" s="61">
        <f>IFERROR(SUMIFS('BM MORRO DA CRUZ - VERTICAL'!BB$6:BB$546,'BM MORRO DA CRUZ - VERTICAL'!$O$6:$O$546,'BM MORRO DA CRUZ'!$K88),0)</f>
        <v>0</v>
      </c>
      <c r="AY88" s="63">
        <f t="shared" si="63"/>
        <v>0</v>
      </c>
      <c r="AZ88" s="61">
        <f>IFERROR(SUMIFS('BM MORRO DA CRUZ - VERTICAL'!BD$6:BD$546,'BM MORRO DA CRUZ - VERTICAL'!$O$6:$O$546,'BM MORRO DA CRUZ'!$K88),0)</f>
        <v>0</v>
      </c>
      <c r="BA88" s="63">
        <f t="shared" si="64"/>
        <v>0</v>
      </c>
      <c r="BB88" s="61">
        <f t="shared" si="65"/>
        <v>0</v>
      </c>
      <c r="BC88" s="63">
        <f t="shared" si="66"/>
        <v>0</v>
      </c>
      <c r="BD88" s="64">
        <f t="shared" si="67"/>
        <v>0</v>
      </c>
      <c r="BE88" s="65">
        <f t="shared" si="68"/>
        <v>1</v>
      </c>
      <c r="BF88" s="45"/>
    </row>
    <row r="89" spans="1:58" ht="26.25" customHeight="1" x14ac:dyDescent="0.45">
      <c r="A89" s="56" t="s">
        <v>361</v>
      </c>
      <c r="B89" s="506" t="s">
        <v>264</v>
      </c>
      <c r="C89" s="507" t="s">
        <v>147</v>
      </c>
      <c r="D89" s="507" t="s">
        <v>224</v>
      </c>
      <c r="E89" s="507" t="s">
        <v>265</v>
      </c>
      <c r="F89" s="507" t="s">
        <v>266</v>
      </c>
      <c r="G89" s="507">
        <v>280</v>
      </c>
      <c r="H89" s="508" t="s">
        <v>267</v>
      </c>
      <c r="I89" s="507" t="s">
        <v>114</v>
      </c>
      <c r="J89" s="508" t="s">
        <v>267</v>
      </c>
      <c r="K89" s="57" t="s">
        <v>362</v>
      </c>
      <c r="L89" s="58" t="s">
        <v>21</v>
      </c>
      <c r="M89" s="59" t="s">
        <v>363</v>
      </c>
      <c r="N89" s="60" t="s">
        <v>71</v>
      </c>
      <c r="O89" s="61">
        <v>6</v>
      </c>
      <c r="P89" s="62">
        <v>577.49</v>
      </c>
      <c r="Q89" s="63">
        <f t="shared" si="46"/>
        <v>3464.94</v>
      </c>
      <c r="R89" s="61">
        <f>IFERROR(SUMIFS('BM MORRO DA CRUZ - VERTICAL'!V$6:V$546,'BM MORRO DA CRUZ - VERTICAL'!$O$6:$O$546,'BM MORRO DA CRUZ'!$K89),0)</f>
        <v>0</v>
      </c>
      <c r="S89" s="63">
        <f t="shared" si="47"/>
        <v>0</v>
      </c>
      <c r="T89" s="61">
        <f>IFERROR(SUMIFS('BM MORRO DA CRUZ - VERTICAL'!X$6:X$546,'BM MORRO DA CRUZ - VERTICAL'!$O$6:$O$546,'BM MORRO DA CRUZ'!$K89),0)</f>
        <v>0</v>
      </c>
      <c r="U89" s="63">
        <f t="shared" si="48"/>
        <v>0</v>
      </c>
      <c r="V89" s="61">
        <f>IFERROR(SUMIFS('BM MORRO DA CRUZ - VERTICAL'!Z$6:Z$546,'BM MORRO DA CRUZ - VERTICAL'!$O$6:$O$546,'BM MORRO DA CRUZ'!$K89),0)</f>
        <v>0</v>
      </c>
      <c r="W89" s="63">
        <f t="shared" si="49"/>
        <v>0</v>
      </c>
      <c r="X89" s="61">
        <f>IFERROR(SUMIFS('BM MORRO DA CRUZ - VERTICAL'!AB$6:AB$546,'BM MORRO DA CRUZ - VERTICAL'!$O$6:$O$546,'BM MORRO DA CRUZ'!$K89),0)</f>
        <v>0</v>
      </c>
      <c r="Y89" s="63">
        <f t="shared" si="50"/>
        <v>0</v>
      </c>
      <c r="Z89" s="61">
        <f>IFERROR(SUMIFS('BM MORRO DA CRUZ - VERTICAL'!AD$6:AD$546,'BM MORRO DA CRUZ - VERTICAL'!$O$6:$O$546,'BM MORRO DA CRUZ'!$K89),0)</f>
        <v>0</v>
      </c>
      <c r="AA89" s="63">
        <f t="shared" si="51"/>
        <v>0</v>
      </c>
      <c r="AB89" s="61">
        <f>IFERROR(SUMIFS('BM MORRO DA CRUZ - VERTICAL'!AF$6:AF$546,'BM MORRO DA CRUZ - VERTICAL'!$O$6:$O$546,'BM MORRO DA CRUZ'!$K89),0)</f>
        <v>0</v>
      </c>
      <c r="AC89" s="63">
        <f t="shared" si="52"/>
        <v>0</v>
      </c>
      <c r="AD89" s="61">
        <f>IFERROR(SUMIFS('BM MORRO DA CRUZ - VERTICAL'!AH$6:AH$546,'BM MORRO DA CRUZ - VERTICAL'!$O$6:$O$546,'BM MORRO DA CRUZ'!$K89),0)</f>
        <v>0</v>
      </c>
      <c r="AE89" s="63">
        <f t="shared" si="53"/>
        <v>0</v>
      </c>
      <c r="AF89" s="61">
        <f>IFERROR(SUMIFS('BM MORRO DA CRUZ - VERTICAL'!AJ$6:AJ$546,'BM MORRO DA CRUZ - VERTICAL'!$O$6:$O$546,'BM MORRO DA CRUZ'!$K89),0)</f>
        <v>0</v>
      </c>
      <c r="AG89" s="63">
        <f t="shared" si="54"/>
        <v>0</v>
      </c>
      <c r="AH89" s="61">
        <f>IFERROR(SUMIFS('BM MORRO DA CRUZ - VERTICAL'!AL$6:AL$546,'BM MORRO DA CRUZ - VERTICAL'!$O$6:$O$546,'BM MORRO DA CRUZ'!$K89),0)</f>
        <v>0</v>
      </c>
      <c r="AI89" s="63">
        <f t="shared" si="55"/>
        <v>0</v>
      </c>
      <c r="AJ89" s="61">
        <f>IFERROR(SUMIFS('BM MORRO DA CRUZ - VERTICAL'!AN$6:AN$546,'BM MORRO DA CRUZ - VERTICAL'!$O$6:$O$546,'BM MORRO DA CRUZ'!$K89),0)</f>
        <v>0</v>
      </c>
      <c r="AK89" s="63">
        <f t="shared" si="56"/>
        <v>0</v>
      </c>
      <c r="AL89" s="61">
        <f>IFERROR(SUMIFS('BM MORRO DA CRUZ - VERTICAL'!AP$6:AP$546,'BM MORRO DA CRUZ - VERTICAL'!$O$6:$O$546,'BM MORRO DA CRUZ'!$K89),0)</f>
        <v>0</v>
      </c>
      <c r="AM89" s="63">
        <f t="shared" si="57"/>
        <v>0</v>
      </c>
      <c r="AN89" s="61">
        <f>IFERROR(SUMIFS('BM MORRO DA CRUZ - VERTICAL'!AR$6:AR$546,'BM MORRO DA CRUZ - VERTICAL'!$O$6:$O$546,'BM MORRO DA CRUZ'!$K89),0)</f>
        <v>0</v>
      </c>
      <c r="AO89" s="63">
        <f t="shared" si="58"/>
        <v>0</v>
      </c>
      <c r="AP89" s="61">
        <f>IFERROR(SUMIFS('BM MORRO DA CRUZ - VERTICAL'!AT$6:AT$546,'BM MORRO DA CRUZ - VERTICAL'!$O$6:$O$546,'BM MORRO DA CRUZ'!$K89),0)</f>
        <v>0</v>
      </c>
      <c r="AQ89" s="63">
        <f t="shared" si="59"/>
        <v>0</v>
      </c>
      <c r="AR89" s="61">
        <f>IFERROR(SUMIFS('BM MORRO DA CRUZ - VERTICAL'!AV$6:AV$546,'BM MORRO DA CRUZ - VERTICAL'!$O$6:$O$546,'BM MORRO DA CRUZ'!$K89),0)</f>
        <v>0</v>
      </c>
      <c r="AS89" s="63">
        <f t="shared" si="60"/>
        <v>0</v>
      </c>
      <c r="AT89" s="61">
        <f>IFERROR(SUMIFS('BM MORRO DA CRUZ - VERTICAL'!AX$6:AX$546,'BM MORRO DA CRUZ - VERTICAL'!$O$6:$O$546,'BM MORRO DA CRUZ'!$K89),0)</f>
        <v>0</v>
      </c>
      <c r="AU89" s="63">
        <f t="shared" si="61"/>
        <v>0</v>
      </c>
      <c r="AV89" s="61">
        <f>IFERROR(SUMIFS('BM MORRO DA CRUZ - VERTICAL'!AZ$6:AZ$546,'BM MORRO DA CRUZ - VERTICAL'!$O$6:$O$546,'BM MORRO DA CRUZ'!$K89),0)</f>
        <v>0</v>
      </c>
      <c r="AW89" s="63">
        <f t="shared" si="62"/>
        <v>0</v>
      </c>
      <c r="AX89" s="61">
        <f>IFERROR(SUMIFS('BM MORRO DA CRUZ - VERTICAL'!BB$6:BB$546,'BM MORRO DA CRUZ - VERTICAL'!$O$6:$O$546,'BM MORRO DA CRUZ'!$K89),0)</f>
        <v>0</v>
      </c>
      <c r="AY89" s="63">
        <f t="shared" si="63"/>
        <v>0</v>
      </c>
      <c r="AZ89" s="61">
        <f>IFERROR(SUMIFS('BM MORRO DA CRUZ - VERTICAL'!BD$6:BD$546,'BM MORRO DA CRUZ - VERTICAL'!$O$6:$O$546,'BM MORRO DA CRUZ'!$K89),0)</f>
        <v>0</v>
      </c>
      <c r="BA89" s="63">
        <f t="shared" si="64"/>
        <v>0</v>
      </c>
      <c r="BB89" s="61">
        <f t="shared" si="65"/>
        <v>0</v>
      </c>
      <c r="BC89" s="63">
        <f t="shared" si="66"/>
        <v>0</v>
      </c>
      <c r="BD89" s="64">
        <f t="shared" si="67"/>
        <v>0</v>
      </c>
      <c r="BE89" s="65">
        <f t="shared" si="68"/>
        <v>1</v>
      </c>
      <c r="BF89" s="45"/>
    </row>
    <row r="90" spans="1:58" ht="26.25" customHeight="1" x14ac:dyDescent="0.45">
      <c r="A90" s="56" t="s">
        <v>364</v>
      </c>
      <c r="B90" s="506" t="s">
        <v>264</v>
      </c>
      <c r="C90" s="507" t="s">
        <v>147</v>
      </c>
      <c r="D90" s="507" t="s">
        <v>224</v>
      </c>
      <c r="E90" s="507" t="s">
        <v>265</v>
      </c>
      <c r="F90" s="507" t="s">
        <v>266</v>
      </c>
      <c r="G90" s="507">
        <v>355</v>
      </c>
      <c r="H90" s="508" t="s">
        <v>267</v>
      </c>
      <c r="I90" s="507" t="s">
        <v>114</v>
      </c>
      <c r="J90" s="508" t="s">
        <v>267</v>
      </c>
      <c r="K90" s="57" t="s">
        <v>365</v>
      </c>
      <c r="L90" s="58" t="s">
        <v>21</v>
      </c>
      <c r="M90" s="59" t="s">
        <v>366</v>
      </c>
      <c r="N90" s="60" t="s">
        <v>367</v>
      </c>
      <c r="O90" s="61">
        <v>9</v>
      </c>
      <c r="P90" s="62">
        <v>1272.0999999999999</v>
      </c>
      <c r="Q90" s="63">
        <f t="shared" si="46"/>
        <v>11448.9</v>
      </c>
      <c r="R90" s="61">
        <f>IFERROR(SUMIFS('BM MORRO DA CRUZ - VERTICAL'!V$6:V$546,'BM MORRO DA CRUZ - VERTICAL'!$O$6:$O$546,'BM MORRO DA CRUZ'!$K90),0)</f>
        <v>0</v>
      </c>
      <c r="S90" s="63">
        <f t="shared" si="47"/>
        <v>0</v>
      </c>
      <c r="T90" s="61">
        <f>IFERROR(SUMIFS('BM MORRO DA CRUZ - VERTICAL'!X$6:X$546,'BM MORRO DA CRUZ - VERTICAL'!$O$6:$O$546,'BM MORRO DA CRUZ'!$K90),0)</f>
        <v>0</v>
      </c>
      <c r="U90" s="63">
        <f t="shared" si="48"/>
        <v>0</v>
      </c>
      <c r="V90" s="61">
        <f>IFERROR(SUMIFS('BM MORRO DA CRUZ - VERTICAL'!Z$6:Z$546,'BM MORRO DA CRUZ - VERTICAL'!$O$6:$O$546,'BM MORRO DA CRUZ'!$K90),0)</f>
        <v>0</v>
      </c>
      <c r="W90" s="63">
        <f t="shared" si="49"/>
        <v>0</v>
      </c>
      <c r="X90" s="61">
        <f>IFERROR(SUMIFS('BM MORRO DA CRUZ - VERTICAL'!AB$6:AB$546,'BM MORRO DA CRUZ - VERTICAL'!$O$6:$O$546,'BM MORRO DA CRUZ'!$K90),0)</f>
        <v>0</v>
      </c>
      <c r="Y90" s="63">
        <f t="shared" si="50"/>
        <v>0</v>
      </c>
      <c r="Z90" s="61">
        <f>IFERROR(SUMIFS('BM MORRO DA CRUZ - VERTICAL'!AD$6:AD$546,'BM MORRO DA CRUZ - VERTICAL'!$O$6:$O$546,'BM MORRO DA CRUZ'!$K90),0)</f>
        <v>0</v>
      </c>
      <c r="AA90" s="63">
        <f t="shared" si="51"/>
        <v>0</v>
      </c>
      <c r="AB90" s="61">
        <f>IFERROR(SUMIFS('BM MORRO DA CRUZ - VERTICAL'!AF$6:AF$546,'BM MORRO DA CRUZ - VERTICAL'!$O$6:$O$546,'BM MORRO DA CRUZ'!$K90),0)</f>
        <v>0</v>
      </c>
      <c r="AC90" s="63">
        <f t="shared" si="52"/>
        <v>0</v>
      </c>
      <c r="AD90" s="61">
        <f>IFERROR(SUMIFS('BM MORRO DA CRUZ - VERTICAL'!AH$6:AH$546,'BM MORRO DA CRUZ - VERTICAL'!$O$6:$O$546,'BM MORRO DA CRUZ'!$K90),0)</f>
        <v>0</v>
      </c>
      <c r="AE90" s="63">
        <f t="shared" si="53"/>
        <v>0</v>
      </c>
      <c r="AF90" s="61">
        <f>IFERROR(SUMIFS('BM MORRO DA CRUZ - VERTICAL'!AJ$6:AJ$546,'BM MORRO DA CRUZ - VERTICAL'!$O$6:$O$546,'BM MORRO DA CRUZ'!$K90),0)</f>
        <v>0</v>
      </c>
      <c r="AG90" s="63">
        <f t="shared" si="54"/>
        <v>0</v>
      </c>
      <c r="AH90" s="61">
        <f>IFERROR(SUMIFS('BM MORRO DA CRUZ - VERTICAL'!AL$6:AL$546,'BM MORRO DA CRUZ - VERTICAL'!$O$6:$O$546,'BM MORRO DA CRUZ'!$K90),0)</f>
        <v>0</v>
      </c>
      <c r="AI90" s="63">
        <f t="shared" si="55"/>
        <v>0</v>
      </c>
      <c r="AJ90" s="61">
        <f>IFERROR(SUMIFS('BM MORRO DA CRUZ - VERTICAL'!AN$6:AN$546,'BM MORRO DA CRUZ - VERTICAL'!$O$6:$O$546,'BM MORRO DA CRUZ'!$K90),0)</f>
        <v>0</v>
      </c>
      <c r="AK90" s="63">
        <f t="shared" si="56"/>
        <v>0</v>
      </c>
      <c r="AL90" s="61">
        <f>IFERROR(SUMIFS('BM MORRO DA CRUZ - VERTICAL'!AP$6:AP$546,'BM MORRO DA CRUZ - VERTICAL'!$O$6:$O$546,'BM MORRO DA CRUZ'!$K90),0)</f>
        <v>0</v>
      </c>
      <c r="AM90" s="63">
        <f t="shared" si="57"/>
        <v>0</v>
      </c>
      <c r="AN90" s="61">
        <f>IFERROR(SUMIFS('BM MORRO DA CRUZ - VERTICAL'!AR$6:AR$546,'BM MORRO DA CRUZ - VERTICAL'!$O$6:$O$546,'BM MORRO DA CRUZ'!$K90),0)</f>
        <v>0</v>
      </c>
      <c r="AO90" s="63">
        <f t="shared" si="58"/>
        <v>0</v>
      </c>
      <c r="AP90" s="61">
        <f>IFERROR(SUMIFS('BM MORRO DA CRUZ - VERTICAL'!AT$6:AT$546,'BM MORRO DA CRUZ - VERTICAL'!$O$6:$O$546,'BM MORRO DA CRUZ'!$K90),0)</f>
        <v>0</v>
      </c>
      <c r="AQ90" s="63">
        <f t="shared" si="59"/>
        <v>0</v>
      </c>
      <c r="AR90" s="61">
        <f>IFERROR(SUMIFS('BM MORRO DA CRUZ - VERTICAL'!AV$6:AV$546,'BM MORRO DA CRUZ - VERTICAL'!$O$6:$O$546,'BM MORRO DA CRUZ'!$K90),0)</f>
        <v>0</v>
      </c>
      <c r="AS90" s="63">
        <f t="shared" si="60"/>
        <v>0</v>
      </c>
      <c r="AT90" s="61">
        <f>IFERROR(SUMIFS('BM MORRO DA CRUZ - VERTICAL'!AX$6:AX$546,'BM MORRO DA CRUZ - VERTICAL'!$O$6:$O$546,'BM MORRO DA CRUZ'!$K90),0)</f>
        <v>0</v>
      </c>
      <c r="AU90" s="63">
        <f t="shared" si="61"/>
        <v>0</v>
      </c>
      <c r="AV90" s="61">
        <f>IFERROR(SUMIFS('BM MORRO DA CRUZ - VERTICAL'!AZ$6:AZ$546,'BM MORRO DA CRUZ - VERTICAL'!$O$6:$O$546,'BM MORRO DA CRUZ'!$K90),0)</f>
        <v>0</v>
      </c>
      <c r="AW90" s="63">
        <f t="shared" si="62"/>
        <v>0</v>
      </c>
      <c r="AX90" s="61">
        <f>IFERROR(SUMIFS('BM MORRO DA CRUZ - VERTICAL'!BB$6:BB$546,'BM MORRO DA CRUZ - VERTICAL'!$O$6:$O$546,'BM MORRO DA CRUZ'!$K90),0)</f>
        <v>0</v>
      </c>
      <c r="AY90" s="63">
        <f t="shared" si="63"/>
        <v>0</v>
      </c>
      <c r="AZ90" s="61">
        <f>IFERROR(SUMIFS('BM MORRO DA CRUZ - VERTICAL'!BD$6:BD$546,'BM MORRO DA CRUZ - VERTICAL'!$O$6:$O$546,'BM MORRO DA CRUZ'!$K90),0)</f>
        <v>0</v>
      </c>
      <c r="BA90" s="63">
        <f t="shared" si="64"/>
        <v>0</v>
      </c>
      <c r="BB90" s="61">
        <f t="shared" si="65"/>
        <v>0</v>
      </c>
      <c r="BC90" s="63">
        <f t="shared" si="66"/>
        <v>0</v>
      </c>
      <c r="BD90" s="64">
        <f t="shared" si="67"/>
        <v>0</v>
      </c>
      <c r="BE90" s="65">
        <f t="shared" si="68"/>
        <v>1</v>
      </c>
      <c r="BF90" s="45"/>
    </row>
    <row r="91" spans="1:58" ht="26.25" customHeight="1" x14ac:dyDescent="0.45">
      <c r="A91" s="56" t="s">
        <v>368</v>
      </c>
      <c r="B91" s="506" t="s">
        <v>369</v>
      </c>
      <c r="C91" s="507" t="s">
        <v>111</v>
      </c>
      <c r="D91" s="507" t="s">
        <v>224</v>
      </c>
      <c r="E91" s="507" t="s">
        <v>265</v>
      </c>
      <c r="F91" s="507" t="s">
        <v>266</v>
      </c>
      <c r="G91" s="507">
        <v>90</v>
      </c>
      <c r="H91" s="508" t="s">
        <v>267</v>
      </c>
      <c r="I91" s="507" t="s">
        <v>114</v>
      </c>
      <c r="J91" s="508" t="s">
        <v>267</v>
      </c>
      <c r="K91" s="57" t="s">
        <v>370</v>
      </c>
      <c r="L91" s="58" t="s">
        <v>21</v>
      </c>
      <c r="M91" s="59" t="s">
        <v>371</v>
      </c>
      <c r="N91" s="60" t="s">
        <v>71</v>
      </c>
      <c r="O91" s="61">
        <v>175</v>
      </c>
      <c r="P91" s="62">
        <v>56.83</v>
      </c>
      <c r="Q91" s="63">
        <f t="shared" si="46"/>
        <v>9945.25</v>
      </c>
      <c r="R91" s="61">
        <f>IFERROR(SUMIFS('BM MORRO DA CRUZ - VERTICAL'!V$6:V$546,'BM MORRO DA CRUZ - VERTICAL'!$O$6:$O$546,'BM MORRO DA CRUZ'!$K91),0)</f>
        <v>0</v>
      </c>
      <c r="S91" s="63">
        <f t="shared" si="47"/>
        <v>0</v>
      </c>
      <c r="T91" s="61">
        <f>IFERROR(SUMIFS('BM MORRO DA CRUZ - VERTICAL'!X$6:X$546,'BM MORRO DA CRUZ - VERTICAL'!$O$6:$O$546,'BM MORRO DA CRUZ'!$K91),0)</f>
        <v>0</v>
      </c>
      <c r="U91" s="63">
        <f t="shared" si="48"/>
        <v>0</v>
      </c>
      <c r="V91" s="61">
        <f>IFERROR(SUMIFS('BM MORRO DA CRUZ - VERTICAL'!Z$6:Z$546,'BM MORRO DA CRUZ - VERTICAL'!$O$6:$O$546,'BM MORRO DA CRUZ'!$K91),0)</f>
        <v>0</v>
      </c>
      <c r="W91" s="63">
        <f t="shared" si="49"/>
        <v>0</v>
      </c>
      <c r="X91" s="61">
        <f>IFERROR(SUMIFS('BM MORRO DA CRUZ - VERTICAL'!AB$6:AB$546,'BM MORRO DA CRUZ - VERTICAL'!$O$6:$O$546,'BM MORRO DA CRUZ'!$K91),0)</f>
        <v>0</v>
      </c>
      <c r="Y91" s="63">
        <f t="shared" si="50"/>
        <v>0</v>
      </c>
      <c r="Z91" s="61">
        <f>IFERROR(SUMIFS('BM MORRO DA CRUZ - VERTICAL'!AD$6:AD$546,'BM MORRO DA CRUZ - VERTICAL'!$O$6:$O$546,'BM MORRO DA CRUZ'!$K91),0)</f>
        <v>0</v>
      </c>
      <c r="AA91" s="63">
        <f t="shared" si="51"/>
        <v>0</v>
      </c>
      <c r="AB91" s="61">
        <f>IFERROR(SUMIFS('BM MORRO DA CRUZ - VERTICAL'!AF$6:AF$546,'BM MORRO DA CRUZ - VERTICAL'!$O$6:$O$546,'BM MORRO DA CRUZ'!$K91),0)</f>
        <v>0</v>
      </c>
      <c r="AC91" s="63">
        <f t="shared" si="52"/>
        <v>0</v>
      </c>
      <c r="AD91" s="61">
        <f>IFERROR(SUMIFS('BM MORRO DA CRUZ - VERTICAL'!AH$6:AH$546,'BM MORRO DA CRUZ - VERTICAL'!$O$6:$O$546,'BM MORRO DA CRUZ'!$K91),0)</f>
        <v>0</v>
      </c>
      <c r="AE91" s="63">
        <f t="shared" si="53"/>
        <v>0</v>
      </c>
      <c r="AF91" s="61">
        <f>IFERROR(SUMIFS('BM MORRO DA CRUZ - VERTICAL'!AJ$6:AJ$546,'BM MORRO DA CRUZ - VERTICAL'!$O$6:$O$546,'BM MORRO DA CRUZ'!$K91),0)</f>
        <v>0</v>
      </c>
      <c r="AG91" s="63">
        <f t="shared" si="54"/>
        <v>0</v>
      </c>
      <c r="AH91" s="61">
        <f>IFERROR(SUMIFS('BM MORRO DA CRUZ - VERTICAL'!AL$6:AL$546,'BM MORRO DA CRUZ - VERTICAL'!$O$6:$O$546,'BM MORRO DA CRUZ'!$K91),0)</f>
        <v>0</v>
      </c>
      <c r="AI91" s="63">
        <f t="shared" si="55"/>
        <v>0</v>
      </c>
      <c r="AJ91" s="61">
        <f>IFERROR(SUMIFS('BM MORRO DA CRUZ - VERTICAL'!AN$6:AN$546,'BM MORRO DA CRUZ - VERTICAL'!$O$6:$O$546,'BM MORRO DA CRUZ'!$K91),0)</f>
        <v>0</v>
      </c>
      <c r="AK91" s="63">
        <f t="shared" si="56"/>
        <v>0</v>
      </c>
      <c r="AL91" s="61">
        <f>IFERROR(SUMIFS('BM MORRO DA CRUZ - VERTICAL'!AP$6:AP$546,'BM MORRO DA CRUZ - VERTICAL'!$O$6:$O$546,'BM MORRO DA CRUZ'!$K91),0)</f>
        <v>0</v>
      </c>
      <c r="AM91" s="63">
        <f t="shared" si="57"/>
        <v>0</v>
      </c>
      <c r="AN91" s="61">
        <f>IFERROR(SUMIFS('BM MORRO DA CRUZ - VERTICAL'!AR$6:AR$546,'BM MORRO DA CRUZ - VERTICAL'!$O$6:$O$546,'BM MORRO DA CRUZ'!$K91),0)</f>
        <v>0</v>
      </c>
      <c r="AO91" s="63">
        <f t="shared" si="58"/>
        <v>0</v>
      </c>
      <c r="AP91" s="61">
        <f>IFERROR(SUMIFS('BM MORRO DA CRUZ - VERTICAL'!AT$6:AT$546,'BM MORRO DA CRUZ - VERTICAL'!$O$6:$O$546,'BM MORRO DA CRUZ'!$K91),0)</f>
        <v>0</v>
      </c>
      <c r="AQ91" s="63">
        <f t="shared" si="59"/>
        <v>0</v>
      </c>
      <c r="AR91" s="61">
        <f>IFERROR(SUMIFS('BM MORRO DA CRUZ - VERTICAL'!AV$6:AV$546,'BM MORRO DA CRUZ - VERTICAL'!$O$6:$O$546,'BM MORRO DA CRUZ'!$K91),0)</f>
        <v>0</v>
      </c>
      <c r="AS91" s="63">
        <f t="shared" si="60"/>
        <v>0</v>
      </c>
      <c r="AT91" s="61">
        <f>IFERROR(SUMIFS('BM MORRO DA CRUZ - VERTICAL'!AX$6:AX$546,'BM MORRO DA CRUZ - VERTICAL'!$O$6:$O$546,'BM MORRO DA CRUZ'!$K91),0)</f>
        <v>0</v>
      </c>
      <c r="AU91" s="63">
        <f t="shared" si="61"/>
        <v>0</v>
      </c>
      <c r="AV91" s="61">
        <f>IFERROR(SUMIFS('BM MORRO DA CRUZ - VERTICAL'!AZ$6:AZ$546,'BM MORRO DA CRUZ - VERTICAL'!$O$6:$O$546,'BM MORRO DA CRUZ'!$K91),0)</f>
        <v>0</v>
      </c>
      <c r="AW91" s="63">
        <f t="shared" si="62"/>
        <v>0</v>
      </c>
      <c r="AX91" s="61">
        <f>IFERROR(SUMIFS('BM MORRO DA CRUZ - VERTICAL'!BB$6:BB$546,'BM MORRO DA CRUZ - VERTICAL'!$O$6:$O$546,'BM MORRO DA CRUZ'!$K91),0)</f>
        <v>0</v>
      </c>
      <c r="AY91" s="63">
        <f t="shared" si="63"/>
        <v>0</v>
      </c>
      <c r="AZ91" s="61">
        <f>IFERROR(SUMIFS('BM MORRO DA CRUZ - VERTICAL'!BD$6:BD$546,'BM MORRO DA CRUZ - VERTICAL'!$O$6:$O$546,'BM MORRO DA CRUZ'!$K91),0)</f>
        <v>0</v>
      </c>
      <c r="BA91" s="63">
        <f t="shared" si="64"/>
        <v>0</v>
      </c>
      <c r="BB91" s="61">
        <f t="shared" si="65"/>
        <v>0</v>
      </c>
      <c r="BC91" s="63">
        <f t="shared" si="66"/>
        <v>0</v>
      </c>
      <c r="BD91" s="64">
        <f t="shared" si="67"/>
        <v>0</v>
      </c>
      <c r="BE91" s="65">
        <f t="shared" si="68"/>
        <v>1</v>
      </c>
      <c r="BF91" s="45"/>
    </row>
    <row r="92" spans="1:58" ht="35.65" x14ac:dyDescent="0.45">
      <c r="A92" s="56" t="s">
        <v>372</v>
      </c>
      <c r="B92" s="506" t="s">
        <v>373</v>
      </c>
      <c r="C92" s="507" t="s">
        <v>111</v>
      </c>
      <c r="D92" s="507" t="s">
        <v>224</v>
      </c>
      <c r="E92" s="507" t="s">
        <v>374</v>
      </c>
      <c r="F92" s="507" t="s">
        <v>273</v>
      </c>
      <c r="G92" s="507" t="s">
        <v>375</v>
      </c>
      <c r="H92" s="508" t="s">
        <v>267</v>
      </c>
      <c r="I92" s="507" t="s">
        <v>114</v>
      </c>
      <c r="J92" s="508" t="s">
        <v>267</v>
      </c>
      <c r="K92" s="57" t="s">
        <v>376</v>
      </c>
      <c r="L92" s="58" t="s">
        <v>21</v>
      </c>
      <c r="M92" s="59" t="s">
        <v>377</v>
      </c>
      <c r="N92" s="60" t="s">
        <v>71</v>
      </c>
      <c r="O92" s="61">
        <v>92</v>
      </c>
      <c r="P92" s="62">
        <v>98.58</v>
      </c>
      <c r="Q92" s="63">
        <f t="shared" ref="Q92:Q123" si="69">ROUND(P92*$O92,2)</f>
        <v>9069.36</v>
      </c>
      <c r="R92" s="61">
        <f>IFERROR(SUMIFS('BM MORRO DA CRUZ - VERTICAL'!V$6:V$546,'BM MORRO DA CRUZ - VERTICAL'!$O$6:$O$546,'BM MORRO DA CRUZ'!$K92),0)</f>
        <v>0</v>
      </c>
      <c r="S92" s="63">
        <f t="shared" ref="S92:S123" si="70">ROUND(R92*$P92,2)</f>
        <v>0</v>
      </c>
      <c r="T92" s="61">
        <f>IFERROR(SUMIFS('BM MORRO DA CRUZ - VERTICAL'!X$6:X$546,'BM MORRO DA CRUZ - VERTICAL'!$O$6:$O$546,'BM MORRO DA CRUZ'!$K92),0)</f>
        <v>0</v>
      </c>
      <c r="U92" s="63">
        <f t="shared" ref="U92:U123" si="71">ROUND(T92*$P92,2)</f>
        <v>0</v>
      </c>
      <c r="V92" s="61">
        <f>IFERROR(SUMIFS('BM MORRO DA CRUZ - VERTICAL'!Z$6:Z$546,'BM MORRO DA CRUZ - VERTICAL'!$O$6:$O$546,'BM MORRO DA CRUZ'!$K92),0)</f>
        <v>0</v>
      </c>
      <c r="W92" s="63">
        <f t="shared" ref="W92:W123" si="72">ROUND(V92*$P92,2)</f>
        <v>0</v>
      </c>
      <c r="X92" s="61">
        <f>IFERROR(SUMIFS('BM MORRO DA CRUZ - VERTICAL'!AB$6:AB$546,'BM MORRO DA CRUZ - VERTICAL'!$O$6:$O$546,'BM MORRO DA CRUZ'!$K92),0)</f>
        <v>0</v>
      </c>
      <c r="Y92" s="63">
        <f t="shared" ref="Y92:Y123" si="73">ROUND(X92*$P92,2)</f>
        <v>0</v>
      </c>
      <c r="Z92" s="61">
        <f>IFERROR(SUMIFS('BM MORRO DA CRUZ - VERTICAL'!AD$6:AD$546,'BM MORRO DA CRUZ - VERTICAL'!$O$6:$O$546,'BM MORRO DA CRUZ'!$K92),0)</f>
        <v>0</v>
      </c>
      <c r="AA92" s="63">
        <f t="shared" ref="AA92:AA123" si="74">ROUND(Z92*$P92,2)</f>
        <v>0</v>
      </c>
      <c r="AB92" s="61">
        <f>IFERROR(SUMIFS('BM MORRO DA CRUZ - VERTICAL'!AF$6:AF$546,'BM MORRO DA CRUZ - VERTICAL'!$O$6:$O$546,'BM MORRO DA CRUZ'!$K92),0)</f>
        <v>0</v>
      </c>
      <c r="AC92" s="63">
        <f t="shared" ref="AC92:AC123" si="75">ROUND(AB92*$P92,2)</f>
        <v>0</v>
      </c>
      <c r="AD92" s="61">
        <f>IFERROR(SUMIFS('BM MORRO DA CRUZ - VERTICAL'!AH$6:AH$546,'BM MORRO DA CRUZ - VERTICAL'!$O$6:$O$546,'BM MORRO DA CRUZ'!$K92),0)</f>
        <v>0</v>
      </c>
      <c r="AE92" s="63">
        <f t="shared" ref="AE92:AE123" si="76">ROUND(AD92*$P92,2)</f>
        <v>0</v>
      </c>
      <c r="AF92" s="61">
        <f>IFERROR(SUMIFS('BM MORRO DA CRUZ - VERTICAL'!AJ$6:AJ$546,'BM MORRO DA CRUZ - VERTICAL'!$O$6:$O$546,'BM MORRO DA CRUZ'!$K92),0)</f>
        <v>0</v>
      </c>
      <c r="AG92" s="63">
        <f t="shared" ref="AG92:AG123" si="77">ROUND(AF92*$P92,2)</f>
        <v>0</v>
      </c>
      <c r="AH92" s="61">
        <f>IFERROR(SUMIFS('BM MORRO DA CRUZ - VERTICAL'!AL$6:AL$546,'BM MORRO DA CRUZ - VERTICAL'!$O$6:$O$546,'BM MORRO DA CRUZ'!$K92),0)</f>
        <v>0</v>
      </c>
      <c r="AI92" s="63">
        <f t="shared" ref="AI92:AI123" si="78">ROUND(AH92*$P92,2)</f>
        <v>0</v>
      </c>
      <c r="AJ92" s="61">
        <f>IFERROR(SUMIFS('BM MORRO DA CRUZ - VERTICAL'!AN$6:AN$546,'BM MORRO DA CRUZ - VERTICAL'!$O$6:$O$546,'BM MORRO DA CRUZ'!$K92),0)</f>
        <v>0</v>
      </c>
      <c r="AK92" s="63">
        <f t="shared" ref="AK92:AK123" si="79">ROUND(AJ92*$P92,2)</f>
        <v>0</v>
      </c>
      <c r="AL92" s="61">
        <f>IFERROR(SUMIFS('BM MORRO DA CRUZ - VERTICAL'!AP$6:AP$546,'BM MORRO DA CRUZ - VERTICAL'!$O$6:$O$546,'BM MORRO DA CRUZ'!$K92),0)</f>
        <v>0</v>
      </c>
      <c r="AM92" s="63">
        <f t="shared" ref="AM92:AM123" si="80">ROUND(AL92*$P92,2)</f>
        <v>0</v>
      </c>
      <c r="AN92" s="61">
        <f>IFERROR(SUMIFS('BM MORRO DA CRUZ - VERTICAL'!AR$6:AR$546,'BM MORRO DA CRUZ - VERTICAL'!$O$6:$O$546,'BM MORRO DA CRUZ'!$K92),0)</f>
        <v>0</v>
      </c>
      <c r="AO92" s="63">
        <f t="shared" ref="AO92:AO123" si="81">ROUND(AN92*$P92,2)</f>
        <v>0</v>
      </c>
      <c r="AP92" s="61">
        <f>IFERROR(SUMIFS('BM MORRO DA CRUZ - VERTICAL'!AT$6:AT$546,'BM MORRO DA CRUZ - VERTICAL'!$O$6:$O$546,'BM MORRO DA CRUZ'!$K92),0)</f>
        <v>0</v>
      </c>
      <c r="AQ92" s="63">
        <f t="shared" ref="AQ92:AQ123" si="82">ROUND(AP92*$P92,2)</f>
        <v>0</v>
      </c>
      <c r="AR92" s="61">
        <f>IFERROR(SUMIFS('BM MORRO DA CRUZ - VERTICAL'!AV$6:AV$546,'BM MORRO DA CRUZ - VERTICAL'!$O$6:$O$546,'BM MORRO DA CRUZ'!$K92),0)</f>
        <v>0</v>
      </c>
      <c r="AS92" s="63">
        <f t="shared" ref="AS92:AS123" si="83">ROUND(AR92*$P92,2)</f>
        <v>0</v>
      </c>
      <c r="AT92" s="61">
        <f>IFERROR(SUMIFS('BM MORRO DA CRUZ - VERTICAL'!AX$6:AX$546,'BM MORRO DA CRUZ - VERTICAL'!$O$6:$O$546,'BM MORRO DA CRUZ'!$K92),0)</f>
        <v>0</v>
      </c>
      <c r="AU92" s="63">
        <f t="shared" ref="AU92:AU123" si="84">ROUND(AT92*$P92,2)</f>
        <v>0</v>
      </c>
      <c r="AV92" s="61">
        <f>IFERROR(SUMIFS('BM MORRO DA CRUZ - VERTICAL'!AZ$6:AZ$546,'BM MORRO DA CRUZ - VERTICAL'!$O$6:$O$546,'BM MORRO DA CRUZ'!$K92),0)</f>
        <v>0</v>
      </c>
      <c r="AW92" s="63">
        <f t="shared" ref="AW92:AW123" si="85">ROUND(AV92*$P92,2)</f>
        <v>0</v>
      </c>
      <c r="AX92" s="61">
        <f>IFERROR(SUMIFS('BM MORRO DA CRUZ - VERTICAL'!BB$6:BB$546,'BM MORRO DA CRUZ - VERTICAL'!$O$6:$O$546,'BM MORRO DA CRUZ'!$K92),0)</f>
        <v>0</v>
      </c>
      <c r="AY92" s="63">
        <f t="shared" ref="AY92:AY123" si="86">ROUND(AX92*$P92,2)</f>
        <v>0</v>
      </c>
      <c r="AZ92" s="61">
        <f>IFERROR(SUMIFS('BM MORRO DA CRUZ - VERTICAL'!BD$6:BD$546,'BM MORRO DA CRUZ - VERTICAL'!$O$6:$O$546,'BM MORRO DA CRUZ'!$K92),0)</f>
        <v>0</v>
      </c>
      <c r="BA92" s="63">
        <f t="shared" ref="BA92:BA123" si="87">ROUND(AZ92*$P92,2)</f>
        <v>0</v>
      </c>
      <c r="BB92" s="61">
        <f t="shared" ref="BB92:BB123" si="88">IFERROR(SUMIFS($R92:$BA92,$R$5:$BA$5,$BB$5),0)</f>
        <v>0</v>
      </c>
      <c r="BC92" s="63">
        <f t="shared" ref="BC92:BC123" si="89">SUMIFS($R92:$BA92,$R$5:$BA$5,$S$5)</f>
        <v>0</v>
      </c>
      <c r="BD92" s="64">
        <f t="shared" ref="BD92:BD123" si="90">IFERROR(BB92/O92,0)</f>
        <v>0</v>
      </c>
      <c r="BE92" s="65">
        <f t="shared" ref="BE92:BE123" si="91">IFERROR((O92-BB92)/O92,0)</f>
        <v>1</v>
      </c>
      <c r="BF92" s="45"/>
    </row>
    <row r="93" spans="1:58" ht="35.65" x14ac:dyDescent="0.45">
      <c r="A93" s="56" t="s">
        <v>378</v>
      </c>
      <c r="B93" s="506" t="s">
        <v>373</v>
      </c>
      <c r="C93" s="507" t="s">
        <v>111</v>
      </c>
      <c r="D93" s="507" t="s">
        <v>224</v>
      </c>
      <c r="E93" s="507" t="s">
        <v>374</v>
      </c>
      <c r="F93" s="507" t="s">
        <v>273</v>
      </c>
      <c r="G93" s="507" t="s">
        <v>379</v>
      </c>
      <c r="H93" s="508" t="s">
        <v>267</v>
      </c>
      <c r="I93" s="507" t="s">
        <v>114</v>
      </c>
      <c r="J93" s="508" t="s">
        <v>267</v>
      </c>
      <c r="K93" s="57" t="s">
        <v>380</v>
      </c>
      <c r="L93" s="58" t="s">
        <v>21</v>
      </c>
      <c r="M93" s="59" t="s">
        <v>381</v>
      </c>
      <c r="N93" s="60" t="s">
        <v>71</v>
      </c>
      <c r="O93" s="61">
        <v>7</v>
      </c>
      <c r="P93" s="62">
        <v>98.58</v>
      </c>
      <c r="Q93" s="63">
        <f t="shared" si="69"/>
        <v>690.06</v>
      </c>
      <c r="R93" s="61">
        <f>IFERROR(SUMIFS('BM MORRO DA CRUZ - VERTICAL'!V$6:V$546,'BM MORRO DA CRUZ - VERTICAL'!$O$6:$O$546,'BM MORRO DA CRUZ'!$K93),0)</f>
        <v>0</v>
      </c>
      <c r="S93" s="63">
        <f t="shared" si="70"/>
        <v>0</v>
      </c>
      <c r="T93" s="61">
        <f>IFERROR(SUMIFS('BM MORRO DA CRUZ - VERTICAL'!X$6:X$546,'BM MORRO DA CRUZ - VERTICAL'!$O$6:$O$546,'BM MORRO DA CRUZ'!$K93),0)</f>
        <v>0</v>
      </c>
      <c r="U93" s="63">
        <f t="shared" si="71"/>
        <v>0</v>
      </c>
      <c r="V93" s="61">
        <f>IFERROR(SUMIFS('BM MORRO DA CRUZ - VERTICAL'!Z$6:Z$546,'BM MORRO DA CRUZ - VERTICAL'!$O$6:$O$546,'BM MORRO DA CRUZ'!$K93),0)</f>
        <v>0</v>
      </c>
      <c r="W93" s="63">
        <f t="shared" si="72"/>
        <v>0</v>
      </c>
      <c r="X93" s="61">
        <f>IFERROR(SUMIFS('BM MORRO DA CRUZ - VERTICAL'!AB$6:AB$546,'BM MORRO DA CRUZ - VERTICAL'!$O$6:$O$546,'BM MORRO DA CRUZ'!$K93),0)</f>
        <v>0</v>
      </c>
      <c r="Y93" s="63">
        <f t="shared" si="73"/>
        <v>0</v>
      </c>
      <c r="Z93" s="61">
        <f>IFERROR(SUMIFS('BM MORRO DA CRUZ - VERTICAL'!AD$6:AD$546,'BM MORRO DA CRUZ - VERTICAL'!$O$6:$O$546,'BM MORRO DA CRUZ'!$K93),0)</f>
        <v>0</v>
      </c>
      <c r="AA93" s="63">
        <f t="shared" si="74"/>
        <v>0</v>
      </c>
      <c r="AB93" s="61">
        <f>IFERROR(SUMIFS('BM MORRO DA CRUZ - VERTICAL'!AF$6:AF$546,'BM MORRO DA CRUZ - VERTICAL'!$O$6:$O$546,'BM MORRO DA CRUZ'!$K93),0)</f>
        <v>0</v>
      </c>
      <c r="AC93" s="63">
        <f t="shared" si="75"/>
        <v>0</v>
      </c>
      <c r="AD93" s="61">
        <f>IFERROR(SUMIFS('BM MORRO DA CRUZ - VERTICAL'!AH$6:AH$546,'BM MORRO DA CRUZ - VERTICAL'!$O$6:$O$546,'BM MORRO DA CRUZ'!$K93),0)</f>
        <v>0</v>
      </c>
      <c r="AE93" s="63">
        <f t="shared" si="76"/>
        <v>0</v>
      </c>
      <c r="AF93" s="61">
        <f>IFERROR(SUMIFS('BM MORRO DA CRUZ - VERTICAL'!AJ$6:AJ$546,'BM MORRO DA CRUZ - VERTICAL'!$O$6:$O$546,'BM MORRO DA CRUZ'!$K93),0)</f>
        <v>0</v>
      </c>
      <c r="AG93" s="63">
        <f t="shared" si="77"/>
        <v>0</v>
      </c>
      <c r="AH93" s="61">
        <f>IFERROR(SUMIFS('BM MORRO DA CRUZ - VERTICAL'!AL$6:AL$546,'BM MORRO DA CRUZ - VERTICAL'!$O$6:$O$546,'BM MORRO DA CRUZ'!$K93),0)</f>
        <v>0</v>
      </c>
      <c r="AI93" s="63">
        <f t="shared" si="78"/>
        <v>0</v>
      </c>
      <c r="AJ93" s="61">
        <f>IFERROR(SUMIFS('BM MORRO DA CRUZ - VERTICAL'!AN$6:AN$546,'BM MORRO DA CRUZ - VERTICAL'!$O$6:$O$546,'BM MORRO DA CRUZ'!$K93),0)</f>
        <v>0</v>
      </c>
      <c r="AK93" s="63">
        <f t="shared" si="79"/>
        <v>0</v>
      </c>
      <c r="AL93" s="61">
        <f>IFERROR(SUMIFS('BM MORRO DA CRUZ - VERTICAL'!AP$6:AP$546,'BM MORRO DA CRUZ - VERTICAL'!$O$6:$O$546,'BM MORRO DA CRUZ'!$K93),0)</f>
        <v>0</v>
      </c>
      <c r="AM93" s="63">
        <f t="shared" si="80"/>
        <v>0</v>
      </c>
      <c r="AN93" s="61">
        <f>IFERROR(SUMIFS('BM MORRO DA CRUZ - VERTICAL'!AR$6:AR$546,'BM MORRO DA CRUZ - VERTICAL'!$O$6:$O$546,'BM MORRO DA CRUZ'!$K93),0)</f>
        <v>0</v>
      </c>
      <c r="AO93" s="63">
        <f t="shared" si="81"/>
        <v>0</v>
      </c>
      <c r="AP93" s="61">
        <f>IFERROR(SUMIFS('BM MORRO DA CRUZ - VERTICAL'!AT$6:AT$546,'BM MORRO DA CRUZ - VERTICAL'!$O$6:$O$546,'BM MORRO DA CRUZ'!$K93),0)</f>
        <v>0</v>
      </c>
      <c r="AQ93" s="63">
        <f t="shared" si="82"/>
        <v>0</v>
      </c>
      <c r="AR93" s="61">
        <f>IFERROR(SUMIFS('BM MORRO DA CRUZ - VERTICAL'!AV$6:AV$546,'BM MORRO DA CRUZ - VERTICAL'!$O$6:$O$546,'BM MORRO DA CRUZ'!$K93),0)</f>
        <v>0</v>
      </c>
      <c r="AS93" s="63">
        <f t="shared" si="83"/>
        <v>0</v>
      </c>
      <c r="AT93" s="61">
        <f>IFERROR(SUMIFS('BM MORRO DA CRUZ - VERTICAL'!AX$6:AX$546,'BM MORRO DA CRUZ - VERTICAL'!$O$6:$O$546,'BM MORRO DA CRUZ'!$K93),0)</f>
        <v>0</v>
      </c>
      <c r="AU93" s="63">
        <f t="shared" si="84"/>
        <v>0</v>
      </c>
      <c r="AV93" s="61">
        <f>IFERROR(SUMIFS('BM MORRO DA CRUZ - VERTICAL'!AZ$6:AZ$546,'BM MORRO DA CRUZ - VERTICAL'!$O$6:$O$546,'BM MORRO DA CRUZ'!$K93),0)</f>
        <v>0</v>
      </c>
      <c r="AW93" s="63">
        <f t="shared" si="85"/>
        <v>0</v>
      </c>
      <c r="AX93" s="61">
        <f>IFERROR(SUMIFS('BM MORRO DA CRUZ - VERTICAL'!BB$6:BB$546,'BM MORRO DA CRUZ - VERTICAL'!$O$6:$O$546,'BM MORRO DA CRUZ'!$K93),0)</f>
        <v>0</v>
      </c>
      <c r="AY93" s="63">
        <f t="shared" si="86"/>
        <v>0</v>
      </c>
      <c r="AZ93" s="61">
        <f>IFERROR(SUMIFS('BM MORRO DA CRUZ - VERTICAL'!BD$6:BD$546,'BM MORRO DA CRUZ - VERTICAL'!$O$6:$O$546,'BM MORRO DA CRUZ'!$K93),0)</f>
        <v>0</v>
      </c>
      <c r="BA93" s="63">
        <f t="shared" si="87"/>
        <v>0</v>
      </c>
      <c r="BB93" s="61">
        <f t="shared" si="88"/>
        <v>0</v>
      </c>
      <c r="BC93" s="63">
        <f t="shared" si="89"/>
        <v>0</v>
      </c>
      <c r="BD93" s="64">
        <f t="shared" si="90"/>
        <v>0</v>
      </c>
      <c r="BE93" s="65">
        <f t="shared" si="91"/>
        <v>1</v>
      </c>
      <c r="BF93" s="45"/>
    </row>
    <row r="94" spans="1:58" ht="35.65" x14ac:dyDescent="0.45">
      <c r="A94" s="56" t="s">
        <v>382</v>
      </c>
      <c r="B94" s="506" t="s">
        <v>373</v>
      </c>
      <c r="C94" s="507" t="s">
        <v>111</v>
      </c>
      <c r="D94" s="507" t="s">
        <v>224</v>
      </c>
      <c r="E94" s="507" t="s">
        <v>374</v>
      </c>
      <c r="F94" s="507" t="s">
        <v>273</v>
      </c>
      <c r="G94" s="507" t="s">
        <v>383</v>
      </c>
      <c r="H94" s="508" t="s">
        <v>267</v>
      </c>
      <c r="I94" s="507" t="s">
        <v>114</v>
      </c>
      <c r="J94" s="508" t="s">
        <v>267</v>
      </c>
      <c r="K94" s="57" t="s">
        <v>384</v>
      </c>
      <c r="L94" s="58" t="s">
        <v>21</v>
      </c>
      <c r="M94" s="59" t="s">
        <v>385</v>
      </c>
      <c r="N94" s="60" t="s">
        <v>71</v>
      </c>
      <c r="O94" s="61">
        <v>22</v>
      </c>
      <c r="P94" s="62">
        <v>228.24</v>
      </c>
      <c r="Q94" s="63">
        <f t="shared" si="69"/>
        <v>5021.28</v>
      </c>
      <c r="R94" s="61">
        <f>IFERROR(SUMIFS('BM MORRO DA CRUZ - VERTICAL'!V$6:V$546,'BM MORRO DA CRUZ - VERTICAL'!$O$6:$O$546,'BM MORRO DA CRUZ'!$K94),0)</f>
        <v>0</v>
      </c>
      <c r="S94" s="63">
        <f t="shared" si="70"/>
        <v>0</v>
      </c>
      <c r="T94" s="61">
        <f>IFERROR(SUMIFS('BM MORRO DA CRUZ - VERTICAL'!X$6:X$546,'BM MORRO DA CRUZ - VERTICAL'!$O$6:$O$546,'BM MORRO DA CRUZ'!$K94),0)</f>
        <v>0</v>
      </c>
      <c r="U94" s="63">
        <f t="shared" si="71"/>
        <v>0</v>
      </c>
      <c r="V94" s="61">
        <f>IFERROR(SUMIFS('BM MORRO DA CRUZ - VERTICAL'!Z$6:Z$546,'BM MORRO DA CRUZ - VERTICAL'!$O$6:$O$546,'BM MORRO DA CRUZ'!$K94),0)</f>
        <v>0</v>
      </c>
      <c r="W94" s="63">
        <f t="shared" si="72"/>
        <v>0</v>
      </c>
      <c r="X94" s="61">
        <f>IFERROR(SUMIFS('BM MORRO DA CRUZ - VERTICAL'!AB$6:AB$546,'BM MORRO DA CRUZ - VERTICAL'!$O$6:$O$546,'BM MORRO DA CRUZ'!$K94),0)</f>
        <v>0</v>
      </c>
      <c r="Y94" s="63">
        <f t="shared" si="73"/>
        <v>0</v>
      </c>
      <c r="Z94" s="61">
        <f>IFERROR(SUMIFS('BM MORRO DA CRUZ - VERTICAL'!AD$6:AD$546,'BM MORRO DA CRUZ - VERTICAL'!$O$6:$O$546,'BM MORRO DA CRUZ'!$K94),0)</f>
        <v>0</v>
      </c>
      <c r="AA94" s="63">
        <f t="shared" si="74"/>
        <v>0</v>
      </c>
      <c r="AB94" s="61">
        <f>IFERROR(SUMIFS('BM MORRO DA CRUZ - VERTICAL'!AF$6:AF$546,'BM MORRO DA CRUZ - VERTICAL'!$O$6:$O$546,'BM MORRO DA CRUZ'!$K94),0)</f>
        <v>0</v>
      </c>
      <c r="AC94" s="63">
        <f t="shared" si="75"/>
        <v>0</v>
      </c>
      <c r="AD94" s="61">
        <f>IFERROR(SUMIFS('BM MORRO DA CRUZ - VERTICAL'!AH$6:AH$546,'BM MORRO DA CRUZ - VERTICAL'!$O$6:$O$546,'BM MORRO DA CRUZ'!$K94),0)</f>
        <v>0</v>
      </c>
      <c r="AE94" s="63">
        <f t="shared" si="76"/>
        <v>0</v>
      </c>
      <c r="AF94" s="61">
        <f>IFERROR(SUMIFS('BM MORRO DA CRUZ - VERTICAL'!AJ$6:AJ$546,'BM MORRO DA CRUZ - VERTICAL'!$O$6:$O$546,'BM MORRO DA CRUZ'!$K94),0)</f>
        <v>0</v>
      </c>
      <c r="AG94" s="63">
        <f t="shared" si="77"/>
        <v>0</v>
      </c>
      <c r="AH94" s="61">
        <f>IFERROR(SUMIFS('BM MORRO DA CRUZ - VERTICAL'!AL$6:AL$546,'BM MORRO DA CRUZ - VERTICAL'!$O$6:$O$546,'BM MORRO DA CRUZ'!$K94),0)</f>
        <v>0</v>
      </c>
      <c r="AI94" s="63">
        <f t="shared" si="78"/>
        <v>0</v>
      </c>
      <c r="AJ94" s="61">
        <f>IFERROR(SUMIFS('BM MORRO DA CRUZ - VERTICAL'!AN$6:AN$546,'BM MORRO DA CRUZ - VERTICAL'!$O$6:$O$546,'BM MORRO DA CRUZ'!$K94),0)</f>
        <v>0</v>
      </c>
      <c r="AK94" s="63">
        <f t="shared" si="79"/>
        <v>0</v>
      </c>
      <c r="AL94" s="61">
        <f>IFERROR(SUMIFS('BM MORRO DA CRUZ - VERTICAL'!AP$6:AP$546,'BM MORRO DA CRUZ - VERTICAL'!$O$6:$O$546,'BM MORRO DA CRUZ'!$K94),0)</f>
        <v>0</v>
      </c>
      <c r="AM94" s="63">
        <f t="shared" si="80"/>
        <v>0</v>
      </c>
      <c r="AN94" s="61">
        <f>IFERROR(SUMIFS('BM MORRO DA CRUZ - VERTICAL'!AR$6:AR$546,'BM MORRO DA CRUZ - VERTICAL'!$O$6:$O$546,'BM MORRO DA CRUZ'!$K94),0)</f>
        <v>0</v>
      </c>
      <c r="AO94" s="63">
        <f t="shared" si="81"/>
        <v>0</v>
      </c>
      <c r="AP94" s="61">
        <f>IFERROR(SUMIFS('BM MORRO DA CRUZ - VERTICAL'!AT$6:AT$546,'BM MORRO DA CRUZ - VERTICAL'!$O$6:$O$546,'BM MORRO DA CRUZ'!$K94),0)</f>
        <v>0</v>
      </c>
      <c r="AQ94" s="63">
        <f t="shared" si="82"/>
        <v>0</v>
      </c>
      <c r="AR94" s="61">
        <f>IFERROR(SUMIFS('BM MORRO DA CRUZ - VERTICAL'!AV$6:AV$546,'BM MORRO DA CRUZ - VERTICAL'!$O$6:$O$546,'BM MORRO DA CRUZ'!$K94),0)</f>
        <v>0</v>
      </c>
      <c r="AS94" s="63">
        <f t="shared" si="83"/>
        <v>0</v>
      </c>
      <c r="AT94" s="61">
        <f>IFERROR(SUMIFS('BM MORRO DA CRUZ - VERTICAL'!AX$6:AX$546,'BM MORRO DA CRUZ - VERTICAL'!$O$6:$O$546,'BM MORRO DA CRUZ'!$K94),0)</f>
        <v>0</v>
      </c>
      <c r="AU94" s="63">
        <f t="shared" si="84"/>
        <v>0</v>
      </c>
      <c r="AV94" s="61">
        <f>IFERROR(SUMIFS('BM MORRO DA CRUZ - VERTICAL'!AZ$6:AZ$546,'BM MORRO DA CRUZ - VERTICAL'!$O$6:$O$546,'BM MORRO DA CRUZ'!$K94),0)</f>
        <v>0</v>
      </c>
      <c r="AW94" s="63">
        <f t="shared" si="85"/>
        <v>0</v>
      </c>
      <c r="AX94" s="61">
        <f>IFERROR(SUMIFS('BM MORRO DA CRUZ - VERTICAL'!BB$6:BB$546,'BM MORRO DA CRUZ - VERTICAL'!$O$6:$O$546,'BM MORRO DA CRUZ'!$K94),0)</f>
        <v>0</v>
      </c>
      <c r="AY94" s="63">
        <f t="shared" si="86"/>
        <v>0</v>
      </c>
      <c r="AZ94" s="61">
        <f>IFERROR(SUMIFS('BM MORRO DA CRUZ - VERTICAL'!BD$6:BD$546,'BM MORRO DA CRUZ - VERTICAL'!$O$6:$O$546,'BM MORRO DA CRUZ'!$K94),0)</f>
        <v>0</v>
      </c>
      <c r="BA94" s="63">
        <f t="shared" si="87"/>
        <v>0</v>
      </c>
      <c r="BB94" s="61">
        <f t="shared" si="88"/>
        <v>0</v>
      </c>
      <c r="BC94" s="63">
        <f t="shared" si="89"/>
        <v>0</v>
      </c>
      <c r="BD94" s="64">
        <f t="shared" si="90"/>
        <v>0</v>
      </c>
      <c r="BE94" s="65">
        <f t="shared" si="91"/>
        <v>1</v>
      </c>
      <c r="BF94" s="45"/>
    </row>
    <row r="95" spans="1:58" ht="35.65" x14ac:dyDescent="0.45">
      <c r="A95" s="56" t="s">
        <v>386</v>
      </c>
      <c r="B95" s="506" t="s">
        <v>373</v>
      </c>
      <c r="C95" s="507" t="s">
        <v>111</v>
      </c>
      <c r="D95" s="507" t="s">
        <v>224</v>
      </c>
      <c r="E95" s="507" t="s">
        <v>374</v>
      </c>
      <c r="F95" s="507" t="s">
        <v>273</v>
      </c>
      <c r="G95" s="507" t="s">
        <v>387</v>
      </c>
      <c r="H95" s="508" t="s">
        <v>267</v>
      </c>
      <c r="I95" s="507" t="s">
        <v>114</v>
      </c>
      <c r="J95" s="508" t="s">
        <v>267</v>
      </c>
      <c r="K95" s="57" t="s">
        <v>388</v>
      </c>
      <c r="L95" s="58" t="s">
        <v>21</v>
      </c>
      <c r="M95" s="59" t="s">
        <v>389</v>
      </c>
      <c r="N95" s="60" t="s">
        <v>71</v>
      </c>
      <c r="O95" s="61">
        <v>152</v>
      </c>
      <c r="P95" s="62">
        <v>227.51</v>
      </c>
      <c r="Q95" s="63">
        <f t="shared" si="69"/>
        <v>34581.519999999997</v>
      </c>
      <c r="R95" s="61">
        <f>IFERROR(SUMIFS('BM MORRO DA CRUZ - VERTICAL'!V$6:V$546,'BM MORRO DA CRUZ - VERTICAL'!$O$6:$O$546,'BM MORRO DA CRUZ'!$K95),0)</f>
        <v>0</v>
      </c>
      <c r="S95" s="63">
        <f t="shared" si="70"/>
        <v>0</v>
      </c>
      <c r="T95" s="61">
        <f>IFERROR(SUMIFS('BM MORRO DA CRUZ - VERTICAL'!X$6:X$546,'BM MORRO DA CRUZ - VERTICAL'!$O$6:$O$546,'BM MORRO DA CRUZ'!$K95),0)</f>
        <v>0</v>
      </c>
      <c r="U95" s="63">
        <f t="shared" si="71"/>
        <v>0</v>
      </c>
      <c r="V95" s="61">
        <f>IFERROR(SUMIFS('BM MORRO DA CRUZ - VERTICAL'!Z$6:Z$546,'BM MORRO DA CRUZ - VERTICAL'!$O$6:$O$546,'BM MORRO DA CRUZ'!$K95),0)</f>
        <v>0</v>
      </c>
      <c r="W95" s="63">
        <f t="shared" si="72"/>
        <v>0</v>
      </c>
      <c r="X95" s="61">
        <f>IFERROR(SUMIFS('BM MORRO DA CRUZ - VERTICAL'!AB$6:AB$546,'BM MORRO DA CRUZ - VERTICAL'!$O$6:$O$546,'BM MORRO DA CRUZ'!$K95),0)</f>
        <v>0</v>
      </c>
      <c r="Y95" s="63">
        <f t="shared" si="73"/>
        <v>0</v>
      </c>
      <c r="Z95" s="61">
        <f>IFERROR(SUMIFS('BM MORRO DA CRUZ - VERTICAL'!AD$6:AD$546,'BM MORRO DA CRUZ - VERTICAL'!$O$6:$O$546,'BM MORRO DA CRUZ'!$K95),0)</f>
        <v>0</v>
      </c>
      <c r="AA95" s="63">
        <f t="shared" si="74"/>
        <v>0</v>
      </c>
      <c r="AB95" s="61">
        <f>IFERROR(SUMIFS('BM MORRO DA CRUZ - VERTICAL'!AF$6:AF$546,'BM MORRO DA CRUZ - VERTICAL'!$O$6:$O$546,'BM MORRO DA CRUZ'!$K95),0)</f>
        <v>0</v>
      </c>
      <c r="AC95" s="63">
        <f t="shared" si="75"/>
        <v>0</v>
      </c>
      <c r="AD95" s="61">
        <f>IFERROR(SUMIFS('BM MORRO DA CRUZ - VERTICAL'!AH$6:AH$546,'BM MORRO DA CRUZ - VERTICAL'!$O$6:$O$546,'BM MORRO DA CRUZ'!$K95),0)</f>
        <v>0</v>
      </c>
      <c r="AE95" s="63">
        <f t="shared" si="76"/>
        <v>0</v>
      </c>
      <c r="AF95" s="61">
        <f>IFERROR(SUMIFS('BM MORRO DA CRUZ - VERTICAL'!AJ$6:AJ$546,'BM MORRO DA CRUZ - VERTICAL'!$O$6:$O$546,'BM MORRO DA CRUZ'!$K95),0)</f>
        <v>0</v>
      </c>
      <c r="AG95" s="63">
        <f t="shared" si="77"/>
        <v>0</v>
      </c>
      <c r="AH95" s="61">
        <f>IFERROR(SUMIFS('BM MORRO DA CRUZ - VERTICAL'!AL$6:AL$546,'BM MORRO DA CRUZ - VERTICAL'!$O$6:$O$546,'BM MORRO DA CRUZ'!$K95),0)</f>
        <v>0</v>
      </c>
      <c r="AI95" s="63">
        <f t="shared" si="78"/>
        <v>0</v>
      </c>
      <c r="AJ95" s="61">
        <f>IFERROR(SUMIFS('BM MORRO DA CRUZ - VERTICAL'!AN$6:AN$546,'BM MORRO DA CRUZ - VERTICAL'!$O$6:$O$546,'BM MORRO DA CRUZ'!$K95),0)</f>
        <v>0</v>
      </c>
      <c r="AK95" s="63">
        <f t="shared" si="79"/>
        <v>0</v>
      </c>
      <c r="AL95" s="61">
        <f>IFERROR(SUMIFS('BM MORRO DA CRUZ - VERTICAL'!AP$6:AP$546,'BM MORRO DA CRUZ - VERTICAL'!$O$6:$O$546,'BM MORRO DA CRUZ'!$K95),0)</f>
        <v>0</v>
      </c>
      <c r="AM95" s="63">
        <f t="shared" si="80"/>
        <v>0</v>
      </c>
      <c r="AN95" s="61">
        <f>IFERROR(SUMIFS('BM MORRO DA CRUZ - VERTICAL'!AR$6:AR$546,'BM MORRO DA CRUZ - VERTICAL'!$O$6:$O$546,'BM MORRO DA CRUZ'!$K95),0)</f>
        <v>0</v>
      </c>
      <c r="AO95" s="63">
        <f t="shared" si="81"/>
        <v>0</v>
      </c>
      <c r="AP95" s="61">
        <f>IFERROR(SUMIFS('BM MORRO DA CRUZ - VERTICAL'!AT$6:AT$546,'BM MORRO DA CRUZ - VERTICAL'!$O$6:$O$546,'BM MORRO DA CRUZ'!$K95),0)</f>
        <v>0</v>
      </c>
      <c r="AQ95" s="63">
        <f t="shared" si="82"/>
        <v>0</v>
      </c>
      <c r="AR95" s="61">
        <f>IFERROR(SUMIFS('BM MORRO DA CRUZ - VERTICAL'!AV$6:AV$546,'BM MORRO DA CRUZ - VERTICAL'!$O$6:$O$546,'BM MORRO DA CRUZ'!$K95),0)</f>
        <v>0</v>
      </c>
      <c r="AS95" s="63">
        <f t="shared" si="83"/>
        <v>0</v>
      </c>
      <c r="AT95" s="61">
        <f>IFERROR(SUMIFS('BM MORRO DA CRUZ - VERTICAL'!AX$6:AX$546,'BM MORRO DA CRUZ - VERTICAL'!$O$6:$O$546,'BM MORRO DA CRUZ'!$K95),0)</f>
        <v>0</v>
      </c>
      <c r="AU95" s="63">
        <f t="shared" si="84"/>
        <v>0</v>
      </c>
      <c r="AV95" s="61">
        <f>IFERROR(SUMIFS('BM MORRO DA CRUZ - VERTICAL'!AZ$6:AZ$546,'BM MORRO DA CRUZ - VERTICAL'!$O$6:$O$546,'BM MORRO DA CRUZ'!$K95),0)</f>
        <v>0</v>
      </c>
      <c r="AW95" s="63">
        <f t="shared" si="85"/>
        <v>0</v>
      </c>
      <c r="AX95" s="61">
        <f>IFERROR(SUMIFS('BM MORRO DA CRUZ - VERTICAL'!BB$6:BB$546,'BM MORRO DA CRUZ - VERTICAL'!$O$6:$O$546,'BM MORRO DA CRUZ'!$K95),0)</f>
        <v>0</v>
      </c>
      <c r="AY95" s="63">
        <f t="shared" si="86"/>
        <v>0</v>
      </c>
      <c r="AZ95" s="61">
        <f>IFERROR(SUMIFS('BM MORRO DA CRUZ - VERTICAL'!BD$6:BD$546,'BM MORRO DA CRUZ - VERTICAL'!$O$6:$O$546,'BM MORRO DA CRUZ'!$K95),0)</f>
        <v>0</v>
      </c>
      <c r="BA95" s="63">
        <f t="shared" si="87"/>
        <v>0</v>
      </c>
      <c r="BB95" s="61">
        <f t="shared" si="88"/>
        <v>0</v>
      </c>
      <c r="BC95" s="63">
        <f t="shared" si="89"/>
        <v>0</v>
      </c>
      <c r="BD95" s="64">
        <f t="shared" si="90"/>
        <v>0</v>
      </c>
      <c r="BE95" s="65">
        <f t="shared" si="91"/>
        <v>1</v>
      </c>
      <c r="BF95" s="45"/>
    </row>
    <row r="96" spans="1:58" ht="35.65" x14ac:dyDescent="0.45">
      <c r="A96" s="56" t="s">
        <v>390</v>
      </c>
      <c r="B96" s="506" t="s">
        <v>373</v>
      </c>
      <c r="C96" s="507" t="s">
        <v>111</v>
      </c>
      <c r="D96" s="507" t="s">
        <v>224</v>
      </c>
      <c r="E96" s="507" t="s">
        <v>374</v>
      </c>
      <c r="F96" s="507" t="s">
        <v>273</v>
      </c>
      <c r="G96" s="507" t="s">
        <v>391</v>
      </c>
      <c r="H96" s="508" t="s">
        <v>267</v>
      </c>
      <c r="I96" s="507" t="s">
        <v>114</v>
      </c>
      <c r="J96" s="508" t="s">
        <v>267</v>
      </c>
      <c r="K96" s="57" t="s">
        <v>392</v>
      </c>
      <c r="L96" s="58" t="s">
        <v>21</v>
      </c>
      <c r="M96" s="59" t="s">
        <v>393</v>
      </c>
      <c r="N96" s="60" t="s">
        <v>71</v>
      </c>
      <c r="O96" s="61">
        <v>2</v>
      </c>
      <c r="P96" s="62">
        <v>982.79</v>
      </c>
      <c r="Q96" s="63">
        <f t="shared" si="69"/>
        <v>1965.58</v>
      </c>
      <c r="R96" s="61">
        <f>IFERROR(SUMIFS('BM MORRO DA CRUZ - VERTICAL'!V$6:V$546,'BM MORRO DA CRUZ - VERTICAL'!$O$6:$O$546,'BM MORRO DA CRUZ'!$K96),0)</f>
        <v>0</v>
      </c>
      <c r="S96" s="63">
        <f t="shared" si="70"/>
        <v>0</v>
      </c>
      <c r="T96" s="61">
        <f>IFERROR(SUMIFS('BM MORRO DA CRUZ - VERTICAL'!X$6:X$546,'BM MORRO DA CRUZ - VERTICAL'!$O$6:$O$546,'BM MORRO DA CRUZ'!$K96),0)</f>
        <v>0</v>
      </c>
      <c r="U96" s="63">
        <f t="shared" si="71"/>
        <v>0</v>
      </c>
      <c r="V96" s="61">
        <f>IFERROR(SUMIFS('BM MORRO DA CRUZ - VERTICAL'!Z$6:Z$546,'BM MORRO DA CRUZ - VERTICAL'!$O$6:$O$546,'BM MORRO DA CRUZ'!$K96),0)</f>
        <v>0</v>
      </c>
      <c r="W96" s="63">
        <f t="shared" si="72"/>
        <v>0</v>
      </c>
      <c r="X96" s="61">
        <f>IFERROR(SUMIFS('BM MORRO DA CRUZ - VERTICAL'!AB$6:AB$546,'BM MORRO DA CRUZ - VERTICAL'!$O$6:$O$546,'BM MORRO DA CRUZ'!$K96),0)</f>
        <v>0</v>
      </c>
      <c r="Y96" s="63">
        <f t="shared" si="73"/>
        <v>0</v>
      </c>
      <c r="Z96" s="61">
        <f>IFERROR(SUMIFS('BM MORRO DA CRUZ - VERTICAL'!AD$6:AD$546,'BM MORRO DA CRUZ - VERTICAL'!$O$6:$O$546,'BM MORRO DA CRUZ'!$K96),0)</f>
        <v>0</v>
      </c>
      <c r="AA96" s="63">
        <f t="shared" si="74"/>
        <v>0</v>
      </c>
      <c r="AB96" s="61">
        <f>IFERROR(SUMIFS('BM MORRO DA CRUZ - VERTICAL'!AF$6:AF$546,'BM MORRO DA CRUZ - VERTICAL'!$O$6:$O$546,'BM MORRO DA CRUZ'!$K96),0)</f>
        <v>0</v>
      </c>
      <c r="AC96" s="63">
        <f t="shared" si="75"/>
        <v>0</v>
      </c>
      <c r="AD96" s="61">
        <f>IFERROR(SUMIFS('BM MORRO DA CRUZ - VERTICAL'!AH$6:AH$546,'BM MORRO DA CRUZ - VERTICAL'!$O$6:$O$546,'BM MORRO DA CRUZ'!$K96),0)</f>
        <v>0</v>
      </c>
      <c r="AE96" s="63">
        <f t="shared" si="76"/>
        <v>0</v>
      </c>
      <c r="AF96" s="61">
        <f>IFERROR(SUMIFS('BM MORRO DA CRUZ - VERTICAL'!AJ$6:AJ$546,'BM MORRO DA CRUZ - VERTICAL'!$O$6:$O$546,'BM MORRO DA CRUZ'!$K96),0)</f>
        <v>0</v>
      </c>
      <c r="AG96" s="63">
        <f t="shared" si="77"/>
        <v>0</v>
      </c>
      <c r="AH96" s="61">
        <f>IFERROR(SUMIFS('BM MORRO DA CRUZ - VERTICAL'!AL$6:AL$546,'BM MORRO DA CRUZ - VERTICAL'!$O$6:$O$546,'BM MORRO DA CRUZ'!$K96),0)</f>
        <v>0</v>
      </c>
      <c r="AI96" s="63">
        <f t="shared" si="78"/>
        <v>0</v>
      </c>
      <c r="AJ96" s="61">
        <f>IFERROR(SUMIFS('BM MORRO DA CRUZ - VERTICAL'!AN$6:AN$546,'BM MORRO DA CRUZ - VERTICAL'!$O$6:$O$546,'BM MORRO DA CRUZ'!$K96),0)</f>
        <v>0</v>
      </c>
      <c r="AK96" s="63">
        <f t="shared" si="79"/>
        <v>0</v>
      </c>
      <c r="AL96" s="61">
        <f>IFERROR(SUMIFS('BM MORRO DA CRUZ - VERTICAL'!AP$6:AP$546,'BM MORRO DA CRUZ - VERTICAL'!$O$6:$O$546,'BM MORRO DA CRUZ'!$K96),0)</f>
        <v>0</v>
      </c>
      <c r="AM96" s="63">
        <f t="shared" si="80"/>
        <v>0</v>
      </c>
      <c r="AN96" s="61">
        <f>IFERROR(SUMIFS('BM MORRO DA CRUZ - VERTICAL'!AR$6:AR$546,'BM MORRO DA CRUZ - VERTICAL'!$O$6:$O$546,'BM MORRO DA CRUZ'!$K96),0)</f>
        <v>0</v>
      </c>
      <c r="AO96" s="63">
        <f t="shared" si="81"/>
        <v>0</v>
      </c>
      <c r="AP96" s="61">
        <f>IFERROR(SUMIFS('BM MORRO DA CRUZ - VERTICAL'!AT$6:AT$546,'BM MORRO DA CRUZ - VERTICAL'!$O$6:$O$546,'BM MORRO DA CRUZ'!$K96),0)</f>
        <v>0</v>
      </c>
      <c r="AQ96" s="63">
        <f t="shared" si="82"/>
        <v>0</v>
      </c>
      <c r="AR96" s="61">
        <f>IFERROR(SUMIFS('BM MORRO DA CRUZ - VERTICAL'!AV$6:AV$546,'BM MORRO DA CRUZ - VERTICAL'!$O$6:$O$546,'BM MORRO DA CRUZ'!$K96),0)</f>
        <v>0</v>
      </c>
      <c r="AS96" s="63">
        <f t="shared" si="83"/>
        <v>0</v>
      </c>
      <c r="AT96" s="61">
        <f>IFERROR(SUMIFS('BM MORRO DA CRUZ - VERTICAL'!AX$6:AX$546,'BM MORRO DA CRUZ - VERTICAL'!$O$6:$O$546,'BM MORRO DA CRUZ'!$K96),0)</f>
        <v>0</v>
      </c>
      <c r="AU96" s="63">
        <f t="shared" si="84"/>
        <v>0</v>
      </c>
      <c r="AV96" s="61">
        <f>IFERROR(SUMIFS('BM MORRO DA CRUZ - VERTICAL'!AZ$6:AZ$546,'BM MORRO DA CRUZ - VERTICAL'!$O$6:$O$546,'BM MORRO DA CRUZ'!$K96),0)</f>
        <v>0</v>
      </c>
      <c r="AW96" s="63">
        <f t="shared" si="85"/>
        <v>0</v>
      </c>
      <c r="AX96" s="61">
        <f>IFERROR(SUMIFS('BM MORRO DA CRUZ - VERTICAL'!BB$6:BB$546,'BM MORRO DA CRUZ - VERTICAL'!$O$6:$O$546,'BM MORRO DA CRUZ'!$K96),0)</f>
        <v>0</v>
      </c>
      <c r="AY96" s="63">
        <f t="shared" si="86"/>
        <v>0</v>
      </c>
      <c r="AZ96" s="61">
        <f>IFERROR(SUMIFS('BM MORRO DA CRUZ - VERTICAL'!BD$6:BD$546,'BM MORRO DA CRUZ - VERTICAL'!$O$6:$O$546,'BM MORRO DA CRUZ'!$K96),0)</f>
        <v>0</v>
      </c>
      <c r="BA96" s="63">
        <f t="shared" si="87"/>
        <v>0</v>
      </c>
      <c r="BB96" s="61">
        <f t="shared" si="88"/>
        <v>0</v>
      </c>
      <c r="BC96" s="63">
        <f t="shared" si="89"/>
        <v>0</v>
      </c>
      <c r="BD96" s="64">
        <f t="shared" si="90"/>
        <v>0</v>
      </c>
      <c r="BE96" s="65">
        <f t="shared" si="91"/>
        <v>1</v>
      </c>
      <c r="BF96" s="45"/>
    </row>
    <row r="97" spans="1:58" ht="35.65" x14ac:dyDescent="0.45">
      <c r="A97" s="56" t="s">
        <v>394</v>
      </c>
      <c r="B97" s="506" t="s">
        <v>373</v>
      </c>
      <c r="C97" s="507" t="s">
        <v>111</v>
      </c>
      <c r="D97" s="507" t="s">
        <v>224</v>
      </c>
      <c r="E97" s="507" t="s">
        <v>374</v>
      </c>
      <c r="F97" s="507" t="s">
        <v>273</v>
      </c>
      <c r="G97" s="507" t="s">
        <v>395</v>
      </c>
      <c r="H97" s="508" t="s">
        <v>267</v>
      </c>
      <c r="I97" s="507" t="s">
        <v>114</v>
      </c>
      <c r="J97" s="508" t="s">
        <v>267</v>
      </c>
      <c r="K97" s="57" t="s">
        <v>396</v>
      </c>
      <c r="L97" s="58" t="s">
        <v>21</v>
      </c>
      <c r="M97" s="59" t="s">
        <v>397</v>
      </c>
      <c r="N97" s="60" t="s">
        <v>71</v>
      </c>
      <c r="O97" s="61">
        <v>4</v>
      </c>
      <c r="P97" s="62">
        <v>1302.5899999999999</v>
      </c>
      <c r="Q97" s="63">
        <f t="shared" si="69"/>
        <v>5210.3599999999997</v>
      </c>
      <c r="R97" s="61">
        <f>IFERROR(SUMIFS('BM MORRO DA CRUZ - VERTICAL'!V$6:V$546,'BM MORRO DA CRUZ - VERTICAL'!$O$6:$O$546,'BM MORRO DA CRUZ'!$K97),0)</f>
        <v>0</v>
      </c>
      <c r="S97" s="63">
        <f t="shared" si="70"/>
        <v>0</v>
      </c>
      <c r="T97" s="61">
        <f>IFERROR(SUMIFS('BM MORRO DA CRUZ - VERTICAL'!X$6:X$546,'BM MORRO DA CRUZ - VERTICAL'!$O$6:$O$546,'BM MORRO DA CRUZ'!$K97),0)</f>
        <v>0</v>
      </c>
      <c r="U97" s="63">
        <f t="shared" si="71"/>
        <v>0</v>
      </c>
      <c r="V97" s="61">
        <f>IFERROR(SUMIFS('BM MORRO DA CRUZ - VERTICAL'!Z$6:Z$546,'BM MORRO DA CRUZ - VERTICAL'!$O$6:$O$546,'BM MORRO DA CRUZ'!$K97),0)</f>
        <v>0</v>
      </c>
      <c r="W97" s="63">
        <f t="shared" si="72"/>
        <v>0</v>
      </c>
      <c r="X97" s="61">
        <f>IFERROR(SUMIFS('BM MORRO DA CRUZ - VERTICAL'!AB$6:AB$546,'BM MORRO DA CRUZ - VERTICAL'!$O$6:$O$546,'BM MORRO DA CRUZ'!$K97),0)</f>
        <v>0</v>
      </c>
      <c r="Y97" s="63">
        <f t="shared" si="73"/>
        <v>0</v>
      </c>
      <c r="Z97" s="61">
        <f>IFERROR(SUMIFS('BM MORRO DA CRUZ - VERTICAL'!AD$6:AD$546,'BM MORRO DA CRUZ - VERTICAL'!$O$6:$O$546,'BM MORRO DA CRUZ'!$K97),0)</f>
        <v>0</v>
      </c>
      <c r="AA97" s="63">
        <f t="shared" si="74"/>
        <v>0</v>
      </c>
      <c r="AB97" s="61">
        <f>IFERROR(SUMIFS('BM MORRO DA CRUZ - VERTICAL'!AF$6:AF$546,'BM MORRO DA CRUZ - VERTICAL'!$O$6:$O$546,'BM MORRO DA CRUZ'!$K97),0)</f>
        <v>0</v>
      </c>
      <c r="AC97" s="63">
        <f t="shared" si="75"/>
        <v>0</v>
      </c>
      <c r="AD97" s="61">
        <f>IFERROR(SUMIFS('BM MORRO DA CRUZ - VERTICAL'!AH$6:AH$546,'BM MORRO DA CRUZ - VERTICAL'!$O$6:$O$546,'BM MORRO DA CRUZ'!$K97),0)</f>
        <v>0</v>
      </c>
      <c r="AE97" s="63">
        <f t="shared" si="76"/>
        <v>0</v>
      </c>
      <c r="AF97" s="61">
        <f>IFERROR(SUMIFS('BM MORRO DA CRUZ - VERTICAL'!AJ$6:AJ$546,'BM MORRO DA CRUZ - VERTICAL'!$O$6:$O$546,'BM MORRO DA CRUZ'!$K97),0)</f>
        <v>0</v>
      </c>
      <c r="AG97" s="63">
        <f t="shared" si="77"/>
        <v>0</v>
      </c>
      <c r="AH97" s="61">
        <f>IFERROR(SUMIFS('BM MORRO DA CRUZ - VERTICAL'!AL$6:AL$546,'BM MORRO DA CRUZ - VERTICAL'!$O$6:$O$546,'BM MORRO DA CRUZ'!$K97),0)</f>
        <v>0</v>
      </c>
      <c r="AI97" s="63">
        <f t="shared" si="78"/>
        <v>0</v>
      </c>
      <c r="AJ97" s="61">
        <f>IFERROR(SUMIFS('BM MORRO DA CRUZ - VERTICAL'!AN$6:AN$546,'BM MORRO DA CRUZ - VERTICAL'!$O$6:$O$546,'BM MORRO DA CRUZ'!$K97),0)</f>
        <v>0</v>
      </c>
      <c r="AK97" s="63">
        <f t="shared" si="79"/>
        <v>0</v>
      </c>
      <c r="AL97" s="61">
        <f>IFERROR(SUMIFS('BM MORRO DA CRUZ - VERTICAL'!AP$6:AP$546,'BM MORRO DA CRUZ - VERTICAL'!$O$6:$O$546,'BM MORRO DA CRUZ'!$K97),0)</f>
        <v>0</v>
      </c>
      <c r="AM97" s="63">
        <f t="shared" si="80"/>
        <v>0</v>
      </c>
      <c r="AN97" s="61">
        <f>IFERROR(SUMIFS('BM MORRO DA CRUZ - VERTICAL'!AR$6:AR$546,'BM MORRO DA CRUZ - VERTICAL'!$O$6:$O$546,'BM MORRO DA CRUZ'!$K97),0)</f>
        <v>0</v>
      </c>
      <c r="AO97" s="63">
        <f t="shared" si="81"/>
        <v>0</v>
      </c>
      <c r="AP97" s="61">
        <f>IFERROR(SUMIFS('BM MORRO DA CRUZ - VERTICAL'!AT$6:AT$546,'BM MORRO DA CRUZ - VERTICAL'!$O$6:$O$546,'BM MORRO DA CRUZ'!$K97),0)</f>
        <v>0</v>
      </c>
      <c r="AQ97" s="63">
        <f t="shared" si="82"/>
        <v>0</v>
      </c>
      <c r="AR97" s="61">
        <f>IFERROR(SUMIFS('BM MORRO DA CRUZ - VERTICAL'!AV$6:AV$546,'BM MORRO DA CRUZ - VERTICAL'!$O$6:$O$546,'BM MORRO DA CRUZ'!$K97),0)</f>
        <v>0</v>
      </c>
      <c r="AS97" s="63">
        <f t="shared" si="83"/>
        <v>0</v>
      </c>
      <c r="AT97" s="61">
        <f>IFERROR(SUMIFS('BM MORRO DA CRUZ - VERTICAL'!AX$6:AX$546,'BM MORRO DA CRUZ - VERTICAL'!$O$6:$O$546,'BM MORRO DA CRUZ'!$K97),0)</f>
        <v>0</v>
      </c>
      <c r="AU97" s="63">
        <f t="shared" si="84"/>
        <v>0</v>
      </c>
      <c r="AV97" s="61">
        <f>IFERROR(SUMIFS('BM MORRO DA CRUZ - VERTICAL'!AZ$6:AZ$546,'BM MORRO DA CRUZ - VERTICAL'!$O$6:$O$546,'BM MORRO DA CRUZ'!$K97),0)</f>
        <v>0</v>
      </c>
      <c r="AW97" s="63">
        <f t="shared" si="85"/>
        <v>0</v>
      </c>
      <c r="AX97" s="61">
        <f>IFERROR(SUMIFS('BM MORRO DA CRUZ - VERTICAL'!BB$6:BB$546,'BM MORRO DA CRUZ - VERTICAL'!$O$6:$O$546,'BM MORRO DA CRUZ'!$K97),0)</f>
        <v>0</v>
      </c>
      <c r="AY97" s="63">
        <f t="shared" si="86"/>
        <v>0</v>
      </c>
      <c r="AZ97" s="61">
        <f>IFERROR(SUMIFS('BM MORRO DA CRUZ - VERTICAL'!BD$6:BD$546,'BM MORRO DA CRUZ - VERTICAL'!$O$6:$O$546,'BM MORRO DA CRUZ'!$K97),0)</f>
        <v>0</v>
      </c>
      <c r="BA97" s="63">
        <f t="shared" si="87"/>
        <v>0</v>
      </c>
      <c r="BB97" s="61">
        <f t="shared" si="88"/>
        <v>0</v>
      </c>
      <c r="BC97" s="63">
        <f t="shared" si="89"/>
        <v>0</v>
      </c>
      <c r="BD97" s="64">
        <f t="shared" si="90"/>
        <v>0</v>
      </c>
      <c r="BE97" s="65">
        <f t="shared" si="91"/>
        <v>1</v>
      </c>
      <c r="BF97" s="45"/>
    </row>
    <row r="98" spans="1:58" ht="35.65" x14ac:dyDescent="0.45">
      <c r="A98" s="56" t="s">
        <v>398</v>
      </c>
      <c r="B98" s="506" t="s">
        <v>373</v>
      </c>
      <c r="C98" s="507" t="s">
        <v>111</v>
      </c>
      <c r="D98" s="507" t="s">
        <v>224</v>
      </c>
      <c r="E98" s="507" t="s">
        <v>374</v>
      </c>
      <c r="F98" s="507" t="s">
        <v>273</v>
      </c>
      <c r="G98" s="507" t="s">
        <v>399</v>
      </c>
      <c r="H98" s="508" t="s">
        <v>267</v>
      </c>
      <c r="I98" s="507" t="s">
        <v>114</v>
      </c>
      <c r="J98" s="508" t="s">
        <v>267</v>
      </c>
      <c r="K98" s="57" t="s">
        <v>400</v>
      </c>
      <c r="L98" s="58" t="s">
        <v>21</v>
      </c>
      <c r="M98" s="59" t="s">
        <v>401</v>
      </c>
      <c r="N98" s="60" t="s">
        <v>71</v>
      </c>
      <c r="O98" s="61">
        <v>90</v>
      </c>
      <c r="P98" s="62">
        <v>73.260000000000005</v>
      </c>
      <c r="Q98" s="63">
        <f t="shared" si="69"/>
        <v>6593.4</v>
      </c>
      <c r="R98" s="61">
        <f>IFERROR(SUMIFS('BM MORRO DA CRUZ - VERTICAL'!V$6:V$546,'BM MORRO DA CRUZ - VERTICAL'!$O$6:$O$546,'BM MORRO DA CRUZ'!$K98),0)</f>
        <v>0</v>
      </c>
      <c r="S98" s="63">
        <f t="shared" si="70"/>
        <v>0</v>
      </c>
      <c r="T98" s="61">
        <f>IFERROR(SUMIFS('BM MORRO DA CRUZ - VERTICAL'!X$6:X$546,'BM MORRO DA CRUZ - VERTICAL'!$O$6:$O$546,'BM MORRO DA CRUZ'!$K98),0)</f>
        <v>0</v>
      </c>
      <c r="U98" s="63">
        <f t="shared" si="71"/>
        <v>0</v>
      </c>
      <c r="V98" s="61">
        <f>IFERROR(SUMIFS('BM MORRO DA CRUZ - VERTICAL'!Z$6:Z$546,'BM MORRO DA CRUZ - VERTICAL'!$O$6:$O$546,'BM MORRO DA CRUZ'!$K98),0)</f>
        <v>0</v>
      </c>
      <c r="W98" s="63">
        <f t="shared" si="72"/>
        <v>0</v>
      </c>
      <c r="X98" s="61">
        <f>IFERROR(SUMIFS('BM MORRO DA CRUZ - VERTICAL'!AB$6:AB$546,'BM MORRO DA CRUZ - VERTICAL'!$O$6:$O$546,'BM MORRO DA CRUZ'!$K98),0)</f>
        <v>0</v>
      </c>
      <c r="Y98" s="63">
        <f t="shared" si="73"/>
        <v>0</v>
      </c>
      <c r="Z98" s="61">
        <f>IFERROR(SUMIFS('BM MORRO DA CRUZ - VERTICAL'!AD$6:AD$546,'BM MORRO DA CRUZ - VERTICAL'!$O$6:$O$546,'BM MORRO DA CRUZ'!$K98),0)</f>
        <v>0</v>
      </c>
      <c r="AA98" s="63">
        <f t="shared" si="74"/>
        <v>0</v>
      </c>
      <c r="AB98" s="61">
        <f>IFERROR(SUMIFS('BM MORRO DA CRUZ - VERTICAL'!AF$6:AF$546,'BM MORRO DA CRUZ - VERTICAL'!$O$6:$O$546,'BM MORRO DA CRUZ'!$K98),0)</f>
        <v>0</v>
      </c>
      <c r="AC98" s="63">
        <f t="shared" si="75"/>
        <v>0</v>
      </c>
      <c r="AD98" s="61">
        <f>IFERROR(SUMIFS('BM MORRO DA CRUZ - VERTICAL'!AH$6:AH$546,'BM MORRO DA CRUZ - VERTICAL'!$O$6:$O$546,'BM MORRO DA CRUZ'!$K98),0)</f>
        <v>0</v>
      </c>
      <c r="AE98" s="63">
        <f t="shared" si="76"/>
        <v>0</v>
      </c>
      <c r="AF98" s="61">
        <f>IFERROR(SUMIFS('BM MORRO DA CRUZ - VERTICAL'!AJ$6:AJ$546,'BM MORRO DA CRUZ - VERTICAL'!$O$6:$O$546,'BM MORRO DA CRUZ'!$K98),0)</f>
        <v>0</v>
      </c>
      <c r="AG98" s="63">
        <f t="shared" si="77"/>
        <v>0</v>
      </c>
      <c r="AH98" s="61">
        <f>IFERROR(SUMIFS('BM MORRO DA CRUZ - VERTICAL'!AL$6:AL$546,'BM MORRO DA CRUZ - VERTICAL'!$O$6:$O$546,'BM MORRO DA CRUZ'!$K98),0)</f>
        <v>0</v>
      </c>
      <c r="AI98" s="63">
        <f t="shared" si="78"/>
        <v>0</v>
      </c>
      <c r="AJ98" s="61">
        <f>IFERROR(SUMIFS('BM MORRO DA CRUZ - VERTICAL'!AN$6:AN$546,'BM MORRO DA CRUZ - VERTICAL'!$O$6:$O$546,'BM MORRO DA CRUZ'!$K98),0)</f>
        <v>0</v>
      </c>
      <c r="AK98" s="63">
        <f t="shared" si="79"/>
        <v>0</v>
      </c>
      <c r="AL98" s="61">
        <f>IFERROR(SUMIFS('BM MORRO DA CRUZ - VERTICAL'!AP$6:AP$546,'BM MORRO DA CRUZ - VERTICAL'!$O$6:$O$546,'BM MORRO DA CRUZ'!$K98),0)</f>
        <v>0</v>
      </c>
      <c r="AM98" s="63">
        <f t="shared" si="80"/>
        <v>0</v>
      </c>
      <c r="AN98" s="61">
        <f>IFERROR(SUMIFS('BM MORRO DA CRUZ - VERTICAL'!AR$6:AR$546,'BM MORRO DA CRUZ - VERTICAL'!$O$6:$O$546,'BM MORRO DA CRUZ'!$K98),0)</f>
        <v>0</v>
      </c>
      <c r="AO98" s="63">
        <f t="shared" si="81"/>
        <v>0</v>
      </c>
      <c r="AP98" s="61">
        <f>IFERROR(SUMIFS('BM MORRO DA CRUZ - VERTICAL'!AT$6:AT$546,'BM MORRO DA CRUZ - VERTICAL'!$O$6:$O$546,'BM MORRO DA CRUZ'!$K98),0)</f>
        <v>0</v>
      </c>
      <c r="AQ98" s="63">
        <f t="shared" si="82"/>
        <v>0</v>
      </c>
      <c r="AR98" s="61">
        <f>IFERROR(SUMIFS('BM MORRO DA CRUZ - VERTICAL'!AV$6:AV$546,'BM MORRO DA CRUZ - VERTICAL'!$O$6:$O$546,'BM MORRO DA CRUZ'!$K98),0)</f>
        <v>0</v>
      </c>
      <c r="AS98" s="63">
        <f t="shared" si="83"/>
        <v>0</v>
      </c>
      <c r="AT98" s="61">
        <f>IFERROR(SUMIFS('BM MORRO DA CRUZ - VERTICAL'!AX$6:AX$546,'BM MORRO DA CRUZ - VERTICAL'!$O$6:$O$546,'BM MORRO DA CRUZ'!$K98),0)</f>
        <v>0</v>
      </c>
      <c r="AU98" s="63">
        <f t="shared" si="84"/>
        <v>0</v>
      </c>
      <c r="AV98" s="61">
        <f>IFERROR(SUMIFS('BM MORRO DA CRUZ - VERTICAL'!AZ$6:AZ$546,'BM MORRO DA CRUZ - VERTICAL'!$O$6:$O$546,'BM MORRO DA CRUZ'!$K98),0)</f>
        <v>0</v>
      </c>
      <c r="AW98" s="63">
        <f t="shared" si="85"/>
        <v>0</v>
      </c>
      <c r="AX98" s="61">
        <f>IFERROR(SUMIFS('BM MORRO DA CRUZ - VERTICAL'!BB$6:BB$546,'BM MORRO DA CRUZ - VERTICAL'!$O$6:$O$546,'BM MORRO DA CRUZ'!$K98),0)</f>
        <v>0</v>
      </c>
      <c r="AY98" s="63">
        <f t="shared" si="86"/>
        <v>0</v>
      </c>
      <c r="AZ98" s="61">
        <f>IFERROR(SUMIFS('BM MORRO DA CRUZ - VERTICAL'!BD$6:BD$546,'BM MORRO DA CRUZ - VERTICAL'!$O$6:$O$546,'BM MORRO DA CRUZ'!$K98),0)</f>
        <v>0</v>
      </c>
      <c r="BA98" s="63">
        <f t="shared" si="87"/>
        <v>0</v>
      </c>
      <c r="BB98" s="61">
        <f t="shared" si="88"/>
        <v>0</v>
      </c>
      <c r="BC98" s="63">
        <f t="shared" si="89"/>
        <v>0</v>
      </c>
      <c r="BD98" s="64">
        <f t="shared" si="90"/>
        <v>0</v>
      </c>
      <c r="BE98" s="65">
        <f t="shared" si="91"/>
        <v>1</v>
      </c>
      <c r="BF98" s="45"/>
    </row>
    <row r="99" spans="1:58" ht="38.25" customHeight="1" x14ac:dyDescent="0.45">
      <c r="A99" s="56" t="s">
        <v>402</v>
      </c>
      <c r="B99" s="506" t="s">
        <v>403</v>
      </c>
      <c r="C99" s="507" t="s">
        <v>404</v>
      </c>
      <c r="D99" s="507" t="s">
        <v>224</v>
      </c>
      <c r="E99" s="507" t="s">
        <v>374</v>
      </c>
      <c r="F99" s="507" t="s">
        <v>266</v>
      </c>
      <c r="G99" s="507" t="s">
        <v>405</v>
      </c>
      <c r="H99" s="508" t="s">
        <v>267</v>
      </c>
      <c r="I99" s="507" t="s">
        <v>114</v>
      </c>
      <c r="J99" s="508" t="s">
        <v>267</v>
      </c>
      <c r="K99" s="57" t="s">
        <v>406</v>
      </c>
      <c r="L99" s="58" t="s">
        <v>21</v>
      </c>
      <c r="M99" s="59" t="s">
        <v>407</v>
      </c>
      <c r="N99" s="60" t="s">
        <v>71</v>
      </c>
      <c r="O99" s="61">
        <v>1</v>
      </c>
      <c r="P99" s="62">
        <v>153.03</v>
      </c>
      <c r="Q99" s="63">
        <f t="shared" si="69"/>
        <v>153.03</v>
      </c>
      <c r="R99" s="61">
        <f>IFERROR(SUMIFS('BM MORRO DA CRUZ - VERTICAL'!V$6:V$546,'BM MORRO DA CRUZ - VERTICAL'!$O$6:$O$546,'BM MORRO DA CRUZ'!$K99),0)</f>
        <v>0</v>
      </c>
      <c r="S99" s="63">
        <f t="shared" si="70"/>
        <v>0</v>
      </c>
      <c r="T99" s="61">
        <f>IFERROR(SUMIFS('BM MORRO DA CRUZ - VERTICAL'!X$6:X$546,'BM MORRO DA CRUZ - VERTICAL'!$O$6:$O$546,'BM MORRO DA CRUZ'!$K99),0)</f>
        <v>0</v>
      </c>
      <c r="U99" s="63">
        <f t="shared" si="71"/>
        <v>0</v>
      </c>
      <c r="V99" s="61">
        <f>IFERROR(SUMIFS('BM MORRO DA CRUZ - VERTICAL'!Z$6:Z$546,'BM MORRO DA CRUZ - VERTICAL'!$O$6:$O$546,'BM MORRO DA CRUZ'!$K99),0)</f>
        <v>0</v>
      </c>
      <c r="W99" s="63">
        <f t="shared" si="72"/>
        <v>0</v>
      </c>
      <c r="X99" s="61">
        <f>IFERROR(SUMIFS('BM MORRO DA CRUZ - VERTICAL'!AB$6:AB$546,'BM MORRO DA CRUZ - VERTICAL'!$O$6:$O$546,'BM MORRO DA CRUZ'!$K99),0)</f>
        <v>0</v>
      </c>
      <c r="Y99" s="63">
        <f t="shared" si="73"/>
        <v>0</v>
      </c>
      <c r="Z99" s="61">
        <f>IFERROR(SUMIFS('BM MORRO DA CRUZ - VERTICAL'!AD$6:AD$546,'BM MORRO DA CRUZ - VERTICAL'!$O$6:$O$546,'BM MORRO DA CRUZ'!$K99),0)</f>
        <v>0</v>
      </c>
      <c r="AA99" s="63">
        <f t="shared" si="74"/>
        <v>0</v>
      </c>
      <c r="AB99" s="61">
        <f>IFERROR(SUMIFS('BM MORRO DA CRUZ - VERTICAL'!AF$6:AF$546,'BM MORRO DA CRUZ - VERTICAL'!$O$6:$O$546,'BM MORRO DA CRUZ'!$K99),0)</f>
        <v>0</v>
      </c>
      <c r="AC99" s="63">
        <f t="shared" si="75"/>
        <v>0</v>
      </c>
      <c r="AD99" s="61">
        <f>IFERROR(SUMIFS('BM MORRO DA CRUZ - VERTICAL'!AH$6:AH$546,'BM MORRO DA CRUZ - VERTICAL'!$O$6:$O$546,'BM MORRO DA CRUZ'!$K99),0)</f>
        <v>0</v>
      </c>
      <c r="AE99" s="63">
        <f t="shared" si="76"/>
        <v>0</v>
      </c>
      <c r="AF99" s="61">
        <f>IFERROR(SUMIFS('BM MORRO DA CRUZ - VERTICAL'!AJ$6:AJ$546,'BM MORRO DA CRUZ - VERTICAL'!$O$6:$O$546,'BM MORRO DA CRUZ'!$K99),0)</f>
        <v>0</v>
      </c>
      <c r="AG99" s="63">
        <f t="shared" si="77"/>
        <v>0</v>
      </c>
      <c r="AH99" s="61">
        <f>IFERROR(SUMIFS('BM MORRO DA CRUZ - VERTICAL'!AL$6:AL$546,'BM MORRO DA CRUZ - VERTICAL'!$O$6:$O$546,'BM MORRO DA CRUZ'!$K99),0)</f>
        <v>0</v>
      </c>
      <c r="AI99" s="63">
        <f t="shared" si="78"/>
        <v>0</v>
      </c>
      <c r="AJ99" s="61">
        <f>IFERROR(SUMIFS('BM MORRO DA CRUZ - VERTICAL'!AN$6:AN$546,'BM MORRO DA CRUZ - VERTICAL'!$O$6:$O$546,'BM MORRO DA CRUZ'!$K99),0)</f>
        <v>0</v>
      </c>
      <c r="AK99" s="63">
        <f t="shared" si="79"/>
        <v>0</v>
      </c>
      <c r="AL99" s="61">
        <f>IFERROR(SUMIFS('BM MORRO DA CRUZ - VERTICAL'!AP$6:AP$546,'BM MORRO DA CRUZ - VERTICAL'!$O$6:$O$546,'BM MORRO DA CRUZ'!$K99),0)</f>
        <v>0</v>
      </c>
      <c r="AM99" s="63">
        <f t="shared" si="80"/>
        <v>0</v>
      </c>
      <c r="AN99" s="61">
        <f>IFERROR(SUMIFS('BM MORRO DA CRUZ - VERTICAL'!AR$6:AR$546,'BM MORRO DA CRUZ - VERTICAL'!$O$6:$O$546,'BM MORRO DA CRUZ'!$K99),0)</f>
        <v>0</v>
      </c>
      <c r="AO99" s="63">
        <f t="shared" si="81"/>
        <v>0</v>
      </c>
      <c r="AP99" s="61">
        <f>IFERROR(SUMIFS('BM MORRO DA CRUZ - VERTICAL'!AT$6:AT$546,'BM MORRO DA CRUZ - VERTICAL'!$O$6:$O$546,'BM MORRO DA CRUZ'!$K99),0)</f>
        <v>0</v>
      </c>
      <c r="AQ99" s="63">
        <f t="shared" si="82"/>
        <v>0</v>
      </c>
      <c r="AR99" s="61">
        <f>IFERROR(SUMIFS('BM MORRO DA CRUZ - VERTICAL'!AV$6:AV$546,'BM MORRO DA CRUZ - VERTICAL'!$O$6:$O$546,'BM MORRO DA CRUZ'!$K99),0)</f>
        <v>0</v>
      </c>
      <c r="AS99" s="63">
        <f t="shared" si="83"/>
        <v>0</v>
      </c>
      <c r="AT99" s="61">
        <f>IFERROR(SUMIFS('BM MORRO DA CRUZ - VERTICAL'!AX$6:AX$546,'BM MORRO DA CRUZ - VERTICAL'!$O$6:$O$546,'BM MORRO DA CRUZ'!$K99),0)</f>
        <v>0</v>
      </c>
      <c r="AU99" s="63">
        <f t="shared" si="84"/>
        <v>0</v>
      </c>
      <c r="AV99" s="61">
        <f>IFERROR(SUMIFS('BM MORRO DA CRUZ - VERTICAL'!AZ$6:AZ$546,'BM MORRO DA CRUZ - VERTICAL'!$O$6:$O$546,'BM MORRO DA CRUZ'!$K99),0)</f>
        <v>0</v>
      </c>
      <c r="AW99" s="63">
        <f t="shared" si="85"/>
        <v>0</v>
      </c>
      <c r="AX99" s="61">
        <f>IFERROR(SUMIFS('BM MORRO DA CRUZ - VERTICAL'!BB$6:BB$546,'BM MORRO DA CRUZ - VERTICAL'!$O$6:$O$546,'BM MORRO DA CRUZ'!$K99),0)</f>
        <v>0</v>
      </c>
      <c r="AY99" s="63">
        <f t="shared" si="86"/>
        <v>0</v>
      </c>
      <c r="AZ99" s="61">
        <f>IFERROR(SUMIFS('BM MORRO DA CRUZ - VERTICAL'!BD$6:BD$546,'BM MORRO DA CRUZ - VERTICAL'!$O$6:$O$546,'BM MORRO DA CRUZ'!$K99),0)</f>
        <v>0</v>
      </c>
      <c r="BA99" s="63">
        <f t="shared" si="87"/>
        <v>0</v>
      </c>
      <c r="BB99" s="61">
        <f t="shared" si="88"/>
        <v>0</v>
      </c>
      <c r="BC99" s="63">
        <f t="shared" si="89"/>
        <v>0</v>
      </c>
      <c r="BD99" s="64">
        <f t="shared" si="90"/>
        <v>0</v>
      </c>
      <c r="BE99" s="65">
        <f t="shared" si="91"/>
        <v>1</v>
      </c>
      <c r="BF99" s="45"/>
    </row>
    <row r="100" spans="1:58" ht="38.25" customHeight="1" x14ac:dyDescent="0.45">
      <c r="A100" s="56" t="s">
        <v>408</v>
      </c>
      <c r="B100" s="506" t="s">
        <v>403</v>
      </c>
      <c r="C100" s="507" t="s">
        <v>111</v>
      </c>
      <c r="D100" s="507" t="s">
        <v>224</v>
      </c>
      <c r="E100" s="507" t="s">
        <v>374</v>
      </c>
      <c r="F100" s="507" t="s">
        <v>266</v>
      </c>
      <c r="G100" s="507" t="s">
        <v>409</v>
      </c>
      <c r="H100" s="508" t="s">
        <v>267</v>
      </c>
      <c r="I100" s="507" t="s">
        <v>114</v>
      </c>
      <c r="J100" s="508" t="s">
        <v>267</v>
      </c>
      <c r="K100" s="57" t="s">
        <v>410</v>
      </c>
      <c r="L100" s="58" t="s">
        <v>21</v>
      </c>
      <c r="M100" s="59" t="s">
        <v>411</v>
      </c>
      <c r="N100" s="60" t="s">
        <v>71</v>
      </c>
      <c r="O100" s="61">
        <v>1</v>
      </c>
      <c r="P100" s="62">
        <v>8539.7199999999993</v>
      </c>
      <c r="Q100" s="63">
        <f t="shared" si="69"/>
        <v>8539.7199999999993</v>
      </c>
      <c r="R100" s="61">
        <f>IFERROR(SUMIFS('BM MORRO DA CRUZ - VERTICAL'!V$6:V$546,'BM MORRO DA CRUZ - VERTICAL'!$O$6:$O$546,'BM MORRO DA CRUZ'!$K100),0)</f>
        <v>0</v>
      </c>
      <c r="S100" s="63">
        <f t="shared" si="70"/>
        <v>0</v>
      </c>
      <c r="T100" s="61">
        <f>IFERROR(SUMIFS('BM MORRO DA CRUZ - VERTICAL'!X$6:X$546,'BM MORRO DA CRUZ - VERTICAL'!$O$6:$O$546,'BM MORRO DA CRUZ'!$K100),0)</f>
        <v>0</v>
      </c>
      <c r="U100" s="63">
        <f t="shared" si="71"/>
        <v>0</v>
      </c>
      <c r="V100" s="61">
        <f>IFERROR(SUMIFS('BM MORRO DA CRUZ - VERTICAL'!Z$6:Z$546,'BM MORRO DA CRUZ - VERTICAL'!$O$6:$O$546,'BM MORRO DA CRUZ'!$K100),0)</f>
        <v>0</v>
      </c>
      <c r="W100" s="63">
        <f t="shared" si="72"/>
        <v>0</v>
      </c>
      <c r="X100" s="61">
        <f>IFERROR(SUMIFS('BM MORRO DA CRUZ - VERTICAL'!AB$6:AB$546,'BM MORRO DA CRUZ - VERTICAL'!$O$6:$O$546,'BM MORRO DA CRUZ'!$K100),0)</f>
        <v>0</v>
      </c>
      <c r="Y100" s="63">
        <f t="shared" si="73"/>
        <v>0</v>
      </c>
      <c r="Z100" s="61">
        <f>IFERROR(SUMIFS('BM MORRO DA CRUZ - VERTICAL'!AD$6:AD$546,'BM MORRO DA CRUZ - VERTICAL'!$O$6:$O$546,'BM MORRO DA CRUZ'!$K100),0)</f>
        <v>0</v>
      </c>
      <c r="AA100" s="63">
        <f t="shared" si="74"/>
        <v>0</v>
      </c>
      <c r="AB100" s="61">
        <f>IFERROR(SUMIFS('BM MORRO DA CRUZ - VERTICAL'!AF$6:AF$546,'BM MORRO DA CRUZ - VERTICAL'!$O$6:$O$546,'BM MORRO DA CRUZ'!$K100),0)</f>
        <v>0</v>
      </c>
      <c r="AC100" s="63">
        <f t="shared" si="75"/>
        <v>0</v>
      </c>
      <c r="AD100" s="61">
        <f>IFERROR(SUMIFS('BM MORRO DA CRUZ - VERTICAL'!AH$6:AH$546,'BM MORRO DA CRUZ - VERTICAL'!$O$6:$O$546,'BM MORRO DA CRUZ'!$K100),0)</f>
        <v>0</v>
      </c>
      <c r="AE100" s="63">
        <f t="shared" si="76"/>
        <v>0</v>
      </c>
      <c r="AF100" s="61">
        <f>IFERROR(SUMIFS('BM MORRO DA CRUZ - VERTICAL'!AJ$6:AJ$546,'BM MORRO DA CRUZ - VERTICAL'!$O$6:$O$546,'BM MORRO DA CRUZ'!$K100),0)</f>
        <v>0</v>
      </c>
      <c r="AG100" s="63">
        <f t="shared" si="77"/>
        <v>0</v>
      </c>
      <c r="AH100" s="61">
        <f>IFERROR(SUMIFS('BM MORRO DA CRUZ - VERTICAL'!AL$6:AL$546,'BM MORRO DA CRUZ - VERTICAL'!$O$6:$O$546,'BM MORRO DA CRUZ'!$K100),0)</f>
        <v>0</v>
      </c>
      <c r="AI100" s="63">
        <f t="shared" si="78"/>
        <v>0</v>
      </c>
      <c r="AJ100" s="61">
        <f>IFERROR(SUMIFS('BM MORRO DA CRUZ - VERTICAL'!AN$6:AN$546,'BM MORRO DA CRUZ - VERTICAL'!$O$6:$O$546,'BM MORRO DA CRUZ'!$K100),0)</f>
        <v>0</v>
      </c>
      <c r="AK100" s="63">
        <f t="shared" si="79"/>
        <v>0</v>
      </c>
      <c r="AL100" s="61">
        <f>IFERROR(SUMIFS('BM MORRO DA CRUZ - VERTICAL'!AP$6:AP$546,'BM MORRO DA CRUZ - VERTICAL'!$O$6:$O$546,'BM MORRO DA CRUZ'!$K100),0)</f>
        <v>0</v>
      </c>
      <c r="AM100" s="63">
        <f t="shared" si="80"/>
        <v>0</v>
      </c>
      <c r="AN100" s="61">
        <f>IFERROR(SUMIFS('BM MORRO DA CRUZ - VERTICAL'!AR$6:AR$546,'BM MORRO DA CRUZ - VERTICAL'!$O$6:$O$546,'BM MORRO DA CRUZ'!$K100),0)</f>
        <v>0</v>
      </c>
      <c r="AO100" s="63">
        <f t="shared" si="81"/>
        <v>0</v>
      </c>
      <c r="AP100" s="61">
        <f>IFERROR(SUMIFS('BM MORRO DA CRUZ - VERTICAL'!AT$6:AT$546,'BM MORRO DA CRUZ - VERTICAL'!$O$6:$O$546,'BM MORRO DA CRUZ'!$K100),0)</f>
        <v>0</v>
      </c>
      <c r="AQ100" s="63">
        <f t="shared" si="82"/>
        <v>0</v>
      </c>
      <c r="AR100" s="61">
        <f>IFERROR(SUMIFS('BM MORRO DA CRUZ - VERTICAL'!AV$6:AV$546,'BM MORRO DA CRUZ - VERTICAL'!$O$6:$O$546,'BM MORRO DA CRUZ'!$K100),0)</f>
        <v>0</v>
      </c>
      <c r="AS100" s="63">
        <f t="shared" si="83"/>
        <v>0</v>
      </c>
      <c r="AT100" s="61">
        <f>IFERROR(SUMIFS('BM MORRO DA CRUZ - VERTICAL'!AX$6:AX$546,'BM MORRO DA CRUZ - VERTICAL'!$O$6:$O$546,'BM MORRO DA CRUZ'!$K100),0)</f>
        <v>0</v>
      </c>
      <c r="AU100" s="63">
        <f t="shared" si="84"/>
        <v>0</v>
      </c>
      <c r="AV100" s="61">
        <f>IFERROR(SUMIFS('BM MORRO DA CRUZ - VERTICAL'!AZ$6:AZ$546,'BM MORRO DA CRUZ - VERTICAL'!$O$6:$O$546,'BM MORRO DA CRUZ'!$K100),0)</f>
        <v>0</v>
      </c>
      <c r="AW100" s="63">
        <f t="shared" si="85"/>
        <v>0</v>
      </c>
      <c r="AX100" s="61">
        <f>IFERROR(SUMIFS('BM MORRO DA CRUZ - VERTICAL'!BB$6:BB$546,'BM MORRO DA CRUZ - VERTICAL'!$O$6:$O$546,'BM MORRO DA CRUZ'!$K100),0)</f>
        <v>0</v>
      </c>
      <c r="AY100" s="63">
        <f t="shared" si="86"/>
        <v>0</v>
      </c>
      <c r="AZ100" s="61">
        <f>IFERROR(SUMIFS('BM MORRO DA CRUZ - VERTICAL'!BD$6:BD$546,'BM MORRO DA CRUZ - VERTICAL'!$O$6:$O$546,'BM MORRO DA CRUZ'!$K100),0)</f>
        <v>0</v>
      </c>
      <c r="BA100" s="63">
        <f t="shared" si="87"/>
        <v>0</v>
      </c>
      <c r="BB100" s="61">
        <f t="shared" si="88"/>
        <v>0</v>
      </c>
      <c r="BC100" s="63">
        <f t="shared" si="89"/>
        <v>0</v>
      </c>
      <c r="BD100" s="64">
        <f t="shared" si="90"/>
        <v>0</v>
      </c>
      <c r="BE100" s="65">
        <f t="shared" si="91"/>
        <v>1</v>
      </c>
      <c r="BF100" s="45"/>
    </row>
    <row r="101" spans="1:58" ht="38.25" customHeight="1" x14ac:dyDescent="0.45">
      <c r="A101" s="56" t="s">
        <v>412</v>
      </c>
      <c r="B101" s="506" t="s">
        <v>373</v>
      </c>
      <c r="C101" s="507" t="s">
        <v>111</v>
      </c>
      <c r="D101" s="507" t="s">
        <v>224</v>
      </c>
      <c r="E101" s="507" t="s">
        <v>374</v>
      </c>
      <c r="F101" s="507" t="s">
        <v>273</v>
      </c>
      <c r="G101" s="507" t="s">
        <v>413</v>
      </c>
      <c r="H101" s="508" t="s">
        <v>267</v>
      </c>
      <c r="I101" s="507" t="s">
        <v>114</v>
      </c>
      <c r="J101" s="508" t="s">
        <v>267</v>
      </c>
      <c r="K101" s="57" t="s">
        <v>414</v>
      </c>
      <c r="L101" s="58" t="s">
        <v>21</v>
      </c>
      <c r="M101" s="59" t="s">
        <v>415</v>
      </c>
      <c r="N101" s="60" t="s">
        <v>71</v>
      </c>
      <c r="O101" s="61">
        <v>51</v>
      </c>
      <c r="P101" s="62">
        <v>506.6</v>
      </c>
      <c r="Q101" s="63">
        <f t="shared" si="69"/>
        <v>25836.6</v>
      </c>
      <c r="R101" s="61">
        <f>IFERROR(SUMIFS('BM MORRO DA CRUZ - VERTICAL'!V$6:V$546,'BM MORRO DA CRUZ - VERTICAL'!$O$6:$O$546,'BM MORRO DA CRUZ'!$K101),0)</f>
        <v>0</v>
      </c>
      <c r="S101" s="63">
        <f t="shared" si="70"/>
        <v>0</v>
      </c>
      <c r="T101" s="61">
        <f>IFERROR(SUMIFS('BM MORRO DA CRUZ - VERTICAL'!X$6:X$546,'BM MORRO DA CRUZ - VERTICAL'!$O$6:$O$546,'BM MORRO DA CRUZ'!$K101),0)</f>
        <v>0</v>
      </c>
      <c r="U101" s="63">
        <f t="shared" si="71"/>
        <v>0</v>
      </c>
      <c r="V101" s="61">
        <f>IFERROR(SUMIFS('BM MORRO DA CRUZ - VERTICAL'!Z$6:Z$546,'BM MORRO DA CRUZ - VERTICAL'!$O$6:$O$546,'BM MORRO DA CRUZ'!$K101),0)</f>
        <v>0</v>
      </c>
      <c r="W101" s="63">
        <f t="shared" si="72"/>
        <v>0</v>
      </c>
      <c r="X101" s="61">
        <f>IFERROR(SUMIFS('BM MORRO DA CRUZ - VERTICAL'!AB$6:AB$546,'BM MORRO DA CRUZ - VERTICAL'!$O$6:$O$546,'BM MORRO DA CRUZ'!$K101),0)</f>
        <v>0</v>
      </c>
      <c r="Y101" s="63">
        <f t="shared" si="73"/>
        <v>0</v>
      </c>
      <c r="Z101" s="61">
        <f>IFERROR(SUMIFS('BM MORRO DA CRUZ - VERTICAL'!AD$6:AD$546,'BM MORRO DA CRUZ - VERTICAL'!$O$6:$O$546,'BM MORRO DA CRUZ'!$K101),0)</f>
        <v>0</v>
      </c>
      <c r="AA101" s="63">
        <f t="shared" si="74"/>
        <v>0</v>
      </c>
      <c r="AB101" s="61">
        <f>IFERROR(SUMIFS('BM MORRO DA CRUZ - VERTICAL'!AF$6:AF$546,'BM MORRO DA CRUZ - VERTICAL'!$O$6:$O$546,'BM MORRO DA CRUZ'!$K101),0)</f>
        <v>0</v>
      </c>
      <c r="AC101" s="63">
        <f t="shared" si="75"/>
        <v>0</v>
      </c>
      <c r="AD101" s="61">
        <f>IFERROR(SUMIFS('BM MORRO DA CRUZ - VERTICAL'!AH$6:AH$546,'BM MORRO DA CRUZ - VERTICAL'!$O$6:$O$546,'BM MORRO DA CRUZ'!$K101),0)</f>
        <v>0</v>
      </c>
      <c r="AE101" s="63">
        <f t="shared" si="76"/>
        <v>0</v>
      </c>
      <c r="AF101" s="61">
        <f>IFERROR(SUMIFS('BM MORRO DA CRUZ - VERTICAL'!AJ$6:AJ$546,'BM MORRO DA CRUZ - VERTICAL'!$O$6:$O$546,'BM MORRO DA CRUZ'!$K101),0)</f>
        <v>0</v>
      </c>
      <c r="AG101" s="63">
        <f t="shared" si="77"/>
        <v>0</v>
      </c>
      <c r="AH101" s="61">
        <f>IFERROR(SUMIFS('BM MORRO DA CRUZ - VERTICAL'!AL$6:AL$546,'BM MORRO DA CRUZ - VERTICAL'!$O$6:$O$546,'BM MORRO DA CRUZ'!$K101),0)</f>
        <v>0</v>
      </c>
      <c r="AI101" s="63">
        <f t="shared" si="78"/>
        <v>0</v>
      </c>
      <c r="AJ101" s="61">
        <f>IFERROR(SUMIFS('BM MORRO DA CRUZ - VERTICAL'!AN$6:AN$546,'BM MORRO DA CRUZ - VERTICAL'!$O$6:$O$546,'BM MORRO DA CRUZ'!$K101),0)</f>
        <v>0</v>
      </c>
      <c r="AK101" s="63">
        <f t="shared" si="79"/>
        <v>0</v>
      </c>
      <c r="AL101" s="61">
        <f>IFERROR(SUMIFS('BM MORRO DA CRUZ - VERTICAL'!AP$6:AP$546,'BM MORRO DA CRUZ - VERTICAL'!$O$6:$O$546,'BM MORRO DA CRUZ'!$K101),0)</f>
        <v>0</v>
      </c>
      <c r="AM101" s="63">
        <f t="shared" si="80"/>
        <v>0</v>
      </c>
      <c r="AN101" s="61">
        <f>IFERROR(SUMIFS('BM MORRO DA CRUZ - VERTICAL'!AR$6:AR$546,'BM MORRO DA CRUZ - VERTICAL'!$O$6:$O$546,'BM MORRO DA CRUZ'!$K101),0)</f>
        <v>0</v>
      </c>
      <c r="AO101" s="63">
        <f t="shared" si="81"/>
        <v>0</v>
      </c>
      <c r="AP101" s="61">
        <f>IFERROR(SUMIFS('BM MORRO DA CRUZ - VERTICAL'!AT$6:AT$546,'BM MORRO DA CRUZ - VERTICAL'!$O$6:$O$546,'BM MORRO DA CRUZ'!$K101),0)</f>
        <v>0</v>
      </c>
      <c r="AQ101" s="63">
        <f t="shared" si="82"/>
        <v>0</v>
      </c>
      <c r="AR101" s="61">
        <f>IFERROR(SUMIFS('BM MORRO DA CRUZ - VERTICAL'!AV$6:AV$546,'BM MORRO DA CRUZ - VERTICAL'!$O$6:$O$546,'BM MORRO DA CRUZ'!$K101),0)</f>
        <v>0</v>
      </c>
      <c r="AS101" s="63">
        <f t="shared" si="83"/>
        <v>0</v>
      </c>
      <c r="AT101" s="61">
        <f>IFERROR(SUMIFS('BM MORRO DA CRUZ - VERTICAL'!AX$6:AX$546,'BM MORRO DA CRUZ - VERTICAL'!$O$6:$O$546,'BM MORRO DA CRUZ'!$K101),0)</f>
        <v>0</v>
      </c>
      <c r="AU101" s="63">
        <f t="shared" si="84"/>
        <v>0</v>
      </c>
      <c r="AV101" s="61">
        <f>IFERROR(SUMIFS('BM MORRO DA CRUZ - VERTICAL'!AZ$6:AZ$546,'BM MORRO DA CRUZ - VERTICAL'!$O$6:$O$546,'BM MORRO DA CRUZ'!$K101),0)</f>
        <v>0</v>
      </c>
      <c r="AW101" s="63">
        <f t="shared" si="85"/>
        <v>0</v>
      </c>
      <c r="AX101" s="61">
        <f>IFERROR(SUMIFS('BM MORRO DA CRUZ - VERTICAL'!BB$6:BB$546,'BM MORRO DA CRUZ - VERTICAL'!$O$6:$O$546,'BM MORRO DA CRUZ'!$K101),0)</f>
        <v>0</v>
      </c>
      <c r="AY101" s="63">
        <f t="shared" si="86"/>
        <v>0</v>
      </c>
      <c r="AZ101" s="61">
        <f>IFERROR(SUMIFS('BM MORRO DA CRUZ - VERTICAL'!BD$6:BD$546,'BM MORRO DA CRUZ - VERTICAL'!$O$6:$O$546,'BM MORRO DA CRUZ'!$K101),0)</f>
        <v>0</v>
      </c>
      <c r="BA101" s="63">
        <f t="shared" si="87"/>
        <v>0</v>
      </c>
      <c r="BB101" s="61">
        <f t="shared" si="88"/>
        <v>0</v>
      </c>
      <c r="BC101" s="63">
        <f t="shared" si="89"/>
        <v>0</v>
      </c>
      <c r="BD101" s="64">
        <f t="shared" si="90"/>
        <v>0</v>
      </c>
      <c r="BE101" s="65">
        <f t="shared" si="91"/>
        <v>1</v>
      </c>
      <c r="BF101" s="45"/>
    </row>
    <row r="102" spans="1:58" ht="38.25" customHeight="1" x14ac:dyDescent="0.45">
      <c r="A102" s="56" t="s">
        <v>416</v>
      </c>
      <c r="B102" s="506" t="s">
        <v>373</v>
      </c>
      <c r="C102" s="507" t="s">
        <v>111</v>
      </c>
      <c r="D102" s="507" t="s">
        <v>224</v>
      </c>
      <c r="E102" s="507" t="s">
        <v>374</v>
      </c>
      <c r="F102" s="507" t="s">
        <v>273</v>
      </c>
      <c r="G102" s="507" t="s">
        <v>417</v>
      </c>
      <c r="H102" s="508" t="s">
        <v>267</v>
      </c>
      <c r="I102" s="507" t="s">
        <v>114</v>
      </c>
      <c r="J102" s="508" t="s">
        <v>267</v>
      </c>
      <c r="K102" s="57" t="s">
        <v>418</v>
      </c>
      <c r="L102" s="58" t="s">
        <v>21</v>
      </c>
      <c r="M102" s="59" t="s">
        <v>419</v>
      </c>
      <c r="N102" s="60" t="s">
        <v>71</v>
      </c>
      <c r="O102" s="61">
        <v>6</v>
      </c>
      <c r="P102" s="62">
        <v>801.07</v>
      </c>
      <c r="Q102" s="63">
        <f t="shared" si="69"/>
        <v>4806.42</v>
      </c>
      <c r="R102" s="61">
        <f>IFERROR(SUMIFS('BM MORRO DA CRUZ - VERTICAL'!V$6:V$546,'BM MORRO DA CRUZ - VERTICAL'!$O$6:$O$546,'BM MORRO DA CRUZ'!$K102),0)</f>
        <v>0</v>
      </c>
      <c r="S102" s="63">
        <f t="shared" si="70"/>
        <v>0</v>
      </c>
      <c r="T102" s="61">
        <f>IFERROR(SUMIFS('BM MORRO DA CRUZ - VERTICAL'!X$6:X$546,'BM MORRO DA CRUZ - VERTICAL'!$O$6:$O$546,'BM MORRO DA CRUZ'!$K102),0)</f>
        <v>0</v>
      </c>
      <c r="U102" s="63">
        <f t="shared" si="71"/>
        <v>0</v>
      </c>
      <c r="V102" s="61">
        <f>IFERROR(SUMIFS('BM MORRO DA CRUZ - VERTICAL'!Z$6:Z$546,'BM MORRO DA CRUZ - VERTICAL'!$O$6:$O$546,'BM MORRO DA CRUZ'!$K102),0)</f>
        <v>0</v>
      </c>
      <c r="W102" s="63">
        <f t="shared" si="72"/>
        <v>0</v>
      </c>
      <c r="X102" s="61">
        <f>IFERROR(SUMIFS('BM MORRO DA CRUZ - VERTICAL'!AB$6:AB$546,'BM MORRO DA CRUZ - VERTICAL'!$O$6:$O$546,'BM MORRO DA CRUZ'!$K102),0)</f>
        <v>0</v>
      </c>
      <c r="Y102" s="63">
        <f t="shared" si="73"/>
        <v>0</v>
      </c>
      <c r="Z102" s="61">
        <f>IFERROR(SUMIFS('BM MORRO DA CRUZ - VERTICAL'!AD$6:AD$546,'BM MORRO DA CRUZ - VERTICAL'!$O$6:$O$546,'BM MORRO DA CRUZ'!$K102),0)</f>
        <v>0</v>
      </c>
      <c r="AA102" s="63">
        <f t="shared" si="74"/>
        <v>0</v>
      </c>
      <c r="AB102" s="61">
        <f>IFERROR(SUMIFS('BM MORRO DA CRUZ - VERTICAL'!AF$6:AF$546,'BM MORRO DA CRUZ - VERTICAL'!$O$6:$O$546,'BM MORRO DA CRUZ'!$K102),0)</f>
        <v>0</v>
      </c>
      <c r="AC102" s="63">
        <f t="shared" si="75"/>
        <v>0</v>
      </c>
      <c r="AD102" s="61">
        <f>IFERROR(SUMIFS('BM MORRO DA CRUZ - VERTICAL'!AH$6:AH$546,'BM MORRO DA CRUZ - VERTICAL'!$O$6:$O$546,'BM MORRO DA CRUZ'!$K102),0)</f>
        <v>0</v>
      </c>
      <c r="AE102" s="63">
        <f t="shared" si="76"/>
        <v>0</v>
      </c>
      <c r="AF102" s="61">
        <f>IFERROR(SUMIFS('BM MORRO DA CRUZ - VERTICAL'!AJ$6:AJ$546,'BM MORRO DA CRUZ - VERTICAL'!$O$6:$O$546,'BM MORRO DA CRUZ'!$K102),0)</f>
        <v>0</v>
      </c>
      <c r="AG102" s="63">
        <f t="shared" si="77"/>
        <v>0</v>
      </c>
      <c r="AH102" s="61">
        <f>IFERROR(SUMIFS('BM MORRO DA CRUZ - VERTICAL'!AL$6:AL$546,'BM MORRO DA CRUZ - VERTICAL'!$O$6:$O$546,'BM MORRO DA CRUZ'!$K102),0)</f>
        <v>0</v>
      </c>
      <c r="AI102" s="63">
        <f t="shared" si="78"/>
        <v>0</v>
      </c>
      <c r="AJ102" s="61">
        <f>IFERROR(SUMIFS('BM MORRO DA CRUZ - VERTICAL'!AN$6:AN$546,'BM MORRO DA CRUZ - VERTICAL'!$O$6:$O$546,'BM MORRO DA CRUZ'!$K102),0)</f>
        <v>0</v>
      </c>
      <c r="AK102" s="63">
        <f t="shared" si="79"/>
        <v>0</v>
      </c>
      <c r="AL102" s="61">
        <f>IFERROR(SUMIFS('BM MORRO DA CRUZ - VERTICAL'!AP$6:AP$546,'BM MORRO DA CRUZ - VERTICAL'!$O$6:$O$546,'BM MORRO DA CRUZ'!$K102),0)</f>
        <v>0</v>
      </c>
      <c r="AM102" s="63">
        <f t="shared" si="80"/>
        <v>0</v>
      </c>
      <c r="AN102" s="61">
        <f>IFERROR(SUMIFS('BM MORRO DA CRUZ - VERTICAL'!AR$6:AR$546,'BM MORRO DA CRUZ - VERTICAL'!$O$6:$O$546,'BM MORRO DA CRUZ'!$K102),0)</f>
        <v>0</v>
      </c>
      <c r="AO102" s="63">
        <f t="shared" si="81"/>
        <v>0</v>
      </c>
      <c r="AP102" s="61">
        <f>IFERROR(SUMIFS('BM MORRO DA CRUZ - VERTICAL'!AT$6:AT$546,'BM MORRO DA CRUZ - VERTICAL'!$O$6:$O$546,'BM MORRO DA CRUZ'!$K102),0)</f>
        <v>0</v>
      </c>
      <c r="AQ102" s="63">
        <f t="shared" si="82"/>
        <v>0</v>
      </c>
      <c r="AR102" s="61">
        <f>IFERROR(SUMIFS('BM MORRO DA CRUZ - VERTICAL'!AV$6:AV$546,'BM MORRO DA CRUZ - VERTICAL'!$O$6:$O$546,'BM MORRO DA CRUZ'!$K102),0)</f>
        <v>0</v>
      </c>
      <c r="AS102" s="63">
        <f t="shared" si="83"/>
        <v>0</v>
      </c>
      <c r="AT102" s="61">
        <f>IFERROR(SUMIFS('BM MORRO DA CRUZ - VERTICAL'!AX$6:AX$546,'BM MORRO DA CRUZ - VERTICAL'!$O$6:$O$546,'BM MORRO DA CRUZ'!$K102),0)</f>
        <v>0</v>
      </c>
      <c r="AU102" s="63">
        <f t="shared" si="84"/>
        <v>0</v>
      </c>
      <c r="AV102" s="61">
        <f>IFERROR(SUMIFS('BM MORRO DA CRUZ - VERTICAL'!AZ$6:AZ$546,'BM MORRO DA CRUZ - VERTICAL'!$O$6:$O$546,'BM MORRO DA CRUZ'!$K102),0)</f>
        <v>0</v>
      </c>
      <c r="AW102" s="63">
        <f t="shared" si="85"/>
        <v>0</v>
      </c>
      <c r="AX102" s="61">
        <f>IFERROR(SUMIFS('BM MORRO DA CRUZ - VERTICAL'!BB$6:BB$546,'BM MORRO DA CRUZ - VERTICAL'!$O$6:$O$546,'BM MORRO DA CRUZ'!$K102),0)</f>
        <v>0</v>
      </c>
      <c r="AY102" s="63">
        <f t="shared" si="86"/>
        <v>0</v>
      </c>
      <c r="AZ102" s="61">
        <f>IFERROR(SUMIFS('BM MORRO DA CRUZ - VERTICAL'!BD$6:BD$546,'BM MORRO DA CRUZ - VERTICAL'!$O$6:$O$546,'BM MORRO DA CRUZ'!$K102),0)</f>
        <v>0</v>
      </c>
      <c r="BA102" s="63">
        <f t="shared" si="87"/>
        <v>0</v>
      </c>
      <c r="BB102" s="61">
        <f t="shared" si="88"/>
        <v>0</v>
      </c>
      <c r="BC102" s="63">
        <f t="shared" si="89"/>
        <v>0</v>
      </c>
      <c r="BD102" s="64">
        <f t="shared" si="90"/>
        <v>0</v>
      </c>
      <c r="BE102" s="65">
        <f t="shared" si="91"/>
        <v>1</v>
      </c>
      <c r="BF102" s="45"/>
    </row>
    <row r="103" spans="1:58" ht="38.25" customHeight="1" x14ac:dyDescent="0.45">
      <c r="A103" s="56" t="s">
        <v>420</v>
      </c>
      <c r="B103" s="506" t="s">
        <v>373</v>
      </c>
      <c r="C103" s="507" t="s">
        <v>111</v>
      </c>
      <c r="D103" s="507" t="s">
        <v>224</v>
      </c>
      <c r="E103" s="507" t="s">
        <v>374</v>
      </c>
      <c r="F103" s="507" t="s">
        <v>273</v>
      </c>
      <c r="G103" s="507" t="s">
        <v>421</v>
      </c>
      <c r="H103" s="508" t="s">
        <v>267</v>
      </c>
      <c r="I103" s="507" t="s">
        <v>114</v>
      </c>
      <c r="J103" s="508" t="s">
        <v>267</v>
      </c>
      <c r="K103" s="57" t="s">
        <v>422</v>
      </c>
      <c r="L103" s="58" t="s">
        <v>21</v>
      </c>
      <c r="M103" s="59" t="s">
        <v>423</v>
      </c>
      <c r="N103" s="60" t="s">
        <v>71</v>
      </c>
      <c r="O103" s="61">
        <v>2</v>
      </c>
      <c r="P103" s="62">
        <v>897.11</v>
      </c>
      <c r="Q103" s="63">
        <f t="shared" si="69"/>
        <v>1794.22</v>
      </c>
      <c r="R103" s="61">
        <f>IFERROR(SUMIFS('BM MORRO DA CRUZ - VERTICAL'!V$6:V$546,'BM MORRO DA CRUZ - VERTICAL'!$O$6:$O$546,'BM MORRO DA CRUZ'!$K103),0)</f>
        <v>0</v>
      </c>
      <c r="S103" s="63">
        <f t="shared" si="70"/>
        <v>0</v>
      </c>
      <c r="T103" s="61">
        <f>IFERROR(SUMIFS('BM MORRO DA CRUZ - VERTICAL'!X$6:X$546,'BM MORRO DA CRUZ - VERTICAL'!$O$6:$O$546,'BM MORRO DA CRUZ'!$K103),0)</f>
        <v>0</v>
      </c>
      <c r="U103" s="63">
        <f t="shared" si="71"/>
        <v>0</v>
      </c>
      <c r="V103" s="61">
        <f>IFERROR(SUMIFS('BM MORRO DA CRUZ - VERTICAL'!Z$6:Z$546,'BM MORRO DA CRUZ - VERTICAL'!$O$6:$O$546,'BM MORRO DA CRUZ'!$K103),0)</f>
        <v>0</v>
      </c>
      <c r="W103" s="63">
        <f t="shared" si="72"/>
        <v>0</v>
      </c>
      <c r="X103" s="61">
        <f>IFERROR(SUMIFS('BM MORRO DA CRUZ - VERTICAL'!AB$6:AB$546,'BM MORRO DA CRUZ - VERTICAL'!$O$6:$O$546,'BM MORRO DA CRUZ'!$K103),0)</f>
        <v>0</v>
      </c>
      <c r="Y103" s="63">
        <f t="shared" si="73"/>
        <v>0</v>
      </c>
      <c r="Z103" s="61">
        <f>IFERROR(SUMIFS('BM MORRO DA CRUZ - VERTICAL'!AD$6:AD$546,'BM MORRO DA CRUZ - VERTICAL'!$O$6:$O$546,'BM MORRO DA CRUZ'!$K103),0)</f>
        <v>0</v>
      </c>
      <c r="AA103" s="63">
        <f t="shared" si="74"/>
        <v>0</v>
      </c>
      <c r="AB103" s="61">
        <f>IFERROR(SUMIFS('BM MORRO DA CRUZ - VERTICAL'!AF$6:AF$546,'BM MORRO DA CRUZ - VERTICAL'!$O$6:$O$546,'BM MORRO DA CRUZ'!$K103),0)</f>
        <v>0</v>
      </c>
      <c r="AC103" s="63">
        <f t="shared" si="75"/>
        <v>0</v>
      </c>
      <c r="AD103" s="61">
        <f>IFERROR(SUMIFS('BM MORRO DA CRUZ - VERTICAL'!AH$6:AH$546,'BM MORRO DA CRUZ - VERTICAL'!$O$6:$O$546,'BM MORRO DA CRUZ'!$K103),0)</f>
        <v>0</v>
      </c>
      <c r="AE103" s="63">
        <f t="shared" si="76"/>
        <v>0</v>
      </c>
      <c r="AF103" s="61">
        <f>IFERROR(SUMIFS('BM MORRO DA CRUZ - VERTICAL'!AJ$6:AJ$546,'BM MORRO DA CRUZ - VERTICAL'!$O$6:$O$546,'BM MORRO DA CRUZ'!$K103),0)</f>
        <v>0</v>
      </c>
      <c r="AG103" s="63">
        <f t="shared" si="77"/>
        <v>0</v>
      </c>
      <c r="AH103" s="61">
        <f>IFERROR(SUMIFS('BM MORRO DA CRUZ - VERTICAL'!AL$6:AL$546,'BM MORRO DA CRUZ - VERTICAL'!$O$6:$O$546,'BM MORRO DA CRUZ'!$K103),0)</f>
        <v>0</v>
      </c>
      <c r="AI103" s="63">
        <f t="shared" si="78"/>
        <v>0</v>
      </c>
      <c r="AJ103" s="61">
        <f>IFERROR(SUMIFS('BM MORRO DA CRUZ - VERTICAL'!AN$6:AN$546,'BM MORRO DA CRUZ - VERTICAL'!$O$6:$O$546,'BM MORRO DA CRUZ'!$K103),0)</f>
        <v>0</v>
      </c>
      <c r="AK103" s="63">
        <f t="shared" si="79"/>
        <v>0</v>
      </c>
      <c r="AL103" s="61">
        <f>IFERROR(SUMIFS('BM MORRO DA CRUZ - VERTICAL'!AP$6:AP$546,'BM MORRO DA CRUZ - VERTICAL'!$O$6:$O$546,'BM MORRO DA CRUZ'!$K103),0)</f>
        <v>0</v>
      </c>
      <c r="AM103" s="63">
        <f t="shared" si="80"/>
        <v>0</v>
      </c>
      <c r="AN103" s="61">
        <f>IFERROR(SUMIFS('BM MORRO DA CRUZ - VERTICAL'!AR$6:AR$546,'BM MORRO DA CRUZ - VERTICAL'!$O$6:$O$546,'BM MORRO DA CRUZ'!$K103),0)</f>
        <v>0</v>
      </c>
      <c r="AO103" s="63">
        <f t="shared" si="81"/>
        <v>0</v>
      </c>
      <c r="AP103" s="61">
        <f>IFERROR(SUMIFS('BM MORRO DA CRUZ - VERTICAL'!AT$6:AT$546,'BM MORRO DA CRUZ - VERTICAL'!$O$6:$O$546,'BM MORRO DA CRUZ'!$K103),0)</f>
        <v>0</v>
      </c>
      <c r="AQ103" s="63">
        <f t="shared" si="82"/>
        <v>0</v>
      </c>
      <c r="AR103" s="61">
        <f>IFERROR(SUMIFS('BM MORRO DA CRUZ - VERTICAL'!AV$6:AV$546,'BM MORRO DA CRUZ - VERTICAL'!$O$6:$O$546,'BM MORRO DA CRUZ'!$K103),0)</f>
        <v>0</v>
      </c>
      <c r="AS103" s="63">
        <f t="shared" si="83"/>
        <v>0</v>
      </c>
      <c r="AT103" s="61">
        <f>IFERROR(SUMIFS('BM MORRO DA CRUZ - VERTICAL'!AX$6:AX$546,'BM MORRO DA CRUZ - VERTICAL'!$O$6:$O$546,'BM MORRO DA CRUZ'!$K103),0)</f>
        <v>0</v>
      </c>
      <c r="AU103" s="63">
        <f t="shared" si="84"/>
        <v>0</v>
      </c>
      <c r="AV103" s="61">
        <f>IFERROR(SUMIFS('BM MORRO DA CRUZ - VERTICAL'!AZ$6:AZ$546,'BM MORRO DA CRUZ - VERTICAL'!$O$6:$O$546,'BM MORRO DA CRUZ'!$K103),0)</f>
        <v>0</v>
      </c>
      <c r="AW103" s="63">
        <f t="shared" si="85"/>
        <v>0</v>
      </c>
      <c r="AX103" s="61">
        <f>IFERROR(SUMIFS('BM MORRO DA CRUZ - VERTICAL'!BB$6:BB$546,'BM MORRO DA CRUZ - VERTICAL'!$O$6:$O$546,'BM MORRO DA CRUZ'!$K103),0)</f>
        <v>0</v>
      </c>
      <c r="AY103" s="63">
        <f t="shared" si="86"/>
        <v>0</v>
      </c>
      <c r="AZ103" s="61">
        <f>IFERROR(SUMIFS('BM MORRO DA CRUZ - VERTICAL'!BD$6:BD$546,'BM MORRO DA CRUZ - VERTICAL'!$O$6:$O$546,'BM MORRO DA CRUZ'!$K103),0)</f>
        <v>0</v>
      </c>
      <c r="BA103" s="63">
        <f t="shared" si="87"/>
        <v>0</v>
      </c>
      <c r="BB103" s="61">
        <f t="shared" si="88"/>
        <v>0</v>
      </c>
      <c r="BC103" s="63">
        <f t="shared" si="89"/>
        <v>0</v>
      </c>
      <c r="BD103" s="64">
        <f t="shared" si="90"/>
        <v>0</v>
      </c>
      <c r="BE103" s="65">
        <f t="shared" si="91"/>
        <v>1</v>
      </c>
      <c r="BF103" s="45"/>
    </row>
    <row r="104" spans="1:58" ht="38.25" customHeight="1" x14ac:dyDescent="0.45">
      <c r="A104" s="56" t="s">
        <v>424</v>
      </c>
      <c r="B104" s="506" t="s">
        <v>373</v>
      </c>
      <c r="C104" s="507" t="s">
        <v>111</v>
      </c>
      <c r="D104" s="507" t="s">
        <v>224</v>
      </c>
      <c r="E104" s="507" t="s">
        <v>374</v>
      </c>
      <c r="F104" s="507" t="s">
        <v>273</v>
      </c>
      <c r="G104" s="507" t="s">
        <v>425</v>
      </c>
      <c r="H104" s="508" t="s">
        <v>267</v>
      </c>
      <c r="I104" s="507" t="s">
        <v>114</v>
      </c>
      <c r="J104" s="508" t="s">
        <v>267</v>
      </c>
      <c r="K104" s="57" t="s">
        <v>426</v>
      </c>
      <c r="L104" s="58" t="s">
        <v>21</v>
      </c>
      <c r="M104" s="59" t="s">
        <v>427</v>
      </c>
      <c r="N104" s="60" t="s">
        <v>71</v>
      </c>
      <c r="O104" s="61">
        <v>1</v>
      </c>
      <c r="P104" s="62">
        <v>748.14</v>
      </c>
      <c r="Q104" s="63">
        <f t="shared" si="69"/>
        <v>748.14</v>
      </c>
      <c r="R104" s="61">
        <f>IFERROR(SUMIFS('BM MORRO DA CRUZ - VERTICAL'!V$6:V$546,'BM MORRO DA CRUZ - VERTICAL'!$O$6:$O$546,'BM MORRO DA CRUZ'!$K104),0)</f>
        <v>0</v>
      </c>
      <c r="S104" s="63">
        <f t="shared" si="70"/>
        <v>0</v>
      </c>
      <c r="T104" s="61">
        <f>IFERROR(SUMIFS('BM MORRO DA CRUZ - VERTICAL'!X$6:X$546,'BM MORRO DA CRUZ - VERTICAL'!$O$6:$O$546,'BM MORRO DA CRUZ'!$K104),0)</f>
        <v>0</v>
      </c>
      <c r="U104" s="63">
        <f t="shared" si="71"/>
        <v>0</v>
      </c>
      <c r="V104" s="61">
        <f>IFERROR(SUMIFS('BM MORRO DA CRUZ - VERTICAL'!Z$6:Z$546,'BM MORRO DA CRUZ - VERTICAL'!$O$6:$O$546,'BM MORRO DA CRUZ'!$K104),0)</f>
        <v>0</v>
      </c>
      <c r="W104" s="63">
        <f t="shared" si="72"/>
        <v>0</v>
      </c>
      <c r="X104" s="61">
        <f>IFERROR(SUMIFS('BM MORRO DA CRUZ - VERTICAL'!AB$6:AB$546,'BM MORRO DA CRUZ - VERTICAL'!$O$6:$O$546,'BM MORRO DA CRUZ'!$K104),0)</f>
        <v>0</v>
      </c>
      <c r="Y104" s="63">
        <f t="shared" si="73"/>
        <v>0</v>
      </c>
      <c r="Z104" s="61">
        <f>IFERROR(SUMIFS('BM MORRO DA CRUZ - VERTICAL'!AD$6:AD$546,'BM MORRO DA CRUZ - VERTICAL'!$O$6:$O$546,'BM MORRO DA CRUZ'!$K104),0)</f>
        <v>0</v>
      </c>
      <c r="AA104" s="63">
        <f t="shared" si="74"/>
        <v>0</v>
      </c>
      <c r="AB104" s="61">
        <f>IFERROR(SUMIFS('BM MORRO DA CRUZ - VERTICAL'!AF$6:AF$546,'BM MORRO DA CRUZ - VERTICAL'!$O$6:$O$546,'BM MORRO DA CRUZ'!$K104),0)</f>
        <v>0</v>
      </c>
      <c r="AC104" s="63">
        <f t="shared" si="75"/>
        <v>0</v>
      </c>
      <c r="AD104" s="61">
        <f>IFERROR(SUMIFS('BM MORRO DA CRUZ - VERTICAL'!AH$6:AH$546,'BM MORRO DA CRUZ - VERTICAL'!$O$6:$O$546,'BM MORRO DA CRUZ'!$K104),0)</f>
        <v>0</v>
      </c>
      <c r="AE104" s="63">
        <f t="shared" si="76"/>
        <v>0</v>
      </c>
      <c r="AF104" s="61">
        <f>IFERROR(SUMIFS('BM MORRO DA CRUZ - VERTICAL'!AJ$6:AJ$546,'BM MORRO DA CRUZ - VERTICAL'!$O$6:$O$546,'BM MORRO DA CRUZ'!$K104),0)</f>
        <v>0</v>
      </c>
      <c r="AG104" s="63">
        <f t="shared" si="77"/>
        <v>0</v>
      </c>
      <c r="AH104" s="61">
        <f>IFERROR(SUMIFS('BM MORRO DA CRUZ - VERTICAL'!AL$6:AL$546,'BM MORRO DA CRUZ - VERTICAL'!$O$6:$O$546,'BM MORRO DA CRUZ'!$K104),0)</f>
        <v>0</v>
      </c>
      <c r="AI104" s="63">
        <f t="shared" si="78"/>
        <v>0</v>
      </c>
      <c r="AJ104" s="61">
        <f>IFERROR(SUMIFS('BM MORRO DA CRUZ - VERTICAL'!AN$6:AN$546,'BM MORRO DA CRUZ - VERTICAL'!$O$6:$O$546,'BM MORRO DA CRUZ'!$K104),0)</f>
        <v>0</v>
      </c>
      <c r="AK104" s="63">
        <f t="shared" si="79"/>
        <v>0</v>
      </c>
      <c r="AL104" s="61">
        <f>IFERROR(SUMIFS('BM MORRO DA CRUZ - VERTICAL'!AP$6:AP$546,'BM MORRO DA CRUZ - VERTICAL'!$O$6:$O$546,'BM MORRO DA CRUZ'!$K104),0)</f>
        <v>0</v>
      </c>
      <c r="AM104" s="63">
        <f t="shared" si="80"/>
        <v>0</v>
      </c>
      <c r="AN104" s="61">
        <f>IFERROR(SUMIFS('BM MORRO DA CRUZ - VERTICAL'!AR$6:AR$546,'BM MORRO DA CRUZ - VERTICAL'!$O$6:$O$546,'BM MORRO DA CRUZ'!$K104),0)</f>
        <v>0</v>
      </c>
      <c r="AO104" s="63">
        <f t="shared" si="81"/>
        <v>0</v>
      </c>
      <c r="AP104" s="61">
        <f>IFERROR(SUMIFS('BM MORRO DA CRUZ - VERTICAL'!AT$6:AT$546,'BM MORRO DA CRUZ - VERTICAL'!$O$6:$O$546,'BM MORRO DA CRUZ'!$K104),0)</f>
        <v>0</v>
      </c>
      <c r="AQ104" s="63">
        <f t="shared" si="82"/>
        <v>0</v>
      </c>
      <c r="AR104" s="61">
        <f>IFERROR(SUMIFS('BM MORRO DA CRUZ - VERTICAL'!AV$6:AV$546,'BM MORRO DA CRUZ - VERTICAL'!$O$6:$O$546,'BM MORRO DA CRUZ'!$K104),0)</f>
        <v>0</v>
      </c>
      <c r="AS104" s="63">
        <f t="shared" si="83"/>
        <v>0</v>
      </c>
      <c r="AT104" s="61">
        <f>IFERROR(SUMIFS('BM MORRO DA CRUZ - VERTICAL'!AX$6:AX$546,'BM MORRO DA CRUZ - VERTICAL'!$O$6:$O$546,'BM MORRO DA CRUZ'!$K104),0)</f>
        <v>0</v>
      </c>
      <c r="AU104" s="63">
        <f t="shared" si="84"/>
        <v>0</v>
      </c>
      <c r="AV104" s="61">
        <f>IFERROR(SUMIFS('BM MORRO DA CRUZ - VERTICAL'!AZ$6:AZ$546,'BM MORRO DA CRUZ - VERTICAL'!$O$6:$O$546,'BM MORRO DA CRUZ'!$K104),0)</f>
        <v>0</v>
      </c>
      <c r="AW104" s="63">
        <f t="shared" si="85"/>
        <v>0</v>
      </c>
      <c r="AX104" s="61">
        <f>IFERROR(SUMIFS('BM MORRO DA CRUZ - VERTICAL'!BB$6:BB$546,'BM MORRO DA CRUZ - VERTICAL'!$O$6:$O$546,'BM MORRO DA CRUZ'!$K104),0)</f>
        <v>0</v>
      </c>
      <c r="AY104" s="63">
        <f t="shared" si="86"/>
        <v>0</v>
      </c>
      <c r="AZ104" s="61">
        <f>IFERROR(SUMIFS('BM MORRO DA CRUZ - VERTICAL'!BD$6:BD$546,'BM MORRO DA CRUZ - VERTICAL'!$O$6:$O$546,'BM MORRO DA CRUZ'!$K104),0)</f>
        <v>0</v>
      </c>
      <c r="BA104" s="63">
        <f t="shared" si="87"/>
        <v>0</v>
      </c>
      <c r="BB104" s="61">
        <f t="shared" si="88"/>
        <v>0</v>
      </c>
      <c r="BC104" s="63">
        <f t="shared" si="89"/>
        <v>0</v>
      </c>
      <c r="BD104" s="64">
        <f t="shared" si="90"/>
        <v>0</v>
      </c>
      <c r="BE104" s="65">
        <f t="shared" si="91"/>
        <v>1</v>
      </c>
      <c r="BF104" s="45"/>
    </row>
    <row r="105" spans="1:58" ht="38.25" customHeight="1" x14ac:dyDescent="0.45">
      <c r="A105" s="56" t="s">
        <v>428</v>
      </c>
      <c r="B105" s="506" t="s">
        <v>373</v>
      </c>
      <c r="C105" s="507" t="s">
        <v>111</v>
      </c>
      <c r="D105" s="507" t="s">
        <v>224</v>
      </c>
      <c r="E105" s="507" t="s">
        <v>374</v>
      </c>
      <c r="F105" s="507" t="s">
        <v>273</v>
      </c>
      <c r="G105" s="507" t="s">
        <v>429</v>
      </c>
      <c r="H105" s="508" t="s">
        <v>267</v>
      </c>
      <c r="I105" s="507" t="s">
        <v>114</v>
      </c>
      <c r="J105" s="508" t="s">
        <v>267</v>
      </c>
      <c r="K105" s="57" t="s">
        <v>430</v>
      </c>
      <c r="L105" s="58" t="s">
        <v>21</v>
      </c>
      <c r="M105" s="59" t="s">
        <v>431</v>
      </c>
      <c r="N105" s="60" t="s">
        <v>71</v>
      </c>
      <c r="O105" s="61">
        <v>2</v>
      </c>
      <c r="P105" s="62">
        <v>3246.84</v>
      </c>
      <c r="Q105" s="63">
        <f t="shared" si="69"/>
        <v>6493.68</v>
      </c>
      <c r="R105" s="61">
        <f>IFERROR(SUMIFS('BM MORRO DA CRUZ - VERTICAL'!V$6:V$546,'BM MORRO DA CRUZ - VERTICAL'!$O$6:$O$546,'BM MORRO DA CRUZ'!$K105),0)</f>
        <v>0</v>
      </c>
      <c r="S105" s="63">
        <f t="shared" si="70"/>
        <v>0</v>
      </c>
      <c r="T105" s="61">
        <f>IFERROR(SUMIFS('BM MORRO DA CRUZ - VERTICAL'!X$6:X$546,'BM MORRO DA CRUZ - VERTICAL'!$O$6:$O$546,'BM MORRO DA CRUZ'!$K105),0)</f>
        <v>0</v>
      </c>
      <c r="U105" s="63">
        <f t="shared" si="71"/>
        <v>0</v>
      </c>
      <c r="V105" s="61">
        <f>IFERROR(SUMIFS('BM MORRO DA CRUZ - VERTICAL'!Z$6:Z$546,'BM MORRO DA CRUZ - VERTICAL'!$O$6:$O$546,'BM MORRO DA CRUZ'!$K105),0)</f>
        <v>0</v>
      </c>
      <c r="W105" s="63">
        <f t="shared" si="72"/>
        <v>0</v>
      </c>
      <c r="X105" s="61">
        <f>IFERROR(SUMIFS('BM MORRO DA CRUZ - VERTICAL'!AB$6:AB$546,'BM MORRO DA CRUZ - VERTICAL'!$O$6:$O$546,'BM MORRO DA CRUZ'!$K105),0)</f>
        <v>0</v>
      </c>
      <c r="Y105" s="63">
        <f t="shared" si="73"/>
        <v>0</v>
      </c>
      <c r="Z105" s="61">
        <f>IFERROR(SUMIFS('BM MORRO DA CRUZ - VERTICAL'!AD$6:AD$546,'BM MORRO DA CRUZ - VERTICAL'!$O$6:$O$546,'BM MORRO DA CRUZ'!$K105),0)</f>
        <v>0</v>
      </c>
      <c r="AA105" s="63">
        <f t="shared" si="74"/>
        <v>0</v>
      </c>
      <c r="AB105" s="61">
        <f>IFERROR(SUMIFS('BM MORRO DA CRUZ - VERTICAL'!AF$6:AF$546,'BM MORRO DA CRUZ - VERTICAL'!$O$6:$O$546,'BM MORRO DA CRUZ'!$K105),0)</f>
        <v>0</v>
      </c>
      <c r="AC105" s="63">
        <f t="shared" si="75"/>
        <v>0</v>
      </c>
      <c r="AD105" s="61">
        <f>IFERROR(SUMIFS('BM MORRO DA CRUZ - VERTICAL'!AH$6:AH$546,'BM MORRO DA CRUZ - VERTICAL'!$O$6:$O$546,'BM MORRO DA CRUZ'!$K105),0)</f>
        <v>0</v>
      </c>
      <c r="AE105" s="63">
        <f t="shared" si="76"/>
        <v>0</v>
      </c>
      <c r="AF105" s="61">
        <f>IFERROR(SUMIFS('BM MORRO DA CRUZ - VERTICAL'!AJ$6:AJ$546,'BM MORRO DA CRUZ - VERTICAL'!$O$6:$O$546,'BM MORRO DA CRUZ'!$K105),0)</f>
        <v>0</v>
      </c>
      <c r="AG105" s="63">
        <f t="shared" si="77"/>
        <v>0</v>
      </c>
      <c r="AH105" s="61">
        <f>IFERROR(SUMIFS('BM MORRO DA CRUZ - VERTICAL'!AL$6:AL$546,'BM MORRO DA CRUZ - VERTICAL'!$O$6:$O$546,'BM MORRO DA CRUZ'!$K105),0)</f>
        <v>0</v>
      </c>
      <c r="AI105" s="63">
        <f t="shared" si="78"/>
        <v>0</v>
      </c>
      <c r="AJ105" s="61">
        <f>IFERROR(SUMIFS('BM MORRO DA CRUZ - VERTICAL'!AN$6:AN$546,'BM MORRO DA CRUZ - VERTICAL'!$O$6:$O$546,'BM MORRO DA CRUZ'!$K105),0)</f>
        <v>0</v>
      </c>
      <c r="AK105" s="63">
        <f t="shared" si="79"/>
        <v>0</v>
      </c>
      <c r="AL105" s="61">
        <f>IFERROR(SUMIFS('BM MORRO DA CRUZ - VERTICAL'!AP$6:AP$546,'BM MORRO DA CRUZ - VERTICAL'!$O$6:$O$546,'BM MORRO DA CRUZ'!$K105),0)</f>
        <v>0</v>
      </c>
      <c r="AM105" s="63">
        <f t="shared" si="80"/>
        <v>0</v>
      </c>
      <c r="AN105" s="61">
        <f>IFERROR(SUMIFS('BM MORRO DA CRUZ - VERTICAL'!AR$6:AR$546,'BM MORRO DA CRUZ - VERTICAL'!$O$6:$O$546,'BM MORRO DA CRUZ'!$K105),0)</f>
        <v>0</v>
      </c>
      <c r="AO105" s="63">
        <f t="shared" si="81"/>
        <v>0</v>
      </c>
      <c r="AP105" s="61">
        <f>IFERROR(SUMIFS('BM MORRO DA CRUZ - VERTICAL'!AT$6:AT$546,'BM MORRO DA CRUZ - VERTICAL'!$O$6:$O$546,'BM MORRO DA CRUZ'!$K105),0)</f>
        <v>0</v>
      </c>
      <c r="AQ105" s="63">
        <f t="shared" si="82"/>
        <v>0</v>
      </c>
      <c r="AR105" s="61">
        <f>IFERROR(SUMIFS('BM MORRO DA CRUZ - VERTICAL'!AV$6:AV$546,'BM MORRO DA CRUZ - VERTICAL'!$O$6:$O$546,'BM MORRO DA CRUZ'!$K105),0)</f>
        <v>0</v>
      </c>
      <c r="AS105" s="63">
        <f t="shared" si="83"/>
        <v>0</v>
      </c>
      <c r="AT105" s="61">
        <f>IFERROR(SUMIFS('BM MORRO DA CRUZ - VERTICAL'!AX$6:AX$546,'BM MORRO DA CRUZ - VERTICAL'!$O$6:$O$546,'BM MORRO DA CRUZ'!$K105),0)</f>
        <v>0</v>
      </c>
      <c r="AU105" s="63">
        <f t="shared" si="84"/>
        <v>0</v>
      </c>
      <c r="AV105" s="61">
        <f>IFERROR(SUMIFS('BM MORRO DA CRUZ - VERTICAL'!AZ$6:AZ$546,'BM MORRO DA CRUZ - VERTICAL'!$O$6:$O$546,'BM MORRO DA CRUZ'!$K105),0)</f>
        <v>0</v>
      </c>
      <c r="AW105" s="63">
        <f t="shared" si="85"/>
        <v>0</v>
      </c>
      <c r="AX105" s="61">
        <f>IFERROR(SUMIFS('BM MORRO DA CRUZ - VERTICAL'!BB$6:BB$546,'BM MORRO DA CRUZ - VERTICAL'!$O$6:$O$546,'BM MORRO DA CRUZ'!$K105),0)</f>
        <v>0</v>
      </c>
      <c r="AY105" s="63">
        <f t="shared" si="86"/>
        <v>0</v>
      </c>
      <c r="AZ105" s="61">
        <f>IFERROR(SUMIFS('BM MORRO DA CRUZ - VERTICAL'!BD$6:BD$546,'BM MORRO DA CRUZ - VERTICAL'!$O$6:$O$546,'BM MORRO DA CRUZ'!$K105),0)</f>
        <v>0</v>
      </c>
      <c r="BA105" s="63">
        <f t="shared" si="87"/>
        <v>0</v>
      </c>
      <c r="BB105" s="61">
        <f t="shared" si="88"/>
        <v>0</v>
      </c>
      <c r="BC105" s="63">
        <f t="shared" si="89"/>
        <v>0</v>
      </c>
      <c r="BD105" s="64">
        <f t="shared" si="90"/>
        <v>0</v>
      </c>
      <c r="BE105" s="65">
        <f t="shared" si="91"/>
        <v>1</v>
      </c>
      <c r="BF105" s="45"/>
    </row>
    <row r="106" spans="1:58" ht="38.25" customHeight="1" x14ac:dyDescent="0.45">
      <c r="A106" s="56" t="s">
        <v>432</v>
      </c>
      <c r="B106" s="506" t="s">
        <v>373</v>
      </c>
      <c r="C106" s="507" t="s">
        <v>111</v>
      </c>
      <c r="D106" s="507" t="s">
        <v>224</v>
      </c>
      <c r="E106" s="507" t="s">
        <v>374</v>
      </c>
      <c r="F106" s="507" t="s">
        <v>273</v>
      </c>
      <c r="G106" s="507" t="s">
        <v>433</v>
      </c>
      <c r="H106" s="508" t="s">
        <v>267</v>
      </c>
      <c r="I106" s="507" t="s">
        <v>114</v>
      </c>
      <c r="J106" s="508" t="s">
        <v>267</v>
      </c>
      <c r="K106" s="57" t="s">
        <v>434</v>
      </c>
      <c r="L106" s="58" t="s">
        <v>21</v>
      </c>
      <c r="M106" s="59" t="s">
        <v>435</v>
      </c>
      <c r="N106" s="60" t="s">
        <v>71</v>
      </c>
      <c r="O106" s="61">
        <v>2</v>
      </c>
      <c r="P106" s="62">
        <v>2767.87</v>
      </c>
      <c r="Q106" s="63">
        <f t="shared" si="69"/>
        <v>5535.74</v>
      </c>
      <c r="R106" s="61">
        <f>IFERROR(SUMIFS('BM MORRO DA CRUZ - VERTICAL'!V$6:V$546,'BM MORRO DA CRUZ - VERTICAL'!$O$6:$O$546,'BM MORRO DA CRUZ'!$K106),0)</f>
        <v>0</v>
      </c>
      <c r="S106" s="63">
        <f t="shared" si="70"/>
        <v>0</v>
      </c>
      <c r="T106" s="61">
        <f>IFERROR(SUMIFS('BM MORRO DA CRUZ - VERTICAL'!X$6:X$546,'BM MORRO DA CRUZ - VERTICAL'!$O$6:$O$546,'BM MORRO DA CRUZ'!$K106),0)</f>
        <v>0</v>
      </c>
      <c r="U106" s="63">
        <f t="shared" si="71"/>
        <v>0</v>
      </c>
      <c r="V106" s="61">
        <f>IFERROR(SUMIFS('BM MORRO DA CRUZ - VERTICAL'!Z$6:Z$546,'BM MORRO DA CRUZ - VERTICAL'!$O$6:$O$546,'BM MORRO DA CRUZ'!$K106),0)</f>
        <v>0</v>
      </c>
      <c r="W106" s="63">
        <f t="shared" si="72"/>
        <v>0</v>
      </c>
      <c r="X106" s="61">
        <f>IFERROR(SUMIFS('BM MORRO DA CRUZ - VERTICAL'!AB$6:AB$546,'BM MORRO DA CRUZ - VERTICAL'!$O$6:$O$546,'BM MORRO DA CRUZ'!$K106),0)</f>
        <v>0</v>
      </c>
      <c r="Y106" s="63">
        <f t="shared" si="73"/>
        <v>0</v>
      </c>
      <c r="Z106" s="61">
        <f>IFERROR(SUMIFS('BM MORRO DA CRUZ - VERTICAL'!AD$6:AD$546,'BM MORRO DA CRUZ - VERTICAL'!$O$6:$O$546,'BM MORRO DA CRUZ'!$K106),0)</f>
        <v>0</v>
      </c>
      <c r="AA106" s="63">
        <f t="shared" si="74"/>
        <v>0</v>
      </c>
      <c r="AB106" s="61">
        <f>IFERROR(SUMIFS('BM MORRO DA CRUZ - VERTICAL'!AF$6:AF$546,'BM MORRO DA CRUZ - VERTICAL'!$O$6:$O$546,'BM MORRO DA CRUZ'!$K106),0)</f>
        <v>0</v>
      </c>
      <c r="AC106" s="63">
        <f t="shared" si="75"/>
        <v>0</v>
      </c>
      <c r="AD106" s="61">
        <f>IFERROR(SUMIFS('BM MORRO DA CRUZ - VERTICAL'!AH$6:AH$546,'BM MORRO DA CRUZ - VERTICAL'!$O$6:$O$546,'BM MORRO DA CRUZ'!$K106),0)</f>
        <v>0</v>
      </c>
      <c r="AE106" s="63">
        <f t="shared" si="76"/>
        <v>0</v>
      </c>
      <c r="AF106" s="61">
        <f>IFERROR(SUMIFS('BM MORRO DA CRUZ - VERTICAL'!AJ$6:AJ$546,'BM MORRO DA CRUZ - VERTICAL'!$O$6:$O$546,'BM MORRO DA CRUZ'!$K106),0)</f>
        <v>0</v>
      </c>
      <c r="AG106" s="63">
        <f t="shared" si="77"/>
        <v>0</v>
      </c>
      <c r="AH106" s="61">
        <f>IFERROR(SUMIFS('BM MORRO DA CRUZ - VERTICAL'!AL$6:AL$546,'BM MORRO DA CRUZ - VERTICAL'!$O$6:$O$546,'BM MORRO DA CRUZ'!$K106),0)</f>
        <v>0</v>
      </c>
      <c r="AI106" s="63">
        <f t="shared" si="78"/>
        <v>0</v>
      </c>
      <c r="AJ106" s="61">
        <f>IFERROR(SUMIFS('BM MORRO DA CRUZ - VERTICAL'!AN$6:AN$546,'BM MORRO DA CRUZ - VERTICAL'!$O$6:$O$546,'BM MORRO DA CRUZ'!$K106),0)</f>
        <v>0</v>
      </c>
      <c r="AK106" s="63">
        <f t="shared" si="79"/>
        <v>0</v>
      </c>
      <c r="AL106" s="61">
        <f>IFERROR(SUMIFS('BM MORRO DA CRUZ - VERTICAL'!AP$6:AP$546,'BM MORRO DA CRUZ - VERTICAL'!$O$6:$O$546,'BM MORRO DA CRUZ'!$K106),0)</f>
        <v>0</v>
      </c>
      <c r="AM106" s="63">
        <f t="shared" si="80"/>
        <v>0</v>
      </c>
      <c r="AN106" s="61">
        <f>IFERROR(SUMIFS('BM MORRO DA CRUZ - VERTICAL'!AR$6:AR$546,'BM MORRO DA CRUZ - VERTICAL'!$O$6:$O$546,'BM MORRO DA CRUZ'!$K106),0)</f>
        <v>0</v>
      </c>
      <c r="AO106" s="63">
        <f t="shared" si="81"/>
        <v>0</v>
      </c>
      <c r="AP106" s="61">
        <f>IFERROR(SUMIFS('BM MORRO DA CRUZ - VERTICAL'!AT$6:AT$546,'BM MORRO DA CRUZ - VERTICAL'!$O$6:$O$546,'BM MORRO DA CRUZ'!$K106),0)</f>
        <v>0</v>
      </c>
      <c r="AQ106" s="63">
        <f t="shared" si="82"/>
        <v>0</v>
      </c>
      <c r="AR106" s="61">
        <f>IFERROR(SUMIFS('BM MORRO DA CRUZ - VERTICAL'!AV$6:AV$546,'BM MORRO DA CRUZ - VERTICAL'!$O$6:$O$546,'BM MORRO DA CRUZ'!$K106),0)</f>
        <v>0</v>
      </c>
      <c r="AS106" s="63">
        <f t="shared" si="83"/>
        <v>0</v>
      </c>
      <c r="AT106" s="61">
        <f>IFERROR(SUMIFS('BM MORRO DA CRUZ - VERTICAL'!AX$6:AX$546,'BM MORRO DA CRUZ - VERTICAL'!$O$6:$O$546,'BM MORRO DA CRUZ'!$K106),0)</f>
        <v>0</v>
      </c>
      <c r="AU106" s="63">
        <f t="shared" si="84"/>
        <v>0</v>
      </c>
      <c r="AV106" s="61">
        <f>IFERROR(SUMIFS('BM MORRO DA CRUZ - VERTICAL'!AZ$6:AZ$546,'BM MORRO DA CRUZ - VERTICAL'!$O$6:$O$546,'BM MORRO DA CRUZ'!$K106),0)</f>
        <v>0</v>
      </c>
      <c r="AW106" s="63">
        <f t="shared" si="85"/>
        <v>0</v>
      </c>
      <c r="AX106" s="61">
        <f>IFERROR(SUMIFS('BM MORRO DA CRUZ - VERTICAL'!BB$6:BB$546,'BM MORRO DA CRUZ - VERTICAL'!$O$6:$O$546,'BM MORRO DA CRUZ'!$K106),0)</f>
        <v>0</v>
      </c>
      <c r="AY106" s="63">
        <f t="shared" si="86"/>
        <v>0</v>
      </c>
      <c r="AZ106" s="61">
        <f>IFERROR(SUMIFS('BM MORRO DA CRUZ - VERTICAL'!BD$6:BD$546,'BM MORRO DA CRUZ - VERTICAL'!$O$6:$O$546,'BM MORRO DA CRUZ'!$K106),0)</f>
        <v>0</v>
      </c>
      <c r="BA106" s="63">
        <f t="shared" si="87"/>
        <v>0</v>
      </c>
      <c r="BB106" s="61">
        <f t="shared" si="88"/>
        <v>0</v>
      </c>
      <c r="BC106" s="63">
        <f t="shared" si="89"/>
        <v>0</v>
      </c>
      <c r="BD106" s="64">
        <f t="shared" si="90"/>
        <v>0</v>
      </c>
      <c r="BE106" s="65">
        <f t="shared" si="91"/>
        <v>1</v>
      </c>
      <c r="BF106" s="45"/>
    </row>
    <row r="107" spans="1:58" ht="38.25" customHeight="1" x14ac:dyDescent="0.45">
      <c r="A107" s="56" t="s">
        <v>436</v>
      </c>
      <c r="B107" s="506" t="s">
        <v>373</v>
      </c>
      <c r="C107" s="507" t="s">
        <v>111</v>
      </c>
      <c r="D107" s="507" t="s">
        <v>224</v>
      </c>
      <c r="E107" s="507" t="s">
        <v>374</v>
      </c>
      <c r="F107" s="507" t="s">
        <v>273</v>
      </c>
      <c r="G107" s="507" t="s">
        <v>437</v>
      </c>
      <c r="H107" s="508" t="s">
        <v>267</v>
      </c>
      <c r="I107" s="507" t="s">
        <v>114</v>
      </c>
      <c r="J107" s="508" t="s">
        <v>267</v>
      </c>
      <c r="K107" s="57" t="s">
        <v>438</v>
      </c>
      <c r="L107" s="58" t="s">
        <v>21</v>
      </c>
      <c r="M107" s="59" t="s">
        <v>439</v>
      </c>
      <c r="N107" s="60" t="s">
        <v>71</v>
      </c>
      <c r="O107" s="61">
        <v>1</v>
      </c>
      <c r="P107" s="62">
        <v>3980.49</v>
      </c>
      <c r="Q107" s="63">
        <f t="shared" si="69"/>
        <v>3980.49</v>
      </c>
      <c r="R107" s="61">
        <f>IFERROR(SUMIFS('BM MORRO DA CRUZ - VERTICAL'!V$6:V$546,'BM MORRO DA CRUZ - VERTICAL'!$O$6:$O$546,'BM MORRO DA CRUZ'!$K107),0)</f>
        <v>0</v>
      </c>
      <c r="S107" s="63">
        <f t="shared" si="70"/>
        <v>0</v>
      </c>
      <c r="T107" s="61">
        <f>IFERROR(SUMIFS('BM MORRO DA CRUZ - VERTICAL'!X$6:X$546,'BM MORRO DA CRUZ - VERTICAL'!$O$6:$O$546,'BM MORRO DA CRUZ'!$K107),0)</f>
        <v>0</v>
      </c>
      <c r="U107" s="63">
        <f t="shared" si="71"/>
        <v>0</v>
      </c>
      <c r="V107" s="61">
        <f>IFERROR(SUMIFS('BM MORRO DA CRUZ - VERTICAL'!Z$6:Z$546,'BM MORRO DA CRUZ - VERTICAL'!$O$6:$O$546,'BM MORRO DA CRUZ'!$K107),0)</f>
        <v>0</v>
      </c>
      <c r="W107" s="63">
        <f t="shared" si="72"/>
        <v>0</v>
      </c>
      <c r="X107" s="61">
        <f>IFERROR(SUMIFS('BM MORRO DA CRUZ - VERTICAL'!AB$6:AB$546,'BM MORRO DA CRUZ - VERTICAL'!$O$6:$O$546,'BM MORRO DA CRUZ'!$K107),0)</f>
        <v>0</v>
      </c>
      <c r="Y107" s="63">
        <f t="shared" si="73"/>
        <v>0</v>
      </c>
      <c r="Z107" s="61">
        <f>IFERROR(SUMIFS('BM MORRO DA CRUZ - VERTICAL'!AD$6:AD$546,'BM MORRO DA CRUZ - VERTICAL'!$O$6:$O$546,'BM MORRO DA CRUZ'!$K107),0)</f>
        <v>0</v>
      </c>
      <c r="AA107" s="63">
        <f t="shared" si="74"/>
        <v>0</v>
      </c>
      <c r="AB107" s="61">
        <f>IFERROR(SUMIFS('BM MORRO DA CRUZ - VERTICAL'!AF$6:AF$546,'BM MORRO DA CRUZ - VERTICAL'!$O$6:$O$546,'BM MORRO DA CRUZ'!$K107),0)</f>
        <v>0</v>
      </c>
      <c r="AC107" s="63">
        <f t="shared" si="75"/>
        <v>0</v>
      </c>
      <c r="AD107" s="61">
        <f>IFERROR(SUMIFS('BM MORRO DA CRUZ - VERTICAL'!AH$6:AH$546,'BM MORRO DA CRUZ - VERTICAL'!$O$6:$O$546,'BM MORRO DA CRUZ'!$K107),0)</f>
        <v>0</v>
      </c>
      <c r="AE107" s="63">
        <f t="shared" si="76"/>
        <v>0</v>
      </c>
      <c r="AF107" s="61">
        <f>IFERROR(SUMIFS('BM MORRO DA CRUZ - VERTICAL'!AJ$6:AJ$546,'BM MORRO DA CRUZ - VERTICAL'!$O$6:$O$546,'BM MORRO DA CRUZ'!$K107),0)</f>
        <v>0</v>
      </c>
      <c r="AG107" s="63">
        <f t="shared" si="77"/>
        <v>0</v>
      </c>
      <c r="AH107" s="61">
        <f>IFERROR(SUMIFS('BM MORRO DA CRUZ - VERTICAL'!AL$6:AL$546,'BM MORRO DA CRUZ - VERTICAL'!$O$6:$O$546,'BM MORRO DA CRUZ'!$K107),0)</f>
        <v>0</v>
      </c>
      <c r="AI107" s="63">
        <f t="shared" si="78"/>
        <v>0</v>
      </c>
      <c r="AJ107" s="61">
        <f>IFERROR(SUMIFS('BM MORRO DA CRUZ - VERTICAL'!AN$6:AN$546,'BM MORRO DA CRUZ - VERTICAL'!$O$6:$O$546,'BM MORRO DA CRUZ'!$K107),0)</f>
        <v>0</v>
      </c>
      <c r="AK107" s="63">
        <f t="shared" si="79"/>
        <v>0</v>
      </c>
      <c r="AL107" s="61">
        <f>IFERROR(SUMIFS('BM MORRO DA CRUZ - VERTICAL'!AP$6:AP$546,'BM MORRO DA CRUZ - VERTICAL'!$O$6:$O$546,'BM MORRO DA CRUZ'!$K107),0)</f>
        <v>0</v>
      </c>
      <c r="AM107" s="63">
        <f t="shared" si="80"/>
        <v>0</v>
      </c>
      <c r="AN107" s="61">
        <f>IFERROR(SUMIFS('BM MORRO DA CRUZ - VERTICAL'!AR$6:AR$546,'BM MORRO DA CRUZ - VERTICAL'!$O$6:$O$546,'BM MORRO DA CRUZ'!$K107),0)</f>
        <v>0</v>
      </c>
      <c r="AO107" s="63">
        <f t="shared" si="81"/>
        <v>0</v>
      </c>
      <c r="AP107" s="61">
        <f>IFERROR(SUMIFS('BM MORRO DA CRUZ - VERTICAL'!AT$6:AT$546,'BM MORRO DA CRUZ - VERTICAL'!$O$6:$O$546,'BM MORRO DA CRUZ'!$K107),0)</f>
        <v>0</v>
      </c>
      <c r="AQ107" s="63">
        <f t="shared" si="82"/>
        <v>0</v>
      </c>
      <c r="AR107" s="61">
        <f>IFERROR(SUMIFS('BM MORRO DA CRUZ - VERTICAL'!AV$6:AV$546,'BM MORRO DA CRUZ - VERTICAL'!$O$6:$O$546,'BM MORRO DA CRUZ'!$K107),0)</f>
        <v>0</v>
      </c>
      <c r="AS107" s="63">
        <f t="shared" si="83"/>
        <v>0</v>
      </c>
      <c r="AT107" s="61">
        <f>IFERROR(SUMIFS('BM MORRO DA CRUZ - VERTICAL'!AX$6:AX$546,'BM MORRO DA CRUZ - VERTICAL'!$O$6:$O$546,'BM MORRO DA CRUZ'!$K107),0)</f>
        <v>0</v>
      </c>
      <c r="AU107" s="63">
        <f t="shared" si="84"/>
        <v>0</v>
      </c>
      <c r="AV107" s="61">
        <f>IFERROR(SUMIFS('BM MORRO DA CRUZ - VERTICAL'!AZ$6:AZ$546,'BM MORRO DA CRUZ - VERTICAL'!$O$6:$O$546,'BM MORRO DA CRUZ'!$K107),0)</f>
        <v>0</v>
      </c>
      <c r="AW107" s="63">
        <f t="shared" si="85"/>
        <v>0</v>
      </c>
      <c r="AX107" s="61">
        <f>IFERROR(SUMIFS('BM MORRO DA CRUZ - VERTICAL'!BB$6:BB$546,'BM MORRO DA CRUZ - VERTICAL'!$O$6:$O$546,'BM MORRO DA CRUZ'!$K107),0)</f>
        <v>0</v>
      </c>
      <c r="AY107" s="63">
        <f t="shared" si="86"/>
        <v>0</v>
      </c>
      <c r="AZ107" s="61">
        <f>IFERROR(SUMIFS('BM MORRO DA CRUZ - VERTICAL'!BD$6:BD$546,'BM MORRO DA CRUZ - VERTICAL'!$O$6:$O$546,'BM MORRO DA CRUZ'!$K107),0)</f>
        <v>0</v>
      </c>
      <c r="BA107" s="63">
        <f t="shared" si="87"/>
        <v>0</v>
      </c>
      <c r="BB107" s="61">
        <f t="shared" si="88"/>
        <v>0</v>
      </c>
      <c r="BC107" s="63">
        <f t="shared" si="89"/>
        <v>0</v>
      </c>
      <c r="BD107" s="64">
        <f t="shared" si="90"/>
        <v>0</v>
      </c>
      <c r="BE107" s="65">
        <f t="shared" si="91"/>
        <v>1</v>
      </c>
      <c r="BF107" s="45"/>
    </row>
    <row r="108" spans="1:58" ht="38.25" customHeight="1" x14ac:dyDescent="0.45">
      <c r="A108" s="56" t="s">
        <v>440</v>
      </c>
      <c r="B108" s="506" t="s">
        <v>373</v>
      </c>
      <c r="C108" s="507" t="s">
        <v>111</v>
      </c>
      <c r="D108" s="507" t="s">
        <v>224</v>
      </c>
      <c r="E108" s="507" t="s">
        <v>374</v>
      </c>
      <c r="F108" s="507" t="s">
        <v>273</v>
      </c>
      <c r="G108" s="507" t="s">
        <v>441</v>
      </c>
      <c r="H108" s="508" t="s">
        <v>267</v>
      </c>
      <c r="I108" s="507" t="s">
        <v>114</v>
      </c>
      <c r="J108" s="508" t="s">
        <v>267</v>
      </c>
      <c r="K108" s="57" t="s">
        <v>442</v>
      </c>
      <c r="L108" s="58" t="s">
        <v>21</v>
      </c>
      <c r="M108" s="59" t="s">
        <v>443</v>
      </c>
      <c r="N108" s="60" t="s">
        <v>71</v>
      </c>
      <c r="O108" s="61">
        <v>6</v>
      </c>
      <c r="P108" s="62">
        <v>496.22</v>
      </c>
      <c r="Q108" s="63">
        <f t="shared" si="69"/>
        <v>2977.32</v>
      </c>
      <c r="R108" s="61">
        <f>IFERROR(SUMIFS('BM MORRO DA CRUZ - VERTICAL'!V$6:V$546,'BM MORRO DA CRUZ - VERTICAL'!$O$6:$O$546,'BM MORRO DA CRUZ'!$K108),0)</f>
        <v>0</v>
      </c>
      <c r="S108" s="63">
        <f t="shared" si="70"/>
        <v>0</v>
      </c>
      <c r="T108" s="61">
        <f>IFERROR(SUMIFS('BM MORRO DA CRUZ - VERTICAL'!X$6:X$546,'BM MORRO DA CRUZ - VERTICAL'!$O$6:$O$546,'BM MORRO DA CRUZ'!$K108),0)</f>
        <v>0</v>
      </c>
      <c r="U108" s="63">
        <f t="shared" si="71"/>
        <v>0</v>
      </c>
      <c r="V108" s="61">
        <f>IFERROR(SUMIFS('BM MORRO DA CRUZ - VERTICAL'!Z$6:Z$546,'BM MORRO DA CRUZ - VERTICAL'!$O$6:$O$546,'BM MORRO DA CRUZ'!$K108),0)</f>
        <v>0</v>
      </c>
      <c r="W108" s="63">
        <f t="shared" si="72"/>
        <v>0</v>
      </c>
      <c r="X108" s="61">
        <f>IFERROR(SUMIFS('BM MORRO DA CRUZ - VERTICAL'!AB$6:AB$546,'BM MORRO DA CRUZ - VERTICAL'!$O$6:$O$546,'BM MORRO DA CRUZ'!$K108),0)</f>
        <v>0</v>
      </c>
      <c r="Y108" s="63">
        <f t="shared" si="73"/>
        <v>0</v>
      </c>
      <c r="Z108" s="61">
        <f>IFERROR(SUMIFS('BM MORRO DA CRUZ - VERTICAL'!AD$6:AD$546,'BM MORRO DA CRUZ - VERTICAL'!$O$6:$O$546,'BM MORRO DA CRUZ'!$K108),0)</f>
        <v>0</v>
      </c>
      <c r="AA108" s="63">
        <f t="shared" si="74"/>
        <v>0</v>
      </c>
      <c r="AB108" s="61">
        <f>IFERROR(SUMIFS('BM MORRO DA CRUZ - VERTICAL'!AF$6:AF$546,'BM MORRO DA CRUZ - VERTICAL'!$O$6:$O$546,'BM MORRO DA CRUZ'!$K108),0)</f>
        <v>0</v>
      </c>
      <c r="AC108" s="63">
        <f t="shared" si="75"/>
        <v>0</v>
      </c>
      <c r="AD108" s="61">
        <f>IFERROR(SUMIFS('BM MORRO DA CRUZ - VERTICAL'!AH$6:AH$546,'BM MORRO DA CRUZ - VERTICAL'!$O$6:$O$546,'BM MORRO DA CRUZ'!$K108),0)</f>
        <v>0</v>
      </c>
      <c r="AE108" s="63">
        <f t="shared" si="76"/>
        <v>0</v>
      </c>
      <c r="AF108" s="61">
        <f>IFERROR(SUMIFS('BM MORRO DA CRUZ - VERTICAL'!AJ$6:AJ$546,'BM MORRO DA CRUZ - VERTICAL'!$O$6:$O$546,'BM MORRO DA CRUZ'!$K108),0)</f>
        <v>0</v>
      </c>
      <c r="AG108" s="63">
        <f t="shared" si="77"/>
        <v>0</v>
      </c>
      <c r="AH108" s="61">
        <f>IFERROR(SUMIFS('BM MORRO DA CRUZ - VERTICAL'!AL$6:AL$546,'BM MORRO DA CRUZ - VERTICAL'!$O$6:$O$546,'BM MORRO DA CRUZ'!$K108),0)</f>
        <v>0</v>
      </c>
      <c r="AI108" s="63">
        <f t="shared" si="78"/>
        <v>0</v>
      </c>
      <c r="AJ108" s="61">
        <f>IFERROR(SUMIFS('BM MORRO DA CRUZ - VERTICAL'!AN$6:AN$546,'BM MORRO DA CRUZ - VERTICAL'!$O$6:$O$546,'BM MORRO DA CRUZ'!$K108),0)</f>
        <v>0</v>
      </c>
      <c r="AK108" s="63">
        <f t="shared" si="79"/>
        <v>0</v>
      </c>
      <c r="AL108" s="61">
        <f>IFERROR(SUMIFS('BM MORRO DA CRUZ - VERTICAL'!AP$6:AP$546,'BM MORRO DA CRUZ - VERTICAL'!$O$6:$O$546,'BM MORRO DA CRUZ'!$K108),0)</f>
        <v>0</v>
      </c>
      <c r="AM108" s="63">
        <f t="shared" si="80"/>
        <v>0</v>
      </c>
      <c r="AN108" s="61">
        <f>IFERROR(SUMIFS('BM MORRO DA CRUZ - VERTICAL'!AR$6:AR$546,'BM MORRO DA CRUZ - VERTICAL'!$O$6:$O$546,'BM MORRO DA CRUZ'!$K108),0)</f>
        <v>0</v>
      </c>
      <c r="AO108" s="63">
        <f t="shared" si="81"/>
        <v>0</v>
      </c>
      <c r="AP108" s="61">
        <f>IFERROR(SUMIFS('BM MORRO DA CRUZ - VERTICAL'!AT$6:AT$546,'BM MORRO DA CRUZ - VERTICAL'!$O$6:$O$546,'BM MORRO DA CRUZ'!$K108),0)</f>
        <v>0</v>
      </c>
      <c r="AQ108" s="63">
        <f t="shared" si="82"/>
        <v>0</v>
      </c>
      <c r="AR108" s="61">
        <f>IFERROR(SUMIFS('BM MORRO DA CRUZ - VERTICAL'!AV$6:AV$546,'BM MORRO DA CRUZ - VERTICAL'!$O$6:$O$546,'BM MORRO DA CRUZ'!$K108),0)</f>
        <v>0</v>
      </c>
      <c r="AS108" s="63">
        <f t="shared" si="83"/>
        <v>0</v>
      </c>
      <c r="AT108" s="61">
        <f>IFERROR(SUMIFS('BM MORRO DA CRUZ - VERTICAL'!AX$6:AX$546,'BM MORRO DA CRUZ - VERTICAL'!$O$6:$O$546,'BM MORRO DA CRUZ'!$K108),0)</f>
        <v>0</v>
      </c>
      <c r="AU108" s="63">
        <f t="shared" si="84"/>
        <v>0</v>
      </c>
      <c r="AV108" s="61">
        <f>IFERROR(SUMIFS('BM MORRO DA CRUZ - VERTICAL'!AZ$6:AZ$546,'BM MORRO DA CRUZ - VERTICAL'!$O$6:$O$546,'BM MORRO DA CRUZ'!$K108),0)</f>
        <v>0</v>
      </c>
      <c r="AW108" s="63">
        <f t="shared" si="85"/>
        <v>0</v>
      </c>
      <c r="AX108" s="61">
        <f>IFERROR(SUMIFS('BM MORRO DA CRUZ - VERTICAL'!BB$6:BB$546,'BM MORRO DA CRUZ - VERTICAL'!$O$6:$O$546,'BM MORRO DA CRUZ'!$K108),0)</f>
        <v>0</v>
      </c>
      <c r="AY108" s="63">
        <f t="shared" si="86"/>
        <v>0</v>
      </c>
      <c r="AZ108" s="61">
        <f>IFERROR(SUMIFS('BM MORRO DA CRUZ - VERTICAL'!BD$6:BD$546,'BM MORRO DA CRUZ - VERTICAL'!$O$6:$O$546,'BM MORRO DA CRUZ'!$K108),0)</f>
        <v>0</v>
      </c>
      <c r="BA108" s="63">
        <f t="shared" si="87"/>
        <v>0</v>
      </c>
      <c r="BB108" s="61">
        <f t="shared" si="88"/>
        <v>0</v>
      </c>
      <c r="BC108" s="63">
        <f t="shared" si="89"/>
        <v>0</v>
      </c>
      <c r="BD108" s="64">
        <f t="shared" si="90"/>
        <v>0</v>
      </c>
      <c r="BE108" s="65">
        <f t="shared" si="91"/>
        <v>1</v>
      </c>
      <c r="BF108" s="45"/>
    </row>
    <row r="109" spans="1:58" ht="38.25" customHeight="1" x14ac:dyDescent="0.45">
      <c r="A109" s="56" t="s">
        <v>444</v>
      </c>
      <c r="B109" s="506" t="s">
        <v>373</v>
      </c>
      <c r="C109" s="507" t="s">
        <v>111</v>
      </c>
      <c r="D109" s="507" t="s">
        <v>224</v>
      </c>
      <c r="E109" s="507" t="s">
        <v>374</v>
      </c>
      <c r="F109" s="507" t="s">
        <v>273</v>
      </c>
      <c r="G109" s="507" t="s">
        <v>445</v>
      </c>
      <c r="H109" s="508" t="s">
        <v>267</v>
      </c>
      <c r="I109" s="507" t="s">
        <v>114</v>
      </c>
      <c r="J109" s="508" t="s">
        <v>267</v>
      </c>
      <c r="K109" s="57" t="s">
        <v>446</v>
      </c>
      <c r="L109" s="58" t="s">
        <v>21</v>
      </c>
      <c r="M109" s="59" t="s">
        <v>447</v>
      </c>
      <c r="N109" s="60" t="s">
        <v>71</v>
      </c>
      <c r="O109" s="61">
        <v>2</v>
      </c>
      <c r="P109" s="62">
        <v>637.5</v>
      </c>
      <c r="Q109" s="63">
        <f t="shared" si="69"/>
        <v>1275</v>
      </c>
      <c r="R109" s="61">
        <f>IFERROR(SUMIFS('BM MORRO DA CRUZ - VERTICAL'!V$6:V$546,'BM MORRO DA CRUZ - VERTICAL'!$O$6:$O$546,'BM MORRO DA CRUZ'!$K109),0)</f>
        <v>0</v>
      </c>
      <c r="S109" s="63">
        <f t="shared" si="70"/>
        <v>0</v>
      </c>
      <c r="T109" s="61">
        <f>IFERROR(SUMIFS('BM MORRO DA CRUZ - VERTICAL'!X$6:X$546,'BM MORRO DA CRUZ - VERTICAL'!$O$6:$O$546,'BM MORRO DA CRUZ'!$K109),0)</f>
        <v>0</v>
      </c>
      <c r="U109" s="63">
        <f t="shared" si="71"/>
        <v>0</v>
      </c>
      <c r="V109" s="61">
        <f>IFERROR(SUMIFS('BM MORRO DA CRUZ - VERTICAL'!Z$6:Z$546,'BM MORRO DA CRUZ - VERTICAL'!$O$6:$O$546,'BM MORRO DA CRUZ'!$K109),0)</f>
        <v>0</v>
      </c>
      <c r="W109" s="63">
        <f t="shared" si="72"/>
        <v>0</v>
      </c>
      <c r="X109" s="61">
        <f>IFERROR(SUMIFS('BM MORRO DA CRUZ - VERTICAL'!AB$6:AB$546,'BM MORRO DA CRUZ - VERTICAL'!$O$6:$O$546,'BM MORRO DA CRUZ'!$K109),0)</f>
        <v>0</v>
      </c>
      <c r="Y109" s="63">
        <f t="shared" si="73"/>
        <v>0</v>
      </c>
      <c r="Z109" s="61">
        <f>IFERROR(SUMIFS('BM MORRO DA CRUZ - VERTICAL'!AD$6:AD$546,'BM MORRO DA CRUZ - VERTICAL'!$O$6:$O$546,'BM MORRO DA CRUZ'!$K109),0)</f>
        <v>0</v>
      </c>
      <c r="AA109" s="63">
        <f t="shared" si="74"/>
        <v>0</v>
      </c>
      <c r="AB109" s="61">
        <f>IFERROR(SUMIFS('BM MORRO DA CRUZ - VERTICAL'!AF$6:AF$546,'BM MORRO DA CRUZ - VERTICAL'!$O$6:$O$546,'BM MORRO DA CRUZ'!$K109),0)</f>
        <v>0</v>
      </c>
      <c r="AC109" s="63">
        <f t="shared" si="75"/>
        <v>0</v>
      </c>
      <c r="AD109" s="61">
        <f>IFERROR(SUMIFS('BM MORRO DA CRUZ - VERTICAL'!AH$6:AH$546,'BM MORRO DA CRUZ - VERTICAL'!$O$6:$O$546,'BM MORRO DA CRUZ'!$K109),0)</f>
        <v>0</v>
      </c>
      <c r="AE109" s="63">
        <f t="shared" si="76"/>
        <v>0</v>
      </c>
      <c r="AF109" s="61">
        <f>IFERROR(SUMIFS('BM MORRO DA CRUZ - VERTICAL'!AJ$6:AJ$546,'BM MORRO DA CRUZ - VERTICAL'!$O$6:$O$546,'BM MORRO DA CRUZ'!$K109),0)</f>
        <v>0</v>
      </c>
      <c r="AG109" s="63">
        <f t="shared" si="77"/>
        <v>0</v>
      </c>
      <c r="AH109" s="61">
        <f>IFERROR(SUMIFS('BM MORRO DA CRUZ - VERTICAL'!AL$6:AL$546,'BM MORRO DA CRUZ - VERTICAL'!$O$6:$O$546,'BM MORRO DA CRUZ'!$K109),0)</f>
        <v>0</v>
      </c>
      <c r="AI109" s="63">
        <f t="shared" si="78"/>
        <v>0</v>
      </c>
      <c r="AJ109" s="61">
        <f>IFERROR(SUMIFS('BM MORRO DA CRUZ - VERTICAL'!AN$6:AN$546,'BM MORRO DA CRUZ - VERTICAL'!$O$6:$O$546,'BM MORRO DA CRUZ'!$K109),0)</f>
        <v>0</v>
      </c>
      <c r="AK109" s="63">
        <f t="shared" si="79"/>
        <v>0</v>
      </c>
      <c r="AL109" s="61">
        <f>IFERROR(SUMIFS('BM MORRO DA CRUZ - VERTICAL'!AP$6:AP$546,'BM MORRO DA CRUZ - VERTICAL'!$O$6:$O$546,'BM MORRO DA CRUZ'!$K109),0)</f>
        <v>0</v>
      </c>
      <c r="AM109" s="63">
        <f t="shared" si="80"/>
        <v>0</v>
      </c>
      <c r="AN109" s="61">
        <f>IFERROR(SUMIFS('BM MORRO DA CRUZ - VERTICAL'!AR$6:AR$546,'BM MORRO DA CRUZ - VERTICAL'!$O$6:$O$546,'BM MORRO DA CRUZ'!$K109),0)</f>
        <v>0</v>
      </c>
      <c r="AO109" s="63">
        <f t="shared" si="81"/>
        <v>0</v>
      </c>
      <c r="AP109" s="61">
        <f>IFERROR(SUMIFS('BM MORRO DA CRUZ - VERTICAL'!AT$6:AT$546,'BM MORRO DA CRUZ - VERTICAL'!$O$6:$O$546,'BM MORRO DA CRUZ'!$K109),0)</f>
        <v>0</v>
      </c>
      <c r="AQ109" s="63">
        <f t="shared" si="82"/>
        <v>0</v>
      </c>
      <c r="AR109" s="61">
        <f>IFERROR(SUMIFS('BM MORRO DA CRUZ - VERTICAL'!AV$6:AV$546,'BM MORRO DA CRUZ - VERTICAL'!$O$6:$O$546,'BM MORRO DA CRUZ'!$K109),0)</f>
        <v>0</v>
      </c>
      <c r="AS109" s="63">
        <f t="shared" si="83"/>
        <v>0</v>
      </c>
      <c r="AT109" s="61">
        <f>IFERROR(SUMIFS('BM MORRO DA CRUZ - VERTICAL'!AX$6:AX$546,'BM MORRO DA CRUZ - VERTICAL'!$O$6:$O$546,'BM MORRO DA CRUZ'!$K109),0)</f>
        <v>0</v>
      </c>
      <c r="AU109" s="63">
        <f t="shared" si="84"/>
        <v>0</v>
      </c>
      <c r="AV109" s="61">
        <f>IFERROR(SUMIFS('BM MORRO DA CRUZ - VERTICAL'!AZ$6:AZ$546,'BM MORRO DA CRUZ - VERTICAL'!$O$6:$O$546,'BM MORRO DA CRUZ'!$K109),0)</f>
        <v>0</v>
      </c>
      <c r="AW109" s="63">
        <f t="shared" si="85"/>
        <v>0</v>
      </c>
      <c r="AX109" s="61">
        <f>IFERROR(SUMIFS('BM MORRO DA CRUZ - VERTICAL'!BB$6:BB$546,'BM MORRO DA CRUZ - VERTICAL'!$O$6:$O$546,'BM MORRO DA CRUZ'!$K109),0)</f>
        <v>0</v>
      </c>
      <c r="AY109" s="63">
        <f t="shared" si="86"/>
        <v>0</v>
      </c>
      <c r="AZ109" s="61">
        <f>IFERROR(SUMIFS('BM MORRO DA CRUZ - VERTICAL'!BD$6:BD$546,'BM MORRO DA CRUZ - VERTICAL'!$O$6:$O$546,'BM MORRO DA CRUZ'!$K109),0)</f>
        <v>0</v>
      </c>
      <c r="BA109" s="63">
        <f t="shared" si="87"/>
        <v>0</v>
      </c>
      <c r="BB109" s="61">
        <f t="shared" si="88"/>
        <v>0</v>
      </c>
      <c r="BC109" s="63">
        <f t="shared" si="89"/>
        <v>0</v>
      </c>
      <c r="BD109" s="64">
        <f t="shared" si="90"/>
        <v>0</v>
      </c>
      <c r="BE109" s="65">
        <f t="shared" si="91"/>
        <v>1</v>
      </c>
      <c r="BF109" s="45"/>
    </row>
    <row r="110" spans="1:58" ht="38.25" customHeight="1" x14ac:dyDescent="0.45">
      <c r="A110" s="56" t="s">
        <v>448</v>
      </c>
      <c r="B110" s="506" t="s">
        <v>373</v>
      </c>
      <c r="C110" s="507" t="s">
        <v>111</v>
      </c>
      <c r="D110" s="507" t="s">
        <v>224</v>
      </c>
      <c r="E110" s="507" t="s">
        <v>374</v>
      </c>
      <c r="F110" s="507" t="s">
        <v>273</v>
      </c>
      <c r="G110" s="507" t="s">
        <v>449</v>
      </c>
      <c r="H110" s="508" t="s">
        <v>267</v>
      </c>
      <c r="I110" s="507" t="s">
        <v>114</v>
      </c>
      <c r="J110" s="508" t="s">
        <v>267</v>
      </c>
      <c r="K110" s="57" t="s">
        <v>450</v>
      </c>
      <c r="L110" s="58" t="s">
        <v>21</v>
      </c>
      <c r="M110" s="59" t="s">
        <v>451</v>
      </c>
      <c r="N110" s="60" t="s">
        <v>71</v>
      </c>
      <c r="O110" s="61">
        <v>2</v>
      </c>
      <c r="P110" s="62">
        <v>7577.95</v>
      </c>
      <c r="Q110" s="63">
        <f t="shared" si="69"/>
        <v>15155.9</v>
      </c>
      <c r="R110" s="61">
        <f>IFERROR(SUMIFS('BM MORRO DA CRUZ - VERTICAL'!V$6:V$546,'BM MORRO DA CRUZ - VERTICAL'!$O$6:$O$546,'BM MORRO DA CRUZ'!$K110),0)</f>
        <v>0</v>
      </c>
      <c r="S110" s="63">
        <f t="shared" si="70"/>
        <v>0</v>
      </c>
      <c r="T110" s="61">
        <f>IFERROR(SUMIFS('BM MORRO DA CRUZ - VERTICAL'!X$6:X$546,'BM MORRO DA CRUZ - VERTICAL'!$O$6:$O$546,'BM MORRO DA CRUZ'!$K110),0)</f>
        <v>0</v>
      </c>
      <c r="U110" s="63">
        <f t="shared" si="71"/>
        <v>0</v>
      </c>
      <c r="V110" s="61">
        <f>IFERROR(SUMIFS('BM MORRO DA CRUZ - VERTICAL'!Z$6:Z$546,'BM MORRO DA CRUZ - VERTICAL'!$O$6:$O$546,'BM MORRO DA CRUZ'!$K110),0)</f>
        <v>0</v>
      </c>
      <c r="W110" s="63">
        <f t="shared" si="72"/>
        <v>0</v>
      </c>
      <c r="X110" s="61">
        <f>IFERROR(SUMIFS('BM MORRO DA CRUZ - VERTICAL'!AB$6:AB$546,'BM MORRO DA CRUZ - VERTICAL'!$O$6:$O$546,'BM MORRO DA CRUZ'!$K110),0)</f>
        <v>0</v>
      </c>
      <c r="Y110" s="63">
        <f t="shared" si="73"/>
        <v>0</v>
      </c>
      <c r="Z110" s="61">
        <f>IFERROR(SUMIFS('BM MORRO DA CRUZ - VERTICAL'!AD$6:AD$546,'BM MORRO DA CRUZ - VERTICAL'!$O$6:$O$546,'BM MORRO DA CRUZ'!$K110),0)</f>
        <v>0</v>
      </c>
      <c r="AA110" s="63">
        <f t="shared" si="74"/>
        <v>0</v>
      </c>
      <c r="AB110" s="61">
        <f>IFERROR(SUMIFS('BM MORRO DA CRUZ - VERTICAL'!AF$6:AF$546,'BM MORRO DA CRUZ - VERTICAL'!$O$6:$O$546,'BM MORRO DA CRUZ'!$K110),0)</f>
        <v>0</v>
      </c>
      <c r="AC110" s="63">
        <f t="shared" si="75"/>
        <v>0</v>
      </c>
      <c r="AD110" s="61">
        <f>IFERROR(SUMIFS('BM MORRO DA CRUZ - VERTICAL'!AH$6:AH$546,'BM MORRO DA CRUZ - VERTICAL'!$O$6:$O$546,'BM MORRO DA CRUZ'!$K110),0)</f>
        <v>0</v>
      </c>
      <c r="AE110" s="63">
        <f t="shared" si="76"/>
        <v>0</v>
      </c>
      <c r="AF110" s="61">
        <f>IFERROR(SUMIFS('BM MORRO DA CRUZ - VERTICAL'!AJ$6:AJ$546,'BM MORRO DA CRUZ - VERTICAL'!$O$6:$O$546,'BM MORRO DA CRUZ'!$K110),0)</f>
        <v>0</v>
      </c>
      <c r="AG110" s="63">
        <f t="shared" si="77"/>
        <v>0</v>
      </c>
      <c r="AH110" s="61">
        <f>IFERROR(SUMIFS('BM MORRO DA CRUZ - VERTICAL'!AL$6:AL$546,'BM MORRO DA CRUZ - VERTICAL'!$O$6:$O$546,'BM MORRO DA CRUZ'!$K110),0)</f>
        <v>0</v>
      </c>
      <c r="AI110" s="63">
        <f t="shared" si="78"/>
        <v>0</v>
      </c>
      <c r="AJ110" s="61">
        <f>IFERROR(SUMIFS('BM MORRO DA CRUZ - VERTICAL'!AN$6:AN$546,'BM MORRO DA CRUZ - VERTICAL'!$O$6:$O$546,'BM MORRO DA CRUZ'!$K110),0)</f>
        <v>0</v>
      </c>
      <c r="AK110" s="63">
        <f t="shared" si="79"/>
        <v>0</v>
      </c>
      <c r="AL110" s="61">
        <f>IFERROR(SUMIFS('BM MORRO DA CRUZ - VERTICAL'!AP$6:AP$546,'BM MORRO DA CRUZ - VERTICAL'!$O$6:$O$546,'BM MORRO DA CRUZ'!$K110),0)</f>
        <v>0</v>
      </c>
      <c r="AM110" s="63">
        <f t="shared" si="80"/>
        <v>0</v>
      </c>
      <c r="AN110" s="61">
        <f>IFERROR(SUMIFS('BM MORRO DA CRUZ - VERTICAL'!AR$6:AR$546,'BM MORRO DA CRUZ - VERTICAL'!$O$6:$O$546,'BM MORRO DA CRUZ'!$K110),0)</f>
        <v>0</v>
      </c>
      <c r="AO110" s="63">
        <f t="shared" si="81"/>
        <v>0</v>
      </c>
      <c r="AP110" s="61">
        <f>IFERROR(SUMIFS('BM MORRO DA CRUZ - VERTICAL'!AT$6:AT$546,'BM MORRO DA CRUZ - VERTICAL'!$O$6:$O$546,'BM MORRO DA CRUZ'!$K110),0)</f>
        <v>0</v>
      </c>
      <c r="AQ110" s="63">
        <f t="shared" si="82"/>
        <v>0</v>
      </c>
      <c r="AR110" s="61">
        <f>IFERROR(SUMIFS('BM MORRO DA CRUZ - VERTICAL'!AV$6:AV$546,'BM MORRO DA CRUZ - VERTICAL'!$O$6:$O$546,'BM MORRO DA CRUZ'!$K110),0)</f>
        <v>0</v>
      </c>
      <c r="AS110" s="63">
        <f t="shared" si="83"/>
        <v>0</v>
      </c>
      <c r="AT110" s="61">
        <f>IFERROR(SUMIFS('BM MORRO DA CRUZ - VERTICAL'!AX$6:AX$546,'BM MORRO DA CRUZ - VERTICAL'!$O$6:$O$546,'BM MORRO DA CRUZ'!$K110),0)</f>
        <v>0</v>
      </c>
      <c r="AU110" s="63">
        <f t="shared" si="84"/>
        <v>0</v>
      </c>
      <c r="AV110" s="61">
        <f>IFERROR(SUMIFS('BM MORRO DA CRUZ - VERTICAL'!AZ$6:AZ$546,'BM MORRO DA CRUZ - VERTICAL'!$O$6:$O$546,'BM MORRO DA CRUZ'!$K110),0)</f>
        <v>0</v>
      </c>
      <c r="AW110" s="63">
        <f t="shared" si="85"/>
        <v>0</v>
      </c>
      <c r="AX110" s="61">
        <f>IFERROR(SUMIFS('BM MORRO DA CRUZ - VERTICAL'!BB$6:BB$546,'BM MORRO DA CRUZ - VERTICAL'!$O$6:$O$546,'BM MORRO DA CRUZ'!$K110),0)</f>
        <v>0</v>
      </c>
      <c r="AY110" s="63">
        <f t="shared" si="86"/>
        <v>0</v>
      </c>
      <c r="AZ110" s="61">
        <f>IFERROR(SUMIFS('BM MORRO DA CRUZ - VERTICAL'!BD$6:BD$546,'BM MORRO DA CRUZ - VERTICAL'!$O$6:$O$546,'BM MORRO DA CRUZ'!$K110),0)</f>
        <v>0</v>
      </c>
      <c r="BA110" s="63">
        <f t="shared" si="87"/>
        <v>0</v>
      </c>
      <c r="BB110" s="61">
        <f t="shared" si="88"/>
        <v>0</v>
      </c>
      <c r="BC110" s="63">
        <f t="shared" si="89"/>
        <v>0</v>
      </c>
      <c r="BD110" s="64">
        <f t="shared" si="90"/>
        <v>0</v>
      </c>
      <c r="BE110" s="65">
        <f t="shared" si="91"/>
        <v>1</v>
      </c>
      <c r="BF110" s="45"/>
    </row>
    <row r="111" spans="1:58" ht="38.25" customHeight="1" x14ac:dyDescent="0.45">
      <c r="A111" s="56" t="s">
        <v>452</v>
      </c>
      <c r="B111" s="506" t="s">
        <v>373</v>
      </c>
      <c r="C111" s="507" t="s">
        <v>404</v>
      </c>
      <c r="D111" s="507" t="s">
        <v>224</v>
      </c>
      <c r="E111" s="507" t="s">
        <v>374</v>
      </c>
      <c r="F111" s="507" t="s">
        <v>273</v>
      </c>
      <c r="G111" s="507" t="s">
        <v>453</v>
      </c>
      <c r="H111" s="508" t="s">
        <v>267</v>
      </c>
      <c r="I111" s="507" t="s">
        <v>114</v>
      </c>
      <c r="J111" s="508" t="s">
        <v>267</v>
      </c>
      <c r="K111" s="57" t="s">
        <v>454</v>
      </c>
      <c r="L111" s="58" t="s">
        <v>21</v>
      </c>
      <c r="M111" s="59" t="s">
        <v>455</v>
      </c>
      <c r="N111" s="60" t="s">
        <v>71</v>
      </c>
      <c r="O111" s="61">
        <v>14</v>
      </c>
      <c r="P111" s="62">
        <v>148.36000000000001</v>
      </c>
      <c r="Q111" s="63">
        <f t="shared" si="69"/>
        <v>2077.04</v>
      </c>
      <c r="R111" s="61">
        <f>IFERROR(SUMIFS('BM MORRO DA CRUZ - VERTICAL'!V$6:V$546,'BM MORRO DA CRUZ - VERTICAL'!$O$6:$O$546,'BM MORRO DA CRUZ'!$K111),0)</f>
        <v>0</v>
      </c>
      <c r="S111" s="63">
        <f t="shared" si="70"/>
        <v>0</v>
      </c>
      <c r="T111" s="61">
        <f>IFERROR(SUMIFS('BM MORRO DA CRUZ - VERTICAL'!X$6:X$546,'BM MORRO DA CRUZ - VERTICAL'!$O$6:$O$546,'BM MORRO DA CRUZ'!$K111),0)</f>
        <v>0</v>
      </c>
      <c r="U111" s="63">
        <f t="shared" si="71"/>
        <v>0</v>
      </c>
      <c r="V111" s="61">
        <f>IFERROR(SUMIFS('BM MORRO DA CRUZ - VERTICAL'!Z$6:Z$546,'BM MORRO DA CRUZ - VERTICAL'!$O$6:$O$546,'BM MORRO DA CRUZ'!$K111),0)</f>
        <v>0</v>
      </c>
      <c r="W111" s="63">
        <f t="shared" si="72"/>
        <v>0</v>
      </c>
      <c r="X111" s="61">
        <f>IFERROR(SUMIFS('BM MORRO DA CRUZ - VERTICAL'!AB$6:AB$546,'BM MORRO DA CRUZ - VERTICAL'!$O$6:$O$546,'BM MORRO DA CRUZ'!$K111),0)</f>
        <v>0</v>
      </c>
      <c r="Y111" s="63">
        <f t="shared" si="73"/>
        <v>0</v>
      </c>
      <c r="Z111" s="61">
        <f>IFERROR(SUMIFS('BM MORRO DA CRUZ - VERTICAL'!AD$6:AD$546,'BM MORRO DA CRUZ - VERTICAL'!$O$6:$O$546,'BM MORRO DA CRUZ'!$K111),0)</f>
        <v>0</v>
      </c>
      <c r="AA111" s="63">
        <f t="shared" si="74"/>
        <v>0</v>
      </c>
      <c r="AB111" s="61">
        <f>IFERROR(SUMIFS('BM MORRO DA CRUZ - VERTICAL'!AF$6:AF$546,'BM MORRO DA CRUZ - VERTICAL'!$O$6:$O$546,'BM MORRO DA CRUZ'!$K111),0)</f>
        <v>0</v>
      </c>
      <c r="AC111" s="63">
        <f t="shared" si="75"/>
        <v>0</v>
      </c>
      <c r="AD111" s="61">
        <f>IFERROR(SUMIFS('BM MORRO DA CRUZ - VERTICAL'!AH$6:AH$546,'BM MORRO DA CRUZ - VERTICAL'!$O$6:$O$546,'BM MORRO DA CRUZ'!$K111),0)</f>
        <v>0</v>
      </c>
      <c r="AE111" s="63">
        <f t="shared" si="76"/>
        <v>0</v>
      </c>
      <c r="AF111" s="61">
        <f>IFERROR(SUMIFS('BM MORRO DA CRUZ - VERTICAL'!AJ$6:AJ$546,'BM MORRO DA CRUZ - VERTICAL'!$O$6:$O$546,'BM MORRO DA CRUZ'!$K111),0)</f>
        <v>0</v>
      </c>
      <c r="AG111" s="63">
        <f t="shared" si="77"/>
        <v>0</v>
      </c>
      <c r="AH111" s="61">
        <f>IFERROR(SUMIFS('BM MORRO DA CRUZ - VERTICAL'!AL$6:AL$546,'BM MORRO DA CRUZ - VERTICAL'!$O$6:$O$546,'BM MORRO DA CRUZ'!$K111),0)</f>
        <v>0</v>
      </c>
      <c r="AI111" s="63">
        <f t="shared" si="78"/>
        <v>0</v>
      </c>
      <c r="AJ111" s="61">
        <f>IFERROR(SUMIFS('BM MORRO DA CRUZ - VERTICAL'!AN$6:AN$546,'BM MORRO DA CRUZ - VERTICAL'!$O$6:$O$546,'BM MORRO DA CRUZ'!$K111),0)</f>
        <v>0</v>
      </c>
      <c r="AK111" s="63">
        <f t="shared" si="79"/>
        <v>0</v>
      </c>
      <c r="AL111" s="61">
        <f>IFERROR(SUMIFS('BM MORRO DA CRUZ - VERTICAL'!AP$6:AP$546,'BM MORRO DA CRUZ - VERTICAL'!$O$6:$O$546,'BM MORRO DA CRUZ'!$K111),0)</f>
        <v>0</v>
      </c>
      <c r="AM111" s="63">
        <f t="shared" si="80"/>
        <v>0</v>
      </c>
      <c r="AN111" s="61">
        <f>IFERROR(SUMIFS('BM MORRO DA CRUZ - VERTICAL'!AR$6:AR$546,'BM MORRO DA CRUZ - VERTICAL'!$O$6:$O$546,'BM MORRO DA CRUZ'!$K111),0)</f>
        <v>0</v>
      </c>
      <c r="AO111" s="63">
        <f t="shared" si="81"/>
        <v>0</v>
      </c>
      <c r="AP111" s="61">
        <f>IFERROR(SUMIFS('BM MORRO DA CRUZ - VERTICAL'!AT$6:AT$546,'BM MORRO DA CRUZ - VERTICAL'!$O$6:$O$546,'BM MORRO DA CRUZ'!$K111),0)</f>
        <v>0</v>
      </c>
      <c r="AQ111" s="63">
        <f t="shared" si="82"/>
        <v>0</v>
      </c>
      <c r="AR111" s="61">
        <f>IFERROR(SUMIFS('BM MORRO DA CRUZ - VERTICAL'!AV$6:AV$546,'BM MORRO DA CRUZ - VERTICAL'!$O$6:$O$546,'BM MORRO DA CRUZ'!$K111),0)</f>
        <v>0</v>
      </c>
      <c r="AS111" s="63">
        <f t="shared" si="83"/>
        <v>0</v>
      </c>
      <c r="AT111" s="61">
        <f>IFERROR(SUMIFS('BM MORRO DA CRUZ - VERTICAL'!AX$6:AX$546,'BM MORRO DA CRUZ - VERTICAL'!$O$6:$O$546,'BM MORRO DA CRUZ'!$K111),0)</f>
        <v>0</v>
      </c>
      <c r="AU111" s="63">
        <f t="shared" si="84"/>
        <v>0</v>
      </c>
      <c r="AV111" s="61">
        <f>IFERROR(SUMIFS('BM MORRO DA CRUZ - VERTICAL'!AZ$6:AZ$546,'BM MORRO DA CRUZ - VERTICAL'!$O$6:$O$546,'BM MORRO DA CRUZ'!$K111),0)</f>
        <v>0</v>
      </c>
      <c r="AW111" s="63">
        <f t="shared" si="85"/>
        <v>0</v>
      </c>
      <c r="AX111" s="61">
        <f>IFERROR(SUMIFS('BM MORRO DA CRUZ - VERTICAL'!BB$6:BB$546,'BM MORRO DA CRUZ - VERTICAL'!$O$6:$O$546,'BM MORRO DA CRUZ'!$K111),0)</f>
        <v>0</v>
      </c>
      <c r="AY111" s="63">
        <f t="shared" si="86"/>
        <v>0</v>
      </c>
      <c r="AZ111" s="61">
        <f>IFERROR(SUMIFS('BM MORRO DA CRUZ - VERTICAL'!BD$6:BD$546,'BM MORRO DA CRUZ - VERTICAL'!$O$6:$O$546,'BM MORRO DA CRUZ'!$K111),0)</f>
        <v>0</v>
      </c>
      <c r="BA111" s="63">
        <f t="shared" si="87"/>
        <v>0</v>
      </c>
      <c r="BB111" s="61">
        <f t="shared" si="88"/>
        <v>0</v>
      </c>
      <c r="BC111" s="63">
        <f t="shared" si="89"/>
        <v>0</v>
      </c>
      <c r="BD111" s="64">
        <f t="shared" si="90"/>
        <v>0</v>
      </c>
      <c r="BE111" s="65">
        <f t="shared" si="91"/>
        <v>1</v>
      </c>
      <c r="BF111" s="45"/>
    </row>
    <row r="112" spans="1:58" ht="26.25" customHeight="1" x14ac:dyDescent="0.45">
      <c r="A112" s="56" t="s">
        <v>456</v>
      </c>
      <c r="B112" s="506" t="s">
        <v>457</v>
      </c>
      <c r="C112" s="507" t="s">
        <v>111</v>
      </c>
      <c r="D112" s="507" t="s">
        <v>224</v>
      </c>
      <c r="E112" s="507" t="s">
        <v>458</v>
      </c>
      <c r="F112" s="507" t="s">
        <v>266</v>
      </c>
      <c r="G112" s="507">
        <v>63</v>
      </c>
      <c r="H112" s="508" t="s">
        <v>267</v>
      </c>
      <c r="I112" s="507" t="s">
        <v>114</v>
      </c>
      <c r="J112" s="508" t="s">
        <v>267</v>
      </c>
      <c r="K112" s="57" t="s">
        <v>459</v>
      </c>
      <c r="L112" s="58" t="s">
        <v>21</v>
      </c>
      <c r="M112" s="59" t="s">
        <v>460</v>
      </c>
      <c r="N112" s="60" t="s">
        <v>71</v>
      </c>
      <c r="O112" s="61">
        <v>488</v>
      </c>
      <c r="P112" s="62">
        <v>94.97</v>
      </c>
      <c r="Q112" s="63">
        <f t="shared" si="69"/>
        <v>46345.36</v>
      </c>
      <c r="R112" s="61">
        <f>IFERROR(SUMIFS('BM MORRO DA CRUZ - VERTICAL'!V$6:V$546,'BM MORRO DA CRUZ - VERTICAL'!$O$6:$O$546,'BM MORRO DA CRUZ'!$K112),0)</f>
        <v>0</v>
      </c>
      <c r="S112" s="63">
        <f t="shared" si="70"/>
        <v>0</v>
      </c>
      <c r="T112" s="61">
        <f>IFERROR(SUMIFS('BM MORRO DA CRUZ - VERTICAL'!X$6:X$546,'BM MORRO DA CRUZ - VERTICAL'!$O$6:$O$546,'BM MORRO DA CRUZ'!$K112),0)</f>
        <v>0</v>
      </c>
      <c r="U112" s="63">
        <f t="shared" si="71"/>
        <v>0</v>
      </c>
      <c r="V112" s="61">
        <f>IFERROR(SUMIFS('BM MORRO DA CRUZ - VERTICAL'!Z$6:Z$546,'BM MORRO DA CRUZ - VERTICAL'!$O$6:$O$546,'BM MORRO DA CRUZ'!$K112),0)</f>
        <v>0</v>
      </c>
      <c r="W112" s="63">
        <f t="shared" si="72"/>
        <v>0</v>
      </c>
      <c r="X112" s="61">
        <f>IFERROR(SUMIFS('BM MORRO DA CRUZ - VERTICAL'!AB$6:AB$546,'BM MORRO DA CRUZ - VERTICAL'!$O$6:$O$546,'BM MORRO DA CRUZ'!$K112),0)</f>
        <v>0</v>
      </c>
      <c r="Y112" s="63">
        <f t="shared" si="73"/>
        <v>0</v>
      </c>
      <c r="Z112" s="61">
        <f>IFERROR(SUMIFS('BM MORRO DA CRUZ - VERTICAL'!AD$6:AD$546,'BM MORRO DA CRUZ - VERTICAL'!$O$6:$O$546,'BM MORRO DA CRUZ'!$K112),0)</f>
        <v>0</v>
      </c>
      <c r="AA112" s="63">
        <f t="shared" si="74"/>
        <v>0</v>
      </c>
      <c r="AB112" s="61">
        <f>IFERROR(SUMIFS('BM MORRO DA CRUZ - VERTICAL'!AF$6:AF$546,'BM MORRO DA CRUZ - VERTICAL'!$O$6:$O$546,'BM MORRO DA CRUZ'!$K112),0)</f>
        <v>0</v>
      </c>
      <c r="AC112" s="63">
        <f t="shared" si="75"/>
        <v>0</v>
      </c>
      <c r="AD112" s="61">
        <f>IFERROR(SUMIFS('BM MORRO DA CRUZ - VERTICAL'!AH$6:AH$546,'BM MORRO DA CRUZ - VERTICAL'!$O$6:$O$546,'BM MORRO DA CRUZ'!$K112),0)</f>
        <v>0</v>
      </c>
      <c r="AE112" s="63">
        <f t="shared" si="76"/>
        <v>0</v>
      </c>
      <c r="AF112" s="61">
        <f>IFERROR(SUMIFS('BM MORRO DA CRUZ - VERTICAL'!AJ$6:AJ$546,'BM MORRO DA CRUZ - VERTICAL'!$O$6:$O$546,'BM MORRO DA CRUZ'!$K112),0)</f>
        <v>0</v>
      </c>
      <c r="AG112" s="63">
        <f t="shared" si="77"/>
        <v>0</v>
      </c>
      <c r="AH112" s="61">
        <f>IFERROR(SUMIFS('BM MORRO DA CRUZ - VERTICAL'!AL$6:AL$546,'BM MORRO DA CRUZ - VERTICAL'!$O$6:$O$546,'BM MORRO DA CRUZ'!$K112),0)</f>
        <v>0</v>
      </c>
      <c r="AI112" s="63">
        <f t="shared" si="78"/>
        <v>0</v>
      </c>
      <c r="AJ112" s="61">
        <f>IFERROR(SUMIFS('BM MORRO DA CRUZ - VERTICAL'!AN$6:AN$546,'BM MORRO DA CRUZ - VERTICAL'!$O$6:$O$546,'BM MORRO DA CRUZ'!$K112),0)</f>
        <v>0</v>
      </c>
      <c r="AK112" s="63">
        <f t="shared" si="79"/>
        <v>0</v>
      </c>
      <c r="AL112" s="61">
        <f>IFERROR(SUMIFS('BM MORRO DA CRUZ - VERTICAL'!AP$6:AP$546,'BM MORRO DA CRUZ - VERTICAL'!$O$6:$O$546,'BM MORRO DA CRUZ'!$K112),0)</f>
        <v>0</v>
      </c>
      <c r="AM112" s="63">
        <f t="shared" si="80"/>
        <v>0</v>
      </c>
      <c r="AN112" s="61">
        <f>IFERROR(SUMIFS('BM MORRO DA CRUZ - VERTICAL'!AR$6:AR$546,'BM MORRO DA CRUZ - VERTICAL'!$O$6:$O$546,'BM MORRO DA CRUZ'!$K112),0)</f>
        <v>0</v>
      </c>
      <c r="AO112" s="63">
        <f t="shared" si="81"/>
        <v>0</v>
      </c>
      <c r="AP112" s="61">
        <f>IFERROR(SUMIFS('BM MORRO DA CRUZ - VERTICAL'!AT$6:AT$546,'BM MORRO DA CRUZ - VERTICAL'!$O$6:$O$546,'BM MORRO DA CRUZ'!$K112),0)</f>
        <v>0</v>
      </c>
      <c r="AQ112" s="63">
        <f t="shared" si="82"/>
        <v>0</v>
      </c>
      <c r="AR112" s="61">
        <f>IFERROR(SUMIFS('BM MORRO DA CRUZ - VERTICAL'!AV$6:AV$546,'BM MORRO DA CRUZ - VERTICAL'!$O$6:$O$546,'BM MORRO DA CRUZ'!$K112),0)</f>
        <v>0</v>
      </c>
      <c r="AS112" s="63">
        <f t="shared" si="83"/>
        <v>0</v>
      </c>
      <c r="AT112" s="61">
        <f>IFERROR(SUMIFS('BM MORRO DA CRUZ - VERTICAL'!AX$6:AX$546,'BM MORRO DA CRUZ - VERTICAL'!$O$6:$O$546,'BM MORRO DA CRUZ'!$K112),0)</f>
        <v>0</v>
      </c>
      <c r="AU112" s="63">
        <f t="shared" si="84"/>
        <v>0</v>
      </c>
      <c r="AV112" s="61">
        <f>IFERROR(SUMIFS('BM MORRO DA CRUZ - VERTICAL'!AZ$6:AZ$546,'BM MORRO DA CRUZ - VERTICAL'!$O$6:$O$546,'BM MORRO DA CRUZ'!$K112),0)</f>
        <v>0</v>
      </c>
      <c r="AW112" s="63">
        <f t="shared" si="85"/>
        <v>0</v>
      </c>
      <c r="AX112" s="61">
        <f>IFERROR(SUMIFS('BM MORRO DA CRUZ - VERTICAL'!BB$6:BB$546,'BM MORRO DA CRUZ - VERTICAL'!$O$6:$O$546,'BM MORRO DA CRUZ'!$K112),0)</f>
        <v>0</v>
      </c>
      <c r="AY112" s="63">
        <f t="shared" si="86"/>
        <v>0</v>
      </c>
      <c r="AZ112" s="61">
        <f>IFERROR(SUMIFS('BM MORRO DA CRUZ - VERTICAL'!BD$6:BD$546,'BM MORRO DA CRUZ - VERTICAL'!$O$6:$O$546,'BM MORRO DA CRUZ'!$K112),0)</f>
        <v>0</v>
      </c>
      <c r="BA112" s="63">
        <f t="shared" si="87"/>
        <v>0</v>
      </c>
      <c r="BB112" s="61">
        <f t="shared" si="88"/>
        <v>0</v>
      </c>
      <c r="BC112" s="63">
        <f t="shared" si="89"/>
        <v>0</v>
      </c>
      <c r="BD112" s="64">
        <f t="shared" si="90"/>
        <v>0</v>
      </c>
      <c r="BE112" s="65">
        <f t="shared" si="91"/>
        <v>1</v>
      </c>
      <c r="BF112" s="45"/>
    </row>
    <row r="113" spans="1:58" ht="26.25" customHeight="1" x14ac:dyDescent="0.45">
      <c r="A113" s="56" t="s">
        <v>461</v>
      </c>
      <c r="B113" s="506" t="s">
        <v>457</v>
      </c>
      <c r="C113" s="507" t="s">
        <v>111</v>
      </c>
      <c r="D113" s="507" t="s">
        <v>224</v>
      </c>
      <c r="E113" s="507" t="s">
        <v>458</v>
      </c>
      <c r="F113" s="507" t="s">
        <v>266</v>
      </c>
      <c r="G113" s="507">
        <v>90</v>
      </c>
      <c r="H113" s="508" t="s">
        <v>267</v>
      </c>
      <c r="I113" s="507" t="s">
        <v>114</v>
      </c>
      <c r="J113" s="508" t="s">
        <v>267</v>
      </c>
      <c r="K113" s="57" t="s">
        <v>462</v>
      </c>
      <c r="L113" s="58" t="s">
        <v>21</v>
      </c>
      <c r="M113" s="59" t="s">
        <v>463</v>
      </c>
      <c r="N113" s="60" t="s">
        <v>71</v>
      </c>
      <c r="O113" s="61">
        <v>54</v>
      </c>
      <c r="P113" s="62">
        <v>176.07</v>
      </c>
      <c r="Q113" s="63">
        <f t="shared" si="69"/>
        <v>9507.7800000000007</v>
      </c>
      <c r="R113" s="61">
        <f>IFERROR(SUMIFS('BM MORRO DA CRUZ - VERTICAL'!V$6:V$546,'BM MORRO DA CRUZ - VERTICAL'!$O$6:$O$546,'BM MORRO DA CRUZ'!$K113),0)</f>
        <v>0</v>
      </c>
      <c r="S113" s="63">
        <f t="shared" si="70"/>
        <v>0</v>
      </c>
      <c r="T113" s="61">
        <f>IFERROR(SUMIFS('BM MORRO DA CRUZ - VERTICAL'!X$6:X$546,'BM MORRO DA CRUZ - VERTICAL'!$O$6:$O$546,'BM MORRO DA CRUZ'!$K113),0)</f>
        <v>0</v>
      </c>
      <c r="U113" s="63">
        <f t="shared" si="71"/>
        <v>0</v>
      </c>
      <c r="V113" s="61">
        <f>IFERROR(SUMIFS('BM MORRO DA CRUZ - VERTICAL'!Z$6:Z$546,'BM MORRO DA CRUZ - VERTICAL'!$O$6:$O$546,'BM MORRO DA CRUZ'!$K113),0)</f>
        <v>0</v>
      </c>
      <c r="W113" s="63">
        <f t="shared" si="72"/>
        <v>0</v>
      </c>
      <c r="X113" s="61">
        <f>IFERROR(SUMIFS('BM MORRO DA CRUZ - VERTICAL'!AB$6:AB$546,'BM MORRO DA CRUZ - VERTICAL'!$O$6:$O$546,'BM MORRO DA CRUZ'!$K113),0)</f>
        <v>0</v>
      </c>
      <c r="Y113" s="63">
        <f t="shared" si="73"/>
        <v>0</v>
      </c>
      <c r="Z113" s="61">
        <f>IFERROR(SUMIFS('BM MORRO DA CRUZ - VERTICAL'!AD$6:AD$546,'BM MORRO DA CRUZ - VERTICAL'!$O$6:$O$546,'BM MORRO DA CRUZ'!$K113),0)</f>
        <v>0</v>
      </c>
      <c r="AA113" s="63">
        <f t="shared" si="74"/>
        <v>0</v>
      </c>
      <c r="AB113" s="61">
        <f>IFERROR(SUMIFS('BM MORRO DA CRUZ - VERTICAL'!AF$6:AF$546,'BM MORRO DA CRUZ - VERTICAL'!$O$6:$O$546,'BM MORRO DA CRUZ'!$K113),0)</f>
        <v>0</v>
      </c>
      <c r="AC113" s="63">
        <f t="shared" si="75"/>
        <v>0</v>
      </c>
      <c r="AD113" s="61">
        <f>IFERROR(SUMIFS('BM MORRO DA CRUZ - VERTICAL'!AH$6:AH$546,'BM MORRO DA CRUZ - VERTICAL'!$O$6:$O$546,'BM MORRO DA CRUZ'!$K113),0)</f>
        <v>0</v>
      </c>
      <c r="AE113" s="63">
        <f t="shared" si="76"/>
        <v>0</v>
      </c>
      <c r="AF113" s="61">
        <f>IFERROR(SUMIFS('BM MORRO DA CRUZ - VERTICAL'!AJ$6:AJ$546,'BM MORRO DA CRUZ - VERTICAL'!$O$6:$O$546,'BM MORRO DA CRUZ'!$K113),0)</f>
        <v>0</v>
      </c>
      <c r="AG113" s="63">
        <f t="shared" si="77"/>
        <v>0</v>
      </c>
      <c r="AH113" s="61">
        <f>IFERROR(SUMIFS('BM MORRO DA CRUZ - VERTICAL'!AL$6:AL$546,'BM MORRO DA CRUZ - VERTICAL'!$O$6:$O$546,'BM MORRO DA CRUZ'!$K113),0)</f>
        <v>0</v>
      </c>
      <c r="AI113" s="63">
        <f t="shared" si="78"/>
        <v>0</v>
      </c>
      <c r="AJ113" s="61">
        <f>IFERROR(SUMIFS('BM MORRO DA CRUZ - VERTICAL'!AN$6:AN$546,'BM MORRO DA CRUZ - VERTICAL'!$O$6:$O$546,'BM MORRO DA CRUZ'!$K113),0)</f>
        <v>0</v>
      </c>
      <c r="AK113" s="63">
        <f t="shared" si="79"/>
        <v>0</v>
      </c>
      <c r="AL113" s="61">
        <f>IFERROR(SUMIFS('BM MORRO DA CRUZ - VERTICAL'!AP$6:AP$546,'BM MORRO DA CRUZ - VERTICAL'!$O$6:$O$546,'BM MORRO DA CRUZ'!$K113),0)</f>
        <v>0</v>
      </c>
      <c r="AM113" s="63">
        <f t="shared" si="80"/>
        <v>0</v>
      </c>
      <c r="AN113" s="61">
        <f>IFERROR(SUMIFS('BM MORRO DA CRUZ - VERTICAL'!AR$6:AR$546,'BM MORRO DA CRUZ - VERTICAL'!$O$6:$O$546,'BM MORRO DA CRUZ'!$K113),0)</f>
        <v>0</v>
      </c>
      <c r="AO113" s="63">
        <f t="shared" si="81"/>
        <v>0</v>
      </c>
      <c r="AP113" s="61">
        <f>IFERROR(SUMIFS('BM MORRO DA CRUZ - VERTICAL'!AT$6:AT$546,'BM MORRO DA CRUZ - VERTICAL'!$O$6:$O$546,'BM MORRO DA CRUZ'!$K113),0)</f>
        <v>0</v>
      </c>
      <c r="AQ113" s="63">
        <f t="shared" si="82"/>
        <v>0</v>
      </c>
      <c r="AR113" s="61">
        <f>IFERROR(SUMIFS('BM MORRO DA CRUZ - VERTICAL'!AV$6:AV$546,'BM MORRO DA CRUZ - VERTICAL'!$O$6:$O$546,'BM MORRO DA CRUZ'!$K113),0)</f>
        <v>0</v>
      </c>
      <c r="AS113" s="63">
        <f t="shared" si="83"/>
        <v>0</v>
      </c>
      <c r="AT113" s="61">
        <f>IFERROR(SUMIFS('BM MORRO DA CRUZ - VERTICAL'!AX$6:AX$546,'BM MORRO DA CRUZ - VERTICAL'!$O$6:$O$546,'BM MORRO DA CRUZ'!$K113),0)</f>
        <v>0</v>
      </c>
      <c r="AU113" s="63">
        <f t="shared" si="84"/>
        <v>0</v>
      </c>
      <c r="AV113" s="61">
        <f>IFERROR(SUMIFS('BM MORRO DA CRUZ - VERTICAL'!AZ$6:AZ$546,'BM MORRO DA CRUZ - VERTICAL'!$O$6:$O$546,'BM MORRO DA CRUZ'!$K113),0)</f>
        <v>0</v>
      </c>
      <c r="AW113" s="63">
        <f t="shared" si="85"/>
        <v>0</v>
      </c>
      <c r="AX113" s="61">
        <f>IFERROR(SUMIFS('BM MORRO DA CRUZ - VERTICAL'!BB$6:BB$546,'BM MORRO DA CRUZ - VERTICAL'!$O$6:$O$546,'BM MORRO DA CRUZ'!$K113),0)</f>
        <v>0</v>
      </c>
      <c r="AY113" s="63">
        <f t="shared" si="86"/>
        <v>0</v>
      </c>
      <c r="AZ113" s="61">
        <f>IFERROR(SUMIFS('BM MORRO DA CRUZ - VERTICAL'!BD$6:BD$546,'BM MORRO DA CRUZ - VERTICAL'!$O$6:$O$546,'BM MORRO DA CRUZ'!$K113),0)</f>
        <v>0</v>
      </c>
      <c r="BA113" s="63">
        <f t="shared" si="87"/>
        <v>0</v>
      </c>
      <c r="BB113" s="61">
        <f t="shared" si="88"/>
        <v>0</v>
      </c>
      <c r="BC113" s="63">
        <f t="shared" si="89"/>
        <v>0</v>
      </c>
      <c r="BD113" s="64">
        <f t="shared" si="90"/>
        <v>0</v>
      </c>
      <c r="BE113" s="65">
        <f t="shared" si="91"/>
        <v>1</v>
      </c>
      <c r="BF113" s="45"/>
    </row>
    <row r="114" spans="1:58" ht="26.25" customHeight="1" x14ac:dyDescent="0.45">
      <c r="A114" s="56" t="s">
        <v>464</v>
      </c>
      <c r="B114" s="506" t="s">
        <v>457</v>
      </c>
      <c r="C114" s="507" t="s">
        <v>404</v>
      </c>
      <c r="D114" s="507" t="s">
        <v>224</v>
      </c>
      <c r="E114" s="507" t="s">
        <v>458</v>
      </c>
      <c r="F114" s="507" t="s">
        <v>266</v>
      </c>
      <c r="G114" s="507">
        <v>110</v>
      </c>
      <c r="H114" s="508" t="s">
        <v>267</v>
      </c>
      <c r="I114" s="507" t="s">
        <v>114</v>
      </c>
      <c r="J114" s="508" t="s">
        <v>267</v>
      </c>
      <c r="K114" s="57" t="s">
        <v>465</v>
      </c>
      <c r="L114" s="58" t="s">
        <v>21</v>
      </c>
      <c r="M114" s="59" t="s">
        <v>466</v>
      </c>
      <c r="N114" s="60" t="s">
        <v>71</v>
      </c>
      <c r="O114" s="61">
        <v>90</v>
      </c>
      <c r="P114" s="62">
        <v>278.35000000000002</v>
      </c>
      <c r="Q114" s="63">
        <f t="shared" si="69"/>
        <v>25051.5</v>
      </c>
      <c r="R114" s="61">
        <f>IFERROR(SUMIFS('BM MORRO DA CRUZ - VERTICAL'!V$6:V$546,'BM MORRO DA CRUZ - VERTICAL'!$O$6:$O$546,'BM MORRO DA CRUZ'!$K114),0)</f>
        <v>0</v>
      </c>
      <c r="S114" s="63">
        <f t="shared" si="70"/>
        <v>0</v>
      </c>
      <c r="T114" s="61">
        <f>IFERROR(SUMIFS('BM MORRO DA CRUZ - VERTICAL'!X$6:X$546,'BM MORRO DA CRUZ - VERTICAL'!$O$6:$O$546,'BM MORRO DA CRUZ'!$K114),0)</f>
        <v>0</v>
      </c>
      <c r="U114" s="63">
        <f t="shared" si="71"/>
        <v>0</v>
      </c>
      <c r="V114" s="61">
        <f>IFERROR(SUMIFS('BM MORRO DA CRUZ - VERTICAL'!Z$6:Z$546,'BM MORRO DA CRUZ - VERTICAL'!$O$6:$O$546,'BM MORRO DA CRUZ'!$K114),0)</f>
        <v>0</v>
      </c>
      <c r="W114" s="63">
        <f t="shared" si="72"/>
        <v>0</v>
      </c>
      <c r="X114" s="61">
        <f>IFERROR(SUMIFS('BM MORRO DA CRUZ - VERTICAL'!AB$6:AB$546,'BM MORRO DA CRUZ - VERTICAL'!$O$6:$O$546,'BM MORRO DA CRUZ'!$K114),0)</f>
        <v>0</v>
      </c>
      <c r="Y114" s="63">
        <f t="shared" si="73"/>
        <v>0</v>
      </c>
      <c r="Z114" s="61">
        <f>IFERROR(SUMIFS('BM MORRO DA CRUZ - VERTICAL'!AD$6:AD$546,'BM MORRO DA CRUZ - VERTICAL'!$O$6:$O$546,'BM MORRO DA CRUZ'!$K114),0)</f>
        <v>0</v>
      </c>
      <c r="AA114" s="63">
        <f t="shared" si="74"/>
        <v>0</v>
      </c>
      <c r="AB114" s="61">
        <f>IFERROR(SUMIFS('BM MORRO DA CRUZ - VERTICAL'!AF$6:AF$546,'BM MORRO DA CRUZ - VERTICAL'!$O$6:$O$546,'BM MORRO DA CRUZ'!$K114),0)</f>
        <v>0</v>
      </c>
      <c r="AC114" s="63">
        <f t="shared" si="75"/>
        <v>0</v>
      </c>
      <c r="AD114" s="61">
        <f>IFERROR(SUMIFS('BM MORRO DA CRUZ - VERTICAL'!AH$6:AH$546,'BM MORRO DA CRUZ - VERTICAL'!$O$6:$O$546,'BM MORRO DA CRUZ'!$K114),0)</f>
        <v>0</v>
      </c>
      <c r="AE114" s="63">
        <f t="shared" si="76"/>
        <v>0</v>
      </c>
      <c r="AF114" s="61">
        <f>IFERROR(SUMIFS('BM MORRO DA CRUZ - VERTICAL'!AJ$6:AJ$546,'BM MORRO DA CRUZ - VERTICAL'!$O$6:$O$546,'BM MORRO DA CRUZ'!$K114),0)</f>
        <v>0</v>
      </c>
      <c r="AG114" s="63">
        <f t="shared" si="77"/>
        <v>0</v>
      </c>
      <c r="AH114" s="61">
        <f>IFERROR(SUMIFS('BM MORRO DA CRUZ - VERTICAL'!AL$6:AL$546,'BM MORRO DA CRUZ - VERTICAL'!$O$6:$O$546,'BM MORRO DA CRUZ'!$K114),0)</f>
        <v>0</v>
      </c>
      <c r="AI114" s="63">
        <f t="shared" si="78"/>
        <v>0</v>
      </c>
      <c r="AJ114" s="61">
        <f>IFERROR(SUMIFS('BM MORRO DA CRUZ - VERTICAL'!AN$6:AN$546,'BM MORRO DA CRUZ - VERTICAL'!$O$6:$O$546,'BM MORRO DA CRUZ'!$K114),0)</f>
        <v>0</v>
      </c>
      <c r="AK114" s="63">
        <f t="shared" si="79"/>
        <v>0</v>
      </c>
      <c r="AL114" s="61">
        <f>IFERROR(SUMIFS('BM MORRO DA CRUZ - VERTICAL'!AP$6:AP$546,'BM MORRO DA CRUZ - VERTICAL'!$O$6:$O$546,'BM MORRO DA CRUZ'!$K114),0)</f>
        <v>0</v>
      </c>
      <c r="AM114" s="63">
        <f t="shared" si="80"/>
        <v>0</v>
      </c>
      <c r="AN114" s="61">
        <f>IFERROR(SUMIFS('BM MORRO DA CRUZ - VERTICAL'!AR$6:AR$546,'BM MORRO DA CRUZ - VERTICAL'!$O$6:$O$546,'BM MORRO DA CRUZ'!$K114),0)</f>
        <v>0</v>
      </c>
      <c r="AO114" s="63">
        <f t="shared" si="81"/>
        <v>0</v>
      </c>
      <c r="AP114" s="61">
        <f>IFERROR(SUMIFS('BM MORRO DA CRUZ - VERTICAL'!AT$6:AT$546,'BM MORRO DA CRUZ - VERTICAL'!$O$6:$O$546,'BM MORRO DA CRUZ'!$K114),0)</f>
        <v>0</v>
      </c>
      <c r="AQ114" s="63">
        <f t="shared" si="82"/>
        <v>0</v>
      </c>
      <c r="AR114" s="61">
        <f>IFERROR(SUMIFS('BM MORRO DA CRUZ - VERTICAL'!AV$6:AV$546,'BM MORRO DA CRUZ - VERTICAL'!$O$6:$O$546,'BM MORRO DA CRUZ'!$K114),0)</f>
        <v>0</v>
      </c>
      <c r="AS114" s="63">
        <f t="shared" si="83"/>
        <v>0</v>
      </c>
      <c r="AT114" s="61">
        <f>IFERROR(SUMIFS('BM MORRO DA CRUZ - VERTICAL'!AX$6:AX$546,'BM MORRO DA CRUZ - VERTICAL'!$O$6:$O$546,'BM MORRO DA CRUZ'!$K114),0)</f>
        <v>0</v>
      </c>
      <c r="AU114" s="63">
        <f t="shared" si="84"/>
        <v>0</v>
      </c>
      <c r="AV114" s="61">
        <f>IFERROR(SUMIFS('BM MORRO DA CRUZ - VERTICAL'!AZ$6:AZ$546,'BM MORRO DA CRUZ - VERTICAL'!$O$6:$O$546,'BM MORRO DA CRUZ'!$K114),0)</f>
        <v>0</v>
      </c>
      <c r="AW114" s="63">
        <f t="shared" si="85"/>
        <v>0</v>
      </c>
      <c r="AX114" s="61">
        <f>IFERROR(SUMIFS('BM MORRO DA CRUZ - VERTICAL'!BB$6:BB$546,'BM MORRO DA CRUZ - VERTICAL'!$O$6:$O$546,'BM MORRO DA CRUZ'!$K114),0)</f>
        <v>0</v>
      </c>
      <c r="AY114" s="63">
        <f t="shared" si="86"/>
        <v>0</v>
      </c>
      <c r="AZ114" s="61">
        <f>IFERROR(SUMIFS('BM MORRO DA CRUZ - VERTICAL'!BD$6:BD$546,'BM MORRO DA CRUZ - VERTICAL'!$O$6:$O$546,'BM MORRO DA CRUZ'!$K114),0)</f>
        <v>0</v>
      </c>
      <c r="BA114" s="63">
        <f t="shared" si="87"/>
        <v>0</v>
      </c>
      <c r="BB114" s="61">
        <f t="shared" si="88"/>
        <v>0</v>
      </c>
      <c r="BC114" s="63">
        <f t="shared" si="89"/>
        <v>0</v>
      </c>
      <c r="BD114" s="64">
        <f t="shared" si="90"/>
        <v>0</v>
      </c>
      <c r="BE114" s="65">
        <f t="shared" si="91"/>
        <v>1</v>
      </c>
      <c r="BF114" s="45"/>
    </row>
    <row r="115" spans="1:58" ht="26.25" customHeight="1" x14ac:dyDescent="0.45">
      <c r="A115" s="56" t="s">
        <v>467</v>
      </c>
      <c r="B115" s="506" t="s">
        <v>457</v>
      </c>
      <c r="C115" s="507" t="s">
        <v>404</v>
      </c>
      <c r="D115" s="507" t="s">
        <v>224</v>
      </c>
      <c r="E115" s="507" t="s">
        <v>458</v>
      </c>
      <c r="F115" s="507" t="s">
        <v>266</v>
      </c>
      <c r="G115" s="507">
        <v>125</v>
      </c>
      <c r="H115" s="508" t="s">
        <v>267</v>
      </c>
      <c r="I115" s="507" t="s">
        <v>114</v>
      </c>
      <c r="J115" s="508" t="s">
        <v>267</v>
      </c>
      <c r="K115" s="57" t="s">
        <v>468</v>
      </c>
      <c r="L115" s="58" t="s">
        <v>21</v>
      </c>
      <c r="M115" s="59" t="s">
        <v>469</v>
      </c>
      <c r="N115" s="60" t="s">
        <v>71</v>
      </c>
      <c r="O115" s="61">
        <v>12</v>
      </c>
      <c r="P115" s="62">
        <v>300</v>
      </c>
      <c r="Q115" s="63">
        <f t="shared" si="69"/>
        <v>3600</v>
      </c>
      <c r="R115" s="61">
        <f>IFERROR(SUMIFS('BM MORRO DA CRUZ - VERTICAL'!V$6:V$546,'BM MORRO DA CRUZ - VERTICAL'!$O$6:$O$546,'BM MORRO DA CRUZ'!$K115),0)</f>
        <v>0</v>
      </c>
      <c r="S115" s="63">
        <f t="shared" si="70"/>
        <v>0</v>
      </c>
      <c r="T115" s="61">
        <f>IFERROR(SUMIFS('BM MORRO DA CRUZ - VERTICAL'!X$6:X$546,'BM MORRO DA CRUZ - VERTICAL'!$O$6:$O$546,'BM MORRO DA CRUZ'!$K115),0)</f>
        <v>0</v>
      </c>
      <c r="U115" s="63">
        <f t="shared" si="71"/>
        <v>0</v>
      </c>
      <c r="V115" s="61">
        <f>IFERROR(SUMIFS('BM MORRO DA CRUZ - VERTICAL'!Z$6:Z$546,'BM MORRO DA CRUZ - VERTICAL'!$O$6:$O$546,'BM MORRO DA CRUZ'!$K115),0)</f>
        <v>0</v>
      </c>
      <c r="W115" s="63">
        <f t="shared" si="72"/>
        <v>0</v>
      </c>
      <c r="X115" s="61">
        <f>IFERROR(SUMIFS('BM MORRO DA CRUZ - VERTICAL'!AB$6:AB$546,'BM MORRO DA CRUZ - VERTICAL'!$O$6:$O$546,'BM MORRO DA CRUZ'!$K115),0)</f>
        <v>0</v>
      </c>
      <c r="Y115" s="63">
        <f t="shared" si="73"/>
        <v>0</v>
      </c>
      <c r="Z115" s="61">
        <f>IFERROR(SUMIFS('BM MORRO DA CRUZ - VERTICAL'!AD$6:AD$546,'BM MORRO DA CRUZ - VERTICAL'!$O$6:$O$546,'BM MORRO DA CRUZ'!$K115),0)</f>
        <v>0</v>
      </c>
      <c r="AA115" s="63">
        <f t="shared" si="74"/>
        <v>0</v>
      </c>
      <c r="AB115" s="61">
        <f>IFERROR(SUMIFS('BM MORRO DA CRUZ - VERTICAL'!AF$6:AF$546,'BM MORRO DA CRUZ - VERTICAL'!$O$6:$O$546,'BM MORRO DA CRUZ'!$K115),0)</f>
        <v>0</v>
      </c>
      <c r="AC115" s="63">
        <f t="shared" si="75"/>
        <v>0</v>
      </c>
      <c r="AD115" s="61">
        <f>IFERROR(SUMIFS('BM MORRO DA CRUZ - VERTICAL'!AH$6:AH$546,'BM MORRO DA CRUZ - VERTICAL'!$O$6:$O$546,'BM MORRO DA CRUZ'!$K115),0)</f>
        <v>0</v>
      </c>
      <c r="AE115" s="63">
        <f t="shared" si="76"/>
        <v>0</v>
      </c>
      <c r="AF115" s="61">
        <f>IFERROR(SUMIFS('BM MORRO DA CRUZ - VERTICAL'!AJ$6:AJ$546,'BM MORRO DA CRUZ - VERTICAL'!$O$6:$O$546,'BM MORRO DA CRUZ'!$K115),0)</f>
        <v>0</v>
      </c>
      <c r="AG115" s="63">
        <f t="shared" si="77"/>
        <v>0</v>
      </c>
      <c r="AH115" s="61">
        <f>IFERROR(SUMIFS('BM MORRO DA CRUZ - VERTICAL'!AL$6:AL$546,'BM MORRO DA CRUZ - VERTICAL'!$O$6:$O$546,'BM MORRO DA CRUZ'!$K115),0)</f>
        <v>0</v>
      </c>
      <c r="AI115" s="63">
        <f t="shared" si="78"/>
        <v>0</v>
      </c>
      <c r="AJ115" s="61">
        <f>IFERROR(SUMIFS('BM MORRO DA CRUZ - VERTICAL'!AN$6:AN$546,'BM MORRO DA CRUZ - VERTICAL'!$O$6:$O$546,'BM MORRO DA CRUZ'!$K115),0)</f>
        <v>0</v>
      </c>
      <c r="AK115" s="63">
        <f t="shared" si="79"/>
        <v>0</v>
      </c>
      <c r="AL115" s="61">
        <f>IFERROR(SUMIFS('BM MORRO DA CRUZ - VERTICAL'!AP$6:AP$546,'BM MORRO DA CRUZ - VERTICAL'!$O$6:$O$546,'BM MORRO DA CRUZ'!$K115),0)</f>
        <v>0</v>
      </c>
      <c r="AM115" s="63">
        <f t="shared" si="80"/>
        <v>0</v>
      </c>
      <c r="AN115" s="61">
        <f>IFERROR(SUMIFS('BM MORRO DA CRUZ - VERTICAL'!AR$6:AR$546,'BM MORRO DA CRUZ - VERTICAL'!$O$6:$O$546,'BM MORRO DA CRUZ'!$K115),0)</f>
        <v>0</v>
      </c>
      <c r="AO115" s="63">
        <f t="shared" si="81"/>
        <v>0</v>
      </c>
      <c r="AP115" s="61">
        <f>IFERROR(SUMIFS('BM MORRO DA CRUZ - VERTICAL'!AT$6:AT$546,'BM MORRO DA CRUZ - VERTICAL'!$O$6:$O$546,'BM MORRO DA CRUZ'!$K115),0)</f>
        <v>0</v>
      </c>
      <c r="AQ115" s="63">
        <f t="shared" si="82"/>
        <v>0</v>
      </c>
      <c r="AR115" s="61">
        <f>IFERROR(SUMIFS('BM MORRO DA CRUZ - VERTICAL'!AV$6:AV$546,'BM MORRO DA CRUZ - VERTICAL'!$O$6:$O$546,'BM MORRO DA CRUZ'!$K115),0)</f>
        <v>0</v>
      </c>
      <c r="AS115" s="63">
        <f t="shared" si="83"/>
        <v>0</v>
      </c>
      <c r="AT115" s="61">
        <f>IFERROR(SUMIFS('BM MORRO DA CRUZ - VERTICAL'!AX$6:AX$546,'BM MORRO DA CRUZ - VERTICAL'!$O$6:$O$546,'BM MORRO DA CRUZ'!$K115),0)</f>
        <v>0</v>
      </c>
      <c r="AU115" s="63">
        <f t="shared" si="84"/>
        <v>0</v>
      </c>
      <c r="AV115" s="61">
        <f>IFERROR(SUMIFS('BM MORRO DA CRUZ - VERTICAL'!AZ$6:AZ$546,'BM MORRO DA CRUZ - VERTICAL'!$O$6:$O$546,'BM MORRO DA CRUZ'!$K115),0)</f>
        <v>0</v>
      </c>
      <c r="AW115" s="63">
        <f t="shared" si="85"/>
        <v>0</v>
      </c>
      <c r="AX115" s="61">
        <f>IFERROR(SUMIFS('BM MORRO DA CRUZ - VERTICAL'!BB$6:BB$546,'BM MORRO DA CRUZ - VERTICAL'!$O$6:$O$546,'BM MORRO DA CRUZ'!$K115),0)</f>
        <v>0</v>
      </c>
      <c r="AY115" s="63">
        <f t="shared" si="86"/>
        <v>0</v>
      </c>
      <c r="AZ115" s="61">
        <f>IFERROR(SUMIFS('BM MORRO DA CRUZ - VERTICAL'!BD$6:BD$546,'BM MORRO DA CRUZ - VERTICAL'!$O$6:$O$546,'BM MORRO DA CRUZ'!$K115),0)</f>
        <v>0</v>
      </c>
      <c r="BA115" s="63">
        <f t="shared" si="87"/>
        <v>0</v>
      </c>
      <c r="BB115" s="61">
        <f t="shared" si="88"/>
        <v>0</v>
      </c>
      <c r="BC115" s="63">
        <f t="shared" si="89"/>
        <v>0</v>
      </c>
      <c r="BD115" s="64">
        <f t="shared" si="90"/>
        <v>0</v>
      </c>
      <c r="BE115" s="65">
        <f t="shared" si="91"/>
        <v>1</v>
      </c>
      <c r="BF115" s="45"/>
    </row>
    <row r="116" spans="1:58" ht="26.25" customHeight="1" x14ac:dyDescent="0.45">
      <c r="A116" s="56" t="s">
        <v>470</v>
      </c>
      <c r="B116" s="506" t="s">
        <v>471</v>
      </c>
      <c r="C116" s="507" t="s">
        <v>404</v>
      </c>
      <c r="D116" s="507" t="s">
        <v>224</v>
      </c>
      <c r="E116" s="507" t="s">
        <v>458</v>
      </c>
      <c r="F116" s="507" t="s">
        <v>273</v>
      </c>
      <c r="G116" s="507">
        <v>90</v>
      </c>
      <c r="H116" s="508" t="s">
        <v>267</v>
      </c>
      <c r="I116" s="507" t="s">
        <v>114</v>
      </c>
      <c r="J116" s="508" t="s">
        <v>267</v>
      </c>
      <c r="K116" s="57" t="s">
        <v>472</v>
      </c>
      <c r="L116" s="58" t="s">
        <v>21</v>
      </c>
      <c r="M116" s="59" t="s">
        <v>473</v>
      </c>
      <c r="N116" s="60" t="s">
        <v>474</v>
      </c>
      <c r="O116" s="61">
        <v>12</v>
      </c>
      <c r="P116" s="62">
        <v>197.62</v>
      </c>
      <c r="Q116" s="63">
        <f t="shared" si="69"/>
        <v>2371.44</v>
      </c>
      <c r="R116" s="61">
        <f>IFERROR(SUMIFS('BM MORRO DA CRUZ - VERTICAL'!V$6:V$546,'BM MORRO DA CRUZ - VERTICAL'!$O$6:$O$546,'BM MORRO DA CRUZ'!$K116),0)</f>
        <v>0</v>
      </c>
      <c r="S116" s="63">
        <f t="shared" si="70"/>
        <v>0</v>
      </c>
      <c r="T116" s="61">
        <f>IFERROR(SUMIFS('BM MORRO DA CRUZ - VERTICAL'!X$6:X$546,'BM MORRO DA CRUZ - VERTICAL'!$O$6:$O$546,'BM MORRO DA CRUZ'!$K116),0)</f>
        <v>0</v>
      </c>
      <c r="U116" s="63">
        <f t="shared" si="71"/>
        <v>0</v>
      </c>
      <c r="V116" s="61">
        <f>IFERROR(SUMIFS('BM MORRO DA CRUZ - VERTICAL'!Z$6:Z$546,'BM MORRO DA CRUZ - VERTICAL'!$O$6:$O$546,'BM MORRO DA CRUZ'!$K116),0)</f>
        <v>0</v>
      </c>
      <c r="W116" s="63">
        <f t="shared" si="72"/>
        <v>0</v>
      </c>
      <c r="X116" s="61">
        <f>IFERROR(SUMIFS('BM MORRO DA CRUZ - VERTICAL'!AB$6:AB$546,'BM MORRO DA CRUZ - VERTICAL'!$O$6:$O$546,'BM MORRO DA CRUZ'!$K116),0)</f>
        <v>0</v>
      </c>
      <c r="Y116" s="63">
        <f t="shared" si="73"/>
        <v>0</v>
      </c>
      <c r="Z116" s="61">
        <f>IFERROR(SUMIFS('BM MORRO DA CRUZ - VERTICAL'!AD$6:AD$546,'BM MORRO DA CRUZ - VERTICAL'!$O$6:$O$546,'BM MORRO DA CRUZ'!$K116),0)</f>
        <v>0</v>
      </c>
      <c r="AA116" s="63">
        <f t="shared" si="74"/>
        <v>0</v>
      </c>
      <c r="AB116" s="61">
        <f>IFERROR(SUMIFS('BM MORRO DA CRUZ - VERTICAL'!AF$6:AF$546,'BM MORRO DA CRUZ - VERTICAL'!$O$6:$O$546,'BM MORRO DA CRUZ'!$K116),0)</f>
        <v>0</v>
      </c>
      <c r="AC116" s="63">
        <f t="shared" si="75"/>
        <v>0</v>
      </c>
      <c r="AD116" s="61">
        <f>IFERROR(SUMIFS('BM MORRO DA CRUZ - VERTICAL'!AH$6:AH$546,'BM MORRO DA CRUZ - VERTICAL'!$O$6:$O$546,'BM MORRO DA CRUZ'!$K116),0)</f>
        <v>0</v>
      </c>
      <c r="AE116" s="63">
        <f t="shared" si="76"/>
        <v>0</v>
      </c>
      <c r="AF116" s="61">
        <f>IFERROR(SUMIFS('BM MORRO DA CRUZ - VERTICAL'!AJ$6:AJ$546,'BM MORRO DA CRUZ - VERTICAL'!$O$6:$O$546,'BM MORRO DA CRUZ'!$K116),0)</f>
        <v>0</v>
      </c>
      <c r="AG116" s="63">
        <f t="shared" si="77"/>
        <v>0</v>
      </c>
      <c r="AH116" s="61">
        <f>IFERROR(SUMIFS('BM MORRO DA CRUZ - VERTICAL'!AL$6:AL$546,'BM MORRO DA CRUZ - VERTICAL'!$O$6:$O$546,'BM MORRO DA CRUZ'!$K116),0)</f>
        <v>0</v>
      </c>
      <c r="AI116" s="63">
        <f t="shared" si="78"/>
        <v>0</v>
      </c>
      <c r="AJ116" s="61">
        <f>IFERROR(SUMIFS('BM MORRO DA CRUZ - VERTICAL'!AN$6:AN$546,'BM MORRO DA CRUZ - VERTICAL'!$O$6:$O$546,'BM MORRO DA CRUZ'!$K116),0)</f>
        <v>0</v>
      </c>
      <c r="AK116" s="63">
        <f t="shared" si="79"/>
        <v>0</v>
      </c>
      <c r="AL116" s="61">
        <f>IFERROR(SUMIFS('BM MORRO DA CRUZ - VERTICAL'!AP$6:AP$546,'BM MORRO DA CRUZ - VERTICAL'!$O$6:$O$546,'BM MORRO DA CRUZ'!$K116),0)</f>
        <v>0</v>
      </c>
      <c r="AM116" s="63">
        <f t="shared" si="80"/>
        <v>0</v>
      </c>
      <c r="AN116" s="61">
        <f>IFERROR(SUMIFS('BM MORRO DA CRUZ - VERTICAL'!AR$6:AR$546,'BM MORRO DA CRUZ - VERTICAL'!$O$6:$O$546,'BM MORRO DA CRUZ'!$K116),0)</f>
        <v>0</v>
      </c>
      <c r="AO116" s="63">
        <f t="shared" si="81"/>
        <v>0</v>
      </c>
      <c r="AP116" s="61">
        <f>IFERROR(SUMIFS('BM MORRO DA CRUZ - VERTICAL'!AT$6:AT$546,'BM MORRO DA CRUZ - VERTICAL'!$O$6:$O$546,'BM MORRO DA CRUZ'!$K116),0)</f>
        <v>0</v>
      </c>
      <c r="AQ116" s="63">
        <f t="shared" si="82"/>
        <v>0</v>
      </c>
      <c r="AR116" s="61">
        <f>IFERROR(SUMIFS('BM MORRO DA CRUZ - VERTICAL'!AV$6:AV$546,'BM MORRO DA CRUZ - VERTICAL'!$O$6:$O$546,'BM MORRO DA CRUZ'!$K116),0)</f>
        <v>0</v>
      </c>
      <c r="AS116" s="63">
        <f t="shared" si="83"/>
        <v>0</v>
      </c>
      <c r="AT116" s="61">
        <f>IFERROR(SUMIFS('BM MORRO DA CRUZ - VERTICAL'!AX$6:AX$546,'BM MORRO DA CRUZ - VERTICAL'!$O$6:$O$546,'BM MORRO DA CRUZ'!$K116),0)</f>
        <v>0</v>
      </c>
      <c r="AU116" s="63">
        <f t="shared" si="84"/>
        <v>0</v>
      </c>
      <c r="AV116" s="61">
        <f>IFERROR(SUMIFS('BM MORRO DA CRUZ - VERTICAL'!AZ$6:AZ$546,'BM MORRO DA CRUZ - VERTICAL'!$O$6:$O$546,'BM MORRO DA CRUZ'!$K116),0)</f>
        <v>0</v>
      </c>
      <c r="AW116" s="63">
        <f t="shared" si="85"/>
        <v>0</v>
      </c>
      <c r="AX116" s="61">
        <f>IFERROR(SUMIFS('BM MORRO DA CRUZ - VERTICAL'!BB$6:BB$546,'BM MORRO DA CRUZ - VERTICAL'!$O$6:$O$546,'BM MORRO DA CRUZ'!$K116),0)</f>
        <v>0</v>
      </c>
      <c r="AY116" s="63">
        <f t="shared" si="86"/>
        <v>0</v>
      </c>
      <c r="AZ116" s="61">
        <f>IFERROR(SUMIFS('BM MORRO DA CRUZ - VERTICAL'!BD$6:BD$546,'BM MORRO DA CRUZ - VERTICAL'!$O$6:$O$546,'BM MORRO DA CRUZ'!$K116),0)</f>
        <v>0</v>
      </c>
      <c r="BA116" s="63">
        <f t="shared" si="87"/>
        <v>0</v>
      </c>
      <c r="BB116" s="61">
        <f t="shared" si="88"/>
        <v>0</v>
      </c>
      <c r="BC116" s="63">
        <f t="shared" si="89"/>
        <v>0</v>
      </c>
      <c r="BD116" s="64">
        <f t="shared" si="90"/>
        <v>0</v>
      </c>
      <c r="BE116" s="65">
        <f t="shared" si="91"/>
        <v>1</v>
      </c>
      <c r="BF116" s="45"/>
    </row>
    <row r="117" spans="1:58" ht="26.25" customHeight="1" x14ac:dyDescent="0.45">
      <c r="A117" s="56" t="s">
        <v>475</v>
      </c>
      <c r="B117" s="506" t="s">
        <v>471</v>
      </c>
      <c r="C117" s="507" t="s">
        <v>111</v>
      </c>
      <c r="D117" s="507" t="s">
        <v>224</v>
      </c>
      <c r="E117" s="507" t="s">
        <v>458</v>
      </c>
      <c r="F117" s="507" t="s">
        <v>273</v>
      </c>
      <c r="G117" s="507">
        <v>225</v>
      </c>
      <c r="H117" s="508" t="s">
        <v>267</v>
      </c>
      <c r="I117" s="507" t="s">
        <v>114</v>
      </c>
      <c r="J117" s="508" t="s">
        <v>267</v>
      </c>
      <c r="K117" s="57" t="s">
        <v>476</v>
      </c>
      <c r="L117" s="58" t="s">
        <v>21</v>
      </c>
      <c r="M117" s="59" t="s">
        <v>477</v>
      </c>
      <c r="N117" s="60" t="s">
        <v>71</v>
      </c>
      <c r="O117" s="61">
        <v>44</v>
      </c>
      <c r="P117" s="62">
        <v>1065.68</v>
      </c>
      <c r="Q117" s="63">
        <f t="shared" si="69"/>
        <v>46889.919999999998</v>
      </c>
      <c r="R117" s="61">
        <f>IFERROR(SUMIFS('BM MORRO DA CRUZ - VERTICAL'!V$6:V$546,'BM MORRO DA CRUZ - VERTICAL'!$O$6:$O$546,'BM MORRO DA CRUZ'!$K117),0)</f>
        <v>0</v>
      </c>
      <c r="S117" s="63">
        <f t="shared" si="70"/>
        <v>0</v>
      </c>
      <c r="T117" s="61">
        <f>IFERROR(SUMIFS('BM MORRO DA CRUZ - VERTICAL'!X$6:X$546,'BM MORRO DA CRUZ - VERTICAL'!$O$6:$O$546,'BM MORRO DA CRUZ'!$K117),0)</f>
        <v>0</v>
      </c>
      <c r="U117" s="63">
        <f t="shared" si="71"/>
        <v>0</v>
      </c>
      <c r="V117" s="61">
        <f>IFERROR(SUMIFS('BM MORRO DA CRUZ - VERTICAL'!Z$6:Z$546,'BM MORRO DA CRUZ - VERTICAL'!$O$6:$O$546,'BM MORRO DA CRUZ'!$K117),0)</f>
        <v>0</v>
      </c>
      <c r="W117" s="63">
        <f t="shared" si="72"/>
        <v>0</v>
      </c>
      <c r="X117" s="61">
        <f>IFERROR(SUMIFS('BM MORRO DA CRUZ - VERTICAL'!AB$6:AB$546,'BM MORRO DA CRUZ - VERTICAL'!$O$6:$O$546,'BM MORRO DA CRUZ'!$K117),0)</f>
        <v>0</v>
      </c>
      <c r="Y117" s="63">
        <f t="shared" si="73"/>
        <v>0</v>
      </c>
      <c r="Z117" s="61">
        <f>IFERROR(SUMIFS('BM MORRO DA CRUZ - VERTICAL'!AD$6:AD$546,'BM MORRO DA CRUZ - VERTICAL'!$O$6:$O$546,'BM MORRO DA CRUZ'!$K117),0)</f>
        <v>0</v>
      </c>
      <c r="AA117" s="63">
        <f t="shared" si="74"/>
        <v>0</v>
      </c>
      <c r="AB117" s="61">
        <f>IFERROR(SUMIFS('BM MORRO DA CRUZ - VERTICAL'!AF$6:AF$546,'BM MORRO DA CRUZ - VERTICAL'!$O$6:$O$546,'BM MORRO DA CRUZ'!$K117),0)</f>
        <v>0</v>
      </c>
      <c r="AC117" s="63">
        <f t="shared" si="75"/>
        <v>0</v>
      </c>
      <c r="AD117" s="61">
        <f>IFERROR(SUMIFS('BM MORRO DA CRUZ - VERTICAL'!AH$6:AH$546,'BM MORRO DA CRUZ - VERTICAL'!$O$6:$O$546,'BM MORRO DA CRUZ'!$K117),0)</f>
        <v>0</v>
      </c>
      <c r="AE117" s="63">
        <f t="shared" si="76"/>
        <v>0</v>
      </c>
      <c r="AF117" s="61">
        <f>IFERROR(SUMIFS('BM MORRO DA CRUZ - VERTICAL'!AJ$6:AJ$546,'BM MORRO DA CRUZ - VERTICAL'!$O$6:$O$546,'BM MORRO DA CRUZ'!$K117),0)</f>
        <v>0</v>
      </c>
      <c r="AG117" s="63">
        <f t="shared" si="77"/>
        <v>0</v>
      </c>
      <c r="AH117" s="61">
        <f>IFERROR(SUMIFS('BM MORRO DA CRUZ - VERTICAL'!AL$6:AL$546,'BM MORRO DA CRUZ - VERTICAL'!$O$6:$O$546,'BM MORRO DA CRUZ'!$K117),0)</f>
        <v>0</v>
      </c>
      <c r="AI117" s="63">
        <f t="shared" si="78"/>
        <v>0</v>
      </c>
      <c r="AJ117" s="61">
        <f>IFERROR(SUMIFS('BM MORRO DA CRUZ - VERTICAL'!AN$6:AN$546,'BM MORRO DA CRUZ - VERTICAL'!$O$6:$O$546,'BM MORRO DA CRUZ'!$K117),0)</f>
        <v>0</v>
      </c>
      <c r="AK117" s="63">
        <f t="shared" si="79"/>
        <v>0</v>
      </c>
      <c r="AL117" s="61">
        <f>IFERROR(SUMIFS('BM MORRO DA CRUZ - VERTICAL'!AP$6:AP$546,'BM MORRO DA CRUZ - VERTICAL'!$O$6:$O$546,'BM MORRO DA CRUZ'!$K117),0)</f>
        <v>0</v>
      </c>
      <c r="AM117" s="63">
        <f t="shared" si="80"/>
        <v>0</v>
      </c>
      <c r="AN117" s="61">
        <f>IFERROR(SUMIFS('BM MORRO DA CRUZ - VERTICAL'!AR$6:AR$546,'BM MORRO DA CRUZ - VERTICAL'!$O$6:$O$546,'BM MORRO DA CRUZ'!$K117),0)</f>
        <v>0</v>
      </c>
      <c r="AO117" s="63">
        <f t="shared" si="81"/>
        <v>0</v>
      </c>
      <c r="AP117" s="61">
        <f>IFERROR(SUMIFS('BM MORRO DA CRUZ - VERTICAL'!AT$6:AT$546,'BM MORRO DA CRUZ - VERTICAL'!$O$6:$O$546,'BM MORRO DA CRUZ'!$K117),0)</f>
        <v>0</v>
      </c>
      <c r="AQ117" s="63">
        <f t="shared" si="82"/>
        <v>0</v>
      </c>
      <c r="AR117" s="61">
        <f>IFERROR(SUMIFS('BM MORRO DA CRUZ - VERTICAL'!AV$6:AV$546,'BM MORRO DA CRUZ - VERTICAL'!$O$6:$O$546,'BM MORRO DA CRUZ'!$K117),0)</f>
        <v>0</v>
      </c>
      <c r="AS117" s="63">
        <f t="shared" si="83"/>
        <v>0</v>
      </c>
      <c r="AT117" s="61">
        <f>IFERROR(SUMIFS('BM MORRO DA CRUZ - VERTICAL'!AX$6:AX$546,'BM MORRO DA CRUZ - VERTICAL'!$O$6:$O$546,'BM MORRO DA CRUZ'!$K117),0)</f>
        <v>0</v>
      </c>
      <c r="AU117" s="63">
        <f t="shared" si="84"/>
        <v>0</v>
      </c>
      <c r="AV117" s="61">
        <f>IFERROR(SUMIFS('BM MORRO DA CRUZ - VERTICAL'!AZ$6:AZ$546,'BM MORRO DA CRUZ - VERTICAL'!$O$6:$O$546,'BM MORRO DA CRUZ'!$K117),0)</f>
        <v>0</v>
      </c>
      <c r="AW117" s="63">
        <f t="shared" si="85"/>
        <v>0</v>
      </c>
      <c r="AX117" s="61">
        <f>IFERROR(SUMIFS('BM MORRO DA CRUZ - VERTICAL'!BB$6:BB$546,'BM MORRO DA CRUZ - VERTICAL'!$O$6:$O$546,'BM MORRO DA CRUZ'!$K117),0)</f>
        <v>0</v>
      </c>
      <c r="AY117" s="63">
        <f t="shared" si="86"/>
        <v>0</v>
      </c>
      <c r="AZ117" s="61">
        <f>IFERROR(SUMIFS('BM MORRO DA CRUZ - VERTICAL'!BD$6:BD$546,'BM MORRO DA CRUZ - VERTICAL'!$O$6:$O$546,'BM MORRO DA CRUZ'!$K117),0)</f>
        <v>0</v>
      </c>
      <c r="BA117" s="63">
        <f t="shared" si="87"/>
        <v>0</v>
      </c>
      <c r="BB117" s="61">
        <f t="shared" si="88"/>
        <v>0</v>
      </c>
      <c r="BC117" s="63">
        <f t="shared" si="89"/>
        <v>0</v>
      </c>
      <c r="BD117" s="64">
        <f t="shared" si="90"/>
        <v>0</v>
      </c>
      <c r="BE117" s="65">
        <f t="shared" si="91"/>
        <v>1</v>
      </c>
      <c r="BF117" s="45"/>
    </row>
    <row r="118" spans="1:58" ht="26.25" customHeight="1" x14ac:dyDescent="0.45">
      <c r="A118" s="56" t="s">
        <v>478</v>
      </c>
      <c r="B118" s="506" t="s">
        <v>471</v>
      </c>
      <c r="C118" s="507" t="s">
        <v>111</v>
      </c>
      <c r="D118" s="507" t="s">
        <v>224</v>
      </c>
      <c r="E118" s="507" t="s">
        <v>458</v>
      </c>
      <c r="F118" s="507" t="s">
        <v>273</v>
      </c>
      <c r="G118" s="507">
        <v>250</v>
      </c>
      <c r="H118" s="508" t="s">
        <v>267</v>
      </c>
      <c r="I118" s="507" t="s">
        <v>114</v>
      </c>
      <c r="J118" s="508" t="s">
        <v>267</v>
      </c>
      <c r="K118" s="57" t="s">
        <v>479</v>
      </c>
      <c r="L118" s="58" t="s">
        <v>21</v>
      </c>
      <c r="M118" s="59" t="s">
        <v>480</v>
      </c>
      <c r="N118" s="60" t="s">
        <v>71</v>
      </c>
      <c r="O118" s="61">
        <v>4</v>
      </c>
      <c r="P118" s="62">
        <v>1375.07</v>
      </c>
      <c r="Q118" s="63">
        <f t="shared" si="69"/>
        <v>5500.28</v>
      </c>
      <c r="R118" s="61">
        <f>IFERROR(SUMIFS('BM MORRO DA CRUZ - VERTICAL'!V$6:V$546,'BM MORRO DA CRUZ - VERTICAL'!$O$6:$O$546,'BM MORRO DA CRUZ'!$K118),0)</f>
        <v>0</v>
      </c>
      <c r="S118" s="63">
        <f t="shared" si="70"/>
        <v>0</v>
      </c>
      <c r="T118" s="61">
        <f>IFERROR(SUMIFS('BM MORRO DA CRUZ - VERTICAL'!X$6:X$546,'BM MORRO DA CRUZ - VERTICAL'!$O$6:$O$546,'BM MORRO DA CRUZ'!$K118),0)</f>
        <v>0</v>
      </c>
      <c r="U118" s="63">
        <f t="shared" si="71"/>
        <v>0</v>
      </c>
      <c r="V118" s="61">
        <f>IFERROR(SUMIFS('BM MORRO DA CRUZ - VERTICAL'!Z$6:Z$546,'BM MORRO DA CRUZ - VERTICAL'!$O$6:$O$546,'BM MORRO DA CRUZ'!$K118),0)</f>
        <v>0</v>
      </c>
      <c r="W118" s="63">
        <f t="shared" si="72"/>
        <v>0</v>
      </c>
      <c r="X118" s="61">
        <f>IFERROR(SUMIFS('BM MORRO DA CRUZ - VERTICAL'!AB$6:AB$546,'BM MORRO DA CRUZ - VERTICAL'!$O$6:$O$546,'BM MORRO DA CRUZ'!$K118),0)</f>
        <v>0</v>
      </c>
      <c r="Y118" s="63">
        <f t="shared" si="73"/>
        <v>0</v>
      </c>
      <c r="Z118" s="61">
        <f>IFERROR(SUMIFS('BM MORRO DA CRUZ - VERTICAL'!AD$6:AD$546,'BM MORRO DA CRUZ - VERTICAL'!$O$6:$O$546,'BM MORRO DA CRUZ'!$K118),0)</f>
        <v>0</v>
      </c>
      <c r="AA118" s="63">
        <f t="shared" si="74"/>
        <v>0</v>
      </c>
      <c r="AB118" s="61">
        <f>IFERROR(SUMIFS('BM MORRO DA CRUZ - VERTICAL'!AF$6:AF$546,'BM MORRO DA CRUZ - VERTICAL'!$O$6:$O$546,'BM MORRO DA CRUZ'!$K118),0)</f>
        <v>0</v>
      </c>
      <c r="AC118" s="63">
        <f t="shared" si="75"/>
        <v>0</v>
      </c>
      <c r="AD118" s="61">
        <f>IFERROR(SUMIFS('BM MORRO DA CRUZ - VERTICAL'!AH$6:AH$546,'BM MORRO DA CRUZ - VERTICAL'!$O$6:$O$546,'BM MORRO DA CRUZ'!$K118),0)</f>
        <v>0</v>
      </c>
      <c r="AE118" s="63">
        <f t="shared" si="76"/>
        <v>0</v>
      </c>
      <c r="AF118" s="61">
        <f>IFERROR(SUMIFS('BM MORRO DA CRUZ - VERTICAL'!AJ$6:AJ$546,'BM MORRO DA CRUZ - VERTICAL'!$O$6:$O$546,'BM MORRO DA CRUZ'!$K118),0)</f>
        <v>0</v>
      </c>
      <c r="AG118" s="63">
        <f t="shared" si="77"/>
        <v>0</v>
      </c>
      <c r="AH118" s="61">
        <f>IFERROR(SUMIFS('BM MORRO DA CRUZ - VERTICAL'!AL$6:AL$546,'BM MORRO DA CRUZ - VERTICAL'!$O$6:$O$546,'BM MORRO DA CRUZ'!$K118),0)</f>
        <v>0</v>
      </c>
      <c r="AI118" s="63">
        <f t="shared" si="78"/>
        <v>0</v>
      </c>
      <c r="AJ118" s="61">
        <f>IFERROR(SUMIFS('BM MORRO DA CRUZ - VERTICAL'!AN$6:AN$546,'BM MORRO DA CRUZ - VERTICAL'!$O$6:$O$546,'BM MORRO DA CRUZ'!$K118),0)</f>
        <v>0</v>
      </c>
      <c r="AK118" s="63">
        <f t="shared" si="79"/>
        <v>0</v>
      </c>
      <c r="AL118" s="61">
        <f>IFERROR(SUMIFS('BM MORRO DA CRUZ - VERTICAL'!AP$6:AP$546,'BM MORRO DA CRUZ - VERTICAL'!$O$6:$O$546,'BM MORRO DA CRUZ'!$K118),0)</f>
        <v>0</v>
      </c>
      <c r="AM118" s="63">
        <f t="shared" si="80"/>
        <v>0</v>
      </c>
      <c r="AN118" s="61">
        <f>IFERROR(SUMIFS('BM MORRO DA CRUZ - VERTICAL'!AR$6:AR$546,'BM MORRO DA CRUZ - VERTICAL'!$O$6:$O$546,'BM MORRO DA CRUZ'!$K118),0)</f>
        <v>0</v>
      </c>
      <c r="AO118" s="63">
        <f t="shared" si="81"/>
        <v>0</v>
      </c>
      <c r="AP118" s="61">
        <f>IFERROR(SUMIFS('BM MORRO DA CRUZ - VERTICAL'!AT$6:AT$546,'BM MORRO DA CRUZ - VERTICAL'!$O$6:$O$546,'BM MORRO DA CRUZ'!$K118),0)</f>
        <v>0</v>
      </c>
      <c r="AQ118" s="63">
        <f t="shared" si="82"/>
        <v>0</v>
      </c>
      <c r="AR118" s="61">
        <f>IFERROR(SUMIFS('BM MORRO DA CRUZ - VERTICAL'!AV$6:AV$546,'BM MORRO DA CRUZ - VERTICAL'!$O$6:$O$546,'BM MORRO DA CRUZ'!$K118),0)</f>
        <v>0</v>
      </c>
      <c r="AS118" s="63">
        <f t="shared" si="83"/>
        <v>0</v>
      </c>
      <c r="AT118" s="61">
        <f>IFERROR(SUMIFS('BM MORRO DA CRUZ - VERTICAL'!AX$6:AX$546,'BM MORRO DA CRUZ - VERTICAL'!$O$6:$O$546,'BM MORRO DA CRUZ'!$K118),0)</f>
        <v>0</v>
      </c>
      <c r="AU118" s="63">
        <f t="shared" si="84"/>
        <v>0</v>
      </c>
      <c r="AV118" s="61">
        <f>IFERROR(SUMIFS('BM MORRO DA CRUZ - VERTICAL'!AZ$6:AZ$546,'BM MORRO DA CRUZ - VERTICAL'!$O$6:$O$546,'BM MORRO DA CRUZ'!$K118),0)</f>
        <v>0</v>
      </c>
      <c r="AW118" s="63">
        <f t="shared" si="85"/>
        <v>0</v>
      </c>
      <c r="AX118" s="61">
        <f>IFERROR(SUMIFS('BM MORRO DA CRUZ - VERTICAL'!BB$6:BB$546,'BM MORRO DA CRUZ - VERTICAL'!$O$6:$O$546,'BM MORRO DA CRUZ'!$K118),0)</f>
        <v>0</v>
      </c>
      <c r="AY118" s="63">
        <f t="shared" si="86"/>
        <v>0</v>
      </c>
      <c r="AZ118" s="61">
        <f>IFERROR(SUMIFS('BM MORRO DA CRUZ - VERTICAL'!BD$6:BD$546,'BM MORRO DA CRUZ - VERTICAL'!$O$6:$O$546,'BM MORRO DA CRUZ'!$K118),0)</f>
        <v>0</v>
      </c>
      <c r="BA118" s="63">
        <f t="shared" si="87"/>
        <v>0</v>
      </c>
      <c r="BB118" s="61">
        <f t="shared" si="88"/>
        <v>0</v>
      </c>
      <c r="BC118" s="63">
        <f t="shared" si="89"/>
        <v>0</v>
      </c>
      <c r="BD118" s="64">
        <f t="shared" si="90"/>
        <v>0</v>
      </c>
      <c r="BE118" s="65">
        <f t="shared" si="91"/>
        <v>1</v>
      </c>
      <c r="BF118" s="45"/>
    </row>
    <row r="119" spans="1:58" ht="26.25" customHeight="1" x14ac:dyDescent="0.45">
      <c r="A119" s="56" t="s">
        <v>481</v>
      </c>
      <c r="B119" s="506" t="s">
        <v>471</v>
      </c>
      <c r="C119" s="507" t="s">
        <v>111</v>
      </c>
      <c r="D119" s="507" t="s">
        <v>224</v>
      </c>
      <c r="E119" s="507" t="s">
        <v>458</v>
      </c>
      <c r="F119" s="507" t="s">
        <v>273</v>
      </c>
      <c r="G119" s="507">
        <v>280</v>
      </c>
      <c r="H119" s="508" t="s">
        <v>267</v>
      </c>
      <c r="I119" s="507" t="s">
        <v>114</v>
      </c>
      <c r="J119" s="508" t="s">
        <v>267</v>
      </c>
      <c r="K119" s="57" t="s">
        <v>482</v>
      </c>
      <c r="L119" s="58" t="s">
        <v>21</v>
      </c>
      <c r="M119" s="59" t="s">
        <v>483</v>
      </c>
      <c r="N119" s="60" t="s">
        <v>71</v>
      </c>
      <c r="O119" s="61">
        <v>1</v>
      </c>
      <c r="P119" s="62">
        <v>1668.07</v>
      </c>
      <c r="Q119" s="63">
        <f t="shared" si="69"/>
        <v>1668.07</v>
      </c>
      <c r="R119" s="61">
        <f>IFERROR(SUMIFS('BM MORRO DA CRUZ - VERTICAL'!V$6:V$546,'BM MORRO DA CRUZ - VERTICAL'!$O$6:$O$546,'BM MORRO DA CRUZ'!$K119),0)</f>
        <v>0</v>
      </c>
      <c r="S119" s="63">
        <f t="shared" si="70"/>
        <v>0</v>
      </c>
      <c r="T119" s="61">
        <f>IFERROR(SUMIFS('BM MORRO DA CRUZ - VERTICAL'!X$6:X$546,'BM MORRO DA CRUZ - VERTICAL'!$O$6:$O$546,'BM MORRO DA CRUZ'!$K119),0)</f>
        <v>0</v>
      </c>
      <c r="U119" s="63">
        <f t="shared" si="71"/>
        <v>0</v>
      </c>
      <c r="V119" s="61">
        <f>IFERROR(SUMIFS('BM MORRO DA CRUZ - VERTICAL'!Z$6:Z$546,'BM MORRO DA CRUZ - VERTICAL'!$O$6:$O$546,'BM MORRO DA CRUZ'!$K119),0)</f>
        <v>0</v>
      </c>
      <c r="W119" s="63">
        <f t="shared" si="72"/>
        <v>0</v>
      </c>
      <c r="X119" s="61">
        <f>IFERROR(SUMIFS('BM MORRO DA CRUZ - VERTICAL'!AB$6:AB$546,'BM MORRO DA CRUZ - VERTICAL'!$O$6:$O$546,'BM MORRO DA CRUZ'!$K119),0)</f>
        <v>0</v>
      </c>
      <c r="Y119" s="63">
        <f t="shared" si="73"/>
        <v>0</v>
      </c>
      <c r="Z119" s="61">
        <f>IFERROR(SUMIFS('BM MORRO DA CRUZ - VERTICAL'!AD$6:AD$546,'BM MORRO DA CRUZ - VERTICAL'!$O$6:$O$546,'BM MORRO DA CRUZ'!$K119),0)</f>
        <v>0</v>
      </c>
      <c r="AA119" s="63">
        <f t="shared" si="74"/>
        <v>0</v>
      </c>
      <c r="AB119" s="61">
        <f>IFERROR(SUMIFS('BM MORRO DA CRUZ - VERTICAL'!AF$6:AF$546,'BM MORRO DA CRUZ - VERTICAL'!$O$6:$O$546,'BM MORRO DA CRUZ'!$K119),0)</f>
        <v>0</v>
      </c>
      <c r="AC119" s="63">
        <f t="shared" si="75"/>
        <v>0</v>
      </c>
      <c r="AD119" s="61">
        <f>IFERROR(SUMIFS('BM MORRO DA CRUZ - VERTICAL'!AH$6:AH$546,'BM MORRO DA CRUZ - VERTICAL'!$O$6:$O$546,'BM MORRO DA CRUZ'!$K119),0)</f>
        <v>0</v>
      </c>
      <c r="AE119" s="63">
        <f t="shared" si="76"/>
        <v>0</v>
      </c>
      <c r="AF119" s="61">
        <f>IFERROR(SUMIFS('BM MORRO DA CRUZ - VERTICAL'!AJ$6:AJ$546,'BM MORRO DA CRUZ - VERTICAL'!$O$6:$O$546,'BM MORRO DA CRUZ'!$K119),0)</f>
        <v>0</v>
      </c>
      <c r="AG119" s="63">
        <f t="shared" si="77"/>
        <v>0</v>
      </c>
      <c r="AH119" s="61">
        <f>IFERROR(SUMIFS('BM MORRO DA CRUZ - VERTICAL'!AL$6:AL$546,'BM MORRO DA CRUZ - VERTICAL'!$O$6:$O$546,'BM MORRO DA CRUZ'!$K119),0)</f>
        <v>0</v>
      </c>
      <c r="AI119" s="63">
        <f t="shared" si="78"/>
        <v>0</v>
      </c>
      <c r="AJ119" s="61">
        <f>IFERROR(SUMIFS('BM MORRO DA CRUZ - VERTICAL'!AN$6:AN$546,'BM MORRO DA CRUZ - VERTICAL'!$O$6:$O$546,'BM MORRO DA CRUZ'!$K119),0)</f>
        <v>0</v>
      </c>
      <c r="AK119" s="63">
        <f t="shared" si="79"/>
        <v>0</v>
      </c>
      <c r="AL119" s="61">
        <f>IFERROR(SUMIFS('BM MORRO DA CRUZ - VERTICAL'!AP$6:AP$546,'BM MORRO DA CRUZ - VERTICAL'!$O$6:$O$546,'BM MORRO DA CRUZ'!$K119),0)</f>
        <v>0</v>
      </c>
      <c r="AM119" s="63">
        <f t="shared" si="80"/>
        <v>0</v>
      </c>
      <c r="AN119" s="61">
        <f>IFERROR(SUMIFS('BM MORRO DA CRUZ - VERTICAL'!AR$6:AR$546,'BM MORRO DA CRUZ - VERTICAL'!$O$6:$O$546,'BM MORRO DA CRUZ'!$K119),0)</f>
        <v>0</v>
      </c>
      <c r="AO119" s="63">
        <f t="shared" si="81"/>
        <v>0</v>
      </c>
      <c r="AP119" s="61">
        <f>IFERROR(SUMIFS('BM MORRO DA CRUZ - VERTICAL'!AT$6:AT$546,'BM MORRO DA CRUZ - VERTICAL'!$O$6:$O$546,'BM MORRO DA CRUZ'!$K119),0)</f>
        <v>0</v>
      </c>
      <c r="AQ119" s="63">
        <f t="shared" si="82"/>
        <v>0</v>
      </c>
      <c r="AR119" s="61">
        <f>IFERROR(SUMIFS('BM MORRO DA CRUZ - VERTICAL'!AV$6:AV$546,'BM MORRO DA CRUZ - VERTICAL'!$O$6:$O$546,'BM MORRO DA CRUZ'!$K119),0)</f>
        <v>0</v>
      </c>
      <c r="AS119" s="63">
        <f t="shared" si="83"/>
        <v>0</v>
      </c>
      <c r="AT119" s="61">
        <f>IFERROR(SUMIFS('BM MORRO DA CRUZ - VERTICAL'!AX$6:AX$546,'BM MORRO DA CRUZ - VERTICAL'!$O$6:$O$546,'BM MORRO DA CRUZ'!$K119),0)</f>
        <v>0</v>
      </c>
      <c r="AU119" s="63">
        <f t="shared" si="84"/>
        <v>0</v>
      </c>
      <c r="AV119" s="61">
        <f>IFERROR(SUMIFS('BM MORRO DA CRUZ - VERTICAL'!AZ$6:AZ$546,'BM MORRO DA CRUZ - VERTICAL'!$O$6:$O$546,'BM MORRO DA CRUZ'!$K119),0)</f>
        <v>0</v>
      </c>
      <c r="AW119" s="63">
        <f t="shared" si="85"/>
        <v>0</v>
      </c>
      <c r="AX119" s="61">
        <f>IFERROR(SUMIFS('BM MORRO DA CRUZ - VERTICAL'!BB$6:BB$546,'BM MORRO DA CRUZ - VERTICAL'!$O$6:$O$546,'BM MORRO DA CRUZ'!$K119),0)</f>
        <v>0</v>
      </c>
      <c r="AY119" s="63">
        <f t="shared" si="86"/>
        <v>0</v>
      </c>
      <c r="AZ119" s="61">
        <f>IFERROR(SUMIFS('BM MORRO DA CRUZ - VERTICAL'!BD$6:BD$546,'BM MORRO DA CRUZ - VERTICAL'!$O$6:$O$546,'BM MORRO DA CRUZ'!$K119),0)</f>
        <v>0</v>
      </c>
      <c r="BA119" s="63">
        <f t="shared" si="87"/>
        <v>0</v>
      </c>
      <c r="BB119" s="61">
        <f t="shared" si="88"/>
        <v>0</v>
      </c>
      <c r="BC119" s="63">
        <f t="shared" si="89"/>
        <v>0</v>
      </c>
      <c r="BD119" s="64">
        <f t="shared" si="90"/>
        <v>0</v>
      </c>
      <c r="BE119" s="65">
        <f t="shared" si="91"/>
        <v>1</v>
      </c>
      <c r="BF119" s="45"/>
    </row>
    <row r="120" spans="1:58" ht="26.25" customHeight="1" x14ac:dyDescent="0.45">
      <c r="A120" s="56" t="s">
        <v>484</v>
      </c>
      <c r="B120" s="506" t="s">
        <v>471</v>
      </c>
      <c r="C120" s="507" t="s">
        <v>111</v>
      </c>
      <c r="D120" s="507" t="s">
        <v>224</v>
      </c>
      <c r="E120" s="507" t="s">
        <v>458</v>
      </c>
      <c r="F120" s="507" t="s">
        <v>273</v>
      </c>
      <c r="G120" s="507">
        <v>315</v>
      </c>
      <c r="H120" s="508" t="s">
        <v>267</v>
      </c>
      <c r="I120" s="507" t="s">
        <v>114</v>
      </c>
      <c r="J120" s="508" t="s">
        <v>267</v>
      </c>
      <c r="K120" s="57" t="s">
        <v>485</v>
      </c>
      <c r="L120" s="58" t="s">
        <v>21</v>
      </c>
      <c r="M120" s="59" t="s">
        <v>486</v>
      </c>
      <c r="N120" s="60" t="s">
        <v>71</v>
      </c>
      <c r="O120" s="61">
        <v>5</v>
      </c>
      <c r="P120" s="62">
        <v>2529.9299999999998</v>
      </c>
      <c r="Q120" s="63">
        <f t="shared" si="69"/>
        <v>12649.65</v>
      </c>
      <c r="R120" s="61">
        <f>IFERROR(SUMIFS('BM MORRO DA CRUZ - VERTICAL'!V$6:V$546,'BM MORRO DA CRUZ - VERTICAL'!$O$6:$O$546,'BM MORRO DA CRUZ'!$K120),0)</f>
        <v>0</v>
      </c>
      <c r="S120" s="63">
        <f t="shared" si="70"/>
        <v>0</v>
      </c>
      <c r="T120" s="61">
        <f>IFERROR(SUMIFS('BM MORRO DA CRUZ - VERTICAL'!X$6:X$546,'BM MORRO DA CRUZ - VERTICAL'!$O$6:$O$546,'BM MORRO DA CRUZ'!$K120),0)</f>
        <v>0</v>
      </c>
      <c r="U120" s="63">
        <f t="shared" si="71"/>
        <v>0</v>
      </c>
      <c r="V120" s="61">
        <f>IFERROR(SUMIFS('BM MORRO DA CRUZ - VERTICAL'!Z$6:Z$546,'BM MORRO DA CRUZ - VERTICAL'!$O$6:$O$546,'BM MORRO DA CRUZ'!$K120),0)</f>
        <v>0</v>
      </c>
      <c r="W120" s="63">
        <f t="shared" si="72"/>
        <v>0</v>
      </c>
      <c r="X120" s="61">
        <f>IFERROR(SUMIFS('BM MORRO DA CRUZ - VERTICAL'!AB$6:AB$546,'BM MORRO DA CRUZ - VERTICAL'!$O$6:$O$546,'BM MORRO DA CRUZ'!$K120),0)</f>
        <v>0</v>
      </c>
      <c r="Y120" s="63">
        <f t="shared" si="73"/>
        <v>0</v>
      </c>
      <c r="Z120" s="61">
        <f>IFERROR(SUMIFS('BM MORRO DA CRUZ - VERTICAL'!AD$6:AD$546,'BM MORRO DA CRUZ - VERTICAL'!$O$6:$O$546,'BM MORRO DA CRUZ'!$K120),0)</f>
        <v>0</v>
      </c>
      <c r="AA120" s="63">
        <f t="shared" si="74"/>
        <v>0</v>
      </c>
      <c r="AB120" s="61">
        <f>IFERROR(SUMIFS('BM MORRO DA CRUZ - VERTICAL'!AF$6:AF$546,'BM MORRO DA CRUZ - VERTICAL'!$O$6:$O$546,'BM MORRO DA CRUZ'!$K120),0)</f>
        <v>0</v>
      </c>
      <c r="AC120" s="63">
        <f t="shared" si="75"/>
        <v>0</v>
      </c>
      <c r="AD120" s="61">
        <f>IFERROR(SUMIFS('BM MORRO DA CRUZ - VERTICAL'!AH$6:AH$546,'BM MORRO DA CRUZ - VERTICAL'!$O$6:$O$546,'BM MORRO DA CRUZ'!$K120),0)</f>
        <v>0</v>
      </c>
      <c r="AE120" s="63">
        <f t="shared" si="76"/>
        <v>0</v>
      </c>
      <c r="AF120" s="61">
        <f>IFERROR(SUMIFS('BM MORRO DA CRUZ - VERTICAL'!AJ$6:AJ$546,'BM MORRO DA CRUZ - VERTICAL'!$O$6:$O$546,'BM MORRO DA CRUZ'!$K120),0)</f>
        <v>0</v>
      </c>
      <c r="AG120" s="63">
        <f t="shared" si="77"/>
        <v>0</v>
      </c>
      <c r="AH120" s="61">
        <f>IFERROR(SUMIFS('BM MORRO DA CRUZ - VERTICAL'!AL$6:AL$546,'BM MORRO DA CRUZ - VERTICAL'!$O$6:$O$546,'BM MORRO DA CRUZ'!$K120),0)</f>
        <v>0</v>
      </c>
      <c r="AI120" s="63">
        <f t="shared" si="78"/>
        <v>0</v>
      </c>
      <c r="AJ120" s="61">
        <f>IFERROR(SUMIFS('BM MORRO DA CRUZ - VERTICAL'!AN$6:AN$546,'BM MORRO DA CRUZ - VERTICAL'!$O$6:$O$546,'BM MORRO DA CRUZ'!$K120),0)</f>
        <v>0</v>
      </c>
      <c r="AK120" s="63">
        <f t="shared" si="79"/>
        <v>0</v>
      </c>
      <c r="AL120" s="61">
        <f>IFERROR(SUMIFS('BM MORRO DA CRUZ - VERTICAL'!AP$6:AP$546,'BM MORRO DA CRUZ - VERTICAL'!$O$6:$O$546,'BM MORRO DA CRUZ'!$K120),0)</f>
        <v>0</v>
      </c>
      <c r="AM120" s="63">
        <f t="shared" si="80"/>
        <v>0</v>
      </c>
      <c r="AN120" s="61">
        <f>IFERROR(SUMIFS('BM MORRO DA CRUZ - VERTICAL'!AR$6:AR$546,'BM MORRO DA CRUZ - VERTICAL'!$O$6:$O$546,'BM MORRO DA CRUZ'!$K120),0)</f>
        <v>0</v>
      </c>
      <c r="AO120" s="63">
        <f t="shared" si="81"/>
        <v>0</v>
      </c>
      <c r="AP120" s="61">
        <f>IFERROR(SUMIFS('BM MORRO DA CRUZ - VERTICAL'!AT$6:AT$546,'BM MORRO DA CRUZ - VERTICAL'!$O$6:$O$546,'BM MORRO DA CRUZ'!$K120),0)</f>
        <v>0</v>
      </c>
      <c r="AQ120" s="63">
        <f t="shared" si="82"/>
        <v>0</v>
      </c>
      <c r="AR120" s="61">
        <f>IFERROR(SUMIFS('BM MORRO DA CRUZ - VERTICAL'!AV$6:AV$546,'BM MORRO DA CRUZ - VERTICAL'!$O$6:$O$546,'BM MORRO DA CRUZ'!$K120),0)</f>
        <v>0</v>
      </c>
      <c r="AS120" s="63">
        <f t="shared" si="83"/>
        <v>0</v>
      </c>
      <c r="AT120" s="61">
        <f>IFERROR(SUMIFS('BM MORRO DA CRUZ - VERTICAL'!AX$6:AX$546,'BM MORRO DA CRUZ - VERTICAL'!$O$6:$O$546,'BM MORRO DA CRUZ'!$K120),0)</f>
        <v>0</v>
      </c>
      <c r="AU120" s="63">
        <f t="shared" si="84"/>
        <v>0</v>
      </c>
      <c r="AV120" s="61">
        <f>IFERROR(SUMIFS('BM MORRO DA CRUZ - VERTICAL'!AZ$6:AZ$546,'BM MORRO DA CRUZ - VERTICAL'!$O$6:$O$546,'BM MORRO DA CRUZ'!$K120),0)</f>
        <v>0</v>
      </c>
      <c r="AW120" s="63">
        <f t="shared" si="85"/>
        <v>0</v>
      </c>
      <c r="AX120" s="61">
        <f>IFERROR(SUMIFS('BM MORRO DA CRUZ - VERTICAL'!BB$6:BB$546,'BM MORRO DA CRUZ - VERTICAL'!$O$6:$O$546,'BM MORRO DA CRUZ'!$K120),0)</f>
        <v>0</v>
      </c>
      <c r="AY120" s="63">
        <f t="shared" si="86"/>
        <v>0</v>
      </c>
      <c r="AZ120" s="61">
        <f>IFERROR(SUMIFS('BM MORRO DA CRUZ - VERTICAL'!BD$6:BD$546,'BM MORRO DA CRUZ - VERTICAL'!$O$6:$O$546,'BM MORRO DA CRUZ'!$K120),0)</f>
        <v>0</v>
      </c>
      <c r="BA120" s="63">
        <f t="shared" si="87"/>
        <v>0</v>
      </c>
      <c r="BB120" s="61">
        <f t="shared" si="88"/>
        <v>0</v>
      </c>
      <c r="BC120" s="63">
        <f t="shared" si="89"/>
        <v>0</v>
      </c>
      <c r="BD120" s="64">
        <f t="shared" si="90"/>
        <v>0</v>
      </c>
      <c r="BE120" s="65">
        <f t="shared" si="91"/>
        <v>1</v>
      </c>
      <c r="BF120" s="45"/>
    </row>
    <row r="121" spans="1:58" ht="26.25" customHeight="1" x14ac:dyDescent="0.45">
      <c r="A121" s="56" t="s">
        <v>487</v>
      </c>
      <c r="B121" s="506" t="s">
        <v>471</v>
      </c>
      <c r="C121" s="507" t="s">
        <v>111</v>
      </c>
      <c r="D121" s="507" t="s">
        <v>224</v>
      </c>
      <c r="E121" s="507" t="s">
        <v>458</v>
      </c>
      <c r="F121" s="507" t="s">
        <v>273</v>
      </c>
      <c r="G121" s="507">
        <v>355</v>
      </c>
      <c r="H121" s="508" t="s">
        <v>267</v>
      </c>
      <c r="I121" s="507" t="s">
        <v>114</v>
      </c>
      <c r="J121" s="508" t="s">
        <v>267</v>
      </c>
      <c r="K121" s="57" t="s">
        <v>488</v>
      </c>
      <c r="L121" s="58" t="s">
        <v>21</v>
      </c>
      <c r="M121" s="59" t="s">
        <v>489</v>
      </c>
      <c r="N121" s="60" t="s">
        <v>71</v>
      </c>
      <c r="O121" s="61">
        <v>2</v>
      </c>
      <c r="P121" s="62">
        <v>2904.73</v>
      </c>
      <c r="Q121" s="63">
        <f t="shared" si="69"/>
        <v>5809.46</v>
      </c>
      <c r="R121" s="61">
        <f>IFERROR(SUMIFS('BM MORRO DA CRUZ - VERTICAL'!V$6:V$546,'BM MORRO DA CRUZ - VERTICAL'!$O$6:$O$546,'BM MORRO DA CRUZ'!$K121),0)</f>
        <v>0</v>
      </c>
      <c r="S121" s="63">
        <f t="shared" si="70"/>
        <v>0</v>
      </c>
      <c r="T121" s="61">
        <f>IFERROR(SUMIFS('BM MORRO DA CRUZ - VERTICAL'!X$6:X$546,'BM MORRO DA CRUZ - VERTICAL'!$O$6:$O$546,'BM MORRO DA CRUZ'!$K121),0)</f>
        <v>0</v>
      </c>
      <c r="U121" s="63">
        <f t="shared" si="71"/>
        <v>0</v>
      </c>
      <c r="V121" s="61">
        <f>IFERROR(SUMIFS('BM MORRO DA CRUZ - VERTICAL'!Z$6:Z$546,'BM MORRO DA CRUZ - VERTICAL'!$O$6:$O$546,'BM MORRO DA CRUZ'!$K121),0)</f>
        <v>0</v>
      </c>
      <c r="W121" s="63">
        <f t="shared" si="72"/>
        <v>0</v>
      </c>
      <c r="X121" s="61">
        <f>IFERROR(SUMIFS('BM MORRO DA CRUZ - VERTICAL'!AB$6:AB$546,'BM MORRO DA CRUZ - VERTICAL'!$O$6:$O$546,'BM MORRO DA CRUZ'!$K121),0)</f>
        <v>0</v>
      </c>
      <c r="Y121" s="63">
        <f t="shared" si="73"/>
        <v>0</v>
      </c>
      <c r="Z121" s="61">
        <f>IFERROR(SUMIFS('BM MORRO DA CRUZ - VERTICAL'!AD$6:AD$546,'BM MORRO DA CRUZ - VERTICAL'!$O$6:$O$546,'BM MORRO DA CRUZ'!$K121),0)</f>
        <v>0</v>
      </c>
      <c r="AA121" s="63">
        <f t="shared" si="74"/>
        <v>0</v>
      </c>
      <c r="AB121" s="61">
        <f>IFERROR(SUMIFS('BM MORRO DA CRUZ - VERTICAL'!AF$6:AF$546,'BM MORRO DA CRUZ - VERTICAL'!$O$6:$O$546,'BM MORRO DA CRUZ'!$K121),0)</f>
        <v>0</v>
      </c>
      <c r="AC121" s="63">
        <f t="shared" si="75"/>
        <v>0</v>
      </c>
      <c r="AD121" s="61">
        <f>IFERROR(SUMIFS('BM MORRO DA CRUZ - VERTICAL'!AH$6:AH$546,'BM MORRO DA CRUZ - VERTICAL'!$O$6:$O$546,'BM MORRO DA CRUZ'!$K121),0)</f>
        <v>0</v>
      </c>
      <c r="AE121" s="63">
        <f t="shared" si="76"/>
        <v>0</v>
      </c>
      <c r="AF121" s="61">
        <f>IFERROR(SUMIFS('BM MORRO DA CRUZ - VERTICAL'!AJ$6:AJ$546,'BM MORRO DA CRUZ - VERTICAL'!$O$6:$O$546,'BM MORRO DA CRUZ'!$K121),0)</f>
        <v>0</v>
      </c>
      <c r="AG121" s="63">
        <f t="shared" si="77"/>
        <v>0</v>
      </c>
      <c r="AH121" s="61">
        <f>IFERROR(SUMIFS('BM MORRO DA CRUZ - VERTICAL'!AL$6:AL$546,'BM MORRO DA CRUZ - VERTICAL'!$O$6:$O$546,'BM MORRO DA CRUZ'!$K121),0)</f>
        <v>0</v>
      </c>
      <c r="AI121" s="63">
        <f t="shared" si="78"/>
        <v>0</v>
      </c>
      <c r="AJ121" s="61">
        <f>IFERROR(SUMIFS('BM MORRO DA CRUZ - VERTICAL'!AN$6:AN$546,'BM MORRO DA CRUZ - VERTICAL'!$O$6:$O$546,'BM MORRO DA CRUZ'!$K121),0)</f>
        <v>0</v>
      </c>
      <c r="AK121" s="63">
        <f t="shared" si="79"/>
        <v>0</v>
      </c>
      <c r="AL121" s="61">
        <f>IFERROR(SUMIFS('BM MORRO DA CRUZ - VERTICAL'!AP$6:AP$546,'BM MORRO DA CRUZ - VERTICAL'!$O$6:$O$546,'BM MORRO DA CRUZ'!$K121),0)</f>
        <v>0</v>
      </c>
      <c r="AM121" s="63">
        <f t="shared" si="80"/>
        <v>0</v>
      </c>
      <c r="AN121" s="61">
        <f>IFERROR(SUMIFS('BM MORRO DA CRUZ - VERTICAL'!AR$6:AR$546,'BM MORRO DA CRUZ - VERTICAL'!$O$6:$O$546,'BM MORRO DA CRUZ'!$K121),0)</f>
        <v>0</v>
      </c>
      <c r="AO121" s="63">
        <f t="shared" si="81"/>
        <v>0</v>
      </c>
      <c r="AP121" s="61">
        <f>IFERROR(SUMIFS('BM MORRO DA CRUZ - VERTICAL'!AT$6:AT$546,'BM MORRO DA CRUZ - VERTICAL'!$O$6:$O$546,'BM MORRO DA CRUZ'!$K121),0)</f>
        <v>0</v>
      </c>
      <c r="AQ121" s="63">
        <f t="shared" si="82"/>
        <v>0</v>
      </c>
      <c r="AR121" s="61">
        <f>IFERROR(SUMIFS('BM MORRO DA CRUZ - VERTICAL'!AV$6:AV$546,'BM MORRO DA CRUZ - VERTICAL'!$O$6:$O$546,'BM MORRO DA CRUZ'!$K121),0)</f>
        <v>0</v>
      </c>
      <c r="AS121" s="63">
        <f t="shared" si="83"/>
        <v>0</v>
      </c>
      <c r="AT121" s="61">
        <f>IFERROR(SUMIFS('BM MORRO DA CRUZ - VERTICAL'!AX$6:AX$546,'BM MORRO DA CRUZ - VERTICAL'!$O$6:$O$546,'BM MORRO DA CRUZ'!$K121),0)</f>
        <v>0</v>
      </c>
      <c r="AU121" s="63">
        <f t="shared" si="84"/>
        <v>0</v>
      </c>
      <c r="AV121" s="61">
        <f>IFERROR(SUMIFS('BM MORRO DA CRUZ - VERTICAL'!AZ$6:AZ$546,'BM MORRO DA CRUZ - VERTICAL'!$O$6:$O$546,'BM MORRO DA CRUZ'!$K121),0)</f>
        <v>0</v>
      </c>
      <c r="AW121" s="63">
        <f t="shared" si="85"/>
        <v>0</v>
      </c>
      <c r="AX121" s="61">
        <f>IFERROR(SUMIFS('BM MORRO DA CRUZ - VERTICAL'!BB$6:BB$546,'BM MORRO DA CRUZ - VERTICAL'!$O$6:$O$546,'BM MORRO DA CRUZ'!$K121),0)</f>
        <v>0</v>
      </c>
      <c r="AY121" s="63">
        <f t="shared" si="86"/>
        <v>0</v>
      </c>
      <c r="AZ121" s="61">
        <f>IFERROR(SUMIFS('BM MORRO DA CRUZ - VERTICAL'!BD$6:BD$546,'BM MORRO DA CRUZ - VERTICAL'!$O$6:$O$546,'BM MORRO DA CRUZ'!$K121),0)</f>
        <v>0</v>
      </c>
      <c r="BA121" s="63">
        <f t="shared" si="87"/>
        <v>0</v>
      </c>
      <c r="BB121" s="61">
        <f t="shared" si="88"/>
        <v>0</v>
      </c>
      <c r="BC121" s="63">
        <f t="shared" si="89"/>
        <v>0</v>
      </c>
      <c r="BD121" s="64">
        <f t="shared" si="90"/>
        <v>0</v>
      </c>
      <c r="BE121" s="65">
        <f t="shared" si="91"/>
        <v>1</v>
      </c>
      <c r="BF121" s="45"/>
    </row>
    <row r="122" spans="1:58" ht="26.25" customHeight="1" x14ac:dyDescent="0.45">
      <c r="A122" s="56" t="s">
        <v>490</v>
      </c>
      <c r="B122" s="506" t="s">
        <v>471</v>
      </c>
      <c r="C122" s="507" t="s">
        <v>111</v>
      </c>
      <c r="D122" s="507" t="s">
        <v>224</v>
      </c>
      <c r="E122" s="507" t="s">
        <v>458</v>
      </c>
      <c r="F122" s="507" t="s">
        <v>273</v>
      </c>
      <c r="G122" s="507">
        <v>500</v>
      </c>
      <c r="H122" s="508" t="s">
        <v>267</v>
      </c>
      <c r="I122" s="507" t="s">
        <v>114</v>
      </c>
      <c r="J122" s="508" t="s">
        <v>267</v>
      </c>
      <c r="K122" s="57" t="s">
        <v>491</v>
      </c>
      <c r="L122" s="58" t="s">
        <v>21</v>
      </c>
      <c r="M122" s="59" t="s">
        <v>492</v>
      </c>
      <c r="N122" s="60" t="s">
        <v>71</v>
      </c>
      <c r="O122" s="61">
        <v>2</v>
      </c>
      <c r="P122" s="62">
        <v>5875.06</v>
      </c>
      <c r="Q122" s="63">
        <f t="shared" si="69"/>
        <v>11750.12</v>
      </c>
      <c r="R122" s="61">
        <f>IFERROR(SUMIFS('BM MORRO DA CRUZ - VERTICAL'!V$6:V$546,'BM MORRO DA CRUZ - VERTICAL'!$O$6:$O$546,'BM MORRO DA CRUZ'!$K122),0)</f>
        <v>0</v>
      </c>
      <c r="S122" s="63">
        <f t="shared" si="70"/>
        <v>0</v>
      </c>
      <c r="T122" s="61">
        <f>IFERROR(SUMIFS('BM MORRO DA CRUZ - VERTICAL'!X$6:X$546,'BM MORRO DA CRUZ - VERTICAL'!$O$6:$O$546,'BM MORRO DA CRUZ'!$K122),0)</f>
        <v>0</v>
      </c>
      <c r="U122" s="63">
        <f t="shared" si="71"/>
        <v>0</v>
      </c>
      <c r="V122" s="61">
        <f>IFERROR(SUMIFS('BM MORRO DA CRUZ - VERTICAL'!Z$6:Z$546,'BM MORRO DA CRUZ - VERTICAL'!$O$6:$O$546,'BM MORRO DA CRUZ'!$K122),0)</f>
        <v>0</v>
      </c>
      <c r="W122" s="63">
        <f t="shared" si="72"/>
        <v>0</v>
      </c>
      <c r="X122" s="61">
        <f>IFERROR(SUMIFS('BM MORRO DA CRUZ - VERTICAL'!AB$6:AB$546,'BM MORRO DA CRUZ - VERTICAL'!$O$6:$O$546,'BM MORRO DA CRUZ'!$K122),0)</f>
        <v>0</v>
      </c>
      <c r="Y122" s="63">
        <f t="shared" si="73"/>
        <v>0</v>
      </c>
      <c r="Z122" s="61">
        <f>IFERROR(SUMIFS('BM MORRO DA CRUZ - VERTICAL'!AD$6:AD$546,'BM MORRO DA CRUZ - VERTICAL'!$O$6:$O$546,'BM MORRO DA CRUZ'!$K122),0)</f>
        <v>0</v>
      </c>
      <c r="AA122" s="63">
        <f t="shared" si="74"/>
        <v>0</v>
      </c>
      <c r="AB122" s="61">
        <f>IFERROR(SUMIFS('BM MORRO DA CRUZ - VERTICAL'!AF$6:AF$546,'BM MORRO DA CRUZ - VERTICAL'!$O$6:$O$546,'BM MORRO DA CRUZ'!$K122),0)</f>
        <v>0</v>
      </c>
      <c r="AC122" s="63">
        <f t="shared" si="75"/>
        <v>0</v>
      </c>
      <c r="AD122" s="61">
        <f>IFERROR(SUMIFS('BM MORRO DA CRUZ - VERTICAL'!AH$6:AH$546,'BM MORRO DA CRUZ - VERTICAL'!$O$6:$O$546,'BM MORRO DA CRUZ'!$K122),0)</f>
        <v>0</v>
      </c>
      <c r="AE122" s="63">
        <f t="shared" si="76"/>
        <v>0</v>
      </c>
      <c r="AF122" s="61">
        <f>IFERROR(SUMIFS('BM MORRO DA CRUZ - VERTICAL'!AJ$6:AJ$546,'BM MORRO DA CRUZ - VERTICAL'!$O$6:$O$546,'BM MORRO DA CRUZ'!$K122),0)</f>
        <v>0</v>
      </c>
      <c r="AG122" s="63">
        <f t="shared" si="77"/>
        <v>0</v>
      </c>
      <c r="AH122" s="61">
        <f>IFERROR(SUMIFS('BM MORRO DA CRUZ - VERTICAL'!AL$6:AL$546,'BM MORRO DA CRUZ - VERTICAL'!$O$6:$O$546,'BM MORRO DA CRUZ'!$K122),0)</f>
        <v>0</v>
      </c>
      <c r="AI122" s="63">
        <f t="shared" si="78"/>
        <v>0</v>
      </c>
      <c r="AJ122" s="61">
        <f>IFERROR(SUMIFS('BM MORRO DA CRUZ - VERTICAL'!AN$6:AN$546,'BM MORRO DA CRUZ - VERTICAL'!$O$6:$O$546,'BM MORRO DA CRUZ'!$K122),0)</f>
        <v>0</v>
      </c>
      <c r="AK122" s="63">
        <f t="shared" si="79"/>
        <v>0</v>
      </c>
      <c r="AL122" s="61">
        <f>IFERROR(SUMIFS('BM MORRO DA CRUZ - VERTICAL'!AP$6:AP$546,'BM MORRO DA CRUZ - VERTICAL'!$O$6:$O$546,'BM MORRO DA CRUZ'!$K122),0)</f>
        <v>0</v>
      </c>
      <c r="AM122" s="63">
        <f t="shared" si="80"/>
        <v>0</v>
      </c>
      <c r="AN122" s="61">
        <f>IFERROR(SUMIFS('BM MORRO DA CRUZ - VERTICAL'!AR$6:AR$546,'BM MORRO DA CRUZ - VERTICAL'!$O$6:$O$546,'BM MORRO DA CRUZ'!$K122),0)</f>
        <v>0</v>
      </c>
      <c r="AO122" s="63">
        <f t="shared" si="81"/>
        <v>0</v>
      </c>
      <c r="AP122" s="61">
        <f>IFERROR(SUMIFS('BM MORRO DA CRUZ - VERTICAL'!AT$6:AT$546,'BM MORRO DA CRUZ - VERTICAL'!$O$6:$O$546,'BM MORRO DA CRUZ'!$K122),0)</f>
        <v>0</v>
      </c>
      <c r="AQ122" s="63">
        <f t="shared" si="82"/>
        <v>0</v>
      </c>
      <c r="AR122" s="61">
        <f>IFERROR(SUMIFS('BM MORRO DA CRUZ - VERTICAL'!AV$6:AV$546,'BM MORRO DA CRUZ - VERTICAL'!$O$6:$O$546,'BM MORRO DA CRUZ'!$K122),0)</f>
        <v>0</v>
      </c>
      <c r="AS122" s="63">
        <f t="shared" si="83"/>
        <v>0</v>
      </c>
      <c r="AT122" s="61">
        <f>IFERROR(SUMIFS('BM MORRO DA CRUZ - VERTICAL'!AX$6:AX$546,'BM MORRO DA CRUZ - VERTICAL'!$O$6:$O$546,'BM MORRO DA CRUZ'!$K122),0)</f>
        <v>0</v>
      </c>
      <c r="AU122" s="63">
        <f t="shared" si="84"/>
        <v>0</v>
      </c>
      <c r="AV122" s="61">
        <f>IFERROR(SUMIFS('BM MORRO DA CRUZ - VERTICAL'!AZ$6:AZ$546,'BM MORRO DA CRUZ - VERTICAL'!$O$6:$O$546,'BM MORRO DA CRUZ'!$K122),0)</f>
        <v>0</v>
      </c>
      <c r="AW122" s="63">
        <f t="shared" si="85"/>
        <v>0</v>
      </c>
      <c r="AX122" s="61">
        <f>IFERROR(SUMIFS('BM MORRO DA CRUZ - VERTICAL'!BB$6:BB$546,'BM MORRO DA CRUZ - VERTICAL'!$O$6:$O$546,'BM MORRO DA CRUZ'!$K122),0)</f>
        <v>0</v>
      </c>
      <c r="AY122" s="63">
        <f t="shared" si="86"/>
        <v>0</v>
      </c>
      <c r="AZ122" s="61">
        <f>IFERROR(SUMIFS('BM MORRO DA CRUZ - VERTICAL'!BD$6:BD$546,'BM MORRO DA CRUZ - VERTICAL'!$O$6:$O$546,'BM MORRO DA CRUZ'!$K122),0)</f>
        <v>0</v>
      </c>
      <c r="BA122" s="63">
        <f t="shared" si="87"/>
        <v>0</v>
      </c>
      <c r="BB122" s="61">
        <f t="shared" si="88"/>
        <v>0</v>
      </c>
      <c r="BC122" s="63">
        <f t="shared" si="89"/>
        <v>0</v>
      </c>
      <c r="BD122" s="64">
        <f t="shared" si="90"/>
        <v>0</v>
      </c>
      <c r="BE122" s="65">
        <f t="shared" si="91"/>
        <v>1</v>
      </c>
      <c r="BF122" s="45"/>
    </row>
    <row r="123" spans="1:58" ht="26.25" customHeight="1" x14ac:dyDescent="0.45">
      <c r="A123" s="56" t="s">
        <v>493</v>
      </c>
      <c r="B123" s="506" t="s">
        <v>471</v>
      </c>
      <c r="C123" s="507" t="s">
        <v>111</v>
      </c>
      <c r="D123" s="507" t="s">
        <v>224</v>
      </c>
      <c r="E123" s="507" t="s">
        <v>458</v>
      </c>
      <c r="F123" s="507" t="s">
        <v>273</v>
      </c>
      <c r="G123" s="507">
        <v>160</v>
      </c>
      <c r="H123" s="508" t="s">
        <v>267</v>
      </c>
      <c r="I123" s="507" t="s">
        <v>114</v>
      </c>
      <c r="J123" s="508" t="s">
        <v>267</v>
      </c>
      <c r="K123" s="57" t="s">
        <v>494</v>
      </c>
      <c r="L123" s="58" t="s">
        <v>21</v>
      </c>
      <c r="M123" s="59" t="s">
        <v>495</v>
      </c>
      <c r="N123" s="60" t="s">
        <v>71</v>
      </c>
      <c r="O123" s="61">
        <v>110</v>
      </c>
      <c r="P123" s="62">
        <v>515.65</v>
      </c>
      <c r="Q123" s="63">
        <f t="shared" si="69"/>
        <v>56721.5</v>
      </c>
      <c r="R123" s="61">
        <f>IFERROR(SUMIFS('BM MORRO DA CRUZ - VERTICAL'!V$6:V$546,'BM MORRO DA CRUZ - VERTICAL'!$O$6:$O$546,'BM MORRO DA CRUZ'!$K123),0)</f>
        <v>0</v>
      </c>
      <c r="S123" s="63">
        <f t="shared" si="70"/>
        <v>0</v>
      </c>
      <c r="T123" s="61">
        <f>IFERROR(SUMIFS('BM MORRO DA CRUZ - VERTICAL'!X$6:X$546,'BM MORRO DA CRUZ - VERTICAL'!$O$6:$O$546,'BM MORRO DA CRUZ'!$K123),0)</f>
        <v>0</v>
      </c>
      <c r="U123" s="63">
        <f t="shared" si="71"/>
        <v>0</v>
      </c>
      <c r="V123" s="61">
        <f>IFERROR(SUMIFS('BM MORRO DA CRUZ - VERTICAL'!Z$6:Z$546,'BM MORRO DA CRUZ - VERTICAL'!$O$6:$O$546,'BM MORRO DA CRUZ'!$K123),0)</f>
        <v>0</v>
      </c>
      <c r="W123" s="63">
        <f t="shared" si="72"/>
        <v>0</v>
      </c>
      <c r="X123" s="61">
        <f>IFERROR(SUMIFS('BM MORRO DA CRUZ - VERTICAL'!AB$6:AB$546,'BM MORRO DA CRUZ - VERTICAL'!$O$6:$O$546,'BM MORRO DA CRUZ'!$K123),0)</f>
        <v>0</v>
      </c>
      <c r="Y123" s="63">
        <f t="shared" si="73"/>
        <v>0</v>
      </c>
      <c r="Z123" s="61">
        <f>IFERROR(SUMIFS('BM MORRO DA CRUZ - VERTICAL'!AD$6:AD$546,'BM MORRO DA CRUZ - VERTICAL'!$O$6:$O$546,'BM MORRO DA CRUZ'!$K123),0)</f>
        <v>0</v>
      </c>
      <c r="AA123" s="63">
        <f t="shared" si="74"/>
        <v>0</v>
      </c>
      <c r="AB123" s="61">
        <f>IFERROR(SUMIFS('BM MORRO DA CRUZ - VERTICAL'!AF$6:AF$546,'BM MORRO DA CRUZ - VERTICAL'!$O$6:$O$546,'BM MORRO DA CRUZ'!$K123),0)</f>
        <v>0</v>
      </c>
      <c r="AC123" s="63">
        <f t="shared" si="75"/>
        <v>0</v>
      </c>
      <c r="AD123" s="61">
        <f>IFERROR(SUMIFS('BM MORRO DA CRUZ - VERTICAL'!AH$6:AH$546,'BM MORRO DA CRUZ - VERTICAL'!$O$6:$O$546,'BM MORRO DA CRUZ'!$K123),0)</f>
        <v>0</v>
      </c>
      <c r="AE123" s="63">
        <f t="shared" si="76"/>
        <v>0</v>
      </c>
      <c r="AF123" s="61">
        <f>IFERROR(SUMIFS('BM MORRO DA CRUZ - VERTICAL'!AJ$6:AJ$546,'BM MORRO DA CRUZ - VERTICAL'!$O$6:$O$546,'BM MORRO DA CRUZ'!$K123),0)</f>
        <v>0</v>
      </c>
      <c r="AG123" s="63">
        <f t="shared" si="77"/>
        <v>0</v>
      </c>
      <c r="AH123" s="61">
        <f>IFERROR(SUMIFS('BM MORRO DA CRUZ - VERTICAL'!AL$6:AL$546,'BM MORRO DA CRUZ - VERTICAL'!$O$6:$O$546,'BM MORRO DA CRUZ'!$K123),0)</f>
        <v>0</v>
      </c>
      <c r="AI123" s="63">
        <f t="shared" si="78"/>
        <v>0</v>
      </c>
      <c r="AJ123" s="61">
        <f>IFERROR(SUMIFS('BM MORRO DA CRUZ - VERTICAL'!AN$6:AN$546,'BM MORRO DA CRUZ - VERTICAL'!$O$6:$O$546,'BM MORRO DA CRUZ'!$K123),0)</f>
        <v>0</v>
      </c>
      <c r="AK123" s="63">
        <f t="shared" si="79"/>
        <v>0</v>
      </c>
      <c r="AL123" s="61">
        <f>IFERROR(SUMIFS('BM MORRO DA CRUZ - VERTICAL'!AP$6:AP$546,'BM MORRO DA CRUZ - VERTICAL'!$O$6:$O$546,'BM MORRO DA CRUZ'!$K123),0)</f>
        <v>0</v>
      </c>
      <c r="AM123" s="63">
        <f t="shared" si="80"/>
        <v>0</v>
      </c>
      <c r="AN123" s="61">
        <f>IFERROR(SUMIFS('BM MORRO DA CRUZ - VERTICAL'!AR$6:AR$546,'BM MORRO DA CRUZ - VERTICAL'!$O$6:$O$546,'BM MORRO DA CRUZ'!$K123),0)</f>
        <v>0</v>
      </c>
      <c r="AO123" s="63">
        <f t="shared" si="81"/>
        <v>0</v>
      </c>
      <c r="AP123" s="61">
        <f>IFERROR(SUMIFS('BM MORRO DA CRUZ - VERTICAL'!AT$6:AT$546,'BM MORRO DA CRUZ - VERTICAL'!$O$6:$O$546,'BM MORRO DA CRUZ'!$K123),0)</f>
        <v>0</v>
      </c>
      <c r="AQ123" s="63">
        <f t="shared" si="82"/>
        <v>0</v>
      </c>
      <c r="AR123" s="61">
        <f>IFERROR(SUMIFS('BM MORRO DA CRUZ - VERTICAL'!AV$6:AV$546,'BM MORRO DA CRUZ - VERTICAL'!$O$6:$O$546,'BM MORRO DA CRUZ'!$K123),0)</f>
        <v>0</v>
      </c>
      <c r="AS123" s="63">
        <f t="shared" si="83"/>
        <v>0</v>
      </c>
      <c r="AT123" s="61">
        <f>IFERROR(SUMIFS('BM MORRO DA CRUZ - VERTICAL'!AX$6:AX$546,'BM MORRO DA CRUZ - VERTICAL'!$O$6:$O$546,'BM MORRO DA CRUZ'!$K123),0)</f>
        <v>0</v>
      </c>
      <c r="AU123" s="63">
        <f t="shared" si="84"/>
        <v>0</v>
      </c>
      <c r="AV123" s="61">
        <f>IFERROR(SUMIFS('BM MORRO DA CRUZ - VERTICAL'!AZ$6:AZ$546,'BM MORRO DA CRUZ - VERTICAL'!$O$6:$O$546,'BM MORRO DA CRUZ'!$K123),0)</f>
        <v>0</v>
      </c>
      <c r="AW123" s="63">
        <f t="shared" si="85"/>
        <v>0</v>
      </c>
      <c r="AX123" s="61">
        <f>IFERROR(SUMIFS('BM MORRO DA CRUZ - VERTICAL'!BB$6:BB$546,'BM MORRO DA CRUZ - VERTICAL'!$O$6:$O$546,'BM MORRO DA CRUZ'!$K123),0)</f>
        <v>0</v>
      </c>
      <c r="AY123" s="63">
        <f t="shared" si="86"/>
        <v>0</v>
      </c>
      <c r="AZ123" s="61">
        <f>IFERROR(SUMIFS('BM MORRO DA CRUZ - VERTICAL'!BD$6:BD$546,'BM MORRO DA CRUZ - VERTICAL'!$O$6:$O$546,'BM MORRO DA CRUZ'!$K123),0)</f>
        <v>0</v>
      </c>
      <c r="BA123" s="63">
        <f t="shared" si="87"/>
        <v>0</v>
      </c>
      <c r="BB123" s="61">
        <f t="shared" si="88"/>
        <v>0</v>
      </c>
      <c r="BC123" s="63">
        <f t="shared" si="89"/>
        <v>0</v>
      </c>
      <c r="BD123" s="64">
        <f t="shared" si="90"/>
        <v>0</v>
      </c>
      <c r="BE123" s="65">
        <f t="shared" si="91"/>
        <v>1</v>
      </c>
      <c r="BF123" s="45"/>
    </row>
    <row r="124" spans="1:58" ht="38.25" customHeight="1" x14ac:dyDescent="0.45">
      <c r="A124" s="56" t="s">
        <v>496</v>
      </c>
      <c r="B124" s="506" t="s">
        <v>497</v>
      </c>
      <c r="C124" s="507" t="s">
        <v>111</v>
      </c>
      <c r="D124" s="507" t="s">
        <v>224</v>
      </c>
      <c r="E124" s="507" t="s">
        <v>498</v>
      </c>
      <c r="F124" s="507" t="s">
        <v>273</v>
      </c>
      <c r="G124" s="507" t="s">
        <v>441</v>
      </c>
      <c r="H124" s="508" t="s">
        <v>267</v>
      </c>
      <c r="I124" s="507" t="s">
        <v>114</v>
      </c>
      <c r="J124" s="508" t="s">
        <v>267</v>
      </c>
      <c r="K124" s="57" t="s">
        <v>499</v>
      </c>
      <c r="L124" s="58" t="s">
        <v>21</v>
      </c>
      <c r="M124" s="59" t="s">
        <v>500</v>
      </c>
      <c r="N124" s="60" t="s">
        <v>71</v>
      </c>
      <c r="O124" s="61">
        <v>2</v>
      </c>
      <c r="P124" s="62">
        <v>1342.67</v>
      </c>
      <c r="Q124" s="63">
        <f t="shared" ref="Q124:Q136" si="92">ROUND(P124*$O124,2)</f>
        <v>2685.34</v>
      </c>
      <c r="R124" s="61">
        <f>IFERROR(SUMIFS('BM MORRO DA CRUZ - VERTICAL'!V$6:V$546,'BM MORRO DA CRUZ - VERTICAL'!$O$6:$O$546,'BM MORRO DA CRUZ'!$K124),0)</f>
        <v>0</v>
      </c>
      <c r="S124" s="63">
        <f t="shared" ref="S124:S136" si="93">ROUND(R124*$P124,2)</f>
        <v>0</v>
      </c>
      <c r="T124" s="61">
        <f>IFERROR(SUMIFS('BM MORRO DA CRUZ - VERTICAL'!X$6:X$546,'BM MORRO DA CRUZ - VERTICAL'!$O$6:$O$546,'BM MORRO DA CRUZ'!$K124),0)</f>
        <v>0</v>
      </c>
      <c r="U124" s="63">
        <f t="shared" ref="U124:U136" si="94">ROUND(T124*$P124,2)</f>
        <v>0</v>
      </c>
      <c r="V124" s="61">
        <f>IFERROR(SUMIFS('BM MORRO DA CRUZ - VERTICAL'!Z$6:Z$546,'BM MORRO DA CRUZ - VERTICAL'!$O$6:$O$546,'BM MORRO DA CRUZ'!$K124),0)</f>
        <v>0</v>
      </c>
      <c r="W124" s="63">
        <f t="shared" ref="W124:W136" si="95">ROUND(V124*$P124,2)</f>
        <v>0</v>
      </c>
      <c r="X124" s="61">
        <f>IFERROR(SUMIFS('BM MORRO DA CRUZ - VERTICAL'!AB$6:AB$546,'BM MORRO DA CRUZ - VERTICAL'!$O$6:$O$546,'BM MORRO DA CRUZ'!$K124),0)</f>
        <v>0</v>
      </c>
      <c r="Y124" s="63">
        <f t="shared" ref="Y124:Y136" si="96">ROUND(X124*$P124,2)</f>
        <v>0</v>
      </c>
      <c r="Z124" s="61">
        <f>IFERROR(SUMIFS('BM MORRO DA CRUZ - VERTICAL'!AD$6:AD$546,'BM MORRO DA CRUZ - VERTICAL'!$O$6:$O$546,'BM MORRO DA CRUZ'!$K124),0)</f>
        <v>0</v>
      </c>
      <c r="AA124" s="63">
        <f t="shared" ref="AA124:AA136" si="97">ROUND(Z124*$P124,2)</f>
        <v>0</v>
      </c>
      <c r="AB124" s="61">
        <f>IFERROR(SUMIFS('BM MORRO DA CRUZ - VERTICAL'!AF$6:AF$546,'BM MORRO DA CRUZ - VERTICAL'!$O$6:$O$546,'BM MORRO DA CRUZ'!$K124),0)</f>
        <v>0</v>
      </c>
      <c r="AC124" s="63">
        <f t="shared" ref="AC124:AC136" si="98">ROUND(AB124*$P124,2)</f>
        <v>0</v>
      </c>
      <c r="AD124" s="61">
        <f>IFERROR(SUMIFS('BM MORRO DA CRUZ - VERTICAL'!AH$6:AH$546,'BM MORRO DA CRUZ - VERTICAL'!$O$6:$O$546,'BM MORRO DA CRUZ'!$K124),0)</f>
        <v>0</v>
      </c>
      <c r="AE124" s="63">
        <f t="shared" ref="AE124:AE136" si="99">ROUND(AD124*$P124,2)</f>
        <v>0</v>
      </c>
      <c r="AF124" s="61">
        <f>IFERROR(SUMIFS('BM MORRO DA CRUZ - VERTICAL'!AJ$6:AJ$546,'BM MORRO DA CRUZ - VERTICAL'!$O$6:$O$546,'BM MORRO DA CRUZ'!$K124),0)</f>
        <v>0</v>
      </c>
      <c r="AG124" s="63">
        <f t="shared" ref="AG124:AG136" si="100">ROUND(AF124*$P124,2)</f>
        <v>0</v>
      </c>
      <c r="AH124" s="61">
        <f>IFERROR(SUMIFS('BM MORRO DA CRUZ - VERTICAL'!AL$6:AL$546,'BM MORRO DA CRUZ - VERTICAL'!$O$6:$O$546,'BM MORRO DA CRUZ'!$K124),0)</f>
        <v>0</v>
      </c>
      <c r="AI124" s="63">
        <f t="shared" ref="AI124:AI136" si="101">ROUND(AH124*$P124,2)</f>
        <v>0</v>
      </c>
      <c r="AJ124" s="61">
        <f>IFERROR(SUMIFS('BM MORRO DA CRUZ - VERTICAL'!AN$6:AN$546,'BM MORRO DA CRUZ - VERTICAL'!$O$6:$O$546,'BM MORRO DA CRUZ'!$K124),0)</f>
        <v>0</v>
      </c>
      <c r="AK124" s="63">
        <f t="shared" ref="AK124:AK136" si="102">ROUND(AJ124*$P124,2)</f>
        <v>0</v>
      </c>
      <c r="AL124" s="61">
        <f>IFERROR(SUMIFS('BM MORRO DA CRUZ - VERTICAL'!AP$6:AP$546,'BM MORRO DA CRUZ - VERTICAL'!$O$6:$O$546,'BM MORRO DA CRUZ'!$K124),0)</f>
        <v>0</v>
      </c>
      <c r="AM124" s="63">
        <f t="shared" ref="AM124:AM136" si="103">ROUND(AL124*$P124,2)</f>
        <v>0</v>
      </c>
      <c r="AN124" s="61">
        <f>IFERROR(SUMIFS('BM MORRO DA CRUZ - VERTICAL'!AR$6:AR$546,'BM MORRO DA CRUZ - VERTICAL'!$O$6:$O$546,'BM MORRO DA CRUZ'!$K124),0)</f>
        <v>0</v>
      </c>
      <c r="AO124" s="63">
        <f t="shared" ref="AO124:AO136" si="104">ROUND(AN124*$P124,2)</f>
        <v>0</v>
      </c>
      <c r="AP124" s="61">
        <f>IFERROR(SUMIFS('BM MORRO DA CRUZ - VERTICAL'!AT$6:AT$546,'BM MORRO DA CRUZ - VERTICAL'!$O$6:$O$546,'BM MORRO DA CRUZ'!$K124),0)</f>
        <v>0</v>
      </c>
      <c r="AQ124" s="63">
        <f t="shared" ref="AQ124:AQ136" si="105">ROUND(AP124*$P124,2)</f>
        <v>0</v>
      </c>
      <c r="AR124" s="61">
        <f>IFERROR(SUMIFS('BM MORRO DA CRUZ - VERTICAL'!AV$6:AV$546,'BM MORRO DA CRUZ - VERTICAL'!$O$6:$O$546,'BM MORRO DA CRUZ'!$K124),0)</f>
        <v>0</v>
      </c>
      <c r="AS124" s="63">
        <f t="shared" ref="AS124:AS136" si="106">ROUND(AR124*$P124,2)</f>
        <v>0</v>
      </c>
      <c r="AT124" s="61">
        <f>IFERROR(SUMIFS('BM MORRO DA CRUZ - VERTICAL'!AX$6:AX$546,'BM MORRO DA CRUZ - VERTICAL'!$O$6:$O$546,'BM MORRO DA CRUZ'!$K124),0)</f>
        <v>0</v>
      </c>
      <c r="AU124" s="63">
        <f t="shared" ref="AU124:AU136" si="107">ROUND(AT124*$P124,2)</f>
        <v>0</v>
      </c>
      <c r="AV124" s="61">
        <f>IFERROR(SUMIFS('BM MORRO DA CRUZ - VERTICAL'!AZ$6:AZ$546,'BM MORRO DA CRUZ - VERTICAL'!$O$6:$O$546,'BM MORRO DA CRUZ'!$K124),0)</f>
        <v>0</v>
      </c>
      <c r="AW124" s="63">
        <f t="shared" ref="AW124:AW136" si="108">ROUND(AV124*$P124,2)</f>
        <v>0</v>
      </c>
      <c r="AX124" s="61">
        <f>IFERROR(SUMIFS('BM MORRO DA CRUZ - VERTICAL'!BB$6:BB$546,'BM MORRO DA CRUZ - VERTICAL'!$O$6:$O$546,'BM MORRO DA CRUZ'!$K124),0)</f>
        <v>0</v>
      </c>
      <c r="AY124" s="63">
        <f t="shared" ref="AY124:AY136" si="109">ROUND(AX124*$P124,2)</f>
        <v>0</v>
      </c>
      <c r="AZ124" s="61">
        <f>IFERROR(SUMIFS('BM MORRO DA CRUZ - VERTICAL'!BD$6:BD$546,'BM MORRO DA CRUZ - VERTICAL'!$O$6:$O$546,'BM MORRO DA CRUZ'!$K124),0)</f>
        <v>0</v>
      </c>
      <c r="BA124" s="63">
        <f t="shared" ref="BA124:BA136" si="110">ROUND(AZ124*$P124,2)</f>
        <v>0</v>
      </c>
      <c r="BB124" s="61">
        <f t="shared" ref="BB124:BB136" si="111">IFERROR(SUMIFS($R124:$BA124,$R$5:$BA$5,$BB$5),0)</f>
        <v>0</v>
      </c>
      <c r="BC124" s="63">
        <f t="shared" ref="BC124:BC136" si="112">SUMIFS($R124:$BA124,$R$5:$BA$5,$S$5)</f>
        <v>0</v>
      </c>
      <c r="BD124" s="64">
        <f t="shared" ref="BD124:BD136" si="113">IFERROR(BB124/O124,0)</f>
        <v>0</v>
      </c>
      <c r="BE124" s="65">
        <f t="shared" ref="BE124:BE136" si="114">IFERROR((O124-BB124)/O124,0)</f>
        <v>1</v>
      </c>
      <c r="BF124" s="45"/>
    </row>
    <row r="125" spans="1:58" ht="38.25" customHeight="1" x14ac:dyDescent="0.45">
      <c r="A125" s="56" t="s">
        <v>501</v>
      </c>
      <c r="B125" s="506" t="s">
        <v>497</v>
      </c>
      <c r="C125" s="507" t="s">
        <v>111</v>
      </c>
      <c r="D125" s="507" t="s">
        <v>224</v>
      </c>
      <c r="E125" s="507" t="s">
        <v>498</v>
      </c>
      <c r="F125" s="507" t="s">
        <v>273</v>
      </c>
      <c r="G125" s="507" t="s">
        <v>445</v>
      </c>
      <c r="H125" s="508" t="s">
        <v>267</v>
      </c>
      <c r="I125" s="507" t="s">
        <v>114</v>
      </c>
      <c r="J125" s="508" t="s">
        <v>267</v>
      </c>
      <c r="K125" s="57" t="s">
        <v>502</v>
      </c>
      <c r="L125" s="58" t="s">
        <v>21</v>
      </c>
      <c r="M125" s="59" t="s">
        <v>503</v>
      </c>
      <c r="N125" s="60" t="s">
        <v>71</v>
      </c>
      <c r="O125" s="61">
        <v>2</v>
      </c>
      <c r="P125" s="62">
        <v>1249.53</v>
      </c>
      <c r="Q125" s="63">
        <f t="shared" si="92"/>
        <v>2499.06</v>
      </c>
      <c r="R125" s="61">
        <f>IFERROR(SUMIFS('BM MORRO DA CRUZ - VERTICAL'!V$6:V$546,'BM MORRO DA CRUZ - VERTICAL'!$O$6:$O$546,'BM MORRO DA CRUZ'!$K125),0)</f>
        <v>0</v>
      </c>
      <c r="S125" s="63">
        <f t="shared" si="93"/>
        <v>0</v>
      </c>
      <c r="T125" s="61">
        <f>IFERROR(SUMIFS('BM MORRO DA CRUZ - VERTICAL'!X$6:X$546,'BM MORRO DA CRUZ - VERTICAL'!$O$6:$O$546,'BM MORRO DA CRUZ'!$K125),0)</f>
        <v>0</v>
      </c>
      <c r="U125" s="63">
        <f t="shared" si="94"/>
        <v>0</v>
      </c>
      <c r="V125" s="61">
        <f>IFERROR(SUMIFS('BM MORRO DA CRUZ - VERTICAL'!Z$6:Z$546,'BM MORRO DA CRUZ - VERTICAL'!$O$6:$O$546,'BM MORRO DA CRUZ'!$K125),0)</f>
        <v>0</v>
      </c>
      <c r="W125" s="63">
        <f t="shared" si="95"/>
        <v>0</v>
      </c>
      <c r="X125" s="61">
        <f>IFERROR(SUMIFS('BM MORRO DA CRUZ - VERTICAL'!AB$6:AB$546,'BM MORRO DA CRUZ - VERTICAL'!$O$6:$O$546,'BM MORRO DA CRUZ'!$K125),0)</f>
        <v>0</v>
      </c>
      <c r="Y125" s="63">
        <f t="shared" si="96"/>
        <v>0</v>
      </c>
      <c r="Z125" s="61">
        <f>IFERROR(SUMIFS('BM MORRO DA CRUZ - VERTICAL'!AD$6:AD$546,'BM MORRO DA CRUZ - VERTICAL'!$O$6:$O$546,'BM MORRO DA CRUZ'!$K125),0)</f>
        <v>0</v>
      </c>
      <c r="AA125" s="63">
        <f t="shared" si="97"/>
        <v>0</v>
      </c>
      <c r="AB125" s="61">
        <f>IFERROR(SUMIFS('BM MORRO DA CRUZ - VERTICAL'!AF$6:AF$546,'BM MORRO DA CRUZ - VERTICAL'!$O$6:$O$546,'BM MORRO DA CRUZ'!$K125),0)</f>
        <v>0</v>
      </c>
      <c r="AC125" s="63">
        <f t="shared" si="98"/>
        <v>0</v>
      </c>
      <c r="AD125" s="61">
        <f>IFERROR(SUMIFS('BM MORRO DA CRUZ - VERTICAL'!AH$6:AH$546,'BM MORRO DA CRUZ - VERTICAL'!$O$6:$O$546,'BM MORRO DA CRUZ'!$K125),0)</f>
        <v>0</v>
      </c>
      <c r="AE125" s="63">
        <f t="shared" si="99"/>
        <v>0</v>
      </c>
      <c r="AF125" s="61">
        <f>IFERROR(SUMIFS('BM MORRO DA CRUZ - VERTICAL'!AJ$6:AJ$546,'BM MORRO DA CRUZ - VERTICAL'!$O$6:$O$546,'BM MORRO DA CRUZ'!$K125),0)</f>
        <v>0</v>
      </c>
      <c r="AG125" s="63">
        <f t="shared" si="100"/>
        <v>0</v>
      </c>
      <c r="AH125" s="61">
        <f>IFERROR(SUMIFS('BM MORRO DA CRUZ - VERTICAL'!AL$6:AL$546,'BM MORRO DA CRUZ - VERTICAL'!$O$6:$O$546,'BM MORRO DA CRUZ'!$K125),0)</f>
        <v>0</v>
      </c>
      <c r="AI125" s="63">
        <f t="shared" si="101"/>
        <v>0</v>
      </c>
      <c r="AJ125" s="61">
        <f>IFERROR(SUMIFS('BM MORRO DA CRUZ - VERTICAL'!AN$6:AN$546,'BM MORRO DA CRUZ - VERTICAL'!$O$6:$O$546,'BM MORRO DA CRUZ'!$K125),0)</f>
        <v>0</v>
      </c>
      <c r="AK125" s="63">
        <f t="shared" si="102"/>
        <v>0</v>
      </c>
      <c r="AL125" s="61">
        <f>IFERROR(SUMIFS('BM MORRO DA CRUZ - VERTICAL'!AP$6:AP$546,'BM MORRO DA CRUZ - VERTICAL'!$O$6:$O$546,'BM MORRO DA CRUZ'!$K125),0)</f>
        <v>0</v>
      </c>
      <c r="AM125" s="63">
        <f t="shared" si="103"/>
        <v>0</v>
      </c>
      <c r="AN125" s="61">
        <f>IFERROR(SUMIFS('BM MORRO DA CRUZ - VERTICAL'!AR$6:AR$546,'BM MORRO DA CRUZ - VERTICAL'!$O$6:$O$546,'BM MORRO DA CRUZ'!$K125),0)</f>
        <v>0</v>
      </c>
      <c r="AO125" s="63">
        <f t="shared" si="104"/>
        <v>0</v>
      </c>
      <c r="AP125" s="61">
        <f>IFERROR(SUMIFS('BM MORRO DA CRUZ - VERTICAL'!AT$6:AT$546,'BM MORRO DA CRUZ - VERTICAL'!$O$6:$O$546,'BM MORRO DA CRUZ'!$K125),0)</f>
        <v>0</v>
      </c>
      <c r="AQ125" s="63">
        <f t="shared" si="105"/>
        <v>0</v>
      </c>
      <c r="AR125" s="61">
        <f>IFERROR(SUMIFS('BM MORRO DA CRUZ - VERTICAL'!AV$6:AV$546,'BM MORRO DA CRUZ - VERTICAL'!$O$6:$O$546,'BM MORRO DA CRUZ'!$K125),0)</f>
        <v>0</v>
      </c>
      <c r="AS125" s="63">
        <f t="shared" si="106"/>
        <v>0</v>
      </c>
      <c r="AT125" s="61">
        <f>IFERROR(SUMIFS('BM MORRO DA CRUZ - VERTICAL'!AX$6:AX$546,'BM MORRO DA CRUZ - VERTICAL'!$O$6:$O$546,'BM MORRO DA CRUZ'!$K125),0)</f>
        <v>0</v>
      </c>
      <c r="AU125" s="63">
        <f t="shared" si="107"/>
        <v>0</v>
      </c>
      <c r="AV125" s="61">
        <f>IFERROR(SUMIFS('BM MORRO DA CRUZ - VERTICAL'!AZ$6:AZ$546,'BM MORRO DA CRUZ - VERTICAL'!$O$6:$O$546,'BM MORRO DA CRUZ'!$K125),0)</f>
        <v>0</v>
      </c>
      <c r="AW125" s="63">
        <f t="shared" si="108"/>
        <v>0</v>
      </c>
      <c r="AX125" s="61">
        <f>IFERROR(SUMIFS('BM MORRO DA CRUZ - VERTICAL'!BB$6:BB$546,'BM MORRO DA CRUZ - VERTICAL'!$O$6:$O$546,'BM MORRO DA CRUZ'!$K125),0)</f>
        <v>0</v>
      </c>
      <c r="AY125" s="63">
        <f t="shared" si="109"/>
        <v>0</v>
      </c>
      <c r="AZ125" s="61">
        <f>IFERROR(SUMIFS('BM MORRO DA CRUZ - VERTICAL'!BD$6:BD$546,'BM MORRO DA CRUZ - VERTICAL'!$O$6:$O$546,'BM MORRO DA CRUZ'!$K125),0)</f>
        <v>0</v>
      </c>
      <c r="BA125" s="63">
        <f t="shared" si="110"/>
        <v>0</v>
      </c>
      <c r="BB125" s="61">
        <f t="shared" si="111"/>
        <v>0</v>
      </c>
      <c r="BC125" s="63">
        <f t="shared" si="112"/>
        <v>0</v>
      </c>
      <c r="BD125" s="64">
        <f t="shared" si="113"/>
        <v>0</v>
      </c>
      <c r="BE125" s="65">
        <f t="shared" si="114"/>
        <v>1</v>
      </c>
      <c r="BF125" s="45"/>
    </row>
    <row r="126" spans="1:58" ht="38.25" customHeight="1" x14ac:dyDescent="0.45">
      <c r="A126" s="56" t="s">
        <v>504</v>
      </c>
      <c r="B126" s="506" t="s">
        <v>497</v>
      </c>
      <c r="C126" s="507" t="s">
        <v>111</v>
      </c>
      <c r="D126" s="507" t="s">
        <v>224</v>
      </c>
      <c r="E126" s="507" t="s">
        <v>498</v>
      </c>
      <c r="F126" s="507" t="s">
        <v>273</v>
      </c>
      <c r="G126" s="507" t="s">
        <v>505</v>
      </c>
      <c r="H126" s="508" t="s">
        <v>267</v>
      </c>
      <c r="I126" s="507" t="s">
        <v>114</v>
      </c>
      <c r="J126" s="508" t="s">
        <v>267</v>
      </c>
      <c r="K126" s="57" t="s">
        <v>506</v>
      </c>
      <c r="L126" s="58" t="s">
        <v>21</v>
      </c>
      <c r="M126" s="59" t="s">
        <v>507</v>
      </c>
      <c r="N126" s="60" t="s">
        <v>71</v>
      </c>
      <c r="O126" s="61">
        <v>1</v>
      </c>
      <c r="P126" s="62">
        <v>4704.9799999999996</v>
      </c>
      <c r="Q126" s="63">
        <f t="shared" si="92"/>
        <v>4704.9799999999996</v>
      </c>
      <c r="R126" s="61">
        <f>IFERROR(SUMIFS('BM MORRO DA CRUZ - VERTICAL'!V$6:V$546,'BM MORRO DA CRUZ - VERTICAL'!$O$6:$O$546,'BM MORRO DA CRUZ'!$K126),0)</f>
        <v>0</v>
      </c>
      <c r="S126" s="63">
        <f t="shared" si="93"/>
        <v>0</v>
      </c>
      <c r="T126" s="61">
        <f>IFERROR(SUMIFS('BM MORRO DA CRUZ - VERTICAL'!X$6:X$546,'BM MORRO DA CRUZ - VERTICAL'!$O$6:$O$546,'BM MORRO DA CRUZ'!$K126),0)</f>
        <v>0</v>
      </c>
      <c r="U126" s="63">
        <f t="shared" si="94"/>
        <v>0</v>
      </c>
      <c r="V126" s="61">
        <f>IFERROR(SUMIFS('BM MORRO DA CRUZ - VERTICAL'!Z$6:Z$546,'BM MORRO DA CRUZ - VERTICAL'!$O$6:$O$546,'BM MORRO DA CRUZ'!$K126),0)</f>
        <v>0</v>
      </c>
      <c r="W126" s="63">
        <f t="shared" si="95"/>
        <v>0</v>
      </c>
      <c r="X126" s="61">
        <f>IFERROR(SUMIFS('BM MORRO DA CRUZ - VERTICAL'!AB$6:AB$546,'BM MORRO DA CRUZ - VERTICAL'!$O$6:$O$546,'BM MORRO DA CRUZ'!$K126),0)</f>
        <v>0</v>
      </c>
      <c r="Y126" s="63">
        <f t="shared" si="96"/>
        <v>0</v>
      </c>
      <c r="Z126" s="61">
        <f>IFERROR(SUMIFS('BM MORRO DA CRUZ - VERTICAL'!AD$6:AD$546,'BM MORRO DA CRUZ - VERTICAL'!$O$6:$O$546,'BM MORRO DA CRUZ'!$K126),0)</f>
        <v>0</v>
      </c>
      <c r="AA126" s="63">
        <f t="shared" si="97"/>
        <v>0</v>
      </c>
      <c r="AB126" s="61">
        <f>IFERROR(SUMIFS('BM MORRO DA CRUZ - VERTICAL'!AF$6:AF$546,'BM MORRO DA CRUZ - VERTICAL'!$O$6:$O$546,'BM MORRO DA CRUZ'!$K126),0)</f>
        <v>0</v>
      </c>
      <c r="AC126" s="63">
        <f t="shared" si="98"/>
        <v>0</v>
      </c>
      <c r="AD126" s="61">
        <f>IFERROR(SUMIFS('BM MORRO DA CRUZ - VERTICAL'!AH$6:AH$546,'BM MORRO DA CRUZ - VERTICAL'!$O$6:$O$546,'BM MORRO DA CRUZ'!$K126),0)</f>
        <v>0</v>
      </c>
      <c r="AE126" s="63">
        <f t="shared" si="99"/>
        <v>0</v>
      </c>
      <c r="AF126" s="61">
        <f>IFERROR(SUMIFS('BM MORRO DA CRUZ - VERTICAL'!AJ$6:AJ$546,'BM MORRO DA CRUZ - VERTICAL'!$O$6:$O$546,'BM MORRO DA CRUZ'!$K126),0)</f>
        <v>0</v>
      </c>
      <c r="AG126" s="63">
        <f t="shared" si="100"/>
        <v>0</v>
      </c>
      <c r="AH126" s="61">
        <f>IFERROR(SUMIFS('BM MORRO DA CRUZ - VERTICAL'!AL$6:AL$546,'BM MORRO DA CRUZ - VERTICAL'!$O$6:$O$546,'BM MORRO DA CRUZ'!$K126),0)</f>
        <v>0</v>
      </c>
      <c r="AI126" s="63">
        <f t="shared" si="101"/>
        <v>0</v>
      </c>
      <c r="AJ126" s="61">
        <f>IFERROR(SUMIFS('BM MORRO DA CRUZ - VERTICAL'!AN$6:AN$546,'BM MORRO DA CRUZ - VERTICAL'!$O$6:$O$546,'BM MORRO DA CRUZ'!$K126),0)</f>
        <v>0</v>
      </c>
      <c r="AK126" s="63">
        <f t="shared" si="102"/>
        <v>0</v>
      </c>
      <c r="AL126" s="61">
        <f>IFERROR(SUMIFS('BM MORRO DA CRUZ - VERTICAL'!AP$6:AP$546,'BM MORRO DA CRUZ - VERTICAL'!$O$6:$O$546,'BM MORRO DA CRUZ'!$K126),0)</f>
        <v>0</v>
      </c>
      <c r="AM126" s="63">
        <f t="shared" si="103"/>
        <v>0</v>
      </c>
      <c r="AN126" s="61">
        <f>IFERROR(SUMIFS('BM MORRO DA CRUZ - VERTICAL'!AR$6:AR$546,'BM MORRO DA CRUZ - VERTICAL'!$O$6:$O$546,'BM MORRO DA CRUZ'!$K126),0)</f>
        <v>0</v>
      </c>
      <c r="AO126" s="63">
        <f t="shared" si="104"/>
        <v>0</v>
      </c>
      <c r="AP126" s="61">
        <f>IFERROR(SUMIFS('BM MORRO DA CRUZ - VERTICAL'!AT$6:AT$546,'BM MORRO DA CRUZ - VERTICAL'!$O$6:$O$546,'BM MORRO DA CRUZ'!$K126),0)</f>
        <v>0</v>
      </c>
      <c r="AQ126" s="63">
        <f t="shared" si="105"/>
        <v>0</v>
      </c>
      <c r="AR126" s="61">
        <f>IFERROR(SUMIFS('BM MORRO DA CRUZ - VERTICAL'!AV$6:AV$546,'BM MORRO DA CRUZ - VERTICAL'!$O$6:$O$546,'BM MORRO DA CRUZ'!$K126),0)</f>
        <v>0</v>
      </c>
      <c r="AS126" s="63">
        <f t="shared" si="106"/>
        <v>0</v>
      </c>
      <c r="AT126" s="61">
        <f>IFERROR(SUMIFS('BM MORRO DA CRUZ - VERTICAL'!AX$6:AX$546,'BM MORRO DA CRUZ - VERTICAL'!$O$6:$O$546,'BM MORRO DA CRUZ'!$K126),0)</f>
        <v>0</v>
      </c>
      <c r="AU126" s="63">
        <f t="shared" si="107"/>
        <v>0</v>
      </c>
      <c r="AV126" s="61">
        <f>IFERROR(SUMIFS('BM MORRO DA CRUZ - VERTICAL'!AZ$6:AZ$546,'BM MORRO DA CRUZ - VERTICAL'!$O$6:$O$546,'BM MORRO DA CRUZ'!$K126),0)</f>
        <v>0</v>
      </c>
      <c r="AW126" s="63">
        <f t="shared" si="108"/>
        <v>0</v>
      </c>
      <c r="AX126" s="61">
        <f>IFERROR(SUMIFS('BM MORRO DA CRUZ - VERTICAL'!BB$6:BB$546,'BM MORRO DA CRUZ - VERTICAL'!$O$6:$O$546,'BM MORRO DA CRUZ'!$K126),0)</f>
        <v>0</v>
      </c>
      <c r="AY126" s="63">
        <f t="shared" si="109"/>
        <v>0</v>
      </c>
      <c r="AZ126" s="61">
        <f>IFERROR(SUMIFS('BM MORRO DA CRUZ - VERTICAL'!BD$6:BD$546,'BM MORRO DA CRUZ - VERTICAL'!$O$6:$O$546,'BM MORRO DA CRUZ'!$K126),0)</f>
        <v>0</v>
      </c>
      <c r="BA126" s="63">
        <f t="shared" si="110"/>
        <v>0</v>
      </c>
      <c r="BB126" s="61">
        <f t="shared" si="111"/>
        <v>0</v>
      </c>
      <c r="BC126" s="63">
        <f t="shared" si="112"/>
        <v>0</v>
      </c>
      <c r="BD126" s="64">
        <f t="shared" si="113"/>
        <v>0</v>
      </c>
      <c r="BE126" s="65">
        <f t="shared" si="114"/>
        <v>1</v>
      </c>
      <c r="BF126" s="45"/>
    </row>
    <row r="127" spans="1:58" ht="38.25" customHeight="1" x14ac:dyDescent="0.45">
      <c r="A127" s="56" t="s">
        <v>508</v>
      </c>
      <c r="B127" s="506" t="s">
        <v>497</v>
      </c>
      <c r="C127" s="507" t="s">
        <v>404</v>
      </c>
      <c r="D127" s="507" t="s">
        <v>224</v>
      </c>
      <c r="E127" s="507" t="s">
        <v>498</v>
      </c>
      <c r="F127" s="507" t="s">
        <v>273</v>
      </c>
      <c r="G127" s="507" t="s">
        <v>387</v>
      </c>
      <c r="H127" s="508" t="s">
        <v>267</v>
      </c>
      <c r="I127" s="507" t="s">
        <v>114</v>
      </c>
      <c r="J127" s="508" t="s">
        <v>267</v>
      </c>
      <c r="K127" s="57" t="s">
        <v>509</v>
      </c>
      <c r="L127" s="58" t="s">
        <v>21</v>
      </c>
      <c r="M127" s="59" t="s">
        <v>510</v>
      </c>
      <c r="N127" s="60" t="s">
        <v>71</v>
      </c>
      <c r="O127" s="61">
        <v>3</v>
      </c>
      <c r="P127" s="62">
        <v>491.51</v>
      </c>
      <c r="Q127" s="63">
        <f t="shared" si="92"/>
        <v>1474.53</v>
      </c>
      <c r="R127" s="61">
        <f>IFERROR(SUMIFS('BM MORRO DA CRUZ - VERTICAL'!V$6:V$546,'BM MORRO DA CRUZ - VERTICAL'!$O$6:$O$546,'BM MORRO DA CRUZ'!$K127),0)</f>
        <v>0</v>
      </c>
      <c r="S127" s="63">
        <f t="shared" si="93"/>
        <v>0</v>
      </c>
      <c r="T127" s="61">
        <f>IFERROR(SUMIFS('BM MORRO DA CRUZ - VERTICAL'!X$6:X$546,'BM MORRO DA CRUZ - VERTICAL'!$O$6:$O$546,'BM MORRO DA CRUZ'!$K127),0)</f>
        <v>0</v>
      </c>
      <c r="U127" s="63">
        <f t="shared" si="94"/>
        <v>0</v>
      </c>
      <c r="V127" s="61">
        <f>IFERROR(SUMIFS('BM MORRO DA CRUZ - VERTICAL'!Z$6:Z$546,'BM MORRO DA CRUZ - VERTICAL'!$O$6:$O$546,'BM MORRO DA CRUZ'!$K127),0)</f>
        <v>0</v>
      </c>
      <c r="W127" s="63">
        <f t="shared" si="95"/>
        <v>0</v>
      </c>
      <c r="X127" s="61">
        <f>IFERROR(SUMIFS('BM MORRO DA CRUZ - VERTICAL'!AB$6:AB$546,'BM MORRO DA CRUZ - VERTICAL'!$O$6:$O$546,'BM MORRO DA CRUZ'!$K127),0)</f>
        <v>0</v>
      </c>
      <c r="Y127" s="63">
        <f t="shared" si="96"/>
        <v>0</v>
      </c>
      <c r="Z127" s="61">
        <f>IFERROR(SUMIFS('BM MORRO DA CRUZ - VERTICAL'!AD$6:AD$546,'BM MORRO DA CRUZ - VERTICAL'!$O$6:$O$546,'BM MORRO DA CRUZ'!$K127),0)</f>
        <v>0</v>
      </c>
      <c r="AA127" s="63">
        <f t="shared" si="97"/>
        <v>0</v>
      </c>
      <c r="AB127" s="61">
        <f>IFERROR(SUMIFS('BM MORRO DA CRUZ - VERTICAL'!AF$6:AF$546,'BM MORRO DA CRUZ - VERTICAL'!$O$6:$O$546,'BM MORRO DA CRUZ'!$K127),0)</f>
        <v>0</v>
      </c>
      <c r="AC127" s="63">
        <f t="shared" si="98"/>
        <v>0</v>
      </c>
      <c r="AD127" s="61">
        <f>IFERROR(SUMIFS('BM MORRO DA CRUZ - VERTICAL'!AH$6:AH$546,'BM MORRO DA CRUZ - VERTICAL'!$O$6:$O$546,'BM MORRO DA CRUZ'!$K127),0)</f>
        <v>0</v>
      </c>
      <c r="AE127" s="63">
        <f t="shared" si="99"/>
        <v>0</v>
      </c>
      <c r="AF127" s="61">
        <f>IFERROR(SUMIFS('BM MORRO DA CRUZ - VERTICAL'!AJ$6:AJ$546,'BM MORRO DA CRUZ - VERTICAL'!$O$6:$O$546,'BM MORRO DA CRUZ'!$K127),0)</f>
        <v>0</v>
      </c>
      <c r="AG127" s="63">
        <f t="shared" si="100"/>
        <v>0</v>
      </c>
      <c r="AH127" s="61">
        <f>IFERROR(SUMIFS('BM MORRO DA CRUZ - VERTICAL'!AL$6:AL$546,'BM MORRO DA CRUZ - VERTICAL'!$O$6:$O$546,'BM MORRO DA CRUZ'!$K127),0)</f>
        <v>0</v>
      </c>
      <c r="AI127" s="63">
        <f t="shared" si="101"/>
        <v>0</v>
      </c>
      <c r="AJ127" s="61">
        <f>IFERROR(SUMIFS('BM MORRO DA CRUZ - VERTICAL'!AN$6:AN$546,'BM MORRO DA CRUZ - VERTICAL'!$O$6:$O$546,'BM MORRO DA CRUZ'!$K127),0)</f>
        <v>0</v>
      </c>
      <c r="AK127" s="63">
        <f t="shared" si="102"/>
        <v>0</v>
      </c>
      <c r="AL127" s="61">
        <f>IFERROR(SUMIFS('BM MORRO DA CRUZ - VERTICAL'!AP$6:AP$546,'BM MORRO DA CRUZ - VERTICAL'!$O$6:$O$546,'BM MORRO DA CRUZ'!$K127),0)</f>
        <v>0</v>
      </c>
      <c r="AM127" s="63">
        <f t="shared" si="103"/>
        <v>0</v>
      </c>
      <c r="AN127" s="61">
        <f>IFERROR(SUMIFS('BM MORRO DA CRUZ - VERTICAL'!AR$6:AR$546,'BM MORRO DA CRUZ - VERTICAL'!$O$6:$O$546,'BM MORRO DA CRUZ'!$K127),0)</f>
        <v>0</v>
      </c>
      <c r="AO127" s="63">
        <f t="shared" si="104"/>
        <v>0</v>
      </c>
      <c r="AP127" s="61">
        <f>IFERROR(SUMIFS('BM MORRO DA CRUZ - VERTICAL'!AT$6:AT$546,'BM MORRO DA CRUZ - VERTICAL'!$O$6:$O$546,'BM MORRO DA CRUZ'!$K127),0)</f>
        <v>0</v>
      </c>
      <c r="AQ127" s="63">
        <f t="shared" si="105"/>
        <v>0</v>
      </c>
      <c r="AR127" s="61">
        <f>IFERROR(SUMIFS('BM MORRO DA CRUZ - VERTICAL'!AV$6:AV$546,'BM MORRO DA CRUZ - VERTICAL'!$O$6:$O$546,'BM MORRO DA CRUZ'!$K127),0)</f>
        <v>0</v>
      </c>
      <c r="AS127" s="63">
        <f t="shared" si="106"/>
        <v>0</v>
      </c>
      <c r="AT127" s="61">
        <f>IFERROR(SUMIFS('BM MORRO DA CRUZ - VERTICAL'!AX$6:AX$546,'BM MORRO DA CRUZ - VERTICAL'!$O$6:$O$546,'BM MORRO DA CRUZ'!$K127),0)</f>
        <v>0</v>
      </c>
      <c r="AU127" s="63">
        <f t="shared" si="107"/>
        <v>0</v>
      </c>
      <c r="AV127" s="61">
        <f>IFERROR(SUMIFS('BM MORRO DA CRUZ - VERTICAL'!AZ$6:AZ$546,'BM MORRO DA CRUZ - VERTICAL'!$O$6:$O$546,'BM MORRO DA CRUZ'!$K127),0)</f>
        <v>0</v>
      </c>
      <c r="AW127" s="63">
        <f t="shared" si="108"/>
        <v>0</v>
      </c>
      <c r="AX127" s="61">
        <f>IFERROR(SUMIFS('BM MORRO DA CRUZ - VERTICAL'!BB$6:BB$546,'BM MORRO DA CRUZ - VERTICAL'!$O$6:$O$546,'BM MORRO DA CRUZ'!$K127),0)</f>
        <v>0</v>
      </c>
      <c r="AY127" s="63">
        <f t="shared" si="109"/>
        <v>0</v>
      </c>
      <c r="AZ127" s="61">
        <f>IFERROR(SUMIFS('BM MORRO DA CRUZ - VERTICAL'!BD$6:BD$546,'BM MORRO DA CRUZ - VERTICAL'!$O$6:$O$546,'BM MORRO DA CRUZ'!$K127),0)</f>
        <v>0</v>
      </c>
      <c r="BA127" s="63">
        <f t="shared" si="110"/>
        <v>0</v>
      </c>
      <c r="BB127" s="61">
        <f t="shared" si="111"/>
        <v>0</v>
      </c>
      <c r="BC127" s="63">
        <f t="shared" si="112"/>
        <v>0</v>
      </c>
      <c r="BD127" s="64">
        <f t="shared" si="113"/>
        <v>0</v>
      </c>
      <c r="BE127" s="65">
        <f t="shared" si="114"/>
        <v>1</v>
      </c>
      <c r="BF127" s="45"/>
    </row>
    <row r="128" spans="1:58" ht="38.25" customHeight="1" x14ac:dyDescent="0.45">
      <c r="A128" s="56" t="s">
        <v>511</v>
      </c>
      <c r="B128" s="506" t="s">
        <v>512</v>
      </c>
      <c r="C128" s="507" t="s">
        <v>404</v>
      </c>
      <c r="D128" s="507" t="s">
        <v>224</v>
      </c>
      <c r="E128" s="507" t="s">
        <v>513</v>
      </c>
      <c r="F128" s="507" t="s">
        <v>266</v>
      </c>
      <c r="G128" s="507" t="s">
        <v>375</v>
      </c>
      <c r="H128" s="508" t="s">
        <v>267</v>
      </c>
      <c r="I128" s="507" t="s">
        <v>114</v>
      </c>
      <c r="J128" s="508" t="s">
        <v>267</v>
      </c>
      <c r="K128" s="57" t="s">
        <v>514</v>
      </c>
      <c r="L128" s="58" t="s">
        <v>21</v>
      </c>
      <c r="M128" s="59" t="s">
        <v>515</v>
      </c>
      <c r="N128" s="60" t="s">
        <v>71</v>
      </c>
      <c r="O128" s="61">
        <v>1</v>
      </c>
      <c r="P128" s="62">
        <v>238.04</v>
      </c>
      <c r="Q128" s="63">
        <f t="shared" si="92"/>
        <v>238.04</v>
      </c>
      <c r="R128" s="61">
        <f>IFERROR(SUMIFS('BM MORRO DA CRUZ - VERTICAL'!V$6:V$546,'BM MORRO DA CRUZ - VERTICAL'!$O$6:$O$546,'BM MORRO DA CRUZ'!$K128),0)</f>
        <v>0</v>
      </c>
      <c r="S128" s="63">
        <f t="shared" si="93"/>
        <v>0</v>
      </c>
      <c r="T128" s="61">
        <f>IFERROR(SUMIFS('BM MORRO DA CRUZ - VERTICAL'!X$6:X$546,'BM MORRO DA CRUZ - VERTICAL'!$O$6:$O$546,'BM MORRO DA CRUZ'!$K128),0)</f>
        <v>0</v>
      </c>
      <c r="U128" s="63">
        <f t="shared" si="94"/>
        <v>0</v>
      </c>
      <c r="V128" s="61">
        <f>IFERROR(SUMIFS('BM MORRO DA CRUZ - VERTICAL'!Z$6:Z$546,'BM MORRO DA CRUZ - VERTICAL'!$O$6:$O$546,'BM MORRO DA CRUZ'!$K128),0)</f>
        <v>0</v>
      </c>
      <c r="W128" s="63">
        <f t="shared" si="95"/>
        <v>0</v>
      </c>
      <c r="X128" s="61">
        <f>IFERROR(SUMIFS('BM MORRO DA CRUZ - VERTICAL'!AB$6:AB$546,'BM MORRO DA CRUZ - VERTICAL'!$O$6:$O$546,'BM MORRO DA CRUZ'!$K128),0)</f>
        <v>0</v>
      </c>
      <c r="Y128" s="63">
        <f t="shared" si="96"/>
        <v>0</v>
      </c>
      <c r="Z128" s="61">
        <f>IFERROR(SUMIFS('BM MORRO DA CRUZ - VERTICAL'!AD$6:AD$546,'BM MORRO DA CRUZ - VERTICAL'!$O$6:$O$546,'BM MORRO DA CRUZ'!$K128),0)</f>
        <v>0</v>
      </c>
      <c r="AA128" s="63">
        <f t="shared" si="97"/>
        <v>0</v>
      </c>
      <c r="AB128" s="61">
        <f>IFERROR(SUMIFS('BM MORRO DA CRUZ - VERTICAL'!AF$6:AF$546,'BM MORRO DA CRUZ - VERTICAL'!$O$6:$O$546,'BM MORRO DA CRUZ'!$K128),0)</f>
        <v>0</v>
      </c>
      <c r="AC128" s="63">
        <f t="shared" si="98"/>
        <v>0</v>
      </c>
      <c r="AD128" s="61">
        <f>IFERROR(SUMIFS('BM MORRO DA CRUZ - VERTICAL'!AH$6:AH$546,'BM MORRO DA CRUZ - VERTICAL'!$O$6:$O$546,'BM MORRO DA CRUZ'!$K128),0)</f>
        <v>0</v>
      </c>
      <c r="AE128" s="63">
        <f t="shared" si="99"/>
        <v>0</v>
      </c>
      <c r="AF128" s="61">
        <f>IFERROR(SUMIFS('BM MORRO DA CRUZ - VERTICAL'!AJ$6:AJ$546,'BM MORRO DA CRUZ - VERTICAL'!$O$6:$O$546,'BM MORRO DA CRUZ'!$K128),0)</f>
        <v>0</v>
      </c>
      <c r="AG128" s="63">
        <f t="shared" si="100"/>
        <v>0</v>
      </c>
      <c r="AH128" s="61">
        <f>IFERROR(SUMIFS('BM MORRO DA CRUZ - VERTICAL'!AL$6:AL$546,'BM MORRO DA CRUZ - VERTICAL'!$O$6:$O$546,'BM MORRO DA CRUZ'!$K128),0)</f>
        <v>0</v>
      </c>
      <c r="AI128" s="63">
        <f t="shared" si="101"/>
        <v>0</v>
      </c>
      <c r="AJ128" s="61">
        <f>IFERROR(SUMIFS('BM MORRO DA CRUZ - VERTICAL'!AN$6:AN$546,'BM MORRO DA CRUZ - VERTICAL'!$O$6:$O$546,'BM MORRO DA CRUZ'!$K128),0)</f>
        <v>0</v>
      </c>
      <c r="AK128" s="63">
        <f t="shared" si="102"/>
        <v>0</v>
      </c>
      <c r="AL128" s="61">
        <f>IFERROR(SUMIFS('BM MORRO DA CRUZ - VERTICAL'!AP$6:AP$546,'BM MORRO DA CRUZ - VERTICAL'!$O$6:$O$546,'BM MORRO DA CRUZ'!$K128),0)</f>
        <v>0</v>
      </c>
      <c r="AM128" s="63">
        <f t="shared" si="103"/>
        <v>0</v>
      </c>
      <c r="AN128" s="61">
        <f>IFERROR(SUMIFS('BM MORRO DA CRUZ - VERTICAL'!AR$6:AR$546,'BM MORRO DA CRUZ - VERTICAL'!$O$6:$O$546,'BM MORRO DA CRUZ'!$K128),0)</f>
        <v>0</v>
      </c>
      <c r="AO128" s="63">
        <f t="shared" si="104"/>
        <v>0</v>
      </c>
      <c r="AP128" s="61">
        <f>IFERROR(SUMIFS('BM MORRO DA CRUZ - VERTICAL'!AT$6:AT$546,'BM MORRO DA CRUZ - VERTICAL'!$O$6:$O$546,'BM MORRO DA CRUZ'!$K128),0)</f>
        <v>0</v>
      </c>
      <c r="AQ128" s="63">
        <f t="shared" si="105"/>
        <v>0</v>
      </c>
      <c r="AR128" s="61">
        <f>IFERROR(SUMIFS('BM MORRO DA CRUZ - VERTICAL'!AV$6:AV$546,'BM MORRO DA CRUZ - VERTICAL'!$O$6:$O$546,'BM MORRO DA CRUZ'!$K128),0)</f>
        <v>0</v>
      </c>
      <c r="AS128" s="63">
        <f t="shared" si="106"/>
        <v>0</v>
      </c>
      <c r="AT128" s="61">
        <f>IFERROR(SUMIFS('BM MORRO DA CRUZ - VERTICAL'!AX$6:AX$546,'BM MORRO DA CRUZ - VERTICAL'!$O$6:$O$546,'BM MORRO DA CRUZ'!$K128),0)</f>
        <v>0</v>
      </c>
      <c r="AU128" s="63">
        <f t="shared" si="107"/>
        <v>0</v>
      </c>
      <c r="AV128" s="61">
        <f>IFERROR(SUMIFS('BM MORRO DA CRUZ - VERTICAL'!AZ$6:AZ$546,'BM MORRO DA CRUZ - VERTICAL'!$O$6:$O$546,'BM MORRO DA CRUZ'!$K128),0)</f>
        <v>0</v>
      </c>
      <c r="AW128" s="63">
        <f t="shared" si="108"/>
        <v>0</v>
      </c>
      <c r="AX128" s="61">
        <f>IFERROR(SUMIFS('BM MORRO DA CRUZ - VERTICAL'!BB$6:BB$546,'BM MORRO DA CRUZ - VERTICAL'!$O$6:$O$546,'BM MORRO DA CRUZ'!$K128),0)</f>
        <v>0</v>
      </c>
      <c r="AY128" s="63">
        <f t="shared" si="109"/>
        <v>0</v>
      </c>
      <c r="AZ128" s="61">
        <f>IFERROR(SUMIFS('BM MORRO DA CRUZ - VERTICAL'!BD$6:BD$546,'BM MORRO DA CRUZ - VERTICAL'!$O$6:$O$546,'BM MORRO DA CRUZ'!$K128),0)</f>
        <v>0</v>
      </c>
      <c r="BA128" s="63">
        <f t="shared" si="110"/>
        <v>0</v>
      </c>
      <c r="BB128" s="61">
        <f t="shared" si="111"/>
        <v>0</v>
      </c>
      <c r="BC128" s="63">
        <f t="shared" si="112"/>
        <v>0</v>
      </c>
      <c r="BD128" s="64">
        <f t="shared" si="113"/>
        <v>0</v>
      </c>
      <c r="BE128" s="65">
        <f t="shared" si="114"/>
        <v>1</v>
      </c>
      <c r="BF128" s="45"/>
    </row>
    <row r="129" spans="1:58" ht="38.25" customHeight="1" x14ac:dyDescent="0.45">
      <c r="A129" s="56" t="s">
        <v>516</v>
      </c>
      <c r="B129" s="506" t="s">
        <v>512</v>
      </c>
      <c r="C129" s="507" t="s">
        <v>404</v>
      </c>
      <c r="D129" s="507" t="s">
        <v>224</v>
      </c>
      <c r="E129" s="507" t="s">
        <v>513</v>
      </c>
      <c r="F129" s="507" t="s">
        <v>266</v>
      </c>
      <c r="G129" s="507" t="s">
        <v>517</v>
      </c>
      <c r="H129" s="508" t="s">
        <v>267</v>
      </c>
      <c r="I129" s="507" t="s">
        <v>114</v>
      </c>
      <c r="J129" s="508" t="s">
        <v>267</v>
      </c>
      <c r="K129" s="57" t="s">
        <v>518</v>
      </c>
      <c r="L129" s="58" t="s">
        <v>21</v>
      </c>
      <c r="M129" s="59" t="s">
        <v>519</v>
      </c>
      <c r="N129" s="60" t="s">
        <v>71</v>
      </c>
      <c r="O129" s="61">
        <v>16</v>
      </c>
      <c r="P129" s="62">
        <v>479.97</v>
      </c>
      <c r="Q129" s="63">
        <f t="shared" si="92"/>
        <v>7679.52</v>
      </c>
      <c r="R129" s="61">
        <f>IFERROR(SUMIFS('BM MORRO DA CRUZ - VERTICAL'!V$6:V$546,'BM MORRO DA CRUZ - VERTICAL'!$O$6:$O$546,'BM MORRO DA CRUZ'!$K129),0)</f>
        <v>0</v>
      </c>
      <c r="S129" s="63">
        <f t="shared" si="93"/>
        <v>0</v>
      </c>
      <c r="T129" s="61">
        <f>IFERROR(SUMIFS('BM MORRO DA CRUZ - VERTICAL'!X$6:X$546,'BM MORRO DA CRUZ - VERTICAL'!$O$6:$O$546,'BM MORRO DA CRUZ'!$K129),0)</f>
        <v>0</v>
      </c>
      <c r="U129" s="63">
        <f t="shared" si="94"/>
        <v>0</v>
      </c>
      <c r="V129" s="61">
        <f>IFERROR(SUMIFS('BM MORRO DA CRUZ - VERTICAL'!Z$6:Z$546,'BM MORRO DA CRUZ - VERTICAL'!$O$6:$O$546,'BM MORRO DA CRUZ'!$K129),0)</f>
        <v>0</v>
      </c>
      <c r="W129" s="63">
        <f t="shared" si="95"/>
        <v>0</v>
      </c>
      <c r="X129" s="61">
        <f>IFERROR(SUMIFS('BM MORRO DA CRUZ - VERTICAL'!AB$6:AB$546,'BM MORRO DA CRUZ - VERTICAL'!$O$6:$O$546,'BM MORRO DA CRUZ'!$K129),0)</f>
        <v>0</v>
      </c>
      <c r="Y129" s="63">
        <f t="shared" si="96"/>
        <v>0</v>
      </c>
      <c r="Z129" s="61">
        <f>IFERROR(SUMIFS('BM MORRO DA CRUZ - VERTICAL'!AD$6:AD$546,'BM MORRO DA CRUZ - VERTICAL'!$O$6:$O$546,'BM MORRO DA CRUZ'!$K129),0)</f>
        <v>0</v>
      </c>
      <c r="AA129" s="63">
        <f t="shared" si="97"/>
        <v>0</v>
      </c>
      <c r="AB129" s="61">
        <f>IFERROR(SUMIFS('BM MORRO DA CRUZ - VERTICAL'!AF$6:AF$546,'BM MORRO DA CRUZ - VERTICAL'!$O$6:$O$546,'BM MORRO DA CRUZ'!$K129),0)</f>
        <v>0</v>
      </c>
      <c r="AC129" s="63">
        <f t="shared" si="98"/>
        <v>0</v>
      </c>
      <c r="AD129" s="61">
        <f>IFERROR(SUMIFS('BM MORRO DA CRUZ - VERTICAL'!AH$6:AH$546,'BM MORRO DA CRUZ - VERTICAL'!$O$6:$O$546,'BM MORRO DA CRUZ'!$K129),0)</f>
        <v>0</v>
      </c>
      <c r="AE129" s="63">
        <f t="shared" si="99"/>
        <v>0</v>
      </c>
      <c r="AF129" s="61">
        <f>IFERROR(SUMIFS('BM MORRO DA CRUZ - VERTICAL'!AJ$6:AJ$546,'BM MORRO DA CRUZ - VERTICAL'!$O$6:$O$546,'BM MORRO DA CRUZ'!$K129),0)</f>
        <v>0</v>
      </c>
      <c r="AG129" s="63">
        <f t="shared" si="100"/>
        <v>0</v>
      </c>
      <c r="AH129" s="61">
        <f>IFERROR(SUMIFS('BM MORRO DA CRUZ - VERTICAL'!AL$6:AL$546,'BM MORRO DA CRUZ - VERTICAL'!$O$6:$O$546,'BM MORRO DA CRUZ'!$K129),0)</f>
        <v>0</v>
      </c>
      <c r="AI129" s="63">
        <f t="shared" si="101"/>
        <v>0</v>
      </c>
      <c r="AJ129" s="61">
        <f>IFERROR(SUMIFS('BM MORRO DA CRUZ - VERTICAL'!AN$6:AN$546,'BM MORRO DA CRUZ - VERTICAL'!$O$6:$O$546,'BM MORRO DA CRUZ'!$K129),0)</f>
        <v>0</v>
      </c>
      <c r="AK129" s="63">
        <f t="shared" si="102"/>
        <v>0</v>
      </c>
      <c r="AL129" s="61">
        <f>IFERROR(SUMIFS('BM MORRO DA CRUZ - VERTICAL'!AP$6:AP$546,'BM MORRO DA CRUZ - VERTICAL'!$O$6:$O$546,'BM MORRO DA CRUZ'!$K129),0)</f>
        <v>0</v>
      </c>
      <c r="AM129" s="63">
        <f t="shared" si="103"/>
        <v>0</v>
      </c>
      <c r="AN129" s="61">
        <f>IFERROR(SUMIFS('BM MORRO DA CRUZ - VERTICAL'!AR$6:AR$546,'BM MORRO DA CRUZ - VERTICAL'!$O$6:$O$546,'BM MORRO DA CRUZ'!$K129),0)</f>
        <v>0</v>
      </c>
      <c r="AO129" s="63">
        <f t="shared" si="104"/>
        <v>0</v>
      </c>
      <c r="AP129" s="61">
        <f>IFERROR(SUMIFS('BM MORRO DA CRUZ - VERTICAL'!AT$6:AT$546,'BM MORRO DA CRUZ - VERTICAL'!$O$6:$O$546,'BM MORRO DA CRUZ'!$K129),0)</f>
        <v>0</v>
      </c>
      <c r="AQ129" s="63">
        <f t="shared" si="105"/>
        <v>0</v>
      </c>
      <c r="AR129" s="61">
        <f>IFERROR(SUMIFS('BM MORRO DA CRUZ - VERTICAL'!AV$6:AV$546,'BM MORRO DA CRUZ - VERTICAL'!$O$6:$O$546,'BM MORRO DA CRUZ'!$K129),0)</f>
        <v>0</v>
      </c>
      <c r="AS129" s="63">
        <f t="shared" si="106"/>
        <v>0</v>
      </c>
      <c r="AT129" s="61">
        <f>IFERROR(SUMIFS('BM MORRO DA CRUZ - VERTICAL'!AX$6:AX$546,'BM MORRO DA CRUZ - VERTICAL'!$O$6:$O$546,'BM MORRO DA CRUZ'!$K129),0)</f>
        <v>0</v>
      </c>
      <c r="AU129" s="63">
        <f t="shared" si="107"/>
        <v>0</v>
      </c>
      <c r="AV129" s="61">
        <f>IFERROR(SUMIFS('BM MORRO DA CRUZ - VERTICAL'!AZ$6:AZ$546,'BM MORRO DA CRUZ - VERTICAL'!$O$6:$O$546,'BM MORRO DA CRUZ'!$K129),0)</f>
        <v>0</v>
      </c>
      <c r="AW129" s="63">
        <f t="shared" si="108"/>
        <v>0</v>
      </c>
      <c r="AX129" s="61">
        <f>IFERROR(SUMIFS('BM MORRO DA CRUZ - VERTICAL'!BB$6:BB$546,'BM MORRO DA CRUZ - VERTICAL'!$O$6:$O$546,'BM MORRO DA CRUZ'!$K129),0)</f>
        <v>0</v>
      </c>
      <c r="AY129" s="63">
        <f t="shared" si="109"/>
        <v>0</v>
      </c>
      <c r="AZ129" s="61">
        <f>IFERROR(SUMIFS('BM MORRO DA CRUZ - VERTICAL'!BD$6:BD$546,'BM MORRO DA CRUZ - VERTICAL'!$O$6:$O$546,'BM MORRO DA CRUZ'!$K129),0)</f>
        <v>0</v>
      </c>
      <c r="BA129" s="63">
        <f t="shared" si="110"/>
        <v>0</v>
      </c>
      <c r="BB129" s="61">
        <f t="shared" si="111"/>
        <v>0</v>
      </c>
      <c r="BC129" s="63">
        <f t="shared" si="112"/>
        <v>0</v>
      </c>
      <c r="BD129" s="64">
        <f t="shared" si="113"/>
        <v>0</v>
      </c>
      <c r="BE129" s="65">
        <f t="shared" si="114"/>
        <v>1</v>
      </c>
      <c r="BF129" s="45"/>
    </row>
    <row r="130" spans="1:58" ht="38.25" customHeight="1" x14ac:dyDescent="0.45">
      <c r="A130" s="56" t="s">
        <v>520</v>
      </c>
      <c r="B130" s="506" t="s">
        <v>512</v>
      </c>
      <c r="C130" s="507" t="s">
        <v>404</v>
      </c>
      <c r="D130" s="507" t="s">
        <v>224</v>
      </c>
      <c r="E130" s="507" t="s">
        <v>513</v>
      </c>
      <c r="F130" s="507" t="s">
        <v>266</v>
      </c>
      <c r="G130" s="507" t="s">
        <v>521</v>
      </c>
      <c r="H130" s="508" t="s">
        <v>267</v>
      </c>
      <c r="I130" s="507" t="s">
        <v>114</v>
      </c>
      <c r="J130" s="508" t="s">
        <v>267</v>
      </c>
      <c r="K130" s="57" t="s">
        <v>522</v>
      </c>
      <c r="L130" s="58" t="s">
        <v>21</v>
      </c>
      <c r="M130" s="59" t="s">
        <v>523</v>
      </c>
      <c r="N130" s="60" t="s">
        <v>71</v>
      </c>
      <c r="O130" s="61">
        <v>4</v>
      </c>
      <c r="P130" s="62">
        <v>626.02</v>
      </c>
      <c r="Q130" s="63">
        <f t="shared" si="92"/>
        <v>2504.08</v>
      </c>
      <c r="R130" s="61">
        <f>IFERROR(SUMIFS('BM MORRO DA CRUZ - VERTICAL'!V$6:V$546,'BM MORRO DA CRUZ - VERTICAL'!$O$6:$O$546,'BM MORRO DA CRUZ'!$K130),0)</f>
        <v>0</v>
      </c>
      <c r="S130" s="63">
        <f t="shared" si="93"/>
        <v>0</v>
      </c>
      <c r="T130" s="61">
        <f>IFERROR(SUMIFS('BM MORRO DA CRUZ - VERTICAL'!X$6:X$546,'BM MORRO DA CRUZ - VERTICAL'!$O$6:$O$546,'BM MORRO DA CRUZ'!$K130),0)</f>
        <v>0</v>
      </c>
      <c r="U130" s="63">
        <f t="shared" si="94"/>
        <v>0</v>
      </c>
      <c r="V130" s="61">
        <f>IFERROR(SUMIFS('BM MORRO DA CRUZ - VERTICAL'!Z$6:Z$546,'BM MORRO DA CRUZ - VERTICAL'!$O$6:$O$546,'BM MORRO DA CRUZ'!$K130),0)</f>
        <v>0</v>
      </c>
      <c r="W130" s="63">
        <f t="shared" si="95"/>
        <v>0</v>
      </c>
      <c r="X130" s="61">
        <f>IFERROR(SUMIFS('BM MORRO DA CRUZ - VERTICAL'!AB$6:AB$546,'BM MORRO DA CRUZ - VERTICAL'!$O$6:$O$546,'BM MORRO DA CRUZ'!$K130),0)</f>
        <v>0</v>
      </c>
      <c r="Y130" s="63">
        <f t="shared" si="96"/>
        <v>0</v>
      </c>
      <c r="Z130" s="61">
        <f>IFERROR(SUMIFS('BM MORRO DA CRUZ - VERTICAL'!AD$6:AD$546,'BM MORRO DA CRUZ - VERTICAL'!$O$6:$O$546,'BM MORRO DA CRUZ'!$K130),0)</f>
        <v>0</v>
      </c>
      <c r="AA130" s="63">
        <f t="shared" si="97"/>
        <v>0</v>
      </c>
      <c r="AB130" s="61">
        <f>IFERROR(SUMIFS('BM MORRO DA CRUZ - VERTICAL'!AF$6:AF$546,'BM MORRO DA CRUZ - VERTICAL'!$O$6:$O$546,'BM MORRO DA CRUZ'!$K130),0)</f>
        <v>0</v>
      </c>
      <c r="AC130" s="63">
        <f t="shared" si="98"/>
        <v>0</v>
      </c>
      <c r="AD130" s="61">
        <f>IFERROR(SUMIFS('BM MORRO DA CRUZ - VERTICAL'!AH$6:AH$546,'BM MORRO DA CRUZ - VERTICAL'!$O$6:$O$546,'BM MORRO DA CRUZ'!$K130),0)</f>
        <v>0</v>
      </c>
      <c r="AE130" s="63">
        <f t="shared" si="99"/>
        <v>0</v>
      </c>
      <c r="AF130" s="61">
        <f>IFERROR(SUMIFS('BM MORRO DA CRUZ - VERTICAL'!AJ$6:AJ$546,'BM MORRO DA CRUZ - VERTICAL'!$O$6:$O$546,'BM MORRO DA CRUZ'!$K130),0)</f>
        <v>0</v>
      </c>
      <c r="AG130" s="63">
        <f t="shared" si="100"/>
        <v>0</v>
      </c>
      <c r="AH130" s="61">
        <f>IFERROR(SUMIFS('BM MORRO DA CRUZ - VERTICAL'!AL$6:AL$546,'BM MORRO DA CRUZ - VERTICAL'!$O$6:$O$546,'BM MORRO DA CRUZ'!$K130),0)</f>
        <v>0</v>
      </c>
      <c r="AI130" s="63">
        <f t="shared" si="101"/>
        <v>0</v>
      </c>
      <c r="AJ130" s="61">
        <f>IFERROR(SUMIFS('BM MORRO DA CRUZ - VERTICAL'!AN$6:AN$546,'BM MORRO DA CRUZ - VERTICAL'!$O$6:$O$546,'BM MORRO DA CRUZ'!$K130),0)</f>
        <v>0</v>
      </c>
      <c r="AK130" s="63">
        <f t="shared" si="102"/>
        <v>0</v>
      </c>
      <c r="AL130" s="61">
        <f>IFERROR(SUMIFS('BM MORRO DA CRUZ - VERTICAL'!AP$6:AP$546,'BM MORRO DA CRUZ - VERTICAL'!$O$6:$O$546,'BM MORRO DA CRUZ'!$K130),0)</f>
        <v>0</v>
      </c>
      <c r="AM130" s="63">
        <f t="shared" si="103"/>
        <v>0</v>
      </c>
      <c r="AN130" s="61">
        <f>IFERROR(SUMIFS('BM MORRO DA CRUZ - VERTICAL'!AR$6:AR$546,'BM MORRO DA CRUZ - VERTICAL'!$O$6:$O$546,'BM MORRO DA CRUZ'!$K130),0)</f>
        <v>0</v>
      </c>
      <c r="AO130" s="63">
        <f t="shared" si="104"/>
        <v>0</v>
      </c>
      <c r="AP130" s="61">
        <f>IFERROR(SUMIFS('BM MORRO DA CRUZ - VERTICAL'!AT$6:AT$546,'BM MORRO DA CRUZ - VERTICAL'!$O$6:$O$546,'BM MORRO DA CRUZ'!$K130),0)</f>
        <v>0</v>
      </c>
      <c r="AQ130" s="63">
        <f t="shared" si="105"/>
        <v>0</v>
      </c>
      <c r="AR130" s="61">
        <f>IFERROR(SUMIFS('BM MORRO DA CRUZ - VERTICAL'!AV$6:AV$546,'BM MORRO DA CRUZ - VERTICAL'!$O$6:$O$546,'BM MORRO DA CRUZ'!$K130),0)</f>
        <v>0</v>
      </c>
      <c r="AS130" s="63">
        <f t="shared" si="106"/>
        <v>0</v>
      </c>
      <c r="AT130" s="61">
        <f>IFERROR(SUMIFS('BM MORRO DA CRUZ - VERTICAL'!AX$6:AX$546,'BM MORRO DA CRUZ - VERTICAL'!$O$6:$O$546,'BM MORRO DA CRUZ'!$K130),0)</f>
        <v>0</v>
      </c>
      <c r="AU130" s="63">
        <f t="shared" si="107"/>
        <v>0</v>
      </c>
      <c r="AV130" s="61">
        <f>IFERROR(SUMIFS('BM MORRO DA CRUZ - VERTICAL'!AZ$6:AZ$546,'BM MORRO DA CRUZ - VERTICAL'!$O$6:$O$546,'BM MORRO DA CRUZ'!$K130),0)</f>
        <v>0</v>
      </c>
      <c r="AW130" s="63">
        <f t="shared" si="108"/>
        <v>0</v>
      </c>
      <c r="AX130" s="61">
        <f>IFERROR(SUMIFS('BM MORRO DA CRUZ - VERTICAL'!BB$6:BB$546,'BM MORRO DA CRUZ - VERTICAL'!$O$6:$O$546,'BM MORRO DA CRUZ'!$K130),0)</f>
        <v>0</v>
      </c>
      <c r="AY130" s="63">
        <f t="shared" si="109"/>
        <v>0</v>
      </c>
      <c r="AZ130" s="61">
        <f>IFERROR(SUMIFS('BM MORRO DA CRUZ - VERTICAL'!BD$6:BD$546,'BM MORRO DA CRUZ - VERTICAL'!$O$6:$O$546,'BM MORRO DA CRUZ'!$K130),0)</f>
        <v>0</v>
      </c>
      <c r="BA130" s="63">
        <f t="shared" si="110"/>
        <v>0</v>
      </c>
      <c r="BB130" s="61">
        <f t="shared" si="111"/>
        <v>0</v>
      </c>
      <c r="BC130" s="63">
        <f t="shared" si="112"/>
        <v>0</v>
      </c>
      <c r="BD130" s="64">
        <f t="shared" si="113"/>
        <v>0</v>
      </c>
      <c r="BE130" s="65">
        <f t="shared" si="114"/>
        <v>1</v>
      </c>
      <c r="BF130" s="45"/>
    </row>
    <row r="131" spans="1:58" ht="38.25" customHeight="1" x14ac:dyDescent="0.45">
      <c r="A131" s="56" t="s">
        <v>524</v>
      </c>
      <c r="B131" s="506" t="s">
        <v>512</v>
      </c>
      <c r="C131" s="507" t="s">
        <v>404</v>
      </c>
      <c r="D131" s="507" t="s">
        <v>224</v>
      </c>
      <c r="E131" s="507" t="s">
        <v>513</v>
      </c>
      <c r="F131" s="507" t="s">
        <v>266</v>
      </c>
      <c r="G131" s="507" t="s">
        <v>525</v>
      </c>
      <c r="H131" s="508" t="s">
        <v>267</v>
      </c>
      <c r="I131" s="507" t="s">
        <v>114</v>
      </c>
      <c r="J131" s="508" t="s">
        <v>267</v>
      </c>
      <c r="K131" s="57" t="s">
        <v>526</v>
      </c>
      <c r="L131" s="58" t="s">
        <v>21</v>
      </c>
      <c r="M131" s="59" t="s">
        <v>527</v>
      </c>
      <c r="N131" s="60" t="s">
        <v>71</v>
      </c>
      <c r="O131" s="61">
        <v>1</v>
      </c>
      <c r="P131" s="62">
        <v>703</v>
      </c>
      <c r="Q131" s="63">
        <f t="shared" si="92"/>
        <v>703</v>
      </c>
      <c r="R131" s="61">
        <f>IFERROR(SUMIFS('BM MORRO DA CRUZ - VERTICAL'!V$6:V$546,'BM MORRO DA CRUZ - VERTICAL'!$O$6:$O$546,'BM MORRO DA CRUZ'!$K131),0)</f>
        <v>0</v>
      </c>
      <c r="S131" s="63">
        <f t="shared" si="93"/>
        <v>0</v>
      </c>
      <c r="T131" s="61">
        <f>IFERROR(SUMIFS('BM MORRO DA CRUZ - VERTICAL'!X$6:X$546,'BM MORRO DA CRUZ - VERTICAL'!$O$6:$O$546,'BM MORRO DA CRUZ'!$K131),0)</f>
        <v>0</v>
      </c>
      <c r="U131" s="63">
        <f t="shared" si="94"/>
        <v>0</v>
      </c>
      <c r="V131" s="61">
        <f>IFERROR(SUMIFS('BM MORRO DA CRUZ - VERTICAL'!Z$6:Z$546,'BM MORRO DA CRUZ - VERTICAL'!$O$6:$O$546,'BM MORRO DA CRUZ'!$K131),0)</f>
        <v>0</v>
      </c>
      <c r="W131" s="63">
        <f t="shared" si="95"/>
        <v>0</v>
      </c>
      <c r="X131" s="61">
        <f>IFERROR(SUMIFS('BM MORRO DA CRUZ - VERTICAL'!AB$6:AB$546,'BM MORRO DA CRUZ - VERTICAL'!$O$6:$O$546,'BM MORRO DA CRUZ'!$K131),0)</f>
        <v>0</v>
      </c>
      <c r="Y131" s="63">
        <f t="shared" si="96"/>
        <v>0</v>
      </c>
      <c r="Z131" s="61">
        <f>IFERROR(SUMIFS('BM MORRO DA CRUZ - VERTICAL'!AD$6:AD$546,'BM MORRO DA CRUZ - VERTICAL'!$O$6:$O$546,'BM MORRO DA CRUZ'!$K131),0)</f>
        <v>0</v>
      </c>
      <c r="AA131" s="63">
        <f t="shared" si="97"/>
        <v>0</v>
      </c>
      <c r="AB131" s="61">
        <f>IFERROR(SUMIFS('BM MORRO DA CRUZ - VERTICAL'!AF$6:AF$546,'BM MORRO DA CRUZ - VERTICAL'!$O$6:$O$546,'BM MORRO DA CRUZ'!$K131),0)</f>
        <v>0</v>
      </c>
      <c r="AC131" s="63">
        <f t="shared" si="98"/>
        <v>0</v>
      </c>
      <c r="AD131" s="61">
        <f>IFERROR(SUMIFS('BM MORRO DA CRUZ - VERTICAL'!AH$6:AH$546,'BM MORRO DA CRUZ - VERTICAL'!$O$6:$O$546,'BM MORRO DA CRUZ'!$K131),0)</f>
        <v>0</v>
      </c>
      <c r="AE131" s="63">
        <f t="shared" si="99"/>
        <v>0</v>
      </c>
      <c r="AF131" s="61">
        <f>IFERROR(SUMIFS('BM MORRO DA CRUZ - VERTICAL'!AJ$6:AJ$546,'BM MORRO DA CRUZ - VERTICAL'!$O$6:$O$546,'BM MORRO DA CRUZ'!$K131),0)</f>
        <v>0</v>
      </c>
      <c r="AG131" s="63">
        <f t="shared" si="100"/>
        <v>0</v>
      </c>
      <c r="AH131" s="61">
        <f>IFERROR(SUMIFS('BM MORRO DA CRUZ - VERTICAL'!AL$6:AL$546,'BM MORRO DA CRUZ - VERTICAL'!$O$6:$O$546,'BM MORRO DA CRUZ'!$K131),0)</f>
        <v>0</v>
      </c>
      <c r="AI131" s="63">
        <f t="shared" si="101"/>
        <v>0</v>
      </c>
      <c r="AJ131" s="61">
        <f>IFERROR(SUMIFS('BM MORRO DA CRUZ - VERTICAL'!AN$6:AN$546,'BM MORRO DA CRUZ - VERTICAL'!$O$6:$O$546,'BM MORRO DA CRUZ'!$K131),0)</f>
        <v>0</v>
      </c>
      <c r="AK131" s="63">
        <f t="shared" si="102"/>
        <v>0</v>
      </c>
      <c r="AL131" s="61">
        <f>IFERROR(SUMIFS('BM MORRO DA CRUZ - VERTICAL'!AP$6:AP$546,'BM MORRO DA CRUZ - VERTICAL'!$O$6:$O$546,'BM MORRO DA CRUZ'!$K131),0)</f>
        <v>0</v>
      </c>
      <c r="AM131" s="63">
        <f t="shared" si="103"/>
        <v>0</v>
      </c>
      <c r="AN131" s="61">
        <f>IFERROR(SUMIFS('BM MORRO DA CRUZ - VERTICAL'!AR$6:AR$546,'BM MORRO DA CRUZ - VERTICAL'!$O$6:$O$546,'BM MORRO DA CRUZ'!$K131),0)</f>
        <v>0</v>
      </c>
      <c r="AO131" s="63">
        <f t="shared" si="104"/>
        <v>0</v>
      </c>
      <c r="AP131" s="61">
        <f>IFERROR(SUMIFS('BM MORRO DA CRUZ - VERTICAL'!AT$6:AT$546,'BM MORRO DA CRUZ - VERTICAL'!$O$6:$O$546,'BM MORRO DA CRUZ'!$K131),0)</f>
        <v>0</v>
      </c>
      <c r="AQ131" s="63">
        <f t="shared" si="105"/>
        <v>0</v>
      </c>
      <c r="AR131" s="61">
        <f>IFERROR(SUMIFS('BM MORRO DA CRUZ - VERTICAL'!AV$6:AV$546,'BM MORRO DA CRUZ - VERTICAL'!$O$6:$O$546,'BM MORRO DA CRUZ'!$K131),0)</f>
        <v>0</v>
      </c>
      <c r="AS131" s="63">
        <f t="shared" si="106"/>
        <v>0</v>
      </c>
      <c r="AT131" s="61">
        <f>IFERROR(SUMIFS('BM MORRO DA CRUZ - VERTICAL'!AX$6:AX$546,'BM MORRO DA CRUZ - VERTICAL'!$O$6:$O$546,'BM MORRO DA CRUZ'!$K131),0)</f>
        <v>0</v>
      </c>
      <c r="AU131" s="63">
        <f t="shared" si="107"/>
        <v>0</v>
      </c>
      <c r="AV131" s="61">
        <f>IFERROR(SUMIFS('BM MORRO DA CRUZ - VERTICAL'!AZ$6:AZ$546,'BM MORRO DA CRUZ - VERTICAL'!$O$6:$O$546,'BM MORRO DA CRUZ'!$K131),0)</f>
        <v>0</v>
      </c>
      <c r="AW131" s="63">
        <f t="shared" si="108"/>
        <v>0</v>
      </c>
      <c r="AX131" s="61">
        <f>IFERROR(SUMIFS('BM MORRO DA CRUZ - VERTICAL'!BB$6:BB$546,'BM MORRO DA CRUZ - VERTICAL'!$O$6:$O$546,'BM MORRO DA CRUZ'!$K131),0)</f>
        <v>0</v>
      </c>
      <c r="AY131" s="63">
        <f t="shared" si="109"/>
        <v>0</v>
      </c>
      <c r="AZ131" s="61">
        <f>IFERROR(SUMIFS('BM MORRO DA CRUZ - VERTICAL'!BD$6:BD$546,'BM MORRO DA CRUZ - VERTICAL'!$O$6:$O$546,'BM MORRO DA CRUZ'!$K131),0)</f>
        <v>0</v>
      </c>
      <c r="BA131" s="63">
        <f t="shared" si="110"/>
        <v>0</v>
      </c>
      <c r="BB131" s="61">
        <f t="shared" si="111"/>
        <v>0</v>
      </c>
      <c r="BC131" s="63">
        <f t="shared" si="112"/>
        <v>0</v>
      </c>
      <c r="BD131" s="64">
        <f t="shared" si="113"/>
        <v>0</v>
      </c>
      <c r="BE131" s="65">
        <f t="shared" si="114"/>
        <v>1</v>
      </c>
      <c r="BF131" s="45"/>
    </row>
    <row r="132" spans="1:58" ht="38.25" customHeight="1" x14ac:dyDescent="0.45">
      <c r="A132" s="56" t="s">
        <v>528</v>
      </c>
      <c r="B132" s="506" t="s">
        <v>512</v>
      </c>
      <c r="C132" s="507" t="s">
        <v>404</v>
      </c>
      <c r="D132" s="507" t="s">
        <v>224</v>
      </c>
      <c r="E132" s="507" t="s">
        <v>513</v>
      </c>
      <c r="F132" s="507" t="s">
        <v>266</v>
      </c>
      <c r="G132" s="507" t="s">
        <v>529</v>
      </c>
      <c r="H132" s="508" t="s">
        <v>267</v>
      </c>
      <c r="I132" s="507" t="s">
        <v>114</v>
      </c>
      <c r="J132" s="508" t="s">
        <v>267</v>
      </c>
      <c r="K132" s="57" t="s">
        <v>530</v>
      </c>
      <c r="L132" s="58" t="s">
        <v>21</v>
      </c>
      <c r="M132" s="59" t="s">
        <v>531</v>
      </c>
      <c r="N132" s="60" t="s">
        <v>71</v>
      </c>
      <c r="O132" s="61">
        <v>1</v>
      </c>
      <c r="P132" s="62">
        <v>677.14</v>
      </c>
      <c r="Q132" s="63">
        <f t="shared" si="92"/>
        <v>677.14</v>
      </c>
      <c r="R132" s="61">
        <f>IFERROR(SUMIFS('BM MORRO DA CRUZ - VERTICAL'!V$6:V$546,'BM MORRO DA CRUZ - VERTICAL'!$O$6:$O$546,'BM MORRO DA CRUZ'!$K132),0)</f>
        <v>0</v>
      </c>
      <c r="S132" s="63">
        <f t="shared" si="93"/>
        <v>0</v>
      </c>
      <c r="T132" s="61">
        <f>IFERROR(SUMIFS('BM MORRO DA CRUZ - VERTICAL'!X$6:X$546,'BM MORRO DA CRUZ - VERTICAL'!$O$6:$O$546,'BM MORRO DA CRUZ'!$K132),0)</f>
        <v>0</v>
      </c>
      <c r="U132" s="63">
        <f t="shared" si="94"/>
        <v>0</v>
      </c>
      <c r="V132" s="61">
        <f>IFERROR(SUMIFS('BM MORRO DA CRUZ - VERTICAL'!Z$6:Z$546,'BM MORRO DA CRUZ - VERTICAL'!$O$6:$O$546,'BM MORRO DA CRUZ'!$K132),0)</f>
        <v>0</v>
      </c>
      <c r="W132" s="63">
        <f t="shared" si="95"/>
        <v>0</v>
      </c>
      <c r="X132" s="61">
        <f>IFERROR(SUMIFS('BM MORRO DA CRUZ - VERTICAL'!AB$6:AB$546,'BM MORRO DA CRUZ - VERTICAL'!$O$6:$O$546,'BM MORRO DA CRUZ'!$K132),0)</f>
        <v>0</v>
      </c>
      <c r="Y132" s="63">
        <f t="shared" si="96"/>
        <v>0</v>
      </c>
      <c r="Z132" s="61">
        <f>IFERROR(SUMIFS('BM MORRO DA CRUZ - VERTICAL'!AD$6:AD$546,'BM MORRO DA CRUZ - VERTICAL'!$O$6:$O$546,'BM MORRO DA CRUZ'!$K132),0)</f>
        <v>0</v>
      </c>
      <c r="AA132" s="63">
        <f t="shared" si="97"/>
        <v>0</v>
      </c>
      <c r="AB132" s="61">
        <f>IFERROR(SUMIFS('BM MORRO DA CRUZ - VERTICAL'!AF$6:AF$546,'BM MORRO DA CRUZ - VERTICAL'!$O$6:$O$546,'BM MORRO DA CRUZ'!$K132),0)</f>
        <v>0</v>
      </c>
      <c r="AC132" s="63">
        <f t="shared" si="98"/>
        <v>0</v>
      </c>
      <c r="AD132" s="61">
        <f>IFERROR(SUMIFS('BM MORRO DA CRUZ - VERTICAL'!AH$6:AH$546,'BM MORRO DA CRUZ - VERTICAL'!$O$6:$O$546,'BM MORRO DA CRUZ'!$K132),0)</f>
        <v>0</v>
      </c>
      <c r="AE132" s="63">
        <f t="shared" si="99"/>
        <v>0</v>
      </c>
      <c r="AF132" s="61">
        <f>IFERROR(SUMIFS('BM MORRO DA CRUZ - VERTICAL'!AJ$6:AJ$546,'BM MORRO DA CRUZ - VERTICAL'!$O$6:$O$546,'BM MORRO DA CRUZ'!$K132),0)</f>
        <v>0</v>
      </c>
      <c r="AG132" s="63">
        <f t="shared" si="100"/>
        <v>0</v>
      </c>
      <c r="AH132" s="61">
        <f>IFERROR(SUMIFS('BM MORRO DA CRUZ - VERTICAL'!AL$6:AL$546,'BM MORRO DA CRUZ - VERTICAL'!$O$6:$O$546,'BM MORRO DA CRUZ'!$K132),0)</f>
        <v>0</v>
      </c>
      <c r="AI132" s="63">
        <f t="shared" si="101"/>
        <v>0</v>
      </c>
      <c r="AJ132" s="61">
        <f>IFERROR(SUMIFS('BM MORRO DA CRUZ - VERTICAL'!AN$6:AN$546,'BM MORRO DA CRUZ - VERTICAL'!$O$6:$O$546,'BM MORRO DA CRUZ'!$K132),0)</f>
        <v>0</v>
      </c>
      <c r="AK132" s="63">
        <f t="shared" si="102"/>
        <v>0</v>
      </c>
      <c r="AL132" s="61">
        <f>IFERROR(SUMIFS('BM MORRO DA CRUZ - VERTICAL'!AP$6:AP$546,'BM MORRO DA CRUZ - VERTICAL'!$O$6:$O$546,'BM MORRO DA CRUZ'!$K132),0)</f>
        <v>0</v>
      </c>
      <c r="AM132" s="63">
        <f t="shared" si="103"/>
        <v>0</v>
      </c>
      <c r="AN132" s="61">
        <f>IFERROR(SUMIFS('BM MORRO DA CRUZ - VERTICAL'!AR$6:AR$546,'BM MORRO DA CRUZ - VERTICAL'!$O$6:$O$546,'BM MORRO DA CRUZ'!$K132),0)</f>
        <v>0</v>
      </c>
      <c r="AO132" s="63">
        <f t="shared" si="104"/>
        <v>0</v>
      </c>
      <c r="AP132" s="61">
        <f>IFERROR(SUMIFS('BM MORRO DA CRUZ - VERTICAL'!AT$6:AT$546,'BM MORRO DA CRUZ - VERTICAL'!$O$6:$O$546,'BM MORRO DA CRUZ'!$K132),0)</f>
        <v>0</v>
      </c>
      <c r="AQ132" s="63">
        <f t="shared" si="105"/>
        <v>0</v>
      </c>
      <c r="AR132" s="61">
        <f>IFERROR(SUMIFS('BM MORRO DA CRUZ - VERTICAL'!AV$6:AV$546,'BM MORRO DA CRUZ - VERTICAL'!$O$6:$O$546,'BM MORRO DA CRUZ'!$K132),0)</f>
        <v>0</v>
      </c>
      <c r="AS132" s="63">
        <f t="shared" si="106"/>
        <v>0</v>
      </c>
      <c r="AT132" s="61">
        <f>IFERROR(SUMIFS('BM MORRO DA CRUZ - VERTICAL'!AX$6:AX$546,'BM MORRO DA CRUZ - VERTICAL'!$O$6:$O$546,'BM MORRO DA CRUZ'!$K132),0)</f>
        <v>0</v>
      </c>
      <c r="AU132" s="63">
        <f t="shared" si="107"/>
        <v>0</v>
      </c>
      <c r="AV132" s="61">
        <f>IFERROR(SUMIFS('BM MORRO DA CRUZ - VERTICAL'!AZ$6:AZ$546,'BM MORRO DA CRUZ - VERTICAL'!$O$6:$O$546,'BM MORRO DA CRUZ'!$K132),0)</f>
        <v>0</v>
      </c>
      <c r="AW132" s="63">
        <f t="shared" si="108"/>
        <v>0</v>
      </c>
      <c r="AX132" s="61">
        <f>IFERROR(SUMIFS('BM MORRO DA CRUZ - VERTICAL'!BB$6:BB$546,'BM MORRO DA CRUZ - VERTICAL'!$O$6:$O$546,'BM MORRO DA CRUZ'!$K132),0)</f>
        <v>0</v>
      </c>
      <c r="AY132" s="63">
        <f t="shared" si="109"/>
        <v>0</v>
      </c>
      <c r="AZ132" s="61">
        <f>IFERROR(SUMIFS('BM MORRO DA CRUZ - VERTICAL'!BD$6:BD$546,'BM MORRO DA CRUZ - VERTICAL'!$O$6:$O$546,'BM MORRO DA CRUZ'!$K132),0)</f>
        <v>0</v>
      </c>
      <c r="BA132" s="63">
        <f t="shared" si="110"/>
        <v>0</v>
      </c>
      <c r="BB132" s="61">
        <f t="shared" si="111"/>
        <v>0</v>
      </c>
      <c r="BC132" s="63">
        <f t="shared" si="112"/>
        <v>0</v>
      </c>
      <c r="BD132" s="64">
        <f t="shared" si="113"/>
        <v>0</v>
      </c>
      <c r="BE132" s="65">
        <f t="shared" si="114"/>
        <v>1</v>
      </c>
      <c r="BF132" s="45"/>
    </row>
    <row r="133" spans="1:58" ht="38.25" customHeight="1" x14ac:dyDescent="0.45">
      <c r="A133" s="56" t="s">
        <v>532</v>
      </c>
      <c r="B133" s="506" t="s">
        <v>512</v>
      </c>
      <c r="C133" s="507" t="s">
        <v>404</v>
      </c>
      <c r="D133" s="507" t="s">
        <v>224</v>
      </c>
      <c r="E133" s="507" t="s">
        <v>513</v>
      </c>
      <c r="F133" s="507" t="s">
        <v>266</v>
      </c>
      <c r="G133" s="507" t="s">
        <v>533</v>
      </c>
      <c r="H133" s="508" t="s">
        <v>267</v>
      </c>
      <c r="I133" s="507" t="s">
        <v>114</v>
      </c>
      <c r="J133" s="508" t="s">
        <v>267</v>
      </c>
      <c r="K133" s="57" t="s">
        <v>534</v>
      </c>
      <c r="L133" s="58" t="s">
        <v>21</v>
      </c>
      <c r="M133" s="59" t="s">
        <v>535</v>
      </c>
      <c r="N133" s="60" t="s">
        <v>71</v>
      </c>
      <c r="O133" s="61">
        <v>2</v>
      </c>
      <c r="P133" s="62">
        <v>264.24</v>
      </c>
      <c r="Q133" s="63">
        <f t="shared" si="92"/>
        <v>528.48</v>
      </c>
      <c r="R133" s="61">
        <f>IFERROR(SUMIFS('BM MORRO DA CRUZ - VERTICAL'!V$6:V$546,'BM MORRO DA CRUZ - VERTICAL'!$O$6:$O$546,'BM MORRO DA CRUZ'!$K133),0)</f>
        <v>0</v>
      </c>
      <c r="S133" s="63">
        <f t="shared" si="93"/>
        <v>0</v>
      </c>
      <c r="T133" s="61">
        <f>IFERROR(SUMIFS('BM MORRO DA CRUZ - VERTICAL'!X$6:X$546,'BM MORRO DA CRUZ - VERTICAL'!$O$6:$O$546,'BM MORRO DA CRUZ'!$K133),0)</f>
        <v>0</v>
      </c>
      <c r="U133" s="63">
        <f t="shared" si="94"/>
        <v>0</v>
      </c>
      <c r="V133" s="61">
        <f>IFERROR(SUMIFS('BM MORRO DA CRUZ - VERTICAL'!Z$6:Z$546,'BM MORRO DA CRUZ - VERTICAL'!$O$6:$O$546,'BM MORRO DA CRUZ'!$K133),0)</f>
        <v>0</v>
      </c>
      <c r="W133" s="63">
        <f t="shared" si="95"/>
        <v>0</v>
      </c>
      <c r="X133" s="61">
        <f>IFERROR(SUMIFS('BM MORRO DA CRUZ - VERTICAL'!AB$6:AB$546,'BM MORRO DA CRUZ - VERTICAL'!$O$6:$O$546,'BM MORRO DA CRUZ'!$K133),0)</f>
        <v>0</v>
      </c>
      <c r="Y133" s="63">
        <f t="shared" si="96"/>
        <v>0</v>
      </c>
      <c r="Z133" s="61">
        <f>IFERROR(SUMIFS('BM MORRO DA CRUZ - VERTICAL'!AD$6:AD$546,'BM MORRO DA CRUZ - VERTICAL'!$O$6:$O$546,'BM MORRO DA CRUZ'!$K133),0)</f>
        <v>0</v>
      </c>
      <c r="AA133" s="63">
        <f t="shared" si="97"/>
        <v>0</v>
      </c>
      <c r="AB133" s="61">
        <f>IFERROR(SUMIFS('BM MORRO DA CRUZ - VERTICAL'!AF$6:AF$546,'BM MORRO DA CRUZ - VERTICAL'!$O$6:$O$546,'BM MORRO DA CRUZ'!$K133),0)</f>
        <v>0</v>
      </c>
      <c r="AC133" s="63">
        <f t="shared" si="98"/>
        <v>0</v>
      </c>
      <c r="AD133" s="61">
        <f>IFERROR(SUMIFS('BM MORRO DA CRUZ - VERTICAL'!AH$6:AH$546,'BM MORRO DA CRUZ - VERTICAL'!$O$6:$O$546,'BM MORRO DA CRUZ'!$K133),0)</f>
        <v>0</v>
      </c>
      <c r="AE133" s="63">
        <f t="shared" si="99"/>
        <v>0</v>
      </c>
      <c r="AF133" s="61">
        <f>IFERROR(SUMIFS('BM MORRO DA CRUZ - VERTICAL'!AJ$6:AJ$546,'BM MORRO DA CRUZ - VERTICAL'!$O$6:$O$546,'BM MORRO DA CRUZ'!$K133),0)</f>
        <v>0</v>
      </c>
      <c r="AG133" s="63">
        <f t="shared" si="100"/>
        <v>0</v>
      </c>
      <c r="AH133" s="61">
        <f>IFERROR(SUMIFS('BM MORRO DA CRUZ - VERTICAL'!AL$6:AL$546,'BM MORRO DA CRUZ - VERTICAL'!$O$6:$O$546,'BM MORRO DA CRUZ'!$K133),0)</f>
        <v>0</v>
      </c>
      <c r="AI133" s="63">
        <f t="shared" si="101"/>
        <v>0</v>
      </c>
      <c r="AJ133" s="61">
        <f>IFERROR(SUMIFS('BM MORRO DA CRUZ - VERTICAL'!AN$6:AN$546,'BM MORRO DA CRUZ - VERTICAL'!$O$6:$O$546,'BM MORRO DA CRUZ'!$K133),0)</f>
        <v>0</v>
      </c>
      <c r="AK133" s="63">
        <f t="shared" si="102"/>
        <v>0</v>
      </c>
      <c r="AL133" s="61">
        <f>IFERROR(SUMIFS('BM MORRO DA CRUZ - VERTICAL'!AP$6:AP$546,'BM MORRO DA CRUZ - VERTICAL'!$O$6:$O$546,'BM MORRO DA CRUZ'!$K133),0)</f>
        <v>0</v>
      </c>
      <c r="AM133" s="63">
        <f t="shared" si="103"/>
        <v>0</v>
      </c>
      <c r="AN133" s="61">
        <f>IFERROR(SUMIFS('BM MORRO DA CRUZ - VERTICAL'!AR$6:AR$546,'BM MORRO DA CRUZ - VERTICAL'!$O$6:$O$546,'BM MORRO DA CRUZ'!$K133),0)</f>
        <v>0</v>
      </c>
      <c r="AO133" s="63">
        <f t="shared" si="104"/>
        <v>0</v>
      </c>
      <c r="AP133" s="61">
        <f>IFERROR(SUMIFS('BM MORRO DA CRUZ - VERTICAL'!AT$6:AT$546,'BM MORRO DA CRUZ - VERTICAL'!$O$6:$O$546,'BM MORRO DA CRUZ'!$K133),0)</f>
        <v>0</v>
      </c>
      <c r="AQ133" s="63">
        <f t="shared" si="105"/>
        <v>0</v>
      </c>
      <c r="AR133" s="61">
        <f>IFERROR(SUMIFS('BM MORRO DA CRUZ - VERTICAL'!AV$6:AV$546,'BM MORRO DA CRUZ - VERTICAL'!$O$6:$O$546,'BM MORRO DA CRUZ'!$K133),0)</f>
        <v>0</v>
      </c>
      <c r="AS133" s="63">
        <f t="shared" si="106"/>
        <v>0</v>
      </c>
      <c r="AT133" s="61">
        <f>IFERROR(SUMIFS('BM MORRO DA CRUZ - VERTICAL'!AX$6:AX$546,'BM MORRO DA CRUZ - VERTICAL'!$O$6:$O$546,'BM MORRO DA CRUZ'!$K133),0)</f>
        <v>0</v>
      </c>
      <c r="AU133" s="63">
        <f t="shared" si="107"/>
        <v>0</v>
      </c>
      <c r="AV133" s="61">
        <f>IFERROR(SUMIFS('BM MORRO DA CRUZ - VERTICAL'!AZ$6:AZ$546,'BM MORRO DA CRUZ - VERTICAL'!$O$6:$O$546,'BM MORRO DA CRUZ'!$K133),0)</f>
        <v>0</v>
      </c>
      <c r="AW133" s="63">
        <f t="shared" si="108"/>
        <v>0</v>
      </c>
      <c r="AX133" s="61">
        <f>IFERROR(SUMIFS('BM MORRO DA CRUZ - VERTICAL'!BB$6:BB$546,'BM MORRO DA CRUZ - VERTICAL'!$O$6:$O$546,'BM MORRO DA CRUZ'!$K133),0)</f>
        <v>0</v>
      </c>
      <c r="AY133" s="63">
        <f t="shared" si="109"/>
        <v>0</v>
      </c>
      <c r="AZ133" s="61">
        <f>IFERROR(SUMIFS('BM MORRO DA CRUZ - VERTICAL'!BD$6:BD$546,'BM MORRO DA CRUZ - VERTICAL'!$O$6:$O$546,'BM MORRO DA CRUZ'!$K133),0)</f>
        <v>0</v>
      </c>
      <c r="BA133" s="63">
        <f t="shared" si="110"/>
        <v>0</v>
      </c>
      <c r="BB133" s="61">
        <f t="shared" si="111"/>
        <v>0</v>
      </c>
      <c r="BC133" s="63">
        <f t="shared" si="112"/>
        <v>0</v>
      </c>
      <c r="BD133" s="64">
        <f t="shared" si="113"/>
        <v>0</v>
      </c>
      <c r="BE133" s="65">
        <f t="shared" si="114"/>
        <v>1</v>
      </c>
      <c r="BF133" s="45"/>
    </row>
    <row r="134" spans="1:58" ht="38.25" customHeight="1" x14ac:dyDescent="0.45">
      <c r="A134" s="56" t="s">
        <v>536</v>
      </c>
      <c r="B134" s="506" t="s">
        <v>512</v>
      </c>
      <c r="C134" s="507" t="s">
        <v>404</v>
      </c>
      <c r="D134" s="507" t="s">
        <v>224</v>
      </c>
      <c r="E134" s="507" t="s">
        <v>513</v>
      </c>
      <c r="F134" s="507" t="s">
        <v>266</v>
      </c>
      <c r="G134" s="507" t="s">
        <v>399</v>
      </c>
      <c r="H134" s="508" t="s">
        <v>267</v>
      </c>
      <c r="I134" s="507" t="s">
        <v>114</v>
      </c>
      <c r="J134" s="508" t="s">
        <v>267</v>
      </c>
      <c r="K134" s="57" t="s">
        <v>537</v>
      </c>
      <c r="L134" s="58" t="s">
        <v>21</v>
      </c>
      <c r="M134" s="59" t="s">
        <v>538</v>
      </c>
      <c r="N134" s="60" t="s">
        <v>71</v>
      </c>
      <c r="O134" s="61">
        <v>1</v>
      </c>
      <c r="P134" s="62">
        <v>354.71</v>
      </c>
      <c r="Q134" s="63">
        <f t="shared" si="92"/>
        <v>354.71</v>
      </c>
      <c r="R134" s="61">
        <f>IFERROR(SUMIFS('BM MORRO DA CRUZ - VERTICAL'!V$6:V$546,'BM MORRO DA CRUZ - VERTICAL'!$O$6:$O$546,'BM MORRO DA CRUZ'!$K134),0)</f>
        <v>0</v>
      </c>
      <c r="S134" s="63">
        <f t="shared" si="93"/>
        <v>0</v>
      </c>
      <c r="T134" s="61">
        <f>IFERROR(SUMIFS('BM MORRO DA CRUZ - VERTICAL'!X$6:X$546,'BM MORRO DA CRUZ - VERTICAL'!$O$6:$O$546,'BM MORRO DA CRUZ'!$K134),0)</f>
        <v>0</v>
      </c>
      <c r="U134" s="63">
        <f t="shared" si="94"/>
        <v>0</v>
      </c>
      <c r="V134" s="61">
        <f>IFERROR(SUMIFS('BM MORRO DA CRUZ - VERTICAL'!Z$6:Z$546,'BM MORRO DA CRUZ - VERTICAL'!$O$6:$O$546,'BM MORRO DA CRUZ'!$K134),0)</f>
        <v>0</v>
      </c>
      <c r="W134" s="63">
        <f t="shared" si="95"/>
        <v>0</v>
      </c>
      <c r="X134" s="61">
        <f>IFERROR(SUMIFS('BM MORRO DA CRUZ - VERTICAL'!AB$6:AB$546,'BM MORRO DA CRUZ - VERTICAL'!$O$6:$O$546,'BM MORRO DA CRUZ'!$K134),0)</f>
        <v>0</v>
      </c>
      <c r="Y134" s="63">
        <f t="shared" si="96"/>
        <v>0</v>
      </c>
      <c r="Z134" s="61">
        <f>IFERROR(SUMIFS('BM MORRO DA CRUZ - VERTICAL'!AD$6:AD$546,'BM MORRO DA CRUZ - VERTICAL'!$O$6:$O$546,'BM MORRO DA CRUZ'!$K134),0)</f>
        <v>0</v>
      </c>
      <c r="AA134" s="63">
        <f t="shared" si="97"/>
        <v>0</v>
      </c>
      <c r="AB134" s="61">
        <f>IFERROR(SUMIFS('BM MORRO DA CRUZ - VERTICAL'!AF$6:AF$546,'BM MORRO DA CRUZ - VERTICAL'!$O$6:$O$546,'BM MORRO DA CRUZ'!$K134),0)</f>
        <v>0</v>
      </c>
      <c r="AC134" s="63">
        <f t="shared" si="98"/>
        <v>0</v>
      </c>
      <c r="AD134" s="61">
        <f>IFERROR(SUMIFS('BM MORRO DA CRUZ - VERTICAL'!AH$6:AH$546,'BM MORRO DA CRUZ - VERTICAL'!$O$6:$O$546,'BM MORRO DA CRUZ'!$K134),0)</f>
        <v>0</v>
      </c>
      <c r="AE134" s="63">
        <f t="shared" si="99"/>
        <v>0</v>
      </c>
      <c r="AF134" s="61">
        <f>IFERROR(SUMIFS('BM MORRO DA CRUZ - VERTICAL'!AJ$6:AJ$546,'BM MORRO DA CRUZ - VERTICAL'!$O$6:$O$546,'BM MORRO DA CRUZ'!$K134),0)</f>
        <v>0</v>
      </c>
      <c r="AG134" s="63">
        <f t="shared" si="100"/>
        <v>0</v>
      </c>
      <c r="AH134" s="61">
        <f>IFERROR(SUMIFS('BM MORRO DA CRUZ - VERTICAL'!AL$6:AL$546,'BM MORRO DA CRUZ - VERTICAL'!$O$6:$O$546,'BM MORRO DA CRUZ'!$K134),0)</f>
        <v>0</v>
      </c>
      <c r="AI134" s="63">
        <f t="shared" si="101"/>
        <v>0</v>
      </c>
      <c r="AJ134" s="61">
        <f>IFERROR(SUMIFS('BM MORRO DA CRUZ - VERTICAL'!AN$6:AN$546,'BM MORRO DA CRUZ - VERTICAL'!$O$6:$O$546,'BM MORRO DA CRUZ'!$K134),0)</f>
        <v>0</v>
      </c>
      <c r="AK134" s="63">
        <f t="shared" si="102"/>
        <v>0</v>
      </c>
      <c r="AL134" s="61">
        <f>IFERROR(SUMIFS('BM MORRO DA CRUZ - VERTICAL'!AP$6:AP$546,'BM MORRO DA CRUZ - VERTICAL'!$O$6:$O$546,'BM MORRO DA CRUZ'!$K134),0)</f>
        <v>0</v>
      </c>
      <c r="AM134" s="63">
        <f t="shared" si="103"/>
        <v>0</v>
      </c>
      <c r="AN134" s="61">
        <f>IFERROR(SUMIFS('BM MORRO DA CRUZ - VERTICAL'!AR$6:AR$546,'BM MORRO DA CRUZ - VERTICAL'!$O$6:$O$546,'BM MORRO DA CRUZ'!$K134),0)</f>
        <v>0</v>
      </c>
      <c r="AO134" s="63">
        <f t="shared" si="104"/>
        <v>0</v>
      </c>
      <c r="AP134" s="61">
        <f>IFERROR(SUMIFS('BM MORRO DA CRUZ - VERTICAL'!AT$6:AT$546,'BM MORRO DA CRUZ - VERTICAL'!$O$6:$O$546,'BM MORRO DA CRUZ'!$K134),0)</f>
        <v>0</v>
      </c>
      <c r="AQ134" s="63">
        <f t="shared" si="105"/>
        <v>0</v>
      </c>
      <c r="AR134" s="61">
        <f>IFERROR(SUMIFS('BM MORRO DA CRUZ - VERTICAL'!AV$6:AV$546,'BM MORRO DA CRUZ - VERTICAL'!$O$6:$O$546,'BM MORRO DA CRUZ'!$K134),0)</f>
        <v>0</v>
      </c>
      <c r="AS134" s="63">
        <f t="shared" si="106"/>
        <v>0</v>
      </c>
      <c r="AT134" s="61">
        <f>IFERROR(SUMIFS('BM MORRO DA CRUZ - VERTICAL'!AX$6:AX$546,'BM MORRO DA CRUZ - VERTICAL'!$O$6:$O$546,'BM MORRO DA CRUZ'!$K134),0)</f>
        <v>0</v>
      </c>
      <c r="AU134" s="63">
        <f t="shared" si="107"/>
        <v>0</v>
      </c>
      <c r="AV134" s="61">
        <f>IFERROR(SUMIFS('BM MORRO DA CRUZ - VERTICAL'!AZ$6:AZ$546,'BM MORRO DA CRUZ - VERTICAL'!$O$6:$O$546,'BM MORRO DA CRUZ'!$K134),0)</f>
        <v>0</v>
      </c>
      <c r="AW134" s="63">
        <f t="shared" si="108"/>
        <v>0</v>
      </c>
      <c r="AX134" s="61">
        <f>IFERROR(SUMIFS('BM MORRO DA CRUZ - VERTICAL'!BB$6:BB$546,'BM MORRO DA CRUZ - VERTICAL'!$O$6:$O$546,'BM MORRO DA CRUZ'!$K134),0)</f>
        <v>0</v>
      </c>
      <c r="AY134" s="63">
        <f t="shared" si="109"/>
        <v>0</v>
      </c>
      <c r="AZ134" s="61">
        <f>IFERROR(SUMIFS('BM MORRO DA CRUZ - VERTICAL'!BD$6:BD$546,'BM MORRO DA CRUZ - VERTICAL'!$O$6:$O$546,'BM MORRO DA CRUZ'!$K134),0)</f>
        <v>0</v>
      </c>
      <c r="BA134" s="63">
        <f t="shared" si="110"/>
        <v>0</v>
      </c>
      <c r="BB134" s="61">
        <f t="shared" si="111"/>
        <v>0</v>
      </c>
      <c r="BC134" s="63">
        <f t="shared" si="112"/>
        <v>0</v>
      </c>
      <c r="BD134" s="64">
        <f t="shared" si="113"/>
        <v>0</v>
      </c>
      <c r="BE134" s="65">
        <f t="shared" si="114"/>
        <v>1</v>
      </c>
      <c r="BF134" s="45"/>
    </row>
    <row r="135" spans="1:58" ht="26.25" customHeight="1" x14ac:dyDescent="0.45">
      <c r="A135" s="56" t="s">
        <v>539</v>
      </c>
      <c r="B135" s="506" t="s">
        <v>540</v>
      </c>
      <c r="C135" s="507" t="s">
        <v>111</v>
      </c>
      <c r="D135" s="507" t="s">
        <v>224</v>
      </c>
      <c r="E135" s="507" t="s">
        <v>540</v>
      </c>
      <c r="F135" s="507" t="s">
        <v>273</v>
      </c>
      <c r="G135" s="507">
        <v>225</v>
      </c>
      <c r="H135" s="508" t="s">
        <v>267</v>
      </c>
      <c r="I135" s="507" t="s">
        <v>114</v>
      </c>
      <c r="J135" s="508" t="s">
        <v>541</v>
      </c>
      <c r="K135" s="57" t="s">
        <v>542</v>
      </c>
      <c r="L135" s="58" t="s">
        <v>21</v>
      </c>
      <c r="M135" s="59" t="s">
        <v>543</v>
      </c>
      <c r="N135" s="60" t="s">
        <v>367</v>
      </c>
      <c r="O135" s="61">
        <v>47.91</v>
      </c>
      <c r="P135" s="62">
        <v>199.33</v>
      </c>
      <c r="Q135" s="63">
        <f t="shared" si="92"/>
        <v>9549.9</v>
      </c>
      <c r="R135" s="61">
        <f>IFERROR(SUMIFS('BM MORRO DA CRUZ - VERTICAL'!V$6:V$546,'BM MORRO DA CRUZ - VERTICAL'!$O$6:$O$546,'BM MORRO DA CRUZ'!$K135),0)</f>
        <v>0</v>
      </c>
      <c r="S135" s="63">
        <f t="shared" si="93"/>
        <v>0</v>
      </c>
      <c r="T135" s="61">
        <f>IFERROR(SUMIFS('BM MORRO DA CRUZ - VERTICAL'!X$6:X$546,'BM MORRO DA CRUZ - VERTICAL'!$O$6:$O$546,'BM MORRO DA CRUZ'!$K135),0)</f>
        <v>0</v>
      </c>
      <c r="U135" s="63">
        <f t="shared" si="94"/>
        <v>0</v>
      </c>
      <c r="V135" s="61">
        <f>IFERROR(SUMIFS('BM MORRO DA CRUZ - VERTICAL'!Z$6:Z$546,'BM MORRO DA CRUZ - VERTICAL'!$O$6:$O$546,'BM MORRO DA CRUZ'!$K135),0)</f>
        <v>0</v>
      </c>
      <c r="W135" s="63">
        <f t="shared" si="95"/>
        <v>0</v>
      </c>
      <c r="X135" s="61">
        <f>IFERROR(SUMIFS('BM MORRO DA CRUZ - VERTICAL'!AB$6:AB$546,'BM MORRO DA CRUZ - VERTICAL'!$O$6:$O$546,'BM MORRO DA CRUZ'!$K135),0)</f>
        <v>0</v>
      </c>
      <c r="Y135" s="63">
        <f t="shared" si="96"/>
        <v>0</v>
      </c>
      <c r="Z135" s="61">
        <f>IFERROR(SUMIFS('BM MORRO DA CRUZ - VERTICAL'!AD$6:AD$546,'BM MORRO DA CRUZ - VERTICAL'!$O$6:$O$546,'BM MORRO DA CRUZ'!$K135),0)</f>
        <v>0</v>
      </c>
      <c r="AA135" s="63">
        <f t="shared" si="97"/>
        <v>0</v>
      </c>
      <c r="AB135" s="61">
        <f>IFERROR(SUMIFS('BM MORRO DA CRUZ - VERTICAL'!AF$6:AF$546,'BM MORRO DA CRUZ - VERTICAL'!$O$6:$O$546,'BM MORRO DA CRUZ'!$K135),0)</f>
        <v>0</v>
      </c>
      <c r="AC135" s="63">
        <f t="shared" si="98"/>
        <v>0</v>
      </c>
      <c r="AD135" s="61">
        <f>IFERROR(SUMIFS('BM MORRO DA CRUZ - VERTICAL'!AH$6:AH$546,'BM MORRO DA CRUZ - VERTICAL'!$O$6:$O$546,'BM MORRO DA CRUZ'!$K135),0)</f>
        <v>0</v>
      </c>
      <c r="AE135" s="63">
        <f t="shared" si="99"/>
        <v>0</v>
      </c>
      <c r="AF135" s="61">
        <f>IFERROR(SUMIFS('BM MORRO DA CRUZ - VERTICAL'!AJ$6:AJ$546,'BM MORRO DA CRUZ - VERTICAL'!$O$6:$O$546,'BM MORRO DA CRUZ'!$K135),0)</f>
        <v>0</v>
      </c>
      <c r="AG135" s="63">
        <f t="shared" si="100"/>
        <v>0</v>
      </c>
      <c r="AH135" s="61">
        <f>IFERROR(SUMIFS('BM MORRO DA CRUZ - VERTICAL'!AL$6:AL$546,'BM MORRO DA CRUZ - VERTICAL'!$O$6:$O$546,'BM MORRO DA CRUZ'!$K135),0)</f>
        <v>0</v>
      </c>
      <c r="AI135" s="63">
        <f t="shared" si="101"/>
        <v>0</v>
      </c>
      <c r="AJ135" s="61">
        <f>IFERROR(SUMIFS('BM MORRO DA CRUZ - VERTICAL'!AN$6:AN$546,'BM MORRO DA CRUZ - VERTICAL'!$O$6:$O$546,'BM MORRO DA CRUZ'!$K135),0)</f>
        <v>0</v>
      </c>
      <c r="AK135" s="63">
        <f t="shared" si="102"/>
        <v>0</v>
      </c>
      <c r="AL135" s="61">
        <f>IFERROR(SUMIFS('BM MORRO DA CRUZ - VERTICAL'!AP$6:AP$546,'BM MORRO DA CRUZ - VERTICAL'!$O$6:$O$546,'BM MORRO DA CRUZ'!$K135),0)</f>
        <v>0</v>
      </c>
      <c r="AM135" s="63">
        <f t="shared" si="103"/>
        <v>0</v>
      </c>
      <c r="AN135" s="61">
        <f>IFERROR(SUMIFS('BM MORRO DA CRUZ - VERTICAL'!AR$6:AR$546,'BM MORRO DA CRUZ - VERTICAL'!$O$6:$O$546,'BM MORRO DA CRUZ'!$K135),0)</f>
        <v>0</v>
      </c>
      <c r="AO135" s="63">
        <f t="shared" si="104"/>
        <v>0</v>
      </c>
      <c r="AP135" s="61">
        <f>IFERROR(SUMIFS('BM MORRO DA CRUZ - VERTICAL'!AT$6:AT$546,'BM MORRO DA CRUZ - VERTICAL'!$O$6:$O$546,'BM MORRO DA CRUZ'!$K135),0)</f>
        <v>0</v>
      </c>
      <c r="AQ135" s="63">
        <f t="shared" si="105"/>
        <v>0</v>
      </c>
      <c r="AR135" s="61">
        <f>IFERROR(SUMIFS('BM MORRO DA CRUZ - VERTICAL'!AV$6:AV$546,'BM MORRO DA CRUZ - VERTICAL'!$O$6:$O$546,'BM MORRO DA CRUZ'!$K135),0)</f>
        <v>0</v>
      </c>
      <c r="AS135" s="63">
        <f t="shared" si="106"/>
        <v>0</v>
      </c>
      <c r="AT135" s="61">
        <f>IFERROR(SUMIFS('BM MORRO DA CRUZ - VERTICAL'!AX$6:AX$546,'BM MORRO DA CRUZ - VERTICAL'!$O$6:$O$546,'BM MORRO DA CRUZ'!$K135),0)</f>
        <v>0</v>
      </c>
      <c r="AU135" s="63">
        <f t="shared" si="107"/>
        <v>0</v>
      </c>
      <c r="AV135" s="61">
        <f>IFERROR(SUMIFS('BM MORRO DA CRUZ - VERTICAL'!AZ$6:AZ$546,'BM MORRO DA CRUZ - VERTICAL'!$O$6:$O$546,'BM MORRO DA CRUZ'!$K135),0)</f>
        <v>0</v>
      </c>
      <c r="AW135" s="63">
        <f t="shared" si="108"/>
        <v>0</v>
      </c>
      <c r="AX135" s="61">
        <f>IFERROR(SUMIFS('BM MORRO DA CRUZ - VERTICAL'!BB$6:BB$546,'BM MORRO DA CRUZ - VERTICAL'!$O$6:$O$546,'BM MORRO DA CRUZ'!$K135),0)</f>
        <v>0</v>
      </c>
      <c r="AY135" s="63">
        <f t="shared" si="109"/>
        <v>0</v>
      </c>
      <c r="AZ135" s="61">
        <f>IFERROR(SUMIFS('BM MORRO DA CRUZ - VERTICAL'!BD$6:BD$546,'BM MORRO DA CRUZ - VERTICAL'!$O$6:$O$546,'BM MORRO DA CRUZ'!$K135),0)</f>
        <v>0</v>
      </c>
      <c r="BA135" s="63">
        <f t="shared" si="110"/>
        <v>0</v>
      </c>
      <c r="BB135" s="61">
        <f t="shared" si="111"/>
        <v>0</v>
      </c>
      <c r="BC135" s="63">
        <f t="shared" si="112"/>
        <v>0</v>
      </c>
      <c r="BD135" s="64">
        <f t="shared" si="113"/>
        <v>0</v>
      </c>
      <c r="BE135" s="65">
        <f t="shared" si="114"/>
        <v>1</v>
      </c>
      <c r="BF135" s="45"/>
    </row>
    <row r="136" spans="1:58" ht="26.25" customHeight="1" x14ac:dyDescent="0.45">
      <c r="A136" s="56" t="s">
        <v>544</v>
      </c>
      <c r="B136" s="506" t="s">
        <v>540</v>
      </c>
      <c r="C136" s="507" t="s">
        <v>111</v>
      </c>
      <c r="D136" s="507" t="s">
        <v>224</v>
      </c>
      <c r="E136" s="507" t="s">
        <v>540</v>
      </c>
      <c r="F136" s="507" t="s">
        <v>273</v>
      </c>
      <c r="G136" s="507">
        <v>63</v>
      </c>
      <c r="H136" s="508" t="s">
        <v>267</v>
      </c>
      <c r="I136" s="507" t="s">
        <v>545</v>
      </c>
      <c r="J136" s="508" t="s">
        <v>541</v>
      </c>
      <c r="K136" s="57" t="s">
        <v>546</v>
      </c>
      <c r="L136" s="58" t="s">
        <v>21</v>
      </c>
      <c r="M136" s="59" t="s">
        <v>547</v>
      </c>
      <c r="N136" s="60" t="s">
        <v>367</v>
      </c>
      <c r="O136" s="61">
        <v>46.5</v>
      </c>
      <c r="P136" s="62">
        <v>17.059999999999999</v>
      </c>
      <c r="Q136" s="63">
        <f t="shared" si="92"/>
        <v>793.29</v>
      </c>
      <c r="R136" s="61">
        <f>IFERROR(SUMIFS('BM MORRO DA CRUZ - VERTICAL'!V$6:V$546,'BM MORRO DA CRUZ - VERTICAL'!$O$6:$O$546,'BM MORRO DA CRUZ'!$K136),0)</f>
        <v>0</v>
      </c>
      <c r="S136" s="63">
        <f t="shared" si="93"/>
        <v>0</v>
      </c>
      <c r="T136" s="61">
        <f>IFERROR(SUMIFS('BM MORRO DA CRUZ - VERTICAL'!X$6:X$546,'BM MORRO DA CRUZ - VERTICAL'!$O$6:$O$546,'BM MORRO DA CRUZ'!$K136),0)</f>
        <v>0</v>
      </c>
      <c r="U136" s="63">
        <f t="shared" si="94"/>
        <v>0</v>
      </c>
      <c r="V136" s="61">
        <f>IFERROR(SUMIFS('BM MORRO DA CRUZ - VERTICAL'!Z$6:Z$546,'BM MORRO DA CRUZ - VERTICAL'!$O$6:$O$546,'BM MORRO DA CRUZ'!$K136),0)</f>
        <v>0</v>
      </c>
      <c r="W136" s="63">
        <f t="shared" si="95"/>
        <v>0</v>
      </c>
      <c r="X136" s="61">
        <f>IFERROR(SUMIFS('BM MORRO DA CRUZ - VERTICAL'!AB$6:AB$546,'BM MORRO DA CRUZ - VERTICAL'!$O$6:$O$546,'BM MORRO DA CRUZ'!$K136),0)</f>
        <v>0</v>
      </c>
      <c r="Y136" s="63">
        <f t="shared" si="96"/>
        <v>0</v>
      </c>
      <c r="Z136" s="61">
        <f>IFERROR(SUMIFS('BM MORRO DA CRUZ - VERTICAL'!AD$6:AD$546,'BM MORRO DA CRUZ - VERTICAL'!$O$6:$O$546,'BM MORRO DA CRUZ'!$K136),0)</f>
        <v>0</v>
      </c>
      <c r="AA136" s="63">
        <f t="shared" si="97"/>
        <v>0</v>
      </c>
      <c r="AB136" s="61">
        <f>IFERROR(SUMIFS('BM MORRO DA CRUZ - VERTICAL'!AF$6:AF$546,'BM MORRO DA CRUZ - VERTICAL'!$O$6:$O$546,'BM MORRO DA CRUZ'!$K136),0)</f>
        <v>0</v>
      </c>
      <c r="AC136" s="63">
        <f t="shared" si="98"/>
        <v>0</v>
      </c>
      <c r="AD136" s="61">
        <f>IFERROR(SUMIFS('BM MORRO DA CRUZ - VERTICAL'!AH$6:AH$546,'BM MORRO DA CRUZ - VERTICAL'!$O$6:$O$546,'BM MORRO DA CRUZ'!$K136),0)</f>
        <v>0</v>
      </c>
      <c r="AE136" s="63">
        <f t="shared" si="99"/>
        <v>0</v>
      </c>
      <c r="AF136" s="61">
        <f>IFERROR(SUMIFS('BM MORRO DA CRUZ - VERTICAL'!AJ$6:AJ$546,'BM MORRO DA CRUZ - VERTICAL'!$O$6:$O$546,'BM MORRO DA CRUZ'!$K136),0)</f>
        <v>0</v>
      </c>
      <c r="AG136" s="63">
        <f t="shared" si="100"/>
        <v>0</v>
      </c>
      <c r="AH136" s="61">
        <f>IFERROR(SUMIFS('BM MORRO DA CRUZ - VERTICAL'!AL$6:AL$546,'BM MORRO DA CRUZ - VERTICAL'!$O$6:$O$546,'BM MORRO DA CRUZ'!$K136),0)</f>
        <v>0</v>
      </c>
      <c r="AI136" s="63">
        <f t="shared" si="101"/>
        <v>0</v>
      </c>
      <c r="AJ136" s="61">
        <f>IFERROR(SUMIFS('BM MORRO DA CRUZ - VERTICAL'!AN$6:AN$546,'BM MORRO DA CRUZ - VERTICAL'!$O$6:$O$546,'BM MORRO DA CRUZ'!$K136),0)</f>
        <v>0</v>
      </c>
      <c r="AK136" s="63">
        <f t="shared" si="102"/>
        <v>0</v>
      </c>
      <c r="AL136" s="61">
        <f>IFERROR(SUMIFS('BM MORRO DA CRUZ - VERTICAL'!AP$6:AP$546,'BM MORRO DA CRUZ - VERTICAL'!$O$6:$O$546,'BM MORRO DA CRUZ'!$K136),0)</f>
        <v>0</v>
      </c>
      <c r="AM136" s="63">
        <f t="shared" si="103"/>
        <v>0</v>
      </c>
      <c r="AN136" s="61">
        <f>IFERROR(SUMIFS('BM MORRO DA CRUZ - VERTICAL'!AR$6:AR$546,'BM MORRO DA CRUZ - VERTICAL'!$O$6:$O$546,'BM MORRO DA CRUZ'!$K136),0)</f>
        <v>0</v>
      </c>
      <c r="AO136" s="63">
        <f t="shared" si="104"/>
        <v>0</v>
      </c>
      <c r="AP136" s="61">
        <f>IFERROR(SUMIFS('BM MORRO DA CRUZ - VERTICAL'!AT$6:AT$546,'BM MORRO DA CRUZ - VERTICAL'!$O$6:$O$546,'BM MORRO DA CRUZ'!$K136),0)</f>
        <v>0</v>
      </c>
      <c r="AQ136" s="63">
        <f t="shared" si="105"/>
        <v>0</v>
      </c>
      <c r="AR136" s="61">
        <f>IFERROR(SUMIFS('BM MORRO DA CRUZ - VERTICAL'!AV$6:AV$546,'BM MORRO DA CRUZ - VERTICAL'!$O$6:$O$546,'BM MORRO DA CRUZ'!$K136),0)</f>
        <v>0</v>
      </c>
      <c r="AS136" s="63">
        <f t="shared" si="106"/>
        <v>0</v>
      </c>
      <c r="AT136" s="61">
        <f>IFERROR(SUMIFS('BM MORRO DA CRUZ - VERTICAL'!AX$6:AX$546,'BM MORRO DA CRUZ - VERTICAL'!$O$6:$O$546,'BM MORRO DA CRUZ'!$K136),0)</f>
        <v>0</v>
      </c>
      <c r="AU136" s="63">
        <f t="shared" si="107"/>
        <v>0</v>
      </c>
      <c r="AV136" s="61">
        <f>IFERROR(SUMIFS('BM MORRO DA CRUZ - VERTICAL'!AZ$6:AZ$546,'BM MORRO DA CRUZ - VERTICAL'!$O$6:$O$546,'BM MORRO DA CRUZ'!$K136),0)</f>
        <v>0</v>
      </c>
      <c r="AW136" s="63">
        <f t="shared" si="108"/>
        <v>0</v>
      </c>
      <c r="AX136" s="61">
        <f>IFERROR(SUMIFS('BM MORRO DA CRUZ - VERTICAL'!BB$6:BB$546,'BM MORRO DA CRUZ - VERTICAL'!$O$6:$O$546,'BM MORRO DA CRUZ'!$K136),0)</f>
        <v>0</v>
      </c>
      <c r="AY136" s="63">
        <f t="shared" si="109"/>
        <v>0</v>
      </c>
      <c r="AZ136" s="61">
        <f>IFERROR(SUMIFS('BM MORRO DA CRUZ - VERTICAL'!BD$6:BD$546,'BM MORRO DA CRUZ - VERTICAL'!$O$6:$O$546,'BM MORRO DA CRUZ'!$K136),0)</f>
        <v>0</v>
      </c>
      <c r="BA136" s="63">
        <f t="shared" si="110"/>
        <v>0</v>
      </c>
      <c r="BB136" s="61">
        <f t="shared" si="111"/>
        <v>0</v>
      </c>
      <c r="BC136" s="63">
        <f t="shared" si="112"/>
        <v>0</v>
      </c>
      <c r="BD136" s="64">
        <f t="shared" si="113"/>
        <v>0</v>
      </c>
      <c r="BE136" s="65">
        <f t="shared" si="114"/>
        <v>1</v>
      </c>
      <c r="BF136" s="45"/>
    </row>
    <row r="137" spans="1:58" ht="19.5" customHeight="1" x14ac:dyDescent="0.45">
      <c r="A137" s="46" t="s">
        <v>548</v>
      </c>
      <c r="B137" s="503"/>
      <c r="C137" s="504"/>
      <c r="D137" s="504"/>
      <c r="E137" s="504"/>
      <c r="F137" s="504"/>
      <c r="G137" s="504"/>
      <c r="H137" s="505" t="s">
        <v>1718</v>
      </c>
      <c r="I137" s="504"/>
      <c r="J137" s="505" t="s">
        <v>1718</v>
      </c>
      <c r="K137" s="47" t="s">
        <v>549</v>
      </c>
      <c r="L137" s="48"/>
      <c r="M137" s="49" t="s">
        <v>550</v>
      </c>
      <c r="N137" s="50"/>
      <c r="O137" s="51"/>
      <c r="P137" s="52"/>
      <c r="Q137" s="53">
        <f>SUM(Q138:Q183)</f>
        <v>309983.48</v>
      </c>
      <c r="R137" s="51"/>
      <c r="S137" s="53">
        <f>SUM(S138:S183)</f>
        <v>0</v>
      </c>
      <c r="T137" s="51"/>
      <c r="U137" s="53">
        <f>SUM(U138:U183)</f>
        <v>0</v>
      </c>
      <c r="V137" s="51"/>
      <c r="W137" s="53">
        <f>SUM(W138:W183)</f>
        <v>0</v>
      </c>
      <c r="X137" s="51"/>
      <c r="Y137" s="53">
        <f>SUM(Y138:Y183)</f>
        <v>0</v>
      </c>
      <c r="Z137" s="51"/>
      <c r="AA137" s="53">
        <f>SUM(AA138:AA183)</f>
        <v>0</v>
      </c>
      <c r="AB137" s="51"/>
      <c r="AC137" s="53">
        <f>SUM(AC138:AC183)</f>
        <v>0</v>
      </c>
      <c r="AD137" s="51"/>
      <c r="AE137" s="53">
        <f>SUM(AE138:AE183)</f>
        <v>0</v>
      </c>
      <c r="AF137" s="51"/>
      <c r="AG137" s="53">
        <f>SUM(AG138:AG183)</f>
        <v>0</v>
      </c>
      <c r="AH137" s="51"/>
      <c r="AI137" s="53">
        <f>SUM(AI138:AI183)</f>
        <v>0</v>
      </c>
      <c r="AJ137" s="51"/>
      <c r="AK137" s="53">
        <f>SUM(AK138:AK183)</f>
        <v>0</v>
      </c>
      <c r="AL137" s="51"/>
      <c r="AM137" s="53">
        <f>SUM(AM138:AM183)</f>
        <v>0</v>
      </c>
      <c r="AN137" s="51"/>
      <c r="AO137" s="53">
        <f>SUM(AO138:AO183)</f>
        <v>0</v>
      </c>
      <c r="AP137" s="51"/>
      <c r="AQ137" s="53">
        <f>SUM(AQ138:AQ183)</f>
        <v>0</v>
      </c>
      <c r="AR137" s="51"/>
      <c r="AS137" s="53">
        <f>SUM(AS138:AS183)</f>
        <v>0</v>
      </c>
      <c r="AT137" s="51"/>
      <c r="AU137" s="53">
        <f>SUM(AU138:AU183)</f>
        <v>0</v>
      </c>
      <c r="AV137" s="51"/>
      <c r="AW137" s="53">
        <f>SUM(AW138:AW183)</f>
        <v>0</v>
      </c>
      <c r="AX137" s="51"/>
      <c r="AY137" s="53">
        <f>SUM(AY138:AY183)</f>
        <v>0</v>
      </c>
      <c r="AZ137" s="51"/>
      <c r="BA137" s="53">
        <f>SUM(BA138:BA183)</f>
        <v>0</v>
      </c>
      <c r="BB137" s="51"/>
      <c r="BC137" s="53">
        <f>SUM(BC138:BC183)</f>
        <v>0</v>
      </c>
      <c r="BD137" s="54"/>
      <c r="BE137" s="55"/>
      <c r="BF137" s="45"/>
    </row>
    <row r="138" spans="1:58" ht="26.25" customHeight="1" x14ac:dyDescent="0.45">
      <c r="A138" s="56" t="s">
        <v>551</v>
      </c>
      <c r="B138" s="506" t="s">
        <v>552</v>
      </c>
      <c r="C138" s="507" t="s">
        <v>553</v>
      </c>
      <c r="D138" s="507" t="s">
        <v>39</v>
      </c>
      <c r="E138" s="507" t="s">
        <v>112</v>
      </c>
      <c r="F138" s="507" t="s">
        <v>39</v>
      </c>
      <c r="G138" s="507">
        <v>100</v>
      </c>
      <c r="H138" s="508" t="s">
        <v>113</v>
      </c>
      <c r="I138" s="507" t="s">
        <v>114</v>
      </c>
      <c r="J138" s="508" t="s">
        <v>115</v>
      </c>
      <c r="K138" s="57" t="s">
        <v>554</v>
      </c>
      <c r="L138" s="58" t="s">
        <v>21</v>
      </c>
      <c r="M138" s="59" t="s">
        <v>555</v>
      </c>
      <c r="N138" s="60" t="s">
        <v>71</v>
      </c>
      <c r="O138" s="61">
        <v>26</v>
      </c>
      <c r="P138" s="62">
        <v>83.24</v>
      </c>
      <c r="Q138" s="63">
        <f t="shared" ref="Q138:Q183" si="115">ROUND(P138*$O138,2)</f>
        <v>2164.2399999999998</v>
      </c>
      <c r="R138" s="61">
        <f>IFERROR(SUMIFS('BM MORRO DA CRUZ - VERTICAL'!V$6:V$546,'BM MORRO DA CRUZ - VERTICAL'!$O$6:$O$546,'BM MORRO DA CRUZ'!$K138),0)</f>
        <v>0</v>
      </c>
      <c r="S138" s="63">
        <f t="shared" ref="S138:S183" si="116">ROUND(R138*$P138,2)</f>
        <v>0</v>
      </c>
      <c r="T138" s="61">
        <f>IFERROR(SUMIFS('BM MORRO DA CRUZ - VERTICAL'!X$6:X$546,'BM MORRO DA CRUZ - VERTICAL'!$O$6:$O$546,'BM MORRO DA CRUZ'!$K138),0)</f>
        <v>0</v>
      </c>
      <c r="U138" s="63">
        <f t="shared" ref="U138:U183" si="117">ROUND(T138*$P138,2)</f>
        <v>0</v>
      </c>
      <c r="V138" s="61">
        <f>IFERROR(SUMIFS('BM MORRO DA CRUZ - VERTICAL'!Z$6:Z$546,'BM MORRO DA CRUZ - VERTICAL'!$O$6:$O$546,'BM MORRO DA CRUZ'!$K138),0)</f>
        <v>0</v>
      </c>
      <c r="W138" s="63">
        <f t="shared" ref="W138:W183" si="118">ROUND(V138*$P138,2)</f>
        <v>0</v>
      </c>
      <c r="X138" s="61">
        <f>IFERROR(SUMIFS('BM MORRO DA CRUZ - VERTICAL'!AB$6:AB$546,'BM MORRO DA CRUZ - VERTICAL'!$O$6:$O$546,'BM MORRO DA CRUZ'!$K138),0)</f>
        <v>0</v>
      </c>
      <c r="Y138" s="63">
        <f t="shared" ref="Y138:Y183" si="119">ROUND(X138*$P138,2)</f>
        <v>0</v>
      </c>
      <c r="Z138" s="61">
        <f>IFERROR(SUMIFS('BM MORRO DA CRUZ - VERTICAL'!AD$6:AD$546,'BM MORRO DA CRUZ - VERTICAL'!$O$6:$O$546,'BM MORRO DA CRUZ'!$K138),0)</f>
        <v>0</v>
      </c>
      <c r="AA138" s="63">
        <f t="shared" ref="AA138:AA183" si="120">ROUND(Z138*$P138,2)</f>
        <v>0</v>
      </c>
      <c r="AB138" s="61">
        <f>IFERROR(SUMIFS('BM MORRO DA CRUZ - VERTICAL'!AF$6:AF$546,'BM MORRO DA CRUZ - VERTICAL'!$O$6:$O$546,'BM MORRO DA CRUZ'!$K138),0)</f>
        <v>0</v>
      </c>
      <c r="AC138" s="63">
        <f t="shared" ref="AC138:AC183" si="121">ROUND(AB138*$P138,2)</f>
        <v>0</v>
      </c>
      <c r="AD138" s="61">
        <f>IFERROR(SUMIFS('BM MORRO DA CRUZ - VERTICAL'!AH$6:AH$546,'BM MORRO DA CRUZ - VERTICAL'!$O$6:$O$546,'BM MORRO DA CRUZ'!$K138),0)</f>
        <v>0</v>
      </c>
      <c r="AE138" s="63">
        <f t="shared" ref="AE138:AE183" si="122">ROUND(AD138*$P138,2)</f>
        <v>0</v>
      </c>
      <c r="AF138" s="61">
        <f>IFERROR(SUMIFS('BM MORRO DA CRUZ - VERTICAL'!AJ$6:AJ$546,'BM MORRO DA CRUZ - VERTICAL'!$O$6:$O$546,'BM MORRO DA CRUZ'!$K138),0)</f>
        <v>0</v>
      </c>
      <c r="AG138" s="63">
        <f t="shared" ref="AG138:AG183" si="123">ROUND(AF138*$P138,2)</f>
        <v>0</v>
      </c>
      <c r="AH138" s="61">
        <f>IFERROR(SUMIFS('BM MORRO DA CRUZ - VERTICAL'!AL$6:AL$546,'BM MORRO DA CRUZ - VERTICAL'!$O$6:$O$546,'BM MORRO DA CRUZ'!$K138),0)</f>
        <v>0</v>
      </c>
      <c r="AI138" s="63">
        <f t="shared" ref="AI138:AI183" si="124">ROUND(AH138*$P138,2)</f>
        <v>0</v>
      </c>
      <c r="AJ138" s="61">
        <f>IFERROR(SUMIFS('BM MORRO DA CRUZ - VERTICAL'!AN$6:AN$546,'BM MORRO DA CRUZ - VERTICAL'!$O$6:$O$546,'BM MORRO DA CRUZ'!$K138),0)</f>
        <v>0</v>
      </c>
      <c r="AK138" s="63">
        <f t="shared" ref="AK138:AK183" si="125">ROUND(AJ138*$P138,2)</f>
        <v>0</v>
      </c>
      <c r="AL138" s="61">
        <f>IFERROR(SUMIFS('BM MORRO DA CRUZ - VERTICAL'!AP$6:AP$546,'BM MORRO DA CRUZ - VERTICAL'!$O$6:$O$546,'BM MORRO DA CRUZ'!$K138),0)</f>
        <v>0</v>
      </c>
      <c r="AM138" s="63">
        <f t="shared" ref="AM138:AM183" si="126">ROUND(AL138*$P138,2)</f>
        <v>0</v>
      </c>
      <c r="AN138" s="61">
        <f>IFERROR(SUMIFS('BM MORRO DA CRUZ - VERTICAL'!AR$6:AR$546,'BM MORRO DA CRUZ - VERTICAL'!$O$6:$O$546,'BM MORRO DA CRUZ'!$K138),0)</f>
        <v>0</v>
      </c>
      <c r="AO138" s="63">
        <f t="shared" ref="AO138:AO183" si="127">ROUND(AN138*$P138,2)</f>
        <v>0</v>
      </c>
      <c r="AP138" s="61">
        <f>IFERROR(SUMIFS('BM MORRO DA CRUZ - VERTICAL'!AT$6:AT$546,'BM MORRO DA CRUZ - VERTICAL'!$O$6:$O$546,'BM MORRO DA CRUZ'!$K138),0)</f>
        <v>0</v>
      </c>
      <c r="AQ138" s="63">
        <f t="shared" ref="AQ138:AQ183" si="128">ROUND(AP138*$P138,2)</f>
        <v>0</v>
      </c>
      <c r="AR138" s="61">
        <f>IFERROR(SUMIFS('BM MORRO DA CRUZ - VERTICAL'!AV$6:AV$546,'BM MORRO DA CRUZ - VERTICAL'!$O$6:$O$546,'BM MORRO DA CRUZ'!$K138),0)</f>
        <v>0</v>
      </c>
      <c r="AS138" s="63">
        <f t="shared" ref="AS138:AS183" si="129">ROUND(AR138*$P138,2)</f>
        <v>0</v>
      </c>
      <c r="AT138" s="61">
        <f>IFERROR(SUMIFS('BM MORRO DA CRUZ - VERTICAL'!AX$6:AX$546,'BM MORRO DA CRUZ - VERTICAL'!$O$6:$O$546,'BM MORRO DA CRUZ'!$K138),0)</f>
        <v>0</v>
      </c>
      <c r="AU138" s="63">
        <f t="shared" ref="AU138:AU183" si="130">ROUND(AT138*$P138,2)</f>
        <v>0</v>
      </c>
      <c r="AV138" s="61">
        <f>IFERROR(SUMIFS('BM MORRO DA CRUZ - VERTICAL'!AZ$6:AZ$546,'BM MORRO DA CRUZ - VERTICAL'!$O$6:$O$546,'BM MORRO DA CRUZ'!$K138),0)</f>
        <v>0</v>
      </c>
      <c r="AW138" s="63">
        <f t="shared" ref="AW138:AW183" si="131">ROUND(AV138*$P138,2)</f>
        <v>0</v>
      </c>
      <c r="AX138" s="61">
        <f>IFERROR(SUMIFS('BM MORRO DA CRUZ - VERTICAL'!BB$6:BB$546,'BM MORRO DA CRUZ - VERTICAL'!$O$6:$O$546,'BM MORRO DA CRUZ'!$K138),0)</f>
        <v>0</v>
      </c>
      <c r="AY138" s="63">
        <f t="shared" ref="AY138:AY183" si="132">ROUND(AX138*$P138,2)</f>
        <v>0</v>
      </c>
      <c r="AZ138" s="61">
        <f>IFERROR(SUMIFS('BM MORRO DA CRUZ - VERTICAL'!BD$6:BD$546,'BM MORRO DA CRUZ - VERTICAL'!$O$6:$O$546,'BM MORRO DA CRUZ'!$K138),0)</f>
        <v>0</v>
      </c>
      <c r="BA138" s="63">
        <f t="shared" ref="BA138:BA183" si="133">ROUND(AZ138*$P138,2)</f>
        <v>0</v>
      </c>
      <c r="BB138" s="61">
        <f t="shared" ref="BB138:BB183" si="134">IFERROR(SUMIFS($R138:$BA138,$R$5:$BA$5,$BB$5),0)</f>
        <v>0</v>
      </c>
      <c r="BC138" s="63">
        <f t="shared" ref="BC138:BC183" si="135">SUMIFS($R138:$BA138,$R$5:$BA$5,$S$5)</f>
        <v>0</v>
      </c>
      <c r="BD138" s="64">
        <f t="shared" ref="BD138:BD183" si="136">IFERROR(BB138/O138,0)</f>
        <v>0</v>
      </c>
      <c r="BE138" s="65">
        <f t="shared" ref="BE138:BE183" si="137">IFERROR((O138-BB138)/O138,0)</f>
        <v>1</v>
      </c>
      <c r="BF138" s="45"/>
    </row>
    <row r="139" spans="1:58" ht="26.25" customHeight="1" x14ac:dyDescent="0.45">
      <c r="A139" s="56" t="s">
        <v>556</v>
      </c>
      <c r="B139" s="506" t="s">
        <v>552</v>
      </c>
      <c r="C139" s="507" t="s">
        <v>553</v>
      </c>
      <c r="D139" s="507" t="s">
        <v>39</v>
      </c>
      <c r="E139" s="507" t="s">
        <v>112</v>
      </c>
      <c r="F139" s="507" t="s">
        <v>39</v>
      </c>
      <c r="G139" s="507">
        <v>150</v>
      </c>
      <c r="H139" s="508" t="s">
        <v>113</v>
      </c>
      <c r="I139" s="507" t="s">
        <v>114</v>
      </c>
      <c r="J139" s="508" t="s">
        <v>115</v>
      </c>
      <c r="K139" s="57" t="s">
        <v>557</v>
      </c>
      <c r="L139" s="58" t="s">
        <v>21</v>
      </c>
      <c r="M139" s="59" t="s">
        <v>558</v>
      </c>
      <c r="N139" s="60" t="s">
        <v>71</v>
      </c>
      <c r="O139" s="61">
        <v>37</v>
      </c>
      <c r="P139" s="62">
        <v>95.81</v>
      </c>
      <c r="Q139" s="63">
        <f t="shared" si="115"/>
        <v>3544.97</v>
      </c>
      <c r="R139" s="61">
        <f>IFERROR(SUMIFS('BM MORRO DA CRUZ - VERTICAL'!V$6:V$546,'BM MORRO DA CRUZ - VERTICAL'!$O$6:$O$546,'BM MORRO DA CRUZ'!$K139),0)</f>
        <v>0</v>
      </c>
      <c r="S139" s="63">
        <f t="shared" si="116"/>
        <v>0</v>
      </c>
      <c r="T139" s="61">
        <f>IFERROR(SUMIFS('BM MORRO DA CRUZ - VERTICAL'!X$6:X$546,'BM MORRO DA CRUZ - VERTICAL'!$O$6:$O$546,'BM MORRO DA CRUZ'!$K139),0)</f>
        <v>0</v>
      </c>
      <c r="U139" s="63">
        <f t="shared" si="117"/>
        <v>0</v>
      </c>
      <c r="V139" s="61">
        <f>IFERROR(SUMIFS('BM MORRO DA CRUZ - VERTICAL'!Z$6:Z$546,'BM MORRO DA CRUZ - VERTICAL'!$O$6:$O$546,'BM MORRO DA CRUZ'!$K139),0)</f>
        <v>0</v>
      </c>
      <c r="W139" s="63">
        <f t="shared" si="118"/>
        <v>0</v>
      </c>
      <c r="X139" s="61">
        <f>IFERROR(SUMIFS('BM MORRO DA CRUZ - VERTICAL'!AB$6:AB$546,'BM MORRO DA CRUZ - VERTICAL'!$O$6:$O$546,'BM MORRO DA CRUZ'!$K139),0)</f>
        <v>0</v>
      </c>
      <c r="Y139" s="63">
        <f t="shared" si="119"/>
        <v>0</v>
      </c>
      <c r="Z139" s="61">
        <f>IFERROR(SUMIFS('BM MORRO DA CRUZ - VERTICAL'!AD$6:AD$546,'BM MORRO DA CRUZ - VERTICAL'!$O$6:$O$546,'BM MORRO DA CRUZ'!$K139),0)</f>
        <v>0</v>
      </c>
      <c r="AA139" s="63">
        <f t="shared" si="120"/>
        <v>0</v>
      </c>
      <c r="AB139" s="61">
        <f>IFERROR(SUMIFS('BM MORRO DA CRUZ - VERTICAL'!AF$6:AF$546,'BM MORRO DA CRUZ - VERTICAL'!$O$6:$O$546,'BM MORRO DA CRUZ'!$K139),0)</f>
        <v>0</v>
      </c>
      <c r="AC139" s="63">
        <f t="shared" si="121"/>
        <v>0</v>
      </c>
      <c r="AD139" s="61">
        <f>IFERROR(SUMIFS('BM MORRO DA CRUZ - VERTICAL'!AH$6:AH$546,'BM MORRO DA CRUZ - VERTICAL'!$O$6:$O$546,'BM MORRO DA CRUZ'!$K139),0)</f>
        <v>0</v>
      </c>
      <c r="AE139" s="63">
        <f t="shared" si="122"/>
        <v>0</v>
      </c>
      <c r="AF139" s="61">
        <f>IFERROR(SUMIFS('BM MORRO DA CRUZ - VERTICAL'!AJ$6:AJ$546,'BM MORRO DA CRUZ - VERTICAL'!$O$6:$O$546,'BM MORRO DA CRUZ'!$K139),0)</f>
        <v>0</v>
      </c>
      <c r="AG139" s="63">
        <f t="shared" si="123"/>
        <v>0</v>
      </c>
      <c r="AH139" s="61">
        <f>IFERROR(SUMIFS('BM MORRO DA CRUZ - VERTICAL'!AL$6:AL$546,'BM MORRO DA CRUZ - VERTICAL'!$O$6:$O$546,'BM MORRO DA CRUZ'!$K139),0)</f>
        <v>0</v>
      </c>
      <c r="AI139" s="63">
        <f t="shared" si="124"/>
        <v>0</v>
      </c>
      <c r="AJ139" s="61">
        <f>IFERROR(SUMIFS('BM MORRO DA CRUZ - VERTICAL'!AN$6:AN$546,'BM MORRO DA CRUZ - VERTICAL'!$O$6:$O$546,'BM MORRO DA CRUZ'!$K139),0)</f>
        <v>0</v>
      </c>
      <c r="AK139" s="63">
        <f t="shared" si="125"/>
        <v>0</v>
      </c>
      <c r="AL139" s="61">
        <f>IFERROR(SUMIFS('BM MORRO DA CRUZ - VERTICAL'!AP$6:AP$546,'BM MORRO DA CRUZ - VERTICAL'!$O$6:$O$546,'BM MORRO DA CRUZ'!$K139),0)</f>
        <v>0</v>
      </c>
      <c r="AM139" s="63">
        <f t="shared" si="126"/>
        <v>0</v>
      </c>
      <c r="AN139" s="61">
        <f>IFERROR(SUMIFS('BM MORRO DA CRUZ - VERTICAL'!AR$6:AR$546,'BM MORRO DA CRUZ - VERTICAL'!$O$6:$O$546,'BM MORRO DA CRUZ'!$K139),0)</f>
        <v>0</v>
      </c>
      <c r="AO139" s="63">
        <f t="shared" si="127"/>
        <v>0</v>
      </c>
      <c r="AP139" s="61">
        <f>IFERROR(SUMIFS('BM MORRO DA CRUZ - VERTICAL'!AT$6:AT$546,'BM MORRO DA CRUZ - VERTICAL'!$O$6:$O$546,'BM MORRO DA CRUZ'!$K139),0)</f>
        <v>0</v>
      </c>
      <c r="AQ139" s="63">
        <f t="shared" si="128"/>
        <v>0</v>
      </c>
      <c r="AR139" s="61">
        <f>IFERROR(SUMIFS('BM MORRO DA CRUZ - VERTICAL'!AV$6:AV$546,'BM MORRO DA CRUZ - VERTICAL'!$O$6:$O$546,'BM MORRO DA CRUZ'!$K139),0)</f>
        <v>0</v>
      </c>
      <c r="AS139" s="63">
        <f t="shared" si="129"/>
        <v>0</v>
      </c>
      <c r="AT139" s="61">
        <f>IFERROR(SUMIFS('BM MORRO DA CRUZ - VERTICAL'!AX$6:AX$546,'BM MORRO DA CRUZ - VERTICAL'!$O$6:$O$546,'BM MORRO DA CRUZ'!$K139),0)</f>
        <v>0</v>
      </c>
      <c r="AU139" s="63">
        <f t="shared" si="130"/>
        <v>0</v>
      </c>
      <c r="AV139" s="61">
        <f>IFERROR(SUMIFS('BM MORRO DA CRUZ - VERTICAL'!AZ$6:AZ$546,'BM MORRO DA CRUZ - VERTICAL'!$O$6:$O$546,'BM MORRO DA CRUZ'!$K139),0)</f>
        <v>0</v>
      </c>
      <c r="AW139" s="63">
        <f t="shared" si="131"/>
        <v>0</v>
      </c>
      <c r="AX139" s="61">
        <f>IFERROR(SUMIFS('BM MORRO DA CRUZ - VERTICAL'!BB$6:BB$546,'BM MORRO DA CRUZ - VERTICAL'!$O$6:$O$546,'BM MORRO DA CRUZ'!$K139),0)</f>
        <v>0</v>
      </c>
      <c r="AY139" s="63">
        <f t="shared" si="132"/>
        <v>0</v>
      </c>
      <c r="AZ139" s="61">
        <f>IFERROR(SUMIFS('BM MORRO DA CRUZ - VERTICAL'!BD$6:BD$546,'BM MORRO DA CRUZ - VERTICAL'!$O$6:$O$546,'BM MORRO DA CRUZ'!$K139),0)</f>
        <v>0</v>
      </c>
      <c r="BA139" s="63">
        <f t="shared" si="133"/>
        <v>0</v>
      </c>
      <c r="BB139" s="61">
        <f t="shared" si="134"/>
        <v>0</v>
      </c>
      <c r="BC139" s="63">
        <f t="shared" si="135"/>
        <v>0</v>
      </c>
      <c r="BD139" s="64">
        <f t="shared" si="136"/>
        <v>0</v>
      </c>
      <c r="BE139" s="65">
        <f t="shared" si="137"/>
        <v>1</v>
      </c>
      <c r="BF139" s="45"/>
    </row>
    <row r="140" spans="1:58" ht="26.25" customHeight="1" x14ac:dyDescent="0.45">
      <c r="A140" s="56" t="s">
        <v>559</v>
      </c>
      <c r="B140" s="506" t="s">
        <v>552</v>
      </c>
      <c r="C140" s="507" t="s">
        <v>553</v>
      </c>
      <c r="D140" s="507" t="s">
        <v>39</v>
      </c>
      <c r="E140" s="507" t="s">
        <v>112</v>
      </c>
      <c r="F140" s="507" t="s">
        <v>39</v>
      </c>
      <c r="G140" s="507">
        <v>200</v>
      </c>
      <c r="H140" s="508" t="s">
        <v>113</v>
      </c>
      <c r="I140" s="507" t="s">
        <v>114</v>
      </c>
      <c r="J140" s="508" t="s">
        <v>115</v>
      </c>
      <c r="K140" s="57" t="s">
        <v>560</v>
      </c>
      <c r="L140" s="58" t="s">
        <v>21</v>
      </c>
      <c r="M140" s="59" t="s">
        <v>561</v>
      </c>
      <c r="N140" s="60" t="s">
        <v>71</v>
      </c>
      <c r="O140" s="61">
        <v>50</v>
      </c>
      <c r="P140" s="62">
        <v>112.58</v>
      </c>
      <c r="Q140" s="63">
        <f t="shared" si="115"/>
        <v>5629</v>
      </c>
      <c r="R140" s="61">
        <f>IFERROR(SUMIFS('BM MORRO DA CRUZ - VERTICAL'!V$6:V$546,'BM MORRO DA CRUZ - VERTICAL'!$O$6:$O$546,'BM MORRO DA CRUZ'!$K140),0)</f>
        <v>0</v>
      </c>
      <c r="S140" s="63">
        <f t="shared" si="116"/>
        <v>0</v>
      </c>
      <c r="T140" s="61">
        <f>IFERROR(SUMIFS('BM MORRO DA CRUZ - VERTICAL'!X$6:X$546,'BM MORRO DA CRUZ - VERTICAL'!$O$6:$O$546,'BM MORRO DA CRUZ'!$K140),0)</f>
        <v>0</v>
      </c>
      <c r="U140" s="63">
        <f t="shared" si="117"/>
        <v>0</v>
      </c>
      <c r="V140" s="61">
        <f>IFERROR(SUMIFS('BM MORRO DA CRUZ - VERTICAL'!Z$6:Z$546,'BM MORRO DA CRUZ - VERTICAL'!$O$6:$O$546,'BM MORRO DA CRUZ'!$K140),0)</f>
        <v>0</v>
      </c>
      <c r="W140" s="63">
        <f t="shared" si="118"/>
        <v>0</v>
      </c>
      <c r="X140" s="61">
        <f>IFERROR(SUMIFS('BM MORRO DA CRUZ - VERTICAL'!AB$6:AB$546,'BM MORRO DA CRUZ - VERTICAL'!$O$6:$O$546,'BM MORRO DA CRUZ'!$K140),0)</f>
        <v>0</v>
      </c>
      <c r="Y140" s="63">
        <f t="shared" si="119"/>
        <v>0</v>
      </c>
      <c r="Z140" s="61">
        <f>IFERROR(SUMIFS('BM MORRO DA CRUZ - VERTICAL'!AD$6:AD$546,'BM MORRO DA CRUZ - VERTICAL'!$O$6:$O$546,'BM MORRO DA CRUZ'!$K140),0)</f>
        <v>0</v>
      </c>
      <c r="AA140" s="63">
        <f t="shared" si="120"/>
        <v>0</v>
      </c>
      <c r="AB140" s="61">
        <f>IFERROR(SUMIFS('BM MORRO DA CRUZ - VERTICAL'!AF$6:AF$546,'BM MORRO DA CRUZ - VERTICAL'!$O$6:$O$546,'BM MORRO DA CRUZ'!$K140),0)</f>
        <v>0</v>
      </c>
      <c r="AC140" s="63">
        <f t="shared" si="121"/>
        <v>0</v>
      </c>
      <c r="AD140" s="61">
        <f>IFERROR(SUMIFS('BM MORRO DA CRUZ - VERTICAL'!AH$6:AH$546,'BM MORRO DA CRUZ - VERTICAL'!$O$6:$O$546,'BM MORRO DA CRUZ'!$K140),0)</f>
        <v>0</v>
      </c>
      <c r="AE140" s="63">
        <f t="shared" si="122"/>
        <v>0</v>
      </c>
      <c r="AF140" s="61">
        <f>IFERROR(SUMIFS('BM MORRO DA CRUZ - VERTICAL'!AJ$6:AJ$546,'BM MORRO DA CRUZ - VERTICAL'!$O$6:$O$546,'BM MORRO DA CRUZ'!$K140),0)</f>
        <v>0</v>
      </c>
      <c r="AG140" s="63">
        <f t="shared" si="123"/>
        <v>0</v>
      </c>
      <c r="AH140" s="61">
        <f>IFERROR(SUMIFS('BM MORRO DA CRUZ - VERTICAL'!AL$6:AL$546,'BM MORRO DA CRUZ - VERTICAL'!$O$6:$O$546,'BM MORRO DA CRUZ'!$K140),0)</f>
        <v>0</v>
      </c>
      <c r="AI140" s="63">
        <f t="shared" si="124"/>
        <v>0</v>
      </c>
      <c r="AJ140" s="61">
        <f>IFERROR(SUMIFS('BM MORRO DA CRUZ - VERTICAL'!AN$6:AN$546,'BM MORRO DA CRUZ - VERTICAL'!$O$6:$O$546,'BM MORRO DA CRUZ'!$K140),0)</f>
        <v>0</v>
      </c>
      <c r="AK140" s="63">
        <f t="shared" si="125"/>
        <v>0</v>
      </c>
      <c r="AL140" s="61">
        <f>IFERROR(SUMIFS('BM MORRO DA CRUZ - VERTICAL'!AP$6:AP$546,'BM MORRO DA CRUZ - VERTICAL'!$O$6:$O$546,'BM MORRO DA CRUZ'!$K140),0)</f>
        <v>0</v>
      </c>
      <c r="AM140" s="63">
        <f t="shared" si="126"/>
        <v>0</v>
      </c>
      <c r="AN140" s="61">
        <f>IFERROR(SUMIFS('BM MORRO DA CRUZ - VERTICAL'!AR$6:AR$546,'BM MORRO DA CRUZ - VERTICAL'!$O$6:$O$546,'BM MORRO DA CRUZ'!$K140),0)</f>
        <v>0</v>
      </c>
      <c r="AO140" s="63">
        <f t="shared" si="127"/>
        <v>0</v>
      </c>
      <c r="AP140" s="61">
        <f>IFERROR(SUMIFS('BM MORRO DA CRUZ - VERTICAL'!AT$6:AT$546,'BM MORRO DA CRUZ - VERTICAL'!$O$6:$O$546,'BM MORRO DA CRUZ'!$K140),0)</f>
        <v>0</v>
      </c>
      <c r="AQ140" s="63">
        <f t="shared" si="128"/>
        <v>0</v>
      </c>
      <c r="AR140" s="61">
        <f>IFERROR(SUMIFS('BM MORRO DA CRUZ - VERTICAL'!AV$6:AV$546,'BM MORRO DA CRUZ - VERTICAL'!$O$6:$O$546,'BM MORRO DA CRUZ'!$K140),0)</f>
        <v>0</v>
      </c>
      <c r="AS140" s="63">
        <f t="shared" si="129"/>
        <v>0</v>
      </c>
      <c r="AT140" s="61">
        <f>IFERROR(SUMIFS('BM MORRO DA CRUZ - VERTICAL'!AX$6:AX$546,'BM MORRO DA CRUZ - VERTICAL'!$O$6:$O$546,'BM MORRO DA CRUZ'!$K140),0)</f>
        <v>0</v>
      </c>
      <c r="AU140" s="63">
        <f t="shared" si="130"/>
        <v>0</v>
      </c>
      <c r="AV140" s="61">
        <f>IFERROR(SUMIFS('BM MORRO DA CRUZ - VERTICAL'!AZ$6:AZ$546,'BM MORRO DA CRUZ - VERTICAL'!$O$6:$O$546,'BM MORRO DA CRUZ'!$K140),0)</f>
        <v>0</v>
      </c>
      <c r="AW140" s="63">
        <f t="shared" si="131"/>
        <v>0</v>
      </c>
      <c r="AX140" s="61">
        <f>IFERROR(SUMIFS('BM MORRO DA CRUZ - VERTICAL'!BB$6:BB$546,'BM MORRO DA CRUZ - VERTICAL'!$O$6:$O$546,'BM MORRO DA CRUZ'!$K140),0)</f>
        <v>0</v>
      </c>
      <c r="AY140" s="63">
        <f t="shared" si="132"/>
        <v>0</v>
      </c>
      <c r="AZ140" s="61">
        <f>IFERROR(SUMIFS('BM MORRO DA CRUZ - VERTICAL'!BD$6:BD$546,'BM MORRO DA CRUZ - VERTICAL'!$O$6:$O$546,'BM MORRO DA CRUZ'!$K140),0)</f>
        <v>0</v>
      </c>
      <c r="BA140" s="63">
        <f t="shared" si="133"/>
        <v>0</v>
      </c>
      <c r="BB140" s="61">
        <f t="shared" si="134"/>
        <v>0</v>
      </c>
      <c r="BC140" s="63">
        <f t="shared" si="135"/>
        <v>0</v>
      </c>
      <c r="BD140" s="64">
        <f t="shared" si="136"/>
        <v>0</v>
      </c>
      <c r="BE140" s="65">
        <f t="shared" si="137"/>
        <v>1</v>
      </c>
      <c r="BF140" s="45"/>
    </row>
    <row r="141" spans="1:58" ht="26.25" customHeight="1" x14ac:dyDescent="0.45">
      <c r="A141" s="56" t="s">
        <v>562</v>
      </c>
      <c r="B141" s="506" t="s">
        <v>552</v>
      </c>
      <c r="C141" s="507" t="s">
        <v>553</v>
      </c>
      <c r="D141" s="507" t="s">
        <v>39</v>
      </c>
      <c r="E141" s="507" t="s">
        <v>112</v>
      </c>
      <c r="F141" s="507" t="s">
        <v>39</v>
      </c>
      <c r="G141" s="507">
        <v>250</v>
      </c>
      <c r="H141" s="508" t="s">
        <v>113</v>
      </c>
      <c r="I141" s="507" t="s">
        <v>114</v>
      </c>
      <c r="J141" s="508" t="s">
        <v>115</v>
      </c>
      <c r="K141" s="57" t="s">
        <v>563</v>
      </c>
      <c r="L141" s="58" t="s">
        <v>21</v>
      </c>
      <c r="M141" s="59" t="s">
        <v>564</v>
      </c>
      <c r="N141" s="60" t="s">
        <v>71</v>
      </c>
      <c r="O141" s="61">
        <v>6</v>
      </c>
      <c r="P141" s="62">
        <v>161.09</v>
      </c>
      <c r="Q141" s="63">
        <f t="shared" si="115"/>
        <v>966.54</v>
      </c>
      <c r="R141" s="61">
        <f>IFERROR(SUMIFS('BM MORRO DA CRUZ - VERTICAL'!V$6:V$546,'BM MORRO DA CRUZ - VERTICAL'!$O$6:$O$546,'BM MORRO DA CRUZ'!$K141),0)</f>
        <v>0</v>
      </c>
      <c r="S141" s="63">
        <f t="shared" si="116"/>
        <v>0</v>
      </c>
      <c r="T141" s="61">
        <f>IFERROR(SUMIFS('BM MORRO DA CRUZ - VERTICAL'!X$6:X$546,'BM MORRO DA CRUZ - VERTICAL'!$O$6:$O$546,'BM MORRO DA CRUZ'!$K141),0)</f>
        <v>0</v>
      </c>
      <c r="U141" s="63">
        <f t="shared" si="117"/>
        <v>0</v>
      </c>
      <c r="V141" s="61">
        <f>IFERROR(SUMIFS('BM MORRO DA CRUZ - VERTICAL'!Z$6:Z$546,'BM MORRO DA CRUZ - VERTICAL'!$O$6:$O$546,'BM MORRO DA CRUZ'!$K141),0)</f>
        <v>0</v>
      </c>
      <c r="W141" s="63">
        <f t="shared" si="118"/>
        <v>0</v>
      </c>
      <c r="X141" s="61">
        <f>IFERROR(SUMIFS('BM MORRO DA CRUZ - VERTICAL'!AB$6:AB$546,'BM MORRO DA CRUZ - VERTICAL'!$O$6:$O$546,'BM MORRO DA CRUZ'!$K141),0)</f>
        <v>0</v>
      </c>
      <c r="Y141" s="63">
        <f t="shared" si="119"/>
        <v>0</v>
      </c>
      <c r="Z141" s="61">
        <f>IFERROR(SUMIFS('BM MORRO DA CRUZ - VERTICAL'!AD$6:AD$546,'BM MORRO DA CRUZ - VERTICAL'!$O$6:$O$546,'BM MORRO DA CRUZ'!$K141),0)</f>
        <v>0</v>
      </c>
      <c r="AA141" s="63">
        <f t="shared" si="120"/>
        <v>0</v>
      </c>
      <c r="AB141" s="61">
        <f>IFERROR(SUMIFS('BM MORRO DA CRUZ - VERTICAL'!AF$6:AF$546,'BM MORRO DA CRUZ - VERTICAL'!$O$6:$O$546,'BM MORRO DA CRUZ'!$K141),0)</f>
        <v>0</v>
      </c>
      <c r="AC141" s="63">
        <f t="shared" si="121"/>
        <v>0</v>
      </c>
      <c r="AD141" s="61">
        <f>IFERROR(SUMIFS('BM MORRO DA CRUZ - VERTICAL'!AH$6:AH$546,'BM MORRO DA CRUZ - VERTICAL'!$O$6:$O$546,'BM MORRO DA CRUZ'!$K141),0)</f>
        <v>0</v>
      </c>
      <c r="AE141" s="63">
        <f t="shared" si="122"/>
        <v>0</v>
      </c>
      <c r="AF141" s="61">
        <f>IFERROR(SUMIFS('BM MORRO DA CRUZ - VERTICAL'!AJ$6:AJ$546,'BM MORRO DA CRUZ - VERTICAL'!$O$6:$O$546,'BM MORRO DA CRUZ'!$K141),0)</f>
        <v>0</v>
      </c>
      <c r="AG141" s="63">
        <f t="shared" si="123"/>
        <v>0</v>
      </c>
      <c r="AH141" s="61">
        <f>IFERROR(SUMIFS('BM MORRO DA CRUZ - VERTICAL'!AL$6:AL$546,'BM MORRO DA CRUZ - VERTICAL'!$O$6:$O$546,'BM MORRO DA CRUZ'!$K141),0)</f>
        <v>0</v>
      </c>
      <c r="AI141" s="63">
        <f t="shared" si="124"/>
        <v>0</v>
      </c>
      <c r="AJ141" s="61">
        <f>IFERROR(SUMIFS('BM MORRO DA CRUZ - VERTICAL'!AN$6:AN$546,'BM MORRO DA CRUZ - VERTICAL'!$O$6:$O$546,'BM MORRO DA CRUZ'!$K141),0)</f>
        <v>0</v>
      </c>
      <c r="AK141" s="63">
        <f t="shared" si="125"/>
        <v>0</v>
      </c>
      <c r="AL141" s="61">
        <f>IFERROR(SUMIFS('BM MORRO DA CRUZ - VERTICAL'!AP$6:AP$546,'BM MORRO DA CRUZ - VERTICAL'!$O$6:$O$546,'BM MORRO DA CRUZ'!$K141),0)</f>
        <v>0</v>
      </c>
      <c r="AM141" s="63">
        <f t="shared" si="126"/>
        <v>0</v>
      </c>
      <c r="AN141" s="61">
        <f>IFERROR(SUMIFS('BM MORRO DA CRUZ - VERTICAL'!AR$6:AR$546,'BM MORRO DA CRUZ - VERTICAL'!$O$6:$O$546,'BM MORRO DA CRUZ'!$K141),0)</f>
        <v>0</v>
      </c>
      <c r="AO141" s="63">
        <f t="shared" si="127"/>
        <v>0</v>
      </c>
      <c r="AP141" s="61">
        <f>IFERROR(SUMIFS('BM MORRO DA CRUZ - VERTICAL'!AT$6:AT$546,'BM MORRO DA CRUZ - VERTICAL'!$O$6:$O$546,'BM MORRO DA CRUZ'!$K141),0)</f>
        <v>0</v>
      </c>
      <c r="AQ141" s="63">
        <f t="shared" si="128"/>
        <v>0</v>
      </c>
      <c r="AR141" s="61">
        <f>IFERROR(SUMIFS('BM MORRO DA CRUZ - VERTICAL'!AV$6:AV$546,'BM MORRO DA CRUZ - VERTICAL'!$O$6:$O$546,'BM MORRO DA CRUZ'!$K141),0)</f>
        <v>0</v>
      </c>
      <c r="AS141" s="63">
        <f t="shared" si="129"/>
        <v>0</v>
      </c>
      <c r="AT141" s="61">
        <f>IFERROR(SUMIFS('BM MORRO DA CRUZ - VERTICAL'!AX$6:AX$546,'BM MORRO DA CRUZ - VERTICAL'!$O$6:$O$546,'BM MORRO DA CRUZ'!$K141),0)</f>
        <v>0</v>
      </c>
      <c r="AU141" s="63">
        <f t="shared" si="130"/>
        <v>0</v>
      </c>
      <c r="AV141" s="61">
        <f>IFERROR(SUMIFS('BM MORRO DA CRUZ - VERTICAL'!AZ$6:AZ$546,'BM MORRO DA CRUZ - VERTICAL'!$O$6:$O$546,'BM MORRO DA CRUZ'!$K141),0)</f>
        <v>0</v>
      </c>
      <c r="AW141" s="63">
        <f t="shared" si="131"/>
        <v>0</v>
      </c>
      <c r="AX141" s="61">
        <f>IFERROR(SUMIFS('BM MORRO DA CRUZ - VERTICAL'!BB$6:BB$546,'BM MORRO DA CRUZ - VERTICAL'!$O$6:$O$546,'BM MORRO DA CRUZ'!$K141),0)</f>
        <v>0</v>
      </c>
      <c r="AY141" s="63">
        <f t="shared" si="132"/>
        <v>0</v>
      </c>
      <c r="AZ141" s="61">
        <f>IFERROR(SUMIFS('BM MORRO DA CRUZ - VERTICAL'!BD$6:BD$546,'BM MORRO DA CRUZ - VERTICAL'!$O$6:$O$546,'BM MORRO DA CRUZ'!$K141),0)</f>
        <v>0</v>
      </c>
      <c r="BA141" s="63">
        <f t="shared" si="133"/>
        <v>0</v>
      </c>
      <c r="BB141" s="61">
        <f t="shared" si="134"/>
        <v>0</v>
      </c>
      <c r="BC141" s="63">
        <f t="shared" si="135"/>
        <v>0</v>
      </c>
      <c r="BD141" s="64">
        <f t="shared" si="136"/>
        <v>0</v>
      </c>
      <c r="BE141" s="65">
        <f t="shared" si="137"/>
        <v>1</v>
      </c>
      <c r="BF141" s="45"/>
    </row>
    <row r="142" spans="1:58" ht="26.25" customHeight="1" x14ac:dyDescent="0.45">
      <c r="A142" s="56" t="s">
        <v>565</v>
      </c>
      <c r="B142" s="506" t="s">
        <v>552</v>
      </c>
      <c r="C142" s="507" t="s">
        <v>553</v>
      </c>
      <c r="D142" s="507" t="s">
        <v>39</v>
      </c>
      <c r="E142" s="507" t="s">
        <v>112</v>
      </c>
      <c r="F142" s="507" t="s">
        <v>39</v>
      </c>
      <c r="G142" s="507">
        <v>300</v>
      </c>
      <c r="H142" s="508" t="s">
        <v>113</v>
      </c>
      <c r="I142" s="507" t="s">
        <v>114</v>
      </c>
      <c r="J142" s="508" t="s">
        <v>115</v>
      </c>
      <c r="K142" s="57" t="s">
        <v>566</v>
      </c>
      <c r="L142" s="58" t="s">
        <v>21</v>
      </c>
      <c r="M142" s="59" t="s">
        <v>567</v>
      </c>
      <c r="N142" s="60" t="s">
        <v>71</v>
      </c>
      <c r="O142" s="61">
        <v>14</v>
      </c>
      <c r="P142" s="62">
        <v>186.83</v>
      </c>
      <c r="Q142" s="63">
        <f t="shared" si="115"/>
        <v>2615.62</v>
      </c>
      <c r="R142" s="61">
        <f>IFERROR(SUMIFS('BM MORRO DA CRUZ - VERTICAL'!V$6:V$546,'BM MORRO DA CRUZ - VERTICAL'!$O$6:$O$546,'BM MORRO DA CRUZ'!$K142),0)</f>
        <v>0</v>
      </c>
      <c r="S142" s="63">
        <f t="shared" si="116"/>
        <v>0</v>
      </c>
      <c r="T142" s="61">
        <f>IFERROR(SUMIFS('BM MORRO DA CRUZ - VERTICAL'!X$6:X$546,'BM MORRO DA CRUZ - VERTICAL'!$O$6:$O$546,'BM MORRO DA CRUZ'!$K142),0)</f>
        <v>0</v>
      </c>
      <c r="U142" s="63">
        <f t="shared" si="117"/>
        <v>0</v>
      </c>
      <c r="V142" s="61">
        <f>IFERROR(SUMIFS('BM MORRO DA CRUZ - VERTICAL'!Z$6:Z$546,'BM MORRO DA CRUZ - VERTICAL'!$O$6:$O$546,'BM MORRO DA CRUZ'!$K142),0)</f>
        <v>0</v>
      </c>
      <c r="W142" s="63">
        <f t="shared" si="118"/>
        <v>0</v>
      </c>
      <c r="X142" s="61">
        <f>IFERROR(SUMIFS('BM MORRO DA CRUZ - VERTICAL'!AB$6:AB$546,'BM MORRO DA CRUZ - VERTICAL'!$O$6:$O$546,'BM MORRO DA CRUZ'!$K142),0)</f>
        <v>0</v>
      </c>
      <c r="Y142" s="63">
        <f t="shared" si="119"/>
        <v>0</v>
      </c>
      <c r="Z142" s="61">
        <f>IFERROR(SUMIFS('BM MORRO DA CRUZ - VERTICAL'!AD$6:AD$546,'BM MORRO DA CRUZ - VERTICAL'!$O$6:$O$546,'BM MORRO DA CRUZ'!$K142),0)</f>
        <v>0</v>
      </c>
      <c r="AA142" s="63">
        <f t="shared" si="120"/>
        <v>0</v>
      </c>
      <c r="AB142" s="61">
        <f>IFERROR(SUMIFS('BM MORRO DA CRUZ - VERTICAL'!AF$6:AF$546,'BM MORRO DA CRUZ - VERTICAL'!$O$6:$O$546,'BM MORRO DA CRUZ'!$K142),0)</f>
        <v>0</v>
      </c>
      <c r="AC142" s="63">
        <f t="shared" si="121"/>
        <v>0</v>
      </c>
      <c r="AD142" s="61">
        <f>IFERROR(SUMIFS('BM MORRO DA CRUZ - VERTICAL'!AH$6:AH$546,'BM MORRO DA CRUZ - VERTICAL'!$O$6:$O$546,'BM MORRO DA CRUZ'!$K142),0)</f>
        <v>0</v>
      </c>
      <c r="AE142" s="63">
        <f t="shared" si="122"/>
        <v>0</v>
      </c>
      <c r="AF142" s="61">
        <f>IFERROR(SUMIFS('BM MORRO DA CRUZ - VERTICAL'!AJ$6:AJ$546,'BM MORRO DA CRUZ - VERTICAL'!$O$6:$O$546,'BM MORRO DA CRUZ'!$K142),0)</f>
        <v>0</v>
      </c>
      <c r="AG142" s="63">
        <f t="shared" si="123"/>
        <v>0</v>
      </c>
      <c r="AH142" s="61">
        <f>IFERROR(SUMIFS('BM MORRO DA CRUZ - VERTICAL'!AL$6:AL$546,'BM MORRO DA CRUZ - VERTICAL'!$O$6:$O$546,'BM MORRO DA CRUZ'!$K142),0)</f>
        <v>0</v>
      </c>
      <c r="AI142" s="63">
        <f t="shared" si="124"/>
        <v>0</v>
      </c>
      <c r="AJ142" s="61">
        <f>IFERROR(SUMIFS('BM MORRO DA CRUZ - VERTICAL'!AN$6:AN$546,'BM MORRO DA CRUZ - VERTICAL'!$O$6:$O$546,'BM MORRO DA CRUZ'!$K142),0)</f>
        <v>0</v>
      </c>
      <c r="AK142" s="63">
        <f t="shared" si="125"/>
        <v>0</v>
      </c>
      <c r="AL142" s="61">
        <f>IFERROR(SUMIFS('BM MORRO DA CRUZ - VERTICAL'!AP$6:AP$546,'BM MORRO DA CRUZ - VERTICAL'!$O$6:$O$546,'BM MORRO DA CRUZ'!$K142),0)</f>
        <v>0</v>
      </c>
      <c r="AM142" s="63">
        <f t="shared" si="126"/>
        <v>0</v>
      </c>
      <c r="AN142" s="61">
        <f>IFERROR(SUMIFS('BM MORRO DA CRUZ - VERTICAL'!AR$6:AR$546,'BM MORRO DA CRUZ - VERTICAL'!$O$6:$O$546,'BM MORRO DA CRUZ'!$K142),0)</f>
        <v>0</v>
      </c>
      <c r="AO142" s="63">
        <f t="shared" si="127"/>
        <v>0</v>
      </c>
      <c r="AP142" s="61">
        <f>IFERROR(SUMIFS('BM MORRO DA CRUZ - VERTICAL'!AT$6:AT$546,'BM MORRO DA CRUZ - VERTICAL'!$O$6:$O$546,'BM MORRO DA CRUZ'!$K142),0)</f>
        <v>0</v>
      </c>
      <c r="AQ142" s="63">
        <f t="shared" si="128"/>
        <v>0</v>
      </c>
      <c r="AR142" s="61">
        <f>IFERROR(SUMIFS('BM MORRO DA CRUZ - VERTICAL'!AV$6:AV$546,'BM MORRO DA CRUZ - VERTICAL'!$O$6:$O$546,'BM MORRO DA CRUZ'!$K142),0)</f>
        <v>0</v>
      </c>
      <c r="AS142" s="63">
        <f t="shared" si="129"/>
        <v>0</v>
      </c>
      <c r="AT142" s="61">
        <f>IFERROR(SUMIFS('BM MORRO DA CRUZ - VERTICAL'!AX$6:AX$546,'BM MORRO DA CRUZ - VERTICAL'!$O$6:$O$546,'BM MORRO DA CRUZ'!$K142),0)</f>
        <v>0</v>
      </c>
      <c r="AU142" s="63">
        <f t="shared" si="130"/>
        <v>0</v>
      </c>
      <c r="AV142" s="61">
        <f>IFERROR(SUMIFS('BM MORRO DA CRUZ - VERTICAL'!AZ$6:AZ$546,'BM MORRO DA CRUZ - VERTICAL'!$O$6:$O$546,'BM MORRO DA CRUZ'!$K142),0)</f>
        <v>0</v>
      </c>
      <c r="AW142" s="63">
        <f t="shared" si="131"/>
        <v>0</v>
      </c>
      <c r="AX142" s="61">
        <f>IFERROR(SUMIFS('BM MORRO DA CRUZ - VERTICAL'!BB$6:BB$546,'BM MORRO DA CRUZ - VERTICAL'!$O$6:$O$546,'BM MORRO DA CRUZ'!$K142),0)</f>
        <v>0</v>
      </c>
      <c r="AY142" s="63">
        <f t="shared" si="132"/>
        <v>0</v>
      </c>
      <c r="AZ142" s="61">
        <f>IFERROR(SUMIFS('BM MORRO DA CRUZ - VERTICAL'!BD$6:BD$546,'BM MORRO DA CRUZ - VERTICAL'!$O$6:$O$546,'BM MORRO DA CRUZ'!$K142),0)</f>
        <v>0</v>
      </c>
      <c r="BA142" s="63">
        <f t="shared" si="133"/>
        <v>0</v>
      </c>
      <c r="BB142" s="61">
        <f t="shared" si="134"/>
        <v>0</v>
      </c>
      <c r="BC142" s="63">
        <f t="shared" si="135"/>
        <v>0</v>
      </c>
      <c r="BD142" s="64">
        <f t="shared" si="136"/>
        <v>0</v>
      </c>
      <c r="BE142" s="65">
        <f t="shared" si="137"/>
        <v>1</v>
      </c>
      <c r="BF142" s="45"/>
    </row>
    <row r="143" spans="1:58" ht="26.25" customHeight="1" x14ac:dyDescent="0.45">
      <c r="A143" s="56" t="s">
        <v>568</v>
      </c>
      <c r="B143" s="506" t="s">
        <v>552</v>
      </c>
      <c r="C143" s="507" t="s">
        <v>553</v>
      </c>
      <c r="D143" s="507" t="s">
        <v>39</v>
      </c>
      <c r="E143" s="507" t="s">
        <v>112</v>
      </c>
      <c r="F143" s="507" t="s">
        <v>39</v>
      </c>
      <c r="G143" s="507">
        <v>50</v>
      </c>
      <c r="H143" s="508" t="s">
        <v>113</v>
      </c>
      <c r="I143" s="507" t="s">
        <v>114</v>
      </c>
      <c r="J143" s="508" t="s">
        <v>115</v>
      </c>
      <c r="K143" s="57" t="s">
        <v>569</v>
      </c>
      <c r="L143" s="58" t="s">
        <v>21</v>
      </c>
      <c r="M143" s="59" t="s">
        <v>570</v>
      </c>
      <c r="N143" s="60" t="s">
        <v>71</v>
      </c>
      <c r="O143" s="61">
        <v>206</v>
      </c>
      <c r="P143" s="62">
        <v>56.89</v>
      </c>
      <c r="Q143" s="63">
        <f t="shared" si="115"/>
        <v>11719.34</v>
      </c>
      <c r="R143" s="61">
        <f>IFERROR(SUMIFS('BM MORRO DA CRUZ - VERTICAL'!V$6:V$546,'BM MORRO DA CRUZ - VERTICAL'!$O$6:$O$546,'BM MORRO DA CRUZ'!$K143),0)</f>
        <v>0</v>
      </c>
      <c r="S143" s="63">
        <f t="shared" si="116"/>
        <v>0</v>
      </c>
      <c r="T143" s="61">
        <f>IFERROR(SUMIFS('BM MORRO DA CRUZ - VERTICAL'!X$6:X$546,'BM MORRO DA CRUZ - VERTICAL'!$O$6:$O$546,'BM MORRO DA CRUZ'!$K143),0)</f>
        <v>0</v>
      </c>
      <c r="U143" s="63">
        <f t="shared" si="117"/>
        <v>0</v>
      </c>
      <c r="V143" s="61">
        <f>IFERROR(SUMIFS('BM MORRO DA CRUZ - VERTICAL'!Z$6:Z$546,'BM MORRO DA CRUZ - VERTICAL'!$O$6:$O$546,'BM MORRO DA CRUZ'!$K143),0)</f>
        <v>0</v>
      </c>
      <c r="W143" s="63">
        <f t="shared" si="118"/>
        <v>0</v>
      </c>
      <c r="X143" s="61">
        <f>IFERROR(SUMIFS('BM MORRO DA CRUZ - VERTICAL'!AB$6:AB$546,'BM MORRO DA CRUZ - VERTICAL'!$O$6:$O$546,'BM MORRO DA CRUZ'!$K143),0)</f>
        <v>0</v>
      </c>
      <c r="Y143" s="63">
        <f t="shared" si="119"/>
        <v>0</v>
      </c>
      <c r="Z143" s="61">
        <f>IFERROR(SUMIFS('BM MORRO DA CRUZ - VERTICAL'!AD$6:AD$546,'BM MORRO DA CRUZ - VERTICAL'!$O$6:$O$546,'BM MORRO DA CRUZ'!$K143),0)</f>
        <v>0</v>
      </c>
      <c r="AA143" s="63">
        <f t="shared" si="120"/>
        <v>0</v>
      </c>
      <c r="AB143" s="61">
        <f>IFERROR(SUMIFS('BM MORRO DA CRUZ - VERTICAL'!AF$6:AF$546,'BM MORRO DA CRUZ - VERTICAL'!$O$6:$O$546,'BM MORRO DA CRUZ'!$K143),0)</f>
        <v>0</v>
      </c>
      <c r="AC143" s="63">
        <f t="shared" si="121"/>
        <v>0</v>
      </c>
      <c r="AD143" s="61">
        <f>IFERROR(SUMIFS('BM MORRO DA CRUZ - VERTICAL'!AH$6:AH$546,'BM MORRO DA CRUZ - VERTICAL'!$O$6:$O$546,'BM MORRO DA CRUZ'!$K143),0)</f>
        <v>0</v>
      </c>
      <c r="AE143" s="63">
        <f t="shared" si="122"/>
        <v>0</v>
      </c>
      <c r="AF143" s="61">
        <f>IFERROR(SUMIFS('BM MORRO DA CRUZ - VERTICAL'!AJ$6:AJ$546,'BM MORRO DA CRUZ - VERTICAL'!$O$6:$O$546,'BM MORRO DA CRUZ'!$K143),0)</f>
        <v>0</v>
      </c>
      <c r="AG143" s="63">
        <f t="shared" si="123"/>
        <v>0</v>
      </c>
      <c r="AH143" s="61">
        <f>IFERROR(SUMIFS('BM MORRO DA CRUZ - VERTICAL'!AL$6:AL$546,'BM MORRO DA CRUZ - VERTICAL'!$O$6:$O$546,'BM MORRO DA CRUZ'!$K143),0)</f>
        <v>0</v>
      </c>
      <c r="AI143" s="63">
        <f t="shared" si="124"/>
        <v>0</v>
      </c>
      <c r="AJ143" s="61">
        <f>IFERROR(SUMIFS('BM MORRO DA CRUZ - VERTICAL'!AN$6:AN$546,'BM MORRO DA CRUZ - VERTICAL'!$O$6:$O$546,'BM MORRO DA CRUZ'!$K143),0)</f>
        <v>0</v>
      </c>
      <c r="AK143" s="63">
        <f t="shared" si="125"/>
        <v>0</v>
      </c>
      <c r="AL143" s="61">
        <f>IFERROR(SUMIFS('BM MORRO DA CRUZ - VERTICAL'!AP$6:AP$546,'BM MORRO DA CRUZ - VERTICAL'!$O$6:$O$546,'BM MORRO DA CRUZ'!$K143),0)</f>
        <v>0</v>
      </c>
      <c r="AM143" s="63">
        <f t="shared" si="126"/>
        <v>0</v>
      </c>
      <c r="AN143" s="61">
        <f>IFERROR(SUMIFS('BM MORRO DA CRUZ - VERTICAL'!AR$6:AR$546,'BM MORRO DA CRUZ - VERTICAL'!$O$6:$O$546,'BM MORRO DA CRUZ'!$K143),0)</f>
        <v>0</v>
      </c>
      <c r="AO143" s="63">
        <f t="shared" si="127"/>
        <v>0</v>
      </c>
      <c r="AP143" s="61">
        <f>IFERROR(SUMIFS('BM MORRO DA CRUZ - VERTICAL'!AT$6:AT$546,'BM MORRO DA CRUZ - VERTICAL'!$O$6:$O$546,'BM MORRO DA CRUZ'!$K143),0)</f>
        <v>0</v>
      </c>
      <c r="AQ143" s="63">
        <f t="shared" si="128"/>
        <v>0</v>
      </c>
      <c r="AR143" s="61">
        <f>IFERROR(SUMIFS('BM MORRO DA CRUZ - VERTICAL'!AV$6:AV$546,'BM MORRO DA CRUZ - VERTICAL'!$O$6:$O$546,'BM MORRO DA CRUZ'!$K143),0)</f>
        <v>0</v>
      </c>
      <c r="AS143" s="63">
        <f t="shared" si="129"/>
        <v>0</v>
      </c>
      <c r="AT143" s="61">
        <f>IFERROR(SUMIFS('BM MORRO DA CRUZ - VERTICAL'!AX$6:AX$546,'BM MORRO DA CRUZ - VERTICAL'!$O$6:$O$546,'BM MORRO DA CRUZ'!$K143),0)</f>
        <v>0</v>
      </c>
      <c r="AU143" s="63">
        <f t="shared" si="130"/>
        <v>0</v>
      </c>
      <c r="AV143" s="61">
        <f>IFERROR(SUMIFS('BM MORRO DA CRUZ - VERTICAL'!AZ$6:AZ$546,'BM MORRO DA CRUZ - VERTICAL'!$O$6:$O$546,'BM MORRO DA CRUZ'!$K143),0)</f>
        <v>0</v>
      </c>
      <c r="AW143" s="63">
        <f t="shared" si="131"/>
        <v>0</v>
      </c>
      <c r="AX143" s="61">
        <f>IFERROR(SUMIFS('BM MORRO DA CRUZ - VERTICAL'!BB$6:BB$546,'BM MORRO DA CRUZ - VERTICAL'!$O$6:$O$546,'BM MORRO DA CRUZ'!$K143),0)</f>
        <v>0</v>
      </c>
      <c r="AY143" s="63">
        <f t="shared" si="132"/>
        <v>0</v>
      </c>
      <c r="AZ143" s="61">
        <f>IFERROR(SUMIFS('BM MORRO DA CRUZ - VERTICAL'!BD$6:BD$546,'BM MORRO DA CRUZ - VERTICAL'!$O$6:$O$546,'BM MORRO DA CRUZ'!$K143),0)</f>
        <v>0</v>
      </c>
      <c r="BA143" s="63">
        <f t="shared" si="133"/>
        <v>0</v>
      </c>
      <c r="BB143" s="61">
        <f t="shared" si="134"/>
        <v>0</v>
      </c>
      <c r="BC143" s="63">
        <f t="shared" si="135"/>
        <v>0</v>
      </c>
      <c r="BD143" s="64">
        <f t="shared" si="136"/>
        <v>0</v>
      </c>
      <c r="BE143" s="65">
        <f t="shared" si="137"/>
        <v>1</v>
      </c>
      <c r="BF143" s="45"/>
    </row>
    <row r="144" spans="1:58" ht="26.25" customHeight="1" x14ac:dyDescent="0.45">
      <c r="A144" s="56" t="s">
        <v>571</v>
      </c>
      <c r="B144" s="506" t="s">
        <v>552</v>
      </c>
      <c r="C144" s="507" t="s">
        <v>553</v>
      </c>
      <c r="D144" s="507" t="s">
        <v>39</v>
      </c>
      <c r="E144" s="507" t="s">
        <v>112</v>
      </c>
      <c r="F144" s="507" t="s">
        <v>39</v>
      </c>
      <c r="G144" s="507">
        <v>80</v>
      </c>
      <c r="H144" s="508" t="s">
        <v>113</v>
      </c>
      <c r="I144" s="507" t="s">
        <v>114</v>
      </c>
      <c r="J144" s="508" t="s">
        <v>115</v>
      </c>
      <c r="K144" s="57" t="s">
        <v>572</v>
      </c>
      <c r="L144" s="58" t="s">
        <v>21</v>
      </c>
      <c r="M144" s="59" t="s">
        <v>573</v>
      </c>
      <c r="N144" s="60" t="s">
        <v>71</v>
      </c>
      <c r="O144" s="61">
        <v>18</v>
      </c>
      <c r="P144" s="62">
        <v>75.45</v>
      </c>
      <c r="Q144" s="63">
        <f t="shared" si="115"/>
        <v>1358.1</v>
      </c>
      <c r="R144" s="61">
        <f>IFERROR(SUMIFS('BM MORRO DA CRUZ - VERTICAL'!V$6:V$546,'BM MORRO DA CRUZ - VERTICAL'!$O$6:$O$546,'BM MORRO DA CRUZ'!$K144),0)</f>
        <v>0</v>
      </c>
      <c r="S144" s="63">
        <f t="shared" si="116"/>
        <v>0</v>
      </c>
      <c r="T144" s="61">
        <f>IFERROR(SUMIFS('BM MORRO DA CRUZ - VERTICAL'!X$6:X$546,'BM MORRO DA CRUZ - VERTICAL'!$O$6:$O$546,'BM MORRO DA CRUZ'!$K144),0)</f>
        <v>0</v>
      </c>
      <c r="U144" s="63">
        <f t="shared" si="117"/>
        <v>0</v>
      </c>
      <c r="V144" s="61">
        <f>IFERROR(SUMIFS('BM MORRO DA CRUZ - VERTICAL'!Z$6:Z$546,'BM MORRO DA CRUZ - VERTICAL'!$O$6:$O$546,'BM MORRO DA CRUZ'!$K144),0)</f>
        <v>0</v>
      </c>
      <c r="W144" s="63">
        <f t="shared" si="118"/>
        <v>0</v>
      </c>
      <c r="X144" s="61">
        <f>IFERROR(SUMIFS('BM MORRO DA CRUZ - VERTICAL'!AB$6:AB$546,'BM MORRO DA CRUZ - VERTICAL'!$O$6:$O$546,'BM MORRO DA CRUZ'!$K144),0)</f>
        <v>0</v>
      </c>
      <c r="Y144" s="63">
        <f t="shared" si="119"/>
        <v>0</v>
      </c>
      <c r="Z144" s="61">
        <f>IFERROR(SUMIFS('BM MORRO DA CRUZ - VERTICAL'!AD$6:AD$546,'BM MORRO DA CRUZ - VERTICAL'!$O$6:$O$546,'BM MORRO DA CRUZ'!$K144),0)</f>
        <v>0</v>
      </c>
      <c r="AA144" s="63">
        <f t="shared" si="120"/>
        <v>0</v>
      </c>
      <c r="AB144" s="61">
        <f>IFERROR(SUMIFS('BM MORRO DA CRUZ - VERTICAL'!AF$6:AF$546,'BM MORRO DA CRUZ - VERTICAL'!$O$6:$O$546,'BM MORRO DA CRUZ'!$K144),0)</f>
        <v>0</v>
      </c>
      <c r="AC144" s="63">
        <f t="shared" si="121"/>
        <v>0</v>
      </c>
      <c r="AD144" s="61">
        <f>IFERROR(SUMIFS('BM MORRO DA CRUZ - VERTICAL'!AH$6:AH$546,'BM MORRO DA CRUZ - VERTICAL'!$O$6:$O$546,'BM MORRO DA CRUZ'!$K144),0)</f>
        <v>0</v>
      </c>
      <c r="AE144" s="63">
        <f t="shared" si="122"/>
        <v>0</v>
      </c>
      <c r="AF144" s="61">
        <f>IFERROR(SUMIFS('BM MORRO DA CRUZ - VERTICAL'!AJ$6:AJ$546,'BM MORRO DA CRUZ - VERTICAL'!$O$6:$O$546,'BM MORRO DA CRUZ'!$K144),0)</f>
        <v>0</v>
      </c>
      <c r="AG144" s="63">
        <f t="shared" si="123"/>
        <v>0</v>
      </c>
      <c r="AH144" s="61">
        <f>IFERROR(SUMIFS('BM MORRO DA CRUZ - VERTICAL'!AL$6:AL$546,'BM MORRO DA CRUZ - VERTICAL'!$O$6:$O$546,'BM MORRO DA CRUZ'!$K144),0)</f>
        <v>0</v>
      </c>
      <c r="AI144" s="63">
        <f t="shared" si="124"/>
        <v>0</v>
      </c>
      <c r="AJ144" s="61">
        <f>IFERROR(SUMIFS('BM MORRO DA CRUZ - VERTICAL'!AN$6:AN$546,'BM MORRO DA CRUZ - VERTICAL'!$O$6:$O$546,'BM MORRO DA CRUZ'!$K144),0)</f>
        <v>0</v>
      </c>
      <c r="AK144" s="63">
        <f t="shared" si="125"/>
        <v>0</v>
      </c>
      <c r="AL144" s="61">
        <f>IFERROR(SUMIFS('BM MORRO DA CRUZ - VERTICAL'!AP$6:AP$546,'BM MORRO DA CRUZ - VERTICAL'!$O$6:$O$546,'BM MORRO DA CRUZ'!$K144),0)</f>
        <v>0</v>
      </c>
      <c r="AM144" s="63">
        <f t="shared" si="126"/>
        <v>0</v>
      </c>
      <c r="AN144" s="61">
        <f>IFERROR(SUMIFS('BM MORRO DA CRUZ - VERTICAL'!AR$6:AR$546,'BM MORRO DA CRUZ - VERTICAL'!$O$6:$O$546,'BM MORRO DA CRUZ'!$K144),0)</f>
        <v>0</v>
      </c>
      <c r="AO144" s="63">
        <f t="shared" si="127"/>
        <v>0</v>
      </c>
      <c r="AP144" s="61">
        <f>IFERROR(SUMIFS('BM MORRO DA CRUZ - VERTICAL'!AT$6:AT$546,'BM MORRO DA CRUZ - VERTICAL'!$O$6:$O$546,'BM MORRO DA CRUZ'!$K144),0)</f>
        <v>0</v>
      </c>
      <c r="AQ144" s="63">
        <f t="shared" si="128"/>
        <v>0</v>
      </c>
      <c r="AR144" s="61">
        <f>IFERROR(SUMIFS('BM MORRO DA CRUZ - VERTICAL'!AV$6:AV$546,'BM MORRO DA CRUZ - VERTICAL'!$O$6:$O$546,'BM MORRO DA CRUZ'!$K144),0)</f>
        <v>0</v>
      </c>
      <c r="AS144" s="63">
        <f t="shared" si="129"/>
        <v>0</v>
      </c>
      <c r="AT144" s="61">
        <f>IFERROR(SUMIFS('BM MORRO DA CRUZ - VERTICAL'!AX$6:AX$546,'BM MORRO DA CRUZ - VERTICAL'!$O$6:$O$546,'BM MORRO DA CRUZ'!$K144),0)</f>
        <v>0</v>
      </c>
      <c r="AU144" s="63">
        <f t="shared" si="130"/>
        <v>0</v>
      </c>
      <c r="AV144" s="61">
        <f>IFERROR(SUMIFS('BM MORRO DA CRUZ - VERTICAL'!AZ$6:AZ$546,'BM MORRO DA CRUZ - VERTICAL'!$O$6:$O$546,'BM MORRO DA CRUZ'!$K144),0)</f>
        <v>0</v>
      </c>
      <c r="AW144" s="63">
        <f t="shared" si="131"/>
        <v>0</v>
      </c>
      <c r="AX144" s="61">
        <f>IFERROR(SUMIFS('BM MORRO DA CRUZ - VERTICAL'!BB$6:BB$546,'BM MORRO DA CRUZ - VERTICAL'!$O$6:$O$546,'BM MORRO DA CRUZ'!$K144),0)</f>
        <v>0</v>
      </c>
      <c r="AY144" s="63">
        <f t="shared" si="132"/>
        <v>0</v>
      </c>
      <c r="AZ144" s="61">
        <f>IFERROR(SUMIFS('BM MORRO DA CRUZ - VERTICAL'!BD$6:BD$546,'BM MORRO DA CRUZ - VERTICAL'!$O$6:$O$546,'BM MORRO DA CRUZ'!$K144),0)</f>
        <v>0</v>
      </c>
      <c r="BA144" s="63">
        <f t="shared" si="133"/>
        <v>0</v>
      </c>
      <c r="BB144" s="61">
        <f t="shared" si="134"/>
        <v>0</v>
      </c>
      <c r="BC144" s="63">
        <f t="shared" si="135"/>
        <v>0</v>
      </c>
      <c r="BD144" s="64">
        <f t="shared" si="136"/>
        <v>0</v>
      </c>
      <c r="BE144" s="65">
        <f t="shared" si="137"/>
        <v>1</v>
      </c>
      <c r="BF144" s="45"/>
    </row>
    <row r="145" spans="1:58" ht="47.25" x14ac:dyDescent="0.45">
      <c r="A145" s="56" t="s">
        <v>574</v>
      </c>
      <c r="B145" s="506" t="s">
        <v>575</v>
      </c>
      <c r="C145" s="507" t="s">
        <v>111</v>
      </c>
      <c r="D145" s="507" t="s">
        <v>39</v>
      </c>
      <c r="E145" s="507" t="s">
        <v>577</v>
      </c>
      <c r="F145" s="507" t="s">
        <v>39</v>
      </c>
      <c r="G145" s="507" t="s">
        <v>578</v>
      </c>
      <c r="H145" s="508" t="s">
        <v>1719</v>
      </c>
      <c r="I145" s="507" t="s">
        <v>114</v>
      </c>
      <c r="J145" s="508" t="s">
        <v>115</v>
      </c>
      <c r="K145" s="57" t="s">
        <v>579</v>
      </c>
      <c r="L145" s="58" t="s">
        <v>21</v>
      </c>
      <c r="M145" s="59" t="s">
        <v>580</v>
      </c>
      <c r="N145" s="60" t="s">
        <v>71</v>
      </c>
      <c r="O145" s="61">
        <v>1040</v>
      </c>
      <c r="P145" s="62">
        <v>7.14</v>
      </c>
      <c r="Q145" s="63">
        <f t="shared" si="115"/>
        <v>7425.6</v>
      </c>
      <c r="R145" s="61">
        <f>IFERROR(SUMIFS('BM MORRO DA CRUZ - VERTICAL'!V$6:V$546,'BM MORRO DA CRUZ - VERTICAL'!$O$6:$O$546,'BM MORRO DA CRUZ'!$K145),0)</f>
        <v>0</v>
      </c>
      <c r="S145" s="63">
        <f t="shared" si="116"/>
        <v>0</v>
      </c>
      <c r="T145" s="61">
        <f>IFERROR(SUMIFS('BM MORRO DA CRUZ - VERTICAL'!X$6:X$546,'BM MORRO DA CRUZ - VERTICAL'!$O$6:$O$546,'BM MORRO DA CRUZ'!$K145),0)</f>
        <v>0</v>
      </c>
      <c r="U145" s="63">
        <f t="shared" si="117"/>
        <v>0</v>
      </c>
      <c r="V145" s="61">
        <f>IFERROR(SUMIFS('BM MORRO DA CRUZ - VERTICAL'!Z$6:Z$546,'BM MORRO DA CRUZ - VERTICAL'!$O$6:$O$546,'BM MORRO DA CRUZ'!$K145),0)</f>
        <v>0</v>
      </c>
      <c r="W145" s="63">
        <f t="shared" si="118"/>
        <v>0</v>
      </c>
      <c r="X145" s="61">
        <f>IFERROR(SUMIFS('BM MORRO DA CRUZ - VERTICAL'!AB$6:AB$546,'BM MORRO DA CRUZ - VERTICAL'!$O$6:$O$546,'BM MORRO DA CRUZ'!$K145),0)</f>
        <v>0</v>
      </c>
      <c r="Y145" s="63">
        <f t="shared" si="119"/>
        <v>0</v>
      </c>
      <c r="Z145" s="61">
        <f>IFERROR(SUMIFS('BM MORRO DA CRUZ - VERTICAL'!AD$6:AD$546,'BM MORRO DA CRUZ - VERTICAL'!$O$6:$O$546,'BM MORRO DA CRUZ'!$K145),0)</f>
        <v>0</v>
      </c>
      <c r="AA145" s="63">
        <f t="shared" si="120"/>
        <v>0</v>
      </c>
      <c r="AB145" s="61">
        <f>IFERROR(SUMIFS('BM MORRO DA CRUZ - VERTICAL'!AF$6:AF$546,'BM MORRO DA CRUZ - VERTICAL'!$O$6:$O$546,'BM MORRO DA CRUZ'!$K145),0)</f>
        <v>0</v>
      </c>
      <c r="AC145" s="63">
        <f t="shared" si="121"/>
        <v>0</v>
      </c>
      <c r="AD145" s="61">
        <f>IFERROR(SUMIFS('BM MORRO DA CRUZ - VERTICAL'!AH$6:AH$546,'BM MORRO DA CRUZ - VERTICAL'!$O$6:$O$546,'BM MORRO DA CRUZ'!$K145),0)</f>
        <v>0</v>
      </c>
      <c r="AE145" s="63">
        <f t="shared" si="122"/>
        <v>0</v>
      </c>
      <c r="AF145" s="61">
        <f>IFERROR(SUMIFS('BM MORRO DA CRUZ - VERTICAL'!AJ$6:AJ$546,'BM MORRO DA CRUZ - VERTICAL'!$O$6:$O$546,'BM MORRO DA CRUZ'!$K145),0)</f>
        <v>0</v>
      </c>
      <c r="AG145" s="63">
        <f t="shared" si="123"/>
        <v>0</v>
      </c>
      <c r="AH145" s="61">
        <f>IFERROR(SUMIFS('BM MORRO DA CRUZ - VERTICAL'!AL$6:AL$546,'BM MORRO DA CRUZ - VERTICAL'!$O$6:$O$546,'BM MORRO DA CRUZ'!$K145),0)</f>
        <v>0</v>
      </c>
      <c r="AI145" s="63">
        <f t="shared" si="124"/>
        <v>0</v>
      </c>
      <c r="AJ145" s="61">
        <f>IFERROR(SUMIFS('BM MORRO DA CRUZ - VERTICAL'!AN$6:AN$546,'BM MORRO DA CRUZ - VERTICAL'!$O$6:$O$546,'BM MORRO DA CRUZ'!$K145),0)</f>
        <v>0</v>
      </c>
      <c r="AK145" s="63">
        <f t="shared" si="125"/>
        <v>0</v>
      </c>
      <c r="AL145" s="61">
        <f>IFERROR(SUMIFS('BM MORRO DA CRUZ - VERTICAL'!AP$6:AP$546,'BM MORRO DA CRUZ - VERTICAL'!$O$6:$O$546,'BM MORRO DA CRUZ'!$K145),0)</f>
        <v>0</v>
      </c>
      <c r="AM145" s="63">
        <f t="shared" si="126"/>
        <v>0</v>
      </c>
      <c r="AN145" s="61">
        <f>IFERROR(SUMIFS('BM MORRO DA CRUZ - VERTICAL'!AR$6:AR$546,'BM MORRO DA CRUZ - VERTICAL'!$O$6:$O$546,'BM MORRO DA CRUZ'!$K145),0)</f>
        <v>0</v>
      </c>
      <c r="AO145" s="63">
        <f t="shared" si="127"/>
        <v>0</v>
      </c>
      <c r="AP145" s="61">
        <f>IFERROR(SUMIFS('BM MORRO DA CRUZ - VERTICAL'!AT$6:AT$546,'BM MORRO DA CRUZ - VERTICAL'!$O$6:$O$546,'BM MORRO DA CRUZ'!$K145),0)</f>
        <v>0</v>
      </c>
      <c r="AQ145" s="63">
        <f t="shared" si="128"/>
        <v>0</v>
      </c>
      <c r="AR145" s="61">
        <f>IFERROR(SUMIFS('BM MORRO DA CRUZ - VERTICAL'!AV$6:AV$546,'BM MORRO DA CRUZ - VERTICAL'!$O$6:$O$546,'BM MORRO DA CRUZ'!$K145),0)</f>
        <v>0</v>
      </c>
      <c r="AS145" s="63">
        <f t="shared" si="129"/>
        <v>0</v>
      </c>
      <c r="AT145" s="61">
        <f>IFERROR(SUMIFS('BM MORRO DA CRUZ - VERTICAL'!AX$6:AX$546,'BM MORRO DA CRUZ - VERTICAL'!$O$6:$O$546,'BM MORRO DA CRUZ'!$K145),0)</f>
        <v>0</v>
      </c>
      <c r="AU145" s="63">
        <f t="shared" si="130"/>
        <v>0</v>
      </c>
      <c r="AV145" s="61">
        <f>IFERROR(SUMIFS('BM MORRO DA CRUZ - VERTICAL'!AZ$6:AZ$546,'BM MORRO DA CRUZ - VERTICAL'!$O$6:$O$546,'BM MORRO DA CRUZ'!$K145),0)</f>
        <v>0</v>
      </c>
      <c r="AW145" s="63">
        <f t="shared" si="131"/>
        <v>0</v>
      </c>
      <c r="AX145" s="61">
        <f>IFERROR(SUMIFS('BM MORRO DA CRUZ - VERTICAL'!BB$6:BB$546,'BM MORRO DA CRUZ - VERTICAL'!$O$6:$O$546,'BM MORRO DA CRUZ'!$K145),0)</f>
        <v>0</v>
      </c>
      <c r="AY145" s="63">
        <f t="shared" si="132"/>
        <v>0</v>
      </c>
      <c r="AZ145" s="61">
        <f>IFERROR(SUMIFS('BM MORRO DA CRUZ - VERTICAL'!BD$6:BD$546,'BM MORRO DA CRUZ - VERTICAL'!$O$6:$O$546,'BM MORRO DA CRUZ'!$K145),0)</f>
        <v>0</v>
      </c>
      <c r="BA145" s="63">
        <f t="shared" si="133"/>
        <v>0</v>
      </c>
      <c r="BB145" s="61">
        <f t="shared" si="134"/>
        <v>0</v>
      </c>
      <c r="BC145" s="63">
        <f t="shared" si="135"/>
        <v>0</v>
      </c>
      <c r="BD145" s="64">
        <f t="shared" si="136"/>
        <v>0</v>
      </c>
      <c r="BE145" s="65">
        <f t="shared" si="137"/>
        <v>1</v>
      </c>
      <c r="BF145" s="45"/>
    </row>
    <row r="146" spans="1:58" ht="47.25" x14ac:dyDescent="0.45">
      <c r="A146" s="56" t="s">
        <v>581</v>
      </c>
      <c r="B146" s="506" t="s">
        <v>575</v>
      </c>
      <c r="C146" s="507" t="s">
        <v>111</v>
      </c>
      <c r="D146" s="507" t="s">
        <v>39</v>
      </c>
      <c r="E146" s="507" t="s">
        <v>577</v>
      </c>
      <c r="F146" s="507" t="s">
        <v>39</v>
      </c>
      <c r="G146" s="507" t="s">
        <v>582</v>
      </c>
      <c r="H146" s="508" t="s">
        <v>1719</v>
      </c>
      <c r="I146" s="507" t="s">
        <v>114</v>
      </c>
      <c r="J146" s="508" t="s">
        <v>115</v>
      </c>
      <c r="K146" s="57" t="s">
        <v>583</v>
      </c>
      <c r="L146" s="58" t="s">
        <v>21</v>
      </c>
      <c r="M146" s="59" t="s">
        <v>584</v>
      </c>
      <c r="N146" s="60" t="s">
        <v>71</v>
      </c>
      <c r="O146" s="61">
        <v>132</v>
      </c>
      <c r="P146" s="62">
        <v>15.71</v>
      </c>
      <c r="Q146" s="63">
        <f t="shared" si="115"/>
        <v>2073.7199999999998</v>
      </c>
      <c r="R146" s="61">
        <f>IFERROR(SUMIFS('BM MORRO DA CRUZ - VERTICAL'!V$6:V$546,'BM MORRO DA CRUZ - VERTICAL'!$O$6:$O$546,'BM MORRO DA CRUZ'!$K146),0)</f>
        <v>0</v>
      </c>
      <c r="S146" s="63">
        <f t="shared" si="116"/>
        <v>0</v>
      </c>
      <c r="T146" s="61">
        <f>IFERROR(SUMIFS('BM MORRO DA CRUZ - VERTICAL'!X$6:X$546,'BM MORRO DA CRUZ - VERTICAL'!$O$6:$O$546,'BM MORRO DA CRUZ'!$K146),0)</f>
        <v>0</v>
      </c>
      <c r="U146" s="63">
        <f t="shared" si="117"/>
        <v>0</v>
      </c>
      <c r="V146" s="61">
        <f>IFERROR(SUMIFS('BM MORRO DA CRUZ - VERTICAL'!Z$6:Z$546,'BM MORRO DA CRUZ - VERTICAL'!$O$6:$O$546,'BM MORRO DA CRUZ'!$K146),0)</f>
        <v>0</v>
      </c>
      <c r="W146" s="63">
        <f t="shared" si="118"/>
        <v>0</v>
      </c>
      <c r="X146" s="61">
        <f>IFERROR(SUMIFS('BM MORRO DA CRUZ - VERTICAL'!AB$6:AB$546,'BM MORRO DA CRUZ - VERTICAL'!$O$6:$O$546,'BM MORRO DA CRUZ'!$K146),0)</f>
        <v>0</v>
      </c>
      <c r="Y146" s="63">
        <f t="shared" si="119"/>
        <v>0</v>
      </c>
      <c r="Z146" s="61">
        <f>IFERROR(SUMIFS('BM MORRO DA CRUZ - VERTICAL'!AD$6:AD$546,'BM MORRO DA CRUZ - VERTICAL'!$O$6:$O$546,'BM MORRO DA CRUZ'!$K146),0)</f>
        <v>0</v>
      </c>
      <c r="AA146" s="63">
        <f t="shared" si="120"/>
        <v>0</v>
      </c>
      <c r="AB146" s="61">
        <f>IFERROR(SUMIFS('BM MORRO DA CRUZ - VERTICAL'!AF$6:AF$546,'BM MORRO DA CRUZ - VERTICAL'!$O$6:$O$546,'BM MORRO DA CRUZ'!$K146),0)</f>
        <v>0</v>
      </c>
      <c r="AC146" s="63">
        <f t="shared" si="121"/>
        <v>0</v>
      </c>
      <c r="AD146" s="61">
        <f>IFERROR(SUMIFS('BM MORRO DA CRUZ - VERTICAL'!AH$6:AH$546,'BM MORRO DA CRUZ - VERTICAL'!$O$6:$O$546,'BM MORRO DA CRUZ'!$K146),0)</f>
        <v>0</v>
      </c>
      <c r="AE146" s="63">
        <f t="shared" si="122"/>
        <v>0</v>
      </c>
      <c r="AF146" s="61">
        <f>IFERROR(SUMIFS('BM MORRO DA CRUZ - VERTICAL'!AJ$6:AJ$546,'BM MORRO DA CRUZ - VERTICAL'!$O$6:$O$546,'BM MORRO DA CRUZ'!$K146),0)</f>
        <v>0</v>
      </c>
      <c r="AG146" s="63">
        <f t="shared" si="123"/>
        <v>0</v>
      </c>
      <c r="AH146" s="61">
        <f>IFERROR(SUMIFS('BM MORRO DA CRUZ - VERTICAL'!AL$6:AL$546,'BM MORRO DA CRUZ - VERTICAL'!$O$6:$O$546,'BM MORRO DA CRUZ'!$K146),0)</f>
        <v>0</v>
      </c>
      <c r="AI146" s="63">
        <f t="shared" si="124"/>
        <v>0</v>
      </c>
      <c r="AJ146" s="61">
        <f>IFERROR(SUMIFS('BM MORRO DA CRUZ - VERTICAL'!AN$6:AN$546,'BM MORRO DA CRUZ - VERTICAL'!$O$6:$O$546,'BM MORRO DA CRUZ'!$K146),0)</f>
        <v>0</v>
      </c>
      <c r="AK146" s="63">
        <f t="shared" si="125"/>
        <v>0</v>
      </c>
      <c r="AL146" s="61">
        <f>IFERROR(SUMIFS('BM MORRO DA CRUZ - VERTICAL'!AP$6:AP$546,'BM MORRO DA CRUZ - VERTICAL'!$O$6:$O$546,'BM MORRO DA CRUZ'!$K146),0)</f>
        <v>0</v>
      </c>
      <c r="AM146" s="63">
        <f t="shared" si="126"/>
        <v>0</v>
      </c>
      <c r="AN146" s="61">
        <f>IFERROR(SUMIFS('BM MORRO DA CRUZ - VERTICAL'!AR$6:AR$546,'BM MORRO DA CRUZ - VERTICAL'!$O$6:$O$546,'BM MORRO DA CRUZ'!$K146),0)</f>
        <v>0</v>
      </c>
      <c r="AO146" s="63">
        <f t="shared" si="127"/>
        <v>0</v>
      </c>
      <c r="AP146" s="61">
        <f>IFERROR(SUMIFS('BM MORRO DA CRUZ - VERTICAL'!AT$6:AT$546,'BM MORRO DA CRUZ - VERTICAL'!$O$6:$O$546,'BM MORRO DA CRUZ'!$K146),0)</f>
        <v>0</v>
      </c>
      <c r="AQ146" s="63">
        <f t="shared" si="128"/>
        <v>0</v>
      </c>
      <c r="AR146" s="61">
        <f>IFERROR(SUMIFS('BM MORRO DA CRUZ - VERTICAL'!AV$6:AV$546,'BM MORRO DA CRUZ - VERTICAL'!$O$6:$O$546,'BM MORRO DA CRUZ'!$K146),0)</f>
        <v>0</v>
      </c>
      <c r="AS146" s="63">
        <f t="shared" si="129"/>
        <v>0</v>
      </c>
      <c r="AT146" s="61">
        <f>IFERROR(SUMIFS('BM MORRO DA CRUZ - VERTICAL'!AX$6:AX$546,'BM MORRO DA CRUZ - VERTICAL'!$O$6:$O$546,'BM MORRO DA CRUZ'!$K146),0)</f>
        <v>0</v>
      </c>
      <c r="AU146" s="63">
        <f t="shared" si="130"/>
        <v>0</v>
      </c>
      <c r="AV146" s="61">
        <f>IFERROR(SUMIFS('BM MORRO DA CRUZ - VERTICAL'!AZ$6:AZ$546,'BM MORRO DA CRUZ - VERTICAL'!$O$6:$O$546,'BM MORRO DA CRUZ'!$K146),0)</f>
        <v>0</v>
      </c>
      <c r="AW146" s="63">
        <f t="shared" si="131"/>
        <v>0</v>
      </c>
      <c r="AX146" s="61">
        <f>IFERROR(SUMIFS('BM MORRO DA CRUZ - VERTICAL'!BB$6:BB$546,'BM MORRO DA CRUZ - VERTICAL'!$O$6:$O$546,'BM MORRO DA CRUZ'!$K146),0)</f>
        <v>0</v>
      </c>
      <c r="AY146" s="63">
        <f t="shared" si="132"/>
        <v>0</v>
      </c>
      <c r="AZ146" s="61">
        <f>IFERROR(SUMIFS('BM MORRO DA CRUZ - VERTICAL'!BD$6:BD$546,'BM MORRO DA CRUZ - VERTICAL'!$O$6:$O$546,'BM MORRO DA CRUZ'!$K146),0)</f>
        <v>0</v>
      </c>
      <c r="BA146" s="63">
        <f t="shared" si="133"/>
        <v>0</v>
      </c>
      <c r="BB146" s="61">
        <f t="shared" si="134"/>
        <v>0</v>
      </c>
      <c r="BC146" s="63">
        <f t="shared" si="135"/>
        <v>0</v>
      </c>
      <c r="BD146" s="64">
        <f t="shared" si="136"/>
        <v>0</v>
      </c>
      <c r="BE146" s="65">
        <f t="shared" si="137"/>
        <v>1</v>
      </c>
      <c r="BF146" s="45"/>
    </row>
    <row r="147" spans="1:58" ht="58.9" x14ac:dyDescent="0.45">
      <c r="A147" s="56" t="s">
        <v>585</v>
      </c>
      <c r="B147" s="506" t="s">
        <v>575</v>
      </c>
      <c r="C147" s="507" t="s">
        <v>111</v>
      </c>
      <c r="D147" s="507" t="s">
        <v>39</v>
      </c>
      <c r="E147" s="507" t="s">
        <v>577</v>
      </c>
      <c r="F147" s="507" t="s">
        <v>39</v>
      </c>
      <c r="G147" s="507" t="s">
        <v>586</v>
      </c>
      <c r="H147" s="508" t="s">
        <v>1719</v>
      </c>
      <c r="I147" s="507" t="s">
        <v>114</v>
      </c>
      <c r="J147" s="508" t="s">
        <v>115</v>
      </c>
      <c r="K147" s="57" t="s">
        <v>587</v>
      </c>
      <c r="L147" s="58" t="s">
        <v>21</v>
      </c>
      <c r="M147" s="59" t="s">
        <v>588</v>
      </c>
      <c r="N147" s="60" t="s">
        <v>71</v>
      </c>
      <c r="O147" s="61">
        <v>761</v>
      </c>
      <c r="P147" s="62">
        <v>14.28</v>
      </c>
      <c r="Q147" s="63">
        <f t="shared" si="115"/>
        <v>10867.08</v>
      </c>
      <c r="R147" s="61">
        <f>IFERROR(SUMIFS('BM MORRO DA CRUZ - VERTICAL'!V$6:V$546,'BM MORRO DA CRUZ - VERTICAL'!$O$6:$O$546,'BM MORRO DA CRUZ'!$K147),0)</f>
        <v>0</v>
      </c>
      <c r="S147" s="63">
        <f t="shared" si="116"/>
        <v>0</v>
      </c>
      <c r="T147" s="61">
        <f>IFERROR(SUMIFS('BM MORRO DA CRUZ - VERTICAL'!X$6:X$546,'BM MORRO DA CRUZ - VERTICAL'!$O$6:$O$546,'BM MORRO DA CRUZ'!$K147),0)</f>
        <v>0</v>
      </c>
      <c r="U147" s="63">
        <f t="shared" si="117"/>
        <v>0</v>
      </c>
      <c r="V147" s="61">
        <f>IFERROR(SUMIFS('BM MORRO DA CRUZ - VERTICAL'!Z$6:Z$546,'BM MORRO DA CRUZ - VERTICAL'!$O$6:$O$546,'BM MORRO DA CRUZ'!$K147),0)</f>
        <v>0</v>
      </c>
      <c r="W147" s="63">
        <f t="shared" si="118"/>
        <v>0</v>
      </c>
      <c r="X147" s="61">
        <f>IFERROR(SUMIFS('BM MORRO DA CRUZ - VERTICAL'!AB$6:AB$546,'BM MORRO DA CRUZ - VERTICAL'!$O$6:$O$546,'BM MORRO DA CRUZ'!$K147),0)</f>
        <v>0</v>
      </c>
      <c r="Y147" s="63">
        <f t="shared" si="119"/>
        <v>0</v>
      </c>
      <c r="Z147" s="61">
        <f>IFERROR(SUMIFS('BM MORRO DA CRUZ - VERTICAL'!AD$6:AD$546,'BM MORRO DA CRUZ - VERTICAL'!$O$6:$O$546,'BM MORRO DA CRUZ'!$K147),0)</f>
        <v>0</v>
      </c>
      <c r="AA147" s="63">
        <f t="shared" si="120"/>
        <v>0</v>
      </c>
      <c r="AB147" s="61">
        <f>IFERROR(SUMIFS('BM MORRO DA CRUZ - VERTICAL'!AF$6:AF$546,'BM MORRO DA CRUZ - VERTICAL'!$O$6:$O$546,'BM MORRO DA CRUZ'!$K147),0)</f>
        <v>0</v>
      </c>
      <c r="AC147" s="63">
        <f t="shared" si="121"/>
        <v>0</v>
      </c>
      <c r="AD147" s="61">
        <f>IFERROR(SUMIFS('BM MORRO DA CRUZ - VERTICAL'!AH$6:AH$546,'BM MORRO DA CRUZ - VERTICAL'!$O$6:$O$546,'BM MORRO DA CRUZ'!$K147),0)</f>
        <v>0</v>
      </c>
      <c r="AE147" s="63">
        <f t="shared" si="122"/>
        <v>0</v>
      </c>
      <c r="AF147" s="61">
        <f>IFERROR(SUMIFS('BM MORRO DA CRUZ - VERTICAL'!AJ$6:AJ$546,'BM MORRO DA CRUZ - VERTICAL'!$O$6:$O$546,'BM MORRO DA CRUZ'!$K147),0)</f>
        <v>0</v>
      </c>
      <c r="AG147" s="63">
        <f t="shared" si="123"/>
        <v>0</v>
      </c>
      <c r="AH147" s="61">
        <f>IFERROR(SUMIFS('BM MORRO DA CRUZ - VERTICAL'!AL$6:AL$546,'BM MORRO DA CRUZ - VERTICAL'!$O$6:$O$546,'BM MORRO DA CRUZ'!$K147),0)</f>
        <v>0</v>
      </c>
      <c r="AI147" s="63">
        <f t="shared" si="124"/>
        <v>0</v>
      </c>
      <c r="AJ147" s="61">
        <f>IFERROR(SUMIFS('BM MORRO DA CRUZ - VERTICAL'!AN$6:AN$546,'BM MORRO DA CRUZ - VERTICAL'!$O$6:$O$546,'BM MORRO DA CRUZ'!$K147),0)</f>
        <v>0</v>
      </c>
      <c r="AK147" s="63">
        <f t="shared" si="125"/>
        <v>0</v>
      </c>
      <c r="AL147" s="61">
        <f>IFERROR(SUMIFS('BM MORRO DA CRUZ - VERTICAL'!AP$6:AP$546,'BM MORRO DA CRUZ - VERTICAL'!$O$6:$O$546,'BM MORRO DA CRUZ'!$K147),0)</f>
        <v>0</v>
      </c>
      <c r="AM147" s="63">
        <f t="shared" si="126"/>
        <v>0</v>
      </c>
      <c r="AN147" s="61">
        <f>IFERROR(SUMIFS('BM MORRO DA CRUZ - VERTICAL'!AR$6:AR$546,'BM MORRO DA CRUZ - VERTICAL'!$O$6:$O$546,'BM MORRO DA CRUZ'!$K147),0)</f>
        <v>0</v>
      </c>
      <c r="AO147" s="63">
        <f t="shared" si="127"/>
        <v>0</v>
      </c>
      <c r="AP147" s="61">
        <f>IFERROR(SUMIFS('BM MORRO DA CRUZ - VERTICAL'!AT$6:AT$546,'BM MORRO DA CRUZ - VERTICAL'!$O$6:$O$546,'BM MORRO DA CRUZ'!$K147),0)</f>
        <v>0</v>
      </c>
      <c r="AQ147" s="63">
        <f t="shared" si="128"/>
        <v>0</v>
      </c>
      <c r="AR147" s="61">
        <f>IFERROR(SUMIFS('BM MORRO DA CRUZ - VERTICAL'!AV$6:AV$546,'BM MORRO DA CRUZ - VERTICAL'!$O$6:$O$546,'BM MORRO DA CRUZ'!$K147),0)</f>
        <v>0</v>
      </c>
      <c r="AS147" s="63">
        <f t="shared" si="129"/>
        <v>0</v>
      </c>
      <c r="AT147" s="61">
        <f>IFERROR(SUMIFS('BM MORRO DA CRUZ - VERTICAL'!AX$6:AX$546,'BM MORRO DA CRUZ - VERTICAL'!$O$6:$O$546,'BM MORRO DA CRUZ'!$K147),0)</f>
        <v>0</v>
      </c>
      <c r="AU147" s="63">
        <f t="shared" si="130"/>
        <v>0</v>
      </c>
      <c r="AV147" s="61">
        <f>IFERROR(SUMIFS('BM MORRO DA CRUZ - VERTICAL'!AZ$6:AZ$546,'BM MORRO DA CRUZ - VERTICAL'!$O$6:$O$546,'BM MORRO DA CRUZ'!$K147),0)</f>
        <v>0</v>
      </c>
      <c r="AW147" s="63">
        <f t="shared" si="131"/>
        <v>0</v>
      </c>
      <c r="AX147" s="61">
        <f>IFERROR(SUMIFS('BM MORRO DA CRUZ - VERTICAL'!BB$6:BB$546,'BM MORRO DA CRUZ - VERTICAL'!$O$6:$O$546,'BM MORRO DA CRUZ'!$K147),0)</f>
        <v>0</v>
      </c>
      <c r="AY147" s="63">
        <f t="shared" si="132"/>
        <v>0</v>
      </c>
      <c r="AZ147" s="61">
        <f>IFERROR(SUMIFS('BM MORRO DA CRUZ - VERTICAL'!BD$6:BD$546,'BM MORRO DA CRUZ - VERTICAL'!$O$6:$O$546,'BM MORRO DA CRUZ'!$K147),0)</f>
        <v>0</v>
      </c>
      <c r="BA147" s="63">
        <f t="shared" si="133"/>
        <v>0</v>
      </c>
      <c r="BB147" s="61">
        <f t="shared" si="134"/>
        <v>0</v>
      </c>
      <c r="BC147" s="63">
        <f t="shared" si="135"/>
        <v>0</v>
      </c>
      <c r="BD147" s="64">
        <f t="shared" si="136"/>
        <v>0</v>
      </c>
      <c r="BE147" s="65">
        <f t="shared" si="137"/>
        <v>1</v>
      </c>
      <c r="BF147" s="45"/>
    </row>
    <row r="148" spans="1:58" ht="47.25" x14ac:dyDescent="0.45">
      <c r="A148" s="56" t="s">
        <v>589</v>
      </c>
      <c r="B148" s="506" t="s">
        <v>575</v>
      </c>
      <c r="C148" s="507" t="s">
        <v>111</v>
      </c>
      <c r="D148" s="507" t="s">
        <v>39</v>
      </c>
      <c r="E148" s="507" t="s">
        <v>577</v>
      </c>
      <c r="F148" s="507" t="s">
        <v>39</v>
      </c>
      <c r="G148" s="507" t="s">
        <v>590</v>
      </c>
      <c r="H148" s="508" t="s">
        <v>1719</v>
      </c>
      <c r="I148" s="507" t="s">
        <v>114</v>
      </c>
      <c r="J148" s="508" t="s">
        <v>115</v>
      </c>
      <c r="K148" s="57" t="s">
        <v>591</v>
      </c>
      <c r="L148" s="58" t="s">
        <v>21</v>
      </c>
      <c r="M148" s="59" t="s">
        <v>592</v>
      </c>
      <c r="N148" s="60" t="s">
        <v>71</v>
      </c>
      <c r="O148" s="61">
        <v>40</v>
      </c>
      <c r="P148" s="62">
        <v>25.7</v>
      </c>
      <c r="Q148" s="63">
        <f t="shared" si="115"/>
        <v>1028</v>
      </c>
      <c r="R148" s="61">
        <f>IFERROR(SUMIFS('BM MORRO DA CRUZ - VERTICAL'!V$6:V$546,'BM MORRO DA CRUZ - VERTICAL'!$O$6:$O$546,'BM MORRO DA CRUZ'!$K148),0)</f>
        <v>0</v>
      </c>
      <c r="S148" s="63">
        <f t="shared" si="116"/>
        <v>0</v>
      </c>
      <c r="T148" s="61">
        <f>IFERROR(SUMIFS('BM MORRO DA CRUZ - VERTICAL'!X$6:X$546,'BM MORRO DA CRUZ - VERTICAL'!$O$6:$O$546,'BM MORRO DA CRUZ'!$K148),0)</f>
        <v>0</v>
      </c>
      <c r="U148" s="63">
        <f t="shared" si="117"/>
        <v>0</v>
      </c>
      <c r="V148" s="61">
        <f>IFERROR(SUMIFS('BM MORRO DA CRUZ - VERTICAL'!Z$6:Z$546,'BM MORRO DA CRUZ - VERTICAL'!$O$6:$O$546,'BM MORRO DA CRUZ'!$K148),0)</f>
        <v>0</v>
      </c>
      <c r="W148" s="63">
        <f t="shared" si="118"/>
        <v>0</v>
      </c>
      <c r="X148" s="61">
        <f>IFERROR(SUMIFS('BM MORRO DA CRUZ - VERTICAL'!AB$6:AB$546,'BM MORRO DA CRUZ - VERTICAL'!$O$6:$O$546,'BM MORRO DA CRUZ'!$K148),0)</f>
        <v>0</v>
      </c>
      <c r="Y148" s="63">
        <f t="shared" si="119"/>
        <v>0</v>
      </c>
      <c r="Z148" s="61">
        <f>IFERROR(SUMIFS('BM MORRO DA CRUZ - VERTICAL'!AD$6:AD$546,'BM MORRO DA CRUZ - VERTICAL'!$O$6:$O$546,'BM MORRO DA CRUZ'!$K148),0)</f>
        <v>0</v>
      </c>
      <c r="AA148" s="63">
        <f t="shared" si="120"/>
        <v>0</v>
      </c>
      <c r="AB148" s="61">
        <f>IFERROR(SUMIFS('BM MORRO DA CRUZ - VERTICAL'!AF$6:AF$546,'BM MORRO DA CRUZ - VERTICAL'!$O$6:$O$546,'BM MORRO DA CRUZ'!$K148),0)</f>
        <v>0</v>
      </c>
      <c r="AC148" s="63">
        <f t="shared" si="121"/>
        <v>0</v>
      </c>
      <c r="AD148" s="61">
        <f>IFERROR(SUMIFS('BM MORRO DA CRUZ - VERTICAL'!AH$6:AH$546,'BM MORRO DA CRUZ - VERTICAL'!$O$6:$O$546,'BM MORRO DA CRUZ'!$K148),0)</f>
        <v>0</v>
      </c>
      <c r="AE148" s="63">
        <f t="shared" si="122"/>
        <v>0</v>
      </c>
      <c r="AF148" s="61">
        <f>IFERROR(SUMIFS('BM MORRO DA CRUZ - VERTICAL'!AJ$6:AJ$546,'BM MORRO DA CRUZ - VERTICAL'!$O$6:$O$546,'BM MORRO DA CRUZ'!$K148),0)</f>
        <v>0</v>
      </c>
      <c r="AG148" s="63">
        <f t="shared" si="123"/>
        <v>0</v>
      </c>
      <c r="AH148" s="61">
        <f>IFERROR(SUMIFS('BM MORRO DA CRUZ - VERTICAL'!AL$6:AL$546,'BM MORRO DA CRUZ - VERTICAL'!$O$6:$O$546,'BM MORRO DA CRUZ'!$K148),0)</f>
        <v>0</v>
      </c>
      <c r="AI148" s="63">
        <f t="shared" si="124"/>
        <v>0</v>
      </c>
      <c r="AJ148" s="61">
        <f>IFERROR(SUMIFS('BM MORRO DA CRUZ - VERTICAL'!AN$6:AN$546,'BM MORRO DA CRUZ - VERTICAL'!$O$6:$O$546,'BM MORRO DA CRUZ'!$K148),0)</f>
        <v>0</v>
      </c>
      <c r="AK148" s="63">
        <f t="shared" si="125"/>
        <v>0</v>
      </c>
      <c r="AL148" s="61">
        <f>IFERROR(SUMIFS('BM MORRO DA CRUZ - VERTICAL'!AP$6:AP$546,'BM MORRO DA CRUZ - VERTICAL'!$O$6:$O$546,'BM MORRO DA CRUZ'!$K148),0)</f>
        <v>0</v>
      </c>
      <c r="AM148" s="63">
        <f t="shared" si="126"/>
        <v>0</v>
      </c>
      <c r="AN148" s="61">
        <f>IFERROR(SUMIFS('BM MORRO DA CRUZ - VERTICAL'!AR$6:AR$546,'BM MORRO DA CRUZ - VERTICAL'!$O$6:$O$546,'BM MORRO DA CRUZ'!$K148),0)</f>
        <v>0</v>
      </c>
      <c r="AO148" s="63">
        <f t="shared" si="127"/>
        <v>0</v>
      </c>
      <c r="AP148" s="61">
        <f>IFERROR(SUMIFS('BM MORRO DA CRUZ - VERTICAL'!AT$6:AT$546,'BM MORRO DA CRUZ - VERTICAL'!$O$6:$O$546,'BM MORRO DA CRUZ'!$K148),0)</f>
        <v>0</v>
      </c>
      <c r="AQ148" s="63">
        <f t="shared" si="128"/>
        <v>0</v>
      </c>
      <c r="AR148" s="61">
        <f>IFERROR(SUMIFS('BM MORRO DA CRUZ - VERTICAL'!AV$6:AV$546,'BM MORRO DA CRUZ - VERTICAL'!$O$6:$O$546,'BM MORRO DA CRUZ'!$K148),0)</f>
        <v>0</v>
      </c>
      <c r="AS148" s="63">
        <f t="shared" si="129"/>
        <v>0</v>
      </c>
      <c r="AT148" s="61">
        <f>IFERROR(SUMIFS('BM MORRO DA CRUZ - VERTICAL'!AX$6:AX$546,'BM MORRO DA CRUZ - VERTICAL'!$O$6:$O$546,'BM MORRO DA CRUZ'!$K148),0)</f>
        <v>0</v>
      </c>
      <c r="AU148" s="63">
        <f t="shared" si="130"/>
        <v>0</v>
      </c>
      <c r="AV148" s="61">
        <f>IFERROR(SUMIFS('BM MORRO DA CRUZ - VERTICAL'!AZ$6:AZ$546,'BM MORRO DA CRUZ - VERTICAL'!$O$6:$O$546,'BM MORRO DA CRUZ'!$K148),0)</f>
        <v>0</v>
      </c>
      <c r="AW148" s="63">
        <f t="shared" si="131"/>
        <v>0</v>
      </c>
      <c r="AX148" s="61">
        <f>IFERROR(SUMIFS('BM MORRO DA CRUZ - VERTICAL'!BB$6:BB$546,'BM MORRO DA CRUZ - VERTICAL'!$O$6:$O$546,'BM MORRO DA CRUZ'!$K148),0)</f>
        <v>0</v>
      </c>
      <c r="AY148" s="63">
        <f t="shared" si="132"/>
        <v>0</v>
      </c>
      <c r="AZ148" s="61">
        <f>IFERROR(SUMIFS('BM MORRO DA CRUZ - VERTICAL'!BD$6:BD$546,'BM MORRO DA CRUZ - VERTICAL'!$O$6:$O$546,'BM MORRO DA CRUZ'!$K148),0)</f>
        <v>0</v>
      </c>
      <c r="BA148" s="63">
        <f t="shared" si="133"/>
        <v>0</v>
      </c>
      <c r="BB148" s="61">
        <f t="shared" si="134"/>
        <v>0</v>
      </c>
      <c r="BC148" s="63">
        <f t="shared" si="135"/>
        <v>0</v>
      </c>
      <c r="BD148" s="64">
        <f t="shared" si="136"/>
        <v>0</v>
      </c>
      <c r="BE148" s="65">
        <f t="shared" si="137"/>
        <v>1</v>
      </c>
      <c r="BF148" s="45"/>
    </row>
    <row r="149" spans="1:58" ht="26.25" customHeight="1" x14ac:dyDescent="0.45">
      <c r="A149" s="56" t="s">
        <v>593</v>
      </c>
      <c r="B149" s="506" t="s">
        <v>594</v>
      </c>
      <c r="C149" s="507" t="s">
        <v>111</v>
      </c>
      <c r="D149" s="507" t="s">
        <v>39</v>
      </c>
      <c r="E149" s="507" t="s">
        <v>302</v>
      </c>
      <c r="F149" s="507" t="s">
        <v>39</v>
      </c>
      <c r="G149" s="507">
        <v>200</v>
      </c>
      <c r="H149" s="508" t="s">
        <v>125</v>
      </c>
      <c r="I149" s="507" t="s">
        <v>114</v>
      </c>
      <c r="J149" s="508" t="s">
        <v>115</v>
      </c>
      <c r="K149" s="57" t="s">
        <v>595</v>
      </c>
      <c r="L149" s="58" t="s">
        <v>21</v>
      </c>
      <c r="M149" s="59" t="s">
        <v>596</v>
      </c>
      <c r="N149" s="60" t="s">
        <v>71</v>
      </c>
      <c r="O149" s="61">
        <v>3</v>
      </c>
      <c r="P149" s="62">
        <v>1014.15</v>
      </c>
      <c r="Q149" s="63">
        <f t="shared" si="115"/>
        <v>3042.45</v>
      </c>
      <c r="R149" s="61">
        <f>IFERROR(SUMIFS('BM MORRO DA CRUZ - VERTICAL'!V$6:V$546,'BM MORRO DA CRUZ - VERTICAL'!$O$6:$O$546,'BM MORRO DA CRUZ'!$K149),0)</f>
        <v>0</v>
      </c>
      <c r="S149" s="63">
        <f t="shared" si="116"/>
        <v>0</v>
      </c>
      <c r="T149" s="61">
        <f>IFERROR(SUMIFS('BM MORRO DA CRUZ - VERTICAL'!X$6:X$546,'BM MORRO DA CRUZ - VERTICAL'!$O$6:$O$546,'BM MORRO DA CRUZ'!$K149),0)</f>
        <v>0</v>
      </c>
      <c r="U149" s="63">
        <f t="shared" si="117"/>
        <v>0</v>
      </c>
      <c r="V149" s="61">
        <f>IFERROR(SUMIFS('BM MORRO DA CRUZ - VERTICAL'!Z$6:Z$546,'BM MORRO DA CRUZ - VERTICAL'!$O$6:$O$546,'BM MORRO DA CRUZ'!$K149),0)</f>
        <v>0</v>
      </c>
      <c r="W149" s="63">
        <f t="shared" si="118"/>
        <v>0</v>
      </c>
      <c r="X149" s="61">
        <f>IFERROR(SUMIFS('BM MORRO DA CRUZ - VERTICAL'!AB$6:AB$546,'BM MORRO DA CRUZ - VERTICAL'!$O$6:$O$546,'BM MORRO DA CRUZ'!$K149),0)</f>
        <v>0</v>
      </c>
      <c r="Y149" s="63">
        <f t="shared" si="119"/>
        <v>0</v>
      </c>
      <c r="Z149" s="61">
        <f>IFERROR(SUMIFS('BM MORRO DA CRUZ - VERTICAL'!AD$6:AD$546,'BM MORRO DA CRUZ - VERTICAL'!$O$6:$O$546,'BM MORRO DA CRUZ'!$K149),0)</f>
        <v>0</v>
      </c>
      <c r="AA149" s="63">
        <f t="shared" si="120"/>
        <v>0</v>
      </c>
      <c r="AB149" s="61">
        <f>IFERROR(SUMIFS('BM MORRO DA CRUZ - VERTICAL'!AF$6:AF$546,'BM MORRO DA CRUZ - VERTICAL'!$O$6:$O$546,'BM MORRO DA CRUZ'!$K149),0)</f>
        <v>0</v>
      </c>
      <c r="AC149" s="63">
        <f t="shared" si="121"/>
        <v>0</v>
      </c>
      <c r="AD149" s="61">
        <f>IFERROR(SUMIFS('BM MORRO DA CRUZ - VERTICAL'!AH$6:AH$546,'BM MORRO DA CRUZ - VERTICAL'!$O$6:$O$546,'BM MORRO DA CRUZ'!$K149),0)</f>
        <v>0</v>
      </c>
      <c r="AE149" s="63">
        <f t="shared" si="122"/>
        <v>0</v>
      </c>
      <c r="AF149" s="61">
        <f>IFERROR(SUMIFS('BM MORRO DA CRUZ - VERTICAL'!AJ$6:AJ$546,'BM MORRO DA CRUZ - VERTICAL'!$O$6:$O$546,'BM MORRO DA CRUZ'!$K149),0)</f>
        <v>0</v>
      </c>
      <c r="AG149" s="63">
        <f t="shared" si="123"/>
        <v>0</v>
      </c>
      <c r="AH149" s="61">
        <f>IFERROR(SUMIFS('BM MORRO DA CRUZ - VERTICAL'!AL$6:AL$546,'BM MORRO DA CRUZ - VERTICAL'!$O$6:$O$546,'BM MORRO DA CRUZ'!$K149),0)</f>
        <v>0</v>
      </c>
      <c r="AI149" s="63">
        <f t="shared" si="124"/>
        <v>0</v>
      </c>
      <c r="AJ149" s="61">
        <f>IFERROR(SUMIFS('BM MORRO DA CRUZ - VERTICAL'!AN$6:AN$546,'BM MORRO DA CRUZ - VERTICAL'!$O$6:$O$546,'BM MORRO DA CRUZ'!$K149),0)</f>
        <v>0</v>
      </c>
      <c r="AK149" s="63">
        <f t="shared" si="125"/>
        <v>0</v>
      </c>
      <c r="AL149" s="61">
        <f>IFERROR(SUMIFS('BM MORRO DA CRUZ - VERTICAL'!AP$6:AP$546,'BM MORRO DA CRUZ - VERTICAL'!$O$6:$O$546,'BM MORRO DA CRUZ'!$K149),0)</f>
        <v>0</v>
      </c>
      <c r="AM149" s="63">
        <f t="shared" si="126"/>
        <v>0</v>
      </c>
      <c r="AN149" s="61">
        <f>IFERROR(SUMIFS('BM MORRO DA CRUZ - VERTICAL'!AR$6:AR$546,'BM MORRO DA CRUZ - VERTICAL'!$O$6:$O$546,'BM MORRO DA CRUZ'!$K149),0)</f>
        <v>0</v>
      </c>
      <c r="AO149" s="63">
        <f t="shared" si="127"/>
        <v>0</v>
      </c>
      <c r="AP149" s="61">
        <f>IFERROR(SUMIFS('BM MORRO DA CRUZ - VERTICAL'!AT$6:AT$546,'BM MORRO DA CRUZ - VERTICAL'!$O$6:$O$546,'BM MORRO DA CRUZ'!$K149),0)</f>
        <v>0</v>
      </c>
      <c r="AQ149" s="63">
        <f t="shared" si="128"/>
        <v>0</v>
      </c>
      <c r="AR149" s="61">
        <f>IFERROR(SUMIFS('BM MORRO DA CRUZ - VERTICAL'!AV$6:AV$546,'BM MORRO DA CRUZ - VERTICAL'!$O$6:$O$546,'BM MORRO DA CRUZ'!$K149),0)</f>
        <v>0</v>
      </c>
      <c r="AS149" s="63">
        <f t="shared" si="129"/>
        <v>0</v>
      </c>
      <c r="AT149" s="61">
        <f>IFERROR(SUMIFS('BM MORRO DA CRUZ - VERTICAL'!AX$6:AX$546,'BM MORRO DA CRUZ - VERTICAL'!$O$6:$O$546,'BM MORRO DA CRUZ'!$K149),0)</f>
        <v>0</v>
      </c>
      <c r="AU149" s="63">
        <f t="shared" si="130"/>
        <v>0</v>
      </c>
      <c r="AV149" s="61">
        <f>IFERROR(SUMIFS('BM MORRO DA CRUZ - VERTICAL'!AZ$6:AZ$546,'BM MORRO DA CRUZ - VERTICAL'!$O$6:$O$546,'BM MORRO DA CRUZ'!$K149),0)</f>
        <v>0</v>
      </c>
      <c r="AW149" s="63">
        <f t="shared" si="131"/>
        <v>0</v>
      </c>
      <c r="AX149" s="61">
        <f>IFERROR(SUMIFS('BM MORRO DA CRUZ - VERTICAL'!BB$6:BB$546,'BM MORRO DA CRUZ - VERTICAL'!$O$6:$O$546,'BM MORRO DA CRUZ'!$K149),0)</f>
        <v>0</v>
      </c>
      <c r="AY149" s="63">
        <f t="shared" si="132"/>
        <v>0</v>
      </c>
      <c r="AZ149" s="61">
        <f>IFERROR(SUMIFS('BM MORRO DA CRUZ - VERTICAL'!BD$6:BD$546,'BM MORRO DA CRUZ - VERTICAL'!$O$6:$O$546,'BM MORRO DA CRUZ'!$K149),0)</f>
        <v>0</v>
      </c>
      <c r="BA149" s="63">
        <f t="shared" si="133"/>
        <v>0</v>
      </c>
      <c r="BB149" s="61">
        <f t="shared" si="134"/>
        <v>0</v>
      </c>
      <c r="BC149" s="63">
        <f t="shared" si="135"/>
        <v>0</v>
      </c>
      <c r="BD149" s="64">
        <f t="shared" si="136"/>
        <v>0</v>
      </c>
      <c r="BE149" s="65">
        <f t="shared" si="137"/>
        <v>1</v>
      </c>
      <c r="BF149" s="45"/>
    </row>
    <row r="150" spans="1:58" ht="38.25" customHeight="1" x14ac:dyDescent="0.45">
      <c r="A150" s="56" t="s">
        <v>597</v>
      </c>
      <c r="B150" s="506" t="s">
        <v>598</v>
      </c>
      <c r="C150" s="507" t="s">
        <v>111</v>
      </c>
      <c r="D150" s="507" t="s">
        <v>39</v>
      </c>
      <c r="E150" s="507" t="s">
        <v>302</v>
      </c>
      <c r="F150" s="507" t="s">
        <v>39</v>
      </c>
      <c r="G150" s="507" t="s">
        <v>599</v>
      </c>
      <c r="H150" s="508" t="s">
        <v>125</v>
      </c>
      <c r="I150" s="507" t="s">
        <v>114</v>
      </c>
      <c r="J150" s="508" t="s">
        <v>115</v>
      </c>
      <c r="K150" s="57" t="s">
        <v>600</v>
      </c>
      <c r="L150" s="58" t="s">
        <v>21</v>
      </c>
      <c r="M150" s="59" t="s">
        <v>601</v>
      </c>
      <c r="N150" s="60" t="s">
        <v>71</v>
      </c>
      <c r="O150" s="61">
        <v>6</v>
      </c>
      <c r="P150" s="62">
        <v>896.5</v>
      </c>
      <c r="Q150" s="63">
        <f t="shared" si="115"/>
        <v>5379</v>
      </c>
      <c r="R150" s="61">
        <f>IFERROR(SUMIFS('BM MORRO DA CRUZ - VERTICAL'!V$6:V$546,'BM MORRO DA CRUZ - VERTICAL'!$O$6:$O$546,'BM MORRO DA CRUZ'!$K150),0)</f>
        <v>0</v>
      </c>
      <c r="S150" s="63">
        <f t="shared" si="116"/>
        <v>0</v>
      </c>
      <c r="T150" s="61">
        <f>IFERROR(SUMIFS('BM MORRO DA CRUZ - VERTICAL'!X$6:X$546,'BM MORRO DA CRUZ - VERTICAL'!$O$6:$O$546,'BM MORRO DA CRUZ'!$K150),0)</f>
        <v>0</v>
      </c>
      <c r="U150" s="63">
        <f t="shared" si="117"/>
        <v>0</v>
      </c>
      <c r="V150" s="61">
        <f>IFERROR(SUMIFS('BM MORRO DA CRUZ - VERTICAL'!Z$6:Z$546,'BM MORRO DA CRUZ - VERTICAL'!$O$6:$O$546,'BM MORRO DA CRUZ'!$K150),0)</f>
        <v>0</v>
      </c>
      <c r="W150" s="63">
        <f t="shared" si="118"/>
        <v>0</v>
      </c>
      <c r="X150" s="61">
        <f>IFERROR(SUMIFS('BM MORRO DA CRUZ - VERTICAL'!AB$6:AB$546,'BM MORRO DA CRUZ - VERTICAL'!$O$6:$O$546,'BM MORRO DA CRUZ'!$K150),0)</f>
        <v>0</v>
      </c>
      <c r="Y150" s="63">
        <f t="shared" si="119"/>
        <v>0</v>
      </c>
      <c r="Z150" s="61">
        <f>IFERROR(SUMIFS('BM MORRO DA CRUZ - VERTICAL'!AD$6:AD$546,'BM MORRO DA CRUZ - VERTICAL'!$O$6:$O$546,'BM MORRO DA CRUZ'!$K150),0)</f>
        <v>0</v>
      </c>
      <c r="AA150" s="63">
        <f t="shared" si="120"/>
        <v>0</v>
      </c>
      <c r="AB150" s="61">
        <f>IFERROR(SUMIFS('BM MORRO DA CRUZ - VERTICAL'!AF$6:AF$546,'BM MORRO DA CRUZ - VERTICAL'!$O$6:$O$546,'BM MORRO DA CRUZ'!$K150),0)</f>
        <v>0</v>
      </c>
      <c r="AC150" s="63">
        <f t="shared" si="121"/>
        <v>0</v>
      </c>
      <c r="AD150" s="61">
        <f>IFERROR(SUMIFS('BM MORRO DA CRUZ - VERTICAL'!AH$6:AH$546,'BM MORRO DA CRUZ - VERTICAL'!$O$6:$O$546,'BM MORRO DA CRUZ'!$K150),0)</f>
        <v>0</v>
      </c>
      <c r="AE150" s="63">
        <f t="shared" si="122"/>
        <v>0</v>
      </c>
      <c r="AF150" s="61">
        <f>IFERROR(SUMIFS('BM MORRO DA CRUZ - VERTICAL'!AJ$6:AJ$546,'BM MORRO DA CRUZ - VERTICAL'!$O$6:$O$546,'BM MORRO DA CRUZ'!$K150),0)</f>
        <v>0</v>
      </c>
      <c r="AG150" s="63">
        <f t="shared" si="123"/>
        <v>0</v>
      </c>
      <c r="AH150" s="61">
        <f>IFERROR(SUMIFS('BM MORRO DA CRUZ - VERTICAL'!AL$6:AL$546,'BM MORRO DA CRUZ - VERTICAL'!$O$6:$O$546,'BM MORRO DA CRUZ'!$K150),0)</f>
        <v>0</v>
      </c>
      <c r="AI150" s="63">
        <f t="shared" si="124"/>
        <v>0</v>
      </c>
      <c r="AJ150" s="61">
        <f>IFERROR(SUMIFS('BM MORRO DA CRUZ - VERTICAL'!AN$6:AN$546,'BM MORRO DA CRUZ - VERTICAL'!$O$6:$O$546,'BM MORRO DA CRUZ'!$K150),0)</f>
        <v>0</v>
      </c>
      <c r="AK150" s="63">
        <f t="shared" si="125"/>
        <v>0</v>
      </c>
      <c r="AL150" s="61">
        <f>IFERROR(SUMIFS('BM MORRO DA CRUZ - VERTICAL'!AP$6:AP$546,'BM MORRO DA CRUZ - VERTICAL'!$O$6:$O$546,'BM MORRO DA CRUZ'!$K150),0)</f>
        <v>0</v>
      </c>
      <c r="AM150" s="63">
        <f t="shared" si="126"/>
        <v>0</v>
      </c>
      <c r="AN150" s="61">
        <f>IFERROR(SUMIFS('BM MORRO DA CRUZ - VERTICAL'!AR$6:AR$546,'BM MORRO DA CRUZ - VERTICAL'!$O$6:$O$546,'BM MORRO DA CRUZ'!$K150),0)</f>
        <v>0</v>
      </c>
      <c r="AO150" s="63">
        <f t="shared" si="127"/>
        <v>0</v>
      </c>
      <c r="AP150" s="61">
        <f>IFERROR(SUMIFS('BM MORRO DA CRUZ - VERTICAL'!AT$6:AT$546,'BM MORRO DA CRUZ - VERTICAL'!$O$6:$O$546,'BM MORRO DA CRUZ'!$K150),0)</f>
        <v>0</v>
      </c>
      <c r="AQ150" s="63">
        <f t="shared" si="128"/>
        <v>0</v>
      </c>
      <c r="AR150" s="61">
        <f>IFERROR(SUMIFS('BM MORRO DA CRUZ - VERTICAL'!AV$6:AV$546,'BM MORRO DA CRUZ - VERTICAL'!$O$6:$O$546,'BM MORRO DA CRUZ'!$K150),0)</f>
        <v>0</v>
      </c>
      <c r="AS150" s="63">
        <f t="shared" si="129"/>
        <v>0</v>
      </c>
      <c r="AT150" s="61">
        <f>IFERROR(SUMIFS('BM MORRO DA CRUZ - VERTICAL'!AX$6:AX$546,'BM MORRO DA CRUZ - VERTICAL'!$O$6:$O$546,'BM MORRO DA CRUZ'!$K150),0)</f>
        <v>0</v>
      </c>
      <c r="AU150" s="63">
        <f t="shared" si="130"/>
        <v>0</v>
      </c>
      <c r="AV150" s="61">
        <f>IFERROR(SUMIFS('BM MORRO DA CRUZ - VERTICAL'!AZ$6:AZ$546,'BM MORRO DA CRUZ - VERTICAL'!$O$6:$O$546,'BM MORRO DA CRUZ'!$K150),0)</f>
        <v>0</v>
      </c>
      <c r="AW150" s="63">
        <f t="shared" si="131"/>
        <v>0</v>
      </c>
      <c r="AX150" s="61">
        <f>IFERROR(SUMIFS('BM MORRO DA CRUZ - VERTICAL'!BB$6:BB$546,'BM MORRO DA CRUZ - VERTICAL'!$O$6:$O$546,'BM MORRO DA CRUZ'!$K150),0)</f>
        <v>0</v>
      </c>
      <c r="AY150" s="63">
        <f t="shared" si="132"/>
        <v>0</v>
      </c>
      <c r="AZ150" s="61">
        <f>IFERROR(SUMIFS('BM MORRO DA CRUZ - VERTICAL'!BD$6:BD$546,'BM MORRO DA CRUZ - VERTICAL'!$O$6:$O$546,'BM MORRO DA CRUZ'!$K150),0)</f>
        <v>0</v>
      </c>
      <c r="BA150" s="63">
        <f t="shared" si="133"/>
        <v>0</v>
      </c>
      <c r="BB150" s="61">
        <f t="shared" si="134"/>
        <v>0</v>
      </c>
      <c r="BC150" s="63">
        <f t="shared" si="135"/>
        <v>0</v>
      </c>
      <c r="BD150" s="64">
        <f t="shared" si="136"/>
        <v>0</v>
      </c>
      <c r="BE150" s="65">
        <f t="shared" si="137"/>
        <v>1</v>
      </c>
      <c r="BF150" s="45"/>
    </row>
    <row r="151" spans="1:58" ht="26.25" customHeight="1" x14ac:dyDescent="0.45">
      <c r="A151" s="56" t="s">
        <v>602</v>
      </c>
      <c r="B151" s="506" t="s">
        <v>603</v>
      </c>
      <c r="C151" s="507" t="s">
        <v>111</v>
      </c>
      <c r="D151" s="507" t="s">
        <v>39</v>
      </c>
      <c r="E151" s="507" t="s">
        <v>604</v>
      </c>
      <c r="F151" s="507" t="s">
        <v>39</v>
      </c>
      <c r="G151" s="507">
        <v>200</v>
      </c>
      <c r="H151" s="508" t="s">
        <v>125</v>
      </c>
      <c r="I151" s="507" t="s">
        <v>114</v>
      </c>
      <c r="J151" s="508" t="s">
        <v>115</v>
      </c>
      <c r="K151" s="57" t="s">
        <v>605</v>
      </c>
      <c r="L151" s="58" t="s">
        <v>21</v>
      </c>
      <c r="M151" s="59" t="s">
        <v>606</v>
      </c>
      <c r="N151" s="60" t="s">
        <v>71</v>
      </c>
      <c r="O151" s="61">
        <v>2</v>
      </c>
      <c r="P151" s="62">
        <v>917.66</v>
      </c>
      <c r="Q151" s="63">
        <f t="shared" si="115"/>
        <v>1835.32</v>
      </c>
      <c r="R151" s="61">
        <f>IFERROR(SUMIFS('BM MORRO DA CRUZ - VERTICAL'!V$6:V$546,'BM MORRO DA CRUZ - VERTICAL'!$O$6:$O$546,'BM MORRO DA CRUZ'!$K151),0)</f>
        <v>0</v>
      </c>
      <c r="S151" s="63">
        <f t="shared" si="116"/>
        <v>0</v>
      </c>
      <c r="T151" s="61">
        <f>IFERROR(SUMIFS('BM MORRO DA CRUZ - VERTICAL'!X$6:X$546,'BM MORRO DA CRUZ - VERTICAL'!$O$6:$O$546,'BM MORRO DA CRUZ'!$K151),0)</f>
        <v>0</v>
      </c>
      <c r="U151" s="63">
        <f t="shared" si="117"/>
        <v>0</v>
      </c>
      <c r="V151" s="61">
        <f>IFERROR(SUMIFS('BM MORRO DA CRUZ - VERTICAL'!Z$6:Z$546,'BM MORRO DA CRUZ - VERTICAL'!$O$6:$O$546,'BM MORRO DA CRUZ'!$K151),0)</f>
        <v>0</v>
      </c>
      <c r="W151" s="63">
        <f t="shared" si="118"/>
        <v>0</v>
      </c>
      <c r="X151" s="61">
        <f>IFERROR(SUMIFS('BM MORRO DA CRUZ - VERTICAL'!AB$6:AB$546,'BM MORRO DA CRUZ - VERTICAL'!$O$6:$O$546,'BM MORRO DA CRUZ'!$K151),0)</f>
        <v>0</v>
      </c>
      <c r="Y151" s="63">
        <f t="shared" si="119"/>
        <v>0</v>
      </c>
      <c r="Z151" s="61">
        <f>IFERROR(SUMIFS('BM MORRO DA CRUZ - VERTICAL'!AD$6:AD$546,'BM MORRO DA CRUZ - VERTICAL'!$O$6:$O$546,'BM MORRO DA CRUZ'!$K151),0)</f>
        <v>0</v>
      </c>
      <c r="AA151" s="63">
        <f t="shared" si="120"/>
        <v>0</v>
      </c>
      <c r="AB151" s="61">
        <f>IFERROR(SUMIFS('BM MORRO DA CRUZ - VERTICAL'!AF$6:AF$546,'BM MORRO DA CRUZ - VERTICAL'!$O$6:$O$546,'BM MORRO DA CRUZ'!$K151),0)</f>
        <v>0</v>
      </c>
      <c r="AC151" s="63">
        <f t="shared" si="121"/>
        <v>0</v>
      </c>
      <c r="AD151" s="61">
        <f>IFERROR(SUMIFS('BM MORRO DA CRUZ - VERTICAL'!AH$6:AH$546,'BM MORRO DA CRUZ - VERTICAL'!$O$6:$O$546,'BM MORRO DA CRUZ'!$K151),0)</f>
        <v>0</v>
      </c>
      <c r="AE151" s="63">
        <f t="shared" si="122"/>
        <v>0</v>
      </c>
      <c r="AF151" s="61">
        <f>IFERROR(SUMIFS('BM MORRO DA CRUZ - VERTICAL'!AJ$6:AJ$546,'BM MORRO DA CRUZ - VERTICAL'!$O$6:$O$546,'BM MORRO DA CRUZ'!$K151),0)</f>
        <v>0</v>
      </c>
      <c r="AG151" s="63">
        <f t="shared" si="123"/>
        <v>0</v>
      </c>
      <c r="AH151" s="61">
        <f>IFERROR(SUMIFS('BM MORRO DA CRUZ - VERTICAL'!AL$6:AL$546,'BM MORRO DA CRUZ - VERTICAL'!$O$6:$O$546,'BM MORRO DA CRUZ'!$K151),0)</f>
        <v>0</v>
      </c>
      <c r="AI151" s="63">
        <f t="shared" si="124"/>
        <v>0</v>
      </c>
      <c r="AJ151" s="61">
        <f>IFERROR(SUMIFS('BM MORRO DA CRUZ - VERTICAL'!AN$6:AN$546,'BM MORRO DA CRUZ - VERTICAL'!$O$6:$O$546,'BM MORRO DA CRUZ'!$K151),0)</f>
        <v>0</v>
      </c>
      <c r="AK151" s="63">
        <f t="shared" si="125"/>
        <v>0</v>
      </c>
      <c r="AL151" s="61">
        <f>IFERROR(SUMIFS('BM MORRO DA CRUZ - VERTICAL'!AP$6:AP$546,'BM MORRO DA CRUZ - VERTICAL'!$O$6:$O$546,'BM MORRO DA CRUZ'!$K151),0)</f>
        <v>0</v>
      </c>
      <c r="AM151" s="63">
        <f t="shared" si="126"/>
        <v>0</v>
      </c>
      <c r="AN151" s="61">
        <f>IFERROR(SUMIFS('BM MORRO DA CRUZ - VERTICAL'!AR$6:AR$546,'BM MORRO DA CRUZ - VERTICAL'!$O$6:$O$546,'BM MORRO DA CRUZ'!$K151),0)</f>
        <v>0</v>
      </c>
      <c r="AO151" s="63">
        <f t="shared" si="127"/>
        <v>0</v>
      </c>
      <c r="AP151" s="61">
        <f>IFERROR(SUMIFS('BM MORRO DA CRUZ - VERTICAL'!AT$6:AT$546,'BM MORRO DA CRUZ - VERTICAL'!$O$6:$O$546,'BM MORRO DA CRUZ'!$K151),0)</f>
        <v>0</v>
      </c>
      <c r="AQ151" s="63">
        <f t="shared" si="128"/>
        <v>0</v>
      </c>
      <c r="AR151" s="61">
        <f>IFERROR(SUMIFS('BM MORRO DA CRUZ - VERTICAL'!AV$6:AV$546,'BM MORRO DA CRUZ - VERTICAL'!$O$6:$O$546,'BM MORRO DA CRUZ'!$K151),0)</f>
        <v>0</v>
      </c>
      <c r="AS151" s="63">
        <f t="shared" si="129"/>
        <v>0</v>
      </c>
      <c r="AT151" s="61">
        <f>IFERROR(SUMIFS('BM MORRO DA CRUZ - VERTICAL'!AX$6:AX$546,'BM MORRO DA CRUZ - VERTICAL'!$O$6:$O$546,'BM MORRO DA CRUZ'!$K151),0)</f>
        <v>0</v>
      </c>
      <c r="AU151" s="63">
        <f t="shared" si="130"/>
        <v>0</v>
      </c>
      <c r="AV151" s="61">
        <f>IFERROR(SUMIFS('BM MORRO DA CRUZ - VERTICAL'!AZ$6:AZ$546,'BM MORRO DA CRUZ - VERTICAL'!$O$6:$O$546,'BM MORRO DA CRUZ'!$K151),0)</f>
        <v>0</v>
      </c>
      <c r="AW151" s="63">
        <f t="shared" si="131"/>
        <v>0</v>
      </c>
      <c r="AX151" s="61">
        <f>IFERROR(SUMIFS('BM MORRO DA CRUZ - VERTICAL'!BB$6:BB$546,'BM MORRO DA CRUZ - VERTICAL'!$O$6:$O$546,'BM MORRO DA CRUZ'!$K151),0)</f>
        <v>0</v>
      </c>
      <c r="AY151" s="63">
        <f t="shared" si="132"/>
        <v>0</v>
      </c>
      <c r="AZ151" s="61">
        <f>IFERROR(SUMIFS('BM MORRO DA CRUZ - VERTICAL'!BD$6:BD$546,'BM MORRO DA CRUZ - VERTICAL'!$O$6:$O$546,'BM MORRO DA CRUZ'!$K151),0)</f>
        <v>0</v>
      </c>
      <c r="BA151" s="63">
        <f t="shared" si="133"/>
        <v>0</v>
      </c>
      <c r="BB151" s="61">
        <f t="shared" si="134"/>
        <v>0</v>
      </c>
      <c r="BC151" s="63">
        <f t="shared" si="135"/>
        <v>0</v>
      </c>
      <c r="BD151" s="64">
        <f t="shared" si="136"/>
        <v>0</v>
      </c>
      <c r="BE151" s="65">
        <f t="shared" si="137"/>
        <v>1</v>
      </c>
      <c r="BF151" s="45"/>
    </row>
    <row r="152" spans="1:58" ht="26.25" customHeight="1" x14ac:dyDescent="0.45">
      <c r="A152" s="56" t="s">
        <v>607</v>
      </c>
      <c r="B152" s="506" t="s">
        <v>608</v>
      </c>
      <c r="C152" s="507" t="s">
        <v>39</v>
      </c>
      <c r="D152" s="507" t="s">
        <v>39</v>
      </c>
      <c r="E152" s="507" t="s">
        <v>609</v>
      </c>
      <c r="F152" s="507" t="s">
        <v>39</v>
      </c>
      <c r="G152" s="507">
        <v>100</v>
      </c>
      <c r="H152" s="508" t="s">
        <v>125</v>
      </c>
      <c r="I152" s="507" t="s">
        <v>114</v>
      </c>
      <c r="J152" s="508" t="s">
        <v>115</v>
      </c>
      <c r="K152" s="57" t="s">
        <v>610</v>
      </c>
      <c r="L152" s="58" t="s">
        <v>21</v>
      </c>
      <c r="M152" s="59" t="s">
        <v>611</v>
      </c>
      <c r="N152" s="60" t="s">
        <v>71</v>
      </c>
      <c r="O152" s="61">
        <v>1</v>
      </c>
      <c r="P152" s="62">
        <v>627.82000000000005</v>
      </c>
      <c r="Q152" s="63">
        <f t="shared" si="115"/>
        <v>627.82000000000005</v>
      </c>
      <c r="R152" s="61">
        <f>IFERROR(SUMIFS('BM MORRO DA CRUZ - VERTICAL'!V$6:V$546,'BM MORRO DA CRUZ - VERTICAL'!$O$6:$O$546,'BM MORRO DA CRUZ'!$K152),0)</f>
        <v>0</v>
      </c>
      <c r="S152" s="63">
        <f t="shared" si="116"/>
        <v>0</v>
      </c>
      <c r="T152" s="61">
        <f>IFERROR(SUMIFS('BM MORRO DA CRUZ - VERTICAL'!X$6:X$546,'BM MORRO DA CRUZ - VERTICAL'!$O$6:$O$546,'BM MORRO DA CRUZ'!$K152),0)</f>
        <v>0</v>
      </c>
      <c r="U152" s="63">
        <f t="shared" si="117"/>
        <v>0</v>
      </c>
      <c r="V152" s="61">
        <f>IFERROR(SUMIFS('BM MORRO DA CRUZ - VERTICAL'!Z$6:Z$546,'BM MORRO DA CRUZ - VERTICAL'!$O$6:$O$546,'BM MORRO DA CRUZ'!$K152),0)</f>
        <v>0</v>
      </c>
      <c r="W152" s="63">
        <f t="shared" si="118"/>
        <v>0</v>
      </c>
      <c r="X152" s="61">
        <f>IFERROR(SUMIFS('BM MORRO DA CRUZ - VERTICAL'!AB$6:AB$546,'BM MORRO DA CRUZ - VERTICAL'!$O$6:$O$546,'BM MORRO DA CRUZ'!$K152),0)</f>
        <v>0</v>
      </c>
      <c r="Y152" s="63">
        <f t="shared" si="119"/>
        <v>0</v>
      </c>
      <c r="Z152" s="61">
        <f>IFERROR(SUMIFS('BM MORRO DA CRUZ - VERTICAL'!AD$6:AD$546,'BM MORRO DA CRUZ - VERTICAL'!$O$6:$O$546,'BM MORRO DA CRUZ'!$K152),0)</f>
        <v>0</v>
      </c>
      <c r="AA152" s="63">
        <f t="shared" si="120"/>
        <v>0</v>
      </c>
      <c r="AB152" s="61">
        <f>IFERROR(SUMIFS('BM MORRO DA CRUZ - VERTICAL'!AF$6:AF$546,'BM MORRO DA CRUZ - VERTICAL'!$O$6:$O$546,'BM MORRO DA CRUZ'!$K152),0)</f>
        <v>0</v>
      </c>
      <c r="AC152" s="63">
        <f t="shared" si="121"/>
        <v>0</v>
      </c>
      <c r="AD152" s="61">
        <f>IFERROR(SUMIFS('BM MORRO DA CRUZ - VERTICAL'!AH$6:AH$546,'BM MORRO DA CRUZ - VERTICAL'!$O$6:$O$546,'BM MORRO DA CRUZ'!$K152),0)</f>
        <v>0</v>
      </c>
      <c r="AE152" s="63">
        <f t="shared" si="122"/>
        <v>0</v>
      </c>
      <c r="AF152" s="61">
        <f>IFERROR(SUMIFS('BM MORRO DA CRUZ - VERTICAL'!AJ$6:AJ$546,'BM MORRO DA CRUZ - VERTICAL'!$O$6:$O$546,'BM MORRO DA CRUZ'!$K152),0)</f>
        <v>0</v>
      </c>
      <c r="AG152" s="63">
        <f t="shared" si="123"/>
        <v>0</v>
      </c>
      <c r="AH152" s="61">
        <f>IFERROR(SUMIFS('BM MORRO DA CRUZ - VERTICAL'!AL$6:AL$546,'BM MORRO DA CRUZ - VERTICAL'!$O$6:$O$546,'BM MORRO DA CRUZ'!$K152),0)</f>
        <v>0</v>
      </c>
      <c r="AI152" s="63">
        <f t="shared" si="124"/>
        <v>0</v>
      </c>
      <c r="AJ152" s="61">
        <f>IFERROR(SUMIFS('BM MORRO DA CRUZ - VERTICAL'!AN$6:AN$546,'BM MORRO DA CRUZ - VERTICAL'!$O$6:$O$546,'BM MORRO DA CRUZ'!$K152),0)</f>
        <v>0</v>
      </c>
      <c r="AK152" s="63">
        <f t="shared" si="125"/>
        <v>0</v>
      </c>
      <c r="AL152" s="61">
        <f>IFERROR(SUMIFS('BM MORRO DA CRUZ - VERTICAL'!AP$6:AP$546,'BM MORRO DA CRUZ - VERTICAL'!$O$6:$O$546,'BM MORRO DA CRUZ'!$K152),0)</f>
        <v>0</v>
      </c>
      <c r="AM152" s="63">
        <f t="shared" si="126"/>
        <v>0</v>
      </c>
      <c r="AN152" s="61">
        <f>IFERROR(SUMIFS('BM MORRO DA CRUZ - VERTICAL'!AR$6:AR$546,'BM MORRO DA CRUZ - VERTICAL'!$O$6:$O$546,'BM MORRO DA CRUZ'!$K152),0)</f>
        <v>0</v>
      </c>
      <c r="AO152" s="63">
        <f t="shared" si="127"/>
        <v>0</v>
      </c>
      <c r="AP152" s="61">
        <f>IFERROR(SUMIFS('BM MORRO DA CRUZ - VERTICAL'!AT$6:AT$546,'BM MORRO DA CRUZ - VERTICAL'!$O$6:$O$546,'BM MORRO DA CRUZ'!$K152),0)</f>
        <v>0</v>
      </c>
      <c r="AQ152" s="63">
        <f t="shared" si="128"/>
        <v>0</v>
      </c>
      <c r="AR152" s="61">
        <f>IFERROR(SUMIFS('BM MORRO DA CRUZ - VERTICAL'!AV$6:AV$546,'BM MORRO DA CRUZ - VERTICAL'!$O$6:$O$546,'BM MORRO DA CRUZ'!$K152),0)</f>
        <v>0</v>
      </c>
      <c r="AS152" s="63">
        <f t="shared" si="129"/>
        <v>0</v>
      </c>
      <c r="AT152" s="61">
        <f>IFERROR(SUMIFS('BM MORRO DA CRUZ - VERTICAL'!AX$6:AX$546,'BM MORRO DA CRUZ - VERTICAL'!$O$6:$O$546,'BM MORRO DA CRUZ'!$K152),0)</f>
        <v>0</v>
      </c>
      <c r="AU152" s="63">
        <f t="shared" si="130"/>
        <v>0</v>
      </c>
      <c r="AV152" s="61">
        <f>IFERROR(SUMIFS('BM MORRO DA CRUZ - VERTICAL'!AZ$6:AZ$546,'BM MORRO DA CRUZ - VERTICAL'!$O$6:$O$546,'BM MORRO DA CRUZ'!$K152),0)</f>
        <v>0</v>
      </c>
      <c r="AW152" s="63">
        <f t="shared" si="131"/>
        <v>0</v>
      </c>
      <c r="AX152" s="61">
        <f>IFERROR(SUMIFS('BM MORRO DA CRUZ - VERTICAL'!BB$6:BB$546,'BM MORRO DA CRUZ - VERTICAL'!$O$6:$O$546,'BM MORRO DA CRUZ'!$K152),0)</f>
        <v>0</v>
      </c>
      <c r="AY152" s="63">
        <f t="shared" si="132"/>
        <v>0</v>
      </c>
      <c r="AZ152" s="61">
        <f>IFERROR(SUMIFS('BM MORRO DA CRUZ - VERTICAL'!BD$6:BD$546,'BM MORRO DA CRUZ - VERTICAL'!$O$6:$O$546,'BM MORRO DA CRUZ'!$K152),0)</f>
        <v>0</v>
      </c>
      <c r="BA152" s="63">
        <f t="shared" si="133"/>
        <v>0</v>
      </c>
      <c r="BB152" s="61">
        <f t="shared" si="134"/>
        <v>0</v>
      </c>
      <c r="BC152" s="63">
        <f t="shared" si="135"/>
        <v>0</v>
      </c>
      <c r="BD152" s="64">
        <f t="shared" si="136"/>
        <v>0</v>
      </c>
      <c r="BE152" s="65">
        <f t="shared" si="137"/>
        <v>1</v>
      </c>
      <c r="BF152" s="45"/>
    </row>
    <row r="153" spans="1:58" ht="26.25" customHeight="1" x14ac:dyDescent="0.45">
      <c r="A153" s="56" t="s">
        <v>612</v>
      </c>
      <c r="B153" s="506" t="s">
        <v>608</v>
      </c>
      <c r="C153" s="507" t="s">
        <v>39</v>
      </c>
      <c r="D153" s="507" t="s">
        <v>39</v>
      </c>
      <c r="E153" s="507" t="s">
        <v>609</v>
      </c>
      <c r="F153" s="507" t="s">
        <v>39</v>
      </c>
      <c r="G153" s="507">
        <v>150</v>
      </c>
      <c r="H153" s="508" t="s">
        <v>125</v>
      </c>
      <c r="I153" s="507" t="s">
        <v>114</v>
      </c>
      <c r="J153" s="508" t="s">
        <v>115</v>
      </c>
      <c r="K153" s="57" t="s">
        <v>613</v>
      </c>
      <c r="L153" s="58" t="s">
        <v>21</v>
      </c>
      <c r="M153" s="59" t="s">
        <v>614</v>
      </c>
      <c r="N153" s="60" t="s">
        <v>71</v>
      </c>
      <c r="O153" s="61">
        <v>5</v>
      </c>
      <c r="P153" s="62">
        <v>902.61</v>
      </c>
      <c r="Q153" s="63">
        <f t="shared" si="115"/>
        <v>4513.05</v>
      </c>
      <c r="R153" s="61">
        <f>IFERROR(SUMIFS('BM MORRO DA CRUZ - VERTICAL'!V$6:V$546,'BM MORRO DA CRUZ - VERTICAL'!$O$6:$O$546,'BM MORRO DA CRUZ'!$K153),0)</f>
        <v>0</v>
      </c>
      <c r="S153" s="63">
        <f t="shared" si="116"/>
        <v>0</v>
      </c>
      <c r="T153" s="61">
        <f>IFERROR(SUMIFS('BM MORRO DA CRUZ - VERTICAL'!X$6:X$546,'BM MORRO DA CRUZ - VERTICAL'!$O$6:$O$546,'BM MORRO DA CRUZ'!$K153),0)</f>
        <v>0</v>
      </c>
      <c r="U153" s="63">
        <f t="shared" si="117"/>
        <v>0</v>
      </c>
      <c r="V153" s="61">
        <f>IFERROR(SUMIFS('BM MORRO DA CRUZ - VERTICAL'!Z$6:Z$546,'BM MORRO DA CRUZ - VERTICAL'!$O$6:$O$546,'BM MORRO DA CRUZ'!$K153),0)</f>
        <v>0</v>
      </c>
      <c r="W153" s="63">
        <f t="shared" si="118"/>
        <v>0</v>
      </c>
      <c r="X153" s="61">
        <f>IFERROR(SUMIFS('BM MORRO DA CRUZ - VERTICAL'!AB$6:AB$546,'BM MORRO DA CRUZ - VERTICAL'!$O$6:$O$546,'BM MORRO DA CRUZ'!$K153),0)</f>
        <v>0</v>
      </c>
      <c r="Y153" s="63">
        <f t="shared" si="119"/>
        <v>0</v>
      </c>
      <c r="Z153" s="61">
        <f>IFERROR(SUMIFS('BM MORRO DA CRUZ - VERTICAL'!AD$6:AD$546,'BM MORRO DA CRUZ - VERTICAL'!$O$6:$O$546,'BM MORRO DA CRUZ'!$K153),0)</f>
        <v>0</v>
      </c>
      <c r="AA153" s="63">
        <f t="shared" si="120"/>
        <v>0</v>
      </c>
      <c r="AB153" s="61">
        <f>IFERROR(SUMIFS('BM MORRO DA CRUZ - VERTICAL'!AF$6:AF$546,'BM MORRO DA CRUZ - VERTICAL'!$O$6:$O$546,'BM MORRO DA CRUZ'!$K153),0)</f>
        <v>0</v>
      </c>
      <c r="AC153" s="63">
        <f t="shared" si="121"/>
        <v>0</v>
      </c>
      <c r="AD153" s="61">
        <f>IFERROR(SUMIFS('BM MORRO DA CRUZ - VERTICAL'!AH$6:AH$546,'BM MORRO DA CRUZ - VERTICAL'!$O$6:$O$546,'BM MORRO DA CRUZ'!$K153),0)</f>
        <v>0</v>
      </c>
      <c r="AE153" s="63">
        <f t="shared" si="122"/>
        <v>0</v>
      </c>
      <c r="AF153" s="61">
        <f>IFERROR(SUMIFS('BM MORRO DA CRUZ - VERTICAL'!AJ$6:AJ$546,'BM MORRO DA CRUZ - VERTICAL'!$O$6:$O$546,'BM MORRO DA CRUZ'!$K153),0)</f>
        <v>0</v>
      </c>
      <c r="AG153" s="63">
        <f t="shared" si="123"/>
        <v>0</v>
      </c>
      <c r="AH153" s="61">
        <f>IFERROR(SUMIFS('BM MORRO DA CRUZ - VERTICAL'!AL$6:AL$546,'BM MORRO DA CRUZ - VERTICAL'!$O$6:$O$546,'BM MORRO DA CRUZ'!$K153),0)</f>
        <v>0</v>
      </c>
      <c r="AI153" s="63">
        <f t="shared" si="124"/>
        <v>0</v>
      </c>
      <c r="AJ153" s="61">
        <f>IFERROR(SUMIFS('BM MORRO DA CRUZ - VERTICAL'!AN$6:AN$546,'BM MORRO DA CRUZ - VERTICAL'!$O$6:$O$546,'BM MORRO DA CRUZ'!$K153),0)</f>
        <v>0</v>
      </c>
      <c r="AK153" s="63">
        <f t="shared" si="125"/>
        <v>0</v>
      </c>
      <c r="AL153" s="61">
        <f>IFERROR(SUMIFS('BM MORRO DA CRUZ - VERTICAL'!AP$6:AP$546,'BM MORRO DA CRUZ - VERTICAL'!$O$6:$O$546,'BM MORRO DA CRUZ'!$K153),0)</f>
        <v>0</v>
      </c>
      <c r="AM153" s="63">
        <f t="shared" si="126"/>
        <v>0</v>
      </c>
      <c r="AN153" s="61">
        <f>IFERROR(SUMIFS('BM MORRO DA CRUZ - VERTICAL'!AR$6:AR$546,'BM MORRO DA CRUZ - VERTICAL'!$O$6:$O$546,'BM MORRO DA CRUZ'!$K153),0)</f>
        <v>0</v>
      </c>
      <c r="AO153" s="63">
        <f t="shared" si="127"/>
        <v>0</v>
      </c>
      <c r="AP153" s="61">
        <f>IFERROR(SUMIFS('BM MORRO DA CRUZ - VERTICAL'!AT$6:AT$546,'BM MORRO DA CRUZ - VERTICAL'!$O$6:$O$546,'BM MORRO DA CRUZ'!$K153),0)</f>
        <v>0</v>
      </c>
      <c r="AQ153" s="63">
        <f t="shared" si="128"/>
        <v>0</v>
      </c>
      <c r="AR153" s="61">
        <f>IFERROR(SUMIFS('BM MORRO DA CRUZ - VERTICAL'!AV$6:AV$546,'BM MORRO DA CRUZ - VERTICAL'!$O$6:$O$546,'BM MORRO DA CRUZ'!$K153),0)</f>
        <v>0</v>
      </c>
      <c r="AS153" s="63">
        <f t="shared" si="129"/>
        <v>0</v>
      </c>
      <c r="AT153" s="61">
        <f>IFERROR(SUMIFS('BM MORRO DA CRUZ - VERTICAL'!AX$6:AX$546,'BM MORRO DA CRUZ - VERTICAL'!$O$6:$O$546,'BM MORRO DA CRUZ'!$K153),0)</f>
        <v>0</v>
      </c>
      <c r="AU153" s="63">
        <f t="shared" si="130"/>
        <v>0</v>
      </c>
      <c r="AV153" s="61">
        <f>IFERROR(SUMIFS('BM MORRO DA CRUZ - VERTICAL'!AZ$6:AZ$546,'BM MORRO DA CRUZ - VERTICAL'!$O$6:$O$546,'BM MORRO DA CRUZ'!$K153),0)</f>
        <v>0</v>
      </c>
      <c r="AW153" s="63">
        <f t="shared" si="131"/>
        <v>0</v>
      </c>
      <c r="AX153" s="61">
        <f>IFERROR(SUMIFS('BM MORRO DA CRUZ - VERTICAL'!BB$6:BB$546,'BM MORRO DA CRUZ - VERTICAL'!$O$6:$O$546,'BM MORRO DA CRUZ'!$K153),0)</f>
        <v>0</v>
      </c>
      <c r="AY153" s="63">
        <f t="shared" si="132"/>
        <v>0</v>
      </c>
      <c r="AZ153" s="61">
        <f>IFERROR(SUMIFS('BM MORRO DA CRUZ - VERTICAL'!BD$6:BD$546,'BM MORRO DA CRUZ - VERTICAL'!$O$6:$O$546,'BM MORRO DA CRUZ'!$K153),0)</f>
        <v>0</v>
      </c>
      <c r="BA153" s="63">
        <f t="shared" si="133"/>
        <v>0</v>
      </c>
      <c r="BB153" s="61">
        <f t="shared" si="134"/>
        <v>0</v>
      </c>
      <c r="BC153" s="63">
        <f t="shared" si="135"/>
        <v>0</v>
      </c>
      <c r="BD153" s="64">
        <f t="shared" si="136"/>
        <v>0</v>
      </c>
      <c r="BE153" s="65">
        <f t="shared" si="137"/>
        <v>1</v>
      </c>
      <c r="BF153" s="45"/>
    </row>
    <row r="154" spans="1:58" ht="26.25" customHeight="1" x14ac:dyDescent="0.45">
      <c r="A154" s="56" t="s">
        <v>615</v>
      </c>
      <c r="B154" s="506" t="s">
        <v>608</v>
      </c>
      <c r="C154" s="507" t="s">
        <v>39</v>
      </c>
      <c r="D154" s="507" t="s">
        <v>39</v>
      </c>
      <c r="E154" s="507" t="s">
        <v>609</v>
      </c>
      <c r="F154" s="507" t="s">
        <v>39</v>
      </c>
      <c r="G154" s="507">
        <v>200</v>
      </c>
      <c r="H154" s="508" t="s">
        <v>125</v>
      </c>
      <c r="I154" s="507" t="s">
        <v>114</v>
      </c>
      <c r="J154" s="508" t="s">
        <v>115</v>
      </c>
      <c r="K154" s="57" t="s">
        <v>616</v>
      </c>
      <c r="L154" s="58" t="s">
        <v>21</v>
      </c>
      <c r="M154" s="59" t="s">
        <v>617</v>
      </c>
      <c r="N154" s="60" t="s">
        <v>71</v>
      </c>
      <c r="O154" s="61">
        <v>5</v>
      </c>
      <c r="P154" s="62">
        <v>1150.8399999999999</v>
      </c>
      <c r="Q154" s="63">
        <f t="shared" si="115"/>
        <v>5754.2</v>
      </c>
      <c r="R154" s="61">
        <f>IFERROR(SUMIFS('BM MORRO DA CRUZ - VERTICAL'!V$6:V$546,'BM MORRO DA CRUZ - VERTICAL'!$O$6:$O$546,'BM MORRO DA CRUZ'!$K154),0)</f>
        <v>0</v>
      </c>
      <c r="S154" s="63">
        <f t="shared" si="116"/>
        <v>0</v>
      </c>
      <c r="T154" s="61">
        <f>IFERROR(SUMIFS('BM MORRO DA CRUZ - VERTICAL'!X$6:X$546,'BM MORRO DA CRUZ - VERTICAL'!$O$6:$O$546,'BM MORRO DA CRUZ'!$K154),0)</f>
        <v>0</v>
      </c>
      <c r="U154" s="63">
        <f t="shared" si="117"/>
        <v>0</v>
      </c>
      <c r="V154" s="61">
        <f>IFERROR(SUMIFS('BM MORRO DA CRUZ - VERTICAL'!Z$6:Z$546,'BM MORRO DA CRUZ - VERTICAL'!$O$6:$O$546,'BM MORRO DA CRUZ'!$K154),0)</f>
        <v>0</v>
      </c>
      <c r="W154" s="63">
        <f t="shared" si="118"/>
        <v>0</v>
      </c>
      <c r="X154" s="61">
        <f>IFERROR(SUMIFS('BM MORRO DA CRUZ - VERTICAL'!AB$6:AB$546,'BM MORRO DA CRUZ - VERTICAL'!$O$6:$O$546,'BM MORRO DA CRUZ'!$K154),0)</f>
        <v>0</v>
      </c>
      <c r="Y154" s="63">
        <f t="shared" si="119"/>
        <v>0</v>
      </c>
      <c r="Z154" s="61">
        <f>IFERROR(SUMIFS('BM MORRO DA CRUZ - VERTICAL'!AD$6:AD$546,'BM MORRO DA CRUZ - VERTICAL'!$O$6:$O$546,'BM MORRO DA CRUZ'!$K154),0)</f>
        <v>0</v>
      </c>
      <c r="AA154" s="63">
        <f t="shared" si="120"/>
        <v>0</v>
      </c>
      <c r="AB154" s="61">
        <f>IFERROR(SUMIFS('BM MORRO DA CRUZ - VERTICAL'!AF$6:AF$546,'BM MORRO DA CRUZ - VERTICAL'!$O$6:$O$546,'BM MORRO DA CRUZ'!$K154),0)</f>
        <v>0</v>
      </c>
      <c r="AC154" s="63">
        <f t="shared" si="121"/>
        <v>0</v>
      </c>
      <c r="AD154" s="61">
        <f>IFERROR(SUMIFS('BM MORRO DA CRUZ - VERTICAL'!AH$6:AH$546,'BM MORRO DA CRUZ - VERTICAL'!$O$6:$O$546,'BM MORRO DA CRUZ'!$K154),0)</f>
        <v>0</v>
      </c>
      <c r="AE154" s="63">
        <f t="shared" si="122"/>
        <v>0</v>
      </c>
      <c r="AF154" s="61">
        <f>IFERROR(SUMIFS('BM MORRO DA CRUZ - VERTICAL'!AJ$6:AJ$546,'BM MORRO DA CRUZ - VERTICAL'!$O$6:$O$546,'BM MORRO DA CRUZ'!$K154),0)</f>
        <v>0</v>
      </c>
      <c r="AG154" s="63">
        <f t="shared" si="123"/>
        <v>0</v>
      </c>
      <c r="AH154" s="61">
        <f>IFERROR(SUMIFS('BM MORRO DA CRUZ - VERTICAL'!AL$6:AL$546,'BM MORRO DA CRUZ - VERTICAL'!$O$6:$O$546,'BM MORRO DA CRUZ'!$K154),0)</f>
        <v>0</v>
      </c>
      <c r="AI154" s="63">
        <f t="shared" si="124"/>
        <v>0</v>
      </c>
      <c r="AJ154" s="61">
        <f>IFERROR(SUMIFS('BM MORRO DA CRUZ - VERTICAL'!AN$6:AN$546,'BM MORRO DA CRUZ - VERTICAL'!$O$6:$O$546,'BM MORRO DA CRUZ'!$K154),0)</f>
        <v>0</v>
      </c>
      <c r="AK154" s="63">
        <f t="shared" si="125"/>
        <v>0</v>
      </c>
      <c r="AL154" s="61">
        <f>IFERROR(SUMIFS('BM MORRO DA CRUZ - VERTICAL'!AP$6:AP$546,'BM MORRO DA CRUZ - VERTICAL'!$O$6:$O$546,'BM MORRO DA CRUZ'!$K154),0)</f>
        <v>0</v>
      </c>
      <c r="AM154" s="63">
        <f t="shared" si="126"/>
        <v>0</v>
      </c>
      <c r="AN154" s="61">
        <f>IFERROR(SUMIFS('BM MORRO DA CRUZ - VERTICAL'!AR$6:AR$546,'BM MORRO DA CRUZ - VERTICAL'!$O$6:$O$546,'BM MORRO DA CRUZ'!$K154),0)</f>
        <v>0</v>
      </c>
      <c r="AO154" s="63">
        <f t="shared" si="127"/>
        <v>0</v>
      </c>
      <c r="AP154" s="61">
        <f>IFERROR(SUMIFS('BM MORRO DA CRUZ - VERTICAL'!AT$6:AT$546,'BM MORRO DA CRUZ - VERTICAL'!$O$6:$O$546,'BM MORRO DA CRUZ'!$K154),0)</f>
        <v>0</v>
      </c>
      <c r="AQ154" s="63">
        <f t="shared" si="128"/>
        <v>0</v>
      </c>
      <c r="AR154" s="61">
        <f>IFERROR(SUMIFS('BM MORRO DA CRUZ - VERTICAL'!AV$6:AV$546,'BM MORRO DA CRUZ - VERTICAL'!$O$6:$O$546,'BM MORRO DA CRUZ'!$K154),0)</f>
        <v>0</v>
      </c>
      <c r="AS154" s="63">
        <f t="shared" si="129"/>
        <v>0</v>
      </c>
      <c r="AT154" s="61">
        <f>IFERROR(SUMIFS('BM MORRO DA CRUZ - VERTICAL'!AX$6:AX$546,'BM MORRO DA CRUZ - VERTICAL'!$O$6:$O$546,'BM MORRO DA CRUZ'!$K154),0)</f>
        <v>0</v>
      </c>
      <c r="AU154" s="63">
        <f t="shared" si="130"/>
        <v>0</v>
      </c>
      <c r="AV154" s="61">
        <f>IFERROR(SUMIFS('BM MORRO DA CRUZ - VERTICAL'!AZ$6:AZ$546,'BM MORRO DA CRUZ - VERTICAL'!$O$6:$O$546,'BM MORRO DA CRUZ'!$K154),0)</f>
        <v>0</v>
      </c>
      <c r="AW154" s="63">
        <f t="shared" si="131"/>
        <v>0</v>
      </c>
      <c r="AX154" s="61">
        <f>IFERROR(SUMIFS('BM MORRO DA CRUZ - VERTICAL'!BB$6:BB$546,'BM MORRO DA CRUZ - VERTICAL'!$O$6:$O$546,'BM MORRO DA CRUZ'!$K154),0)</f>
        <v>0</v>
      </c>
      <c r="AY154" s="63">
        <f t="shared" si="132"/>
        <v>0</v>
      </c>
      <c r="AZ154" s="61">
        <f>IFERROR(SUMIFS('BM MORRO DA CRUZ - VERTICAL'!BD$6:BD$546,'BM MORRO DA CRUZ - VERTICAL'!$O$6:$O$546,'BM MORRO DA CRUZ'!$K154),0)</f>
        <v>0</v>
      </c>
      <c r="BA154" s="63">
        <f t="shared" si="133"/>
        <v>0</v>
      </c>
      <c r="BB154" s="61">
        <f t="shared" si="134"/>
        <v>0</v>
      </c>
      <c r="BC154" s="63">
        <f t="shared" si="135"/>
        <v>0</v>
      </c>
      <c r="BD154" s="64">
        <f t="shared" si="136"/>
        <v>0</v>
      </c>
      <c r="BE154" s="65">
        <f t="shared" si="137"/>
        <v>1</v>
      </c>
      <c r="BF154" s="45"/>
    </row>
    <row r="155" spans="1:58" ht="26.25" customHeight="1" x14ac:dyDescent="0.45">
      <c r="A155" s="56" t="s">
        <v>618</v>
      </c>
      <c r="B155" s="506" t="s">
        <v>608</v>
      </c>
      <c r="C155" s="507" t="s">
        <v>39</v>
      </c>
      <c r="D155" s="507" t="s">
        <v>39</v>
      </c>
      <c r="E155" s="507" t="s">
        <v>609</v>
      </c>
      <c r="F155" s="507" t="s">
        <v>39</v>
      </c>
      <c r="G155" s="507">
        <v>300</v>
      </c>
      <c r="H155" s="508" t="s">
        <v>125</v>
      </c>
      <c r="I155" s="507" t="s">
        <v>114</v>
      </c>
      <c r="J155" s="508" t="s">
        <v>115</v>
      </c>
      <c r="K155" s="57" t="s">
        <v>619</v>
      </c>
      <c r="L155" s="58" t="s">
        <v>21</v>
      </c>
      <c r="M155" s="59" t="s">
        <v>620</v>
      </c>
      <c r="N155" s="60" t="s">
        <v>71</v>
      </c>
      <c r="O155" s="61">
        <v>1</v>
      </c>
      <c r="P155" s="62">
        <v>2215.8000000000002</v>
      </c>
      <c r="Q155" s="63">
        <f t="shared" si="115"/>
        <v>2215.8000000000002</v>
      </c>
      <c r="R155" s="61">
        <f>IFERROR(SUMIFS('BM MORRO DA CRUZ - VERTICAL'!V$6:V$546,'BM MORRO DA CRUZ - VERTICAL'!$O$6:$O$546,'BM MORRO DA CRUZ'!$K155),0)</f>
        <v>0</v>
      </c>
      <c r="S155" s="63">
        <f t="shared" si="116"/>
        <v>0</v>
      </c>
      <c r="T155" s="61">
        <f>IFERROR(SUMIFS('BM MORRO DA CRUZ - VERTICAL'!X$6:X$546,'BM MORRO DA CRUZ - VERTICAL'!$O$6:$O$546,'BM MORRO DA CRUZ'!$K155),0)</f>
        <v>0</v>
      </c>
      <c r="U155" s="63">
        <f t="shared" si="117"/>
        <v>0</v>
      </c>
      <c r="V155" s="61">
        <f>IFERROR(SUMIFS('BM MORRO DA CRUZ - VERTICAL'!Z$6:Z$546,'BM MORRO DA CRUZ - VERTICAL'!$O$6:$O$546,'BM MORRO DA CRUZ'!$K155),0)</f>
        <v>0</v>
      </c>
      <c r="W155" s="63">
        <f t="shared" si="118"/>
        <v>0</v>
      </c>
      <c r="X155" s="61">
        <f>IFERROR(SUMIFS('BM MORRO DA CRUZ - VERTICAL'!AB$6:AB$546,'BM MORRO DA CRUZ - VERTICAL'!$O$6:$O$546,'BM MORRO DA CRUZ'!$K155),0)</f>
        <v>0</v>
      </c>
      <c r="Y155" s="63">
        <f t="shared" si="119"/>
        <v>0</v>
      </c>
      <c r="Z155" s="61">
        <f>IFERROR(SUMIFS('BM MORRO DA CRUZ - VERTICAL'!AD$6:AD$546,'BM MORRO DA CRUZ - VERTICAL'!$O$6:$O$546,'BM MORRO DA CRUZ'!$K155),0)</f>
        <v>0</v>
      </c>
      <c r="AA155" s="63">
        <f t="shared" si="120"/>
        <v>0</v>
      </c>
      <c r="AB155" s="61">
        <f>IFERROR(SUMIFS('BM MORRO DA CRUZ - VERTICAL'!AF$6:AF$546,'BM MORRO DA CRUZ - VERTICAL'!$O$6:$O$546,'BM MORRO DA CRUZ'!$K155),0)</f>
        <v>0</v>
      </c>
      <c r="AC155" s="63">
        <f t="shared" si="121"/>
        <v>0</v>
      </c>
      <c r="AD155" s="61">
        <f>IFERROR(SUMIFS('BM MORRO DA CRUZ - VERTICAL'!AH$6:AH$546,'BM MORRO DA CRUZ - VERTICAL'!$O$6:$O$546,'BM MORRO DA CRUZ'!$K155),0)</f>
        <v>0</v>
      </c>
      <c r="AE155" s="63">
        <f t="shared" si="122"/>
        <v>0</v>
      </c>
      <c r="AF155" s="61">
        <f>IFERROR(SUMIFS('BM MORRO DA CRUZ - VERTICAL'!AJ$6:AJ$546,'BM MORRO DA CRUZ - VERTICAL'!$O$6:$O$546,'BM MORRO DA CRUZ'!$K155),0)</f>
        <v>0</v>
      </c>
      <c r="AG155" s="63">
        <f t="shared" si="123"/>
        <v>0</v>
      </c>
      <c r="AH155" s="61">
        <f>IFERROR(SUMIFS('BM MORRO DA CRUZ - VERTICAL'!AL$6:AL$546,'BM MORRO DA CRUZ - VERTICAL'!$O$6:$O$546,'BM MORRO DA CRUZ'!$K155),0)</f>
        <v>0</v>
      </c>
      <c r="AI155" s="63">
        <f t="shared" si="124"/>
        <v>0</v>
      </c>
      <c r="AJ155" s="61">
        <f>IFERROR(SUMIFS('BM MORRO DA CRUZ - VERTICAL'!AN$6:AN$546,'BM MORRO DA CRUZ - VERTICAL'!$O$6:$O$546,'BM MORRO DA CRUZ'!$K155),0)</f>
        <v>0</v>
      </c>
      <c r="AK155" s="63">
        <f t="shared" si="125"/>
        <v>0</v>
      </c>
      <c r="AL155" s="61">
        <f>IFERROR(SUMIFS('BM MORRO DA CRUZ - VERTICAL'!AP$6:AP$546,'BM MORRO DA CRUZ - VERTICAL'!$O$6:$O$546,'BM MORRO DA CRUZ'!$K155),0)</f>
        <v>0</v>
      </c>
      <c r="AM155" s="63">
        <f t="shared" si="126"/>
        <v>0</v>
      </c>
      <c r="AN155" s="61">
        <f>IFERROR(SUMIFS('BM MORRO DA CRUZ - VERTICAL'!AR$6:AR$546,'BM MORRO DA CRUZ - VERTICAL'!$O$6:$O$546,'BM MORRO DA CRUZ'!$K155),0)</f>
        <v>0</v>
      </c>
      <c r="AO155" s="63">
        <f t="shared" si="127"/>
        <v>0</v>
      </c>
      <c r="AP155" s="61">
        <f>IFERROR(SUMIFS('BM MORRO DA CRUZ - VERTICAL'!AT$6:AT$546,'BM MORRO DA CRUZ - VERTICAL'!$O$6:$O$546,'BM MORRO DA CRUZ'!$K155),0)</f>
        <v>0</v>
      </c>
      <c r="AQ155" s="63">
        <f t="shared" si="128"/>
        <v>0</v>
      </c>
      <c r="AR155" s="61">
        <f>IFERROR(SUMIFS('BM MORRO DA CRUZ - VERTICAL'!AV$6:AV$546,'BM MORRO DA CRUZ - VERTICAL'!$O$6:$O$546,'BM MORRO DA CRUZ'!$K155),0)</f>
        <v>0</v>
      </c>
      <c r="AS155" s="63">
        <f t="shared" si="129"/>
        <v>0</v>
      </c>
      <c r="AT155" s="61">
        <f>IFERROR(SUMIFS('BM MORRO DA CRUZ - VERTICAL'!AX$6:AX$546,'BM MORRO DA CRUZ - VERTICAL'!$O$6:$O$546,'BM MORRO DA CRUZ'!$K155),0)</f>
        <v>0</v>
      </c>
      <c r="AU155" s="63">
        <f t="shared" si="130"/>
        <v>0</v>
      </c>
      <c r="AV155" s="61">
        <f>IFERROR(SUMIFS('BM MORRO DA CRUZ - VERTICAL'!AZ$6:AZ$546,'BM MORRO DA CRUZ - VERTICAL'!$O$6:$O$546,'BM MORRO DA CRUZ'!$K155),0)</f>
        <v>0</v>
      </c>
      <c r="AW155" s="63">
        <f t="shared" si="131"/>
        <v>0</v>
      </c>
      <c r="AX155" s="61">
        <f>IFERROR(SUMIFS('BM MORRO DA CRUZ - VERTICAL'!BB$6:BB$546,'BM MORRO DA CRUZ - VERTICAL'!$O$6:$O$546,'BM MORRO DA CRUZ'!$K155),0)</f>
        <v>0</v>
      </c>
      <c r="AY155" s="63">
        <f t="shared" si="132"/>
        <v>0</v>
      </c>
      <c r="AZ155" s="61">
        <f>IFERROR(SUMIFS('BM MORRO DA CRUZ - VERTICAL'!BD$6:BD$546,'BM MORRO DA CRUZ - VERTICAL'!$O$6:$O$546,'BM MORRO DA CRUZ'!$K155),0)</f>
        <v>0</v>
      </c>
      <c r="BA155" s="63">
        <f t="shared" si="133"/>
        <v>0</v>
      </c>
      <c r="BB155" s="61">
        <f t="shared" si="134"/>
        <v>0</v>
      </c>
      <c r="BC155" s="63">
        <f t="shared" si="135"/>
        <v>0</v>
      </c>
      <c r="BD155" s="64">
        <f t="shared" si="136"/>
        <v>0</v>
      </c>
      <c r="BE155" s="65">
        <f t="shared" si="137"/>
        <v>1</v>
      </c>
      <c r="BF155" s="45"/>
    </row>
    <row r="156" spans="1:58" ht="26.25" customHeight="1" x14ac:dyDescent="0.45">
      <c r="A156" s="56" t="s">
        <v>621</v>
      </c>
      <c r="B156" s="506" t="s">
        <v>608</v>
      </c>
      <c r="C156" s="507" t="s">
        <v>39</v>
      </c>
      <c r="D156" s="507" t="s">
        <v>39</v>
      </c>
      <c r="E156" s="507" t="s">
        <v>609</v>
      </c>
      <c r="F156" s="507" t="s">
        <v>39</v>
      </c>
      <c r="G156" s="507">
        <v>50</v>
      </c>
      <c r="H156" s="508" t="s">
        <v>125</v>
      </c>
      <c r="I156" s="507" t="s">
        <v>114</v>
      </c>
      <c r="J156" s="508" t="s">
        <v>115</v>
      </c>
      <c r="K156" s="57" t="s">
        <v>622</v>
      </c>
      <c r="L156" s="58" t="s">
        <v>21</v>
      </c>
      <c r="M156" s="59" t="s">
        <v>623</v>
      </c>
      <c r="N156" s="60" t="s">
        <v>71</v>
      </c>
      <c r="O156" s="61">
        <v>8</v>
      </c>
      <c r="P156" s="62">
        <v>532.63</v>
      </c>
      <c r="Q156" s="63">
        <f t="shared" si="115"/>
        <v>4261.04</v>
      </c>
      <c r="R156" s="61">
        <f>IFERROR(SUMIFS('BM MORRO DA CRUZ - VERTICAL'!V$6:V$546,'BM MORRO DA CRUZ - VERTICAL'!$O$6:$O$546,'BM MORRO DA CRUZ'!$K156),0)</f>
        <v>0</v>
      </c>
      <c r="S156" s="63">
        <f t="shared" si="116"/>
        <v>0</v>
      </c>
      <c r="T156" s="61">
        <f>IFERROR(SUMIFS('BM MORRO DA CRUZ - VERTICAL'!X$6:X$546,'BM MORRO DA CRUZ - VERTICAL'!$O$6:$O$546,'BM MORRO DA CRUZ'!$K156),0)</f>
        <v>0</v>
      </c>
      <c r="U156" s="63">
        <f t="shared" si="117"/>
        <v>0</v>
      </c>
      <c r="V156" s="61">
        <f>IFERROR(SUMIFS('BM MORRO DA CRUZ - VERTICAL'!Z$6:Z$546,'BM MORRO DA CRUZ - VERTICAL'!$O$6:$O$546,'BM MORRO DA CRUZ'!$K156),0)</f>
        <v>0</v>
      </c>
      <c r="W156" s="63">
        <f t="shared" si="118"/>
        <v>0</v>
      </c>
      <c r="X156" s="61">
        <f>IFERROR(SUMIFS('BM MORRO DA CRUZ - VERTICAL'!AB$6:AB$546,'BM MORRO DA CRUZ - VERTICAL'!$O$6:$O$546,'BM MORRO DA CRUZ'!$K156),0)</f>
        <v>0</v>
      </c>
      <c r="Y156" s="63">
        <f t="shared" si="119"/>
        <v>0</v>
      </c>
      <c r="Z156" s="61">
        <f>IFERROR(SUMIFS('BM MORRO DA CRUZ - VERTICAL'!AD$6:AD$546,'BM MORRO DA CRUZ - VERTICAL'!$O$6:$O$546,'BM MORRO DA CRUZ'!$K156),0)</f>
        <v>0</v>
      </c>
      <c r="AA156" s="63">
        <f t="shared" si="120"/>
        <v>0</v>
      </c>
      <c r="AB156" s="61">
        <f>IFERROR(SUMIFS('BM MORRO DA CRUZ - VERTICAL'!AF$6:AF$546,'BM MORRO DA CRUZ - VERTICAL'!$O$6:$O$546,'BM MORRO DA CRUZ'!$K156),0)</f>
        <v>0</v>
      </c>
      <c r="AC156" s="63">
        <f t="shared" si="121"/>
        <v>0</v>
      </c>
      <c r="AD156" s="61">
        <f>IFERROR(SUMIFS('BM MORRO DA CRUZ - VERTICAL'!AH$6:AH$546,'BM MORRO DA CRUZ - VERTICAL'!$O$6:$O$546,'BM MORRO DA CRUZ'!$K156),0)</f>
        <v>0</v>
      </c>
      <c r="AE156" s="63">
        <f t="shared" si="122"/>
        <v>0</v>
      </c>
      <c r="AF156" s="61">
        <f>IFERROR(SUMIFS('BM MORRO DA CRUZ - VERTICAL'!AJ$6:AJ$546,'BM MORRO DA CRUZ - VERTICAL'!$O$6:$O$546,'BM MORRO DA CRUZ'!$K156),0)</f>
        <v>0</v>
      </c>
      <c r="AG156" s="63">
        <f t="shared" si="123"/>
        <v>0</v>
      </c>
      <c r="AH156" s="61">
        <f>IFERROR(SUMIFS('BM MORRO DA CRUZ - VERTICAL'!AL$6:AL$546,'BM MORRO DA CRUZ - VERTICAL'!$O$6:$O$546,'BM MORRO DA CRUZ'!$K156),0)</f>
        <v>0</v>
      </c>
      <c r="AI156" s="63">
        <f t="shared" si="124"/>
        <v>0</v>
      </c>
      <c r="AJ156" s="61">
        <f>IFERROR(SUMIFS('BM MORRO DA CRUZ - VERTICAL'!AN$6:AN$546,'BM MORRO DA CRUZ - VERTICAL'!$O$6:$O$546,'BM MORRO DA CRUZ'!$K156),0)</f>
        <v>0</v>
      </c>
      <c r="AK156" s="63">
        <f t="shared" si="125"/>
        <v>0</v>
      </c>
      <c r="AL156" s="61">
        <f>IFERROR(SUMIFS('BM MORRO DA CRUZ - VERTICAL'!AP$6:AP$546,'BM MORRO DA CRUZ - VERTICAL'!$O$6:$O$546,'BM MORRO DA CRUZ'!$K156),0)</f>
        <v>0</v>
      </c>
      <c r="AM156" s="63">
        <f t="shared" si="126"/>
        <v>0</v>
      </c>
      <c r="AN156" s="61">
        <f>IFERROR(SUMIFS('BM MORRO DA CRUZ - VERTICAL'!AR$6:AR$546,'BM MORRO DA CRUZ - VERTICAL'!$O$6:$O$546,'BM MORRO DA CRUZ'!$K156),0)</f>
        <v>0</v>
      </c>
      <c r="AO156" s="63">
        <f t="shared" si="127"/>
        <v>0</v>
      </c>
      <c r="AP156" s="61">
        <f>IFERROR(SUMIFS('BM MORRO DA CRUZ - VERTICAL'!AT$6:AT$546,'BM MORRO DA CRUZ - VERTICAL'!$O$6:$O$546,'BM MORRO DA CRUZ'!$K156),0)</f>
        <v>0</v>
      </c>
      <c r="AQ156" s="63">
        <f t="shared" si="128"/>
        <v>0</v>
      </c>
      <c r="AR156" s="61">
        <f>IFERROR(SUMIFS('BM MORRO DA CRUZ - VERTICAL'!AV$6:AV$546,'BM MORRO DA CRUZ - VERTICAL'!$O$6:$O$546,'BM MORRO DA CRUZ'!$K156),0)</f>
        <v>0</v>
      </c>
      <c r="AS156" s="63">
        <f t="shared" si="129"/>
        <v>0</v>
      </c>
      <c r="AT156" s="61">
        <f>IFERROR(SUMIFS('BM MORRO DA CRUZ - VERTICAL'!AX$6:AX$546,'BM MORRO DA CRUZ - VERTICAL'!$O$6:$O$546,'BM MORRO DA CRUZ'!$K156),0)</f>
        <v>0</v>
      </c>
      <c r="AU156" s="63">
        <f t="shared" si="130"/>
        <v>0</v>
      </c>
      <c r="AV156" s="61">
        <f>IFERROR(SUMIFS('BM MORRO DA CRUZ - VERTICAL'!AZ$6:AZ$546,'BM MORRO DA CRUZ - VERTICAL'!$O$6:$O$546,'BM MORRO DA CRUZ'!$K156),0)</f>
        <v>0</v>
      </c>
      <c r="AW156" s="63">
        <f t="shared" si="131"/>
        <v>0</v>
      </c>
      <c r="AX156" s="61">
        <f>IFERROR(SUMIFS('BM MORRO DA CRUZ - VERTICAL'!BB$6:BB$546,'BM MORRO DA CRUZ - VERTICAL'!$O$6:$O$546,'BM MORRO DA CRUZ'!$K156),0)</f>
        <v>0</v>
      </c>
      <c r="AY156" s="63">
        <f t="shared" si="132"/>
        <v>0</v>
      </c>
      <c r="AZ156" s="61">
        <f>IFERROR(SUMIFS('BM MORRO DA CRUZ - VERTICAL'!BD$6:BD$546,'BM MORRO DA CRUZ - VERTICAL'!$O$6:$O$546,'BM MORRO DA CRUZ'!$K156),0)</f>
        <v>0</v>
      </c>
      <c r="BA156" s="63">
        <f t="shared" si="133"/>
        <v>0</v>
      </c>
      <c r="BB156" s="61">
        <f t="shared" si="134"/>
        <v>0</v>
      </c>
      <c r="BC156" s="63">
        <f t="shared" si="135"/>
        <v>0</v>
      </c>
      <c r="BD156" s="64">
        <f t="shared" si="136"/>
        <v>0</v>
      </c>
      <c r="BE156" s="65">
        <f t="shared" si="137"/>
        <v>1</v>
      </c>
      <c r="BF156" s="45"/>
    </row>
    <row r="157" spans="1:58" ht="26.25" customHeight="1" x14ac:dyDescent="0.45">
      <c r="A157" s="56" t="s">
        <v>624</v>
      </c>
      <c r="B157" s="506" t="s">
        <v>608</v>
      </c>
      <c r="C157" s="507" t="s">
        <v>39</v>
      </c>
      <c r="D157" s="507" t="s">
        <v>39</v>
      </c>
      <c r="E157" s="507" t="s">
        <v>609</v>
      </c>
      <c r="F157" s="507" t="s">
        <v>39</v>
      </c>
      <c r="G157" s="507">
        <v>80</v>
      </c>
      <c r="H157" s="508" t="s">
        <v>125</v>
      </c>
      <c r="I157" s="507" t="s">
        <v>114</v>
      </c>
      <c r="J157" s="508" t="s">
        <v>115</v>
      </c>
      <c r="K157" s="57" t="s">
        <v>625</v>
      </c>
      <c r="L157" s="58" t="s">
        <v>21</v>
      </c>
      <c r="M157" s="59" t="s">
        <v>626</v>
      </c>
      <c r="N157" s="60" t="s">
        <v>71</v>
      </c>
      <c r="O157" s="61">
        <v>10</v>
      </c>
      <c r="P157" s="62">
        <v>568.79</v>
      </c>
      <c r="Q157" s="63">
        <f t="shared" si="115"/>
        <v>5687.9</v>
      </c>
      <c r="R157" s="61">
        <f>IFERROR(SUMIFS('BM MORRO DA CRUZ - VERTICAL'!V$6:V$546,'BM MORRO DA CRUZ - VERTICAL'!$O$6:$O$546,'BM MORRO DA CRUZ'!$K157),0)</f>
        <v>0</v>
      </c>
      <c r="S157" s="63">
        <f t="shared" si="116"/>
        <v>0</v>
      </c>
      <c r="T157" s="61">
        <f>IFERROR(SUMIFS('BM MORRO DA CRUZ - VERTICAL'!X$6:X$546,'BM MORRO DA CRUZ - VERTICAL'!$O$6:$O$546,'BM MORRO DA CRUZ'!$K157),0)</f>
        <v>0</v>
      </c>
      <c r="U157" s="63">
        <f t="shared" si="117"/>
        <v>0</v>
      </c>
      <c r="V157" s="61">
        <f>IFERROR(SUMIFS('BM MORRO DA CRUZ - VERTICAL'!Z$6:Z$546,'BM MORRO DA CRUZ - VERTICAL'!$O$6:$O$546,'BM MORRO DA CRUZ'!$K157),0)</f>
        <v>0</v>
      </c>
      <c r="W157" s="63">
        <f t="shared" si="118"/>
        <v>0</v>
      </c>
      <c r="X157" s="61">
        <f>IFERROR(SUMIFS('BM MORRO DA CRUZ - VERTICAL'!AB$6:AB$546,'BM MORRO DA CRUZ - VERTICAL'!$O$6:$O$546,'BM MORRO DA CRUZ'!$K157),0)</f>
        <v>0</v>
      </c>
      <c r="Y157" s="63">
        <f t="shared" si="119"/>
        <v>0</v>
      </c>
      <c r="Z157" s="61">
        <f>IFERROR(SUMIFS('BM MORRO DA CRUZ - VERTICAL'!AD$6:AD$546,'BM MORRO DA CRUZ - VERTICAL'!$O$6:$O$546,'BM MORRO DA CRUZ'!$K157),0)</f>
        <v>0</v>
      </c>
      <c r="AA157" s="63">
        <f t="shared" si="120"/>
        <v>0</v>
      </c>
      <c r="AB157" s="61">
        <f>IFERROR(SUMIFS('BM MORRO DA CRUZ - VERTICAL'!AF$6:AF$546,'BM MORRO DA CRUZ - VERTICAL'!$O$6:$O$546,'BM MORRO DA CRUZ'!$K157),0)</f>
        <v>0</v>
      </c>
      <c r="AC157" s="63">
        <f t="shared" si="121"/>
        <v>0</v>
      </c>
      <c r="AD157" s="61">
        <f>IFERROR(SUMIFS('BM MORRO DA CRUZ - VERTICAL'!AH$6:AH$546,'BM MORRO DA CRUZ - VERTICAL'!$O$6:$O$546,'BM MORRO DA CRUZ'!$K157),0)</f>
        <v>0</v>
      </c>
      <c r="AE157" s="63">
        <f t="shared" si="122"/>
        <v>0</v>
      </c>
      <c r="AF157" s="61">
        <f>IFERROR(SUMIFS('BM MORRO DA CRUZ - VERTICAL'!AJ$6:AJ$546,'BM MORRO DA CRUZ - VERTICAL'!$O$6:$O$546,'BM MORRO DA CRUZ'!$K157),0)</f>
        <v>0</v>
      </c>
      <c r="AG157" s="63">
        <f t="shared" si="123"/>
        <v>0</v>
      </c>
      <c r="AH157" s="61">
        <f>IFERROR(SUMIFS('BM MORRO DA CRUZ - VERTICAL'!AL$6:AL$546,'BM MORRO DA CRUZ - VERTICAL'!$O$6:$O$546,'BM MORRO DA CRUZ'!$K157),0)</f>
        <v>0</v>
      </c>
      <c r="AI157" s="63">
        <f t="shared" si="124"/>
        <v>0</v>
      </c>
      <c r="AJ157" s="61">
        <f>IFERROR(SUMIFS('BM MORRO DA CRUZ - VERTICAL'!AN$6:AN$546,'BM MORRO DA CRUZ - VERTICAL'!$O$6:$O$546,'BM MORRO DA CRUZ'!$K157),0)</f>
        <v>0</v>
      </c>
      <c r="AK157" s="63">
        <f t="shared" si="125"/>
        <v>0</v>
      </c>
      <c r="AL157" s="61">
        <f>IFERROR(SUMIFS('BM MORRO DA CRUZ - VERTICAL'!AP$6:AP$546,'BM MORRO DA CRUZ - VERTICAL'!$O$6:$O$546,'BM MORRO DA CRUZ'!$K157),0)</f>
        <v>0</v>
      </c>
      <c r="AM157" s="63">
        <f t="shared" si="126"/>
        <v>0</v>
      </c>
      <c r="AN157" s="61">
        <f>IFERROR(SUMIFS('BM MORRO DA CRUZ - VERTICAL'!AR$6:AR$546,'BM MORRO DA CRUZ - VERTICAL'!$O$6:$O$546,'BM MORRO DA CRUZ'!$K157),0)</f>
        <v>0</v>
      </c>
      <c r="AO157" s="63">
        <f t="shared" si="127"/>
        <v>0</v>
      </c>
      <c r="AP157" s="61">
        <f>IFERROR(SUMIFS('BM MORRO DA CRUZ - VERTICAL'!AT$6:AT$546,'BM MORRO DA CRUZ - VERTICAL'!$O$6:$O$546,'BM MORRO DA CRUZ'!$K157),0)</f>
        <v>0</v>
      </c>
      <c r="AQ157" s="63">
        <f t="shared" si="128"/>
        <v>0</v>
      </c>
      <c r="AR157" s="61">
        <f>IFERROR(SUMIFS('BM MORRO DA CRUZ - VERTICAL'!AV$6:AV$546,'BM MORRO DA CRUZ - VERTICAL'!$O$6:$O$546,'BM MORRO DA CRUZ'!$K157),0)</f>
        <v>0</v>
      </c>
      <c r="AS157" s="63">
        <f t="shared" si="129"/>
        <v>0</v>
      </c>
      <c r="AT157" s="61">
        <f>IFERROR(SUMIFS('BM MORRO DA CRUZ - VERTICAL'!AX$6:AX$546,'BM MORRO DA CRUZ - VERTICAL'!$O$6:$O$546,'BM MORRO DA CRUZ'!$K157),0)</f>
        <v>0</v>
      </c>
      <c r="AU157" s="63">
        <f t="shared" si="130"/>
        <v>0</v>
      </c>
      <c r="AV157" s="61">
        <f>IFERROR(SUMIFS('BM MORRO DA CRUZ - VERTICAL'!AZ$6:AZ$546,'BM MORRO DA CRUZ - VERTICAL'!$O$6:$O$546,'BM MORRO DA CRUZ'!$K157),0)</f>
        <v>0</v>
      </c>
      <c r="AW157" s="63">
        <f t="shared" si="131"/>
        <v>0</v>
      </c>
      <c r="AX157" s="61">
        <f>IFERROR(SUMIFS('BM MORRO DA CRUZ - VERTICAL'!BB$6:BB$546,'BM MORRO DA CRUZ - VERTICAL'!$O$6:$O$546,'BM MORRO DA CRUZ'!$K157),0)</f>
        <v>0</v>
      </c>
      <c r="AY157" s="63">
        <f t="shared" si="132"/>
        <v>0</v>
      </c>
      <c r="AZ157" s="61">
        <f>IFERROR(SUMIFS('BM MORRO DA CRUZ - VERTICAL'!BD$6:BD$546,'BM MORRO DA CRUZ - VERTICAL'!$O$6:$O$546,'BM MORRO DA CRUZ'!$K157),0)</f>
        <v>0</v>
      </c>
      <c r="BA157" s="63">
        <f t="shared" si="133"/>
        <v>0</v>
      </c>
      <c r="BB157" s="61">
        <f t="shared" si="134"/>
        <v>0</v>
      </c>
      <c r="BC157" s="63">
        <f t="shared" si="135"/>
        <v>0</v>
      </c>
      <c r="BD157" s="64">
        <f t="shared" si="136"/>
        <v>0</v>
      </c>
      <c r="BE157" s="65">
        <f t="shared" si="137"/>
        <v>1</v>
      </c>
      <c r="BF157" s="45"/>
    </row>
    <row r="158" spans="1:58" ht="26.25" customHeight="1" x14ac:dyDescent="0.45">
      <c r="A158" s="56" t="s">
        <v>627</v>
      </c>
      <c r="B158" s="506" t="s">
        <v>628</v>
      </c>
      <c r="C158" s="507" t="s">
        <v>111</v>
      </c>
      <c r="D158" s="507" t="s">
        <v>39</v>
      </c>
      <c r="E158" s="507" t="s">
        <v>629</v>
      </c>
      <c r="F158" s="507" t="s">
        <v>39</v>
      </c>
      <c r="G158" s="507" t="s">
        <v>630</v>
      </c>
      <c r="H158" s="508" t="s">
        <v>125</v>
      </c>
      <c r="I158" s="507" t="s">
        <v>114</v>
      </c>
      <c r="J158" s="508" t="s">
        <v>115</v>
      </c>
      <c r="K158" s="57" t="s">
        <v>631</v>
      </c>
      <c r="L158" s="58" t="s">
        <v>21</v>
      </c>
      <c r="M158" s="59" t="s">
        <v>632</v>
      </c>
      <c r="N158" s="60" t="s">
        <v>71</v>
      </c>
      <c r="O158" s="61">
        <v>2</v>
      </c>
      <c r="P158" s="62">
        <v>2825.59</v>
      </c>
      <c r="Q158" s="63">
        <f t="shared" si="115"/>
        <v>5651.18</v>
      </c>
      <c r="R158" s="61">
        <f>IFERROR(SUMIFS('BM MORRO DA CRUZ - VERTICAL'!V$6:V$546,'BM MORRO DA CRUZ - VERTICAL'!$O$6:$O$546,'BM MORRO DA CRUZ'!$K158),0)</f>
        <v>0</v>
      </c>
      <c r="S158" s="63">
        <f t="shared" si="116"/>
        <v>0</v>
      </c>
      <c r="T158" s="61">
        <f>IFERROR(SUMIFS('BM MORRO DA CRUZ - VERTICAL'!X$6:X$546,'BM MORRO DA CRUZ - VERTICAL'!$O$6:$O$546,'BM MORRO DA CRUZ'!$K158),0)</f>
        <v>0</v>
      </c>
      <c r="U158" s="63">
        <f t="shared" si="117"/>
        <v>0</v>
      </c>
      <c r="V158" s="61">
        <f>IFERROR(SUMIFS('BM MORRO DA CRUZ - VERTICAL'!Z$6:Z$546,'BM MORRO DA CRUZ - VERTICAL'!$O$6:$O$546,'BM MORRO DA CRUZ'!$K158),0)</f>
        <v>0</v>
      </c>
      <c r="W158" s="63">
        <f t="shared" si="118"/>
        <v>0</v>
      </c>
      <c r="X158" s="61">
        <f>IFERROR(SUMIFS('BM MORRO DA CRUZ - VERTICAL'!AB$6:AB$546,'BM MORRO DA CRUZ - VERTICAL'!$O$6:$O$546,'BM MORRO DA CRUZ'!$K158),0)</f>
        <v>0</v>
      </c>
      <c r="Y158" s="63">
        <f t="shared" si="119"/>
        <v>0</v>
      </c>
      <c r="Z158" s="61">
        <f>IFERROR(SUMIFS('BM MORRO DA CRUZ - VERTICAL'!AD$6:AD$546,'BM MORRO DA CRUZ - VERTICAL'!$O$6:$O$546,'BM MORRO DA CRUZ'!$K158),0)</f>
        <v>0</v>
      </c>
      <c r="AA158" s="63">
        <f t="shared" si="120"/>
        <v>0</v>
      </c>
      <c r="AB158" s="61">
        <f>IFERROR(SUMIFS('BM MORRO DA CRUZ - VERTICAL'!AF$6:AF$546,'BM MORRO DA CRUZ - VERTICAL'!$O$6:$O$546,'BM MORRO DA CRUZ'!$K158),0)</f>
        <v>0</v>
      </c>
      <c r="AC158" s="63">
        <f t="shared" si="121"/>
        <v>0</v>
      </c>
      <c r="AD158" s="61">
        <f>IFERROR(SUMIFS('BM MORRO DA CRUZ - VERTICAL'!AH$6:AH$546,'BM MORRO DA CRUZ - VERTICAL'!$O$6:$O$546,'BM MORRO DA CRUZ'!$K158),0)</f>
        <v>0</v>
      </c>
      <c r="AE158" s="63">
        <f t="shared" si="122"/>
        <v>0</v>
      </c>
      <c r="AF158" s="61">
        <f>IFERROR(SUMIFS('BM MORRO DA CRUZ - VERTICAL'!AJ$6:AJ$546,'BM MORRO DA CRUZ - VERTICAL'!$O$6:$O$546,'BM MORRO DA CRUZ'!$K158),0)</f>
        <v>0</v>
      </c>
      <c r="AG158" s="63">
        <f t="shared" si="123"/>
        <v>0</v>
      </c>
      <c r="AH158" s="61">
        <f>IFERROR(SUMIFS('BM MORRO DA CRUZ - VERTICAL'!AL$6:AL$546,'BM MORRO DA CRUZ - VERTICAL'!$O$6:$O$546,'BM MORRO DA CRUZ'!$K158),0)</f>
        <v>0</v>
      </c>
      <c r="AI158" s="63">
        <f t="shared" si="124"/>
        <v>0</v>
      </c>
      <c r="AJ158" s="61">
        <f>IFERROR(SUMIFS('BM MORRO DA CRUZ - VERTICAL'!AN$6:AN$546,'BM MORRO DA CRUZ - VERTICAL'!$O$6:$O$546,'BM MORRO DA CRUZ'!$K158),0)</f>
        <v>0</v>
      </c>
      <c r="AK158" s="63">
        <f t="shared" si="125"/>
        <v>0</v>
      </c>
      <c r="AL158" s="61">
        <f>IFERROR(SUMIFS('BM MORRO DA CRUZ - VERTICAL'!AP$6:AP$546,'BM MORRO DA CRUZ - VERTICAL'!$O$6:$O$546,'BM MORRO DA CRUZ'!$K158),0)</f>
        <v>0</v>
      </c>
      <c r="AM158" s="63">
        <f t="shared" si="126"/>
        <v>0</v>
      </c>
      <c r="AN158" s="61">
        <f>IFERROR(SUMIFS('BM MORRO DA CRUZ - VERTICAL'!AR$6:AR$546,'BM MORRO DA CRUZ - VERTICAL'!$O$6:$O$546,'BM MORRO DA CRUZ'!$K158),0)</f>
        <v>0</v>
      </c>
      <c r="AO158" s="63">
        <f t="shared" si="127"/>
        <v>0</v>
      </c>
      <c r="AP158" s="61">
        <f>IFERROR(SUMIFS('BM MORRO DA CRUZ - VERTICAL'!AT$6:AT$546,'BM MORRO DA CRUZ - VERTICAL'!$O$6:$O$546,'BM MORRO DA CRUZ'!$K158),0)</f>
        <v>0</v>
      </c>
      <c r="AQ158" s="63">
        <f t="shared" si="128"/>
        <v>0</v>
      </c>
      <c r="AR158" s="61">
        <f>IFERROR(SUMIFS('BM MORRO DA CRUZ - VERTICAL'!AV$6:AV$546,'BM MORRO DA CRUZ - VERTICAL'!$O$6:$O$546,'BM MORRO DA CRUZ'!$K158),0)</f>
        <v>0</v>
      </c>
      <c r="AS158" s="63">
        <f t="shared" si="129"/>
        <v>0</v>
      </c>
      <c r="AT158" s="61">
        <f>IFERROR(SUMIFS('BM MORRO DA CRUZ - VERTICAL'!AX$6:AX$546,'BM MORRO DA CRUZ - VERTICAL'!$O$6:$O$546,'BM MORRO DA CRUZ'!$K158),0)</f>
        <v>0</v>
      </c>
      <c r="AU158" s="63">
        <f t="shared" si="130"/>
        <v>0</v>
      </c>
      <c r="AV158" s="61">
        <f>IFERROR(SUMIFS('BM MORRO DA CRUZ - VERTICAL'!AZ$6:AZ$546,'BM MORRO DA CRUZ - VERTICAL'!$O$6:$O$546,'BM MORRO DA CRUZ'!$K158),0)</f>
        <v>0</v>
      </c>
      <c r="AW158" s="63">
        <f t="shared" si="131"/>
        <v>0</v>
      </c>
      <c r="AX158" s="61">
        <f>IFERROR(SUMIFS('BM MORRO DA CRUZ - VERTICAL'!BB$6:BB$546,'BM MORRO DA CRUZ - VERTICAL'!$O$6:$O$546,'BM MORRO DA CRUZ'!$K158),0)</f>
        <v>0</v>
      </c>
      <c r="AY158" s="63">
        <f t="shared" si="132"/>
        <v>0</v>
      </c>
      <c r="AZ158" s="61">
        <f>IFERROR(SUMIFS('BM MORRO DA CRUZ - VERTICAL'!BD$6:BD$546,'BM MORRO DA CRUZ - VERTICAL'!$O$6:$O$546,'BM MORRO DA CRUZ'!$K158),0)</f>
        <v>0</v>
      </c>
      <c r="BA158" s="63">
        <f t="shared" si="133"/>
        <v>0</v>
      </c>
      <c r="BB158" s="61">
        <f t="shared" si="134"/>
        <v>0</v>
      </c>
      <c r="BC158" s="63">
        <f t="shared" si="135"/>
        <v>0</v>
      </c>
      <c r="BD158" s="64">
        <f t="shared" si="136"/>
        <v>0</v>
      </c>
      <c r="BE158" s="65">
        <f t="shared" si="137"/>
        <v>1</v>
      </c>
      <c r="BF158" s="45"/>
    </row>
    <row r="159" spans="1:58" ht="26.25" customHeight="1" x14ac:dyDescent="0.45">
      <c r="A159" s="56" t="s">
        <v>633</v>
      </c>
      <c r="B159" s="506" t="s">
        <v>628</v>
      </c>
      <c r="C159" s="507" t="s">
        <v>147</v>
      </c>
      <c r="D159" s="507" t="s">
        <v>39</v>
      </c>
      <c r="E159" s="507" t="s">
        <v>629</v>
      </c>
      <c r="F159" s="507" t="s">
        <v>39</v>
      </c>
      <c r="G159" s="507" t="s">
        <v>634</v>
      </c>
      <c r="H159" s="508" t="s">
        <v>125</v>
      </c>
      <c r="I159" s="507" t="s">
        <v>114</v>
      </c>
      <c r="J159" s="508" t="s">
        <v>115</v>
      </c>
      <c r="K159" s="57" t="s">
        <v>635</v>
      </c>
      <c r="L159" s="58" t="s">
        <v>21</v>
      </c>
      <c r="M159" s="59" t="s">
        <v>636</v>
      </c>
      <c r="N159" s="60" t="s">
        <v>71</v>
      </c>
      <c r="O159" s="61">
        <v>4</v>
      </c>
      <c r="P159" s="62">
        <v>639.77</v>
      </c>
      <c r="Q159" s="63">
        <f t="shared" si="115"/>
        <v>2559.08</v>
      </c>
      <c r="R159" s="61">
        <f>IFERROR(SUMIFS('BM MORRO DA CRUZ - VERTICAL'!V$6:V$546,'BM MORRO DA CRUZ - VERTICAL'!$O$6:$O$546,'BM MORRO DA CRUZ'!$K159),0)</f>
        <v>0</v>
      </c>
      <c r="S159" s="63">
        <f t="shared" si="116"/>
        <v>0</v>
      </c>
      <c r="T159" s="61">
        <f>IFERROR(SUMIFS('BM MORRO DA CRUZ - VERTICAL'!X$6:X$546,'BM MORRO DA CRUZ - VERTICAL'!$O$6:$O$546,'BM MORRO DA CRUZ'!$K159),0)</f>
        <v>0</v>
      </c>
      <c r="U159" s="63">
        <f t="shared" si="117"/>
        <v>0</v>
      </c>
      <c r="V159" s="61">
        <f>IFERROR(SUMIFS('BM MORRO DA CRUZ - VERTICAL'!Z$6:Z$546,'BM MORRO DA CRUZ - VERTICAL'!$O$6:$O$546,'BM MORRO DA CRUZ'!$K159),0)</f>
        <v>0</v>
      </c>
      <c r="W159" s="63">
        <f t="shared" si="118"/>
        <v>0</v>
      </c>
      <c r="X159" s="61">
        <f>IFERROR(SUMIFS('BM MORRO DA CRUZ - VERTICAL'!AB$6:AB$546,'BM MORRO DA CRUZ - VERTICAL'!$O$6:$O$546,'BM MORRO DA CRUZ'!$K159),0)</f>
        <v>0</v>
      </c>
      <c r="Y159" s="63">
        <f t="shared" si="119"/>
        <v>0</v>
      </c>
      <c r="Z159" s="61">
        <f>IFERROR(SUMIFS('BM MORRO DA CRUZ - VERTICAL'!AD$6:AD$546,'BM MORRO DA CRUZ - VERTICAL'!$O$6:$O$546,'BM MORRO DA CRUZ'!$K159),0)</f>
        <v>0</v>
      </c>
      <c r="AA159" s="63">
        <f t="shared" si="120"/>
        <v>0</v>
      </c>
      <c r="AB159" s="61">
        <f>IFERROR(SUMIFS('BM MORRO DA CRUZ - VERTICAL'!AF$6:AF$546,'BM MORRO DA CRUZ - VERTICAL'!$O$6:$O$546,'BM MORRO DA CRUZ'!$K159),0)</f>
        <v>0</v>
      </c>
      <c r="AC159" s="63">
        <f t="shared" si="121"/>
        <v>0</v>
      </c>
      <c r="AD159" s="61">
        <f>IFERROR(SUMIFS('BM MORRO DA CRUZ - VERTICAL'!AH$6:AH$546,'BM MORRO DA CRUZ - VERTICAL'!$O$6:$O$546,'BM MORRO DA CRUZ'!$K159),0)</f>
        <v>0</v>
      </c>
      <c r="AE159" s="63">
        <f t="shared" si="122"/>
        <v>0</v>
      </c>
      <c r="AF159" s="61">
        <f>IFERROR(SUMIFS('BM MORRO DA CRUZ - VERTICAL'!AJ$6:AJ$546,'BM MORRO DA CRUZ - VERTICAL'!$O$6:$O$546,'BM MORRO DA CRUZ'!$K159),0)</f>
        <v>0</v>
      </c>
      <c r="AG159" s="63">
        <f t="shared" si="123"/>
        <v>0</v>
      </c>
      <c r="AH159" s="61">
        <f>IFERROR(SUMIFS('BM MORRO DA CRUZ - VERTICAL'!AL$6:AL$546,'BM MORRO DA CRUZ - VERTICAL'!$O$6:$O$546,'BM MORRO DA CRUZ'!$K159),0)</f>
        <v>0</v>
      </c>
      <c r="AI159" s="63">
        <f t="shared" si="124"/>
        <v>0</v>
      </c>
      <c r="AJ159" s="61">
        <f>IFERROR(SUMIFS('BM MORRO DA CRUZ - VERTICAL'!AN$6:AN$546,'BM MORRO DA CRUZ - VERTICAL'!$O$6:$O$546,'BM MORRO DA CRUZ'!$K159),0)</f>
        <v>0</v>
      </c>
      <c r="AK159" s="63">
        <f t="shared" si="125"/>
        <v>0</v>
      </c>
      <c r="AL159" s="61">
        <f>IFERROR(SUMIFS('BM MORRO DA CRUZ - VERTICAL'!AP$6:AP$546,'BM MORRO DA CRUZ - VERTICAL'!$O$6:$O$546,'BM MORRO DA CRUZ'!$K159),0)</f>
        <v>0</v>
      </c>
      <c r="AM159" s="63">
        <f t="shared" si="126"/>
        <v>0</v>
      </c>
      <c r="AN159" s="61">
        <f>IFERROR(SUMIFS('BM MORRO DA CRUZ - VERTICAL'!AR$6:AR$546,'BM MORRO DA CRUZ - VERTICAL'!$O$6:$O$546,'BM MORRO DA CRUZ'!$K159),0)</f>
        <v>0</v>
      </c>
      <c r="AO159" s="63">
        <f t="shared" si="127"/>
        <v>0</v>
      </c>
      <c r="AP159" s="61">
        <f>IFERROR(SUMIFS('BM MORRO DA CRUZ - VERTICAL'!AT$6:AT$546,'BM MORRO DA CRUZ - VERTICAL'!$O$6:$O$546,'BM MORRO DA CRUZ'!$K159),0)</f>
        <v>0</v>
      </c>
      <c r="AQ159" s="63">
        <f t="shared" si="128"/>
        <v>0</v>
      </c>
      <c r="AR159" s="61">
        <f>IFERROR(SUMIFS('BM MORRO DA CRUZ - VERTICAL'!AV$6:AV$546,'BM MORRO DA CRUZ - VERTICAL'!$O$6:$O$546,'BM MORRO DA CRUZ'!$K159),0)</f>
        <v>0</v>
      </c>
      <c r="AS159" s="63">
        <f t="shared" si="129"/>
        <v>0</v>
      </c>
      <c r="AT159" s="61">
        <f>IFERROR(SUMIFS('BM MORRO DA CRUZ - VERTICAL'!AX$6:AX$546,'BM MORRO DA CRUZ - VERTICAL'!$O$6:$O$546,'BM MORRO DA CRUZ'!$K159),0)</f>
        <v>0</v>
      </c>
      <c r="AU159" s="63">
        <f t="shared" si="130"/>
        <v>0</v>
      </c>
      <c r="AV159" s="61">
        <f>IFERROR(SUMIFS('BM MORRO DA CRUZ - VERTICAL'!AZ$6:AZ$546,'BM MORRO DA CRUZ - VERTICAL'!$O$6:$O$546,'BM MORRO DA CRUZ'!$K159),0)</f>
        <v>0</v>
      </c>
      <c r="AW159" s="63">
        <f t="shared" si="131"/>
        <v>0</v>
      </c>
      <c r="AX159" s="61">
        <f>IFERROR(SUMIFS('BM MORRO DA CRUZ - VERTICAL'!BB$6:BB$546,'BM MORRO DA CRUZ - VERTICAL'!$O$6:$O$546,'BM MORRO DA CRUZ'!$K159),0)</f>
        <v>0</v>
      </c>
      <c r="AY159" s="63">
        <f t="shared" si="132"/>
        <v>0</v>
      </c>
      <c r="AZ159" s="61">
        <f>IFERROR(SUMIFS('BM MORRO DA CRUZ - VERTICAL'!BD$6:BD$546,'BM MORRO DA CRUZ - VERTICAL'!$O$6:$O$546,'BM MORRO DA CRUZ'!$K159),0)</f>
        <v>0</v>
      </c>
      <c r="BA159" s="63">
        <f t="shared" si="133"/>
        <v>0</v>
      </c>
      <c r="BB159" s="61">
        <f t="shared" si="134"/>
        <v>0</v>
      </c>
      <c r="BC159" s="63">
        <f t="shared" si="135"/>
        <v>0</v>
      </c>
      <c r="BD159" s="64">
        <f t="shared" si="136"/>
        <v>0</v>
      </c>
      <c r="BE159" s="65">
        <f t="shared" si="137"/>
        <v>1</v>
      </c>
      <c r="BF159" s="45"/>
    </row>
    <row r="160" spans="1:58" ht="26.25" customHeight="1" x14ac:dyDescent="0.45">
      <c r="A160" s="56" t="s">
        <v>637</v>
      </c>
      <c r="B160" s="506" t="s">
        <v>628</v>
      </c>
      <c r="C160" s="507" t="s">
        <v>147</v>
      </c>
      <c r="D160" s="507" t="s">
        <v>39</v>
      </c>
      <c r="E160" s="507" t="s">
        <v>629</v>
      </c>
      <c r="F160" s="507" t="s">
        <v>39</v>
      </c>
      <c r="G160" s="507" t="s">
        <v>638</v>
      </c>
      <c r="H160" s="508" t="s">
        <v>125</v>
      </c>
      <c r="I160" s="507" t="s">
        <v>114</v>
      </c>
      <c r="J160" s="508" t="s">
        <v>115</v>
      </c>
      <c r="K160" s="57" t="s">
        <v>639</v>
      </c>
      <c r="L160" s="58" t="s">
        <v>21</v>
      </c>
      <c r="M160" s="59" t="s">
        <v>640</v>
      </c>
      <c r="N160" s="60" t="s">
        <v>71</v>
      </c>
      <c r="O160" s="61">
        <v>2</v>
      </c>
      <c r="P160" s="62">
        <v>4547.72</v>
      </c>
      <c r="Q160" s="63">
        <f t="shared" si="115"/>
        <v>9095.44</v>
      </c>
      <c r="R160" s="61">
        <f>IFERROR(SUMIFS('BM MORRO DA CRUZ - VERTICAL'!V$6:V$546,'BM MORRO DA CRUZ - VERTICAL'!$O$6:$O$546,'BM MORRO DA CRUZ'!$K160),0)</f>
        <v>0</v>
      </c>
      <c r="S160" s="63">
        <f t="shared" si="116"/>
        <v>0</v>
      </c>
      <c r="T160" s="61">
        <f>IFERROR(SUMIFS('BM MORRO DA CRUZ - VERTICAL'!X$6:X$546,'BM MORRO DA CRUZ - VERTICAL'!$O$6:$O$546,'BM MORRO DA CRUZ'!$K160),0)</f>
        <v>0</v>
      </c>
      <c r="U160" s="63">
        <f t="shared" si="117"/>
        <v>0</v>
      </c>
      <c r="V160" s="61">
        <f>IFERROR(SUMIFS('BM MORRO DA CRUZ - VERTICAL'!Z$6:Z$546,'BM MORRO DA CRUZ - VERTICAL'!$O$6:$O$546,'BM MORRO DA CRUZ'!$K160),0)</f>
        <v>0</v>
      </c>
      <c r="W160" s="63">
        <f t="shared" si="118"/>
        <v>0</v>
      </c>
      <c r="X160" s="61">
        <f>IFERROR(SUMIFS('BM MORRO DA CRUZ - VERTICAL'!AB$6:AB$546,'BM MORRO DA CRUZ - VERTICAL'!$O$6:$O$546,'BM MORRO DA CRUZ'!$K160),0)</f>
        <v>0</v>
      </c>
      <c r="Y160" s="63">
        <f t="shared" si="119"/>
        <v>0</v>
      </c>
      <c r="Z160" s="61">
        <f>IFERROR(SUMIFS('BM MORRO DA CRUZ - VERTICAL'!AD$6:AD$546,'BM MORRO DA CRUZ - VERTICAL'!$O$6:$O$546,'BM MORRO DA CRUZ'!$K160),0)</f>
        <v>0</v>
      </c>
      <c r="AA160" s="63">
        <f t="shared" si="120"/>
        <v>0</v>
      </c>
      <c r="AB160" s="61">
        <f>IFERROR(SUMIFS('BM MORRO DA CRUZ - VERTICAL'!AF$6:AF$546,'BM MORRO DA CRUZ - VERTICAL'!$O$6:$O$546,'BM MORRO DA CRUZ'!$K160),0)</f>
        <v>0</v>
      </c>
      <c r="AC160" s="63">
        <f t="shared" si="121"/>
        <v>0</v>
      </c>
      <c r="AD160" s="61">
        <f>IFERROR(SUMIFS('BM MORRO DA CRUZ - VERTICAL'!AH$6:AH$546,'BM MORRO DA CRUZ - VERTICAL'!$O$6:$O$546,'BM MORRO DA CRUZ'!$K160),0)</f>
        <v>0</v>
      </c>
      <c r="AE160" s="63">
        <f t="shared" si="122"/>
        <v>0</v>
      </c>
      <c r="AF160" s="61">
        <f>IFERROR(SUMIFS('BM MORRO DA CRUZ - VERTICAL'!AJ$6:AJ$546,'BM MORRO DA CRUZ - VERTICAL'!$O$6:$O$546,'BM MORRO DA CRUZ'!$K160),0)</f>
        <v>0</v>
      </c>
      <c r="AG160" s="63">
        <f t="shared" si="123"/>
        <v>0</v>
      </c>
      <c r="AH160" s="61">
        <f>IFERROR(SUMIFS('BM MORRO DA CRUZ - VERTICAL'!AL$6:AL$546,'BM MORRO DA CRUZ - VERTICAL'!$O$6:$O$546,'BM MORRO DA CRUZ'!$K160),0)</f>
        <v>0</v>
      </c>
      <c r="AI160" s="63">
        <f t="shared" si="124"/>
        <v>0</v>
      </c>
      <c r="AJ160" s="61">
        <f>IFERROR(SUMIFS('BM MORRO DA CRUZ - VERTICAL'!AN$6:AN$546,'BM MORRO DA CRUZ - VERTICAL'!$O$6:$O$546,'BM MORRO DA CRUZ'!$K160),0)</f>
        <v>0</v>
      </c>
      <c r="AK160" s="63">
        <f t="shared" si="125"/>
        <v>0</v>
      </c>
      <c r="AL160" s="61">
        <f>IFERROR(SUMIFS('BM MORRO DA CRUZ - VERTICAL'!AP$6:AP$546,'BM MORRO DA CRUZ - VERTICAL'!$O$6:$O$546,'BM MORRO DA CRUZ'!$K160),0)</f>
        <v>0</v>
      </c>
      <c r="AM160" s="63">
        <f t="shared" si="126"/>
        <v>0</v>
      </c>
      <c r="AN160" s="61">
        <f>IFERROR(SUMIFS('BM MORRO DA CRUZ - VERTICAL'!AR$6:AR$546,'BM MORRO DA CRUZ - VERTICAL'!$O$6:$O$546,'BM MORRO DA CRUZ'!$K160),0)</f>
        <v>0</v>
      </c>
      <c r="AO160" s="63">
        <f t="shared" si="127"/>
        <v>0</v>
      </c>
      <c r="AP160" s="61">
        <f>IFERROR(SUMIFS('BM MORRO DA CRUZ - VERTICAL'!AT$6:AT$546,'BM MORRO DA CRUZ - VERTICAL'!$O$6:$O$546,'BM MORRO DA CRUZ'!$K160),0)</f>
        <v>0</v>
      </c>
      <c r="AQ160" s="63">
        <f t="shared" si="128"/>
        <v>0</v>
      </c>
      <c r="AR160" s="61">
        <f>IFERROR(SUMIFS('BM MORRO DA CRUZ - VERTICAL'!AV$6:AV$546,'BM MORRO DA CRUZ - VERTICAL'!$O$6:$O$546,'BM MORRO DA CRUZ'!$K160),0)</f>
        <v>0</v>
      </c>
      <c r="AS160" s="63">
        <f t="shared" si="129"/>
        <v>0</v>
      </c>
      <c r="AT160" s="61">
        <f>IFERROR(SUMIFS('BM MORRO DA CRUZ - VERTICAL'!AX$6:AX$546,'BM MORRO DA CRUZ - VERTICAL'!$O$6:$O$546,'BM MORRO DA CRUZ'!$K160),0)</f>
        <v>0</v>
      </c>
      <c r="AU160" s="63">
        <f t="shared" si="130"/>
        <v>0</v>
      </c>
      <c r="AV160" s="61">
        <f>IFERROR(SUMIFS('BM MORRO DA CRUZ - VERTICAL'!AZ$6:AZ$546,'BM MORRO DA CRUZ - VERTICAL'!$O$6:$O$546,'BM MORRO DA CRUZ'!$K160),0)</f>
        <v>0</v>
      </c>
      <c r="AW160" s="63">
        <f t="shared" si="131"/>
        <v>0</v>
      </c>
      <c r="AX160" s="61">
        <f>IFERROR(SUMIFS('BM MORRO DA CRUZ - VERTICAL'!BB$6:BB$546,'BM MORRO DA CRUZ - VERTICAL'!$O$6:$O$546,'BM MORRO DA CRUZ'!$K160),0)</f>
        <v>0</v>
      </c>
      <c r="AY160" s="63">
        <f t="shared" si="132"/>
        <v>0</v>
      </c>
      <c r="AZ160" s="61">
        <f>IFERROR(SUMIFS('BM MORRO DA CRUZ - VERTICAL'!BD$6:BD$546,'BM MORRO DA CRUZ - VERTICAL'!$O$6:$O$546,'BM MORRO DA CRUZ'!$K160),0)</f>
        <v>0</v>
      </c>
      <c r="BA160" s="63">
        <f t="shared" si="133"/>
        <v>0</v>
      </c>
      <c r="BB160" s="61">
        <f t="shared" si="134"/>
        <v>0</v>
      </c>
      <c r="BC160" s="63">
        <f t="shared" si="135"/>
        <v>0</v>
      </c>
      <c r="BD160" s="64">
        <f t="shared" si="136"/>
        <v>0</v>
      </c>
      <c r="BE160" s="65">
        <f t="shared" si="137"/>
        <v>1</v>
      </c>
      <c r="BF160" s="45"/>
    </row>
    <row r="161" spans="1:58" ht="26.25" customHeight="1" x14ac:dyDescent="0.45">
      <c r="A161" s="56" t="s">
        <v>641</v>
      </c>
      <c r="B161" s="506" t="s">
        <v>628</v>
      </c>
      <c r="C161" s="507" t="s">
        <v>147</v>
      </c>
      <c r="D161" s="507" t="s">
        <v>39</v>
      </c>
      <c r="E161" s="507" t="s">
        <v>629</v>
      </c>
      <c r="F161" s="507" t="s">
        <v>39</v>
      </c>
      <c r="G161" s="507" t="s">
        <v>642</v>
      </c>
      <c r="H161" s="508" t="s">
        <v>125</v>
      </c>
      <c r="I161" s="507" t="s">
        <v>114</v>
      </c>
      <c r="J161" s="508" t="s">
        <v>115</v>
      </c>
      <c r="K161" s="57" t="s">
        <v>643</v>
      </c>
      <c r="L161" s="58" t="s">
        <v>21</v>
      </c>
      <c r="M161" s="59" t="s">
        <v>644</v>
      </c>
      <c r="N161" s="60" t="s">
        <v>71</v>
      </c>
      <c r="O161" s="61">
        <v>12</v>
      </c>
      <c r="P161" s="62">
        <v>539.39</v>
      </c>
      <c r="Q161" s="63">
        <f t="shared" si="115"/>
        <v>6472.68</v>
      </c>
      <c r="R161" s="61">
        <f>IFERROR(SUMIFS('BM MORRO DA CRUZ - VERTICAL'!V$6:V$546,'BM MORRO DA CRUZ - VERTICAL'!$O$6:$O$546,'BM MORRO DA CRUZ'!$K161),0)</f>
        <v>0</v>
      </c>
      <c r="S161" s="63">
        <f t="shared" si="116"/>
        <v>0</v>
      </c>
      <c r="T161" s="61">
        <f>IFERROR(SUMIFS('BM MORRO DA CRUZ - VERTICAL'!X$6:X$546,'BM MORRO DA CRUZ - VERTICAL'!$O$6:$O$546,'BM MORRO DA CRUZ'!$K161),0)</f>
        <v>0</v>
      </c>
      <c r="U161" s="63">
        <f t="shared" si="117"/>
        <v>0</v>
      </c>
      <c r="V161" s="61">
        <f>IFERROR(SUMIFS('BM MORRO DA CRUZ - VERTICAL'!Z$6:Z$546,'BM MORRO DA CRUZ - VERTICAL'!$O$6:$O$546,'BM MORRO DA CRUZ'!$K161),0)</f>
        <v>0</v>
      </c>
      <c r="W161" s="63">
        <f t="shared" si="118"/>
        <v>0</v>
      </c>
      <c r="X161" s="61">
        <f>IFERROR(SUMIFS('BM MORRO DA CRUZ - VERTICAL'!AB$6:AB$546,'BM MORRO DA CRUZ - VERTICAL'!$O$6:$O$546,'BM MORRO DA CRUZ'!$K161),0)</f>
        <v>0</v>
      </c>
      <c r="Y161" s="63">
        <f t="shared" si="119"/>
        <v>0</v>
      </c>
      <c r="Z161" s="61">
        <f>IFERROR(SUMIFS('BM MORRO DA CRUZ - VERTICAL'!AD$6:AD$546,'BM MORRO DA CRUZ - VERTICAL'!$O$6:$O$546,'BM MORRO DA CRUZ'!$K161),0)</f>
        <v>0</v>
      </c>
      <c r="AA161" s="63">
        <f t="shared" si="120"/>
        <v>0</v>
      </c>
      <c r="AB161" s="61">
        <f>IFERROR(SUMIFS('BM MORRO DA CRUZ - VERTICAL'!AF$6:AF$546,'BM MORRO DA CRUZ - VERTICAL'!$O$6:$O$546,'BM MORRO DA CRUZ'!$K161),0)</f>
        <v>0</v>
      </c>
      <c r="AC161" s="63">
        <f t="shared" si="121"/>
        <v>0</v>
      </c>
      <c r="AD161" s="61">
        <f>IFERROR(SUMIFS('BM MORRO DA CRUZ - VERTICAL'!AH$6:AH$546,'BM MORRO DA CRUZ - VERTICAL'!$O$6:$O$546,'BM MORRO DA CRUZ'!$K161),0)</f>
        <v>0</v>
      </c>
      <c r="AE161" s="63">
        <f t="shared" si="122"/>
        <v>0</v>
      </c>
      <c r="AF161" s="61">
        <f>IFERROR(SUMIFS('BM MORRO DA CRUZ - VERTICAL'!AJ$6:AJ$546,'BM MORRO DA CRUZ - VERTICAL'!$O$6:$O$546,'BM MORRO DA CRUZ'!$K161),0)</f>
        <v>0</v>
      </c>
      <c r="AG161" s="63">
        <f t="shared" si="123"/>
        <v>0</v>
      </c>
      <c r="AH161" s="61">
        <f>IFERROR(SUMIFS('BM MORRO DA CRUZ - VERTICAL'!AL$6:AL$546,'BM MORRO DA CRUZ - VERTICAL'!$O$6:$O$546,'BM MORRO DA CRUZ'!$K161),0)</f>
        <v>0</v>
      </c>
      <c r="AI161" s="63">
        <f t="shared" si="124"/>
        <v>0</v>
      </c>
      <c r="AJ161" s="61">
        <f>IFERROR(SUMIFS('BM MORRO DA CRUZ - VERTICAL'!AN$6:AN$546,'BM MORRO DA CRUZ - VERTICAL'!$O$6:$O$546,'BM MORRO DA CRUZ'!$K161),0)</f>
        <v>0</v>
      </c>
      <c r="AK161" s="63">
        <f t="shared" si="125"/>
        <v>0</v>
      </c>
      <c r="AL161" s="61">
        <f>IFERROR(SUMIFS('BM MORRO DA CRUZ - VERTICAL'!AP$6:AP$546,'BM MORRO DA CRUZ - VERTICAL'!$O$6:$O$546,'BM MORRO DA CRUZ'!$K161),0)</f>
        <v>0</v>
      </c>
      <c r="AM161" s="63">
        <f t="shared" si="126"/>
        <v>0</v>
      </c>
      <c r="AN161" s="61">
        <f>IFERROR(SUMIFS('BM MORRO DA CRUZ - VERTICAL'!AR$6:AR$546,'BM MORRO DA CRUZ - VERTICAL'!$O$6:$O$546,'BM MORRO DA CRUZ'!$K161),0)</f>
        <v>0</v>
      </c>
      <c r="AO161" s="63">
        <f t="shared" si="127"/>
        <v>0</v>
      </c>
      <c r="AP161" s="61">
        <f>IFERROR(SUMIFS('BM MORRO DA CRUZ - VERTICAL'!AT$6:AT$546,'BM MORRO DA CRUZ - VERTICAL'!$O$6:$O$546,'BM MORRO DA CRUZ'!$K161),0)</f>
        <v>0</v>
      </c>
      <c r="AQ161" s="63">
        <f t="shared" si="128"/>
        <v>0</v>
      </c>
      <c r="AR161" s="61">
        <f>IFERROR(SUMIFS('BM MORRO DA CRUZ - VERTICAL'!AV$6:AV$546,'BM MORRO DA CRUZ - VERTICAL'!$O$6:$O$546,'BM MORRO DA CRUZ'!$K161),0)</f>
        <v>0</v>
      </c>
      <c r="AS161" s="63">
        <f t="shared" si="129"/>
        <v>0</v>
      </c>
      <c r="AT161" s="61">
        <f>IFERROR(SUMIFS('BM MORRO DA CRUZ - VERTICAL'!AX$6:AX$546,'BM MORRO DA CRUZ - VERTICAL'!$O$6:$O$546,'BM MORRO DA CRUZ'!$K161),0)</f>
        <v>0</v>
      </c>
      <c r="AU161" s="63">
        <f t="shared" si="130"/>
        <v>0</v>
      </c>
      <c r="AV161" s="61">
        <f>IFERROR(SUMIFS('BM MORRO DA CRUZ - VERTICAL'!AZ$6:AZ$546,'BM MORRO DA CRUZ - VERTICAL'!$O$6:$O$546,'BM MORRO DA CRUZ'!$K161),0)</f>
        <v>0</v>
      </c>
      <c r="AW161" s="63">
        <f t="shared" si="131"/>
        <v>0</v>
      </c>
      <c r="AX161" s="61">
        <f>IFERROR(SUMIFS('BM MORRO DA CRUZ - VERTICAL'!BB$6:BB$546,'BM MORRO DA CRUZ - VERTICAL'!$O$6:$O$546,'BM MORRO DA CRUZ'!$K161),0)</f>
        <v>0</v>
      </c>
      <c r="AY161" s="63">
        <f t="shared" si="132"/>
        <v>0</v>
      </c>
      <c r="AZ161" s="61">
        <f>IFERROR(SUMIFS('BM MORRO DA CRUZ - VERTICAL'!BD$6:BD$546,'BM MORRO DA CRUZ - VERTICAL'!$O$6:$O$546,'BM MORRO DA CRUZ'!$K161),0)</f>
        <v>0</v>
      </c>
      <c r="BA161" s="63">
        <f t="shared" si="133"/>
        <v>0</v>
      </c>
      <c r="BB161" s="61">
        <f t="shared" si="134"/>
        <v>0</v>
      </c>
      <c r="BC161" s="63">
        <f t="shared" si="135"/>
        <v>0</v>
      </c>
      <c r="BD161" s="64">
        <f t="shared" si="136"/>
        <v>0</v>
      </c>
      <c r="BE161" s="65">
        <f t="shared" si="137"/>
        <v>1</v>
      </c>
      <c r="BF161" s="45"/>
    </row>
    <row r="162" spans="1:58" ht="26.25" customHeight="1" x14ac:dyDescent="0.45">
      <c r="A162" s="56" t="s">
        <v>645</v>
      </c>
      <c r="B162" s="506" t="s">
        <v>628</v>
      </c>
      <c r="C162" s="507" t="s">
        <v>147</v>
      </c>
      <c r="D162" s="507" t="s">
        <v>39</v>
      </c>
      <c r="E162" s="507" t="s">
        <v>629</v>
      </c>
      <c r="F162" s="507" t="s">
        <v>39</v>
      </c>
      <c r="G162" s="507" t="s">
        <v>421</v>
      </c>
      <c r="H162" s="508" t="s">
        <v>125</v>
      </c>
      <c r="I162" s="507" t="s">
        <v>114</v>
      </c>
      <c r="J162" s="508" t="s">
        <v>115</v>
      </c>
      <c r="K162" s="57" t="s">
        <v>646</v>
      </c>
      <c r="L162" s="58" t="s">
        <v>21</v>
      </c>
      <c r="M162" s="59" t="s">
        <v>647</v>
      </c>
      <c r="N162" s="60" t="s">
        <v>71</v>
      </c>
      <c r="O162" s="61">
        <v>4</v>
      </c>
      <c r="P162" s="62">
        <v>1052.95</v>
      </c>
      <c r="Q162" s="63">
        <f t="shared" si="115"/>
        <v>4211.8</v>
      </c>
      <c r="R162" s="61">
        <f>IFERROR(SUMIFS('BM MORRO DA CRUZ - VERTICAL'!V$6:V$546,'BM MORRO DA CRUZ - VERTICAL'!$O$6:$O$546,'BM MORRO DA CRUZ'!$K162),0)</f>
        <v>0</v>
      </c>
      <c r="S162" s="63">
        <f t="shared" si="116"/>
        <v>0</v>
      </c>
      <c r="T162" s="61">
        <f>IFERROR(SUMIFS('BM MORRO DA CRUZ - VERTICAL'!X$6:X$546,'BM MORRO DA CRUZ - VERTICAL'!$O$6:$O$546,'BM MORRO DA CRUZ'!$K162),0)</f>
        <v>0</v>
      </c>
      <c r="U162" s="63">
        <f t="shared" si="117"/>
        <v>0</v>
      </c>
      <c r="V162" s="61">
        <f>IFERROR(SUMIFS('BM MORRO DA CRUZ - VERTICAL'!Z$6:Z$546,'BM MORRO DA CRUZ - VERTICAL'!$O$6:$O$546,'BM MORRO DA CRUZ'!$K162),0)</f>
        <v>0</v>
      </c>
      <c r="W162" s="63">
        <f t="shared" si="118"/>
        <v>0</v>
      </c>
      <c r="X162" s="61">
        <f>IFERROR(SUMIFS('BM MORRO DA CRUZ - VERTICAL'!AB$6:AB$546,'BM MORRO DA CRUZ - VERTICAL'!$O$6:$O$546,'BM MORRO DA CRUZ'!$K162),0)</f>
        <v>0</v>
      </c>
      <c r="Y162" s="63">
        <f t="shared" si="119"/>
        <v>0</v>
      </c>
      <c r="Z162" s="61">
        <f>IFERROR(SUMIFS('BM MORRO DA CRUZ - VERTICAL'!AD$6:AD$546,'BM MORRO DA CRUZ - VERTICAL'!$O$6:$O$546,'BM MORRO DA CRUZ'!$K162),0)</f>
        <v>0</v>
      </c>
      <c r="AA162" s="63">
        <f t="shared" si="120"/>
        <v>0</v>
      </c>
      <c r="AB162" s="61">
        <f>IFERROR(SUMIFS('BM MORRO DA CRUZ - VERTICAL'!AF$6:AF$546,'BM MORRO DA CRUZ - VERTICAL'!$O$6:$O$546,'BM MORRO DA CRUZ'!$K162),0)</f>
        <v>0</v>
      </c>
      <c r="AC162" s="63">
        <f t="shared" si="121"/>
        <v>0</v>
      </c>
      <c r="AD162" s="61">
        <f>IFERROR(SUMIFS('BM MORRO DA CRUZ - VERTICAL'!AH$6:AH$546,'BM MORRO DA CRUZ - VERTICAL'!$O$6:$O$546,'BM MORRO DA CRUZ'!$K162),0)</f>
        <v>0</v>
      </c>
      <c r="AE162" s="63">
        <f t="shared" si="122"/>
        <v>0</v>
      </c>
      <c r="AF162" s="61">
        <f>IFERROR(SUMIFS('BM MORRO DA CRUZ - VERTICAL'!AJ$6:AJ$546,'BM MORRO DA CRUZ - VERTICAL'!$O$6:$O$546,'BM MORRO DA CRUZ'!$K162),0)</f>
        <v>0</v>
      </c>
      <c r="AG162" s="63">
        <f t="shared" si="123"/>
        <v>0</v>
      </c>
      <c r="AH162" s="61">
        <f>IFERROR(SUMIFS('BM MORRO DA CRUZ - VERTICAL'!AL$6:AL$546,'BM MORRO DA CRUZ - VERTICAL'!$O$6:$O$546,'BM MORRO DA CRUZ'!$K162),0)</f>
        <v>0</v>
      </c>
      <c r="AI162" s="63">
        <f t="shared" si="124"/>
        <v>0</v>
      </c>
      <c r="AJ162" s="61">
        <f>IFERROR(SUMIFS('BM MORRO DA CRUZ - VERTICAL'!AN$6:AN$546,'BM MORRO DA CRUZ - VERTICAL'!$O$6:$O$546,'BM MORRO DA CRUZ'!$K162),0)</f>
        <v>0</v>
      </c>
      <c r="AK162" s="63">
        <f t="shared" si="125"/>
        <v>0</v>
      </c>
      <c r="AL162" s="61">
        <f>IFERROR(SUMIFS('BM MORRO DA CRUZ - VERTICAL'!AP$6:AP$546,'BM MORRO DA CRUZ - VERTICAL'!$O$6:$O$546,'BM MORRO DA CRUZ'!$K162),0)</f>
        <v>0</v>
      </c>
      <c r="AM162" s="63">
        <f t="shared" si="126"/>
        <v>0</v>
      </c>
      <c r="AN162" s="61">
        <f>IFERROR(SUMIFS('BM MORRO DA CRUZ - VERTICAL'!AR$6:AR$546,'BM MORRO DA CRUZ - VERTICAL'!$O$6:$O$546,'BM MORRO DA CRUZ'!$K162),0)</f>
        <v>0</v>
      </c>
      <c r="AO162" s="63">
        <f t="shared" si="127"/>
        <v>0</v>
      </c>
      <c r="AP162" s="61">
        <f>IFERROR(SUMIFS('BM MORRO DA CRUZ - VERTICAL'!AT$6:AT$546,'BM MORRO DA CRUZ - VERTICAL'!$O$6:$O$546,'BM MORRO DA CRUZ'!$K162),0)</f>
        <v>0</v>
      </c>
      <c r="AQ162" s="63">
        <f t="shared" si="128"/>
        <v>0</v>
      </c>
      <c r="AR162" s="61">
        <f>IFERROR(SUMIFS('BM MORRO DA CRUZ - VERTICAL'!AV$6:AV$546,'BM MORRO DA CRUZ - VERTICAL'!$O$6:$O$546,'BM MORRO DA CRUZ'!$K162),0)</f>
        <v>0</v>
      </c>
      <c r="AS162" s="63">
        <f t="shared" si="129"/>
        <v>0</v>
      </c>
      <c r="AT162" s="61">
        <f>IFERROR(SUMIFS('BM MORRO DA CRUZ - VERTICAL'!AX$6:AX$546,'BM MORRO DA CRUZ - VERTICAL'!$O$6:$O$546,'BM MORRO DA CRUZ'!$K162),0)</f>
        <v>0</v>
      </c>
      <c r="AU162" s="63">
        <f t="shared" si="130"/>
        <v>0</v>
      </c>
      <c r="AV162" s="61">
        <f>IFERROR(SUMIFS('BM MORRO DA CRUZ - VERTICAL'!AZ$6:AZ$546,'BM MORRO DA CRUZ - VERTICAL'!$O$6:$O$546,'BM MORRO DA CRUZ'!$K162),0)</f>
        <v>0</v>
      </c>
      <c r="AW162" s="63">
        <f t="shared" si="131"/>
        <v>0</v>
      </c>
      <c r="AX162" s="61">
        <f>IFERROR(SUMIFS('BM MORRO DA CRUZ - VERTICAL'!BB$6:BB$546,'BM MORRO DA CRUZ - VERTICAL'!$O$6:$O$546,'BM MORRO DA CRUZ'!$K162),0)</f>
        <v>0</v>
      </c>
      <c r="AY162" s="63">
        <f t="shared" si="132"/>
        <v>0</v>
      </c>
      <c r="AZ162" s="61">
        <f>IFERROR(SUMIFS('BM MORRO DA CRUZ - VERTICAL'!BD$6:BD$546,'BM MORRO DA CRUZ - VERTICAL'!$O$6:$O$546,'BM MORRO DA CRUZ'!$K162),0)</f>
        <v>0</v>
      </c>
      <c r="BA162" s="63">
        <f t="shared" si="133"/>
        <v>0</v>
      </c>
      <c r="BB162" s="61">
        <f t="shared" si="134"/>
        <v>0</v>
      </c>
      <c r="BC162" s="63">
        <f t="shared" si="135"/>
        <v>0</v>
      </c>
      <c r="BD162" s="64">
        <f t="shared" si="136"/>
        <v>0</v>
      </c>
      <c r="BE162" s="65">
        <f t="shared" si="137"/>
        <v>1</v>
      </c>
      <c r="BF162" s="45"/>
    </row>
    <row r="163" spans="1:58" ht="38.25" customHeight="1" x14ac:dyDescent="0.45">
      <c r="A163" s="56" t="s">
        <v>648</v>
      </c>
      <c r="B163" s="506" t="s">
        <v>649</v>
      </c>
      <c r="C163" s="507" t="s">
        <v>111</v>
      </c>
      <c r="D163" s="507" t="s">
        <v>39</v>
      </c>
      <c r="E163" s="507" t="s">
        <v>650</v>
      </c>
      <c r="F163" s="507" t="s">
        <v>39</v>
      </c>
      <c r="G163" s="507" t="s">
        <v>651</v>
      </c>
      <c r="H163" s="508" t="s">
        <v>125</v>
      </c>
      <c r="I163" s="507" t="s">
        <v>114</v>
      </c>
      <c r="J163" s="508" t="s">
        <v>115</v>
      </c>
      <c r="K163" s="57" t="s">
        <v>652</v>
      </c>
      <c r="L163" s="58" t="s">
        <v>21</v>
      </c>
      <c r="M163" s="59" t="s">
        <v>653</v>
      </c>
      <c r="N163" s="60" t="s">
        <v>71</v>
      </c>
      <c r="O163" s="61">
        <v>2</v>
      </c>
      <c r="P163" s="62">
        <v>486.98</v>
      </c>
      <c r="Q163" s="63">
        <f t="shared" si="115"/>
        <v>973.96</v>
      </c>
      <c r="R163" s="61">
        <f>IFERROR(SUMIFS('BM MORRO DA CRUZ - VERTICAL'!V$6:V$546,'BM MORRO DA CRUZ - VERTICAL'!$O$6:$O$546,'BM MORRO DA CRUZ'!$K163),0)</f>
        <v>0</v>
      </c>
      <c r="S163" s="63">
        <f t="shared" si="116"/>
        <v>0</v>
      </c>
      <c r="T163" s="61">
        <f>IFERROR(SUMIFS('BM MORRO DA CRUZ - VERTICAL'!X$6:X$546,'BM MORRO DA CRUZ - VERTICAL'!$O$6:$O$546,'BM MORRO DA CRUZ'!$K163),0)</f>
        <v>0</v>
      </c>
      <c r="U163" s="63">
        <f t="shared" si="117"/>
        <v>0</v>
      </c>
      <c r="V163" s="61">
        <f>IFERROR(SUMIFS('BM MORRO DA CRUZ - VERTICAL'!Z$6:Z$546,'BM MORRO DA CRUZ - VERTICAL'!$O$6:$O$546,'BM MORRO DA CRUZ'!$K163),0)</f>
        <v>0</v>
      </c>
      <c r="W163" s="63">
        <f t="shared" si="118"/>
        <v>0</v>
      </c>
      <c r="X163" s="61">
        <f>IFERROR(SUMIFS('BM MORRO DA CRUZ - VERTICAL'!AB$6:AB$546,'BM MORRO DA CRUZ - VERTICAL'!$O$6:$O$546,'BM MORRO DA CRUZ'!$K163),0)</f>
        <v>0</v>
      </c>
      <c r="Y163" s="63">
        <f t="shared" si="119"/>
        <v>0</v>
      </c>
      <c r="Z163" s="61">
        <f>IFERROR(SUMIFS('BM MORRO DA CRUZ - VERTICAL'!AD$6:AD$546,'BM MORRO DA CRUZ - VERTICAL'!$O$6:$O$546,'BM MORRO DA CRUZ'!$K163),0)</f>
        <v>0</v>
      </c>
      <c r="AA163" s="63">
        <f t="shared" si="120"/>
        <v>0</v>
      </c>
      <c r="AB163" s="61">
        <f>IFERROR(SUMIFS('BM MORRO DA CRUZ - VERTICAL'!AF$6:AF$546,'BM MORRO DA CRUZ - VERTICAL'!$O$6:$O$546,'BM MORRO DA CRUZ'!$K163),0)</f>
        <v>0</v>
      </c>
      <c r="AC163" s="63">
        <f t="shared" si="121"/>
        <v>0</v>
      </c>
      <c r="AD163" s="61">
        <f>IFERROR(SUMIFS('BM MORRO DA CRUZ - VERTICAL'!AH$6:AH$546,'BM MORRO DA CRUZ - VERTICAL'!$O$6:$O$546,'BM MORRO DA CRUZ'!$K163),0)</f>
        <v>0</v>
      </c>
      <c r="AE163" s="63">
        <f t="shared" si="122"/>
        <v>0</v>
      </c>
      <c r="AF163" s="61">
        <f>IFERROR(SUMIFS('BM MORRO DA CRUZ - VERTICAL'!AJ$6:AJ$546,'BM MORRO DA CRUZ - VERTICAL'!$O$6:$O$546,'BM MORRO DA CRUZ'!$K163),0)</f>
        <v>0</v>
      </c>
      <c r="AG163" s="63">
        <f t="shared" si="123"/>
        <v>0</v>
      </c>
      <c r="AH163" s="61">
        <f>IFERROR(SUMIFS('BM MORRO DA CRUZ - VERTICAL'!AL$6:AL$546,'BM MORRO DA CRUZ - VERTICAL'!$O$6:$O$546,'BM MORRO DA CRUZ'!$K163),0)</f>
        <v>0</v>
      </c>
      <c r="AI163" s="63">
        <f t="shared" si="124"/>
        <v>0</v>
      </c>
      <c r="AJ163" s="61">
        <f>IFERROR(SUMIFS('BM MORRO DA CRUZ - VERTICAL'!AN$6:AN$546,'BM MORRO DA CRUZ - VERTICAL'!$O$6:$O$546,'BM MORRO DA CRUZ'!$K163),0)</f>
        <v>0</v>
      </c>
      <c r="AK163" s="63">
        <f t="shared" si="125"/>
        <v>0</v>
      </c>
      <c r="AL163" s="61">
        <f>IFERROR(SUMIFS('BM MORRO DA CRUZ - VERTICAL'!AP$6:AP$546,'BM MORRO DA CRUZ - VERTICAL'!$O$6:$O$546,'BM MORRO DA CRUZ'!$K163),0)</f>
        <v>0</v>
      </c>
      <c r="AM163" s="63">
        <f t="shared" si="126"/>
        <v>0</v>
      </c>
      <c r="AN163" s="61">
        <f>IFERROR(SUMIFS('BM MORRO DA CRUZ - VERTICAL'!AR$6:AR$546,'BM MORRO DA CRUZ - VERTICAL'!$O$6:$O$546,'BM MORRO DA CRUZ'!$K163),0)</f>
        <v>0</v>
      </c>
      <c r="AO163" s="63">
        <f t="shared" si="127"/>
        <v>0</v>
      </c>
      <c r="AP163" s="61">
        <f>IFERROR(SUMIFS('BM MORRO DA CRUZ - VERTICAL'!AT$6:AT$546,'BM MORRO DA CRUZ - VERTICAL'!$O$6:$O$546,'BM MORRO DA CRUZ'!$K163),0)</f>
        <v>0</v>
      </c>
      <c r="AQ163" s="63">
        <f t="shared" si="128"/>
        <v>0</v>
      </c>
      <c r="AR163" s="61">
        <f>IFERROR(SUMIFS('BM MORRO DA CRUZ - VERTICAL'!AV$6:AV$546,'BM MORRO DA CRUZ - VERTICAL'!$O$6:$O$546,'BM MORRO DA CRUZ'!$K163),0)</f>
        <v>0</v>
      </c>
      <c r="AS163" s="63">
        <f t="shared" si="129"/>
        <v>0</v>
      </c>
      <c r="AT163" s="61">
        <f>IFERROR(SUMIFS('BM MORRO DA CRUZ - VERTICAL'!AX$6:AX$546,'BM MORRO DA CRUZ - VERTICAL'!$O$6:$O$546,'BM MORRO DA CRUZ'!$K163),0)</f>
        <v>0</v>
      </c>
      <c r="AU163" s="63">
        <f t="shared" si="130"/>
        <v>0</v>
      </c>
      <c r="AV163" s="61">
        <f>IFERROR(SUMIFS('BM MORRO DA CRUZ - VERTICAL'!AZ$6:AZ$546,'BM MORRO DA CRUZ - VERTICAL'!$O$6:$O$546,'BM MORRO DA CRUZ'!$K163),0)</f>
        <v>0</v>
      </c>
      <c r="AW163" s="63">
        <f t="shared" si="131"/>
        <v>0</v>
      </c>
      <c r="AX163" s="61">
        <f>IFERROR(SUMIFS('BM MORRO DA CRUZ - VERTICAL'!BB$6:BB$546,'BM MORRO DA CRUZ - VERTICAL'!$O$6:$O$546,'BM MORRO DA CRUZ'!$K163),0)</f>
        <v>0</v>
      </c>
      <c r="AY163" s="63">
        <f t="shared" si="132"/>
        <v>0</v>
      </c>
      <c r="AZ163" s="61">
        <f>IFERROR(SUMIFS('BM MORRO DA CRUZ - VERTICAL'!BD$6:BD$546,'BM MORRO DA CRUZ - VERTICAL'!$O$6:$O$546,'BM MORRO DA CRUZ'!$K163),0)</f>
        <v>0</v>
      </c>
      <c r="BA163" s="63">
        <f t="shared" si="133"/>
        <v>0</v>
      </c>
      <c r="BB163" s="61">
        <f t="shared" si="134"/>
        <v>0</v>
      </c>
      <c r="BC163" s="63">
        <f t="shared" si="135"/>
        <v>0</v>
      </c>
      <c r="BD163" s="64">
        <f t="shared" si="136"/>
        <v>0</v>
      </c>
      <c r="BE163" s="65">
        <f t="shared" si="137"/>
        <v>1</v>
      </c>
      <c r="BF163" s="45"/>
    </row>
    <row r="164" spans="1:58" ht="38.25" customHeight="1" x14ac:dyDescent="0.45">
      <c r="A164" s="56" t="s">
        <v>654</v>
      </c>
      <c r="B164" s="506" t="s">
        <v>649</v>
      </c>
      <c r="C164" s="507" t="s">
        <v>147</v>
      </c>
      <c r="D164" s="507" t="s">
        <v>39</v>
      </c>
      <c r="E164" s="507" t="s">
        <v>650</v>
      </c>
      <c r="F164" s="507" t="s">
        <v>39</v>
      </c>
      <c r="G164" s="507" t="s">
        <v>655</v>
      </c>
      <c r="H164" s="508" t="s">
        <v>125</v>
      </c>
      <c r="I164" s="507" t="s">
        <v>114</v>
      </c>
      <c r="J164" s="508" t="s">
        <v>115</v>
      </c>
      <c r="K164" s="57" t="s">
        <v>656</v>
      </c>
      <c r="L164" s="58" t="s">
        <v>21</v>
      </c>
      <c r="M164" s="59" t="s">
        <v>657</v>
      </c>
      <c r="N164" s="60" t="s">
        <v>71</v>
      </c>
      <c r="O164" s="61">
        <v>2</v>
      </c>
      <c r="P164" s="62">
        <v>879.31</v>
      </c>
      <c r="Q164" s="63">
        <f t="shared" si="115"/>
        <v>1758.62</v>
      </c>
      <c r="R164" s="61">
        <f>IFERROR(SUMIFS('BM MORRO DA CRUZ - VERTICAL'!V$6:V$546,'BM MORRO DA CRUZ - VERTICAL'!$O$6:$O$546,'BM MORRO DA CRUZ'!$K164),0)</f>
        <v>0</v>
      </c>
      <c r="S164" s="63">
        <f t="shared" si="116"/>
        <v>0</v>
      </c>
      <c r="T164" s="61">
        <f>IFERROR(SUMIFS('BM MORRO DA CRUZ - VERTICAL'!X$6:X$546,'BM MORRO DA CRUZ - VERTICAL'!$O$6:$O$546,'BM MORRO DA CRUZ'!$K164),0)</f>
        <v>0</v>
      </c>
      <c r="U164" s="63">
        <f t="shared" si="117"/>
        <v>0</v>
      </c>
      <c r="V164" s="61">
        <f>IFERROR(SUMIFS('BM MORRO DA CRUZ - VERTICAL'!Z$6:Z$546,'BM MORRO DA CRUZ - VERTICAL'!$O$6:$O$546,'BM MORRO DA CRUZ'!$K164),0)</f>
        <v>0</v>
      </c>
      <c r="W164" s="63">
        <f t="shared" si="118"/>
        <v>0</v>
      </c>
      <c r="X164" s="61">
        <f>IFERROR(SUMIFS('BM MORRO DA CRUZ - VERTICAL'!AB$6:AB$546,'BM MORRO DA CRUZ - VERTICAL'!$O$6:$O$546,'BM MORRO DA CRUZ'!$K164),0)</f>
        <v>0</v>
      </c>
      <c r="Y164" s="63">
        <f t="shared" si="119"/>
        <v>0</v>
      </c>
      <c r="Z164" s="61">
        <f>IFERROR(SUMIFS('BM MORRO DA CRUZ - VERTICAL'!AD$6:AD$546,'BM MORRO DA CRUZ - VERTICAL'!$O$6:$O$546,'BM MORRO DA CRUZ'!$K164),0)</f>
        <v>0</v>
      </c>
      <c r="AA164" s="63">
        <f t="shared" si="120"/>
        <v>0</v>
      </c>
      <c r="AB164" s="61">
        <f>IFERROR(SUMIFS('BM MORRO DA CRUZ - VERTICAL'!AF$6:AF$546,'BM MORRO DA CRUZ - VERTICAL'!$O$6:$O$546,'BM MORRO DA CRUZ'!$K164),0)</f>
        <v>0</v>
      </c>
      <c r="AC164" s="63">
        <f t="shared" si="121"/>
        <v>0</v>
      </c>
      <c r="AD164" s="61">
        <f>IFERROR(SUMIFS('BM MORRO DA CRUZ - VERTICAL'!AH$6:AH$546,'BM MORRO DA CRUZ - VERTICAL'!$O$6:$O$546,'BM MORRO DA CRUZ'!$K164),0)</f>
        <v>0</v>
      </c>
      <c r="AE164" s="63">
        <f t="shared" si="122"/>
        <v>0</v>
      </c>
      <c r="AF164" s="61">
        <f>IFERROR(SUMIFS('BM MORRO DA CRUZ - VERTICAL'!AJ$6:AJ$546,'BM MORRO DA CRUZ - VERTICAL'!$O$6:$O$546,'BM MORRO DA CRUZ'!$K164),0)</f>
        <v>0</v>
      </c>
      <c r="AG164" s="63">
        <f t="shared" si="123"/>
        <v>0</v>
      </c>
      <c r="AH164" s="61">
        <f>IFERROR(SUMIFS('BM MORRO DA CRUZ - VERTICAL'!AL$6:AL$546,'BM MORRO DA CRUZ - VERTICAL'!$O$6:$O$546,'BM MORRO DA CRUZ'!$K164),0)</f>
        <v>0</v>
      </c>
      <c r="AI164" s="63">
        <f t="shared" si="124"/>
        <v>0</v>
      </c>
      <c r="AJ164" s="61">
        <f>IFERROR(SUMIFS('BM MORRO DA CRUZ - VERTICAL'!AN$6:AN$546,'BM MORRO DA CRUZ - VERTICAL'!$O$6:$O$546,'BM MORRO DA CRUZ'!$K164),0)</f>
        <v>0</v>
      </c>
      <c r="AK164" s="63">
        <f t="shared" si="125"/>
        <v>0</v>
      </c>
      <c r="AL164" s="61">
        <f>IFERROR(SUMIFS('BM MORRO DA CRUZ - VERTICAL'!AP$6:AP$546,'BM MORRO DA CRUZ - VERTICAL'!$O$6:$O$546,'BM MORRO DA CRUZ'!$K164),0)</f>
        <v>0</v>
      </c>
      <c r="AM164" s="63">
        <f t="shared" si="126"/>
        <v>0</v>
      </c>
      <c r="AN164" s="61">
        <f>IFERROR(SUMIFS('BM MORRO DA CRUZ - VERTICAL'!AR$6:AR$546,'BM MORRO DA CRUZ - VERTICAL'!$O$6:$O$546,'BM MORRO DA CRUZ'!$K164),0)</f>
        <v>0</v>
      </c>
      <c r="AO164" s="63">
        <f t="shared" si="127"/>
        <v>0</v>
      </c>
      <c r="AP164" s="61">
        <f>IFERROR(SUMIFS('BM MORRO DA CRUZ - VERTICAL'!AT$6:AT$546,'BM MORRO DA CRUZ - VERTICAL'!$O$6:$O$546,'BM MORRO DA CRUZ'!$K164),0)</f>
        <v>0</v>
      </c>
      <c r="AQ164" s="63">
        <f t="shared" si="128"/>
        <v>0</v>
      </c>
      <c r="AR164" s="61">
        <f>IFERROR(SUMIFS('BM MORRO DA CRUZ - VERTICAL'!AV$6:AV$546,'BM MORRO DA CRUZ - VERTICAL'!$O$6:$O$546,'BM MORRO DA CRUZ'!$K164),0)</f>
        <v>0</v>
      </c>
      <c r="AS164" s="63">
        <f t="shared" si="129"/>
        <v>0</v>
      </c>
      <c r="AT164" s="61">
        <f>IFERROR(SUMIFS('BM MORRO DA CRUZ - VERTICAL'!AX$6:AX$546,'BM MORRO DA CRUZ - VERTICAL'!$O$6:$O$546,'BM MORRO DA CRUZ'!$K164),0)</f>
        <v>0</v>
      </c>
      <c r="AU164" s="63">
        <f t="shared" si="130"/>
        <v>0</v>
      </c>
      <c r="AV164" s="61">
        <f>IFERROR(SUMIFS('BM MORRO DA CRUZ - VERTICAL'!AZ$6:AZ$546,'BM MORRO DA CRUZ - VERTICAL'!$O$6:$O$546,'BM MORRO DA CRUZ'!$K164),0)</f>
        <v>0</v>
      </c>
      <c r="AW164" s="63">
        <f t="shared" si="131"/>
        <v>0</v>
      </c>
      <c r="AX164" s="61">
        <f>IFERROR(SUMIFS('BM MORRO DA CRUZ - VERTICAL'!BB$6:BB$546,'BM MORRO DA CRUZ - VERTICAL'!$O$6:$O$546,'BM MORRO DA CRUZ'!$K164),0)</f>
        <v>0</v>
      </c>
      <c r="AY164" s="63">
        <f t="shared" si="132"/>
        <v>0</v>
      </c>
      <c r="AZ164" s="61">
        <f>IFERROR(SUMIFS('BM MORRO DA CRUZ - VERTICAL'!BD$6:BD$546,'BM MORRO DA CRUZ - VERTICAL'!$O$6:$O$546,'BM MORRO DA CRUZ'!$K164),0)</f>
        <v>0</v>
      </c>
      <c r="BA164" s="63">
        <f t="shared" si="133"/>
        <v>0</v>
      </c>
      <c r="BB164" s="61">
        <f t="shared" si="134"/>
        <v>0</v>
      </c>
      <c r="BC164" s="63">
        <f t="shared" si="135"/>
        <v>0</v>
      </c>
      <c r="BD164" s="64">
        <f t="shared" si="136"/>
        <v>0</v>
      </c>
      <c r="BE164" s="65">
        <f t="shared" si="137"/>
        <v>1</v>
      </c>
      <c r="BF164" s="45"/>
    </row>
    <row r="165" spans="1:58" ht="38.25" customHeight="1" x14ac:dyDescent="0.45">
      <c r="A165" s="56" t="s">
        <v>658</v>
      </c>
      <c r="B165" s="506" t="s">
        <v>649</v>
      </c>
      <c r="C165" s="507" t="s">
        <v>576</v>
      </c>
      <c r="D165" s="507" t="s">
        <v>39</v>
      </c>
      <c r="E165" s="507" t="s">
        <v>650</v>
      </c>
      <c r="F165" s="507" t="s">
        <v>39</v>
      </c>
      <c r="G165" s="507" t="s">
        <v>659</v>
      </c>
      <c r="H165" s="508" t="s">
        <v>125</v>
      </c>
      <c r="I165" s="507" t="s">
        <v>114</v>
      </c>
      <c r="J165" s="508" t="s">
        <v>115</v>
      </c>
      <c r="K165" s="57" t="s">
        <v>660</v>
      </c>
      <c r="L165" s="58" t="s">
        <v>21</v>
      </c>
      <c r="M165" s="59" t="s">
        <v>661</v>
      </c>
      <c r="N165" s="60" t="s">
        <v>71</v>
      </c>
      <c r="O165" s="61">
        <v>10</v>
      </c>
      <c r="P165" s="62">
        <v>305.74</v>
      </c>
      <c r="Q165" s="63">
        <f t="shared" si="115"/>
        <v>3057.4</v>
      </c>
      <c r="R165" s="61">
        <f>IFERROR(SUMIFS('BM MORRO DA CRUZ - VERTICAL'!V$6:V$546,'BM MORRO DA CRUZ - VERTICAL'!$O$6:$O$546,'BM MORRO DA CRUZ'!$K165),0)</f>
        <v>0</v>
      </c>
      <c r="S165" s="63">
        <f t="shared" si="116"/>
        <v>0</v>
      </c>
      <c r="T165" s="61">
        <f>IFERROR(SUMIFS('BM MORRO DA CRUZ - VERTICAL'!X$6:X$546,'BM MORRO DA CRUZ - VERTICAL'!$O$6:$O$546,'BM MORRO DA CRUZ'!$K165),0)</f>
        <v>0</v>
      </c>
      <c r="U165" s="63">
        <f t="shared" si="117"/>
        <v>0</v>
      </c>
      <c r="V165" s="61">
        <f>IFERROR(SUMIFS('BM MORRO DA CRUZ - VERTICAL'!Z$6:Z$546,'BM MORRO DA CRUZ - VERTICAL'!$O$6:$O$546,'BM MORRO DA CRUZ'!$K165),0)</f>
        <v>0</v>
      </c>
      <c r="W165" s="63">
        <f t="shared" si="118"/>
        <v>0</v>
      </c>
      <c r="X165" s="61">
        <f>IFERROR(SUMIFS('BM MORRO DA CRUZ - VERTICAL'!AB$6:AB$546,'BM MORRO DA CRUZ - VERTICAL'!$O$6:$O$546,'BM MORRO DA CRUZ'!$K165),0)</f>
        <v>0</v>
      </c>
      <c r="Y165" s="63">
        <f t="shared" si="119"/>
        <v>0</v>
      </c>
      <c r="Z165" s="61">
        <f>IFERROR(SUMIFS('BM MORRO DA CRUZ - VERTICAL'!AD$6:AD$546,'BM MORRO DA CRUZ - VERTICAL'!$O$6:$O$546,'BM MORRO DA CRUZ'!$K165),0)</f>
        <v>0</v>
      </c>
      <c r="AA165" s="63">
        <f t="shared" si="120"/>
        <v>0</v>
      </c>
      <c r="AB165" s="61">
        <f>IFERROR(SUMIFS('BM MORRO DA CRUZ - VERTICAL'!AF$6:AF$546,'BM MORRO DA CRUZ - VERTICAL'!$O$6:$O$546,'BM MORRO DA CRUZ'!$K165),0)</f>
        <v>0</v>
      </c>
      <c r="AC165" s="63">
        <f t="shared" si="121"/>
        <v>0</v>
      </c>
      <c r="AD165" s="61">
        <f>IFERROR(SUMIFS('BM MORRO DA CRUZ - VERTICAL'!AH$6:AH$546,'BM MORRO DA CRUZ - VERTICAL'!$O$6:$O$546,'BM MORRO DA CRUZ'!$K165),0)</f>
        <v>0</v>
      </c>
      <c r="AE165" s="63">
        <f t="shared" si="122"/>
        <v>0</v>
      </c>
      <c r="AF165" s="61">
        <f>IFERROR(SUMIFS('BM MORRO DA CRUZ - VERTICAL'!AJ$6:AJ$546,'BM MORRO DA CRUZ - VERTICAL'!$O$6:$O$546,'BM MORRO DA CRUZ'!$K165),0)</f>
        <v>0</v>
      </c>
      <c r="AG165" s="63">
        <f t="shared" si="123"/>
        <v>0</v>
      </c>
      <c r="AH165" s="61">
        <f>IFERROR(SUMIFS('BM MORRO DA CRUZ - VERTICAL'!AL$6:AL$546,'BM MORRO DA CRUZ - VERTICAL'!$O$6:$O$546,'BM MORRO DA CRUZ'!$K165),0)</f>
        <v>0</v>
      </c>
      <c r="AI165" s="63">
        <f t="shared" si="124"/>
        <v>0</v>
      </c>
      <c r="AJ165" s="61">
        <f>IFERROR(SUMIFS('BM MORRO DA CRUZ - VERTICAL'!AN$6:AN$546,'BM MORRO DA CRUZ - VERTICAL'!$O$6:$O$546,'BM MORRO DA CRUZ'!$K165),0)</f>
        <v>0</v>
      </c>
      <c r="AK165" s="63">
        <f t="shared" si="125"/>
        <v>0</v>
      </c>
      <c r="AL165" s="61">
        <f>IFERROR(SUMIFS('BM MORRO DA CRUZ - VERTICAL'!AP$6:AP$546,'BM MORRO DA CRUZ - VERTICAL'!$O$6:$O$546,'BM MORRO DA CRUZ'!$K165),0)</f>
        <v>0</v>
      </c>
      <c r="AM165" s="63">
        <f t="shared" si="126"/>
        <v>0</v>
      </c>
      <c r="AN165" s="61">
        <f>IFERROR(SUMIFS('BM MORRO DA CRUZ - VERTICAL'!AR$6:AR$546,'BM MORRO DA CRUZ - VERTICAL'!$O$6:$O$546,'BM MORRO DA CRUZ'!$K165),0)</f>
        <v>0</v>
      </c>
      <c r="AO165" s="63">
        <f t="shared" si="127"/>
        <v>0</v>
      </c>
      <c r="AP165" s="61">
        <f>IFERROR(SUMIFS('BM MORRO DA CRUZ - VERTICAL'!AT$6:AT$546,'BM MORRO DA CRUZ - VERTICAL'!$O$6:$O$546,'BM MORRO DA CRUZ'!$K165),0)</f>
        <v>0</v>
      </c>
      <c r="AQ165" s="63">
        <f t="shared" si="128"/>
        <v>0</v>
      </c>
      <c r="AR165" s="61">
        <f>IFERROR(SUMIFS('BM MORRO DA CRUZ - VERTICAL'!AV$6:AV$546,'BM MORRO DA CRUZ - VERTICAL'!$O$6:$O$546,'BM MORRO DA CRUZ'!$K165),0)</f>
        <v>0</v>
      </c>
      <c r="AS165" s="63">
        <f t="shared" si="129"/>
        <v>0</v>
      </c>
      <c r="AT165" s="61">
        <f>IFERROR(SUMIFS('BM MORRO DA CRUZ - VERTICAL'!AX$6:AX$546,'BM MORRO DA CRUZ - VERTICAL'!$O$6:$O$546,'BM MORRO DA CRUZ'!$K165),0)</f>
        <v>0</v>
      </c>
      <c r="AU165" s="63">
        <f t="shared" si="130"/>
        <v>0</v>
      </c>
      <c r="AV165" s="61">
        <f>IFERROR(SUMIFS('BM MORRO DA CRUZ - VERTICAL'!AZ$6:AZ$546,'BM MORRO DA CRUZ - VERTICAL'!$O$6:$O$546,'BM MORRO DA CRUZ'!$K165),0)</f>
        <v>0</v>
      </c>
      <c r="AW165" s="63">
        <f t="shared" si="131"/>
        <v>0</v>
      </c>
      <c r="AX165" s="61">
        <f>IFERROR(SUMIFS('BM MORRO DA CRUZ - VERTICAL'!BB$6:BB$546,'BM MORRO DA CRUZ - VERTICAL'!$O$6:$O$546,'BM MORRO DA CRUZ'!$K165),0)</f>
        <v>0</v>
      </c>
      <c r="AY165" s="63">
        <f t="shared" si="132"/>
        <v>0</v>
      </c>
      <c r="AZ165" s="61">
        <f>IFERROR(SUMIFS('BM MORRO DA CRUZ - VERTICAL'!BD$6:BD$546,'BM MORRO DA CRUZ - VERTICAL'!$O$6:$O$546,'BM MORRO DA CRUZ'!$K165),0)</f>
        <v>0</v>
      </c>
      <c r="BA165" s="63">
        <f t="shared" si="133"/>
        <v>0</v>
      </c>
      <c r="BB165" s="61">
        <f t="shared" si="134"/>
        <v>0</v>
      </c>
      <c r="BC165" s="63">
        <f t="shared" si="135"/>
        <v>0</v>
      </c>
      <c r="BD165" s="64">
        <f t="shared" si="136"/>
        <v>0</v>
      </c>
      <c r="BE165" s="65">
        <f t="shared" si="137"/>
        <v>1</v>
      </c>
      <c r="BF165" s="45"/>
    </row>
    <row r="166" spans="1:58" ht="26.25" customHeight="1" x14ac:dyDescent="0.45">
      <c r="A166" s="56" t="s">
        <v>662</v>
      </c>
      <c r="B166" s="506" t="s">
        <v>663</v>
      </c>
      <c r="C166" s="507" t="s">
        <v>147</v>
      </c>
      <c r="D166" s="507" t="s">
        <v>39</v>
      </c>
      <c r="E166" s="507" t="s">
        <v>458</v>
      </c>
      <c r="F166" s="507" t="s">
        <v>39</v>
      </c>
      <c r="G166" s="507">
        <v>200</v>
      </c>
      <c r="H166" s="508" t="s">
        <v>125</v>
      </c>
      <c r="I166" s="507" t="s">
        <v>114</v>
      </c>
      <c r="J166" s="508" t="s">
        <v>115</v>
      </c>
      <c r="K166" s="57" t="s">
        <v>664</v>
      </c>
      <c r="L166" s="58" t="s">
        <v>21</v>
      </c>
      <c r="M166" s="59" t="s">
        <v>665</v>
      </c>
      <c r="N166" s="60" t="s">
        <v>71</v>
      </c>
      <c r="O166" s="61">
        <v>1</v>
      </c>
      <c r="P166" s="62">
        <v>1264.75</v>
      </c>
      <c r="Q166" s="63">
        <f t="shared" si="115"/>
        <v>1264.75</v>
      </c>
      <c r="R166" s="61">
        <f>IFERROR(SUMIFS('BM MORRO DA CRUZ - VERTICAL'!V$6:V$546,'BM MORRO DA CRUZ - VERTICAL'!$O$6:$O$546,'BM MORRO DA CRUZ'!$K166),0)</f>
        <v>0</v>
      </c>
      <c r="S166" s="63">
        <f t="shared" si="116"/>
        <v>0</v>
      </c>
      <c r="T166" s="61">
        <f>IFERROR(SUMIFS('BM MORRO DA CRUZ - VERTICAL'!X$6:X$546,'BM MORRO DA CRUZ - VERTICAL'!$O$6:$O$546,'BM MORRO DA CRUZ'!$K166),0)</f>
        <v>0</v>
      </c>
      <c r="U166" s="63">
        <f t="shared" si="117"/>
        <v>0</v>
      </c>
      <c r="V166" s="61">
        <f>IFERROR(SUMIFS('BM MORRO DA CRUZ - VERTICAL'!Z$6:Z$546,'BM MORRO DA CRUZ - VERTICAL'!$O$6:$O$546,'BM MORRO DA CRUZ'!$K166),0)</f>
        <v>0</v>
      </c>
      <c r="W166" s="63">
        <f t="shared" si="118"/>
        <v>0</v>
      </c>
      <c r="X166" s="61">
        <f>IFERROR(SUMIFS('BM MORRO DA CRUZ - VERTICAL'!AB$6:AB$546,'BM MORRO DA CRUZ - VERTICAL'!$O$6:$O$546,'BM MORRO DA CRUZ'!$K166),0)</f>
        <v>0</v>
      </c>
      <c r="Y166" s="63">
        <f t="shared" si="119"/>
        <v>0</v>
      </c>
      <c r="Z166" s="61">
        <f>IFERROR(SUMIFS('BM MORRO DA CRUZ - VERTICAL'!AD$6:AD$546,'BM MORRO DA CRUZ - VERTICAL'!$O$6:$O$546,'BM MORRO DA CRUZ'!$K166),0)</f>
        <v>0</v>
      </c>
      <c r="AA166" s="63">
        <f t="shared" si="120"/>
        <v>0</v>
      </c>
      <c r="AB166" s="61">
        <f>IFERROR(SUMIFS('BM MORRO DA CRUZ - VERTICAL'!AF$6:AF$546,'BM MORRO DA CRUZ - VERTICAL'!$O$6:$O$546,'BM MORRO DA CRUZ'!$K166),0)</f>
        <v>0</v>
      </c>
      <c r="AC166" s="63">
        <f t="shared" si="121"/>
        <v>0</v>
      </c>
      <c r="AD166" s="61">
        <f>IFERROR(SUMIFS('BM MORRO DA CRUZ - VERTICAL'!AH$6:AH$546,'BM MORRO DA CRUZ - VERTICAL'!$O$6:$O$546,'BM MORRO DA CRUZ'!$K166),0)</f>
        <v>0</v>
      </c>
      <c r="AE166" s="63">
        <f t="shared" si="122"/>
        <v>0</v>
      </c>
      <c r="AF166" s="61">
        <f>IFERROR(SUMIFS('BM MORRO DA CRUZ - VERTICAL'!AJ$6:AJ$546,'BM MORRO DA CRUZ - VERTICAL'!$O$6:$O$546,'BM MORRO DA CRUZ'!$K166),0)</f>
        <v>0</v>
      </c>
      <c r="AG166" s="63">
        <f t="shared" si="123"/>
        <v>0</v>
      </c>
      <c r="AH166" s="61">
        <f>IFERROR(SUMIFS('BM MORRO DA CRUZ - VERTICAL'!AL$6:AL$546,'BM MORRO DA CRUZ - VERTICAL'!$O$6:$O$546,'BM MORRO DA CRUZ'!$K166),0)</f>
        <v>0</v>
      </c>
      <c r="AI166" s="63">
        <f t="shared" si="124"/>
        <v>0</v>
      </c>
      <c r="AJ166" s="61">
        <f>IFERROR(SUMIFS('BM MORRO DA CRUZ - VERTICAL'!AN$6:AN$546,'BM MORRO DA CRUZ - VERTICAL'!$O$6:$O$546,'BM MORRO DA CRUZ'!$K166),0)</f>
        <v>0</v>
      </c>
      <c r="AK166" s="63">
        <f t="shared" si="125"/>
        <v>0</v>
      </c>
      <c r="AL166" s="61">
        <f>IFERROR(SUMIFS('BM MORRO DA CRUZ - VERTICAL'!AP$6:AP$546,'BM MORRO DA CRUZ - VERTICAL'!$O$6:$O$546,'BM MORRO DA CRUZ'!$K166),0)</f>
        <v>0</v>
      </c>
      <c r="AM166" s="63">
        <f t="shared" si="126"/>
        <v>0</v>
      </c>
      <c r="AN166" s="61">
        <f>IFERROR(SUMIFS('BM MORRO DA CRUZ - VERTICAL'!AR$6:AR$546,'BM MORRO DA CRUZ - VERTICAL'!$O$6:$O$546,'BM MORRO DA CRUZ'!$K166),0)</f>
        <v>0</v>
      </c>
      <c r="AO166" s="63">
        <f t="shared" si="127"/>
        <v>0</v>
      </c>
      <c r="AP166" s="61">
        <f>IFERROR(SUMIFS('BM MORRO DA CRUZ - VERTICAL'!AT$6:AT$546,'BM MORRO DA CRUZ - VERTICAL'!$O$6:$O$546,'BM MORRO DA CRUZ'!$K166),0)</f>
        <v>0</v>
      </c>
      <c r="AQ166" s="63">
        <f t="shared" si="128"/>
        <v>0</v>
      </c>
      <c r="AR166" s="61">
        <f>IFERROR(SUMIFS('BM MORRO DA CRUZ - VERTICAL'!AV$6:AV$546,'BM MORRO DA CRUZ - VERTICAL'!$O$6:$O$546,'BM MORRO DA CRUZ'!$K166),0)</f>
        <v>0</v>
      </c>
      <c r="AS166" s="63">
        <f t="shared" si="129"/>
        <v>0</v>
      </c>
      <c r="AT166" s="61">
        <f>IFERROR(SUMIFS('BM MORRO DA CRUZ - VERTICAL'!AX$6:AX$546,'BM MORRO DA CRUZ - VERTICAL'!$O$6:$O$546,'BM MORRO DA CRUZ'!$K166),0)</f>
        <v>0</v>
      </c>
      <c r="AU166" s="63">
        <f t="shared" si="130"/>
        <v>0</v>
      </c>
      <c r="AV166" s="61">
        <f>IFERROR(SUMIFS('BM MORRO DA CRUZ - VERTICAL'!AZ$6:AZ$546,'BM MORRO DA CRUZ - VERTICAL'!$O$6:$O$546,'BM MORRO DA CRUZ'!$K166),0)</f>
        <v>0</v>
      </c>
      <c r="AW166" s="63">
        <f t="shared" si="131"/>
        <v>0</v>
      </c>
      <c r="AX166" s="61">
        <f>IFERROR(SUMIFS('BM MORRO DA CRUZ - VERTICAL'!BB$6:BB$546,'BM MORRO DA CRUZ - VERTICAL'!$O$6:$O$546,'BM MORRO DA CRUZ'!$K166),0)</f>
        <v>0</v>
      </c>
      <c r="AY166" s="63">
        <f t="shared" si="132"/>
        <v>0</v>
      </c>
      <c r="AZ166" s="61">
        <f>IFERROR(SUMIFS('BM MORRO DA CRUZ - VERTICAL'!BD$6:BD$546,'BM MORRO DA CRUZ - VERTICAL'!$O$6:$O$546,'BM MORRO DA CRUZ'!$K166),0)</f>
        <v>0</v>
      </c>
      <c r="BA166" s="63">
        <f t="shared" si="133"/>
        <v>0</v>
      </c>
      <c r="BB166" s="61">
        <f t="shared" si="134"/>
        <v>0</v>
      </c>
      <c r="BC166" s="63">
        <f t="shared" si="135"/>
        <v>0</v>
      </c>
      <c r="BD166" s="64">
        <f t="shared" si="136"/>
        <v>0</v>
      </c>
      <c r="BE166" s="65">
        <f t="shared" si="137"/>
        <v>1</v>
      </c>
      <c r="BF166" s="45"/>
    </row>
    <row r="167" spans="1:58" ht="26.25" customHeight="1" x14ac:dyDescent="0.45">
      <c r="A167" s="56" t="s">
        <v>666</v>
      </c>
      <c r="B167" s="506" t="s">
        <v>667</v>
      </c>
      <c r="C167" s="507" t="s">
        <v>147</v>
      </c>
      <c r="D167" s="507" t="s">
        <v>39</v>
      </c>
      <c r="E167" s="507" t="s">
        <v>668</v>
      </c>
      <c r="F167" s="507" t="s">
        <v>39</v>
      </c>
      <c r="G167" s="507">
        <v>150</v>
      </c>
      <c r="H167" s="508" t="s">
        <v>125</v>
      </c>
      <c r="I167" s="507" t="s">
        <v>114</v>
      </c>
      <c r="J167" s="508" t="s">
        <v>115</v>
      </c>
      <c r="K167" s="57" t="s">
        <v>669</v>
      </c>
      <c r="L167" s="58" t="s">
        <v>21</v>
      </c>
      <c r="M167" s="59" t="s">
        <v>670</v>
      </c>
      <c r="N167" s="60" t="s">
        <v>71</v>
      </c>
      <c r="O167" s="61">
        <v>6</v>
      </c>
      <c r="P167" s="62">
        <v>1057.78</v>
      </c>
      <c r="Q167" s="63">
        <f t="shared" si="115"/>
        <v>6346.68</v>
      </c>
      <c r="R167" s="61">
        <f>IFERROR(SUMIFS('BM MORRO DA CRUZ - VERTICAL'!V$6:V$546,'BM MORRO DA CRUZ - VERTICAL'!$O$6:$O$546,'BM MORRO DA CRUZ'!$K167),0)</f>
        <v>0</v>
      </c>
      <c r="S167" s="63">
        <f t="shared" si="116"/>
        <v>0</v>
      </c>
      <c r="T167" s="61">
        <f>IFERROR(SUMIFS('BM MORRO DA CRUZ - VERTICAL'!X$6:X$546,'BM MORRO DA CRUZ - VERTICAL'!$O$6:$O$546,'BM MORRO DA CRUZ'!$K167),0)</f>
        <v>0</v>
      </c>
      <c r="U167" s="63">
        <f t="shared" si="117"/>
        <v>0</v>
      </c>
      <c r="V167" s="61">
        <f>IFERROR(SUMIFS('BM MORRO DA CRUZ - VERTICAL'!Z$6:Z$546,'BM MORRO DA CRUZ - VERTICAL'!$O$6:$O$546,'BM MORRO DA CRUZ'!$K167),0)</f>
        <v>0</v>
      </c>
      <c r="W167" s="63">
        <f t="shared" si="118"/>
        <v>0</v>
      </c>
      <c r="X167" s="61">
        <f>IFERROR(SUMIFS('BM MORRO DA CRUZ - VERTICAL'!AB$6:AB$546,'BM MORRO DA CRUZ - VERTICAL'!$O$6:$O$546,'BM MORRO DA CRUZ'!$K167),0)</f>
        <v>0</v>
      </c>
      <c r="Y167" s="63">
        <f t="shared" si="119"/>
        <v>0</v>
      </c>
      <c r="Z167" s="61">
        <f>IFERROR(SUMIFS('BM MORRO DA CRUZ - VERTICAL'!AD$6:AD$546,'BM MORRO DA CRUZ - VERTICAL'!$O$6:$O$546,'BM MORRO DA CRUZ'!$K167),0)</f>
        <v>0</v>
      </c>
      <c r="AA167" s="63">
        <f t="shared" si="120"/>
        <v>0</v>
      </c>
      <c r="AB167" s="61">
        <f>IFERROR(SUMIFS('BM MORRO DA CRUZ - VERTICAL'!AF$6:AF$546,'BM MORRO DA CRUZ - VERTICAL'!$O$6:$O$546,'BM MORRO DA CRUZ'!$K167),0)</f>
        <v>0</v>
      </c>
      <c r="AC167" s="63">
        <f t="shared" si="121"/>
        <v>0</v>
      </c>
      <c r="AD167" s="61">
        <f>IFERROR(SUMIFS('BM MORRO DA CRUZ - VERTICAL'!AH$6:AH$546,'BM MORRO DA CRUZ - VERTICAL'!$O$6:$O$546,'BM MORRO DA CRUZ'!$K167),0)</f>
        <v>0</v>
      </c>
      <c r="AE167" s="63">
        <f t="shared" si="122"/>
        <v>0</v>
      </c>
      <c r="AF167" s="61">
        <f>IFERROR(SUMIFS('BM MORRO DA CRUZ - VERTICAL'!AJ$6:AJ$546,'BM MORRO DA CRUZ - VERTICAL'!$O$6:$O$546,'BM MORRO DA CRUZ'!$K167),0)</f>
        <v>0</v>
      </c>
      <c r="AG167" s="63">
        <f t="shared" si="123"/>
        <v>0</v>
      </c>
      <c r="AH167" s="61">
        <f>IFERROR(SUMIFS('BM MORRO DA CRUZ - VERTICAL'!AL$6:AL$546,'BM MORRO DA CRUZ - VERTICAL'!$O$6:$O$546,'BM MORRO DA CRUZ'!$K167),0)</f>
        <v>0</v>
      </c>
      <c r="AI167" s="63">
        <f t="shared" si="124"/>
        <v>0</v>
      </c>
      <c r="AJ167" s="61">
        <f>IFERROR(SUMIFS('BM MORRO DA CRUZ - VERTICAL'!AN$6:AN$546,'BM MORRO DA CRUZ - VERTICAL'!$O$6:$O$546,'BM MORRO DA CRUZ'!$K167),0)</f>
        <v>0</v>
      </c>
      <c r="AK167" s="63">
        <f t="shared" si="125"/>
        <v>0</v>
      </c>
      <c r="AL167" s="61">
        <f>IFERROR(SUMIFS('BM MORRO DA CRUZ - VERTICAL'!AP$6:AP$546,'BM MORRO DA CRUZ - VERTICAL'!$O$6:$O$546,'BM MORRO DA CRUZ'!$K167),0)</f>
        <v>0</v>
      </c>
      <c r="AM167" s="63">
        <f t="shared" si="126"/>
        <v>0</v>
      </c>
      <c r="AN167" s="61">
        <f>IFERROR(SUMIFS('BM MORRO DA CRUZ - VERTICAL'!AR$6:AR$546,'BM MORRO DA CRUZ - VERTICAL'!$O$6:$O$546,'BM MORRO DA CRUZ'!$K167),0)</f>
        <v>0</v>
      </c>
      <c r="AO167" s="63">
        <f t="shared" si="127"/>
        <v>0</v>
      </c>
      <c r="AP167" s="61">
        <f>IFERROR(SUMIFS('BM MORRO DA CRUZ - VERTICAL'!AT$6:AT$546,'BM MORRO DA CRUZ - VERTICAL'!$O$6:$O$546,'BM MORRO DA CRUZ'!$K167),0)</f>
        <v>0</v>
      </c>
      <c r="AQ167" s="63">
        <f t="shared" si="128"/>
        <v>0</v>
      </c>
      <c r="AR167" s="61">
        <f>IFERROR(SUMIFS('BM MORRO DA CRUZ - VERTICAL'!AV$6:AV$546,'BM MORRO DA CRUZ - VERTICAL'!$O$6:$O$546,'BM MORRO DA CRUZ'!$K167),0)</f>
        <v>0</v>
      </c>
      <c r="AS167" s="63">
        <f t="shared" si="129"/>
        <v>0</v>
      </c>
      <c r="AT167" s="61">
        <f>IFERROR(SUMIFS('BM MORRO DA CRUZ - VERTICAL'!AX$6:AX$546,'BM MORRO DA CRUZ - VERTICAL'!$O$6:$O$546,'BM MORRO DA CRUZ'!$K167),0)</f>
        <v>0</v>
      </c>
      <c r="AU167" s="63">
        <f t="shared" si="130"/>
        <v>0</v>
      </c>
      <c r="AV167" s="61">
        <f>IFERROR(SUMIFS('BM MORRO DA CRUZ - VERTICAL'!AZ$6:AZ$546,'BM MORRO DA CRUZ - VERTICAL'!$O$6:$O$546,'BM MORRO DA CRUZ'!$K167),0)</f>
        <v>0</v>
      </c>
      <c r="AW167" s="63">
        <f t="shared" si="131"/>
        <v>0</v>
      </c>
      <c r="AX167" s="61">
        <f>IFERROR(SUMIFS('BM MORRO DA CRUZ - VERTICAL'!BB$6:BB$546,'BM MORRO DA CRUZ - VERTICAL'!$O$6:$O$546,'BM MORRO DA CRUZ'!$K167),0)</f>
        <v>0</v>
      </c>
      <c r="AY167" s="63">
        <f t="shared" si="132"/>
        <v>0</v>
      </c>
      <c r="AZ167" s="61">
        <f>IFERROR(SUMIFS('BM MORRO DA CRUZ - VERTICAL'!BD$6:BD$546,'BM MORRO DA CRUZ - VERTICAL'!$O$6:$O$546,'BM MORRO DA CRUZ'!$K167),0)</f>
        <v>0</v>
      </c>
      <c r="BA167" s="63">
        <f t="shared" si="133"/>
        <v>0</v>
      </c>
      <c r="BB167" s="61">
        <f t="shared" si="134"/>
        <v>0</v>
      </c>
      <c r="BC167" s="63">
        <f t="shared" si="135"/>
        <v>0</v>
      </c>
      <c r="BD167" s="64">
        <f t="shared" si="136"/>
        <v>0</v>
      </c>
      <c r="BE167" s="65">
        <f t="shared" si="137"/>
        <v>1</v>
      </c>
      <c r="BF167" s="45"/>
    </row>
    <row r="168" spans="1:58" ht="26.25" customHeight="1" x14ac:dyDescent="0.45">
      <c r="A168" s="56" t="s">
        <v>671</v>
      </c>
      <c r="B168" s="506" t="s">
        <v>667</v>
      </c>
      <c r="C168" s="507" t="s">
        <v>147</v>
      </c>
      <c r="D168" s="507" t="s">
        <v>39</v>
      </c>
      <c r="E168" s="507" t="s">
        <v>668</v>
      </c>
      <c r="F168" s="507" t="s">
        <v>39</v>
      </c>
      <c r="G168" s="507">
        <v>200</v>
      </c>
      <c r="H168" s="508" t="s">
        <v>125</v>
      </c>
      <c r="I168" s="507" t="s">
        <v>114</v>
      </c>
      <c r="J168" s="508" t="s">
        <v>115</v>
      </c>
      <c r="K168" s="57" t="s">
        <v>672</v>
      </c>
      <c r="L168" s="58" t="s">
        <v>21</v>
      </c>
      <c r="M168" s="59" t="s">
        <v>673</v>
      </c>
      <c r="N168" s="60" t="s">
        <v>71</v>
      </c>
      <c r="O168" s="61">
        <v>2</v>
      </c>
      <c r="P168" s="62">
        <v>1356.4</v>
      </c>
      <c r="Q168" s="63">
        <f t="shared" si="115"/>
        <v>2712.8</v>
      </c>
      <c r="R168" s="61">
        <f>IFERROR(SUMIFS('BM MORRO DA CRUZ - VERTICAL'!V$6:V$546,'BM MORRO DA CRUZ - VERTICAL'!$O$6:$O$546,'BM MORRO DA CRUZ'!$K168),0)</f>
        <v>0</v>
      </c>
      <c r="S168" s="63">
        <f t="shared" si="116"/>
        <v>0</v>
      </c>
      <c r="T168" s="61">
        <f>IFERROR(SUMIFS('BM MORRO DA CRUZ - VERTICAL'!X$6:X$546,'BM MORRO DA CRUZ - VERTICAL'!$O$6:$O$546,'BM MORRO DA CRUZ'!$K168),0)</f>
        <v>0</v>
      </c>
      <c r="U168" s="63">
        <f t="shared" si="117"/>
        <v>0</v>
      </c>
      <c r="V168" s="61">
        <f>IFERROR(SUMIFS('BM MORRO DA CRUZ - VERTICAL'!Z$6:Z$546,'BM MORRO DA CRUZ - VERTICAL'!$O$6:$O$546,'BM MORRO DA CRUZ'!$K168),0)</f>
        <v>0</v>
      </c>
      <c r="W168" s="63">
        <f t="shared" si="118"/>
        <v>0</v>
      </c>
      <c r="X168" s="61">
        <f>IFERROR(SUMIFS('BM MORRO DA CRUZ - VERTICAL'!AB$6:AB$546,'BM MORRO DA CRUZ - VERTICAL'!$O$6:$O$546,'BM MORRO DA CRUZ'!$K168),0)</f>
        <v>0</v>
      </c>
      <c r="Y168" s="63">
        <f t="shared" si="119"/>
        <v>0</v>
      </c>
      <c r="Z168" s="61">
        <f>IFERROR(SUMIFS('BM MORRO DA CRUZ - VERTICAL'!AD$6:AD$546,'BM MORRO DA CRUZ - VERTICAL'!$O$6:$O$546,'BM MORRO DA CRUZ'!$K168),0)</f>
        <v>0</v>
      </c>
      <c r="AA168" s="63">
        <f t="shared" si="120"/>
        <v>0</v>
      </c>
      <c r="AB168" s="61">
        <f>IFERROR(SUMIFS('BM MORRO DA CRUZ - VERTICAL'!AF$6:AF$546,'BM MORRO DA CRUZ - VERTICAL'!$O$6:$O$546,'BM MORRO DA CRUZ'!$K168),0)</f>
        <v>0</v>
      </c>
      <c r="AC168" s="63">
        <f t="shared" si="121"/>
        <v>0</v>
      </c>
      <c r="AD168" s="61">
        <f>IFERROR(SUMIFS('BM MORRO DA CRUZ - VERTICAL'!AH$6:AH$546,'BM MORRO DA CRUZ - VERTICAL'!$O$6:$O$546,'BM MORRO DA CRUZ'!$K168),0)</f>
        <v>0</v>
      </c>
      <c r="AE168" s="63">
        <f t="shared" si="122"/>
        <v>0</v>
      </c>
      <c r="AF168" s="61">
        <f>IFERROR(SUMIFS('BM MORRO DA CRUZ - VERTICAL'!AJ$6:AJ$546,'BM MORRO DA CRUZ - VERTICAL'!$O$6:$O$546,'BM MORRO DA CRUZ'!$K168),0)</f>
        <v>0</v>
      </c>
      <c r="AG168" s="63">
        <f t="shared" si="123"/>
        <v>0</v>
      </c>
      <c r="AH168" s="61">
        <f>IFERROR(SUMIFS('BM MORRO DA CRUZ - VERTICAL'!AL$6:AL$546,'BM MORRO DA CRUZ - VERTICAL'!$O$6:$O$546,'BM MORRO DA CRUZ'!$K168),0)</f>
        <v>0</v>
      </c>
      <c r="AI168" s="63">
        <f t="shared" si="124"/>
        <v>0</v>
      </c>
      <c r="AJ168" s="61">
        <f>IFERROR(SUMIFS('BM MORRO DA CRUZ - VERTICAL'!AN$6:AN$546,'BM MORRO DA CRUZ - VERTICAL'!$O$6:$O$546,'BM MORRO DA CRUZ'!$K168),0)</f>
        <v>0</v>
      </c>
      <c r="AK168" s="63">
        <f t="shared" si="125"/>
        <v>0</v>
      </c>
      <c r="AL168" s="61">
        <f>IFERROR(SUMIFS('BM MORRO DA CRUZ - VERTICAL'!AP$6:AP$546,'BM MORRO DA CRUZ - VERTICAL'!$O$6:$O$546,'BM MORRO DA CRUZ'!$K168),0)</f>
        <v>0</v>
      </c>
      <c r="AM168" s="63">
        <f t="shared" si="126"/>
        <v>0</v>
      </c>
      <c r="AN168" s="61">
        <f>IFERROR(SUMIFS('BM MORRO DA CRUZ - VERTICAL'!AR$6:AR$546,'BM MORRO DA CRUZ - VERTICAL'!$O$6:$O$546,'BM MORRO DA CRUZ'!$K168),0)</f>
        <v>0</v>
      </c>
      <c r="AO168" s="63">
        <f t="shared" si="127"/>
        <v>0</v>
      </c>
      <c r="AP168" s="61">
        <f>IFERROR(SUMIFS('BM MORRO DA CRUZ - VERTICAL'!AT$6:AT$546,'BM MORRO DA CRUZ - VERTICAL'!$O$6:$O$546,'BM MORRO DA CRUZ'!$K168),0)</f>
        <v>0</v>
      </c>
      <c r="AQ168" s="63">
        <f t="shared" si="128"/>
        <v>0</v>
      </c>
      <c r="AR168" s="61">
        <f>IFERROR(SUMIFS('BM MORRO DA CRUZ - VERTICAL'!AV$6:AV$546,'BM MORRO DA CRUZ - VERTICAL'!$O$6:$O$546,'BM MORRO DA CRUZ'!$K168),0)</f>
        <v>0</v>
      </c>
      <c r="AS168" s="63">
        <f t="shared" si="129"/>
        <v>0</v>
      </c>
      <c r="AT168" s="61">
        <f>IFERROR(SUMIFS('BM MORRO DA CRUZ - VERTICAL'!AX$6:AX$546,'BM MORRO DA CRUZ - VERTICAL'!$O$6:$O$546,'BM MORRO DA CRUZ'!$K168),0)</f>
        <v>0</v>
      </c>
      <c r="AU168" s="63">
        <f t="shared" si="130"/>
        <v>0</v>
      </c>
      <c r="AV168" s="61">
        <f>IFERROR(SUMIFS('BM MORRO DA CRUZ - VERTICAL'!AZ$6:AZ$546,'BM MORRO DA CRUZ - VERTICAL'!$O$6:$O$546,'BM MORRO DA CRUZ'!$K168),0)</f>
        <v>0</v>
      </c>
      <c r="AW168" s="63">
        <f t="shared" si="131"/>
        <v>0</v>
      </c>
      <c r="AX168" s="61">
        <f>IFERROR(SUMIFS('BM MORRO DA CRUZ - VERTICAL'!BB$6:BB$546,'BM MORRO DA CRUZ - VERTICAL'!$O$6:$O$546,'BM MORRO DA CRUZ'!$K168),0)</f>
        <v>0</v>
      </c>
      <c r="AY168" s="63">
        <f t="shared" si="132"/>
        <v>0</v>
      </c>
      <c r="AZ168" s="61">
        <f>IFERROR(SUMIFS('BM MORRO DA CRUZ - VERTICAL'!BD$6:BD$546,'BM MORRO DA CRUZ - VERTICAL'!$O$6:$O$546,'BM MORRO DA CRUZ'!$K168),0)</f>
        <v>0</v>
      </c>
      <c r="BA168" s="63">
        <f t="shared" si="133"/>
        <v>0</v>
      </c>
      <c r="BB168" s="61">
        <f t="shared" si="134"/>
        <v>0</v>
      </c>
      <c r="BC168" s="63">
        <f t="shared" si="135"/>
        <v>0</v>
      </c>
      <c r="BD168" s="64">
        <f t="shared" si="136"/>
        <v>0</v>
      </c>
      <c r="BE168" s="65">
        <f t="shared" si="137"/>
        <v>1</v>
      </c>
      <c r="BF168" s="45"/>
    </row>
    <row r="169" spans="1:58" ht="26.25" customHeight="1" x14ac:dyDescent="0.45">
      <c r="A169" s="56" t="s">
        <v>674</v>
      </c>
      <c r="B169" s="506" t="s">
        <v>667</v>
      </c>
      <c r="C169" s="507" t="s">
        <v>576</v>
      </c>
      <c r="D169" s="507" t="s">
        <v>39</v>
      </c>
      <c r="E169" s="507" t="s">
        <v>668</v>
      </c>
      <c r="F169" s="507" t="s">
        <v>39</v>
      </c>
      <c r="G169" s="507">
        <v>80</v>
      </c>
      <c r="H169" s="508" t="s">
        <v>125</v>
      </c>
      <c r="I169" s="507" t="s">
        <v>114</v>
      </c>
      <c r="J169" s="508" t="s">
        <v>115</v>
      </c>
      <c r="K169" s="57" t="s">
        <v>675</v>
      </c>
      <c r="L169" s="58" t="s">
        <v>21</v>
      </c>
      <c r="M169" s="59" t="s">
        <v>676</v>
      </c>
      <c r="N169" s="60" t="s">
        <v>71</v>
      </c>
      <c r="O169" s="61">
        <v>20</v>
      </c>
      <c r="P169" s="62">
        <v>635.74</v>
      </c>
      <c r="Q169" s="63">
        <f t="shared" si="115"/>
        <v>12714.8</v>
      </c>
      <c r="R169" s="61">
        <f>IFERROR(SUMIFS('BM MORRO DA CRUZ - VERTICAL'!V$6:V$546,'BM MORRO DA CRUZ - VERTICAL'!$O$6:$O$546,'BM MORRO DA CRUZ'!$K169),0)</f>
        <v>0</v>
      </c>
      <c r="S169" s="63">
        <f t="shared" si="116"/>
        <v>0</v>
      </c>
      <c r="T169" s="61">
        <f>IFERROR(SUMIFS('BM MORRO DA CRUZ - VERTICAL'!X$6:X$546,'BM MORRO DA CRUZ - VERTICAL'!$O$6:$O$546,'BM MORRO DA CRUZ'!$K169),0)</f>
        <v>0</v>
      </c>
      <c r="U169" s="63">
        <f t="shared" si="117"/>
        <v>0</v>
      </c>
      <c r="V169" s="61">
        <f>IFERROR(SUMIFS('BM MORRO DA CRUZ - VERTICAL'!Z$6:Z$546,'BM MORRO DA CRUZ - VERTICAL'!$O$6:$O$546,'BM MORRO DA CRUZ'!$K169),0)</f>
        <v>0</v>
      </c>
      <c r="W169" s="63">
        <f t="shared" si="118"/>
        <v>0</v>
      </c>
      <c r="X169" s="61">
        <f>IFERROR(SUMIFS('BM MORRO DA CRUZ - VERTICAL'!AB$6:AB$546,'BM MORRO DA CRUZ - VERTICAL'!$O$6:$O$546,'BM MORRO DA CRUZ'!$K169),0)</f>
        <v>0</v>
      </c>
      <c r="Y169" s="63">
        <f t="shared" si="119"/>
        <v>0</v>
      </c>
      <c r="Z169" s="61">
        <f>IFERROR(SUMIFS('BM MORRO DA CRUZ - VERTICAL'!AD$6:AD$546,'BM MORRO DA CRUZ - VERTICAL'!$O$6:$O$546,'BM MORRO DA CRUZ'!$K169),0)</f>
        <v>0</v>
      </c>
      <c r="AA169" s="63">
        <f t="shared" si="120"/>
        <v>0</v>
      </c>
      <c r="AB169" s="61">
        <f>IFERROR(SUMIFS('BM MORRO DA CRUZ - VERTICAL'!AF$6:AF$546,'BM MORRO DA CRUZ - VERTICAL'!$O$6:$O$546,'BM MORRO DA CRUZ'!$K169),0)</f>
        <v>0</v>
      </c>
      <c r="AC169" s="63">
        <f t="shared" si="121"/>
        <v>0</v>
      </c>
      <c r="AD169" s="61">
        <f>IFERROR(SUMIFS('BM MORRO DA CRUZ - VERTICAL'!AH$6:AH$546,'BM MORRO DA CRUZ - VERTICAL'!$O$6:$O$546,'BM MORRO DA CRUZ'!$K169),0)</f>
        <v>0</v>
      </c>
      <c r="AE169" s="63">
        <f t="shared" si="122"/>
        <v>0</v>
      </c>
      <c r="AF169" s="61">
        <f>IFERROR(SUMIFS('BM MORRO DA CRUZ - VERTICAL'!AJ$6:AJ$546,'BM MORRO DA CRUZ - VERTICAL'!$O$6:$O$546,'BM MORRO DA CRUZ'!$K169),0)</f>
        <v>0</v>
      </c>
      <c r="AG169" s="63">
        <f t="shared" si="123"/>
        <v>0</v>
      </c>
      <c r="AH169" s="61">
        <f>IFERROR(SUMIFS('BM MORRO DA CRUZ - VERTICAL'!AL$6:AL$546,'BM MORRO DA CRUZ - VERTICAL'!$O$6:$O$546,'BM MORRO DA CRUZ'!$K169),0)</f>
        <v>0</v>
      </c>
      <c r="AI169" s="63">
        <f t="shared" si="124"/>
        <v>0</v>
      </c>
      <c r="AJ169" s="61">
        <f>IFERROR(SUMIFS('BM MORRO DA CRUZ - VERTICAL'!AN$6:AN$546,'BM MORRO DA CRUZ - VERTICAL'!$O$6:$O$546,'BM MORRO DA CRUZ'!$K169),0)</f>
        <v>0</v>
      </c>
      <c r="AK169" s="63">
        <f t="shared" si="125"/>
        <v>0</v>
      </c>
      <c r="AL169" s="61">
        <f>IFERROR(SUMIFS('BM MORRO DA CRUZ - VERTICAL'!AP$6:AP$546,'BM MORRO DA CRUZ - VERTICAL'!$O$6:$O$546,'BM MORRO DA CRUZ'!$K169),0)</f>
        <v>0</v>
      </c>
      <c r="AM169" s="63">
        <f t="shared" si="126"/>
        <v>0</v>
      </c>
      <c r="AN169" s="61">
        <f>IFERROR(SUMIFS('BM MORRO DA CRUZ - VERTICAL'!AR$6:AR$546,'BM MORRO DA CRUZ - VERTICAL'!$O$6:$O$546,'BM MORRO DA CRUZ'!$K169),0)</f>
        <v>0</v>
      </c>
      <c r="AO169" s="63">
        <f t="shared" si="127"/>
        <v>0</v>
      </c>
      <c r="AP169" s="61">
        <f>IFERROR(SUMIFS('BM MORRO DA CRUZ - VERTICAL'!AT$6:AT$546,'BM MORRO DA CRUZ - VERTICAL'!$O$6:$O$546,'BM MORRO DA CRUZ'!$K169),0)</f>
        <v>0</v>
      </c>
      <c r="AQ169" s="63">
        <f t="shared" si="128"/>
        <v>0</v>
      </c>
      <c r="AR169" s="61">
        <f>IFERROR(SUMIFS('BM MORRO DA CRUZ - VERTICAL'!AV$6:AV$546,'BM MORRO DA CRUZ - VERTICAL'!$O$6:$O$546,'BM MORRO DA CRUZ'!$K169),0)</f>
        <v>0</v>
      </c>
      <c r="AS169" s="63">
        <f t="shared" si="129"/>
        <v>0</v>
      </c>
      <c r="AT169" s="61">
        <f>IFERROR(SUMIFS('BM MORRO DA CRUZ - VERTICAL'!AX$6:AX$546,'BM MORRO DA CRUZ - VERTICAL'!$O$6:$O$546,'BM MORRO DA CRUZ'!$K169),0)</f>
        <v>0</v>
      </c>
      <c r="AU169" s="63">
        <f t="shared" si="130"/>
        <v>0</v>
      </c>
      <c r="AV169" s="61">
        <f>IFERROR(SUMIFS('BM MORRO DA CRUZ - VERTICAL'!AZ$6:AZ$546,'BM MORRO DA CRUZ - VERTICAL'!$O$6:$O$546,'BM MORRO DA CRUZ'!$K169),0)</f>
        <v>0</v>
      </c>
      <c r="AW169" s="63">
        <f t="shared" si="131"/>
        <v>0</v>
      </c>
      <c r="AX169" s="61">
        <f>IFERROR(SUMIFS('BM MORRO DA CRUZ - VERTICAL'!BB$6:BB$546,'BM MORRO DA CRUZ - VERTICAL'!$O$6:$O$546,'BM MORRO DA CRUZ'!$K169),0)</f>
        <v>0</v>
      </c>
      <c r="AY169" s="63">
        <f t="shared" si="132"/>
        <v>0</v>
      </c>
      <c r="AZ169" s="61">
        <f>IFERROR(SUMIFS('BM MORRO DA CRUZ - VERTICAL'!BD$6:BD$546,'BM MORRO DA CRUZ - VERTICAL'!$O$6:$O$546,'BM MORRO DA CRUZ'!$K169),0)</f>
        <v>0</v>
      </c>
      <c r="BA169" s="63">
        <f t="shared" si="133"/>
        <v>0</v>
      </c>
      <c r="BB169" s="61">
        <f t="shared" si="134"/>
        <v>0</v>
      </c>
      <c r="BC169" s="63">
        <f t="shared" si="135"/>
        <v>0</v>
      </c>
      <c r="BD169" s="64">
        <f t="shared" si="136"/>
        <v>0</v>
      </c>
      <c r="BE169" s="65">
        <f t="shared" si="137"/>
        <v>1</v>
      </c>
      <c r="BF169" s="45"/>
    </row>
    <row r="170" spans="1:58" ht="26.25" customHeight="1" x14ac:dyDescent="0.45">
      <c r="A170" s="56" t="s">
        <v>677</v>
      </c>
      <c r="B170" s="506" t="s">
        <v>678</v>
      </c>
      <c r="C170" s="507" t="s">
        <v>111</v>
      </c>
      <c r="D170" s="507" t="s">
        <v>39</v>
      </c>
      <c r="E170" s="507" t="s">
        <v>668</v>
      </c>
      <c r="F170" s="507" t="s">
        <v>39</v>
      </c>
      <c r="G170" s="507">
        <v>350</v>
      </c>
      <c r="H170" s="508" t="s">
        <v>125</v>
      </c>
      <c r="I170" s="507" t="s">
        <v>114</v>
      </c>
      <c r="J170" s="508" t="s">
        <v>115</v>
      </c>
      <c r="K170" s="57" t="s">
        <v>679</v>
      </c>
      <c r="L170" s="58" t="s">
        <v>21</v>
      </c>
      <c r="M170" s="59" t="s">
        <v>680</v>
      </c>
      <c r="N170" s="60" t="s">
        <v>71</v>
      </c>
      <c r="O170" s="61">
        <v>2</v>
      </c>
      <c r="P170" s="62">
        <v>3576.79</v>
      </c>
      <c r="Q170" s="63">
        <f t="shared" si="115"/>
        <v>7153.58</v>
      </c>
      <c r="R170" s="61">
        <f>IFERROR(SUMIFS('BM MORRO DA CRUZ - VERTICAL'!V$6:V$546,'BM MORRO DA CRUZ - VERTICAL'!$O$6:$O$546,'BM MORRO DA CRUZ'!$K170),0)</f>
        <v>0</v>
      </c>
      <c r="S170" s="63">
        <f t="shared" si="116"/>
        <v>0</v>
      </c>
      <c r="T170" s="61">
        <f>IFERROR(SUMIFS('BM MORRO DA CRUZ - VERTICAL'!X$6:X$546,'BM MORRO DA CRUZ - VERTICAL'!$O$6:$O$546,'BM MORRO DA CRUZ'!$K170),0)</f>
        <v>0</v>
      </c>
      <c r="U170" s="63">
        <f t="shared" si="117"/>
        <v>0</v>
      </c>
      <c r="V170" s="61">
        <f>IFERROR(SUMIFS('BM MORRO DA CRUZ - VERTICAL'!Z$6:Z$546,'BM MORRO DA CRUZ - VERTICAL'!$O$6:$O$546,'BM MORRO DA CRUZ'!$K170),0)</f>
        <v>0</v>
      </c>
      <c r="W170" s="63">
        <f t="shared" si="118"/>
        <v>0</v>
      </c>
      <c r="X170" s="61">
        <f>IFERROR(SUMIFS('BM MORRO DA CRUZ - VERTICAL'!AB$6:AB$546,'BM MORRO DA CRUZ - VERTICAL'!$O$6:$O$546,'BM MORRO DA CRUZ'!$K170),0)</f>
        <v>0</v>
      </c>
      <c r="Y170" s="63">
        <f t="shared" si="119"/>
        <v>0</v>
      </c>
      <c r="Z170" s="61">
        <f>IFERROR(SUMIFS('BM MORRO DA CRUZ - VERTICAL'!AD$6:AD$546,'BM MORRO DA CRUZ - VERTICAL'!$O$6:$O$546,'BM MORRO DA CRUZ'!$K170),0)</f>
        <v>0</v>
      </c>
      <c r="AA170" s="63">
        <f t="shared" si="120"/>
        <v>0</v>
      </c>
      <c r="AB170" s="61">
        <f>IFERROR(SUMIFS('BM MORRO DA CRUZ - VERTICAL'!AF$6:AF$546,'BM MORRO DA CRUZ - VERTICAL'!$O$6:$O$546,'BM MORRO DA CRUZ'!$K170),0)</f>
        <v>0</v>
      </c>
      <c r="AC170" s="63">
        <f t="shared" si="121"/>
        <v>0</v>
      </c>
      <c r="AD170" s="61">
        <f>IFERROR(SUMIFS('BM MORRO DA CRUZ - VERTICAL'!AH$6:AH$546,'BM MORRO DA CRUZ - VERTICAL'!$O$6:$O$546,'BM MORRO DA CRUZ'!$K170),0)</f>
        <v>0</v>
      </c>
      <c r="AE170" s="63">
        <f t="shared" si="122"/>
        <v>0</v>
      </c>
      <c r="AF170" s="61">
        <f>IFERROR(SUMIFS('BM MORRO DA CRUZ - VERTICAL'!AJ$6:AJ$546,'BM MORRO DA CRUZ - VERTICAL'!$O$6:$O$546,'BM MORRO DA CRUZ'!$K170),0)</f>
        <v>0</v>
      </c>
      <c r="AG170" s="63">
        <f t="shared" si="123"/>
        <v>0</v>
      </c>
      <c r="AH170" s="61">
        <f>IFERROR(SUMIFS('BM MORRO DA CRUZ - VERTICAL'!AL$6:AL$546,'BM MORRO DA CRUZ - VERTICAL'!$O$6:$O$546,'BM MORRO DA CRUZ'!$K170),0)</f>
        <v>0</v>
      </c>
      <c r="AI170" s="63">
        <f t="shared" si="124"/>
        <v>0</v>
      </c>
      <c r="AJ170" s="61">
        <f>IFERROR(SUMIFS('BM MORRO DA CRUZ - VERTICAL'!AN$6:AN$546,'BM MORRO DA CRUZ - VERTICAL'!$O$6:$O$546,'BM MORRO DA CRUZ'!$K170),0)</f>
        <v>0</v>
      </c>
      <c r="AK170" s="63">
        <f t="shared" si="125"/>
        <v>0</v>
      </c>
      <c r="AL170" s="61">
        <f>IFERROR(SUMIFS('BM MORRO DA CRUZ - VERTICAL'!AP$6:AP$546,'BM MORRO DA CRUZ - VERTICAL'!$O$6:$O$546,'BM MORRO DA CRUZ'!$K170),0)</f>
        <v>0</v>
      </c>
      <c r="AM170" s="63">
        <f t="shared" si="126"/>
        <v>0</v>
      </c>
      <c r="AN170" s="61">
        <f>IFERROR(SUMIFS('BM MORRO DA CRUZ - VERTICAL'!AR$6:AR$546,'BM MORRO DA CRUZ - VERTICAL'!$O$6:$O$546,'BM MORRO DA CRUZ'!$K170),0)</f>
        <v>0</v>
      </c>
      <c r="AO170" s="63">
        <f t="shared" si="127"/>
        <v>0</v>
      </c>
      <c r="AP170" s="61">
        <f>IFERROR(SUMIFS('BM MORRO DA CRUZ - VERTICAL'!AT$6:AT$546,'BM MORRO DA CRUZ - VERTICAL'!$O$6:$O$546,'BM MORRO DA CRUZ'!$K170),0)</f>
        <v>0</v>
      </c>
      <c r="AQ170" s="63">
        <f t="shared" si="128"/>
        <v>0</v>
      </c>
      <c r="AR170" s="61">
        <f>IFERROR(SUMIFS('BM MORRO DA CRUZ - VERTICAL'!AV$6:AV$546,'BM MORRO DA CRUZ - VERTICAL'!$O$6:$O$546,'BM MORRO DA CRUZ'!$K170),0)</f>
        <v>0</v>
      </c>
      <c r="AS170" s="63">
        <f t="shared" si="129"/>
        <v>0</v>
      </c>
      <c r="AT170" s="61">
        <f>IFERROR(SUMIFS('BM MORRO DA CRUZ - VERTICAL'!AX$6:AX$546,'BM MORRO DA CRUZ - VERTICAL'!$O$6:$O$546,'BM MORRO DA CRUZ'!$K170),0)</f>
        <v>0</v>
      </c>
      <c r="AU170" s="63">
        <f t="shared" si="130"/>
        <v>0</v>
      </c>
      <c r="AV170" s="61">
        <f>IFERROR(SUMIFS('BM MORRO DA CRUZ - VERTICAL'!AZ$6:AZ$546,'BM MORRO DA CRUZ - VERTICAL'!$O$6:$O$546,'BM MORRO DA CRUZ'!$K170),0)</f>
        <v>0</v>
      </c>
      <c r="AW170" s="63">
        <f t="shared" si="131"/>
        <v>0</v>
      </c>
      <c r="AX170" s="61">
        <f>IFERROR(SUMIFS('BM MORRO DA CRUZ - VERTICAL'!BB$6:BB$546,'BM MORRO DA CRUZ - VERTICAL'!$O$6:$O$546,'BM MORRO DA CRUZ'!$K170),0)</f>
        <v>0</v>
      </c>
      <c r="AY170" s="63">
        <f t="shared" si="132"/>
        <v>0</v>
      </c>
      <c r="AZ170" s="61">
        <f>IFERROR(SUMIFS('BM MORRO DA CRUZ - VERTICAL'!BD$6:BD$546,'BM MORRO DA CRUZ - VERTICAL'!$O$6:$O$546,'BM MORRO DA CRUZ'!$K170),0)</f>
        <v>0</v>
      </c>
      <c r="BA170" s="63">
        <f t="shared" si="133"/>
        <v>0</v>
      </c>
      <c r="BB170" s="61">
        <f t="shared" si="134"/>
        <v>0</v>
      </c>
      <c r="BC170" s="63">
        <f t="shared" si="135"/>
        <v>0</v>
      </c>
      <c r="BD170" s="64">
        <f t="shared" si="136"/>
        <v>0</v>
      </c>
      <c r="BE170" s="65">
        <f t="shared" si="137"/>
        <v>1</v>
      </c>
      <c r="BF170" s="45"/>
    </row>
    <row r="171" spans="1:58" ht="38.25" customHeight="1" x14ac:dyDescent="0.45">
      <c r="A171" s="56" t="s">
        <v>681</v>
      </c>
      <c r="B171" s="506" t="s">
        <v>678</v>
      </c>
      <c r="C171" s="507" t="s">
        <v>111</v>
      </c>
      <c r="D171" s="507" t="s">
        <v>39</v>
      </c>
      <c r="E171" s="507" t="s">
        <v>668</v>
      </c>
      <c r="F171" s="507" t="s">
        <v>39</v>
      </c>
      <c r="G171" s="507">
        <v>50</v>
      </c>
      <c r="H171" s="508" t="s">
        <v>125</v>
      </c>
      <c r="I171" s="507" t="s">
        <v>114</v>
      </c>
      <c r="J171" s="508" t="s">
        <v>115</v>
      </c>
      <c r="K171" s="57" t="s">
        <v>682</v>
      </c>
      <c r="L171" s="58" t="s">
        <v>21</v>
      </c>
      <c r="M171" s="59" t="s">
        <v>683</v>
      </c>
      <c r="N171" s="60" t="s">
        <v>71</v>
      </c>
      <c r="O171" s="61">
        <v>10</v>
      </c>
      <c r="P171" s="62">
        <v>664.61</v>
      </c>
      <c r="Q171" s="63">
        <f t="shared" si="115"/>
        <v>6646.1</v>
      </c>
      <c r="R171" s="61">
        <f>IFERROR(SUMIFS('BM MORRO DA CRUZ - VERTICAL'!V$6:V$546,'BM MORRO DA CRUZ - VERTICAL'!$O$6:$O$546,'BM MORRO DA CRUZ'!$K171),0)</f>
        <v>0</v>
      </c>
      <c r="S171" s="63">
        <f t="shared" si="116"/>
        <v>0</v>
      </c>
      <c r="T171" s="61">
        <f>IFERROR(SUMIFS('BM MORRO DA CRUZ - VERTICAL'!X$6:X$546,'BM MORRO DA CRUZ - VERTICAL'!$O$6:$O$546,'BM MORRO DA CRUZ'!$K171),0)</f>
        <v>0</v>
      </c>
      <c r="U171" s="63">
        <f t="shared" si="117"/>
        <v>0</v>
      </c>
      <c r="V171" s="61">
        <f>IFERROR(SUMIFS('BM MORRO DA CRUZ - VERTICAL'!Z$6:Z$546,'BM MORRO DA CRUZ - VERTICAL'!$O$6:$O$546,'BM MORRO DA CRUZ'!$K171),0)</f>
        <v>0</v>
      </c>
      <c r="W171" s="63">
        <f t="shared" si="118"/>
        <v>0</v>
      </c>
      <c r="X171" s="61">
        <f>IFERROR(SUMIFS('BM MORRO DA CRUZ - VERTICAL'!AB$6:AB$546,'BM MORRO DA CRUZ - VERTICAL'!$O$6:$O$546,'BM MORRO DA CRUZ'!$K171),0)</f>
        <v>0</v>
      </c>
      <c r="Y171" s="63">
        <f t="shared" si="119"/>
        <v>0</v>
      </c>
      <c r="Z171" s="61">
        <f>IFERROR(SUMIFS('BM MORRO DA CRUZ - VERTICAL'!AD$6:AD$546,'BM MORRO DA CRUZ - VERTICAL'!$O$6:$O$546,'BM MORRO DA CRUZ'!$K171),0)</f>
        <v>0</v>
      </c>
      <c r="AA171" s="63">
        <f t="shared" si="120"/>
        <v>0</v>
      </c>
      <c r="AB171" s="61">
        <f>IFERROR(SUMIFS('BM MORRO DA CRUZ - VERTICAL'!AF$6:AF$546,'BM MORRO DA CRUZ - VERTICAL'!$O$6:$O$546,'BM MORRO DA CRUZ'!$K171),0)</f>
        <v>0</v>
      </c>
      <c r="AC171" s="63">
        <f t="shared" si="121"/>
        <v>0</v>
      </c>
      <c r="AD171" s="61">
        <f>IFERROR(SUMIFS('BM MORRO DA CRUZ - VERTICAL'!AH$6:AH$546,'BM MORRO DA CRUZ - VERTICAL'!$O$6:$O$546,'BM MORRO DA CRUZ'!$K171),0)</f>
        <v>0</v>
      </c>
      <c r="AE171" s="63">
        <f t="shared" si="122"/>
        <v>0</v>
      </c>
      <c r="AF171" s="61">
        <f>IFERROR(SUMIFS('BM MORRO DA CRUZ - VERTICAL'!AJ$6:AJ$546,'BM MORRO DA CRUZ - VERTICAL'!$O$6:$O$546,'BM MORRO DA CRUZ'!$K171),0)</f>
        <v>0</v>
      </c>
      <c r="AG171" s="63">
        <f t="shared" si="123"/>
        <v>0</v>
      </c>
      <c r="AH171" s="61">
        <f>IFERROR(SUMIFS('BM MORRO DA CRUZ - VERTICAL'!AL$6:AL$546,'BM MORRO DA CRUZ - VERTICAL'!$O$6:$O$546,'BM MORRO DA CRUZ'!$K171),0)</f>
        <v>0</v>
      </c>
      <c r="AI171" s="63">
        <f t="shared" si="124"/>
        <v>0</v>
      </c>
      <c r="AJ171" s="61">
        <f>IFERROR(SUMIFS('BM MORRO DA CRUZ - VERTICAL'!AN$6:AN$546,'BM MORRO DA CRUZ - VERTICAL'!$O$6:$O$546,'BM MORRO DA CRUZ'!$K171),0)</f>
        <v>0</v>
      </c>
      <c r="AK171" s="63">
        <f t="shared" si="125"/>
        <v>0</v>
      </c>
      <c r="AL171" s="61">
        <f>IFERROR(SUMIFS('BM MORRO DA CRUZ - VERTICAL'!AP$6:AP$546,'BM MORRO DA CRUZ - VERTICAL'!$O$6:$O$546,'BM MORRO DA CRUZ'!$K171),0)</f>
        <v>0</v>
      </c>
      <c r="AM171" s="63">
        <f t="shared" si="126"/>
        <v>0</v>
      </c>
      <c r="AN171" s="61">
        <f>IFERROR(SUMIFS('BM MORRO DA CRUZ - VERTICAL'!AR$6:AR$546,'BM MORRO DA CRUZ - VERTICAL'!$O$6:$O$546,'BM MORRO DA CRUZ'!$K171),0)</f>
        <v>0</v>
      </c>
      <c r="AO171" s="63">
        <f t="shared" si="127"/>
        <v>0</v>
      </c>
      <c r="AP171" s="61">
        <f>IFERROR(SUMIFS('BM MORRO DA CRUZ - VERTICAL'!AT$6:AT$546,'BM MORRO DA CRUZ - VERTICAL'!$O$6:$O$546,'BM MORRO DA CRUZ'!$K171),0)</f>
        <v>0</v>
      </c>
      <c r="AQ171" s="63">
        <f t="shared" si="128"/>
        <v>0</v>
      </c>
      <c r="AR171" s="61">
        <f>IFERROR(SUMIFS('BM MORRO DA CRUZ - VERTICAL'!AV$6:AV$546,'BM MORRO DA CRUZ - VERTICAL'!$O$6:$O$546,'BM MORRO DA CRUZ'!$K171),0)</f>
        <v>0</v>
      </c>
      <c r="AS171" s="63">
        <f t="shared" si="129"/>
        <v>0</v>
      </c>
      <c r="AT171" s="61">
        <f>IFERROR(SUMIFS('BM MORRO DA CRUZ - VERTICAL'!AX$6:AX$546,'BM MORRO DA CRUZ - VERTICAL'!$O$6:$O$546,'BM MORRO DA CRUZ'!$K171),0)</f>
        <v>0</v>
      </c>
      <c r="AU171" s="63">
        <f t="shared" si="130"/>
        <v>0</v>
      </c>
      <c r="AV171" s="61">
        <f>IFERROR(SUMIFS('BM MORRO DA CRUZ - VERTICAL'!AZ$6:AZ$546,'BM MORRO DA CRUZ - VERTICAL'!$O$6:$O$546,'BM MORRO DA CRUZ'!$K171),0)</f>
        <v>0</v>
      </c>
      <c r="AW171" s="63">
        <f t="shared" si="131"/>
        <v>0</v>
      </c>
      <c r="AX171" s="61">
        <f>IFERROR(SUMIFS('BM MORRO DA CRUZ - VERTICAL'!BB$6:BB$546,'BM MORRO DA CRUZ - VERTICAL'!$O$6:$O$546,'BM MORRO DA CRUZ'!$K171),0)</f>
        <v>0</v>
      </c>
      <c r="AY171" s="63">
        <f t="shared" si="132"/>
        <v>0</v>
      </c>
      <c r="AZ171" s="61">
        <f>IFERROR(SUMIFS('BM MORRO DA CRUZ - VERTICAL'!BD$6:BD$546,'BM MORRO DA CRUZ - VERTICAL'!$O$6:$O$546,'BM MORRO DA CRUZ'!$K171),0)</f>
        <v>0</v>
      </c>
      <c r="BA171" s="63">
        <f t="shared" si="133"/>
        <v>0</v>
      </c>
      <c r="BB171" s="61">
        <f t="shared" si="134"/>
        <v>0</v>
      </c>
      <c r="BC171" s="63">
        <f t="shared" si="135"/>
        <v>0</v>
      </c>
      <c r="BD171" s="64">
        <f t="shared" si="136"/>
        <v>0</v>
      </c>
      <c r="BE171" s="65">
        <f t="shared" si="137"/>
        <v>1</v>
      </c>
      <c r="BF171" s="45"/>
    </row>
    <row r="172" spans="1:58" ht="26.25" customHeight="1" x14ac:dyDescent="0.45">
      <c r="A172" s="56" t="s">
        <v>684</v>
      </c>
      <c r="B172" s="506" t="s">
        <v>678</v>
      </c>
      <c r="C172" s="507" t="s">
        <v>147</v>
      </c>
      <c r="D172" s="507" t="s">
        <v>39</v>
      </c>
      <c r="E172" s="507" t="s">
        <v>668</v>
      </c>
      <c r="F172" s="507" t="s">
        <v>39</v>
      </c>
      <c r="G172" s="507">
        <v>150</v>
      </c>
      <c r="H172" s="508" t="s">
        <v>125</v>
      </c>
      <c r="I172" s="507" t="s">
        <v>114</v>
      </c>
      <c r="J172" s="508" t="s">
        <v>115</v>
      </c>
      <c r="K172" s="57" t="s">
        <v>685</v>
      </c>
      <c r="L172" s="58" t="s">
        <v>21</v>
      </c>
      <c r="M172" s="59" t="s">
        <v>686</v>
      </c>
      <c r="N172" s="60" t="s">
        <v>71</v>
      </c>
      <c r="O172" s="61">
        <v>10</v>
      </c>
      <c r="P172" s="62">
        <v>1853.12</v>
      </c>
      <c r="Q172" s="63">
        <f t="shared" si="115"/>
        <v>18531.2</v>
      </c>
      <c r="R172" s="61">
        <f>IFERROR(SUMIFS('BM MORRO DA CRUZ - VERTICAL'!V$6:V$546,'BM MORRO DA CRUZ - VERTICAL'!$O$6:$O$546,'BM MORRO DA CRUZ'!$K172),0)</f>
        <v>0</v>
      </c>
      <c r="S172" s="63">
        <f t="shared" si="116"/>
        <v>0</v>
      </c>
      <c r="T172" s="61">
        <f>IFERROR(SUMIFS('BM MORRO DA CRUZ - VERTICAL'!X$6:X$546,'BM MORRO DA CRUZ - VERTICAL'!$O$6:$O$546,'BM MORRO DA CRUZ'!$K172),0)</f>
        <v>0</v>
      </c>
      <c r="U172" s="63">
        <f t="shared" si="117"/>
        <v>0</v>
      </c>
      <c r="V172" s="61">
        <f>IFERROR(SUMIFS('BM MORRO DA CRUZ - VERTICAL'!Z$6:Z$546,'BM MORRO DA CRUZ - VERTICAL'!$O$6:$O$546,'BM MORRO DA CRUZ'!$K172),0)</f>
        <v>0</v>
      </c>
      <c r="W172" s="63">
        <f t="shared" si="118"/>
        <v>0</v>
      </c>
      <c r="X172" s="61">
        <f>IFERROR(SUMIFS('BM MORRO DA CRUZ - VERTICAL'!AB$6:AB$546,'BM MORRO DA CRUZ - VERTICAL'!$O$6:$O$546,'BM MORRO DA CRUZ'!$K172),0)</f>
        <v>0</v>
      </c>
      <c r="Y172" s="63">
        <f t="shared" si="119"/>
        <v>0</v>
      </c>
      <c r="Z172" s="61">
        <f>IFERROR(SUMIFS('BM MORRO DA CRUZ - VERTICAL'!AD$6:AD$546,'BM MORRO DA CRUZ - VERTICAL'!$O$6:$O$546,'BM MORRO DA CRUZ'!$K172),0)</f>
        <v>0</v>
      </c>
      <c r="AA172" s="63">
        <f t="shared" si="120"/>
        <v>0</v>
      </c>
      <c r="AB172" s="61">
        <f>IFERROR(SUMIFS('BM MORRO DA CRUZ - VERTICAL'!AF$6:AF$546,'BM MORRO DA CRUZ - VERTICAL'!$O$6:$O$546,'BM MORRO DA CRUZ'!$K172),0)</f>
        <v>0</v>
      </c>
      <c r="AC172" s="63">
        <f t="shared" si="121"/>
        <v>0</v>
      </c>
      <c r="AD172" s="61">
        <f>IFERROR(SUMIFS('BM MORRO DA CRUZ - VERTICAL'!AH$6:AH$546,'BM MORRO DA CRUZ - VERTICAL'!$O$6:$O$546,'BM MORRO DA CRUZ'!$K172),0)</f>
        <v>0</v>
      </c>
      <c r="AE172" s="63">
        <f t="shared" si="122"/>
        <v>0</v>
      </c>
      <c r="AF172" s="61">
        <f>IFERROR(SUMIFS('BM MORRO DA CRUZ - VERTICAL'!AJ$6:AJ$546,'BM MORRO DA CRUZ - VERTICAL'!$O$6:$O$546,'BM MORRO DA CRUZ'!$K172),0)</f>
        <v>0</v>
      </c>
      <c r="AG172" s="63">
        <f t="shared" si="123"/>
        <v>0</v>
      </c>
      <c r="AH172" s="61">
        <f>IFERROR(SUMIFS('BM MORRO DA CRUZ - VERTICAL'!AL$6:AL$546,'BM MORRO DA CRUZ - VERTICAL'!$O$6:$O$546,'BM MORRO DA CRUZ'!$K172),0)</f>
        <v>0</v>
      </c>
      <c r="AI172" s="63">
        <f t="shared" si="124"/>
        <v>0</v>
      </c>
      <c r="AJ172" s="61">
        <f>IFERROR(SUMIFS('BM MORRO DA CRUZ - VERTICAL'!AN$6:AN$546,'BM MORRO DA CRUZ - VERTICAL'!$O$6:$O$546,'BM MORRO DA CRUZ'!$K172),0)</f>
        <v>0</v>
      </c>
      <c r="AK172" s="63">
        <f t="shared" si="125"/>
        <v>0</v>
      </c>
      <c r="AL172" s="61">
        <f>IFERROR(SUMIFS('BM MORRO DA CRUZ - VERTICAL'!AP$6:AP$546,'BM MORRO DA CRUZ - VERTICAL'!$O$6:$O$546,'BM MORRO DA CRUZ'!$K172),0)</f>
        <v>0</v>
      </c>
      <c r="AM172" s="63">
        <f t="shared" si="126"/>
        <v>0</v>
      </c>
      <c r="AN172" s="61">
        <f>IFERROR(SUMIFS('BM MORRO DA CRUZ - VERTICAL'!AR$6:AR$546,'BM MORRO DA CRUZ - VERTICAL'!$O$6:$O$546,'BM MORRO DA CRUZ'!$K172),0)</f>
        <v>0</v>
      </c>
      <c r="AO172" s="63">
        <f t="shared" si="127"/>
        <v>0</v>
      </c>
      <c r="AP172" s="61">
        <f>IFERROR(SUMIFS('BM MORRO DA CRUZ - VERTICAL'!AT$6:AT$546,'BM MORRO DA CRUZ - VERTICAL'!$O$6:$O$546,'BM MORRO DA CRUZ'!$K172),0)</f>
        <v>0</v>
      </c>
      <c r="AQ172" s="63">
        <f t="shared" si="128"/>
        <v>0</v>
      </c>
      <c r="AR172" s="61">
        <f>IFERROR(SUMIFS('BM MORRO DA CRUZ - VERTICAL'!AV$6:AV$546,'BM MORRO DA CRUZ - VERTICAL'!$O$6:$O$546,'BM MORRO DA CRUZ'!$K172),0)</f>
        <v>0</v>
      </c>
      <c r="AS172" s="63">
        <f t="shared" si="129"/>
        <v>0</v>
      </c>
      <c r="AT172" s="61">
        <f>IFERROR(SUMIFS('BM MORRO DA CRUZ - VERTICAL'!AX$6:AX$546,'BM MORRO DA CRUZ - VERTICAL'!$O$6:$O$546,'BM MORRO DA CRUZ'!$K172),0)</f>
        <v>0</v>
      </c>
      <c r="AU172" s="63">
        <f t="shared" si="130"/>
        <v>0</v>
      </c>
      <c r="AV172" s="61">
        <f>IFERROR(SUMIFS('BM MORRO DA CRUZ - VERTICAL'!AZ$6:AZ$546,'BM MORRO DA CRUZ - VERTICAL'!$O$6:$O$546,'BM MORRO DA CRUZ'!$K172),0)</f>
        <v>0</v>
      </c>
      <c r="AW172" s="63">
        <f t="shared" si="131"/>
        <v>0</v>
      </c>
      <c r="AX172" s="61">
        <f>IFERROR(SUMIFS('BM MORRO DA CRUZ - VERTICAL'!BB$6:BB$546,'BM MORRO DA CRUZ - VERTICAL'!$O$6:$O$546,'BM MORRO DA CRUZ'!$K172),0)</f>
        <v>0</v>
      </c>
      <c r="AY172" s="63">
        <f t="shared" si="132"/>
        <v>0</v>
      </c>
      <c r="AZ172" s="61">
        <f>IFERROR(SUMIFS('BM MORRO DA CRUZ - VERTICAL'!BD$6:BD$546,'BM MORRO DA CRUZ - VERTICAL'!$O$6:$O$546,'BM MORRO DA CRUZ'!$K172),0)</f>
        <v>0</v>
      </c>
      <c r="BA172" s="63">
        <f t="shared" si="133"/>
        <v>0</v>
      </c>
      <c r="BB172" s="61">
        <f t="shared" si="134"/>
        <v>0</v>
      </c>
      <c r="BC172" s="63">
        <f t="shared" si="135"/>
        <v>0</v>
      </c>
      <c r="BD172" s="64">
        <f t="shared" si="136"/>
        <v>0</v>
      </c>
      <c r="BE172" s="65">
        <f t="shared" si="137"/>
        <v>1</v>
      </c>
      <c r="BF172" s="45"/>
    </row>
    <row r="173" spans="1:58" ht="26.25" customHeight="1" x14ac:dyDescent="0.45">
      <c r="A173" s="56" t="s">
        <v>687</v>
      </c>
      <c r="B173" s="506" t="s">
        <v>678</v>
      </c>
      <c r="C173" s="507" t="s">
        <v>576</v>
      </c>
      <c r="D173" s="507" t="s">
        <v>39</v>
      </c>
      <c r="E173" s="507" t="s">
        <v>668</v>
      </c>
      <c r="F173" s="507" t="s">
        <v>39</v>
      </c>
      <c r="G173" s="507">
        <v>100</v>
      </c>
      <c r="H173" s="508" t="s">
        <v>125</v>
      </c>
      <c r="I173" s="507" t="s">
        <v>114</v>
      </c>
      <c r="J173" s="508" t="s">
        <v>115</v>
      </c>
      <c r="K173" s="57" t="s">
        <v>688</v>
      </c>
      <c r="L173" s="58" t="s">
        <v>21</v>
      </c>
      <c r="M173" s="59" t="s">
        <v>689</v>
      </c>
      <c r="N173" s="60" t="s">
        <v>71</v>
      </c>
      <c r="O173" s="61">
        <v>2</v>
      </c>
      <c r="P173" s="62">
        <v>1523.31</v>
      </c>
      <c r="Q173" s="63">
        <f t="shared" si="115"/>
        <v>3046.62</v>
      </c>
      <c r="R173" s="61">
        <f>IFERROR(SUMIFS('BM MORRO DA CRUZ - VERTICAL'!V$6:V$546,'BM MORRO DA CRUZ - VERTICAL'!$O$6:$O$546,'BM MORRO DA CRUZ'!$K173),0)</f>
        <v>0</v>
      </c>
      <c r="S173" s="63">
        <f t="shared" si="116"/>
        <v>0</v>
      </c>
      <c r="T173" s="61">
        <f>IFERROR(SUMIFS('BM MORRO DA CRUZ - VERTICAL'!X$6:X$546,'BM MORRO DA CRUZ - VERTICAL'!$O$6:$O$546,'BM MORRO DA CRUZ'!$K173),0)</f>
        <v>0</v>
      </c>
      <c r="U173" s="63">
        <f t="shared" si="117"/>
        <v>0</v>
      </c>
      <c r="V173" s="61">
        <f>IFERROR(SUMIFS('BM MORRO DA CRUZ - VERTICAL'!Z$6:Z$546,'BM MORRO DA CRUZ - VERTICAL'!$O$6:$O$546,'BM MORRO DA CRUZ'!$K173),0)</f>
        <v>0</v>
      </c>
      <c r="W173" s="63">
        <f t="shared" si="118"/>
        <v>0</v>
      </c>
      <c r="X173" s="61">
        <f>IFERROR(SUMIFS('BM MORRO DA CRUZ - VERTICAL'!AB$6:AB$546,'BM MORRO DA CRUZ - VERTICAL'!$O$6:$O$546,'BM MORRO DA CRUZ'!$K173),0)</f>
        <v>0</v>
      </c>
      <c r="Y173" s="63">
        <f t="shared" si="119"/>
        <v>0</v>
      </c>
      <c r="Z173" s="61">
        <f>IFERROR(SUMIFS('BM MORRO DA CRUZ - VERTICAL'!AD$6:AD$546,'BM MORRO DA CRUZ - VERTICAL'!$O$6:$O$546,'BM MORRO DA CRUZ'!$K173),0)</f>
        <v>0</v>
      </c>
      <c r="AA173" s="63">
        <f t="shared" si="120"/>
        <v>0</v>
      </c>
      <c r="AB173" s="61">
        <f>IFERROR(SUMIFS('BM MORRO DA CRUZ - VERTICAL'!AF$6:AF$546,'BM MORRO DA CRUZ - VERTICAL'!$O$6:$O$546,'BM MORRO DA CRUZ'!$K173),0)</f>
        <v>0</v>
      </c>
      <c r="AC173" s="63">
        <f t="shared" si="121"/>
        <v>0</v>
      </c>
      <c r="AD173" s="61">
        <f>IFERROR(SUMIFS('BM MORRO DA CRUZ - VERTICAL'!AH$6:AH$546,'BM MORRO DA CRUZ - VERTICAL'!$O$6:$O$546,'BM MORRO DA CRUZ'!$K173),0)</f>
        <v>0</v>
      </c>
      <c r="AE173" s="63">
        <f t="shared" si="122"/>
        <v>0</v>
      </c>
      <c r="AF173" s="61">
        <f>IFERROR(SUMIFS('BM MORRO DA CRUZ - VERTICAL'!AJ$6:AJ$546,'BM MORRO DA CRUZ - VERTICAL'!$O$6:$O$546,'BM MORRO DA CRUZ'!$K173),0)</f>
        <v>0</v>
      </c>
      <c r="AG173" s="63">
        <f t="shared" si="123"/>
        <v>0</v>
      </c>
      <c r="AH173" s="61">
        <f>IFERROR(SUMIFS('BM MORRO DA CRUZ - VERTICAL'!AL$6:AL$546,'BM MORRO DA CRUZ - VERTICAL'!$O$6:$O$546,'BM MORRO DA CRUZ'!$K173),0)</f>
        <v>0</v>
      </c>
      <c r="AI173" s="63">
        <f t="shared" si="124"/>
        <v>0</v>
      </c>
      <c r="AJ173" s="61">
        <f>IFERROR(SUMIFS('BM MORRO DA CRUZ - VERTICAL'!AN$6:AN$546,'BM MORRO DA CRUZ - VERTICAL'!$O$6:$O$546,'BM MORRO DA CRUZ'!$K173),0)</f>
        <v>0</v>
      </c>
      <c r="AK173" s="63">
        <f t="shared" si="125"/>
        <v>0</v>
      </c>
      <c r="AL173" s="61">
        <f>IFERROR(SUMIFS('BM MORRO DA CRUZ - VERTICAL'!AP$6:AP$546,'BM MORRO DA CRUZ - VERTICAL'!$O$6:$O$546,'BM MORRO DA CRUZ'!$K173),0)</f>
        <v>0</v>
      </c>
      <c r="AM173" s="63">
        <f t="shared" si="126"/>
        <v>0</v>
      </c>
      <c r="AN173" s="61">
        <f>IFERROR(SUMIFS('BM MORRO DA CRUZ - VERTICAL'!AR$6:AR$546,'BM MORRO DA CRUZ - VERTICAL'!$O$6:$O$546,'BM MORRO DA CRUZ'!$K173),0)</f>
        <v>0</v>
      </c>
      <c r="AO173" s="63">
        <f t="shared" si="127"/>
        <v>0</v>
      </c>
      <c r="AP173" s="61">
        <f>IFERROR(SUMIFS('BM MORRO DA CRUZ - VERTICAL'!AT$6:AT$546,'BM MORRO DA CRUZ - VERTICAL'!$O$6:$O$546,'BM MORRO DA CRUZ'!$K173),0)</f>
        <v>0</v>
      </c>
      <c r="AQ173" s="63">
        <f t="shared" si="128"/>
        <v>0</v>
      </c>
      <c r="AR173" s="61">
        <f>IFERROR(SUMIFS('BM MORRO DA CRUZ - VERTICAL'!AV$6:AV$546,'BM MORRO DA CRUZ - VERTICAL'!$O$6:$O$546,'BM MORRO DA CRUZ'!$K173),0)</f>
        <v>0</v>
      </c>
      <c r="AS173" s="63">
        <f t="shared" si="129"/>
        <v>0</v>
      </c>
      <c r="AT173" s="61">
        <f>IFERROR(SUMIFS('BM MORRO DA CRUZ - VERTICAL'!AX$6:AX$546,'BM MORRO DA CRUZ - VERTICAL'!$O$6:$O$546,'BM MORRO DA CRUZ'!$K173),0)</f>
        <v>0</v>
      </c>
      <c r="AU173" s="63">
        <f t="shared" si="130"/>
        <v>0</v>
      </c>
      <c r="AV173" s="61">
        <f>IFERROR(SUMIFS('BM MORRO DA CRUZ - VERTICAL'!AZ$6:AZ$546,'BM MORRO DA CRUZ - VERTICAL'!$O$6:$O$546,'BM MORRO DA CRUZ'!$K173),0)</f>
        <v>0</v>
      </c>
      <c r="AW173" s="63">
        <f t="shared" si="131"/>
        <v>0</v>
      </c>
      <c r="AX173" s="61">
        <f>IFERROR(SUMIFS('BM MORRO DA CRUZ - VERTICAL'!BB$6:BB$546,'BM MORRO DA CRUZ - VERTICAL'!$O$6:$O$546,'BM MORRO DA CRUZ'!$K173),0)</f>
        <v>0</v>
      </c>
      <c r="AY173" s="63">
        <f t="shared" si="132"/>
        <v>0</v>
      </c>
      <c r="AZ173" s="61">
        <f>IFERROR(SUMIFS('BM MORRO DA CRUZ - VERTICAL'!BD$6:BD$546,'BM MORRO DA CRUZ - VERTICAL'!$O$6:$O$546,'BM MORRO DA CRUZ'!$K173),0)</f>
        <v>0</v>
      </c>
      <c r="BA173" s="63">
        <f t="shared" si="133"/>
        <v>0</v>
      </c>
      <c r="BB173" s="61">
        <f t="shared" si="134"/>
        <v>0</v>
      </c>
      <c r="BC173" s="63">
        <f t="shared" si="135"/>
        <v>0</v>
      </c>
      <c r="BD173" s="64">
        <f t="shared" si="136"/>
        <v>0</v>
      </c>
      <c r="BE173" s="65">
        <f t="shared" si="137"/>
        <v>1</v>
      </c>
      <c r="BF173" s="45"/>
    </row>
    <row r="174" spans="1:58" ht="26.25" customHeight="1" x14ac:dyDescent="0.45">
      <c r="A174" s="56" t="s">
        <v>690</v>
      </c>
      <c r="B174" s="506" t="s">
        <v>678</v>
      </c>
      <c r="C174" s="507" t="s">
        <v>576</v>
      </c>
      <c r="D174" s="507" t="s">
        <v>39</v>
      </c>
      <c r="E174" s="507" t="s">
        <v>668</v>
      </c>
      <c r="F174" s="507" t="s">
        <v>39</v>
      </c>
      <c r="G174" s="507">
        <v>80</v>
      </c>
      <c r="H174" s="508" t="s">
        <v>125</v>
      </c>
      <c r="I174" s="507" t="s">
        <v>114</v>
      </c>
      <c r="J174" s="508" t="s">
        <v>115</v>
      </c>
      <c r="K174" s="57" t="s">
        <v>691</v>
      </c>
      <c r="L174" s="58" t="s">
        <v>21</v>
      </c>
      <c r="M174" s="59" t="s">
        <v>692</v>
      </c>
      <c r="N174" s="60" t="s">
        <v>71</v>
      </c>
      <c r="O174" s="61">
        <v>26</v>
      </c>
      <c r="P174" s="62">
        <v>1301.46</v>
      </c>
      <c r="Q174" s="63">
        <f t="shared" si="115"/>
        <v>33837.96</v>
      </c>
      <c r="R174" s="61">
        <f>IFERROR(SUMIFS('BM MORRO DA CRUZ - VERTICAL'!V$6:V$546,'BM MORRO DA CRUZ - VERTICAL'!$O$6:$O$546,'BM MORRO DA CRUZ'!$K174),0)</f>
        <v>0</v>
      </c>
      <c r="S174" s="63">
        <f t="shared" si="116"/>
        <v>0</v>
      </c>
      <c r="T174" s="61">
        <f>IFERROR(SUMIFS('BM MORRO DA CRUZ - VERTICAL'!X$6:X$546,'BM MORRO DA CRUZ - VERTICAL'!$O$6:$O$546,'BM MORRO DA CRUZ'!$K174),0)</f>
        <v>0</v>
      </c>
      <c r="U174" s="63">
        <f t="shared" si="117"/>
        <v>0</v>
      </c>
      <c r="V174" s="61">
        <f>IFERROR(SUMIFS('BM MORRO DA CRUZ - VERTICAL'!Z$6:Z$546,'BM MORRO DA CRUZ - VERTICAL'!$O$6:$O$546,'BM MORRO DA CRUZ'!$K174),0)</f>
        <v>0</v>
      </c>
      <c r="W174" s="63">
        <f t="shared" si="118"/>
        <v>0</v>
      </c>
      <c r="X174" s="61">
        <f>IFERROR(SUMIFS('BM MORRO DA CRUZ - VERTICAL'!AB$6:AB$546,'BM MORRO DA CRUZ - VERTICAL'!$O$6:$O$546,'BM MORRO DA CRUZ'!$K174),0)</f>
        <v>0</v>
      </c>
      <c r="Y174" s="63">
        <f t="shared" si="119"/>
        <v>0</v>
      </c>
      <c r="Z174" s="61">
        <f>IFERROR(SUMIFS('BM MORRO DA CRUZ - VERTICAL'!AD$6:AD$546,'BM MORRO DA CRUZ - VERTICAL'!$O$6:$O$546,'BM MORRO DA CRUZ'!$K174),0)</f>
        <v>0</v>
      </c>
      <c r="AA174" s="63">
        <f t="shared" si="120"/>
        <v>0</v>
      </c>
      <c r="AB174" s="61">
        <f>IFERROR(SUMIFS('BM MORRO DA CRUZ - VERTICAL'!AF$6:AF$546,'BM MORRO DA CRUZ - VERTICAL'!$O$6:$O$546,'BM MORRO DA CRUZ'!$K174),0)</f>
        <v>0</v>
      </c>
      <c r="AC174" s="63">
        <f t="shared" si="121"/>
        <v>0</v>
      </c>
      <c r="AD174" s="61">
        <f>IFERROR(SUMIFS('BM MORRO DA CRUZ - VERTICAL'!AH$6:AH$546,'BM MORRO DA CRUZ - VERTICAL'!$O$6:$O$546,'BM MORRO DA CRUZ'!$K174),0)</f>
        <v>0</v>
      </c>
      <c r="AE174" s="63">
        <f t="shared" si="122"/>
        <v>0</v>
      </c>
      <c r="AF174" s="61">
        <f>IFERROR(SUMIFS('BM MORRO DA CRUZ - VERTICAL'!AJ$6:AJ$546,'BM MORRO DA CRUZ - VERTICAL'!$O$6:$O$546,'BM MORRO DA CRUZ'!$K174),0)</f>
        <v>0</v>
      </c>
      <c r="AG174" s="63">
        <f t="shared" si="123"/>
        <v>0</v>
      </c>
      <c r="AH174" s="61">
        <f>IFERROR(SUMIFS('BM MORRO DA CRUZ - VERTICAL'!AL$6:AL$546,'BM MORRO DA CRUZ - VERTICAL'!$O$6:$O$546,'BM MORRO DA CRUZ'!$K174),0)</f>
        <v>0</v>
      </c>
      <c r="AI174" s="63">
        <f t="shared" si="124"/>
        <v>0</v>
      </c>
      <c r="AJ174" s="61">
        <f>IFERROR(SUMIFS('BM MORRO DA CRUZ - VERTICAL'!AN$6:AN$546,'BM MORRO DA CRUZ - VERTICAL'!$O$6:$O$546,'BM MORRO DA CRUZ'!$K174),0)</f>
        <v>0</v>
      </c>
      <c r="AK174" s="63">
        <f t="shared" si="125"/>
        <v>0</v>
      </c>
      <c r="AL174" s="61">
        <f>IFERROR(SUMIFS('BM MORRO DA CRUZ - VERTICAL'!AP$6:AP$546,'BM MORRO DA CRUZ - VERTICAL'!$O$6:$O$546,'BM MORRO DA CRUZ'!$K174),0)</f>
        <v>0</v>
      </c>
      <c r="AM174" s="63">
        <f t="shared" si="126"/>
        <v>0</v>
      </c>
      <c r="AN174" s="61">
        <f>IFERROR(SUMIFS('BM MORRO DA CRUZ - VERTICAL'!AR$6:AR$546,'BM MORRO DA CRUZ - VERTICAL'!$O$6:$O$546,'BM MORRO DA CRUZ'!$K174),0)</f>
        <v>0</v>
      </c>
      <c r="AO174" s="63">
        <f t="shared" si="127"/>
        <v>0</v>
      </c>
      <c r="AP174" s="61">
        <f>IFERROR(SUMIFS('BM MORRO DA CRUZ - VERTICAL'!AT$6:AT$546,'BM MORRO DA CRUZ - VERTICAL'!$O$6:$O$546,'BM MORRO DA CRUZ'!$K174),0)</f>
        <v>0</v>
      </c>
      <c r="AQ174" s="63">
        <f t="shared" si="128"/>
        <v>0</v>
      </c>
      <c r="AR174" s="61">
        <f>IFERROR(SUMIFS('BM MORRO DA CRUZ - VERTICAL'!AV$6:AV$546,'BM MORRO DA CRUZ - VERTICAL'!$O$6:$O$546,'BM MORRO DA CRUZ'!$K174),0)</f>
        <v>0</v>
      </c>
      <c r="AS174" s="63">
        <f t="shared" si="129"/>
        <v>0</v>
      </c>
      <c r="AT174" s="61">
        <f>IFERROR(SUMIFS('BM MORRO DA CRUZ - VERTICAL'!AX$6:AX$546,'BM MORRO DA CRUZ - VERTICAL'!$O$6:$O$546,'BM MORRO DA CRUZ'!$K174),0)</f>
        <v>0</v>
      </c>
      <c r="AU174" s="63">
        <f t="shared" si="130"/>
        <v>0</v>
      </c>
      <c r="AV174" s="61">
        <f>IFERROR(SUMIFS('BM MORRO DA CRUZ - VERTICAL'!AZ$6:AZ$546,'BM MORRO DA CRUZ - VERTICAL'!$O$6:$O$546,'BM MORRO DA CRUZ'!$K174),0)</f>
        <v>0</v>
      </c>
      <c r="AW174" s="63">
        <f t="shared" si="131"/>
        <v>0</v>
      </c>
      <c r="AX174" s="61">
        <f>IFERROR(SUMIFS('BM MORRO DA CRUZ - VERTICAL'!BB$6:BB$546,'BM MORRO DA CRUZ - VERTICAL'!$O$6:$O$546,'BM MORRO DA CRUZ'!$K174),0)</f>
        <v>0</v>
      </c>
      <c r="AY174" s="63">
        <f t="shared" si="132"/>
        <v>0</v>
      </c>
      <c r="AZ174" s="61">
        <f>IFERROR(SUMIFS('BM MORRO DA CRUZ - VERTICAL'!BD$6:BD$546,'BM MORRO DA CRUZ - VERTICAL'!$O$6:$O$546,'BM MORRO DA CRUZ'!$K174),0)</f>
        <v>0</v>
      </c>
      <c r="BA174" s="63">
        <f t="shared" si="133"/>
        <v>0</v>
      </c>
      <c r="BB174" s="61">
        <f t="shared" si="134"/>
        <v>0</v>
      </c>
      <c r="BC174" s="63">
        <f t="shared" si="135"/>
        <v>0</v>
      </c>
      <c r="BD174" s="64">
        <f t="shared" si="136"/>
        <v>0</v>
      </c>
      <c r="BE174" s="65">
        <f t="shared" si="137"/>
        <v>1</v>
      </c>
      <c r="BF174" s="45"/>
    </row>
    <row r="175" spans="1:58" ht="38.25" customHeight="1" x14ac:dyDescent="0.45">
      <c r="A175" s="56" t="s">
        <v>693</v>
      </c>
      <c r="B175" s="506" t="s">
        <v>678</v>
      </c>
      <c r="C175" s="507" t="s">
        <v>111</v>
      </c>
      <c r="D175" s="507" t="s">
        <v>39</v>
      </c>
      <c r="E175" s="507" t="s">
        <v>668</v>
      </c>
      <c r="F175" s="507" t="s">
        <v>39</v>
      </c>
      <c r="G175" s="507">
        <v>200</v>
      </c>
      <c r="H175" s="508" t="s">
        <v>125</v>
      </c>
      <c r="I175" s="507" t="s">
        <v>114</v>
      </c>
      <c r="J175" s="508" t="s">
        <v>115</v>
      </c>
      <c r="K175" s="57" t="s">
        <v>694</v>
      </c>
      <c r="L175" s="58" t="s">
        <v>21</v>
      </c>
      <c r="M175" s="59" t="s">
        <v>695</v>
      </c>
      <c r="N175" s="60" t="s">
        <v>71</v>
      </c>
      <c r="O175" s="61">
        <v>10</v>
      </c>
      <c r="P175" s="62">
        <v>2127.42</v>
      </c>
      <c r="Q175" s="63">
        <f t="shared" si="115"/>
        <v>21274.2</v>
      </c>
      <c r="R175" s="61">
        <f>IFERROR(SUMIFS('BM MORRO DA CRUZ - VERTICAL'!V$6:V$546,'BM MORRO DA CRUZ - VERTICAL'!$O$6:$O$546,'BM MORRO DA CRUZ'!$K175),0)</f>
        <v>0</v>
      </c>
      <c r="S175" s="63">
        <f t="shared" si="116"/>
        <v>0</v>
      </c>
      <c r="T175" s="61">
        <f>IFERROR(SUMIFS('BM MORRO DA CRUZ - VERTICAL'!X$6:X$546,'BM MORRO DA CRUZ - VERTICAL'!$O$6:$O$546,'BM MORRO DA CRUZ'!$K175),0)</f>
        <v>0</v>
      </c>
      <c r="U175" s="63">
        <f t="shared" si="117"/>
        <v>0</v>
      </c>
      <c r="V175" s="61">
        <f>IFERROR(SUMIFS('BM MORRO DA CRUZ - VERTICAL'!Z$6:Z$546,'BM MORRO DA CRUZ - VERTICAL'!$O$6:$O$546,'BM MORRO DA CRUZ'!$K175),0)</f>
        <v>0</v>
      </c>
      <c r="W175" s="63">
        <f t="shared" si="118"/>
        <v>0</v>
      </c>
      <c r="X175" s="61">
        <f>IFERROR(SUMIFS('BM MORRO DA CRUZ - VERTICAL'!AB$6:AB$546,'BM MORRO DA CRUZ - VERTICAL'!$O$6:$O$546,'BM MORRO DA CRUZ'!$K175),0)</f>
        <v>0</v>
      </c>
      <c r="Y175" s="63">
        <f t="shared" si="119"/>
        <v>0</v>
      </c>
      <c r="Z175" s="61">
        <f>IFERROR(SUMIFS('BM MORRO DA CRUZ - VERTICAL'!AD$6:AD$546,'BM MORRO DA CRUZ - VERTICAL'!$O$6:$O$546,'BM MORRO DA CRUZ'!$K175),0)</f>
        <v>0</v>
      </c>
      <c r="AA175" s="63">
        <f t="shared" si="120"/>
        <v>0</v>
      </c>
      <c r="AB175" s="61">
        <f>IFERROR(SUMIFS('BM MORRO DA CRUZ - VERTICAL'!AF$6:AF$546,'BM MORRO DA CRUZ - VERTICAL'!$O$6:$O$546,'BM MORRO DA CRUZ'!$K175),0)</f>
        <v>0</v>
      </c>
      <c r="AC175" s="63">
        <f t="shared" si="121"/>
        <v>0</v>
      </c>
      <c r="AD175" s="61">
        <f>IFERROR(SUMIFS('BM MORRO DA CRUZ - VERTICAL'!AH$6:AH$546,'BM MORRO DA CRUZ - VERTICAL'!$O$6:$O$546,'BM MORRO DA CRUZ'!$K175),0)</f>
        <v>0</v>
      </c>
      <c r="AE175" s="63">
        <f t="shared" si="122"/>
        <v>0</v>
      </c>
      <c r="AF175" s="61">
        <f>IFERROR(SUMIFS('BM MORRO DA CRUZ - VERTICAL'!AJ$6:AJ$546,'BM MORRO DA CRUZ - VERTICAL'!$O$6:$O$546,'BM MORRO DA CRUZ'!$K175),0)</f>
        <v>0</v>
      </c>
      <c r="AG175" s="63">
        <f t="shared" si="123"/>
        <v>0</v>
      </c>
      <c r="AH175" s="61">
        <f>IFERROR(SUMIFS('BM MORRO DA CRUZ - VERTICAL'!AL$6:AL$546,'BM MORRO DA CRUZ - VERTICAL'!$O$6:$O$546,'BM MORRO DA CRUZ'!$K175),0)</f>
        <v>0</v>
      </c>
      <c r="AI175" s="63">
        <f t="shared" si="124"/>
        <v>0</v>
      </c>
      <c r="AJ175" s="61">
        <f>IFERROR(SUMIFS('BM MORRO DA CRUZ - VERTICAL'!AN$6:AN$546,'BM MORRO DA CRUZ - VERTICAL'!$O$6:$O$546,'BM MORRO DA CRUZ'!$K175),0)</f>
        <v>0</v>
      </c>
      <c r="AK175" s="63">
        <f t="shared" si="125"/>
        <v>0</v>
      </c>
      <c r="AL175" s="61">
        <f>IFERROR(SUMIFS('BM MORRO DA CRUZ - VERTICAL'!AP$6:AP$546,'BM MORRO DA CRUZ - VERTICAL'!$O$6:$O$546,'BM MORRO DA CRUZ'!$K175),0)</f>
        <v>0</v>
      </c>
      <c r="AM175" s="63">
        <f t="shared" si="126"/>
        <v>0</v>
      </c>
      <c r="AN175" s="61">
        <f>IFERROR(SUMIFS('BM MORRO DA CRUZ - VERTICAL'!AR$6:AR$546,'BM MORRO DA CRUZ - VERTICAL'!$O$6:$O$546,'BM MORRO DA CRUZ'!$K175),0)</f>
        <v>0</v>
      </c>
      <c r="AO175" s="63">
        <f t="shared" si="127"/>
        <v>0</v>
      </c>
      <c r="AP175" s="61">
        <f>IFERROR(SUMIFS('BM MORRO DA CRUZ - VERTICAL'!AT$6:AT$546,'BM MORRO DA CRUZ - VERTICAL'!$O$6:$O$546,'BM MORRO DA CRUZ'!$K175),0)</f>
        <v>0</v>
      </c>
      <c r="AQ175" s="63">
        <f t="shared" si="128"/>
        <v>0</v>
      </c>
      <c r="AR175" s="61">
        <f>IFERROR(SUMIFS('BM MORRO DA CRUZ - VERTICAL'!AV$6:AV$546,'BM MORRO DA CRUZ - VERTICAL'!$O$6:$O$546,'BM MORRO DA CRUZ'!$K175),0)</f>
        <v>0</v>
      </c>
      <c r="AS175" s="63">
        <f t="shared" si="129"/>
        <v>0</v>
      </c>
      <c r="AT175" s="61">
        <f>IFERROR(SUMIFS('BM MORRO DA CRUZ - VERTICAL'!AX$6:AX$546,'BM MORRO DA CRUZ - VERTICAL'!$O$6:$O$546,'BM MORRO DA CRUZ'!$K175),0)</f>
        <v>0</v>
      </c>
      <c r="AU175" s="63">
        <f t="shared" si="130"/>
        <v>0</v>
      </c>
      <c r="AV175" s="61">
        <f>IFERROR(SUMIFS('BM MORRO DA CRUZ - VERTICAL'!AZ$6:AZ$546,'BM MORRO DA CRUZ - VERTICAL'!$O$6:$O$546,'BM MORRO DA CRUZ'!$K175),0)</f>
        <v>0</v>
      </c>
      <c r="AW175" s="63">
        <f t="shared" si="131"/>
        <v>0</v>
      </c>
      <c r="AX175" s="61">
        <f>IFERROR(SUMIFS('BM MORRO DA CRUZ - VERTICAL'!BB$6:BB$546,'BM MORRO DA CRUZ - VERTICAL'!$O$6:$O$546,'BM MORRO DA CRUZ'!$K175),0)</f>
        <v>0</v>
      </c>
      <c r="AY175" s="63">
        <f t="shared" si="132"/>
        <v>0</v>
      </c>
      <c r="AZ175" s="61">
        <f>IFERROR(SUMIFS('BM MORRO DA CRUZ - VERTICAL'!BD$6:BD$546,'BM MORRO DA CRUZ - VERTICAL'!$O$6:$O$546,'BM MORRO DA CRUZ'!$K175),0)</f>
        <v>0</v>
      </c>
      <c r="BA175" s="63">
        <f t="shared" si="133"/>
        <v>0</v>
      </c>
      <c r="BB175" s="61">
        <f t="shared" si="134"/>
        <v>0</v>
      </c>
      <c r="BC175" s="63">
        <f t="shared" si="135"/>
        <v>0</v>
      </c>
      <c r="BD175" s="64">
        <f t="shared" si="136"/>
        <v>0</v>
      </c>
      <c r="BE175" s="65">
        <f t="shared" si="137"/>
        <v>1</v>
      </c>
      <c r="BF175" s="45"/>
    </row>
    <row r="176" spans="1:58" ht="26.25" customHeight="1" x14ac:dyDescent="0.45">
      <c r="A176" s="56" t="s">
        <v>696</v>
      </c>
      <c r="B176" s="506" t="s">
        <v>697</v>
      </c>
      <c r="C176" s="507" t="s">
        <v>111</v>
      </c>
      <c r="D176" s="507" t="s">
        <v>39</v>
      </c>
      <c r="E176" s="507" t="s">
        <v>540</v>
      </c>
      <c r="F176" s="507" t="s">
        <v>39</v>
      </c>
      <c r="G176" s="507">
        <v>200</v>
      </c>
      <c r="H176" s="508" t="s">
        <v>125</v>
      </c>
      <c r="I176" s="507" t="s">
        <v>114</v>
      </c>
      <c r="J176" s="508" t="s">
        <v>115</v>
      </c>
      <c r="K176" s="57" t="s">
        <v>698</v>
      </c>
      <c r="L176" s="58" t="s">
        <v>21</v>
      </c>
      <c r="M176" s="59" t="s">
        <v>699</v>
      </c>
      <c r="N176" s="60" t="s">
        <v>71</v>
      </c>
      <c r="O176" s="61">
        <v>6</v>
      </c>
      <c r="P176" s="62">
        <v>1249.8599999999999</v>
      </c>
      <c r="Q176" s="63">
        <f t="shared" si="115"/>
        <v>7499.16</v>
      </c>
      <c r="R176" s="61">
        <f>IFERROR(SUMIFS('BM MORRO DA CRUZ - VERTICAL'!V$6:V$546,'BM MORRO DA CRUZ - VERTICAL'!$O$6:$O$546,'BM MORRO DA CRUZ'!$K176),0)</f>
        <v>0</v>
      </c>
      <c r="S176" s="63">
        <f t="shared" si="116"/>
        <v>0</v>
      </c>
      <c r="T176" s="61">
        <f>IFERROR(SUMIFS('BM MORRO DA CRUZ - VERTICAL'!X$6:X$546,'BM MORRO DA CRUZ - VERTICAL'!$O$6:$O$546,'BM MORRO DA CRUZ'!$K176),0)</f>
        <v>0</v>
      </c>
      <c r="U176" s="63">
        <f t="shared" si="117"/>
        <v>0</v>
      </c>
      <c r="V176" s="61">
        <f>IFERROR(SUMIFS('BM MORRO DA CRUZ - VERTICAL'!Z$6:Z$546,'BM MORRO DA CRUZ - VERTICAL'!$O$6:$O$546,'BM MORRO DA CRUZ'!$K176),0)</f>
        <v>0</v>
      </c>
      <c r="W176" s="63">
        <f t="shared" si="118"/>
        <v>0</v>
      </c>
      <c r="X176" s="61">
        <f>IFERROR(SUMIFS('BM MORRO DA CRUZ - VERTICAL'!AB$6:AB$546,'BM MORRO DA CRUZ - VERTICAL'!$O$6:$O$546,'BM MORRO DA CRUZ'!$K176),0)</f>
        <v>0</v>
      </c>
      <c r="Y176" s="63">
        <f t="shared" si="119"/>
        <v>0</v>
      </c>
      <c r="Z176" s="61">
        <f>IFERROR(SUMIFS('BM MORRO DA CRUZ - VERTICAL'!AD$6:AD$546,'BM MORRO DA CRUZ - VERTICAL'!$O$6:$O$546,'BM MORRO DA CRUZ'!$K176),0)</f>
        <v>0</v>
      </c>
      <c r="AA176" s="63">
        <f t="shared" si="120"/>
        <v>0</v>
      </c>
      <c r="AB176" s="61">
        <f>IFERROR(SUMIFS('BM MORRO DA CRUZ - VERTICAL'!AF$6:AF$546,'BM MORRO DA CRUZ - VERTICAL'!$O$6:$O$546,'BM MORRO DA CRUZ'!$K176),0)</f>
        <v>0</v>
      </c>
      <c r="AC176" s="63">
        <f t="shared" si="121"/>
        <v>0</v>
      </c>
      <c r="AD176" s="61">
        <f>IFERROR(SUMIFS('BM MORRO DA CRUZ - VERTICAL'!AH$6:AH$546,'BM MORRO DA CRUZ - VERTICAL'!$O$6:$O$546,'BM MORRO DA CRUZ'!$K176),0)</f>
        <v>0</v>
      </c>
      <c r="AE176" s="63">
        <f t="shared" si="122"/>
        <v>0</v>
      </c>
      <c r="AF176" s="61">
        <f>IFERROR(SUMIFS('BM MORRO DA CRUZ - VERTICAL'!AJ$6:AJ$546,'BM MORRO DA CRUZ - VERTICAL'!$O$6:$O$546,'BM MORRO DA CRUZ'!$K176),0)</f>
        <v>0</v>
      </c>
      <c r="AG176" s="63">
        <f t="shared" si="123"/>
        <v>0</v>
      </c>
      <c r="AH176" s="61">
        <f>IFERROR(SUMIFS('BM MORRO DA CRUZ - VERTICAL'!AL$6:AL$546,'BM MORRO DA CRUZ - VERTICAL'!$O$6:$O$546,'BM MORRO DA CRUZ'!$K176),0)</f>
        <v>0</v>
      </c>
      <c r="AI176" s="63">
        <f t="shared" si="124"/>
        <v>0</v>
      </c>
      <c r="AJ176" s="61">
        <f>IFERROR(SUMIFS('BM MORRO DA CRUZ - VERTICAL'!AN$6:AN$546,'BM MORRO DA CRUZ - VERTICAL'!$O$6:$O$546,'BM MORRO DA CRUZ'!$K176),0)</f>
        <v>0</v>
      </c>
      <c r="AK176" s="63">
        <f t="shared" si="125"/>
        <v>0</v>
      </c>
      <c r="AL176" s="61">
        <f>IFERROR(SUMIFS('BM MORRO DA CRUZ - VERTICAL'!AP$6:AP$546,'BM MORRO DA CRUZ - VERTICAL'!$O$6:$O$546,'BM MORRO DA CRUZ'!$K176),0)</f>
        <v>0</v>
      </c>
      <c r="AM176" s="63">
        <f t="shared" si="126"/>
        <v>0</v>
      </c>
      <c r="AN176" s="61">
        <f>IFERROR(SUMIFS('BM MORRO DA CRUZ - VERTICAL'!AR$6:AR$546,'BM MORRO DA CRUZ - VERTICAL'!$O$6:$O$546,'BM MORRO DA CRUZ'!$K176),0)</f>
        <v>0</v>
      </c>
      <c r="AO176" s="63">
        <f t="shared" si="127"/>
        <v>0</v>
      </c>
      <c r="AP176" s="61">
        <f>IFERROR(SUMIFS('BM MORRO DA CRUZ - VERTICAL'!AT$6:AT$546,'BM MORRO DA CRUZ - VERTICAL'!$O$6:$O$546,'BM MORRO DA CRUZ'!$K176),0)</f>
        <v>0</v>
      </c>
      <c r="AQ176" s="63">
        <f t="shared" si="128"/>
        <v>0</v>
      </c>
      <c r="AR176" s="61">
        <f>IFERROR(SUMIFS('BM MORRO DA CRUZ - VERTICAL'!AV$6:AV$546,'BM MORRO DA CRUZ - VERTICAL'!$O$6:$O$546,'BM MORRO DA CRUZ'!$K176),0)</f>
        <v>0</v>
      </c>
      <c r="AS176" s="63">
        <f t="shared" si="129"/>
        <v>0</v>
      </c>
      <c r="AT176" s="61">
        <f>IFERROR(SUMIFS('BM MORRO DA CRUZ - VERTICAL'!AX$6:AX$546,'BM MORRO DA CRUZ - VERTICAL'!$O$6:$O$546,'BM MORRO DA CRUZ'!$K176),0)</f>
        <v>0</v>
      </c>
      <c r="AU176" s="63">
        <f t="shared" si="130"/>
        <v>0</v>
      </c>
      <c r="AV176" s="61">
        <f>IFERROR(SUMIFS('BM MORRO DA CRUZ - VERTICAL'!AZ$6:AZ$546,'BM MORRO DA CRUZ - VERTICAL'!$O$6:$O$546,'BM MORRO DA CRUZ'!$K176),0)</f>
        <v>0</v>
      </c>
      <c r="AW176" s="63">
        <f t="shared" si="131"/>
        <v>0</v>
      </c>
      <c r="AX176" s="61">
        <f>IFERROR(SUMIFS('BM MORRO DA CRUZ - VERTICAL'!BB$6:BB$546,'BM MORRO DA CRUZ - VERTICAL'!$O$6:$O$546,'BM MORRO DA CRUZ'!$K176),0)</f>
        <v>0</v>
      </c>
      <c r="AY176" s="63">
        <f t="shared" si="132"/>
        <v>0</v>
      </c>
      <c r="AZ176" s="61">
        <f>IFERROR(SUMIFS('BM MORRO DA CRUZ - VERTICAL'!BD$6:BD$546,'BM MORRO DA CRUZ - VERTICAL'!$O$6:$O$546,'BM MORRO DA CRUZ'!$K176),0)</f>
        <v>0</v>
      </c>
      <c r="BA176" s="63">
        <f t="shared" si="133"/>
        <v>0</v>
      </c>
      <c r="BB176" s="61">
        <f t="shared" si="134"/>
        <v>0</v>
      </c>
      <c r="BC176" s="63">
        <f t="shared" si="135"/>
        <v>0</v>
      </c>
      <c r="BD176" s="64">
        <f t="shared" si="136"/>
        <v>0</v>
      </c>
      <c r="BE176" s="65">
        <f t="shared" si="137"/>
        <v>1</v>
      </c>
      <c r="BF176" s="45"/>
    </row>
    <row r="177" spans="1:58" ht="26.25" customHeight="1" x14ac:dyDescent="0.45">
      <c r="A177" s="56" t="s">
        <v>700</v>
      </c>
      <c r="B177" s="506" t="s">
        <v>697</v>
      </c>
      <c r="C177" s="507" t="s">
        <v>111</v>
      </c>
      <c r="D177" s="507" t="s">
        <v>39</v>
      </c>
      <c r="E177" s="507" t="s">
        <v>540</v>
      </c>
      <c r="F177" s="507" t="s">
        <v>39</v>
      </c>
      <c r="G177" s="507">
        <v>300</v>
      </c>
      <c r="H177" s="508" t="s">
        <v>125</v>
      </c>
      <c r="I177" s="507" t="s">
        <v>114</v>
      </c>
      <c r="J177" s="508" t="s">
        <v>115</v>
      </c>
      <c r="K177" s="57" t="s">
        <v>701</v>
      </c>
      <c r="L177" s="58" t="s">
        <v>21</v>
      </c>
      <c r="M177" s="59" t="s">
        <v>702</v>
      </c>
      <c r="N177" s="60" t="s">
        <v>71</v>
      </c>
      <c r="O177" s="61">
        <v>2</v>
      </c>
      <c r="P177" s="62">
        <v>2037.69</v>
      </c>
      <c r="Q177" s="63">
        <f t="shared" si="115"/>
        <v>4075.38</v>
      </c>
      <c r="R177" s="61">
        <f>IFERROR(SUMIFS('BM MORRO DA CRUZ - VERTICAL'!V$6:V$546,'BM MORRO DA CRUZ - VERTICAL'!$O$6:$O$546,'BM MORRO DA CRUZ'!$K177),0)</f>
        <v>0</v>
      </c>
      <c r="S177" s="63">
        <f t="shared" si="116"/>
        <v>0</v>
      </c>
      <c r="T177" s="61">
        <f>IFERROR(SUMIFS('BM MORRO DA CRUZ - VERTICAL'!X$6:X$546,'BM MORRO DA CRUZ - VERTICAL'!$O$6:$O$546,'BM MORRO DA CRUZ'!$K177),0)</f>
        <v>0</v>
      </c>
      <c r="U177" s="63">
        <f t="shared" si="117"/>
        <v>0</v>
      </c>
      <c r="V177" s="61">
        <f>IFERROR(SUMIFS('BM MORRO DA CRUZ - VERTICAL'!Z$6:Z$546,'BM MORRO DA CRUZ - VERTICAL'!$O$6:$O$546,'BM MORRO DA CRUZ'!$K177),0)</f>
        <v>0</v>
      </c>
      <c r="W177" s="63">
        <f t="shared" si="118"/>
        <v>0</v>
      </c>
      <c r="X177" s="61">
        <f>IFERROR(SUMIFS('BM MORRO DA CRUZ - VERTICAL'!AB$6:AB$546,'BM MORRO DA CRUZ - VERTICAL'!$O$6:$O$546,'BM MORRO DA CRUZ'!$K177),0)</f>
        <v>0</v>
      </c>
      <c r="Y177" s="63">
        <f t="shared" si="119"/>
        <v>0</v>
      </c>
      <c r="Z177" s="61">
        <f>IFERROR(SUMIFS('BM MORRO DA CRUZ - VERTICAL'!AD$6:AD$546,'BM MORRO DA CRUZ - VERTICAL'!$O$6:$O$546,'BM MORRO DA CRUZ'!$K177),0)</f>
        <v>0</v>
      </c>
      <c r="AA177" s="63">
        <f t="shared" si="120"/>
        <v>0</v>
      </c>
      <c r="AB177" s="61">
        <f>IFERROR(SUMIFS('BM MORRO DA CRUZ - VERTICAL'!AF$6:AF$546,'BM MORRO DA CRUZ - VERTICAL'!$O$6:$O$546,'BM MORRO DA CRUZ'!$K177),0)</f>
        <v>0</v>
      </c>
      <c r="AC177" s="63">
        <f t="shared" si="121"/>
        <v>0</v>
      </c>
      <c r="AD177" s="61">
        <f>IFERROR(SUMIFS('BM MORRO DA CRUZ - VERTICAL'!AH$6:AH$546,'BM MORRO DA CRUZ - VERTICAL'!$O$6:$O$546,'BM MORRO DA CRUZ'!$K177),0)</f>
        <v>0</v>
      </c>
      <c r="AE177" s="63">
        <f t="shared" si="122"/>
        <v>0</v>
      </c>
      <c r="AF177" s="61">
        <f>IFERROR(SUMIFS('BM MORRO DA CRUZ - VERTICAL'!AJ$6:AJ$546,'BM MORRO DA CRUZ - VERTICAL'!$O$6:$O$546,'BM MORRO DA CRUZ'!$K177),0)</f>
        <v>0</v>
      </c>
      <c r="AG177" s="63">
        <f t="shared" si="123"/>
        <v>0</v>
      </c>
      <c r="AH177" s="61">
        <f>IFERROR(SUMIFS('BM MORRO DA CRUZ - VERTICAL'!AL$6:AL$546,'BM MORRO DA CRUZ - VERTICAL'!$O$6:$O$546,'BM MORRO DA CRUZ'!$K177),0)</f>
        <v>0</v>
      </c>
      <c r="AI177" s="63">
        <f t="shared" si="124"/>
        <v>0</v>
      </c>
      <c r="AJ177" s="61">
        <f>IFERROR(SUMIFS('BM MORRO DA CRUZ - VERTICAL'!AN$6:AN$546,'BM MORRO DA CRUZ - VERTICAL'!$O$6:$O$546,'BM MORRO DA CRUZ'!$K177),0)</f>
        <v>0</v>
      </c>
      <c r="AK177" s="63">
        <f t="shared" si="125"/>
        <v>0</v>
      </c>
      <c r="AL177" s="61">
        <f>IFERROR(SUMIFS('BM MORRO DA CRUZ - VERTICAL'!AP$6:AP$546,'BM MORRO DA CRUZ - VERTICAL'!$O$6:$O$546,'BM MORRO DA CRUZ'!$K177),0)</f>
        <v>0</v>
      </c>
      <c r="AM177" s="63">
        <f t="shared" si="126"/>
        <v>0</v>
      </c>
      <c r="AN177" s="61">
        <f>IFERROR(SUMIFS('BM MORRO DA CRUZ - VERTICAL'!AR$6:AR$546,'BM MORRO DA CRUZ - VERTICAL'!$O$6:$O$546,'BM MORRO DA CRUZ'!$K177),0)</f>
        <v>0</v>
      </c>
      <c r="AO177" s="63">
        <f t="shared" si="127"/>
        <v>0</v>
      </c>
      <c r="AP177" s="61">
        <f>IFERROR(SUMIFS('BM MORRO DA CRUZ - VERTICAL'!AT$6:AT$546,'BM MORRO DA CRUZ - VERTICAL'!$O$6:$O$546,'BM MORRO DA CRUZ'!$K177),0)</f>
        <v>0</v>
      </c>
      <c r="AQ177" s="63">
        <f t="shared" si="128"/>
        <v>0</v>
      </c>
      <c r="AR177" s="61">
        <f>IFERROR(SUMIFS('BM MORRO DA CRUZ - VERTICAL'!AV$6:AV$546,'BM MORRO DA CRUZ - VERTICAL'!$O$6:$O$546,'BM MORRO DA CRUZ'!$K177),0)</f>
        <v>0</v>
      </c>
      <c r="AS177" s="63">
        <f t="shared" si="129"/>
        <v>0</v>
      </c>
      <c r="AT177" s="61">
        <f>IFERROR(SUMIFS('BM MORRO DA CRUZ - VERTICAL'!AX$6:AX$546,'BM MORRO DA CRUZ - VERTICAL'!$O$6:$O$546,'BM MORRO DA CRUZ'!$K177),0)</f>
        <v>0</v>
      </c>
      <c r="AU177" s="63">
        <f t="shared" si="130"/>
        <v>0</v>
      </c>
      <c r="AV177" s="61">
        <f>IFERROR(SUMIFS('BM MORRO DA CRUZ - VERTICAL'!AZ$6:AZ$546,'BM MORRO DA CRUZ - VERTICAL'!$O$6:$O$546,'BM MORRO DA CRUZ'!$K177),0)</f>
        <v>0</v>
      </c>
      <c r="AW177" s="63">
        <f t="shared" si="131"/>
        <v>0</v>
      </c>
      <c r="AX177" s="61">
        <f>IFERROR(SUMIFS('BM MORRO DA CRUZ - VERTICAL'!BB$6:BB$546,'BM MORRO DA CRUZ - VERTICAL'!$O$6:$O$546,'BM MORRO DA CRUZ'!$K177),0)</f>
        <v>0</v>
      </c>
      <c r="AY177" s="63">
        <f t="shared" si="132"/>
        <v>0</v>
      </c>
      <c r="AZ177" s="61">
        <f>IFERROR(SUMIFS('BM MORRO DA CRUZ - VERTICAL'!BD$6:BD$546,'BM MORRO DA CRUZ - VERTICAL'!$O$6:$O$546,'BM MORRO DA CRUZ'!$K177),0)</f>
        <v>0</v>
      </c>
      <c r="BA177" s="63">
        <f t="shared" si="133"/>
        <v>0</v>
      </c>
      <c r="BB177" s="61">
        <f t="shared" si="134"/>
        <v>0</v>
      </c>
      <c r="BC177" s="63">
        <f t="shared" si="135"/>
        <v>0</v>
      </c>
      <c r="BD177" s="64">
        <f t="shared" si="136"/>
        <v>0</v>
      </c>
      <c r="BE177" s="65">
        <f t="shared" si="137"/>
        <v>1</v>
      </c>
      <c r="BF177" s="45"/>
    </row>
    <row r="178" spans="1:58" ht="26.25" customHeight="1" x14ac:dyDescent="0.45">
      <c r="A178" s="56" t="s">
        <v>703</v>
      </c>
      <c r="B178" s="506" t="s">
        <v>697</v>
      </c>
      <c r="C178" s="507" t="s">
        <v>147</v>
      </c>
      <c r="D178" s="507" t="s">
        <v>39</v>
      </c>
      <c r="E178" s="507" t="s">
        <v>540</v>
      </c>
      <c r="F178" s="507" t="s">
        <v>39</v>
      </c>
      <c r="G178" s="507">
        <v>100</v>
      </c>
      <c r="H178" s="508" t="s">
        <v>125</v>
      </c>
      <c r="I178" s="507" t="s">
        <v>114</v>
      </c>
      <c r="J178" s="508" t="s">
        <v>115</v>
      </c>
      <c r="K178" s="57" t="s">
        <v>704</v>
      </c>
      <c r="L178" s="58" t="s">
        <v>21</v>
      </c>
      <c r="M178" s="59" t="s">
        <v>705</v>
      </c>
      <c r="N178" s="60" t="s">
        <v>71</v>
      </c>
      <c r="O178" s="61">
        <v>2</v>
      </c>
      <c r="P178" s="62">
        <v>985.35</v>
      </c>
      <c r="Q178" s="63">
        <f t="shared" si="115"/>
        <v>1970.7</v>
      </c>
      <c r="R178" s="61">
        <f>IFERROR(SUMIFS('BM MORRO DA CRUZ - VERTICAL'!V$6:V$546,'BM MORRO DA CRUZ - VERTICAL'!$O$6:$O$546,'BM MORRO DA CRUZ'!$K178),0)</f>
        <v>0</v>
      </c>
      <c r="S178" s="63">
        <f t="shared" si="116"/>
        <v>0</v>
      </c>
      <c r="T178" s="61">
        <f>IFERROR(SUMIFS('BM MORRO DA CRUZ - VERTICAL'!X$6:X$546,'BM MORRO DA CRUZ - VERTICAL'!$O$6:$O$546,'BM MORRO DA CRUZ'!$K178),0)</f>
        <v>0</v>
      </c>
      <c r="U178" s="63">
        <f t="shared" si="117"/>
        <v>0</v>
      </c>
      <c r="V178" s="61">
        <f>IFERROR(SUMIFS('BM MORRO DA CRUZ - VERTICAL'!Z$6:Z$546,'BM MORRO DA CRUZ - VERTICAL'!$O$6:$O$546,'BM MORRO DA CRUZ'!$K178),0)</f>
        <v>0</v>
      </c>
      <c r="W178" s="63">
        <f t="shared" si="118"/>
        <v>0</v>
      </c>
      <c r="X178" s="61">
        <f>IFERROR(SUMIFS('BM MORRO DA CRUZ - VERTICAL'!AB$6:AB$546,'BM MORRO DA CRUZ - VERTICAL'!$O$6:$O$546,'BM MORRO DA CRUZ'!$K178),0)</f>
        <v>0</v>
      </c>
      <c r="Y178" s="63">
        <f t="shared" si="119"/>
        <v>0</v>
      </c>
      <c r="Z178" s="61">
        <f>IFERROR(SUMIFS('BM MORRO DA CRUZ - VERTICAL'!AD$6:AD$546,'BM MORRO DA CRUZ - VERTICAL'!$O$6:$O$546,'BM MORRO DA CRUZ'!$K178),0)</f>
        <v>0</v>
      </c>
      <c r="AA178" s="63">
        <f t="shared" si="120"/>
        <v>0</v>
      </c>
      <c r="AB178" s="61">
        <f>IFERROR(SUMIFS('BM MORRO DA CRUZ - VERTICAL'!AF$6:AF$546,'BM MORRO DA CRUZ - VERTICAL'!$O$6:$O$546,'BM MORRO DA CRUZ'!$K178),0)</f>
        <v>0</v>
      </c>
      <c r="AC178" s="63">
        <f t="shared" si="121"/>
        <v>0</v>
      </c>
      <c r="AD178" s="61">
        <f>IFERROR(SUMIFS('BM MORRO DA CRUZ - VERTICAL'!AH$6:AH$546,'BM MORRO DA CRUZ - VERTICAL'!$O$6:$O$546,'BM MORRO DA CRUZ'!$K178),0)</f>
        <v>0</v>
      </c>
      <c r="AE178" s="63">
        <f t="shared" si="122"/>
        <v>0</v>
      </c>
      <c r="AF178" s="61">
        <f>IFERROR(SUMIFS('BM MORRO DA CRUZ - VERTICAL'!AJ$6:AJ$546,'BM MORRO DA CRUZ - VERTICAL'!$O$6:$O$546,'BM MORRO DA CRUZ'!$K178),0)</f>
        <v>0</v>
      </c>
      <c r="AG178" s="63">
        <f t="shared" si="123"/>
        <v>0</v>
      </c>
      <c r="AH178" s="61">
        <f>IFERROR(SUMIFS('BM MORRO DA CRUZ - VERTICAL'!AL$6:AL$546,'BM MORRO DA CRUZ - VERTICAL'!$O$6:$O$546,'BM MORRO DA CRUZ'!$K178),0)</f>
        <v>0</v>
      </c>
      <c r="AI178" s="63">
        <f t="shared" si="124"/>
        <v>0</v>
      </c>
      <c r="AJ178" s="61">
        <f>IFERROR(SUMIFS('BM MORRO DA CRUZ - VERTICAL'!AN$6:AN$546,'BM MORRO DA CRUZ - VERTICAL'!$O$6:$O$546,'BM MORRO DA CRUZ'!$K178),0)</f>
        <v>0</v>
      </c>
      <c r="AK178" s="63">
        <f t="shared" si="125"/>
        <v>0</v>
      </c>
      <c r="AL178" s="61">
        <f>IFERROR(SUMIFS('BM MORRO DA CRUZ - VERTICAL'!AP$6:AP$546,'BM MORRO DA CRUZ - VERTICAL'!$O$6:$O$546,'BM MORRO DA CRUZ'!$K178),0)</f>
        <v>0</v>
      </c>
      <c r="AM178" s="63">
        <f t="shared" si="126"/>
        <v>0</v>
      </c>
      <c r="AN178" s="61">
        <f>IFERROR(SUMIFS('BM MORRO DA CRUZ - VERTICAL'!AR$6:AR$546,'BM MORRO DA CRUZ - VERTICAL'!$O$6:$O$546,'BM MORRO DA CRUZ'!$K178),0)</f>
        <v>0</v>
      </c>
      <c r="AO178" s="63">
        <f t="shared" si="127"/>
        <v>0</v>
      </c>
      <c r="AP178" s="61">
        <f>IFERROR(SUMIFS('BM MORRO DA CRUZ - VERTICAL'!AT$6:AT$546,'BM MORRO DA CRUZ - VERTICAL'!$O$6:$O$546,'BM MORRO DA CRUZ'!$K178),0)</f>
        <v>0</v>
      </c>
      <c r="AQ178" s="63">
        <f t="shared" si="128"/>
        <v>0</v>
      </c>
      <c r="AR178" s="61">
        <f>IFERROR(SUMIFS('BM MORRO DA CRUZ - VERTICAL'!AV$6:AV$546,'BM MORRO DA CRUZ - VERTICAL'!$O$6:$O$546,'BM MORRO DA CRUZ'!$K178),0)</f>
        <v>0</v>
      </c>
      <c r="AS178" s="63">
        <f t="shared" si="129"/>
        <v>0</v>
      </c>
      <c r="AT178" s="61">
        <f>IFERROR(SUMIFS('BM MORRO DA CRUZ - VERTICAL'!AX$6:AX$546,'BM MORRO DA CRUZ - VERTICAL'!$O$6:$O$546,'BM MORRO DA CRUZ'!$K178),0)</f>
        <v>0</v>
      </c>
      <c r="AU178" s="63">
        <f t="shared" si="130"/>
        <v>0</v>
      </c>
      <c r="AV178" s="61">
        <f>IFERROR(SUMIFS('BM MORRO DA CRUZ - VERTICAL'!AZ$6:AZ$546,'BM MORRO DA CRUZ - VERTICAL'!$O$6:$O$546,'BM MORRO DA CRUZ'!$K178),0)</f>
        <v>0</v>
      </c>
      <c r="AW178" s="63">
        <f t="shared" si="131"/>
        <v>0</v>
      </c>
      <c r="AX178" s="61">
        <f>IFERROR(SUMIFS('BM MORRO DA CRUZ - VERTICAL'!BB$6:BB$546,'BM MORRO DA CRUZ - VERTICAL'!$O$6:$O$546,'BM MORRO DA CRUZ'!$K178),0)</f>
        <v>0</v>
      </c>
      <c r="AY178" s="63">
        <f t="shared" si="132"/>
        <v>0</v>
      </c>
      <c r="AZ178" s="61">
        <f>IFERROR(SUMIFS('BM MORRO DA CRUZ - VERTICAL'!BD$6:BD$546,'BM MORRO DA CRUZ - VERTICAL'!$O$6:$O$546,'BM MORRO DA CRUZ'!$K178),0)</f>
        <v>0</v>
      </c>
      <c r="BA178" s="63">
        <f t="shared" si="133"/>
        <v>0</v>
      </c>
      <c r="BB178" s="61">
        <f t="shared" si="134"/>
        <v>0</v>
      </c>
      <c r="BC178" s="63">
        <f t="shared" si="135"/>
        <v>0</v>
      </c>
      <c r="BD178" s="64">
        <f t="shared" si="136"/>
        <v>0</v>
      </c>
      <c r="BE178" s="65">
        <f t="shared" si="137"/>
        <v>1</v>
      </c>
      <c r="BF178" s="45"/>
    </row>
    <row r="179" spans="1:58" ht="26.25" customHeight="1" x14ac:dyDescent="0.45">
      <c r="A179" s="56" t="s">
        <v>706</v>
      </c>
      <c r="B179" s="506" t="s">
        <v>697</v>
      </c>
      <c r="C179" s="507" t="s">
        <v>147</v>
      </c>
      <c r="D179" s="507" t="s">
        <v>39</v>
      </c>
      <c r="E179" s="507" t="s">
        <v>540</v>
      </c>
      <c r="F179" s="507" t="s">
        <v>39</v>
      </c>
      <c r="G179" s="507">
        <v>150</v>
      </c>
      <c r="H179" s="508" t="s">
        <v>125</v>
      </c>
      <c r="I179" s="507" t="s">
        <v>114</v>
      </c>
      <c r="J179" s="508" t="s">
        <v>115</v>
      </c>
      <c r="K179" s="57" t="s">
        <v>707</v>
      </c>
      <c r="L179" s="58" t="s">
        <v>21</v>
      </c>
      <c r="M179" s="59" t="s">
        <v>708</v>
      </c>
      <c r="N179" s="60" t="s">
        <v>71</v>
      </c>
      <c r="O179" s="61">
        <v>10</v>
      </c>
      <c r="P179" s="62">
        <v>1020.4</v>
      </c>
      <c r="Q179" s="63">
        <f t="shared" si="115"/>
        <v>10204</v>
      </c>
      <c r="R179" s="61">
        <f>IFERROR(SUMIFS('BM MORRO DA CRUZ - VERTICAL'!V$6:V$546,'BM MORRO DA CRUZ - VERTICAL'!$O$6:$O$546,'BM MORRO DA CRUZ'!$K179),0)</f>
        <v>0</v>
      </c>
      <c r="S179" s="63">
        <f t="shared" si="116"/>
        <v>0</v>
      </c>
      <c r="T179" s="61">
        <f>IFERROR(SUMIFS('BM MORRO DA CRUZ - VERTICAL'!X$6:X$546,'BM MORRO DA CRUZ - VERTICAL'!$O$6:$O$546,'BM MORRO DA CRUZ'!$K179),0)</f>
        <v>0</v>
      </c>
      <c r="U179" s="63">
        <f t="shared" si="117"/>
        <v>0</v>
      </c>
      <c r="V179" s="61">
        <f>IFERROR(SUMIFS('BM MORRO DA CRUZ - VERTICAL'!Z$6:Z$546,'BM MORRO DA CRUZ - VERTICAL'!$O$6:$O$546,'BM MORRO DA CRUZ'!$K179),0)</f>
        <v>0</v>
      </c>
      <c r="W179" s="63">
        <f t="shared" si="118"/>
        <v>0</v>
      </c>
      <c r="X179" s="61">
        <f>IFERROR(SUMIFS('BM MORRO DA CRUZ - VERTICAL'!AB$6:AB$546,'BM MORRO DA CRUZ - VERTICAL'!$O$6:$O$546,'BM MORRO DA CRUZ'!$K179),0)</f>
        <v>0</v>
      </c>
      <c r="Y179" s="63">
        <f t="shared" si="119"/>
        <v>0</v>
      </c>
      <c r="Z179" s="61">
        <f>IFERROR(SUMIFS('BM MORRO DA CRUZ - VERTICAL'!AD$6:AD$546,'BM MORRO DA CRUZ - VERTICAL'!$O$6:$O$546,'BM MORRO DA CRUZ'!$K179),0)</f>
        <v>0</v>
      </c>
      <c r="AA179" s="63">
        <f t="shared" si="120"/>
        <v>0</v>
      </c>
      <c r="AB179" s="61">
        <f>IFERROR(SUMIFS('BM MORRO DA CRUZ - VERTICAL'!AF$6:AF$546,'BM MORRO DA CRUZ - VERTICAL'!$O$6:$O$546,'BM MORRO DA CRUZ'!$K179),0)</f>
        <v>0</v>
      </c>
      <c r="AC179" s="63">
        <f t="shared" si="121"/>
        <v>0</v>
      </c>
      <c r="AD179" s="61">
        <f>IFERROR(SUMIFS('BM MORRO DA CRUZ - VERTICAL'!AH$6:AH$546,'BM MORRO DA CRUZ - VERTICAL'!$O$6:$O$546,'BM MORRO DA CRUZ'!$K179),0)</f>
        <v>0</v>
      </c>
      <c r="AE179" s="63">
        <f t="shared" si="122"/>
        <v>0</v>
      </c>
      <c r="AF179" s="61">
        <f>IFERROR(SUMIFS('BM MORRO DA CRUZ - VERTICAL'!AJ$6:AJ$546,'BM MORRO DA CRUZ - VERTICAL'!$O$6:$O$546,'BM MORRO DA CRUZ'!$K179),0)</f>
        <v>0</v>
      </c>
      <c r="AG179" s="63">
        <f t="shared" si="123"/>
        <v>0</v>
      </c>
      <c r="AH179" s="61">
        <f>IFERROR(SUMIFS('BM MORRO DA CRUZ - VERTICAL'!AL$6:AL$546,'BM MORRO DA CRUZ - VERTICAL'!$O$6:$O$546,'BM MORRO DA CRUZ'!$K179),0)</f>
        <v>0</v>
      </c>
      <c r="AI179" s="63">
        <f t="shared" si="124"/>
        <v>0</v>
      </c>
      <c r="AJ179" s="61">
        <f>IFERROR(SUMIFS('BM MORRO DA CRUZ - VERTICAL'!AN$6:AN$546,'BM MORRO DA CRUZ - VERTICAL'!$O$6:$O$546,'BM MORRO DA CRUZ'!$K179),0)</f>
        <v>0</v>
      </c>
      <c r="AK179" s="63">
        <f t="shared" si="125"/>
        <v>0</v>
      </c>
      <c r="AL179" s="61">
        <f>IFERROR(SUMIFS('BM MORRO DA CRUZ - VERTICAL'!AP$6:AP$546,'BM MORRO DA CRUZ - VERTICAL'!$O$6:$O$546,'BM MORRO DA CRUZ'!$K179),0)</f>
        <v>0</v>
      </c>
      <c r="AM179" s="63">
        <f t="shared" si="126"/>
        <v>0</v>
      </c>
      <c r="AN179" s="61">
        <f>IFERROR(SUMIFS('BM MORRO DA CRUZ - VERTICAL'!AR$6:AR$546,'BM MORRO DA CRUZ - VERTICAL'!$O$6:$O$546,'BM MORRO DA CRUZ'!$K179),0)</f>
        <v>0</v>
      </c>
      <c r="AO179" s="63">
        <f t="shared" si="127"/>
        <v>0</v>
      </c>
      <c r="AP179" s="61">
        <f>IFERROR(SUMIFS('BM MORRO DA CRUZ - VERTICAL'!AT$6:AT$546,'BM MORRO DA CRUZ - VERTICAL'!$O$6:$O$546,'BM MORRO DA CRUZ'!$K179),0)</f>
        <v>0</v>
      </c>
      <c r="AQ179" s="63">
        <f t="shared" si="128"/>
        <v>0</v>
      </c>
      <c r="AR179" s="61">
        <f>IFERROR(SUMIFS('BM MORRO DA CRUZ - VERTICAL'!AV$6:AV$546,'BM MORRO DA CRUZ - VERTICAL'!$O$6:$O$546,'BM MORRO DA CRUZ'!$K179),0)</f>
        <v>0</v>
      </c>
      <c r="AS179" s="63">
        <f t="shared" si="129"/>
        <v>0</v>
      </c>
      <c r="AT179" s="61">
        <f>IFERROR(SUMIFS('BM MORRO DA CRUZ - VERTICAL'!AX$6:AX$546,'BM MORRO DA CRUZ - VERTICAL'!$O$6:$O$546,'BM MORRO DA CRUZ'!$K179),0)</f>
        <v>0</v>
      </c>
      <c r="AU179" s="63">
        <f t="shared" si="130"/>
        <v>0</v>
      </c>
      <c r="AV179" s="61">
        <f>IFERROR(SUMIFS('BM MORRO DA CRUZ - VERTICAL'!AZ$6:AZ$546,'BM MORRO DA CRUZ - VERTICAL'!$O$6:$O$546,'BM MORRO DA CRUZ'!$K179),0)</f>
        <v>0</v>
      </c>
      <c r="AW179" s="63">
        <f t="shared" si="131"/>
        <v>0</v>
      </c>
      <c r="AX179" s="61">
        <f>IFERROR(SUMIFS('BM MORRO DA CRUZ - VERTICAL'!BB$6:BB$546,'BM MORRO DA CRUZ - VERTICAL'!$O$6:$O$546,'BM MORRO DA CRUZ'!$K179),0)</f>
        <v>0</v>
      </c>
      <c r="AY179" s="63">
        <f t="shared" si="132"/>
        <v>0</v>
      </c>
      <c r="AZ179" s="61">
        <f>IFERROR(SUMIFS('BM MORRO DA CRUZ - VERTICAL'!BD$6:BD$546,'BM MORRO DA CRUZ - VERTICAL'!$O$6:$O$546,'BM MORRO DA CRUZ'!$K179),0)</f>
        <v>0</v>
      </c>
      <c r="BA179" s="63">
        <f t="shared" si="133"/>
        <v>0</v>
      </c>
      <c r="BB179" s="61">
        <f t="shared" si="134"/>
        <v>0</v>
      </c>
      <c r="BC179" s="63">
        <f t="shared" si="135"/>
        <v>0</v>
      </c>
      <c r="BD179" s="64">
        <f t="shared" si="136"/>
        <v>0</v>
      </c>
      <c r="BE179" s="65">
        <f t="shared" si="137"/>
        <v>1</v>
      </c>
      <c r="BF179" s="45"/>
    </row>
    <row r="180" spans="1:58" ht="26.25" customHeight="1" x14ac:dyDescent="0.45">
      <c r="A180" s="56" t="s">
        <v>709</v>
      </c>
      <c r="B180" s="506" t="s">
        <v>697</v>
      </c>
      <c r="C180" s="507" t="s">
        <v>576</v>
      </c>
      <c r="D180" s="507" t="s">
        <v>39</v>
      </c>
      <c r="E180" s="507" t="s">
        <v>540</v>
      </c>
      <c r="F180" s="507" t="s">
        <v>39</v>
      </c>
      <c r="G180" s="507">
        <v>80</v>
      </c>
      <c r="H180" s="508" t="s">
        <v>125</v>
      </c>
      <c r="I180" s="507" t="s">
        <v>114</v>
      </c>
      <c r="J180" s="508" t="s">
        <v>115</v>
      </c>
      <c r="K180" s="57" t="s">
        <v>710</v>
      </c>
      <c r="L180" s="58" t="s">
        <v>21</v>
      </c>
      <c r="M180" s="59" t="s">
        <v>711</v>
      </c>
      <c r="N180" s="60" t="s">
        <v>71</v>
      </c>
      <c r="O180" s="61">
        <v>36</v>
      </c>
      <c r="P180" s="62">
        <v>744.32</v>
      </c>
      <c r="Q180" s="63">
        <f t="shared" si="115"/>
        <v>26795.52</v>
      </c>
      <c r="R180" s="61">
        <f>IFERROR(SUMIFS('BM MORRO DA CRUZ - VERTICAL'!V$6:V$546,'BM MORRO DA CRUZ - VERTICAL'!$O$6:$O$546,'BM MORRO DA CRUZ'!$K180),0)</f>
        <v>0</v>
      </c>
      <c r="S180" s="63">
        <f t="shared" si="116"/>
        <v>0</v>
      </c>
      <c r="T180" s="61">
        <f>IFERROR(SUMIFS('BM MORRO DA CRUZ - VERTICAL'!X$6:X$546,'BM MORRO DA CRUZ - VERTICAL'!$O$6:$O$546,'BM MORRO DA CRUZ'!$K180),0)</f>
        <v>0</v>
      </c>
      <c r="U180" s="63">
        <f t="shared" si="117"/>
        <v>0</v>
      </c>
      <c r="V180" s="61">
        <f>IFERROR(SUMIFS('BM MORRO DA CRUZ - VERTICAL'!Z$6:Z$546,'BM MORRO DA CRUZ - VERTICAL'!$O$6:$O$546,'BM MORRO DA CRUZ'!$K180),0)</f>
        <v>0</v>
      </c>
      <c r="W180" s="63">
        <f t="shared" si="118"/>
        <v>0</v>
      </c>
      <c r="X180" s="61">
        <f>IFERROR(SUMIFS('BM MORRO DA CRUZ - VERTICAL'!AB$6:AB$546,'BM MORRO DA CRUZ - VERTICAL'!$O$6:$O$546,'BM MORRO DA CRUZ'!$K180),0)</f>
        <v>0</v>
      </c>
      <c r="Y180" s="63">
        <f t="shared" si="119"/>
        <v>0</v>
      </c>
      <c r="Z180" s="61">
        <f>IFERROR(SUMIFS('BM MORRO DA CRUZ - VERTICAL'!AD$6:AD$546,'BM MORRO DA CRUZ - VERTICAL'!$O$6:$O$546,'BM MORRO DA CRUZ'!$K180),0)</f>
        <v>0</v>
      </c>
      <c r="AA180" s="63">
        <f t="shared" si="120"/>
        <v>0</v>
      </c>
      <c r="AB180" s="61">
        <f>IFERROR(SUMIFS('BM MORRO DA CRUZ - VERTICAL'!AF$6:AF$546,'BM MORRO DA CRUZ - VERTICAL'!$O$6:$O$546,'BM MORRO DA CRUZ'!$K180),0)</f>
        <v>0</v>
      </c>
      <c r="AC180" s="63">
        <f t="shared" si="121"/>
        <v>0</v>
      </c>
      <c r="AD180" s="61">
        <f>IFERROR(SUMIFS('BM MORRO DA CRUZ - VERTICAL'!AH$6:AH$546,'BM MORRO DA CRUZ - VERTICAL'!$O$6:$O$546,'BM MORRO DA CRUZ'!$K180),0)</f>
        <v>0</v>
      </c>
      <c r="AE180" s="63">
        <f t="shared" si="122"/>
        <v>0</v>
      </c>
      <c r="AF180" s="61">
        <f>IFERROR(SUMIFS('BM MORRO DA CRUZ - VERTICAL'!AJ$6:AJ$546,'BM MORRO DA CRUZ - VERTICAL'!$O$6:$O$546,'BM MORRO DA CRUZ'!$K180),0)</f>
        <v>0</v>
      </c>
      <c r="AG180" s="63">
        <f t="shared" si="123"/>
        <v>0</v>
      </c>
      <c r="AH180" s="61">
        <f>IFERROR(SUMIFS('BM MORRO DA CRUZ - VERTICAL'!AL$6:AL$546,'BM MORRO DA CRUZ - VERTICAL'!$O$6:$O$546,'BM MORRO DA CRUZ'!$K180),0)</f>
        <v>0</v>
      </c>
      <c r="AI180" s="63">
        <f t="shared" si="124"/>
        <v>0</v>
      </c>
      <c r="AJ180" s="61">
        <f>IFERROR(SUMIFS('BM MORRO DA CRUZ - VERTICAL'!AN$6:AN$546,'BM MORRO DA CRUZ - VERTICAL'!$O$6:$O$546,'BM MORRO DA CRUZ'!$K180),0)</f>
        <v>0</v>
      </c>
      <c r="AK180" s="63">
        <f t="shared" si="125"/>
        <v>0</v>
      </c>
      <c r="AL180" s="61">
        <f>IFERROR(SUMIFS('BM MORRO DA CRUZ - VERTICAL'!AP$6:AP$546,'BM MORRO DA CRUZ - VERTICAL'!$O$6:$O$546,'BM MORRO DA CRUZ'!$K180),0)</f>
        <v>0</v>
      </c>
      <c r="AM180" s="63">
        <f t="shared" si="126"/>
        <v>0</v>
      </c>
      <c r="AN180" s="61">
        <f>IFERROR(SUMIFS('BM MORRO DA CRUZ - VERTICAL'!AR$6:AR$546,'BM MORRO DA CRUZ - VERTICAL'!$O$6:$O$546,'BM MORRO DA CRUZ'!$K180),0)</f>
        <v>0</v>
      </c>
      <c r="AO180" s="63">
        <f t="shared" si="127"/>
        <v>0</v>
      </c>
      <c r="AP180" s="61">
        <f>IFERROR(SUMIFS('BM MORRO DA CRUZ - VERTICAL'!AT$6:AT$546,'BM MORRO DA CRUZ - VERTICAL'!$O$6:$O$546,'BM MORRO DA CRUZ'!$K180),0)</f>
        <v>0</v>
      </c>
      <c r="AQ180" s="63">
        <f t="shared" si="128"/>
        <v>0</v>
      </c>
      <c r="AR180" s="61">
        <f>IFERROR(SUMIFS('BM MORRO DA CRUZ - VERTICAL'!AV$6:AV$546,'BM MORRO DA CRUZ - VERTICAL'!$O$6:$O$546,'BM MORRO DA CRUZ'!$K180),0)</f>
        <v>0</v>
      </c>
      <c r="AS180" s="63">
        <f t="shared" si="129"/>
        <v>0</v>
      </c>
      <c r="AT180" s="61">
        <f>IFERROR(SUMIFS('BM MORRO DA CRUZ - VERTICAL'!AX$6:AX$546,'BM MORRO DA CRUZ - VERTICAL'!$O$6:$O$546,'BM MORRO DA CRUZ'!$K180),0)</f>
        <v>0</v>
      </c>
      <c r="AU180" s="63">
        <f t="shared" si="130"/>
        <v>0</v>
      </c>
      <c r="AV180" s="61">
        <f>IFERROR(SUMIFS('BM MORRO DA CRUZ - VERTICAL'!AZ$6:AZ$546,'BM MORRO DA CRUZ - VERTICAL'!$O$6:$O$546,'BM MORRO DA CRUZ'!$K180),0)</f>
        <v>0</v>
      </c>
      <c r="AW180" s="63">
        <f t="shared" si="131"/>
        <v>0</v>
      </c>
      <c r="AX180" s="61">
        <f>IFERROR(SUMIFS('BM MORRO DA CRUZ - VERTICAL'!BB$6:BB$546,'BM MORRO DA CRUZ - VERTICAL'!$O$6:$O$546,'BM MORRO DA CRUZ'!$K180),0)</f>
        <v>0</v>
      </c>
      <c r="AY180" s="63">
        <f t="shared" si="132"/>
        <v>0</v>
      </c>
      <c r="AZ180" s="61">
        <f>IFERROR(SUMIFS('BM MORRO DA CRUZ - VERTICAL'!BD$6:BD$546,'BM MORRO DA CRUZ - VERTICAL'!$O$6:$O$546,'BM MORRO DA CRUZ'!$K180),0)</f>
        <v>0</v>
      </c>
      <c r="BA180" s="63">
        <f t="shared" si="133"/>
        <v>0</v>
      </c>
      <c r="BB180" s="61">
        <f t="shared" si="134"/>
        <v>0</v>
      </c>
      <c r="BC180" s="63">
        <f t="shared" si="135"/>
        <v>0</v>
      </c>
      <c r="BD180" s="64">
        <f t="shared" si="136"/>
        <v>0</v>
      </c>
      <c r="BE180" s="65">
        <f t="shared" si="137"/>
        <v>1</v>
      </c>
      <c r="BF180" s="45"/>
    </row>
    <row r="181" spans="1:58" ht="26.25" customHeight="1" x14ac:dyDescent="0.45">
      <c r="A181" s="56" t="s">
        <v>712</v>
      </c>
      <c r="B181" s="506" t="s">
        <v>713</v>
      </c>
      <c r="C181" s="507" t="s">
        <v>111</v>
      </c>
      <c r="D181" s="507" t="s">
        <v>39</v>
      </c>
      <c r="E181" s="507" t="s">
        <v>540</v>
      </c>
      <c r="F181" s="507" t="s">
        <v>39</v>
      </c>
      <c r="G181" s="507">
        <v>200</v>
      </c>
      <c r="H181" s="508" t="s">
        <v>125</v>
      </c>
      <c r="I181" s="507" t="s">
        <v>114</v>
      </c>
      <c r="J181" s="508" t="s">
        <v>115</v>
      </c>
      <c r="K181" s="57" t="s">
        <v>714</v>
      </c>
      <c r="L181" s="58" t="s">
        <v>21</v>
      </c>
      <c r="M181" s="59" t="s">
        <v>715</v>
      </c>
      <c r="N181" s="60" t="s">
        <v>71</v>
      </c>
      <c r="O181" s="61">
        <v>1</v>
      </c>
      <c r="P181" s="62">
        <v>1881.11</v>
      </c>
      <c r="Q181" s="63">
        <f t="shared" si="115"/>
        <v>1881.11</v>
      </c>
      <c r="R181" s="61">
        <f>IFERROR(SUMIFS('BM MORRO DA CRUZ - VERTICAL'!V$6:V$546,'BM MORRO DA CRUZ - VERTICAL'!$O$6:$O$546,'BM MORRO DA CRUZ'!$K181),0)</f>
        <v>0</v>
      </c>
      <c r="S181" s="63">
        <f t="shared" si="116"/>
        <v>0</v>
      </c>
      <c r="T181" s="61">
        <f>IFERROR(SUMIFS('BM MORRO DA CRUZ - VERTICAL'!X$6:X$546,'BM MORRO DA CRUZ - VERTICAL'!$O$6:$O$546,'BM MORRO DA CRUZ'!$K181),0)</f>
        <v>0</v>
      </c>
      <c r="U181" s="63">
        <f t="shared" si="117"/>
        <v>0</v>
      </c>
      <c r="V181" s="61">
        <f>IFERROR(SUMIFS('BM MORRO DA CRUZ - VERTICAL'!Z$6:Z$546,'BM MORRO DA CRUZ - VERTICAL'!$O$6:$O$546,'BM MORRO DA CRUZ'!$K181),0)</f>
        <v>0</v>
      </c>
      <c r="W181" s="63">
        <f t="shared" si="118"/>
        <v>0</v>
      </c>
      <c r="X181" s="61">
        <f>IFERROR(SUMIFS('BM MORRO DA CRUZ - VERTICAL'!AB$6:AB$546,'BM MORRO DA CRUZ - VERTICAL'!$O$6:$O$546,'BM MORRO DA CRUZ'!$K181),0)</f>
        <v>0</v>
      </c>
      <c r="Y181" s="63">
        <f t="shared" si="119"/>
        <v>0</v>
      </c>
      <c r="Z181" s="61">
        <f>IFERROR(SUMIFS('BM MORRO DA CRUZ - VERTICAL'!AD$6:AD$546,'BM MORRO DA CRUZ - VERTICAL'!$O$6:$O$546,'BM MORRO DA CRUZ'!$K181),0)</f>
        <v>0</v>
      </c>
      <c r="AA181" s="63">
        <f t="shared" si="120"/>
        <v>0</v>
      </c>
      <c r="AB181" s="61">
        <f>IFERROR(SUMIFS('BM MORRO DA CRUZ - VERTICAL'!AF$6:AF$546,'BM MORRO DA CRUZ - VERTICAL'!$O$6:$O$546,'BM MORRO DA CRUZ'!$K181),0)</f>
        <v>0</v>
      </c>
      <c r="AC181" s="63">
        <f t="shared" si="121"/>
        <v>0</v>
      </c>
      <c r="AD181" s="61">
        <f>IFERROR(SUMIFS('BM MORRO DA CRUZ - VERTICAL'!AH$6:AH$546,'BM MORRO DA CRUZ - VERTICAL'!$O$6:$O$546,'BM MORRO DA CRUZ'!$K181),0)</f>
        <v>0</v>
      </c>
      <c r="AE181" s="63">
        <f t="shared" si="122"/>
        <v>0</v>
      </c>
      <c r="AF181" s="61">
        <f>IFERROR(SUMIFS('BM MORRO DA CRUZ - VERTICAL'!AJ$6:AJ$546,'BM MORRO DA CRUZ - VERTICAL'!$O$6:$O$546,'BM MORRO DA CRUZ'!$K181),0)</f>
        <v>0</v>
      </c>
      <c r="AG181" s="63">
        <f t="shared" si="123"/>
        <v>0</v>
      </c>
      <c r="AH181" s="61">
        <f>IFERROR(SUMIFS('BM MORRO DA CRUZ - VERTICAL'!AL$6:AL$546,'BM MORRO DA CRUZ - VERTICAL'!$O$6:$O$546,'BM MORRO DA CRUZ'!$K181),0)</f>
        <v>0</v>
      </c>
      <c r="AI181" s="63">
        <f t="shared" si="124"/>
        <v>0</v>
      </c>
      <c r="AJ181" s="61">
        <f>IFERROR(SUMIFS('BM MORRO DA CRUZ - VERTICAL'!AN$6:AN$546,'BM MORRO DA CRUZ - VERTICAL'!$O$6:$O$546,'BM MORRO DA CRUZ'!$K181),0)</f>
        <v>0</v>
      </c>
      <c r="AK181" s="63">
        <f t="shared" si="125"/>
        <v>0</v>
      </c>
      <c r="AL181" s="61">
        <f>IFERROR(SUMIFS('BM MORRO DA CRUZ - VERTICAL'!AP$6:AP$546,'BM MORRO DA CRUZ - VERTICAL'!$O$6:$O$546,'BM MORRO DA CRUZ'!$K181),0)</f>
        <v>0</v>
      </c>
      <c r="AM181" s="63">
        <f t="shared" si="126"/>
        <v>0</v>
      </c>
      <c r="AN181" s="61">
        <f>IFERROR(SUMIFS('BM MORRO DA CRUZ - VERTICAL'!AR$6:AR$546,'BM MORRO DA CRUZ - VERTICAL'!$O$6:$O$546,'BM MORRO DA CRUZ'!$K181),0)</f>
        <v>0</v>
      </c>
      <c r="AO181" s="63">
        <f t="shared" si="127"/>
        <v>0</v>
      </c>
      <c r="AP181" s="61">
        <f>IFERROR(SUMIFS('BM MORRO DA CRUZ - VERTICAL'!AT$6:AT$546,'BM MORRO DA CRUZ - VERTICAL'!$O$6:$O$546,'BM MORRO DA CRUZ'!$K181),0)</f>
        <v>0</v>
      </c>
      <c r="AQ181" s="63">
        <f t="shared" si="128"/>
        <v>0</v>
      </c>
      <c r="AR181" s="61">
        <f>IFERROR(SUMIFS('BM MORRO DA CRUZ - VERTICAL'!AV$6:AV$546,'BM MORRO DA CRUZ - VERTICAL'!$O$6:$O$546,'BM MORRO DA CRUZ'!$K181),0)</f>
        <v>0</v>
      </c>
      <c r="AS181" s="63">
        <f t="shared" si="129"/>
        <v>0</v>
      </c>
      <c r="AT181" s="61">
        <f>IFERROR(SUMIFS('BM MORRO DA CRUZ - VERTICAL'!AX$6:AX$546,'BM MORRO DA CRUZ - VERTICAL'!$O$6:$O$546,'BM MORRO DA CRUZ'!$K181),0)</f>
        <v>0</v>
      </c>
      <c r="AU181" s="63">
        <f t="shared" si="130"/>
        <v>0</v>
      </c>
      <c r="AV181" s="61">
        <f>IFERROR(SUMIFS('BM MORRO DA CRUZ - VERTICAL'!AZ$6:AZ$546,'BM MORRO DA CRUZ - VERTICAL'!$O$6:$O$546,'BM MORRO DA CRUZ'!$K181),0)</f>
        <v>0</v>
      </c>
      <c r="AW181" s="63">
        <f t="shared" si="131"/>
        <v>0</v>
      </c>
      <c r="AX181" s="61">
        <f>IFERROR(SUMIFS('BM MORRO DA CRUZ - VERTICAL'!BB$6:BB$546,'BM MORRO DA CRUZ - VERTICAL'!$O$6:$O$546,'BM MORRO DA CRUZ'!$K181),0)</f>
        <v>0</v>
      </c>
      <c r="AY181" s="63">
        <f t="shared" si="132"/>
        <v>0</v>
      </c>
      <c r="AZ181" s="61">
        <f>IFERROR(SUMIFS('BM MORRO DA CRUZ - VERTICAL'!BD$6:BD$546,'BM MORRO DA CRUZ - VERTICAL'!$O$6:$O$546,'BM MORRO DA CRUZ'!$K181),0)</f>
        <v>0</v>
      </c>
      <c r="BA181" s="63">
        <f t="shared" si="133"/>
        <v>0</v>
      </c>
      <c r="BB181" s="61">
        <f t="shared" si="134"/>
        <v>0</v>
      </c>
      <c r="BC181" s="63">
        <f t="shared" si="135"/>
        <v>0</v>
      </c>
      <c r="BD181" s="64">
        <f t="shared" si="136"/>
        <v>0</v>
      </c>
      <c r="BE181" s="65">
        <f t="shared" si="137"/>
        <v>1</v>
      </c>
      <c r="BF181" s="45"/>
    </row>
    <row r="182" spans="1:58" ht="26.25" customHeight="1" x14ac:dyDescent="0.45">
      <c r="A182" s="56" t="s">
        <v>716</v>
      </c>
      <c r="B182" s="506" t="s">
        <v>717</v>
      </c>
      <c r="C182" s="507" t="s">
        <v>111</v>
      </c>
      <c r="D182" s="507" t="s">
        <v>39</v>
      </c>
      <c r="E182" s="507" t="s">
        <v>540</v>
      </c>
      <c r="F182" s="507" t="s">
        <v>39</v>
      </c>
      <c r="G182" s="507">
        <v>200</v>
      </c>
      <c r="H182" s="508" t="s">
        <v>125</v>
      </c>
      <c r="I182" s="507" t="s">
        <v>114</v>
      </c>
      <c r="J182" s="508" t="s">
        <v>115</v>
      </c>
      <c r="K182" s="57" t="s">
        <v>718</v>
      </c>
      <c r="L182" s="58" t="s">
        <v>21</v>
      </c>
      <c r="M182" s="59" t="s">
        <v>719</v>
      </c>
      <c r="N182" s="60" t="s">
        <v>71</v>
      </c>
      <c r="O182" s="61">
        <v>1</v>
      </c>
      <c r="P182" s="62">
        <v>2867.37</v>
      </c>
      <c r="Q182" s="63">
        <f t="shared" si="115"/>
        <v>2867.37</v>
      </c>
      <c r="R182" s="61">
        <f>IFERROR(SUMIFS('BM MORRO DA CRUZ - VERTICAL'!V$6:V$546,'BM MORRO DA CRUZ - VERTICAL'!$O$6:$O$546,'BM MORRO DA CRUZ'!$K182),0)</f>
        <v>0</v>
      </c>
      <c r="S182" s="63">
        <f t="shared" si="116"/>
        <v>0</v>
      </c>
      <c r="T182" s="61">
        <f>IFERROR(SUMIFS('BM MORRO DA CRUZ - VERTICAL'!X$6:X$546,'BM MORRO DA CRUZ - VERTICAL'!$O$6:$O$546,'BM MORRO DA CRUZ'!$K182),0)</f>
        <v>0</v>
      </c>
      <c r="U182" s="63">
        <f t="shared" si="117"/>
        <v>0</v>
      </c>
      <c r="V182" s="61">
        <f>IFERROR(SUMIFS('BM MORRO DA CRUZ - VERTICAL'!Z$6:Z$546,'BM MORRO DA CRUZ - VERTICAL'!$O$6:$O$546,'BM MORRO DA CRUZ'!$K182),0)</f>
        <v>0</v>
      </c>
      <c r="W182" s="63">
        <f t="shared" si="118"/>
        <v>0</v>
      </c>
      <c r="X182" s="61">
        <f>IFERROR(SUMIFS('BM MORRO DA CRUZ - VERTICAL'!AB$6:AB$546,'BM MORRO DA CRUZ - VERTICAL'!$O$6:$O$546,'BM MORRO DA CRUZ'!$K182),0)</f>
        <v>0</v>
      </c>
      <c r="Y182" s="63">
        <f t="shared" si="119"/>
        <v>0</v>
      </c>
      <c r="Z182" s="61">
        <f>IFERROR(SUMIFS('BM MORRO DA CRUZ - VERTICAL'!AD$6:AD$546,'BM MORRO DA CRUZ - VERTICAL'!$O$6:$O$546,'BM MORRO DA CRUZ'!$K182),0)</f>
        <v>0</v>
      </c>
      <c r="AA182" s="63">
        <f t="shared" si="120"/>
        <v>0</v>
      </c>
      <c r="AB182" s="61">
        <f>IFERROR(SUMIFS('BM MORRO DA CRUZ - VERTICAL'!AF$6:AF$546,'BM MORRO DA CRUZ - VERTICAL'!$O$6:$O$546,'BM MORRO DA CRUZ'!$K182),0)</f>
        <v>0</v>
      </c>
      <c r="AC182" s="63">
        <f t="shared" si="121"/>
        <v>0</v>
      </c>
      <c r="AD182" s="61">
        <f>IFERROR(SUMIFS('BM MORRO DA CRUZ - VERTICAL'!AH$6:AH$546,'BM MORRO DA CRUZ - VERTICAL'!$O$6:$O$546,'BM MORRO DA CRUZ'!$K182),0)</f>
        <v>0</v>
      </c>
      <c r="AE182" s="63">
        <f t="shared" si="122"/>
        <v>0</v>
      </c>
      <c r="AF182" s="61">
        <f>IFERROR(SUMIFS('BM MORRO DA CRUZ - VERTICAL'!AJ$6:AJ$546,'BM MORRO DA CRUZ - VERTICAL'!$O$6:$O$546,'BM MORRO DA CRUZ'!$K182),0)</f>
        <v>0</v>
      </c>
      <c r="AG182" s="63">
        <f t="shared" si="123"/>
        <v>0</v>
      </c>
      <c r="AH182" s="61">
        <f>IFERROR(SUMIFS('BM MORRO DA CRUZ - VERTICAL'!AL$6:AL$546,'BM MORRO DA CRUZ - VERTICAL'!$O$6:$O$546,'BM MORRO DA CRUZ'!$K182),0)</f>
        <v>0</v>
      </c>
      <c r="AI182" s="63">
        <f t="shared" si="124"/>
        <v>0</v>
      </c>
      <c r="AJ182" s="61">
        <f>IFERROR(SUMIFS('BM MORRO DA CRUZ - VERTICAL'!AN$6:AN$546,'BM MORRO DA CRUZ - VERTICAL'!$O$6:$O$546,'BM MORRO DA CRUZ'!$K182),0)</f>
        <v>0</v>
      </c>
      <c r="AK182" s="63">
        <f t="shared" si="125"/>
        <v>0</v>
      </c>
      <c r="AL182" s="61">
        <f>IFERROR(SUMIFS('BM MORRO DA CRUZ - VERTICAL'!AP$6:AP$546,'BM MORRO DA CRUZ - VERTICAL'!$O$6:$O$546,'BM MORRO DA CRUZ'!$K182),0)</f>
        <v>0</v>
      </c>
      <c r="AM182" s="63">
        <f t="shared" si="126"/>
        <v>0</v>
      </c>
      <c r="AN182" s="61">
        <f>IFERROR(SUMIFS('BM MORRO DA CRUZ - VERTICAL'!AR$6:AR$546,'BM MORRO DA CRUZ - VERTICAL'!$O$6:$O$546,'BM MORRO DA CRUZ'!$K182),0)</f>
        <v>0</v>
      </c>
      <c r="AO182" s="63">
        <f t="shared" si="127"/>
        <v>0</v>
      </c>
      <c r="AP182" s="61">
        <f>IFERROR(SUMIFS('BM MORRO DA CRUZ - VERTICAL'!AT$6:AT$546,'BM MORRO DA CRUZ - VERTICAL'!$O$6:$O$546,'BM MORRO DA CRUZ'!$K182),0)</f>
        <v>0</v>
      </c>
      <c r="AQ182" s="63">
        <f t="shared" si="128"/>
        <v>0</v>
      </c>
      <c r="AR182" s="61">
        <f>IFERROR(SUMIFS('BM MORRO DA CRUZ - VERTICAL'!AV$6:AV$546,'BM MORRO DA CRUZ - VERTICAL'!$O$6:$O$546,'BM MORRO DA CRUZ'!$K182),0)</f>
        <v>0</v>
      </c>
      <c r="AS182" s="63">
        <f t="shared" si="129"/>
        <v>0</v>
      </c>
      <c r="AT182" s="61">
        <f>IFERROR(SUMIFS('BM MORRO DA CRUZ - VERTICAL'!AX$6:AX$546,'BM MORRO DA CRUZ - VERTICAL'!$O$6:$O$546,'BM MORRO DA CRUZ'!$K182),0)</f>
        <v>0</v>
      </c>
      <c r="AU182" s="63">
        <f t="shared" si="130"/>
        <v>0</v>
      </c>
      <c r="AV182" s="61">
        <f>IFERROR(SUMIFS('BM MORRO DA CRUZ - VERTICAL'!AZ$6:AZ$546,'BM MORRO DA CRUZ - VERTICAL'!$O$6:$O$546,'BM MORRO DA CRUZ'!$K182),0)</f>
        <v>0</v>
      </c>
      <c r="AW182" s="63">
        <f t="shared" si="131"/>
        <v>0</v>
      </c>
      <c r="AX182" s="61">
        <f>IFERROR(SUMIFS('BM MORRO DA CRUZ - VERTICAL'!BB$6:BB$546,'BM MORRO DA CRUZ - VERTICAL'!$O$6:$O$546,'BM MORRO DA CRUZ'!$K182),0)</f>
        <v>0</v>
      </c>
      <c r="AY182" s="63">
        <f t="shared" si="132"/>
        <v>0</v>
      </c>
      <c r="AZ182" s="61">
        <f>IFERROR(SUMIFS('BM MORRO DA CRUZ - VERTICAL'!BD$6:BD$546,'BM MORRO DA CRUZ - VERTICAL'!$O$6:$O$546,'BM MORRO DA CRUZ'!$K182),0)</f>
        <v>0</v>
      </c>
      <c r="BA182" s="63">
        <f t="shared" si="133"/>
        <v>0</v>
      </c>
      <c r="BB182" s="61">
        <f t="shared" si="134"/>
        <v>0</v>
      </c>
      <c r="BC182" s="63">
        <f t="shared" si="135"/>
        <v>0</v>
      </c>
      <c r="BD182" s="64">
        <f t="shared" si="136"/>
        <v>0</v>
      </c>
      <c r="BE182" s="65">
        <f t="shared" si="137"/>
        <v>1</v>
      </c>
      <c r="BF182" s="45"/>
    </row>
    <row r="183" spans="1:58" ht="26.25" customHeight="1" x14ac:dyDescent="0.45">
      <c r="A183" s="56" t="s">
        <v>720</v>
      </c>
      <c r="B183" s="506" t="s">
        <v>721</v>
      </c>
      <c r="C183" s="507" t="s">
        <v>111</v>
      </c>
      <c r="D183" s="507" t="s">
        <v>39</v>
      </c>
      <c r="E183" s="507" t="s">
        <v>540</v>
      </c>
      <c r="F183" s="507" t="s">
        <v>39</v>
      </c>
      <c r="G183" s="507">
        <v>200</v>
      </c>
      <c r="H183" s="508" t="s">
        <v>125</v>
      </c>
      <c r="I183" s="507" t="s">
        <v>114</v>
      </c>
      <c r="J183" s="508" t="s">
        <v>115</v>
      </c>
      <c r="K183" s="57" t="s">
        <v>722</v>
      </c>
      <c r="L183" s="58" t="s">
        <v>21</v>
      </c>
      <c r="M183" s="59" t="s">
        <v>723</v>
      </c>
      <c r="N183" s="60" t="s">
        <v>71</v>
      </c>
      <c r="O183" s="61">
        <v>6</v>
      </c>
      <c r="P183" s="62">
        <v>4112.1000000000004</v>
      </c>
      <c r="Q183" s="63">
        <f t="shared" si="115"/>
        <v>24672.6</v>
      </c>
      <c r="R183" s="61">
        <f>IFERROR(SUMIFS('BM MORRO DA CRUZ - VERTICAL'!V$6:V$546,'BM MORRO DA CRUZ - VERTICAL'!$O$6:$O$546,'BM MORRO DA CRUZ'!$K183),0)</f>
        <v>0</v>
      </c>
      <c r="S183" s="63">
        <f t="shared" si="116"/>
        <v>0</v>
      </c>
      <c r="T183" s="61">
        <f>IFERROR(SUMIFS('BM MORRO DA CRUZ - VERTICAL'!X$6:X$546,'BM MORRO DA CRUZ - VERTICAL'!$O$6:$O$546,'BM MORRO DA CRUZ'!$K183),0)</f>
        <v>0</v>
      </c>
      <c r="U183" s="63">
        <f t="shared" si="117"/>
        <v>0</v>
      </c>
      <c r="V183" s="61">
        <f>IFERROR(SUMIFS('BM MORRO DA CRUZ - VERTICAL'!Z$6:Z$546,'BM MORRO DA CRUZ - VERTICAL'!$O$6:$O$546,'BM MORRO DA CRUZ'!$K183),0)</f>
        <v>0</v>
      </c>
      <c r="W183" s="63">
        <f t="shared" si="118"/>
        <v>0</v>
      </c>
      <c r="X183" s="61">
        <f>IFERROR(SUMIFS('BM MORRO DA CRUZ - VERTICAL'!AB$6:AB$546,'BM MORRO DA CRUZ - VERTICAL'!$O$6:$O$546,'BM MORRO DA CRUZ'!$K183),0)</f>
        <v>0</v>
      </c>
      <c r="Y183" s="63">
        <f t="shared" si="119"/>
        <v>0</v>
      </c>
      <c r="Z183" s="61">
        <f>IFERROR(SUMIFS('BM MORRO DA CRUZ - VERTICAL'!AD$6:AD$546,'BM MORRO DA CRUZ - VERTICAL'!$O$6:$O$546,'BM MORRO DA CRUZ'!$K183),0)</f>
        <v>0</v>
      </c>
      <c r="AA183" s="63">
        <f t="shared" si="120"/>
        <v>0</v>
      </c>
      <c r="AB183" s="61">
        <f>IFERROR(SUMIFS('BM MORRO DA CRUZ - VERTICAL'!AF$6:AF$546,'BM MORRO DA CRUZ - VERTICAL'!$O$6:$O$546,'BM MORRO DA CRUZ'!$K183),0)</f>
        <v>0</v>
      </c>
      <c r="AC183" s="63">
        <f t="shared" si="121"/>
        <v>0</v>
      </c>
      <c r="AD183" s="61">
        <f>IFERROR(SUMIFS('BM MORRO DA CRUZ - VERTICAL'!AH$6:AH$546,'BM MORRO DA CRUZ - VERTICAL'!$O$6:$O$546,'BM MORRO DA CRUZ'!$K183),0)</f>
        <v>0</v>
      </c>
      <c r="AE183" s="63">
        <f t="shared" si="122"/>
        <v>0</v>
      </c>
      <c r="AF183" s="61">
        <f>IFERROR(SUMIFS('BM MORRO DA CRUZ - VERTICAL'!AJ$6:AJ$546,'BM MORRO DA CRUZ - VERTICAL'!$O$6:$O$546,'BM MORRO DA CRUZ'!$K183),0)</f>
        <v>0</v>
      </c>
      <c r="AG183" s="63">
        <f t="shared" si="123"/>
        <v>0</v>
      </c>
      <c r="AH183" s="61">
        <f>IFERROR(SUMIFS('BM MORRO DA CRUZ - VERTICAL'!AL$6:AL$546,'BM MORRO DA CRUZ - VERTICAL'!$O$6:$O$546,'BM MORRO DA CRUZ'!$K183),0)</f>
        <v>0</v>
      </c>
      <c r="AI183" s="63">
        <f t="shared" si="124"/>
        <v>0</v>
      </c>
      <c r="AJ183" s="61">
        <f>IFERROR(SUMIFS('BM MORRO DA CRUZ - VERTICAL'!AN$6:AN$546,'BM MORRO DA CRUZ - VERTICAL'!$O$6:$O$546,'BM MORRO DA CRUZ'!$K183),0)</f>
        <v>0</v>
      </c>
      <c r="AK183" s="63">
        <f t="shared" si="125"/>
        <v>0</v>
      </c>
      <c r="AL183" s="61">
        <f>IFERROR(SUMIFS('BM MORRO DA CRUZ - VERTICAL'!AP$6:AP$546,'BM MORRO DA CRUZ - VERTICAL'!$O$6:$O$546,'BM MORRO DA CRUZ'!$K183),0)</f>
        <v>0</v>
      </c>
      <c r="AM183" s="63">
        <f t="shared" si="126"/>
        <v>0</v>
      </c>
      <c r="AN183" s="61">
        <f>IFERROR(SUMIFS('BM MORRO DA CRUZ - VERTICAL'!AR$6:AR$546,'BM MORRO DA CRUZ - VERTICAL'!$O$6:$O$546,'BM MORRO DA CRUZ'!$K183),0)</f>
        <v>0</v>
      </c>
      <c r="AO183" s="63">
        <f t="shared" si="127"/>
        <v>0</v>
      </c>
      <c r="AP183" s="61">
        <f>IFERROR(SUMIFS('BM MORRO DA CRUZ - VERTICAL'!AT$6:AT$546,'BM MORRO DA CRUZ - VERTICAL'!$O$6:$O$546,'BM MORRO DA CRUZ'!$K183),0)</f>
        <v>0</v>
      </c>
      <c r="AQ183" s="63">
        <f t="shared" si="128"/>
        <v>0</v>
      </c>
      <c r="AR183" s="61">
        <f>IFERROR(SUMIFS('BM MORRO DA CRUZ - VERTICAL'!AV$6:AV$546,'BM MORRO DA CRUZ - VERTICAL'!$O$6:$O$546,'BM MORRO DA CRUZ'!$K183),0)</f>
        <v>0</v>
      </c>
      <c r="AS183" s="63">
        <f t="shared" si="129"/>
        <v>0</v>
      </c>
      <c r="AT183" s="61">
        <f>IFERROR(SUMIFS('BM MORRO DA CRUZ - VERTICAL'!AX$6:AX$546,'BM MORRO DA CRUZ - VERTICAL'!$O$6:$O$546,'BM MORRO DA CRUZ'!$K183),0)</f>
        <v>0</v>
      </c>
      <c r="AU183" s="63">
        <f t="shared" si="130"/>
        <v>0</v>
      </c>
      <c r="AV183" s="61">
        <f>IFERROR(SUMIFS('BM MORRO DA CRUZ - VERTICAL'!AZ$6:AZ$546,'BM MORRO DA CRUZ - VERTICAL'!$O$6:$O$546,'BM MORRO DA CRUZ'!$K183),0)</f>
        <v>0</v>
      </c>
      <c r="AW183" s="63">
        <f t="shared" si="131"/>
        <v>0</v>
      </c>
      <c r="AX183" s="61">
        <f>IFERROR(SUMIFS('BM MORRO DA CRUZ - VERTICAL'!BB$6:BB$546,'BM MORRO DA CRUZ - VERTICAL'!$O$6:$O$546,'BM MORRO DA CRUZ'!$K183),0)</f>
        <v>0</v>
      </c>
      <c r="AY183" s="63">
        <f t="shared" si="132"/>
        <v>0</v>
      </c>
      <c r="AZ183" s="61">
        <f>IFERROR(SUMIFS('BM MORRO DA CRUZ - VERTICAL'!BD$6:BD$546,'BM MORRO DA CRUZ - VERTICAL'!$O$6:$O$546,'BM MORRO DA CRUZ'!$K183),0)</f>
        <v>0</v>
      </c>
      <c r="BA183" s="63">
        <f t="shared" si="133"/>
        <v>0</v>
      </c>
      <c r="BB183" s="61">
        <f t="shared" si="134"/>
        <v>0</v>
      </c>
      <c r="BC183" s="63">
        <f t="shared" si="135"/>
        <v>0</v>
      </c>
      <c r="BD183" s="64">
        <f t="shared" si="136"/>
        <v>0</v>
      </c>
      <c r="BE183" s="65">
        <f t="shared" si="137"/>
        <v>1</v>
      </c>
      <c r="BF183" s="45"/>
    </row>
    <row r="184" spans="1:58" ht="19.5" customHeight="1" x14ac:dyDescent="0.45">
      <c r="A184" s="46" t="s">
        <v>724</v>
      </c>
      <c r="B184" s="503"/>
      <c r="C184" s="504"/>
      <c r="D184" s="504"/>
      <c r="E184" s="504"/>
      <c r="F184" s="504"/>
      <c r="G184" s="504"/>
      <c r="H184" s="505" t="s">
        <v>1718</v>
      </c>
      <c r="I184" s="504"/>
      <c r="J184" s="505" t="s">
        <v>1718</v>
      </c>
      <c r="K184" s="47" t="s">
        <v>725</v>
      </c>
      <c r="L184" s="48"/>
      <c r="M184" s="49" t="s">
        <v>726</v>
      </c>
      <c r="N184" s="50"/>
      <c r="O184" s="51"/>
      <c r="P184" s="52"/>
      <c r="Q184" s="53">
        <f>SUM(Q185:Q185)</f>
        <v>102130</v>
      </c>
      <c r="R184" s="51"/>
      <c r="S184" s="53">
        <f>SUM(S185:S185)</f>
        <v>0</v>
      </c>
      <c r="T184" s="51"/>
      <c r="U184" s="53">
        <f>SUM(U185:U185)</f>
        <v>0</v>
      </c>
      <c r="V184" s="51"/>
      <c r="W184" s="53">
        <f>SUM(W185:W185)</f>
        <v>0</v>
      </c>
      <c r="X184" s="51"/>
      <c r="Y184" s="53">
        <f>SUM(Y185:Y185)</f>
        <v>0</v>
      </c>
      <c r="Z184" s="51"/>
      <c r="AA184" s="53">
        <f>SUM(AA185:AA185)</f>
        <v>0</v>
      </c>
      <c r="AB184" s="51"/>
      <c r="AC184" s="53">
        <f>SUM(AC185:AC185)</f>
        <v>0</v>
      </c>
      <c r="AD184" s="51"/>
      <c r="AE184" s="53">
        <f>SUM(AE185:AE185)</f>
        <v>0</v>
      </c>
      <c r="AF184" s="51"/>
      <c r="AG184" s="53">
        <f>SUM(AG185:AG185)</f>
        <v>0</v>
      </c>
      <c r="AH184" s="51"/>
      <c r="AI184" s="53">
        <f>SUM(AI185:AI185)</f>
        <v>0</v>
      </c>
      <c r="AJ184" s="51"/>
      <c r="AK184" s="53">
        <f>SUM(AK185:AK185)</f>
        <v>0</v>
      </c>
      <c r="AL184" s="51"/>
      <c r="AM184" s="53">
        <f>SUM(AM185:AM185)</f>
        <v>0</v>
      </c>
      <c r="AN184" s="51"/>
      <c r="AO184" s="53">
        <f>SUM(AO185:AO185)</f>
        <v>0</v>
      </c>
      <c r="AP184" s="51"/>
      <c r="AQ184" s="53">
        <f>SUM(AQ185:AQ185)</f>
        <v>0</v>
      </c>
      <c r="AR184" s="51"/>
      <c r="AS184" s="53">
        <f>SUM(AS185:AS185)</f>
        <v>0</v>
      </c>
      <c r="AT184" s="51"/>
      <c r="AU184" s="53">
        <f>SUM(AU185:AU185)</f>
        <v>0</v>
      </c>
      <c r="AV184" s="51"/>
      <c r="AW184" s="53">
        <f>SUM(AW185:AW185)</f>
        <v>0</v>
      </c>
      <c r="AX184" s="51"/>
      <c r="AY184" s="53">
        <f>SUM(AY185:AY185)</f>
        <v>0</v>
      </c>
      <c r="AZ184" s="51"/>
      <c r="BA184" s="53">
        <f>SUM(BA185:BA185)</f>
        <v>0</v>
      </c>
      <c r="BB184" s="51"/>
      <c r="BC184" s="53">
        <f>SUM(BC185:BC185)</f>
        <v>0</v>
      </c>
      <c r="BD184" s="54"/>
      <c r="BE184" s="55"/>
      <c r="BF184" s="45"/>
    </row>
    <row r="185" spans="1:58" ht="26" customHeight="1" x14ac:dyDescent="0.45">
      <c r="A185" s="56" t="s">
        <v>727</v>
      </c>
      <c r="B185" s="506" t="s">
        <v>728</v>
      </c>
      <c r="C185" s="507" t="s">
        <v>39</v>
      </c>
      <c r="D185" s="507" t="s">
        <v>39</v>
      </c>
      <c r="E185" s="507" t="s">
        <v>729</v>
      </c>
      <c r="F185" s="507" t="s">
        <v>39</v>
      </c>
      <c r="G185" s="507" t="s">
        <v>730</v>
      </c>
      <c r="H185" s="508" t="s">
        <v>226</v>
      </c>
      <c r="I185" s="507" t="s">
        <v>79</v>
      </c>
      <c r="J185" s="508" t="s">
        <v>41</v>
      </c>
      <c r="K185" s="57" t="s">
        <v>731</v>
      </c>
      <c r="L185" s="58" t="s">
        <v>21</v>
      </c>
      <c r="M185" s="59" t="s">
        <v>732</v>
      </c>
      <c r="N185" s="60" t="s">
        <v>367</v>
      </c>
      <c r="O185" s="61">
        <v>145.9</v>
      </c>
      <c r="P185" s="62">
        <v>700</v>
      </c>
      <c r="Q185" s="63">
        <f>ROUND(P185*$O185,2)</f>
        <v>102130</v>
      </c>
      <c r="R185" s="61">
        <f>IFERROR(SUMIFS('BM MORRO DA CRUZ - VERTICAL'!V$6:V$546,'BM MORRO DA CRUZ - VERTICAL'!$O$6:$O$546,'BM MORRO DA CRUZ'!$K185),0)</f>
        <v>0</v>
      </c>
      <c r="S185" s="63">
        <f>ROUND(R185*$P185,2)</f>
        <v>0</v>
      </c>
      <c r="T185" s="61">
        <f>IFERROR(SUMIFS('BM MORRO DA CRUZ - VERTICAL'!X$6:X$546,'BM MORRO DA CRUZ - VERTICAL'!$O$6:$O$546,'BM MORRO DA CRUZ'!$K185),0)</f>
        <v>0</v>
      </c>
      <c r="U185" s="63">
        <f>ROUND(T185*$P185,2)</f>
        <v>0</v>
      </c>
      <c r="V185" s="61">
        <f>IFERROR(SUMIFS('BM MORRO DA CRUZ - VERTICAL'!Z$6:Z$546,'BM MORRO DA CRUZ - VERTICAL'!$O$6:$O$546,'BM MORRO DA CRUZ'!$K185),0)</f>
        <v>0</v>
      </c>
      <c r="W185" s="63">
        <f>ROUND(V185*$P185,2)</f>
        <v>0</v>
      </c>
      <c r="X185" s="61">
        <f>IFERROR(SUMIFS('BM MORRO DA CRUZ - VERTICAL'!AB$6:AB$546,'BM MORRO DA CRUZ - VERTICAL'!$O$6:$O$546,'BM MORRO DA CRUZ'!$K185),0)</f>
        <v>0</v>
      </c>
      <c r="Y185" s="63">
        <f>ROUND(X185*$P185,2)</f>
        <v>0</v>
      </c>
      <c r="Z185" s="61">
        <f>IFERROR(SUMIFS('BM MORRO DA CRUZ - VERTICAL'!AD$6:AD$546,'BM MORRO DA CRUZ - VERTICAL'!$O$6:$O$546,'BM MORRO DA CRUZ'!$K185),0)</f>
        <v>0</v>
      </c>
      <c r="AA185" s="63">
        <f>ROUND(Z185*$P185,2)</f>
        <v>0</v>
      </c>
      <c r="AB185" s="61">
        <f>IFERROR(SUMIFS('BM MORRO DA CRUZ - VERTICAL'!AF$6:AF$546,'BM MORRO DA CRUZ - VERTICAL'!$O$6:$O$546,'BM MORRO DA CRUZ'!$K185),0)</f>
        <v>0</v>
      </c>
      <c r="AC185" s="63">
        <f>ROUND(AB185*$P185,2)</f>
        <v>0</v>
      </c>
      <c r="AD185" s="61">
        <f>IFERROR(SUMIFS('BM MORRO DA CRUZ - VERTICAL'!AH$6:AH$546,'BM MORRO DA CRUZ - VERTICAL'!$O$6:$O$546,'BM MORRO DA CRUZ'!$K185),0)</f>
        <v>0</v>
      </c>
      <c r="AE185" s="63">
        <f>ROUND(AD185*$P185,2)</f>
        <v>0</v>
      </c>
      <c r="AF185" s="61">
        <f>IFERROR(SUMIFS('BM MORRO DA CRUZ - VERTICAL'!AJ$6:AJ$546,'BM MORRO DA CRUZ - VERTICAL'!$O$6:$O$546,'BM MORRO DA CRUZ'!$K185),0)</f>
        <v>0</v>
      </c>
      <c r="AG185" s="63">
        <f>ROUND(AF185*$P185,2)</f>
        <v>0</v>
      </c>
      <c r="AH185" s="61">
        <f>IFERROR(SUMIFS('BM MORRO DA CRUZ - VERTICAL'!AL$6:AL$546,'BM MORRO DA CRUZ - VERTICAL'!$O$6:$O$546,'BM MORRO DA CRUZ'!$K185),0)</f>
        <v>0</v>
      </c>
      <c r="AI185" s="63">
        <f>ROUND(AH185*$P185,2)</f>
        <v>0</v>
      </c>
      <c r="AJ185" s="61">
        <f>IFERROR(SUMIFS('BM MORRO DA CRUZ - VERTICAL'!AN$6:AN$546,'BM MORRO DA CRUZ - VERTICAL'!$O$6:$O$546,'BM MORRO DA CRUZ'!$K185),0)</f>
        <v>0</v>
      </c>
      <c r="AK185" s="63">
        <f>ROUND(AJ185*$P185,2)</f>
        <v>0</v>
      </c>
      <c r="AL185" s="61">
        <f>IFERROR(SUMIFS('BM MORRO DA CRUZ - VERTICAL'!AP$6:AP$546,'BM MORRO DA CRUZ - VERTICAL'!$O$6:$O$546,'BM MORRO DA CRUZ'!$K185),0)</f>
        <v>0</v>
      </c>
      <c r="AM185" s="63">
        <f>ROUND(AL185*$P185,2)</f>
        <v>0</v>
      </c>
      <c r="AN185" s="61">
        <f>IFERROR(SUMIFS('BM MORRO DA CRUZ - VERTICAL'!AR$6:AR$546,'BM MORRO DA CRUZ - VERTICAL'!$O$6:$O$546,'BM MORRO DA CRUZ'!$K185),0)</f>
        <v>0</v>
      </c>
      <c r="AO185" s="63">
        <f>ROUND(AN185*$P185,2)</f>
        <v>0</v>
      </c>
      <c r="AP185" s="61">
        <f>IFERROR(SUMIFS('BM MORRO DA CRUZ - VERTICAL'!AT$6:AT$546,'BM MORRO DA CRUZ - VERTICAL'!$O$6:$O$546,'BM MORRO DA CRUZ'!$K185),0)</f>
        <v>0</v>
      </c>
      <c r="AQ185" s="63">
        <f>ROUND(AP185*$P185,2)</f>
        <v>0</v>
      </c>
      <c r="AR185" s="61">
        <f>IFERROR(SUMIFS('BM MORRO DA CRUZ - VERTICAL'!AV$6:AV$546,'BM MORRO DA CRUZ - VERTICAL'!$O$6:$O$546,'BM MORRO DA CRUZ'!$K185),0)</f>
        <v>0</v>
      </c>
      <c r="AS185" s="63">
        <f>ROUND(AR185*$P185,2)</f>
        <v>0</v>
      </c>
      <c r="AT185" s="61">
        <f>IFERROR(SUMIFS('BM MORRO DA CRUZ - VERTICAL'!AX$6:AX$546,'BM MORRO DA CRUZ - VERTICAL'!$O$6:$O$546,'BM MORRO DA CRUZ'!$K185),0)</f>
        <v>0</v>
      </c>
      <c r="AU185" s="63">
        <f>ROUND(AT185*$P185,2)</f>
        <v>0</v>
      </c>
      <c r="AV185" s="61">
        <f>IFERROR(SUMIFS('BM MORRO DA CRUZ - VERTICAL'!AZ$6:AZ$546,'BM MORRO DA CRUZ - VERTICAL'!$O$6:$O$546,'BM MORRO DA CRUZ'!$K185),0)</f>
        <v>0</v>
      </c>
      <c r="AW185" s="63">
        <f>ROUND(AV185*$P185,2)</f>
        <v>0</v>
      </c>
      <c r="AX185" s="61">
        <f>IFERROR(SUMIFS('BM MORRO DA CRUZ - VERTICAL'!BB$6:BB$546,'BM MORRO DA CRUZ - VERTICAL'!$O$6:$O$546,'BM MORRO DA CRUZ'!$K185),0)</f>
        <v>0</v>
      </c>
      <c r="AY185" s="63">
        <f>ROUND(AX185*$P185,2)</f>
        <v>0</v>
      </c>
      <c r="AZ185" s="61">
        <f>IFERROR(SUMIFS('BM MORRO DA CRUZ - VERTICAL'!BD$6:BD$546,'BM MORRO DA CRUZ - VERTICAL'!$O$6:$O$546,'BM MORRO DA CRUZ'!$K185),0)</f>
        <v>0</v>
      </c>
      <c r="BA185" s="63">
        <f>ROUND(AZ185*$P185,2)</f>
        <v>0</v>
      </c>
      <c r="BB185" s="61">
        <f>IFERROR(SUMIFS($R185:$BA185,$R$5:$BA$5,$BB$5),0)</f>
        <v>0</v>
      </c>
      <c r="BC185" s="63">
        <f>SUMIFS($R185:$BA185,$R$5:$BA$5,$S$5)</f>
        <v>0</v>
      </c>
      <c r="BD185" s="64">
        <f>IFERROR(BB185/O185,0)</f>
        <v>0</v>
      </c>
      <c r="BE185" s="65">
        <f>IFERROR((O185-BB185)/O185,0)</f>
        <v>1</v>
      </c>
      <c r="BF185" s="45"/>
    </row>
    <row r="186" spans="1:58" ht="19.5" customHeight="1" x14ac:dyDescent="0.45">
      <c r="A186" s="46" t="s">
        <v>733</v>
      </c>
      <c r="B186" s="503"/>
      <c r="C186" s="504"/>
      <c r="D186" s="504"/>
      <c r="E186" s="504"/>
      <c r="F186" s="504"/>
      <c r="G186" s="504"/>
      <c r="H186" s="505" t="s">
        <v>1718</v>
      </c>
      <c r="I186" s="504"/>
      <c r="J186" s="505" t="s">
        <v>1718</v>
      </c>
      <c r="K186" s="47" t="s">
        <v>734</v>
      </c>
      <c r="L186" s="48"/>
      <c r="M186" s="49" t="s">
        <v>735</v>
      </c>
      <c r="N186" s="50"/>
      <c r="O186" s="51"/>
      <c r="P186" s="52"/>
      <c r="Q186" s="53">
        <f>SUM(Q187:Q187)</f>
        <v>13326.16</v>
      </c>
      <c r="R186" s="51"/>
      <c r="S186" s="53">
        <f>SUM(S187:S187)</f>
        <v>0</v>
      </c>
      <c r="T186" s="51"/>
      <c r="U186" s="53">
        <f>SUM(U187:U187)</f>
        <v>0</v>
      </c>
      <c r="V186" s="51"/>
      <c r="W186" s="53">
        <f>SUM(W187:W187)</f>
        <v>0</v>
      </c>
      <c r="X186" s="51"/>
      <c r="Y186" s="53">
        <f>SUM(Y187:Y187)</f>
        <v>0</v>
      </c>
      <c r="Z186" s="51"/>
      <c r="AA186" s="53">
        <f>SUM(AA187:AA187)</f>
        <v>0</v>
      </c>
      <c r="AB186" s="51"/>
      <c r="AC186" s="53">
        <f>SUM(AC187:AC187)</f>
        <v>0</v>
      </c>
      <c r="AD186" s="51"/>
      <c r="AE186" s="53">
        <f>SUM(AE187:AE187)</f>
        <v>0</v>
      </c>
      <c r="AF186" s="51"/>
      <c r="AG186" s="53">
        <f>SUM(AG187:AG187)</f>
        <v>0</v>
      </c>
      <c r="AH186" s="51"/>
      <c r="AI186" s="53">
        <f>SUM(AI187:AI187)</f>
        <v>0</v>
      </c>
      <c r="AJ186" s="51"/>
      <c r="AK186" s="53">
        <f>SUM(AK187:AK187)</f>
        <v>0</v>
      </c>
      <c r="AL186" s="51"/>
      <c r="AM186" s="53">
        <f>SUM(AM187:AM187)</f>
        <v>0</v>
      </c>
      <c r="AN186" s="51"/>
      <c r="AO186" s="53">
        <f>SUM(AO187:AO187)</f>
        <v>0</v>
      </c>
      <c r="AP186" s="51"/>
      <c r="AQ186" s="53">
        <f>SUM(AQ187:AQ187)</f>
        <v>0</v>
      </c>
      <c r="AR186" s="51"/>
      <c r="AS186" s="53">
        <f>SUM(AS187:AS187)</f>
        <v>0</v>
      </c>
      <c r="AT186" s="51"/>
      <c r="AU186" s="53">
        <f>SUM(AU187:AU187)</f>
        <v>0</v>
      </c>
      <c r="AV186" s="51"/>
      <c r="AW186" s="53">
        <f>SUM(AW187:AW187)</f>
        <v>0</v>
      </c>
      <c r="AX186" s="51"/>
      <c r="AY186" s="53">
        <f>SUM(AY187:AY187)</f>
        <v>0</v>
      </c>
      <c r="AZ186" s="51"/>
      <c r="BA186" s="53">
        <f>SUM(BA187:BA187)</f>
        <v>0</v>
      </c>
      <c r="BB186" s="51"/>
      <c r="BC186" s="53">
        <f>SUM(BC187:BC187)</f>
        <v>0</v>
      </c>
      <c r="BD186" s="54"/>
      <c r="BE186" s="55"/>
      <c r="BF186" s="45"/>
    </row>
    <row r="187" spans="1:58" ht="38.25" customHeight="1" x14ac:dyDescent="0.45">
      <c r="A187" s="56" t="s">
        <v>736</v>
      </c>
      <c r="B187" s="506" t="s">
        <v>737</v>
      </c>
      <c r="C187" s="507" t="s">
        <v>111</v>
      </c>
      <c r="D187" s="507" t="s">
        <v>39</v>
      </c>
      <c r="E187" s="507" t="s">
        <v>738</v>
      </c>
      <c r="F187" s="507" t="s">
        <v>39</v>
      </c>
      <c r="G187" s="507">
        <v>200</v>
      </c>
      <c r="H187" s="508" t="s">
        <v>39</v>
      </c>
      <c r="I187" s="507" t="s">
        <v>114</v>
      </c>
      <c r="J187" s="508" t="s">
        <v>739</v>
      </c>
      <c r="K187" s="57" t="s">
        <v>740</v>
      </c>
      <c r="L187" s="58" t="s">
        <v>21</v>
      </c>
      <c r="M187" s="59" t="s">
        <v>741</v>
      </c>
      <c r="N187" s="60" t="s">
        <v>71</v>
      </c>
      <c r="O187" s="61">
        <v>1</v>
      </c>
      <c r="P187" s="62">
        <v>13326.16</v>
      </c>
      <c r="Q187" s="63">
        <f>ROUND(P187*$O187,2)</f>
        <v>13326.16</v>
      </c>
      <c r="R187" s="61">
        <f>IFERROR(SUMIFS('BM MORRO DA CRUZ - VERTICAL'!V$6:V$546,'BM MORRO DA CRUZ - VERTICAL'!$O$6:$O$546,'BM MORRO DA CRUZ'!$K187),0)</f>
        <v>0</v>
      </c>
      <c r="S187" s="63">
        <f>ROUND(R187*$P187,2)</f>
        <v>0</v>
      </c>
      <c r="T187" s="61">
        <f>IFERROR(SUMIFS('BM MORRO DA CRUZ - VERTICAL'!X$6:X$546,'BM MORRO DA CRUZ - VERTICAL'!$O$6:$O$546,'BM MORRO DA CRUZ'!$K187),0)</f>
        <v>0</v>
      </c>
      <c r="U187" s="63">
        <f>ROUND(T187*$P187,2)</f>
        <v>0</v>
      </c>
      <c r="V187" s="61">
        <f>IFERROR(SUMIFS('BM MORRO DA CRUZ - VERTICAL'!Z$6:Z$546,'BM MORRO DA CRUZ - VERTICAL'!$O$6:$O$546,'BM MORRO DA CRUZ'!$K187),0)</f>
        <v>0</v>
      </c>
      <c r="W187" s="63">
        <f>ROUND(V187*$P187,2)</f>
        <v>0</v>
      </c>
      <c r="X187" s="61">
        <f>IFERROR(SUMIFS('BM MORRO DA CRUZ - VERTICAL'!AB$6:AB$546,'BM MORRO DA CRUZ - VERTICAL'!$O$6:$O$546,'BM MORRO DA CRUZ'!$K187),0)</f>
        <v>0</v>
      </c>
      <c r="Y187" s="63">
        <f>ROUND(X187*$P187,2)</f>
        <v>0</v>
      </c>
      <c r="Z187" s="61">
        <f>IFERROR(SUMIFS('BM MORRO DA CRUZ - VERTICAL'!AD$6:AD$546,'BM MORRO DA CRUZ - VERTICAL'!$O$6:$O$546,'BM MORRO DA CRUZ'!$K187),0)</f>
        <v>0</v>
      </c>
      <c r="AA187" s="63">
        <f>ROUND(Z187*$P187,2)</f>
        <v>0</v>
      </c>
      <c r="AB187" s="61">
        <f>IFERROR(SUMIFS('BM MORRO DA CRUZ - VERTICAL'!AF$6:AF$546,'BM MORRO DA CRUZ - VERTICAL'!$O$6:$O$546,'BM MORRO DA CRUZ'!$K187),0)</f>
        <v>0</v>
      </c>
      <c r="AC187" s="63">
        <f>ROUND(AB187*$P187,2)</f>
        <v>0</v>
      </c>
      <c r="AD187" s="61">
        <f>IFERROR(SUMIFS('BM MORRO DA CRUZ - VERTICAL'!AH$6:AH$546,'BM MORRO DA CRUZ - VERTICAL'!$O$6:$O$546,'BM MORRO DA CRUZ'!$K187),0)</f>
        <v>0</v>
      </c>
      <c r="AE187" s="63">
        <f>ROUND(AD187*$P187,2)</f>
        <v>0</v>
      </c>
      <c r="AF187" s="61">
        <f>IFERROR(SUMIFS('BM MORRO DA CRUZ - VERTICAL'!AJ$6:AJ$546,'BM MORRO DA CRUZ - VERTICAL'!$O$6:$O$546,'BM MORRO DA CRUZ'!$K187),0)</f>
        <v>0</v>
      </c>
      <c r="AG187" s="63">
        <f>ROUND(AF187*$P187,2)</f>
        <v>0</v>
      </c>
      <c r="AH187" s="61">
        <f>IFERROR(SUMIFS('BM MORRO DA CRUZ - VERTICAL'!AL$6:AL$546,'BM MORRO DA CRUZ - VERTICAL'!$O$6:$O$546,'BM MORRO DA CRUZ'!$K187),0)</f>
        <v>0</v>
      </c>
      <c r="AI187" s="63">
        <f>ROUND(AH187*$P187,2)</f>
        <v>0</v>
      </c>
      <c r="AJ187" s="61">
        <f>IFERROR(SUMIFS('BM MORRO DA CRUZ - VERTICAL'!AN$6:AN$546,'BM MORRO DA CRUZ - VERTICAL'!$O$6:$O$546,'BM MORRO DA CRUZ'!$K187),0)</f>
        <v>0</v>
      </c>
      <c r="AK187" s="63">
        <f>ROUND(AJ187*$P187,2)</f>
        <v>0</v>
      </c>
      <c r="AL187" s="61">
        <f>IFERROR(SUMIFS('BM MORRO DA CRUZ - VERTICAL'!AP$6:AP$546,'BM MORRO DA CRUZ - VERTICAL'!$O$6:$O$546,'BM MORRO DA CRUZ'!$K187),0)</f>
        <v>0</v>
      </c>
      <c r="AM187" s="63">
        <f>ROUND(AL187*$P187,2)</f>
        <v>0</v>
      </c>
      <c r="AN187" s="61">
        <f>IFERROR(SUMIFS('BM MORRO DA CRUZ - VERTICAL'!AR$6:AR$546,'BM MORRO DA CRUZ - VERTICAL'!$O$6:$O$546,'BM MORRO DA CRUZ'!$K187),0)</f>
        <v>0</v>
      </c>
      <c r="AO187" s="63">
        <f>ROUND(AN187*$P187,2)</f>
        <v>0</v>
      </c>
      <c r="AP187" s="61">
        <f>IFERROR(SUMIFS('BM MORRO DA CRUZ - VERTICAL'!AT$6:AT$546,'BM MORRO DA CRUZ - VERTICAL'!$O$6:$O$546,'BM MORRO DA CRUZ'!$K187),0)</f>
        <v>0</v>
      </c>
      <c r="AQ187" s="63">
        <f>ROUND(AP187*$P187,2)</f>
        <v>0</v>
      </c>
      <c r="AR187" s="61">
        <f>IFERROR(SUMIFS('BM MORRO DA CRUZ - VERTICAL'!AV$6:AV$546,'BM MORRO DA CRUZ - VERTICAL'!$O$6:$O$546,'BM MORRO DA CRUZ'!$K187),0)</f>
        <v>0</v>
      </c>
      <c r="AS187" s="63">
        <f>ROUND(AR187*$P187,2)</f>
        <v>0</v>
      </c>
      <c r="AT187" s="61">
        <f>IFERROR(SUMIFS('BM MORRO DA CRUZ - VERTICAL'!AX$6:AX$546,'BM MORRO DA CRUZ - VERTICAL'!$O$6:$O$546,'BM MORRO DA CRUZ'!$K187),0)</f>
        <v>0</v>
      </c>
      <c r="AU187" s="63">
        <f>ROUND(AT187*$P187,2)</f>
        <v>0</v>
      </c>
      <c r="AV187" s="61">
        <f>IFERROR(SUMIFS('BM MORRO DA CRUZ - VERTICAL'!AZ$6:AZ$546,'BM MORRO DA CRUZ - VERTICAL'!$O$6:$O$546,'BM MORRO DA CRUZ'!$K187),0)</f>
        <v>0</v>
      </c>
      <c r="AW187" s="63">
        <f>ROUND(AV187*$P187,2)</f>
        <v>0</v>
      </c>
      <c r="AX187" s="61">
        <f>IFERROR(SUMIFS('BM MORRO DA CRUZ - VERTICAL'!BB$6:BB$546,'BM MORRO DA CRUZ - VERTICAL'!$O$6:$O$546,'BM MORRO DA CRUZ'!$K187),0)</f>
        <v>0</v>
      </c>
      <c r="AY187" s="63">
        <f>ROUND(AX187*$P187,2)</f>
        <v>0</v>
      </c>
      <c r="AZ187" s="61">
        <f>IFERROR(SUMIFS('BM MORRO DA CRUZ - VERTICAL'!BD$6:BD$546,'BM MORRO DA CRUZ - VERTICAL'!$O$6:$O$546,'BM MORRO DA CRUZ'!$K187),0)</f>
        <v>0</v>
      </c>
      <c r="BA187" s="63">
        <f>ROUND(AZ187*$P187,2)</f>
        <v>0</v>
      </c>
      <c r="BB187" s="61">
        <f>IFERROR(SUMIFS($R187:$BA187,$R$5:$BA$5,$BB$5),0)</f>
        <v>0</v>
      </c>
      <c r="BC187" s="63">
        <f>SUMIFS($R187:$BA187,$R$5:$BA$5,$S$5)</f>
        <v>0</v>
      </c>
      <c r="BD187" s="64">
        <f>IFERROR(BB187/O187,0)</f>
        <v>0</v>
      </c>
      <c r="BE187" s="65">
        <f>IFERROR((O187-BB187)/O187,0)</f>
        <v>1</v>
      </c>
      <c r="BF187" s="45"/>
    </row>
    <row r="188" spans="1:58" ht="19.5" customHeight="1" x14ac:dyDescent="0.45">
      <c r="A188" s="46" t="s">
        <v>742</v>
      </c>
      <c r="B188" s="503"/>
      <c r="C188" s="504"/>
      <c r="D188" s="504"/>
      <c r="E188" s="504"/>
      <c r="F188" s="504"/>
      <c r="G188" s="504"/>
      <c r="H188" s="505" t="s">
        <v>1718</v>
      </c>
      <c r="I188" s="504"/>
      <c r="J188" s="505" t="s">
        <v>1718</v>
      </c>
      <c r="K188" s="47" t="s">
        <v>743</v>
      </c>
      <c r="L188" s="48"/>
      <c r="M188" s="49" t="s">
        <v>744</v>
      </c>
      <c r="N188" s="50"/>
      <c r="O188" s="51"/>
      <c r="P188" s="52"/>
      <c r="Q188" s="53">
        <f>SUM(Q189:Q202)</f>
        <v>1575150.8599999999</v>
      </c>
      <c r="R188" s="51"/>
      <c r="S188" s="53">
        <f>SUM(S189:S202)</f>
        <v>0</v>
      </c>
      <c r="T188" s="51"/>
      <c r="U188" s="53">
        <f>SUM(U189:U202)</f>
        <v>0</v>
      </c>
      <c r="V188" s="51"/>
      <c r="W188" s="53">
        <f>SUM(W189:W202)</f>
        <v>0</v>
      </c>
      <c r="X188" s="51"/>
      <c r="Y188" s="53">
        <f>SUM(Y189:Y202)</f>
        <v>0</v>
      </c>
      <c r="Z188" s="51"/>
      <c r="AA188" s="53">
        <f>SUM(AA189:AA202)</f>
        <v>0</v>
      </c>
      <c r="AB188" s="51"/>
      <c r="AC188" s="53">
        <f>SUM(AC189:AC202)</f>
        <v>0</v>
      </c>
      <c r="AD188" s="51"/>
      <c r="AE188" s="53">
        <f>SUM(AE189:AE202)</f>
        <v>0</v>
      </c>
      <c r="AF188" s="51"/>
      <c r="AG188" s="53">
        <f>SUM(AG189:AG202)</f>
        <v>0</v>
      </c>
      <c r="AH188" s="51"/>
      <c r="AI188" s="53">
        <f>SUM(AI189:AI202)</f>
        <v>0</v>
      </c>
      <c r="AJ188" s="51"/>
      <c r="AK188" s="53">
        <f>SUM(AK189:AK202)</f>
        <v>0</v>
      </c>
      <c r="AL188" s="51"/>
      <c r="AM188" s="53">
        <f>SUM(AM189:AM202)</f>
        <v>0</v>
      </c>
      <c r="AN188" s="51"/>
      <c r="AO188" s="53">
        <f>SUM(AO189:AO202)</f>
        <v>0</v>
      </c>
      <c r="AP188" s="51"/>
      <c r="AQ188" s="53">
        <f>SUM(AQ189:AQ202)</f>
        <v>0</v>
      </c>
      <c r="AR188" s="51"/>
      <c r="AS188" s="53">
        <f>SUM(AS189:AS202)</f>
        <v>0</v>
      </c>
      <c r="AT188" s="51"/>
      <c r="AU188" s="53">
        <f>SUM(AU189:AU202)</f>
        <v>0</v>
      </c>
      <c r="AV188" s="51"/>
      <c r="AW188" s="53">
        <f>SUM(AW189:AW202)</f>
        <v>0</v>
      </c>
      <c r="AX188" s="51"/>
      <c r="AY188" s="53">
        <f>SUM(AY189:AY202)</f>
        <v>0</v>
      </c>
      <c r="AZ188" s="51"/>
      <c r="BA188" s="53">
        <f>SUM(BA189:BA202)</f>
        <v>0</v>
      </c>
      <c r="BB188" s="51"/>
      <c r="BC188" s="53">
        <f>SUM(BC189:BC202)</f>
        <v>0</v>
      </c>
      <c r="BD188" s="54"/>
      <c r="BE188" s="55"/>
      <c r="BF188" s="45"/>
    </row>
    <row r="189" spans="1:58" ht="38.25" customHeight="1" x14ac:dyDescent="0.45">
      <c r="A189" s="56" t="s">
        <v>745</v>
      </c>
      <c r="B189" s="506" t="s">
        <v>746</v>
      </c>
      <c r="C189" s="507" t="s">
        <v>39</v>
      </c>
      <c r="D189" s="507" t="s">
        <v>39</v>
      </c>
      <c r="E189" s="507" t="s">
        <v>747</v>
      </c>
      <c r="F189" s="507" t="s">
        <v>39</v>
      </c>
      <c r="G189" s="507">
        <v>1500</v>
      </c>
      <c r="H189" s="508" t="s">
        <v>78</v>
      </c>
      <c r="I189" s="507" t="s">
        <v>748</v>
      </c>
      <c r="J189" s="508" t="s">
        <v>78</v>
      </c>
      <c r="K189" s="57" t="s">
        <v>749</v>
      </c>
      <c r="L189" s="58" t="s">
        <v>21</v>
      </c>
      <c r="M189" s="59" t="s">
        <v>750</v>
      </c>
      <c r="N189" s="60" t="s">
        <v>71</v>
      </c>
      <c r="O189" s="61">
        <v>4</v>
      </c>
      <c r="P189" s="62">
        <v>608.39</v>
      </c>
      <c r="Q189" s="63">
        <f t="shared" ref="Q189:Q202" si="138">ROUND(P189*$O189,2)</f>
        <v>2433.56</v>
      </c>
      <c r="R189" s="61">
        <f>IFERROR(SUMIFS('BM MORRO DA CRUZ - VERTICAL'!V$6:V$546,'BM MORRO DA CRUZ - VERTICAL'!$O$6:$O$546,'BM MORRO DA CRUZ'!$K189),0)</f>
        <v>0</v>
      </c>
      <c r="S189" s="63">
        <f t="shared" ref="S189:S202" si="139">ROUND(R189*$P189,2)</f>
        <v>0</v>
      </c>
      <c r="T189" s="61">
        <f>IFERROR(SUMIFS('BM MORRO DA CRUZ - VERTICAL'!X$6:X$546,'BM MORRO DA CRUZ - VERTICAL'!$O$6:$O$546,'BM MORRO DA CRUZ'!$K189),0)</f>
        <v>0</v>
      </c>
      <c r="U189" s="63">
        <f t="shared" ref="U189:U202" si="140">ROUND(T189*$P189,2)</f>
        <v>0</v>
      </c>
      <c r="V189" s="61">
        <f>IFERROR(SUMIFS('BM MORRO DA CRUZ - VERTICAL'!Z$6:Z$546,'BM MORRO DA CRUZ - VERTICAL'!$O$6:$O$546,'BM MORRO DA CRUZ'!$K189),0)</f>
        <v>0</v>
      </c>
      <c r="W189" s="63">
        <f t="shared" ref="W189:W202" si="141">ROUND(V189*$P189,2)</f>
        <v>0</v>
      </c>
      <c r="X189" s="61">
        <f>IFERROR(SUMIFS('BM MORRO DA CRUZ - VERTICAL'!AB$6:AB$546,'BM MORRO DA CRUZ - VERTICAL'!$O$6:$O$546,'BM MORRO DA CRUZ'!$K189),0)</f>
        <v>0</v>
      </c>
      <c r="Y189" s="63">
        <f t="shared" ref="Y189:Y202" si="142">ROUND(X189*$P189,2)</f>
        <v>0</v>
      </c>
      <c r="Z189" s="61">
        <f>IFERROR(SUMIFS('BM MORRO DA CRUZ - VERTICAL'!AD$6:AD$546,'BM MORRO DA CRUZ - VERTICAL'!$O$6:$O$546,'BM MORRO DA CRUZ'!$K189),0)</f>
        <v>0</v>
      </c>
      <c r="AA189" s="63">
        <f t="shared" ref="AA189:AA202" si="143">ROUND(Z189*$P189,2)</f>
        <v>0</v>
      </c>
      <c r="AB189" s="61">
        <f>IFERROR(SUMIFS('BM MORRO DA CRUZ - VERTICAL'!AF$6:AF$546,'BM MORRO DA CRUZ - VERTICAL'!$O$6:$O$546,'BM MORRO DA CRUZ'!$K189),0)</f>
        <v>0</v>
      </c>
      <c r="AC189" s="63">
        <f t="shared" ref="AC189:AC202" si="144">ROUND(AB189*$P189,2)</f>
        <v>0</v>
      </c>
      <c r="AD189" s="61">
        <f>IFERROR(SUMIFS('BM MORRO DA CRUZ - VERTICAL'!AH$6:AH$546,'BM MORRO DA CRUZ - VERTICAL'!$O$6:$O$546,'BM MORRO DA CRUZ'!$K189),0)</f>
        <v>0</v>
      </c>
      <c r="AE189" s="63">
        <f t="shared" ref="AE189:AE202" si="145">ROUND(AD189*$P189,2)</f>
        <v>0</v>
      </c>
      <c r="AF189" s="61">
        <f>IFERROR(SUMIFS('BM MORRO DA CRUZ - VERTICAL'!AJ$6:AJ$546,'BM MORRO DA CRUZ - VERTICAL'!$O$6:$O$546,'BM MORRO DA CRUZ'!$K189),0)</f>
        <v>0</v>
      </c>
      <c r="AG189" s="63">
        <f t="shared" ref="AG189:AG202" si="146">ROUND(AF189*$P189,2)</f>
        <v>0</v>
      </c>
      <c r="AH189" s="61">
        <f>IFERROR(SUMIFS('BM MORRO DA CRUZ - VERTICAL'!AL$6:AL$546,'BM MORRO DA CRUZ - VERTICAL'!$O$6:$O$546,'BM MORRO DA CRUZ'!$K189),0)</f>
        <v>0</v>
      </c>
      <c r="AI189" s="63">
        <f t="shared" ref="AI189:AI202" si="147">ROUND(AH189*$P189,2)</f>
        <v>0</v>
      </c>
      <c r="AJ189" s="61">
        <f>IFERROR(SUMIFS('BM MORRO DA CRUZ - VERTICAL'!AN$6:AN$546,'BM MORRO DA CRUZ - VERTICAL'!$O$6:$O$546,'BM MORRO DA CRUZ'!$K189),0)</f>
        <v>0</v>
      </c>
      <c r="AK189" s="63">
        <f t="shared" ref="AK189:AK202" si="148">ROUND(AJ189*$P189,2)</f>
        <v>0</v>
      </c>
      <c r="AL189" s="61">
        <f>IFERROR(SUMIFS('BM MORRO DA CRUZ - VERTICAL'!AP$6:AP$546,'BM MORRO DA CRUZ - VERTICAL'!$O$6:$O$546,'BM MORRO DA CRUZ'!$K189),0)</f>
        <v>0</v>
      </c>
      <c r="AM189" s="63">
        <f t="shared" ref="AM189:AM202" si="149">ROUND(AL189*$P189,2)</f>
        <v>0</v>
      </c>
      <c r="AN189" s="61">
        <f>IFERROR(SUMIFS('BM MORRO DA CRUZ - VERTICAL'!AR$6:AR$546,'BM MORRO DA CRUZ - VERTICAL'!$O$6:$O$546,'BM MORRO DA CRUZ'!$K189),0)</f>
        <v>0</v>
      </c>
      <c r="AO189" s="63">
        <f t="shared" ref="AO189:AO202" si="150">ROUND(AN189*$P189,2)</f>
        <v>0</v>
      </c>
      <c r="AP189" s="61">
        <f>IFERROR(SUMIFS('BM MORRO DA CRUZ - VERTICAL'!AT$6:AT$546,'BM MORRO DA CRUZ - VERTICAL'!$O$6:$O$546,'BM MORRO DA CRUZ'!$K189),0)</f>
        <v>0</v>
      </c>
      <c r="AQ189" s="63">
        <f t="shared" ref="AQ189:AQ202" si="151">ROUND(AP189*$P189,2)</f>
        <v>0</v>
      </c>
      <c r="AR189" s="61">
        <f>IFERROR(SUMIFS('BM MORRO DA CRUZ - VERTICAL'!AV$6:AV$546,'BM MORRO DA CRUZ - VERTICAL'!$O$6:$O$546,'BM MORRO DA CRUZ'!$K189),0)</f>
        <v>0</v>
      </c>
      <c r="AS189" s="63">
        <f t="shared" ref="AS189:AS202" si="152">ROUND(AR189*$P189,2)</f>
        <v>0</v>
      </c>
      <c r="AT189" s="61">
        <f>IFERROR(SUMIFS('BM MORRO DA CRUZ - VERTICAL'!AX$6:AX$546,'BM MORRO DA CRUZ - VERTICAL'!$O$6:$O$546,'BM MORRO DA CRUZ'!$K189),0)</f>
        <v>0</v>
      </c>
      <c r="AU189" s="63">
        <f t="shared" ref="AU189:AU202" si="153">ROUND(AT189*$P189,2)</f>
        <v>0</v>
      </c>
      <c r="AV189" s="61">
        <f>IFERROR(SUMIFS('BM MORRO DA CRUZ - VERTICAL'!AZ$6:AZ$546,'BM MORRO DA CRUZ - VERTICAL'!$O$6:$O$546,'BM MORRO DA CRUZ'!$K189),0)</f>
        <v>0</v>
      </c>
      <c r="AW189" s="63">
        <f t="shared" ref="AW189:AW202" si="154">ROUND(AV189*$P189,2)</f>
        <v>0</v>
      </c>
      <c r="AX189" s="61">
        <f>IFERROR(SUMIFS('BM MORRO DA CRUZ - VERTICAL'!BB$6:BB$546,'BM MORRO DA CRUZ - VERTICAL'!$O$6:$O$546,'BM MORRO DA CRUZ'!$K189),0)</f>
        <v>0</v>
      </c>
      <c r="AY189" s="63">
        <f t="shared" ref="AY189:AY202" si="155">ROUND(AX189*$P189,2)</f>
        <v>0</v>
      </c>
      <c r="AZ189" s="61">
        <f>IFERROR(SUMIFS('BM MORRO DA CRUZ - VERTICAL'!BD$6:BD$546,'BM MORRO DA CRUZ - VERTICAL'!$O$6:$O$546,'BM MORRO DA CRUZ'!$K189),0)</f>
        <v>0</v>
      </c>
      <c r="BA189" s="63">
        <f t="shared" ref="BA189:BA202" si="156">ROUND(AZ189*$P189,2)</f>
        <v>0</v>
      </c>
      <c r="BB189" s="61">
        <f t="shared" ref="BB189:BB202" si="157">IFERROR(SUMIFS($R189:$BA189,$R$5:$BA$5,$BB$5),0)</f>
        <v>0</v>
      </c>
      <c r="BC189" s="63">
        <f t="shared" ref="BC189:BC202" si="158">SUMIFS($R189:$BA189,$R$5:$BA$5,$S$5)</f>
        <v>0</v>
      </c>
      <c r="BD189" s="64">
        <f t="shared" ref="BD189:BD202" si="159">IFERROR(BB189/O189,0)</f>
        <v>0</v>
      </c>
      <c r="BE189" s="65">
        <f t="shared" ref="BE189:BE202" si="160">IFERROR((O189-BB189)/O189,0)</f>
        <v>1</v>
      </c>
      <c r="BF189" s="45"/>
    </row>
    <row r="190" spans="1:58" ht="26.25" customHeight="1" x14ac:dyDescent="0.45">
      <c r="A190" s="56" t="s">
        <v>751</v>
      </c>
      <c r="B190" s="506" t="s">
        <v>752</v>
      </c>
      <c r="C190" s="507" t="s">
        <v>39</v>
      </c>
      <c r="D190" s="507" t="s">
        <v>39</v>
      </c>
      <c r="E190" s="507" t="s">
        <v>78</v>
      </c>
      <c r="F190" s="507" t="s">
        <v>39</v>
      </c>
      <c r="G190" s="507" t="s">
        <v>39</v>
      </c>
      <c r="H190" s="508" t="s">
        <v>78</v>
      </c>
      <c r="I190" s="507" t="s">
        <v>79</v>
      </c>
      <c r="J190" s="508" t="s">
        <v>78</v>
      </c>
      <c r="K190" s="57" t="s">
        <v>753</v>
      </c>
      <c r="L190" s="58" t="s">
        <v>21</v>
      </c>
      <c r="M190" s="59" t="s">
        <v>754</v>
      </c>
      <c r="N190" s="60" t="s">
        <v>755</v>
      </c>
      <c r="O190" s="61">
        <v>45.4</v>
      </c>
      <c r="P190" s="62">
        <v>528.86</v>
      </c>
      <c r="Q190" s="63">
        <f t="shared" si="138"/>
        <v>24010.240000000002</v>
      </c>
      <c r="R190" s="61">
        <f>IFERROR(SUMIFS('BM MORRO DA CRUZ - VERTICAL'!V$6:V$546,'BM MORRO DA CRUZ - VERTICAL'!$O$6:$O$546,'BM MORRO DA CRUZ'!$K190),0)</f>
        <v>0</v>
      </c>
      <c r="S190" s="63">
        <f t="shared" si="139"/>
        <v>0</v>
      </c>
      <c r="T190" s="61">
        <f>IFERROR(SUMIFS('BM MORRO DA CRUZ - VERTICAL'!X$6:X$546,'BM MORRO DA CRUZ - VERTICAL'!$O$6:$O$546,'BM MORRO DA CRUZ'!$K190),0)</f>
        <v>0</v>
      </c>
      <c r="U190" s="63">
        <f t="shared" si="140"/>
        <v>0</v>
      </c>
      <c r="V190" s="61">
        <f>IFERROR(SUMIFS('BM MORRO DA CRUZ - VERTICAL'!Z$6:Z$546,'BM MORRO DA CRUZ - VERTICAL'!$O$6:$O$546,'BM MORRO DA CRUZ'!$K190),0)</f>
        <v>0</v>
      </c>
      <c r="W190" s="63">
        <f t="shared" si="141"/>
        <v>0</v>
      </c>
      <c r="X190" s="61">
        <f>IFERROR(SUMIFS('BM MORRO DA CRUZ - VERTICAL'!AB$6:AB$546,'BM MORRO DA CRUZ - VERTICAL'!$O$6:$O$546,'BM MORRO DA CRUZ'!$K190),0)</f>
        <v>0</v>
      </c>
      <c r="Y190" s="63">
        <f t="shared" si="142"/>
        <v>0</v>
      </c>
      <c r="Z190" s="61">
        <f>IFERROR(SUMIFS('BM MORRO DA CRUZ - VERTICAL'!AD$6:AD$546,'BM MORRO DA CRUZ - VERTICAL'!$O$6:$O$546,'BM MORRO DA CRUZ'!$K190),0)</f>
        <v>0</v>
      </c>
      <c r="AA190" s="63">
        <f t="shared" si="143"/>
        <v>0</v>
      </c>
      <c r="AB190" s="61">
        <f>IFERROR(SUMIFS('BM MORRO DA CRUZ - VERTICAL'!AF$6:AF$546,'BM MORRO DA CRUZ - VERTICAL'!$O$6:$O$546,'BM MORRO DA CRUZ'!$K190),0)</f>
        <v>0</v>
      </c>
      <c r="AC190" s="63">
        <f t="shared" si="144"/>
        <v>0</v>
      </c>
      <c r="AD190" s="61">
        <f>IFERROR(SUMIFS('BM MORRO DA CRUZ - VERTICAL'!AH$6:AH$546,'BM MORRO DA CRUZ - VERTICAL'!$O$6:$O$546,'BM MORRO DA CRUZ'!$K190),0)</f>
        <v>0</v>
      </c>
      <c r="AE190" s="63">
        <f t="shared" si="145"/>
        <v>0</v>
      </c>
      <c r="AF190" s="61">
        <f>IFERROR(SUMIFS('BM MORRO DA CRUZ - VERTICAL'!AJ$6:AJ$546,'BM MORRO DA CRUZ - VERTICAL'!$O$6:$O$546,'BM MORRO DA CRUZ'!$K190),0)</f>
        <v>0</v>
      </c>
      <c r="AG190" s="63">
        <f t="shared" si="146"/>
        <v>0</v>
      </c>
      <c r="AH190" s="61">
        <f>IFERROR(SUMIFS('BM MORRO DA CRUZ - VERTICAL'!AL$6:AL$546,'BM MORRO DA CRUZ - VERTICAL'!$O$6:$O$546,'BM MORRO DA CRUZ'!$K190),0)</f>
        <v>0</v>
      </c>
      <c r="AI190" s="63">
        <f t="shared" si="147"/>
        <v>0</v>
      </c>
      <c r="AJ190" s="61">
        <f>IFERROR(SUMIFS('BM MORRO DA CRUZ - VERTICAL'!AN$6:AN$546,'BM MORRO DA CRUZ - VERTICAL'!$O$6:$O$546,'BM MORRO DA CRUZ'!$K190),0)</f>
        <v>0</v>
      </c>
      <c r="AK190" s="63">
        <f t="shared" si="148"/>
        <v>0</v>
      </c>
      <c r="AL190" s="61">
        <f>IFERROR(SUMIFS('BM MORRO DA CRUZ - VERTICAL'!AP$6:AP$546,'BM MORRO DA CRUZ - VERTICAL'!$O$6:$O$546,'BM MORRO DA CRUZ'!$K190),0)</f>
        <v>0</v>
      </c>
      <c r="AM190" s="63">
        <f t="shared" si="149"/>
        <v>0</v>
      </c>
      <c r="AN190" s="61">
        <f>IFERROR(SUMIFS('BM MORRO DA CRUZ - VERTICAL'!AR$6:AR$546,'BM MORRO DA CRUZ - VERTICAL'!$O$6:$O$546,'BM MORRO DA CRUZ'!$K190),0)</f>
        <v>0</v>
      </c>
      <c r="AO190" s="63">
        <f t="shared" si="150"/>
        <v>0</v>
      </c>
      <c r="AP190" s="61">
        <f>IFERROR(SUMIFS('BM MORRO DA CRUZ - VERTICAL'!AT$6:AT$546,'BM MORRO DA CRUZ - VERTICAL'!$O$6:$O$546,'BM MORRO DA CRUZ'!$K190),0)</f>
        <v>0</v>
      </c>
      <c r="AQ190" s="63">
        <f t="shared" si="151"/>
        <v>0</v>
      </c>
      <c r="AR190" s="61">
        <f>IFERROR(SUMIFS('BM MORRO DA CRUZ - VERTICAL'!AV$6:AV$546,'BM MORRO DA CRUZ - VERTICAL'!$O$6:$O$546,'BM MORRO DA CRUZ'!$K190),0)</f>
        <v>0</v>
      </c>
      <c r="AS190" s="63">
        <f t="shared" si="152"/>
        <v>0</v>
      </c>
      <c r="AT190" s="61">
        <f>IFERROR(SUMIFS('BM MORRO DA CRUZ - VERTICAL'!AX$6:AX$546,'BM MORRO DA CRUZ - VERTICAL'!$O$6:$O$546,'BM MORRO DA CRUZ'!$K190),0)</f>
        <v>0</v>
      </c>
      <c r="AU190" s="63">
        <f t="shared" si="153"/>
        <v>0</v>
      </c>
      <c r="AV190" s="61">
        <f>IFERROR(SUMIFS('BM MORRO DA CRUZ - VERTICAL'!AZ$6:AZ$546,'BM MORRO DA CRUZ - VERTICAL'!$O$6:$O$546,'BM MORRO DA CRUZ'!$K190),0)</f>
        <v>0</v>
      </c>
      <c r="AW190" s="63">
        <f t="shared" si="154"/>
        <v>0</v>
      </c>
      <c r="AX190" s="61">
        <f>IFERROR(SUMIFS('BM MORRO DA CRUZ - VERTICAL'!BB$6:BB$546,'BM MORRO DA CRUZ - VERTICAL'!$O$6:$O$546,'BM MORRO DA CRUZ'!$K190),0)</f>
        <v>0</v>
      </c>
      <c r="AY190" s="63">
        <f t="shared" si="155"/>
        <v>0</v>
      </c>
      <c r="AZ190" s="61">
        <f>IFERROR(SUMIFS('BM MORRO DA CRUZ - VERTICAL'!BD$6:BD$546,'BM MORRO DA CRUZ - VERTICAL'!$O$6:$O$546,'BM MORRO DA CRUZ'!$K190),0)</f>
        <v>0</v>
      </c>
      <c r="BA190" s="63">
        <f t="shared" si="156"/>
        <v>0</v>
      </c>
      <c r="BB190" s="61">
        <f t="shared" si="157"/>
        <v>0</v>
      </c>
      <c r="BC190" s="63">
        <f t="shared" si="158"/>
        <v>0</v>
      </c>
      <c r="BD190" s="64">
        <f t="shared" si="159"/>
        <v>0</v>
      </c>
      <c r="BE190" s="65">
        <f t="shared" si="160"/>
        <v>1</v>
      </c>
      <c r="BF190" s="45"/>
    </row>
    <row r="191" spans="1:58" ht="26" customHeight="1" x14ac:dyDescent="0.45">
      <c r="A191" s="56" t="s">
        <v>756</v>
      </c>
      <c r="B191" s="506" t="s">
        <v>757</v>
      </c>
      <c r="C191" s="507" t="s">
        <v>39</v>
      </c>
      <c r="D191" s="507" t="s">
        <v>39</v>
      </c>
      <c r="E191" s="507" t="s">
        <v>78</v>
      </c>
      <c r="F191" s="507" t="s">
        <v>39</v>
      </c>
      <c r="G191" s="507" t="s">
        <v>39</v>
      </c>
      <c r="H191" s="508" t="s">
        <v>1720</v>
      </c>
      <c r="I191" s="507" t="s">
        <v>79</v>
      </c>
      <c r="J191" s="508" t="s">
        <v>78</v>
      </c>
      <c r="K191" s="57" t="s">
        <v>758</v>
      </c>
      <c r="L191" s="58" t="s">
        <v>21</v>
      </c>
      <c r="M191" s="59" t="s">
        <v>759</v>
      </c>
      <c r="N191" s="60" t="s">
        <v>755</v>
      </c>
      <c r="O191" s="61">
        <v>280.10000000000002</v>
      </c>
      <c r="P191" s="62">
        <v>515.46</v>
      </c>
      <c r="Q191" s="63">
        <f t="shared" si="138"/>
        <v>144380.35</v>
      </c>
      <c r="R191" s="61">
        <f>IFERROR(SUMIFS('BM MORRO DA CRUZ - VERTICAL'!V$6:V$546,'BM MORRO DA CRUZ - VERTICAL'!$O$6:$O$546,'BM MORRO DA CRUZ'!$K191),0)</f>
        <v>0</v>
      </c>
      <c r="S191" s="63">
        <f t="shared" si="139"/>
        <v>0</v>
      </c>
      <c r="T191" s="61">
        <f>IFERROR(SUMIFS('BM MORRO DA CRUZ - VERTICAL'!X$6:X$546,'BM MORRO DA CRUZ - VERTICAL'!$O$6:$O$546,'BM MORRO DA CRUZ'!$K191),0)</f>
        <v>0</v>
      </c>
      <c r="U191" s="63">
        <f t="shared" si="140"/>
        <v>0</v>
      </c>
      <c r="V191" s="61">
        <f>IFERROR(SUMIFS('BM MORRO DA CRUZ - VERTICAL'!Z$6:Z$546,'BM MORRO DA CRUZ - VERTICAL'!$O$6:$O$546,'BM MORRO DA CRUZ'!$K191),0)</f>
        <v>0</v>
      </c>
      <c r="W191" s="63">
        <f t="shared" si="141"/>
        <v>0</v>
      </c>
      <c r="X191" s="61">
        <f>IFERROR(SUMIFS('BM MORRO DA CRUZ - VERTICAL'!AB$6:AB$546,'BM MORRO DA CRUZ - VERTICAL'!$O$6:$O$546,'BM MORRO DA CRUZ'!$K191),0)</f>
        <v>0</v>
      </c>
      <c r="Y191" s="63">
        <f t="shared" si="142"/>
        <v>0</v>
      </c>
      <c r="Z191" s="61">
        <f>IFERROR(SUMIFS('BM MORRO DA CRUZ - VERTICAL'!AD$6:AD$546,'BM MORRO DA CRUZ - VERTICAL'!$O$6:$O$546,'BM MORRO DA CRUZ'!$K191),0)</f>
        <v>0</v>
      </c>
      <c r="AA191" s="63">
        <f t="shared" si="143"/>
        <v>0</v>
      </c>
      <c r="AB191" s="61">
        <f>IFERROR(SUMIFS('BM MORRO DA CRUZ - VERTICAL'!AF$6:AF$546,'BM MORRO DA CRUZ - VERTICAL'!$O$6:$O$546,'BM MORRO DA CRUZ'!$K191),0)</f>
        <v>0</v>
      </c>
      <c r="AC191" s="63">
        <f t="shared" si="144"/>
        <v>0</v>
      </c>
      <c r="AD191" s="61">
        <f>IFERROR(SUMIFS('BM MORRO DA CRUZ - VERTICAL'!AH$6:AH$546,'BM MORRO DA CRUZ - VERTICAL'!$O$6:$O$546,'BM MORRO DA CRUZ'!$K191),0)</f>
        <v>0</v>
      </c>
      <c r="AE191" s="63">
        <f t="shared" si="145"/>
        <v>0</v>
      </c>
      <c r="AF191" s="61">
        <f>IFERROR(SUMIFS('BM MORRO DA CRUZ - VERTICAL'!AJ$6:AJ$546,'BM MORRO DA CRUZ - VERTICAL'!$O$6:$O$546,'BM MORRO DA CRUZ'!$K191),0)</f>
        <v>0</v>
      </c>
      <c r="AG191" s="63">
        <f t="shared" si="146"/>
        <v>0</v>
      </c>
      <c r="AH191" s="61">
        <f>IFERROR(SUMIFS('BM MORRO DA CRUZ - VERTICAL'!AL$6:AL$546,'BM MORRO DA CRUZ - VERTICAL'!$O$6:$O$546,'BM MORRO DA CRUZ'!$K191),0)</f>
        <v>0</v>
      </c>
      <c r="AI191" s="63">
        <f t="shared" si="147"/>
        <v>0</v>
      </c>
      <c r="AJ191" s="61">
        <f>IFERROR(SUMIFS('BM MORRO DA CRUZ - VERTICAL'!AN$6:AN$546,'BM MORRO DA CRUZ - VERTICAL'!$O$6:$O$546,'BM MORRO DA CRUZ'!$K191),0)</f>
        <v>0</v>
      </c>
      <c r="AK191" s="63">
        <f t="shared" si="148"/>
        <v>0</v>
      </c>
      <c r="AL191" s="61">
        <f>IFERROR(SUMIFS('BM MORRO DA CRUZ - VERTICAL'!AP$6:AP$546,'BM MORRO DA CRUZ - VERTICAL'!$O$6:$O$546,'BM MORRO DA CRUZ'!$K191),0)</f>
        <v>0</v>
      </c>
      <c r="AM191" s="63">
        <f t="shared" si="149"/>
        <v>0</v>
      </c>
      <c r="AN191" s="61">
        <f>IFERROR(SUMIFS('BM MORRO DA CRUZ - VERTICAL'!AR$6:AR$546,'BM MORRO DA CRUZ - VERTICAL'!$O$6:$O$546,'BM MORRO DA CRUZ'!$K191),0)</f>
        <v>0</v>
      </c>
      <c r="AO191" s="63">
        <f t="shared" si="150"/>
        <v>0</v>
      </c>
      <c r="AP191" s="61">
        <f>IFERROR(SUMIFS('BM MORRO DA CRUZ - VERTICAL'!AT$6:AT$546,'BM MORRO DA CRUZ - VERTICAL'!$O$6:$O$546,'BM MORRO DA CRUZ'!$K191),0)</f>
        <v>0</v>
      </c>
      <c r="AQ191" s="63">
        <f t="shared" si="151"/>
        <v>0</v>
      </c>
      <c r="AR191" s="61">
        <f>IFERROR(SUMIFS('BM MORRO DA CRUZ - VERTICAL'!AV$6:AV$546,'BM MORRO DA CRUZ - VERTICAL'!$O$6:$O$546,'BM MORRO DA CRUZ'!$K191),0)</f>
        <v>0</v>
      </c>
      <c r="AS191" s="63">
        <f t="shared" si="152"/>
        <v>0</v>
      </c>
      <c r="AT191" s="61">
        <f>IFERROR(SUMIFS('BM MORRO DA CRUZ - VERTICAL'!AX$6:AX$546,'BM MORRO DA CRUZ - VERTICAL'!$O$6:$O$546,'BM MORRO DA CRUZ'!$K191),0)</f>
        <v>0</v>
      </c>
      <c r="AU191" s="63">
        <f t="shared" si="153"/>
        <v>0</v>
      </c>
      <c r="AV191" s="61">
        <f>IFERROR(SUMIFS('BM MORRO DA CRUZ - VERTICAL'!AZ$6:AZ$546,'BM MORRO DA CRUZ - VERTICAL'!$O$6:$O$546,'BM MORRO DA CRUZ'!$K191),0)</f>
        <v>0</v>
      </c>
      <c r="AW191" s="63">
        <f t="shared" si="154"/>
        <v>0</v>
      </c>
      <c r="AX191" s="61">
        <f>IFERROR(SUMIFS('BM MORRO DA CRUZ - VERTICAL'!BB$6:BB$546,'BM MORRO DA CRUZ - VERTICAL'!$O$6:$O$546,'BM MORRO DA CRUZ'!$K191),0)</f>
        <v>0</v>
      </c>
      <c r="AY191" s="63">
        <f t="shared" si="155"/>
        <v>0</v>
      </c>
      <c r="AZ191" s="61">
        <f>IFERROR(SUMIFS('BM MORRO DA CRUZ - VERTICAL'!BD$6:BD$546,'BM MORRO DA CRUZ - VERTICAL'!$O$6:$O$546,'BM MORRO DA CRUZ'!$K191),0)</f>
        <v>0</v>
      </c>
      <c r="BA191" s="63">
        <f t="shared" si="156"/>
        <v>0</v>
      </c>
      <c r="BB191" s="61">
        <f t="shared" si="157"/>
        <v>0</v>
      </c>
      <c r="BC191" s="63">
        <f t="shared" si="158"/>
        <v>0</v>
      </c>
      <c r="BD191" s="64">
        <f t="shared" si="159"/>
        <v>0</v>
      </c>
      <c r="BE191" s="65">
        <f t="shared" si="160"/>
        <v>1</v>
      </c>
      <c r="BF191" s="45"/>
    </row>
    <row r="192" spans="1:58" ht="19.5" customHeight="1" x14ac:dyDescent="0.45">
      <c r="A192" s="56" t="s">
        <v>760</v>
      </c>
      <c r="B192" s="506" t="s">
        <v>761</v>
      </c>
      <c r="C192" s="507" t="s">
        <v>39</v>
      </c>
      <c r="D192" s="507" t="s">
        <v>39</v>
      </c>
      <c r="E192" s="507" t="s">
        <v>762</v>
      </c>
      <c r="F192" s="507" t="s">
        <v>39</v>
      </c>
      <c r="G192" s="507" t="s">
        <v>39</v>
      </c>
      <c r="H192" s="508" t="s">
        <v>257</v>
      </c>
      <c r="I192" s="507" t="s">
        <v>763</v>
      </c>
      <c r="J192" s="508" t="s">
        <v>41</v>
      </c>
      <c r="K192" s="57" t="s">
        <v>764</v>
      </c>
      <c r="L192" s="58" t="s">
        <v>21</v>
      </c>
      <c r="M192" s="59" t="s">
        <v>765</v>
      </c>
      <c r="N192" s="60" t="s">
        <v>71</v>
      </c>
      <c r="O192" s="61">
        <v>25</v>
      </c>
      <c r="P192" s="62">
        <v>39.450000000000003</v>
      </c>
      <c r="Q192" s="63">
        <f t="shared" si="138"/>
        <v>986.25</v>
      </c>
      <c r="R192" s="61">
        <f>IFERROR(SUMIFS('BM MORRO DA CRUZ - VERTICAL'!V$6:V$546,'BM MORRO DA CRUZ - VERTICAL'!$O$6:$O$546,'BM MORRO DA CRUZ'!$K192),0)</f>
        <v>0</v>
      </c>
      <c r="S192" s="63">
        <f t="shared" si="139"/>
        <v>0</v>
      </c>
      <c r="T192" s="61">
        <f>IFERROR(SUMIFS('BM MORRO DA CRUZ - VERTICAL'!X$6:X$546,'BM MORRO DA CRUZ - VERTICAL'!$O$6:$O$546,'BM MORRO DA CRUZ'!$K192),0)</f>
        <v>0</v>
      </c>
      <c r="U192" s="63">
        <f t="shared" si="140"/>
        <v>0</v>
      </c>
      <c r="V192" s="61">
        <f>IFERROR(SUMIFS('BM MORRO DA CRUZ - VERTICAL'!Z$6:Z$546,'BM MORRO DA CRUZ - VERTICAL'!$O$6:$O$546,'BM MORRO DA CRUZ'!$K192),0)</f>
        <v>0</v>
      </c>
      <c r="W192" s="63">
        <f t="shared" si="141"/>
        <v>0</v>
      </c>
      <c r="X192" s="61">
        <f>IFERROR(SUMIFS('BM MORRO DA CRUZ - VERTICAL'!AB$6:AB$546,'BM MORRO DA CRUZ - VERTICAL'!$O$6:$O$546,'BM MORRO DA CRUZ'!$K192),0)</f>
        <v>0</v>
      </c>
      <c r="Y192" s="63">
        <f t="shared" si="142"/>
        <v>0</v>
      </c>
      <c r="Z192" s="61">
        <f>IFERROR(SUMIFS('BM MORRO DA CRUZ - VERTICAL'!AD$6:AD$546,'BM MORRO DA CRUZ - VERTICAL'!$O$6:$O$546,'BM MORRO DA CRUZ'!$K192),0)</f>
        <v>0</v>
      </c>
      <c r="AA192" s="63">
        <f t="shared" si="143"/>
        <v>0</v>
      </c>
      <c r="AB192" s="61">
        <f>IFERROR(SUMIFS('BM MORRO DA CRUZ - VERTICAL'!AF$6:AF$546,'BM MORRO DA CRUZ - VERTICAL'!$O$6:$O$546,'BM MORRO DA CRUZ'!$K192),0)</f>
        <v>0</v>
      </c>
      <c r="AC192" s="63">
        <f t="shared" si="144"/>
        <v>0</v>
      </c>
      <c r="AD192" s="61">
        <f>IFERROR(SUMIFS('BM MORRO DA CRUZ - VERTICAL'!AH$6:AH$546,'BM MORRO DA CRUZ - VERTICAL'!$O$6:$O$546,'BM MORRO DA CRUZ'!$K192),0)</f>
        <v>0</v>
      </c>
      <c r="AE192" s="63">
        <f t="shared" si="145"/>
        <v>0</v>
      </c>
      <c r="AF192" s="61">
        <f>IFERROR(SUMIFS('BM MORRO DA CRUZ - VERTICAL'!AJ$6:AJ$546,'BM MORRO DA CRUZ - VERTICAL'!$O$6:$O$546,'BM MORRO DA CRUZ'!$K192),0)</f>
        <v>0</v>
      </c>
      <c r="AG192" s="63">
        <f t="shared" si="146"/>
        <v>0</v>
      </c>
      <c r="AH192" s="61">
        <f>IFERROR(SUMIFS('BM MORRO DA CRUZ - VERTICAL'!AL$6:AL$546,'BM MORRO DA CRUZ - VERTICAL'!$O$6:$O$546,'BM MORRO DA CRUZ'!$K192),0)</f>
        <v>0</v>
      </c>
      <c r="AI192" s="63">
        <f t="shared" si="147"/>
        <v>0</v>
      </c>
      <c r="AJ192" s="61">
        <f>IFERROR(SUMIFS('BM MORRO DA CRUZ - VERTICAL'!AN$6:AN$546,'BM MORRO DA CRUZ - VERTICAL'!$O$6:$O$546,'BM MORRO DA CRUZ'!$K192),0)</f>
        <v>0</v>
      </c>
      <c r="AK192" s="63">
        <f t="shared" si="148"/>
        <v>0</v>
      </c>
      <c r="AL192" s="61">
        <f>IFERROR(SUMIFS('BM MORRO DA CRUZ - VERTICAL'!AP$6:AP$546,'BM MORRO DA CRUZ - VERTICAL'!$O$6:$O$546,'BM MORRO DA CRUZ'!$K192),0)</f>
        <v>0</v>
      </c>
      <c r="AM192" s="63">
        <f t="shared" si="149"/>
        <v>0</v>
      </c>
      <c r="AN192" s="61">
        <f>IFERROR(SUMIFS('BM MORRO DA CRUZ - VERTICAL'!AR$6:AR$546,'BM MORRO DA CRUZ - VERTICAL'!$O$6:$O$546,'BM MORRO DA CRUZ'!$K192),0)</f>
        <v>0</v>
      </c>
      <c r="AO192" s="63">
        <f t="shared" si="150"/>
        <v>0</v>
      </c>
      <c r="AP192" s="61">
        <f>IFERROR(SUMIFS('BM MORRO DA CRUZ - VERTICAL'!AT$6:AT$546,'BM MORRO DA CRUZ - VERTICAL'!$O$6:$O$546,'BM MORRO DA CRUZ'!$K192),0)</f>
        <v>0</v>
      </c>
      <c r="AQ192" s="63">
        <f t="shared" si="151"/>
        <v>0</v>
      </c>
      <c r="AR192" s="61">
        <f>IFERROR(SUMIFS('BM MORRO DA CRUZ - VERTICAL'!AV$6:AV$546,'BM MORRO DA CRUZ - VERTICAL'!$O$6:$O$546,'BM MORRO DA CRUZ'!$K192),0)</f>
        <v>0</v>
      </c>
      <c r="AS192" s="63">
        <f t="shared" si="152"/>
        <v>0</v>
      </c>
      <c r="AT192" s="61">
        <f>IFERROR(SUMIFS('BM MORRO DA CRUZ - VERTICAL'!AX$6:AX$546,'BM MORRO DA CRUZ - VERTICAL'!$O$6:$O$546,'BM MORRO DA CRUZ'!$K192),0)</f>
        <v>0</v>
      </c>
      <c r="AU192" s="63">
        <f t="shared" si="153"/>
        <v>0</v>
      </c>
      <c r="AV192" s="61">
        <f>IFERROR(SUMIFS('BM MORRO DA CRUZ - VERTICAL'!AZ$6:AZ$546,'BM MORRO DA CRUZ - VERTICAL'!$O$6:$O$546,'BM MORRO DA CRUZ'!$K192),0)</f>
        <v>0</v>
      </c>
      <c r="AW192" s="63">
        <f t="shared" si="154"/>
        <v>0</v>
      </c>
      <c r="AX192" s="61">
        <f>IFERROR(SUMIFS('BM MORRO DA CRUZ - VERTICAL'!BB$6:BB$546,'BM MORRO DA CRUZ - VERTICAL'!$O$6:$O$546,'BM MORRO DA CRUZ'!$K192),0)</f>
        <v>0</v>
      </c>
      <c r="AY192" s="63">
        <f t="shared" si="155"/>
        <v>0</v>
      </c>
      <c r="AZ192" s="61">
        <f>IFERROR(SUMIFS('BM MORRO DA CRUZ - VERTICAL'!BD$6:BD$546,'BM MORRO DA CRUZ - VERTICAL'!$O$6:$O$546,'BM MORRO DA CRUZ'!$K192),0)</f>
        <v>0</v>
      </c>
      <c r="BA192" s="63">
        <f t="shared" si="156"/>
        <v>0</v>
      </c>
      <c r="BB192" s="61">
        <f t="shared" si="157"/>
        <v>0</v>
      </c>
      <c r="BC192" s="63">
        <f t="shared" si="158"/>
        <v>0</v>
      </c>
      <c r="BD192" s="64">
        <f t="shared" si="159"/>
        <v>0</v>
      </c>
      <c r="BE192" s="65">
        <f t="shared" si="160"/>
        <v>1</v>
      </c>
      <c r="BF192" s="45"/>
    </row>
    <row r="193" spans="1:58" ht="38.25" customHeight="1" x14ac:dyDescent="0.45">
      <c r="A193" s="56" t="s">
        <v>766</v>
      </c>
      <c r="B193" s="506" t="s">
        <v>767</v>
      </c>
      <c r="C193" s="507" t="s">
        <v>39</v>
      </c>
      <c r="D193" s="507" t="s">
        <v>39</v>
      </c>
      <c r="E193" s="507" t="s">
        <v>768</v>
      </c>
      <c r="F193" s="507" t="s">
        <v>39</v>
      </c>
      <c r="G193" s="507">
        <v>5500</v>
      </c>
      <c r="H193" s="508" t="s">
        <v>267</v>
      </c>
      <c r="I193" s="507" t="s">
        <v>40</v>
      </c>
      <c r="J193" s="508" t="s">
        <v>41</v>
      </c>
      <c r="K193" s="57" t="s">
        <v>769</v>
      </c>
      <c r="L193" s="58" t="s">
        <v>21</v>
      </c>
      <c r="M193" s="59" t="s">
        <v>770</v>
      </c>
      <c r="N193" s="60" t="s">
        <v>71</v>
      </c>
      <c r="O193" s="61">
        <v>1</v>
      </c>
      <c r="P193" s="62">
        <v>6307.51</v>
      </c>
      <c r="Q193" s="63">
        <f t="shared" si="138"/>
        <v>6307.51</v>
      </c>
      <c r="R193" s="61">
        <f>IFERROR(SUMIFS('BM MORRO DA CRUZ - VERTICAL'!V$6:V$546,'BM MORRO DA CRUZ - VERTICAL'!$O$6:$O$546,'BM MORRO DA CRUZ'!$K193),0)</f>
        <v>0</v>
      </c>
      <c r="S193" s="63">
        <f t="shared" si="139"/>
        <v>0</v>
      </c>
      <c r="T193" s="61">
        <f>IFERROR(SUMIFS('BM MORRO DA CRUZ - VERTICAL'!X$6:X$546,'BM MORRO DA CRUZ - VERTICAL'!$O$6:$O$546,'BM MORRO DA CRUZ'!$K193),0)</f>
        <v>0</v>
      </c>
      <c r="U193" s="63">
        <f t="shared" si="140"/>
        <v>0</v>
      </c>
      <c r="V193" s="61">
        <f>IFERROR(SUMIFS('BM MORRO DA CRUZ - VERTICAL'!Z$6:Z$546,'BM MORRO DA CRUZ - VERTICAL'!$O$6:$O$546,'BM MORRO DA CRUZ'!$K193),0)</f>
        <v>0</v>
      </c>
      <c r="W193" s="63">
        <f t="shared" si="141"/>
        <v>0</v>
      </c>
      <c r="X193" s="61">
        <f>IFERROR(SUMIFS('BM MORRO DA CRUZ - VERTICAL'!AB$6:AB$546,'BM MORRO DA CRUZ - VERTICAL'!$O$6:$O$546,'BM MORRO DA CRUZ'!$K193),0)</f>
        <v>0</v>
      </c>
      <c r="Y193" s="63">
        <f t="shared" si="142"/>
        <v>0</v>
      </c>
      <c r="Z193" s="61">
        <f>IFERROR(SUMIFS('BM MORRO DA CRUZ - VERTICAL'!AD$6:AD$546,'BM MORRO DA CRUZ - VERTICAL'!$O$6:$O$546,'BM MORRO DA CRUZ'!$K193),0)</f>
        <v>0</v>
      </c>
      <c r="AA193" s="63">
        <f t="shared" si="143"/>
        <v>0</v>
      </c>
      <c r="AB193" s="61">
        <f>IFERROR(SUMIFS('BM MORRO DA CRUZ - VERTICAL'!AF$6:AF$546,'BM MORRO DA CRUZ - VERTICAL'!$O$6:$O$546,'BM MORRO DA CRUZ'!$K193),0)</f>
        <v>0</v>
      </c>
      <c r="AC193" s="63">
        <f t="shared" si="144"/>
        <v>0</v>
      </c>
      <c r="AD193" s="61">
        <f>IFERROR(SUMIFS('BM MORRO DA CRUZ - VERTICAL'!AH$6:AH$546,'BM MORRO DA CRUZ - VERTICAL'!$O$6:$O$546,'BM MORRO DA CRUZ'!$K193),0)</f>
        <v>0</v>
      </c>
      <c r="AE193" s="63">
        <f t="shared" si="145"/>
        <v>0</v>
      </c>
      <c r="AF193" s="61">
        <f>IFERROR(SUMIFS('BM MORRO DA CRUZ - VERTICAL'!AJ$6:AJ$546,'BM MORRO DA CRUZ - VERTICAL'!$O$6:$O$546,'BM MORRO DA CRUZ'!$K193),0)</f>
        <v>0</v>
      </c>
      <c r="AG193" s="63">
        <f t="shared" si="146"/>
        <v>0</v>
      </c>
      <c r="AH193" s="61">
        <f>IFERROR(SUMIFS('BM MORRO DA CRUZ - VERTICAL'!AL$6:AL$546,'BM MORRO DA CRUZ - VERTICAL'!$O$6:$O$546,'BM MORRO DA CRUZ'!$K193),0)</f>
        <v>0</v>
      </c>
      <c r="AI193" s="63">
        <f t="shared" si="147"/>
        <v>0</v>
      </c>
      <c r="AJ193" s="61">
        <f>IFERROR(SUMIFS('BM MORRO DA CRUZ - VERTICAL'!AN$6:AN$546,'BM MORRO DA CRUZ - VERTICAL'!$O$6:$O$546,'BM MORRO DA CRUZ'!$K193),0)</f>
        <v>0</v>
      </c>
      <c r="AK193" s="63">
        <f t="shared" si="148"/>
        <v>0</v>
      </c>
      <c r="AL193" s="61">
        <f>IFERROR(SUMIFS('BM MORRO DA CRUZ - VERTICAL'!AP$6:AP$546,'BM MORRO DA CRUZ - VERTICAL'!$O$6:$O$546,'BM MORRO DA CRUZ'!$K193),0)</f>
        <v>0</v>
      </c>
      <c r="AM193" s="63">
        <f t="shared" si="149"/>
        <v>0</v>
      </c>
      <c r="AN193" s="61">
        <f>IFERROR(SUMIFS('BM MORRO DA CRUZ - VERTICAL'!AR$6:AR$546,'BM MORRO DA CRUZ - VERTICAL'!$O$6:$O$546,'BM MORRO DA CRUZ'!$K193),0)</f>
        <v>0</v>
      </c>
      <c r="AO193" s="63">
        <f t="shared" si="150"/>
        <v>0</v>
      </c>
      <c r="AP193" s="61">
        <f>IFERROR(SUMIFS('BM MORRO DA CRUZ - VERTICAL'!AT$6:AT$546,'BM MORRO DA CRUZ - VERTICAL'!$O$6:$O$546,'BM MORRO DA CRUZ'!$K193),0)</f>
        <v>0</v>
      </c>
      <c r="AQ193" s="63">
        <f t="shared" si="151"/>
        <v>0</v>
      </c>
      <c r="AR193" s="61">
        <f>IFERROR(SUMIFS('BM MORRO DA CRUZ - VERTICAL'!AV$6:AV$546,'BM MORRO DA CRUZ - VERTICAL'!$O$6:$O$546,'BM MORRO DA CRUZ'!$K193),0)</f>
        <v>0</v>
      </c>
      <c r="AS193" s="63">
        <f t="shared" si="152"/>
        <v>0</v>
      </c>
      <c r="AT193" s="61">
        <f>IFERROR(SUMIFS('BM MORRO DA CRUZ - VERTICAL'!AX$6:AX$546,'BM MORRO DA CRUZ - VERTICAL'!$O$6:$O$546,'BM MORRO DA CRUZ'!$K193),0)</f>
        <v>0</v>
      </c>
      <c r="AU193" s="63">
        <f t="shared" si="153"/>
        <v>0</v>
      </c>
      <c r="AV193" s="61">
        <f>IFERROR(SUMIFS('BM MORRO DA CRUZ - VERTICAL'!AZ$6:AZ$546,'BM MORRO DA CRUZ - VERTICAL'!$O$6:$O$546,'BM MORRO DA CRUZ'!$K193),0)</f>
        <v>0</v>
      </c>
      <c r="AW193" s="63">
        <f t="shared" si="154"/>
        <v>0</v>
      </c>
      <c r="AX193" s="61">
        <f>IFERROR(SUMIFS('BM MORRO DA CRUZ - VERTICAL'!BB$6:BB$546,'BM MORRO DA CRUZ - VERTICAL'!$O$6:$O$546,'BM MORRO DA CRUZ'!$K193),0)</f>
        <v>0</v>
      </c>
      <c r="AY193" s="63">
        <f t="shared" si="155"/>
        <v>0</v>
      </c>
      <c r="AZ193" s="61">
        <f>IFERROR(SUMIFS('BM MORRO DA CRUZ - VERTICAL'!BD$6:BD$546,'BM MORRO DA CRUZ - VERTICAL'!$O$6:$O$546,'BM MORRO DA CRUZ'!$K193),0)</f>
        <v>0</v>
      </c>
      <c r="BA193" s="63">
        <f t="shared" si="156"/>
        <v>0</v>
      </c>
      <c r="BB193" s="61">
        <f t="shared" si="157"/>
        <v>0</v>
      </c>
      <c r="BC193" s="63">
        <f t="shared" si="158"/>
        <v>0</v>
      </c>
      <c r="BD193" s="64">
        <f t="shared" si="159"/>
        <v>0</v>
      </c>
      <c r="BE193" s="65">
        <f t="shared" si="160"/>
        <v>1</v>
      </c>
      <c r="BF193" s="45"/>
    </row>
    <row r="194" spans="1:58" ht="38.25" customHeight="1" x14ac:dyDescent="0.45">
      <c r="A194" s="56" t="s">
        <v>771</v>
      </c>
      <c r="B194" s="506" t="s">
        <v>772</v>
      </c>
      <c r="C194" s="507" t="s">
        <v>39</v>
      </c>
      <c r="D194" s="507" t="s">
        <v>39</v>
      </c>
      <c r="E194" s="507" t="s">
        <v>773</v>
      </c>
      <c r="F194" s="507" t="s">
        <v>39</v>
      </c>
      <c r="G194" s="507">
        <v>100</v>
      </c>
      <c r="H194" s="508" t="s">
        <v>125</v>
      </c>
      <c r="I194" s="507" t="s">
        <v>114</v>
      </c>
      <c r="J194" s="508" t="s">
        <v>115</v>
      </c>
      <c r="K194" s="57" t="s">
        <v>774</v>
      </c>
      <c r="L194" s="58" t="s">
        <v>21</v>
      </c>
      <c r="M194" s="59" t="s">
        <v>775</v>
      </c>
      <c r="N194" s="60" t="s">
        <v>71</v>
      </c>
      <c r="O194" s="61">
        <v>6</v>
      </c>
      <c r="P194" s="62">
        <v>5610.25</v>
      </c>
      <c r="Q194" s="63">
        <f t="shared" si="138"/>
        <v>33661.5</v>
      </c>
      <c r="R194" s="61">
        <f>IFERROR(SUMIFS('BM MORRO DA CRUZ - VERTICAL'!V$6:V$546,'BM MORRO DA CRUZ - VERTICAL'!$O$6:$O$546,'BM MORRO DA CRUZ'!$K194),0)</f>
        <v>0</v>
      </c>
      <c r="S194" s="63">
        <f t="shared" si="139"/>
        <v>0</v>
      </c>
      <c r="T194" s="61">
        <f>IFERROR(SUMIFS('BM MORRO DA CRUZ - VERTICAL'!X$6:X$546,'BM MORRO DA CRUZ - VERTICAL'!$O$6:$O$546,'BM MORRO DA CRUZ'!$K194),0)</f>
        <v>0</v>
      </c>
      <c r="U194" s="63">
        <f t="shared" si="140"/>
        <v>0</v>
      </c>
      <c r="V194" s="61">
        <f>IFERROR(SUMIFS('BM MORRO DA CRUZ - VERTICAL'!Z$6:Z$546,'BM MORRO DA CRUZ - VERTICAL'!$O$6:$O$546,'BM MORRO DA CRUZ'!$K194),0)</f>
        <v>0</v>
      </c>
      <c r="W194" s="63">
        <f t="shared" si="141"/>
        <v>0</v>
      </c>
      <c r="X194" s="61">
        <f>IFERROR(SUMIFS('BM MORRO DA CRUZ - VERTICAL'!AB$6:AB$546,'BM MORRO DA CRUZ - VERTICAL'!$O$6:$O$546,'BM MORRO DA CRUZ'!$K194),0)</f>
        <v>0</v>
      </c>
      <c r="Y194" s="63">
        <f t="shared" si="142"/>
        <v>0</v>
      </c>
      <c r="Z194" s="61">
        <f>IFERROR(SUMIFS('BM MORRO DA CRUZ - VERTICAL'!AD$6:AD$546,'BM MORRO DA CRUZ - VERTICAL'!$O$6:$O$546,'BM MORRO DA CRUZ'!$K194),0)</f>
        <v>0</v>
      </c>
      <c r="AA194" s="63">
        <f t="shared" si="143"/>
        <v>0</v>
      </c>
      <c r="AB194" s="61">
        <f>IFERROR(SUMIFS('BM MORRO DA CRUZ - VERTICAL'!AF$6:AF$546,'BM MORRO DA CRUZ - VERTICAL'!$O$6:$O$546,'BM MORRO DA CRUZ'!$K194),0)</f>
        <v>0</v>
      </c>
      <c r="AC194" s="63">
        <f t="shared" si="144"/>
        <v>0</v>
      </c>
      <c r="AD194" s="61">
        <f>IFERROR(SUMIFS('BM MORRO DA CRUZ - VERTICAL'!AH$6:AH$546,'BM MORRO DA CRUZ - VERTICAL'!$O$6:$O$546,'BM MORRO DA CRUZ'!$K194),0)</f>
        <v>0</v>
      </c>
      <c r="AE194" s="63">
        <f t="shared" si="145"/>
        <v>0</v>
      </c>
      <c r="AF194" s="61">
        <f>IFERROR(SUMIFS('BM MORRO DA CRUZ - VERTICAL'!AJ$6:AJ$546,'BM MORRO DA CRUZ - VERTICAL'!$O$6:$O$546,'BM MORRO DA CRUZ'!$K194),0)</f>
        <v>0</v>
      </c>
      <c r="AG194" s="63">
        <f t="shared" si="146"/>
        <v>0</v>
      </c>
      <c r="AH194" s="61">
        <f>IFERROR(SUMIFS('BM MORRO DA CRUZ - VERTICAL'!AL$6:AL$546,'BM MORRO DA CRUZ - VERTICAL'!$O$6:$O$546,'BM MORRO DA CRUZ'!$K194),0)</f>
        <v>0</v>
      </c>
      <c r="AI194" s="63">
        <f t="shared" si="147"/>
        <v>0</v>
      </c>
      <c r="AJ194" s="61">
        <f>IFERROR(SUMIFS('BM MORRO DA CRUZ - VERTICAL'!AN$6:AN$546,'BM MORRO DA CRUZ - VERTICAL'!$O$6:$O$546,'BM MORRO DA CRUZ'!$K194),0)</f>
        <v>0</v>
      </c>
      <c r="AK194" s="63">
        <f t="shared" si="148"/>
        <v>0</v>
      </c>
      <c r="AL194" s="61">
        <f>IFERROR(SUMIFS('BM MORRO DA CRUZ - VERTICAL'!AP$6:AP$546,'BM MORRO DA CRUZ - VERTICAL'!$O$6:$O$546,'BM MORRO DA CRUZ'!$K194),0)</f>
        <v>0</v>
      </c>
      <c r="AM194" s="63">
        <f t="shared" si="149"/>
        <v>0</v>
      </c>
      <c r="AN194" s="61">
        <f>IFERROR(SUMIFS('BM MORRO DA CRUZ - VERTICAL'!AR$6:AR$546,'BM MORRO DA CRUZ - VERTICAL'!$O$6:$O$546,'BM MORRO DA CRUZ'!$K194),0)</f>
        <v>0</v>
      </c>
      <c r="AO194" s="63">
        <f t="shared" si="150"/>
        <v>0</v>
      </c>
      <c r="AP194" s="61">
        <f>IFERROR(SUMIFS('BM MORRO DA CRUZ - VERTICAL'!AT$6:AT$546,'BM MORRO DA CRUZ - VERTICAL'!$O$6:$O$546,'BM MORRO DA CRUZ'!$K194),0)</f>
        <v>0</v>
      </c>
      <c r="AQ194" s="63">
        <f t="shared" si="151"/>
        <v>0</v>
      </c>
      <c r="AR194" s="61">
        <f>IFERROR(SUMIFS('BM MORRO DA CRUZ - VERTICAL'!AV$6:AV$546,'BM MORRO DA CRUZ - VERTICAL'!$O$6:$O$546,'BM MORRO DA CRUZ'!$K194),0)</f>
        <v>0</v>
      </c>
      <c r="AS194" s="63">
        <f t="shared" si="152"/>
        <v>0</v>
      </c>
      <c r="AT194" s="61">
        <f>IFERROR(SUMIFS('BM MORRO DA CRUZ - VERTICAL'!AX$6:AX$546,'BM MORRO DA CRUZ - VERTICAL'!$O$6:$O$546,'BM MORRO DA CRUZ'!$K194),0)</f>
        <v>0</v>
      </c>
      <c r="AU194" s="63">
        <f t="shared" si="153"/>
        <v>0</v>
      </c>
      <c r="AV194" s="61">
        <f>IFERROR(SUMIFS('BM MORRO DA CRUZ - VERTICAL'!AZ$6:AZ$546,'BM MORRO DA CRUZ - VERTICAL'!$O$6:$O$546,'BM MORRO DA CRUZ'!$K194),0)</f>
        <v>0</v>
      </c>
      <c r="AW194" s="63">
        <f t="shared" si="154"/>
        <v>0</v>
      </c>
      <c r="AX194" s="61">
        <f>IFERROR(SUMIFS('BM MORRO DA CRUZ - VERTICAL'!BB$6:BB$546,'BM MORRO DA CRUZ - VERTICAL'!$O$6:$O$546,'BM MORRO DA CRUZ'!$K194),0)</f>
        <v>0</v>
      </c>
      <c r="AY194" s="63">
        <f t="shared" si="155"/>
        <v>0</v>
      </c>
      <c r="AZ194" s="61">
        <f>IFERROR(SUMIFS('BM MORRO DA CRUZ - VERTICAL'!BD$6:BD$546,'BM MORRO DA CRUZ - VERTICAL'!$O$6:$O$546,'BM MORRO DA CRUZ'!$K194),0)</f>
        <v>0</v>
      </c>
      <c r="BA194" s="63">
        <f t="shared" si="156"/>
        <v>0</v>
      </c>
      <c r="BB194" s="61">
        <f t="shared" si="157"/>
        <v>0</v>
      </c>
      <c r="BC194" s="63">
        <f t="shared" si="158"/>
        <v>0</v>
      </c>
      <c r="BD194" s="64">
        <f t="shared" si="159"/>
        <v>0</v>
      </c>
      <c r="BE194" s="65">
        <f t="shared" si="160"/>
        <v>1</v>
      </c>
      <c r="BF194" s="45"/>
    </row>
    <row r="195" spans="1:58" ht="19.5" customHeight="1" x14ac:dyDescent="0.45">
      <c r="A195" s="56" t="s">
        <v>776</v>
      </c>
      <c r="B195" s="506" t="s">
        <v>264</v>
      </c>
      <c r="C195" s="507" t="s">
        <v>39</v>
      </c>
      <c r="D195" s="507" t="s">
        <v>224</v>
      </c>
      <c r="E195" s="507" t="s">
        <v>265</v>
      </c>
      <c r="F195" s="507" t="s">
        <v>266</v>
      </c>
      <c r="G195" s="507">
        <v>20</v>
      </c>
      <c r="H195" s="508" t="s">
        <v>267</v>
      </c>
      <c r="I195" s="507" t="s">
        <v>68</v>
      </c>
      <c r="J195" s="508" t="s">
        <v>267</v>
      </c>
      <c r="K195" s="57" t="s">
        <v>777</v>
      </c>
      <c r="L195" s="58" t="s">
        <v>21</v>
      </c>
      <c r="M195" s="59" t="s">
        <v>778</v>
      </c>
      <c r="N195" s="60" t="s">
        <v>71</v>
      </c>
      <c r="O195" s="61">
        <v>35682</v>
      </c>
      <c r="P195" s="62">
        <v>11.58</v>
      </c>
      <c r="Q195" s="63">
        <f t="shared" si="138"/>
        <v>413197.56</v>
      </c>
      <c r="R195" s="61">
        <f>IFERROR(SUMIFS('BM MORRO DA CRUZ - VERTICAL'!V$6:V$546,'BM MORRO DA CRUZ - VERTICAL'!$O$6:$O$546,'BM MORRO DA CRUZ'!$K195),0)</f>
        <v>0</v>
      </c>
      <c r="S195" s="63">
        <f t="shared" si="139"/>
        <v>0</v>
      </c>
      <c r="T195" s="61">
        <f>IFERROR(SUMIFS('BM MORRO DA CRUZ - VERTICAL'!X$6:X$546,'BM MORRO DA CRUZ - VERTICAL'!$O$6:$O$546,'BM MORRO DA CRUZ'!$K195),0)</f>
        <v>0</v>
      </c>
      <c r="U195" s="63">
        <f t="shared" si="140"/>
        <v>0</v>
      </c>
      <c r="V195" s="61">
        <f>IFERROR(SUMIFS('BM MORRO DA CRUZ - VERTICAL'!Z$6:Z$546,'BM MORRO DA CRUZ - VERTICAL'!$O$6:$O$546,'BM MORRO DA CRUZ'!$K195),0)</f>
        <v>0</v>
      </c>
      <c r="W195" s="63">
        <f t="shared" si="141"/>
        <v>0</v>
      </c>
      <c r="X195" s="61">
        <f>IFERROR(SUMIFS('BM MORRO DA CRUZ - VERTICAL'!AB$6:AB$546,'BM MORRO DA CRUZ - VERTICAL'!$O$6:$O$546,'BM MORRO DA CRUZ'!$K195),0)</f>
        <v>0</v>
      </c>
      <c r="Y195" s="63">
        <f t="shared" si="142"/>
        <v>0</v>
      </c>
      <c r="Z195" s="61">
        <f>IFERROR(SUMIFS('BM MORRO DA CRUZ - VERTICAL'!AD$6:AD$546,'BM MORRO DA CRUZ - VERTICAL'!$O$6:$O$546,'BM MORRO DA CRUZ'!$K195),0)</f>
        <v>0</v>
      </c>
      <c r="AA195" s="63">
        <f t="shared" si="143"/>
        <v>0</v>
      </c>
      <c r="AB195" s="61">
        <f>IFERROR(SUMIFS('BM MORRO DA CRUZ - VERTICAL'!AF$6:AF$546,'BM MORRO DA CRUZ - VERTICAL'!$O$6:$O$546,'BM MORRO DA CRUZ'!$K195),0)</f>
        <v>0</v>
      </c>
      <c r="AC195" s="63">
        <f t="shared" si="144"/>
        <v>0</v>
      </c>
      <c r="AD195" s="61">
        <f>IFERROR(SUMIFS('BM MORRO DA CRUZ - VERTICAL'!AH$6:AH$546,'BM MORRO DA CRUZ - VERTICAL'!$O$6:$O$546,'BM MORRO DA CRUZ'!$K195),0)</f>
        <v>0</v>
      </c>
      <c r="AE195" s="63">
        <f t="shared" si="145"/>
        <v>0</v>
      </c>
      <c r="AF195" s="61">
        <f>IFERROR(SUMIFS('BM MORRO DA CRUZ - VERTICAL'!AJ$6:AJ$546,'BM MORRO DA CRUZ - VERTICAL'!$O$6:$O$546,'BM MORRO DA CRUZ'!$K195),0)</f>
        <v>0</v>
      </c>
      <c r="AG195" s="63">
        <f t="shared" si="146"/>
        <v>0</v>
      </c>
      <c r="AH195" s="61">
        <f>IFERROR(SUMIFS('BM MORRO DA CRUZ - VERTICAL'!AL$6:AL$546,'BM MORRO DA CRUZ - VERTICAL'!$O$6:$O$546,'BM MORRO DA CRUZ'!$K195),0)</f>
        <v>0</v>
      </c>
      <c r="AI195" s="63">
        <f t="shared" si="147"/>
        <v>0</v>
      </c>
      <c r="AJ195" s="61">
        <f>IFERROR(SUMIFS('BM MORRO DA CRUZ - VERTICAL'!AN$6:AN$546,'BM MORRO DA CRUZ - VERTICAL'!$O$6:$O$546,'BM MORRO DA CRUZ'!$K195),0)</f>
        <v>0</v>
      </c>
      <c r="AK195" s="63">
        <f t="shared" si="148"/>
        <v>0</v>
      </c>
      <c r="AL195" s="61">
        <f>IFERROR(SUMIFS('BM MORRO DA CRUZ - VERTICAL'!AP$6:AP$546,'BM MORRO DA CRUZ - VERTICAL'!$O$6:$O$546,'BM MORRO DA CRUZ'!$K195),0)</f>
        <v>0</v>
      </c>
      <c r="AM195" s="63">
        <f t="shared" si="149"/>
        <v>0</v>
      </c>
      <c r="AN195" s="61">
        <f>IFERROR(SUMIFS('BM MORRO DA CRUZ - VERTICAL'!AR$6:AR$546,'BM MORRO DA CRUZ - VERTICAL'!$O$6:$O$546,'BM MORRO DA CRUZ'!$K195),0)</f>
        <v>0</v>
      </c>
      <c r="AO195" s="63">
        <f t="shared" si="150"/>
        <v>0</v>
      </c>
      <c r="AP195" s="61">
        <f>IFERROR(SUMIFS('BM MORRO DA CRUZ - VERTICAL'!AT$6:AT$546,'BM MORRO DA CRUZ - VERTICAL'!$O$6:$O$546,'BM MORRO DA CRUZ'!$K195),0)</f>
        <v>0</v>
      </c>
      <c r="AQ195" s="63">
        <f t="shared" si="151"/>
        <v>0</v>
      </c>
      <c r="AR195" s="61">
        <f>IFERROR(SUMIFS('BM MORRO DA CRUZ - VERTICAL'!AV$6:AV$546,'BM MORRO DA CRUZ - VERTICAL'!$O$6:$O$546,'BM MORRO DA CRUZ'!$K195),0)</f>
        <v>0</v>
      </c>
      <c r="AS195" s="63">
        <f t="shared" si="152"/>
        <v>0</v>
      </c>
      <c r="AT195" s="61">
        <f>IFERROR(SUMIFS('BM MORRO DA CRUZ - VERTICAL'!AX$6:AX$546,'BM MORRO DA CRUZ - VERTICAL'!$O$6:$O$546,'BM MORRO DA CRUZ'!$K195),0)</f>
        <v>0</v>
      </c>
      <c r="AU195" s="63">
        <f t="shared" si="153"/>
        <v>0</v>
      </c>
      <c r="AV195" s="61">
        <f>IFERROR(SUMIFS('BM MORRO DA CRUZ - VERTICAL'!AZ$6:AZ$546,'BM MORRO DA CRUZ - VERTICAL'!$O$6:$O$546,'BM MORRO DA CRUZ'!$K195),0)</f>
        <v>0</v>
      </c>
      <c r="AW195" s="63">
        <f t="shared" si="154"/>
        <v>0</v>
      </c>
      <c r="AX195" s="61">
        <f>IFERROR(SUMIFS('BM MORRO DA CRUZ - VERTICAL'!BB$6:BB$546,'BM MORRO DA CRUZ - VERTICAL'!$O$6:$O$546,'BM MORRO DA CRUZ'!$K195),0)</f>
        <v>0</v>
      </c>
      <c r="AY195" s="63">
        <f t="shared" si="155"/>
        <v>0</v>
      </c>
      <c r="AZ195" s="61">
        <f>IFERROR(SUMIFS('BM MORRO DA CRUZ - VERTICAL'!BD$6:BD$546,'BM MORRO DA CRUZ - VERTICAL'!$O$6:$O$546,'BM MORRO DA CRUZ'!$K195),0)</f>
        <v>0</v>
      </c>
      <c r="BA195" s="63">
        <f t="shared" si="156"/>
        <v>0</v>
      </c>
      <c r="BB195" s="61">
        <f t="shared" si="157"/>
        <v>0</v>
      </c>
      <c r="BC195" s="63">
        <f t="shared" si="158"/>
        <v>0</v>
      </c>
      <c r="BD195" s="64">
        <f t="shared" si="159"/>
        <v>0</v>
      </c>
      <c r="BE195" s="65">
        <f t="shared" si="160"/>
        <v>1</v>
      </c>
      <c r="BF195" s="45"/>
    </row>
    <row r="196" spans="1:58" ht="26.25" customHeight="1" x14ac:dyDescent="0.45">
      <c r="A196" s="56" t="s">
        <v>779</v>
      </c>
      <c r="B196" s="506" t="s">
        <v>780</v>
      </c>
      <c r="C196" s="507" t="s">
        <v>39</v>
      </c>
      <c r="D196" s="507" t="s">
        <v>39</v>
      </c>
      <c r="E196" s="507" t="s">
        <v>781</v>
      </c>
      <c r="F196" s="507" t="s">
        <v>39</v>
      </c>
      <c r="G196" s="507" t="s">
        <v>782</v>
      </c>
      <c r="H196" s="508" t="s">
        <v>783</v>
      </c>
      <c r="I196" s="507" t="s">
        <v>40</v>
      </c>
      <c r="J196" s="508" t="s">
        <v>40</v>
      </c>
      <c r="K196" s="57" t="s">
        <v>784</v>
      </c>
      <c r="L196" s="58" t="s">
        <v>21</v>
      </c>
      <c r="M196" s="59" t="s">
        <v>785</v>
      </c>
      <c r="N196" s="60" t="s">
        <v>367</v>
      </c>
      <c r="O196" s="61">
        <v>84</v>
      </c>
      <c r="P196" s="62">
        <v>182.73</v>
      </c>
      <c r="Q196" s="63">
        <f t="shared" si="138"/>
        <v>15349.32</v>
      </c>
      <c r="R196" s="61">
        <f>IFERROR(SUMIFS('BM MORRO DA CRUZ - VERTICAL'!V$6:V$546,'BM MORRO DA CRUZ - VERTICAL'!$O$6:$O$546,'BM MORRO DA CRUZ'!$K196),0)</f>
        <v>0</v>
      </c>
      <c r="S196" s="63">
        <f t="shared" si="139"/>
        <v>0</v>
      </c>
      <c r="T196" s="61">
        <f>IFERROR(SUMIFS('BM MORRO DA CRUZ - VERTICAL'!X$6:X$546,'BM MORRO DA CRUZ - VERTICAL'!$O$6:$O$546,'BM MORRO DA CRUZ'!$K196),0)</f>
        <v>0</v>
      </c>
      <c r="U196" s="63">
        <f t="shared" si="140"/>
        <v>0</v>
      </c>
      <c r="V196" s="61">
        <f>IFERROR(SUMIFS('BM MORRO DA CRUZ - VERTICAL'!Z$6:Z$546,'BM MORRO DA CRUZ - VERTICAL'!$O$6:$O$546,'BM MORRO DA CRUZ'!$K196),0)</f>
        <v>0</v>
      </c>
      <c r="W196" s="63">
        <f t="shared" si="141"/>
        <v>0</v>
      </c>
      <c r="X196" s="61">
        <f>IFERROR(SUMIFS('BM MORRO DA CRUZ - VERTICAL'!AB$6:AB$546,'BM MORRO DA CRUZ - VERTICAL'!$O$6:$O$546,'BM MORRO DA CRUZ'!$K196),0)</f>
        <v>0</v>
      </c>
      <c r="Y196" s="63">
        <f t="shared" si="142"/>
        <v>0</v>
      </c>
      <c r="Z196" s="61">
        <f>IFERROR(SUMIFS('BM MORRO DA CRUZ - VERTICAL'!AD$6:AD$546,'BM MORRO DA CRUZ - VERTICAL'!$O$6:$O$546,'BM MORRO DA CRUZ'!$K196),0)</f>
        <v>0</v>
      </c>
      <c r="AA196" s="63">
        <f t="shared" si="143"/>
        <v>0</v>
      </c>
      <c r="AB196" s="61">
        <f>IFERROR(SUMIFS('BM MORRO DA CRUZ - VERTICAL'!AF$6:AF$546,'BM MORRO DA CRUZ - VERTICAL'!$O$6:$O$546,'BM MORRO DA CRUZ'!$K196),0)</f>
        <v>0</v>
      </c>
      <c r="AC196" s="63">
        <f t="shared" si="144"/>
        <v>0</v>
      </c>
      <c r="AD196" s="61">
        <f>IFERROR(SUMIFS('BM MORRO DA CRUZ - VERTICAL'!AH$6:AH$546,'BM MORRO DA CRUZ - VERTICAL'!$O$6:$O$546,'BM MORRO DA CRUZ'!$K196),0)</f>
        <v>0</v>
      </c>
      <c r="AE196" s="63">
        <f t="shared" si="145"/>
        <v>0</v>
      </c>
      <c r="AF196" s="61">
        <f>IFERROR(SUMIFS('BM MORRO DA CRUZ - VERTICAL'!AJ$6:AJ$546,'BM MORRO DA CRUZ - VERTICAL'!$O$6:$O$546,'BM MORRO DA CRUZ'!$K196),0)</f>
        <v>0</v>
      </c>
      <c r="AG196" s="63">
        <f t="shared" si="146"/>
        <v>0</v>
      </c>
      <c r="AH196" s="61">
        <f>IFERROR(SUMIFS('BM MORRO DA CRUZ - VERTICAL'!AL$6:AL$546,'BM MORRO DA CRUZ - VERTICAL'!$O$6:$O$546,'BM MORRO DA CRUZ'!$K196),0)</f>
        <v>0</v>
      </c>
      <c r="AI196" s="63">
        <f t="shared" si="147"/>
        <v>0</v>
      </c>
      <c r="AJ196" s="61">
        <f>IFERROR(SUMIFS('BM MORRO DA CRUZ - VERTICAL'!AN$6:AN$546,'BM MORRO DA CRUZ - VERTICAL'!$O$6:$O$546,'BM MORRO DA CRUZ'!$K196),0)</f>
        <v>0</v>
      </c>
      <c r="AK196" s="63">
        <f t="shared" si="148"/>
        <v>0</v>
      </c>
      <c r="AL196" s="61">
        <f>IFERROR(SUMIFS('BM MORRO DA CRUZ - VERTICAL'!AP$6:AP$546,'BM MORRO DA CRUZ - VERTICAL'!$O$6:$O$546,'BM MORRO DA CRUZ'!$K196),0)</f>
        <v>0</v>
      </c>
      <c r="AM196" s="63">
        <f t="shared" si="149"/>
        <v>0</v>
      </c>
      <c r="AN196" s="61">
        <f>IFERROR(SUMIFS('BM MORRO DA CRUZ - VERTICAL'!AR$6:AR$546,'BM MORRO DA CRUZ - VERTICAL'!$O$6:$O$546,'BM MORRO DA CRUZ'!$K196),0)</f>
        <v>0</v>
      </c>
      <c r="AO196" s="63">
        <f t="shared" si="150"/>
        <v>0</v>
      </c>
      <c r="AP196" s="61">
        <f>IFERROR(SUMIFS('BM MORRO DA CRUZ - VERTICAL'!AT$6:AT$546,'BM MORRO DA CRUZ - VERTICAL'!$O$6:$O$546,'BM MORRO DA CRUZ'!$K196),0)</f>
        <v>0</v>
      </c>
      <c r="AQ196" s="63">
        <f t="shared" si="151"/>
        <v>0</v>
      </c>
      <c r="AR196" s="61">
        <f>IFERROR(SUMIFS('BM MORRO DA CRUZ - VERTICAL'!AV$6:AV$546,'BM MORRO DA CRUZ - VERTICAL'!$O$6:$O$546,'BM MORRO DA CRUZ'!$K196),0)</f>
        <v>0</v>
      </c>
      <c r="AS196" s="63">
        <f t="shared" si="152"/>
        <v>0</v>
      </c>
      <c r="AT196" s="61">
        <f>IFERROR(SUMIFS('BM MORRO DA CRUZ - VERTICAL'!AX$6:AX$546,'BM MORRO DA CRUZ - VERTICAL'!$O$6:$O$546,'BM MORRO DA CRUZ'!$K196),0)</f>
        <v>0</v>
      </c>
      <c r="AU196" s="63">
        <f t="shared" si="153"/>
        <v>0</v>
      </c>
      <c r="AV196" s="61">
        <f>IFERROR(SUMIFS('BM MORRO DA CRUZ - VERTICAL'!AZ$6:AZ$546,'BM MORRO DA CRUZ - VERTICAL'!$O$6:$O$546,'BM MORRO DA CRUZ'!$K196),0)</f>
        <v>0</v>
      </c>
      <c r="AW196" s="63">
        <f t="shared" si="154"/>
        <v>0</v>
      </c>
      <c r="AX196" s="61">
        <f>IFERROR(SUMIFS('BM MORRO DA CRUZ - VERTICAL'!BB$6:BB$546,'BM MORRO DA CRUZ - VERTICAL'!$O$6:$O$546,'BM MORRO DA CRUZ'!$K196),0)</f>
        <v>0</v>
      </c>
      <c r="AY196" s="63">
        <f t="shared" si="155"/>
        <v>0</v>
      </c>
      <c r="AZ196" s="61">
        <f>IFERROR(SUMIFS('BM MORRO DA CRUZ - VERTICAL'!BD$6:BD$546,'BM MORRO DA CRUZ - VERTICAL'!$O$6:$O$546,'BM MORRO DA CRUZ'!$K196),0)</f>
        <v>0</v>
      </c>
      <c r="BA196" s="63">
        <f t="shared" si="156"/>
        <v>0</v>
      </c>
      <c r="BB196" s="61">
        <f t="shared" si="157"/>
        <v>0</v>
      </c>
      <c r="BC196" s="63">
        <f t="shared" si="158"/>
        <v>0</v>
      </c>
      <c r="BD196" s="64">
        <f t="shared" si="159"/>
        <v>0</v>
      </c>
      <c r="BE196" s="65">
        <f t="shared" si="160"/>
        <v>1</v>
      </c>
      <c r="BF196" s="45"/>
    </row>
    <row r="197" spans="1:58" ht="26.25" customHeight="1" x14ac:dyDescent="0.45">
      <c r="A197" s="56" t="s">
        <v>786</v>
      </c>
      <c r="B197" s="506" t="s">
        <v>787</v>
      </c>
      <c r="C197" s="507" t="s">
        <v>39</v>
      </c>
      <c r="D197" s="507" t="s">
        <v>39</v>
      </c>
      <c r="E197" s="507" t="s">
        <v>787</v>
      </c>
      <c r="F197" s="507" t="s">
        <v>39</v>
      </c>
      <c r="G197" s="507" t="s">
        <v>788</v>
      </c>
      <c r="H197" s="508" t="s">
        <v>789</v>
      </c>
      <c r="I197" s="507" t="s">
        <v>763</v>
      </c>
      <c r="J197" s="508" t="s">
        <v>40</v>
      </c>
      <c r="K197" s="57" t="s">
        <v>790</v>
      </c>
      <c r="L197" s="58" t="s">
        <v>21</v>
      </c>
      <c r="M197" s="59" t="s">
        <v>791</v>
      </c>
      <c r="N197" s="60" t="s">
        <v>792</v>
      </c>
      <c r="O197" s="61">
        <v>51</v>
      </c>
      <c r="P197" s="62">
        <v>400</v>
      </c>
      <c r="Q197" s="63">
        <f t="shared" si="138"/>
        <v>20400</v>
      </c>
      <c r="R197" s="61">
        <f>IFERROR(SUMIFS('BM MORRO DA CRUZ - VERTICAL'!V$6:V$546,'BM MORRO DA CRUZ - VERTICAL'!$O$6:$O$546,'BM MORRO DA CRUZ'!$K197),0)</f>
        <v>0</v>
      </c>
      <c r="S197" s="63">
        <f t="shared" si="139"/>
        <v>0</v>
      </c>
      <c r="T197" s="61">
        <f>IFERROR(SUMIFS('BM MORRO DA CRUZ - VERTICAL'!X$6:X$546,'BM MORRO DA CRUZ - VERTICAL'!$O$6:$O$546,'BM MORRO DA CRUZ'!$K197),0)</f>
        <v>0</v>
      </c>
      <c r="U197" s="63">
        <f t="shared" si="140"/>
        <v>0</v>
      </c>
      <c r="V197" s="61">
        <f>IFERROR(SUMIFS('BM MORRO DA CRUZ - VERTICAL'!Z$6:Z$546,'BM MORRO DA CRUZ - VERTICAL'!$O$6:$O$546,'BM MORRO DA CRUZ'!$K197),0)</f>
        <v>0</v>
      </c>
      <c r="W197" s="63">
        <f t="shared" si="141"/>
        <v>0</v>
      </c>
      <c r="X197" s="61">
        <f>IFERROR(SUMIFS('BM MORRO DA CRUZ - VERTICAL'!AB$6:AB$546,'BM MORRO DA CRUZ - VERTICAL'!$O$6:$O$546,'BM MORRO DA CRUZ'!$K197),0)</f>
        <v>0</v>
      </c>
      <c r="Y197" s="63">
        <f t="shared" si="142"/>
        <v>0</v>
      </c>
      <c r="Z197" s="61">
        <f>IFERROR(SUMIFS('BM MORRO DA CRUZ - VERTICAL'!AD$6:AD$546,'BM MORRO DA CRUZ - VERTICAL'!$O$6:$O$546,'BM MORRO DA CRUZ'!$K197),0)</f>
        <v>0</v>
      </c>
      <c r="AA197" s="63">
        <f t="shared" si="143"/>
        <v>0</v>
      </c>
      <c r="AB197" s="61">
        <f>IFERROR(SUMIFS('BM MORRO DA CRUZ - VERTICAL'!AF$6:AF$546,'BM MORRO DA CRUZ - VERTICAL'!$O$6:$O$546,'BM MORRO DA CRUZ'!$K197),0)</f>
        <v>0</v>
      </c>
      <c r="AC197" s="63">
        <f t="shared" si="144"/>
        <v>0</v>
      </c>
      <c r="AD197" s="61">
        <f>IFERROR(SUMIFS('BM MORRO DA CRUZ - VERTICAL'!AH$6:AH$546,'BM MORRO DA CRUZ - VERTICAL'!$O$6:$O$546,'BM MORRO DA CRUZ'!$K197),0)</f>
        <v>0</v>
      </c>
      <c r="AE197" s="63">
        <f t="shared" si="145"/>
        <v>0</v>
      </c>
      <c r="AF197" s="61">
        <f>IFERROR(SUMIFS('BM MORRO DA CRUZ - VERTICAL'!AJ$6:AJ$546,'BM MORRO DA CRUZ - VERTICAL'!$O$6:$O$546,'BM MORRO DA CRUZ'!$K197),0)</f>
        <v>0</v>
      </c>
      <c r="AG197" s="63">
        <f t="shared" si="146"/>
        <v>0</v>
      </c>
      <c r="AH197" s="61">
        <f>IFERROR(SUMIFS('BM MORRO DA CRUZ - VERTICAL'!AL$6:AL$546,'BM MORRO DA CRUZ - VERTICAL'!$O$6:$O$546,'BM MORRO DA CRUZ'!$K197),0)</f>
        <v>0</v>
      </c>
      <c r="AI197" s="63">
        <f t="shared" si="147"/>
        <v>0</v>
      </c>
      <c r="AJ197" s="61">
        <f>IFERROR(SUMIFS('BM MORRO DA CRUZ - VERTICAL'!AN$6:AN$546,'BM MORRO DA CRUZ - VERTICAL'!$O$6:$O$546,'BM MORRO DA CRUZ'!$K197),0)</f>
        <v>0</v>
      </c>
      <c r="AK197" s="63">
        <f t="shared" si="148"/>
        <v>0</v>
      </c>
      <c r="AL197" s="61">
        <f>IFERROR(SUMIFS('BM MORRO DA CRUZ - VERTICAL'!AP$6:AP$546,'BM MORRO DA CRUZ - VERTICAL'!$O$6:$O$546,'BM MORRO DA CRUZ'!$K197),0)</f>
        <v>0</v>
      </c>
      <c r="AM197" s="63">
        <f t="shared" si="149"/>
        <v>0</v>
      </c>
      <c r="AN197" s="61">
        <f>IFERROR(SUMIFS('BM MORRO DA CRUZ - VERTICAL'!AR$6:AR$546,'BM MORRO DA CRUZ - VERTICAL'!$O$6:$O$546,'BM MORRO DA CRUZ'!$K197),0)</f>
        <v>0</v>
      </c>
      <c r="AO197" s="63">
        <f t="shared" si="150"/>
        <v>0</v>
      </c>
      <c r="AP197" s="61">
        <f>IFERROR(SUMIFS('BM MORRO DA CRUZ - VERTICAL'!AT$6:AT$546,'BM MORRO DA CRUZ - VERTICAL'!$O$6:$O$546,'BM MORRO DA CRUZ'!$K197),0)</f>
        <v>0</v>
      </c>
      <c r="AQ197" s="63">
        <f t="shared" si="151"/>
        <v>0</v>
      </c>
      <c r="AR197" s="61">
        <f>IFERROR(SUMIFS('BM MORRO DA CRUZ - VERTICAL'!AV$6:AV$546,'BM MORRO DA CRUZ - VERTICAL'!$O$6:$O$546,'BM MORRO DA CRUZ'!$K197),0)</f>
        <v>0</v>
      </c>
      <c r="AS197" s="63">
        <f t="shared" si="152"/>
        <v>0</v>
      </c>
      <c r="AT197" s="61">
        <f>IFERROR(SUMIFS('BM MORRO DA CRUZ - VERTICAL'!AX$6:AX$546,'BM MORRO DA CRUZ - VERTICAL'!$O$6:$O$546,'BM MORRO DA CRUZ'!$K197),0)</f>
        <v>0</v>
      </c>
      <c r="AU197" s="63">
        <f t="shared" si="153"/>
        <v>0</v>
      </c>
      <c r="AV197" s="61">
        <f>IFERROR(SUMIFS('BM MORRO DA CRUZ - VERTICAL'!AZ$6:AZ$546,'BM MORRO DA CRUZ - VERTICAL'!$O$6:$O$546,'BM MORRO DA CRUZ'!$K197),0)</f>
        <v>0</v>
      </c>
      <c r="AW197" s="63">
        <f t="shared" si="154"/>
        <v>0</v>
      </c>
      <c r="AX197" s="61">
        <f>IFERROR(SUMIFS('BM MORRO DA CRUZ - VERTICAL'!BB$6:BB$546,'BM MORRO DA CRUZ - VERTICAL'!$O$6:$O$546,'BM MORRO DA CRUZ'!$K197),0)</f>
        <v>0</v>
      </c>
      <c r="AY197" s="63">
        <f t="shared" si="155"/>
        <v>0</v>
      </c>
      <c r="AZ197" s="61">
        <f>IFERROR(SUMIFS('BM MORRO DA CRUZ - VERTICAL'!BD$6:BD$546,'BM MORRO DA CRUZ - VERTICAL'!$O$6:$O$546,'BM MORRO DA CRUZ'!$K197),0)</f>
        <v>0</v>
      </c>
      <c r="BA197" s="63">
        <f t="shared" si="156"/>
        <v>0</v>
      </c>
      <c r="BB197" s="61">
        <f t="shared" si="157"/>
        <v>0</v>
      </c>
      <c r="BC197" s="63">
        <f t="shared" si="158"/>
        <v>0</v>
      </c>
      <c r="BD197" s="64">
        <f t="shared" si="159"/>
        <v>0</v>
      </c>
      <c r="BE197" s="65">
        <f t="shared" si="160"/>
        <v>1</v>
      </c>
      <c r="BF197" s="45"/>
    </row>
    <row r="198" spans="1:58" ht="26.25" customHeight="1" x14ac:dyDescent="0.45">
      <c r="A198" s="56" t="s">
        <v>793</v>
      </c>
      <c r="B198" s="506" t="s">
        <v>794</v>
      </c>
      <c r="C198" s="507" t="s">
        <v>795</v>
      </c>
      <c r="D198" s="507" t="s">
        <v>39</v>
      </c>
      <c r="E198" s="507" t="s">
        <v>796</v>
      </c>
      <c r="F198" s="507" t="s">
        <v>39</v>
      </c>
      <c r="G198" s="507">
        <v>600</v>
      </c>
      <c r="H198" s="508" t="s">
        <v>125</v>
      </c>
      <c r="I198" s="507" t="s">
        <v>114</v>
      </c>
      <c r="J198" s="508" t="s">
        <v>126</v>
      </c>
      <c r="K198" s="57" t="s">
        <v>797</v>
      </c>
      <c r="L198" s="58" t="s">
        <v>21</v>
      </c>
      <c r="M198" s="59" t="s">
        <v>798</v>
      </c>
      <c r="N198" s="60" t="s">
        <v>71</v>
      </c>
      <c r="O198" s="61">
        <v>45</v>
      </c>
      <c r="P198" s="62">
        <v>407.28</v>
      </c>
      <c r="Q198" s="63">
        <f t="shared" si="138"/>
        <v>18327.599999999999</v>
      </c>
      <c r="R198" s="61">
        <f>IFERROR(SUMIFS('BM MORRO DA CRUZ - VERTICAL'!V$6:V$546,'BM MORRO DA CRUZ - VERTICAL'!$O$6:$O$546,'BM MORRO DA CRUZ'!$K198),0)</f>
        <v>0</v>
      </c>
      <c r="S198" s="63">
        <f t="shared" si="139"/>
        <v>0</v>
      </c>
      <c r="T198" s="61">
        <f>IFERROR(SUMIFS('BM MORRO DA CRUZ - VERTICAL'!X$6:X$546,'BM MORRO DA CRUZ - VERTICAL'!$O$6:$O$546,'BM MORRO DA CRUZ'!$K198),0)</f>
        <v>0</v>
      </c>
      <c r="U198" s="63">
        <f t="shared" si="140"/>
        <v>0</v>
      </c>
      <c r="V198" s="61">
        <f>IFERROR(SUMIFS('BM MORRO DA CRUZ - VERTICAL'!Z$6:Z$546,'BM MORRO DA CRUZ - VERTICAL'!$O$6:$O$546,'BM MORRO DA CRUZ'!$K198),0)</f>
        <v>0</v>
      </c>
      <c r="W198" s="63">
        <f t="shared" si="141"/>
        <v>0</v>
      </c>
      <c r="X198" s="61">
        <f>IFERROR(SUMIFS('BM MORRO DA CRUZ - VERTICAL'!AB$6:AB$546,'BM MORRO DA CRUZ - VERTICAL'!$O$6:$O$546,'BM MORRO DA CRUZ'!$K198),0)</f>
        <v>0</v>
      </c>
      <c r="Y198" s="63">
        <f t="shared" si="142"/>
        <v>0</v>
      </c>
      <c r="Z198" s="61">
        <f>IFERROR(SUMIFS('BM MORRO DA CRUZ - VERTICAL'!AD$6:AD$546,'BM MORRO DA CRUZ - VERTICAL'!$O$6:$O$546,'BM MORRO DA CRUZ'!$K198),0)</f>
        <v>0</v>
      </c>
      <c r="AA198" s="63">
        <f t="shared" si="143"/>
        <v>0</v>
      </c>
      <c r="AB198" s="61">
        <f>IFERROR(SUMIFS('BM MORRO DA CRUZ - VERTICAL'!AF$6:AF$546,'BM MORRO DA CRUZ - VERTICAL'!$O$6:$O$546,'BM MORRO DA CRUZ'!$K198),0)</f>
        <v>0</v>
      </c>
      <c r="AC198" s="63">
        <f t="shared" si="144"/>
        <v>0</v>
      </c>
      <c r="AD198" s="61">
        <f>IFERROR(SUMIFS('BM MORRO DA CRUZ - VERTICAL'!AH$6:AH$546,'BM MORRO DA CRUZ - VERTICAL'!$O$6:$O$546,'BM MORRO DA CRUZ'!$K198),0)</f>
        <v>0</v>
      </c>
      <c r="AE198" s="63">
        <f t="shared" si="145"/>
        <v>0</v>
      </c>
      <c r="AF198" s="61">
        <f>IFERROR(SUMIFS('BM MORRO DA CRUZ - VERTICAL'!AJ$6:AJ$546,'BM MORRO DA CRUZ - VERTICAL'!$O$6:$O$546,'BM MORRO DA CRUZ'!$K198),0)</f>
        <v>0</v>
      </c>
      <c r="AG198" s="63">
        <f t="shared" si="146"/>
        <v>0</v>
      </c>
      <c r="AH198" s="61">
        <f>IFERROR(SUMIFS('BM MORRO DA CRUZ - VERTICAL'!AL$6:AL$546,'BM MORRO DA CRUZ - VERTICAL'!$O$6:$O$546,'BM MORRO DA CRUZ'!$K198),0)</f>
        <v>0</v>
      </c>
      <c r="AI198" s="63">
        <f t="shared" si="147"/>
        <v>0</v>
      </c>
      <c r="AJ198" s="61">
        <f>IFERROR(SUMIFS('BM MORRO DA CRUZ - VERTICAL'!AN$6:AN$546,'BM MORRO DA CRUZ - VERTICAL'!$O$6:$O$546,'BM MORRO DA CRUZ'!$K198),0)</f>
        <v>0</v>
      </c>
      <c r="AK198" s="63">
        <f t="shared" si="148"/>
        <v>0</v>
      </c>
      <c r="AL198" s="61">
        <f>IFERROR(SUMIFS('BM MORRO DA CRUZ - VERTICAL'!AP$6:AP$546,'BM MORRO DA CRUZ - VERTICAL'!$O$6:$O$546,'BM MORRO DA CRUZ'!$K198),0)</f>
        <v>0</v>
      </c>
      <c r="AM198" s="63">
        <f t="shared" si="149"/>
        <v>0</v>
      </c>
      <c r="AN198" s="61">
        <f>IFERROR(SUMIFS('BM MORRO DA CRUZ - VERTICAL'!AR$6:AR$546,'BM MORRO DA CRUZ - VERTICAL'!$O$6:$O$546,'BM MORRO DA CRUZ'!$K198),0)</f>
        <v>0</v>
      </c>
      <c r="AO198" s="63">
        <f t="shared" si="150"/>
        <v>0</v>
      </c>
      <c r="AP198" s="61">
        <f>IFERROR(SUMIFS('BM MORRO DA CRUZ - VERTICAL'!AT$6:AT$546,'BM MORRO DA CRUZ - VERTICAL'!$O$6:$O$546,'BM MORRO DA CRUZ'!$K198),0)</f>
        <v>0</v>
      </c>
      <c r="AQ198" s="63">
        <f t="shared" si="151"/>
        <v>0</v>
      </c>
      <c r="AR198" s="61">
        <f>IFERROR(SUMIFS('BM MORRO DA CRUZ - VERTICAL'!AV$6:AV$546,'BM MORRO DA CRUZ - VERTICAL'!$O$6:$O$546,'BM MORRO DA CRUZ'!$K198),0)</f>
        <v>0</v>
      </c>
      <c r="AS198" s="63">
        <f t="shared" si="152"/>
        <v>0</v>
      </c>
      <c r="AT198" s="61">
        <f>IFERROR(SUMIFS('BM MORRO DA CRUZ - VERTICAL'!AX$6:AX$546,'BM MORRO DA CRUZ - VERTICAL'!$O$6:$O$546,'BM MORRO DA CRUZ'!$K198),0)</f>
        <v>0</v>
      </c>
      <c r="AU198" s="63">
        <f t="shared" si="153"/>
        <v>0</v>
      </c>
      <c r="AV198" s="61">
        <f>IFERROR(SUMIFS('BM MORRO DA CRUZ - VERTICAL'!AZ$6:AZ$546,'BM MORRO DA CRUZ - VERTICAL'!$O$6:$O$546,'BM MORRO DA CRUZ'!$K198),0)</f>
        <v>0</v>
      </c>
      <c r="AW198" s="63">
        <f t="shared" si="154"/>
        <v>0</v>
      </c>
      <c r="AX198" s="61">
        <f>IFERROR(SUMIFS('BM MORRO DA CRUZ - VERTICAL'!BB$6:BB$546,'BM MORRO DA CRUZ - VERTICAL'!$O$6:$O$546,'BM MORRO DA CRUZ'!$K198),0)</f>
        <v>0</v>
      </c>
      <c r="AY198" s="63">
        <f t="shared" si="155"/>
        <v>0</v>
      </c>
      <c r="AZ198" s="61">
        <f>IFERROR(SUMIFS('BM MORRO DA CRUZ - VERTICAL'!BD$6:BD$546,'BM MORRO DA CRUZ - VERTICAL'!$O$6:$O$546,'BM MORRO DA CRUZ'!$K198),0)</f>
        <v>0</v>
      </c>
      <c r="BA198" s="63">
        <f t="shared" si="156"/>
        <v>0</v>
      </c>
      <c r="BB198" s="61">
        <f t="shared" si="157"/>
        <v>0</v>
      </c>
      <c r="BC198" s="63">
        <f t="shared" si="158"/>
        <v>0</v>
      </c>
      <c r="BD198" s="64">
        <f t="shared" si="159"/>
        <v>0</v>
      </c>
      <c r="BE198" s="65">
        <f t="shared" si="160"/>
        <v>1</v>
      </c>
      <c r="BF198" s="45"/>
    </row>
    <row r="199" spans="1:58" ht="26" customHeight="1" x14ac:dyDescent="0.45">
      <c r="A199" s="56" t="s">
        <v>799</v>
      </c>
      <c r="B199" s="506" t="s">
        <v>800</v>
      </c>
      <c r="C199" s="507" t="s">
        <v>39</v>
      </c>
      <c r="D199" s="507" t="s">
        <v>39</v>
      </c>
      <c r="E199" s="507" t="s">
        <v>801</v>
      </c>
      <c r="F199" s="507" t="s">
        <v>39</v>
      </c>
      <c r="G199" s="507" t="s">
        <v>802</v>
      </c>
      <c r="H199" s="508" t="s">
        <v>267</v>
      </c>
      <c r="I199" s="507" t="s">
        <v>68</v>
      </c>
      <c r="J199" s="508" t="s">
        <v>267</v>
      </c>
      <c r="K199" s="57" t="s">
        <v>804</v>
      </c>
      <c r="L199" s="58" t="s">
        <v>21</v>
      </c>
      <c r="M199" s="59" t="s">
        <v>805</v>
      </c>
      <c r="N199" s="60" t="s">
        <v>71</v>
      </c>
      <c r="O199" s="61">
        <v>11894</v>
      </c>
      <c r="P199" s="62">
        <v>54.91</v>
      </c>
      <c r="Q199" s="63">
        <f t="shared" si="138"/>
        <v>653099.54</v>
      </c>
      <c r="R199" s="61">
        <f>IFERROR(SUMIFS('BM MORRO DA CRUZ - VERTICAL'!V$6:V$546,'BM MORRO DA CRUZ - VERTICAL'!$O$6:$O$546,'BM MORRO DA CRUZ'!$K199),0)</f>
        <v>0</v>
      </c>
      <c r="S199" s="63">
        <f t="shared" si="139"/>
        <v>0</v>
      </c>
      <c r="T199" s="61">
        <f>IFERROR(SUMIFS('BM MORRO DA CRUZ - VERTICAL'!X$6:X$546,'BM MORRO DA CRUZ - VERTICAL'!$O$6:$O$546,'BM MORRO DA CRUZ'!$K199),0)</f>
        <v>0</v>
      </c>
      <c r="U199" s="63">
        <f t="shared" si="140"/>
        <v>0</v>
      </c>
      <c r="V199" s="61">
        <f>IFERROR(SUMIFS('BM MORRO DA CRUZ - VERTICAL'!Z$6:Z$546,'BM MORRO DA CRUZ - VERTICAL'!$O$6:$O$546,'BM MORRO DA CRUZ'!$K199),0)</f>
        <v>0</v>
      </c>
      <c r="W199" s="63">
        <f t="shared" si="141"/>
        <v>0</v>
      </c>
      <c r="X199" s="61">
        <f>IFERROR(SUMIFS('BM MORRO DA CRUZ - VERTICAL'!AB$6:AB$546,'BM MORRO DA CRUZ - VERTICAL'!$O$6:$O$546,'BM MORRO DA CRUZ'!$K199),0)</f>
        <v>0</v>
      </c>
      <c r="Y199" s="63">
        <f t="shared" si="142"/>
        <v>0</v>
      </c>
      <c r="Z199" s="61">
        <f>IFERROR(SUMIFS('BM MORRO DA CRUZ - VERTICAL'!AD$6:AD$546,'BM MORRO DA CRUZ - VERTICAL'!$O$6:$O$546,'BM MORRO DA CRUZ'!$K199),0)</f>
        <v>0</v>
      </c>
      <c r="AA199" s="63">
        <f t="shared" si="143"/>
        <v>0</v>
      </c>
      <c r="AB199" s="61">
        <f>IFERROR(SUMIFS('BM MORRO DA CRUZ - VERTICAL'!AF$6:AF$546,'BM MORRO DA CRUZ - VERTICAL'!$O$6:$O$546,'BM MORRO DA CRUZ'!$K199),0)</f>
        <v>0</v>
      </c>
      <c r="AC199" s="63">
        <f t="shared" si="144"/>
        <v>0</v>
      </c>
      <c r="AD199" s="61">
        <f>IFERROR(SUMIFS('BM MORRO DA CRUZ - VERTICAL'!AH$6:AH$546,'BM MORRO DA CRUZ - VERTICAL'!$O$6:$O$546,'BM MORRO DA CRUZ'!$K199),0)</f>
        <v>0</v>
      </c>
      <c r="AE199" s="63">
        <f t="shared" si="145"/>
        <v>0</v>
      </c>
      <c r="AF199" s="61">
        <f>IFERROR(SUMIFS('BM MORRO DA CRUZ - VERTICAL'!AJ$6:AJ$546,'BM MORRO DA CRUZ - VERTICAL'!$O$6:$O$546,'BM MORRO DA CRUZ'!$K199),0)</f>
        <v>0</v>
      </c>
      <c r="AG199" s="63">
        <f t="shared" si="146"/>
        <v>0</v>
      </c>
      <c r="AH199" s="61">
        <f>IFERROR(SUMIFS('BM MORRO DA CRUZ - VERTICAL'!AL$6:AL$546,'BM MORRO DA CRUZ - VERTICAL'!$O$6:$O$546,'BM MORRO DA CRUZ'!$K199),0)</f>
        <v>0</v>
      </c>
      <c r="AI199" s="63">
        <f t="shared" si="147"/>
        <v>0</v>
      </c>
      <c r="AJ199" s="61">
        <f>IFERROR(SUMIFS('BM MORRO DA CRUZ - VERTICAL'!AN$6:AN$546,'BM MORRO DA CRUZ - VERTICAL'!$O$6:$O$546,'BM MORRO DA CRUZ'!$K199),0)</f>
        <v>0</v>
      </c>
      <c r="AK199" s="63">
        <f t="shared" si="148"/>
        <v>0</v>
      </c>
      <c r="AL199" s="61">
        <f>IFERROR(SUMIFS('BM MORRO DA CRUZ - VERTICAL'!AP$6:AP$546,'BM MORRO DA CRUZ - VERTICAL'!$O$6:$O$546,'BM MORRO DA CRUZ'!$K199),0)</f>
        <v>0</v>
      </c>
      <c r="AM199" s="63">
        <f t="shared" si="149"/>
        <v>0</v>
      </c>
      <c r="AN199" s="61">
        <f>IFERROR(SUMIFS('BM MORRO DA CRUZ - VERTICAL'!AR$6:AR$546,'BM MORRO DA CRUZ - VERTICAL'!$O$6:$O$546,'BM MORRO DA CRUZ'!$K199),0)</f>
        <v>0</v>
      </c>
      <c r="AO199" s="63">
        <f t="shared" si="150"/>
        <v>0</v>
      </c>
      <c r="AP199" s="61">
        <f>IFERROR(SUMIFS('BM MORRO DA CRUZ - VERTICAL'!AT$6:AT$546,'BM MORRO DA CRUZ - VERTICAL'!$O$6:$O$546,'BM MORRO DA CRUZ'!$K199),0)</f>
        <v>0</v>
      </c>
      <c r="AQ199" s="63">
        <f t="shared" si="151"/>
        <v>0</v>
      </c>
      <c r="AR199" s="61">
        <f>IFERROR(SUMIFS('BM MORRO DA CRUZ - VERTICAL'!AV$6:AV$546,'BM MORRO DA CRUZ - VERTICAL'!$O$6:$O$546,'BM MORRO DA CRUZ'!$K199),0)</f>
        <v>0</v>
      </c>
      <c r="AS199" s="63">
        <f t="shared" si="152"/>
        <v>0</v>
      </c>
      <c r="AT199" s="61">
        <f>IFERROR(SUMIFS('BM MORRO DA CRUZ - VERTICAL'!AX$6:AX$546,'BM MORRO DA CRUZ - VERTICAL'!$O$6:$O$546,'BM MORRO DA CRUZ'!$K199),0)</f>
        <v>0</v>
      </c>
      <c r="AU199" s="63">
        <f t="shared" si="153"/>
        <v>0</v>
      </c>
      <c r="AV199" s="61">
        <f>IFERROR(SUMIFS('BM MORRO DA CRUZ - VERTICAL'!AZ$6:AZ$546,'BM MORRO DA CRUZ - VERTICAL'!$O$6:$O$546,'BM MORRO DA CRUZ'!$K199),0)</f>
        <v>0</v>
      </c>
      <c r="AW199" s="63">
        <f t="shared" si="154"/>
        <v>0</v>
      </c>
      <c r="AX199" s="61">
        <f>IFERROR(SUMIFS('BM MORRO DA CRUZ - VERTICAL'!BB$6:BB$546,'BM MORRO DA CRUZ - VERTICAL'!$O$6:$O$546,'BM MORRO DA CRUZ'!$K199),0)</f>
        <v>0</v>
      </c>
      <c r="AY199" s="63">
        <f t="shared" si="155"/>
        <v>0</v>
      </c>
      <c r="AZ199" s="61">
        <f>IFERROR(SUMIFS('BM MORRO DA CRUZ - VERTICAL'!BD$6:BD$546,'BM MORRO DA CRUZ - VERTICAL'!$O$6:$O$546,'BM MORRO DA CRUZ'!$K199),0)</f>
        <v>0</v>
      </c>
      <c r="BA199" s="63">
        <f t="shared" si="156"/>
        <v>0</v>
      </c>
      <c r="BB199" s="61">
        <f t="shared" si="157"/>
        <v>0</v>
      </c>
      <c r="BC199" s="63">
        <f t="shared" si="158"/>
        <v>0</v>
      </c>
      <c r="BD199" s="64">
        <f t="shared" si="159"/>
        <v>0</v>
      </c>
      <c r="BE199" s="65">
        <f t="shared" si="160"/>
        <v>1</v>
      </c>
      <c r="BF199" s="45"/>
    </row>
    <row r="200" spans="1:58" ht="26.25" customHeight="1" x14ac:dyDescent="0.45">
      <c r="A200" s="56" t="s">
        <v>806</v>
      </c>
      <c r="B200" s="506" t="s">
        <v>807</v>
      </c>
      <c r="C200" s="507" t="s">
        <v>39</v>
      </c>
      <c r="D200" s="507" t="s">
        <v>39</v>
      </c>
      <c r="E200" s="507" t="s">
        <v>808</v>
      </c>
      <c r="F200" s="507" t="s">
        <v>39</v>
      </c>
      <c r="G200" s="507" t="s">
        <v>809</v>
      </c>
      <c r="H200" s="508" t="s">
        <v>810</v>
      </c>
      <c r="I200" s="507" t="s">
        <v>114</v>
      </c>
      <c r="J200" s="508" t="s">
        <v>41</v>
      </c>
      <c r="K200" s="57" t="s">
        <v>811</v>
      </c>
      <c r="L200" s="58" t="s">
        <v>21</v>
      </c>
      <c r="M200" s="59" t="s">
        <v>812</v>
      </c>
      <c r="N200" s="60" t="s">
        <v>792</v>
      </c>
      <c r="O200" s="61">
        <v>0.26</v>
      </c>
      <c r="P200" s="62">
        <v>11.56</v>
      </c>
      <c r="Q200" s="63">
        <f t="shared" si="138"/>
        <v>3.01</v>
      </c>
      <c r="R200" s="61">
        <f>IFERROR(SUMIFS('BM MORRO DA CRUZ - VERTICAL'!V$6:V$546,'BM MORRO DA CRUZ - VERTICAL'!$O$6:$O$546,'BM MORRO DA CRUZ'!$K200),0)</f>
        <v>0</v>
      </c>
      <c r="S200" s="63">
        <f t="shared" si="139"/>
        <v>0</v>
      </c>
      <c r="T200" s="61">
        <f>IFERROR(SUMIFS('BM MORRO DA CRUZ - VERTICAL'!X$6:X$546,'BM MORRO DA CRUZ - VERTICAL'!$O$6:$O$546,'BM MORRO DA CRUZ'!$K200),0)</f>
        <v>0</v>
      </c>
      <c r="U200" s="63">
        <f t="shared" si="140"/>
        <v>0</v>
      </c>
      <c r="V200" s="61">
        <f>IFERROR(SUMIFS('BM MORRO DA CRUZ - VERTICAL'!Z$6:Z$546,'BM MORRO DA CRUZ - VERTICAL'!$O$6:$O$546,'BM MORRO DA CRUZ'!$K200),0)</f>
        <v>0</v>
      </c>
      <c r="W200" s="63">
        <f t="shared" si="141"/>
        <v>0</v>
      </c>
      <c r="X200" s="61">
        <f>IFERROR(SUMIFS('BM MORRO DA CRUZ - VERTICAL'!AB$6:AB$546,'BM MORRO DA CRUZ - VERTICAL'!$O$6:$O$546,'BM MORRO DA CRUZ'!$K200),0)</f>
        <v>0</v>
      </c>
      <c r="Y200" s="63">
        <f t="shared" si="142"/>
        <v>0</v>
      </c>
      <c r="Z200" s="61">
        <f>IFERROR(SUMIFS('BM MORRO DA CRUZ - VERTICAL'!AD$6:AD$546,'BM MORRO DA CRUZ - VERTICAL'!$O$6:$O$546,'BM MORRO DA CRUZ'!$K200),0)</f>
        <v>0</v>
      </c>
      <c r="AA200" s="63">
        <f t="shared" si="143"/>
        <v>0</v>
      </c>
      <c r="AB200" s="61">
        <f>IFERROR(SUMIFS('BM MORRO DA CRUZ - VERTICAL'!AF$6:AF$546,'BM MORRO DA CRUZ - VERTICAL'!$O$6:$O$546,'BM MORRO DA CRUZ'!$K200),0)</f>
        <v>0</v>
      </c>
      <c r="AC200" s="63">
        <f t="shared" si="144"/>
        <v>0</v>
      </c>
      <c r="AD200" s="61">
        <f>IFERROR(SUMIFS('BM MORRO DA CRUZ - VERTICAL'!AH$6:AH$546,'BM MORRO DA CRUZ - VERTICAL'!$O$6:$O$546,'BM MORRO DA CRUZ'!$K200),0)</f>
        <v>0</v>
      </c>
      <c r="AE200" s="63">
        <f t="shared" si="145"/>
        <v>0</v>
      </c>
      <c r="AF200" s="61">
        <f>IFERROR(SUMIFS('BM MORRO DA CRUZ - VERTICAL'!AJ$6:AJ$546,'BM MORRO DA CRUZ - VERTICAL'!$O$6:$O$546,'BM MORRO DA CRUZ'!$K200),0)</f>
        <v>0</v>
      </c>
      <c r="AG200" s="63">
        <f t="shared" si="146"/>
        <v>0</v>
      </c>
      <c r="AH200" s="61">
        <f>IFERROR(SUMIFS('BM MORRO DA CRUZ - VERTICAL'!AL$6:AL$546,'BM MORRO DA CRUZ - VERTICAL'!$O$6:$O$546,'BM MORRO DA CRUZ'!$K200),0)</f>
        <v>0</v>
      </c>
      <c r="AI200" s="63">
        <f t="shared" si="147"/>
        <v>0</v>
      </c>
      <c r="AJ200" s="61">
        <f>IFERROR(SUMIFS('BM MORRO DA CRUZ - VERTICAL'!AN$6:AN$546,'BM MORRO DA CRUZ - VERTICAL'!$O$6:$O$546,'BM MORRO DA CRUZ'!$K200),0)</f>
        <v>0</v>
      </c>
      <c r="AK200" s="63">
        <f t="shared" si="148"/>
        <v>0</v>
      </c>
      <c r="AL200" s="61">
        <f>IFERROR(SUMIFS('BM MORRO DA CRUZ - VERTICAL'!AP$6:AP$546,'BM MORRO DA CRUZ - VERTICAL'!$O$6:$O$546,'BM MORRO DA CRUZ'!$K200),0)</f>
        <v>0</v>
      </c>
      <c r="AM200" s="63">
        <f t="shared" si="149"/>
        <v>0</v>
      </c>
      <c r="AN200" s="61">
        <f>IFERROR(SUMIFS('BM MORRO DA CRUZ - VERTICAL'!AR$6:AR$546,'BM MORRO DA CRUZ - VERTICAL'!$O$6:$O$546,'BM MORRO DA CRUZ'!$K200),0)</f>
        <v>0</v>
      </c>
      <c r="AO200" s="63">
        <f t="shared" si="150"/>
        <v>0</v>
      </c>
      <c r="AP200" s="61">
        <f>IFERROR(SUMIFS('BM MORRO DA CRUZ - VERTICAL'!AT$6:AT$546,'BM MORRO DA CRUZ - VERTICAL'!$O$6:$O$546,'BM MORRO DA CRUZ'!$K200),0)</f>
        <v>0</v>
      </c>
      <c r="AQ200" s="63">
        <f t="shared" si="151"/>
        <v>0</v>
      </c>
      <c r="AR200" s="61">
        <f>IFERROR(SUMIFS('BM MORRO DA CRUZ - VERTICAL'!AV$6:AV$546,'BM MORRO DA CRUZ - VERTICAL'!$O$6:$O$546,'BM MORRO DA CRUZ'!$K200),0)</f>
        <v>0</v>
      </c>
      <c r="AS200" s="63">
        <f t="shared" si="152"/>
        <v>0</v>
      </c>
      <c r="AT200" s="61">
        <f>IFERROR(SUMIFS('BM MORRO DA CRUZ - VERTICAL'!AX$6:AX$546,'BM MORRO DA CRUZ - VERTICAL'!$O$6:$O$546,'BM MORRO DA CRUZ'!$K200),0)</f>
        <v>0</v>
      </c>
      <c r="AU200" s="63">
        <f t="shared" si="153"/>
        <v>0</v>
      </c>
      <c r="AV200" s="61">
        <f>IFERROR(SUMIFS('BM MORRO DA CRUZ - VERTICAL'!AZ$6:AZ$546,'BM MORRO DA CRUZ - VERTICAL'!$O$6:$O$546,'BM MORRO DA CRUZ'!$K200),0)</f>
        <v>0</v>
      </c>
      <c r="AW200" s="63">
        <f t="shared" si="154"/>
        <v>0</v>
      </c>
      <c r="AX200" s="61">
        <f>IFERROR(SUMIFS('BM MORRO DA CRUZ - VERTICAL'!BB$6:BB$546,'BM MORRO DA CRUZ - VERTICAL'!$O$6:$O$546,'BM MORRO DA CRUZ'!$K200),0)</f>
        <v>0</v>
      </c>
      <c r="AY200" s="63">
        <f t="shared" si="155"/>
        <v>0</v>
      </c>
      <c r="AZ200" s="61">
        <f>IFERROR(SUMIFS('BM MORRO DA CRUZ - VERTICAL'!BD$6:BD$546,'BM MORRO DA CRUZ - VERTICAL'!$O$6:$O$546,'BM MORRO DA CRUZ'!$K200),0)</f>
        <v>0</v>
      </c>
      <c r="BA200" s="63">
        <f t="shared" si="156"/>
        <v>0</v>
      </c>
      <c r="BB200" s="61">
        <f t="shared" si="157"/>
        <v>0</v>
      </c>
      <c r="BC200" s="63">
        <f t="shared" si="158"/>
        <v>0</v>
      </c>
      <c r="BD200" s="64">
        <f t="shared" si="159"/>
        <v>0</v>
      </c>
      <c r="BE200" s="65">
        <f t="shared" si="160"/>
        <v>1</v>
      </c>
      <c r="BF200" s="45"/>
    </row>
    <row r="201" spans="1:58" ht="26.25" customHeight="1" x14ac:dyDescent="0.45">
      <c r="A201" s="56" t="s">
        <v>813</v>
      </c>
      <c r="B201" s="506" t="s">
        <v>540</v>
      </c>
      <c r="C201" s="507" t="s">
        <v>39</v>
      </c>
      <c r="D201" s="507" t="s">
        <v>814</v>
      </c>
      <c r="E201" s="507" t="s">
        <v>540</v>
      </c>
      <c r="F201" s="507" t="s">
        <v>273</v>
      </c>
      <c r="G201" s="507">
        <v>20</v>
      </c>
      <c r="H201" s="508" t="s">
        <v>267</v>
      </c>
      <c r="I201" s="507" t="s">
        <v>68</v>
      </c>
      <c r="J201" s="508" t="s">
        <v>541</v>
      </c>
      <c r="K201" s="57" t="s">
        <v>815</v>
      </c>
      <c r="L201" s="58" t="s">
        <v>21</v>
      </c>
      <c r="M201" s="59" t="s">
        <v>816</v>
      </c>
      <c r="N201" s="60" t="s">
        <v>367</v>
      </c>
      <c r="O201" s="61">
        <v>35682</v>
      </c>
      <c r="P201" s="62">
        <v>5.1100000000000003</v>
      </c>
      <c r="Q201" s="63">
        <f t="shared" si="138"/>
        <v>182335.02</v>
      </c>
      <c r="R201" s="61">
        <f>IFERROR(SUMIFS('BM MORRO DA CRUZ - VERTICAL'!V$6:V$546,'BM MORRO DA CRUZ - VERTICAL'!$O$6:$O$546,'BM MORRO DA CRUZ'!$K201),0)</f>
        <v>0</v>
      </c>
      <c r="S201" s="63">
        <f t="shared" si="139"/>
        <v>0</v>
      </c>
      <c r="T201" s="61">
        <f>IFERROR(SUMIFS('BM MORRO DA CRUZ - VERTICAL'!X$6:X$546,'BM MORRO DA CRUZ - VERTICAL'!$O$6:$O$546,'BM MORRO DA CRUZ'!$K201),0)</f>
        <v>0</v>
      </c>
      <c r="U201" s="63">
        <f t="shared" si="140"/>
        <v>0</v>
      </c>
      <c r="V201" s="61">
        <f>IFERROR(SUMIFS('BM MORRO DA CRUZ - VERTICAL'!Z$6:Z$546,'BM MORRO DA CRUZ - VERTICAL'!$O$6:$O$546,'BM MORRO DA CRUZ'!$K201),0)</f>
        <v>0</v>
      </c>
      <c r="W201" s="63">
        <f t="shared" si="141"/>
        <v>0</v>
      </c>
      <c r="X201" s="61">
        <f>IFERROR(SUMIFS('BM MORRO DA CRUZ - VERTICAL'!AB$6:AB$546,'BM MORRO DA CRUZ - VERTICAL'!$O$6:$O$546,'BM MORRO DA CRUZ'!$K201),0)</f>
        <v>0</v>
      </c>
      <c r="Y201" s="63">
        <f t="shared" si="142"/>
        <v>0</v>
      </c>
      <c r="Z201" s="61">
        <f>IFERROR(SUMIFS('BM MORRO DA CRUZ - VERTICAL'!AD$6:AD$546,'BM MORRO DA CRUZ - VERTICAL'!$O$6:$O$546,'BM MORRO DA CRUZ'!$K201),0)</f>
        <v>0</v>
      </c>
      <c r="AA201" s="63">
        <f t="shared" si="143"/>
        <v>0</v>
      </c>
      <c r="AB201" s="61">
        <f>IFERROR(SUMIFS('BM MORRO DA CRUZ - VERTICAL'!AF$6:AF$546,'BM MORRO DA CRUZ - VERTICAL'!$O$6:$O$546,'BM MORRO DA CRUZ'!$K201),0)</f>
        <v>0</v>
      </c>
      <c r="AC201" s="63">
        <f t="shared" si="144"/>
        <v>0</v>
      </c>
      <c r="AD201" s="61">
        <f>IFERROR(SUMIFS('BM MORRO DA CRUZ - VERTICAL'!AH$6:AH$546,'BM MORRO DA CRUZ - VERTICAL'!$O$6:$O$546,'BM MORRO DA CRUZ'!$K201),0)</f>
        <v>0</v>
      </c>
      <c r="AE201" s="63">
        <f t="shared" si="145"/>
        <v>0</v>
      </c>
      <c r="AF201" s="61">
        <f>IFERROR(SUMIFS('BM MORRO DA CRUZ - VERTICAL'!AJ$6:AJ$546,'BM MORRO DA CRUZ - VERTICAL'!$O$6:$O$546,'BM MORRO DA CRUZ'!$K201),0)</f>
        <v>0</v>
      </c>
      <c r="AG201" s="63">
        <f t="shared" si="146"/>
        <v>0</v>
      </c>
      <c r="AH201" s="61">
        <f>IFERROR(SUMIFS('BM MORRO DA CRUZ - VERTICAL'!AL$6:AL$546,'BM MORRO DA CRUZ - VERTICAL'!$O$6:$O$546,'BM MORRO DA CRUZ'!$K201),0)</f>
        <v>0</v>
      </c>
      <c r="AI201" s="63">
        <f t="shared" si="147"/>
        <v>0</v>
      </c>
      <c r="AJ201" s="61">
        <f>IFERROR(SUMIFS('BM MORRO DA CRUZ - VERTICAL'!AN$6:AN$546,'BM MORRO DA CRUZ - VERTICAL'!$O$6:$O$546,'BM MORRO DA CRUZ'!$K201),0)</f>
        <v>0</v>
      </c>
      <c r="AK201" s="63">
        <f t="shared" si="148"/>
        <v>0</v>
      </c>
      <c r="AL201" s="61">
        <f>IFERROR(SUMIFS('BM MORRO DA CRUZ - VERTICAL'!AP$6:AP$546,'BM MORRO DA CRUZ - VERTICAL'!$O$6:$O$546,'BM MORRO DA CRUZ'!$K201),0)</f>
        <v>0</v>
      </c>
      <c r="AM201" s="63">
        <f t="shared" si="149"/>
        <v>0</v>
      </c>
      <c r="AN201" s="61">
        <f>IFERROR(SUMIFS('BM MORRO DA CRUZ - VERTICAL'!AR$6:AR$546,'BM MORRO DA CRUZ - VERTICAL'!$O$6:$O$546,'BM MORRO DA CRUZ'!$K201),0)</f>
        <v>0</v>
      </c>
      <c r="AO201" s="63">
        <f t="shared" si="150"/>
        <v>0</v>
      </c>
      <c r="AP201" s="61">
        <f>IFERROR(SUMIFS('BM MORRO DA CRUZ - VERTICAL'!AT$6:AT$546,'BM MORRO DA CRUZ - VERTICAL'!$O$6:$O$546,'BM MORRO DA CRUZ'!$K201),0)</f>
        <v>0</v>
      </c>
      <c r="AQ201" s="63">
        <f t="shared" si="151"/>
        <v>0</v>
      </c>
      <c r="AR201" s="61">
        <f>IFERROR(SUMIFS('BM MORRO DA CRUZ - VERTICAL'!AV$6:AV$546,'BM MORRO DA CRUZ - VERTICAL'!$O$6:$O$546,'BM MORRO DA CRUZ'!$K201),0)</f>
        <v>0</v>
      </c>
      <c r="AS201" s="63">
        <f t="shared" si="152"/>
        <v>0</v>
      </c>
      <c r="AT201" s="61">
        <f>IFERROR(SUMIFS('BM MORRO DA CRUZ - VERTICAL'!AX$6:AX$546,'BM MORRO DA CRUZ - VERTICAL'!$O$6:$O$546,'BM MORRO DA CRUZ'!$K201),0)</f>
        <v>0</v>
      </c>
      <c r="AU201" s="63">
        <f t="shared" si="153"/>
        <v>0</v>
      </c>
      <c r="AV201" s="61">
        <f>IFERROR(SUMIFS('BM MORRO DA CRUZ - VERTICAL'!AZ$6:AZ$546,'BM MORRO DA CRUZ - VERTICAL'!$O$6:$O$546,'BM MORRO DA CRUZ'!$K201),0)</f>
        <v>0</v>
      </c>
      <c r="AW201" s="63">
        <f t="shared" si="154"/>
        <v>0</v>
      </c>
      <c r="AX201" s="61">
        <f>IFERROR(SUMIFS('BM MORRO DA CRUZ - VERTICAL'!BB$6:BB$546,'BM MORRO DA CRUZ - VERTICAL'!$O$6:$O$546,'BM MORRO DA CRUZ'!$K201),0)</f>
        <v>0</v>
      </c>
      <c r="AY201" s="63">
        <f t="shared" si="155"/>
        <v>0</v>
      </c>
      <c r="AZ201" s="61">
        <f>IFERROR(SUMIFS('BM MORRO DA CRUZ - VERTICAL'!BD$6:BD$546,'BM MORRO DA CRUZ - VERTICAL'!$O$6:$O$546,'BM MORRO DA CRUZ'!$K201),0)</f>
        <v>0</v>
      </c>
      <c r="BA201" s="63">
        <f t="shared" si="156"/>
        <v>0</v>
      </c>
      <c r="BB201" s="61">
        <f t="shared" si="157"/>
        <v>0</v>
      </c>
      <c r="BC201" s="63">
        <f t="shared" si="158"/>
        <v>0</v>
      </c>
      <c r="BD201" s="64">
        <f t="shared" si="159"/>
        <v>0</v>
      </c>
      <c r="BE201" s="65">
        <f t="shared" si="160"/>
        <v>1</v>
      </c>
      <c r="BF201" s="45"/>
    </row>
    <row r="202" spans="1:58" ht="26" customHeight="1" x14ac:dyDescent="0.45">
      <c r="A202" s="56" t="s">
        <v>817</v>
      </c>
      <c r="B202" s="506" t="s">
        <v>818</v>
      </c>
      <c r="C202" s="507" t="s">
        <v>39</v>
      </c>
      <c r="D202" s="507" t="s">
        <v>39</v>
      </c>
      <c r="E202" s="507" t="s">
        <v>819</v>
      </c>
      <c r="F202" s="507" t="s">
        <v>39</v>
      </c>
      <c r="G202" s="507">
        <v>20</v>
      </c>
      <c r="H202" s="508" t="s">
        <v>267</v>
      </c>
      <c r="I202" s="507" t="s">
        <v>68</v>
      </c>
      <c r="J202" s="508" t="s">
        <v>267</v>
      </c>
      <c r="K202" s="57" t="s">
        <v>820</v>
      </c>
      <c r="L202" s="58" t="s">
        <v>21</v>
      </c>
      <c r="M202" s="59" t="s">
        <v>821</v>
      </c>
      <c r="N202" s="60" t="s">
        <v>71</v>
      </c>
      <c r="O202" s="61">
        <v>11894</v>
      </c>
      <c r="P202" s="62">
        <v>5.0999999999999996</v>
      </c>
      <c r="Q202" s="63">
        <f t="shared" si="138"/>
        <v>60659.4</v>
      </c>
      <c r="R202" s="61">
        <f>IFERROR(SUMIFS('BM MORRO DA CRUZ - VERTICAL'!V$6:V$546,'BM MORRO DA CRUZ - VERTICAL'!$O$6:$O$546,'BM MORRO DA CRUZ'!$K202),0)</f>
        <v>0</v>
      </c>
      <c r="S202" s="63">
        <f t="shared" si="139"/>
        <v>0</v>
      </c>
      <c r="T202" s="61">
        <f>IFERROR(SUMIFS('BM MORRO DA CRUZ - VERTICAL'!X$6:X$546,'BM MORRO DA CRUZ - VERTICAL'!$O$6:$O$546,'BM MORRO DA CRUZ'!$K202),0)</f>
        <v>0</v>
      </c>
      <c r="U202" s="63">
        <f t="shared" si="140"/>
        <v>0</v>
      </c>
      <c r="V202" s="61">
        <f>IFERROR(SUMIFS('BM MORRO DA CRUZ - VERTICAL'!Z$6:Z$546,'BM MORRO DA CRUZ - VERTICAL'!$O$6:$O$546,'BM MORRO DA CRUZ'!$K202),0)</f>
        <v>0</v>
      </c>
      <c r="W202" s="63">
        <f t="shared" si="141"/>
        <v>0</v>
      </c>
      <c r="X202" s="61">
        <f>IFERROR(SUMIFS('BM MORRO DA CRUZ - VERTICAL'!AB$6:AB$546,'BM MORRO DA CRUZ - VERTICAL'!$O$6:$O$546,'BM MORRO DA CRUZ'!$K202),0)</f>
        <v>0</v>
      </c>
      <c r="Y202" s="63">
        <f t="shared" si="142"/>
        <v>0</v>
      </c>
      <c r="Z202" s="61">
        <f>IFERROR(SUMIFS('BM MORRO DA CRUZ - VERTICAL'!AD$6:AD$546,'BM MORRO DA CRUZ - VERTICAL'!$O$6:$O$546,'BM MORRO DA CRUZ'!$K202),0)</f>
        <v>0</v>
      </c>
      <c r="AA202" s="63">
        <f t="shared" si="143"/>
        <v>0</v>
      </c>
      <c r="AB202" s="61">
        <f>IFERROR(SUMIFS('BM MORRO DA CRUZ - VERTICAL'!AF$6:AF$546,'BM MORRO DA CRUZ - VERTICAL'!$O$6:$O$546,'BM MORRO DA CRUZ'!$K202),0)</f>
        <v>0</v>
      </c>
      <c r="AC202" s="63">
        <f t="shared" si="144"/>
        <v>0</v>
      </c>
      <c r="AD202" s="61">
        <f>IFERROR(SUMIFS('BM MORRO DA CRUZ - VERTICAL'!AH$6:AH$546,'BM MORRO DA CRUZ - VERTICAL'!$O$6:$O$546,'BM MORRO DA CRUZ'!$K202),0)</f>
        <v>0</v>
      </c>
      <c r="AE202" s="63">
        <f t="shared" si="145"/>
        <v>0</v>
      </c>
      <c r="AF202" s="61">
        <f>IFERROR(SUMIFS('BM MORRO DA CRUZ - VERTICAL'!AJ$6:AJ$546,'BM MORRO DA CRUZ - VERTICAL'!$O$6:$O$546,'BM MORRO DA CRUZ'!$K202),0)</f>
        <v>0</v>
      </c>
      <c r="AG202" s="63">
        <f t="shared" si="146"/>
        <v>0</v>
      </c>
      <c r="AH202" s="61">
        <f>IFERROR(SUMIFS('BM MORRO DA CRUZ - VERTICAL'!AL$6:AL$546,'BM MORRO DA CRUZ - VERTICAL'!$O$6:$O$546,'BM MORRO DA CRUZ'!$K202),0)</f>
        <v>0</v>
      </c>
      <c r="AI202" s="63">
        <f t="shared" si="147"/>
        <v>0</v>
      </c>
      <c r="AJ202" s="61">
        <f>IFERROR(SUMIFS('BM MORRO DA CRUZ - VERTICAL'!AN$6:AN$546,'BM MORRO DA CRUZ - VERTICAL'!$O$6:$O$546,'BM MORRO DA CRUZ'!$K202),0)</f>
        <v>0</v>
      </c>
      <c r="AK202" s="63">
        <f t="shared" si="148"/>
        <v>0</v>
      </c>
      <c r="AL202" s="61">
        <f>IFERROR(SUMIFS('BM MORRO DA CRUZ - VERTICAL'!AP$6:AP$546,'BM MORRO DA CRUZ - VERTICAL'!$O$6:$O$546,'BM MORRO DA CRUZ'!$K202),0)</f>
        <v>0</v>
      </c>
      <c r="AM202" s="63">
        <f t="shared" si="149"/>
        <v>0</v>
      </c>
      <c r="AN202" s="61">
        <f>IFERROR(SUMIFS('BM MORRO DA CRUZ - VERTICAL'!AR$6:AR$546,'BM MORRO DA CRUZ - VERTICAL'!$O$6:$O$546,'BM MORRO DA CRUZ'!$K202),0)</f>
        <v>0</v>
      </c>
      <c r="AO202" s="63">
        <f t="shared" si="150"/>
        <v>0</v>
      </c>
      <c r="AP202" s="61">
        <f>IFERROR(SUMIFS('BM MORRO DA CRUZ - VERTICAL'!AT$6:AT$546,'BM MORRO DA CRUZ - VERTICAL'!$O$6:$O$546,'BM MORRO DA CRUZ'!$K202),0)</f>
        <v>0</v>
      </c>
      <c r="AQ202" s="63">
        <f t="shared" si="151"/>
        <v>0</v>
      </c>
      <c r="AR202" s="61">
        <f>IFERROR(SUMIFS('BM MORRO DA CRUZ - VERTICAL'!AV$6:AV$546,'BM MORRO DA CRUZ - VERTICAL'!$O$6:$O$546,'BM MORRO DA CRUZ'!$K202),0)</f>
        <v>0</v>
      </c>
      <c r="AS202" s="63">
        <f t="shared" si="152"/>
        <v>0</v>
      </c>
      <c r="AT202" s="61">
        <f>IFERROR(SUMIFS('BM MORRO DA CRUZ - VERTICAL'!AX$6:AX$546,'BM MORRO DA CRUZ - VERTICAL'!$O$6:$O$546,'BM MORRO DA CRUZ'!$K202),0)</f>
        <v>0</v>
      </c>
      <c r="AU202" s="63">
        <f t="shared" si="153"/>
        <v>0</v>
      </c>
      <c r="AV202" s="61">
        <f>IFERROR(SUMIFS('BM MORRO DA CRUZ - VERTICAL'!AZ$6:AZ$546,'BM MORRO DA CRUZ - VERTICAL'!$O$6:$O$546,'BM MORRO DA CRUZ'!$K202),0)</f>
        <v>0</v>
      </c>
      <c r="AW202" s="63">
        <f t="shared" si="154"/>
        <v>0</v>
      </c>
      <c r="AX202" s="61">
        <f>IFERROR(SUMIFS('BM MORRO DA CRUZ - VERTICAL'!BB$6:BB$546,'BM MORRO DA CRUZ - VERTICAL'!$O$6:$O$546,'BM MORRO DA CRUZ'!$K202),0)</f>
        <v>0</v>
      </c>
      <c r="AY202" s="63">
        <f t="shared" si="155"/>
        <v>0</v>
      </c>
      <c r="AZ202" s="61">
        <f>IFERROR(SUMIFS('BM MORRO DA CRUZ - VERTICAL'!BD$6:BD$546,'BM MORRO DA CRUZ - VERTICAL'!$O$6:$O$546,'BM MORRO DA CRUZ'!$K202),0)</f>
        <v>0</v>
      </c>
      <c r="BA202" s="63">
        <f t="shared" si="156"/>
        <v>0</v>
      </c>
      <c r="BB202" s="61">
        <f t="shared" si="157"/>
        <v>0</v>
      </c>
      <c r="BC202" s="63">
        <f t="shared" si="158"/>
        <v>0</v>
      </c>
      <c r="BD202" s="64">
        <f t="shared" si="159"/>
        <v>0</v>
      </c>
      <c r="BE202" s="65">
        <f t="shared" si="160"/>
        <v>1</v>
      </c>
      <c r="BF202" s="45"/>
    </row>
    <row r="203" spans="1:58" ht="19.5" customHeight="1" x14ac:dyDescent="0.45">
      <c r="A203" s="35">
        <v>2</v>
      </c>
      <c r="B203" s="500"/>
      <c r="C203" s="501"/>
      <c r="D203" s="501"/>
      <c r="E203" s="501"/>
      <c r="F203" s="501"/>
      <c r="G203" s="501"/>
      <c r="H203" s="502" t="s">
        <v>1718</v>
      </c>
      <c r="I203" s="501"/>
      <c r="J203" s="502" t="s">
        <v>1718</v>
      </c>
      <c r="K203" s="36" t="s">
        <v>822</v>
      </c>
      <c r="L203" s="37"/>
      <c r="M203" s="38" t="s">
        <v>823</v>
      </c>
      <c r="N203" s="39"/>
      <c r="O203" s="40"/>
      <c r="P203" s="41"/>
      <c r="Q203" s="42">
        <f>SUM(Q204)</f>
        <v>15752.32</v>
      </c>
      <c r="R203" s="40"/>
      <c r="S203" s="42">
        <f>SUM(S204)</f>
        <v>0</v>
      </c>
      <c r="T203" s="40"/>
      <c r="U203" s="42">
        <f>SUM(U204)</f>
        <v>0</v>
      </c>
      <c r="V203" s="40"/>
      <c r="W203" s="42">
        <f>SUM(W204)</f>
        <v>0</v>
      </c>
      <c r="X203" s="40"/>
      <c r="Y203" s="42">
        <f>SUM(Y204)</f>
        <v>0</v>
      </c>
      <c r="Z203" s="40"/>
      <c r="AA203" s="42">
        <f>SUM(AA204)</f>
        <v>0</v>
      </c>
      <c r="AB203" s="40"/>
      <c r="AC203" s="42">
        <f>SUM(AC204)</f>
        <v>0</v>
      </c>
      <c r="AD203" s="40"/>
      <c r="AE203" s="42">
        <f>SUM(AE204)</f>
        <v>0</v>
      </c>
      <c r="AF203" s="40"/>
      <c r="AG203" s="42">
        <f>SUM(AG204)</f>
        <v>0</v>
      </c>
      <c r="AH203" s="40"/>
      <c r="AI203" s="42">
        <f>SUM(AI204)</f>
        <v>0</v>
      </c>
      <c r="AJ203" s="40"/>
      <c r="AK203" s="42">
        <f>SUM(AK204)</f>
        <v>0</v>
      </c>
      <c r="AL203" s="40"/>
      <c r="AM203" s="42">
        <f>SUM(AM204)</f>
        <v>0</v>
      </c>
      <c r="AN203" s="40"/>
      <c r="AO203" s="42">
        <f>SUM(AO204)</f>
        <v>0</v>
      </c>
      <c r="AP203" s="40"/>
      <c r="AQ203" s="42">
        <f>SUM(AQ204)</f>
        <v>0</v>
      </c>
      <c r="AR203" s="40"/>
      <c r="AS203" s="42">
        <f>SUM(AS204)</f>
        <v>0</v>
      </c>
      <c r="AT203" s="40"/>
      <c r="AU203" s="42">
        <f>SUM(AU204)</f>
        <v>0</v>
      </c>
      <c r="AV203" s="40"/>
      <c r="AW203" s="42">
        <f>SUM(AW204)</f>
        <v>0</v>
      </c>
      <c r="AX203" s="40"/>
      <c r="AY203" s="42">
        <f>SUM(AY204)</f>
        <v>0</v>
      </c>
      <c r="AZ203" s="40"/>
      <c r="BA203" s="42">
        <f>SUM(BA204)</f>
        <v>0</v>
      </c>
      <c r="BB203" s="40"/>
      <c r="BC203" s="42">
        <f>SUM(BC204)</f>
        <v>0</v>
      </c>
      <c r="BD203" s="43"/>
      <c r="BE203" s="44"/>
      <c r="BF203" s="45"/>
    </row>
    <row r="204" spans="1:58" ht="19.5" customHeight="1" x14ac:dyDescent="0.45">
      <c r="A204" s="46" t="s">
        <v>824</v>
      </c>
      <c r="B204" s="503"/>
      <c r="C204" s="504"/>
      <c r="D204" s="504"/>
      <c r="E204" s="504"/>
      <c r="F204" s="504"/>
      <c r="G204" s="504"/>
      <c r="H204" s="505" t="s">
        <v>1718</v>
      </c>
      <c r="I204" s="504"/>
      <c r="J204" s="505" t="s">
        <v>1718</v>
      </c>
      <c r="K204" s="47" t="s">
        <v>825</v>
      </c>
      <c r="L204" s="48"/>
      <c r="M204" s="49" t="s">
        <v>826</v>
      </c>
      <c r="N204" s="50"/>
      <c r="O204" s="51"/>
      <c r="P204" s="52"/>
      <c r="Q204" s="53">
        <f>SUM(Q205:Q205)</f>
        <v>15752.32</v>
      </c>
      <c r="R204" s="51"/>
      <c r="S204" s="53">
        <f>SUM(S205:S205)</f>
        <v>0</v>
      </c>
      <c r="T204" s="51"/>
      <c r="U204" s="53">
        <f>SUM(U205:U205)</f>
        <v>0</v>
      </c>
      <c r="V204" s="51"/>
      <c r="W204" s="53">
        <f>SUM(W205:W205)</f>
        <v>0</v>
      </c>
      <c r="X204" s="51"/>
      <c r="Y204" s="53">
        <f>SUM(Y205:Y205)</f>
        <v>0</v>
      </c>
      <c r="Z204" s="51"/>
      <c r="AA204" s="53">
        <f>SUM(AA205:AA205)</f>
        <v>0</v>
      </c>
      <c r="AB204" s="51"/>
      <c r="AC204" s="53">
        <f>SUM(AC205:AC205)</f>
        <v>0</v>
      </c>
      <c r="AD204" s="51"/>
      <c r="AE204" s="53">
        <f>SUM(AE205:AE205)</f>
        <v>0</v>
      </c>
      <c r="AF204" s="51"/>
      <c r="AG204" s="53">
        <f>SUM(AG205:AG205)</f>
        <v>0</v>
      </c>
      <c r="AH204" s="51"/>
      <c r="AI204" s="53">
        <f>SUM(AI205:AI205)</f>
        <v>0</v>
      </c>
      <c r="AJ204" s="51"/>
      <c r="AK204" s="53">
        <f>SUM(AK205:AK205)</f>
        <v>0</v>
      </c>
      <c r="AL204" s="51"/>
      <c r="AM204" s="53">
        <f>SUM(AM205:AM205)</f>
        <v>0</v>
      </c>
      <c r="AN204" s="51"/>
      <c r="AO204" s="53">
        <f>SUM(AO205:AO205)</f>
        <v>0</v>
      </c>
      <c r="AP204" s="51"/>
      <c r="AQ204" s="53">
        <f>SUM(AQ205:AQ205)</f>
        <v>0</v>
      </c>
      <c r="AR204" s="51"/>
      <c r="AS204" s="53">
        <f>SUM(AS205:AS205)</f>
        <v>0</v>
      </c>
      <c r="AT204" s="51"/>
      <c r="AU204" s="53">
        <f>SUM(AU205:AU205)</f>
        <v>0</v>
      </c>
      <c r="AV204" s="51"/>
      <c r="AW204" s="53">
        <f>SUM(AW205:AW205)</f>
        <v>0</v>
      </c>
      <c r="AX204" s="51"/>
      <c r="AY204" s="53">
        <f>SUM(AY205:AY205)</f>
        <v>0</v>
      </c>
      <c r="AZ204" s="51"/>
      <c r="BA204" s="53">
        <f>SUM(BA205:BA205)</f>
        <v>0</v>
      </c>
      <c r="BB204" s="51"/>
      <c r="BC204" s="53">
        <f>SUM(BC205:BC205)</f>
        <v>0</v>
      </c>
      <c r="BD204" s="54"/>
      <c r="BE204" s="55"/>
      <c r="BF204" s="45"/>
    </row>
    <row r="205" spans="1:58" ht="26" customHeight="1" x14ac:dyDescent="0.45">
      <c r="A205" s="56" t="s">
        <v>827</v>
      </c>
      <c r="B205" s="506" t="s">
        <v>828</v>
      </c>
      <c r="C205" s="507" t="s">
        <v>39</v>
      </c>
      <c r="D205" s="507" t="s">
        <v>39</v>
      </c>
      <c r="E205" s="507" t="s">
        <v>39</v>
      </c>
      <c r="F205" s="507" t="s">
        <v>39</v>
      </c>
      <c r="G205" s="507" t="s">
        <v>39</v>
      </c>
      <c r="H205" s="508" t="s">
        <v>78</v>
      </c>
      <c r="I205" s="507" t="s">
        <v>79</v>
      </c>
      <c r="J205" s="508" t="s">
        <v>78</v>
      </c>
      <c r="K205" s="57" t="s">
        <v>829</v>
      </c>
      <c r="L205" s="58" t="s">
        <v>21</v>
      </c>
      <c r="M205" s="59" t="s">
        <v>830</v>
      </c>
      <c r="N205" s="60" t="s">
        <v>755</v>
      </c>
      <c r="O205" s="61">
        <v>326</v>
      </c>
      <c r="P205" s="62">
        <v>48.32</v>
      </c>
      <c r="Q205" s="63">
        <f>ROUND(P205*$O205,2)</f>
        <v>15752.32</v>
      </c>
      <c r="R205" s="61">
        <f>IFERROR(SUMIFS('BM MORRO DA CRUZ - VERTICAL'!V$6:V$546,'BM MORRO DA CRUZ - VERTICAL'!$O$6:$O$546,'BM MORRO DA CRUZ'!$K205),0)</f>
        <v>0</v>
      </c>
      <c r="S205" s="63">
        <f>ROUND(R205*$P205,2)</f>
        <v>0</v>
      </c>
      <c r="T205" s="61">
        <f>IFERROR(SUMIFS('BM MORRO DA CRUZ - VERTICAL'!X$6:X$546,'BM MORRO DA CRUZ - VERTICAL'!$O$6:$O$546,'BM MORRO DA CRUZ'!$K205),0)</f>
        <v>0</v>
      </c>
      <c r="U205" s="63">
        <f>ROUND(T205*$P205,2)</f>
        <v>0</v>
      </c>
      <c r="V205" s="61">
        <f>IFERROR(SUMIFS('BM MORRO DA CRUZ - VERTICAL'!Z$6:Z$546,'BM MORRO DA CRUZ - VERTICAL'!$O$6:$O$546,'BM MORRO DA CRUZ'!$K205),0)</f>
        <v>0</v>
      </c>
      <c r="W205" s="63">
        <f>ROUND(V205*$P205,2)</f>
        <v>0</v>
      </c>
      <c r="X205" s="61">
        <f>IFERROR(SUMIFS('BM MORRO DA CRUZ - VERTICAL'!AB$6:AB$546,'BM MORRO DA CRUZ - VERTICAL'!$O$6:$O$546,'BM MORRO DA CRUZ'!$K205),0)</f>
        <v>0</v>
      </c>
      <c r="Y205" s="63">
        <f>ROUND(X205*$P205,2)</f>
        <v>0</v>
      </c>
      <c r="Z205" s="61">
        <f>IFERROR(SUMIFS('BM MORRO DA CRUZ - VERTICAL'!AD$6:AD$546,'BM MORRO DA CRUZ - VERTICAL'!$O$6:$O$546,'BM MORRO DA CRUZ'!$K205),0)</f>
        <v>0</v>
      </c>
      <c r="AA205" s="63">
        <f>ROUND(Z205*$P205,2)</f>
        <v>0</v>
      </c>
      <c r="AB205" s="61">
        <f>IFERROR(SUMIFS('BM MORRO DA CRUZ - VERTICAL'!AF$6:AF$546,'BM MORRO DA CRUZ - VERTICAL'!$O$6:$O$546,'BM MORRO DA CRUZ'!$K205),0)</f>
        <v>0</v>
      </c>
      <c r="AC205" s="63">
        <f>ROUND(AB205*$P205,2)</f>
        <v>0</v>
      </c>
      <c r="AD205" s="61">
        <f>IFERROR(SUMIFS('BM MORRO DA CRUZ - VERTICAL'!AH$6:AH$546,'BM MORRO DA CRUZ - VERTICAL'!$O$6:$O$546,'BM MORRO DA CRUZ'!$K205),0)</f>
        <v>0</v>
      </c>
      <c r="AE205" s="63">
        <f>ROUND(AD205*$P205,2)</f>
        <v>0</v>
      </c>
      <c r="AF205" s="61">
        <f>IFERROR(SUMIFS('BM MORRO DA CRUZ - VERTICAL'!AJ$6:AJ$546,'BM MORRO DA CRUZ - VERTICAL'!$O$6:$O$546,'BM MORRO DA CRUZ'!$K205),0)</f>
        <v>0</v>
      </c>
      <c r="AG205" s="63">
        <f>ROUND(AF205*$P205,2)</f>
        <v>0</v>
      </c>
      <c r="AH205" s="61">
        <f>IFERROR(SUMIFS('BM MORRO DA CRUZ - VERTICAL'!AL$6:AL$546,'BM MORRO DA CRUZ - VERTICAL'!$O$6:$O$546,'BM MORRO DA CRUZ'!$K205),0)</f>
        <v>0</v>
      </c>
      <c r="AI205" s="63">
        <f>ROUND(AH205*$P205,2)</f>
        <v>0</v>
      </c>
      <c r="AJ205" s="61">
        <f>IFERROR(SUMIFS('BM MORRO DA CRUZ - VERTICAL'!AN$6:AN$546,'BM MORRO DA CRUZ - VERTICAL'!$O$6:$O$546,'BM MORRO DA CRUZ'!$K205),0)</f>
        <v>0</v>
      </c>
      <c r="AK205" s="63">
        <f>ROUND(AJ205*$P205,2)</f>
        <v>0</v>
      </c>
      <c r="AL205" s="61">
        <f>IFERROR(SUMIFS('BM MORRO DA CRUZ - VERTICAL'!AP$6:AP$546,'BM MORRO DA CRUZ - VERTICAL'!$O$6:$O$546,'BM MORRO DA CRUZ'!$K205),0)</f>
        <v>0</v>
      </c>
      <c r="AM205" s="63">
        <f>ROUND(AL205*$P205,2)</f>
        <v>0</v>
      </c>
      <c r="AN205" s="61">
        <f>IFERROR(SUMIFS('BM MORRO DA CRUZ - VERTICAL'!AR$6:AR$546,'BM MORRO DA CRUZ - VERTICAL'!$O$6:$O$546,'BM MORRO DA CRUZ'!$K205),0)</f>
        <v>0</v>
      </c>
      <c r="AO205" s="63">
        <f>ROUND(AN205*$P205,2)</f>
        <v>0</v>
      </c>
      <c r="AP205" s="61">
        <f>IFERROR(SUMIFS('BM MORRO DA CRUZ - VERTICAL'!AT$6:AT$546,'BM MORRO DA CRUZ - VERTICAL'!$O$6:$O$546,'BM MORRO DA CRUZ'!$K205),0)</f>
        <v>0</v>
      </c>
      <c r="AQ205" s="63">
        <f>ROUND(AP205*$P205,2)</f>
        <v>0</v>
      </c>
      <c r="AR205" s="61">
        <f>IFERROR(SUMIFS('BM MORRO DA CRUZ - VERTICAL'!AV$6:AV$546,'BM MORRO DA CRUZ - VERTICAL'!$O$6:$O$546,'BM MORRO DA CRUZ'!$K205),0)</f>
        <v>0</v>
      </c>
      <c r="AS205" s="63">
        <f>ROUND(AR205*$P205,2)</f>
        <v>0</v>
      </c>
      <c r="AT205" s="61">
        <f>IFERROR(SUMIFS('BM MORRO DA CRUZ - VERTICAL'!AX$6:AX$546,'BM MORRO DA CRUZ - VERTICAL'!$O$6:$O$546,'BM MORRO DA CRUZ'!$K205),0)</f>
        <v>0</v>
      </c>
      <c r="AU205" s="63">
        <f>ROUND(AT205*$P205,2)</f>
        <v>0</v>
      </c>
      <c r="AV205" s="61">
        <f>IFERROR(SUMIFS('BM MORRO DA CRUZ - VERTICAL'!AZ$6:AZ$546,'BM MORRO DA CRUZ - VERTICAL'!$O$6:$O$546,'BM MORRO DA CRUZ'!$K205),0)</f>
        <v>0</v>
      </c>
      <c r="AW205" s="63">
        <f>ROUND(AV205*$P205,2)</f>
        <v>0</v>
      </c>
      <c r="AX205" s="61">
        <f>IFERROR(SUMIFS('BM MORRO DA CRUZ - VERTICAL'!BB$6:BB$546,'BM MORRO DA CRUZ - VERTICAL'!$O$6:$O$546,'BM MORRO DA CRUZ'!$K205),0)</f>
        <v>0</v>
      </c>
      <c r="AY205" s="63">
        <f>ROUND(AX205*$P205,2)</f>
        <v>0</v>
      </c>
      <c r="AZ205" s="61">
        <f>IFERROR(SUMIFS('BM MORRO DA CRUZ - VERTICAL'!BD$6:BD$546,'BM MORRO DA CRUZ - VERTICAL'!$O$6:$O$546,'BM MORRO DA CRUZ'!$K205),0)</f>
        <v>0</v>
      </c>
      <c r="BA205" s="63">
        <f>ROUND(AZ205*$P205,2)</f>
        <v>0</v>
      </c>
      <c r="BB205" s="61">
        <f>IFERROR(SUMIFS($R205:$BA205,$R$5:$BA$5,$BB$5),0)</f>
        <v>0</v>
      </c>
      <c r="BC205" s="63">
        <f>SUMIFS($R205:$BA205,$R$5:$BA$5,$S$5)</f>
        <v>0</v>
      </c>
      <c r="BD205" s="64">
        <f>IFERROR(BB205/O205,0)</f>
        <v>0</v>
      </c>
      <c r="BE205" s="65">
        <f>IFERROR((O205-BB205)/O205,0)</f>
        <v>1</v>
      </c>
      <c r="BF205" s="45"/>
    </row>
    <row r="206" spans="1:58" ht="19.5" customHeight="1" x14ac:dyDescent="0.45">
      <c r="A206" s="35">
        <v>3</v>
      </c>
      <c r="B206" s="500"/>
      <c r="C206" s="501"/>
      <c r="D206" s="501"/>
      <c r="E206" s="501"/>
      <c r="F206" s="501"/>
      <c r="G206" s="501"/>
      <c r="H206" s="502" t="s">
        <v>1718</v>
      </c>
      <c r="I206" s="501"/>
      <c r="J206" s="502" t="s">
        <v>1718</v>
      </c>
      <c r="K206" s="36" t="s">
        <v>831</v>
      </c>
      <c r="L206" s="37"/>
      <c r="M206" s="38" t="s">
        <v>832</v>
      </c>
      <c r="N206" s="39"/>
      <c r="O206" s="40"/>
      <c r="P206" s="41"/>
      <c r="Q206" s="42">
        <f>SUM(Q207)</f>
        <v>97619.63</v>
      </c>
      <c r="R206" s="40"/>
      <c r="S206" s="42">
        <f>SUM(S207)</f>
        <v>0</v>
      </c>
      <c r="T206" s="40"/>
      <c r="U206" s="42">
        <f>SUM(U207)</f>
        <v>0</v>
      </c>
      <c r="V206" s="40"/>
      <c r="W206" s="42">
        <f>SUM(W207)</f>
        <v>0</v>
      </c>
      <c r="X206" s="40"/>
      <c r="Y206" s="42">
        <f>SUM(Y207)</f>
        <v>0</v>
      </c>
      <c r="Z206" s="40"/>
      <c r="AA206" s="42">
        <f>SUM(AA207)</f>
        <v>0</v>
      </c>
      <c r="AB206" s="40"/>
      <c r="AC206" s="42">
        <f>SUM(AC207)</f>
        <v>0</v>
      </c>
      <c r="AD206" s="40"/>
      <c r="AE206" s="42">
        <f>SUM(AE207)</f>
        <v>0</v>
      </c>
      <c r="AF206" s="40"/>
      <c r="AG206" s="42">
        <f>SUM(AG207)</f>
        <v>0</v>
      </c>
      <c r="AH206" s="40"/>
      <c r="AI206" s="42">
        <f>SUM(AI207)</f>
        <v>0</v>
      </c>
      <c r="AJ206" s="40"/>
      <c r="AK206" s="42">
        <f>SUM(AK207)</f>
        <v>0</v>
      </c>
      <c r="AL206" s="40"/>
      <c r="AM206" s="42">
        <f>SUM(AM207)</f>
        <v>0</v>
      </c>
      <c r="AN206" s="40"/>
      <c r="AO206" s="42">
        <f>SUM(AO207)</f>
        <v>0</v>
      </c>
      <c r="AP206" s="40"/>
      <c r="AQ206" s="42">
        <f>SUM(AQ207)</f>
        <v>0</v>
      </c>
      <c r="AR206" s="40"/>
      <c r="AS206" s="42">
        <f>SUM(AS207)</f>
        <v>0</v>
      </c>
      <c r="AT206" s="40"/>
      <c r="AU206" s="42">
        <f>SUM(AU207)</f>
        <v>0</v>
      </c>
      <c r="AV206" s="40"/>
      <c r="AW206" s="42">
        <f>SUM(AW207)</f>
        <v>0</v>
      </c>
      <c r="AX206" s="40"/>
      <c r="AY206" s="42">
        <f>SUM(AY207)</f>
        <v>0</v>
      </c>
      <c r="AZ206" s="40"/>
      <c r="BA206" s="42">
        <f>SUM(BA207)</f>
        <v>0</v>
      </c>
      <c r="BB206" s="40"/>
      <c r="BC206" s="42">
        <f>SUM(BC207)</f>
        <v>0</v>
      </c>
      <c r="BD206" s="43"/>
      <c r="BE206" s="44"/>
      <c r="BF206" s="45"/>
    </row>
    <row r="207" spans="1:58" ht="19.5" customHeight="1" x14ac:dyDescent="0.45">
      <c r="A207" s="46" t="s">
        <v>833</v>
      </c>
      <c r="B207" s="503"/>
      <c r="C207" s="504"/>
      <c r="D207" s="504"/>
      <c r="E207" s="504"/>
      <c r="F207" s="504"/>
      <c r="G207" s="504"/>
      <c r="H207" s="505" t="s">
        <v>1718</v>
      </c>
      <c r="I207" s="504"/>
      <c r="J207" s="505" t="s">
        <v>1718</v>
      </c>
      <c r="K207" s="47" t="s">
        <v>834</v>
      </c>
      <c r="L207" s="48"/>
      <c r="M207" s="49" t="s">
        <v>835</v>
      </c>
      <c r="N207" s="50"/>
      <c r="O207" s="51"/>
      <c r="P207" s="52"/>
      <c r="Q207" s="53">
        <f>SUM(Q208:Q209)</f>
        <v>97619.63</v>
      </c>
      <c r="R207" s="51"/>
      <c r="S207" s="53">
        <f>SUM(S208:S209)</f>
        <v>0</v>
      </c>
      <c r="T207" s="51"/>
      <c r="U207" s="53">
        <f>SUM(U208:U209)</f>
        <v>0</v>
      </c>
      <c r="V207" s="51"/>
      <c r="W207" s="53">
        <f>SUM(W208:W209)</f>
        <v>0</v>
      </c>
      <c r="X207" s="51"/>
      <c r="Y207" s="53">
        <f>SUM(Y208:Y209)</f>
        <v>0</v>
      </c>
      <c r="Z207" s="51"/>
      <c r="AA207" s="53">
        <f>SUM(AA208:AA209)</f>
        <v>0</v>
      </c>
      <c r="AB207" s="51"/>
      <c r="AC207" s="53">
        <f>SUM(AC208:AC209)</f>
        <v>0</v>
      </c>
      <c r="AD207" s="51"/>
      <c r="AE207" s="53">
        <f>SUM(AE208:AE209)</f>
        <v>0</v>
      </c>
      <c r="AF207" s="51"/>
      <c r="AG207" s="53">
        <f>SUM(AG208:AG209)</f>
        <v>0</v>
      </c>
      <c r="AH207" s="51"/>
      <c r="AI207" s="53">
        <f>SUM(AI208:AI209)</f>
        <v>0</v>
      </c>
      <c r="AJ207" s="51"/>
      <c r="AK207" s="53">
        <f>SUM(AK208:AK209)</f>
        <v>0</v>
      </c>
      <c r="AL207" s="51"/>
      <c r="AM207" s="53">
        <f>SUM(AM208:AM209)</f>
        <v>0</v>
      </c>
      <c r="AN207" s="51"/>
      <c r="AO207" s="53">
        <f>SUM(AO208:AO209)</f>
        <v>0</v>
      </c>
      <c r="AP207" s="51"/>
      <c r="AQ207" s="53">
        <f>SUM(AQ208:AQ209)</f>
        <v>0</v>
      </c>
      <c r="AR207" s="51"/>
      <c r="AS207" s="53">
        <f>SUM(AS208:AS209)</f>
        <v>0</v>
      </c>
      <c r="AT207" s="51"/>
      <c r="AU207" s="53">
        <f>SUM(AU208:AU209)</f>
        <v>0</v>
      </c>
      <c r="AV207" s="51"/>
      <c r="AW207" s="53">
        <f>SUM(AW208:AW209)</f>
        <v>0</v>
      </c>
      <c r="AX207" s="51"/>
      <c r="AY207" s="53">
        <f>SUM(AY208:AY209)</f>
        <v>0</v>
      </c>
      <c r="AZ207" s="51"/>
      <c r="BA207" s="53">
        <f>SUM(BA208:BA209)</f>
        <v>0</v>
      </c>
      <c r="BB207" s="51"/>
      <c r="BC207" s="53">
        <f>SUM(BC208:BC209)</f>
        <v>0</v>
      </c>
      <c r="BD207" s="54"/>
      <c r="BE207" s="55"/>
      <c r="BF207" s="45"/>
    </row>
    <row r="208" spans="1:58" ht="38.25" customHeight="1" x14ac:dyDescent="0.45">
      <c r="A208" s="56" t="s">
        <v>836</v>
      </c>
      <c r="B208" s="506" t="s">
        <v>737</v>
      </c>
      <c r="C208" s="507" t="s">
        <v>111</v>
      </c>
      <c r="D208" s="507" t="s">
        <v>39</v>
      </c>
      <c r="E208" s="507" t="s">
        <v>738</v>
      </c>
      <c r="F208" s="507" t="s">
        <v>39</v>
      </c>
      <c r="G208" s="507">
        <v>150</v>
      </c>
      <c r="H208" s="508" t="s">
        <v>39</v>
      </c>
      <c r="I208" s="507" t="s">
        <v>114</v>
      </c>
      <c r="J208" s="508" t="s">
        <v>739</v>
      </c>
      <c r="K208" s="57" t="s">
        <v>837</v>
      </c>
      <c r="L208" s="58" t="s">
        <v>21</v>
      </c>
      <c r="M208" s="59" t="s">
        <v>838</v>
      </c>
      <c r="N208" s="60" t="s">
        <v>71</v>
      </c>
      <c r="O208" s="61">
        <v>3</v>
      </c>
      <c r="P208" s="62">
        <v>11167.22</v>
      </c>
      <c r="Q208" s="63">
        <f>ROUND(P208*$O208,2)</f>
        <v>33501.660000000003</v>
      </c>
      <c r="R208" s="61">
        <f>IFERROR(SUMIFS('BM MORRO DA CRUZ - VERTICAL'!V$6:V$546,'BM MORRO DA CRUZ - VERTICAL'!$O$6:$O$546,'BM MORRO DA CRUZ'!$K208),0)</f>
        <v>0</v>
      </c>
      <c r="S208" s="63">
        <f>ROUND(R208*$P208,2)</f>
        <v>0</v>
      </c>
      <c r="T208" s="61">
        <f>IFERROR(SUMIFS('BM MORRO DA CRUZ - VERTICAL'!X$6:X$546,'BM MORRO DA CRUZ - VERTICAL'!$O$6:$O$546,'BM MORRO DA CRUZ'!$K208),0)</f>
        <v>0</v>
      </c>
      <c r="U208" s="63">
        <f>ROUND(T208*$P208,2)</f>
        <v>0</v>
      </c>
      <c r="V208" s="61">
        <f>IFERROR(SUMIFS('BM MORRO DA CRUZ - VERTICAL'!Z$6:Z$546,'BM MORRO DA CRUZ - VERTICAL'!$O$6:$O$546,'BM MORRO DA CRUZ'!$K208),0)</f>
        <v>0</v>
      </c>
      <c r="W208" s="63">
        <f>ROUND(V208*$P208,2)</f>
        <v>0</v>
      </c>
      <c r="X208" s="61">
        <f>IFERROR(SUMIFS('BM MORRO DA CRUZ - VERTICAL'!AB$6:AB$546,'BM MORRO DA CRUZ - VERTICAL'!$O$6:$O$546,'BM MORRO DA CRUZ'!$K208),0)</f>
        <v>0</v>
      </c>
      <c r="Y208" s="63">
        <f>ROUND(X208*$P208,2)</f>
        <v>0</v>
      </c>
      <c r="Z208" s="61">
        <f>IFERROR(SUMIFS('BM MORRO DA CRUZ - VERTICAL'!AD$6:AD$546,'BM MORRO DA CRUZ - VERTICAL'!$O$6:$O$546,'BM MORRO DA CRUZ'!$K208),0)</f>
        <v>0</v>
      </c>
      <c r="AA208" s="63">
        <f>ROUND(Z208*$P208,2)</f>
        <v>0</v>
      </c>
      <c r="AB208" s="61">
        <f>IFERROR(SUMIFS('BM MORRO DA CRUZ - VERTICAL'!AF$6:AF$546,'BM MORRO DA CRUZ - VERTICAL'!$O$6:$O$546,'BM MORRO DA CRUZ'!$K208),0)</f>
        <v>0</v>
      </c>
      <c r="AC208" s="63">
        <f>ROUND(AB208*$P208,2)</f>
        <v>0</v>
      </c>
      <c r="AD208" s="61">
        <f>IFERROR(SUMIFS('BM MORRO DA CRUZ - VERTICAL'!AH$6:AH$546,'BM MORRO DA CRUZ - VERTICAL'!$O$6:$O$546,'BM MORRO DA CRUZ'!$K208),0)</f>
        <v>0</v>
      </c>
      <c r="AE208" s="63">
        <f>ROUND(AD208*$P208,2)</f>
        <v>0</v>
      </c>
      <c r="AF208" s="61">
        <f>IFERROR(SUMIFS('BM MORRO DA CRUZ - VERTICAL'!AJ$6:AJ$546,'BM MORRO DA CRUZ - VERTICAL'!$O$6:$O$546,'BM MORRO DA CRUZ'!$K208),0)</f>
        <v>0</v>
      </c>
      <c r="AG208" s="63">
        <f>ROUND(AF208*$P208,2)</f>
        <v>0</v>
      </c>
      <c r="AH208" s="61">
        <f>IFERROR(SUMIFS('BM MORRO DA CRUZ - VERTICAL'!AL$6:AL$546,'BM MORRO DA CRUZ - VERTICAL'!$O$6:$O$546,'BM MORRO DA CRUZ'!$K208),0)</f>
        <v>0</v>
      </c>
      <c r="AI208" s="63">
        <f>ROUND(AH208*$P208,2)</f>
        <v>0</v>
      </c>
      <c r="AJ208" s="61">
        <f>IFERROR(SUMIFS('BM MORRO DA CRUZ - VERTICAL'!AN$6:AN$546,'BM MORRO DA CRUZ - VERTICAL'!$O$6:$O$546,'BM MORRO DA CRUZ'!$K208),0)</f>
        <v>0</v>
      </c>
      <c r="AK208" s="63">
        <f>ROUND(AJ208*$P208,2)</f>
        <v>0</v>
      </c>
      <c r="AL208" s="61">
        <f>IFERROR(SUMIFS('BM MORRO DA CRUZ - VERTICAL'!AP$6:AP$546,'BM MORRO DA CRUZ - VERTICAL'!$O$6:$O$546,'BM MORRO DA CRUZ'!$K208),0)</f>
        <v>0</v>
      </c>
      <c r="AM208" s="63">
        <f>ROUND(AL208*$P208,2)</f>
        <v>0</v>
      </c>
      <c r="AN208" s="61">
        <f>IFERROR(SUMIFS('BM MORRO DA CRUZ - VERTICAL'!AR$6:AR$546,'BM MORRO DA CRUZ - VERTICAL'!$O$6:$O$546,'BM MORRO DA CRUZ'!$K208),0)</f>
        <v>0</v>
      </c>
      <c r="AO208" s="63">
        <f>ROUND(AN208*$P208,2)</f>
        <v>0</v>
      </c>
      <c r="AP208" s="61">
        <f>IFERROR(SUMIFS('BM MORRO DA CRUZ - VERTICAL'!AT$6:AT$546,'BM MORRO DA CRUZ - VERTICAL'!$O$6:$O$546,'BM MORRO DA CRUZ'!$K208),0)</f>
        <v>0</v>
      </c>
      <c r="AQ208" s="63">
        <f>ROUND(AP208*$P208,2)</f>
        <v>0</v>
      </c>
      <c r="AR208" s="61">
        <f>IFERROR(SUMIFS('BM MORRO DA CRUZ - VERTICAL'!AV$6:AV$546,'BM MORRO DA CRUZ - VERTICAL'!$O$6:$O$546,'BM MORRO DA CRUZ'!$K208),0)</f>
        <v>0</v>
      </c>
      <c r="AS208" s="63">
        <f>ROUND(AR208*$P208,2)</f>
        <v>0</v>
      </c>
      <c r="AT208" s="61">
        <f>IFERROR(SUMIFS('BM MORRO DA CRUZ - VERTICAL'!AX$6:AX$546,'BM MORRO DA CRUZ - VERTICAL'!$O$6:$O$546,'BM MORRO DA CRUZ'!$K208),0)</f>
        <v>0</v>
      </c>
      <c r="AU208" s="63">
        <f>ROUND(AT208*$P208,2)</f>
        <v>0</v>
      </c>
      <c r="AV208" s="61">
        <f>IFERROR(SUMIFS('BM MORRO DA CRUZ - VERTICAL'!AZ$6:AZ$546,'BM MORRO DA CRUZ - VERTICAL'!$O$6:$O$546,'BM MORRO DA CRUZ'!$K208),0)</f>
        <v>0</v>
      </c>
      <c r="AW208" s="63">
        <f>ROUND(AV208*$P208,2)</f>
        <v>0</v>
      </c>
      <c r="AX208" s="61">
        <f>IFERROR(SUMIFS('BM MORRO DA CRUZ - VERTICAL'!BB$6:BB$546,'BM MORRO DA CRUZ - VERTICAL'!$O$6:$O$546,'BM MORRO DA CRUZ'!$K208),0)</f>
        <v>0</v>
      </c>
      <c r="AY208" s="63">
        <f>ROUND(AX208*$P208,2)</f>
        <v>0</v>
      </c>
      <c r="AZ208" s="61">
        <f>IFERROR(SUMIFS('BM MORRO DA CRUZ - VERTICAL'!BD$6:BD$546,'BM MORRO DA CRUZ - VERTICAL'!$O$6:$O$546,'BM MORRO DA CRUZ'!$K208),0)</f>
        <v>0</v>
      </c>
      <c r="BA208" s="63">
        <f>ROUND(AZ208*$P208,2)</f>
        <v>0</v>
      </c>
      <c r="BB208" s="61">
        <f>IFERROR(SUMIFS($R208:$BA208,$R$5:$BA$5,$BB$5),0)</f>
        <v>0</v>
      </c>
      <c r="BC208" s="63">
        <f>SUMIFS($R208:$BA208,$R$5:$BA$5,$S$5)</f>
        <v>0</v>
      </c>
      <c r="BD208" s="64">
        <f>IFERROR(BB208/O208,0)</f>
        <v>0</v>
      </c>
      <c r="BE208" s="65">
        <f>IFERROR((O208-BB208)/O208,0)</f>
        <v>1</v>
      </c>
      <c r="BF208" s="45"/>
    </row>
    <row r="209" spans="1:58" ht="38.25" customHeight="1" x14ac:dyDescent="0.45">
      <c r="A209" s="56" t="s">
        <v>839</v>
      </c>
      <c r="B209" s="506" t="s">
        <v>737</v>
      </c>
      <c r="C209" s="507" t="s">
        <v>111</v>
      </c>
      <c r="D209" s="507" t="s">
        <v>39</v>
      </c>
      <c r="E209" s="507" t="s">
        <v>738</v>
      </c>
      <c r="F209" s="507" t="s">
        <v>39</v>
      </c>
      <c r="G209" s="507">
        <v>80</v>
      </c>
      <c r="H209" s="508" t="s">
        <v>39</v>
      </c>
      <c r="I209" s="507" t="s">
        <v>114</v>
      </c>
      <c r="J209" s="508" t="s">
        <v>739</v>
      </c>
      <c r="K209" s="57" t="s">
        <v>840</v>
      </c>
      <c r="L209" s="58" t="s">
        <v>21</v>
      </c>
      <c r="M209" s="59" t="s">
        <v>841</v>
      </c>
      <c r="N209" s="60" t="s">
        <v>71</v>
      </c>
      <c r="O209" s="61">
        <v>7</v>
      </c>
      <c r="P209" s="62">
        <v>9159.7099999999991</v>
      </c>
      <c r="Q209" s="63">
        <f>ROUND(P209*$O209,2)</f>
        <v>64117.97</v>
      </c>
      <c r="R209" s="61">
        <f>IFERROR(SUMIFS('BM MORRO DA CRUZ - VERTICAL'!V$6:V$546,'BM MORRO DA CRUZ - VERTICAL'!$O$6:$O$546,'BM MORRO DA CRUZ'!$K209),0)</f>
        <v>0</v>
      </c>
      <c r="S209" s="63">
        <f>ROUND(R209*$P209,2)</f>
        <v>0</v>
      </c>
      <c r="T209" s="61">
        <f>IFERROR(SUMIFS('BM MORRO DA CRUZ - VERTICAL'!X$6:X$546,'BM MORRO DA CRUZ - VERTICAL'!$O$6:$O$546,'BM MORRO DA CRUZ'!$K209),0)</f>
        <v>0</v>
      </c>
      <c r="U209" s="63">
        <f>ROUND(T209*$P209,2)</f>
        <v>0</v>
      </c>
      <c r="V209" s="61">
        <f>IFERROR(SUMIFS('BM MORRO DA CRUZ - VERTICAL'!Z$6:Z$546,'BM MORRO DA CRUZ - VERTICAL'!$O$6:$O$546,'BM MORRO DA CRUZ'!$K209),0)</f>
        <v>0</v>
      </c>
      <c r="W209" s="63">
        <f>ROUND(V209*$P209,2)</f>
        <v>0</v>
      </c>
      <c r="X209" s="61">
        <f>IFERROR(SUMIFS('BM MORRO DA CRUZ - VERTICAL'!AB$6:AB$546,'BM MORRO DA CRUZ - VERTICAL'!$O$6:$O$546,'BM MORRO DA CRUZ'!$K209),0)</f>
        <v>0</v>
      </c>
      <c r="Y209" s="63">
        <f>ROUND(X209*$P209,2)</f>
        <v>0</v>
      </c>
      <c r="Z209" s="61">
        <f>IFERROR(SUMIFS('BM MORRO DA CRUZ - VERTICAL'!AD$6:AD$546,'BM MORRO DA CRUZ - VERTICAL'!$O$6:$O$546,'BM MORRO DA CRUZ'!$K209),0)</f>
        <v>0</v>
      </c>
      <c r="AA209" s="63">
        <f>ROUND(Z209*$P209,2)</f>
        <v>0</v>
      </c>
      <c r="AB209" s="61">
        <f>IFERROR(SUMIFS('BM MORRO DA CRUZ - VERTICAL'!AF$6:AF$546,'BM MORRO DA CRUZ - VERTICAL'!$O$6:$O$546,'BM MORRO DA CRUZ'!$K209),0)</f>
        <v>0</v>
      </c>
      <c r="AC209" s="63">
        <f>ROUND(AB209*$P209,2)</f>
        <v>0</v>
      </c>
      <c r="AD209" s="61">
        <f>IFERROR(SUMIFS('BM MORRO DA CRUZ - VERTICAL'!AH$6:AH$546,'BM MORRO DA CRUZ - VERTICAL'!$O$6:$O$546,'BM MORRO DA CRUZ'!$K209),0)</f>
        <v>0</v>
      </c>
      <c r="AE209" s="63">
        <f>ROUND(AD209*$P209,2)</f>
        <v>0</v>
      </c>
      <c r="AF209" s="61">
        <f>IFERROR(SUMIFS('BM MORRO DA CRUZ - VERTICAL'!AJ$6:AJ$546,'BM MORRO DA CRUZ - VERTICAL'!$O$6:$O$546,'BM MORRO DA CRUZ'!$K209),0)</f>
        <v>0</v>
      </c>
      <c r="AG209" s="63">
        <f>ROUND(AF209*$P209,2)</f>
        <v>0</v>
      </c>
      <c r="AH209" s="61">
        <f>IFERROR(SUMIFS('BM MORRO DA CRUZ - VERTICAL'!AL$6:AL$546,'BM MORRO DA CRUZ - VERTICAL'!$O$6:$O$546,'BM MORRO DA CRUZ'!$K209),0)</f>
        <v>0</v>
      </c>
      <c r="AI209" s="63">
        <f>ROUND(AH209*$P209,2)</f>
        <v>0</v>
      </c>
      <c r="AJ209" s="61">
        <f>IFERROR(SUMIFS('BM MORRO DA CRUZ - VERTICAL'!AN$6:AN$546,'BM MORRO DA CRUZ - VERTICAL'!$O$6:$O$546,'BM MORRO DA CRUZ'!$K209),0)</f>
        <v>0</v>
      </c>
      <c r="AK209" s="63">
        <f>ROUND(AJ209*$P209,2)</f>
        <v>0</v>
      </c>
      <c r="AL209" s="61">
        <f>IFERROR(SUMIFS('BM MORRO DA CRUZ - VERTICAL'!AP$6:AP$546,'BM MORRO DA CRUZ - VERTICAL'!$O$6:$O$546,'BM MORRO DA CRUZ'!$K209),0)</f>
        <v>0</v>
      </c>
      <c r="AM209" s="63">
        <f>ROUND(AL209*$P209,2)</f>
        <v>0</v>
      </c>
      <c r="AN209" s="61">
        <f>IFERROR(SUMIFS('BM MORRO DA CRUZ - VERTICAL'!AR$6:AR$546,'BM MORRO DA CRUZ - VERTICAL'!$O$6:$O$546,'BM MORRO DA CRUZ'!$K209),0)</f>
        <v>0</v>
      </c>
      <c r="AO209" s="63">
        <f>ROUND(AN209*$P209,2)</f>
        <v>0</v>
      </c>
      <c r="AP209" s="61">
        <f>IFERROR(SUMIFS('BM MORRO DA CRUZ - VERTICAL'!AT$6:AT$546,'BM MORRO DA CRUZ - VERTICAL'!$O$6:$O$546,'BM MORRO DA CRUZ'!$K209),0)</f>
        <v>0</v>
      </c>
      <c r="AQ209" s="63">
        <f>ROUND(AP209*$P209,2)</f>
        <v>0</v>
      </c>
      <c r="AR209" s="61">
        <f>IFERROR(SUMIFS('BM MORRO DA CRUZ - VERTICAL'!AV$6:AV$546,'BM MORRO DA CRUZ - VERTICAL'!$O$6:$O$546,'BM MORRO DA CRUZ'!$K209),0)</f>
        <v>0</v>
      </c>
      <c r="AS209" s="63">
        <f>ROUND(AR209*$P209,2)</f>
        <v>0</v>
      </c>
      <c r="AT209" s="61">
        <f>IFERROR(SUMIFS('BM MORRO DA CRUZ - VERTICAL'!AX$6:AX$546,'BM MORRO DA CRUZ - VERTICAL'!$O$6:$O$546,'BM MORRO DA CRUZ'!$K209),0)</f>
        <v>0</v>
      </c>
      <c r="AU209" s="63">
        <f>ROUND(AT209*$P209,2)</f>
        <v>0</v>
      </c>
      <c r="AV209" s="61">
        <f>IFERROR(SUMIFS('BM MORRO DA CRUZ - VERTICAL'!AZ$6:AZ$546,'BM MORRO DA CRUZ - VERTICAL'!$O$6:$O$546,'BM MORRO DA CRUZ'!$K209),0)</f>
        <v>0</v>
      </c>
      <c r="AW209" s="63">
        <f>ROUND(AV209*$P209,2)</f>
        <v>0</v>
      </c>
      <c r="AX209" s="61">
        <f>IFERROR(SUMIFS('BM MORRO DA CRUZ - VERTICAL'!BB$6:BB$546,'BM MORRO DA CRUZ - VERTICAL'!$O$6:$O$546,'BM MORRO DA CRUZ'!$K209),0)</f>
        <v>0</v>
      </c>
      <c r="AY209" s="63">
        <f>ROUND(AX209*$P209,2)</f>
        <v>0</v>
      </c>
      <c r="AZ209" s="61">
        <f>IFERROR(SUMIFS('BM MORRO DA CRUZ - VERTICAL'!BD$6:BD$546,'BM MORRO DA CRUZ - VERTICAL'!$O$6:$O$546,'BM MORRO DA CRUZ'!$K209),0)</f>
        <v>0</v>
      </c>
      <c r="BA209" s="63">
        <f>ROUND(AZ209*$P209,2)</f>
        <v>0</v>
      </c>
      <c r="BB209" s="61">
        <f>IFERROR(SUMIFS($R209:$BA209,$R$5:$BA$5,$BB$5),0)</f>
        <v>0</v>
      </c>
      <c r="BC209" s="63">
        <f>SUMIFS($R209:$BA209,$R$5:$BA$5,$S$5)</f>
        <v>0</v>
      </c>
      <c r="BD209" s="64">
        <f>IFERROR(BB209/O209,0)</f>
        <v>0</v>
      </c>
      <c r="BE209" s="65">
        <f>IFERROR((O209-BB209)/O209,0)</f>
        <v>1</v>
      </c>
      <c r="BF209" s="45"/>
    </row>
    <row r="210" spans="1:58" ht="19.5" customHeight="1" x14ac:dyDescent="0.45">
      <c r="A210" s="35">
        <v>4</v>
      </c>
      <c r="B210" s="500"/>
      <c r="C210" s="501"/>
      <c r="D210" s="501"/>
      <c r="E210" s="501"/>
      <c r="F210" s="501"/>
      <c r="G210" s="501"/>
      <c r="H210" s="502" t="s">
        <v>1718</v>
      </c>
      <c r="I210" s="501"/>
      <c r="J210" s="502" t="s">
        <v>1718</v>
      </c>
      <c r="K210" s="36" t="s">
        <v>842</v>
      </c>
      <c r="L210" s="37"/>
      <c r="M210" s="38" t="s">
        <v>36</v>
      </c>
      <c r="N210" s="39"/>
      <c r="O210" s="40"/>
      <c r="P210" s="41"/>
      <c r="Q210" s="42">
        <f>SUM(Q211)</f>
        <v>1304685.94</v>
      </c>
      <c r="R210" s="40"/>
      <c r="S210" s="42">
        <f>SUM(S211)</f>
        <v>0</v>
      </c>
      <c r="T210" s="40"/>
      <c r="U210" s="42">
        <f>SUM(U211)</f>
        <v>0</v>
      </c>
      <c r="V210" s="40"/>
      <c r="W210" s="42">
        <f>SUM(W211)</f>
        <v>0</v>
      </c>
      <c r="X210" s="40"/>
      <c r="Y210" s="42">
        <f>SUM(Y211)</f>
        <v>0</v>
      </c>
      <c r="Z210" s="40"/>
      <c r="AA210" s="42">
        <f>SUM(AA211)</f>
        <v>0</v>
      </c>
      <c r="AB210" s="40"/>
      <c r="AC210" s="42">
        <f>SUM(AC211)</f>
        <v>0</v>
      </c>
      <c r="AD210" s="40"/>
      <c r="AE210" s="42">
        <f>SUM(AE211)</f>
        <v>0</v>
      </c>
      <c r="AF210" s="40"/>
      <c r="AG210" s="42">
        <f>SUM(AG211)</f>
        <v>0</v>
      </c>
      <c r="AH210" s="40"/>
      <c r="AI210" s="42">
        <f>SUM(AI211)</f>
        <v>0</v>
      </c>
      <c r="AJ210" s="40"/>
      <c r="AK210" s="42">
        <f>SUM(AK211)</f>
        <v>0</v>
      </c>
      <c r="AL210" s="40"/>
      <c r="AM210" s="42">
        <f>SUM(AM211)</f>
        <v>0</v>
      </c>
      <c r="AN210" s="40"/>
      <c r="AO210" s="42">
        <f>SUM(AO211)</f>
        <v>0</v>
      </c>
      <c r="AP210" s="40"/>
      <c r="AQ210" s="42">
        <f>SUM(AQ211)</f>
        <v>0</v>
      </c>
      <c r="AR210" s="40"/>
      <c r="AS210" s="42">
        <f>SUM(AS211)</f>
        <v>0</v>
      </c>
      <c r="AT210" s="40"/>
      <c r="AU210" s="42">
        <f>SUM(AU211)</f>
        <v>0</v>
      </c>
      <c r="AV210" s="40"/>
      <c r="AW210" s="42">
        <f>SUM(AW211)</f>
        <v>0</v>
      </c>
      <c r="AX210" s="40"/>
      <c r="AY210" s="42">
        <f>SUM(AY211)</f>
        <v>0</v>
      </c>
      <c r="AZ210" s="40"/>
      <c r="BA210" s="42">
        <f>SUM(BA211)</f>
        <v>0</v>
      </c>
      <c r="BB210" s="40"/>
      <c r="BC210" s="42">
        <f>SUM(BC211)</f>
        <v>0</v>
      </c>
      <c r="BD210" s="43"/>
      <c r="BE210" s="44"/>
      <c r="BF210" s="45"/>
    </row>
    <row r="211" spans="1:58" ht="19.5" customHeight="1" x14ac:dyDescent="0.45">
      <c r="A211" s="46" t="s">
        <v>843</v>
      </c>
      <c r="B211" s="503"/>
      <c r="C211" s="504"/>
      <c r="D211" s="504"/>
      <c r="E211" s="504"/>
      <c r="F211" s="504"/>
      <c r="G211" s="504"/>
      <c r="H211" s="505" t="s">
        <v>1718</v>
      </c>
      <c r="I211" s="504"/>
      <c r="J211" s="505" t="s">
        <v>1718</v>
      </c>
      <c r="K211" s="47" t="s">
        <v>35</v>
      </c>
      <c r="L211" s="48"/>
      <c r="M211" s="49" t="s">
        <v>36</v>
      </c>
      <c r="N211" s="50"/>
      <c r="O211" s="51"/>
      <c r="P211" s="52"/>
      <c r="Q211" s="53">
        <f>SUM(Q212:Q212)</f>
        <v>1304685.94</v>
      </c>
      <c r="R211" s="51"/>
      <c r="S211" s="53">
        <f>SUM(S212:S212)</f>
        <v>0</v>
      </c>
      <c r="T211" s="51"/>
      <c r="U211" s="53">
        <f>SUM(U212:U212)</f>
        <v>0</v>
      </c>
      <c r="V211" s="51"/>
      <c r="W211" s="53">
        <f>SUM(W212:W212)</f>
        <v>0</v>
      </c>
      <c r="X211" s="51"/>
      <c r="Y211" s="53">
        <f>SUM(Y212:Y212)</f>
        <v>0</v>
      </c>
      <c r="Z211" s="51"/>
      <c r="AA211" s="53">
        <f>SUM(AA212:AA212)</f>
        <v>0</v>
      </c>
      <c r="AB211" s="51"/>
      <c r="AC211" s="53">
        <f>SUM(AC212:AC212)</f>
        <v>0</v>
      </c>
      <c r="AD211" s="51"/>
      <c r="AE211" s="53">
        <f>SUM(AE212:AE212)</f>
        <v>0</v>
      </c>
      <c r="AF211" s="51"/>
      <c r="AG211" s="53">
        <f>SUM(AG212:AG212)</f>
        <v>0</v>
      </c>
      <c r="AH211" s="51"/>
      <c r="AI211" s="53">
        <f>SUM(AI212:AI212)</f>
        <v>0</v>
      </c>
      <c r="AJ211" s="51"/>
      <c r="AK211" s="53">
        <f>SUM(AK212:AK212)</f>
        <v>0</v>
      </c>
      <c r="AL211" s="51"/>
      <c r="AM211" s="53">
        <f>SUM(AM212:AM212)</f>
        <v>0</v>
      </c>
      <c r="AN211" s="51"/>
      <c r="AO211" s="53">
        <f>SUM(AO212:AO212)</f>
        <v>0</v>
      </c>
      <c r="AP211" s="51"/>
      <c r="AQ211" s="53">
        <f>SUM(AQ212:AQ212)</f>
        <v>0</v>
      </c>
      <c r="AR211" s="51"/>
      <c r="AS211" s="53">
        <f>SUM(AS212:AS212)</f>
        <v>0</v>
      </c>
      <c r="AT211" s="51"/>
      <c r="AU211" s="53">
        <f>SUM(AU212:AU212)</f>
        <v>0</v>
      </c>
      <c r="AV211" s="51"/>
      <c r="AW211" s="53">
        <f>SUM(AW212:AW212)</f>
        <v>0</v>
      </c>
      <c r="AX211" s="51"/>
      <c r="AY211" s="53">
        <f>SUM(AY212:AY212)</f>
        <v>0</v>
      </c>
      <c r="AZ211" s="51"/>
      <c r="BA211" s="53">
        <f>SUM(BA212:BA212)</f>
        <v>0</v>
      </c>
      <c r="BB211" s="51"/>
      <c r="BC211" s="53">
        <f>SUM(BC212:BC212)</f>
        <v>0</v>
      </c>
      <c r="BD211" s="54"/>
      <c r="BE211" s="55"/>
      <c r="BF211" s="45"/>
    </row>
    <row r="212" spans="1:58" ht="35.65" x14ac:dyDescent="0.45">
      <c r="A212" s="56" t="s">
        <v>844</v>
      </c>
      <c r="B212" s="506" t="s">
        <v>847</v>
      </c>
      <c r="C212" s="507" t="s">
        <v>39</v>
      </c>
      <c r="D212" s="507" t="s">
        <v>39</v>
      </c>
      <c r="E212" s="507" t="s">
        <v>36</v>
      </c>
      <c r="F212" s="507" t="s">
        <v>39</v>
      </c>
      <c r="G212" s="507" t="s">
        <v>39</v>
      </c>
      <c r="H212" s="508" t="s">
        <v>39</v>
      </c>
      <c r="I212" s="507" t="s">
        <v>36</v>
      </c>
      <c r="J212" s="508" t="s">
        <v>1721</v>
      </c>
      <c r="K212" s="57" t="s">
        <v>845</v>
      </c>
      <c r="L212" s="58" t="s">
        <v>846</v>
      </c>
      <c r="M212" s="59" t="s">
        <v>847</v>
      </c>
      <c r="N212" s="60" t="s">
        <v>71</v>
      </c>
      <c r="O212" s="61">
        <v>1</v>
      </c>
      <c r="P212" s="62">
        <v>1304685.94</v>
      </c>
      <c r="Q212" s="63">
        <f>ROUND(P212*$O212,2)</f>
        <v>1304685.94</v>
      </c>
      <c r="R212" s="61">
        <f>IFERROR(SUMIFS('BM MORRO DA CRUZ - VERTICAL'!V$6:V$546,'BM MORRO DA CRUZ - VERTICAL'!$O$6:$O$546,'BM MORRO DA CRUZ'!$K212),0)</f>
        <v>0</v>
      </c>
      <c r="S212" s="63">
        <f>ROUND(R212*$P212,2)</f>
        <v>0</v>
      </c>
      <c r="T212" s="61">
        <f>IFERROR(SUMIFS('BM MORRO DA CRUZ - VERTICAL'!X$6:X$546,'BM MORRO DA CRUZ - VERTICAL'!$O$6:$O$546,'BM MORRO DA CRUZ'!$K212),0)</f>
        <v>0</v>
      </c>
      <c r="U212" s="63">
        <f>ROUND(T212*$P212,2)</f>
        <v>0</v>
      </c>
      <c r="V212" s="61">
        <f>IFERROR(SUMIFS('BM MORRO DA CRUZ - VERTICAL'!Z$6:Z$546,'BM MORRO DA CRUZ - VERTICAL'!$O$6:$O$546,'BM MORRO DA CRUZ'!$K212),0)</f>
        <v>0</v>
      </c>
      <c r="W212" s="63">
        <f>ROUND(V212*$P212,2)</f>
        <v>0</v>
      </c>
      <c r="X212" s="61">
        <f>IFERROR(SUMIFS('BM MORRO DA CRUZ - VERTICAL'!AB$6:AB$546,'BM MORRO DA CRUZ - VERTICAL'!$O$6:$O$546,'BM MORRO DA CRUZ'!$K212),0)</f>
        <v>0</v>
      </c>
      <c r="Y212" s="63">
        <f>ROUND(X212*$P212,2)</f>
        <v>0</v>
      </c>
      <c r="Z212" s="61">
        <f>IFERROR(SUMIFS('BM MORRO DA CRUZ - VERTICAL'!AD$6:AD$546,'BM MORRO DA CRUZ - VERTICAL'!$O$6:$O$546,'BM MORRO DA CRUZ'!$K212),0)</f>
        <v>0</v>
      </c>
      <c r="AA212" s="63">
        <f>ROUND(Z212*$P212,2)</f>
        <v>0</v>
      </c>
      <c r="AB212" s="61">
        <f>IFERROR(SUMIFS('BM MORRO DA CRUZ - VERTICAL'!AF$6:AF$546,'BM MORRO DA CRUZ - VERTICAL'!$O$6:$O$546,'BM MORRO DA CRUZ'!$K212),0)</f>
        <v>0</v>
      </c>
      <c r="AC212" s="63">
        <f>ROUND(AB212*$P212,2)</f>
        <v>0</v>
      </c>
      <c r="AD212" s="61">
        <f>IFERROR(SUMIFS('BM MORRO DA CRUZ - VERTICAL'!AH$6:AH$546,'BM MORRO DA CRUZ - VERTICAL'!$O$6:$O$546,'BM MORRO DA CRUZ'!$K212),0)</f>
        <v>0</v>
      </c>
      <c r="AE212" s="63">
        <f>ROUND(AD212*$P212,2)</f>
        <v>0</v>
      </c>
      <c r="AF212" s="61">
        <f>IFERROR(SUMIFS('BM MORRO DA CRUZ - VERTICAL'!AJ$6:AJ$546,'BM MORRO DA CRUZ - VERTICAL'!$O$6:$O$546,'BM MORRO DA CRUZ'!$K212),0)</f>
        <v>0</v>
      </c>
      <c r="AG212" s="63">
        <f>ROUND(AF212*$P212,2)</f>
        <v>0</v>
      </c>
      <c r="AH212" s="61">
        <f>IFERROR(SUMIFS('BM MORRO DA CRUZ - VERTICAL'!AL$6:AL$546,'BM MORRO DA CRUZ - VERTICAL'!$O$6:$O$546,'BM MORRO DA CRUZ'!$K212),0)</f>
        <v>0</v>
      </c>
      <c r="AI212" s="63">
        <f>ROUND(AH212*$P212,2)</f>
        <v>0</v>
      </c>
      <c r="AJ212" s="61">
        <f>IFERROR(SUMIFS('BM MORRO DA CRUZ - VERTICAL'!AN$6:AN$546,'BM MORRO DA CRUZ - VERTICAL'!$O$6:$O$546,'BM MORRO DA CRUZ'!$K212),0)</f>
        <v>0</v>
      </c>
      <c r="AK212" s="63">
        <f>ROUND(AJ212*$P212,2)</f>
        <v>0</v>
      </c>
      <c r="AL212" s="61">
        <f>IFERROR(SUMIFS('BM MORRO DA CRUZ - VERTICAL'!AP$6:AP$546,'BM MORRO DA CRUZ - VERTICAL'!$O$6:$O$546,'BM MORRO DA CRUZ'!$K212),0)</f>
        <v>0</v>
      </c>
      <c r="AM212" s="63">
        <f>ROUND(AL212*$P212,2)</f>
        <v>0</v>
      </c>
      <c r="AN212" s="61">
        <f>IFERROR(SUMIFS('BM MORRO DA CRUZ - VERTICAL'!AR$6:AR$546,'BM MORRO DA CRUZ - VERTICAL'!$O$6:$O$546,'BM MORRO DA CRUZ'!$K212),0)</f>
        <v>0</v>
      </c>
      <c r="AO212" s="63">
        <f>ROUND(AN212*$P212,2)</f>
        <v>0</v>
      </c>
      <c r="AP212" s="61">
        <f>IFERROR(SUMIFS('BM MORRO DA CRUZ - VERTICAL'!AT$6:AT$546,'BM MORRO DA CRUZ - VERTICAL'!$O$6:$O$546,'BM MORRO DA CRUZ'!$K212),0)</f>
        <v>0</v>
      </c>
      <c r="AQ212" s="63">
        <f>ROUND(AP212*$P212,2)</f>
        <v>0</v>
      </c>
      <c r="AR212" s="61">
        <f>IFERROR(SUMIFS('BM MORRO DA CRUZ - VERTICAL'!AV$6:AV$546,'BM MORRO DA CRUZ - VERTICAL'!$O$6:$O$546,'BM MORRO DA CRUZ'!$K212),0)</f>
        <v>0</v>
      </c>
      <c r="AS212" s="63">
        <f>ROUND(AR212*$P212,2)</f>
        <v>0</v>
      </c>
      <c r="AT212" s="61">
        <f>IFERROR(SUMIFS('BM MORRO DA CRUZ - VERTICAL'!AX$6:AX$546,'BM MORRO DA CRUZ - VERTICAL'!$O$6:$O$546,'BM MORRO DA CRUZ'!$K212),0)</f>
        <v>0</v>
      </c>
      <c r="AU212" s="63">
        <f>ROUND(AT212*$P212,2)</f>
        <v>0</v>
      </c>
      <c r="AV212" s="61">
        <f>IFERROR(SUMIFS('BM MORRO DA CRUZ - VERTICAL'!AZ$6:AZ$546,'BM MORRO DA CRUZ - VERTICAL'!$O$6:$O$546,'BM MORRO DA CRUZ'!$K212),0)</f>
        <v>0</v>
      </c>
      <c r="AW212" s="63">
        <f>ROUND(AV212*$P212,2)</f>
        <v>0</v>
      </c>
      <c r="AX212" s="61">
        <f>IFERROR(SUMIFS('BM MORRO DA CRUZ - VERTICAL'!BB$6:BB$546,'BM MORRO DA CRUZ - VERTICAL'!$O$6:$O$546,'BM MORRO DA CRUZ'!$K212),0)</f>
        <v>0</v>
      </c>
      <c r="AY212" s="63">
        <f>ROUND(AX212*$P212,2)</f>
        <v>0</v>
      </c>
      <c r="AZ212" s="61">
        <f>IFERROR(SUMIFS('BM MORRO DA CRUZ - VERTICAL'!BD$6:BD$546,'BM MORRO DA CRUZ - VERTICAL'!$O$6:$O$546,'BM MORRO DA CRUZ'!$K212),0)</f>
        <v>0</v>
      </c>
      <c r="BA212" s="63">
        <f>ROUND(AZ212*$P212,2)</f>
        <v>0</v>
      </c>
      <c r="BB212" s="61">
        <f>IFERROR(SUMIFS($R212:$BA212,$R$5:$BA$5,$BB$5),0)</f>
        <v>0</v>
      </c>
      <c r="BC212" s="63">
        <f>SUMIFS($R212:$BA212,$R$5:$BA$5,$S$5)</f>
        <v>0</v>
      </c>
      <c r="BD212" s="64">
        <f>IFERROR(BB212/O212,0)</f>
        <v>0</v>
      </c>
      <c r="BE212" s="65">
        <f>IFERROR((O212-BB212)/O212,0)</f>
        <v>1</v>
      </c>
      <c r="BF212" s="45"/>
    </row>
    <row r="213" spans="1:58" ht="19.5" customHeight="1" x14ac:dyDescent="0.45">
      <c r="A213" s="35">
        <v>5</v>
      </c>
      <c r="B213" s="500"/>
      <c r="C213" s="501"/>
      <c r="D213" s="501"/>
      <c r="E213" s="501"/>
      <c r="F213" s="501"/>
      <c r="G213" s="501"/>
      <c r="H213" s="502" t="s">
        <v>1718</v>
      </c>
      <c r="I213" s="501"/>
      <c r="J213" s="502" t="s">
        <v>1718</v>
      </c>
      <c r="K213" s="36" t="s">
        <v>848</v>
      </c>
      <c r="L213" s="37"/>
      <c r="M213" s="38" t="s">
        <v>849</v>
      </c>
      <c r="N213" s="39"/>
      <c r="O213" s="40"/>
      <c r="P213" s="41"/>
      <c r="Q213" s="42">
        <f>SUM(Q214,Q217,Q225,Q228,Q255,Q262,Q264,Q281,Q338,Q345,Q353,Q356,Q358,Q362,Q369,Q373,Q381,Q387)</f>
        <v>32112308.329999998</v>
      </c>
      <c r="R213" s="40"/>
      <c r="S213" s="42">
        <f>SUM(S214,S217,S225,S228,S255,S262,S264,S281,S338,S345,S353,S356,S358,S362,S369,S373,S381,S387)</f>
        <v>0</v>
      </c>
      <c r="T213" s="40"/>
      <c r="U213" s="42">
        <f>SUM(U214,U217,U225,U228,U255,U262,U264,U281,U338,U345,U353,U356,U358,U362,U369,U373,U381,U387)</f>
        <v>0</v>
      </c>
      <c r="V213" s="40"/>
      <c r="W213" s="42">
        <f>SUM(W214,W217,W225,W228,W255,W262,W264,W281,W338,W345,W353,W356,W358,W362,W369,W373,W381,W387)</f>
        <v>0</v>
      </c>
      <c r="X213" s="40"/>
      <c r="Y213" s="42">
        <f>SUM(Y214,Y217,Y225,Y228,Y255,Y262,Y264,Y281,Y338,Y345,Y353,Y356,Y358,Y362,Y369,Y373,Y381,Y387)</f>
        <v>0</v>
      </c>
      <c r="Z213" s="40"/>
      <c r="AA213" s="42">
        <f>SUM(AA214,AA217,AA225,AA228,AA255,AA262,AA264,AA281,AA338,AA345,AA353,AA356,AA358,AA362,AA369,AA373,AA381,AA387)</f>
        <v>0</v>
      </c>
      <c r="AB213" s="40"/>
      <c r="AC213" s="42">
        <f>SUM(AC214,AC217,AC225,AC228,AC255,AC262,AC264,AC281,AC338,AC345,AC353,AC356,AC358,AC362,AC369,AC373,AC381,AC387)</f>
        <v>0</v>
      </c>
      <c r="AD213" s="40"/>
      <c r="AE213" s="42">
        <f>SUM(AE214,AE217,AE225,AE228,AE255,AE262,AE264,AE281,AE338,AE345,AE353,AE356,AE358,AE362,AE369,AE373,AE381,AE387)</f>
        <v>0</v>
      </c>
      <c r="AF213" s="40"/>
      <c r="AG213" s="42">
        <f>SUM(AG214,AG217,AG225,AG228,AG255,AG262,AG264,AG281,AG338,AG345,AG353,AG356,AG358,AG362,AG369,AG373,AG381,AG387)</f>
        <v>0</v>
      </c>
      <c r="AH213" s="40"/>
      <c r="AI213" s="42">
        <f>SUM(AI214,AI217,AI225,AI228,AI255,AI262,AI264,AI281,AI338,AI345,AI353,AI356,AI358,AI362,AI369,AI373,AI381,AI387)</f>
        <v>0</v>
      </c>
      <c r="AJ213" s="40"/>
      <c r="AK213" s="42">
        <f>SUM(AK214,AK217,AK225,AK228,AK255,AK262,AK264,AK281,AK338,AK345,AK353,AK356,AK358,AK362,AK369,AK373,AK381,AK387)</f>
        <v>0</v>
      </c>
      <c r="AL213" s="40"/>
      <c r="AM213" s="42">
        <f>SUM(AM214,AM217,AM225,AM228,AM255,AM262,AM264,AM281,AM338,AM345,AM353,AM356,AM358,AM362,AM369,AM373,AM381,AM387)</f>
        <v>0</v>
      </c>
      <c r="AN213" s="40"/>
      <c r="AO213" s="42">
        <f>SUM(AO214,AO217,AO225,AO228,AO255,AO262,AO264,AO281,AO338,AO345,AO353,AO356,AO358,AO362,AO369,AO373,AO381,AO387)</f>
        <v>0</v>
      </c>
      <c r="AP213" s="40"/>
      <c r="AQ213" s="42">
        <f>SUM(AQ214,AQ217,AQ225,AQ228,AQ255,AQ262,AQ264,AQ281,AQ338,AQ345,AQ353,AQ356,AQ358,AQ362,AQ369,AQ373,AQ381,AQ387)</f>
        <v>0</v>
      </c>
      <c r="AR213" s="40"/>
      <c r="AS213" s="42">
        <f>SUM(AS214,AS217,AS225,AS228,AS255,AS262,AS264,AS281,AS338,AS345,AS353,AS356,AS358,AS362,AS369,AS373,AS381,AS387)</f>
        <v>0</v>
      </c>
      <c r="AT213" s="40"/>
      <c r="AU213" s="42">
        <f>SUM(AU214,AU217,AU225,AU228,AU255,AU262,AU264,AU281,AU338,AU345,AU353,AU356,AU358,AU362,AU369,AU373,AU381,AU387)</f>
        <v>0</v>
      </c>
      <c r="AV213" s="40"/>
      <c r="AW213" s="42">
        <f>SUM(AW214,AW217,AW225,AW228,AW255,AW262,AW264,AW281,AW338,AW345,AW353,AW356,AW358,AW362,AW369,AW373,AW381,AW387)</f>
        <v>0</v>
      </c>
      <c r="AX213" s="40"/>
      <c r="AY213" s="42">
        <f>SUM(AY214,AY217,AY225,AY228,AY255,AY262,AY264,AY281,AY338,AY345,AY353,AY356,AY358,AY362,AY369,AY373,AY381,AY387)</f>
        <v>0</v>
      </c>
      <c r="AZ213" s="40"/>
      <c r="BA213" s="42">
        <f>SUM(BA214,BA217,BA225,BA228,BA255,BA262,BA264,BA281,BA338,BA345,BA353,BA356,BA358,BA362,BA369,BA373,BA381,BA387)</f>
        <v>0</v>
      </c>
      <c r="BB213" s="40"/>
      <c r="BC213" s="42">
        <f>SUM(BC214,BC217,BC225,BC228,BC255,BC262,BC264,BC281,BC338,BC345,BC353,BC356,BC358,BC362,BC369,BC373,BC381,BC387)</f>
        <v>0</v>
      </c>
      <c r="BD213" s="43"/>
      <c r="BE213" s="44"/>
      <c r="BF213" s="45"/>
    </row>
    <row r="214" spans="1:58" ht="19.5" customHeight="1" x14ac:dyDescent="0.45">
      <c r="A214" s="46" t="s">
        <v>850</v>
      </c>
      <c r="B214" s="503"/>
      <c r="C214" s="504"/>
      <c r="D214" s="504"/>
      <c r="E214" s="504"/>
      <c r="F214" s="504"/>
      <c r="G214" s="504"/>
      <c r="H214" s="505" t="s">
        <v>1718</v>
      </c>
      <c r="I214" s="504"/>
      <c r="J214" s="505" t="s">
        <v>1718</v>
      </c>
      <c r="K214" s="47" t="s">
        <v>851</v>
      </c>
      <c r="L214" s="48"/>
      <c r="M214" s="49" t="s">
        <v>852</v>
      </c>
      <c r="N214" s="50"/>
      <c r="O214" s="51"/>
      <c r="P214" s="52"/>
      <c r="Q214" s="53">
        <f>SUM(Q215:Q216)</f>
        <v>72155.72</v>
      </c>
      <c r="R214" s="51"/>
      <c r="S214" s="53">
        <f>SUM(S215:S216)</f>
        <v>0</v>
      </c>
      <c r="T214" s="51"/>
      <c r="U214" s="53">
        <f>SUM(U215:U216)</f>
        <v>0</v>
      </c>
      <c r="V214" s="51"/>
      <c r="W214" s="53">
        <f>SUM(W215:W216)</f>
        <v>0</v>
      </c>
      <c r="X214" s="51"/>
      <c r="Y214" s="53">
        <f>SUM(Y215:Y216)</f>
        <v>0</v>
      </c>
      <c r="Z214" s="51"/>
      <c r="AA214" s="53">
        <f>SUM(AA215:AA216)</f>
        <v>0</v>
      </c>
      <c r="AB214" s="51"/>
      <c r="AC214" s="53">
        <f>SUM(AC215:AC216)</f>
        <v>0</v>
      </c>
      <c r="AD214" s="51"/>
      <c r="AE214" s="53">
        <f>SUM(AE215:AE216)</f>
        <v>0</v>
      </c>
      <c r="AF214" s="51"/>
      <c r="AG214" s="53">
        <f>SUM(AG215:AG216)</f>
        <v>0</v>
      </c>
      <c r="AH214" s="51"/>
      <c r="AI214" s="53">
        <f>SUM(AI215:AI216)</f>
        <v>0</v>
      </c>
      <c r="AJ214" s="51"/>
      <c r="AK214" s="53">
        <f>SUM(AK215:AK216)</f>
        <v>0</v>
      </c>
      <c r="AL214" s="51"/>
      <c r="AM214" s="53">
        <f>SUM(AM215:AM216)</f>
        <v>0</v>
      </c>
      <c r="AN214" s="51"/>
      <c r="AO214" s="53">
        <f>SUM(AO215:AO216)</f>
        <v>0</v>
      </c>
      <c r="AP214" s="51"/>
      <c r="AQ214" s="53">
        <f>SUM(AQ215:AQ216)</f>
        <v>0</v>
      </c>
      <c r="AR214" s="51"/>
      <c r="AS214" s="53">
        <f>SUM(AS215:AS216)</f>
        <v>0</v>
      </c>
      <c r="AT214" s="51"/>
      <c r="AU214" s="53">
        <f>SUM(AU215:AU216)</f>
        <v>0</v>
      </c>
      <c r="AV214" s="51"/>
      <c r="AW214" s="53">
        <f>SUM(AW215:AW216)</f>
        <v>0</v>
      </c>
      <c r="AX214" s="51"/>
      <c r="AY214" s="53">
        <f>SUM(AY215:AY216)</f>
        <v>0</v>
      </c>
      <c r="AZ214" s="51"/>
      <c r="BA214" s="53">
        <f>SUM(BA215:BA216)</f>
        <v>0</v>
      </c>
      <c r="BB214" s="51"/>
      <c r="BC214" s="53">
        <f>SUM(BC215:BC216)</f>
        <v>0</v>
      </c>
      <c r="BD214" s="54"/>
      <c r="BE214" s="55"/>
      <c r="BF214" s="45"/>
    </row>
    <row r="215" spans="1:58" ht="26" customHeight="1" x14ac:dyDescent="0.45">
      <c r="A215" s="56" t="s">
        <v>853</v>
      </c>
      <c r="B215" s="506" t="s">
        <v>1722</v>
      </c>
      <c r="C215" s="507" t="s">
        <v>39</v>
      </c>
      <c r="D215" s="507" t="s">
        <v>39</v>
      </c>
      <c r="E215" s="507" t="s">
        <v>1723</v>
      </c>
      <c r="F215" s="507" t="s">
        <v>39</v>
      </c>
      <c r="G215" s="507" t="s">
        <v>39</v>
      </c>
      <c r="H215" s="508" t="s">
        <v>39</v>
      </c>
      <c r="I215" s="507" t="s">
        <v>40</v>
      </c>
      <c r="J215" s="508" t="s">
        <v>40</v>
      </c>
      <c r="K215" s="57" t="s">
        <v>854</v>
      </c>
      <c r="L215" s="58" t="s">
        <v>846</v>
      </c>
      <c r="M215" s="59" t="s">
        <v>855</v>
      </c>
      <c r="N215" s="60" t="s">
        <v>71</v>
      </c>
      <c r="O215" s="61">
        <v>18</v>
      </c>
      <c r="P215" s="62">
        <v>130.91999999999999</v>
      </c>
      <c r="Q215" s="63">
        <f>ROUND(P215*$O215,2)</f>
        <v>2356.56</v>
      </c>
      <c r="R215" s="61">
        <f>IFERROR(SUMIFS('BM MORRO DA CRUZ - VERTICAL'!V$6:V$546,'BM MORRO DA CRUZ - VERTICAL'!$O$6:$O$546,'BM MORRO DA CRUZ'!$K215),0)</f>
        <v>0</v>
      </c>
      <c r="S215" s="63">
        <f>ROUND(R215*$P215,2)</f>
        <v>0</v>
      </c>
      <c r="T215" s="61">
        <f>IFERROR(SUMIFS('BM MORRO DA CRUZ - VERTICAL'!X$6:X$546,'BM MORRO DA CRUZ - VERTICAL'!$O$6:$O$546,'BM MORRO DA CRUZ'!$K215),0)</f>
        <v>0</v>
      </c>
      <c r="U215" s="63">
        <f>ROUND(T215*$P215,2)</f>
        <v>0</v>
      </c>
      <c r="V215" s="61">
        <f>IFERROR(SUMIFS('BM MORRO DA CRUZ - VERTICAL'!Z$6:Z$546,'BM MORRO DA CRUZ - VERTICAL'!$O$6:$O$546,'BM MORRO DA CRUZ'!$K215),0)</f>
        <v>0</v>
      </c>
      <c r="W215" s="63">
        <f>ROUND(V215*$P215,2)</f>
        <v>0</v>
      </c>
      <c r="X215" s="61">
        <f>IFERROR(SUMIFS('BM MORRO DA CRUZ - VERTICAL'!AB$6:AB$546,'BM MORRO DA CRUZ - VERTICAL'!$O$6:$O$546,'BM MORRO DA CRUZ'!$K215),0)</f>
        <v>0</v>
      </c>
      <c r="Y215" s="63">
        <f>ROUND(X215*$P215,2)</f>
        <v>0</v>
      </c>
      <c r="Z215" s="61">
        <f>IFERROR(SUMIFS('BM MORRO DA CRUZ - VERTICAL'!AD$6:AD$546,'BM MORRO DA CRUZ - VERTICAL'!$O$6:$O$546,'BM MORRO DA CRUZ'!$K215),0)</f>
        <v>0</v>
      </c>
      <c r="AA215" s="63">
        <f>ROUND(Z215*$P215,2)</f>
        <v>0</v>
      </c>
      <c r="AB215" s="61">
        <f>IFERROR(SUMIFS('BM MORRO DA CRUZ - VERTICAL'!AF$6:AF$546,'BM MORRO DA CRUZ - VERTICAL'!$O$6:$O$546,'BM MORRO DA CRUZ'!$K215),0)</f>
        <v>0</v>
      </c>
      <c r="AC215" s="63">
        <f>ROUND(AB215*$P215,2)</f>
        <v>0</v>
      </c>
      <c r="AD215" s="61">
        <f>IFERROR(SUMIFS('BM MORRO DA CRUZ - VERTICAL'!AH$6:AH$546,'BM MORRO DA CRUZ - VERTICAL'!$O$6:$O$546,'BM MORRO DA CRUZ'!$K215),0)</f>
        <v>0</v>
      </c>
      <c r="AE215" s="63">
        <f>ROUND(AD215*$P215,2)</f>
        <v>0</v>
      </c>
      <c r="AF215" s="61">
        <f>IFERROR(SUMIFS('BM MORRO DA CRUZ - VERTICAL'!AJ$6:AJ$546,'BM MORRO DA CRUZ - VERTICAL'!$O$6:$O$546,'BM MORRO DA CRUZ'!$K215),0)</f>
        <v>0</v>
      </c>
      <c r="AG215" s="63">
        <f>ROUND(AF215*$P215,2)</f>
        <v>0</v>
      </c>
      <c r="AH215" s="61">
        <f>IFERROR(SUMIFS('BM MORRO DA CRUZ - VERTICAL'!AL$6:AL$546,'BM MORRO DA CRUZ - VERTICAL'!$O$6:$O$546,'BM MORRO DA CRUZ'!$K215),0)</f>
        <v>0</v>
      </c>
      <c r="AI215" s="63">
        <f>ROUND(AH215*$P215,2)</f>
        <v>0</v>
      </c>
      <c r="AJ215" s="61">
        <f>IFERROR(SUMIFS('BM MORRO DA CRUZ - VERTICAL'!AN$6:AN$546,'BM MORRO DA CRUZ - VERTICAL'!$O$6:$O$546,'BM MORRO DA CRUZ'!$K215),0)</f>
        <v>0</v>
      </c>
      <c r="AK215" s="63">
        <f>ROUND(AJ215*$P215,2)</f>
        <v>0</v>
      </c>
      <c r="AL215" s="61">
        <f>IFERROR(SUMIFS('BM MORRO DA CRUZ - VERTICAL'!AP$6:AP$546,'BM MORRO DA CRUZ - VERTICAL'!$O$6:$O$546,'BM MORRO DA CRUZ'!$K215),0)</f>
        <v>0</v>
      </c>
      <c r="AM215" s="63">
        <f>ROUND(AL215*$P215,2)</f>
        <v>0</v>
      </c>
      <c r="AN215" s="61">
        <f>IFERROR(SUMIFS('BM MORRO DA CRUZ - VERTICAL'!AR$6:AR$546,'BM MORRO DA CRUZ - VERTICAL'!$O$6:$O$546,'BM MORRO DA CRUZ'!$K215),0)</f>
        <v>0</v>
      </c>
      <c r="AO215" s="63">
        <f>ROUND(AN215*$P215,2)</f>
        <v>0</v>
      </c>
      <c r="AP215" s="61">
        <f>IFERROR(SUMIFS('BM MORRO DA CRUZ - VERTICAL'!AT$6:AT$546,'BM MORRO DA CRUZ - VERTICAL'!$O$6:$O$546,'BM MORRO DA CRUZ'!$K215),0)</f>
        <v>0</v>
      </c>
      <c r="AQ215" s="63">
        <f>ROUND(AP215*$P215,2)</f>
        <v>0</v>
      </c>
      <c r="AR215" s="61">
        <f>IFERROR(SUMIFS('BM MORRO DA CRUZ - VERTICAL'!AV$6:AV$546,'BM MORRO DA CRUZ - VERTICAL'!$O$6:$O$546,'BM MORRO DA CRUZ'!$K215),0)</f>
        <v>0</v>
      </c>
      <c r="AS215" s="63">
        <f>ROUND(AR215*$P215,2)</f>
        <v>0</v>
      </c>
      <c r="AT215" s="61">
        <f>IFERROR(SUMIFS('BM MORRO DA CRUZ - VERTICAL'!AX$6:AX$546,'BM MORRO DA CRUZ - VERTICAL'!$O$6:$O$546,'BM MORRO DA CRUZ'!$K215),0)</f>
        <v>0</v>
      </c>
      <c r="AU215" s="63">
        <f>ROUND(AT215*$P215,2)</f>
        <v>0</v>
      </c>
      <c r="AV215" s="61">
        <f>IFERROR(SUMIFS('BM MORRO DA CRUZ - VERTICAL'!AZ$6:AZ$546,'BM MORRO DA CRUZ - VERTICAL'!$O$6:$O$546,'BM MORRO DA CRUZ'!$K215),0)</f>
        <v>0</v>
      </c>
      <c r="AW215" s="63">
        <f>ROUND(AV215*$P215,2)</f>
        <v>0</v>
      </c>
      <c r="AX215" s="61">
        <f>IFERROR(SUMIFS('BM MORRO DA CRUZ - VERTICAL'!BB$6:BB$546,'BM MORRO DA CRUZ - VERTICAL'!$O$6:$O$546,'BM MORRO DA CRUZ'!$K215),0)</f>
        <v>0</v>
      </c>
      <c r="AY215" s="63">
        <f>ROUND(AX215*$P215,2)</f>
        <v>0</v>
      </c>
      <c r="AZ215" s="61">
        <f>IFERROR(SUMIFS('BM MORRO DA CRUZ - VERTICAL'!BD$6:BD$546,'BM MORRO DA CRUZ - VERTICAL'!$O$6:$O$546,'BM MORRO DA CRUZ'!$K215),0)</f>
        <v>0</v>
      </c>
      <c r="BA215" s="63">
        <f>ROUND(AZ215*$P215,2)</f>
        <v>0</v>
      </c>
      <c r="BB215" s="61">
        <f>IFERROR(SUMIFS($R215:$BA215,$R$5:$BA$5,$BB$5),0)</f>
        <v>0</v>
      </c>
      <c r="BC215" s="63">
        <f>SUMIFS($R215:$BA215,$R$5:$BA$5,$S$5)</f>
        <v>0</v>
      </c>
      <c r="BD215" s="64">
        <f>IFERROR(BB215/O215,0)</f>
        <v>0</v>
      </c>
      <c r="BE215" s="65">
        <f>IFERROR((O215-BB215)/O215,0)</f>
        <v>1</v>
      </c>
      <c r="BF215" s="45"/>
    </row>
    <row r="216" spans="1:58" ht="26" customHeight="1" x14ac:dyDescent="0.45">
      <c r="A216" s="56" t="s">
        <v>856</v>
      </c>
      <c r="B216" s="506" t="s">
        <v>1724</v>
      </c>
      <c r="C216" s="507" t="s">
        <v>39</v>
      </c>
      <c r="D216" s="507" t="s">
        <v>39</v>
      </c>
      <c r="E216" s="507" t="s">
        <v>1725</v>
      </c>
      <c r="F216" s="507" t="s">
        <v>39</v>
      </c>
      <c r="G216" s="507" t="s">
        <v>39</v>
      </c>
      <c r="H216" s="508" t="s">
        <v>39</v>
      </c>
      <c r="I216" s="507" t="s">
        <v>40</v>
      </c>
      <c r="J216" s="508" t="s">
        <v>1726</v>
      </c>
      <c r="K216" s="57" t="s">
        <v>857</v>
      </c>
      <c r="L216" s="58" t="s">
        <v>846</v>
      </c>
      <c r="M216" s="59" t="s">
        <v>858</v>
      </c>
      <c r="N216" s="60" t="s">
        <v>792</v>
      </c>
      <c r="O216" s="61">
        <v>772.2</v>
      </c>
      <c r="P216" s="62">
        <v>90.39</v>
      </c>
      <c r="Q216" s="63">
        <f>ROUND(P216*$O216,2)</f>
        <v>69799.16</v>
      </c>
      <c r="R216" s="61">
        <f>IFERROR(SUMIFS('BM MORRO DA CRUZ - VERTICAL'!V$6:V$546,'BM MORRO DA CRUZ - VERTICAL'!$O$6:$O$546,'BM MORRO DA CRUZ'!$K216),0)</f>
        <v>0</v>
      </c>
      <c r="S216" s="63">
        <f>ROUND(R216*$P216,2)</f>
        <v>0</v>
      </c>
      <c r="T216" s="61">
        <f>IFERROR(SUMIFS('BM MORRO DA CRUZ - VERTICAL'!X$6:X$546,'BM MORRO DA CRUZ - VERTICAL'!$O$6:$O$546,'BM MORRO DA CRUZ'!$K216),0)</f>
        <v>0</v>
      </c>
      <c r="U216" s="63">
        <f>ROUND(T216*$P216,2)</f>
        <v>0</v>
      </c>
      <c r="V216" s="61">
        <f>IFERROR(SUMIFS('BM MORRO DA CRUZ - VERTICAL'!Z$6:Z$546,'BM MORRO DA CRUZ - VERTICAL'!$O$6:$O$546,'BM MORRO DA CRUZ'!$K216),0)</f>
        <v>0</v>
      </c>
      <c r="W216" s="63">
        <f>ROUND(V216*$P216,2)</f>
        <v>0</v>
      </c>
      <c r="X216" s="61">
        <f>IFERROR(SUMIFS('BM MORRO DA CRUZ - VERTICAL'!AB$6:AB$546,'BM MORRO DA CRUZ - VERTICAL'!$O$6:$O$546,'BM MORRO DA CRUZ'!$K216),0)</f>
        <v>0</v>
      </c>
      <c r="Y216" s="63">
        <f>ROUND(X216*$P216,2)</f>
        <v>0</v>
      </c>
      <c r="Z216" s="61">
        <f>IFERROR(SUMIFS('BM MORRO DA CRUZ - VERTICAL'!AD$6:AD$546,'BM MORRO DA CRUZ - VERTICAL'!$O$6:$O$546,'BM MORRO DA CRUZ'!$K216),0)</f>
        <v>0</v>
      </c>
      <c r="AA216" s="63">
        <f>ROUND(Z216*$P216,2)</f>
        <v>0</v>
      </c>
      <c r="AB216" s="61">
        <f>IFERROR(SUMIFS('BM MORRO DA CRUZ - VERTICAL'!AF$6:AF$546,'BM MORRO DA CRUZ - VERTICAL'!$O$6:$O$546,'BM MORRO DA CRUZ'!$K216),0)</f>
        <v>0</v>
      </c>
      <c r="AC216" s="63">
        <f>ROUND(AB216*$P216,2)</f>
        <v>0</v>
      </c>
      <c r="AD216" s="61">
        <f>IFERROR(SUMIFS('BM MORRO DA CRUZ - VERTICAL'!AH$6:AH$546,'BM MORRO DA CRUZ - VERTICAL'!$O$6:$O$546,'BM MORRO DA CRUZ'!$K216),0)</f>
        <v>0</v>
      </c>
      <c r="AE216" s="63">
        <f>ROUND(AD216*$P216,2)</f>
        <v>0</v>
      </c>
      <c r="AF216" s="61">
        <f>IFERROR(SUMIFS('BM MORRO DA CRUZ - VERTICAL'!AJ$6:AJ$546,'BM MORRO DA CRUZ - VERTICAL'!$O$6:$O$546,'BM MORRO DA CRUZ'!$K216),0)</f>
        <v>0</v>
      </c>
      <c r="AG216" s="63">
        <f>ROUND(AF216*$P216,2)</f>
        <v>0</v>
      </c>
      <c r="AH216" s="61">
        <f>IFERROR(SUMIFS('BM MORRO DA CRUZ - VERTICAL'!AL$6:AL$546,'BM MORRO DA CRUZ - VERTICAL'!$O$6:$O$546,'BM MORRO DA CRUZ'!$K216),0)</f>
        <v>0</v>
      </c>
      <c r="AI216" s="63">
        <f>ROUND(AH216*$P216,2)</f>
        <v>0</v>
      </c>
      <c r="AJ216" s="61">
        <f>IFERROR(SUMIFS('BM MORRO DA CRUZ - VERTICAL'!AN$6:AN$546,'BM MORRO DA CRUZ - VERTICAL'!$O$6:$O$546,'BM MORRO DA CRUZ'!$K216),0)</f>
        <v>0</v>
      </c>
      <c r="AK216" s="63">
        <f>ROUND(AJ216*$P216,2)</f>
        <v>0</v>
      </c>
      <c r="AL216" s="61">
        <f>IFERROR(SUMIFS('BM MORRO DA CRUZ - VERTICAL'!AP$6:AP$546,'BM MORRO DA CRUZ - VERTICAL'!$O$6:$O$546,'BM MORRO DA CRUZ'!$K216),0)</f>
        <v>0</v>
      </c>
      <c r="AM216" s="63">
        <f>ROUND(AL216*$P216,2)</f>
        <v>0</v>
      </c>
      <c r="AN216" s="61">
        <f>IFERROR(SUMIFS('BM MORRO DA CRUZ - VERTICAL'!AR$6:AR$546,'BM MORRO DA CRUZ - VERTICAL'!$O$6:$O$546,'BM MORRO DA CRUZ'!$K216),0)</f>
        <v>0</v>
      </c>
      <c r="AO216" s="63">
        <f>ROUND(AN216*$P216,2)</f>
        <v>0</v>
      </c>
      <c r="AP216" s="61">
        <f>IFERROR(SUMIFS('BM MORRO DA CRUZ - VERTICAL'!AT$6:AT$546,'BM MORRO DA CRUZ - VERTICAL'!$O$6:$O$546,'BM MORRO DA CRUZ'!$K216),0)</f>
        <v>0</v>
      </c>
      <c r="AQ216" s="63">
        <f>ROUND(AP216*$P216,2)</f>
        <v>0</v>
      </c>
      <c r="AR216" s="61">
        <f>IFERROR(SUMIFS('BM MORRO DA CRUZ - VERTICAL'!AV$6:AV$546,'BM MORRO DA CRUZ - VERTICAL'!$O$6:$O$546,'BM MORRO DA CRUZ'!$K216),0)</f>
        <v>0</v>
      </c>
      <c r="AS216" s="63">
        <f>ROUND(AR216*$P216,2)</f>
        <v>0</v>
      </c>
      <c r="AT216" s="61">
        <f>IFERROR(SUMIFS('BM MORRO DA CRUZ - VERTICAL'!AX$6:AX$546,'BM MORRO DA CRUZ - VERTICAL'!$O$6:$O$546,'BM MORRO DA CRUZ'!$K216),0)</f>
        <v>0</v>
      </c>
      <c r="AU216" s="63">
        <f>ROUND(AT216*$P216,2)</f>
        <v>0</v>
      </c>
      <c r="AV216" s="61">
        <f>IFERROR(SUMIFS('BM MORRO DA CRUZ - VERTICAL'!AZ$6:AZ$546,'BM MORRO DA CRUZ - VERTICAL'!$O$6:$O$546,'BM MORRO DA CRUZ'!$K216),0)</f>
        <v>0</v>
      </c>
      <c r="AW216" s="63">
        <f>ROUND(AV216*$P216,2)</f>
        <v>0</v>
      </c>
      <c r="AX216" s="61">
        <f>IFERROR(SUMIFS('BM MORRO DA CRUZ - VERTICAL'!BB$6:BB$546,'BM MORRO DA CRUZ - VERTICAL'!$O$6:$O$546,'BM MORRO DA CRUZ'!$K216),0)</f>
        <v>0</v>
      </c>
      <c r="AY216" s="63">
        <f>ROUND(AX216*$P216,2)</f>
        <v>0</v>
      </c>
      <c r="AZ216" s="61">
        <f>IFERROR(SUMIFS('BM MORRO DA CRUZ - VERTICAL'!BD$6:BD$546,'BM MORRO DA CRUZ - VERTICAL'!$O$6:$O$546,'BM MORRO DA CRUZ'!$K216),0)</f>
        <v>0</v>
      </c>
      <c r="BA216" s="63">
        <f>ROUND(AZ216*$P216,2)</f>
        <v>0</v>
      </c>
      <c r="BB216" s="61">
        <f>IFERROR(SUMIFS($R216:$BA216,$R$5:$BA$5,$BB$5),0)</f>
        <v>0</v>
      </c>
      <c r="BC216" s="63">
        <f>SUMIFS($R216:$BA216,$R$5:$BA$5,$S$5)</f>
        <v>0</v>
      </c>
      <c r="BD216" s="64">
        <f>IFERROR(BB216/O216,0)</f>
        <v>0</v>
      </c>
      <c r="BE216" s="65">
        <f>IFERROR((O216-BB216)/O216,0)</f>
        <v>1</v>
      </c>
      <c r="BF216" s="45"/>
    </row>
    <row r="217" spans="1:58" ht="19.5" customHeight="1" x14ac:dyDescent="0.45">
      <c r="A217" s="46" t="s">
        <v>859</v>
      </c>
      <c r="B217" s="503"/>
      <c r="C217" s="504"/>
      <c r="D217" s="504"/>
      <c r="E217" s="504"/>
      <c r="F217" s="504"/>
      <c r="G217" s="504"/>
      <c r="H217" s="505" t="s">
        <v>1718</v>
      </c>
      <c r="I217" s="504"/>
      <c r="J217" s="505" t="s">
        <v>1718</v>
      </c>
      <c r="K217" s="47" t="s">
        <v>825</v>
      </c>
      <c r="L217" s="48"/>
      <c r="M217" s="49" t="s">
        <v>826</v>
      </c>
      <c r="N217" s="50"/>
      <c r="O217" s="51"/>
      <c r="P217" s="52"/>
      <c r="Q217" s="53">
        <f>SUM(Q218:Q224)</f>
        <v>1361136.25</v>
      </c>
      <c r="R217" s="51"/>
      <c r="S217" s="53">
        <f>SUM(S218:S224)</f>
        <v>0</v>
      </c>
      <c r="T217" s="51"/>
      <c r="U217" s="53">
        <f>SUM(U218:U224)</f>
        <v>0</v>
      </c>
      <c r="V217" s="51"/>
      <c r="W217" s="53">
        <f>SUM(W218:W224)</f>
        <v>0</v>
      </c>
      <c r="X217" s="51"/>
      <c r="Y217" s="53">
        <f>SUM(Y218:Y224)</f>
        <v>0</v>
      </c>
      <c r="Z217" s="51"/>
      <c r="AA217" s="53">
        <f>SUM(AA218:AA224)</f>
        <v>0</v>
      </c>
      <c r="AB217" s="51"/>
      <c r="AC217" s="53">
        <f>SUM(AC218:AC224)</f>
        <v>0</v>
      </c>
      <c r="AD217" s="51"/>
      <c r="AE217" s="53">
        <f>SUM(AE218:AE224)</f>
        <v>0</v>
      </c>
      <c r="AF217" s="51"/>
      <c r="AG217" s="53">
        <f>SUM(AG218:AG224)</f>
        <v>0</v>
      </c>
      <c r="AH217" s="51"/>
      <c r="AI217" s="53">
        <f>SUM(AI218:AI224)</f>
        <v>0</v>
      </c>
      <c r="AJ217" s="51"/>
      <c r="AK217" s="53">
        <f>SUM(AK218:AK224)</f>
        <v>0</v>
      </c>
      <c r="AL217" s="51"/>
      <c r="AM217" s="53">
        <f>SUM(AM218:AM224)</f>
        <v>0</v>
      </c>
      <c r="AN217" s="51"/>
      <c r="AO217" s="53">
        <f>SUM(AO218:AO224)</f>
        <v>0</v>
      </c>
      <c r="AP217" s="51"/>
      <c r="AQ217" s="53">
        <f>SUM(AQ218:AQ224)</f>
        <v>0</v>
      </c>
      <c r="AR217" s="51"/>
      <c r="AS217" s="53">
        <f>SUM(AS218:AS224)</f>
        <v>0</v>
      </c>
      <c r="AT217" s="51"/>
      <c r="AU217" s="53">
        <f>SUM(AU218:AU224)</f>
        <v>0</v>
      </c>
      <c r="AV217" s="51"/>
      <c r="AW217" s="53">
        <f>SUM(AW218:AW224)</f>
        <v>0</v>
      </c>
      <c r="AX217" s="51"/>
      <c r="AY217" s="53">
        <f>SUM(AY218:AY224)</f>
        <v>0</v>
      </c>
      <c r="AZ217" s="51"/>
      <c r="BA217" s="53">
        <f>SUM(BA218:BA224)</f>
        <v>0</v>
      </c>
      <c r="BB217" s="51"/>
      <c r="BC217" s="53">
        <f>SUM(BC218:BC224)</f>
        <v>0</v>
      </c>
      <c r="BD217" s="54"/>
      <c r="BE217" s="55"/>
      <c r="BF217" s="45"/>
    </row>
    <row r="218" spans="1:58" ht="26" customHeight="1" x14ac:dyDescent="0.45">
      <c r="A218" s="56" t="s">
        <v>860</v>
      </c>
      <c r="B218" s="506" t="s">
        <v>862</v>
      </c>
      <c r="C218" s="507" t="s">
        <v>39</v>
      </c>
      <c r="D218" s="507" t="s">
        <v>39</v>
      </c>
      <c r="E218" s="507" t="s">
        <v>1727</v>
      </c>
      <c r="F218" s="507" t="s">
        <v>39</v>
      </c>
      <c r="G218" s="507" t="s">
        <v>39</v>
      </c>
      <c r="H218" s="508" t="s">
        <v>39</v>
      </c>
      <c r="I218" s="507" t="s">
        <v>763</v>
      </c>
      <c r="J218" s="508" t="s">
        <v>1727</v>
      </c>
      <c r="K218" s="57" t="s">
        <v>861</v>
      </c>
      <c r="L218" s="58" t="s">
        <v>846</v>
      </c>
      <c r="M218" s="59" t="s">
        <v>862</v>
      </c>
      <c r="N218" s="60" t="s">
        <v>367</v>
      </c>
      <c r="O218" s="61">
        <v>111219.2</v>
      </c>
      <c r="P218" s="62">
        <v>2.61</v>
      </c>
      <c r="Q218" s="63">
        <f t="shared" ref="Q218:Q224" si="161">ROUND(P218*$O218,2)</f>
        <v>290282.11</v>
      </c>
      <c r="R218" s="61">
        <f>IFERROR(SUMIFS('BM MORRO DA CRUZ - VERTICAL'!V$6:V$546,'BM MORRO DA CRUZ - VERTICAL'!$O$6:$O$546,'BM MORRO DA CRUZ'!$K218),0)</f>
        <v>0</v>
      </c>
      <c r="S218" s="63">
        <f t="shared" ref="S218:S224" si="162">ROUND(R218*$P218,2)</f>
        <v>0</v>
      </c>
      <c r="T218" s="61">
        <f>IFERROR(SUMIFS('BM MORRO DA CRUZ - VERTICAL'!X$6:X$546,'BM MORRO DA CRUZ - VERTICAL'!$O$6:$O$546,'BM MORRO DA CRUZ'!$K218),0)</f>
        <v>0</v>
      </c>
      <c r="U218" s="63">
        <f t="shared" ref="U218:U224" si="163">ROUND(T218*$P218,2)</f>
        <v>0</v>
      </c>
      <c r="V218" s="61">
        <f>IFERROR(SUMIFS('BM MORRO DA CRUZ - VERTICAL'!Z$6:Z$546,'BM MORRO DA CRUZ - VERTICAL'!$O$6:$O$546,'BM MORRO DA CRUZ'!$K218),0)</f>
        <v>0</v>
      </c>
      <c r="W218" s="63">
        <f t="shared" ref="W218:W224" si="164">ROUND(V218*$P218,2)</f>
        <v>0</v>
      </c>
      <c r="X218" s="61">
        <f>IFERROR(SUMIFS('BM MORRO DA CRUZ - VERTICAL'!AB$6:AB$546,'BM MORRO DA CRUZ - VERTICAL'!$O$6:$O$546,'BM MORRO DA CRUZ'!$K218),0)</f>
        <v>0</v>
      </c>
      <c r="Y218" s="63">
        <f t="shared" ref="Y218:Y224" si="165">ROUND(X218*$P218,2)</f>
        <v>0</v>
      </c>
      <c r="Z218" s="61">
        <f>IFERROR(SUMIFS('BM MORRO DA CRUZ - VERTICAL'!AD$6:AD$546,'BM MORRO DA CRUZ - VERTICAL'!$O$6:$O$546,'BM MORRO DA CRUZ'!$K218),0)</f>
        <v>0</v>
      </c>
      <c r="AA218" s="63">
        <f t="shared" ref="AA218:AA224" si="166">ROUND(Z218*$P218,2)</f>
        <v>0</v>
      </c>
      <c r="AB218" s="61">
        <f>IFERROR(SUMIFS('BM MORRO DA CRUZ - VERTICAL'!AF$6:AF$546,'BM MORRO DA CRUZ - VERTICAL'!$O$6:$O$546,'BM MORRO DA CRUZ'!$K218),0)</f>
        <v>0</v>
      </c>
      <c r="AC218" s="63">
        <f t="shared" ref="AC218:AC224" si="167">ROUND(AB218*$P218,2)</f>
        <v>0</v>
      </c>
      <c r="AD218" s="61">
        <f>IFERROR(SUMIFS('BM MORRO DA CRUZ - VERTICAL'!AH$6:AH$546,'BM MORRO DA CRUZ - VERTICAL'!$O$6:$O$546,'BM MORRO DA CRUZ'!$K218),0)</f>
        <v>0</v>
      </c>
      <c r="AE218" s="63">
        <f t="shared" ref="AE218:AE224" si="168">ROUND(AD218*$P218,2)</f>
        <v>0</v>
      </c>
      <c r="AF218" s="61">
        <f>IFERROR(SUMIFS('BM MORRO DA CRUZ - VERTICAL'!AJ$6:AJ$546,'BM MORRO DA CRUZ - VERTICAL'!$O$6:$O$546,'BM MORRO DA CRUZ'!$K218),0)</f>
        <v>0</v>
      </c>
      <c r="AG218" s="63">
        <f t="shared" ref="AG218:AG224" si="169">ROUND(AF218*$P218,2)</f>
        <v>0</v>
      </c>
      <c r="AH218" s="61">
        <f>IFERROR(SUMIFS('BM MORRO DA CRUZ - VERTICAL'!AL$6:AL$546,'BM MORRO DA CRUZ - VERTICAL'!$O$6:$O$546,'BM MORRO DA CRUZ'!$K218),0)</f>
        <v>0</v>
      </c>
      <c r="AI218" s="63">
        <f t="shared" ref="AI218:AI224" si="170">ROUND(AH218*$P218,2)</f>
        <v>0</v>
      </c>
      <c r="AJ218" s="61">
        <f>IFERROR(SUMIFS('BM MORRO DA CRUZ - VERTICAL'!AN$6:AN$546,'BM MORRO DA CRUZ - VERTICAL'!$O$6:$O$546,'BM MORRO DA CRUZ'!$K218),0)</f>
        <v>0</v>
      </c>
      <c r="AK218" s="63">
        <f t="shared" ref="AK218:AK224" si="171">ROUND(AJ218*$P218,2)</f>
        <v>0</v>
      </c>
      <c r="AL218" s="61">
        <f>IFERROR(SUMIFS('BM MORRO DA CRUZ - VERTICAL'!AP$6:AP$546,'BM MORRO DA CRUZ - VERTICAL'!$O$6:$O$546,'BM MORRO DA CRUZ'!$K218),0)</f>
        <v>0</v>
      </c>
      <c r="AM218" s="63">
        <f t="shared" ref="AM218:AM224" si="172">ROUND(AL218*$P218,2)</f>
        <v>0</v>
      </c>
      <c r="AN218" s="61">
        <f>IFERROR(SUMIFS('BM MORRO DA CRUZ - VERTICAL'!AR$6:AR$546,'BM MORRO DA CRUZ - VERTICAL'!$O$6:$O$546,'BM MORRO DA CRUZ'!$K218),0)</f>
        <v>0</v>
      </c>
      <c r="AO218" s="63">
        <f t="shared" ref="AO218:AO224" si="173">ROUND(AN218*$P218,2)</f>
        <v>0</v>
      </c>
      <c r="AP218" s="61">
        <f>IFERROR(SUMIFS('BM MORRO DA CRUZ - VERTICAL'!AT$6:AT$546,'BM MORRO DA CRUZ - VERTICAL'!$O$6:$O$546,'BM MORRO DA CRUZ'!$K218),0)</f>
        <v>0</v>
      </c>
      <c r="AQ218" s="63">
        <f t="shared" ref="AQ218:AQ224" si="174">ROUND(AP218*$P218,2)</f>
        <v>0</v>
      </c>
      <c r="AR218" s="61">
        <f>IFERROR(SUMIFS('BM MORRO DA CRUZ - VERTICAL'!AV$6:AV$546,'BM MORRO DA CRUZ - VERTICAL'!$O$6:$O$546,'BM MORRO DA CRUZ'!$K218),0)</f>
        <v>0</v>
      </c>
      <c r="AS218" s="63">
        <f t="shared" ref="AS218:AS224" si="175">ROUND(AR218*$P218,2)</f>
        <v>0</v>
      </c>
      <c r="AT218" s="61">
        <f>IFERROR(SUMIFS('BM MORRO DA CRUZ - VERTICAL'!AX$6:AX$546,'BM MORRO DA CRUZ - VERTICAL'!$O$6:$O$546,'BM MORRO DA CRUZ'!$K218),0)</f>
        <v>0</v>
      </c>
      <c r="AU218" s="63">
        <f t="shared" ref="AU218:AU224" si="176">ROUND(AT218*$P218,2)</f>
        <v>0</v>
      </c>
      <c r="AV218" s="61">
        <f>IFERROR(SUMIFS('BM MORRO DA CRUZ - VERTICAL'!AZ$6:AZ$546,'BM MORRO DA CRUZ - VERTICAL'!$O$6:$O$546,'BM MORRO DA CRUZ'!$K218),0)</f>
        <v>0</v>
      </c>
      <c r="AW218" s="63">
        <f t="shared" ref="AW218:AW224" si="177">ROUND(AV218*$P218,2)</f>
        <v>0</v>
      </c>
      <c r="AX218" s="61">
        <f>IFERROR(SUMIFS('BM MORRO DA CRUZ - VERTICAL'!BB$6:BB$546,'BM MORRO DA CRUZ - VERTICAL'!$O$6:$O$546,'BM MORRO DA CRUZ'!$K218),0)</f>
        <v>0</v>
      </c>
      <c r="AY218" s="63">
        <f t="shared" ref="AY218:AY224" si="178">ROUND(AX218*$P218,2)</f>
        <v>0</v>
      </c>
      <c r="AZ218" s="61">
        <f>IFERROR(SUMIFS('BM MORRO DA CRUZ - VERTICAL'!BD$6:BD$546,'BM MORRO DA CRUZ - VERTICAL'!$O$6:$O$546,'BM MORRO DA CRUZ'!$K218),0)</f>
        <v>0</v>
      </c>
      <c r="BA218" s="63">
        <f t="shared" ref="BA218:BA224" si="179">ROUND(AZ218*$P218,2)</f>
        <v>0</v>
      </c>
      <c r="BB218" s="61">
        <f t="shared" ref="BB218:BB224" si="180">IFERROR(SUMIFS($R218:$BA218,$R$5:$BA$5,$BB$5),0)</f>
        <v>0</v>
      </c>
      <c r="BC218" s="63">
        <f t="shared" ref="BC218:BC224" si="181">SUMIFS($R218:$BA218,$R$5:$BA$5,$S$5)</f>
        <v>0</v>
      </c>
      <c r="BD218" s="64">
        <f t="shared" ref="BD218:BD224" si="182">IFERROR(BB218/O218,0)</f>
        <v>0</v>
      </c>
      <c r="BE218" s="65">
        <f t="shared" ref="BE218:BE224" si="183">IFERROR((O218-BB218)/O218,0)</f>
        <v>1</v>
      </c>
      <c r="BF218" s="45"/>
    </row>
    <row r="219" spans="1:58" ht="26" customHeight="1" x14ac:dyDescent="0.45">
      <c r="A219" s="56" t="s">
        <v>863</v>
      </c>
      <c r="B219" s="506" t="s">
        <v>1728</v>
      </c>
      <c r="C219" s="507" t="s">
        <v>39</v>
      </c>
      <c r="D219" s="507" t="s">
        <v>39</v>
      </c>
      <c r="E219" s="507" t="s">
        <v>1729</v>
      </c>
      <c r="F219" s="507" t="s">
        <v>39</v>
      </c>
      <c r="G219" s="507" t="s">
        <v>39</v>
      </c>
      <c r="H219" s="508" t="s">
        <v>1730</v>
      </c>
      <c r="I219" s="507" t="s">
        <v>763</v>
      </c>
      <c r="J219" s="508" t="s">
        <v>1731</v>
      </c>
      <c r="K219" s="57" t="s">
        <v>864</v>
      </c>
      <c r="L219" s="58" t="s">
        <v>846</v>
      </c>
      <c r="M219" s="59" t="s">
        <v>865</v>
      </c>
      <c r="N219" s="60" t="s">
        <v>71</v>
      </c>
      <c r="O219" s="61">
        <v>1307</v>
      </c>
      <c r="P219" s="62">
        <v>236.46</v>
      </c>
      <c r="Q219" s="63">
        <f t="shared" si="161"/>
        <v>309053.21999999997</v>
      </c>
      <c r="R219" s="61">
        <f>IFERROR(SUMIFS('BM MORRO DA CRUZ - VERTICAL'!V$6:V$546,'BM MORRO DA CRUZ - VERTICAL'!$O$6:$O$546,'BM MORRO DA CRUZ'!$K219),0)</f>
        <v>0</v>
      </c>
      <c r="S219" s="63">
        <f t="shared" si="162"/>
        <v>0</v>
      </c>
      <c r="T219" s="61">
        <f>IFERROR(SUMIFS('BM MORRO DA CRUZ - VERTICAL'!X$6:X$546,'BM MORRO DA CRUZ - VERTICAL'!$O$6:$O$546,'BM MORRO DA CRUZ'!$K219),0)</f>
        <v>0</v>
      </c>
      <c r="U219" s="63">
        <f t="shared" si="163"/>
        <v>0</v>
      </c>
      <c r="V219" s="61">
        <f>IFERROR(SUMIFS('BM MORRO DA CRUZ - VERTICAL'!Z$6:Z$546,'BM MORRO DA CRUZ - VERTICAL'!$O$6:$O$546,'BM MORRO DA CRUZ'!$K219),0)</f>
        <v>0</v>
      </c>
      <c r="W219" s="63">
        <f t="shared" si="164"/>
        <v>0</v>
      </c>
      <c r="X219" s="61">
        <f>IFERROR(SUMIFS('BM MORRO DA CRUZ - VERTICAL'!AB$6:AB$546,'BM MORRO DA CRUZ - VERTICAL'!$O$6:$O$546,'BM MORRO DA CRUZ'!$K219),0)</f>
        <v>0</v>
      </c>
      <c r="Y219" s="63">
        <f t="shared" si="165"/>
        <v>0</v>
      </c>
      <c r="Z219" s="61">
        <f>IFERROR(SUMIFS('BM MORRO DA CRUZ - VERTICAL'!AD$6:AD$546,'BM MORRO DA CRUZ - VERTICAL'!$O$6:$O$546,'BM MORRO DA CRUZ'!$K219),0)</f>
        <v>0</v>
      </c>
      <c r="AA219" s="63">
        <f t="shared" si="166"/>
        <v>0</v>
      </c>
      <c r="AB219" s="61">
        <f>IFERROR(SUMIFS('BM MORRO DA CRUZ - VERTICAL'!AF$6:AF$546,'BM MORRO DA CRUZ - VERTICAL'!$O$6:$O$546,'BM MORRO DA CRUZ'!$K219),0)</f>
        <v>0</v>
      </c>
      <c r="AC219" s="63">
        <f t="shared" si="167"/>
        <v>0</v>
      </c>
      <c r="AD219" s="61">
        <f>IFERROR(SUMIFS('BM MORRO DA CRUZ - VERTICAL'!AH$6:AH$546,'BM MORRO DA CRUZ - VERTICAL'!$O$6:$O$546,'BM MORRO DA CRUZ'!$K219),0)</f>
        <v>0</v>
      </c>
      <c r="AE219" s="63">
        <f t="shared" si="168"/>
        <v>0</v>
      </c>
      <c r="AF219" s="61">
        <f>IFERROR(SUMIFS('BM MORRO DA CRUZ - VERTICAL'!AJ$6:AJ$546,'BM MORRO DA CRUZ - VERTICAL'!$O$6:$O$546,'BM MORRO DA CRUZ'!$K219),0)</f>
        <v>0</v>
      </c>
      <c r="AG219" s="63">
        <f t="shared" si="169"/>
        <v>0</v>
      </c>
      <c r="AH219" s="61">
        <f>IFERROR(SUMIFS('BM MORRO DA CRUZ - VERTICAL'!AL$6:AL$546,'BM MORRO DA CRUZ - VERTICAL'!$O$6:$O$546,'BM MORRO DA CRUZ'!$K219),0)</f>
        <v>0</v>
      </c>
      <c r="AI219" s="63">
        <f t="shared" si="170"/>
        <v>0</v>
      </c>
      <c r="AJ219" s="61">
        <f>IFERROR(SUMIFS('BM MORRO DA CRUZ - VERTICAL'!AN$6:AN$546,'BM MORRO DA CRUZ - VERTICAL'!$O$6:$O$546,'BM MORRO DA CRUZ'!$K219),0)</f>
        <v>0</v>
      </c>
      <c r="AK219" s="63">
        <f t="shared" si="171"/>
        <v>0</v>
      </c>
      <c r="AL219" s="61">
        <f>IFERROR(SUMIFS('BM MORRO DA CRUZ - VERTICAL'!AP$6:AP$546,'BM MORRO DA CRUZ - VERTICAL'!$O$6:$O$546,'BM MORRO DA CRUZ'!$K219),0)</f>
        <v>0</v>
      </c>
      <c r="AM219" s="63">
        <f t="shared" si="172"/>
        <v>0</v>
      </c>
      <c r="AN219" s="61">
        <f>IFERROR(SUMIFS('BM MORRO DA CRUZ - VERTICAL'!AR$6:AR$546,'BM MORRO DA CRUZ - VERTICAL'!$O$6:$O$546,'BM MORRO DA CRUZ'!$K219),0)</f>
        <v>0</v>
      </c>
      <c r="AO219" s="63">
        <f t="shared" si="173"/>
        <v>0</v>
      </c>
      <c r="AP219" s="61">
        <f>IFERROR(SUMIFS('BM MORRO DA CRUZ - VERTICAL'!AT$6:AT$546,'BM MORRO DA CRUZ - VERTICAL'!$O$6:$O$546,'BM MORRO DA CRUZ'!$K219),0)</f>
        <v>0</v>
      </c>
      <c r="AQ219" s="63">
        <f t="shared" si="174"/>
        <v>0</v>
      </c>
      <c r="AR219" s="61">
        <f>IFERROR(SUMIFS('BM MORRO DA CRUZ - VERTICAL'!AV$6:AV$546,'BM MORRO DA CRUZ - VERTICAL'!$O$6:$O$546,'BM MORRO DA CRUZ'!$K219),0)</f>
        <v>0</v>
      </c>
      <c r="AS219" s="63">
        <f t="shared" si="175"/>
        <v>0</v>
      </c>
      <c r="AT219" s="61">
        <f>IFERROR(SUMIFS('BM MORRO DA CRUZ - VERTICAL'!AX$6:AX$546,'BM MORRO DA CRUZ - VERTICAL'!$O$6:$O$546,'BM MORRO DA CRUZ'!$K219),0)</f>
        <v>0</v>
      </c>
      <c r="AU219" s="63">
        <f t="shared" si="176"/>
        <v>0</v>
      </c>
      <c r="AV219" s="61">
        <f>IFERROR(SUMIFS('BM MORRO DA CRUZ - VERTICAL'!AZ$6:AZ$546,'BM MORRO DA CRUZ - VERTICAL'!$O$6:$O$546,'BM MORRO DA CRUZ'!$K219),0)</f>
        <v>0</v>
      </c>
      <c r="AW219" s="63">
        <f t="shared" si="177"/>
        <v>0</v>
      </c>
      <c r="AX219" s="61">
        <f>IFERROR(SUMIFS('BM MORRO DA CRUZ - VERTICAL'!BB$6:BB$546,'BM MORRO DA CRUZ - VERTICAL'!$O$6:$O$546,'BM MORRO DA CRUZ'!$K219),0)</f>
        <v>0</v>
      </c>
      <c r="AY219" s="63">
        <f t="shared" si="178"/>
        <v>0</v>
      </c>
      <c r="AZ219" s="61">
        <f>IFERROR(SUMIFS('BM MORRO DA CRUZ - VERTICAL'!BD$6:BD$546,'BM MORRO DA CRUZ - VERTICAL'!$O$6:$O$546,'BM MORRO DA CRUZ'!$K219),0)</f>
        <v>0</v>
      </c>
      <c r="BA219" s="63">
        <f t="shared" si="179"/>
        <v>0</v>
      </c>
      <c r="BB219" s="61">
        <f t="shared" si="180"/>
        <v>0</v>
      </c>
      <c r="BC219" s="63">
        <f t="shared" si="181"/>
        <v>0</v>
      </c>
      <c r="BD219" s="64">
        <f t="shared" si="182"/>
        <v>0</v>
      </c>
      <c r="BE219" s="65">
        <f t="shared" si="183"/>
        <v>1</v>
      </c>
      <c r="BF219" s="45"/>
    </row>
    <row r="220" spans="1:58" ht="26" customHeight="1" x14ac:dyDescent="0.45">
      <c r="A220" s="56" t="s">
        <v>866</v>
      </c>
      <c r="B220" s="506" t="s">
        <v>1732</v>
      </c>
      <c r="C220" s="507" t="s">
        <v>39</v>
      </c>
      <c r="D220" s="507" t="s">
        <v>39</v>
      </c>
      <c r="E220" s="507" t="s">
        <v>1729</v>
      </c>
      <c r="F220" s="507" t="s">
        <v>39</v>
      </c>
      <c r="G220" s="507" t="s">
        <v>39</v>
      </c>
      <c r="H220" s="508" t="s">
        <v>1730</v>
      </c>
      <c r="I220" s="507" t="s">
        <v>763</v>
      </c>
      <c r="J220" s="508" t="s">
        <v>1731</v>
      </c>
      <c r="K220" s="57" t="s">
        <v>867</v>
      </c>
      <c r="L220" s="58" t="s">
        <v>846</v>
      </c>
      <c r="M220" s="59" t="s">
        <v>868</v>
      </c>
      <c r="N220" s="60" t="s">
        <v>71</v>
      </c>
      <c r="O220" s="61">
        <v>1307</v>
      </c>
      <c r="P220" s="62">
        <v>199.12</v>
      </c>
      <c r="Q220" s="63">
        <f t="shared" si="161"/>
        <v>260249.84</v>
      </c>
      <c r="R220" s="61">
        <f>IFERROR(SUMIFS('BM MORRO DA CRUZ - VERTICAL'!V$6:V$546,'BM MORRO DA CRUZ - VERTICAL'!$O$6:$O$546,'BM MORRO DA CRUZ'!$K220),0)</f>
        <v>0</v>
      </c>
      <c r="S220" s="63">
        <f t="shared" si="162"/>
        <v>0</v>
      </c>
      <c r="T220" s="61">
        <f>IFERROR(SUMIFS('BM MORRO DA CRUZ - VERTICAL'!X$6:X$546,'BM MORRO DA CRUZ - VERTICAL'!$O$6:$O$546,'BM MORRO DA CRUZ'!$K220),0)</f>
        <v>0</v>
      </c>
      <c r="U220" s="63">
        <f t="shared" si="163"/>
        <v>0</v>
      </c>
      <c r="V220" s="61">
        <f>IFERROR(SUMIFS('BM MORRO DA CRUZ - VERTICAL'!Z$6:Z$546,'BM MORRO DA CRUZ - VERTICAL'!$O$6:$O$546,'BM MORRO DA CRUZ'!$K220),0)</f>
        <v>0</v>
      </c>
      <c r="W220" s="63">
        <f t="shared" si="164"/>
        <v>0</v>
      </c>
      <c r="X220" s="61">
        <f>IFERROR(SUMIFS('BM MORRO DA CRUZ - VERTICAL'!AB$6:AB$546,'BM MORRO DA CRUZ - VERTICAL'!$O$6:$O$546,'BM MORRO DA CRUZ'!$K220),0)</f>
        <v>0</v>
      </c>
      <c r="Y220" s="63">
        <f t="shared" si="165"/>
        <v>0</v>
      </c>
      <c r="Z220" s="61">
        <f>IFERROR(SUMIFS('BM MORRO DA CRUZ - VERTICAL'!AD$6:AD$546,'BM MORRO DA CRUZ - VERTICAL'!$O$6:$O$546,'BM MORRO DA CRUZ'!$K220),0)</f>
        <v>0</v>
      </c>
      <c r="AA220" s="63">
        <f t="shared" si="166"/>
        <v>0</v>
      </c>
      <c r="AB220" s="61">
        <f>IFERROR(SUMIFS('BM MORRO DA CRUZ - VERTICAL'!AF$6:AF$546,'BM MORRO DA CRUZ - VERTICAL'!$O$6:$O$546,'BM MORRO DA CRUZ'!$K220),0)</f>
        <v>0</v>
      </c>
      <c r="AC220" s="63">
        <f t="shared" si="167"/>
        <v>0</v>
      </c>
      <c r="AD220" s="61">
        <f>IFERROR(SUMIFS('BM MORRO DA CRUZ - VERTICAL'!AH$6:AH$546,'BM MORRO DA CRUZ - VERTICAL'!$O$6:$O$546,'BM MORRO DA CRUZ'!$K220),0)</f>
        <v>0</v>
      </c>
      <c r="AE220" s="63">
        <f t="shared" si="168"/>
        <v>0</v>
      </c>
      <c r="AF220" s="61">
        <f>IFERROR(SUMIFS('BM MORRO DA CRUZ - VERTICAL'!AJ$6:AJ$546,'BM MORRO DA CRUZ - VERTICAL'!$O$6:$O$546,'BM MORRO DA CRUZ'!$K220),0)</f>
        <v>0</v>
      </c>
      <c r="AG220" s="63">
        <f t="shared" si="169"/>
        <v>0</v>
      </c>
      <c r="AH220" s="61">
        <f>IFERROR(SUMIFS('BM MORRO DA CRUZ - VERTICAL'!AL$6:AL$546,'BM MORRO DA CRUZ - VERTICAL'!$O$6:$O$546,'BM MORRO DA CRUZ'!$K220),0)</f>
        <v>0</v>
      </c>
      <c r="AI220" s="63">
        <f t="shared" si="170"/>
        <v>0</v>
      </c>
      <c r="AJ220" s="61">
        <f>IFERROR(SUMIFS('BM MORRO DA CRUZ - VERTICAL'!AN$6:AN$546,'BM MORRO DA CRUZ - VERTICAL'!$O$6:$O$546,'BM MORRO DA CRUZ'!$K220),0)</f>
        <v>0</v>
      </c>
      <c r="AK220" s="63">
        <f t="shared" si="171"/>
        <v>0</v>
      </c>
      <c r="AL220" s="61">
        <f>IFERROR(SUMIFS('BM MORRO DA CRUZ - VERTICAL'!AP$6:AP$546,'BM MORRO DA CRUZ - VERTICAL'!$O$6:$O$546,'BM MORRO DA CRUZ'!$K220),0)</f>
        <v>0</v>
      </c>
      <c r="AM220" s="63">
        <f t="shared" si="172"/>
        <v>0</v>
      </c>
      <c r="AN220" s="61">
        <f>IFERROR(SUMIFS('BM MORRO DA CRUZ - VERTICAL'!AR$6:AR$546,'BM MORRO DA CRUZ - VERTICAL'!$O$6:$O$546,'BM MORRO DA CRUZ'!$K220),0)</f>
        <v>0</v>
      </c>
      <c r="AO220" s="63">
        <f t="shared" si="173"/>
        <v>0</v>
      </c>
      <c r="AP220" s="61">
        <f>IFERROR(SUMIFS('BM MORRO DA CRUZ - VERTICAL'!AT$6:AT$546,'BM MORRO DA CRUZ - VERTICAL'!$O$6:$O$546,'BM MORRO DA CRUZ'!$K220),0)</f>
        <v>0</v>
      </c>
      <c r="AQ220" s="63">
        <f t="shared" si="174"/>
        <v>0</v>
      </c>
      <c r="AR220" s="61">
        <f>IFERROR(SUMIFS('BM MORRO DA CRUZ - VERTICAL'!AV$6:AV$546,'BM MORRO DA CRUZ - VERTICAL'!$O$6:$O$546,'BM MORRO DA CRUZ'!$K220),0)</f>
        <v>0</v>
      </c>
      <c r="AS220" s="63">
        <f t="shared" si="175"/>
        <v>0</v>
      </c>
      <c r="AT220" s="61">
        <f>IFERROR(SUMIFS('BM MORRO DA CRUZ - VERTICAL'!AX$6:AX$546,'BM MORRO DA CRUZ - VERTICAL'!$O$6:$O$546,'BM MORRO DA CRUZ'!$K220),0)</f>
        <v>0</v>
      </c>
      <c r="AU220" s="63">
        <f t="shared" si="176"/>
        <v>0</v>
      </c>
      <c r="AV220" s="61">
        <f>IFERROR(SUMIFS('BM MORRO DA CRUZ - VERTICAL'!AZ$6:AZ$546,'BM MORRO DA CRUZ - VERTICAL'!$O$6:$O$546,'BM MORRO DA CRUZ'!$K220),0)</f>
        <v>0</v>
      </c>
      <c r="AW220" s="63">
        <f t="shared" si="177"/>
        <v>0</v>
      </c>
      <c r="AX220" s="61">
        <f>IFERROR(SUMIFS('BM MORRO DA CRUZ - VERTICAL'!BB$6:BB$546,'BM MORRO DA CRUZ - VERTICAL'!$O$6:$O$546,'BM MORRO DA CRUZ'!$K220),0)</f>
        <v>0</v>
      </c>
      <c r="AY220" s="63">
        <f t="shared" si="178"/>
        <v>0</v>
      </c>
      <c r="AZ220" s="61">
        <f>IFERROR(SUMIFS('BM MORRO DA CRUZ - VERTICAL'!BD$6:BD$546,'BM MORRO DA CRUZ - VERTICAL'!$O$6:$O$546,'BM MORRO DA CRUZ'!$K220),0)</f>
        <v>0</v>
      </c>
      <c r="BA220" s="63">
        <f t="shared" si="179"/>
        <v>0</v>
      </c>
      <c r="BB220" s="61">
        <f t="shared" si="180"/>
        <v>0</v>
      </c>
      <c r="BC220" s="63">
        <f t="shared" si="181"/>
        <v>0</v>
      </c>
      <c r="BD220" s="64">
        <f t="shared" si="182"/>
        <v>0</v>
      </c>
      <c r="BE220" s="65">
        <f t="shared" si="183"/>
        <v>1</v>
      </c>
      <c r="BF220" s="45"/>
    </row>
    <row r="221" spans="1:58" ht="26" customHeight="1" x14ac:dyDescent="0.45">
      <c r="A221" s="56" t="s">
        <v>869</v>
      </c>
      <c r="B221" s="506" t="s">
        <v>1733</v>
      </c>
      <c r="C221" s="507" t="s">
        <v>39</v>
      </c>
      <c r="D221" s="507" t="s">
        <v>39</v>
      </c>
      <c r="E221" s="507" t="s">
        <v>1729</v>
      </c>
      <c r="F221" s="507" t="s">
        <v>39</v>
      </c>
      <c r="G221" s="507" t="s">
        <v>39</v>
      </c>
      <c r="H221" s="508" t="s">
        <v>1730</v>
      </c>
      <c r="I221" s="507" t="s">
        <v>763</v>
      </c>
      <c r="J221" s="508" t="s">
        <v>1731</v>
      </c>
      <c r="K221" s="57" t="s">
        <v>870</v>
      </c>
      <c r="L221" s="58" t="s">
        <v>846</v>
      </c>
      <c r="M221" s="59" t="s">
        <v>871</v>
      </c>
      <c r="N221" s="60" t="s">
        <v>71</v>
      </c>
      <c r="O221" s="61">
        <v>1307</v>
      </c>
      <c r="P221" s="62">
        <v>124.45</v>
      </c>
      <c r="Q221" s="63">
        <f t="shared" si="161"/>
        <v>162656.15</v>
      </c>
      <c r="R221" s="61">
        <f>IFERROR(SUMIFS('BM MORRO DA CRUZ - VERTICAL'!V$6:V$546,'BM MORRO DA CRUZ - VERTICAL'!$O$6:$O$546,'BM MORRO DA CRUZ'!$K221),0)</f>
        <v>0</v>
      </c>
      <c r="S221" s="63">
        <f t="shared" si="162"/>
        <v>0</v>
      </c>
      <c r="T221" s="61">
        <f>IFERROR(SUMIFS('BM MORRO DA CRUZ - VERTICAL'!X$6:X$546,'BM MORRO DA CRUZ - VERTICAL'!$O$6:$O$546,'BM MORRO DA CRUZ'!$K221),0)</f>
        <v>0</v>
      </c>
      <c r="U221" s="63">
        <f t="shared" si="163"/>
        <v>0</v>
      </c>
      <c r="V221" s="61">
        <f>IFERROR(SUMIFS('BM MORRO DA CRUZ - VERTICAL'!Z$6:Z$546,'BM MORRO DA CRUZ - VERTICAL'!$O$6:$O$546,'BM MORRO DA CRUZ'!$K221),0)</f>
        <v>0</v>
      </c>
      <c r="W221" s="63">
        <f t="shared" si="164"/>
        <v>0</v>
      </c>
      <c r="X221" s="61">
        <f>IFERROR(SUMIFS('BM MORRO DA CRUZ - VERTICAL'!AB$6:AB$546,'BM MORRO DA CRUZ - VERTICAL'!$O$6:$O$546,'BM MORRO DA CRUZ'!$K221),0)</f>
        <v>0</v>
      </c>
      <c r="Y221" s="63">
        <f t="shared" si="165"/>
        <v>0</v>
      </c>
      <c r="Z221" s="61">
        <f>IFERROR(SUMIFS('BM MORRO DA CRUZ - VERTICAL'!AD$6:AD$546,'BM MORRO DA CRUZ - VERTICAL'!$O$6:$O$546,'BM MORRO DA CRUZ'!$K221),0)</f>
        <v>0</v>
      </c>
      <c r="AA221" s="63">
        <f t="shared" si="166"/>
        <v>0</v>
      </c>
      <c r="AB221" s="61">
        <f>IFERROR(SUMIFS('BM MORRO DA CRUZ - VERTICAL'!AF$6:AF$546,'BM MORRO DA CRUZ - VERTICAL'!$O$6:$O$546,'BM MORRO DA CRUZ'!$K221),0)</f>
        <v>0</v>
      </c>
      <c r="AC221" s="63">
        <f t="shared" si="167"/>
        <v>0</v>
      </c>
      <c r="AD221" s="61">
        <f>IFERROR(SUMIFS('BM MORRO DA CRUZ - VERTICAL'!AH$6:AH$546,'BM MORRO DA CRUZ - VERTICAL'!$O$6:$O$546,'BM MORRO DA CRUZ'!$K221),0)</f>
        <v>0</v>
      </c>
      <c r="AE221" s="63">
        <f t="shared" si="168"/>
        <v>0</v>
      </c>
      <c r="AF221" s="61">
        <f>IFERROR(SUMIFS('BM MORRO DA CRUZ - VERTICAL'!AJ$6:AJ$546,'BM MORRO DA CRUZ - VERTICAL'!$O$6:$O$546,'BM MORRO DA CRUZ'!$K221),0)</f>
        <v>0</v>
      </c>
      <c r="AG221" s="63">
        <f t="shared" si="169"/>
        <v>0</v>
      </c>
      <c r="AH221" s="61">
        <f>IFERROR(SUMIFS('BM MORRO DA CRUZ - VERTICAL'!AL$6:AL$546,'BM MORRO DA CRUZ - VERTICAL'!$O$6:$O$546,'BM MORRO DA CRUZ'!$K221),0)</f>
        <v>0</v>
      </c>
      <c r="AI221" s="63">
        <f t="shared" si="170"/>
        <v>0</v>
      </c>
      <c r="AJ221" s="61">
        <f>IFERROR(SUMIFS('BM MORRO DA CRUZ - VERTICAL'!AN$6:AN$546,'BM MORRO DA CRUZ - VERTICAL'!$O$6:$O$546,'BM MORRO DA CRUZ'!$K221),0)</f>
        <v>0</v>
      </c>
      <c r="AK221" s="63">
        <f t="shared" si="171"/>
        <v>0</v>
      </c>
      <c r="AL221" s="61">
        <f>IFERROR(SUMIFS('BM MORRO DA CRUZ - VERTICAL'!AP$6:AP$546,'BM MORRO DA CRUZ - VERTICAL'!$O$6:$O$546,'BM MORRO DA CRUZ'!$K221),0)</f>
        <v>0</v>
      </c>
      <c r="AM221" s="63">
        <f t="shared" si="172"/>
        <v>0</v>
      </c>
      <c r="AN221" s="61">
        <f>IFERROR(SUMIFS('BM MORRO DA CRUZ - VERTICAL'!AR$6:AR$546,'BM MORRO DA CRUZ - VERTICAL'!$O$6:$O$546,'BM MORRO DA CRUZ'!$K221),0)</f>
        <v>0</v>
      </c>
      <c r="AO221" s="63">
        <f t="shared" si="173"/>
        <v>0</v>
      </c>
      <c r="AP221" s="61">
        <f>IFERROR(SUMIFS('BM MORRO DA CRUZ - VERTICAL'!AT$6:AT$546,'BM MORRO DA CRUZ - VERTICAL'!$O$6:$O$546,'BM MORRO DA CRUZ'!$K221),0)</f>
        <v>0</v>
      </c>
      <c r="AQ221" s="63">
        <f t="shared" si="174"/>
        <v>0</v>
      </c>
      <c r="AR221" s="61">
        <f>IFERROR(SUMIFS('BM MORRO DA CRUZ - VERTICAL'!AV$6:AV$546,'BM MORRO DA CRUZ - VERTICAL'!$O$6:$O$546,'BM MORRO DA CRUZ'!$K221),0)</f>
        <v>0</v>
      </c>
      <c r="AS221" s="63">
        <f t="shared" si="175"/>
        <v>0</v>
      </c>
      <c r="AT221" s="61">
        <f>IFERROR(SUMIFS('BM MORRO DA CRUZ - VERTICAL'!AX$6:AX$546,'BM MORRO DA CRUZ - VERTICAL'!$O$6:$O$546,'BM MORRO DA CRUZ'!$K221),0)</f>
        <v>0</v>
      </c>
      <c r="AU221" s="63">
        <f t="shared" si="176"/>
        <v>0</v>
      </c>
      <c r="AV221" s="61">
        <f>IFERROR(SUMIFS('BM MORRO DA CRUZ - VERTICAL'!AZ$6:AZ$546,'BM MORRO DA CRUZ - VERTICAL'!$O$6:$O$546,'BM MORRO DA CRUZ'!$K221),0)</f>
        <v>0</v>
      </c>
      <c r="AW221" s="63">
        <f t="shared" si="177"/>
        <v>0</v>
      </c>
      <c r="AX221" s="61">
        <f>IFERROR(SUMIFS('BM MORRO DA CRUZ - VERTICAL'!BB$6:BB$546,'BM MORRO DA CRUZ - VERTICAL'!$O$6:$O$546,'BM MORRO DA CRUZ'!$K221),0)</f>
        <v>0</v>
      </c>
      <c r="AY221" s="63">
        <f t="shared" si="178"/>
        <v>0</v>
      </c>
      <c r="AZ221" s="61">
        <f>IFERROR(SUMIFS('BM MORRO DA CRUZ - VERTICAL'!BD$6:BD$546,'BM MORRO DA CRUZ - VERTICAL'!$O$6:$O$546,'BM MORRO DA CRUZ'!$K221),0)</f>
        <v>0</v>
      </c>
      <c r="BA221" s="63">
        <f t="shared" si="179"/>
        <v>0</v>
      </c>
      <c r="BB221" s="61">
        <f t="shared" si="180"/>
        <v>0</v>
      </c>
      <c r="BC221" s="63">
        <f t="shared" si="181"/>
        <v>0</v>
      </c>
      <c r="BD221" s="64">
        <f t="shared" si="182"/>
        <v>0</v>
      </c>
      <c r="BE221" s="65">
        <f t="shared" si="183"/>
        <v>1</v>
      </c>
      <c r="BF221" s="45"/>
    </row>
    <row r="222" spans="1:58" ht="26" customHeight="1" x14ac:dyDescent="0.45">
      <c r="A222" s="56" t="s">
        <v>872</v>
      </c>
      <c r="B222" s="506" t="s">
        <v>1734</v>
      </c>
      <c r="C222" s="507" t="s">
        <v>39</v>
      </c>
      <c r="D222" s="507" t="s">
        <v>39</v>
      </c>
      <c r="E222" s="507" t="s">
        <v>1729</v>
      </c>
      <c r="F222" s="507" t="s">
        <v>39</v>
      </c>
      <c r="G222" s="507" t="s">
        <v>39</v>
      </c>
      <c r="H222" s="508" t="s">
        <v>1730</v>
      </c>
      <c r="I222" s="507" t="s">
        <v>763</v>
      </c>
      <c r="J222" s="508" t="s">
        <v>1731</v>
      </c>
      <c r="K222" s="57" t="s">
        <v>873</v>
      </c>
      <c r="L222" s="58" t="s">
        <v>846</v>
      </c>
      <c r="M222" s="59" t="s">
        <v>874</v>
      </c>
      <c r="N222" s="60" t="s">
        <v>71</v>
      </c>
      <c r="O222" s="61">
        <v>1307</v>
      </c>
      <c r="P222" s="62">
        <v>112.01</v>
      </c>
      <c r="Q222" s="63">
        <f t="shared" si="161"/>
        <v>146397.07</v>
      </c>
      <c r="R222" s="61">
        <f>IFERROR(SUMIFS('BM MORRO DA CRUZ - VERTICAL'!V$6:V$546,'BM MORRO DA CRUZ - VERTICAL'!$O$6:$O$546,'BM MORRO DA CRUZ'!$K222),0)</f>
        <v>0</v>
      </c>
      <c r="S222" s="63">
        <f t="shared" si="162"/>
        <v>0</v>
      </c>
      <c r="T222" s="61">
        <f>IFERROR(SUMIFS('BM MORRO DA CRUZ - VERTICAL'!X$6:X$546,'BM MORRO DA CRUZ - VERTICAL'!$O$6:$O$546,'BM MORRO DA CRUZ'!$K222),0)</f>
        <v>0</v>
      </c>
      <c r="U222" s="63">
        <f t="shared" si="163"/>
        <v>0</v>
      </c>
      <c r="V222" s="61">
        <f>IFERROR(SUMIFS('BM MORRO DA CRUZ - VERTICAL'!Z$6:Z$546,'BM MORRO DA CRUZ - VERTICAL'!$O$6:$O$546,'BM MORRO DA CRUZ'!$K222),0)</f>
        <v>0</v>
      </c>
      <c r="W222" s="63">
        <f t="shared" si="164"/>
        <v>0</v>
      </c>
      <c r="X222" s="61">
        <f>IFERROR(SUMIFS('BM MORRO DA CRUZ - VERTICAL'!AB$6:AB$546,'BM MORRO DA CRUZ - VERTICAL'!$O$6:$O$546,'BM MORRO DA CRUZ'!$K222),0)</f>
        <v>0</v>
      </c>
      <c r="Y222" s="63">
        <f t="shared" si="165"/>
        <v>0</v>
      </c>
      <c r="Z222" s="61">
        <f>IFERROR(SUMIFS('BM MORRO DA CRUZ - VERTICAL'!AD$6:AD$546,'BM MORRO DA CRUZ - VERTICAL'!$O$6:$O$546,'BM MORRO DA CRUZ'!$K222),0)</f>
        <v>0</v>
      </c>
      <c r="AA222" s="63">
        <f t="shared" si="166"/>
        <v>0</v>
      </c>
      <c r="AB222" s="61">
        <f>IFERROR(SUMIFS('BM MORRO DA CRUZ - VERTICAL'!AF$6:AF$546,'BM MORRO DA CRUZ - VERTICAL'!$O$6:$O$546,'BM MORRO DA CRUZ'!$K222),0)</f>
        <v>0</v>
      </c>
      <c r="AC222" s="63">
        <f t="shared" si="167"/>
        <v>0</v>
      </c>
      <c r="AD222" s="61">
        <f>IFERROR(SUMIFS('BM MORRO DA CRUZ - VERTICAL'!AH$6:AH$546,'BM MORRO DA CRUZ - VERTICAL'!$O$6:$O$546,'BM MORRO DA CRUZ'!$K222),0)</f>
        <v>0</v>
      </c>
      <c r="AE222" s="63">
        <f t="shared" si="168"/>
        <v>0</v>
      </c>
      <c r="AF222" s="61">
        <f>IFERROR(SUMIFS('BM MORRO DA CRUZ - VERTICAL'!AJ$6:AJ$546,'BM MORRO DA CRUZ - VERTICAL'!$O$6:$O$546,'BM MORRO DA CRUZ'!$K222),0)</f>
        <v>0</v>
      </c>
      <c r="AG222" s="63">
        <f t="shared" si="169"/>
        <v>0</v>
      </c>
      <c r="AH222" s="61">
        <f>IFERROR(SUMIFS('BM MORRO DA CRUZ - VERTICAL'!AL$6:AL$546,'BM MORRO DA CRUZ - VERTICAL'!$O$6:$O$546,'BM MORRO DA CRUZ'!$K222),0)</f>
        <v>0</v>
      </c>
      <c r="AI222" s="63">
        <f t="shared" si="170"/>
        <v>0</v>
      </c>
      <c r="AJ222" s="61">
        <f>IFERROR(SUMIFS('BM MORRO DA CRUZ - VERTICAL'!AN$6:AN$546,'BM MORRO DA CRUZ - VERTICAL'!$O$6:$O$546,'BM MORRO DA CRUZ'!$K222),0)</f>
        <v>0</v>
      </c>
      <c r="AK222" s="63">
        <f t="shared" si="171"/>
        <v>0</v>
      </c>
      <c r="AL222" s="61">
        <f>IFERROR(SUMIFS('BM MORRO DA CRUZ - VERTICAL'!AP$6:AP$546,'BM MORRO DA CRUZ - VERTICAL'!$O$6:$O$546,'BM MORRO DA CRUZ'!$K222),0)</f>
        <v>0</v>
      </c>
      <c r="AM222" s="63">
        <f t="shared" si="172"/>
        <v>0</v>
      </c>
      <c r="AN222" s="61">
        <f>IFERROR(SUMIFS('BM MORRO DA CRUZ - VERTICAL'!AR$6:AR$546,'BM MORRO DA CRUZ - VERTICAL'!$O$6:$O$546,'BM MORRO DA CRUZ'!$K222),0)</f>
        <v>0</v>
      </c>
      <c r="AO222" s="63">
        <f t="shared" si="173"/>
        <v>0</v>
      </c>
      <c r="AP222" s="61">
        <f>IFERROR(SUMIFS('BM MORRO DA CRUZ - VERTICAL'!AT$6:AT$546,'BM MORRO DA CRUZ - VERTICAL'!$O$6:$O$546,'BM MORRO DA CRUZ'!$K222),0)</f>
        <v>0</v>
      </c>
      <c r="AQ222" s="63">
        <f t="shared" si="174"/>
        <v>0</v>
      </c>
      <c r="AR222" s="61">
        <f>IFERROR(SUMIFS('BM MORRO DA CRUZ - VERTICAL'!AV$6:AV$546,'BM MORRO DA CRUZ - VERTICAL'!$O$6:$O$546,'BM MORRO DA CRUZ'!$K222),0)</f>
        <v>0</v>
      </c>
      <c r="AS222" s="63">
        <f t="shared" si="175"/>
        <v>0</v>
      </c>
      <c r="AT222" s="61">
        <f>IFERROR(SUMIFS('BM MORRO DA CRUZ - VERTICAL'!AX$6:AX$546,'BM MORRO DA CRUZ - VERTICAL'!$O$6:$O$546,'BM MORRO DA CRUZ'!$K222),0)</f>
        <v>0</v>
      </c>
      <c r="AU222" s="63">
        <f t="shared" si="176"/>
        <v>0</v>
      </c>
      <c r="AV222" s="61">
        <f>IFERROR(SUMIFS('BM MORRO DA CRUZ - VERTICAL'!AZ$6:AZ$546,'BM MORRO DA CRUZ - VERTICAL'!$O$6:$O$546,'BM MORRO DA CRUZ'!$K222),0)</f>
        <v>0</v>
      </c>
      <c r="AW222" s="63">
        <f t="shared" si="177"/>
        <v>0</v>
      </c>
      <c r="AX222" s="61">
        <f>IFERROR(SUMIFS('BM MORRO DA CRUZ - VERTICAL'!BB$6:BB$546,'BM MORRO DA CRUZ - VERTICAL'!$O$6:$O$546,'BM MORRO DA CRUZ'!$K222),0)</f>
        <v>0</v>
      </c>
      <c r="AY222" s="63">
        <f t="shared" si="178"/>
        <v>0</v>
      </c>
      <c r="AZ222" s="61">
        <f>IFERROR(SUMIFS('BM MORRO DA CRUZ - VERTICAL'!BD$6:BD$546,'BM MORRO DA CRUZ - VERTICAL'!$O$6:$O$546,'BM MORRO DA CRUZ'!$K222),0)</f>
        <v>0</v>
      </c>
      <c r="BA222" s="63">
        <f t="shared" si="179"/>
        <v>0</v>
      </c>
      <c r="BB222" s="61">
        <f t="shared" si="180"/>
        <v>0</v>
      </c>
      <c r="BC222" s="63">
        <f t="shared" si="181"/>
        <v>0</v>
      </c>
      <c r="BD222" s="64">
        <f t="shared" si="182"/>
        <v>0</v>
      </c>
      <c r="BE222" s="65">
        <f t="shared" si="183"/>
        <v>1</v>
      </c>
      <c r="BF222" s="45"/>
    </row>
    <row r="223" spans="1:58" ht="26" customHeight="1" x14ac:dyDescent="0.45">
      <c r="A223" s="56" t="s">
        <v>875</v>
      </c>
      <c r="B223" s="506" t="s">
        <v>1735</v>
      </c>
      <c r="C223" s="507" t="s">
        <v>39</v>
      </c>
      <c r="D223" s="507" t="s">
        <v>39</v>
      </c>
      <c r="E223" s="507" t="s">
        <v>1383</v>
      </c>
      <c r="F223" s="507" t="s">
        <v>39</v>
      </c>
      <c r="G223" s="507" t="s">
        <v>39</v>
      </c>
      <c r="H223" s="508" t="s">
        <v>783</v>
      </c>
      <c r="I223" s="507" t="s">
        <v>1736</v>
      </c>
      <c r="J223" s="508" t="s">
        <v>1383</v>
      </c>
      <c r="K223" s="57" t="s">
        <v>876</v>
      </c>
      <c r="L223" s="58" t="s">
        <v>846</v>
      </c>
      <c r="M223" s="59" t="s">
        <v>877</v>
      </c>
      <c r="N223" s="60" t="s">
        <v>367</v>
      </c>
      <c r="O223" s="61">
        <v>384.44</v>
      </c>
      <c r="P223" s="62">
        <v>66.77</v>
      </c>
      <c r="Q223" s="63">
        <f t="shared" si="161"/>
        <v>25669.06</v>
      </c>
      <c r="R223" s="61">
        <f>IFERROR(SUMIFS('BM MORRO DA CRUZ - VERTICAL'!V$6:V$546,'BM MORRO DA CRUZ - VERTICAL'!$O$6:$O$546,'BM MORRO DA CRUZ'!$K223),0)</f>
        <v>0</v>
      </c>
      <c r="S223" s="63">
        <f t="shared" si="162"/>
        <v>0</v>
      </c>
      <c r="T223" s="61">
        <f>IFERROR(SUMIFS('BM MORRO DA CRUZ - VERTICAL'!X$6:X$546,'BM MORRO DA CRUZ - VERTICAL'!$O$6:$O$546,'BM MORRO DA CRUZ'!$K223),0)</f>
        <v>0</v>
      </c>
      <c r="U223" s="63">
        <f t="shared" si="163"/>
        <v>0</v>
      </c>
      <c r="V223" s="61">
        <f>IFERROR(SUMIFS('BM MORRO DA CRUZ - VERTICAL'!Z$6:Z$546,'BM MORRO DA CRUZ - VERTICAL'!$O$6:$O$546,'BM MORRO DA CRUZ'!$K223),0)</f>
        <v>0</v>
      </c>
      <c r="W223" s="63">
        <f t="shared" si="164"/>
        <v>0</v>
      </c>
      <c r="X223" s="61">
        <f>IFERROR(SUMIFS('BM MORRO DA CRUZ - VERTICAL'!AB$6:AB$546,'BM MORRO DA CRUZ - VERTICAL'!$O$6:$O$546,'BM MORRO DA CRUZ'!$K223),0)</f>
        <v>0</v>
      </c>
      <c r="Y223" s="63">
        <f t="shared" si="165"/>
        <v>0</v>
      </c>
      <c r="Z223" s="61">
        <f>IFERROR(SUMIFS('BM MORRO DA CRUZ - VERTICAL'!AD$6:AD$546,'BM MORRO DA CRUZ - VERTICAL'!$O$6:$O$546,'BM MORRO DA CRUZ'!$K223),0)</f>
        <v>0</v>
      </c>
      <c r="AA223" s="63">
        <f t="shared" si="166"/>
        <v>0</v>
      </c>
      <c r="AB223" s="61">
        <f>IFERROR(SUMIFS('BM MORRO DA CRUZ - VERTICAL'!AF$6:AF$546,'BM MORRO DA CRUZ - VERTICAL'!$O$6:$O$546,'BM MORRO DA CRUZ'!$K223),0)</f>
        <v>0</v>
      </c>
      <c r="AC223" s="63">
        <f t="shared" si="167"/>
        <v>0</v>
      </c>
      <c r="AD223" s="61">
        <f>IFERROR(SUMIFS('BM MORRO DA CRUZ - VERTICAL'!AH$6:AH$546,'BM MORRO DA CRUZ - VERTICAL'!$O$6:$O$546,'BM MORRO DA CRUZ'!$K223),0)</f>
        <v>0</v>
      </c>
      <c r="AE223" s="63">
        <f t="shared" si="168"/>
        <v>0</v>
      </c>
      <c r="AF223" s="61">
        <f>IFERROR(SUMIFS('BM MORRO DA CRUZ - VERTICAL'!AJ$6:AJ$546,'BM MORRO DA CRUZ - VERTICAL'!$O$6:$O$546,'BM MORRO DA CRUZ'!$K223),0)</f>
        <v>0</v>
      </c>
      <c r="AG223" s="63">
        <f t="shared" si="169"/>
        <v>0</v>
      </c>
      <c r="AH223" s="61">
        <f>IFERROR(SUMIFS('BM MORRO DA CRUZ - VERTICAL'!AL$6:AL$546,'BM MORRO DA CRUZ - VERTICAL'!$O$6:$O$546,'BM MORRO DA CRUZ'!$K223),0)</f>
        <v>0</v>
      </c>
      <c r="AI223" s="63">
        <f t="shared" si="170"/>
        <v>0</v>
      </c>
      <c r="AJ223" s="61">
        <f>IFERROR(SUMIFS('BM MORRO DA CRUZ - VERTICAL'!AN$6:AN$546,'BM MORRO DA CRUZ - VERTICAL'!$O$6:$O$546,'BM MORRO DA CRUZ'!$K223),0)</f>
        <v>0</v>
      </c>
      <c r="AK223" s="63">
        <f t="shared" si="171"/>
        <v>0</v>
      </c>
      <c r="AL223" s="61">
        <f>IFERROR(SUMIFS('BM MORRO DA CRUZ - VERTICAL'!AP$6:AP$546,'BM MORRO DA CRUZ - VERTICAL'!$O$6:$O$546,'BM MORRO DA CRUZ'!$K223),0)</f>
        <v>0</v>
      </c>
      <c r="AM223" s="63">
        <f t="shared" si="172"/>
        <v>0</v>
      </c>
      <c r="AN223" s="61">
        <f>IFERROR(SUMIFS('BM MORRO DA CRUZ - VERTICAL'!AR$6:AR$546,'BM MORRO DA CRUZ - VERTICAL'!$O$6:$O$546,'BM MORRO DA CRUZ'!$K223),0)</f>
        <v>0</v>
      </c>
      <c r="AO223" s="63">
        <f t="shared" si="173"/>
        <v>0</v>
      </c>
      <c r="AP223" s="61">
        <f>IFERROR(SUMIFS('BM MORRO DA CRUZ - VERTICAL'!AT$6:AT$546,'BM MORRO DA CRUZ - VERTICAL'!$O$6:$O$546,'BM MORRO DA CRUZ'!$K223),0)</f>
        <v>0</v>
      </c>
      <c r="AQ223" s="63">
        <f t="shared" si="174"/>
        <v>0</v>
      </c>
      <c r="AR223" s="61">
        <f>IFERROR(SUMIFS('BM MORRO DA CRUZ - VERTICAL'!AV$6:AV$546,'BM MORRO DA CRUZ - VERTICAL'!$O$6:$O$546,'BM MORRO DA CRUZ'!$K223),0)</f>
        <v>0</v>
      </c>
      <c r="AS223" s="63">
        <f t="shared" si="175"/>
        <v>0</v>
      </c>
      <c r="AT223" s="61">
        <f>IFERROR(SUMIFS('BM MORRO DA CRUZ - VERTICAL'!AX$6:AX$546,'BM MORRO DA CRUZ - VERTICAL'!$O$6:$O$546,'BM MORRO DA CRUZ'!$K223),0)</f>
        <v>0</v>
      </c>
      <c r="AU223" s="63">
        <f t="shared" si="176"/>
        <v>0</v>
      </c>
      <c r="AV223" s="61">
        <f>IFERROR(SUMIFS('BM MORRO DA CRUZ - VERTICAL'!AZ$6:AZ$546,'BM MORRO DA CRUZ - VERTICAL'!$O$6:$O$546,'BM MORRO DA CRUZ'!$K223),0)</f>
        <v>0</v>
      </c>
      <c r="AW223" s="63">
        <f t="shared" si="177"/>
        <v>0</v>
      </c>
      <c r="AX223" s="61">
        <f>IFERROR(SUMIFS('BM MORRO DA CRUZ - VERTICAL'!BB$6:BB$546,'BM MORRO DA CRUZ - VERTICAL'!$O$6:$O$546,'BM MORRO DA CRUZ'!$K223),0)</f>
        <v>0</v>
      </c>
      <c r="AY223" s="63">
        <f t="shared" si="178"/>
        <v>0</v>
      </c>
      <c r="AZ223" s="61">
        <f>IFERROR(SUMIFS('BM MORRO DA CRUZ - VERTICAL'!BD$6:BD$546,'BM MORRO DA CRUZ - VERTICAL'!$O$6:$O$546,'BM MORRO DA CRUZ'!$K223),0)</f>
        <v>0</v>
      </c>
      <c r="BA223" s="63">
        <f t="shared" si="179"/>
        <v>0</v>
      </c>
      <c r="BB223" s="61">
        <f t="shared" si="180"/>
        <v>0</v>
      </c>
      <c r="BC223" s="63">
        <f t="shared" si="181"/>
        <v>0</v>
      </c>
      <c r="BD223" s="64">
        <f t="shared" si="182"/>
        <v>0</v>
      </c>
      <c r="BE223" s="65">
        <f t="shared" si="183"/>
        <v>1</v>
      </c>
      <c r="BF223" s="45"/>
    </row>
    <row r="224" spans="1:58" ht="26" customHeight="1" x14ac:dyDescent="0.45">
      <c r="A224" s="56" t="s">
        <v>878</v>
      </c>
      <c r="B224" s="506" t="s">
        <v>880</v>
      </c>
      <c r="C224" s="507" t="s">
        <v>39</v>
      </c>
      <c r="D224" s="507" t="s">
        <v>39</v>
      </c>
      <c r="E224" s="507" t="s">
        <v>1383</v>
      </c>
      <c r="F224" s="507" t="s">
        <v>39</v>
      </c>
      <c r="G224" s="507" t="s">
        <v>39</v>
      </c>
      <c r="H224" s="508" t="s">
        <v>39</v>
      </c>
      <c r="I224" s="507" t="s">
        <v>763</v>
      </c>
      <c r="J224" s="508" t="s">
        <v>1383</v>
      </c>
      <c r="K224" s="57" t="s">
        <v>879</v>
      </c>
      <c r="L224" s="58" t="s">
        <v>846</v>
      </c>
      <c r="M224" s="59" t="s">
        <v>880</v>
      </c>
      <c r="N224" s="60" t="s">
        <v>367</v>
      </c>
      <c r="O224" s="61">
        <v>111219.2</v>
      </c>
      <c r="P224" s="62">
        <v>1.5</v>
      </c>
      <c r="Q224" s="63">
        <f t="shared" si="161"/>
        <v>166828.79999999999</v>
      </c>
      <c r="R224" s="61">
        <f>IFERROR(SUMIFS('BM MORRO DA CRUZ - VERTICAL'!V$6:V$546,'BM MORRO DA CRUZ - VERTICAL'!$O$6:$O$546,'BM MORRO DA CRUZ'!$K224),0)</f>
        <v>0</v>
      </c>
      <c r="S224" s="63">
        <f t="shared" si="162"/>
        <v>0</v>
      </c>
      <c r="T224" s="61">
        <f>IFERROR(SUMIFS('BM MORRO DA CRUZ - VERTICAL'!X$6:X$546,'BM MORRO DA CRUZ - VERTICAL'!$O$6:$O$546,'BM MORRO DA CRUZ'!$K224),0)</f>
        <v>0</v>
      </c>
      <c r="U224" s="63">
        <f t="shared" si="163"/>
        <v>0</v>
      </c>
      <c r="V224" s="61">
        <f>IFERROR(SUMIFS('BM MORRO DA CRUZ - VERTICAL'!Z$6:Z$546,'BM MORRO DA CRUZ - VERTICAL'!$O$6:$O$546,'BM MORRO DA CRUZ'!$K224),0)</f>
        <v>0</v>
      </c>
      <c r="W224" s="63">
        <f t="shared" si="164"/>
        <v>0</v>
      </c>
      <c r="X224" s="61">
        <f>IFERROR(SUMIFS('BM MORRO DA CRUZ - VERTICAL'!AB$6:AB$546,'BM MORRO DA CRUZ - VERTICAL'!$O$6:$O$546,'BM MORRO DA CRUZ'!$K224),0)</f>
        <v>0</v>
      </c>
      <c r="Y224" s="63">
        <f t="shared" si="165"/>
        <v>0</v>
      </c>
      <c r="Z224" s="61">
        <f>IFERROR(SUMIFS('BM MORRO DA CRUZ - VERTICAL'!AD$6:AD$546,'BM MORRO DA CRUZ - VERTICAL'!$O$6:$O$546,'BM MORRO DA CRUZ'!$K224),0)</f>
        <v>0</v>
      </c>
      <c r="AA224" s="63">
        <f t="shared" si="166"/>
        <v>0</v>
      </c>
      <c r="AB224" s="61">
        <f>IFERROR(SUMIFS('BM MORRO DA CRUZ - VERTICAL'!AF$6:AF$546,'BM MORRO DA CRUZ - VERTICAL'!$O$6:$O$546,'BM MORRO DA CRUZ'!$K224),0)</f>
        <v>0</v>
      </c>
      <c r="AC224" s="63">
        <f t="shared" si="167"/>
        <v>0</v>
      </c>
      <c r="AD224" s="61">
        <f>IFERROR(SUMIFS('BM MORRO DA CRUZ - VERTICAL'!AH$6:AH$546,'BM MORRO DA CRUZ - VERTICAL'!$O$6:$O$546,'BM MORRO DA CRUZ'!$K224),0)</f>
        <v>0</v>
      </c>
      <c r="AE224" s="63">
        <f t="shared" si="168"/>
        <v>0</v>
      </c>
      <c r="AF224" s="61">
        <f>IFERROR(SUMIFS('BM MORRO DA CRUZ - VERTICAL'!AJ$6:AJ$546,'BM MORRO DA CRUZ - VERTICAL'!$O$6:$O$546,'BM MORRO DA CRUZ'!$K224),0)</f>
        <v>0</v>
      </c>
      <c r="AG224" s="63">
        <f t="shared" si="169"/>
        <v>0</v>
      </c>
      <c r="AH224" s="61">
        <f>IFERROR(SUMIFS('BM MORRO DA CRUZ - VERTICAL'!AL$6:AL$546,'BM MORRO DA CRUZ - VERTICAL'!$O$6:$O$546,'BM MORRO DA CRUZ'!$K224),0)</f>
        <v>0</v>
      </c>
      <c r="AI224" s="63">
        <f t="shared" si="170"/>
        <v>0</v>
      </c>
      <c r="AJ224" s="61">
        <f>IFERROR(SUMIFS('BM MORRO DA CRUZ - VERTICAL'!AN$6:AN$546,'BM MORRO DA CRUZ - VERTICAL'!$O$6:$O$546,'BM MORRO DA CRUZ'!$K224),0)</f>
        <v>0</v>
      </c>
      <c r="AK224" s="63">
        <f t="shared" si="171"/>
        <v>0</v>
      </c>
      <c r="AL224" s="61">
        <f>IFERROR(SUMIFS('BM MORRO DA CRUZ - VERTICAL'!AP$6:AP$546,'BM MORRO DA CRUZ - VERTICAL'!$O$6:$O$546,'BM MORRO DA CRUZ'!$K224),0)</f>
        <v>0</v>
      </c>
      <c r="AM224" s="63">
        <f t="shared" si="172"/>
        <v>0</v>
      </c>
      <c r="AN224" s="61">
        <f>IFERROR(SUMIFS('BM MORRO DA CRUZ - VERTICAL'!AR$6:AR$546,'BM MORRO DA CRUZ - VERTICAL'!$O$6:$O$546,'BM MORRO DA CRUZ'!$K224),0)</f>
        <v>0</v>
      </c>
      <c r="AO224" s="63">
        <f t="shared" si="173"/>
        <v>0</v>
      </c>
      <c r="AP224" s="61">
        <f>IFERROR(SUMIFS('BM MORRO DA CRUZ - VERTICAL'!AT$6:AT$546,'BM MORRO DA CRUZ - VERTICAL'!$O$6:$O$546,'BM MORRO DA CRUZ'!$K224),0)</f>
        <v>0</v>
      </c>
      <c r="AQ224" s="63">
        <f t="shared" si="174"/>
        <v>0</v>
      </c>
      <c r="AR224" s="61">
        <f>IFERROR(SUMIFS('BM MORRO DA CRUZ - VERTICAL'!AV$6:AV$546,'BM MORRO DA CRUZ - VERTICAL'!$O$6:$O$546,'BM MORRO DA CRUZ'!$K224),0)</f>
        <v>0</v>
      </c>
      <c r="AS224" s="63">
        <f t="shared" si="175"/>
        <v>0</v>
      </c>
      <c r="AT224" s="61">
        <f>IFERROR(SUMIFS('BM MORRO DA CRUZ - VERTICAL'!AX$6:AX$546,'BM MORRO DA CRUZ - VERTICAL'!$O$6:$O$546,'BM MORRO DA CRUZ'!$K224),0)</f>
        <v>0</v>
      </c>
      <c r="AU224" s="63">
        <f t="shared" si="176"/>
        <v>0</v>
      </c>
      <c r="AV224" s="61">
        <f>IFERROR(SUMIFS('BM MORRO DA CRUZ - VERTICAL'!AZ$6:AZ$546,'BM MORRO DA CRUZ - VERTICAL'!$O$6:$O$546,'BM MORRO DA CRUZ'!$K224),0)</f>
        <v>0</v>
      </c>
      <c r="AW224" s="63">
        <f t="shared" si="177"/>
        <v>0</v>
      </c>
      <c r="AX224" s="61">
        <f>IFERROR(SUMIFS('BM MORRO DA CRUZ - VERTICAL'!BB$6:BB$546,'BM MORRO DA CRUZ - VERTICAL'!$O$6:$O$546,'BM MORRO DA CRUZ'!$K224),0)</f>
        <v>0</v>
      </c>
      <c r="AY224" s="63">
        <f t="shared" si="178"/>
        <v>0</v>
      </c>
      <c r="AZ224" s="61">
        <f>IFERROR(SUMIFS('BM MORRO DA CRUZ - VERTICAL'!BD$6:BD$546,'BM MORRO DA CRUZ - VERTICAL'!$O$6:$O$546,'BM MORRO DA CRUZ'!$K224),0)</f>
        <v>0</v>
      </c>
      <c r="BA224" s="63">
        <f t="shared" si="179"/>
        <v>0</v>
      </c>
      <c r="BB224" s="61">
        <f t="shared" si="180"/>
        <v>0</v>
      </c>
      <c r="BC224" s="63">
        <f t="shared" si="181"/>
        <v>0</v>
      </c>
      <c r="BD224" s="64">
        <f t="shared" si="182"/>
        <v>0</v>
      </c>
      <c r="BE224" s="65">
        <f t="shared" si="183"/>
        <v>1</v>
      </c>
      <c r="BF224" s="45"/>
    </row>
    <row r="225" spans="1:58" ht="19.5" customHeight="1" x14ac:dyDescent="0.45">
      <c r="A225" s="46" t="s">
        <v>881</v>
      </c>
      <c r="B225" s="503"/>
      <c r="C225" s="504"/>
      <c r="D225" s="504"/>
      <c r="E225" s="504"/>
      <c r="F225" s="504"/>
      <c r="G225" s="504"/>
      <c r="H225" s="505" t="s">
        <v>1718</v>
      </c>
      <c r="I225" s="504"/>
      <c r="J225" s="505" t="s">
        <v>1718</v>
      </c>
      <c r="K225" s="47" t="s">
        <v>882</v>
      </c>
      <c r="L225" s="48"/>
      <c r="M225" s="49" t="s">
        <v>883</v>
      </c>
      <c r="N225" s="50"/>
      <c r="O225" s="51"/>
      <c r="P225" s="52"/>
      <c r="Q225" s="53">
        <f>SUM(Q226:Q227)</f>
        <v>855122.30999999994</v>
      </c>
      <c r="R225" s="51"/>
      <c r="S225" s="53">
        <f>SUM(S226:S227)</f>
        <v>0</v>
      </c>
      <c r="T225" s="51"/>
      <c r="U225" s="53">
        <f>SUM(U226:U227)</f>
        <v>0</v>
      </c>
      <c r="V225" s="51"/>
      <c r="W225" s="53">
        <f>SUM(W226:W227)</f>
        <v>0</v>
      </c>
      <c r="X225" s="51"/>
      <c r="Y225" s="53">
        <f>SUM(Y226:Y227)</f>
        <v>0</v>
      </c>
      <c r="Z225" s="51"/>
      <c r="AA225" s="53">
        <f>SUM(AA226:AA227)</f>
        <v>0</v>
      </c>
      <c r="AB225" s="51"/>
      <c r="AC225" s="53">
        <f>SUM(AC226:AC227)</f>
        <v>0</v>
      </c>
      <c r="AD225" s="51"/>
      <c r="AE225" s="53">
        <f>SUM(AE226:AE227)</f>
        <v>0</v>
      </c>
      <c r="AF225" s="51"/>
      <c r="AG225" s="53">
        <f>SUM(AG226:AG227)</f>
        <v>0</v>
      </c>
      <c r="AH225" s="51"/>
      <c r="AI225" s="53">
        <f>SUM(AI226:AI227)</f>
        <v>0</v>
      </c>
      <c r="AJ225" s="51"/>
      <c r="AK225" s="53">
        <f>SUM(AK226:AK227)</f>
        <v>0</v>
      </c>
      <c r="AL225" s="51"/>
      <c r="AM225" s="53">
        <f>SUM(AM226:AM227)</f>
        <v>0</v>
      </c>
      <c r="AN225" s="51"/>
      <c r="AO225" s="53">
        <f>SUM(AO226:AO227)</f>
        <v>0</v>
      </c>
      <c r="AP225" s="51"/>
      <c r="AQ225" s="53">
        <f>SUM(AQ226:AQ227)</f>
        <v>0</v>
      </c>
      <c r="AR225" s="51"/>
      <c r="AS225" s="53">
        <f>SUM(AS226:AS227)</f>
        <v>0</v>
      </c>
      <c r="AT225" s="51"/>
      <c r="AU225" s="53">
        <f>SUM(AU226:AU227)</f>
        <v>0</v>
      </c>
      <c r="AV225" s="51"/>
      <c r="AW225" s="53">
        <f>SUM(AW226:AW227)</f>
        <v>0</v>
      </c>
      <c r="AX225" s="51"/>
      <c r="AY225" s="53">
        <f>SUM(AY226:AY227)</f>
        <v>0</v>
      </c>
      <c r="AZ225" s="51"/>
      <c r="BA225" s="53">
        <f>SUM(BA226:BA227)</f>
        <v>0</v>
      </c>
      <c r="BB225" s="51"/>
      <c r="BC225" s="53">
        <f>SUM(BC226:BC227)</f>
        <v>0</v>
      </c>
      <c r="BD225" s="54"/>
      <c r="BE225" s="55"/>
      <c r="BF225" s="45"/>
    </row>
    <row r="226" spans="1:58" ht="26" customHeight="1" x14ac:dyDescent="0.45">
      <c r="A226" s="56" t="s">
        <v>884</v>
      </c>
      <c r="B226" s="506" t="s">
        <v>1737</v>
      </c>
      <c r="C226" s="507" t="s">
        <v>39</v>
      </c>
      <c r="D226" s="507" t="s">
        <v>39</v>
      </c>
      <c r="E226" s="507" t="s">
        <v>1738</v>
      </c>
      <c r="F226" s="507" t="s">
        <v>39</v>
      </c>
      <c r="G226" s="507" t="s">
        <v>39</v>
      </c>
      <c r="H226" s="508" t="s">
        <v>78</v>
      </c>
      <c r="I226" s="507" t="s">
        <v>1739</v>
      </c>
      <c r="J226" s="508" t="s">
        <v>1738</v>
      </c>
      <c r="K226" s="57" t="s">
        <v>885</v>
      </c>
      <c r="L226" s="58" t="s">
        <v>846</v>
      </c>
      <c r="M226" s="59" t="s">
        <v>886</v>
      </c>
      <c r="N226" s="60" t="s">
        <v>755</v>
      </c>
      <c r="O226" s="61">
        <v>29.65</v>
      </c>
      <c r="P226" s="62">
        <v>222.55</v>
      </c>
      <c r="Q226" s="63">
        <f>ROUND(P226*$O226,2)</f>
        <v>6598.61</v>
      </c>
      <c r="R226" s="61">
        <f>IFERROR(SUMIFS('BM MORRO DA CRUZ - VERTICAL'!V$6:V$546,'BM MORRO DA CRUZ - VERTICAL'!$O$6:$O$546,'BM MORRO DA CRUZ'!$K226),0)</f>
        <v>0</v>
      </c>
      <c r="S226" s="63">
        <f>ROUND(R226*$P226,2)</f>
        <v>0</v>
      </c>
      <c r="T226" s="61">
        <f>IFERROR(SUMIFS('BM MORRO DA CRUZ - VERTICAL'!X$6:X$546,'BM MORRO DA CRUZ - VERTICAL'!$O$6:$O$546,'BM MORRO DA CRUZ'!$K226),0)</f>
        <v>0</v>
      </c>
      <c r="U226" s="63">
        <f>ROUND(T226*$P226,2)</f>
        <v>0</v>
      </c>
      <c r="V226" s="61">
        <f>IFERROR(SUMIFS('BM MORRO DA CRUZ - VERTICAL'!Z$6:Z$546,'BM MORRO DA CRUZ - VERTICAL'!$O$6:$O$546,'BM MORRO DA CRUZ'!$K226),0)</f>
        <v>0</v>
      </c>
      <c r="W226" s="63">
        <f>ROUND(V226*$P226,2)</f>
        <v>0</v>
      </c>
      <c r="X226" s="61">
        <f>IFERROR(SUMIFS('BM MORRO DA CRUZ - VERTICAL'!AB$6:AB$546,'BM MORRO DA CRUZ - VERTICAL'!$O$6:$O$546,'BM MORRO DA CRUZ'!$K226),0)</f>
        <v>0</v>
      </c>
      <c r="Y226" s="63">
        <f>ROUND(X226*$P226,2)</f>
        <v>0</v>
      </c>
      <c r="Z226" s="61">
        <f>IFERROR(SUMIFS('BM MORRO DA CRUZ - VERTICAL'!AD$6:AD$546,'BM MORRO DA CRUZ - VERTICAL'!$O$6:$O$546,'BM MORRO DA CRUZ'!$K226),0)</f>
        <v>0</v>
      </c>
      <c r="AA226" s="63">
        <f>ROUND(Z226*$P226,2)</f>
        <v>0</v>
      </c>
      <c r="AB226" s="61">
        <f>IFERROR(SUMIFS('BM MORRO DA CRUZ - VERTICAL'!AF$6:AF$546,'BM MORRO DA CRUZ - VERTICAL'!$O$6:$O$546,'BM MORRO DA CRUZ'!$K226),0)</f>
        <v>0</v>
      </c>
      <c r="AC226" s="63">
        <f>ROUND(AB226*$P226,2)</f>
        <v>0</v>
      </c>
      <c r="AD226" s="61">
        <f>IFERROR(SUMIFS('BM MORRO DA CRUZ - VERTICAL'!AH$6:AH$546,'BM MORRO DA CRUZ - VERTICAL'!$O$6:$O$546,'BM MORRO DA CRUZ'!$K226),0)</f>
        <v>0</v>
      </c>
      <c r="AE226" s="63">
        <f>ROUND(AD226*$P226,2)</f>
        <v>0</v>
      </c>
      <c r="AF226" s="61">
        <f>IFERROR(SUMIFS('BM MORRO DA CRUZ - VERTICAL'!AJ$6:AJ$546,'BM MORRO DA CRUZ - VERTICAL'!$O$6:$O$546,'BM MORRO DA CRUZ'!$K226),0)</f>
        <v>0</v>
      </c>
      <c r="AG226" s="63">
        <f>ROUND(AF226*$P226,2)</f>
        <v>0</v>
      </c>
      <c r="AH226" s="61">
        <f>IFERROR(SUMIFS('BM MORRO DA CRUZ - VERTICAL'!AL$6:AL$546,'BM MORRO DA CRUZ - VERTICAL'!$O$6:$O$546,'BM MORRO DA CRUZ'!$K226),0)</f>
        <v>0</v>
      </c>
      <c r="AI226" s="63">
        <f>ROUND(AH226*$P226,2)</f>
        <v>0</v>
      </c>
      <c r="AJ226" s="61">
        <f>IFERROR(SUMIFS('BM MORRO DA CRUZ - VERTICAL'!AN$6:AN$546,'BM MORRO DA CRUZ - VERTICAL'!$O$6:$O$546,'BM MORRO DA CRUZ'!$K226),0)</f>
        <v>0</v>
      </c>
      <c r="AK226" s="63">
        <f>ROUND(AJ226*$P226,2)</f>
        <v>0</v>
      </c>
      <c r="AL226" s="61">
        <f>IFERROR(SUMIFS('BM MORRO DA CRUZ - VERTICAL'!AP$6:AP$546,'BM MORRO DA CRUZ - VERTICAL'!$O$6:$O$546,'BM MORRO DA CRUZ'!$K226),0)</f>
        <v>0</v>
      </c>
      <c r="AM226" s="63">
        <f>ROUND(AL226*$P226,2)</f>
        <v>0</v>
      </c>
      <c r="AN226" s="61">
        <f>IFERROR(SUMIFS('BM MORRO DA CRUZ - VERTICAL'!AR$6:AR$546,'BM MORRO DA CRUZ - VERTICAL'!$O$6:$O$546,'BM MORRO DA CRUZ'!$K226),0)</f>
        <v>0</v>
      </c>
      <c r="AO226" s="63">
        <f>ROUND(AN226*$P226,2)</f>
        <v>0</v>
      </c>
      <c r="AP226" s="61">
        <f>IFERROR(SUMIFS('BM MORRO DA CRUZ - VERTICAL'!AT$6:AT$546,'BM MORRO DA CRUZ - VERTICAL'!$O$6:$O$546,'BM MORRO DA CRUZ'!$K226),0)</f>
        <v>0</v>
      </c>
      <c r="AQ226" s="63">
        <f>ROUND(AP226*$P226,2)</f>
        <v>0</v>
      </c>
      <c r="AR226" s="61">
        <f>IFERROR(SUMIFS('BM MORRO DA CRUZ - VERTICAL'!AV$6:AV$546,'BM MORRO DA CRUZ - VERTICAL'!$O$6:$O$546,'BM MORRO DA CRUZ'!$K226),0)</f>
        <v>0</v>
      </c>
      <c r="AS226" s="63">
        <f>ROUND(AR226*$P226,2)</f>
        <v>0</v>
      </c>
      <c r="AT226" s="61">
        <f>IFERROR(SUMIFS('BM MORRO DA CRUZ - VERTICAL'!AX$6:AX$546,'BM MORRO DA CRUZ - VERTICAL'!$O$6:$O$546,'BM MORRO DA CRUZ'!$K226),0)</f>
        <v>0</v>
      </c>
      <c r="AU226" s="63">
        <f>ROUND(AT226*$P226,2)</f>
        <v>0</v>
      </c>
      <c r="AV226" s="61">
        <f>IFERROR(SUMIFS('BM MORRO DA CRUZ - VERTICAL'!AZ$6:AZ$546,'BM MORRO DA CRUZ - VERTICAL'!$O$6:$O$546,'BM MORRO DA CRUZ'!$K226),0)</f>
        <v>0</v>
      </c>
      <c r="AW226" s="63">
        <f>ROUND(AV226*$P226,2)</f>
        <v>0</v>
      </c>
      <c r="AX226" s="61">
        <f>IFERROR(SUMIFS('BM MORRO DA CRUZ - VERTICAL'!BB$6:BB$546,'BM MORRO DA CRUZ - VERTICAL'!$O$6:$O$546,'BM MORRO DA CRUZ'!$K226),0)</f>
        <v>0</v>
      </c>
      <c r="AY226" s="63">
        <f>ROUND(AX226*$P226,2)</f>
        <v>0</v>
      </c>
      <c r="AZ226" s="61">
        <f>IFERROR(SUMIFS('BM MORRO DA CRUZ - VERTICAL'!BD$6:BD$546,'BM MORRO DA CRUZ - VERTICAL'!$O$6:$O$546,'BM MORRO DA CRUZ'!$K226),0)</f>
        <v>0</v>
      </c>
      <c r="BA226" s="63">
        <f>ROUND(AZ226*$P226,2)</f>
        <v>0</v>
      </c>
      <c r="BB226" s="61">
        <f>IFERROR(SUMIFS($R226:$BA226,$R$5:$BA$5,$BB$5),0)</f>
        <v>0</v>
      </c>
      <c r="BC226" s="63">
        <f>SUMIFS($R226:$BA226,$R$5:$BA$5,$S$5)</f>
        <v>0</v>
      </c>
      <c r="BD226" s="64">
        <f>IFERROR(BB226/O226,0)</f>
        <v>0</v>
      </c>
      <c r="BE226" s="65">
        <f>IFERROR((O226-BB226)/O226,0)</f>
        <v>1</v>
      </c>
      <c r="BF226" s="45"/>
    </row>
    <row r="227" spans="1:58" ht="47.25" x14ac:dyDescent="0.45">
      <c r="A227" s="56" t="s">
        <v>887</v>
      </c>
      <c r="B227" s="506" t="s">
        <v>1740</v>
      </c>
      <c r="C227" s="507" t="s">
        <v>39</v>
      </c>
      <c r="D227" s="507" t="s">
        <v>39</v>
      </c>
      <c r="E227" s="507" t="s">
        <v>1741</v>
      </c>
      <c r="F227" s="507" t="s">
        <v>39</v>
      </c>
      <c r="G227" s="507" t="s">
        <v>39</v>
      </c>
      <c r="H227" s="508" t="s">
        <v>783</v>
      </c>
      <c r="I227" s="507" t="s">
        <v>1742</v>
      </c>
      <c r="J227" s="508" t="s">
        <v>1726</v>
      </c>
      <c r="K227" s="57" t="s">
        <v>888</v>
      </c>
      <c r="L227" s="58" t="s">
        <v>846</v>
      </c>
      <c r="M227" s="59" t="s">
        <v>889</v>
      </c>
      <c r="N227" s="60" t="s">
        <v>792</v>
      </c>
      <c r="O227" s="61">
        <v>27451.43</v>
      </c>
      <c r="P227" s="62">
        <v>30.91</v>
      </c>
      <c r="Q227" s="63">
        <f>ROUND(P227*$O227,2)</f>
        <v>848523.7</v>
      </c>
      <c r="R227" s="61">
        <f>IFERROR(SUMIFS('BM MORRO DA CRUZ - VERTICAL'!V$6:V$546,'BM MORRO DA CRUZ - VERTICAL'!$O$6:$O$546,'BM MORRO DA CRUZ'!$K227),0)</f>
        <v>0</v>
      </c>
      <c r="S227" s="63">
        <f>ROUND(R227*$P227,2)</f>
        <v>0</v>
      </c>
      <c r="T227" s="61">
        <f>IFERROR(SUMIFS('BM MORRO DA CRUZ - VERTICAL'!X$6:X$546,'BM MORRO DA CRUZ - VERTICAL'!$O$6:$O$546,'BM MORRO DA CRUZ'!$K227),0)</f>
        <v>0</v>
      </c>
      <c r="U227" s="63">
        <f>ROUND(T227*$P227,2)</f>
        <v>0</v>
      </c>
      <c r="V227" s="61">
        <f>IFERROR(SUMIFS('BM MORRO DA CRUZ - VERTICAL'!Z$6:Z$546,'BM MORRO DA CRUZ - VERTICAL'!$O$6:$O$546,'BM MORRO DA CRUZ'!$K227),0)</f>
        <v>0</v>
      </c>
      <c r="W227" s="63">
        <f>ROUND(V227*$P227,2)</f>
        <v>0</v>
      </c>
      <c r="X227" s="61">
        <f>IFERROR(SUMIFS('BM MORRO DA CRUZ - VERTICAL'!AB$6:AB$546,'BM MORRO DA CRUZ - VERTICAL'!$O$6:$O$546,'BM MORRO DA CRUZ'!$K227),0)</f>
        <v>0</v>
      </c>
      <c r="Y227" s="63">
        <f>ROUND(X227*$P227,2)</f>
        <v>0</v>
      </c>
      <c r="Z227" s="61">
        <f>IFERROR(SUMIFS('BM MORRO DA CRUZ - VERTICAL'!AD$6:AD$546,'BM MORRO DA CRUZ - VERTICAL'!$O$6:$O$546,'BM MORRO DA CRUZ'!$K227),0)</f>
        <v>0</v>
      </c>
      <c r="AA227" s="63">
        <f>ROUND(Z227*$P227,2)</f>
        <v>0</v>
      </c>
      <c r="AB227" s="61">
        <f>IFERROR(SUMIFS('BM MORRO DA CRUZ - VERTICAL'!AF$6:AF$546,'BM MORRO DA CRUZ - VERTICAL'!$O$6:$O$546,'BM MORRO DA CRUZ'!$K227),0)</f>
        <v>0</v>
      </c>
      <c r="AC227" s="63">
        <f>ROUND(AB227*$P227,2)</f>
        <v>0</v>
      </c>
      <c r="AD227" s="61">
        <f>IFERROR(SUMIFS('BM MORRO DA CRUZ - VERTICAL'!AH$6:AH$546,'BM MORRO DA CRUZ - VERTICAL'!$O$6:$O$546,'BM MORRO DA CRUZ'!$K227),0)</f>
        <v>0</v>
      </c>
      <c r="AE227" s="63">
        <f>ROUND(AD227*$P227,2)</f>
        <v>0</v>
      </c>
      <c r="AF227" s="61">
        <f>IFERROR(SUMIFS('BM MORRO DA CRUZ - VERTICAL'!AJ$6:AJ$546,'BM MORRO DA CRUZ - VERTICAL'!$O$6:$O$546,'BM MORRO DA CRUZ'!$K227),0)</f>
        <v>0</v>
      </c>
      <c r="AG227" s="63">
        <f>ROUND(AF227*$P227,2)</f>
        <v>0</v>
      </c>
      <c r="AH227" s="61">
        <f>IFERROR(SUMIFS('BM MORRO DA CRUZ - VERTICAL'!AL$6:AL$546,'BM MORRO DA CRUZ - VERTICAL'!$O$6:$O$546,'BM MORRO DA CRUZ'!$K227),0)</f>
        <v>0</v>
      </c>
      <c r="AI227" s="63">
        <f>ROUND(AH227*$P227,2)</f>
        <v>0</v>
      </c>
      <c r="AJ227" s="61">
        <f>IFERROR(SUMIFS('BM MORRO DA CRUZ - VERTICAL'!AN$6:AN$546,'BM MORRO DA CRUZ - VERTICAL'!$O$6:$O$546,'BM MORRO DA CRUZ'!$K227),0)</f>
        <v>0</v>
      </c>
      <c r="AK227" s="63">
        <f>ROUND(AJ227*$P227,2)</f>
        <v>0</v>
      </c>
      <c r="AL227" s="61">
        <f>IFERROR(SUMIFS('BM MORRO DA CRUZ - VERTICAL'!AP$6:AP$546,'BM MORRO DA CRUZ - VERTICAL'!$O$6:$O$546,'BM MORRO DA CRUZ'!$K227),0)</f>
        <v>0</v>
      </c>
      <c r="AM227" s="63">
        <f>ROUND(AL227*$P227,2)</f>
        <v>0</v>
      </c>
      <c r="AN227" s="61">
        <f>IFERROR(SUMIFS('BM MORRO DA CRUZ - VERTICAL'!AR$6:AR$546,'BM MORRO DA CRUZ - VERTICAL'!$O$6:$O$546,'BM MORRO DA CRUZ'!$K227),0)</f>
        <v>0</v>
      </c>
      <c r="AO227" s="63">
        <f>ROUND(AN227*$P227,2)</f>
        <v>0</v>
      </c>
      <c r="AP227" s="61">
        <f>IFERROR(SUMIFS('BM MORRO DA CRUZ - VERTICAL'!AT$6:AT$546,'BM MORRO DA CRUZ - VERTICAL'!$O$6:$O$546,'BM MORRO DA CRUZ'!$K227),0)</f>
        <v>0</v>
      </c>
      <c r="AQ227" s="63">
        <f>ROUND(AP227*$P227,2)</f>
        <v>0</v>
      </c>
      <c r="AR227" s="61">
        <f>IFERROR(SUMIFS('BM MORRO DA CRUZ - VERTICAL'!AV$6:AV$546,'BM MORRO DA CRUZ - VERTICAL'!$O$6:$O$546,'BM MORRO DA CRUZ'!$K227),0)</f>
        <v>0</v>
      </c>
      <c r="AS227" s="63">
        <f>ROUND(AR227*$P227,2)</f>
        <v>0</v>
      </c>
      <c r="AT227" s="61">
        <f>IFERROR(SUMIFS('BM MORRO DA CRUZ - VERTICAL'!AX$6:AX$546,'BM MORRO DA CRUZ - VERTICAL'!$O$6:$O$546,'BM MORRO DA CRUZ'!$K227),0)</f>
        <v>0</v>
      </c>
      <c r="AU227" s="63">
        <f>ROUND(AT227*$P227,2)</f>
        <v>0</v>
      </c>
      <c r="AV227" s="61">
        <f>IFERROR(SUMIFS('BM MORRO DA CRUZ - VERTICAL'!AZ$6:AZ$546,'BM MORRO DA CRUZ - VERTICAL'!$O$6:$O$546,'BM MORRO DA CRUZ'!$K227),0)</f>
        <v>0</v>
      </c>
      <c r="AW227" s="63">
        <f>ROUND(AV227*$P227,2)</f>
        <v>0</v>
      </c>
      <c r="AX227" s="61">
        <f>IFERROR(SUMIFS('BM MORRO DA CRUZ - VERTICAL'!BB$6:BB$546,'BM MORRO DA CRUZ - VERTICAL'!$O$6:$O$546,'BM MORRO DA CRUZ'!$K227),0)</f>
        <v>0</v>
      </c>
      <c r="AY227" s="63">
        <f>ROUND(AX227*$P227,2)</f>
        <v>0</v>
      </c>
      <c r="AZ227" s="61">
        <f>IFERROR(SUMIFS('BM MORRO DA CRUZ - VERTICAL'!BD$6:BD$546,'BM MORRO DA CRUZ - VERTICAL'!$O$6:$O$546,'BM MORRO DA CRUZ'!$K227),0)</f>
        <v>0</v>
      </c>
      <c r="BA227" s="63">
        <f>ROUND(AZ227*$P227,2)</f>
        <v>0</v>
      </c>
      <c r="BB227" s="61">
        <f>IFERROR(SUMIFS($R227:$BA227,$R$5:$BA$5,$BB$5),0)</f>
        <v>0</v>
      </c>
      <c r="BC227" s="63">
        <f>SUMIFS($R227:$BA227,$R$5:$BA$5,$S$5)</f>
        <v>0</v>
      </c>
      <c r="BD227" s="64">
        <f>IFERROR(BB227/O227,0)</f>
        <v>0</v>
      </c>
      <c r="BE227" s="65">
        <f>IFERROR((O227-BB227)/O227,0)</f>
        <v>1</v>
      </c>
      <c r="BF227" s="45"/>
    </row>
    <row r="228" spans="1:58" ht="19.5" customHeight="1" x14ac:dyDescent="0.45">
      <c r="A228" s="46" t="s">
        <v>890</v>
      </c>
      <c r="B228" s="503"/>
      <c r="C228" s="504"/>
      <c r="D228" s="504"/>
      <c r="E228" s="504"/>
      <c r="F228" s="504"/>
      <c r="G228" s="504"/>
      <c r="H228" s="505" t="s">
        <v>1718</v>
      </c>
      <c r="I228" s="504"/>
      <c r="J228" s="505" t="s">
        <v>1718</v>
      </c>
      <c r="K228" s="47" t="s">
        <v>891</v>
      </c>
      <c r="L228" s="48"/>
      <c r="M228" s="49" t="s">
        <v>892</v>
      </c>
      <c r="N228" s="50"/>
      <c r="O228" s="51"/>
      <c r="P228" s="52"/>
      <c r="Q228" s="53">
        <f>SUM(Q229:Q254)</f>
        <v>14280234.810000001</v>
      </c>
      <c r="R228" s="51"/>
      <c r="S228" s="53">
        <f>SUM(S229:S254)</f>
        <v>0</v>
      </c>
      <c r="T228" s="51"/>
      <c r="U228" s="53">
        <f>SUM(U229:U254)</f>
        <v>0</v>
      </c>
      <c r="V228" s="51"/>
      <c r="W228" s="53">
        <f>SUM(W229:W254)</f>
        <v>0</v>
      </c>
      <c r="X228" s="51"/>
      <c r="Y228" s="53">
        <f>SUM(Y229:Y254)</f>
        <v>0</v>
      </c>
      <c r="Z228" s="51"/>
      <c r="AA228" s="53">
        <f>SUM(AA229:AA254)</f>
        <v>0</v>
      </c>
      <c r="AB228" s="51"/>
      <c r="AC228" s="53">
        <f>SUM(AC229:AC254)</f>
        <v>0</v>
      </c>
      <c r="AD228" s="51"/>
      <c r="AE228" s="53">
        <f>SUM(AE229:AE254)</f>
        <v>0</v>
      </c>
      <c r="AF228" s="51"/>
      <c r="AG228" s="53">
        <f>SUM(AG229:AG254)</f>
        <v>0</v>
      </c>
      <c r="AH228" s="51"/>
      <c r="AI228" s="53">
        <f>SUM(AI229:AI254)</f>
        <v>0</v>
      </c>
      <c r="AJ228" s="51"/>
      <c r="AK228" s="53">
        <f>SUM(AK229:AK254)</f>
        <v>0</v>
      </c>
      <c r="AL228" s="51"/>
      <c r="AM228" s="53">
        <f>SUM(AM229:AM254)</f>
        <v>0</v>
      </c>
      <c r="AN228" s="51"/>
      <c r="AO228" s="53">
        <f>SUM(AO229:AO254)</f>
        <v>0</v>
      </c>
      <c r="AP228" s="51"/>
      <c r="AQ228" s="53">
        <f>SUM(AQ229:AQ254)</f>
        <v>0</v>
      </c>
      <c r="AR228" s="51"/>
      <c r="AS228" s="53">
        <f>SUM(AS229:AS254)</f>
        <v>0</v>
      </c>
      <c r="AT228" s="51"/>
      <c r="AU228" s="53">
        <f>SUM(AU229:AU254)</f>
        <v>0</v>
      </c>
      <c r="AV228" s="51"/>
      <c r="AW228" s="53">
        <f>SUM(AW229:AW254)</f>
        <v>0</v>
      </c>
      <c r="AX228" s="51"/>
      <c r="AY228" s="53">
        <f>SUM(AY229:AY254)</f>
        <v>0</v>
      </c>
      <c r="AZ228" s="51"/>
      <c r="BA228" s="53">
        <f>SUM(BA229:BA254)</f>
        <v>0</v>
      </c>
      <c r="BB228" s="51"/>
      <c r="BC228" s="53">
        <f>SUM(BC229:BC254)</f>
        <v>0</v>
      </c>
      <c r="BD228" s="54"/>
      <c r="BE228" s="55"/>
      <c r="BF228" s="45"/>
    </row>
    <row r="229" spans="1:58" ht="35.65" x14ac:dyDescent="0.45">
      <c r="A229" s="56" t="s">
        <v>893</v>
      </c>
      <c r="B229" s="506" t="s">
        <v>1743</v>
      </c>
      <c r="C229" s="507" t="s">
        <v>39</v>
      </c>
      <c r="D229" s="507" t="s">
        <v>39</v>
      </c>
      <c r="E229" s="507" t="s">
        <v>1744</v>
      </c>
      <c r="F229" s="507" t="s">
        <v>39</v>
      </c>
      <c r="G229" s="507" t="s">
        <v>39</v>
      </c>
      <c r="H229" s="508" t="s">
        <v>1745</v>
      </c>
      <c r="I229" s="507" t="s">
        <v>763</v>
      </c>
      <c r="J229" s="508" t="s">
        <v>1744</v>
      </c>
      <c r="K229" s="57" t="s">
        <v>894</v>
      </c>
      <c r="L229" s="58" t="s">
        <v>846</v>
      </c>
      <c r="M229" s="59" t="s">
        <v>895</v>
      </c>
      <c r="N229" s="60" t="s">
        <v>755</v>
      </c>
      <c r="O229" s="61">
        <v>25397.93</v>
      </c>
      <c r="P229" s="62">
        <v>165.37</v>
      </c>
      <c r="Q229" s="63">
        <f t="shared" ref="Q229:Q254" si="184">ROUND(P229*$O229,2)</f>
        <v>4200055.68</v>
      </c>
      <c r="R229" s="61">
        <f>IFERROR(SUMIFS('BM MORRO DA CRUZ - VERTICAL'!V$6:V$546,'BM MORRO DA CRUZ - VERTICAL'!$O$6:$O$546,'BM MORRO DA CRUZ'!$K229),0)</f>
        <v>0</v>
      </c>
      <c r="S229" s="63">
        <f t="shared" ref="S229:S254" si="185">ROUND(R229*$P229,2)</f>
        <v>0</v>
      </c>
      <c r="T229" s="61">
        <f>IFERROR(SUMIFS('BM MORRO DA CRUZ - VERTICAL'!X$6:X$546,'BM MORRO DA CRUZ - VERTICAL'!$O$6:$O$546,'BM MORRO DA CRUZ'!$K229),0)</f>
        <v>0</v>
      </c>
      <c r="U229" s="63">
        <f t="shared" ref="U229:U254" si="186">ROUND(T229*$P229,2)</f>
        <v>0</v>
      </c>
      <c r="V229" s="61">
        <f>IFERROR(SUMIFS('BM MORRO DA CRUZ - VERTICAL'!Z$6:Z$546,'BM MORRO DA CRUZ - VERTICAL'!$O$6:$O$546,'BM MORRO DA CRUZ'!$K229),0)</f>
        <v>0</v>
      </c>
      <c r="W229" s="63">
        <f t="shared" ref="W229:W254" si="187">ROUND(V229*$P229,2)</f>
        <v>0</v>
      </c>
      <c r="X229" s="61">
        <f>IFERROR(SUMIFS('BM MORRO DA CRUZ - VERTICAL'!AB$6:AB$546,'BM MORRO DA CRUZ - VERTICAL'!$O$6:$O$546,'BM MORRO DA CRUZ'!$K229),0)</f>
        <v>0</v>
      </c>
      <c r="Y229" s="63">
        <f t="shared" ref="Y229:Y254" si="188">ROUND(X229*$P229,2)</f>
        <v>0</v>
      </c>
      <c r="Z229" s="61">
        <f>IFERROR(SUMIFS('BM MORRO DA CRUZ - VERTICAL'!AD$6:AD$546,'BM MORRO DA CRUZ - VERTICAL'!$O$6:$O$546,'BM MORRO DA CRUZ'!$K229),0)</f>
        <v>0</v>
      </c>
      <c r="AA229" s="63">
        <f t="shared" ref="AA229:AA254" si="189">ROUND(Z229*$P229,2)</f>
        <v>0</v>
      </c>
      <c r="AB229" s="61">
        <f>IFERROR(SUMIFS('BM MORRO DA CRUZ - VERTICAL'!AF$6:AF$546,'BM MORRO DA CRUZ - VERTICAL'!$O$6:$O$546,'BM MORRO DA CRUZ'!$K229),0)</f>
        <v>0</v>
      </c>
      <c r="AC229" s="63">
        <f t="shared" ref="AC229:AC254" si="190">ROUND(AB229*$P229,2)</f>
        <v>0</v>
      </c>
      <c r="AD229" s="61">
        <f>IFERROR(SUMIFS('BM MORRO DA CRUZ - VERTICAL'!AH$6:AH$546,'BM MORRO DA CRUZ - VERTICAL'!$O$6:$O$546,'BM MORRO DA CRUZ'!$K229),0)</f>
        <v>0</v>
      </c>
      <c r="AE229" s="63">
        <f t="shared" ref="AE229:AE254" si="191">ROUND(AD229*$P229,2)</f>
        <v>0</v>
      </c>
      <c r="AF229" s="61">
        <f>IFERROR(SUMIFS('BM MORRO DA CRUZ - VERTICAL'!AJ$6:AJ$546,'BM MORRO DA CRUZ - VERTICAL'!$O$6:$O$546,'BM MORRO DA CRUZ'!$K229),0)</f>
        <v>0</v>
      </c>
      <c r="AG229" s="63">
        <f t="shared" ref="AG229:AG254" si="192">ROUND(AF229*$P229,2)</f>
        <v>0</v>
      </c>
      <c r="AH229" s="61">
        <f>IFERROR(SUMIFS('BM MORRO DA CRUZ - VERTICAL'!AL$6:AL$546,'BM MORRO DA CRUZ - VERTICAL'!$O$6:$O$546,'BM MORRO DA CRUZ'!$K229),0)</f>
        <v>0</v>
      </c>
      <c r="AI229" s="63">
        <f t="shared" ref="AI229:AI254" si="193">ROUND(AH229*$P229,2)</f>
        <v>0</v>
      </c>
      <c r="AJ229" s="61">
        <f>IFERROR(SUMIFS('BM MORRO DA CRUZ - VERTICAL'!AN$6:AN$546,'BM MORRO DA CRUZ - VERTICAL'!$O$6:$O$546,'BM MORRO DA CRUZ'!$K229),0)</f>
        <v>0</v>
      </c>
      <c r="AK229" s="63">
        <f t="shared" ref="AK229:AK254" si="194">ROUND(AJ229*$P229,2)</f>
        <v>0</v>
      </c>
      <c r="AL229" s="61">
        <f>IFERROR(SUMIFS('BM MORRO DA CRUZ - VERTICAL'!AP$6:AP$546,'BM MORRO DA CRUZ - VERTICAL'!$O$6:$O$546,'BM MORRO DA CRUZ'!$K229),0)</f>
        <v>0</v>
      </c>
      <c r="AM229" s="63">
        <f t="shared" ref="AM229:AM254" si="195">ROUND(AL229*$P229,2)</f>
        <v>0</v>
      </c>
      <c r="AN229" s="61">
        <f>IFERROR(SUMIFS('BM MORRO DA CRUZ - VERTICAL'!AR$6:AR$546,'BM MORRO DA CRUZ - VERTICAL'!$O$6:$O$546,'BM MORRO DA CRUZ'!$K229),0)</f>
        <v>0</v>
      </c>
      <c r="AO229" s="63">
        <f t="shared" ref="AO229:AO254" si="196">ROUND(AN229*$P229,2)</f>
        <v>0</v>
      </c>
      <c r="AP229" s="61">
        <f>IFERROR(SUMIFS('BM MORRO DA CRUZ - VERTICAL'!AT$6:AT$546,'BM MORRO DA CRUZ - VERTICAL'!$O$6:$O$546,'BM MORRO DA CRUZ'!$K229),0)</f>
        <v>0</v>
      </c>
      <c r="AQ229" s="63">
        <f t="shared" ref="AQ229:AQ254" si="197">ROUND(AP229*$P229,2)</f>
        <v>0</v>
      </c>
      <c r="AR229" s="61">
        <f>IFERROR(SUMIFS('BM MORRO DA CRUZ - VERTICAL'!AV$6:AV$546,'BM MORRO DA CRUZ - VERTICAL'!$O$6:$O$546,'BM MORRO DA CRUZ'!$K229),0)</f>
        <v>0</v>
      </c>
      <c r="AS229" s="63">
        <f t="shared" ref="AS229:AS254" si="198">ROUND(AR229*$P229,2)</f>
        <v>0</v>
      </c>
      <c r="AT229" s="61">
        <f>IFERROR(SUMIFS('BM MORRO DA CRUZ - VERTICAL'!AX$6:AX$546,'BM MORRO DA CRUZ - VERTICAL'!$O$6:$O$546,'BM MORRO DA CRUZ'!$K229),0)</f>
        <v>0</v>
      </c>
      <c r="AU229" s="63">
        <f t="shared" ref="AU229:AU254" si="199">ROUND(AT229*$P229,2)</f>
        <v>0</v>
      </c>
      <c r="AV229" s="61">
        <f>IFERROR(SUMIFS('BM MORRO DA CRUZ - VERTICAL'!AZ$6:AZ$546,'BM MORRO DA CRUZ - VERTICAL'!$O$6:$O$546,'BM MORRO DA CRUZ'!$K229),0)</f>
        <v>0</v>
      </c>
      <c r="AW229" s="63">
        <f t="shared" ref="AW229:AW254" si="200">ROUND(AV229*$P229,2)</f>
        <v>0</v>
      </c>
      <c r="AX229" s="61">
        <f>IFERROR(SUMIFS('BM MORRO DA CRUZ - VERTICAL'!BB$6:BB$546,'BM MORRO DA CRUZ - VERTICAL'!$O$6:$O$546,'BM MORRO DA CRUZ'!$K229),0)</f>
        <v>0</v>
      </c>
      <c r="AY229" s="63">
        <f t="shared" ref="AY229:AY254" si="201">ROUND(AX229*$P229,2)</f>
        <v>0</v>
      </c>
      <c r="AZ229" s="61">
        <f>IFERROR(SUMIFS('BM MORRO DA CRUZ - VERTICAL'!BD$6:BD$546,'BM MORRO DA CRUZ - VERTICAL'!$O$6:$O$546,'BM MORRO DA CRUZ'!$K229),0)</f>
        <v>0</v>
      </c>
      <c r="BA229" s="63">
        <f t="shared" ref="BA229:BA254" si="202">ROUND(AZ229*$P229,2)</f>
        <v>0</v>
      </c>
      <c r="BB229" s="61">
        <f t="shared" ref="BB229:BB254" si="203">IFERROR(SUMIFS($R229:$BA229,$R$5:$BA$5,$BB$5),0)</f>
        <v>0</v>
      </c>
      <c r="BC229" s="63">
        <f t="shared" ref="BC229:BC254" si="204">SUMIFS($R229:$BA229,$R$5:$BA$5,$S$5)</f>
        <v>0</v>
      </c>
      <c r="BD229" s="64">
        <f t="shared" ref="BD229:BD254" si="205">IFERROR(BB229/O229,0)</f>
        <v>0</v>
      </c>
      <c r="BE229" s="65">
        <f t="shared" ref="BE229:BE254" si="206">IFERROR((O229-BB229)/O229,0)</f>
        <v>1</v>
      </c>
      <c r="BF229" s="45"/>
    </row>
    <row r="230" spans="1:58" ht="35.65" x14ac:dyDescent="0.45">
      <c r="A230" s="56" t="s">
        <v>896</v>
      </c>
      <c r="B230" s="506" t="s">
        <v>1746</v>
      </c>
      <c r="C230" s="507" t="s">
        <v>39</v>
      </c>
      <c r="D230" s="507" t="s">
        <v>39</v>
      </c>
      <c r="E230" s="507" t="s">
        <v>1744</v>
      </c>
      <c r="F230" s="507" t="s">
        <v>39</v>
      </c>
      <c r="G230" s="507" t="s">
        <v>39</v>
      </c>
      <c r="H230" s="508" t="s">
        <v>1745</v>
      </c>
      <c r="I230" s="507" t="s">
        <v>763</v>
      </c>
      <c r="J230" s="508" t="s">
        <v>1744</v>
      </c>
      <c r="K230" s="57" t="s">
        <v>897</v>
      </c>
      <c r="L230" s="58" t="s">
        <v>846</v>
      </c>
      <c r="M230" s="59" t="s">
        <v>898</v>
      </c>
      <c r="N230" s="60" t="s">
        <v>755</v>
      </c>
      <c r="O230" s="61">
        <v>3362.68</v>
      </c>
      <c r="P230" s="62">
        <v>158.85</v>
      </c>
      <c r="Q230" s="63">
        <f t="shared" si="184"/>
        <v>534161.72</v>
      </c>
      <c r="R230" s="61">
        <f>IFERROR(SUMIFS('BM MORRO DA CRUZ - VERTICAL'!V$6:V$546,'BM MORRO DA CRUZ - VERTICAL'!$O$6:$O$546,'BM MORRO DA CRUZ'!$K230),0)</f>
        <v>0</v>
      </c>
      <c r="S230" s="63">
        <f t="shared" si="185"/>
        <v>0</v>
      </c>
      <c r="T230" s="61">
        <f>IFERROR(SUMIFS('BM MORRO DA CRUZ - VERTICAL'!X$6:X$546,'BM MORRO DA CRUZ - VERTICAL'!$O$6:$O$546,'BM MORRO DA CRUZ'!$K230),0)</f>
        <v>0</v>
      </c>
      <c r="U230" s="63">
        <f t="shared" si="186"/>
        <v>0</v>
      </c>
      <c r="V230" s="61">
        <f>IFERROR(SUMIFS('BM MORRO DA CRUZ - VERTICAL'!Z$6:Z$546,'BM MORRO DA CRUZ - VERTICAL'!$O$6:$O$546,'BM MORRO DA CRUZ'!$K230),0)</f>
        <v>0</v>
      </c>
      <c r="W230" s="63">
        <f t="shared" si="187"/>
        <v>0</v>
      </c>
      <c r="X230" s="61">
        <f>IFERROR(SUMIFS('BM MORRO DA CRUZ - VERTICAL'!AB$6:AB$546,'BM MORRO DA CRUZ - VERTICAL'!$O$6:$O$546,'BM MORRO DA CRUZ'!$K230),0)</f>
        <v>0</v>
      </c>
      <c r="Y230" s="63">
        <f t="shared" si="188"/>
        <v>0</v>
      </c>
      <c r="Z230" s="61">
        <f>IFERROR(SUMIFS('BM MORRO DA CRUZ - VERTICAL'!AD$6:AD$546,'BM MORRO DA CRUZ - VERTICAL'!$O$6:$O$546,'BM MORRO DA CRUZ'!$K230),0)</f>
        <v>0</v>
      </c>
      <c r="AA230" s="63">
        <f t="shared" si="189"/>
        <v>0</v>
      </c>
      <c r="AB230" s="61">
        <f>IFERROR(SUMIFS('BM MORRO DA CRUZ - VERTICAL'!AF$6:AF$546,'BM MORRO DA CRUZ - VERTICAL'!$O$6:$O$546,'BM MORRO DA CRUZ'!$K230),0)</f>
        <v>0</v>
      </c>
      <c r="AC230" s="63">
        <f t="shared" si="190"/>
        <v>0</v>
      </c>
      <c r="AD230" s="61">
        <f>IFERROR(SUMIFS('BM MORRO DA CRUZ - VERTICAL'!AH$6:AH$546,'BM MORRO DA CRUZ - VERTICAL'!$O$6:$O$546,'BM MORRO DA CRUZ'!$K230),0)</f>
        <v>0</v>
      </c>
      <c r="AE230" s="63">
        <f t="shared" si="191"/>
        <v>0</v>
      </c>
      <c r="AF230" s="61">
        <f>IFERROR(SUMIFS('BM MORRO DA CRUZ - VERTICAL'!AJ$6:AJ$546,'BM MORRO DA CRUZ - VERTICAL'!$O$6:$O$546,'BM MORRO DA CRUZ'!$K230),0)</f>
        <v>0</v>
      </c>
      <c r="AG230" s="63">
        <f t="shared" si="192"/>
        <v>0</v>
      </c>
      <c r="AH230" s="61">
        <f>IFERROR(SUMIFS('BM MORRO DA CRUZ - VERTICAL'!AL$6:AL$546,'BM MORRO DA CRUZ - VERTICAL'!$O$6:$O$546,'BM MORRO DA CRUZ'!$K230),0)</f>
        <v>0</v>
      </c>
      <c r="AI230" s="63">
        <f t="shared" si="193"/>
        <v>0</v>
      </c>
      <c r="AJ230" s="61">
        <f>IFERROR(SUMIFS('BM MORRO DA CRUZ - VERTICAL'!AN$6:AN$546,'BM MORRO DA CRUZ - VERTICAL'!$O$6:$O$546,'BM MORRO DA CRUZ'!$K230),0)</f>
        <v>0</v>
      </c>
      <c r="AK230" s="63">
        <f t="shared" si="194"/>
        <v>0</v>
      </c>
      <c r="AL230" s="61">
        <f>IFERROR(SUMIFS('BM MORRO DA CRUZ - VERTICAL'!AP$6:AP$546,'BM MORRO DA CRUZ - VERTICAL'!$O$6:$O$546,'BM MORRO DA CRUZ'!$K230),0)</f>
        <v>0</v>
      </c>
      <c r="AM230" s="63">
        <f t="shared" si="195"/>
        <v>0</v>
      </c>
      <c r="AN230" s="61">
        <f>IFERROR(SUMIFS('BM MORRO DA CRUZ - VERTICAL'!AR$6:AR$546,'BM MORRO DA CRUZ - VERTICAL'!$O$6:$O$546,'BM MORRO DA CRUZ'!$K230),0)</f>
        <v>0</v>
      </c>
      <c r="AO230" s="63">
        <f t="shared" si="196"/>
        <v>0</v>
      </c>
      <c r="AP230" s="61">
        <f>IFERROR(SUMIFS('BM MORRO DA CRUZ - VERTICAL'!AT$6:AT$546,'BM MORRO DA CRUZ - VERTICAL'!$O$6:$O$546,'BM MORRO DA CRUZ'!$K230),0)</f>
        <v>0</v>
      </c>
      <c r="AQ230" s="63">
        <f t="shared" si="197"/>
        <v>0</v>
      </c>
      <c r="AR230" s="61">
        <f>IFERROR(SUMIFS('BM MORRO DA CRUZ - VERTICAL'!AV$6:AV$546,'BM MORRO DA CRUZ - VERTICAL'!$O$6:$O$546,'BM MORRO DA CRUZ'!$K230),0)</f>
        <v>0</v>
      </c>
      <c r="AS230" s="63">
        <f t="shared" si="198"/>
        <v>0</v>
      </c>
      <c r="AT230" s="61">
        <f>IFERROR(SUMIFS('BM MORRO DA CRUZ - VERTICAL'!AX$6:AX$546,'BM MORRO DA CRUZ - VERTICAL'!$O$6:$O$546,'BM MORRO DA CRUZ'!$K230),0)</f>
        <v>0</v>
      </c>
      <c r="AU230" s="63">
        <f t="shared" si="199"/>
        <v>0</v>
      </c>
      <c r="AV230" s="61">
        <f>IFERROR(SUMIFS('BM MORRO DA CRUZ - VERTICAL'!AZ$6:AZ$546,'BM MORRO DA CRUZ - VERTICAL'!$O$6:$O$546,'BM MORRO DA CRUZ'!$K230),0)</f>
        <v>0</v>
      </c>
      <c r="AW230" s="63">
        <f t="shared" si="200"/>
        <v>0</v>
      </c>
      <c r="AX230" s="61">
        <f>IFERROR(SUMIFS('BM MORRO DA CRUZ - VERTICAL'!BB$6:BB$546,'BM MORRO DA CRUZ - VERTICAL'!$O$6:$O$546,'BM MORRO DA CRUZ'!$K230),0)</f>
        <v>0</v>
      </c>
      <c r="AY230" s="63">
        <f t="shared" si="201"/>
        <v>0</v>
      </c>
      <c r="AZ230" s="61">
        <f>IFERROR(SUMIFS('BM MORRO DA CRUZ - VERTICAL'!BD$6:BD$546,'BM MORRO DA CRUZ - VERTICAL'!$O$6:$O$546,'BM MORRO DA CRUZ'!$K230),0)</f>
        <v>0</v>
      </c>
      <c r="BA230" s="63">
        <f t="shared" si="202"/>
        <v>0</v>
      </c>
      <c r="BB230" s="61">
        <f t="shared" si="203"/>
        <v>0</v>
      </c>
      <c r="BC230" s="63">
        <f t="shared" si="204"/>
        <v>0</v>
      </c>
      <c r="BD230" s="64">
        <f t="shared" si="205"/>
        <v>0</v>
      </c>
      <c r="BE230" s="65">
        <f t="shared" si="206"/>
        <v>1</v>
      </c>
      <c r="BF230" s="45"/>
    </row>
    <row r="231" spans="1:58" ht="26" customHeight="1" x14ac:dyDescent="0.45">
      <c r="A231" s="56" t="s">
        <v>899</v>
      </c>
      <c r="B231" s="506" t="s">
        <v>1747</v>
      </c>
      <c r="C231" s="507" t="s">
        <v>39</v>
      </c>
      <c r="D231" s="507" t="s">
        <v>39</v>
      </c>
      <c r="E231" s="507" t="s">
        <v>1748</v>
      </c>
      <c r="F231" s="507" t="s">
        <v>39</v>
      </c>
      <c r="G231" s="507" t="s">
        <v>39</v>
      </c>
      <c r="H231" s="508" t="s">
        <v>1749</v>
      </c>
      <c r="I231" s="507" t="s">
        <v>1739</v>
      </c>
      <c r="J231" s="508" t="s">
        <v>1750</v>
      </c>
      <c r="K231" s="57" t="s">
        <v>900</v>
      </c>
      <c r="L231" s="58" t="s">
        <v>846</v>
      </c>
      <c r="M231" s="59" t="s">
        <v>901</v>
      </c>
      <c r="N231" s="60" t="s">
        <v>54</v>
      </c>
      <c r="O231" s="61">
        <v>94.99</v>
      </c>
      <c r="P231" s="62">
        <v>7.46</v>
      </c>
      <c r="Q231" s="63">
        <f t="shared" si="184"/>
        <v>708.63</v>
      </c>
      <c r="R231" s="61">
        <f>IFERROR(SUMIFS('BM MORRO DA CRUZ - VERTICAL'!V$6:V$546,'BM MORRO DA CRUZ - VERTICAL'!$O$6:$O$546,'BM MORRO DA CRUZ'!$K231),0)</f>
        <v>0</v>
      </c>
      <c r="S231" s="63">
        <f t="shared" si="185"/>
        <v>0</v>
      </c>
      <c r="T231" s="61">
        <f>IFERROR(SUMIFS('BM MORRO DA CRUZ - VERTICAL'!X$6:X$546,'BM MORRO DA CRUZ - VERTICAL'!$O$6:$O$546,'BM MORRO DA CRUZ'!$K231),0)</f>
        <v>0</v>
      </c>
      <c r="U231" s="63">
        <f t="shared" si="186"/>
        <v>0</v>
      </c>
      <c r="V231" s="61">
        <f>IFERROR(SUMIFS('BM MORRO DA CRUZ - VERTICAL'!Z$6:Z$546,'BM MORRO DA CRUZ - VERTICAL'!$O$6:$O$546,'BM MORRO DA CRUZ'!$K231),0)</f>
        <v>0</v>
      </c>
      <c r="W231" s="63">
        <f t="shared" si="187"/>
        <v>0</v>
      </c>
      <c r="X231" s="61">
        <f>IFERROR(SUMIFS('BM MORRO DA CRUZ - VERTICAL'!AB$6:AB$546,'BM MORRO DA CRUZ - VERTICAL'!$O$6:$O$546,'BM MORRO DA CRUZ'!$K231),0)</f>
        <v>0</v>
      </c>
      <c r="Y231" s="63">
        <f t="shared" si="188"/>
        <v>0</v>
      </c>
      <c r="Z231" s="61">
        <f>IFERROR(SUMIFS('BM MORRO DA CRUZ - VERTICAL'!AD$6:AD$546,'BM MORRO DA CRUZ - VERTICAL'!$O$6:$O$546,'BM MORRO DA CRUZ'!$K231),0)</f>
        <v>0</v>
      </c>
      <c r="AA231" s="63">
        <f t="shared" si="189"/>
        <v>0</v>
      </c>
      <c r="AB231" s="61">
        <f>IFERROR(SUMIFS('BM MORRO DA CRUZ - VERTICAL'!AF$6:AF$546,'BM MORRO DA CRUZ - VERTICAL'!$O$6:$O$546,'BM MORRO DA CRUZ'!$K231),0)</f>
        <v>0</v>
      </c>
      <c r="AC231" s="63">
        <f t="shared" si="190"/>
        <v>0</v>
      </c>
      <c r="AD231" s="61">
        <f>IFERROR(SUMIFS('BM MORRO DA CRUZ - VERTICAL'!AH$6:AH$546,'BM MORRO DA CRUZ - VERTICAL'!$O$6:$O$546,'BM MORRO DA CRUZ'!$K231),0)</f>
        <v>0</v>
      </c>
      <c r="AE231" s="63">
        <f t="shared" si="191"/>
        <v>0</v>
      </c>
      <c r="AF231" s="61">
        <f>IFERROR(SUMIFS('BM MORRO DA CRUZ - VERTICAL'!AJ$6:AJ$546,'BM MORRO DA CRUZ - VERTICAL'!$O$6:$O$546,'BM MORRO DA CRUZ'!$K231),0)</f>
        <v>0</v>
      </c>
      <c r="AG231" s="63">
        <f t="shared" si="192"/>
        <v>0</v>
      </c>
      <c r="AH231" s="61">
        <f>IFERROR(SUMIFS('BM MORRO DA CRUZ - VERTICAL'!AL$6:AL$546,'BM MORRO DA CRUZ - VERTICAL'!$O$6:$O$546,'BM MORRO DA CRUZ'!$K231),0)</f>
        <v>0</v>
      </c>
      <c r="AI231" s="63">
        <f t="shared" si="193"/>
        <v>0</v>
      </c>
      <c r="AJ231" s="61">
        <f>IFERROR(SUMIFS('BM MORRO DA CRUZ - VERTICAL'!AN$6:AN$546,'BM MORRO DA CRUZ - VERTICAL'!$O$6:$O$546,'BM MORRO DA CRUZ'!$K231),0)</f>
        <v>0</v>
      </c>
      <c r="AK231" s="63">
        <f t="shared" si="194"/>
        <v>0</v>
      </c>
      <c r="AL231" s="61">
        <f>IFERROR(SUMIFS('BM MORRO DA CRUZ - VERTICAL'!AP$6:AP$546,'BM MORRO DA CRUZ - VERTICAL'!$O$6:$O$546,'BM MORRO DA CRUZ'!$K231),0)</f>
        <v>0</v>
      </c>
      <c r="AM231" s="63">
        <f t="shared" si="195"/>
        <v>0</v>
      </c>
      <c r="AN231" s="61">
        <f>IFERROR(SUMIFS('BM MORRO DA CRUZ - VERTICAL'!AR$6:AR$546,'BM MORRO DA CRUZ - VERTICAL'!$O$6:$O$546,'BM MORRO DA CRUZ'!$K231),0)</f>
        <v>0</v>
      </c>
      <c r="AO231" s="63">
        <f t="shared" si="196"/>
        <v>0</v>
      </c>
      <c r="AP231" s="61">
        <f>IFERROR(SUMIFS('BM MORRO DA CRUZ - VERTICAL'!AT$6:AT$546,'BM MORRO DA CRUZ - VERTICAL'!$O$6:$O$546,'BM MORRO DA CRUZ'!$K231),0)</f>
        <v>0</v>
      </c>
      <c r="AQ231" s="63">
        <f t="shared" si="197"/>
        <v>0</v>
      </c>
      <c r="AR231" s="61">
        <f>IFERROR(SUMIFS('BM MORRO DA CRUZ - VERTICAL'!AV$6:AV$546,'BM MORRO DA CRUZ - VERTICAL'!$O$6:$O$546,'BM MORRO DA CRUZ'!$K231),0)</f>
        <v>0</v>
      </c>
      <c r="AS231" s="63">
        <f t="shared" si="198"/>
        <v>0</v>
      </c>
      <c r="AT231" s="61">
        <f>IFERROR(SUMIFS('BM MORRO DA CRUZ - VERTICAL'!AX$6:AX$546,'BM MORRO DA CRUZ - VERTICAL'!$O$6:$O$546,'BM MORRO DA CRUZ'!$K231),0)</f>
        <v>0</v>
      </c>
      <c r="AU231" s="63">
        <f t="shared" si="199"/>
        <v>0</v>
      </c>
      <c r="AV231" s="61">
        <f>IFERROR(SUMIFS('BM MORRO DA CRUZ - VERTICAL'!AZ$6:AZ$546,'BM MORRO DA CRUZ - VERTICAL'!$O$6:$O$546,'BM MORRO DA CRUZ'!$K231),0)</f>
        <v>0</v>
      </c>
      <c r="AW231" s="63">
        <f t="shared" si="200"/>
        <v>0</v>
      </c>
      <c r="AX231" s="61">
        <f>IFERROR(SUMIFS('BM MORRO DA CRUZ - VERTICAL'!BB$6:BB$546,'BM MORRO DA CRUZ - VERTICAL'!$O$6:$O$546,'BM MORRO DA CRUZ'!$K231),0)</f>
        <v>0</v>
      </c>
      <c r="AY231" s="63">
        <f t="shared" si="201"/>
        <v>0</v>
      </c>
      <c r="AZ231" s="61">
        <f>IFERROR(SUMIFS('BM MORRO DA CRUZ - VERTICAL'!BD$6:BD$546,'BM MORRO DA CRUZ - VERTICAL'!$O$6:$O$546,'BM MORRO DA CRUZ'!$K231),0)</f>
        <v>0</v>
      </c>
      <c r="BA231" s="63">
        <f t="shared" si="202"/>
        <v>0</v>
      </c>
      <c r="BB231" s="61">
        <f t="shared" si="203"/>
        <v>0</v>
      </c>
      <c r="BC231" s="63">
        <f t="shared" si="204"/>
        <v>0</v>
      </c>
      <c r="BD231" s="64">
        <f t="shared" si="205"/>
        <v>0</v>
      </c>
      <c r="BE231" s="65">
        <f t="shared" si="206"/>
        <v>1</v>
      </c>
      <c r="BF231" s="45"/>
    </row>
    <row r="232" spans="1:58" ht="35.65" x14ac:dyDescent="0.45">
      <c r="A232" s="56" t="s">
        <v>902</v>
      </c>
      <c r="B232" s="506" t="s">
        <v>1751</v>
      </c>
      <c r="C232" s="507" t="s">
        <v>39</v>
      </c>
      <c r="D232" s="507" t="s">
        <v>39</v>
      </c>
      <c r="E232" s="507" t="s">
        <v>1748</v>
      </c>
      <c r="F232" s="507" t="s">
        <v>39</v>
      </c>
      <c r="G232" s="507" t="s">
        <v>39</v>
      </c>
      <c r="H232" s="508" t="s">
        <v>39</v>
      </c>
      <c r="I232" s="507" t="s">
        <v>40</v>
      </c>
      <c r="J232" s="508" t="s">
        <v>1750</v>
      </c>
      <c r="K232" s="57" t="s">
        <v>903</v>
      </c>
      <c r="L232" s="58" t="s">
        <v>846</v>
      </c>
      <c r="M232" s="59" t="s">
        <v>904</v>
      </c>
      <c r="N232" s="60" t="s">
        <v>755</v>
      </c>
      <c r="O232" s="61">
        <v>697.88</v>
      </c>
      <c r="P232" s="62">
        <v>9.16</v>
      </c>
      <c r="Q232" s="63">
        <f t="shared" si="184"/>
        <v>6392.58</v>
      </c>
      <c r="R232" s="61">
        <f>IFERROR(SUMIFS('BM MORRO DA CRUZ - VERTICAL'!V$6:V$546,'BM MORRO DA CRUZ - VERTICAL'!$O$6:$O$546,'BM MORRO DA CRUZ'!$K232),0)</f>
        <v>0</v>
      </c>
      <c r="S232" s="63">
        <f t="shared" si="185"/>
        <v>0</v>
      </c>
      <c r="T232" s="61">
        <f>IFERROR(SUMIFS('BM MORRO DA CRUZ - VERTICAL'!X$6:X$546,'BM MORRO DA CRUZ - VERTICAL'!$O$6:$O$546,'BM MORRO DA CRUZ'!$K232),0)</f>
        <v>0</v>
      </c>
      <c r="U232" s="63">
        <f t="shared" si="186"/>
        <v>0</v>
      </c>
      <c r="V232" s="61">
        <f>IFERROR(SUMIFS('BM MORRO DA CRUZ - VERTICAL'!Z$6:Z$546,'BM MORRO DA CRUZ - VERTICAL'!$O$6:$O$546,'BM MORRO DA CRUZ'!$K232),0)</f>
        <v>0</v>
      </c>
      <c r="W232" s="63">
        <f t="shared" si="187"/>
        <v>0</v>
      </c>
      <c r="X232" s="61">
        <f>IFERROR(SUMIFS('BM MORRO DA CRUZ - VERTICAL'!AB$6:AB$546,'BM MORRO DA CRUZ - VERTICAL'!$O$6:$O$546,'BM MORRO DA CRUZ'!$K232),0)</f>
        <v>0</v>
      </c>
      <c r="Y232" s="63">
        <f t="shared" si="188"/>
        <v>0</v>
      </c>
      <c r="Z232" s="61">
        <f>IFERROR(SUMIFS('BM MORRO DA CRUZ - VERTICAL'!AD$6:AD$546,'BM MORRO DA CRUZ - VERTICAL'!$O$6:$O$546,'BM MORRO DA CRUZ'!$K232),0)</f>
        <v>0</v>
      </c>
      <c r="AA232" s="63">
        <f t="shared" si="189"/>
        <v>0</v>
      </c>
      <c r="AB232" s="61">
        <f>IFERROR(SUMIFS('BM MORRO DA CRUZ - VERTICAL'!AF$6:AF$546,'BM MORRO DA CRUZ - VERTICAL'!$O$6:$O$546,'BM MORRO DA CRUZ'!$K232),0)</f>
        <v>0</v>
      </c>
      <c r="AC232" s="63">
        <f t="shared" si="190"/>
        <v>0</v>
      </c>
      <c r="AD232" s="61">
        <f>IFERROR(SUMIFS('BM MORRO DA CRUZ - VERTICAL'!AH$6:AH$546,'BM MORRO DA CRUZ - VERTICAL'!$O$6:$O$546,'BM MORRO DA CRUZ'!$K232),0)</f>
        <v>0</v>
      </c>
      <c r="AE232" s="63">
        <f t="shared" si="191"/>
        <v>0</v>
      </c>
      <c r="AF232" s="61">
        <f>IFERROR(SUMIFS('BM MORRO DA CRUZ - VERTICAL'!AJ$6:AJ$546,'BM MORRO DA CRUZ - VERTICAL'!$O$6:$O$546,'BM MORRO DA CRUZ'!$K232),0)</f>
        <v>0</v>
      </c>
      <c r="AG232" s="63">
        <f t="shared" si="192"/>
        <v>0</v>
      </c>
      <c r="AH232" s="61">
        <f>IFERROR(SUMIFS('BM MORRO DA CRUZ - VERTICAL'!AL$6:AL$546,'BM MORRO DA CRUZ - VERTICAL'!$O$6:$O$546,'BM MORRO DA CRUZ'!$K232),0)</f>
        <v>0</v>
      </c>
      <c r="AI232" s="63">
        <f t="shared" si="193"/>
        <v>0</v>
      </c>
      <c r="AJ232" s="61">
        <f>IFERROR(SUMIFS('BM MORRO DA CRUZ - VERTICAL'!AN$6:AN$546,'BM MORRO DA CRUZ - VERTICAL'!$O$6:$O$546,'BM MORRO DA CRUZ'!$K232),0)</f>
        <v>0</v>
      </c>
      <c r="AK232" s="63">
        <f t="shared" si="194"/>
        <v>0</v>
      </c>
      <c r="AL232" s="61">
        <f>IFERROR(SUMIFS('BM MORRO DA CRUZ - VERTICAL'!AP$6:AP$546,'BM MORRO DA CRUZ - VERTICAL'!$O$6:$O$546,'BM MORRO DA CRUZ'!$K232),0)</f>
        <v>0</v>
      </c>
      <c r="AM232" s="63">
        <f t="shared" si="195"/>
        <v>0</v>
      </c>
      <c r="AN232" s="61">
        <f>IFERROR(SUMIFS('BM MORRO DA CRUZ - VERTICAL'!AR$6:AR$546,'BM MORRO DA CRUZ - VERTICAL'!$O$6:$O$546,'BM MORRO DA CRUZ'!$K232),0)</f>
        <v>0</v>
      </c>
      <c r="AO232" s="63">
        <f t="shared" si="196"/>
        <v>0</v>
      </c>
      <c r="AP232" s="61">
        <f>IFERROR(SUMIFS('BM MORRO DA CRUZ - VERTICAL'!AT$6:AT$546,'BM MORRO DA CRUZ - VERTICAL'!$O$6:$O$546,'BM MORRO DA CRUZ'!$K232),0)</f>
        <v>0</v>
      </c>
      <c r="AQ232" s="63">
        <f t="shared" si="197"/>
        <v>0</v>
      </c>
      <c r="AR232" s="61">
        <f>IFERROR(SUMIFS('BM MORRO DA CRUZ - VERTICAL'!AV$6:AV$546,'BM MORRO DA CRUZ - VERTICAL'!$O$6:$O$546,'BM MORRO DA CRUZ'!$K232),0)</f>
        <v>0</v>
      </c>
      <c r="AS232" s="63">
        <f t="shared" si="198"/>
        <v>0</v>
      </c>
      <c r="AT232" s="61">
        <f>IFERROR(SUMIFS('BM MORRO DA CRUZ - VERTICAL'!AX$6:AX$546,'BM MORRO DA CRUZ - VERTICAL'!$O$6:$O$546,'BM MORRO DA CRUZ'!$K232),0)</f>
        <v>0</v>
      </c>
      <c r="AU232" s="63">
        <f t="shared" si="199"/>
        <v>0</v>
      </c>
      <c r="AV232" s="61">
        <f>IFERROR(SUMIFS('BM MORRO DA CRUZ - VERTICAL'!AZ$6:AZ$546,'BM MORRO DA CRUZ - VERTICAL'!$O$6:$O$546,'BM MORRO DA CRUZ'!$K232),0)</f>
        <v>0</v>
      </c>
      <c r="AW232" s="63">
        <f t="shared" si="200"/>
        <v>0</v>
      </c>
      <c r="AX232" s="61">
        <f>IFERROR(SUMIFS('BM MORRO DA CRUZ - VERTICAL'!BB$6:BB$546,'BM MORRO DA CRUZ - VERTICAL'!$O$6:$O$546,'BM MORRO DA CRUZ'!$K232),0)</f>
        <v>0</v>
      </c>
      <c r="AY232" s="63">
        <f t="shared" si="201"/>
        <v>0</v>
      </c>
      <c r="AZ232" s="61">
        <f>IFERROR(SUMIFS('BM MORRO DA CRUZ - VERTICAL'!BD$6:BD$546,'BM MORRO DA CRUZ - VERTICAL'!$O$6:$O$546,'BM MORRO DA CRUZ'!$K232),0)</f>
        <v>0</v>
      </c>
      <c r="BA232" s="63">
        <f t="shared" si="202"/>
        <v>0</v>
      </c>
      <c r="BB232" s="61">
        <f t="shared" si="203"/>
        <v>0</v>
      </c>
      <c r="BC232" s="63">
        <f t="shared" si="204"/>
        <v>0</v>
      </c>
      <c r="BD232" s="64">
        <f t="shared" si="205"/>
        <v>0</v>
      </c>
      <c r="BE232" s="65">
        <f t="shared" si="206"/>
        <v>1</v>
      </c>
      <c r="BF232" s="45"/>
    </row>
    <row r="233" spans="1:58" ht="35.65" x14ac:dyDescent="0.45">
      <c r="A233" s="56" t="s">
        <v>905</v>
      </c>
      <c r="B233" s="506" t="s">
        <v>1752</v>
      </c>
      <c r="C233" s="507" t="s">
        <v>39</v>
      </c>
      <c r="D233" s="507" t="s">
        <v>39</v>
      </c>
      <c r="E233" s="507" t="s">
        <v>1748</v>
      </c>
      <c r="F233" s="507" t="s">
        <v>39</v>
      </c>
      <c r="G233" s="507" t="s">
        <v>39</v>
      </c>
      <c r="H233" s="508" t="s">
        <v>39</v>
      </c>
      <c r="I233" s="507" t="s">
        <v>1739</v>
      </c>
      <c r="J233" s="508" t="s">
        <v>1750</v>
      </c>
      <c r="K233" s="57" t="s">
        <v>906</v>
      </c>
      <c r="L233" s="58" t="s">
        <v>846</v>
      </c>
      <c r="M233" s="59" t="s">
        <v>907</v>
      </c>
      <c r="N233" s="60" t="s">
        <v>755</v>
      </c>
      <c r="O233" s="61">
        <v>107.51</v>
      </c>
      <c r="P233" s="62">
        <v>9.51</v>
      </c>
      <c r="Q233" s="63">
        <f t="shared" si="184"/>
        <v>1022.42</v>
      </c>
      <c r="R233" s="61">
        <f>IFERROR(SUMIFS('BM MORRO DA CRUZ - VERTICAL'!V$6:V$546,'BM MORRO DA CRUZ - VERTICAL'!$O$6:$O$546,'BM MORRO DA CRUZ'!$K233),0)</f>
        <v>0</v>
      </c>
      <c r="S233" s="63">
        <f t="shared" si="185"/>
        <v>0</v>
      </c>
      <c r="T233" s="61">
        <f>IFERROR(SUMIFS('BM MORRO DA CRUZ - VERTICAL'!X$6:X$546,'BM MORRO DA CRUZ - VERTICAL'!$O$6:$O$546,'BM MORRO DA CRUZ'!$K233),0)</f>
        <v>0</v>
      </c>
      <c r="U233" s="63">
        <f t="shared" si="186"/>
        <v>0</v>
      </c>
      <c r="V233" s="61">
        <f>IFERROR(SUMIFS('BM MORRO DA CRUZ - VERTICAL'!Z$6:Z$546,'BM MORRO DA CRUZ - VERTICAL'!$O$6:$O$546,'BM MORRO DA CRUZ'!$K233),0)</f>
        <v>0</v>
      </c>
      <c r="W233" s="63">
        <f t="shared" si="187"/>
        <v>0</v>
      </c>
      <c r="X233" s="61">
        <f>IFERROR(SUMIFS('BM MORRO DA CRUZ - VERTICAL'!AB$6:AB$546,'BM MORRO DA CRUZ - VERTICAL'!$O$6:$O$546,'BM MORRO DA CRUZ'!$K233),0)</f>
        <v>0</v>
      </c>
      <c r="Y233" s="63">
        <f t="shared" si="188"/>
        <v>0</v>
      </c>
      <c r="Z233" s="61">
        <f>IFERROR(SUMIFS('BM MORRO DA CRUZ - VERTICAL'!AD$6:AD$546,'BM MORRO DA CRUZ - VERTICAL'!$O$6:$O$546,'BM MORRO DA CRUZ'!$K233),0)</f>
        <v>0</v>
      </c>
      <c r="AA233" s="63">
        <f t="shared" si="189"/>
        <v>0</v>
      </c>
      <c r="AB233" s="61">
        <f>IFERROR(SUMIFS('BM MORRO DA CRUZ - VERTICAL'!AF$6:AF$546,'BM MORRO DA CRUZ - VERTICAL'!$O$6:$O$546,'BM MORRO DA CRUZ'!$K233),0)</f>
        <v>0</v>
      </c>
      <c r="AC233" s="63">
        <f t="shared" si="190"/>
        <v>0</v>
      </c>
      <c r="AD233" s="61">
        <f>IFERROR(SUMIFS('BM MORRO DA CRUZ - VERTICAL'!AH$6:AH$546,'BM MORRO DA CRUZ - VERTICAL'!$O$6:$O$546,'BM MORRO DA CRUZ'!$K233),0)</f>
        <v>0</v>
      </c>
      <c r="AE233" s="63">
        <f t="shared" si="191"/>
        <v>0</v>
      </c>
      <c r="AF233" s="61">
        <f>IFERROR(SUMIFS('BM MORRO DA CRUZ - VERTICAL'!AJ$6:AJ$546,'BM MORRO DA CRUZ - VERTICAL'!$O$6:$O$546,'BM MORRO DA CRUZ'!$K233),0)</f>
        <v>0</v>
      </c>
      <c r="AG233" s="63">
        <f t="shared" si="192"/>
        <v>0</v>
      </c>
      <c r="AH233" s="61">
        <f>IFERROR(SUMIFS('BM MORRO DA CRUZ - VERTICAL'!AL$6:AL$546,'BM MORRO DA CRUZ - VERTICAL'!$O$6:$O$546,'BM MORRO DA CRUZ'!$K233),0)</f>
        <v>0</v>
      </c>
      <c r="AI233" s="63">
        <f t="shared" si="193"/>
        <v>0</v>
      </c>
      <c r="AJ233" s="61">
        <f>IFERROR(SUMIFS('BM MORRO DA CRUZ - VERTICAL'!AN$6:AN$546,'BM MORRO DA CRUZ - VERTICAL'!$O$6:$O$546,'BM MORRO DA CRUZ'!$K233),0)</f>
        <v>0</v>
      </c>
      <c r="AK233" s="63">
        <f t="shared" si="194"/>
        <v>0</v>
      </c>
      <c r="AL233" s="61">
        <f>IFERROR(SUMIFS('BM MORRO DA CRUZ - VERTICAL'!AP$6:AP$546,'BM MORRO DA CRUZ - VERTICAL'!$O$6:$O$546,'BM MORRO DA CRUZ'!$K233),0)</f>
        <v>0</v>
      </c>
      <c r="AM233" s="63">
        <f t="shared" si="195"/>
        <v>0</v>
      </c>
      <c r="AN233" s="61">
        <f>IFERROR(SUMIFS('BM MORRO DA CRUZ - VERTICAL'!AR$6:AR$546,'BM MORRO DA CRUZ - VERTICAL'!$O$6:$O$546,'BM MORRO DA CRUZ'!$K233),0)</f>
        <v>0</v>
      </c>
      <c r="AO233" s="63">
        <f t="shared" si="196"/>
        <v>0</v>
      </c>
      <c r="AP233" s="61">
        <f>IFERROR(SUMIFS('BM MORRO DA CRUZ - VERTICAL'!AT$6:AT$546,'BM MORRO DA CRUZ - VERTICAL'!$O$6:$O$546,'BM MORRO DA CRUZ'!$K233),0)</f>
        <v>0</v>
      </c>
      <c r="AQ233" s="63">
        <f t="shared" si="197"/>
        <v>0</v>
      </c>
      <c r="AR233" s="61">
        <f>IFERROR(SUMIFS('BM MORRO DA CRUZ - VERTICAL'!AV$6:AV$546,'BM MORRO DA CRUZ - VERTICAL'!$O$6:$O$546,'BM MORRO DA CRUZ'!$K233),0)</f>
        <v>0</v>
      </c>
      <c r="AS233" s="63">
        <f t="shared" si="198"/>
        <v>0</v>
      </c>
      <c r="AT233" s="61">
        <f>IFERROR(SUMIFS('BM MORRO DA CRUZ - VERTICAL'!AX$6:AX$546,'BM MORRO DA CRUZ - VERTICAL'!$O$6:$O$546,'BM MORRO DA CRUZ'!$K233),0)</f>
        <v>0</v>
      </c>
      <c r="AU233" s="63">
        <f t="shared" si="199"/>
        <v>0</v>
      </c>
      <c r="AV233" s="61">
        <f>IFERROR(SUMIFS('BM MORRO DA CRUZ - VERTICAL'!AZ$6:AZ$546,'BM MORRO DA CRUZ - VERTICAL'!$O$6:$O$546,'BM MORRO DA CRUZ'!$K233),0)</f>
        <v>0</v>
      </c>
      <c r="AW233" s="63">
        <f t="shared" si="200"/>
        <v>0</v>
      </c>
      <c r="AX233" s="61">
        <f>IFERROR(SUMIFS('BM MORRO DA CRUZ - VERTICAL'!BB$6:BB$546,'BM MORRO DA CRUZ - VERTICAL'!$O$6:$O$546,'BM MORRO DA CRUZ'!$K233),0)</f>
        <v>0</v>
      </c>
      <c r="AY233" s="63">
        <f t="shared" si="201"/>
        <v>0</v>
      </c>
      <c r="AZ233" s="61">
        <f>IFERROR(SUMIFS('BM MORRO DA CRUZ - VERTICAL'!BD$6:BD$546,'BM MORRO DA CRUZ - VERTICAL'!$O$6:$O$546,'BM MORRO DA CRUZ'!$K233),0)</f>
        <v>0</v>
      </c>
      <c r="BA233" s="63">
        <f t="shared" si="202"/>
        <v>0</v>
      </c>
      <c r="BB233" s="61">
        <f t="shared" si="203"/>
        <v>0</v>
      </c>
      <c r="BC233" s="63">
        <f t="shared" si="204"/>
        <v>0</v>
      </c>
      <c r="BD233" s="64">
        <f t="shared" si="205"/>
        <v>0</v>
      </c>
      <c r="BE233" s="65">
        <f t="shared" si="206"/>
        <v>1</v>
      </c>
      <c r="BF233" s="45"/>
    </row>
    <row r="234" spans="1:58" ht="35.65" x14ac:dyDescent="0.45">
      <c r="A234" s="56" t="s">
        <v>908</v>
      </c>
      <c r="B234" s="506" t="s">
        <v>1752</v>
      </c>
      <c r="C234" s="507" t="s">
        <v>39</v>
      </c>
      <c r="D234" s="507" t="s">
        <v>39</v>
      </c>
      <c r="E234" s="507" t="s">
        <v>1748</v>
      </c>
      <c r="F234" s="507" t="s">
        <v>39</v>
      </c>
      <c r="G234" s="507" t="s">
        <v>39</v>
      </c>
      <c r="H234" s="508" t="s">
        <v>39</v>
      </c>
      <c r="I234" s="507" t="s">
        <v>40</v>
      </c>
      <c r="J234" s="508" t="s">
        <v>1750</v>
      </c>
      <c r="K234" s="57" t="s">
        <v>909</v>
      </c>
      <c r="L234" s="58" t="s">
        <v>846</v>
      </c>
      <c r="M234" s="59" t="s">
        <v>910</v>
      </c>
      <c r="N234" s="60" t="s">
        <v>54</v>
      </c>
      <c r="O234" s="61">
        <v>3489.42</v>
      </c>
      <c r="P234" s="62">
        <v>6.35</v>
      </c>
      <c r="Q234" s="63">
        <f t="shared" si="184"/>
        <v>22157.82</v>
      </c>
      <c r="R234" s="61">
        <f>IFERROR(SUMIFS('BM MORRO DA CRUZ - VERTICAL'!V$6:V$546,'BM MORRO DA CRUZ - VERTICAL'!$O$6:$O$546,'BM MORRO DA CRUZ'!$K234),0)</f>
        <v>0</v>
      </c>
      <c r="S234" s="63">
        <f t="shared" si="185"/>
        <v>0</v>
      </c>
      <c r="T234" s="61">
        <f>IFERROR(SUMIFS('BM MORRO DA CRUZ - VERTICAL'!X$6:X$546,'BM MORRO DA CRUZ - VERTICAL'!$O$6:$O$546,'BM MORRO DA CRUZ'!$K234),0)</f>
        <v>0</v>
      </c>
      <c r="U234" s="63">
        <f t="shared" si="186"/>
        <v>0</v>
      </c>
      <c r="V234" s="61">
        <f>IFERROR(SUMIFS('BM MORRO DA CRUZ - VERTICAL'!Z$6:Z$546,'BM MORRO DA CRUZ - VERTICAL'!$O$6:$O$546,'BM MORRO DA CRUZ'!$K234),0)</f>
        <v>0</v>
      </c>
      <c r="W234" s="63">
        <f t="shared" si="187"/>
        <v>0</v>
      </c>
      <c r="X234" s="61">
        <f>IFERROR(SUMIFS('BM MORRO DA CRUZ - VERTICAL'!AB$6:AB$546,'BM MORRO DA CRUZ - VERTICAL'!$O$6:$O$546,'BM MORRO DA CRUZ'!$K234),0)</f>
        <v>0</v>
      </c>
      <c r="Y234" s="63">
        <f t="shared" si="188"/>
        <v>0</v>
      </c>
      <c r="Z234" s="61">
        <f>IFERROR(SUMIFS('BM MORRO DA CRUZ - VERTICAL'!AD$6:AD$546,'BM MORRO DA CRUZ - VERTICAL'!$O$6:$O$546,'BM MORRO DA CRUZ'!$K234),0)</f>
        <v>0</v>
      </c>
      <c r="AA234" s="63">
        <f t="shared" si="189"/>
        <v>0</v>
      </c>
      <c r="AB234" s="61">
        <f>IFERROR(SUMIFS('BM MORRO DA CRUZ - VERTICAL'!AF$6:AF$546,'BM MORRO DA CRUZ - VERTICAL'!$O$6:$O$546,'BM MORRO DA CRUZ'!$K234),0)</f>
        <v>0</v>
      </c>
      <c r="AC234" s="63">
        <f t="shared" si="190"/>
        <v>0</v>
      </c>
      <c r="AD234" s="61">
        <f>IFERROR(SUMIFS('BM MORRO DA CRUZ - VERTICAL'!AH$6:AH$546,'BM MORRO DA CRUZ - VERTICAL'!$O$6:$O$546,'BM MORRO DA CRUZ'!$K234),0)</f>
        <v>0</v>
      </c>
      <c r="AE234" s="63">
        <f t="shared" si="191"/>
        <v>0</v>
      </c>
      <c r="AF234" s="61">
        <f>IFERROR(SUMIFS('BM MORRO DA CRUZ - VERTICAL'!AJ$6:AJ$546,'BM MORRO DA CRUZ - VERTICAL'!$O$6:$O$546,'BM MORRO DA CRUZ'!$K234),0)</f>
        <v>0</v>
      </c>
      <c r="AG234" s="63">
        <f t="shared" si="192"/>
        <v>0</v>
      </c>
      <c r="AH234" s="61">
        <f>IFERROR(SUMIFS('BM MORRO DA CRUZ - VERTICAL'!AL$6:AL$546,'BM MORRO DA CRUZ - VERTICAL'!$O$6:$O$546,'BM MORRO DA CRUZ'!$K234),0)</f>
        <v>0</v>
      </c>
      <c r="AI234" s="63">
        <f t="shared" si="193"/>
        <v>0</v>
      </c>
      <c r="AJ234" s="61">
        <f>IFERROR(SUMIFS('BM MORRO DA CRUZ - VERTICAL'!AN$6:AN$546,'BM MORRO DA CRUZ - VERTICAL'!$O$6:$O$546,'BM MORRO DA CRUZ'!$K234),0)</f>
        <v>0</v>
      </c>
      <c r="AK234" s="63">
        <f t="shared" si="194"/>
        <v>0</v>
      </c>
      <c r="AL234" s="61">
        <f>IFERROR(SUMIFS('BM MORRO DA CRUZ - VERTICAL'!AP$6:AP$546,'BM MORRO DA CRUZ - VERTICAL'!$O$6:$O$546,'BM MORRO DA CRUZ'!$K234),0)</f>
        <v>0</v>
      </c>
      <c r="AM234" s="63">
        <f t="shared" si="195"/>
        <v>0</v>
      </c>
      <c r="AN234" s="61">
        <f>IFERROR(SUMIFS('BM MORRO DA CRUZ - VERTICAL'!AR$6:AR$546,'BM MORRO DA CRUZ - VERTICAL'!$O$6:$O$546,'BM MORRO DA CRUZ'!$K234),0)</f>
        <v>0</v>
      </c>
      <c r="AO234" s="63">
        <f t="shared" si="196"/>
        <v>0</v>
      </c>
      <c r="AP234" s="61">
        <f>IFERROR(SUMIFS('BM MORRO DA CRUZ - VERTICAL'!AT$6:AT$546,'BM MORRO DA CRUZ - VERTICAL'!$O$6:$O$546,'BM MORRO DA CRUZ'!$K234),0)</f>
        <v>0</v>
      </c>
      <c r="AQ234" s="63">
        <f t="shared" si="197"/>
        <v>0</v>
      </c>
      <c r="AR234" s="61">
        <f>IFERROR(SUMIFS('BM MORRO DA CRUZ - VERTICAL'!AV$6:AV$546,'BM MORRO DA CRUZ - VERTICAL'!$O$6:$O$546,'BM MORRO DA CRUZ'!$K234),0)</f>
        <v>0</v>
      </c>
      <c r="AS234" s="63">
        <f t="shared" si="198"/>
        <v>0</v>
      </c>
      <c r="AT234" s="61">
        <f>IFERROR(SUMIFS('BM MORRO DA CRUZ - VERTICAL'!AX$6:AX$546,'BM MORRO DA CRUZ - VERTICAL'!$O$6:$O$546,'BM MORRO DA CRUZ'!$K234),0)</f>
        <v>0</v>
      </c>
      <c r="AU234" s="63">
        <f t="shared" si="199"/>
        <v>0</v>
      </c>
      <c r="AV234" s="61">
        <f>IFERROR(SUMIFS('BM MORRO DA CRUZ - VERTICAL'!AZ$6:AZ$546,'BM MORRO DA CRUZ - VERTICAL'!$O$6:$O$546,'BM MORRO DA CRUZ'!$K234),0)</f>
        <v>0</v>
      </c>
      <c r="AW234" s="63">
        <f t="shared" si="200"/>
        <v>0</v>
      </c>
      <c r="AX234" s="61">
        <f>IFERROR(SUMIFS('BM MORRO DA CRUZ - VERTICAL'!BB$6:BB$546,'BM MORRO DA CRUZ - VERTICAL'!$O$6:$O$546,'BM MORRO DA CRUZ'!$K234),0)</f>
        <v>0</v>
      </c>
      <c r="AY234" s="63">
        <f t="shared" si="201"/>
        <v>0</v>
      </c>
      <c r="AZ234" s="61">
        <f>IFERROR(SUMIFS('BM MORRO DA CRUZ - VERTICAL'!BD$6:BD$546,'BM MORRO DA CRUZ - VERTICAL'!$O$6:$O$546,'BM MORRO DA CRUZ'!$K234),0)</f>
        <v>0</v>
      </c>
      <c r="BA234" s="63">
        <f t="shared" si="202"/>
        <v>0</v>
      </c>
      <c r="BB234" s="61">
        <f t="shared" si="203"/>
        <v>0</v>
      </c>
      <c r="BC234" s="63">
        <f t="shared" si="204"/>
        <v>0</v>
      </c>
      <c r="BD234" s="64">
        <f t="shared" si="205"/>
        <v>0</v>
      </c>
      <c r="BE234" s="65">
        <f t="shared" si="206"/>
        <v>1</v>
      </c>
      <c r="BF234" s="45"/>
    </row>
    <row r="235" spans="1:58" ht="35.65" x14ac:dyDescent="0.45">
      <c r="A235" s="56" t="s">
        <v>911</v>
      </c>
      <c r="B235" s="506" t="s">
        <v>1753</v>
      </c>
      <c r="C235" s="507" t="s">
        <v>39</v>
      </c>
      <c r="D235" s="507" t="s">
        <v>39</v>
      </c>
      <c r="E235" s="507" t="s">
        <v>1748</v>
      </c>
      <c r="F235" s="507" t="s">
        <v>39</v>
      </c>
      <c r="G235" s="507" t="s">
        <v>39</v>
      </c>
      <c r="H235" s="508" t="s">
        <v>1730</v>
      </c>
      <c r="I235" s="507" t="s">
        <v>1742</v>
      </c>
      <c r="J235" s="508" t="s">
        <v>1750</v>
      </c>
      <c r="K235" s="57" t="s">
        <v>912</v>
      </c>
      <c r="L235" s="58" t="s">
        <v>846</v>
      </c>
      <c r="M235" s="59" t="s">
        <v>913</v>
      </c>
      <c r="N235" s="60" t="s">
        <v>755</v>
      </c>
      <c r="O235" s="61">
        <v>83608.5</v>
      </c>
      <c r="P235" s="62">
        <v>6.79</v>
      </c>
      <c r="Q235" s="63">
        <f t="shared" si="184"/>
        <v>567701.72</v>
      </c>
      <c r="R235" s="61">
        <f>IFERROR(SUMIFS('BM MORRO DA CRUZ - VERTICAL'!V$6:V$546,'BM MORRO DA CRUZ - VERTICAL'!$O$6:$O$546,'BM MORRO DA CRUZ'!$K235),0)</f>
        <v>0</v>
      </c>
      <c r="S235" s="63">
        <f t="shared" si="185"/>
        <v>0</v>
      </c>
      <c r="T235" s="61">
        <f>IFERROR(SUMIFS('BM MORRO DA CRUZ - VERTICAL'!X$6:X$546,'BM MORRO DA CRUZ - VERTICAL'!$O$6:$O$546,'BM MORRO DA CRUZ'!$K235),0)</f>
        <v>0</v>
      </c>
      <c r="U235" s="63">
        <f t="shared" si="186"/>
        <v>0</v>
      </c>
      <c r="V235" s="61">
        <f>IFERROR(SUMIFS('BM MORRO DA CRUZ - VERTICAL'!Z$6:Z$546,'BM MORRO DA CRUZ - VERTICAL'!$O$6:$O$546,'BM MORRO DA CRUZ'!$K235),0)</f>
        <v>0</v>
      </c>
      <c r="W235" s="63">
        <f t="shared" si="187"/>
        <v>0</v>
      </c>
      <c r="X235" s="61">
        <f>IFERROR(SUMIFS('BM MORRO DA CRUZ - VERTICAL'!AB$6:AB$546,'BM MORRO DA CRUZ - VERTICAL'!$O$6:$O$546,'BM MORRO DA CRUZ'!$K235),0)</f>
        <v>0</v>
      </c>
      <c r="Y235" s="63">
        <f t="shared" si="188"/>
        <v>0</v>
      </c>
      <c r="Z235" s="61">
        <f>IFERROR(SUMIFS('BM MORRO DA CRUZ - VERTICAL'!AD$6:AD$546,'BM MORRO DA CRUZ - VERTICAL'!$O$6:$O$546,'BM MORRO DA CRUZ'!$K235),0)</f>
        <v>0</v>
      </c>
      <c r="AA235" s="63">
        <f t="shared" si="189"/>
        <v>0</v>
      </c>
      <c r="AB235" s="61">
        <f>IFERROR(SUMIFS('BM MORRO DA CRUZ - VERTICAL'!AF$6:AF$546,'BM MORRO DA CRUZ - VERTICAL'!$O$6:$O$546,'BM MORRO DA CRUZ'!$K235),0)</f>
        <v>0</v>
      </c>
      <c r="AC235" s="63">
        <f t="shared" si="190"/>
        <v>0</v>
      </c>
      <c r="AD235" s="61">
        <f>IFERROR(SUMIFS('BM MORRO DA CRUZ - VERTICAL'!AH$6:AH$546,'BM MORRO DA CRUZ - VERTICAL'!$O$6:$O$546,'BM MORRO DA CRUZ'!$K235),0)</f>
        <v>0</v>
      </c>
      <c r="AE235" s="63">
        <f t="shared" si="191"/>
        <v>0</v>
      </c>
      <c r="AF235" s="61">
        <f>IFERROR(SUMIFS('BM MORRO DA CRUZ - VERTICAL'!AJ$6:AJ$546,'BM MORRO DA CRUZ - VERTICAL'!$O$6:$O$546,'BM MORRO DA CRUZ'!$K235),0)</f>
        <v>0</v>
      </c>
      <c r="AG235" s="63">
        <f t="shared" si="192"/>
        <v>0</v>
      </c>
      <c r="AH235" s="61">
        <f>IFERROR(SUMIFS('BM MORRO DA CRUZ - VERTICAL'!AL$6:AL$546,'BM MORRO DA CRUZ - VERTICAL'!$O$6:$O$546,'BM MORRO DA CRUZ'!$K235),0)</f>
        <v>0</v>
      </c>
      <c r="AI235" s="63">
        <f t="shared" si="193"/>
        <v>0</v>
      </c>
      <c r="AJ235" s="61">
        <f>IFERROR(SUMIFS('BM MORRO DA CRUZ - VERTICAL'!AN$6:AN$546,'BM MORRO DA CRUZ - VERTICAL'!$O$6:$O$546,'BM MORRO DA CRUZ'!$K235),0)</f>
        <v>0</v>
      </c>
      <c r="AK235" s="63">
        <f t="shared" si="194"/>
        <v>0</v>
      </c>
      <c r="AL235" s="61">
        <f>IFERROR(SUMIFS('BM MORRO DA CRUZ - VERTICAL'!AP$6:AP$546,'BM MORRO DA CRUZ - VERTICAL'!$O$6:$O$546,'BM MORRO DA CRUZ'!$K235),0)</f>
        <v>0</v>
      </c>
      <c r="AM235" s="63">
        <f t="shared" si="195"/>
        <v>0</v>
      </c>
      <c r="AN235" s="61">
        <f>IFERROR(SUMIFS('BM MORRO DA CRUZ - VERTICAL'!AR$6:AR$546,'BM MORRO DA CRUZ - VERTICAL'!$O$6:$O$546,'BM MORRO DA CRUZ'!$K235),0)</f>
        <v>0</v>
      </c>
      <c r="AO235" s="63">
        <f t="shared" si="196"/>
        <v>0</v>
      </c>
      <c r="AP235" s="61">
        <f>IFERROR(SUMIFS('BM MORRO DA CRUZ - VERTICAL'!AT$6:AT$546,'BM MORRO DA CRUZ - VERTICAL'!$O$6:$O$546,'BM MORRO DA CRUZ'!$K235),0)</f>
        <v>0</v>
      </c>
      <c r="AQ235" s="63">
        <f t="shared" si="197"/>
        <v>0</v>
      </c>
      <c r="AR235" s="61">
        <f>IFERROR(SUMIFS('BM MORRO DA CRUZ - VERTICAL'!AV$6:AV$546,'BM MORRO DA CRUZ - VERTICAL'!$O$6:$O$546,'BM MORRO DA CRUZ'!$K235),0)</f>
        <v>0</v>
      </c>
      <c r="AS235" s="63">
        <f t="shared" si="198"/>
        <v>0</v>
      </c>
      <c r="AT235" s="61">
        <f>IFERROR(SUMIFS('BM MORRO DA CRUZ - VERTICAL'!AX$6:AX$546,'BM MORRO DA CRUZ - VERTICAL'!$O$6:$O$546,'BM MORRO DA CRUZ'!$K235),0)</f>
        <v>0</v>
      </c>
      <c r="AU235" s="63">
        <f t="shared" si="199"/>
        <v>0</v>
      </c>
      <c r="AV235" s="61">
        <f>IFERROR(SUMIFS('BM MORRO DA CRUZ - VERTICAL'!AZ$6:AZ$546,'BM MORRO DA CRUZ - VERTICAL'!$O$6:$O$546,'BM MORRO DA CRUZ'!$K235),0)</f>
        <v>0</v>
      </c>
      <c r="AW235" s="63">
        <f t="shared" si="200"/>
        <v>0</v>
      </c>
      <c r="AX235" s="61">
        <f>IFERROR(SUMIFS('BM MORRO DA CRUZ - VERTICAL'!BB$6:BB$546,'BM MORRO DA CRUZ - VERTICAL'!$O$6:$O$546,'BM MORRO DA CRUZ'!$K235),0)</f>
        <v>0</v>
      </c>
      <c r="AY235" s="63">
        <f t="shared" si="201"/>
        <v>0</v>
      </c>
      <c r="AZ235" s="61">
        <f>IFERROR(SUMIFS('BM MORRO DA CRUZ - VERTICAL'!BD$6:BD$546,'BM MORRO DA CRUZ - VERTICAL'!$O$6:$O$546,'BM MORRO DA CRUZ'!$K235),0)</f>
        <v>0</v>
      </c>
      <c r="BA235" s="63">
        <f t="shared" si="202"/>
        <v>0</v>
      </c>
      <c r="BB235" s="61">
        <f t="shared" si="203"/>
        <v>0</v>
      </c>
      <c r="BC235" s="63">
        <f t="shared" si="204"/>
        <v>0</v>
      </c>
      <c r="BD235" s="64">
        <f t="shared" si="205"/>
        <v>0</v>
      </c>
      <c r="BE235" s="65">
        <f t="shared" si="206"/>
        <v>1</v>
      </c>
      <c r="BF235" s="45"/>
    </row>
    <row r="236" spans="1:58" ht="26" customHeight="1" x14ac:dyDescent="0.45">
      <c r="A236" s="56" t="s">
        <v>914</v>
      </c>
      <c r="B236" s="506" t="s">
        <v>1754</v>
      </c>
      <c r="C236" s="507" t="s">
        <v>39</v>
      </c>
      <c r="D236" s="507" t="s">
        <v>39</v>
      </c>
      <c r="E236" s="507" t="s">
        <v>1755</v>
      </c>
      <c r="F236" s="507" t="s">
        <v>39</v>
      </c>
      <c r="G236" s="507" t="s">
        <v>39</v>
      </c>
      <c r="H236" s="508" t="s">
        <v>1756</v>
      </c>
      <c r="I236" s="507" t="s">
        <v>1742</v>
      </c>
      <c r="J236" s="508" t="s">
        <v>1757</v>
      </c>
      <c r="K236" s="57" t="s">
        <v>915</v>
      </c>
      <c r="L236" s="58" t="s">
        <v>846</v>
      </c>
      <c r="M236" s="59" t="s">
        <v>916</v>
      </c>
      <c r="N236" s="60" t="s">
        <v>755</v>
      </c>
      <c r="O236" s="61">
        <v>1055.75</v>
      </c>
      <c r="P236" s="62">
        <v>161.05000000000001</v>
      </c>
      <c r="Q236" s="63">
        <f t="shared" si="184"/>
        <v>170028.54</v>
      </c>
      <c r="R236" s="61">
        <f>IFERROR(SUMIFS('BM MORRO DA CRUZ - VERTICAL'!V$6:V$546,'BM MORRO DA CRUZ - VERTICAL'!$O$6:$O$546,'BM MORRO DA CRUZ'!$K236),0)</f>
        <v>0</v>
      </c>
      <c r="S236" s="63">
        <f t="shared" si="185"/>
        <v>0</v>
      </c>
      <c r="T236" s="61">
        <f>IFERROR(SUMIFS('BM MORRO DA CRUZ - VERTICAL'!X$6:X$546,'BM MORRO DA CRUZ - VERTICAL'!$O$6:$O$546,'BM MORRO DA CRUZ'!$K236),0)</f>
        <v>0</v>
      </c>
      <c r="U236" s="63">
        <f t="shared" si="186"/>
        <v>0</v>
      </c>
      <c r="V236" s="61">
        <f>IFERROR(SUMIFS('BM MORRO DA CRUZ - VERTICAL'!Z$6:Z$546,'BM MORRO DA CRUZ - VERTICAL'!$O$6:$O$546,'BM MORRO DA CRUZ'!$K236),0)</f>
        <v>0</v>
      </c>
      <c r="W236" s="63">
        <f t="shared" si="187"/>
        <v>0</v>
      </c>
      <c r="X236" s="61">
        <f>IFERROR(SUMIFS('BM MORRO DA CRUZ - VERTICAL'!AB$6:AB$546,'BM MORRO DA CRUZ - VERTICAL'!$O$6:$O$546,'BM MORRO DA CRUZ'!$K236),0)</f>
        <v>0</v>
      </c>
      <c r="Y236" s="63">
        <f t="shared" si="188"/>
        <v>0</v>
      </c>
      <c r="Z236" s="61">
        <f>IFERROR(SUMIFS('BM MORRO DA CRUZ - VERTICAL'!AD$6:AD$546,'BM MORRO DA CRUZ - VERTICAL'!$O$6:$O$546,'BM MORRO DA CRUZ'!$K236),0)</f>
        <v>0</v>
      </c>
      <c r="AA236" s="63">
        <f t="shared" si="189"/>
        <v>0</v>
      </c>
      <c r="AB236" s="61">
        <f>IFERROR(SUMIFS('BM MORRO DA CRUZ - VERTICAL'!AF$6:AF$546,'BM MORRO DA CRUZ - VERTICAL'!$O$6:$O$546,'BM MORRO DA CRUZ'!$K236),0)</f>
        <v>0</v>
      </c>
      <c r="AC236" s="63">
        <f t="shared" si="190"/>
        <v>0</v>
      </c>
      <c r="AD236" s="61">
        <f>IFERROR(SUMIFS('BM MORRO DA CRUZ - VERTICAL'!AH$6:AH$546,'BM MORRO DA CRUZ - VERTICAL'!$O$6:$O$546,'BM MORRO DA CRUZ'!$K236),0)</f>
        <v>0</v>
      </c>
      <c r="AE236" s="63">
        <f t="shared" si="191"/>
        <v>0</v>
      </c>
      <c r="AF236" s="61">
        <f>IFERROR(SUMIFS('BM MORRO DA CRUZ - VERTICAL'!AJ$6:AJ$546,'BM MORRO DA CRUZ - VERTICAL'!$O$6:$O$546,'BM MORRO DA CRUZ'!$K236),0)</f>
        <v>0</v>
      </c>
      <c r="AG236" s="63">
        <f t="shared" si="192"/>
        <v>0</v>
      </c>
      <c r="AH236" s="61">
        <f>IFERROR(SUMIFS('BM MORRO DA CRUZ - VERTICAL'!AL$6:AL$546,'BM MORRO DA CRUZ - VERTICAL'!$O$6:$O$546,'BM MORRO DA CRUZ'!$K236),0)</f>
        <v>0</v>
      </c>
      <c r="AI236" s="63">
        <f t="shared" si="193"/>
        <v>0</v>
      </c>
      <c r="AJ236" s="61">
        <f>IFERROR(SUMIFS('BM MORRO DA CRUZ - VERTICAL'!AN$6:AN$546,'BM MORRO DA CRUZ - VERTICAL'!$O$6:$O$546,'BM MORRO DA CRUZ'!$K236),0)</f>
        <v>0</v>
      </c>
      <c r="AK236" s="63">
        <f t="shared" si="194"/>
        <v>0</v>
      </c>
      <c r="AL236" s="61">
        <f>IFERROR(SUMIFS('BM MORRO DA CRUZ - VERTICAL'!AP$6:AP$546,'BM MORRO DA CRUZ - VERTICAL'!$O$6:$O$546,'BM MORRO DA CRUZ'!$K236),0)</f>
        <v>0</v>
      </c>
      <c r="AM236" s="63">
        <f t="shared" si="195"/>
        <v>0</v>
      </c>
      <c r="AN236" s="61">
        <f>IFERROR(SUMIFS('BM MORRO DA CRUZ - VERTICAL'!AR$6:AR$546,'BM MORRO DA CRUZ - VERTICAL'!$O$6:$O$546,'BM MORRO DA CRUZ'!$K236),0)</f>
        <v>0</v>
      </c>
      <c r="AO236" s="63">
        <f t="shared" si="196"/>
        <v>0</v>
      </c>
      <c r="AP236" s="61">
        <f>IFERROR(SUMIFS('BM MORRO DA CRUZ - VERTICAL'!AT$6:AT$546,'BM MORRO DA CRUZ - VERTICAL'!$O$6:$O$546,'BM MORRO DA CRUZ'!$K236),0)</f>
        <v>0</v>
      </c>
      <c r="AQ236" s="63">
        <f t="shared" si="197"/>
        <v>0</v>
      </c>
      <c r="AR236" s="61">
        <f>IFERROR(SUMIFS('BM MORRO DA CRUZ - VERTICAL'!AV$6:AV$546,'BM MORRO DA CRUZ - VERTICAL'!$O$6:$O$546,'BM MORRO DA CRUZ'!$K236),0)</f>
        <v>0</v>
      </c>
      <c r="AS236" s="63">
        <f t="shared" si="198"/>
        <v>0</v>
      </c>
      <c r="AT236" s="61">
        <f>IFERROR(SUMIFS('BM MORRO DA CRUZ - VERTICAL'!AX$6:AX$546,'BM MORRO DA CRUZ - VERTICAL'!$O$6:$O$546,'BM MORRO DA CRUZ'!$K236),0)</f>
        <v>0</v>
      </c>
      <c r="AU236" s="63">
        <f t="shared" si="199"/>
        <v>0</v>
      </c>
      <c r="AV236" s="61">
        <f>IFERROR(SUMIFS('BM MORRO DA CRUZ - VERTICAL'!AZ$6:AZ$546,'BM MORRO DA CRUZ - VERTICAL'!$O$6:$O$546,'BM MORRO DA CRUZ'!$K236),0)</f>
        <v>0</v>
      </c>
      <c r="AW236" s="63">
        <f t="shared" si="200"/>
        <v>0</v>
      </c>
      <c r="AX236" s="61">
        <f>IFERROR(SUMIFS('BM MORRO DA CRUZ - VERTICAL'!BB$6:BB$546,'BM MORRO DA CRUZ - VERTICAL'!$O$6:$O$546,'BM MORRO DA CRUZ'!$K236),0)</f>
        <v>0</v>
      </c>
      <c r="AY236" s="63">
        <f t="shared" si="201"/>
        <v>0</v>
      </c>
      <c r="AZ236" s="61">
        <f>IFERROR(SUMIFS('BM MORRO DA CRUZ - VERTICAL'!BD$6:BD$546,'BM MORRO DA CRUZ - VERTICAL'!$O$6:$O$546,'BM MORRO DA CRUZ'!$K236),0)</f>
        <v>0</v>
      </c>
      <c r="BA236" s="63">
        <f t="shared" si="202"/>
        <v>0</v>
      </c>
      <c r="BB236" s="61">
        <f t="shared" si="203"/>
        <v>0</v>
      </c>
      <c r="BC236" s="63">
        <f t="shared" si="204"/>
        <v>0</v>
      </c>
      <c r="BD236" s="64">
        <f t="shared" si="205"/>
        <v>0</v>
      </c>
      <c r="BE236" s="65">
        <f t="shared" si="206"/>
        <v>1</v>
      </c>
      <c r="BF236" s="45"/>
    </row>
    <row r="237" spans="1:58" ht="26" customHeight="1" x14ac:dyDescent="0.45">
      <c r="A237" s="56" t="s">
        <v>917</v>
      </c>
      <c r="B237" s="506" t="s">
        <v>919</v>
      </c>
      <c r="C237" s="507" t="s">
        <v>39</v>
      </c>
      <c r="D237" s="507" t="s">
        <v>39</v>
      </c>
      <c r="E237" s="507" t="s">
        <v>1757</v>
      </c>
      <c r="F237" s="507" t="s">
        <v>39</v>
      </c>
      <c r="G237" s="507" t="s">
        <v>39</v>
      </c>
      <c r="H237" s="508" t="s">
        <v>1758</v>
      </c>
      <c r="I237" s="507" t="s">
        <v>1742</v>
      </c>
      <c r="J237" s="508" t="s">
        <v>1757</v>
      </c>
      <c r="K237" s="57" t="s">
        <v>918</v>
      </c>
      <c r="L237" s="58" t="s">
        <v>846</v>
      </c>
      <c r="M237" s="59" t="s">
        <v>919</v>
      </c>
      <c r="N237" s="60" t="s">
        <v>755</v>
      </c>
      <c r="O237" s="61">
        <v>821.04</v>
      </c>
      <c r="P237" s="62">
        <v>89.06</v>
      </c>
      <c r="Q237" s="63">
        <f t="shared" si="184"/>
        <v>73121.820000000007</v>
      </c>
      <c r="R237" s="61">
        <f>IFERROR(SUMIFS('BM MORRO DA CRUZ - VERTICAL'!V$6:V$546,'BM MORRO DA CRUZ - VERTICAL'!$O$6:$O$546,'BM MORRO DA CRUZ'!$K237),0)</f>
        <v>0</v>
      </c>
      <c r="S237" s="63">
        <f t="shared" si="185"/>
        <v>0</v>
      </c>
      <c r="T237" s="61">
        <f>IFERROR(SUMIFS('BM MORRO DA CRUZ - VERTICAL'!X$6:X$546,'BM MORRO DA CRUZ - VERTICAL'!$O$6:$O$546,'BM MORRO DA CRUZ'!$K237),0)</f>
        <v>0</v>
      </c>
      <c r="U237" s="63">
        <f t="shared" si="186"/>
        <v>0</v>
      </c>
      <c r="V237" s="61">
        <f>IFERROR(SUMIFS('BM MORRO DA CRUZ - VERTICAL'!Z$6:Z$546,'BM MORRO DA CRUZ - VERTICAL'!$O$6:$O$546,'BM MORRO DA CRUZ'!$K237),0)</f>
        <v>0</v>
      </c>
      <c r="W237" s="63">
        <f t="shared" si="187"/>
        <v>0</v>
      </c>
      <c r="X237" s="61">
        <f>IFERROR(SUMIFS('BM MORRO DA CRUZ - VERTICAL'!AB$6:AB$546,'BM MORRO DA CRUZ - VERTICAL'!$O$6:$O$546,'BM MORRO DA CRUZ'!$K237),0)</f>
        <v>0</v>
      </c>
      <c r="Y237" s="63">
        <f t="shared" si="188"/>
        <v>0</v>
      </c>
      <c r="Z237" s="61">
        <f>IFERROR(SUMIFS('BM MORRO DA CRUZ - VERTICAL'!AD$6:AD$546,'BM MORRO DA CRUZ - VERTICAL'!$O$6:$O$546,'BM MORRO DA CRUZ'!$K237),0)</f>
        <v>0</v>
      </c>
      <c r="AA237" s="63">
        <f t="shared" si="189"/>
        <v>0</v>
      </c>
      <c r="AB237" s="61">
        <f>IFERROR(SUMIFS('BM MORRO DA CRUZ - VERTICAL'!AF$6:AF$546,'BM MORRO DA CRUZ - VERTICAL'!$O$6:$O$546,'BM MORRO DA CRUZ'!$K237),0)</f>
        <v>0</v>
      </c>
      <c r="AC237" s="63">
        <f t="shared" si="190"/>
        <v>0</v>
      </c>
      <c r="AD237" s="61">
        <f>IFERROR(SUMIFS('BM MORRO DA CRUZ - VERTICAL'!AH$6:AH$546,'BM MORRO DA CRUZ - VERTICAL'!$O$6:$O$546,'BM MORRO DA CRUZ'!$K237),0)</f>
        <v>0</v>
      </c>
      <c r="AE237" s="63">
        <f t="shared" si="191"/>
        <v>0</v>
      </c>
      <c r="AF237" s="61">
        <f>IFERROR(SUMIFS('BM MORRO DA CRUZ - VERTICAL'!AJ$6:AJ$546,'BM MORRO DA CRUZ - VERTICAL'!$O$6:$O$546,'BM MORRO DA CRUZ'!$K237),0)</f>
        <v>0</v>
      </c>
      <c r="AG237" s="63">
        <f t="shared" si="192"/>
        <v>0</v>
      </c>
      <c r="AH237" s="61">
        <f>IFERROR(SUMIFS('BM MORRO DA CRUZ - VERTICAL'!AL$6:AL$546,'BM MORRO DA CRUZ - VERTICAL'!$O$6:$O$546,'BM MORRO DA CRUZ'!$K237),0)</f>
        <v>0</v>
      </c>
      <c r="AI237" s="63">
        <f t="shared" si="193"/>
        <v>0</v>
      </c>
      <c r="AJ237" s="61">
        <f>IFERROR(SUMIFS('BM MORRO DA CRUZ - VERTICAL'!AN$6:AN$546,'BM MORRO DA CRUZ - VERTICAL'!$O$6:$O$546,'BM MORRO DA CRUZ'!$K237),0)</f>
        <v>0</v>
      </c>
      <c r="AK237" s="63">
        <f t="shared" si="194"/>
        <v>0</v>
      </c>
      <c r="AL237" s="61">
        <f>IFERROR(SUMIFS('BM MORRO DA CRUZ - VERTICAL'!AP$6:AP$546,'BM MORRO DA CRUZ - VERTICAL'!$O$6:$O$546,'BM MORRO DA CRUZ'!$K237),0)</f>
        <v>0</v>
      </c>
      <c r="AM237" s="63">
        <f t="shared" si="195"/>
        <v>0</v>
      </c>
      <c r="AN237" s="61">
        <f>IFERROR(SUMIFS('BM MORRO DA CRUZ - VERTICAL'!AR$6:AR$546,'BM MORRO DA CRUZ - VERTICAL'!$O$6:$O$546,'BM MORRO DA CRUZ'!$K237),0)</f>
        <v>0</v>
      </c>
      <c r="AO237" s="63">
        <f t="shared" si="196"/>
        <v>0</v>
      </c>
      <c r="AP237" s="61">
        <f>IFERROR(SUMIFS('BM MORRO DA CRUZ - VERTICAL'!AT$6:AT$546,'BM MORRO DA CRUZ - VERTICAL'!$O$6:$O$546,'BM MORRO DA CRUZ'!$K237),0)</f>
        <v>0</v>
      </c>
      <c r="AQ237" s="63">
        <f t="shared" si="197"/>
        <v>0</v>
      </c>
      <c r="AR237" s="61">
        <f>IFERROR(SUMIFS('BM MORRO DA CRUZ - VERTICAL'!AV$6:AV$546,'BM MORRO DA CRUZ - VERTICAL'!$O$6:$O$546,'BM MORRO DA CRUZ'!$K237),0)</f>
        <v>0</v>
      </c>
      <c r="AS237" s="63">
        <f t="shared" si="198"/>
        <v>0</v>
      </c>
      <c r="AT237" s="61">
        <f>IFERROR(SUMIFS('BM MORRO DA CRUZ - VERTICAL'!AX$6:AX$546,'BM MORRO DA CRUZ - VERTICAL'!$O$6:$O$546,'BM MORRO DA CRUZ'!$K237),0)</f>
        <v>0</v>
      </c>
      <c r="AU237" s="63">
        <f t="shared" si="199"/>
        <v>0</v>
      </c>
      <c r="AV237" s="61">
        <f>IFERROR(SUMIFS('BM MORRO DA CRUZ - VERTICAL'!AZ$6:AZ$546,'BM MORRO DA CRUZ - VERTICAL'!$O$6:$O$546,'BM MORRO DA CRUZ'!$K237),0)</f>
        <v>0</v>
      </c>
      <c r="AW237" s="63">
        <f t="shared" si="200"/>
        <v>0</v>
      </c>
      <c r="AX237" s="61">
        <f>IFERROR(SUMIFS('BM MORRO DA CRUZ - VERTICAL'!BB$6:BB$546,'BM MORRO DA CRUZ - VERTICAL'!$O$6:$O$546,'BM MORRO DA CRUZ'!$K237),0)</f>
        <v>0</v>
      </c>
      <c r="AY237" s="63">
        <f t="shared" si="201"/>
        <v>0</v>
      </c>
      <c r="AZ237" s="61">
        <f>IFERROR(SUMIFS('BM MORRO DA CRUZ - VERTICAL'!BD$6:BD$546,'BM MORRO DA CRUZ - VERTICAL'!$O$6:$O$546,'BM MORRO DA CRUZ'!$K237),0)</f>
        <v>0</v>
      </c>
      <c r="BA237" s="63">
        <f t="shared" si="202"/>
        <v>0</v>
      </c>
      <c r="BB237" s="61">
        <f t="shared" si="203"/>
        <v>0</v>
      </c>
      <c r="BC237" s="63">
        <f t="shared" si="204"/>
        <v>0</v>
      </c>
      <c r="BD237" s="64">
        <f t="shared" si="205"/>
        <v>0</v>
      </c>
      <c r="BE237" s="65">
        <f t="shared" si="206"/>
        <v>1</v>
      </c>
      <c r="BF237" s="45"/>
    </row>
    <row r="238" spans="1:58" ht="26" customHeight="1" x14ac:dyDescent="0.45">
      <c r="A238" s="56" t="s">
        <v>920</v>
      </c>
      <c r="B238" s="506" t="s">
        <v>1759</v>
      </c>
      <c r="C238" s="507" t="s">
        <v>39</v>
      </c>
      <c r="D238" s="507" t="s">
        <v>39</v>
      </c>
      <c r="E238" s="507" t="s">
        <v>1757</v>
      </c>
      <c r="F238" s="507" t="s">
        <v>39</v>
      </c>
      <c r="G238" s="507" t="s">
        <v>39</v>
      </c>
      <c r="H238" s="508" t="s">
        <v>1758</v>
      </c>
      <c r="I238" s="507" t="s">
        <v>1760</v>
      </c>
      <c r="J238" s="508" t="s">
        <v>1757</v>
      </c>
      <c r="K238" s="57" t="s">
        <v>921</v>
      </c>
      <c r="L238" s="58" t="s">
        <v>846</v>
      </c>
      <c r="M238" s="59" t="s">
        <v>922</v>
      </c>
      <c r="N238" s="60" t="s">
        <v>755</v>
      </c>
      <c r="O238" s="61">
        <v>128.22999999999999</v>
      </c>
      <c r="P238" s="62">
        <v>118.75</v>
      </c>
      <c r="Q238" s="63">
        <f t="shared" si="184"/>
        <v>15227.31</v>
      </c>
      <c r="R238" s="61">
        <f>IFERROR(SUMIFS('BM MORRO DA CRUZ - VERTICAL'!V$6:V$546,'BM MORRO DA CRUZ - VERTICAL'!$O$6:$O$546,'BM MORRO DA CRUZ'!$K238),0)</f>
        <v>0</v>
      </c>
      <c r="S238" s="63">
        <f t="shared" si="185"/>
        <v>0</v>
      </c>
      <c r="T238" s="61">
        <f>IFERROR(SUMIFS('BM MORRO DA CRUZ - VERTICAL'!X$6:X$546,'BM MORRO DA CRUZ - VERTICAL'!$O$6:$O$546,'BM MORRO DA CRUZ'!$K238),0)</f>
        <v>0</v>
      </c>
      <c r="U238" s="63">
        <f t="shared" si="186"/>
        <v>0</v>
      </c>
      <c r="V238" s="61">
        <f>IFERROR(SUMIFS('BM MORRO DA CRUZ - VERTICAL'!Z$6:Z$546,'BM MORRO DA CRUZ - VERTICAL'!$O$6:$O$546,'BM MORRO DA CRUZ'!$K238),0)</f>
        <v>0</v>
      </c>
      <c r="W238" s="63">
        <f t="shared" si="187"/>
        <v>0</v>
      </c>
      <c r="X238" s="61">
        <f>IFERROR(SUMIFS('BM MORRO DA CRUZ - VERTICAL'!AB$6:AB$546,'BM MORRO DA CRUZ - VERTICAL'!$O$6:$O$546,'BM MORRO DA CRUZ'!$K238),0)</f>
        <v>0</v>
      </c>
      <c r="Y238" s="63">
        <f t="shared" si="188"/>
        <v>0</v>
      </c>
      <c r="Z238" s="61">
        <f>IFERROR(SUMIFS('BM MORRO DA CRUZ - VERTICAL'!AD$6:AD$546,'BM MORRO DA CRUZ - VERTICAL'!$O$6:$O$546,'BM MORRO DA CRUZ'!$K238),0)</f>
        <v>0</v>
      </c>
      <c r="AA238" s="63">
        <f t="shared" si="189"/>
        <v>0</v>
      </c>
      <c r="AB238" s="61">
        <f>IFERROR(SUMIFS('BM MORRO DA CRUZ - VERTICAL'!AF$6:AF$546,'BM MORRO DA CRUZ - VERTICAL'!$O$6:$O$546,'BM MORRO DA CRUZ'!$K238),0)</f>
        <v>0</v>
      </c>
      <c r="AC238" s="63">
        <f t="shared" si="190"/>
        <v>0</v>
      </c>
      <c r="AD238" s="61">
        <f>IFERROR(SUMIFS('BM MORRO DA CRUZ - VERTICAL'!AH$6:AH$546,'BM MORRO DA CRUZ - VERTICAL'!$O$6:$O$546,'BM MORRO DA CRUZ'!$K238),0)</f>
        <v>0</v>
      </c>
      <c r="AE238" s="63">
        <f t="shared" si="191"/>
        <v>0</v>
      </c>
      <c r="AF238" s="61">
        <f>IFERROR(SUMIFS('BM MORRO DA CRUZ - VERTICAL'!AJ$6:AJ$546,'BM MORRO DA CRUZ - VERTICAL'!$O$6:$O$546,'BM MORRO DA CRUZ'!$K238),0)</f>
        <v>0</v>
      </c>
      <c r="AG238" s="63">
        <f t="shared" si="192"/>
        <v>0</v>
      </c>
      <c r="AH238" s="61">
        <f>IFERROR(SUMIFS('BM MORRO DA CRUZ - VERTICAL'!AL$6:AL$546,'BM MORRO DA CRUZ - VERTICAL'!$O$6:$O$546,'BM MORRO DA CRUZ'!$K238),0)</f>
        <v>0</v>
      </c>
      <c r="AI238" s="63">
        <f t="shared" si="193"/>
        <v>0</v>
      </c>
      <c r="AJ238" s="61">
        <f>IFERROR(SUMIFS('BM MORRO DA CRUZ - VERTICAL'!AN$6:AN$546,'BM MORRO DA CRUZ - VERTICAL'!$O$6:$O$546,'BM MORRO DA CRUZ'!$K238),0)</f>
        <v>0</v>
      </c>
      <c r="AK238" s="63">
        <f t="shared" si="194"/>
        <v>0</v>
      </c>
      <c r="AL238" s="61">
        <f>IFERROR(SUMIFS('BM MORRO DA CRUZ - VERTICAL'!AP$6:AP$546,'BM MORRO DA CRUZ - VERTICAL'!$O$6:$O$546,'BM MORRO DA CRUZ'!$K238),0)</f>
        <v>0</v>
      </c>
      <c r="AM238" s="63">
        <f t="shared" si="195"/>
        <v>0</v>
      </c>
      <c r="AN238" s="61">
        <f>IFERROR(SUMIFS('BM MORRO DA CRUZ - VERTICAL'!AR$6:AR$546,'BM MORRO DA CRUZ - VERTICAL'!$O$6:$O$546,'BM MORRO DA CRUZ'!$K238),0)</f>
        <v>0</v>
      </c>
      <c r="AO238" s="63">
        <f t="shared" si="196"/>
        <v>0</v>
      </c>
      <c r="AP238" s="61">
        <f>IFERROR(SUMIFS('BM MORRO DA CRUZ - VERTICAL'!AT$6:AT$546,'BM MORRO DA CRUZ - VERTICAL'!$O$6:$O$546,'BM MORRO DA CRUZ'!$K238),0)</f>
        <v>0</v>
      </c>
      <c r="AQ238" s="63">
        <f t="shared" si="197"/>
        <v>0</v>
      </c>
      <c r="AR238" s="61">
        <f>IFERROR(SUMIFS('BM MORRO DA CRUZ - VERTICAL'!AV$6:AV$546,'BM MORRO DA CRUZ - VERTICAL'!$O$6:$O$546,'BM MORRO DA CRUZ'!$K238),0)</f>
        <v>0</v>
      </c>
      <c r="AS238" s="63">
        <f t="shared" si="198"/>
        <v>0</v>
      </c>
      <c r="AT238" s="61">
        <f>IFERROR(SUMIFS('BM MORRO DA CRUZ - VERTICAL'!AX$6:AX$546,'BM MORRO DA CRUZ - VERTICAL'!$O$6:$O$546,'BM MORRO DA CRUZ'!$K238),0)</f>
        <v>0</v>
      </c>
      <c r="AU238" s="63">
        <f t="shared" si="199"/>
        <v>0</v>
      </c>
      <c r="AV238" s="61">
        <f>IFERROR(SUMIFS('BM MORRO DA CRUZ - VERTICAL'!AZ$6:AZ$546,'BM MORRO DA CRUZ - VERTICAL'!$O$6:$O$546,'BM MORRO DA CRUZ'!$K238),0)</f>
        <v>0</v>
      </c>
      <c r="AW238" s="63">
        <f t="shared" si="200"/>
        <v>0</v>
      </c>
      <c r="AX238" s="61">
        <f>IFERROR(SUMIFS('BM MORRO DA CRUZ - VERTICAL'!BB$6:BB$546,'BM MORRO DA CRUZ - VERTICAL'!$O$6:$O$546,'BM MORRO DA CRUZ'!$K238),0)</f>
        <v>0</v>
      </c>
      <c r="AY238" s="63">
        <f t="shared" si="201"/>
        <v>0</v>
      </c>
      <c r="AZ238" s="61">
        <f>IFERROR(SUMIFS('BM MORRO DA CRUZ - VERTICAL'!BD$6:BD$546,'BM MORRO DA CRUZ - VERTICAL'!$O$6:$O$546,'BM MORRO DA CRUZ'!$K238),0)</f>
        <v>0</v>
      </c>
      <c r="BA238" s="63">
        <f t="shared" si="202"/>
        <v>0</v>
      </c>
      <c r="BB238" s="61">
        <f t="shared" si="203"/>
        <v>0</v>
      </c>
      <c r="BC238" s="63">
        <f t="shared" si="204"/>
        <v>0</v>
      </c>
      <c r="BD238" s="64">
        <f t="shared" si="205"/>
        <v>0</v>
      </c>
      <c r="BE238" s="65">
        <f t="shared" si="206"/>
        <v>1</v>
      </c>
      <c r="BF238" s="45"/>
    </row>
    <row r="239" spans="1:58" ht="47.25" x14ac:dyDescent="0.45">
      <c r="A239" s="56" t="s">
        <v>923</v>
      </c>
      <c r="B239" s="506" t="s">
        <v>1761</v>
      </c>
      <c r="C239" s="507" t="s">
        <v>39</v>
      </c>
      <c r="D239" s="507" t="s">
        <v>39</v>
      </c>
      <c r="E239" s="507" t="s">
        <v>1757</v>
      </c>
      <c r="F239" s="507" t="s">
        <v>39</v>
      </c>
      <c r="G239" s="507" t="s">
        <v>39</v>
      </c>
      <c r="H239" s="508" t="s">
        <v>1762</v>
      </c>
      <c r="I239" s="507" t="s">
        <v>1742</v>
      </c>
      <c r="J239" s="508" t="s">
        <v>1757</v>
      </c>
      <c r="K239" s="57" t="s">
        <v>924</v>
      </c>
      <c r="L239" s="58" t="s">
        <v>846</v>
      </c>
      <c r="M239" s="59" t="s">
        <v>925</v>
      </c>
      <c r="N239" s="60" t="s">
        <v>755</v>
      </c>
      <c r="O239" s="61">
        <v>56694.3</v>
      </c>
      <c r="P239" s="62">
        <v>6.08</v>
      </c>
      <c r="Q239" s="63">
        <f t="shared" si="184"/>
        <v>344701.34</v>
      </c>
      <c r="R239" s="61">
        <f>IFERROR(SUMIFS('BM MORRO DA CRUZ - VERTICAL'!V$6:V$546,'BM MORRO DA CRUZ - VERTICAL'!$O$6:$O$546,'BM MORRO DA CRUZ'!$K239),0)</f>
        <v>0</v>
      </c>
      <c r="S239" s="63">
        <f t="shared" si="185"/>
        <v>0</v>
      </c>
      <c r="T239" s="61">
        <f>IFERROR(SUMIFS('BM MORRO DA CRUZ - VERTICAL'!X$6:X$546,'BM MORRO DA CRUZ - VERTICAL'!$O$6:$O$546,'BM MORRO DA CRUZ'!$K239),0)</f>
        <v>0</v>
      </c>
      <c r="U239" s="63">
        <f t="shared" si="186"/>
        <v>0</v>
      </c>
      <c r="V239" s="61">
        <f>IFERROR(SUMIFS('BM MORRO DA CRUZ - VERTICAL'!Z$6:Z$546,'BM MORRO DA CRUZ - VERTICAL'!$O$6:$O$546,'BM MORRO DA CRUZ'!$K239),0)</f>
        <v>0</v>
      </c>
      <c r="W239" s="63">
        <f t="shared" si="187"/>
        <v>0</v>
      </c>
      <c r="X239" s="61">
        <f>IFERROR(SUMIFS('BM MORRO DA CRUZ - VERTICAL'!AB$6:AB$546,'BM MORRO DA CRUZ - VERTICAL'!$O$6:$O$546,'BM MORRO DA CRUZ'!$K239),0)</f>
        <v>0</v>
      </c>
      <c r="Y239" s="63">
        <f t="shared" si="188"/>
        <v>0</v>
      </c>
      <c r="Z239" s="61">
        <f>IFERROR(SUMIFS('BM MORRO DA CRUZ - VERTICAL'!AD$6:AD$546,'BM MORRO DA CRUZ - VERTICAL'!$O$6:$O$546,'BM MORRO DA CRUZ'!$K239),0)</f>
        <v>0</v>
      </c>
      <c r="AA239" s="63">
        <f t="shared" si="189"/>
        <v>0</v>
      </c>
      <c r="AB239" s="61">
        <f>IFERROR(SUMIFS('BM MORRO DA CRUZ - VERTICAL'!AF$6:AF$546,'BM MORRO DA CRUZ - VERTICAL'!$O$6:$O$546,'BM MORRO DA CRUZ'!$K239),0)</f>
        <v>0</v>
      </c>
      <c r="AC239" s="63">
        <f t="shared" si="190"/>
        <v>0</v>
      </c>
      <c r="AD239" s="61">
        <f>IFERROR(SUMIFS('BM MORRO DA CRUZ - VERTICAL'!AH$6:AH$546,'BM MORRO DA CRUZ - VERTICAL'!$O$6:$O$546,'BM MORRO DA CRUZ'!$K239),0)</f>
        <v>0</v>
      </c>
      <c r="AE239" s="63">
        <f t="shared" si="191"/>
        <v>0</v>
      </c>
      <c r="AF239" s="61">
        <f>IFERROR(SUMIFS('BM MORRO DA CRUZ - VERTICAL'!AJ$6:AJ$546,'BM MORRO DA CRUZ - VERTICAL'!$O$6:$O$546,'BM MORRO DA CRUZ'!$K239),0)</f>
        <v>0</v>
      </c>
      <c r="AG239" s="63">
        <f t="shared" si="192"/>
        <v>0</v>
      </c>
      <c r="AH239" s="61">
        <f>IFERROR(SUMIFS('BM MORRO DA CRUZ - VERTICAL'!AL$6:AL$546,'BM MORRO DA CRUZ - VERTICAL'!$O$6:$O$546,'BM MORRO DA CRUZ'!$K239),0)</f>
        <v>0</v>
      </c>
      <c r="AI239" s="63">
        <f t="shared" si="193"/>
        <v>0</v>
      </c>
      <c r="AJ239" s="61">
        <f>IFERROR(SUMIFS('BM MORRO DA CRUZ - VERTICAL'!AN$6:AN$546,'BM MORRO DA CRUZ - VERTICAL'!$O$6:$O$546,'BM MORRO DA CRUZ'!$K239),0)</f>
        <v>0</v>
      </c>
      <c r="AK239" s="63">
        <f t="shared" si="194"/>
        <v>0</v>
      </c>
      <c r="AL239" s="61">
        <f>IFERROR(SUMIFS('BM MORRO DA CRUZ - VERTICAL'!AP$6:AP$546,'BM MORRO DA CRUZ - VERTICAL'!$O$6:$O$546,'BM MORRO DA CRUZ'!$K239),0)</f>
        <v>0</v>
      </c>
      <c r="AM239" s="63">
        <f t="shared" si="195"/>
        <v>0</v>
      </c>
      <c r="AN239" s="61">
        <f>IFERROR(SUMIFS('BM MORRO DA CRUZ - VERTICAL'!AR$6:AR$546,'BM MORRO DA CRUZ - VERTICAL'!$O$6:$O$546,'BM MORRO DA CRUZ'!$K239),0)</f>
        <v>0</v>
      </c>
      <c r="AO239" s="63">
        <f t="shared" si="196"/>
        <v>0</v>
      </c>
      <c r="AP239" s="61">
        <f>IFERROR(SUMIFS('BM MORRO DA CRUZ - VERTICAL'!AT$6:AT$546,'BM MORRO DA CRUZ - VERTICAL'!$O$6:$O$546,'BM MORRO DA CRUZ'!$K239),0)</f>
        <v>0</v>
      </c>
      <c r="AQ239" s="63">
        <f t="shared" si="197"/>
        <v>0</v>
      </c>
      <c r="AR239" s="61">
        <f>IFERROR(SUMIFS('BM MORRO DA CRUZ - VERTICAL'!AV$6:AV$546,'BM MORRO DA CRUZ - VERTICAL'!$O$6:$O$546,'BM MORRO DA CRUZ'!$K239),0)</f>
        <v>0</v>
      </c>
      <c r="AS239" s="63">
        <f t="shared" si="198"/>
        <v>0</v>
      </c>
      <c r="AT239" s="61">
        <f>IFERROR(SUMIFS('BM MORRO DA CRUZ - VERTICAL'!AX$6:AX$546,'BM MORRO DA CRUZ - VERTICAL'!$O$6:$O$546,'BM MORRO DA CRUZ'!$K239),0)</f>
        <v>0</v>
      </c>
      <c r="AU239" s="63">
        <f t="shared" si="199"/>
        <v>0</v>
      </c>
      <c r="AV239" s="61">
        <f>IFERROR(SUMIFS('BM MORRO DA CRUZ - VERTICAL'!AZ$6:AZ$546,'BM MORRO DA CRUZ - VERTICAL'!$O$6:$O$546,'BM MORRO DA CRUZ'!$K239),0)</f>
        <v>0</v>
      </c>
      <c r="AW239" s="63">
        <f t="shared" si="200"/>
        <v>0</v>
      </c>
      <c r="AX239" s="61">
        <f>IFERROR(SUMIFS('BM MORRO DA CRUZ - VERTICAL'!BB$6:BB$546,'BM MORRO DA CRUZ - VERTICAL'!$O$6:$O$546,'BM MORRO DA CRUZ'!$K239),0)</f>
        <v>0</v>
      </c>
      <c r="AY239" s="63">
        <f t="shared" si="201"/>
        <v>0</v>
      </c>
      <c r="AZ239" s="61">
        <f>IFERROR(SUMIFS('BM MORRO DA CRUZ - VERTICAL'!BD$6:BD$546,'BM MORRO DA CRUZ - VERTICAL'!$O$6:$O$546,'BM MORRO DA CRUZ'!$K239),0)</f>
        <v>0</v>
      </c>
      <c r="BA239" s="63">
        <f t="shared" si="202"/>
        <v>0</v>
      </c>
      <c r="BB239" s="61">
        <f t="shared" si="203"/>
        <v>0</v>
      </c>
      <c r="BC239" s="63">
        <f t="shared" si="204"/>
        <v>0</v>
      </c>
      <c r="BD239" s="64">
        <f t="shared" si="205"/>
        <v>0</v>
      </c>
      <c r="BE239" s="65">
        <f t="shared" si="206"/>
        <v>1</v>
      </c>
      <c r="BF239" s="45"/>
    </row>
    <row r="240" spans="1:58" ht="47.25" x14ac:dyDescent="0.45">
      <c r="A240" s="56" t="s">
        <v>926</v>
      </c>
      <c r="B240" s="506" t="s">
        <v>1763</v>
      </c>
      <c r="C240" s="507" t="s">
        <v>39</v>
      </c>
      <c r="D240" s="507" t="s">
        <v>39</v>
      </c>
      <c r="E240" s="507" t="s">
        <v>1757</v>
      </c>
      <c r="F240" s="507" t="s">
        <v>39</v>
      </c>
      <c r="G240" s="507" t="s">
        <v>39</v>
      </c>
      <c r="H240" s="508" t="s">
        <v>1764</v>
      </c>
      <c r="I240" s="507" t="s">
        <v>1742</v>
      </c>
      <c r="J240" s="508" t="s">
        <v>1757</v>
      </c>
      <c r="K240" s="57" t="s">
        <v>927</v>
      </c>
      <c r="L240" s="58" t="s">
        <v>846</v>
      </c>
      <c r="M240" s="59" t="s">
        <v>928</v>
      </c>
      <c r="N240" s="60" t="s">
        <v>755</v>
      </c>
      <c r="O240" s="61">
        <v>16424.12</v>
      </c>
      <c r="P240" s="62">
        <v>7.59</v>
      </c>
      <c r="Q240" s="63">
        <f t="shared" si="184"/>
        <v>124659.07</v>
      </c>
      <c r="R240" s="61">
        <f>IFERROR(SUMIFS('BM MORRO DA CRUZ - VERTICAL'!V$6:V$546,'BM MORRO DA CRUZ - VERTICAL'!$O$6:$O$546,'BM MORRO DA CRUZ'!$K240),0)</f>
        <v>0</v>
      </c>
      <c r="S240" s="63">
        <f t="shared" si="185"/>
        <v>0</v>
      </c>
      <c r="T240" s="61">
        <f>IFERROR(SUMIFS('BM MORRO DA CRUZ - VERTICAL'!X$6:X$546,'BM MORRO DA CRUZ - VERTICAL'!$O$6:$O$546,'BM MORRO DA CRUZ'!$K240),0)</f>
        <v>0</v>
      </c>
      <c r="U240" s="63">
        <f t="shared" si="186"/>
        <v>0</v>
      </c>
      <c r="V240" s="61">
        <f>IFERROR(SUMIFS('BM MORRO DA CRUZ - VERTICAL'!Z$6:Z$546,'BM MORRO DA CRUZ - VERTICAL'!$O$6:$O$546,'BM MORRO DA CRUZ'!$K240),0)</f>
        <v>0</v>
      </c>
      <c r="W240" s="63">
        <f t="shared" si="187"/>
        <v>0</v>
      </c>
      <c r="X240" s="61">
        <f>IFERROR(SUMIFS('BM MORRO DA CRUZ - VERTICAL'!AB$6:AB$546,'BM MORRO DA CRUZ - VERTICAL'!$O$6:$O$546,'BM MORRO DA CRUZ'!$K240),0)</f>
        <v>0</v>
      </c>
      <c r="Y240" s="63">
        <f t="shared" si="188"/>
        <v>0</v>
      </c>
      <c r="Z240" s="61">
        <f>IFERROR(SUMIFS('BM MORRO DA CRUZ - VERTICAL'!AD$6:AD$546,'BM MORRO DA CRUZ - VERTICAL'!$O$6:$O$546,'BM MORRO DA CRUZ'!$K240),0)</f>
        <v>0</v>
      </c>
      <c r="AA240" s="63">
        <f t="shared" si="189"/>
        <v>0</v>
      </c>
      <c r="AB240" s="61">
        <f>IFERROR(SUMIFS('BM MORRO DA CRUZ - VERTICAL'!AF$6:AF$546,'BM MORRO DA CRUZ - VERTICAL'!$O$6:$O$546,'BM MORRO DA CRUZ'!$K240),0)</f>
        <v>0</v>
      </c>
      <c r="AC240" s="63">
        <f t="shared" si="190"/>
        <v>0</v>
      </c>
      <c r="AD240" s="61">
        <f>IFERROR(SUMIFS('BM MORRO DA CRUZ - VERTICAL'!AH$6:AH$546,'BM MORRO DA CRUZ - VERTICAL'!$O$6:$O$546,'BM MORRO DA CRUZ'!$K240),0)</f>
        <v>0</v>
      </c>
      <c r="AE240" s="63">
        <f t="shared" si="191"/>
        <v>0</v>
      </c>
      <c r="AF240" s="61">
        <f>IFERROR(SUMIFS('BM MORRO DA CRUZ - VERTICAL'!AJ$6:AJ$546,'BM MORRO DA CRUZ - VERTICAL'!$O$6:$O$546,'BM MORRO DA CRUZ'!$K240),0)</f>
        <v>0</v>
      </c>
      <c r="AG240" s="63">
        <f t="shared" si="192"/>
        <v>0</v>
      </c>
      <c r="AH240" s="61">
        <f>IFERROR(SUMIFS('BM MORRO DA CRUZ - VERTICAL'!AL$6:AL$546,'BM MORRO DA CRUZ - VERTICAL'!$O$6:$O$546,'BM MORRO DA CRUZ'!$K240),0)</f>
        <v>0</v>
      </c>
      <c r="AI240" s="63">
        <f t="shared" si="193"/>
        <v>0</v>
      </c>
      <c r="AJ240" s="61">
        <f>IFERROR(SUMIFS('BM MORRO DA CRUZ - VERTICAL'!AN$6:AN$546,'BM MORRO DA CRUZ - VERTICAL'!$O$6:$O$546,'BM MORRO DA CRUZ'!$K240),0)</f>
        <v>0</v>
      </c>
      <c r="AK240" s="63">
        <f t="shared" si="194"/>
        <v>0</v>
      </c>
      <c r="AL240" s="61">
        <f>IFERROR(SUMIFS('BM MORRO DA CRUZ - VERTICAL'!AP$6:AP$546,'BM MORRO DA CRUZ - VERTICAL'!$O$6:$O$546,'BM MORRO DA CRUZ'!$K240),0)</f>
        <v>0</v>
      </c>
      <c r="AM240" s="63">
        <f t="shared" si="195"/>
        <v>0</v>
      </c>
      <c r="AN240" s="61">
        <f>IFERROR(SUMIFS('BM MORRO DA CRUZ - VERTICAL'!AR$6:AR$546,'BM MORRO DA CRUZ - VERTICAL'!$O$6:$O$546,'BM MORRO DA CRUZ'!$K240),0)</f>
        <v>0</v>
      </c>
      <c r="AO240" s="63">
        <f t="shared" si="196"/>
        <v>0</v>
      </c>
      <c r="AP240" s="61">
        <f>IFERROR(SUMIFS('BM MORRO DA CRUZ - VERTICAL'!AT$6:AT$546,'BM MORRO DA CRUZ - VERTICAL'!$O$6:$O$546,'BM MORRO DA CRUZ'!$K240),0)</f>
        <v>0</v>
      </c>
      <c r="AQ240" s="63">
        <f t="shared" si="197"/>
        <v>0</v>
      </c>
      <c r="AR240" s="61">
        <f>IFERROR(SUMIFS('BM MORRO DA CRUZ - VERTICAL'!AV$6:AV$546,'BM MORRO DA CRUZ - VERTICAL'!$O$6:$O$546,'BM MORRO DA CRUZ'!$K240),0)</f>
        <v>0</v>
      </c>
      <c r="AS240" s="63">
        <f t="shared" si="198"/>
        <v>0</v>
      </c>
      <c r="AT240" s="61">
        <f>IFERROR(SUMIFS('BM MORRO DA CRUZ - VERTICAL'!AX$6:AX$546,'BM MORRO DA CRUZ - VERTICAL'!$O$6:$O$546,'BM MORRO DA CRUZ'!$K240),0)</f>
        <v>0</v>
      </c>
      <c r="AU240" s="63">
        <f t="shared" si="199"/>
        <v>0</v>
      </c>
      <c r="AV240" s="61">
        <f>IFERROR(SUMIFS('BM MORRO DA CRUZ - VERTICAL'!AZ$6:AZ$546,'BM MORRO DA CRUZ - VERTICAL'!$O$6:$O$546,'BM MORRO DA CRUZ'!$K240),0)</f>
        <v>0</v>
      </c>
      <c r="AW240" s="63">
        <f t="shared" si="200"/>
        <v>0</v>
      </c>
      <c r="AX240" s="61">
        <f>IFERROR(SUMIFS('BM MORRO DA CRUZ - VERTICAL'!BB$6:BB$546,'BM MORRO DA CRUZ - VERTICAL'!$O$6:$O$546,'BM MORRO DA CRUZ'!$K240),0)</f>
        <v>0</v>
      </c>
      <c r="AY240" s="63">
        <f t="shared" si="201"/>
        <v>0</v>
      </c>
      <c r="AZ240" s="61">
        <f>IFERROR(SUMIFS('BM MORRO DA CRUZ - VERTICAL'!BD$6:BD$546,'BM MORRO DA CRUZ - VERTICAL'!$O$6:$O$546,'BM MORRO DA CRUZ'!$K240),0)</f>
        <v>0</v>
      </c>
      <c r="BA240" s="63">
        <f t="shared" si="202"/>
        <v>0</v>
      </c>
      <c r="BB240" s="61">
        <f t="shared" si="203"/>
        <v>0</v>
      </c>
      <c r="BC240" s="63">
        <f t="shared" si="204"/>
        <v>0</v>
      </c>
      <c r="BD240" s="64">
        <f t="shared" si="205"/>
        <v>0</v>
      </c>
      <c r="BE240" s="65">
        <f t="shared" si="206"/>
        <v>1</v>
      </c>
      <c r="BF240" s="45"/>
    </row>
    <row r="241" spans="1:58" ht="35.65" x14ac:dyDescent="0.45">
      <c r="A241" s="56" t="s">
        <v>929</v>
      </c>
      <c r="B241" s="506" t="s">
        <v>1765</v>
      </c>
      <c r="C241" s="507" t="s">
        <v>39</v>
      </c>
      <c r="D241" s="507" t="s">
        <v>39</v>
      </c>
      <c r="E241" s="507" t="s">
        <v>1757</v>
      </c>
      <c r="F241" s="507" t="s">
        <v>39</v>
      </c>
      <c r="G241" s="507" t="s">
        <v>39</v>
      </c>
      <c r="H241" s="508" t="s">
        <v>1758</v>
      </c>
      <c r="I241" s="507" t="s">
        <v>1742</v>
      </c>
      <c r="J241" s="508" t="s">
        <v>1757</v>
      </c>
      <c r="K241" s="57" t="s">
        <v>930</v>
      </c>
      <c r="L241" s="58" t="s">
        <v>846</v>
      </c>
      <c r="M241" s="59" t="s">
        <v>931</v>
      </c>
      <c r="N241" s="60" t="s">
        <v>755</v>
      </c>
      <c r="O241" s="61">
        <v>8210.35</v>
      </c>
      <c r="P241" s="62">
        <v>7.94</v>
      </c>
      <c r="Q241" s="63">
        <f t="shared" si="184"/>
        <v>65190.18</v>
      </c>
      <c r="R241" s="61">
        <f>IFERROR(SUMIFS('BM MORRO DA CRUZ - VERTICAL'!V$6:V$546,'BM MORRO DA CRUZ - VERTICAL'!$O$6:$O$546,'BM MORRO DA CRUZ'!$K241),0)</f>
        <v>0</v>
      </c>
      <c r="S241" s="63">
        <f t="shared" si="185"/>
        <v>0</v>
      </c>
      <c r="T241" s="61">
        <f>IFERROR(SUMIFS('BM MORRO DA CRUZ - VERTICAL'!X$6:X$546,'BM MORRO DA CRUZ - VERTICAL'!$O$6:$O$546,'BM MORRO DA CRUZ'!$K241),0)</f>
        <v>0</v>
      </c>
      <c r="U241" s="63">
        <f t="shared" si="186"/>
        <v>0</v>
      </c>
      <c r="V241" s="61">
        <f>IFERROR(SUMIFS('BM MORRO DA CRUZ - VERTICAL'!Z$6:Z$546,'BM MORRO DA CRUZ - VERTICAL'!$O$6:$O$546,'BM MORRO DA CRUZ'!$K241),0)</f>
        <v>0</v>
      </c>
      <c r="W241" s="63">
        <f t="shared" si="187"/>
        <v>0</v>
      </c>
      <c r="X241" s="61">
        <f>IFERROR(SUMIFS('BM MORRO DA CRUZ - VERTICAL'!AB$6:AB$546,'BM MORRO DA CRUZ - VERTICAL'!$O$6:$O$546,'BM MORRO DA CRUZ'!$K241),0)</f>
        <v>0</v>
      </c>
      <c r="Y241" s="63">
        <f t="shared" si="188"/>
        <v>0</v>
      </c>
      <c r="Z241" s="61">
        <f>IFERROR(SUMIFS('BM MORRO DA CRUZ - VERTICAL'!AD$6:AD$546,'BM MORRO DA CRUZ - VERTICAL'!$O$6:$O$546,'BM MORRO DA CRUZ'!$K241),0)</f>
        <v>0</v>
      </c>
      <c r="AA241" s="63">
        <f t="shared" si="189"/>
        <v>0</v>
      </c>
      <c r="AB241" s="61">
        <f>IFERROR(SUMIFS('BM MORRO DA CRUZ - VERTICAL'!AF$6:AF$546,'BM MORRO DA CRUZ - VERTICAL'!$O$6:$O$546,'BM MORRO DA CRUZ'!$K241),0)</f>
        <v>0</v>
      </c>
      <c r="AC241" s="63">
        <f t="shared" si="190"/>
        <v>0</v>
      </c>
      <c r="AD241" s="61">
        <f>IFERROR(SUMIFS('BM MORRO DA CRUZ - VERTICAL'!AH$6:AH$546,'BM MORRO DA CRUZ - VERTICAL'!$O$6:$O$546,'BM MORRO DA CRUZ'!$K241),0)</f>
        <v>0</v>
      </c>
      <c r="AE241" s="63">
        <f t="shared" si="191"/>
        <v>0</v>
      </c>
      <c r="AF241" s="61">
        <f>IFERROR(SUMIFS('BM MORRO DA CRUZ - VERTICAL'!AJ$6:AJ$546,'BM MORRO DA CRUZ - VERTICAL'!$O$6:$O$546,'BM MORRO DA CRUZ'!$K241),0)</f>
        <v>0</v>
      </c>
      <c r="AG241" s="63">
        <f t="shared" si="192"/>
        <v>0</v>
      </c>
      <c r="AH241" s="61">
        <f>IFERROR(SUMIFS('BM MORRO DA CRUZ - VERTICAL'!AL$6:AL$546,'BM MORRO DA CRUZ - VERTICAL'!$O$6:$O$546,'BM MORRO DA CRUZ'!$K241),0)</f>
        <v>0</v>
      </c>
      <c r="AI241" s="63">
        <f t="shared" si="193"/>
        <v>0</v>
      </c>
      <c r="AJ241" s="61">
        <f>IFERROR(SUMIFS('BM MORRO DA CRUZ - VERTICAL'!AN$6:AN$546,'BM MORRO DA CRUZ - VERTICAL'!$O$6:$O$546,'BM MORRO DA CRUZ'!$K241),0)</f>
        <v>0</v>
      </c>
      <c r="AK241" s="63">
        <f t="shared" si="194"/>
        <v>0</v>
      </c>
      <c r="AL241" s="61">
        <f>IFERROR(SUMIFS('BM MORRO DA CRUZ - VERTICAL'!AP$6:AP$546,'BM MORRO DA CRUZ - VERTICAL'!$O$6:$O$546,'BM MORRO DA CRUZ'!$K241),0)</f>
        <v>0</v>
      </c>
      <c r="AM241" s="63">
        <f t="shared" si="195"/>
        <v>0</v>
      </c>
      <c r="AN241" s="61">
        <f>IFERROR(SUMIFS('BM MORRO DA CRUZ - VERTICAL'!AR$6:AR$546,'BM MORRO DA CRUZ - VERTICAL'!$O$6:$O$546,'BM MORRO DA CRUZ'!$K241),0)</f>
        <v>0</v>
      </c>
      <c r="AO241" s="63">
        <f t="shared" si="196"/>
        <v>0</v>
      </c>
      <c r="AP241" s="61">
        <f>IFERROR(SUMIFS('BM MORRO DA CRUZ - VERTICAL'!AT$6:AT$546,'BM MORRO DA CRUZ - VERTICAL'!$O$6:$O$546,'BM MORRO DA CRUZ'!$K241),0)</f>
        <v>0</v>
      </c>
      <c r="AQ241" s="63">
        <f t="shared" si="197"/>
        <v>0</v>
      </c>
      <c r="AR241" s="61">
        <f>IFERROR(SUMIFS('BM MORRO DA CRUZ - VERTICAL'!AV$6:AV$546,'BM MORRO DA CRUZ - VERTICAL'!$O$6:$O$546,'BM MORRO DA CRUZ'!$K241),0)</f>
        <v>0</v>
      </c>
      <c r="AS241" s="63">
        <f t="shared" si="198"/>
        <v>0</v>
      </c>
      <c r="AT241" s="61">
        <f>IFERROR(SUMIFS('BM MORRO DA CRUZ - VERTICAL'!AX$6:AX$546,'BM MORRO DA CRUZ - VERTICAL'!$O$6:$O$546,'BM MORRO DA CRUZ'!$K241),0)</f>
        <v>0</v>
      </c>
      <c r="AU241" s="63">
        <f t="shared" si="199"/>
        <v>0</v>
      </c>
      <c r="AV241" s="61">
        <f>IFERROR(SUMIFS('BM MORRO DA CRUZ - VERTICAL'!AZ$6:AZ$546,'BM MORRO DA CRUZ - VERTICAL'!$O$6:$O$546,'BM MORRO DA CRUZ'!$K241),0)</f>
        <v>0</v>
      </c>
      <c r="AW241" s="63">
        <f t="shared" si="200"/>
        <v>0</v>
      </c>
      <c r="AX241" s="61">
        <f>IFERROR(SUMIFS('BM MORRO DA CRUZ - VERTICAL'!BB$6:BB$546,'BM MORRO DA CRUZ - VERTICAL'!$O$6:$O$546,'BM MORRO DA CRUZ'!$K241),0)</f>
        <v>0</v>
      </c>
      <c r="AY241" s="63">
        <f t="shared" si="201"/>
        <v>0</v>
      </c>
      <c r="AZ241" s="61">
        <f>IFERROR(SUMIFS('BM MORRO DA CRUZ - VERTICAL'!BD$6:BD$546,'BM MORRO DA CRUZ - VERTICAL'!$O$6:$O$546,'BM MORRO DA CRUZ'!$K241),0)</f>
        <v>0</v>
      </c>
      <c r="BA241" s="63">
        <f t="shared" si="202"/>
        <v>0</v>
      </c>
      <c r="BB241" s="61">
        <f t="shared" si="203"/>
        <v>0</v>
      </c>
      <c r="BC241" s="63">
        <f t="shared" si="204"/>
        <v>0</v>
      </c>
      <c r="BD241" s="64">
        <f t="shared" si="205"/>
        <v>0</v>
      </c>
      <c r="BE241" s="65">
        <f t="shared" si="206"/>
        <v>1</v>
      </c>
      <c r="BF241" s="45"/>
    </row>
    <row r="242" spans="1:58" ht="47.25" x14ac:dyDescent="0.45">
      <c r="A242" s="56" t="s">
        <v>932</v>
      </c>
      <c r="B242" s="506" t="s">
        <v>1766</v>
      </c>
      <c r="C242" s="507" t="s">
        <v>39</v>
      </c>
      <c r="D242" s="507" t="s">
        <v>39</v>
      </c>
      <c r="E242" s="507" t="s">
        <v>1757</v>
      </c>
      <c r="F242" s="507" t="s">
        <v>39</v>
      </c>
      <c r="G242" s="507" t="s">
        <v>39</v>
      </c>
      <c r="H242" s="508" t="s">
        <v>1758</v>
      </c>
      <c r="I242" s="507" t="s">
        <v>1760</v>
      </c>
      <c r="J242" s="508" t="s">
        <v>1757</v>
      </c>
      <c r="K242" s="57" t="s">
        <v>933</v>
      </c>
      <c r="L242" s="58" t="s">
        <v>846</v>
      </c>
      <c r="M242" s="59" t="s">
        <v>934</v>
      </c>
      <c r="N242" s="60" t="s">
        <v>755</v>
      </c>
      <c r="O242" s="61">
        <v>1282.33</v>
      </c>
      <c r="P242" s="62">
        <v>7.45</v>
      </c>
      <c r="Q242" s="63">
        <f t="shared" si="184"/>
        <v>9553.36</v>
      </c>
      <c r="R242" s="61">
        <f>IFERROR(SUMIFS('BM MORRO DA CRUZ - VERTICAL'!V$6:V$546,'BM MORRO DA CRUZ - VERTICAL'!$O$6:$O$546,'BM MORRO DA CRUZ'!$K242),0)</f>
        <v>0</v>
      </c>
      <c r="S242" s="63">
        <f t="shared" si="185"/>
        <v>0</v>
      </c>
      <c r="T242" s="61">
        <f>IFERROR(SUMIFS('BM MORRO DA CRUZ - VERTICAL'!X$6:X$546,'BM MORRO DA CRUZ - VERTICAL'!$O$6:$O$546,'BM MORRO DA CRUZ'!$K242),0)</f>
        <v>0</v>
      </c>
      <c r="U242" s="63">
        <f t="shared" si="186"/>
        <v>0</v>
      </c>
      <c r="V242" s="61">
        <f>IFERROR(SUMIFS('BM MORRO DA CRUZ - VERTICAL'!Z$6:Z$546,'BM MORRO DA CRUZ - VERTICAL'!$O$6:$O$546,'BM MORRO DA CRUZ'!$K242),0)</f>
        <v>0</v>
      </c>
      <c r="W242" s="63">
        <f t="shared" si="187"/>
        <v>0</v>
      </c>
      <c r="X242" s="61">
        <f>IFERROR(SUMIFS('BM MORRO DA CRUZ - VERTICAL'!AB$6:AB$546,'BM MORRO DA CRUZ - VERTICAL'!$O$6:$O$546,'BM MORRO DA CRUZ'!$K242),0)</f>
        <v>0</v>
      </c>
      <c r="Y242" s="63">
        <f t="shared" si="188"/>
        <v>0</v>
      </c>
      <c r="Z242" s="61">
        <f>IFERROR(SUMIFS('BM MORRO DA CRUZ - VERTICAL'!AD$6:AD$546,'BM MORRO DA CRUZ - VERTICAL'!$O$6:$O$546,'BM MORRO DA CRUZ'!$K242),0)</f>
        <v>0</v>
      </c>
      <c r="AA242" s="63">
        <f t="shared" si="189"/>
        <v>0</v>
      </c>
      <c r="AB242" s="61">
        <f>IFERROR(SUMIFS('BM MORRO DA CRUZ - VERTICAL'!AF$6:AF$546,'BM MORRO DA CRUZ - VERTICAL'!$O$6:$O$546,'BM MORRO DA CRUZ'!$K242),0)</f>
        <v>0</v>
      </c>
      <c r="AC242" s="63">
        <f t="shared" si="190"/>
        <v>0</v>
      </c>
      <c r="AD242" s="61">
        <f>IFERROR(SUMIFS('BM MORRO DA CRUZ - VERTICAL'!AH$6:AH$546,'BM MORRO DA CRUZ - VERTICAL'!$O$6:$O$546,'BM MORRO DA CRUZ'!$K242),0)</f>
        <v>0</v>
      </c>
      <c r="AE242" s="63">
        <f t="shared" si="191"/>
        <v>0</v>
      </c>
      <c r="AF242" s="61">
        <f>IFERROR(SUMIFS('BM MORRO DA CRUZ - VERTICAL'!AJ$6:AJ$546,'BM MORRO DA CRUZ - VERTICAL'!$O$6:$O$546,'BM MORRO DA CRUZ'!$K242),0)</f>
        <v>0</v>
      </c>
      <c r="AG242" s="63">
        <f t="shared" si="192"/>
        <v>0</v>
      </c>
      <c r="AH242" s="61">
        <f>IFERROR(SUMIFS('BM MORRO DA CRUZ - VERTICAL'!AL$6:AL$546,'BM MORRO DA CRUZ - VERTICAL'!$O$6:$O$546,'BM MORRO DA CRUZ'!$K242),0)</f>
        <v>0</v>
      </c>
      <c r="AI242" s="63">
        <f t="shared" si="193"/>
        <v>0</v>
      </c>
      <c r="AJ242" s="61">
        <f>IFERROR(SUMIFS('BM MORRO DA CRUZ - VERTICAL'!AN$6:AN$546,'BM MORRO DA CRUZ - VERTICAL'!$O$6:$O$546,'BM MORRO DA CRUZ'!$K242),0)</f>
        <v>0</v>
      </c>
      <c r="AK242" s="63">
        <f t="shared" si="194"/>
        <v>0</v>
      </c>
      <c r="AL242" s="61">
        <f>IFERROR(SUMIFS('BM MORRO DA CRUZ - VERTICAL'!AP$6:AP$546,'BM MORRO DA CRUZ - VERTICAL'!$O$6:$O$546,'BM MORRO DA CRUZ'!$K242),0)</f>
        <v>0</v>
      </c>
      <c r="AM242" s="63">
        <f t="shared" si="195"/>
        <v>0</v>
      </c>
      <c r="AN242" s="61">
        <f>IFERROR(SUMIFS('BM MORRO DA CRUZ - VERTICAL'!AR$6:AR$546,'BM MORRO DA CRUZ - VERTICAL'!$O$6:$O$546,'BM MORRO DA CRUZ'!$K242),0)</f>
        <v>0</v>
      </c>
      <c r="AO242" s="63">
        <f t="shared" si="196"/>
        <v>0</v>
      </c>
      <c r="AP242" s="61">
        <f>IFERROR(SUMIFS('BM MORRO DA CRUZ - VERTICAL'!AT$6:AT$546,'BM MORRO DA CRUZ - VERTICAL'!$O$6:$O$546,'BM MORRO DA CRUZ'!$K242),0)</f>
        <v>0</v>
      </c>
      <c r="AQ242" s="63">
        <f t="shared" si="197"/>
        <v>0</v>
      </c>
      <c r="AR242" s="61">
        <f>IFERROR(SUMIFS('BM MORRO DA CRUZ - VERTICAL'!AV$6:AV$546,'BM MORRO DA CRUZ - VERTICAL'!$O$6:$O$546,'BM MORRO DA CRUZ'!$K242),0)</f>
        <v>0</v>
      </c>
      <c r="AS242" s="63">
        <f t="shared" si="198"/>
        <v>0</v>
      </c>
      <c r="AT242" s="61">
        <f>IFERROR(SUMIFS('BM MORRO DA CRUZ - VERTICAL'!AX$6:AX$546,'BM MORRO DA CRUZ - VERTICAL'!$O$6:$O$546,'BM MORRO DA CRUZ'!$K242),0)</f>
        <v>0</v>
      </c>
      <c r="AU242" s="63">
        <f t="shared" si="199"/>
        <v>0</v>
      </c>
      <c r="AV242" s="61">
        <f>IFERROR(SUMIFS('BM MORRO DA CRUZ - VERTICAL'!AZ$6:AZ$546,'BM MORRO DA CRUZ - VERTICAL'!$O$6:$O$546,'BM MORRO DA CRUZ'!$K242),0)</f>
        <v>0</v>
      </c>
      <c r="AW242" s="63">
        <f t="shared" si="200"/>
        <v>0</v>
      </c>
      <c r="AX242" s="61">
        <f>IFERROR(SUMIFS('BM MORRO DA CRUZ - VERTICAL'!BB$6:BB$546,'BM MORRO DA CRUZ - VERTICAL'!$O$6:$O$546,'BM MORRO DA CRUZ'!$K242),0)</f>
        <v>0</v>
      </c>
      <c r="AY242" s="63">
        <f t="shared" si="201"/>
        <v>0</v>
      </c>
      <c r="AZ242" s="61">
        <f>IFERROR(SUMIFS('BM MORRO DA CRUZ - VERTICAL'!BD$6:BD$546,'BM MORRO DA CRUZ - VERTICAL'!$O$6:$O$546,'BM MORRO DA CRUZ'!$K242),0)</f>
        <v>0</v>
      </c>
      <c r="BA242" s="63">
        <f t="shared" si="202"/>
        <v>0</v>
      </c>
      <c r="BB242" s="61">
        <f t="shared" si="203"/>
        <v>0</v>
      </c>
      <c r="BC242" s="63">
        <f t="shared" si="204"/>
        <v>0</v>
      </c>
      <c r="BD242" s="64">
        <f t="shared" si="205"/>
        <v>0</v>
      </c>
      <c r="BE242" s="65">
        <f t="shared" si="206"/>
        <v>1</v>
      </c>
      <c r="BF242" s="45"/>
    </row>
    <row r="243" spans="1:58" ht="47.25" x14ac:dyDescent="0.45">
      <c r="A243" s="56" t="s">
        <v>935</v>
      </c>
      <c r="B243" s="506" t="s">
        <v>1767</v>
      </c>
      <c r="C243" s="507" t="s">
        <v>39</v>
      </c>
      <c r="D243" s="507" t="s">
        <v>39</v>
      </c>
      <c r="E243" s="507" t="s">
        <v>1757</v>
      </c>
      <c r="F243" s="507" t="s">
        <v>39</v>
      </c>
      <c r="G243" s="507" t="s">
        <v>39</v>
      </c>
      <c r="H243" s="508" t="s">
        <v>1762</v>
      </c>
      <c r="I243" s="507" t="s">
        <v>1760</v>
      </c>
      <c r="J243" s="508" t="s">
        <v>1757</v>
      </c>
      <c r="K243" s="57" t="s">
        <v>936</v>
      </c>
      <c r="L243" s="58" t="s">
        <v>846</v>
      </c>
      <c r="M243" s="59" t="s">
        <v>937</v>
      </c>
      <c r="N243" s="60" t="s">
        <v>755</v>
      </c>
      <c r="O243" s="61">
        <v>9769.25</v>
      </c>
      <c r="P243" s="62">
        <v>5.69</v>
      </c>
      <c r="Q243" s="63">
        <f t="shared" si="184"/>
        <v>55587.03</v>
      </c>
      <c r="R243" s="61">
        <f>IFERROR(SUMIFS('BM MORRO DA CRUZ - VERTICAL'!V$6:V$546,'BM MORRO DA CRUZ - VERTICAL'!$O$6:$O$546,'BM MORRO DA CRUZ'!$K243),0)</f>
        <v>0</v>
      </c>
      <c r="S243" s="63">
        <f t="shared" si="185"/>
        <v>0</v>
      </c>
      <c r="T243" s="61">
        <f>IFERROR(SUMIFS('BM MORRO DA CRUZ - VERTICAL'!X$6:X$546,'BM MORRO DA CRUZ - VERTICAL'!$O$6:$O$546,'BM MORRO DA CRUZ'!$K243),0)</f>
        <v>0</v>
      </c>
      <c r="U243" s="63">
        <f t="shared" si="186"/>
        <v>0</v>
      </c>
      <c r="V243" s="61">
        <f>IFERROR(SUMIFS('BM MORRO DA CRUZ - VERTICAL'!Z$6:Z$546,'BM MORRO DA CRUZ - VERTICAL'!$O$6:$O$546,'BM MORRO DA CRUZ'!$K243),0)</f>
        <v>0</v>
      </c>
      <c r="W243" s="63">
        <f t="shared" si="187"/>
        <v>0</v>
      </c>
      <c r="X243" s="61">
        <f>IFERROR(SUMIFS('BM MORRO DA CRUZ - VERTICAL'!AB$6:AB$546,'BM MORRO DA CRUZ - VERTICAL'!$O$6:$O$546,'BM MORRO DA CRUZ'!$K243),0)</f>
        <v>0</v>
      </c>
      <c r="Y243" s="63">
        <f t="shared" si="188"/>
        <v>0</v>
      </c>
      <c r="Z243" s="61">
        <f>IFERROR(SUMIFS('BM MORRO DA CRUZ - VERTICAL'!AD$6:AD$546,'BM MORRO DA CRUZ - VERTICAL'!$O$6:$O$546,'BM MORRO DA CRUZ'!$K243),0)</f>
        <v>0</v>
      </c>
      <c r="AA243" s="63">
        <f t="shared" si="189"/>
        <v>0</v>
      </c>
      <c r="AB243" s="61">
        <f>IFERROR(SUMIFS('BM MORRO DA CRUZ - VERTICAL'!AF$6:AF$546,'BM MORRO DA CRUZ - VERTICAL'!$O$6:$O$546,'BM MORRO DA CRUZ'!$K243),0)</f>
        <v>0</v>
      </c>
      <c r="AC243" s="63">
        <f t="shared" si="190"/>
        <v>0</v>
      </c>
      <c r="AD243" s="61">
        <f>IFERROR(SUMIFS('BM MORRO DA CRUZ - VERTICAL'!AH$6:AH$546,'BM MORRO DA CRUZ - VERTICAL'!$O$6:$O$546,'BM MORRO DA CRUZ'!$K243),0)</f>
        <v>0</v>
      </c>
      <c r="AE243" s="63">
        <f t="shared" si="191"/>
        <v>0</v>
      </c>
      <c r="AF243" s="61">
        <f>IFERROR(SUMIFS('BM MORRO DA CRUZ - VERTICAL'!AJ$6:AJ$546,'BM MORRO DA CRUZ - VERTICAL'!$O$6:$O$546,'BM MORRO DA CRUZ'!$K243),0)</f>
        <v>0</v>
      </c>
      <c r="AG243" s="63">
        <f t="shared" si="192"/>
        <v>0</v>
      </c>
      <c r="AH243" s="61">
        <f>IFERROR(SUMIFS('BM MORRO DA CRUZ - VERTICAL'!AL$6:AL$546,'BM MORRO DA CRUZ - VERTICAL'!$O$6:$O$546,'BM MORRO DA CRUZ'!$K243),0)</f>
        <v>0</v>
      </c>
      <c r="AI243" s="63">
        <f t="shared" si="193"/>
        <v>0</v>
      </c>
      <c r="AJ243" s="61">
        <f>IFERROR(SUMIFS('BM MORRO DA CRUZ - VERTICAL'!AN$6:AN$546,'BM MORRO DA CRUZ - VERTICAL'!$O$6:$O$546,'BM MORRO DA CRUZ'!$K243),0)</f>
        <v>0</v>
      </c>
      <c r="AK243" s="63">
        <f t="shared" si="194"/>
        <v>0</v>
      </c>
      <c r="AL243" s="61">
        <f>IFERROR(SUMIFS('BM MORRO DA CRUZ - VERTICAL'!AP$6:AP$546,'BM MORRO DA CRUZ - VERTICAL'!$O$6:$O$546,'BM MORRO DA CRUZ'!$K243),0)</f>
        <v>0</v>
      </c>
      <c r="AM243" s="63">
        <f t="shared" si="195"/>
        <v>0</v>
      </c>
      <c r="AN243" s="61">
        <f>IFERROR(SUMIFS('BM MORRO DA CRUZ - VERTICAL'!AR$6:AR$546,'BM MORRO DA CRUZ - VERTICAL'!$O$6:$O$546,'BM MORRO DA CRUZ'!$K243),0)</f>
        <v>0</v>
      </c>
      <c r="AO243" s="63">
        <f t="shared" si="196"/>
        <v>0</v>
      </c>
      <c r="AP243" s="61">
        <f>IFERROR(SUMIFS('BM MORRO DA CRUZ - VERTICAL'!AT$6:AT$546,'BM MORRO DA CRUZ - VERTICAL'!$O$6:$O$546,'BM MORRO DA CRUZ'!$K243),0)</f>
        <v>0</v>
      </c>
      <c r="AQ243" s="63">
        <f t="shared" si="197"/>
        <v>0</v>
      </c>
      <c r="AR243" s="61">
        <f>IFERROR(SUMIFS('BM MORRO DA CRUZ - VERTICAL'!AV$6:AV$546,'BM MORRO DA CRUZ - VERTICAL'!$O$6:$O$546,'BM MORRO DA CRUZ'!$K243),0)</f>
        <v>0</v>
      </c>
      <c r="AS243" s="63">
        <f t="shared" si="198"/>
        <v>0</v>
      </c>
      <c r="AT243" s="61">
        <f>IFERROR(SUMIFS('BM MORRO DA CRUZ - VERTICAL'!AX$6:AX$546,'BM MORRO DA CRUZ - VERTICAL'!$O$6:$O$546,'BM MORRO DA CRUZ'!$K243),0)</f>
        <v>0</v>
      </c>
      <c r="AU243" s="63">
        <f t="shared" si="199"/>
        <v>0</v>
      </c>
      <c r="AV243" s="61">
        <f>IFERROR(SUMIFS('BM MORRO DA CRUZ - VERTICAL'!AZ$6:AZ$546,'BM MORRO DA CRUZ - VERTICAL'!$O$6:$O$546,'BM MORRO DA CRUZ'!$K243),0)</f>
        <v>0</v>
      </c>
      <c r="AW243" s="63">
        <f t="shared" si="200"/>
        <v>0</v>
      </c>
      <c r="AX243" s="61">
        <f>IFERROR(SUMIFS('BM MORRO DA CRUZ - VERTICAL'!BB$6:BB$546,'BM MORRO DA CRUZ - VERTICAL'!$O$6:$O$546,'BM MORRO DA CRUZ'!$K243),0)</f>
        <v>0</v>
      </c>
      <c r="AY243" s="63">
        <f t="shared" si="201"/>
        <v>0</v>
      </c>
      <c r="AZ243" s="61">
        <f>IFERROR(SUMIFS('BM MORRO DA CRUZ - VERTICAL'!BD$6:BD$546,'BM MORRO DA CRUZ - VERTICAL'!$O$6:$O$546,'BM MORRO DA CRUZ'!$K243),0)</f>
        <v>0</v>
      </c>
      <c r="BA243" s="63">
        <f t="shared" si="202"/>
        <v>0</v>
      </c>
      <c r="BB243" s="61">
        <f t="shared" si="203"/>
        <v>0</v>
      </c>
      <c r="BC243" s="63">
        <f t="shared" si="204"/>
        <v>0</v>
      </c>
      <c r="BD243" s="64">
        <f t="shared" si="205"/>
        <v>0</v>
      </c>
      <c r="BE243" s="65">
        <f t="shared" si="206"/>
        <v>1</v>
      </c>
      <c r="BF243" s="45"/>
    </row>
    <row r="244" spans="1:58" ht="47.25" x14ac:dyDescent="0.45">
      <c r="A244" s="56" t="s">
        <v>938</v>
      </c>
      <c r="B244" s="506" t="s">
        <v>1768</v>
      </c>
      <c r="C244" s="507" t="s">
        <v>39</v>
      </c>
      <c r="D244" s="507" t="s">
        <v>39</v>
      </c>
      <c r="E244" s="507" t="s">
        <v>1757</v>
      </c>
      <c r="F244" s="507" t="s">
        <v>39</v>
      </c>
      <c r="G244" s="507" t="s">
        <v>39</v>
      </c>
      <c r="H244" s="508" t="s">
        <v>1764</v>
      </c>
      <c r="I244" s="507" t="s">
        <v>1760</v>
      </c>
      <c r="J244" s="508" t="s">
        <v>1757</v>
      </c>
      <c r="K244" s="57" t="s">
        <v>939</v>
      </c>
      <c r="L244" s="58" t="s">
        <v>846</v>
      </c>
      <c r="M244" s="59" t="s">
        <v>940</v>
      </c>
      <c r="N244" s="60" t="s">
        <v>755</v>
      </c>
      <c r="O244" s="61">
        <v>2638.16</v>
      </c>
      <c r="P244" s="62">
        <v>7.12</v>
      </c>
      <c r="Q244" s="63">
        <f t="shared" si="184"/>
        <v>18783.7</v>
      </c>
      <c r="R244" s="61">
        <f>IFERROR(SUMIFS('BM MORRO DA CRUZ - VERTICAL'!V$6:V$546,'BM MORRO DA CRUZ - VERTICAL'!$O$6:$O$546,'BM MORRO DA CRUZ'!$K244),0)</f>
        <v>0</v>
      </c>
      <c r="S244" s="63">
        <f t="shared" si="185"/>
        <v>0</v>
      </c>
      <c r="T244" s="61">
        <f>IFERROR(SUMIFS('BM MORRO DA CRUZ - VERTICAL'!X$6:X$546,'BM MORRO DA CRUZ - VERTICAL'!$O$6:$O$546,'BM MORRO DA CRUZ'!$K244),0)</f>
        <v>0</v>
      </c>
      <c r="U244" s="63">
        <f t="shared" si="186"/>
        <v>0</v>
      </c>
      <c r="V244" s="61">
        <f>IFERROR(SUMIFS('BM MORRO DA CRUZ - VERTICAL'!Z$6:Z$546,'BM MORRO DA CRUZ - VERTICAL'!$O$6:$O$546,'BM MORRO DA CRUZ'!$K244),0)</f>
        <v>0</v>
      </c>
      <c r="W244" s="63">
        <f t="shared" si="187"/>
        <v>0</v>
      </c>
      <c r="X244" s="61">
        <f>IFERROR(SUMIFS('BM MORRO DA CRUZ - VERTICAL'!AB$6:AB$546,'BM MORRO DA CRUZ - VERTICAL'!$O$6:$O$546,'BM MORRO DA CRUZ'!$K244),0)</f>
        <v>0</v>
      </c>
      <c r="Y244" s="63">
        <f t="shared" si="188"/>
        <v>0</v>
      </c>
      <c r="Z244" s="61">
        <f>IFERROR(SUMIFS('BM MORRO DA CRUZ - VERTICAL'!AD$6:AD$546,'BM MORRO DA CRUZ - VERTICAL'!$O$6:$O$546,'BM MORRO DA CRUZ'!$K244),0)</f>
        <v>0</v>
      </c>
      <c r="AA244" s="63">
        <f t="shared" si="189"/>
        <v>0</v>
      </c>
      <c r="AB244" s="61">
        <f>IFERROR(SUMIFS('BM MORRO DA CRUZ - VERTICAL'!AF$6:AF$546,'BM MORRO DA CRUZ - VERTICAL'!$O$6:$O$546,'BM MORRO DA CRUZ'!$K244),0)</f>
        <v>0</v>
      </c>
      <c r="AC244" s="63">
        <f t="shared" si="190"/>
        <v>0</v>
      </c>
      <c r="AD244" s="61">
        <f>IFERROR(SUMIFS('BM MORRO DA CRUZ - VERTICAL'!AH$6:AH$546,'BM MORRO DA CRUZ - VERTICAL'!$O$6:$O$546,'BM MORRO DA CRUZ'!$K244),0)</f>
        <v>0</v>
      </c>
      <c r="AE244" s="63">
        <f t="shared" si="191"/>
        <v>0</v>
      </c>
      <c r="AF244" s="61">
        <f>IFERROR(SUMIFS('BM MORRO DA CRUZ - VERTICAL'!AJ$6:AJ$546,'BM MORRO DA CRUZ - VERTICAL'!$O$6:$O$546,'BM MORRO DA CRUZ'!$K244),0)</f>
        <v>0</v>
      </c>
      <c r="AG244" s="63">
        <f t="shared" si="192"/>
        <v>0</v>
      </c>
      <c r="AH244" s="61">
        <f>IFERROR(SUMIFS('BM MORRO DA CRUZ - VERTICAL'!AL$6:AL$546,'BM MORRO DA CRUZ - VERTICAL'!$O$6:$O$546,'BM MORRO DA CRUZ'!$K244),0)</f>
        <v>0</v>
      </c>
      <c r="AI244" s="63">
        <f t="shared" si="193"/>
        <v>0</v>
      </c>
      <c r="AJ244" s="61">
        <f>IFERROR(SUMIFS('BM MORRO DA CRUZ - VERTICAL'!AN$6:AN$546,'BM MORRO DA CRUZ - VERTICAL'!$O$6:$O$546,'BM MORRO DA CRUZ'!$K244),0)</f>
        <v>0</v>
      </c>
      <c r="AK244" s="63">
        <f t="shared" si="194"/>
        <v>0</v>
      </c>
      <c r="AL244" s="61">
        <f>IFERROR(SUMIFS('BM MORRO DA CRUZ - VERTICAL'!AP$6:AP$546,'BM MORRO DA CRUZ - VERTICAL'!$O$6:$O$546,'BM MORRO DA CRUZ'!$K244),0)</f>
        <v>0</v>
      </c>
      <c r="AM244" s="63">
        <f t="shared" si="195"/>
        <v>0</v>
      </c>
      <c r="AN244" s="61">
        <f>IFERROR(SUMIFS('BM MORRO DA CRUZ - VERTICAL'!AR$6:AR$546,'BM MORRO DA CRUZ - VERTICAL'!$O$6:$O$546,'BM MORRO DA CRUZ'!$K244),0)</f>
        <v>0</v>
      </c>
      <c r="AO244" s="63">
        <f t="shared" si="196"/>
        <v>0</v>
      </c>
      <c r="AP244" s="61">
        <f>IFERROR(SUMIFS('BM MORRO DA CRUZ - VERTICAL'!AT$6:AT$546,'BM MORRO DA CRUZ - VERTICAL'!$O$6:$O$546,'BM MORRO DA CRUZ'!$K244),0)</f>
        <v>0</v>
      </c>
      <c r="AQ244" s="63">
        <f t="shared" si="197"/>
        <v>0</v>
      </c>
      <c r="AR244" s="61">
        <f>IFERROR(SUMIFS('BM MORRO DA CRUZ - VERTICAL'!AV$6:AV$546,'BM MORRO DA CRUZ - VERTICAL'!$O$6:$O$546,'BM MORRO DA CRUZ'!$K244),0)</f>
        <v>0</v>
      </c>
      <c r="AS244" s="63">
        <f t="shared" si="198"/>
        <v>0</v>
      </c>
      <c r="AT244" s="61">
        <f>IFERROR(SUMIFS('BM MORRO DA CRUZ - VERTICAL'!AX$6:AX$546,'BM MORRO DA CRUZ - VERTICAL'!$O$6:$O$546,'BM MORRO DA CRUZ'!$K244),0)</f>
        <v>0</v>
      </c>
      <c r="AU244" s="63">
        <f t="shared" si="199"/>
        <v>0</v>
      </c>
      <c r="AV244" s="61">
        <f>IFERROR(SUMIFS('BM MORRO DA CRUZ - VERTICAL'!AZ$6:AZ$546,'BM MORRO DA CRUZ - VERTICAL'!$O$6:$O$546,'BM MORRO DA CRUZ'!$K244),0)</f>
        <v>0</v>
      </c>
      <c r="AW244" s="63">
        <f t="shared" si="200"/>
        <v>0</v>
      </c>
      <c r="AX244" s="61">
        <f>IFERROR(SUMIFS('BM MORRO DA CRUZ - VERTICAL'!BB$6:BB$546,'BM MORRO DA CRUZ - VERTICAL'!$O$6:$O$546,'BM MORRO DA CRUZ'!$K244),0)</f>
        <v>0</v>
      </c>
      <c r="AY244" s="63">
        <f t="shared" si="201"/>
        <v>0</v>
      </c>
      <c r="AZ244" s="61">
        <f>IFERROR(SUMIFS('BM MORRO DA CRUZ - VERTICAL'!BD$6:BD$546,'BM MORRO DA CRUZ - VERTICAL'!$O$6:$O$546,'BM MORRO DA CRUZ'!$K244),0)</f>
        <v>0</v>
      </c>
      <c r="BA244" s="63">
        <f t="shared" si="202"/>
        <v>0</v>
      </c>
      <c r="BB244" s="61">
        <f t="shared" si="203"/>
        <v>0</v>
      </c>
      <c r="BC244" s="63">
        <f t="shared" si="204"/>
        <v>0</v>
      </c>
      <c r="BD244" s="64">
        <f t="shared" si="205"/>
        <v>0</v>
      </c>
      <c r="BE244" s="65">
        <f t="shared" si="206"/>
        <v>1</v>
      </c>
      <c r="BF244" s="45"/>
    </row>
    <row r="245" spans="1:58" ht="26" customHeight="1" x14ac:dyDescent="0.45">
      <c r="A245" s="56" t="s">
        <v>941</v>
      </c>
      <c r="B245" s="506" t="s">
        <v>1769</v>
      </c>
      <c r="C245" s="507" t="s">
        <v>39</v>
      </c>
      <c r="D245" s="507" t="s">
        <v>39</v>
      </c>
      <c r="E245" s="507" t="s">
        <v>1770</v>
      </c>
      <c r="F245" s="507" t="s">
        <v>39</v>
      </c>
      <c r="G245" s="507" t="s">
        <v>39</v>
      </c>
      <c r="H245" s="508" t="s">
        <v>1730</v>
      </c>
      <c r="I245" s="507" t="s">
        <v>1771</v>
      </c>
      <c r="J245" s="508" t="s">
        <v>1770</v>
      </c>
      <c r="K245" s="57" t="s">
        <v>942</v>
      </c>
      <c r="L245" s="58" t="s">
        <v>846</v>
      </c>
      <c r="M245" s="59" t="s">
        <v>943</v>
      </c>
      <c r="N245" s="60" t="s">
        <v>755</v>
      </c>
      <c r="O245" s="61">
        <v>6033.14</v>
      </c>
      <c r="P245" s="62">
        <v>27.15</v>
      </c>
      <c r="Q245" s="63">
        <f t="shared" si="184"/>
        <v>163799.75</v>
      </c>
      <c r="R245" s="61">
        <f>IFERROR(SUMIFS('BM MORRO DA CRUZ - VERTICAL'!V$6:V$546,'BM MORRO DA CRUZ - VERTICAL'!$O$6:$O$546,'BM MORRO DA CRUZ'!$K245),0)</f>
        <v>0</v>
      </c>
      <c r="S245" s="63">
        <f t="shared" si="185"/>
        <v>0</v>
      </c>
      <c r="T245" s="61">
        <f>IFERROR(SUMIFS('BM MORRO DA CRUZ - VERTICAL'!X$6:X$546,'BM MORRO DA CRUZ - VERTICAL'!$O$6:$O$546,'BM MORRO DA CRUZ'!$K245),0)</f>
        <v>0</v>
      </c>
      <c r="U245" s="63">
        <f t="shared" si="186"/>
        <v>0</v>
      </c>
      <c r="V245" s="61">
        <f>IFERROR(SUMIFS('BM MORRO DA CRUZ - VERTICAL'!Z$6:Z$546,'BM MORRO DA CRUZ - VERTICAL'!$O$6:$O$546,'BM MORRO DA CRUZ'!$K245),0)</f>
        <v>0</v>
      </c>
      <c r="W245" s="63">
        <f t="shared" si="187"/>
        <v>0</v>
      </c>
      <c r="X245" s="61">
        <f>IFERROR(SUMIFS('BM MORRO DA CRUZ - VERTICAL'!AB$6:AB$546,'BM MORRO DA CRUZ - VERTICAL'!$O$6:$O$546,'BM MORRO DA CRUZ'!$K245),0)</f>
        <v>0</v>
      </c>
      <c r="Y245" s="63">
        <f t="shared" si="188"/>
        <v>0</v>
      </c>
      <c r="Z245" s="61">
        <f>IFERROR(SUMIFS('BM MORRO DA CRUZ - VERTICAL'!AD$6:AD$546,'BM MORRO DA CRUZ - VERTICAL'!$O$6:$O$546,'BM MORRO DA CRUZ'!$K245),0)</f>
        <v>0</v>
      </c>
      <c r="AA245" s="63">
        <f t="shared" si="189"/>
        <v>0</v>
      </c>
      <c r="AB245" s="61">
        <f>IFERROR(SUMIFS('BM MORRO DA CRUZ - VERTICAL'!AF$6:AF$546,'BM MORRO DA CRUZ - VERTICAL'!$O$6:$O$546,'BM MORRO DA CRUZ'!$K245),0)</f>
        <v>0</v>
      </c>
      <c r="AC245" s="63">
        <f t="shared" si="190"/>
        <v>0</v>
      </c>
      <c r="AD245" s="61">
        <f>IFERROR(SUMIFS('BM MORRO DA CRUZ - VERTICAL'!AH$6:AH$546,'BM MORRO DA CRUZ - VERTICAL'!$O$6:$O$546,'BM MORRO DA CRUZ'!$K245),0)</f>
        <v>0</v>
      </c>
      <c r="AE245" s="63">
        <f t="shared" si="191"/>
        <v>0</v>
      </c>
      <c r="AF245" s="61">
        <f>IFERROR(SUMIFS('BM MORRO DA CRUZ - VERTICAL'!AJ$6:AJ$546,'BM MORRO DA CRUZ - VERTICAL'!$O$6:$O$546,'BM MORRO DA CRUZ'!$K245),0)</f>
        <v>0</v>
      </c>
      <c r="AG245" s="63">
        <f t="shared" si="192"/>
        <v>0</v>
      </c>
      <c r="AH245" s="61">
        <f>IFERROR(SUMIFS('BM MORRO DA CRUZ - VERTICAL'!AL$6:AL$546,'BM MORRO DA CRUZ - VERTICAL'!$O$6:$O$546,'BM MORRO DA CRUZ'!$K245),0)</f>
        <v>0</v>
      </c>
      <c r="AI245" s="63">
        <f t="shared" si="193"/>
        <v>0</v>
      </c>
      <c r="AJ245" s="61">
        <f>IFERROR(SUMIFS('BM MORRO DA CRUZ - VERTICAL'!AN$6:AN$546,'BM MORRO DA CRUZ - VERTICAL'!$O$6:$O$546,'BM MORRO DA CRUZ'!$K245),0)</f>
        <v>0</v>
      </c>
      <c r="AK245" s="63">
        <f t="shared" si="194"/>
        <v>0</v>
      </c>
      <c r="AL245" s="61">
        <f>IFERROR(SUMIFS('BM MORRO DA CRUZ - VERTICAL'!AP$6:AP$546,'BM MORRO DA CRUZ - VERTICAL'!$O$6:$O$546,'BM MORRO DA CRUZ'!$K245),0)</f>
        <v>0</v>
      </c>
      <c r="AM245" s="63">
        <f t="shared" si="195"/>
        <v>0</v>
      </c>
      <c r="AN245" s="61">
        <f>IFERROR(SUMIFS('BM MORRO DA CRUZ - VERTICAL'!AR$6:AR$546,'BM MORRO DA CRUZ - VERTICAL'!$O$6:$O$546,'BM MORRO DA CRUZ'!$K245),0)</f>
        <v>0</v>
      </c>
      <c r="AO245" s="63">
        <f t="shared" si="196"/>
        <v>0</v>
      </c>
      <c r="AP245" s="61">
        <f>IFERROR(SUMIFS('BM MORRO DA CRUZ - VERTICAL'!AT$6:AT$546,'BM MORRO DA CRUZ - VERTICAL'!$O$6:$O$546,'BM MORRO DA CRUZ'!$K245),0)</f>
        <v>0</v>
      </c>
      <c r="AQ245" s="63">
        <f t="shared" si="197"/>
        <v>0</v>
      </c>
      <c r="AR245" s="61">
        <f>IFERROR(SUMIFS('BM MORRO DA CRUZ - VERTICAL'!AV$6:AV$546,'BM MORRO DA CRUZ - VERTICAL'!$O$6:$O$546,'BM MORRO DA CRUZ'!$K245),0)</f>
        <v>0</v>
      </c>
      <c r="AS245" s="63">
        <f t="shared" si="198"/>
        <v>0</v>
      </c>
      <c r="AT245" s="61">
        <f>IFERROR(SUMIFS('BM MORRO DA CRUZ - VERTICAL'!AX$6:AX$546,'BM MORRO DA CRUZ - VERTICAL'!$O$6:$O$546,'BM MORRO DA CRUZ'!$K245),0)</f>
        <v>0</v>
      </c>
      <c r="AU245" s="63">
        <f t="shared" si="199"/>
        <v>0</v>
      </c>
      <c r="AV245" s="61">
        <f>IFERROR(SUMIFS('BM MORRO DA CRUZ - VERTICAL'!AZ$6:AZ$546,'BM MORRO DA CRUZ - VERTICAL'!$O$6:$O$546,'BM MORRO DA CRUZ'!$K245),0)</f>
        <v>0</v>
      </c>
      <c r="AW245" s="63">
        <f t="shared" si="200"/>
        <v>0</v>
      </c>
      <c r="AX245" s="61">
        <f>IFERROR(SUMIFS('BM MORRO DA CRUZ - VERTICAL'!BB$6:BB$546,'BM MORRO DA CRUZ - VERTICAL'!$O$6:$O$546,'BM MORRO DA CRUZ'!$K245),0)</f>
        <v>0</v>
      </c>
      <c r="AY245" s="63">
        <f t="shared" si="201"/>
        <v>0</v>
      </c>
      <c r="AZ245" s="61">
        <f>IFERROR(SUMIFS('BM MORRO DA CRUZ - VERTICAL'!BD$6:BD$546,'BM MORRO DA CRUZ - VERTICAL'!$O$6:$O$546,'BM MORRO DA CRUZ'!$K245),0)</f>
        <v>0</v>
      </c>
      <c r="BA245" s="63">
        <f t="shared" si="202"/>
        <v>0</v>
      </c>
      <c r="BB245" s="61">
        <f t="shared" si="203"/>
        <v>0</v>
      </c>
      <c r="BC245" s="63">
        <f t="shared" si="204"/>
        <v>0</v>
      </c>
      <c r="BD245" s="64">
        <f t="shared" si="205"/>
        <v>0</v>
      </c>
      <c r="BE245" s="65">
        <f t="shared" si="206"/>
        <v>1</v>
      </c>
      <c r="BF245" s="45"/>
    </row>
    <row r="246" spans="1:58" ht="47.25" x14ac:dyDescent="0.45">
      <c r="A246" s="56" t="s">
        <v>944</v>
      </c>
      <c r="B246" s="506" t="s">
        <v>1772</v>
      </c>
      <c r="C246" s="507" t="s">
        <v>39</v>
      </c>
      <c r="D246" s="507" t="s">
        <v>39</v>
      </c>
      <c r="E246" s="507" t="s">
        <v>1770</v>
      </c>
      <c r="F246" s="507" t="s">
        <v>39</v>
      </c>
      <c r="G246" s="507" t="s">
        <v>39</v>
      </c>
      <c r="H246" s="508" t="s">
        <v>1730</v>
      </c>
      <c r="I246" s="507" t="s">
        <v>79</v>
      </c>
      <c r="J246" s="508" t="s">
        <v>1770</v>
      </c>
      <c r="K246" s="57" t="s">
        <v>945</v>
      </c>
      <c r="L246" s="58" t="s">
        <v>846</v>
      </c>
      <c r="M246" s="59" t="s">
        <v>946</v>
      </c>
      <c r="N246" s="60" t="s">
        <v>755</v>
      </c>
      <c r="O246" s="61">
        <v>1881.55</v>
      </c>
      <c r="P246" s="62">
        <v>20.12</v>
      </c>
      <c r="Q246" s="63">
        <f t="shared" si="184"/>
        <v>37856.79</v>
      </c>
      <c r="R246" s="61">
        <f>IFERROR(SUMIFS('BM MORRO DA CRUZ - VERTICAL'!V$6:V$546,'BM MORRO DA CRUZ - VERTICAL'!$O$6:$O$546,'BM MORRO DA CRUZ'!$K246),0)</f>
        <v>0</v>
      </c>
      <c r="S246" s="63">
        <f t="shared" si="185"/>
        <v>0</v>
      </c>
      <c r="T246" s="61">
        <f>IFERROR(SUMIFS('BM MORRO DA CRUZ - VERTICAL'!X$6:X$546,'BM MORRO DA CRUZ - VERTICAL'!$O$6:$O$546,'BM MORRO DA CRUZ'!$K246),0)</f>
        <v>0</v>
      </c>
      <c r="U246" s="63">
        <f t="shared" si="186"/>
        <v>0</v>
      </c>
      <c r="V246" s="61">
        <f>IFERROR(SUMIFS('BM MORRO DA CRUZ - VERTICAL'!Z$6:Z$546,'BM MORRO DA CRUZ - VERTICAL'!$O$6:$O$546,'BM MORRO DA CRUZ'!$K246),0)</f>
        <v>0</v>
      </c>
      <c r="W246" s="63">
        <f t="shared" si="187"/>
        <v>0</v>
      </c>
      <c r="X246" s="61">
        <f>IFERROR(SUMIFS('BM MORRO DA CRUZ - VERTICAL'!AB$6:AB$546,'BM MORRO DA CRUZ - VERTICAL'!$O$6:$O$546,'BM MORRO DA CRUZ'!$K246),0)</f>
        <v>0</v>
      </c>
      <c r="Y246" s="63">
        <f t="shared" si="188"/>
        <v>0</v>
      </c>
      <c r="Z246" s="61">
        <f>IFERROR(SUMIFS('BM MORRO DA CRUZ - VERTICAL'!AD$6:AD$546,'BM MORRO DA CRUZ - VERTICAL'!$O$6:$O$546,'BM MORRO DA CRUZ'!$K246),0)</f>
        <v>0</v>
      </c>
      <c r="AA246" s="63">
        <f t="shared" si="189"/>
        <v>0</v>
      </c>
      <c r="AB246" s="61">
        <f>IFERROR(SUMIFS('BM MORRO DA CRUZ - VERTICAL'!AF$6:AF$546,'BM MORRO DA CRUZ - VERTICAL'!$O$6:$O$546,'BM MORRO DA CRUZ'!$K246),0)</f>
        <v>0</v>
      </c>
      <c r="AC246" s="63">
        <f t="shared" si="190"/>
        <v>0</v>
      </c>
      <c r="AD246" s="61">
        <f>IFERROR(SUMIFS('BM MORRO DA CRUZ - VERTICAL'!AH$6:AH$546,'BM MORRO DA CRUZ - VERTICAL'!$O$6:$O$546,'BM MORRO DA CRUZ'!$K246),0)</f>
        <v>0</v>
      </c>
      <c r="AE246" s="63">
        <f t="shared" si="191"/>
        <v>0</v>
      </c>
      <c r="AF246" s="61">
        <f>IFERROR(SUMIFS('BM MORRO DA CRUZ - VERTICAL'!AJ$6:AJ$546,'BM MORRO DA CRUZ - VERTICAL'!$O$6:$O$546,'BM MORRO DA CRUZ'!$K246),0)</f>
        <v>0</v>
      </c>
      <c r="AG246" s="63">
        <f t="shared" si="192"/>
        <v>0</v>
      </c>
      <c r="AH246" s="61">
        <f>IFERROR(SUMIFS('BM MORRO DA CRUZ - VERTICAL'!AL$6:AL$546,'BM MORRO DA CRUZ - VERTICAL'!$O$6:$O$546,'BM MORRO DA CRUZ'!$K246),0)</f>
        <v>0</v>
      </c>
      <c r="AI246" s="63">
        <f t="shared" si="193"/>
        <v>0</v>
      </c>
      <c r="AJ246" s="61">
        <f>IFERROR(SUMIFS('BM MORRO DA CRUZ - VERTICAL'!AN$6:AN$546,'BM MORRO DA CRUZ - VERTICAL'!$O$6:$O$546,'BM MORRO DA CRUZ'!$K246),0)</f>
        <v>0</v>
      </c>
      <c r="AK246" s="63">
        <f t="shared" si="194"/>
        <v>0</v>
      </c>
      <c r="AL246" s="61">
        <f>IFERROR(SUMIFS('BM MORRO DA CRUZ - VERTICAL'!AP$6:AP$546,'BM MORRO DA CRUZ - VERTICAL'!$O$6:$O$546,'BM MORRO DA CRUZ'!$K246),0)</f>
        <v>0</v>
      </c>
      <c r="AM246" s="63">
        <f t="shared" si="195"/>
        <v>0</v>
      </c>
      <c r="AN246" s="61">
        <f>IFERROR(SUMIFS('BM MORRO DA CRUZ - VERTICAL'!AR$6:AR$546,'BM MORRO DA CRUZ - VERTICAL'!$O$6:$O$546,'BM MORRO DA CRUZ'!$K246),0)</f>
        <v>0</v>
      </c>
      <c r="AO246" s="63">
        <f t="shared" si="196"/>
        <v>0</v>
      </c>
      <c r="AP246" s="61">
        <f>IFERROR(SUMIFS('BM MORRO DA CRUZ - VERTICAL'!AT$6:AT$546,'BM MORRO DA CRUZ - VERTICAL'!$O$6:$O$546,'BM MORRO DA CRUZ'!$K246),0)</f>
        <v>0</v>
      </c>
      <c r="AQ246" s="63">
        <f t="shared" si="197"/>
        <v>0</v>
      </c>
      <c r="AR246" s="61">
        <f>IFERROR(SUMIFS('BM MORRO DA CRUZ - VERTICAL'!AV$6:AV$546,'BM MORRO DA CRUZ - VERTICAL'!$O$6:$O$546,'BM MORRO DA CRUZ'!$K246),0)</f>
        <v>0</v>
      </c>
      <c r="AS246" s="63">
        <f t="shared" si="198"/>
        <v>0</v>
      </c>
      <c r="AT246" s="61">
        <f>IFERROR(SUMIFS('BM MORRO DA CRUZ - VERTICAL'!AX$6:AX$546,'BM MORRO DA CRUZ - VERTICAL'!$O$6:$O$546,'BM MORRO DA CRUZ'!$K246),0)</f>
        <v>0</v>
      </c>
      <c r="AU246" s="63">
        <f t="shared" si="199"/>
        <v>0</v>
      </c>
      <c r="AV246" s="61">
        <f>IFERROR(SUMIFS('BM MORRO DA CRUZ - VERTICAL'!AZ$6:AZ$546,'BM MORRO DA CRUZ - VERTICAL'!$O$6:$O$546,'BM MORRO DA CRUZ'!$K246),0)</f>
        <v>0</v>
      </c>
      <c r="AW246" s="63">
        <f t="shared" si="200"/>
        <v>0</v>
      </c>
      <c r="AX246" s="61">
        <f>IFERROR(SUMIFS('BM MORRO DA CRUZ - VERTICAL'!BB$6:BB$546,'BM MORRO DA CRUZ - VERTICAL'!$O$6:$O$546,'BM MORRO DA CRUZ'!$K246),0)</f>
        <v>0</v>
      </c>
      <c r="AY246" s="63">
        <f t="shared" si="201"/>
        <v>0</v>
      </c>
      <c r="AZ246" s="61">
        <f>IFERROR(SUMIFS('BM MORRO DA CRUZ - VERTICAL'!BD$6:BD$546,'BM MORRO DA CRUZ - VERTICAL'!$O$6:$O$546,'BM MORRO DA CRUZ'!$K246),0)</f>
        <v>0</v>
      </c>
      <c r="BA246" s="63">
        <f t="shared" si="202"/>
        <v>0</v>
      </c>
      <c r="BB246" s="61">
        <f t="shared" si="203"/>
        <v>0</v>
      </c>
      <c r="BC246" s="63">
        <f t="shared" si="204"/>
        <v>0</v>
      </c>
      <c r="BD246" s="64">
        <f t="shared" si="205"/>
        <v>0</v>
      </c>
      <c r="BE246" s="65">
        <f t="shared" si="206"/>
        <v>1</v>
      </c>
      <c r="BF246" s="45"/>
    </row>
    <row r="247" spans="1:58" ht="47.25" x14ac:dyDescent="0.45">
      <c r="A247" s="56" t="s">
        <v>947</v>
      </c>
      <c r="B247" s="506" t="s">
        <v>1773</v>
      </c>
      <c r="C247" s="507" t="s">
        <v>39</v>
      </c>
      <c r="D247" s="507" t="s">
        <v>39</v>
      </c>
      <c r="E247" s="507" t="s">
        <v>1770</v>
      </c>
      <c r="F247" s="507" t="s">
        <v>39</v>
      </c>
      <c r="G247" s="507" t="s">
        <v>39</v>
      </c>
      <c r="H247" s="508" t="s">
        <v>1730</v>
      </c>
      <c r="I247" s="507" t="s">
        <v>79</v>
      </c>
      <c r="J247" s="508" t="s">
        <v>1770</v>
      </c>
      <c r="K247" s="57" t="s">
        <v>948</v>
      </c>
      <c r="L247" s="58" t="s">
        <v>846</v>
      </c>
      <c r="M247" s="59" t="s">
        <v>949</v>
      </c>
      <c r="N247" s="60" t="s">
        <v>755</v>
      </c>
      <c r="O247" s="61">
        <v>600.29</v>
      </c>
      <c r="P247" s="62">
        <v>23.01</v>
      </c>
      <c r="Q247" s="63">
        <f t="shared" si="184"/>
        <v>13812.67</v>
      </c>
      <c r="R247" s="61">
        <f>IFERROR(SUMIFS('BM MORRO DA CRUZ - VERTICAL'!V$6:V$546,'BM MORRO DA CRUZ - VERTICAL'!$O$6:$O$546,'BM MORRO DA CRUZ'!$K247),0)</f>
        <v>0</v>
      </c>
      <c r="S247" s="63">
        <f t="shared" si="185"/>
        <v>0</v>
      </c>
      <c r="T247" s="61">
        <f>IFERROR(SUMIFS('BM MORRO DA CRUZ - VERTICAL'!X$6:X$546,'BM MORRO DA CRUZ - VERTICAL'!$O$6:$O$546,'BM MORRO DA CRUZ'!$K247),0)</f>
        <v>0</v>
      </c>
      <c r="U247" s="63">
        <f t="shared" si="186"/>
        <v>0</v>
      </c>
      <c r="V247" s="61">
        <f>IFERROR(SUMIFS('BM MORRO DA CRUZ - VERTICAL'!Z$6:Z$546,'BM MORRO DA CRUZ - VERTICAL'!$O$6:$O$546,'BM MORRO DA CRUZ'!$K247),0)</f>
        <v>0</v>
      </c>
      <c r="W247" s="63">
        <f t="shared" si="187"/>
        <v>0</v>
      </c>
      <c r="X247" s="61">
        <f>IFERROR(SUMIFS('BM MORRO DA CRUZ - VERTICAL'!AB$6:AB$546,'BM MORRO DA CRUZ - VERTICAL'!$O$6:$O$546,'BM MORRO DA CRUZ'!$K247),0)</f>
        <v>0</v>
      </c>
      <c r="Y247" s="63">
        <f t="shared" si="188"/>
        <v>0</v>
      </c>
      <c r="Z247" s="61">
        <f>IFERROR(SUMIFS('BM MORRO DA CRUZ - VERTICAL'!AD$6:AD$546,'BM MORRO DA CRUZ - VERTICAL'!$O$6:$O$546,'BM MORRO DA CRUZ'!$K247),0)</f>
        <v>0</v>
      </c>
      <c r="AA247" s="63">
        <f t="shared" si="189"/>
        <v>0</v>
      </c>
      <c r="AB247" s="61">
        <f>IFERROR(SUMIFS('BM MORRO DA CRUZ - VERTICAL'!AF$6:AF$546,'BM MORRO DA CRUZ - VERTICAL'!$O$6:$O$546,'BM MORRO DA CRUZ'!$K247),0)</f>
        <v>0</v>
      </c>
      <c r="AC247" s="63">
        <f t="shared" si="190"/>
        <v>0</v>
      </c>
      <c r="AD247" s="61">
        <f>IFERROR(SUMIFS('BM MORRO DA CRUZ - VERTICAL'!AH$6:AH$546,'BM MORRO DA CRUZ - VERTICAL'!$O$6:$O$546,'BM MORRO DA CRUZ'!$K247),0)</f>
        <v>0</v>
      </c>
      <c r="AE247" s="63">
        <f t="shared" si="191"/>
        <v>0</v>
      </c>
      <c r="AF247" s="61">
        <f>IFERROR(SUMIFS('BM MORRO DA CRUZ - VERTICAL'!AJ$6:AJ$546,'BM MORRO DA CRUZ - VERTICAL'!$O$6:$O$546,'BM MORRO DA CRUZ'!$K247),0)</f>
        <v>0</v>
      </c>
      <c r="AG247" s="63">
        <f t="shared" si="192"/>
        <v>0</v>
      </c>
      <c r="AH247" s="61">
        <f>IFERROR(SUMIFS('BM MORRO DA CRUZ - VERTICAL'!AL$6:AL$546,'BM MORRO DA CRUZ - VERTICAL'!$O$6:$O$546,'BM MORRO DA CRUZ'!$K247),0)</f>
        <v>0</v>
      </c>
      <c r="AI247" s="63">
        <f t="shared" si="193"/>
        <v>0</v>
      </c>
      <c r="AJ247" s="61">
        <f>IFERROR(SUMIFS('BM MORRO DA CRUZ - VERTICAL'!AN$6:AN$546,'BM MORRO DA CRUZ - VERTICAL'!$O$6:$O$546,'BM MORRO DA CRUZ'!$K247),0)</f>
        <v>0</v>
      </c>
      <c r="AK247" s="63">
        <f t="shared" si="194"/>
        <v>0</v>
      </c>
      <c r="AL247" s="61">
        <f>IFERROR(SUMIFS('BM MORRO DA CRUZ - VERTICAL'!AP$6:AP$546,'BM MORRO DA CRUZ - VERTICAL'!$O$6:$O$546,'BM MORRO DA CRUZ'!$K247),0)</f>
        <v>0</v>
      </c>
      <c r="AM247" s="63">
        <f t="shared" si="195"/>
        <v>0</v>
      </c>
      <c r="AN247" s="61">
        <f>IFERROR(SUMIFS('BM MORRO DA CRUZ - VERTICAL'!AR$6:AR$546,'BM MORRO DA CRUZ - VERTICAL'!$O$6:$O$546,'BM MORRO DA CRUZ'!$K247),0)</f>
        <v>0</v>
      </c>
      <c r="AO247" s="63">
        <f t="shared" si="196"/>
        <v>0</v>
      </c>
      <c r="AP247" s="61">
        <f>IFERROR(SUMIFS('BM MORRO DA CRUZ - VERTICAL'!AT$6:AT$546,'BM MORRO DA CRUZ - VERTICAL'!$O$6:$O$546,'BM MORRO DA CRUZ'!$K247),0)</f>
        <v>0</v>
      </c>
      <c r="AQ247" s="63">
        <f t="shared" si="197"/>
        <v>0</v>
      </c>
      <c r="AR247" s="61">
        <f>IFERROR(SUMIFS('BM MORRO DA CRUZ - VERTICAL'!AV$6:AV$546,'BM MORRO DA CRUZ - VERTICAL'!$O$6:$O$546,'BM MORRO DA CRUZ'!$K247),0)</f>
        <v>0</v>
      </c>
      <c r="AS247" s="63">
        <f t="shared" si="198"/>
        <v>0</v>
      </c>
      <c r="AT247" s="61">
        <f>IFERROR(SUMIFS('BM MORRO DA CRUZ - VERTICAL'!AX$6:AX$546,'BM MORRO DA CRUZ - VERTICAL'!$O$6:$O$546,'BM MORRO DA CRUZ'!$K247),0)</f>
        <v>0</v>
      </c>
      <c r="AU247" s="63">
        <f t="shared" si="199"/>
        <v>0</v>
      </c>
      <c r="AV247" s="61">
        <f>IFERROR(SUMIFS('BM MORRO DA CRUZ - VERTICAL'!AZ$6:AZ$546,'BM MORRO DA CRUZ - VERTICAL'!$O$6:$O$546,'BM MORRO DA CRUZ'!$K247),0)</f>
        <v>0</v>
      </c>
      <c r="AW247" s="63">
        <f t="shared" si="200"/>
        <v>0</v>
      </c>
      <c r="AX247" s="61">
        <f>IFERROR(SUMIFS('BM MORRO DA CRUZ - VERTICAL'!BB$6:BB$546,'BM MORRO DA CRUZ - VERTICAL'!$O$6:$O$546,'BM MORRO DA CRUZ'!$K247),0)</f>
        <v>0</v>
      </c>
      <c r="AY247" s="63">
        <f t="shared" si="201"/>
        <v>0</v>
      </c>
      <c r="AZ247" s="61">
        <f>IFERROR(SUMIFS('BM MORRO DA CRUZ - VERTICAL'!BD$6:BD$546,'BM MORRO DA CRUZ - VERTICAL'!$O$6:$O$546,'BM MORRO DA CRUZ'!$K247),0)</f>
        <v>0</v>
      </c>
      <c r="BA247" s="63">
        <f t="shared" si="202"/>
        <v>0</v>
      </c>
      <c r="BB247" s="61">
        <f t="shared" si="203"/>
        <v>0</v>
      </c>
      <c r="BC247" s="63">
        <f t="shared" si="204"/>
        <v>0</v>
      </c>
      <c r="BD247" s="64">
        <f t="shared" si="205"/>
        <v>0</v>
      </c>
      <c r="BE247" s="65">
        <f t="shared" si="206"/>
        <v>1</v>
      </c>
      <c r="BF247" s="45"/>
    </row>
    <row r="248" spans="1:58" ht="47.25" x14ac:dyDescent="0.45">
      <c r="A248" s="56" t="s">
        <v>950</v>
      </c>
      <c r="B248" s="506" t="s">
        <v>1774</v>
      </c>
      <c r="C248" s="507" t="s">
        <v>39</v>
      </c>
      <c r="D248" s="507" t="s">
        <v>39</v>
      </c>
      <c r="E248" s="507" t="s">
        <v>1770</v>
      </c>
      <c r="F248" s="507" t="s">
        <v>39</v>
      </c>
      <c r="G248" s="507" t="s">
        <v>39</v>
      </c>
      <c r="H248" s="508" t="s">
        <v>1730</v>
      </c>
      <c r="I248" s="507" t="s">
        <v>763</v>
      </c>
      <c r="J248" s="508" t="s">
        <v>1770</v>
      </c>
      <c r="K248" s="57" t="s">
        <v>951</v>
      </c>
      <c r="L248" s="58" t="s">
        <v>846</v>
      </c>
      <c r="M248" s="59" t="s">
        <v>952</v>
      </c>
      <c r="N248" s="60" t="s">
        <v>755</v>
      </c>
      <c r="O248" s="61">
        <v>8284.9</v>
      </c>
      <c r="P248" s="62">
        <v>12.12</v>
      </c>
      <c r="Q248" s="63">
        <f t="shared" si="184"/>
        <v>100412.99</v>
      </c>
      <c r="R248" s="61">
        <f>IFERROR(SUMIFS('BM MORRO DA CRUZ - VERTICAL'!V$6:V$546,'BM MORRO DA CRUZ - VERTICAL'!$O$6:$O$546,'BM MORRO DA CRUZ'!$K248),0)</f>
        <v>0</v>
      </c>
      <c r="S248" s="63">
        <f t="shared" si="185"/>
        <v>0</v>
      </c>
      <c r="T248" s="61">
        <f>IFERROR(SUMIFS('BM MORRO DA CRUZ - VERTICAL'!X$6:X$546,'BM MORRO DA CRUZ - VERTICAL'!$O$6:$O$546,'BM MORRO DA CRUZ'!$K248),0)</f>
        <v>0</v>
      </c>
      <c r="U248" s="63">
        <f t="shared" si="186"/>
        <v>0</v>
      </c>
      <c r="V248" s="61">
        <f>IFERROR(SUMIFS('BM MORRO DA CRUZ - VERTICAL'!Z$6:Z$546,'BM MORRO DA CRUZ - VERTICAL'!$O$6:$O$546,'BM MORRO DA CRUZ'!$K248),0)</f>
        <v>0</v>
      </c>
      <c r="W248" s="63">
        <f t="shared" si="187"/>
        <v>0</v>
      </c>
      <c r="X248" s="61">
        <f>IFERROR(SUMIFS('BM MORRO DA CRUZ - VERTICAL'!AB$6:AB$546,'BM MORRO DA CRUZ - VERTICAL'!$O$6:$O$546,'BM MORRO DA CRUZ'!$K248),0)</f>
        <v>0</v>
      </c>
      <c r="Y248" s="63">
        <f t="shared" si="188"/>
        <v>0</v>
      </c>
      <c r="Z248" s="61">
        <f>IFERROR(SUMIFS('BM MORRO DA CRUZ - VERTICAL'!AD$6:AD$546,'BM MORRO DA CRUZ - VERTICAL'!$O$6:$O$546,'BM MORRO DA CRUZ'!$K248),0)</f>
        <v>0</v>
      </c>
      <c r="AA248" s="63">
        <f t="shared" si="189"/>
        <v>0</v>
      </c>
      <c r="AB248" s="61">
        <f>IFERROR(SUMIFS('BM MORRO DA CRUZ - VERTICAL'!AF$6:AF$546,'BM MORRO DA CRUZ - VERTICAL'!$O$6:$O$546,'BM MORRO DA CRUZ'!$K248),0)</f>
        <v>0</v>
      </c>
      <c r="AC248" s="63">
        <f t="shared" si="190"/>
        <v>0</v>
      </c>
      <c r="AD248" s="61">
        <f>IFERROR(SUMIFS('BM MORRO DA CRUZ - VERTICAL'!AH$6:AH$546,'BM MORRO DA CRUZ - VERTICAL'!$O$6:$O$546,'BM MORRO DA CRUZ'!$K248),0)</f>
        <v>0</v>
      </c>
      <c r="AE248" s="63">
        <f t="shared" si="191"/>
        <v>0</v>
      </c>
      <c r="AF248" s="61">
        <f>IFERROR(SUMIFS('BM MORRO DA CRUZ - VERTICAL'!AJ$6:AJ$546,'BM MORRO DA CRUZ - VERTICAL'!$O$6:$O$546,'BM MORRO DA CRUZ'!$K248),0)</f>
        <v>0</v>
      </c>
      <c r="AG248" s="63">
        <f t="shared" si="192"/>
        <v>0</v>
      </c>
      <c r="AH248" s="61">
        <f>IFERROR(SUMIFS('BM MORRO DA CRUZ - VERTICAL'!AL$6:AL$546,'BM MORRO DA CRUZ - VERTICAL'!$O$6:$O$546,'BM MORRO DA CRUZ'!$K248),0)</f>
        <v>0</v>
      </c>
      <c r="AI248" s="63">
        <f t="shared" si="193"/>
        <v>0</v>
      </c>
      <c r="AJ248" s="61">
        <f>IFERROR(SUMIFS('BM MORRO DA CRUZ - VERTICAL'!AN$6:AN$546,'BM MORRO DA CRUZ - VERTICAL'!$O$6:$O$546,'BM MORRO DA CRUZ'!$K248),0)</f>
        <v>0</v>
      </c>
      <c r="AK248" s="63">
        <f t="shared" si="194"/>
        <v>0</v>
      </c>
      <c r="AL248" s="61">
        <f>IFERROR(SUMIFS('BM MORRO DA CRUZ - VERTICAL'!AP$6:AP$546,'BM MORRO DA CRUZ - VERTICAL'!$O$6:$O$546,'BM MORRO DA CRUZ'!$K248),0)</f>
        <v>0</v>
      </c>
      <c r="AM248" s="63">
        <f t="shared" si="195"/>
        <v>0</v>
      </c>
      <c r="AN248" s="61">
        <f>IFERROR(SUMIFS('BM MORRO DA CRUZ - VERTICAL'!AR$6:AR$546,'BM MORRO DA CRUZ - VERTICAL'!$O$6:$O$546,'BM MORRO DA CRUZ'!$K248),0)</f>
        <v>0</v>
      </c>
      <c r="AO248" s="63">
        <f t="shared" si="196"/>
        <v>0</v>
      </c>
      <c r="AP248" s="61">
        <f>IFERROR(SUMIFS('BM MORRO DA CRUZ - VERTICAL'!AT$6:AT$546,'BM MORRO DA CRUZ - VERTICAL'!$O$6:$O$546,'BM MORRO DA CRUZ'!$K248),0)</f>
        <v>0</v>
      </c>
      <c r="AQ248" s="63">
        <f t="shared" si="197"/>
        <v>0</v>
      </c>
      <c r="AR248" s="61">
        <f>IFERROR(SUMIFS('BM MORRO DA CRUZ - VERTICAL'!AV$6:AV$546,'BM MORRO DA CRUZ - VERTICAL'!$O$6:$O$546,'BM MORRO DA CRUZ'!$K248),0)</f>
        <v>0</v>
      </c>
      <c r="AS248" s="63">
        <f t="shared" si="198"/>
        <v>0</v>
      </c>
      <c r="AT248" s="61">
        <f>IFERROR(SUMIFS('BM MORRO DA CRUZ - VERTICAL'!AX$6:AX$546,'BM MORRO DA CRUZ - VERTICAL'!$O$6:$O$546,'BM MORRO DA CRUZ'!$K248),0)</f>
        <v>0</v>
      </c>
      <c r="AU248" s="63">
        <f t="shared" si="199"/>
        <v>0</v>
      </c>
      <c r="AV248" s="61">
        <f>IFERROR(SUMIFS('BM MORRO DA CRUZ - VERTICAL'!AZ$6:AZ$546,'BM MORRO DA CRUZ - VERTICAL'!$O$6:$O$546,'BM MORRO DA CRUZ'!$K248),0)</f>
        <v>0</v>
      </c>
      <c r="AW248" s="63">
        <f t="shared" si="200"/>
        <v>0</v>
      </c>
      <c r="AX248" s="61">
        <f>IFERROR(SUMIFS('BM MORRO DA CRUZ - VERTICAL'!BB$6:BB$546,'BM MORRO DA CRUZ - VERTICAL'!$O$6:$O$546,'BM MORRO DA CRUZ'!$K248),0)</f>
        <v>0</v>
      </c>
      <c r="AY248" s="63">
        <f t="shared" si="201"/>
        <v>0</v>
      </c>
      <c r="AZ248" s="61">
        <f>IFERROR(SUMIFS('BM MORRO DA CRUZ - VERTICAL'!BD$6:BD$546,'BM MORRO DA CRUZ - VERTICAL'!$O$6:$O$546,'BM MORRO DA CRUZ'!$K248),0)</f>
        <v>0</v>
      </c>
      <c r="BA248" s="63">
        <f t="shared" si="202"/>
        <v>0</v>
      </c>
      <c r="BB248" s="61">
        <f t="shared" si="203"/>
        <v>0</v>
      </c>
      <c r="BC248" s="63">
        <f t="shared" si="204"/>
        <v>0</v>
      </c>
      <c r="BD248" s="64">
        <f t="shared" si="205"/>
        <v>0</v>
      </c>
      <c r="BE248" s="65">
        <f t="shared" si="206"/>
        <v>1</v>
      </c>
      <c r="BF248" s="45"/>
    </row>
    <row r="249" spans="1:58" ht="47.25" x14ac:dyDescent="0.45">
      <c r="A249" s="56" t="s">
        <v>953</v>
      </c>
      <c r="B249" s="506" t="s">
        <v>1775</v>
      </c>
      <c r="C249" s="507" t="s">
        <v>39</v>
      </c>
      <c r="D249" s="507" t="s">
        <v>39</v>
      </c>
      <c r="E249" s="507" t="s">
        <v>1770</v>
      </c>
      <c r="F249" s="507" t="s">
        <v>39</v>
      </c>
      <c r="G249" s="507" t="s">
        <v>39</v>
      </c>
      <c r="H249" s="508" t="s">
        <v>1730</v>
      </c>
      <c r="I249" s="507" t="s">
        <v>763</v>
      </c>
      <c r="J249" s="508" t="s">
        <v>1770</v>
      </c>
      <c r="K249" s="57" t="s">
        <v>954</v>
      </c>
      <c r="L249" s="58" t="s">
        <v>846</v>
      </c>
      <c r="M249" s="59" t="s">
        <v>955</v>
      </c>
      <c r="N249" s="60" t="s">
        <v>755</v>
      </c>
      <c r="O249" s="61">
        <v>57718.98</v>
      </c>
      <c r="P249" s="62">
        <v>17.62</v>
      </c>
      <c r="Q249" s="63">
        <f t="shared" si="184"/>
        <v>1017008.43</v>
      </c>
      <c r="R249" s="61">
        <f>IFERROR(SUMIFS('BM MORRO DA CRUZ - VERTICAL'!V$6:V$546,'BM MORRO DA CRUZ - VERTICAL'!$O$6:$O$546,'BM MORRO DA CRUZ'!$K249),0)</f>
        <v>0</v>
      </c>
      <c r="S249" s="63">
        <f t="shared" si="185"/>
        <v>0</v>
      </c>
      <c r="T249" s="61">
        <f>IFERROR(SUMIFS('BM MORRO DA CRUZ - VERTICAL'!X$6:X$546,'BM MORRO DA CRUZ - VERTICAL'!$O$6:$O$546,'BM MORRO DA CRUZ'!$K249),0)</f>
        <v>0</v>
      </c>
      <c r="U249" s="63">
        <f t="shared" si="186"/>
        <v>0</v>
      </c>
      <c r="V249" s="61">
        <f>IFERROR(SUMIFS('BM MORRO DA CRUZ - VERTICAL'!Z$6:Z$546,'BM MORRO DA CRUZ - VERTICAL'!$O$6:$O$546,'BM MORRO DA CRUZ'!$K249),0)</f>
        <v>0</v>
      </c>
      <c r="W249" s="63">
        <f t="shared" si="187"/>
        <v>0</v>
      </c>
      <c r="X249" s="61">
        <f>IFERROR(SUMIFS('BM MORRO DA CRUZ - VERTICAL'!AB$6:AB$546,'BM MORRO DA CRUZ - VERTICAL'!$O$6:$O$546,'BM MORRO DA CRUZ'!$K249),0)</f>
        <v>0</v>
      </c>
      <c r="Y249" s="63">
        <f t="shared" si="188"/>
        <v>0</v>
      </c>
      <c r="Z249" s="61">
        <f>IFERROR(SUMIFS('BM MORRO DA CRUZ - VERTICAL'!AD$6:AD$546,'BM MORRO DA CRUZ - VERTICAL'!$O$6:$O$546,'BM MORRO DA CRUZ'!$K249),0)</f>
        <v>0</v>
      </c>
      <c r="AA249" s="63">
        <f t="shared" si="189"/>
        <v>0</v>
      </c>
      <c r="AB249" s="61">
        <f>IFERROR(SUMIFS('BM MORRO DA CRUZ - VERTICAL'!AF$6:AF$546,'BM MORRO DA CRUZ - VERTICAL'!$O$6:$O$546,'BM MORRO DA CRUZ'!$K249),0)</f>
        <v>0</v>
      </c>
      <c r="AC249" s="63">
        <f t="shared" si="190"/>
        <v>0</v>
      </c>
      <c r="AD249" s="61">
        <f>IFERROR(SUMIFS('BM MORRO DA CRUZ - VERTICAL'!AH$6:AH$546,'BM MORRO DA CRUZ - VERTICAL'!$O$6:$O$546,'BM MORRO DA CRUZ'!$K249),0)</f>
        <v>0</v>
      </c>
      <c r="AE249" s="63">
        <f t="shared" si="191"/>
        <v>0</v>
      </c>
      <c r="AF249" s="61">
        <f>IFERROR(SUMIFS('BM MORRO DA CRUZ - VERTICAL'!AJ$6:AJ$546,'BM MORRO DA CRUZ - VERTICAL'!$O$6:$O$546,'BM MORRO DA CRUZ'!$K249),0)</f>
        <v>0</v>
      </c>
      <c r="AG249" s="63">
        <f t="shared" si="192"/>
        <v>0</v>
      </c>
      <c r="AH249" s="61">
        <f>IFERROR(SUMIFS('BM MORRO DA CRUZ - VERTICAL'!AL$6:AL$546,'BM MORRO DA CRUZ - VERTICAL'!$O$6:$O$546,'BM MORRO DA CRUZ'!$K249),0)</f>
        <v>0</v>
      </c>
      <c r="AI249" s="63">
        <f t="shared" si="193"/>
        <v>0</v>
      </c>
      <c r="AJ249" s="61">
        <f>IFERROR(SUMIFS('BM MORRO DA CRUZ - VERTICAL'!AN$6:AN$546,'BM MORRO DA CRUZ - VERTICAL'!$O$6:$O$546,'BM MORRO DA CRUZ'!$K249),0)</f>
        <v>0</v>
      </c>
      <c r="AK249" s="63">
        <f t="shared" si="194"/>
        <v>0</v>
      </c>
      <c r="AL249" s="61">
        <f>IFERROR(SUMIFS('BM MORRO DA CRUZ - VERTICAL'!AP$6:AP$546,'BM MORRO DA CRUZ - VERTICAL'!$O$6:$O$546,'BM MORRO DA CRUZ'!$K249),0)</f>
        <v>0</v>
      </c>
      <c r="AM249" s="63">
        <f t="shared" si="195"/>
        <v>0</v>
      </c>
      <c r="AN249" s="61">
        <f>IFERROR(SUMIFS('BM MORRO DA CRUZ - VERTICAL'!AR$6:AR$546,'BM MORRO DA CRUZ - VERTICAL'!$O$6:$O$546,'BM MORRO DA CRUZ'!$K249),0)</f>
        <v>0</v>
      </c>
      <c r="AO249" s="63">
        <f t="shared" si="196"/>
        <v>0</v>
      </c>
      <c r="AP249" s="61">
        <f>IFERROR(SUMIFS('BM MORRO DA CRUZ - VERTICAL'!AT$6:AT$546,'BM MORRO DA CRUZ - VERTICAL'!$O$6:$O$546,'BM MORRO DA CRUZ'!$K249),0)</f>
        <v>0</v>
      </c>
      <c r="AQ249" s="63">
        <f t="shared" si="197"/>
        <v>0</v>
      </c>
      <c r="AR249" s="61">
        <f>IFERROR(SUMIFS('BM MORRO DA CRUZ - VERTICAL'!AV$6:AV$546,'BM MORRO DA CRUZ - VERTICAL'!$O$6:$O$546,'BM MORRO DA CRUZ'!$K249),0)</f>
        <v>0</v>
      </c>
      <c r="AS249" s="63">
        <f t="shared" si="198"/>
        <v>0</v>
      </c>
      <c r="AT249" s="61">
        <f>IFERROR(SUMIFS('BM MORRO DA CRUZ - VERTICAL'!AX$6:AX$546,'BM MORRO DA CRUZ - VERTICAL'!$O$6:$O$546,'BM MORRO DA CRUZ'!$K249),0)</f>
        <v>0</v>
      </c>
      <c r="AU249" s="63">
        <f t="shared" si="199"/>
        <v>0</v>
      </c>
      <c r="AV249" s="61">
        <f>IFERROR(SUMIFS('BM MORRO DA CRUZ - VERTICAL'!AZ$6:AZ$546,'BM MORRO DA CRUZ - VERTICAL'!$O$6:$O$546,'BM MORRO DA CRUZ'!$K249),0)</f>
        <v>0</v>
      </c>
      <c r="AW249" s="63">
        <f t="shared" si="200"/>
        <v>0</v>
      </c>
      <c r="AX249" s="61">
        <f>IFERROR(SUMIFS('BM MORRO DA CRUZ - VERTICAL'!BB$6:BB$546,'BM MORRO DA CRUZ - VERTICAL'!$O$6:$O$546,'BM MORRO DA CRUZ'!$K249),0)</f>
        <v>0</v>
      </c>
      <c r="AY249" s="63">
        <f t="shared" si="201"/>
        <v>0</v>
      </c>
      <c r="AZ249" s="61">
        <f>IFERROR(SUMIFS('BM MORRO DA CRUZ - VERTICAL'!BD$6:BD$546,'BM MORRO DA CRUZ - VERTICAL'!$O$6:$O$546,'BM MORRO DA CRUZ'!$K249),0)</f>
        <v>0</v>
      </c>
      <c r="BA249" s="63">
        <f t="shared" si="202"/>
        <v>0</v>
      </c>
      <c r="BB249" s="61">
        <f t="shared" si="203"/>
        <v>0</v>
      </c>
      <c r="BC249" s="63">
        <f t="shared" si="204"/>
        <v>0</v>
      </c>
      <c r="BD249" s="64">
        <f t="shared" si="205"/>
        <v>0</v>
      </c>
      <c r="BE249" s="65">
        <f t="shared" si="206"/>
        <v>1</v>
      </c>
      <c r="BF249" s="45"/>
    </row>
    <row r="250" spans="1:58" ht="35.65" x14ac:dyDescent="0.45">
      <c r="A250" s="56" t="s">
        <v>956</v>
      </c>
      <c r="B250" s="506" t="s">
        <v>1776</v>
      </c>
      <c r="C250" s="507" t="s">
        <v>39</v>
      </c>
      <c r="D250" s="507" t="s">
        <v>39</v>
      </c>
      <c r="E250" s="507" t="s">
        <v>1777</v>
      </c>
      <c r="F250" s="507" t="s">
        <v>39</v>
      </c>
      <c r="G250" s="507" t="s">
        <v>39</v>
      </c>
      <c r="H250" s="508" t="s">
        <v>39</v>
      </c>
      <c r="I250" s="507" t="s">
        <v>1778</v>
      </c>
      <c r="J250" s="508" t="s">
        <v>1777</v>
      </c>
      <c r="K250" s="57" t="s">
        <v>957</v>
      </c>
      <c r="L250" s="58" t="s">
        <v>846</v>
      </c>
      <c r="M250" s="59" t="s">
        <v>958</v>
      </c>
      <c r="N250" s="60" t="s">
        <v>959</v>
      </c>
      <c r="O250" s="61">
        <v>1271434.53</v>
      </c>
      <c r="P250" s="62">
        <v>0.89</v>
      </c>
      <c r="Q250" s="63">
        <f t="shared" si="184"/>
        <v>1131576.73</v>
      </c>
      <c r="R250" s="61">
        <f>IFERROR(SUMIFS('BM MORRO DA CRUZ - VERTICAL'!V$6:V$546,'BM MORRO DA CRUZ - VERTICAL'!$O$6:$O$546,'BM MORRO DA CRUZ'!$K250),0)</f>
        <v>0</v>
      </c>
      <c r="S250" s="63">
        <f t="shared" si="185"/>
        <v>0</v>
      </c>
      <c r="T250" s="61">
        <f>IFERROR(SUMIFS('BM MORRO DA CRUZ - VERTICAL'!X$6:X$546,'BM MORRO DA CRUZ - VERTICAL'!$O$6:$O$546,'BM MORRO DA CRUZ'!$K250),0)</f>
        <v>0</v>
      </c>
      <c r="U250" s="63">
        <f t="shared" si="186"/>
        <v>0</v>
      </c>
      <c r="V250" s="61">
        <f>IFERROR(SUMIFS('BM MORRO DA CRUZ - VERTICAL'!Z$6:Z$546,'BM MORRO DA CRUZ - VERTICAL'!$O$6:$O$546,'BM MORRO DA CRUZ'!$K250),0)</f>
        <v>0</v>
      </c>
      <c r="W250" s="63">
        <f t="shared" si="187"/>
        <v>0</v>
      </c>
      <c r="X250" s="61">
        <f>IFERROR(SUMIFS('BM MORRO DA CRUZ - VERTICAL'!AB$6:AB$546,'BM MORRO DA CRUZ - VERTICAL'!$O$6:$O$546,'BM MORRO DA CRUZ'!$K250),0)</f>
        <v>0</v>
      </c>
      <c r="Y250" s="63">
        <f t="shared" si="188"/>
        <v>0</v>
      </c>
      <c r="Z250" s="61">
        <f>IFERROR(SUMIFS('BM MORRO DA CRUZ - VERTICAL'!AD$6:AD$546,'BM MORRO DA CRUZ - VERTICAL'!$O$6:$O$546,'BM MORRO DA CRUZ'!$K250),0)</f>
        <v>0</v>
      </c>
      <c r="AA250" s="63">
        <f t="shared" si="189"/>
        <v>0</v>
      </c>
      <c r="AB250" s="61">
        <f>IFERROR(SUMIFS('BM MORRO DA CRUZ - VERTICAL'!AF$6:AF$546,'BM MORRO DA CRUZ - VERTICAL'!$O$6:$O$546,'BM MORRO DA CRUZ'!$K250),0)</f>
        <v>0</v>
      </c>
      <c r="AC250" s="63">
        <f t="shared" si="190"/>
        <v>0</v>
      </c>
      <c r="AD250" s="61">
        <f>IFERROR(SUMIFS('BM MORRO DA CRUZ - VERTICAL'!AH$6:AH$546,'BM MORRO DA CRUZ - VERTICAL'!$O$6:$O$546,'BM MORRO DA CRUZ'!$K250),0)</f>
        <v>0</v>
      </c>
      <c r="AE250" s="63">
        <f t="shared" si="191"/>
        <v>0</v>
      </c>
      <c r="AF250" s="61">
        <f>IFERROR(SUMIFS('BM MORRO DA CRUZ - VERTICAL'!AJ$6:AJ$546,'BM MORRO DA CRUZ - VERTICAL'!$O$6:$O$546,'BM MORRO DA CRUZ'!$K250),0)</f>
        <v>0</v>
      </c>
      <c r="AG250" s="63">
        <f t="shared" si="192"/>
        <v>0</v>
      </c>
      <c r="AH250" s="61">
        <f>IFERROR(SUMIFS('BM MORRO DA CRUZ - VERTICAL'!AL$6:AL$546,'BM MORRO DA CRUZ - VERTICAL'!$O$6:$O$546,'BM MORRO DA CRUZ'!$K250),0)</f>
        <v>0</v>
      </c>
      <c r="AI250" s="63">
        <f t="shared" si="193"/>
        <v>0</v>
      </c>
      <c r="AJ250" s="61">
        <f>IFERROR(SUMIFS('BM MORRO DA CRUZ - VERTICAL'!AN$6:AN$546,'BM MORRO DA CRUZ - VERTICAL'!$O$6:$O$546,'BM MORRO DA CRUZ'!$K250),0)</f>
        <v>0</v>
      </c>
      <c r="AK250" s="63">
        <f t="shared" si="194"/>
        <v>0</v>
      </c>
      <c r="AL250" s="61">
        <f>IFERROR(SUMIFS('BM MORRO DA CRUZ - VERTICAL'!AP$6:AP$546,'BM MORRO DA CRUZ - VERTICAL'!$O$6:$O$546,'BM MORRO DA CRUZ'!$K250),0)</f>
        <v>0</v>
      </c>
      <c r="AM250" s="63">
        <f t="shared" si="195"/>
        <v>0</v>
      </c>
      <c r="AN250" s="61">
        <f>IFERROR(SUMIFS('BM MORRO DA CRUZ - VERTICAL'!AR$6:AR$546,'BM MORRO DA CRUZ - VERTICAL'!$O$6:$O$546,'BM MORRO DA CRUZ'!$K250),0)</f>
        <v>0</v>
      </c>
      <c r="AO250" s="63">
        <f t="shared" si="196"/>
        <v>0</v>
      </c>
      <c r="AP250" s="61">
        <f>IFERROR(SUMIFS('BM MORRO DA CRUZ - VERTICAL'!AT$6:AT$546,'BM MORRO DA CRUZ - VERTICAL'!$O$6:$O$546,'BM MORRO DA CRUZ'!$K250),0)</f>
        <v>0</v>
      </c>
      <c r="AQ250" s="63">
        <f t="shared" si="197"/>
        <v>0</v>
      </c>
      <c r="AR250" s="61">
        <f>IFERROR(SUMIFS('BM MORRO DA CRUZ - VERTICAL'!AV$6:AV$546,'BM MORRO DA CRUZ - VERTICAL'!$O$6:$O$546,'BM MORRO DA CRUZ'!$K250),0)</f>
        <v>0</v>
      </c>
      <c r="AS250" s="63">
        <f t="shared" si="198"/>
        <v>0</v>
      </c>
      <c r="AT250" s="61">
        <f>IFERROR(SUMIFS('BM MORRO DA CRUZ - VERTICAL'!AX$6:AX$546,'BM MORRO DA CRUZ - VERTICAL'!$O$6:$O$546,'BM MORRO DA CRUZ'!$K250),0)</f>
        <v>0</v>
      </c>
      <c r="AU250" s="63">
        <f t="shared" si="199"/>
        <v>0</v>
      </c>
      <c r="AV250" s="61">
        <f>IFERROR(SUMIFS('BM MORRO DA CRUZ - VERTICAL'!AZ$6:AZ$546,'BM MORRO DA CRUZ - VERTICAL'!$O$6:$O$546,'BM MORRO DA CRUZ'!$K250),0)</f>
        <v>0</v>
      </c>
      <c r="AW250" s="63">
        <f t="shared" si="200"/>
        <v>0</v>
      </c>
      <c r="AX250" s="61">
        <f>IFERROR(SUMIFS('BM MORRO DA CRUZ - VERTICAL'!BB$6:BB$546,'BM MORRO DA CRUZ - VERTICAL'!$O$6:$O$546,'BM MORRO DA CRUZ'!$K250),0)</f>
        <v>0</v>
      </c>
      <c r="AY250" s="63">
        <f t="shared" si="201"/>
        <v>0</v>
      </c>
      <c r="AZ250" s="61">
        <f>IFERROR(SUMIFS('BM MORRO DA CRUZ - VERTICAL'!BD$6:BD$546,'BM MORRO DA CRUZ - VERTICAL'!$O$6:$O$546,'BM MORRO DA CRUZ'!$K250),0)</f>
        <v>0</v>
      </c>
      <c r="BA250" s="63">
        <f t="shared" si="202"/>
        <v>0</v>
      </c>
      <c r="BB250" s="61">
        <f t="shared" si="203"/>
        <v>0</v>
      </c>
      <c r="BC250" s="63">
        <f t="shared" si="204"/>
        <v>0</v>
      </c>
      <c r="BD250" s="64">
        <f t="shared" si="205"/>
        <v>0</v>
      </c>
      <c r="BE250" s="65">
        <f t="shared" si="206"/>
        <v>1</v>
      </c>
      <c r="BF250" s="45"/>
    </row>
    <row r="251" spans="1:58" ht="35.65" x14ac:dyDescent="0.45">
      <c r="A251" s="56" t="s">
        <v>960</v>
      </c>
      <c r="B251" s="506" t="s">
        <v>1779</v>
      </c>
      <c r="C251" s="507" t="s">
        <v>39</v>
      </c>
      <c r="D251" s="507" t="s">
        <v>39</v>
      </c>
      <c r="E251" s="507" t="s">
        <v>1777</v>
      </c>
      <c r="F251" s="507" t="s">
        <v>39</v>
      </c>
      <c r="G251" s="507" t="s">
        <v>39</v>
      </c>
      <c r="H251" s="508" t="s">
        <v>39</v>
      </c>
      <c r="I251" s="507" t="s">
        <v>1778</v>
      </c>
      <c r="J251" s="508" t="s">
        <v>1777</v>
      </c>
      <c r="K251" s="57" t="s">
        <v>961</v>
      </c>
      <c r="L251" s="58" t="s">
        <v>846</v>
      </c>
      <c r="M251" s="59" t="s">
        <v>962</v>
      </c>
      <c r="N251" s="60" t="s">
        <v>959</v>
      </c>
      <c r="O251" s="61">
        <v>2549611.2200000002</v>
      </c>
      <c r="P251" s="62">
        <v>2.19</v>
      </c>
      <c r="Q251" s="63">
        <f t="shared" si="184"/>
        <v>5583648.5700000003</v>
      </c>
      <c r="R251" s="61">
        <f>IFERROR(SUMIFS('BM MORRO DA CRUZ - VERTICAL'!V$6:V$546,'BM MORRO DA CRUZ - VERTICAL'!$O$6:$O$546,'BM MORRO DA CRUZ'!$K251),0)</f>
        <v>0</v>
      </c>
      <c r="S251" s="63">
        <f t="shared" si="185"/>
        <v>0</v>
      </c>
      <c r="T251" s="61">
        <f>IFERROR(SUMIFS('BM MORRO DA CRUZ - VERTICAL'!X$6:X$546,'BM MORRO DA CRUZ - VERTICAL'!$O$6:$O$546,'BM MORRO DA CRUZ'!$K251),0)</f>
        <v>0</v>
      </c>
      <c r="U251" s="63">
        <f t="shared" si="186"/>
        <v>0</v>
      </c>
      <c r="V251" s="61">
        <f>IFERROR(SUMIFS('BM MORRO DA CRUZ - VERTICAL'!Z$6:Z$546,'BM MORRO DA CRUZ - VERTICAL'!$O$6:$O$546,'BM MORRO DA CRUZ'!$K251),0)</f>
        <v>0</v>
      </c>
      <c r="W251" s="63">
        <f t="shared" si="187"/>
        <v>0</v>
      </c>
      <c r="X251" s="61">
        <f>IFERROR(SUMIFS('BM MORRO DA CRUZ - VERTICAL'!AB$6:AB$546,'BM MORRO DA CRUZ - VERTICAL'!$O$6:$O$546,'BM MORRO DA CRUZ'!$K251),0)</f>
        <v>0</v>
      </c>
      <c r="Y251" s="63">
        <f t="shared" si="188"/>
        <v>0</v>
      </c>
      <c r="Z251" s="61">
        <f>IFERROR(SUMIFS('BM MORRO DA CRUZ - VERTICAL'!AD$6:AD$546,'BM MORRO DA CRUZ - VERTICAL'!$O$6:$O$546,'BM MORRO DA CRUZ'!$K251),0)</f>
        <v>0</v>
      </c>
      <c r="AA251" s="63">
        <f t="shared" si="189"/>
        <v>0</v>
      </c>
      <c r="AB251" s="61">
        <f>IFERROR(SUMIFS('BM MORRO DA CRUZ - VERTICAL'!AF$6:AF$546,'BM MORRO DA CRUZ - VERTICAL'!$O$6:$O$546,'BM MORRO DA CRUZ'!$K251),0)</f>
        <v>0</v>
      </c>
      <c r="AC251" s="63">
        <f t="shared" si="190"/>
        <v>0</v>
      </c>
      <c r="AD251" s="61">
        <f>IFERROR(SUMIFS('BM MORRO DA CRUZ - VERTICAL'!AH$6:AH$546,'BM MORRO DA CRUZ - VERTICAL'!$O$6:$O$546,'BM MORRO DA CRUZ'!$K251),0)</f>
        <v>0</v>
      </c>
      <c r="AE251" s="63">
        <f t="shared" si="191"/>
        <v>0</v>
      </c>
      <c r="AF251" s="61">
        <f>IFERROR(SUMIFS('BM MORRO DA CRUZ - VERTICAL'!AJ$6:AJ$546,'BM MORRO DA CRUZ - VERTICAL'!$O$6:$O$546,'BM MORRO DA CRUZ'!$K251),0)</f>
        <v>0</v>
      </c>
      <c r="AG251" s="63">
        <f t="shared" si="192"/>
        <v>0</v>
      </c>
      <c r="AH251" s="61">
        <f>IFERROR(SUMIFS('BM MORRO DA CRUZ - VERTICAL'!AL$6:AL$546,'BM MORRO DA CRUZ - VERTICAL'!$O$6:$O$546,'BM MORRO DA CRUZ'!$K251),0)</f>
        <v>0</v>
      </c>
      <c r="AI251" s="63">
        <f t="shared" si="193"/>
        <v>0</v>
      </c>
      <c r="AJ251" s="61">
        <f>IFERROR(SUMIFS('BM MORRO DA CRUZ - VERTICAL'!AN$6:AN$546,'BM MORRO DA CRUZ - VERTICAL'!$O$6:$O$546,'BM MORRO DA CRUZ'!$K251),0)</f>
        <v>0</v>
      </c>
      <c r="AK251" s="63">
        <f t="shared" si="194"/>
        <v>0</v>
      </c>
      <c r="AL251" s="61">
        <f>IFERROR(SUMIFS('BM MORRO DA CRUZ - VERTICAL'!AP$6:AP$546,'BM MORRO DA CRUZ - VERTICAL'!$O$6:$O$546,'BM MORRO DA CRUZ'!$K251),0)</f>
        <v>0</v>
      </c>
      <c r="AM251" s="63">
        <f t="shared" si="195"/>
        <v>0</v>
      </c>
      <c r="AN251" s="61">
        <f>IFERROR(SUMIFS('BM MORRO DA CRUZ - VERTICAL'!AR$6:AR$546,'BM MORRO DA CRUZ - VERTICAL'!$O$6:$O$546,'BM MORRO DA CRUZ'!$K251),0)</f>
        <v>0</v>
      </c>
      <c r="AO251" s="63">
        <f t="shared" si="196"/>
        <v>0</v>
      </c>
      <c r="AP251" s="61">
        <f>IFERROR(SUMIFS('BM MORRO DA CRUZ - VERTICAL'!AT$6:AT$546,'BM MORRO DA CRUZ - VERTICAL'!$O$6:$O$546,'BM MORRO DA CRUZ'!$K251),0)</f>
        <v>0</v>
      </c>
      <c r="AQ251" s="63">
        <f t="shared" si="197"/>
        <v>0</v>
      </c>
      <c r="AR251" s="61">
        <f>IFERROR(SUMIFS('BM MORRO DA CRUZ - VERTICAL'!AV$6:AV$546,'BM MORRO DA CRUZ - VERTICAL'!$O$6:$O$546,'BM MORRO DA CRUZ'!$K251),0)</f>
        <v>0</v>
      </c>
      <c r="AS251" s="63">
        <f t="shared" si="198"/>
        <v>0</v>
      </c>
      <c r="AT251" s="61">
        <f>IFERROR(SUMIFS('BM MORRO DA CRUZ - VERTICAL'!AX$6:AX$546,'BM MORRO DA CRUZ - VERTICAL'!$O$6:$O$546,'BM MORRO DA CRUZ'!$K251),0)</f>
        <v>0</v>
      </c>
      <c r="AU251" s="63">
        <f t="shared" si="199"/>
        <v>0</v>
      </c>
      <c r="AV251" s="61">
        <f>IFERROR(SUMIFS('BM MORRO DA CRUZ - VERTICAL'!AZ$6:AZ$546,'BM MORRO DA CRUZ - VERTICAL'!$O$6:$O$546,'BM MORRO DA CRUZ'!$K251),0)</f>
        <v>0</v>
      </c>
      <c r="AW251" s="63">
        <f t="shared" si="200"/>
        <v>0</v>
      </c>
      <c r="AX251" s="61">
        <f>IFERROR(SUMIFS('BM MORRO DA CRUZ - VERTICAL'!BB$6:BB$546,'BM MORRO DA CRUZ - VERTICAL'!$O$6:$O$546,'BM MORRO DA CRUZ'!$K251),0)</f>
        <v>0</v>
      </c>
      <c r="AY251" s="63">
        <f t="shared" si="201"/>
        <v>0</v>
      </c>
      <c r="AZ251" s="61">
        <f>IFERROR(SUMIFS('BM MORRO DA CRUZ - VERTICAL'!BD$6:BD$546,'BM MORRO DA CRUZ - VERTICAL'!$O$6:$O$546,'BM MORRO DA CRUZ'!$K251),0)</f>
        <v>0</v>
      </c>
      <c r="BA251" s="63">
        <f t="shared" si="202"/>
        <v>0</v>
      </c>
      <c r="BB251" s="61">
        <f t="shared" si="203"/>
        <v>0</v>
      </c>
      <c r="BC251" s="63">
        <f t="shared" si="204"/>
        <v>0</v>
      </c>
      <c r="BD251" s="64">
        <f t="shared" si="205"/>
        <v>0</v>
      </c>
      <c r="BE251" s="65">
        <f t="shared" si="206"/>
        <v>1</v>
      </c>
      <c r="BF251" s="45"/>
    </row>
    <row r="252" spans="1:58" ht="35.65" x14ac:dyDescent="0.45">
      <c r="A252" s="56" t="s">
        <v>963</v>
      </c>
      <c r="B252" s="506" t="s">
        <v>1780</v>
      </c>
      <c r="C252" s="507" t="s">
        <v>39</v>
      </c>
      <c r="D252" s="507" t="s">
        <v>39</v>
      </c>
      <c r="E252" s="507" t="s">
        <v>1777</v>
      </c>
      <c r="F252" s="507" t="s">
        <v>39</v>
      </c>
      <c r="G252" s="507" t="s">
        <v>39</v>
      </c>
      <c r="H252" s="508" t="s">
        <v>39</v>
      </c>
      <c r="I252" s="507" t="s">
        <v>1739</v>
      </c>
      <c r="J252" s="508" t="s">
        <v>1777</v>
      </c>
      <c r="K252" s="57" t="s">
        <v>964</v>
      </c>
      <c r="L252" s="58" t="s">
        <v>846</v>
      </c>
      <c r="M252" s="59" t="s">
        <v>965</v>
      </c>
      <c r="N252" s="60" t="s">
        <v>959</v>
      </c>
      <c r="O252" s="61">
        <v>1677.15</v>
      </c>
      <c r="P252" s="62">
        <v>1.2</v>
      </c>
      <c r="Q252" s="63">
        <f t="shared" si="184"/>
        <v>2012.58</v>
      </c>
      <c r="R252" s="61">
        <f>IFERROR(SUMIFS('BM MORRO DA CRUZ - VERTICAL'!V$6:V$546,'BM MORRO DA CRUZ - VERTICAL'!$O$6:$O$546,'BM MORRO DA CRUZ'!$K252),0)</f>
        <v>0</v>
      </c>
      <c r="S252" s="63">
        <f t="shared" si="185"/>
        <v>0</v>
      </c>
      <c r="T252" s="61">
        <f>IFERROR(SUMIFS('BM MORRO DA CRUZ - VERTICAL'!X$6:X$546,'BM MORRO DA CRUZ - VERTICAL'!$O$6:$O$546,'BM MORRO DA CRUZ'!$K252),0)</f>
        <v>0</v>
      </c>
      <c r="U252" s="63">
        <f t="shared" si="186"/>
        <v>0</v>
      </c>
      <c r="V252" s="61">
        <f>IFERROR(SUMIFS('BM MORRO DA CRUZ - VERTICAL'!Z$6:Z$546,'BM MORRO DA CRUZ - VERTICAL'!$O$6:$O$546,'BM MORRO DA CRUZ'!$K252),0)</f>
        <v>0</v>
      </c>
      <c r="W252" s="63">
        <f t="shared" si="187"/>
        <v>0</v>
      </c>
      <c r="X252" s="61">
        <f>IFERROR(SUMIFS('BM MORRO DA CRUZ - VERTICAL'!AB$6:AB$546,'BM MORRO DA CRUZ - VERTICAL'!$O$6:$O$546,'BM MORRO DA CRUZ'!$K252),0)</f>
        <v>0</v>
      </c>
      <c r="Y252" s="63">
        <f t="shared" si="188"/>
        <v>0</v>
      </c>
      <c r="Z252" s="61">
        <f>IFERROR(SUMIFS('BM MORRO DA CRUZ - VERTICAL'!AD$6:AD$546,'BM MORRO DA CRUZ - VERTICAL'!$O$6:$O$546,'BM MORRO DA CRUZ'!$K252),0)</f>
        <v>0</v>
      </c>
      <c r="AA252" s="63">
        <f t="shared" si="189"/>
        <v>0</v>
      </c>
      <c r="AB252" s="61">
        <f>IFERROR(SUMIFS('BM MORRO DA CRUZ - VERTICAL'!AF$6:AF$546,'BM MORRO DA CRUZ - VERTICAL'!$O$6:$O$546,'BM MORRO DA CRUZ'!$K252),0)</f>
        <v>0</v>
      </c>
      <c r="AC252" s="63">
        <f t="shared" si="190"/>
        <v>0</v>
      </c>
      <c r="AD252" s="61">
        <f>IFERROR(SUMIFS('BM MORRO DA CRUZ - VERTICAL'!AH$6:AH$546,'BM MORRO DA CRUZ - VERTICAL'!$O$6:$O$546,'BM MORRO DA CRUZ'!$K252),0)</f>
        <v>0</v>
      </c>
      <c r="AE252" s="63">
        <f t="shared" si="191"/>
        <v>0</v>
      </c>
      <c r="AF252" s="61">
        <f>IFERROR(SUMIFS('BM MORRO DA CRUZ - VERTICAL'!AJ$6:AJ$546,'BM MORRO DA CRUZ - VERTICAL'!$O$6:$O$546,'BM MORRO DA CRUZ'!$K252),0)</f>
        <v>0</v>
      </c>
      <c r="AG252" s="63">
        <f t="shared" si="192"/>
        <v>0</v>
      </c>
      <c r="AH252" s="61">
        <f>IFERROR(SUMIFS('BM MORRO DA CRUZ - VERTICAL'!AL$6:AL$546,'BM MORRO DA CRUZ - VERTICAL'!$O$6:$O$546,'BM MORRO DA CRUZ'!$K252),0)</f>
        <v>0</v>
      </c>
      <c r="AI252" s="63">
        <f t="shared" si="193"/>
        <v>0</v>
      </c>
      <c r="AJ252" s="61">
        <f>IFERROR(SUMIFS('BM MORRO DA CRUZ - VERTICAL'!AN$6:AN$546,'BM MORRO DA CRUZ - VERTICAL'!$O$6:$O$546,'BM MORRO DA CRUZ'!$K252),0)</f>
        <v>0</v>
      </c>
      <c r="AK252" s="63">
        <f t="shared" si="194"/>
        <v>0</v>
      </c>
      <c r="AL252" s="61">
        <f>IFERROR(SUMIFS('BM MORRO DA CRUZ - VERTICAL'!AP$6:AP$546,'BM MORRO DA CRUZ - VERTICAL'!$O$6:$O$546,'BM MORRO DA CRUZ'!$K252),0)</f>
        <v>0</v>
      </c>
      <c r="AM252" s="63">
        <f t="shared" si="195"/>
        <v>0</v>
      </c>
      <c r="AN252" s="61">
        <f>IFERROR(SUMIFS('BM MORRO DA CRUZ - VERTICAL'!AR$6:AR$546,'BM MORRO DA CRUZ - VERTICAL'!$O$6:$O$546,'BM MORRO DA CRUZ'!$K252),0)</f>
        <v>0</v>
      </c>
      <c r="AO252" s="63">
        <f t="shared" si="196"/>
        <v>0</v>
      </c>
      <c r="AP252" s="61">
        <f>IFERROR(SUMIFS('BM MORRO DA CRUZ - VERTICAL'!AT$6:AT$546,'BM MORRO DA CRUZ - VERTICAL'!$O$6:$O$546,'BM MORRO DA CRUZ'!$K252),0)</f>
        <v>0</v>
      </c>
      <c r="AQ252" s="63">
        <f t="shared" si="197"/>
        <v>0</v>
      </c>
      <c r="AR252" s="61">
        <f>IFERROR(SUMIFS('BM MORRO DA CRUZ - VERTICAL'!AV$6:AV$546,'BM MORRO DA CRUZ - VERTICAL'!$O$6:$O$546,'BM MORRO DA CRUZ'!$K252),0)</f>
        <v>0</v>
      </c>
      <c r="AS252" s="63">
        <f t="shared" si="198"/>
        <v>0</v>
      </c>
      <c r="AT252" s="61">
        <f>IFERROR(SUMIFS('BM MORRO DA CRUZ - VERTICAL'!AX$6:AX$546,'BM MORRO DA CRUZ - VERTICAL'!$O$6:$O$546,'BM MORRO DA CRUZ'!$K252),0)</f>
        <v>0</v>
      </c>
      <c r="AU252" s="63">
        <f t="shared" si="199"/>
        <v>0</v>
      </c>
      <c r="AV252" s="61">
        <f>IFERROR(SUMIFS('BM MORRO DA CRUZ - VERTICAL'!AZ$6:AZ$546,'BM MORRO DA CRUZ - VERTICAL'!$O$6:$O$546,'BM MORRO DA CRUZ'!$K252),0)</f>
        <v>0</v>
      </c>
      <c r="AW252" s="63">
        <f t="shared" si="200"/>
        <v>0</v>
      </c>
      <c r="AX252" s="61">
        <f>IFERROR(SUMIFS('BM MORRO DA CRUZ - VERTICAL'!BB$6:BB$546,'BM MORRO DA CRUZ - VERTICAL'!$O$6:$O$546,'BM MORRO DA CRUZ'!$K252),0)</f>
        <v>0</v>
      </c>
      <c r="AY252" s="63">
        <f t="shared" si="201"/>
        <v>0</v>
      </c>
      <c r="AZ252" s="61">
        <f>IFERROR(SUMIFS('BM MORRO DA CRUZ - VERTICAL'!BD$6:BD$546,'BM MORRO DA CRUZ - VERTICAL'!$O$6:$O$546,'BM MORRO DA CRUZ'!$K252),0)</f>
        <v>0</v>
      </c>
      <c r="BA252" s="63">
        <f t="shared" si="202"/>
        <v>0</v>
      </c>
      <c r="BB252" s="61">
        <f t="shared" si="203"/>
        <v>0</v>
      </c>
      <c r="BC252" s="63">
        <f t="shared" si="204"/>
        <v>0</v>
      </c>
      <c r="BD252" s="64">
        <f t="shared" si="205"/>
        <v>0</v>
      </c>
      <c r="BE252" s="65">
        <f t="shared" si="206"/>
        <v>1</v>
      </c>
      <c r="BF252" s="45"/>
    </row>
    <row r="253" spans="1:58" ht="26" customHeight="1" x14ac:dyDescent="0.45">
      <c r="A253" s="56" t="s">
        <v>966</v>
      </c>
      <c r="B253" s="506" t="s">
        <v>1781</v>
      </c>
      <c r="C253" s="507" t="s">
        <v>39</v>
      </c>
      <c r="D253" s="507" t="s">
        <v>39</v>
      </c>
      <c r="E253" s="507" t="s">
        <v>1777</v>
      </c>
      <c r="F253" s="507" t="s">
        <v>39</v>
      </c>
      <c r="G253" s="507" t="s">
        <v>39</v>
      </c>
      <c r="H253" s="508" t="s">
        <v>39</v>
      </c>
      <c r="I253" s="507" t="s">
        <v>1782</v>
      </c>
      <c r="J253" s="508" t="s">
        <v>1777</v>
      </c>
      <c r="K253" s="57" t="s">
        <v>967</v>
      </c>
      <c r="L253" s="58" t="s">
        <v>846</v>
      </c>
      <c r="M253" s="59" t="s">
        <v>968</v>
      </c>
      <c r="N253" s="60" t="s">
        <v>959</v>
      </c>
      <c r="O253" s="61">
        <v>6714.7</v>
      </c>
      <c r="P253" s="62">
        <v>3.01</v>
      </c>
      <c r="Q253" s="63">
        <f t="shared" si="184"/>
        <v>20211.25</v>
      </c>
      <c r="R253" s="61">
        <f>IFERROR(SUMIFS('BM MORRO DA CRUZ - VERTICAL'!V$6:V$546,'BM MORRO DA CRUZ - VERTICAL'!$O$6:$O$546,'BM MORRO DA CRUZ'!$K253),0)</f>
        <v>0</v>
      </c>
      <c r="S253" s="63">
        <f t="shared" si="185"/>
        <v>0</v>
      </c>
      <c r="T253" s="61">
        <f>IFERROR(SUMIFS('BM MORRO DA CRUZ - VERTICAL'!X$6:X$546,'BM MORRO DA CRUZ - VERTICAL'!$O$6:$O$546,'BM MORRO DA CRUZ'!$K253),0)</f>
        <v>0</v>
      </c>
      <c r="U253" s="63">
        <f t="shared" si="186"/>
        <v>0</v>
      </c>
      <c r="V253" s="61">
        <f>IFERROR(SUMIFS('BM MORRO DA CRUZ - VERTICAL'!Z$6:Z$546,'BM MORRO DA CRUZ - VERTICAL'!$O$6:$O$546,'BM MORRO DA CRUZ'!$K253),0)</f>
        <v>0</v>
      </c>
      <c r="W253" s="63">
        <f t="shared" si="187"/>
        <v>0</v>
      </c>
      <c r="X253" s="61">
        <f>IFERROR(SUMIFS('BM MORRO DA CRUZ - VERTICAL'!AB$6:AB$546,'BM MORRO DA CRUZ - VERTICAL'!$O$6:$O$546,'BM MORRO DA CRUZ'!$K253),0)</f>
        <v>0</v>
      </c>
      <c r="Y253" s="63">
        <f t="shared" si="188"/>
        <v>0</v>
      </c>
      <c r="Z253" s="61">
        <f>IFERROR(SUMIFS('BM MORRO DA CRUZ - VERTICAL'!AD$6:AD$546,'BM MORRO DA CRUZ - VERTICAL'!$O$6:$O$546,'BM MORRO DA CRUZ'!$K253),0)</f>
        <v>0</v>
      </c>
      <c r="AA253" s="63">
        <f t="shared" si="189"/>
        <v>0</v>
      </c>
      <c r="AB253" s="61">
        <f>IFERROR(SUMIFS('BM MORRO DA CRUZ - VERTICAL'!AF$6:AF$546,'BM MORRO DA CRUZ - VERTICAL'!$O$6:$O$546,'BM MORRO DA CRUZ'!$K253),0)</f>
        <v>0</v>
      </c>
      <c r="AC253" s="63">
        <f t="shared" si="190"/>
        <v>0</v>
      </c>
      <c r="AD253" s="61">
        <f>IFERROR(SUMIFS('BM MORRO DA CRUZ - VERTICAL'!AH$6:AH$546,'BM MORRO DA CRUZ - VERTICAL'!$O$6:$O$546,'BM MORRO DA CRUZ'!$K253),0)</f>
        <v>0</v>
      </c>
      <c r="AE253" s="63">
        <f t="shared" si="191"/>
        <v>0</v>
      </c>
      <c r="AF253" s="61">
        <f>IFERROR(SUMIFS('BM MORRO DA CRUZ - VERTICAL'!AJ$6:AJ$546,'BM MORRO DA CRUZ - VERTICAL'!$O$6:$O$546,'BM MORRO DA CRUZ'!$K253),0)</f>
        <v>0</v>
      </c>
      <c r="AG253" s="63">
        <f t="shared" si="192"/>
        <v>0</v>
      </c>
      <c r="AH253" s="61">
        <f>IFERROR(SUMIFS('BM MORRO DA CRUZ - VERTICAL'!AL$6:AL$546,'BM MORRO DA CRUZ - VERTICAL'!$O$6:$O$546,'BM MORRO DA CRUZ'!$K253),0)</f>
        <v>0</v>
      </c>
      <c r="AI253" s="63">
        <f t="shared" si="193"/>
        <v>0</v>
      </c>
      <c r="AJ253" s="61">
        <f>IFERROR(SUMIFS('BM MORRO DA CRUZ - VERTICAL'!AN$6:AN$546,'BM MORRO DA CRUZ - VERTICAL'!$O$6:$O$546,'BM MORRO DA CRUZ'!$K253),0)</f>
        <v>0</v>
      </c>
      <c r="AK253" s="63">
        <f t="shared" si="194"/>
        <v>0</v>
      </c>
      <c r="AL253" s="61">
        <f>IFERROR(SUMIFS('BM MORRO DA CRUZ - VERTICAL'!AP$6:AP$546,'BM MORRO DA CRUZ - VERTICAL'!$O$6:$O$546,'BM MORRO DA CRUZ'!$K253),0)</f>
        <v>0</v>
      </c>
      <c r="AM253" s="63">
        <f t="shared" si="195"/>
        <v>0</v>
      </c>
      <c r="AN253" s="61">
        <f>IFERROR(SUMIFS('BM MORRO DA CRUZ - VERTICAL'!AR$6:AR$546,'BM MORRO DA CRUZ - VERTICAL'!$O$6:$O$546,'BM MORRO DA CRUZ'!$K253),0)</f>
        <v>0</v>
      </c>
      <c r="AO253" s="63">
        <f t="shared" si="196"/>
        <v>0</v>
      </c>
      <c r="AP253" s="61">
        <f>IFERROR(SUMIFS('BM MORRO DA CRUZ - VERTICAL'!AT$6:AT$546,'BM MORRO DA CRUZ - VERTICAL'!$O$6:$O$546,'BM MORRO DA CRUZ'!$K253),0)</f>
        <v>0</v>
      </c>
      <c r="AQ253" s="63">
        <f t="shared" si="197"/>
        <v>0</v>
      </c>
      <c r="AR253" s="61">
        <f>IFERROR(SUMIFS('BM MORRO DA CRUZ - VERTICAL'!AV$6:AV$546,'BM MORRO DA CRUZ - VERTICAL'!$O$6:$O$546,'BM MORRO DA CRUZ'!$K253),0)</f>
        <v>0</v>
      </c>
      <c r="AS253" s="63">
        <f t="shared" si="198"/>
        <v>0</v>
      </c>
      <c r="AT253" s="61">
        <f>IFERROR(SUMIFS('BM MORRO DA CRUZ - VERTICAL'!AX$6:AX$546,'BM MORRO DA CRUZ - VERTICAL'!$O$6:$O$546,'BM MORRO DA CRUZ'!$K253),0)</f>
        <v>0</v>
      </c>
      <c r="AU253" s="63">
        <f t="shared" si="199"/>
        <v>0</v>
      </c>
      <c r="AV253" s="61">
        <f>IFERROR(SUMIFS('BM MORRO DA CRUZ - VERTICAL'!AZ$6:AZ$546,'BM MORRO DA CRUZ - VERTICAL'!$O$6:$O$546,'BM MORRO DA CRUZ'!$K253),0)</f>
        <v>0</v>
      </c>
      <c r="AW253" s="63">
        <f t="shared" si="200"/>
        <v>0</v>
      </c>
      <c r="AX253" s="61">
        <f>IFERROR(SUMIFS('BM MORRO DA CRUZ - VERTICAL'!BB$6:BB$546,'BM MORRO DA CRUZ - VERTICAL'!$O$6:$O$546,'BM MORRO DA CRUZ'!$K253),0)</f>
        <v>0</v>
      </c>
      <c r="AY253" s="63">
        <f t="shared" si="201"/>
        <v>0</v>
      </c>
      <c r="AZ253" s="61">
        <f>IFERROR(SUMIFS('BM MORRO DA CRUZ - VERTICAL'!BD$6:BD$546,'BM MORRO DA CRUZ - VERTICAL'!$O$6:$O$546,'BM MORRO DA CRUZ'!$K253),0)</f>
        <v>0</v>
      </c>
      <c r="BA253" s="63">
        <f t="shared" si="202"/>
        <v>0</v>
      </c>
      <c r="BB253" s="61">
        <f t="shared" si="203"/>
        <v>0</v>
      </c>
      <c r="BC253" s="63">
        <f t="shared" si="204"/>
        <v>0</v>
      </c>
      <c r="BD253" s="64">
        <f t="shared" si="205"/>
        <v>0</v>
      </c>
      <c r="BE253" s="65">
        <f t="shared" si="206"/>
        <v>1</v>
      </c>
      <c r="BF253" s="45"/>
    </row>
    <row r="254" spans="1:58" ht="35.65" x14ac:dyDescent="0.45">
      <c r="A254" s="56" t="s">
        <v>969</v>
      </c>
      <c r="B254" s="506" t="s">
        <v>1783</v>
      </c>
      <c r="C254" s="507" t="s">
        <v>39</v>
      </c>
      <c r="D254" s="507" t="s">
        <v>39</v>
      </c>
      <c r="E254" s="507" t="s">
        <v>1777</v>
      </c>
      <c r="F254" s="507" t="s">
        <v>39</v>
      </c>
      <c r="G254" s="507" t="s">
        <v>39</v>
      </c>
      <c r="H254" s="508" t="s">
        <v>1749</v>
      </c>
      <c r="I254" s="507" t="s">
        <v>1739</v>
      </c>
      <c r="J254" s="508" t="s">
        <v>1777</v>
      </c>
      <c r="K254" s="57" t="s">
        <v>970</v>
      </c>
      <c r="L254" s="58" t="s">
        <v>846</v>
      </c>
      <c r="M254" s="59" t="s">
        <v>971</v>
      </c>
      <c r="N254" s="60" t="s">
        <v>972</v>
      </c>
      <c r="O254" s="61">
        <v>588.9</v>
      </c>
      <c r="P254" s="62">
        <v>1.43</v>
      </c>
      <c r="Q254" s="63">
        <f t="shared" si="184"/>
        <v>842.13</v>
      </c>
      <c r="R254" s="61">
        <f>IFERROR(SUMIFS('BM MORRO DA CRUZ - VERTICAL'!V$6:V$546,'BM MORRO DA CRUZ - VERTICAL'!$O$6:$O$546,'BM MORRO DA CRUZ'!$K254),0)</f>
        <v>0</v>
      </c>
      <c r="S254" s="63">
        <f t="shared" si="185"/>
        <v>0</v>
      </c>
      <c r="T254" s="61">
        <f>IFERROR(SUMIFS('BM MORRO DA CRUZ - VERTICAL'!X$6:X$546,'BM MORRO DA CRUZ - VERTICAL'!$O$6:$O$546,'BM MORRO DA CRUZ'!$K254),0)</f>
        <v>0</v>
      </c>
      <c r="U254" s="63">
        <f t="shared" si="186"/>
        <v>0</v>
      </c>
      <c r="V254" s="61">
        <f>IFERROR(SUMIFS('BM MORRO DA CRUZ - VERTICAL'!Z$6:Z$546,'BM MORRO DA CRUZ - VERTICAL'!$O$6:$O$546,'BM MORRO DA CRUZ'!$K254),0)</f>
        <v>0</v>
      </c>
      <c r="W254" s="63">
        <f t="shared" si="187"/>
        <v>0</v>
      </c>
      <c r="X254" s="61">
        <f>IFERROR(SUMIFS('BM MORRO DA CRUZ - VERTICAL'!AB$6:AB$546,'BM MORRO DA CRUZ - VERTICAL'!$O$6:$O$546,'BM MORRO DA CRUZ'!$K254),0)</f>
        <v>0</v>
      </c>
      <c r="Y254" s="63">
        <f t="shared" si="188"/>
        <v>0</v>
      </c>
      <c r="Z254" s="61">
        <f>IFERROR(SUMIFS('BM MORRO DA CRUZ - VERTICAL'!AD$6:AD$546,'BM MORRO DA CRUZ - VERTICAL'!$O$6:$O$546,'BM MORRO DA CRUZ'!$K254),0)</f>
        <v>0</v>
      </c>
      <c r="AA254" s="63">
        <f t="shared" si="189"/>
        <v>0</v>
      </c>
      <c r="AB254" s="61">
        <f>IFERROR(SUMIFS('BM MORRO DA CRUZ - VERTICAL'!AF$6:AF$546,'BM MORRO DA CRUZ - VERTICAL'!$O$6:$O$546,'BM MORRO DA CRUZ'!$K254),0)</f>
        <v>0</v>
      </c>
      <c r="AC254" s="63">
        <f t="shared" si="190"/>
        <v>0</v>
      </c>
      <c r="AD254" s="61">
        <f>IFERROR(SUMIFS('BM MORRO DA CRUZ - VERTICAL'!AH$6:AH$546,'BM MORRO DA CRUZ - VERTICAL'!$O$6:$O$546,'BM MORRO DA CRUZ'!$K254),0)</f>
        <v>0</v>
      </c>
      <c r="AE254" s="63">
        <f t="shared" si="191"/>
        <v>0</v>
      </c>
      <c r="AF254" s="61">
        <f>IFERROR(SUMIFS('BM MORRO DA CRUZ - VERTICAL'!AJ$6:AJ$546,'BM MORRO DA CRUZ - VERTICAL'!$O$6:$O$546,'BM MORRO DA CRUZ'!$K254),0)</f>
        <v>0</v>
      </c>
      <c r="AG254" s="63">
        <f t="shared" si="192"/>
        <v>0</v>
      </c>
      <c r="AH254" s="61">
        <f>IFERROR(SUMIFS('BM MORRO DA CRUZ - VERTICAL'!AL$6:AL$546,'BM MORRO DA CRUZ - VERTICAL'!$O$6:$O$546,'BM MORRO DA CRUZ'!$K254),0)</f>
        <v>0</v>
      </c>
      <c r="AI254" s="63">
        <f t="shared" si="193"/>
        <v>0</v>
      </c>
      <c r="AJ254" s="61">
        <f>IFERROR(SUMIFS('BM MORRO DA CRUZ - VERTICAL'!AN$6:AN$546,'BM MORRO DA CRUZ - VERTICAL'!$O$6:$O$546,'BM MORRO DA CRUZ'!$K254),0)</f>
        <v>0</v>
      </c>
      <c r="AK254" s="63">
        <f t="shared" si="194"/>
        <v>0</v>
      </c>
      <c r="AL254" s="61">
        <f>IFERROR(SUMIFS('BM MORRO DA CRUZ - VERTICAL'!AP$6:AP$546,'BM MORRO DA CRUZ - VERTICAL'!$O$6:$O$546,'BM MORRO DA CRUZ'!$K254),0)</f>
        <v>0</v>
      </c>
      <c r="AM254" s="63">
        <f t="shared" si="195"/>
        <v>0</v>
      </c>
      <c r="AN254" s="61">
        <f>IFERROR(SUMIFS('BM MORRO DA CRUZ - VERTICAL'!AR$6:AR$546,'BM MORRO DA CRUZ - VERTICAL'!$O$6:$O$546,'BM MORRO DA CRUZ'!$K254),0)</f>
        <v>0</v>
      </c>
      <c r="AO254" s="63">
        <f t="shared" si="196"/>
        <v>0</v>
      </c>
      <c r="AP254" s="61">
        <f>IFERROR(SUMIFS('BM MORRO DA CRUZ - VERTICAL'!AT$6:AT$546,'BM MORRO DA CRUZ - VERTICAL'!$O$6:$O$546,'BM MORRO DA CRUZ'!$K254),0)</f>
        <v>0</v>
      </c>
      <c r="AQ254" s="63">
        <f t="shared" si="197"/>
        <v>0</v>
      </c>
      <c r="AR254" s="61">
        <f>IFERROR(SUMIFS('BM MORRO DA CRUZ - VERTICAL'!AV$6:AV$546,'BM MORRO DA CRUZ - VERTICAL'!$O$6:$O$546,'BM MORRO DA CRUZ'!$K254),0)</f>
        <v>0</v>
      </c>
      <c r="AS254" s="63">
        <f t="shared" si="198"/>
        <v>0</v>
      </c>
      <c r="AT254" s="61">
        <f>IFERROR(SUMIFS('BM MORRO DA CRUZ - VERTICAL'!AX$6:AX$546,'BM MORRO DA CRUZ - VERTICAL'!$O$6:$O$546,'BM MORRO DA CRUZ'!$K254),0)</f>
        <v>0</v>
      </c>
      <c r="AU254" s="63">
        <f t="shared" si="199"/>
        <v>0</v>
      </c>
      <c r="AV254" s="61">
        <f>IFERROR(SUMIFS('BM MORRO DA CRUZ - VERTICAL'!AZ$6:AZ$546,'BM MORRO DA CRUZ - VERTICAL'!$O$6:$O$546,'BM MORRO DA CRUZ'!$K254),0)</f>
        <v>0</v>
      </c>
      <c r="AW254" s="63">
        <f t="shared" si="200"/>
        <v>0</v>
      </c>
      <c r="AX254" s="61">
        <f>IFERROR(SUMIFS('BM MORRO DA CRUZ - VERTICAL'!BB$6:BB$546,'BM MORRO DA CRUZ - VERTICAL'!$O$6:$O$546,'BM MORRO DA CRUZ'!$K254),0)</f>
        <v>0</v>
      </c>
      <c r="AY254" s="63">
        <f t="shared" si="201"/>
        <v>0</v>
      </c>
      <c r="AZ254" s="61">
        <f>IFERROR(SUMIFS('BM MORRO DA CRUZ - VERTICAL'!BD$6:BD$546,'BM MORRO DA CRUZ - VERTICAL'!$O$6:$O$546,'BM MORRO DA CRUZ'!$K254),0)</f>
        <v>0</v>
      </c>
      <c r="BA254" s="63">
        <f t="shared" si="202"/>
        <v>0</v>
      </c>
      <c r="BB254" s="61">
        <f t="shared" si="203"/>
        <v>0</v>
      </c>
      <c r="BC254" s="63">
        <f t="shared" si="204"/>
        <v>0</v>
      </c>
      <c r="BD254" s="64">
        <f t="shared" si="205"/>
        <v>0</v>
      </c>
      <c r="BE254" s="65">
        <f t="shared" si="206"/>
        <v>1</v>
      </c>
      <c r="BF254" s="45"/>
    </row>
    <row r="255" spans="1:58" ht="19.5" customHeight="1" x14ac:dyDescent="0.45">
      <c r="A255" s="46" t="s">
        <v>973</v>
      </c>
      <c r="B255" s="503"/>
      <c r="C255" s="504"/>
      <c r="D255" s="504"/>
      <c r="E255" s="504"/>
      <c r="F255" s="504"/>
      <c r="G255" s="504"/>
      <c r="H255" s="505" t="s">
        <v>1718</v>
      </c>
      <c r="I255" s="504"/>
      <c r="J255" s="505" t="s">
        <v>1718</v>
      </c>
      <c r="K255" s="47" t="s">
        <v>974</v>
      </c>
      <c r="L255" s="48"/>
      <c r="M255" s="49" t="s">
        <v>975</v>
      </c>
      <c r="N255" s="50"/>
      <c r="O255" s="51"/>
      <c r="P255" s="52"/>
      <c r="Q255" s="53">
        <f>SUM(Q256:Q261)</f>
        <v>8910161.4299999997</v>
      </c>
      <c r="R255" s="51"/>
      <c r="S255" s="53">
        <f>SUM(S256:S261)</f>
        <v>0</v>
      </c>
      <c r="T255" s="51"/>
      <c r="U255" s="53">
        <f>SUM(U256:U261)</f>
        <v>0</v>
      </c>
      <c r="V255" s="51"/>
      <c r="W255" s="53">
        <f>SUM(W256:W261)</f>
        <v>0</v>
      </c>
      <c r="X255" s="51"/>
      <c r="Y255" s="53">
        <f>SUM(Y256:Y261)</f>
        <v>0</v>
      </c>
      <c r="Z255" s="51"/>
      <c r="AA255" s="53">
        <f>SUM(AA256:AA261)</f>
        <v>0</v>
      </c>
      <c r="AB255" s="51"/>
      <c r="AC255" s="53">
        <f>SUM(AC256:AC261)</f>
        <v>0</v>
      </c>
      <c r="AD255" s="51"/>
      <c r="AE255" s="53">
        <f>SUM(AE256:AE261)</f>
        <v>0</v>
      </c>
      <c r="AF255" s="51"/>
      <c r="AG255" s="53">
        <f>SUM(AG256:AG261)</f>
        <v>0</v>
      </c>
      <c r="AH255" s="51"/>
      <c r="AI255" s="53">
        <f>SUM(AI256:AI261)</f>
        <v>0</v>
      </c>
      <c r="AJ255" s="51"/>
      <c r="AK255" s="53">
        <f>SUM(AK256:AK261)</f>
        <v>0</v>
      </c>
      <c r="AL255" s="51"/>
      <c r="AM255" s="53">
        <f>SUM(AM256:AM261)</f>
        <v>0</v>
      </c>
      <c r="AN255" s="51"/>
      <c r="AO255" s="53">
        <f>SUM(AO256:AO261)</f>
        <v>0</v>
      </c>
      <c r="AP255" s="51"/>
      <c r="AQ255" s="53">
        <f>SUM(AQ256:AQ261)</f>
        <v>0</v>
      </c>
      <c r="AR255" s="51"/>
      <c r="AS255" s="53">
        <f>SUM(AS256:AS261)</f>
        <v>0</v>
      </c>
      <c r="AT255" s="51"/>
      <c r="AU255" s="53">
        <f>SUM(AU256:AU261)</f>
        <v>0</v>
      </c>
      <c r="AV255" s="51"/>
      <c r="AW255" s="53">
        <f>SUM(AW256:AW261)</f>
        <v>0</v>
      </c>
      <c r="AX255" s="51"/>
      <c r="AY255" s="53">
        <f>SUM(AY256:AY261)</f>
        <v>0</v>
      </c>
      <c r="AZ255" s="51"/>
      <c r="BA255" s="53">
        <f>SUM(BA256:BA261)</f>
        <v>0</v>
      </c>
      <c r="BB255" s="51"/>
      <c r="BC255" s="53">
        <f>SUM(BC256:BC261)</f>
        <v>0</v>
      </c>
      <c r="BD255" s="54"/>
      <c r="BE255" s="55"/>
      <c r="BF255" s="45"/>
    </row>
    <row r="256" spans="1:58" ht="26" customHeight="1" x14ac:dyDescent="0.45">
      <c r="A256" s="56" t="s">
        <v>976</v>
      </c>
      <c r="B256" s="506" t="s">
        <v>1784</v>
      </c>
      <c r="C256" s="507" t="s">
        <v>39</v>
      </c>
      <c r="D256" s="507" t="s">
        <v>39</v>
      </c>
      <c r="E256" s="507" t="s">
        <v>1785</v>
      </c>
      <c r="F256" s="507" t="s">
        <v>39</v>
      </c>
      <c r="G256" s="507" t="s">
        <v>39</v>
      </c>
      <c r="H256" s="508" t="s">
        <v>1720</v>
      </c>
      <c r="I256" s="507" t="s">
        <v>1742</v>
      </c>
      <c r="J256" s="508" t="s">
        <v>1786</v>
      </c>
      <c r="K256" s="57" t="s">
        <v>977</v>
      </c>
      <c r="L256" s="58" t="s">
        <v>846</v>
      </c>
      <c r="M256" s="59" t="s">
        <v>978</v>
      </c>
      <c r="N256" s="60" t="s">
        <v>755</v>
      </c>
      <c r="O256" s="61">
        <v>2907.1</v>
      </c>
      <c r="P256" s="62">
        <v>256.33999999999997</v>
      </c>
      <c r="Q256" s="63">
        <f t="shared" ref="Q256:Q261" si="207">ROUND(P256*$O256,2)</f>
        <v>745206.01</v>
      </c>
      <c r="R256" s="61">
        <f>IFERROR(SUMIFS('BM MORRO DA CRUZ - VERTICAL'!V$6:V$546,'BM MORRO DA CRUZ - VERTICAL'!$O$6:$O$546,'BM MORRO DA CRUZ'!$K256),0)</f>
        <v>0</v>
      </c>
      <c r="S256" s="63">
        <f t="shared" ref="S256:S261" si="208">ROUND(R256*$P256,2)</f>
        <v>0</v>
      </c>
      <c r="T256" s="61">
        <f>IFERROR(SUMIFS('BM MORRO DA CRUZ - VERTICAL'!X$6:X$546,'BM MORRO DA CRUZ - VERTICAL'!$O$6:$O$546,'BM MORRO DA CRUZ'!$K256),0)</f>
        <v>0</v>
      </c>
      <c r="U256" s="63">
        <f t="shared" ref="U256:U261" si="209">ROUND(T256*$P256,2)</f>
        <v>0</v>
      </c>
      <c r="V256" s="61">
        <f>IFERROR(SUMIFS('BM MORRO DA CRUZ - VERTICAL'!Z$6:Z$546,'BM MORRO DA CRUZ - VERTICAL'!$O$6:$O$546,'BM MORRO DA CRUZ'!$K256),0)</f>
        <v>0</v>
      </c>
      <c r="W256" s="63">
        <f t="shared" ref="W256:W261" si="210">ROUND(V256*$P256,2)</f>
        <v>0</v>
      </c>
      <c r="X256" s="61">
        <f>IFERROR(SUMIFS('BM MORRO DA CRUZ - VERTICAL'!AB$6:AB$546,'BM MORRO DA CRUZ - VERTICAL'!$O$6:$O$546,'BM MORRO DA CRUZ'!$K256),0)</f>
        <v>0</v>
      </c>
      <c r="Y256" s="63">
        <f t="shared" ref="Y256:Y261" si="211">ROUND(X256*$P256,2)</f>
        <v>0</v>
      </c>
      <c r="Z256" s="61">
        <f>IFERROR(SUMIFS('BM MORRO DA CRUZ - VERTICAL'!AD$6:AD$546,'BM MORRO DA CRUZ - VERTICAL'!$O$6:$O$546,'BM MORRO DA CRUZ'!$K256),0)</f>
        <v>0</v>
      </c>
      <c r="AA256" s="63">
        <f t="shared" ref="AA256:AA261" si="212">ROUND(Z256*$P256,2)</f>
        <v>0</v>
      </c>
      <c r="AB256" s="61">
        <f>IFERROR(SUMIFS('BM MORRO DA CRUZ - VERTICAL'!AF$6:AF$546,'BM MORRO DA CRUZ - VERTICAL'!$O$6:$O$546,'BM MORRO DA CRUZ'!$K256),0)</f>
        <v>0</v>
      </c>
      <c r="AC256" s="63">
        <f t="shared" ref="AC256:AC261" si="213">ROUND(AB256*$P256,2)</f>
        <v>0</v>
      </c>
      <c r="AD256" s="61">
        <f>IFERROR(SUMIFS('BM MORRO DA CRUZ - VERTICAL'!AH$6:AH$546,'BM MORRO DA CRUZ - VERTICAL'!$O$6:$O$546,'BM MORRO DA CRUZ'!$K256),0)</f>
        <v>0</v>
      </c>
      <c r="AE256" s="63">
        <f t="shared" ref="AE256:AE261" si="214">ROUND(AD256*$P256,2)</f>
        <v>0</v>
      </c>
      <c r="AF256" s="61">
        <f>IFERROR(SUMIFS('BM MORRO DA CRUZ - VERTICAL'!AJ$6:AJ$546,'BM MORRO DA CRUZ - VERTICAL'!$O$6:$O$546,'BM MORRO DA CRUZ'!$K256),0)</f>
        <v>0</v>
      </c>
      <c r="AG256" s="63">
        <f t="shared" ref="AG256:AG261" si="215">ROUND(AF256*$P256,2)</f>
        <v>0</v>
      </c>
      <c r="AH256" s="61">
        <f>IFERROR(SUMIFS('BM MORRO DA CRUZ - VERTICAL'!AL$6:AL$546,'BM MORRO DA CRUZ - VERTICAL'!$O$6:$O$546,'BM MORRO DA CRUZ'!$K256),0)</f>
        <v>0</v>
      </c>
      <c r="AI256" s="63">
        <f t="shared" ref="AI256:AI261" si="216">ROUND(AH256*$P256,2)</f>
        <v>0</v>
      </c>
      <c r="AJ256" s="61">
        <f>IFERROR(SUMIFS('BM MORRO DA CRUZ - VERTICAL'!AN$6:AN$546,'BM MORRO DA CRUZ - VERTICAL'!$O$6:$O$546,'BM MORRO DA CRUZ'!$K256),0)</f>
        <v>0</v>
      </c>
      <c r="AK256" s="63">
        <f t="shared" ref="AK256:AK261" si="217">ROUND(AJ256*$P256,2)</f>
        <v>0</v>
      </c>
      <c r="AL256" s="61">
        <f>IFERROR(SUMIFS('BM MORRO DA CRUZ - VERTICAL'!AP$6:AP$546,'BM MORRO DA CRUZ - VERTICAL'!$O$6:$O$546,'BM MORRO DA CRUZ'!$K256),0)</f>
        <v>0</v>
      </c>
      <c r="AM256" s="63">
        <f t="shared" ref="AM256:AM261" si="218">ROUND(AL256*$P256,2)</f>
        <v>0</v>
      </c>
      <c r="AN256" s="61">
        <f>IFERROR(SUMIFS('BM MORRO DA CRUZ - VERTICAL'!AR$6:AR$546,'BM MORRO DA CRUZ - VERTICAL'!$O$6:$O$546,'BM MORRO DA CRUZ'!$K256),0)</f>
        <v>0</v>
      </c>
      <c r="AO256" s="63">
        <f t="shared" ref="AO256:AO261" si="219">ROUND(AN256*$P256,2)</f>
        <v>0</v>
      </c>
      <c r="AP256" s="61">
        <f>IFERROR(SUMIFS('BM MORRO DA CRUZ - VERTICAL'!AT$6:AT$546,'BM MORRO DA CRUZ - VERTICAL'!$O$6:$O$546,'BM MORRO DA CRUZ'!$K256),0)</f>
        <v>0</v>
      </c>
      <c r="AQ256" s="63">
        <f t="shared" ref="AQ256:AQ261" si="220">ROUND(AP256*$P256,2)</f>
        <v>0</v>
      </c>
      <c r="AR256" s="61">
        <f>IFERROR(SUMIFS('BM MORRO DA CRUZ - VERTICAL'!AV$6:AV$546,'BM MORRO DA CRUZ - VERTICAL'!$O$6:$O$546,'BM MORRO DA CRUZ'!$K256),0)</f>
        <v>0</v>
      </c>
      <c r="AS256" s="63">
        <f t="shared" ref="AS256:AS261" si="221">ROUND(AR256*$P256,2)</f>
        <v>0</v>
      </c>
      <c r="AT256" s="61">
        <f>IFERROR(SUMIFS('BM MORRO DA CRUZ - VERTICAL'!AX$6:AX$546,'BM MORRO DA CRUZ - VERTICAL'!$O$6:$O$546,'BM MORRO DA CRUZ'!$K256),0)</f>
        <v>0</v>
      </c>
      <c r="AU256" s="63">
        <f t="shared" ref="AU256:AU261" si="222">ROUND(AT256*$P256,2)</f>
        <v>0</v>
      </c>
      <c r="AV256" s="61">
        <f>IFERROR(SUMIFS('BM MORRO DA CRUZ - VERTICAL'!AZ$6:AZ$546,'BM MORRO DA CRUZ - VERTICAL'!$O$6:$O$546,'BM MORRO DA CRUZ'!$K256),0)</f>
        <v>0</v>
      </c>
      <c r="AW256" s="63">
        <f t="shared" ref="AW256:AW261" si="223">ROUND(AV256*$P256,2)</f>
        <v>0</v>
      </c>
      <c r="AX256" s="61">
        <f>IFERROR(SUMIFS('BM MORRO DA CRUZ - VERTICAL'!BB$6:BB$546,'BM MORRO DA CRUZ - VERTICAL'!$O$6:$O$546,'BM MORRO DA CRUZ'!$K256),0)</f>
        <v>0</v>
      </c>
      <c r="AY256" s="63">
        <f t="shared" ref="AY256:AY261" si="224">ROUND(AX256*$P256,2)</f>
        <v>0</v>
      </c>
      <c r="AZ256" s="61">
        <f>IFERROR(SUMIFS('BM MORRO DA CRUZ - VERTICAL'!BD$6:BD$546,'BM MORRO DA CRUZ - VERTICAL'!$O$6:$O$546,'BM MORRO DA CRUZ'!$K256),0)</f>
        <v>0</v>
      </c>
      <c r="BA256" s="63">
        <f t="shared" ref="BA256:BA261" si="225">ROUND(AZ256*$P256,2)</f>
        <v>0</v>
      </c>
      <c r="BB256" s="61">
        <f t="shared" ref="BB256:BB261" si="226">IFERROR(SUMIFS($R256:$BA256,$R$5:$BA$5,$BB$5),0)</f>
        <v>0</v>
      </c>
      <c r="BC256" s="63">
        <f t="shared" ref="BC256:BC261" si="227">SUMIFS($R256:$BA256,$R$5:$BA$5,$S$5)</f>
        <v>0</v>
      </c>
      <c r="BD256" s="64">
        <f t="shared" ref="BD256:BD261" si="228">IFERROR(BB256/O256,0)</f>
        <v>0</v>
      </c>
      <c r="BE256" s="65">
        <f t="shared" ref="BE256:BE261" si="229">IFERROR((O256-BB256)/O256,0)</f>
        <v>1</v>
      </c>
      <c r="BF256" s="45"/>
    </row>
    <row r="257" spans="1:58" ht="35.65" x14ac:dyDescent="0.45">
      <c r="A257" s="56" t="s">
        <v>979</v>
      </c>
      <c r="B257" s="506" t="s">
        <v>1787</v>
      </c>
      <c r="C257" s="507" t="s">
        <v>39</v>
      </c>
      <c r="D257" s="507" t="s">
        <v>39</v>
      </c>
      <c r="E257" s="507" t="s">
        <v>1788</v>
      </c>
      <c r="F257" s="507" t="s">
        <v>39</v>
      </c>
      <c r="G257" s="507" t="s">
        <v>39</v>
      </c>
      <c r="H257" s="508" t="s">
        <v>39</v>
      </c>
      <c r="I257" s="507" t="s">
        <v>79</v>
      </c>
      <c r="J257" s="508" t="s">
        <v>1788</v>
      </c>
      <c r="K257" s="57" t="s">
        <v>980</v>
      </c>
      <c r="L257" s="58" t="s">
        <v>846</v>
      </c>
      <c r="M257" s="59" t="s">
        <v>981</v>
      </c>
      <c r="N257" s="60" t="s">
        <v>792</v>
      </c>
      <c r="O257" s="61">
        <v>2762.08</v>
      </c>
      <c r="P257" s="62">
        <v>29.41</v>
      </c>
      <c r="Q257" s="63">
        <f t="shared" si="207"/>
        <v>81232.77</v>
      </c>
      <c r="R257" s="61">
        <f>IFERROR(SUMIFS('BM MORRO DA CRUZ - VERTICAL'!V$6:V$546,'BM MORRO DA CRUZ - VERTICAL'!$O$6:$O$546,'BM MORRO DA CRUZ'!$K257),0)</f>
        <v>0</v>
      </c>
      <c r="S257" s="63">
        <f t="shared" si="208"/>
        <v>0</v>
      </c>
      <c r="T257" s="61">
        <f>IFERROR(SUMIFS('BM MORRO DA CRUZ - VERTICAL'!X$6:X$546,'BM MORRO DA CRUZ - VERTICAL'!$O$6:$O$546,'BM MORRO DA CRUZ'!$K257),0)</f>
        <v>0</v>
      </c>
      <c r="U257" s="63">
        <f t="shared" si="209"/>
        <v>0</v>
      </c>
      <c r="V257" s="61">
        <f>IFERROR(SUMIFS('BM MORRO DA CRUZ - VERTICAL'!Z$6:Z$546,'BM MORRO DA CRUZ - VERTICAL'!$O$6:$O$546,'BM MORRO DA CRUZ'!$K257),0)</f>
        <v>0</v>
      </c>
      <c r="W257" s="63">
        <f t="shared" si="210"/>
        <v>0</v>
      </c>
      <c r="X257" s="61">
        <f>IFERROR(SUMIFS('BM MORRO DA CRUZ - VERTICAL'!AB$6:AB$546,'BM MORRO DA CRUZ - VERTICAL'!$O$6:$O$546,'BM MORRO DA CRUZ'!$K257),0)</f>
        <v>0</v>
      </c>
      <c r="Y257" s="63">
        <f t="shared" si="211"/>
        <v>0</v>
      </c>
      <c r="Z257" s="61">
        <f>IFERROR(SUMIFS('BM MORRO DA CRUZ - VERTICAL'!AD$6:AD$546,'BM MORRO DA CRUZ - VERTICAL'!$O$6:$O$546,'BM MORRO DA CRUZ'!$K257),0)</f>
        <v>0</v>
      </c>
      <c r="AA257" s="63">
        <f t="shared" si="212"/>
        <v>0</v>
      </c>
      <c r="AB257" s="61">
        <f>IFERROR(SUMIFS('BM MORRO DA CRUZ - VERTICAL'!AF$6:AF$546,'BM MORRO DA CRUZ - VERTICAL'!$O$6:$O$546,'BM MORRO DA CRUZ'!$K257),0)</f>
        <v>0</v>
      </c>
      <c r="AC257" s="63">
        <f t="shared" si="213"/>
        <v>0</v>
      </c>
      <c r="AD257" s="61">
        <f>IFERROR(SUMIFS('BM MORRO DA CRUZ - VERTICAL'!AH$6:AH$546,'BM MORRO DA CRUZ - VERTICAL'!$O$6:$O$546,'BM MORRO DA CRUZ'!$K257),0)</f>
        <v>0</v>
      </c>
      <c r="AE257" s="63">
        <f t="shared" si="214"/>
        <v>0</v>
      </c>
      <c r="AF257" s="61">
        <f>IFERROR(SUMIFS('BM MORRO DA CRUZ - VERTICAL'!AJ$6:AJ$546,'BM MORRO DA CRUZ - VERTICAL'!$O$6:$O$546,'BM MORRO DA CRUZ'!$K257),0)</f>
        <v>0</v>
      </c>
      <c r="AG257" s="63">
        <f t="shared" si="215"/>
        <v>0</v>
      </c>
      <c r="AH257" s="61">
        <f>IFERROR(SUMIFS('BM MORRO DA CRUZ - VERTICAL'!AL$6:AL$546,'BM MORRO DA CRUZ - VERTICAL'!$O$6:$O$546,'BM MORRO DA CRUZ'!$K257),0)</f>
        <v>0</v>
      </c>
      <c r="AI257" s="63">
        <f t="shared" si="216"/>
        <v>0</v>
      </c>
      <c r="AJ257" s="61">
        <f>IFERROR(SUMIFS('BM MORRO DA CRUZ - VERTICAL'!AN$6:AN$546,'BM MORRO DA CRUZ - VERTICAL'!$O$6:$O$546,'BM MORRO DA CRUZ'!$K257),0)</f>
        <v>0</v>
      </c>
      <c r="AK257" s="63">
        <f t="shared" si="217"/>
        <v>0</v>
      </c>
      <c r="AL257" s="61">
        <f>IFERROR(SUMIFS('BM MORRO DA CRUZ - VERTICAL'!AP$6:AP$546,'BM MORRO DA CRUZ - VERTICAL'!$O$6:$O$546,'BM MORRO DA CRUZ'!$K257),0)</f>
        <v>0</v>
      </c>
      <c r="AM257" s="63">
        <f t="shared" si="218"/>
        <v>0</v>
      </c>
      <c r="AN257" s="61">
        <f>IFERROR(SUMIFS('BM MORRO DA CRUZ - VERTICAL'!AR$6:AR$546,'BM MORRO DA CRUZ - VERTICAL'!$O$6:$O$546,'BM MORRO DA CRUZ'!$K257),0)</f>
        <v>0</v>
      </c>
      <c r="AO257" s="63">
        <f t="shared" si="219"/>
        <v>0</v>
      </c>
      <c r="AP257" s="61">
        <f>IFERROR(SUMIFS('BM MORRO DA CRUZ - VERTICAL'!AT$6:AT$546,'BM MORRO DA CRUZ - VERTICAL'!$O$6:$O$546,'BM MORRO DA CRUZ'!$K257),0)</f>
        <v>0</v>
      </c>
      <c r="AQ257" s="63">
        <f t="shared" si="220"/>
        <v>0</v>
      </c>
      <c r="AR257" s="61">
        <f>IFERROR(SUMIFS('BM MORRO DA CRUZ - VERTICAL'!AV$6:AV$546,'BM MORRO DA CRUZ - VERTICAL'!$O$6:$O$546,'BM MORRO DA CRUZ'!$K257),0)</f>
        <v>0</v>
      </c>
      <c r="AS257" s="63">
        <f t="shared" si="221"/>
        <v>0</v>
      </c>
      <c r="AT257" s="61">
        <f>IFERROR(SUMIFS('BM MORRO DA CRUZ - VERTICAL'!AX$6:AX$546,'BM MORRO DA CRUZ - VERTICAL'!$O$6:$O$546,'BM MORRO DA CRUZ'!$K257),0)</f>
        <v>0</v>
      </c>
      <c r="AU257" s="63">
        <f t="shared" si="222"/>
        <v>0</v>
      </c>
      <c r="AV257" s="61">
        <f>IFERROR(SUMIFS('BM MORRO DA CRUZ - VERTICAL'!AZ$6:AZ$546,'BM MORRO DA CRUZ - VERTICAL'!$O$6:$O$546,'BM MORRO DA CRUZ'!$K257),0)</f>
        <v>0</v>
      </c>
      <c r="AW257" s="63">
        <f t="shared" si="223"/>
        <v>0</v>
      </c>
      <c r="AX257" s="61">
        <f>IFERROR(SUMIFS('BM MORRO DA CRUZ - VERTICAL'!BB$6:BB$546,'BM MORRO DA CRUZ - VERTICAL'!$O$6:$O$546,'BM MORRO DA CRUZ'!$K257),0)</f>
        <v>0</v>
      </c>
      <c r="AY257" s="63">
        <f t="shared" si="224"/>
        <v>0</v>
      </c>
      <c r="AZ257" s="61">
        <f>IFERROR(SUMIFS('BM MORRO DA CRUZ - VERTICAL'!BD$6:BD$546,'BM MORRO DA CRUZ - VERTICAL'!$O$6:$O$546,'BM MORRO DA CRUZ'!$K257),0)</f>
        <v>0</v>
      </c>
      <c r="BA257" s="63">
        <f t="shared" si="225"/>
        <v>0</v>
      </c>
      <c r="BB257" s="61">
        <f t="shared" si="226"/>
        <v>0</v>
      </c>
      <c r="BC257" s="63">
        <f t="shared" si="227"/>
        <v>0</v>
      </c>
      <c r="BD257" s="64">
        <f t="shared" si="228"/>
        <v>0</v>
      </c>
      <c r="BE257" s="65">
        <f t="shared" si="229"/>
        <v>1</v>
      </c>
      <c r="BF257" s="45"/>
    </row>
    <row r="258" spans="1:58" ht="26" customHeight="1" x14ac:dyDescent="0.45">
      <c r="A258" s="56" t="s">
        <v>982</v>
      </c>
      <c r="B258" s="506" t="s">
        <v>1789</v>
      </c>
      <c r="C258" s="507" t="s">
        <v>39</v>
      </c>
      <c r="D258" s="507" t="s">
        <v>39</v>
      </c>
      <c r="E258" s="507" t="s">
        <v>1788</v>
      </c>
      <c r="F258" s="507" t="s">
        <v>39</v>
      </c>
      <c r="G258" s="507" t="s">
        <v>39</v>
      </c>
      <c r="H258" s="508" t="s">
        <v>39</v>
      </c>
      <c r="I258" s="507" t="s">
        <v>763</v>
      </c>
      <c r="J258" s="508" t="s">
        <v>1788</v>
      </c>
      <c r="K258" s="57" t="s">
        <v>983</v>
      </c>
      <c r="L258" s="58" t="s">
        <v>846</v>
      </c>
      <c r="M258" s="59" t="s">
        <v>984</v>
      </c>
      <c r="N258" s="60" t="s">
        <v>792</v>
      </c>
      <c r="O258" s="61">
        <v>291382.14</v>
      </c>
      <c r="P258" s="62">
        <v>19.809999999999999</v>
      </c>
      <c r="Q258" s="63">
        <f t="shared" si="207"/>
        <v>5772280.1900000004</v>
      </c>
      <c r="R258" s="61">
        <f>IFERROR(SUMIFS('BM MORRO DA CRUZ - VERTICAL'!V$6:V$546,'BM MORRO DA CRUZ - VERTICAL'!$O$6:$O$546,'BM MORRO DA CRUZ'!$K258),0)</f>
        <v>0</v>
      </c>
      <c r="S258" s="63">
        <f t="shared" si="208"/>
        <v>0</v>
      </c>
      <c r="T258" s="61">
        <f>IFERROR(SUMIFS('BM MORRO DA CRUZ - VERTICAL'!X$6:X$546,'BM MORRO DA CRUZ - VERTICAL'!$O$6:$O$546,'BM MORRO DA CRUZ'!$K258),0)</f>
        <v>0</v>
      </c>
      <c r="U258" s="63">
        <f t="shared" si="209"/>
        <v>0</v>
      </c>
      <c r="V258" s="61">
        <f>IFERROR(SUMIFS('BM MORRO DA CRUZ - VERTICAL'!Z$6:Z$546,'BM MORRO DA CRUZ - VERTICAL'!$O$6:$O$546,'BM MORRO DA CRUZ'!$K258),0)</f>
        <v>0</v>
      </c>
      <c r="W258" s="63">
        <f t="shared" si="210"/>
        <v>0</v>
      </c>
      <c r="X258" s="61">
        <f>IFERROR(SUMIFS('BM MORRO DA CRUZ - VERTICAL'!AB$6:AB$546,'BM MORRO DA CRUZ - VERTICAL'!$O$6:$O$546,'BM MORRO DA CRUZ'!$K258),0)</f>
        <v>0</v>
      </c>
      <c r="Y258" s="63">
        <f t="shared" si="211"/>
        <v>0</v>
      </c>
      <c r="Z258" s="61">
        <f>IFERROR(SUMIFS('BM MORRO DA CRUZ - VERTICAL'!AD$6:AD$546,'BM MORRO DA CRUZ - VERTICAL'!$O$6:$O$546,'BM MORRO DA CRUZ'!$K258),0)</f>
        <v>0</v>
      </c>
      <c r="AA258" s="63">
        <f t="shared" si="212"/>
        <v>0</v>
      </c>
      <c r="AB258" s="61">
        <f>IFERROR(SUMIFS('BM MORRO DA CRUZ - VERTICAL'!AF$6:AF$546,'BM MORRO DA CRUZ - VERTICAL'!$O$6:$O$546,'BM MORRO DA CRUZ'!$K258),0)</f>
        <v>0</v>
      </c>
      <c r="AC258" s="63">
        <f t="shared" si="213"/>
        <v>0</v>
      </c>
      <c r="AD258" s="61">
        <f>IFERROR(SUMIFS('BM MORRO DA CRUZ - VERTICAL'!AH$6:AH$546,'BM MORRO DA CRUZ - VERTICAL'!$O$6:$O$546,'BM MORRO DA CRUZ'!$K258),0)</f>
        <v>0</v>
      </c>
      <c r="AE258" s="63">
        <f t="shared" si="214"/>
        <v>0</v>
      </c>
      <c r="AF258" s="61">
        <f>IFERROR(SUMIFS('BM MORRO DA CRUZ - VERTICAL'!AJ$6:AJ$546,'BM MORRO DA CRUZ - VERTICAL'!$O$6:$O$546,'BM MORRO DA CRUZ'!$K258),0)</f>
        <v>0</v>
      </c>
      <c r="AG258" s="63">
        <f t="shared" si="215"/>
        <v>0</v>
      </c>
      <c r="AH258" s="61">
        <f>IFERROR(SUMIFS('BM MORRO DA CRUZ - VERTICAL'!AL$6:AL$546,'BM MORRO DA CRUZ - VERTICAL'!$O$6:$O$546,'BM MORRO DA CRUZ'!$K258),0)</f>
        <v>0</v>
      </c>
      <c r="AI258" s="63">
        <f t="shared" si="216"/>
        <v>0</v>
      </c>
      <c r="AJ258" s="61">
        <f>IFERROR(SUMIFS('BM MORRO DA CRUZ - VERTICAL'!AN$6:AN$546,'BM MORRO DA CRUZ - VERTICAL'!$O$6:$O$546,'BM MORRO DA CRUZ'!$K258),0)</f>
        <v>0</v>
      </c>
      <c r="AK258" s="63">
        <f t="shared" si="217"/>
        <v>0</v>
      </c>
      <c r="AL258" s="61">
        <f>IFERROR(SUMIFS('BM MORRO DA CRUZ - VERTICAL'!AP$6:AP$546,'BM MORRO DA CRUZ - VERTICAL'!$O$6:$O$546,'BM MORRO DA CRUZ'!$K258),0)</f>
        <v>0</v>
      </c>
      <c r="AM258" s="63">
        <f t="shared" si="218"/>
        <v>0</v>
      </c>
      <c r="AN258" s="61">
        <f>IFERROR(SUMIFS('BM MORRO DA CRUZ - VERTICAL'!AR$6:AR$546,'BM MORRO DA CRUZ - VERTICAL'!$O$6:$O$546,'BM MORRO DA CRUZ'!$K258),0)</f>
        <v>0</v>
      </c>
      <c r="AO258" s="63">
        <f t="shared" si="219"/>
        <v>0</v>
      </c>
      <c r="AP258" s="61">
        <f>IFERROR(SUMIFS('BM MORRO DA CRUZ - VERTICAL'!AT$6:AT$546,'BM MORRO DA CRUZ - VERTICAL'!$O$6:$O$546,'BM MORRO DA CRUZ'!$K258),0)</f>
        <v>0</v>
      </c>
      <c r="AQ258" s="63">
        <f t="shared" si="220"/>
        <v>0</v>
      </c>
      <c r="AR258" s="61">
        <f>IFERROR(SUMIFS('BM MORRO DA CRUZ - VERTICAL'!AV$6:AV$546,'BM MORRO DA CRUZ - VERTICAL'!$O$6:$O$546,'BM MORRO DA CRUZ'!$K258),0)</f>
        <v>0</v>
      </c>
      <c r="AS258" s="63">
        <f t="shared" si="221"/>
        <v>0</v>
      </c>
      <c r="AT258" s="61">
        <f>IFERROR(SUMIFS('BM MORRO DA CRUZ - VERTICAL'!AX$6:AX$546,'BM MORRO DA CRUZ - VERTICAL'!$O$6:$O$546,'BM MORRO DA CRUZ'!$K258),0)</f>
        <v>0</v>
      </c>
      <c r="AU258" s="63">
        <f t="shared" si="222"/>
        <v>0</v>
      </c>
      <c r="AV258" s="61">
        <f>IFERROR(SUMIFS('BM MORRO DA CRUZ - VERTICAL'!AZ$6:AZ$546,'BM MORRO DA CRUZ - VERTICAL'!$O$6:$O$546,'BM MORRO DA CRUZ'!$K258),0)</f>
        <v>0</v>
      </c>
      <c r="AW258" s="63">
        <f t="shared" si="223"/>
        <v>0</v>
      </c>
      <c r="AX258" s="61">
        <f>IFERROR(SUMIFS('BM MORRO DA CRUZ - VERTICAL'!BB$6:BB$546,'BM MORRO DA CRUZ - VERTICAL'!$O$6:$O$546,'BM MORRO DA CRUZ'!$K258),0)</f>
        <v>0</v>
      </c>
      <c r="AY258" s="63">
        <f t="shared" si="224"/>
        <v>0</v>
      </c>
      <c r="AZ258" s="61">
        <f>IFERROR(SUMIFS('BM MORRO DA CRUZ - VERTICAL'!BD$6:BD$546,'BM MORRO DA CRUZ - VERTICAL'!$O$6:$O$546,'BM MORRO DA CRUZ'!$K258),0)</f>
        <v>0</v>
      </c>
      <c r="BA258" s="63">
        <f t="shared" si="225"/>
        <v>0</v>
      </c>
      <c r="BB258" s="61">
        <f t="shared" si="226"/>
        <v>0</v>
      </c>
      <c r="BC258" s="63">
        <f t="shared" si="227"/>
        <v>0</v>
      </c>
      <c r="BD258" s="64">
        <f t="shared" si="228"/>
        <v>0</v>
      </c>
      <c r="BE258" s="65">
        <f t="shared" si="229"/>
        <v>1</v>
      </c>
      <c r="BF258" s="45"/>
    </row>
    <row r="259" spans="1:58" ht="35.65" x14ac:dyDescent="0.45">
      <c r="A259" s="56" t="s">
        <v>985</v>
      </c>
      <c r="B259" s="506" t="s">
        <v>1790</v>
      </c>
      <c r="C259" s="507" t="s">
        <v>39</v>
      </c>
      <c r="D259" s="507" t="s">
        <v>39</v>
      </c>
      <c r="E259" s="507" t="s">
        <v>1791</v>
      </c>
      <c r="F259" s="507" t="s">
        <v>39</v>
      </c>
      <c r="G259" s="507" t="s">
        <v>39</v>
      </c>
      <c r="H259" s="508" t="s">
        <v>1745</v>
      </c>
      <c r="I259" s="507" t="s">
        <v>763</v>
      </c>
      <c r="J259" s="508" t="s">
        <v>1792</v>
      </c>
      <c r="K259" s="57" t="s">
        <v>986</v>
      </c>
      <c r="L259" s="58" t="s">
        <v>846</v>
      </c>
      <c r="M259" s="59" t="s">
        <v>987</v>
      </c>
      <c r="N259" s="60" t="s">
        <v>755</v>
      </c>
      <c r="O259" s="61">
        <v>6806.62</v>
      </c>
      <c r="P259" s="62">
        <v>285.56</v>
      </c>
      <c r="Q259" s="63">
        <f t="shared" si="207"/>
        <v>1943698.41</v>
      </c>
      <c r="R259" s="61">
        <f>IFERROR(SUMIFS('BM MORRO DA CRUZ - VERTICAL'!V$6:V$546,'BM MORRO DA CRUZ - VERTICAL'!$O$6:$O$546,'BM MORRO DA CRUZ'!$K259),0)</f>
        <v>0</v>
      </c>
      <c r="S259" s="63">
        <f t="shared" si="208"/>
        <v>0</v>
      </c>
      <c r="T259" s="61">
        <f>IFERROR(SUMIFS('BM MORRO DA CRUZ - VERTICAL'!X$6:X$546,'BM MORRO DA CRUZ - VERTICAL'!$O$6:$O$546,'BM MORRO DA CRUZ'!$K259),0)</f>
        <v>0</v>
      </c>
      <c r="U259" s="63">
        <f t="shared" si="209"/>
        <v>0</v>
      </c>
      <c r="V259" s="61">
        <f>IFERROR(SUMIFS('BM MORRO DA CRUZ - VERTICAL'!Z$6:Z$546,'BM MORRO DA CRUZ - VERTICAL'!$O$6:$O$546,'BM MORRO DA CRUZ'!$K259),0)</f>
        <v>0</v>
      </c>
      <c r="W259" s="63">
        <f t="shared" si="210"/>
        <v>0</v>
      </c>
      <c r="X259" s="61">
        <f>IFERROR(SUMIFS('BM MORRO DA CRUZ - VERTICAL'!AB$6:AB$546,'BM MORRO DA CRUZ - VERTICAL'!$O$6:$O$546,'BM MORRO DA CRUZ'!$K259),0)</f>
        <v>0</v>
      </c>
      <c r="Y259" s="63">
        <f t="shared" si="211"/>
        <v>0</v>
      </c>
      <c r="Z259" s="61">
        <f>IFERROR(SUMIFS('BM MORRO DA CRUZ - VERTICAL'!AD$6:AD$546,'BM MORRO DA CRUZ - VERTICAL'!$O$6:$O$546,'BM MORRO DA CRUZ'!$K259),0)</f>
        <v>0</v>
      </c>
      <c r="AA259" s="63">
        <f t="shared" si="212"/>
        <v>0</v>
      </c>
      <c r="AB259" s="61">
        <f>IFERROR(SUMIFS('BM MORRO DA CRUZ - VERTICAL'!AF$6:AF$546,'BM MORRO DA CRUZ - VERTICAL'!$O$6:$O$546,'BM MORRO DA CRUZ'!$K259),0)</f>
        <v>0</v>
      </c>
      <c r="AC259" s="63">
        <f t="shared" si="213"/>
        <v>0</v>
      </c>
      <c r="AD259" s="61">
        <f>IFERROR(SUMIFS('BM MORRO DA CRUZ - VERTICAL'!AH$6:AH$546,'BM MORRO DA CRUZ - VERTICAL'!$O$6:$O$546,'BM MORRO DA CRUZ'!$K259),0)</f>
        <v>0</v>
      </c>
      <c r="AE259" s="63">
        <f t="shared" si="214"/>
        <v>0</v>
      </c>
      <c r="AF259" s="61">
        <f>IFERROR(SUMIFS('BM MORRO DA CRUZ - VERTICAL'!AJ$6:AJ$546,'BM MORRO DA CRUZ - VERTICAL'!$O$6:$O$546,'BM MORRO DA CRUZ'!$K259),0)</f>
        <v>0</v>
      </c>
      <c r="AG259" s="63">
        <f t="shared" si="215"/>
        <v>0</v>
      </c>
      <c r="AH259" s="61">
        <f>IFERROR(SUMIFS('BM MORRO DA CRUZ - VERTICAL'!AL$6:AL$546,'BM MORRO DA CRUZ - VERTICAL'!$O$6:$O$546,'BM MORRO DA CRUZ'!$K259),0)</f>
        <v>0</v>
      </c>
      <c r="AI259" s="63">
        <f t="shared" si="216"/>
        <v>0</v>
      </c>
      <c r="AJ259" s="61">
        <f>IFERROR(SUMIFS('BM MORRO DA CRUZ - VERTICAL'!AN$6:AN$546,'BM MORRO DA CRUZ - VERTICAL'!$O$6:$O$546,'BM MORRO DA CRUZ'!$K259),0)</f>
        <v>0</v>
      </c>
      <c r="AK259" s="63">
        <f t="shared" si="217"/>
        <v>0</v>
      </c>
      <c r="AL259" s="61">
        <f>IFERROR(SUMIFS('BM MORRO DA CRUZ - VERTICAL'!AP$6:AP$546,'BM MORRO DA CRUZ - VERTICAL'!$O$6:$O$546,'BM MORRO DA CRUZ'!$K259),0)</f>
        <v>0</v>
      </c>
      <c r="AM259" s="63">
        <f t="shared" si="218"/>
        <v>0</v>
      </c>
      <c r="AN259" s="61">
        <f>IFERROR(SUMIFS('BM MORRO DA CRUZ - VERTICAL'!AR$6:AR$546,'BM MORRO DA CRUZ - VERTICAL'!$O$6:$O$546,'BM MORRO DA CRUZ'!$K259),0)</f>
        <v>0</v>
      </c>
      <c r="AO259" s="63">
        <f t="shared" si="219"/>
        <v>0</v>
      </c>
      <c r="AP259" s="61">
        <f>IFERROR(SUMIFS('BM MORRO DA CRUZ - VERTICAL'!AT$6:AT$546,'BM MORRO DA CRUZ - VERTICAL'!$O$6:$O$546,'BM MORRO DA CRUZ'!$K259),0)</f>
        <v>0</v>
      </c>
      <c r="AQ259" s="63">
        <f t="shared" si="220"/>
        <v>0</v>
      </c>
      <c r="AR259" s="61">
        <f>IFERROR(SUMIFS('BM MORRO DA CRUZ - VERTICAL'!AV$6:AV$546,'BM MORRO DA CRUZ - VERTICAL'!$O$6:$O$546,'BM MORRO DA CRUZ'!$K259),0)</f>
        <v>0</v>
      </c>
      <c r="AS259" s="63">
        <f t="shared" si="221"/>
        <v>0</v>
      </c>
      <c r="AT259" s="61">
        <f>IFERROR(SUMIFS('BM MORRO DA CRUZ - VERTICAL'!AX$6:AX$546,'BM MORRO DA CRUZ - VERTICAL'!$O$6:$O$546,'BM MORRO DA CRUZ'!$K259),0)</f>
        <v>0</v>
      </c>
      <c r="AU259" s="63">
        <f t="shared" si="222"/>
        <v>0</v>
      </c>
      <c r="AV259" s="61">
        <f>IFERROR(SUMIFS('BM MORRO DA CRUZ - VERTICAL'!AZ$6:AZ$546,'BM MORRO DA CRUZ - VERTICAL'!$O$6:$O$546,'BM MORRO DA CRUZ'!$K259),0)</f>
        <v>0</v>
      </c>
      <c r="AW259" s="63">
        <f t="shared" si="223"/>
        <v>0</v>
      </c>
      <c r="AX259" s="61">
        <f>IFERROR(SUMIFS('BM MORRO DA CRUZ - VERTICAL'!BB$6:BB$546,'BM MORRO DA CRUZ - VERTICAL'!$O$6:$O$546,'BM MORRO DA CRUZ'!$K259),0)</f>
        <v>0</v>
      </c>
      <c r="AY259" s="63">
        <f t="shared" si="224"/>
        <v>0</v>
      </c>
      <c r="AZ259" s="61">
        <f>IFERROR(SUMIFS('BM MORRO DA CRUZ - VERTICAL'!BD$6:BD$546,'BM MORRO DA CRUZ - VERTICAL'!$O$6:$O$546,'BM MORRO DA CRUZ'!$K259),0)</f>
        <v>0</v>
      </c>
      <c r="BA259" s="63">
        <f t="shared" si="225"/>
        <v>0</v>
      </c>
      <c r="BB259" s="61">
        <f t="shared" si="226"/>
        <v>0</v>
      </c>
      <c r="BC259" s="63">
        <f t="shared" si="227"/>
        <v>0</v>
      </c>
      <c r="BD259" s="64">
        <f t="shared" si="228"/>
        <v>0</v>
      </c>
      <c r="BE259" s="65">
        <f t="shared" si="229"/>
        <v>1</v>
      </c>
      <c r="BF259" s="45"/>
    </row>
    <row r="260" spans="1:58" ht="26" customHeight="1" x14ac:dyDescent="0.45">
      <c r="A260" s="56" t="s">
        <v>988</v>
      </c>
      <c r="B260" s="506" t="s">
        <v>1793</v>
      </c>
      <c r="C260" s="507" t="s">
        <v>39</v>
      </c>
      <c r="D260" s="507" t="s">
        <v>39</v>
      </c>
      <c r="E260" s="507" t="s">
        <v>1791</v>
      </c>
      <c r="F260" s="507" t="s">
        <v>39</v>
      </c>
      <c r="G260" s="507" t="s">
        <v>39</v>
      </c>
      <c r="H260" s="508" t="s">
        <v>1730</v>
      </c>
      <c r="I260" s="507" t="s">
        <v>1736</v>
      </c>
      <c r="J260" s="508" t="s">
        <v>1792</v>
      </c>
      <c r="K260" s="57" t="s">
        <v>989</v>
      </c>
      <c r="L260" s="58" t="s">
        <v>846</v>
      </c>
      <c r="M260" s="59" t="s">
        <v>990</v>
      </c>
      <c r="N260" s="60" t="s">
        <v>792</v>
      </c>
      <c r="O260" s="61">
        <v>384.44</v>
      </c>
      <c r="P260" s="62">
        <v>7.03</v>
      </c>
      <c r="Q260" s="63">
        <f t="shared" si="207"/>
        <v>2702.61</v>
      </c>
      <c r="R260" s="61">
        <f>IFERROR(SUMIFS('BM MORRO DA CRUZ - VERTICAL'!V$6:V$546,'BM MORRO DA CRUZ - VERTICAL'!$O$6:$O$546,'BM MORRO DA CRUZ'!$K260),0)</f>
        <v>0</v>
      </c>
      <c r="S260" s="63">
        <f t="shared" si="208"/>
        <v>0</v>
      </c>
      <c r="T260" s="61">
        <f>IFERROR(SUMIFS('BM MORRO DA CRUZ - VERTICAL'!X$6:X$546,'BM MORRO DA CRUZ - VERTICAL'!$O$6:$O$546,'BM MORRO DA CRUZ'!$K260),0)</f>
        <v>0</v>
      </c>
      <c r="U260" s="63">
        <f t="shared" si="209"/>
        <v>0</v>
      </c>
      <c r="V260" s="61">
        <f>IFERROR(SUMIFS('BM MORRO DA CRUZ - VERTICAL'!Z$6:Z$546,'BM MORRO DA CRUZ - VERTICAL'!$O$6:$O$546,'BM MORRO DA CRUZ'!$K260),0)</f>
        <v>0</v>
      </c>
      <c r="W260" s="63">
        <f t="shared" si="210"/>
        <v>0</v>
      </c>
      <c r="X260" s="61">
        <f>IFERROR(SUMIFS('BM MORRO DA CRUZ - VERTICAL'!AB$6:AB$546,'BM MORRO DA CRUZ - VERTICAL'!$O$6:$O$546,'BM MORRO DA CRUZ'!$K260),0)</f>
        <v>0</v>
      </c>
      <c r="Y260" s="63">
        <f t="shared" si="211"/>
        <v>0</v>
      </c>
      <c r="Z260" s="61">
        <f>IFERROR(SUMIFS('BM MORRO DA CRUZ - VERTICAL'!AD$6:AD$546,'BM MORRO DA CRUZ - VERTICAL'!$O$6:$O$546,'BM MORRO DA CRUZ'!$K260),0)</f>
        <v>0</v>
      </c>
      <c r="AA260" s="63">
        <f t="shared" si="212"/>
        <v>0</v>
      </c>
      <c r="AB260" s="61">
        <f>IFERROR(SUMIFS('BM MORRO DA CRUZ - VERTICAL'!AF$6:AF$546,'BM MORRO DA CRUZ - VERTICAL'!$O$6:$O$546,'BM MORRO DA CRUZ'!$K260),0)</f>
        <v>0</v>
      </c>
      <c r="AC260" s="63">
        <f t="shared" si="213"/>
        <v>0</v>
      </c>
      <c r="AD260" s="61">
        <f>IFERROR(SUMIFS('BM MORRO DA CRUZ - VERTICAL'!AH$6:AH$546,'BM MORRO DA CRUZ - VERTICAL'!$O$6:$O$546,'BM MORRO DA CRUZ'!$K260),0)</f>
        <v>0</v>
      </c>
      <c r="AE260" s="63">
        <f t="shared" si="214"/>
        <v>0</v>
      </c>
      <c r="AF260" s="61">
        <f>IFERROR(SUMIFS('BM MORRO DA CRUZ - VERTICAL'!AJ$6:AJ$546,'BM MORRO DA CRUZ - VERTICAL'!$O$6:$O$546,'BM MORRO DA CRUZ'!$K260),0)</f>
        <v>0</v>
      </c>
      <c r="AG260" s="63">
        <f t="shared" si="215"/>
        <v>0</v>
      </c>
      <c r="AH260" s="61">
        <f>IFERROR(SUMIFS('BM MORRO DA CRUZ - VERTICAL'!AL$6:AL$546,'BM MORRO DA CRUZ - VERTICAL'!$O$6:$O$546,'BM MORRO DA CRUZ'!$K260),0)</f>
        <v>0</v>
      </c>
      <c r="AI260" s="63">
        <f t="shared" si="216"/>
        <v>0</v>
      </c>
      <c r="AJ260" s="61">
        <f>IFERROR(SUMIFS('BM MORRO DA CRUZ - VERTICAL'!AN$6:AN$546,'BM MORRO DA CRUZ - VERTICAL'!$O$6:$O$546,'BM MORRO DA CRUZ'!$K260),0)</f>
        <v>0</v>
      </c>
      <c r="AK260" s="63">
        <f t="shared" si="217"/>
        <v>0</v>
      </c>
      <c r="AL260" s="61">
        <f>IFERROR(SUMIFS('BM MORRO DA CRUZ - VERTICAL'!AP$6:AP$546,'BM MORRO DA CRUZ - VERTICAL'!$O$6:$O$546,'BM MORRO DA CRUZ'!$K260),0)</f>
        <v>0</v>
      </c>
      <c r="AM260" s="63">
        <f t="shared" si="218"/>
        <v>0</v>
      </c>
      <c r="AN260" s="61">
        <f>IFERROR(SUMIFS('BM MORRO DA CRUZ - VERTICAL'!AR$6:AR$546,'BM MORRO DA CRUZ - VERTICAL'!$O$6:$O$546,'BM MORRO DA CRUZ'!$K260),0)</f>
        <v>0</v>
      </c>
      <c r="AO260" s="63">
        <f t="shared" si="219"/>
        <v>0</v>
      </c>
      <c r="AP260" s="61">
        <f>IFERROR(SUMIFS('BM MORRO DA CRUZ - VERTICAL'!AT$6:AT$546,'BM MORRO DA CRUZ - VERTICAL'!$O$6:$O$546,'BM MORRO DA CRUZ'!$K260),0)</f>
        <v>0</v>
      </c>
      <c r="AQ260" s="63">
        <f t="shared" si="220"/>
        <v>0</v>
      </c>
      <c r="AR260" s="61">
        <f>IFERROR(SUMIFS('BM MORRO DA CRUZ - VERTICAL'!AV$6:AV$546,'BM MORRO DA CRUZ - VERTICAL'!$O$6:$O$546,'BM MORRO DA CRUZ'!$K260),0)</f>
        <v>0</v>
      </c>
      <c r="AS260" s="63">
        <f t="shared" si="221"/>
        <v>0</v>
      </c>
      <c r="AT260" s="61">
        <f>IFERROR(SUMIFS('BM MORRO DA CRUZ - VERTICAL'!AX$6:AX$546,'BM MORRO DA CRUZ - VERTICAL'!$O$6:$O$546,'BM MORRO DA CRUZ'!$K260),0)</f>
        <v>0</v>
      </c>
      <c r="AU260" s="63">
        <f t="shared" si="222"/>
        <v>0</v>
      </c>
      <c r="AV260" s="61">
        <f>IFERROR(SUMIFS('BM MORRO DA CRUZ - VERTICAL'!AZ$6:AZ$546,'BM MORRO DA CRUZ - VERTICAL'!$O$6:$O$546,'BM MORRO DA CRUZ'!$K260),0)</f>
        <v>0</v>
      </c>
      <c r="AW260" s="63">
        <f t="shared" si="223"/>
        <v>0</v>
      </c>
      <c r="AX260" s="61">
        <f>IFERROR(SUMIFS('BM MORRO DA CRUZ - VERTICAL'!BB$6:BB$546,'BM MORRO DA CRUZ - VERTICAL'!$O$6:$O$546,'BM MORRO DA CRUZ'!$K260),0)</f>
        <v>0</v>
      </c>
      <c r="AY260" s="63">
        <f t="shared" si="224"/>
        <v>0</v>
      </c>
      <c r="AZ260" s="61">
        <f>IFERROR(SUMIFS('BM MORRO DA CRUZ - VERTICAL'!BD$6:BD$546,'BM MORRO DA CRUZ - VERTICAL'!$O$6:$O$546,'BM MORRO DA CRUZ'!$K260),0)</f>
        <v>0</v>
      </c>
      <c r="BA260" s="63">
        <f t="shared" si="225"/>
        <v>0</v>
      </c>
      <c r="BB260" s="61">
        <f t="shared" si="226"/>
        <v>0</v>
      </c>
      <c r="BC260" s="63">
        <f t="shared" si="227"/>
        <v>0</v>
      </c>
      <c r="BD260" s="64">
        <f t="shared" si="228"/>
        <v>0</v>
      </c>
      <c r="BE260" s="65">
        <f t="shared" si="229"/>
        <v>1</v>
      </c>
      <c r="BF260" s="45"/>
    </row>
    <row r="261" spans="1:58" ht="26" customHeight="1" x14ac:dyDescent="0.45">
      <c r="A261" s="56" t="s">
        <v>991</v>
      </c>
      <c r="B261" s="506" t="s">
        <v>1794</v>
      </c>
      <c r="C261" s="507" t="s">
        <v>1795</v>
      </c>
      <c r="D261" s="507" t="s">
        <v>39</v>
      </c>
      <c r="E261" s="507" t="s">
        <v>540</v>
      </c>
      <c r="F261" s="507" t="s">
        <v>39</v>
      </c>
      <c r="G261" s="507">
        <v>100</v>
      </c>
      <c r="H261" s="508" t="s">
        <v>257</v>
      </c>
      <c r="I261" s="507" t="s">
        <v>1742</v>
      </c>
      <c r="J261" s="508" t="s">
        <v>540</v>
      </c>
      <c r="K261" s="57" t="s">
        <v>992</v>
      </c>
      <c r="L261" s="58" t="s">
        <v>846</v>
      </c>
      <c r="M261" s="59" t="s">
        <v>993</v>
      </c>
      <c r="N261" s="60" t="s">
        <v>367</v>
      </c>
      <c r="O261" s="61">
        <v>5562.96</v>
      </c>
      <c r="P261" s="62">
        <v>65.62</v>
      </c>
      <c r="Q261" s="63">
        <f t="shared" si="207"/>
        <v>365041.44</v>
      </c>
      <c r="R261" s="61">
        <f>IFERROR(SUMIFS('BM MORRO DA CRUZ - VERTICAL'!V$6:V$546,'BM MORRO DA CRUZ - VERTICAL'!$O$6:$O$546,'BM MORRO DA CRUZ'!$K261),0)</f>
        <v>0</v>
      </c>
      <c r="S261" s="63">
        <f t="shared" si="208"/>
        <v>0</v>
      </c>
      <c r="T261" s="61">
        <f>IFERROR(SUMIFS('BM MORRO DA CRUZ - VERTICAL'!X$6:X$546,'BM MORRO DA CRUZ - VERTICAL'!$O$6:$O$546,'BM MORRO DA CRUZ'!$K261),0)</f>
        <v>0</v>
      </c>
      <c r="U261" s="63">
        <f t="shared" si="209"/>
        <v>0</v>
      </c>
      <c r="V261" s="61">
        <f>IFERROR(SUMIFS('BM MORRO DA CRUZ - VERTICAL'!Z$6:Z$546,'BM MORRO DA CRUZ - VERTICAL'!$O$6:$O$546,'BM MORRO DA CRUZ'!$K261),0)</f>
        <v>0</v>
      </c>
      <c r="W261" s="63">
        <f t="shared" si="210"/>
        <v>0</v>
      </c>
      <c r="X261" s="61">
        <f>IFERROR(SUMIFS('BM MORRO DA CRUZ - VERTICAL'!AB$6:AB$546,'BM MORRO DA CRUZ - VERTICAL'!$O$6:$O$546,'BM MORRO DA CRUZ'!$K261),0)</f>
        <v>0</v>
      </c>
      <c r="Y261" s="63">
        <f t="shared" si="211"/>
        <v>0</v>
      </c>
      <c r="Z261" s="61">
        <f>IFERROR(SUMIFS('BM MORRO DA CRUZ - VERTICAL'!AD$6:AD$546,'BM MORRO DA CRUZ - VERTICAL'!$O$6:$O$546,'BM MORRO DA CRUZ'!$K261),0)</f>
        <v>0</v>
      </c>
      <c r="AA261" s="63">
        <f t="shared" si="212"/>
        <v>0</v>
      </c>
      <c r="AB261" s="61">
        <f>IFERROR(SUMIFS('BM MORRO DA CRUZ - VERTICAL'!AF$6:AF$546,'BM MORRO DA CRUZ - VERTICAL'!$O$6:$O$546,'BM MORRO DA CRUZ'!$K261),0)</f>
        <v>0</v>
      </c>
      <c r="AC261" s="63">
        <f t="shared" si="213"/>
        <v>0</v>
      </c>
      <c r="AD261" s="61">
        <f>IFERROR(SUMIFS('BM MORRO DA CRUZ - VERTICAL'!AH$6:AH$546,'BM MORRO DA CRUZ - VERTICAL'!$O$6:$O$546,'BM MORRO DA CRUZ'!$K261),0)</f>
        <v>0</v>
      </c>
      <c r="AE261" s="63">
        <f t="shared" si="214"/>
        <v>0</v>
      </c>
      <c r="AF261" s="61">
        <f>IFERROR(SUMIFS('BM MORRO DA CRUZ - VERTICAL'!AJ$6:AJ$546,'BM MORRO DA CRUZ - VERTICAL'!$O$6:$O$546,'BM MORRO DA CRUZ'!$K261),0)</f>
        <v>0</v>
      </c>
      <c r="AG261" s="63">
        <f t="shared" si="215"/>
        <v>0</v>
      </c>
      <c r="AH261" s="61">
        <f>IFERROR(SUMIFS('BM MORRO DA CRUZ - VERTICAL'!AL$6:AL$546,'BM MORRO DA CRUZ - VERTICAL'!$O$6:$O$546,'BM MORRO DA CRUZ'!$K261),0)</f>
        <v>0</v>
      </c>
      <c r="AI261" s="63">
        <f t="shared" si="216"/>
        <v>0</v>
      </c>
      <c r="AJ261" s="61">
        <f>IFERROR(SUMIFS('BM MORRO DA CRUZ - VERTICAL'!AN$6:AN$546,'BM MORRO DA CRUZ - VERTICAL'!$O$6:$O$546,'BM MORRO DA CRUZ'!$K261),0)</f>
        <v>0</v>
      </c>
      <c r="AK261" s="63">
        <f t="shared" si="217"/>
        <v>0</v>
      </c>
      <c r="AL261" s="61">
        <f>IFERROR(SUMIFS('BM MORRO DA CRUZ - VERTICAL'!AP$6:AP$546,'BM MORRO DA CRUZ - VERTICAL'!$O$6:$O$546,'BM MORRO DA CRUZ'!$K261),0)</f>
        <v>0</v>
      </c>
      <c r="AM261" s="63">
        <f t="shared" si="218"/>
        <v>0</v>
      </c>
      <c r="AN261" s="61">
        <f>IFERROR(SUMIFS('BM MORRO DA CRUZ - VERTICAL'!AR$6:AR$546,'BM MORRO DA CRUZ - VERTICAL'!$O$6:$O$546,'BM MORRO DA CRUZ'!$K261),0)</f>
        <v>0</v>
      </c>
      <c r="AO261" s="63">
        <f t="shared" si="219"/>
        <v>0</v>
      </c>
      <c r="AP261" s="61">
        <f>IFERROR(SUMIFS('BM MORRO DA CRUZ - VERTICAL'!AT$6:AT$546,'BM MORRO DA CRUZ - VERTICAL'!$O$6:$O$546,'BM MORRO DA CRUZ'!$K261),0)</f>
        <v>0</v>
      </c>
      <c r="AQ261" s="63">
        <f t="shared" si="220"/>
        <v>0</v>
      </c>
      <c r="AR261" s="61">
        <f>IFERROR(SUMIFS('BM MORRO DA CRUZ - VERTICAL'!AV$6:AV$546,'BM MORRO DA CRUZ - VERTICAL'!$O$6:$O$546,'BM MORRO DA CRUZ'!$K261),0)</f>
        <v>0</v>
      </c>
      <c r="AS261" s="63">
        <f t="shared" si="221"/>
        <v>0</v>
      </c>
      <c r="AT261" s="61">
        <f>IFERROR(SUMIFS('BM MORRO DA CRUZ - VERTICAL'!AX$6:AX$546,'BM MORRO DA CRUZ - VERTICAL'!$O$6:$O$546,'BM MORRO DA CRUZ'!$K261),0)</f>
        <v>0</v>
      </c>
      <c r="AU261" s="63">
        <f t="shared" si="222"/>
        <v>0</v>
      </c>
      <c r="AV261" s="61">
        <f>IFERROR(SUMIFS('BM MORRO DA CRUZ - VERTICAL'!AZ$6:AZ$546,'BM MORRO DA CRUZ - VERTICAL'!$O$6:$O$546,'BM MORRO DA CRUZ'!$K261),0)</f>
        <v>0</v>
      </c>
      <c r="AW261" s="63">
        <f t="shared" si="223"/>
        <v>0</v>
      </c>
      <c r="AX261" s="61">
        <f>IFERROR(SUMIFS('BM MORRO DA CRUZ - VERTICAL'!BB$6:BB$546,'BM MORRO DA CRUZ - VERTICAL'!$O$6:$O$546,'BM MORRO DA CRUZ'!$K261),0)</f>
        <v>0</v>
      </c>
      <c r="AY261" s="63">
        <f t="shared" si="224"/>
        <v>0</v>
      </c>
      <c r="AZ261" s="61">
        <f>IFERROR(SUMIFS('BM MORRO DA CRUZ - VERTICAL'!BD$6:BD$546,'BM MORRO DA CRUZ - VERTICAL'!$O$6:$O$546,'BM MORRO DA CRUZ'!$K261),0)</f>
        <v>0</v>
      </c>
      <c r="BA261" s="63">
        <f t="shared" si="225"/>
        <v>0</v>
      </c>
      <c r="BB261" s="61">
        <f t="shared" si="226"/>
        <v>0</v>
      </c>
      <c r="BC261" s="63">
        <f t="shared" si="227"/>
        <v>0</v>
      </c>
      <c r="BD261" s="64">
        <f t="shared" si="228"/>
        <v>0</v>
      </c>
      <c r="BE261" s="65">
        <f t="shared" si="229"/>
        <v>1</v>
      </c>
      <c r="BF261" s="45"/>
    </row>
    <row r="262" spans="1:58" ht="19.5" customHeight="1" x14ac:dyDescent="0.45">
      <c r="A262" s="46" t="s">
        <v>994</v>
      </c>
      <c r="B262" s="503"/>
      <c r="C262" s="504"/>
      <c r="D262" s="504"/>
      <c r="E262" s="504"/>
      <c r="F262" s="504"/>
      <c r="G262" s="504"/>
      <c r="H262" s="505" t="s">
        <v>1718</v>
      </c>
      <c r="I262" s="504"/>
      <c r="J262" s="505" t="s">
        <v>1718</v>
      </c>
      <c r="K262" s="47" t="s">
        <v>995</v>
      </c>
      <c r="L262" s="48"/>
      <c r="M262" s="49" t="s">
        <v>996</v>
      </c>
      <c r="N262" s="50"/>
      <c r="O262" s="51"/>
      <c r="P262" s="52"/>
      <c r="Q262" s="53">
        <f>SUM(Q263:Q263)</f>
        <v>290888.65999999997</v>
      </c>
      <c r="R262" s="51"/>
      <c r="S262" s="53">
        <f>SUM(S263:S263)</f>
        <v>0</v>
      </c>
      <c r="T262" s="51"/>
      <c r="U262" s="53">
        <f>SUM(U263:U263)</f>
        <v>0</v>
      </c>
      <c r="V262" s="51"/>
      <c r="W262" s="53">
        <f>SUM(W263:W263)</f>
        <v>0</v>
      </c>
      <c r="X262" s="51"/>
      <c r="Y262" s="53">
        <f>SUM(Y263:Y263)</f>
        <v>0</v>
      </c>
      <c r="Z262" s="51"/>
      <c r="AA262" s="53">
        <f>SUM(AA263:AA263)</f>
        <v>0</v>
      </c>
      <c r="AB262" s="51"/>
      <c r="AC262" s="53">
        <f>SUM(AC263:AC263)</f>
        <v>0</v>
      </c>
      <c r="AD262" s="51"/>
      <c r="AE262" s="53">
        <f>SUM(AE263:AE263)</f>
        <v>0</v>
      </c>
      <c r="AF262" s="51"/>
      <c r="AG262" s="53">
        <f>SUM(AG263:AG263)</f>
        <v>0</v>
      </c>
      <c r="AH262" s="51"/>
      <c r="AI262" s="53">
        <f>SUM(AI263:AI263)</f>
        <v>0</v>
      </c>
      <c r="AJ262" s="51"/>
      <c r="AK262" s="53">
        <f>SUM(AK263:AK263)</f>
        <v>0</v>
      </c>
      <c r="AL262" s="51"/>
      <c r="AM262" s="53">
        <f>SUM(AM263:AM263)</f>
        <v>0</v>
      </c>
      <c r="AN262" s="51"/>
      <c r="AO262" s="53">
        <f>SUM(AO263:AO263)</f>
        <v>0</v>
      </c>
      <c r="AP262" s="51"/>
      <c r="AQ262" s="53">
        <f>SUM(AQ263:AQ263)</f>
        <v>0</v>
      </c>
      <c r="AR262" s="51"/>
      <c r="AS262" s="53">
        <f>SUM(AS263:AS263)</f>
        <v>0</v>
      </c>
      <c r="AT262" s="51"/>
      <c r="AU262" s="53">
        <f>SUM(AU263:AU263)</f>
        <v>0</v>
      </c>
      <c r="AV262" s="51"/>
      <c r="AW262" s="53">
        <f>SUM(AW263:AW263)</f>
        <v>0</v>
      </c>
      <c r="AX262" s="51"/>
      <c r="AY262" s="53">
        <f>SUM(AY263:AY263)</f>
        <v>0</v>
      </c>
      <c r="AZ262" s="51"/>
      <c r="BA262" s="53">
        <f>SUM(BA263:BA263)</f>
        <v>0</v>
      </c>
      <c r="BB262" s="51"/>
      <c r="BC262" s="53">
        <f>SUM(BC263:BC263)</f>
        <v>0</v>
      </c>
      <c r="BD262" s="54"/>
      <c r="BE262" s="55"/>
      <c r="BF262" s="45"/>
    </row>
    <row r="263" spans="1:58" ht="26" customHeight="1" x14ac:dyDescent="0.45">
      <c r="A263" s="56" t="s">
        <v>997</v>
      </c>
      <c r="B263" s="506" t="s">
        <v>1796</v>
      </c>
      <c r="C263" s="507" t="s">
        <v>39</v>
      </c>
      <c r="D263" s="507" t="s">
        <v>39</v>
      </c>
      <c r="E263" s="507" t="s">
        <v>1797</v>
      </c>
      <c r="F263" s="507" t="s">
        <v>39</v>
      </c>
      <c r="G263" s="507" t="s">
        <v>39</v>
      </c>
      <c r="H263" s="508" t="s">
        <v>39</v>
      </c>
      <c r="I263" s="507" t="s">
        <v>1742</v>
      </c>
      <c r="J263" s="508" t="s">
        <v>1797</v>
      </c>
      <c r="K263" s="57" t="s">
        <v>998</v>
      </c>
      <c r="L263" s="58" t="s">
        <v>846</v>
      </c>
      <c r="M263" s="59" t="s">
        <v>999</v>
      </c>
      <c r="N263" s="60" t="s">
        <v>1000</v>
      </c>
      <c r="O263" s="61">
        <v>8912.0300000000007</v>
      </c>
      <c r="P263" s="62">
        <v>32.64</v>
      </c>
      <c r="Q263" s="63">
        <f>ROUND(P263*$O263,2)</f>
        <v>290888.65999999997</v>
      </c>
      <c r="R263" s="61">
        <f>IFERROR(SUMIFS('BM MORRO DA CRUZ - VERTICAL'!V$6:V$546,'BM MORRO DA CRUZ - VERTICAL'!$O$6:$O$546,'BM MORRO DA CRUZ'!$K263),0)</f>
        <v>0</v>
      </c>
      <c r="S263" s="63">
        <f>ROUND(R263*$P263,2)</f>
        <v>0</v>
      </c>
      <c r="T263" s="61">
        <f>IFERROR(SUMIFS('BM MORRO DA CRUZ - VERTICAL'!X$6:X$546,'BM MORRO DA CRUZ - VERTICAL'!$O$6:$O$546,'BM MORRO DA CRUZ'!$K263),0)</f>
        <v>0</v>
      </c>
      <c r="U263" s="63">
        <f>ROUND(T263*$P263,2)</f>
        <v>0</v>
      </c>
      <c r="V263" s="61">
        <f>IFERROR(SUMIFS('BM MORRO DA CRUZ - VERTICAL'!Z$6:Z$546,'BM MORRO DA CRUZ - VERTICAL'!$O$6:$O$546,'BM MORRO DA CRUZ'!$K263),0)</f>
        <v>0</v>
      </c>
      <c r="W263" s="63">
        <f>ROUND(V263*$P263,2)</f>
        <v>0</v>
      </c>
      <c r="X263" s="61">
        <f>IFERROR(SUMIFS('BM MORRO DA CRUZ - VERTICAL'!AB$6:AB$546,'BM MORRO DA CRUZ - VERTICAL'!$O$6:$O$546,'BM MORRO DA CRUZ'!$K263),0)</f>
        <v>0</v>
      </c>
      <c r="Y263" s="63">
        <f>ROUND(X263*$P263,2)</f>
        <v>0</v>
      </c>
      <c r="Z263" s="61">
        <f>IFERROR(SUMIFS('BM MORRO DA CRUZ - VERTICAL'!AD$6:AD$546,'BM MORRO DA CRUZ - VERTICAL'!$O$6:$O$546,'BM MORRO DA CRUZ'!$K263),0)</f>
        <v>0</v>
      </c>
      <c r="AA263" s="63">
        <f>ROUND(Z263*$P263,2)</f>
        <v>0</v>
      </c>
      <c r="AB263" s="61">
        <f>IFERROR(SUMIFS('BM MORRO DA CRUZ - VERTICAL'!AF$6:AF$546,'BM MORRO DA CRUZ - VERTICAL'!$O$6:$O$546,'BM MORRO DA CRUZ'!$K263),0)</f>
        <v>0</v>
      </c>
      <c r="AC263" s="63">
        <f>ROUND(AB263*$P263,2)</f>
        <v>0</v>
      </c>
      <c r="AD263" s="61">
        <f>IFERROR(SUMIFS('BM MORRO DA CRUZ - VERTICAL'!AH$6:AH$546,'BM MORRO DA CRUZ - VERTICAL'!$O$6:$O$546,'BM MORRO DA CRUZ'!$K263),0)</f>
        <v>0</v>
      </c>
      <c r="AE263" s="63">
        <f>ROUND(AD263*$P263,2)</f>
        <v>0</v>
      </c>
      <c r="AF263" s="61">
        <f>IFERROR(SUMIFS('BM MORRO DA CRUZ - VERTICAL'!AJ$6:AJ$546,'BM MORRO DA CRUZ - VERTICAL'!$O$6:$O$546,'BM MORRO DA CRUZ'!$K263),0)</f>
        <v>0</v>
      </c>
      <c r="AG263" s="63">
        <f>ROUND(AF263*$P263,2)</f>
        <v>0</v>
      </c>
      <c r="AH263" s="61">
        <f>IFERROR(SUMIFS('BM MORRO DA CRUZ - VERTICAL'!AL$6:AL$546,'BM MORRO DA CRUZ - VERTICAL'!$O$6:$O$546,'BM MORRO DA CRUZ'!$K263),0)</f>
        <v>0</v>
      </c>
      <c r="AI263" s="63">
        <f>ROUND(AH263*$P263,2)</f>
        <v>0</v>
      </c>
      <c r="AJ263" s="61">
        <f>IFERROR(SUMIFS('BM MORRO DA CRUZ - VERTICAL'!AN$6:AN$546,'BM MORRO DA CRUZ - VERTICAL'!$O$6:$O$546,'BM MORRO DA CRUZ'!$K263),0)</f>
        <v>0</v>
      </c>
      <c r="AK263" s="63">
        <f>ROUND(AJ263*$P263,2)</f>
        <v>0</v>
      </c>
      <c r="AL263" s="61">
        <f>IFERROR(SUMIFS('BM MORRO DA CRUZ - VERTICAL'!AP$6:AP$546,'BM MORRO DA CRUZ - VERTICAL'!$O$6:$O$546,'BM MORRO DA CRUZ'!$K263),0)</f>
        <v>0</v>
      </c>
      <c r="AM263" s="63">
        <f>ROUND(AL263*$P263,2)</f>
        <v>0</v>
      </c>
      <c r="AN263" s="61">
        <f>IFERROR(SUMIFS('BM MORRO DA CRUZ - VERTICAL'!AR$6:AR$546,'BM MORRO DA CRUZ - VERTICAL'!$O$6:$O$546,'BM MORRO DA CRUZ'!$K263),0)</f>
        <v>0</v>
      </c>
      <c r="AO263" s="63">
        <f>ROUND(AN263*$P263,2)</f>
        <v>0</v>
      </c>
      <c r="AP263" s="61">
        <f>IFERROR(SUMIFS('BM MORRO DA CRUZ - VERTICAL'!AT$6:AT$546,'BM MORRO DA CRUZ - VERTICAL'!$O$6:$O$546,'BM MORRO DA CRUZ'!$K263),0)</f>
        <v>0</v>
      </c>
      <c r="AQ263" s="63">
        <f>ROUND(AP263*$P263,2)</f>
        <v>0</v>
      </c>
      <c r="AR263" s="61">
        <f>IFERROR(SUMIFS('BM MORRO DA CRUZ - VERTICAL'!AV$6:AV$546,'BM MORRO DA CRUZ - VERTICAL'!$O$6:$O$546,'BM MORRO DA CRUZ'!$K263),0)</f>
        <v>0</v>
      </c>
      <c r="AS263" s="63">
        <f>ROUND(AR263*$P263,2)</f>
        <v>0</v>
      </c>
      <c r="AT263" s="61">
        <f>IFERROR(SUMIFS('BM MORRO DA CRUZ - VERTICAL'!AX$6:AX$546,'BM MORRO DA CRUZ - VERTICAL'!$O$6:$O$546,'BM MORRO DA CRUZ'!$K263),0)</f>
        <v>0</v>
      </c>
      <c r="AU263" s="63">
        <f>ROUND(AT263*$P263,2)</f>
        <v>0</v>
      </c>
      <c r="AV263" s="61">
        <f>IFERROR(SUMIFS('BM MORRO DA CRUZ - VERTICAL'!AZ$6:AZ$546,'BM MORRO DA CRUZ - VERTICAL'!$O$6:$O$546,'BM MORRO DA CRUZ'!$K263),0)</f>
        <v>0</v>
      </c>
      <c r="AW263" s="63">
        <f>ROUND(AV263*$P263,2)</f>
        <v>0</v>
      </c>
      <c r="AX263" s="61">
        <f>IFERROR(SUMIFS('BM MORRO DA CRUZ - VERTICAL'!BB$6:BB$546,'BM MORRO DA CRUZ - VERTICAL'!$O$6:$O$546,'BM MORRO DA CRUZ'!$K263),0)</f>
        <v>0</v>
      </c>
      <c r="AY263" s="63">
        <f>ROUND(AX263*$P263,2)</f>
        <v>0</v>
      </c>
      <c r="AZ263" s="61">
        <f>IFERROR(SUMIFS('BM MORRO DA CRUZ - VERTICAL'!BD$6:BD$546,'BM MORRO DA CRUZ - VERTICAL'!$O$6:$O$546,'BM MORRO DA CRUZ'!$K263),0)</f>
        <v>0</v>
      </c>
      <c r="BA263" s="63">
        <f>ROUND(AZ263*$P263,2)</f>
        <v>0</v>
      </c>
      <c r="BB263" s="61">
        <f>IFERROR(SUMIFS($R263:$BA263,$R$5:$BA$5,$BB$5),0)</f>
        <v>0</v>
      </c>
      <c r="BC263" s="63">
        <f>SUMIFS($R263:$BA263,$R$5:$BA$5,$S$5)</f>
        <v>0</v>
      </c>
      <c r="BD263" s="64">
        <f>IFERROR(BB263/O263,0)</f>
        <v>0</v>
      </c>
      <c r="BE263" s="65">
        <f>IFERROR((O263-BB263)/O263,0)</f>
        <v>1</v>
      </c>
      <c r="BF263" s="45"/>
    </row>
    <row r="264" spans="1:58" ht="19.5" customHeight="1" x14ac:dyDescent="0.45">
      <c r="A264" s="46" t="s">
        <v>1001</v>
      </c>
      <c r="B264" s="503"/>
      <c r="C264" s="504"/>
      <c r="D264" s="504"/>
      <c r="E264" s="504"/>
      <c r="F264" s="504"/>
      <c r="G264" s="504"/>
      <c r="H264" s="505" t="s">
        <v>1718</v>
      </c>
      <c r="I264" s="504"/>
      <c r="J264" s="505" t="s">
        <v>1718</v>
      </c>
      <c r="K264" s="47" t="s">
        <v>1002</v>
      </c>
      <c r="L264" s="48"/>
      <c r="M264" s="49" t="s">
        <v>1003</v>
      </c>
      <c r="N264" s="50"/>
      <c r="O264" s="51"/>
      <c r="P264" s="52"/>
      <c r="Q264" s="53">
        <f>SUM(Q265:Q280)</f>
        <v>947186.41</v>
      </c>
      <c r="R264" s="51"/>
      <c r="S264" s="53">
        <f>SUM(S265:S280)</f>
        <v>0</v>
      </c>
      <c r="T264" s="51"/>
      <c r="U264" s="53">
        <f>SUM(U265:U280)</f>
        <v>0</v>
      </c>
      <c r="V264" s="51"/>
      <c r="W264" s="53">
        <f>SUM(W265:W280)</f>
        <v>0</v>
      </c>
      <c r="X264" s="51"/>
      <c r="Y264" s="53">
        <f>SUM(Y265:Y280)</f>
        <v>0</v>
      </c>
      <c r="Z264" s="51"/>
      <c r="AA264" s="53">
        <f>SUM(AA265:AA280)</f>
        <v>0</v>
      </c>
      <c r="AB264" s="51"/>
      <c r="AC264" s="53">
        <f>SUM(AC265:AC280)</f>
        <v>0</v>
      </c>
      <c r="AD264" s="51"/>
      <c r="AE264" s="53">
        <f>SUM(AE265:AE280)</f>
        <v>0</v>
      </c>
      <c r="AF264" s="51"/>
      <c r="AG264" s="53">
        <f>SUM(AG265:AG280)</f>
        <v>0</v>
      </c>
      <c r="AH264" s="51"/>
      <c r="AI264" s="53">
        <f>SUM(AI265:AI280)</f>
        <v>0</v>
      </c>
      <c r="AJ264" s="51"/>
      <c r="AK264" s="53">
        <f>SUM(AK265:AK280)</f>
        <v>0</v>
      </c>
      <c r="AL264" s="51"/>
      <c r="AM264" s="53">
        <f>SUM(AM265:AM280)</f>
        <v>0</v>
      </c>
      <c r="AN264" s="51"/>
      <c r="AO264" s="53">
        <f>SUM(AO265:AO280)</f>
        <v>0</v>
      </c>
      <c r="AP264" s="51"/>
      <c r="AQ264" s="53">
        <f>SUM(AQ265:AQ280)</f>
        <v>0</v>
      </c>
      <c r="AR264" s="51"/>
      <c r="AS264" s="53">
        <f>SUM(AS265:AS280)</f>
        <v>0</v>
      </c>
      <c r="AT264" s="51"/>
      <c r="AU264" s="53">
        <f>SUM(AU265:AU280)</f>
        <v>0</v>
      </c>
      <c r="AV264" s="51"/>
      <c r="AW264" s="53">
        <f>SUM(AW265:AW280)</f>
        <v>0</v>
      </c>
      <c r="AX264" s="51"/>
      <c r="AY264" s="53">
        <f>SUM(AY265:AY280)</f>
        <v>0</v>
      </c>
      <c r="AZ264" s="51"/>
      <c r="BA264" s="53">
        <f>SUM(BA265:BA280)</f>
        <v>0</v>
      </c>
      <c r="BB264" s="51"/>
      <c r="BC264" s="53">
        <f>SUM(BC265:BC280)</f>
        <v>0</v>
      </c>
      <c r="BD264" s="54"/>
      <c r="BE264" s="55"/>
      <c r="BF264" s="45"/>
    </row>
    <row r="265" spans="1:58" ht="26" customHeight="1" x14ac:dyDescent="0.45">
      <c r="A265" s="56" t="s">
        <v>1004</v>
      </c>
      <c r="B265" s="506" t="s">
        <v>1798</v>
      </c>
      <c r="C265" s="507" t="s">
        <v>39</v>
      </c>
      <c r="D265" s="507" t="s">
        <v>39</v>
      </c>
      <c r="E265" s="507" t="s">
        <v>155</v>
      </c>
      <c r="F265" s="507" t="s">
        <v>39</v>
      </c>
      <c r="G265" s="507" t="s">
        <v>39</v>
      </c>
      <c r="H265" s="508" t="s">
        <v>39</v>
      </c>
      <c r="I265" s="507" t="s">
        <v>114</v>
      </c>
      <c r="J265" s="508" t="s">
        <v>140</v>
      </c>
      <c r="K265" s="57" t="s">
        <v>1005</v>
      </c>
      <c r="L265" s="58" t="s">
        <v>846</v>
      </c>
      <c r="M265" s="59" t="s">
        <v>1006</v>
      </c>
      <c r="N265" s="60" t="s">
        <v>71</v>
      </c>
      <c r="O265" s="61">
        <v>16</v>
      </c>
      <c r="P265" s="62">
        <v>16.53</v>
      </c>
      <c r="Q265" s="63">
        <f t="shared" ref="Q265:Q280" si="230">ROUND(P265*$O265,2)</f>
        <v>264.48</v>
      </c>
      <c r="R265" s="61">
        <f>IFERROR(SUMIFS('BM MORRO DA CRUZ - VERTICAL'!V$6:V$546,'BM MORRO DA CRUZ - VERTICAL'!$O$6:$O$546,'BM MORRO DA CRUZ'!$K265),0)</f>
        <v>0</v>
      </c>
      <c r="S265" s="63">
        <f t="shared" ref="S265:S280" si="231">ROUND(R265*$P265,2)</f>
        <v>0</v>
      </c>
      <c r="T265" s="61">
        <f>IFERROR(SUMIFS('BM MORRO DA CRUZ - VERTICAL'!X$6:X$546,'BM MORRO DA CRUZ - VERTICAL'!$O$6:$O$546,'BM MORRO DA CRUZ'!$K265),0)</f>
        <v>0</v>
      </c>
      <c r="U265" s="63">
        <f t="shared" ref="U265:U280" si="232">ROUND(T265*$P265,2)</f>
        <v>0</v>
      </c>
      <c r="V265" s="61">
        <f>IFERROR(SUMIFS('BM MORRO DA CRUZ - VERTICAL'!Z$6:Z$546,'BM MORRO DA CRUZ - VERTICAL'!$O$6:$O$546,'BM MORRO DA CRUZ'!$K265),0)</f>
        <v>0</v>
      </c>
      <c r="W265" s="63">
        <f t="shared" ref="W265:W280" si="233">ROUND(V265*$P265,2)</f>
        <v>0</v>
      </c>
      <c r="X265" s="61">
        <f>IFERROR(SUMIFS('BM MORRO DA CRUZ - VERTICAL'!AB$6:AB$546,'BM MORRO DA CRUZ - VERTICAL'!$O$6:$O$546,'BM MORRO DA CRUZ'!$K265),0)</f>
        <v>0</v>
      </c>
      <c r="Y265" s="63">
        <f t="shared" ref="Y265:Y280" si="234">ROUND(X265*$P265,2)</f>
        <v>0</v>
      </c>
      <c r="Z265" s="61">
        <f>IFERROR(SUMIFS('BM MORRO DA CRUZ - VERTICAL'!AD$6:AD$546,'BM MORRO DA CRUZ - VERTICAL'!$O$6:$O$546,'BM MORRO DA CRUZ'!$K265),0)</f>
        <v>0</v>
      </c>
      <c r="AA265" s="63">
        <f t="shared" ref="AA265:AA280" si="235">ROUND(Z265*$P265,2)</f>
        <v>0</v>
      </c>
      <c r="AB265" s="61">
        <f>IFERROR(SUMIFS('BM MORRO DA CRUZ - VERTICAL'!AF$6:AF$546,'BM MORRO DA CRUZ - VERTICAL'!$O$6:$O$546,'BM MORRO DA CRUZ'!$K265),0)</f>
        <v>0</v>
      </c>
      <c r="AC265" s="63">
        <f t="shared" ref="AC265:AC280" si="236">ROUND(AB265*$P265,2)</f>
        <v>0</v>
      </c>
      <c r="AD265" s="61">
        <f>IFERROR(SUMIFS('BM MORRO DA CRUZ - VERTICAL'!AH$6:AH$546,'BM MORRO DA CRUZ - VERTICAL'!$O$6:$O$546,'BM MORRO DA CRUZ'!$K265),0)</f>
        <v>0</v>
      </c>
      <c r="AE265" s="63">
        <f t="shared" ref="AE265:AE280" si="237">ROUND(AD265*$P265,2)</f>
        <v>0</v>
      </c>
      <c r="AF265" s="61">
        <f>IFERROR(SUMIFS('BM MORRO DA CRUZ - VERTICAL'!AJ$6:AJ$546,'BM MORRO DA CRUZ - VERTICAL'!$O$6:$O$546,'BM MORRO DA CRUZ'!$K265),0)</f>
        <v>0</v>
      </c>
      <c r="AG265" s="63">
        <f t="shared" ref="AG265:AG280" si="238">ROUND(AF265*$P265,2)</f>
        <v>0</v>
      </c>
      <c r="AH265" s="61">
        <f>IFERROR(SUMIFS('BM MORRO DA CRUZ - VERTICAL'!AL$6:AL$546,'BM MORRO DA CRUZ - VERTICAL'!$O$6:$O$546,'BM MORRO DA CRUZ'!$K265),0)</f>
        <v>0</v>
      </c>
      <c r="AI265" s="63">
        <f t="shared" ref="AI265:AI280" si="239">ROUND(AH265*$P265,2)</f>
        <v>0</v>
      </c>
      <c r="AJ265" s="61">
        <f>IFERROR(SUMIFS('BM MORRO DA CRUZ - VERTICAL'!AN$6:AN$546,'BM MORRO DA CRUZ - VERTICAL'!$O$6:$O$546,'BM MORRO DA CRUZ'!$K265),0)</f>
        <v>0</v>
      </c>
      <c r="AK265" s="63">
        <f t="shared" ref="AK265:AK280" si="240">ROUND(AJ265*$P265,2)</f>
        <v>0</v>
      </c>
      <c r="AL265" s="61">
        <f>IFERROR(SUMIFS('BM MORRO DA CRUZ - VERTICAL'!AP$6:AP$546,'BM MORRO DA CRUZ - VERTICAL'!$O$6:$O$546,'BM MORRO DA CRUZ'!$K265),0)</f>
        <v>0</v>
      </c>
      <c r="AM265" s="63">
        <f t="shared" ref="AM265:AM280" si="241">ROUND(AL265*$P265,2)</f>
        <v>0</v>
      </c>
      <c r="AN265" s="61">
        <f>IFERROR(SUMIFS('BM MORRO DA CRUZ - VERTICAL'!AR$6:AR$546,'BM MORRO DA CRUZ - VERTICAL'!$O$6:$O$546,'BM MORRO DA CRUZ'!$K265),0)</f>
        <v>0</v>
      </c>
      <c r="AO265" s="63">
        <f t="shared" ref="AO265:AO280" si="242">ROUND(AN265*$P265,2)</f>
        <v>0</v>
      </c>
      <c r="AP265" s="61">
        <f>IFERROR(SUMIFS('BM MORRO DA CRUZ - VERTICAL'!AT$6:AT$546,'BM MORRO DA CRUZ - VERTICAL'!$O$6:$O$546,'BM MORRO DA CRUZ'!$K265),0)</f>
        <v>0</v>
      </c>
      <c r="AQ265" s="63">
        <f t="shared" ref="AQ265:AQ280" si="243">ROUND(AP265*$P265,2)</f>
        <v>0</v>
      </c>
      <c r="AR265" s="61">
        <f>IFERROR(SUMIFS('BM MORRO DA CRUZ - VERTICAL'!AV$6:AV$546,'BM MORRO DA CRUZ - VERTICAL'!$O$6:$O$546,'BM MORRO DA CRUZ'!$K265),0)</f>
        <v>0</v>
      </c>
      <c r="AS265" s="63">
        <f t="shared" ref="AS265:AS280" si="244">ROUND(AR265*$P265,2)</f>
        <v>0</v>
      </c>
      <c r="AT265" s="61">
        <f>IFERROR(SUMIFS('BM MORRO DA CRUZ - VERTICAL'!AX$6:AX$546,'BM MORRO DA CRUZ - VERTICAL'!$O$6:$O$546,'BM MORRO DA CRUZ'!$K265),0)</f>
        <v>0</v>
      </c>
      <c r="AU265" s="63">
        <f t="shared" ref="AU265:AU280" si="245">ROUND(AT265*$P265,2)</f>
        <v>0</v>
      </c>
      <c r="AV265" s="61">
        <f>IFERROR(SUMIFS('BM MORRO DA CRUZ - VERTICAL'!AZ$6:AZ$546,'BM MORRO DA CRUZ - VERTICAL'!$O$6:$O$546,'BM MORRO DA CRUZ'!$K265),0)</f>
        <v>0</v>
      </c>
      <c r="AW265" s="63">
        <f t="shared" ref="AW265:AW280" si="246">ROUND(AV265*$P265,2)</f>
        <v>0</v>
      </c>
      <c r="AX265" s="61">
        <f>IFERROR(SUMIFS('BM MORRO DA CRUZ - VERTICAL'!BB$6:BB$546,'BM MORRO DA CRUZ - VERTICAL'!$O$6:$O$546,'BM MORRO DA CRUZ'!$K265),0)</f>
        <v>0</v>
      </c>
      <c r="AY265" s="63">
        <f t="shared" ref="AY265:AY280" si="247">ROUND(AX265*$P265,2)</f>
        <v>0</v>
      </c>
      <c r="AZ265" s="61">
        <f>IFERROR(SUMIFS('BM MORRO DA CRUZ - VERTICAL'!BD$6:BD$546,'BM MORRO DA CRUZ - VERTICAL'!$O$6:$O$546,'BM MORRO DA CRUZ'!$K265),0)</f>
        <v>0</v>
      </c>
      <c r="BA265" s="63">
        <f t="shared" ref="BA265:BA280" si="248">ROUND(AZ265*$P265,2)</f>
        <v>0</v>
      </c>
      <c r="BB265" s="61">
        <f t="shared" ref="BB265:BB280" si="249">IFERROR(SUMIFS($R265:$BA265,$R$5:$BA$5,$BB$5),0)</f>
        <v>0</v>
      </c>
      <c r="BC265" s="63">
        <f t="shared" ref="BC265:BC280" si="250">SUMIFS($R265:$BA265,$R$5:$BA$5,$S$5)</f>
        <v>0</v>
      </c>
      <c r="BD265" s="64">
        <f t="shared" ref="BD265:BD280" si="251">IFERROR(BB265/O265,0)</f>
        <v>0</v>
      </c>
      <c r="BE265" s="65">
        <f t="shared" ref="BE265:BE280" si="252">IFERROR((O265-BB265)/O265,0)</f>
        <v>1</v>
      </c>
      <c r="BF265" s="45"/>
    </row>
    <row r="266" spans="1:58" ht="35.65" x14ac:dyDescent="0.45">
      <c r="A266" s="56" t="s">
        <v>1007</v>
      </c>
      <c r="B266" s="506" t="s">
        <v>1799</v>
      </c>
      <c r="C266" s="507" t="s">
        <v>39</v>
      </c>
      <c r="D266" s="507" t="s">
        <v>39</v>
      </c>
      <c r="E266" s="507" t="s">
        <v>78</v>
      </c>
      <c r="F266" s="507" t="s">
        <v>39</v>
      </c>
      <c r="G266" s="507" t="s">
        <v>39</v>
      </c>
      <c r="H266" s="508" t="s">
        <v>226</v>
      </c>
      <c r="I266" s="507" t="s">
        <v>79</v>
      </c>
      <c r="J266" s="508" t="s">
        <v>78</v>
      </c>
      <c r="K266" s="57" t="s">
        <v>1008</v>
      </c>
      <c r="L266" s="58" t="s">
        <v>846</v>
      </c>
      <c r="M266" s="59" t="s">
        <v>1009</v>
      </c>
      <c r="N266" s="60" t="s">
        <v>1010</v>
      </c>
      <c r="O266" s="61">
        <v>3584.54</v>
      </c>
      <c r="P266" s="62">
        <v>13.03</v>
      </c>
      <c r="Q266" s="63">
        <f t="shared" si="230"/>
        <v>46706.559999999998</v>
      </c>
      <c r="R266" s="61">
        <f>IFERROR(SUMIFS('BM MORRO DA CRUZ - VERTICAL'!V$6:V$546,'BM MORRO DA CRUZ - VERTICAL'!$O$6:$O$546,'BM MORRO DA CRUZ'!$K266),0)</f>
        <v>0</v>
      </c>
      <c r="S266" s="63">
        <f t="shared" si="231"/>
        <v>0</v>
      </c>
      <c r="T266" s="61">
        <f>IFERROR(SUMIFS('BM MORRO DA CRUZ - VERTICAL'!X$6:X$546,'BM MORRO DA CRUZ - VERTICAL'!$O$6:$O$546,'BM MORRO DA CRUZ'!$K266),0)</f>
        <v>0</v>
      </c>
      <c r="U266" s="63">
        <f t="shared" si="232"/>
        <v>0</v>
      </c>
      <c r="V266" s="61">
        <f>IFERROR(SUMIFS('BM MORRO DA CRUZ - VERTICAL'!Z$6:Z$546,'BM MORRO DA CRUZ - VERTICAL'!$O$6:$O$546,'BM MORRO DA CRUZ'!$K266),0)</f>
        <v>0</v>
      </c>
      <c r="W266" s="63">
        <f t="shared" si="233"/>
        <v>0</v>
      </c>
      <c r="X266" s="61">
        <f>IFERROR(SUMIFS('BM MORRO DA CRUZ - VERTICAL'!AB$6:AB$546,'BM MORRO DA CRUZ - VERTICAL'!$O$6:$O$546,'BM MORRO DA CRUZ'!$K266),0)</f>
        <v>0</v>
      </c>
      <c r="Y266" s="63">
        <f t="shared" si="234"/>
        <v>0</v>
      </c>
      <c r="Z266" s="61">
        <f>IFERROR(SUMIFS('BM MORRO DA CRUZ - VERTICAL'!AD$6:AD$546,'BM MORRO DA CRUZ - VERTICAL'!$O$6:$O$546,'BM MORRO DA CRUZ'!$K266),0)</f>
        <v>0</v>
      </c>
      <c r="AA266" s="63">
        <f t="shared" si="235"/>
        <v>0</v>
      </c>
      <c r="AB266" s="61">
        <f>IFERROR(SUMIFS('BM MORRO DA CRUZ - VERTICAL'!AF$6:AF$546,'BM MORRO DA CRUZ - VERTICAL'!$O$6:$O$546,'BM MORRO DA CRUZ'!$K266),0)</f>
        <v>0</v>
      </c>
      <c r="AC266" s="63">
        <f t="shared" si="236"/>
        <v>0</v>
      </c>
      <c r="AD266" s="61">
        <f>IFERROR(SUMIFS('BM MORRO DA CRUZ - VERTICAL'!AH$6:AH$546,'BM MORRO DA CRUZ - VERTICAL'!$O$6:$O$546,'BM MORRO DA CRUZ'!$K266),0)</f>
        <v>0</v>
      </c>
      <c r="AE266" s="63">
        <f t="shared" si="237"/>
        <v>0</v>
      </c>
      <c r="AF266" s="61">
        <f>IFERROR(SUMIFS('BM MORRO DA CRUZ - VERTICAL'!AJ$6:AJ$546,'BM MORRO DA CRUZ - VERTICAL'!$O$6:$O$546,'BM MORRO DA CRUZ'!$K266),0)</f>
        <v>0</v>
      </c>
      <c r="AG266" s="63">
        <f t="shared" si="238"/>
        <v>0</v>
      </c>
      <c r="AH266" s="61">
        <f>IFERROR(SUMIFS('BM MORRO DA CRUZ - VERTICAL'!AL$6:AL$546,'BM MORRO DA CRUZ - VERTICAL'!$O$6:$O$546,'BM MORRO DA CRUZ'!$K266),0)</f>
        <v>0</v>
      </c>
      <c r="AI266" s="63">
        <f t="shared" si="239"/>
        <v>0</v>
      </c>
      <c r="AJ266" s="61">
        <f>IFERROR(SUMIFS('BM MORRO DA CRUZ - VERTICAL'!AN$6:AN$546,'BM MORRO DA CRUZ - VERTICAL'!$O$6:$O$546,'BM MORRO DA CRUZ'!$K266),0)</f>
        <v>0</v>
      </c>
      <c r="AK266" s="63">
        <f t="shared" si="240"/>
        <v>0</v>
      </c>
      <c r="AL266" s="61">
        <f>IFERROR(SUMIFS('BM MORRO DA CRUZ - VERTICAL'!AP$6:AP$546,'BM MORRO DA CRUZ - VERTICAL'!$O$6:$O$546,'BM MORRO DA CRUZ'!$K266),0)</f>
        <v>0</v>
      </c>
      <c r="AM266" s="63">
        <f t="shared" si="241"/>
        <v>0</v>
      </c>
      <c r="AN266" s="61">
        <f>IFERROR(SUMIFS('BM MORRO DA CRUZ - VERTICAL'!AR$6:AR$546,'BM MORRO DA CRUZ - VERTICAL'!$O$6:$O$546,'BM MORRO DA CRUZ'!$K266),0)</f>
        <v>0</v>
      </c>
      <c r="AO266" s="63">
        <f t="shared" si="242"/>
        <v>0</v>
      </c>
      <c r="AP266" s="61">
        <f>IFERROR(SUMIFS('BM MORRO DA CRUZ - VERTICAL'!AT$6:AT$546,'BM MORRO DA CRUZ - VERTICAL'!$O$6:$O$546,'BM MORRO DA CRUZ'!$K266),0)</f>
        <v>0</v>
      </c>
      <c r="AQ266" s="63">
        <f t="shared" si="243"/>
        <v>0</v>
      </c>
      <c r="AR266" s="61">
        <f>IFERROR(SUMIFS('BM MORRO DA CRUZ - VERTICAL'!AV$6:AV$546,'BM MORRO DA CRUZ - VERTICAL'!$O$6:$O$546,'BM MORRO DA CRUZ'!$K266),0)</f>
        <v>0</v>
      </c>
      <c r="AS266" s="63">
        <f t="shared" si="244"/>
        <v>0</v>
      </c>
      <c r="AT266" s="61">
        <f>IFERROR(SUMIFS('BM MORRO DA CRUZ - VERTICAL'!AX$6:AX$546,'BM MORRO DA CRUZ - VERTICAL'!$O$6:$O$546,'BM MORRO DA CRUZ'!$K266),0)</f>
        <v>0</v>
      </c>
      <c r="AU266" s="63">
        <f t="shared" si="245"/>
        <v>0</v>
      </c>
      <c r="AV266" s="61">
        <f>IFERROR(SUMIFS('BM MORRO DA CRUZ - VERTICAL'!AZ$6:AZ$546,'BM MORRO DA CRUZ - VERTICAL'!$O$6:$O$546,'BM MORRO DA CRUZ'!$K266),0)</f>
        <v>0</v>
      </c>
      <c r="AW266" s="63">
        <f t="shared" si="246"/>
        <v>0</v>
      </c>
      <c r="AX266" s="61">
        <f>IFERROR(SUMIFS('BM MORRO DA CRUZ - VERTICAL'!BB$6:BB$546,'BM MORRO DA CRUZ - VERTICAL'!$O$6:$O$546,'BM MORRO DA CRUZ'!$K266),0)</f>
        <v>0</v>
      </c>
      <c r="AY266" s="63">
        <f t="shared" si="247"/>
        <v>0</v>
      </c>
      <c r="AZ266" s="61">
        <f>IFERROR(SUMIFS('BM MORRO DA CRUZ - VERTICAL'!BD$6:BD$546,'BM MORRO DA CRUZ - VERTICAL'!$O$6:$O$546,'BM MORRO DA CRUZ'!$K266),0)</f>
        <v>0</v>
      </c>
      <c r="BA266" s="63">
        <f t="shared" si="248"/>
        <v>0</v>
      </c>
      <c r="BB266" s="61">
        <f t="shared" si="249"/>
        <v>0</v>
      </c>
      <c r="BC266" s="63">
        <f t="shared" si="250"/>
        <v>0</v>
      </c>
      <c r="BD266" s="64">
        <f t="shared" si="251"/>
        <v>0</v>
      </c>
      <c r="BE266" s="65">
        <f t="shared" si="252"/>
        <v>1</v>
      </c>
      <c r="BF266" s="45"/>
    </row>
    <row r="267" spans="1:58" ht="35.65" x14ac:dyDescent="0.45">
      <c r="A267" s="56" t="s">
        <v>1011</v>
      </c>
      <c r="B267" s="506" t="s">
        <v>1800</v>
      </c>
      <c r="C267" s="507" t="s">
        <v>39</v>
      </c>
      <c r="D267" s="507" t="s">
        <v>39</v>
      </c>
      <c r="E267" s="507" t="s">
        <v>78</v>
      </c>
      <c r="F267" s="507" t="s">
        <v>39</v>
      </c>
      <c r="G267" s="507" t="s">
        <v>39</v>
      </c>
      <c r="H267" s="508" t="s">
        <v>226</v>
      </c>
      <c r="I267" s="507" t="s">
        <v>79</v>
      </c>
      <c r="J267" s="508" t="s">
        <v>78</v>
      </c>
      <c r="K267" s="57" t="s">
        <v>1012</v>
      </c>
      <c r="L267" s="58" t="s">
        <v>846</v>
      </c>
      <c r="M267" s="59" t="s">
        <v>1013</v>
      </c>
      <c r="N267" s="60" t="s">
        <v>1010</v>
      </c>
      <c r="O267" s="61">
        <v>1173.68</v>
      </c>
      <c r="P267" s="62">
        <v>11.41</v>
      </c>
      <c r="Q267" s="63">
        <f t="shared" si="230"/>
        <v>13391.69</v>
      </c>
      <c r="R267" s="61">
        <f>IFERROR(SUMIFS('BM MORRO DA CRUZ - VERTICAL'!V$6:V$546,'BM MORRO DA CRUZ - VERTICAL'!$O$6:$O$546,'BM MORRO DA CRUZ'!$K267),0)</f>
        <v>0</v>
      </c>
      <c r="S267" s="63">
        <f t="shared" si="231"/>
        <v>0</v>
      </c>
      <c r="T267" s="61">
        <f>IFERROR(SUMIFS('BM MORRO DA CRUZ - VERTICAL'!X$6:X$546,'BM MORRO DA CRUZ - VERTICAL'!$O$6:$O$546,'BM MORRO DA CRUZ'!$K267),0)</f>
        <v>0</v>
      </c>
      <c r="U267" s="63">
        <f t="shared" si="232"/>
        <v>0</v>
      </c>
      <c r="V267" s="61">
        <f>IFERROR(SUMIFS('BM MORRO DA CRUZ - VERTICAL'!Z$6:Z$546,'BM MORRO DA CRUZ - VERTICAL'!$O$6:$O$546,'BM MORRO DA CRUZ'!$K267),0)</f>
        <v>0</v>
      </c>
      <c r="W267" s="63">
        <f t="shared" si="233"/>
        <v>0</v>
      </c>
      <c r="X267" s="61">
        <f>IFERROR(SUMIFS('BM MORRO DA CRUZ - VERTICAL'!AB$6:AB$546,'BM MORRO DA CRUZ - VERTICAL'!$O$6:$O$546,'BM MORRO DA CRUZ'!$K267),0)</f>
        <v>0</v>
      </c>
      <c r="Y267" s="63">
        <f t="shared" si="234"/>
        <v>0</v>
      </c>
      <c r="Z267" s="61">
        <f>IFERROR(SUMIFS('BM MORRO DA CRUZ - VERTICAL'!AD$6:AD$546,'BM MORRO DA CRUZ - VERTICAL'!$O$6:$O$546,'BM MORRO DA CRUZ'!$K267),0)</f>
        <v>0</v>
      </c>
      <c r="AA267" s="63">
        <f t="shared" si="235"/>
        <v>0</v>
      </c>
      <c r="AB267" s="61">
        <f>IFERROR(SUMIFS('BM MORRO DA CRUZ - VERTICAL'!AF$6:AF$546,'BM MORRO DA CRUZ - VERTICAL'!$O$6:$O$546,'BM MORRO DA CRUZ'!$K267),0)</f>
        <v>0</v>
      </c>
      <c r="AC267" s="63">
        <f t="shared" si="236"/>
        <v>0</v>
      </c>
      <c r="AD267" s="61">
        <f>IFERROR(SUMIFS('BM MORRO DA CRUZ - VERTICAL'!AH$6:AH$546,'BM MORRO DA CRUZ - VERTICAL'!$O$6:$O$546,'BM MORRO DA CRUZ'!$K267),0)</f>
        <v>0</v>
      </c>
      <c r="AE267" s="63">
        <f t="shared" si="237"/>
        <v>0</v>
      </c>
      <c r="AF267" s="61">
        <f>IFERROR(SUMIFS('BM MORRO DA CRUZ - VERTICAL'!AJ$6:AJ$546,'BM MORRO DA CRUZ - VERTICAL'!$O$6:$O$546,'BM MORRO DA CRUZ'!$K267),0)</f>
        <v>0</v>
      </c>
      <c r="AG267" s="63">
        <f t="shared" si="238"/>
        <v>0</v>
      </c>
      <c r="AH267" s="61">
        <f>IFERROR(SUMIFS('BM MORRO DA CRUZ - VERTICAL'!AL$6:AL$546,'BM MORRO DA CRUZ - VERTICAL'!$O$6:$O$546,'BM MORRO DA CRUZ'!$K267),0)</f>
        <v>0</v>
      </c>
      <c r="AI267" s="63">
        <f t="shared" si="239"/>
        <v>0</v>
      </c>
      <c r="AJ267" s="61">
        <f>IFERROR(SUMIFS('BM MORRO DA CRUZ - VERTICAL'!AN$6:AN$546,'BM MORRO DA CRUZ - VERTICAL'!$O$6:$O$546,'BM MORRO DA CRUZ'!$K267),0)</f>
        <v>0</v>
      </c>
      <c r="AK267" s="63">
        <f t="shared" si="240"/>
        <v>0</v>
      </c>
      <c r="AL267" s="61">
        <f>IFERROR(SUMIFS('BM MORRO DA CRUZ - VERTICAL'!AP$6:AP$546,'BM MORRO DA CRUZ - VERTICAL'!$O$6:$O$546,'BM MORRO DA CRUZ'!$K267),0)</f>
        <v>0</v>
      </c>
      <c r="AM267" s="63">
        <f t="shared" si="241"/>
        <v>0</v>
      </c>
      <c r="AN267" s="61">
        <f>IFERROR(SUMIFS('BM MORRO DA CRUZ - VERTICAL'!AR$6:AR$546,'BM MORRO DA CRUZ - VERTICAL'!$O$6:$O$546,'BM MORRO DA CRUZ'!$K267),0)</f>
        <v>0</v>
      </c>
      <c r="AO267" s="63">
        <f t="shared" si="242"/>
        <v>0</v>
      </c>
      <c r="AP267" s="61">
        <f>IFERROR(SUMIFS('BM MORRO DA CRUZ - VERTICAL'!AT$6:AT$546,'BM MORRO DA CRUZ - VERTICAL'!$O$6:$O$546,'BM MORRO DA CRUZ'!$K267),0)</f>
        <v>0</v>
      </c>
      <c r="AQ267" s="63">
        <f t="shared" si="243"/>
        <v>0</v>
      </c>
      <c r="AR267" s="61">
        <f>IFERROR(SUMIFS('BM MORRO DA CRUZ - VERTICAL'!AV$6:AV$546,'BM MORRO DA CRUZ - VERTICAL'!$O$6:$O$546,'BM MORRO DA CRUZ'!$K267),0)</f>
        <v>0</v>
      </c>
      <c r="AS267" s="63">
        <f t="shared" si="244"/>
        <v>0</v>
      </c>
      <c r="AT267" s="61">
        <f>IFERROR(SUMIFS('BM MORRO DA CRUZ - VERTICAL'!AX$6:AX$546,'BM MORRO DA CRUZ - VERTICAL'!$O$6:$O$546,'BM MORRO DA CRUZ'!$K267),0)</f>
        <v>0</v>
      </c>
      <c r="AU267" s="63">
        <f t="shared" si="245"/>
        <v>0</v>
      </c>
      <c r="AV267" s="61">
        <f>IFERROR(SUMIFS('BM MORRO DA CRUZ - VERTICAL'!AZ$6:AZ$546,'BM MORRO DA CRUZ - VERTICAL'!$O$6:$O$546,'BM MORRO DA CRUZ'!$K267),0)</f>
        <v>0</v>
      </c>
      <c r="AW267" s="63">
        <f t="shared" si="246"/>
        <v>0</v>
      </c>
      <c r="AX267" s="61">
        <f>IFERROR(SUMIFS('BM MORRO DA CRUZ - VERTICAL'!BB$6:BB$546,'BM MORRO DA CRUZ - VERTICAL'!$O$6:$O$546,'BM MORRO DA CRUZ'!$K267),0)</f>
        <v>0</v>
      </c>
      <c r="AY267" s="63">
        <f t="shared" si="247"/>
        <v>0</v>
      </c>
      <c r="AZ267" s="61">
        <f>IFERROR(SUMIFS('BM MORRO DA CRUZ - VERTICAL'!BD$6:BD$546,'BM MORRO DA CRUZ - VERTICAL'!$O$6:$O$546,'BM MORRO DA CRUZ'!$K267),0)</f>
        <v>0</v>
      </c>
      <c r="BA267" s="63">
        <f t="shared" si="248"/>
        <v>0</v>
      </c>
      <c r="BB267" s="61">
        <f t="shared" si="249"/>
        <v>0</v>
      </c>
      <c r="BC267" s="63">
        <f t="shared" si="250"/>
        <v>0</v>
      </c>
      <c r="BD267" s="64">
        <f t="shared" si="251"/>
        <v>0</v>
      </c>
      <c r="BE267" s="65">
        <f t="shared" si="252"/>
        <v>1</v>
      </c>
      <c r="BF267" s="45"/>
    </row>
    <row r="268" spans="1:58" ht="35.65" x14ac:dyDescent="0.45">
      <c r="A268" s="56" t="s">
        <v>1014</v>
      </c>
      <c r="B268" s="506" t="s">
        <v>1801</v>
      </c>
      <c r="C268" s="507" t="s">
        <v>39</v>
      </c>
      <c r="D268" s="507" t="s">
        <v>39</v>
      </c>
      <c r="E268" s="507" t="s">
        <v>78</v>
      </c>
      <c r="F268" s="507" t="s">
        <v>39</v>
      </c>
      <c r="G268" s="507" t="s">
        <v>39</v>
      </c>
      <c r="H268" s="508" t="s">
        <v>226</v>
      </c>
      <c r="I268" s="507" t="s">
        <v>79</v>
      </c>
      <c r="J268" s="508" t="s">
        <v>78</v>
      </c>
      <c r="K268" s="57" t="s">
        <v>1015</v>
      </c>
      <c r="L268" s="58" t="s">
        <v>846</v>
      </c>
      <c r="M268" s="59" t="s">
        <v>1016</v>
      </c>
      <c r="N268" s="60" t="s">
        <v>1010</v>
      </c>
      <c r="O268" s="61">
        <v>1539.79</v>
      </c>
      <c r="P268" s="62">
        <v>16.61</v>
      </c>
      <c r="Q268" s="63">
        <f t="shared" si="230"/>
        <v>25575.91</v>
      </c>
      <c r="R268" s="61">
        <f>IFERROR(SUMIFS('BM MORRO DA CRUZ - VERTICAL'!V$6:V$546,'BM MORRO DA CRUZ - VERTICAL'!$O$6:$O$546,'BM MORRO DA CRUZ'!$K268),0)</f>
        <v>0</v>
      </c>
      <c r="S268" s="63">
        <f t="shared" si="231"/>
        <v>0</v>
      </c>
      <c r="T268" s="61">
        <f>IFERROR(SUMIFS('BM MORRO DA CRUZ - VERTICAL'!X$6:X$546,'BM MORRO DA CRUZ - VERTICAL'!$O$6:$O$546,'BM MORRO DA CRUZ'!$K268),0)</f>
        <v>0</v>
      </c>
      <c r="U268" s="63">
        <f t="shared" si="232"/>
        <v>0</v>
      </c>
      <c r="V268" s="61">
        <f>IFERROR(SUMIFS('BM MORRO DA CRUZ - VERTICAL'!Z$6:Z$546,'BM MORRO DA CRUZ - VERTICAL'!$O$6:$O$546,'BM MORRO DA CRUZ'!$K268),0)</f>
        <v>0</v>
      </c>
      <c r="W268" s="63">
        <f t="shared" si="233"/>
        <v>0</v>
      </c>
      <c r="X268" s="61">
        <f>IFERROR(SUMIFS('BM MORRO DA CRUZ - VERTICAL'!AB$6:AB$546,'BM MORRO DA CRUZ - VERTICAL'!$O$6:$O$546,'BM MORRO DA CRUZ'!$K268),0)</f>
        <v>0</v>
      </c>
      <c r="Y268" s="63">
        <f t="shared" si="234"/>
        <v>0</v>
      </c>
      <c r="Z268" s="61">
        <f>IFERROR(SUMIFS('BM MORRO DA CRUZ - VERTICAL'!AD$6:AD$546,'BM MORRO DA CRUZ - VERTICAL'!$O$6:$O$546,'BM MORRO DA CRUZ'!$K268),0)</f>
        <v>0</v>
      </c>
      <c r="AA268" s="63">
        <f t="shared" si="235"/>
        <v>0</v>
      </c>
      <c r="AB268" s="61">
        <f>IFERROR(SUMIFS('BM MORRO DA CRUZ - VERTICAL'!AF$6:AF$546,'BM MORRO DA CRUZ - VERTICAL'!$O$6:$O$546,'BM MORRO DA CRUZ'!$K268),0)</f>
        <v>0</v>
      </c>
      <c r="AC268" s="63">
        <f t="shared" si="236"/>
        <v>0</v>
      </c>
      <c r="AD268" s="61">
        <f>IFERROR(SUMIFS('BM MORRO DA CRUZ - VERTICAL'!AH$6:AH$546,'BM MORRO DA CRUZ - VERTICAL'!$O$6:$O$546,'BM MORRO DA CRUZ'!$K268),0)</f>
        <v>0</v>
      </c>
      <c r="AE268" s="63">
        <f t="shared" si="237"/>
        <v>0</v>
      </c>
      <c r="AF268" s="61">
        <f>IFERROR(SUMIFS('BM MORRO DA CRUZ - VERTICAL'!AJ$6:AJ$546,'BM MORRO DA CRUZ - VERTICAL'!$O$6:$O$546,'BM MORRO DA CRUZ'!$K268),0)</f>
        <v>0</v>
      </c>
      <c r="AG268" s="63">
        <f t="shared" si="238"/>
        <v>0</v>
      </c>
      <c r="AH268" s="61">
        <f>IFERROR(SUMIFS('BM MORRO DA CRUZ - VERTICAL'!AL$6:AL$546,'BM MORRO DA CRUZ - VERTICAL'!$O$6:$O$546,'BM MORRO DA CRUZ'!$K268),0)</f>
        <v>0</v>
      </c>
      <c r="AI268" s="63">
        <f t="shared" si="239"/>
        <v>0</v>
      </c>
      <c r="AJ268" s="61">
        <f>IFERROR(SUMIFS('BM MORRO DA CRUZ - VERTICAL'!AN$6:AN$546,'BM MORRO DA CRUZ - VERTICAL'!$O$6:$O$546,'BM MORRO DA CRUZ'!$K268),0)</f>
        <v>0</v>
      </c>
      <c r="AK268" s="63">
        <f t="shared" si="240"/>
        <v>0</v>
      </c>
      <c r="AL268" s="61">
        <f>IFERROR(SUMIFS('BM MORRO DA CRUZ - VERTICAL'!AP$6:AP$546,'BM MORRO DA CRUZ - VERTICAL'!$O$6:$O$546,'BM MORRO DA CRUZ'!$K268),0)</f>
        <v>0</v>
      </c>
      <c r="AM268" s="63">
        <f t="shared" si="241"/>
        <v>0</v>
      </c>
      <c r="AN268" s="61">
        <f>IFERROR(SUMIFS('BM MORRO DA CRUZ - VERTICAL'!AR$6:AR$546,'BM MORRO DA CRUZ - VERTICAL'!$O$6:$O$546,'BM MORRO DA CRUZ'!$K268),0)</f>
        <v>0</v>
      </c>
      <c r="AO268" s="63">
        <f t="shared" si="242"/>
        <v>0</v>
      </c>
      <c r="AP268" s="61">
        <f>IFERROR(SUMIFS('BM MORRO DA CRUZ - VERTICAL'!AT$6:AT$546,'BM MORRO DA CRUZ - VERTICAL'!$O$6:$O$546,'BM MORRO DA CRUZ'!$K268),0)</f>
        <v>0</v>
      </c>
      <c r="AQ268" s="63">
        <f t="shared" si="243"/>
        <v>0</v>
      </c>
      <c r="AR268" s="61">
        <f>IFERROR(SUMIFS('BM MORRO DA CRUZ - VERTICAL'!AV$6:AV$546,'BM MORRO DA CRUZ - VERTICAL'!$O$6:$O$546,'BM MORRO DA CRUZ'!$K268),0)</f>
        <v>0</v>
      </c>
      <c r="AS268" s="63">
        <f t="shared" si="244"/>
        <v>0</v>
      </c>
      <c r="AT268" s="61">
        <f>IFERROR(SUMIFS('BM MORRO DA CRUZ - VERTICAL'!AX$6:AX$546,'BM MORRO DA CRUZ - VERTICAL'!$O$6:$O$546,'BM MORRO DA CRUZ'!$K268),0)</f>
        <v>0</v>
      </c>
      <c r="AU268" s="63">
        <f t="shared" si="245"/>
        <v>0</v>
      </c>
      <c r="AV268" s="61">
        <f>IFERROR(SUMIFS('BM MORRO DA CRUZ - VERTICAL'!AZ$6:AZ$546,'BM MORRO DA CRUZ - VERTICAL'!$O$6:$O$546,'BM MORRO DA CRUZ'!$K268),0)</f>
        <v>0</v>
      </c>
      <c r="AW268" s="63">
        <f t="shared" si="246"/>
        <v>0</v>
      </c>
      <c r="AX268" s="61">
        <f>IFERROR(SUMIFS('BM MORRO DA CRUZ - VERTICAL'!BB$6:BB$546,'BM MORRO DA CRUZ - VERTICAL'!$O$6:$O$546,'BM MORRO DA CRUZ'!$K268),0)</f>
        <v>0</v>
      </c>
      <c r="AY268" s="63">
        <f t="shared" si="247"/>
        <v>0</v>
      </c>
      <c r="AZ268" s="61">
        <f>IFERROR(SUMIFS('BM MORRO DA CRUZ - VERTICAL'!BD$6:BD$546,'BM MORRO DA CRUZ - VERTICAL'!$O$6:$O$546,'BM MORRO DA CRUZ'!$K268),0)</f>
        <v>0</v>
      </c>
      <c r="BA268" s="63">
        <f t="shared" si="248"/>
        <v>0</v>
      </c>
      <c r="BB268" s="61">
        <f t="shared" si="249"/>
        <v>0</v>
      </c>
      <c r="BC268" s="63">
        <f t="shared" si="250"/>
        <v>0</v>
      </c>
      <c r="BD268" s="64">
        <f t="shared" si="251"/>
        <v>0</v>
      </c>
      <c r="BE268" s="65">
        <f t="shared" si="252"/>
        <v>1</v>
      </c>
      <c r="BF268" s="45"/>
    </row>
    <row r="269" spans="1:58" ht="35.65" x14ac:dyDescent="0.45">
      <c r="A269" s="56" t="s">
        <v>1017</v>
      </c>
      <c r="B269" s="506" t="s">
        <v>1802</v>
      </c>
      <c r="C269" s="507" t="s">
        <v>39</v>
      </c>
      <c r="D269" s="507" t="s">
        <v>39</v>
      </c>
      <c r="E269" s="507" t="s">
        <v>78</v>
      </c>
      <c r="F269" s="507" t="s">
        <v>39</v>
      </c>
      <c r="G269" s="507" t="s">
        <v>39</v>
      </c>
      <c r="H269" s="508" t="s">
        <v>226</v>
      </c>
      <c r="I269" s="507" t="s">
        <v>79</v>
      </c>
      <c r="J269" s="508" t="s">
        <v>78</v>
      </c>
      <c r="K269" s="57" t="s">
        <v>1018</v>
      </c>
      <c r="L269" s="58" t="s">
        <v>846</v>
      </c>
      <c r="M269" s="59" t="s">
        <v>1019</v>
      </c>
      <c r="N269" s="60" t="s">
        <v>1010</v>
      </c>
      <c r="O269" s="61">
        <v>18192.060000000001</v>
      </c>
      <c r="P269" s="62">
        <v>15.01</v>
      </c>
      <c r="Q269" s="63">
        <f t="shared" si="230"/>
        <v>273062.82</v>
      </c>
      <c r="R269" s="61">
        <f>IFERROR(SUMIFS('BM MORRO DA CRUZ - VERTICAL'!V$6:V$546,'BM MORRO DA CRUZ - VERTICAL'!$O$6:$O$546,'BM MORRO DA CRUZ'!$K269),0)</f>
        <v>0</v>
      </c>
      <c r="S269" s="63">
        <f t="shared" si="231"/>
        <v>0</v>
      </c>
      <c r="T269" s="61">
        <f>IFERROR(SUMIFS('BM MORRO DA CRUZ - VERTICAL'!X$6:X$546,'BM MORRO DA CRUZ - VERTICAL'!$O$6:$O$546,'BM MORRO DA CRUZ'!$K269),0)</f>
        <v>0</v>
      </c>
      <c r="U269" s="63">
        <f t="shared" si="232"/>
        <v>0</v>
      </c>
      <c r="V269" s="61">
        <f>IFERROR(SUMIFS('BM MORRO DA CRUZ - VERTICAL'!Z$6:Z$546,'BM MORRO DA CRUZ - VERTICAL'!$O$6:$O$546,'BM MORRO DA CRUZ'!$K269),0)</f>
        <v>0</v>
      </c>
      <c r="W269" s="63">
        <f t="shared" si="233"/>
        <v>0</v>
      </c>
      <c r="X269" s="61">
        <f>IFERROR(SUMIFS('BM MORRO DA CRUZ - VERTICAL'!AB$6:AB$546,'BM MORRO DA CRUZ - VERTICAL'!$O$6:$O$546,'BM MORRO DA CRUZ'!$K269),0)</f>
        <v>0</v>
      </c>
      <c r="Y269" s="63">
        <f t="shared" si="234"/>
        <v>0</v>
      </c>
      <c r="Z269" s="61">
        <f>IFERROR(SUMIFS('BM MORRO DA CRUZ - VERTICAL'!AD$6:AD$546,'BM MORRO DA CRUZ - VERTICAL'!$O$6:$O$546,'BM MORRO DA CRUZ'!$K269),0)</f>
        <v>0</v>
      </c>
      <c r="AA269" s="63">
        <f t="shared" si="235"/>
        <v>0</v>
      </c>
      <c r="AB269" s="61">
        <f>IFERROR(SUMIFS('BM MORRO DA CRUZ - VERTICAL'!AF$6:AF$546,'BM MORRO DA CRUZ - VERTICAL'!$O$6:$O$546,'BM MORRO DA CRUZ'!$K269),0)</f>
        <v>0</v>
      </c>
      <c r="AC269" s="63">
        <f t="shared" si="236"/>
        <v>0</v>
      </c>
      <c r="AD269" s="61">
        <f>IFERROR(SUMIFS('BM MORRO DA CRUZ - VERTICAL'!AH$6:AH$546,'BM MORRO DA CRUZ - VERTICAL'!$O$6:$O$546,'BM MORRO DA CRUZ'!$K269),0)</f>
        <v>0</v>
      </c>
      <c r="AE269" s="63">
        <f t="shared" si="237"/>
        <v>0</v>
      </c>
      <c r="AF269" s="61">
        <f>IFERROR(SUMIFS('BM MORRO DA CRUZ - VERTICAL'!AJ$6:AJ$546,'BM MORRO DA CRUZ - VERTICAL'!$O$6:$O$546,'BM MORRO DA CRUZ'!$K269),0)</f>
        <v>0</v>
      </c>
      <c r="AG269" s="63">
        <f t="shared" si="238"/>
        <v>0</v>
      </c>
      <c r="AH269" s="61">
        <f>IFERROR(SUMIFS('BM MORRO DA CRUZ - VERTICAL'!AL$6:AL$546,'BM MORRO DA CRUZ - VERTICAL'!$O$6:$O$546,'BM MORRO DA CRUZ'!$K269),0)</f>
        <v>0</v>
      </c>
      <c r="AI269" s="63">
        <f t="shared" si="239"/>
        <v>0</v>
      </c>
      <c r="AJ269" s="61">
        <f>IFERROR(SUMIFS('BM MORRO DA CRUZ - VERTICAL'!AN$6:AN$546,'BM MORRO DA CRUZ - VERTICAL'!$O$6:$O$546,'BM MORRO DA CRUZ'!$K269),0)</f>
        <v>0</v>
      </c>
      <c r="AK269" s="63">
        <f t="shared" si="240"/>
        <v>0</v>
      </c>
      <c r="AL269" s="61">
        <f>IFERROR(SUMIFS('BM MORRO DA CRUZ - VERTICAL'!AP$6:AP$546,'BM MORRO DA CRUZ - VERTICAL'!$O$6:$O$546,'BM MORRO DA CRUZ'!$K269),0)</f>
        <v>0</v>
      </c>
      <c r="AM269" s="63">
        <f t="shared" si="241"/>
        <v>0</v>
      </c>
      <c r="AN269" s="61">
        <f>IFERROR(SUMIFS('BM MORRO DA CRUZ - VERTICAL'!AR$6:AR$546,'BM MORRO DA CRUZ - VERTICAL'!$O$6:$O$546,'BM MORRO DA CRUZ'!$K269),0)</f>
        <v>0</v>
      </c>
      <c r="AO269" s="63">
        <f t="shared" si="242"/>
        <v>0</v>
      </c>
      <c r="AP269" s="61">
        <f>IFERROR(SUMIFS('BM MORRO DA CRUZ - VERTICAL'!AT$6:AT$546,'BM MORRO DA CRUZ - VERTICAL'!$O$6:$O$546,'BM MORRO DA CRUZ'!$K269),0)</f>
        <v>0</v>
      </c>
      <c r="AQ269" s="63">
        <f t="shared" si="243"/>
        <v>0</v>
      </c>
      <c r="AR269" s="61">
        <f>IFERROR(SUMIFS('BM MORRO DA CRUZ - VERTICAL'!AV$6:AV$546,'BM MORRO DA CRUZ - VERTICAL'!$O$6:$O$546,'BM MORRO DA CRUZ'!$K269),0)</f>
        <v>0</v>
      </c>
      <c r="AS269" s="63">
        <f t="shared" si="244"/>
        <v>0</v>
      </c>
      <c r="AT269" s="61">
        <f>IFERROR(SUMIFS('BM MORRO DA CRUZ - VERTICAL'!AX$6:AX$546,'BM MORRO DA CRUZ - VERTICAL'!$O$6:$O$546,'BM MORRO DA CRUZ'!$K269),0)</f>
        <v>0</v>
      </c>
      <c r="AU269" s="63">
        <f t="shared" si="245"/>
        <v>0</v>
      </c>
      <c r="AV269" s="61">
        <f>IFERROR(SUMIFS('BM MORRO DA CRUZ - VERTICAL'!AZ$6:AZ$546,'BM MORRO DA CRUZ - VERTICAL'!$O$6:$O$546,'BM MORRO DA CRUZ'!$K269),0)</f>
        <v>0</v>
      </c>
      <c r="AW269" s="63">
        <f t="shared" si="246"/>
        <v>0</v>
      </c>
      <c r="AX269" s="61">
        <f>IFERROR(SUMIFS('BM MORRO DA CRUZ - VERTICAL'!BB$6:BB$546,'BM MORRO DA CRUZ - VERTICAL'!$O$6:$O$546,'BM MORRO DA CRUZ'!$K269),0)</f>
        <v>0</v>
      </c>
      <c r="AY269" s="63">
        <f t="shared" si="247"/>
        <v>0</v>
      </c>
      <c r="AZ269" s="61">
        <f>IFERROR(SUMIFS('BM MORRO DA CRUZ - VERTICAL'!BD$6:BD$546,'BM MORRO DA CRUZ - VERTICAL'!$O$6:$O$546,'BM MORRO DA CRUZ'!$K269),0)</f>
        <v>0</v>
      </c>
      <c r="BA269" s="63">
        <f t="shared" si="248"/>
        <v>0</v>
      </c>
      <c r="BB269" s="61">
        <f t="shared" si="249"/>
        <v>0</v>
      </c>
      <c r="BC269" s="63">
        <f t="shared" si="250"/>
        <v>0</v>
      </c>
      <c r="BD269" s="64">
        <f t="shared" si="251"/>
        <v>0</v>
      </c>
      <c r="BE269" s="65">
        <f t="shared" si="252"/>
        <v>1</v>
      </c>
      <c r="BF269" s="45"/>
    </row>
    <row r="270" spans="1:58" ht="35.65" x14ac:dyDescent="0.45">
      <c r="A270" s="56" t="s">
        <v>1020</v>
      </c>
      <c r="B270" s="506" t="s">
        <v>1803</v>
      </c>
      <c r="C270" s="507" t="s">
        <v>39</v>
      </c>
      <c r="D270" s="507" t="s">
        <v>39</v>
      </c>
      <c r="E270" s="507" t="s">
        <v>78</v>
      </c>
      <c r="F270" s="507" t="s">
        <v>39</v>
      </c>
      <c r="G270" s="507" t="s">
        <v>39</v>
      </c>
      <c r="H270" s="508" t="s">
        <v>226</v>
      </c>
      <c r="I270" s="507" t="s">
        <v>79</v>
      </c>
      <c r="J270" s="508" t="s">
        <v>78</v>
      </c>
      <c r="K270" s="57" t="s">
        <v>1021</v>
      </c>
      <c r="L270" s="58" t="s">
        <v>846</v>
      </c>
      <c r="M270" s="59" t="s">
        <v>1022</v>
      </c>
      <c r="N270" s="60" t="s">
        <v>1010</v>
      </c>
      <c r="O270" s="61">
        <v>34</v>
      </c>
      <c r="P270" s="62">
        <v>18.37</v>
      </c>
      <c r="Q270" s="63">
        <f t="shared" si="230"/>
        <v>624.58000000000004</v>
      </c>
      <c r="R270" s="61">
        <f>IFERROR(SUMIFS('BM MORRO DA CRUZ - VERTICAL'!V$6:V$546,'BM MORRO DA CRUZ - VERTICAL'!$O$6:$O$546,'BM MORRO DA CRUZ'!$K270),0)</f>
        <v>0</v>
      </c>
      <c r="S270" s="63">
        <f t="shared" si="231"/>
        <v>0</v>
      </c>
      <c r="T270" s="61">
        <f>IFERROR(SUMIFS('BM MORRO DA CRUZ - VERTICAL'!X$6:X$546,'BM MORRO DA CRUZ - VERTICAL'!$O$6:$O$546,'BM MORRO DA CRUZ'!$K270),0)</f>
        <v>0</v>
      </c>
      <c r="U270" s="63">
        <f t="shared" si="232"/>
        <v>0</v>
      </c>
      <c r="V270" s="61">
        <f>IFERROR(SUMIFS('BM MORRO DA CRUZ - VERTICAL'!Z$6:Z$546,'BM MORRO DA CRUZ - VERTICAL'!$O$6:$O$546,'BM MORRO DA CRUZ'!$K270),0)</f>
        <v>0</v>
      </c>
      <c r="W270" s="63">
        <f t="shared" si="233"/>
        <v>0</v>
      </c>
      <c r="X270" s="61">
        <f>IFERROR(SUMIFS('BM MORRO DA CRUZ - VERTICAL'!AB$6:AB$546,'BM MORRO DA CRUZ - VERTICAL'!$O$6:$O$546,'BM MORRO DA CRUZ'!$K270),0)</f>
        <v>0</v>
      </c>
      <c r="Y270" s="63">
        <f t="shared" si="234"/>
        <v>0</v>
      </c>
      <c r="Z270" s="61">
        <f>IFERROR(SUMIFS('BM MORRO DA CRUZ - VERTICAL'!AD$6:AD$546,'BM MORRO DA CRUZ - VERTICAL'!$O$6:$O$546,'BM MORRO DA CRUZ'!$K270),0)</f>
        <v>0</v>
      </c>
      <c r="AA270" s="63">
        <f t="shared" si="235"/>
        <v>0</v>
      </c>
      <c r="AB270" s="61">
        <f>IFERROR(SUMIFS('BM MORRO DA CRUZ - VERTICAL'!AF$6:AF$546,'BM MORRO DA CRUZ - VERTICAL'!$O$6:$O$546,'BM MORRO DA CRUZ'!$K270),0)</f>
        <v>0</v>
      </c>
      <c r="AC270" s="63">
        <f t="shared" si="236"/>
        <v>0</v>
      </c>
      <c r="AD270" s="61">
        <f>IFERROR(SUMIFS('BM MORRO DA CRUZ - VERTICAL'!AH$6:AH$546,'BM MORRO DA CRUZ - VERTICAL'!$O$6:$O$546,'BM MORRO DA CRUZ'!$K270),0)</f>
        <v>0</v>
      </c>
      <c r="AE270" s="63">
        <f t="shared" si="237"/>
        <v>0</v>
      </c>
      <c r="AF270" s="61">
        <f>IFERROR(SUMIFS('BM MORRO DA CRUZ - VERTICAL'!AJ$6:AJ$546,'BM MORRO DA CRUZ - VERTICAL'!$O$6:$O$546,'BM MORRO DA CRUZ'!$K270),0)</f>
        <v>0</v>
      </c>
      <c r="AG270" s="63">
        <f t="shared" si="238"/>
        <v>0</v>
      </c>
      <c r="AH270" s="61">
        <f>IFERROR(SUMIFS('BM MORRO DA CRUZ - VERTICAL'!AL$6:AL$546,'BM MORRO DA CRUZ - VERTICAL'!$O$6:$O$546,'BM MORRO DA CRUZ'!$K270),0)</f>
        <v>0</v>
      </c>
      <c r="AI270" s="63">
        <f t="shared" si="239"/>
        <v>0</v>
      </c>
      <c r="AJ270" s="61">
        <f>IFERROR(SUMIFS('BM MORRO DA CRUZ - VERTICAL'!AN$6:AN$546,'BM MORRO DA CRUZ - VERTICAL'!$O$6:$O$546,'BM MORRO DA CRUZ'!$K270),0)</f>
        <v>0</v>
      </c>
      <c r="AK270" s="63">
        <f t="shared" si="240"/>
        <v>0</v>
      </c>
      <c r="AL270" s="61">
        <f>IFERROR(SUMIFS('BM MORRO DA CRUZ - VERTICAL'!AP$6:AP$546,'BM MORRO DA CRUZ - VERTICAL'!$O$6:$O$546,'BM MORRO DA CRUZ'!$K270),0)</f>
        <v>0</v>
      </c>
      <c r="AM270" s="63">
        <f t="shared" si="241"/>
        <v>0</v>
      </c>
      <c r="AN270" s="61">
        <f>IFERROR(SUMIFS('BM MORRO DA CRUZ - VERTICAL'!AR$6:AR$546,'BM MORRO DA CRUZ - VERTICAL'!$O$6:$O$546,'BM MORRO DA CRUZ'!$K270),0)</f>
        <v>0</v>
      </c>
      <c r="AO270" s="63">
        <f t="shared" si="242"/>
        <v>0</v>
      </c>
      <c r="AP270" s="61">
        <f>IFERROR(SUMIFS('BM MORRO DA CRUZ - VERTICAL'!AT$6:AT$546,'BM MORRO DA CRUZ - VERTICAL'!$O$6:$O$546,'BM MORRO DA CRUZ'!$K270),0)</f>
        <v>0</v>
      </c>
      <c r="AQ270" s="63">
        <f t="shared" si="243"/>
        <v>0</v>
      </c>
      <c r="AR270" s="61">
        <f>IFERROR(SUMIFS('BM MORRO DA CRUZ - VERTICAL'!AV$6:AV$546,'BM MORRO DA CRUZ - VERTICAL'!$O$6:$O$546,'BM MORRO DA CRUZ'!$K270),0)</f>
        <v>0</v>
      </c>
      <c r="AS270" s="63">
        <f t="shared" si="244"/>
        <v>0</v>
      </c>
      <c r="AT270" s="61">
        <f>IFERROR(SUMIFS('BM MORRO DA CRUZ - VERTICAL'!AX$6:AX$546,'BM MORRO DA CRUZ - VERTICAL'!$O$6:$O$546,'BM MORRO DA CRUZ'!$K270),0)</f>
        <v>0</v>
      </c>
      <c r="AU270" s="63">
        <f t="shared" si="245"/>
        <v>0</v>
      </c>
      <c r="AV270" s="61">
        <f>IFERROR(SUMIFS('BM MORRO DA CRUZ - VERTICAL'!AZ$6:AZ$546,'BM MORRO DA CRUZ - VERTICAL'!$O$6:$O$546,'BM MORRO DA CRUZ'!$K270),0)</f>
        <v>0</v>
      </c>
      <c r="AW270" s="63">
        <f t="shared" si="246"/>
        <v>0</v>
      </c>
      <c r="AX270" s="61">
        <f>IFERROR(SUMIFS('BM MORRO DA CRUZ - VERTICAL'!BB$6:BB$546,'BM MORRO DA CRUZ - VERTICAL'!$O$6:$O$546,'BM MORRO DA CRUZ'!$K270),0)</f>
        <v>0</v>
      </c>
      <c r="AY270" s="63">
        <f t="shared" si="247"/>
        <v>0</v>
      </c>
      <c r="AZ270" s="61">
        <f>IFERROR(SUMIFS('BM MORRO DA CRUZ - VERTICAL'!BD$6:BD$546,'BM MORRO DA CRUZ - VERTICAL'!$O$6:$O$546,'BM MORRO DA CRUZ'!$K270),0)</f>
        <v>0</v>
      </c>
      <c r="BA270" s="63">
        <f t="shared" si="248"/>
        <v>0</v>
      </c>
      <c r="BB270" s="61">
        <f t="shared" si="249"/>
        <v>0</v>
      </c>
      <c r="BC270" s="63">
        <f t="shared" si="250"/>
        <v>0</v>
      </c>
      <c r="BD270" s="64">
        <f t="shared" si="251"/>
        <v>0</v>
      </c>
      <c r="BE270" s="65">
        <f t="shared" si="252"/>
        <v>1</v>
      </c>
      <c r="BF270" s="45"/>
    </row>
    <row r="271" spans="1:58" ht="26" customHeight="1" x14ac:dyDescent="0.45">
      <c r="A271" s="56" t="s">
        <v>1023</v>
      </c>
      <c r="B271" s="506" t="s">
        <v>1804</v>
      </c>
      <c r="C271" s="507" t="s">
        <v>39</v>
      </c>
      <c r="D271" s="507" t="s">
        <v>39</v>
      </c>
      <c r="E271" s="507" t="s">
        <v>1805</v>
      </c>
      <c r="F271" s="507" t="s">
        <v>39</v>
      </c>
      <c r="G271" s="507" t="s">
        <v>39</v>
      </c>
      <c r="H271" s="508" t="s">
        <v>39</v>
      </c>
      <c r="I271" s="507" t="s">
        <v>79</v>
      </c>
      <c r="J271" s="508" t="s">
        <v>1806</v>
      </c>
      <c r="K271" s="57" t="s">
        <v>1024</v>
      </c>
      <c r="L271" s="58" t="s">
        <v>846</v>
      </c>
      <c r="M271" s="59" t="s">
        <v>1025</v>
      </c>
      <c r="N271" s="60" t="s">
        <v>71</v>
      </c>
      <c r="O271" s="61">
        <v>6</v>
      </c>
      <c r="P271" s="62">
        <v>1064.92</v>
      </c>
      <c r="Q271" s="63">
        <f t="shared" si="230"/>
        <v>6389.52</v>
      </c>
      <c r="R271" s="61">
        <f>IFERROR(SUMIFS('BM MORRO DA CRUZ - VERTICAL'!V$6:V$546,'BM MORRO DA CRUZ - VERTICAL'!$O$6:$O$546,'BM MORRO DA CRUZ'!$K271),0)</f>
        <v>0</v>
      </c>
      <c r="S271" s="63">
        <f t="shared" si="231"/>
        <v>0</v>
      </c>
      <c r="T271" s="61">
        <f>IFERROR(SUMIFS('BM MORRO DA CRUZ - VERTICAL'!X$6:X$546,'BM MORRO DA CRUZ - VERTICAL'!$O$6:$O$546,'BM MORRO DA CRUZ'!$K271),0)</f>
        <v>0</v>
      </c>
      <c r="U271" s="63">
        <f t="shared" si="232"/>
        <v>0</v>
      </c>
      <c r="V271" s="61">
        <f>IFERROR(SUMIFS('BM MORRO DA CRUZ - VERTICAL'!Z$6:Z$546,'BM MORRO DA CRUZ - VERTICAL'!$O$6:$O$546,'BM MORRO DA CRUZ'!$K271),0)</f>
        <v>0</v>
      </c>
      <c r="W271" s="63">
        <f t="shared" si="233"/>
        <v>0</v>
      </c>
      <c r="X271" s="61">
        <f>IFERROR(SUMIFS('BM MORRO DA CRUZ - VERTICAL'!AB$6:AB$546,'BM MORRO DA CRUZ - VERTICAL'!$O$6:$O$546,'BM MORRO DA CRUZ'!$K271),0)</f>
        <v>0</v>
      </c>
      <c r="Y271" s="63">
        <f t="shared" si="234"/>
        <v>0</v>
      </c>
      <c r="Z271" s="61">
        <f>IFERROR(SUMIFS('BM MORRO DA CRUZ - VERTICAL'!AD$6:AD$546,'BM MORRO DA CRUZ - VERTICAL'!$O$6:$O$546,'BM MORRO DA CRUZ'!$K271),0)</f>
        <v>0</v>
      </c>
      <c r="AA271" s="63">
        <f t="shared" si="235"/>
        <v>0</v>
      </c>
      <c r="AB271" s="61">
        <f>IFERROR(SUMIFS('BM MORRO DA CRUZ - VERTICAL'!AF$6:AF$546,'BM MORRO DA CRUZ - VERTICAL'!$O$6:$O$546,'BM MORRO DA CRUZ'!$K271),0)</f>
        <v>0</v>
      </c>
      <c r="AC271" s="63">
        <f t="shared" si="236"/>
        <v>0</v>
      </c>
      <c r="AD271" s="61">
        <f>IFERROR(SUMIFS('BM MORRO DA CRUZ - VERTICAL'!AH$6:AH$546,'BM MORRO DA CRUZ - VERTICAL'!$O$6:$O$546,'BM MORRO DA CRUZ'!$K271),0)</f>
        <v>0</v>
      </c>
      <c r="AE271" s="63">
        <f t="shared" si="237"/>
        <v>0</v>
      </c>
      <c r="AF271" s="61">
        <f>IFERROR(SUMIFS('BM MORRO DA CRUZ - VERTICAL'!AJ$6:AJ$546,'BM MORRO DA CRUZ - VERTICAL'!$O$6:$O$546,'BM MORRO DA CRUZ'!$K271),0)</f>
        <v>0</v>
      </c>
      <c r="AG271" s="63">
        <f t="shared" si="238"/>
        <v>0</v>
      </c>
      <c r="AH271" s="61">
        <f>IFERROR(SUMIFS('BM MORRO DA CRUZ - VERTICAL'!AL$6:AL$546,'BM MORRO DA CRUZ - VERTICAL'!$O$6:$O$546,'BM MORRO DA CRUZ'!$K271),0)</f>
        <v>0</v>
      </c>
      <c r="AI271" s="63">
        <f t="shared" si="239"/>
        <v>0</v>
      </c>
      <c r="AJ271" s="61">
        <f>IFERROR(SUMIFS('BM MORRO DA CRUZ - VERTICAL'!AN$6:AN$546,'BM MORRO DA CRUZ - VERTICAL'!$O$6:$O$546,'BM MORRO DA CRUZ'!$K271),0)</f>
        <v>0</v>
      </c>
      <c r="AK271" s="63">
        <f t="shared" si="240"/>
        <v>0</v>
      </c>
      <c r="AL271" s="61">
        <f>IFERROR(SUMIFS('BM MORRO DA CRUZ - VERTICAL'!AP$6:AP$546,'BM MORRO DA CRUZ - VERTICAL'!$O$6:$O$546,'BM MORRO DA CRUZ'!$K271),0)</f>
        <v>0</v>
      </c>
      <c r="AM271" s="63">
        <f t="shared" si="241"/>
        <v>0</v>
      </c>
      <c r="AN271" s="61">
        <f>IFERROR(SUMIFS('BM MORRO DA CRUZ - VERTICAL'!AR$6:AR$546,'BM MORRO DA CRUZ - VERTICAL'!$O$6:$O$546,'BM MORRO DA CRUZ'!$K271),0)</f>
        <v>0</v>
      </c>
      <c r="AO271" s="63">
        <f t="shared" si="242"/>
        <v>0</v>
      </c>
      <c r="AP271" s="61">
        <f>IFERROR(SUMIFS('BM MORRO DA CRUZ - VERTICAL'!AT$6:AT$546,'BM MORRO DA CRUZ - VERTICAL'!$O$6:$O$546,'BM MORRO DA CRUZ'!$K271),0)</f>
        <v>0</v>
      </c>
      <c r="AQ271" s="63">
        <f t="shared" si="243"/>
        <v>0</v>
      </c>
      <c r="AR271" s="61">
        <f>IFERROR(SUMIFS('BM MORRO DA CRUZ - VERTICAL'!AV$6:AV$546,'BM MORRO DA CRUZ - VERTICAL'!$O$6:$O$546,'BM MORRO DA CRUZ'!$K271),0)</f>
        <v>0</v>
      </c>
      <c r="AS271" s="63">
        <f t="shared" si="244"/>
        <v>0</v>
      </c>
      <c r="AT271" s="61">
        <f>IFERROR(SUMIFS('BM MORRO DA CRUZ - VERTICAL'!AX$6:AX$546,'BM MORRO DA CRUZ - VERTICAL'!$O$6:$O$546,'BM MORRO DA CRUZ'!$K271),0)</f>
        <v>0</v>
      </c>
      <c r="AU271" s="63">
        <f t="shared" si="245"/>
        <v>0</v>
      </c>
      <c r="AV271" s="61">
        <f>IFERROR(SUMIFS('BM MORRO DA CRUZ - VERTICAL'!AZ$6:AZ$546,'BM MORRO DA CRUZ - VERTICAL'!$O$6:$O$546,'BM MORRO DA CRUZ'!$K271),0)</f>
        <v>0</v>
      </c>
      <c r="AW271" s="63">
        <f t="shared" si="246"/>
        <v>0</v>
      </c>
      <c r="AX271" s="61">
        <f>IFERROR(SUMIFS('BM MORRO DA CRUZ - VERTICAL'!BB$6:BB$546,'BM MORRO DA CRUZ - VERTICAL'!$O$6:$O$546,'BM MORRO DA CRUZ'!$K271),0)</f>
        <v>0</v>
      </c>
      <c r="AY271" s="63">
        <f t="shared" si="247"/>
        <v>0</v>
      </c>
      <c r="AZ271" s="61">
        <f>IFERROR(SUMIFS('BM MORRO DA CRUZ - VERTICAL'!BD$6:BD$546,'BM MORRO DA CRUZ - VERTICAL'!$O$6:$O$546,'BM MORRO DA CRUZ'!$K271),0)</f>
        <v>0</v>
      </c>
      <c r="BA271" s="63">
        <f t="shared" si="248"/>
        <v>0</v>
      </c>
      <c r="BB271" s="61">
        <f t="shared" si="249"/>
        <v>0</v>
      </c>
      <c r="BC271" s="63">
        <f t="shared" si="250"/>
        <v>0</v>
      </c>
      <c r="BD271" s="64">
        <f t="shared" si="251"/>
        <v>0</v>
      </c>
      <c r="BE271" s="65">
        <f t="shared" si="252"/>
        <v>1</v>
      </c>
      <c r="BF271" s="45"/>
    </row>
    <row r="272" spans="1:58" ht="26" customHeight="1" x14ac:dyDescent="0.45">
      <c r="A272" s="56" t="s">
        <v>1026</v>
      </c>
      <c r="B272" s="506" t="s">
        <v>1807</v>
      </c>
      <c r="C272" s="507" t="s">
        <v>39</v>
      </c>
      <c r="D272" s="507" t="s">
        <v>39</v>
      </c>
      <c r="E272" s="507" t="s">
        <v>126</v>
      </c>
      <c r="F272" s="507" t="s">
        <v>39</v>
      </c>
      <c r="G272" s="507" t="s">
        <v>39</v>
      </c>
      <c r="H272" s="508" t="s">
        <v>125</v>
      </c>
      <c r="I272" s="507" t="s">
        <v>79</v>
      </c>
      <c r="J272" s="508" t="s">
        <v>126</v>
      </c>
      <c r="K272" s="57" t="s">
        <v>1027</v>
      </c>
      <c r="L272" s="58" t="s">
        <v>846</v>
      </c>
      <c r="M272" s="59" t="s">
        <v>1028</v>
      </c>
      <c r="N272" s="60" t="s">
        <v>71</v>
      </c>
      <c r="O272" s="61">
        <v>28</v>
      </c>
      <c r="P272" s="62">
        <v>115.9</v>
      </c>
      <c r="Q272" s="63">
        <f t="shared" si="230"/>
        <v>3245.2</v>
      </c>
      <c r="R272" s="61">
        <f>IFERROR(SUMIFS('BM MORRO DA CRUZ - VERTICAL'!V$6:V$546,'BM MORRO DA CRUZ - VERTICAL'!$O$6:$O$546,'BM MORRO DA CRUZ'!$K272),0)</f>
        <v>0</v>
      </c>
      <c r="S272" s="63">
        <f t="shared" si="231"/>
        <v>0</v>
      </c>
      <c r="T272" s="61">
        <f>IFERROR(SUMIFS('BM MORRO DA CRUZ - VERTICAL'!X$6:X$546,'BM MORRO DA CRUZ - VERTICAL'!$O$6:$O$546,'BM MORRO DA CRUZ'!$K272),0)</f>
        <v>0</v>
      </c>
      <c r="U272" s="63">
        <f t="shared" si="232"/>
        <v>0</v>
      </c>
      <c r="V272" s="61">
        <f>IFERROR(SUMIFS('BM MORRO DA CRUZ - VERTICAL'!Z$6:Z$546,'BM MORRO DA CRUZ - VERTICAL'!$O$6:$O$546,'BM MORRO DA CRUZ'!$K272),0)</f>
        <v>0</v>
      </c>
      <c r="W272" s="63">
        <f t="shared" si="233"/>
        <v>0</v>
      </c>
      <c r="X272" s="61">
        <f>IFERROR(SUMIFS('BM MORRO DA CRUZ - VERTICAL'!AB$6:AB$546,'BM MORRO DA CRUZ - VERTICAL'!$O$6:$O$546,'BM MORRO DA CRUZ'!$K272),0)</f>
        <v>0</v>
      </c>
      <c r="Y272" s="63">
        <f t="shared" si="234"/>
        <v>0</v>
      </c>
      <c r="Z272" s="61">
        <f>IFERROR(SUMIFS('BM MORRO DA CRUZ - VERTICAL'!AD$6:AD$546,'BM MORRO DA CRUZ - VERTICAL'!$O$6:$O$546,'BM MORRO DA CRUZ'!$K272),0)</f>
        <v>0</v>
      </c>
      <c r="AA272" s="63">
        <f t="shared" si="235"/>
        <v>0</v>
      </c>
      <c r="AB272" s="61">
        <f>IFERROR(SUMIFS('BM MORRO DA CRUZ - VERTICAL'!AF$6:AF$546,'BM MORRO DA CRUZ - VERTICAL'!$O$6:$O$546,'BM MORRO DA CRUZ'!$K272),0)</f>
        <v>0</v>
      </c>
      <c r="AC272" s="63">
        <f t="shared" si="236"/>
        <v>0</v>
      </c>
      <c r="AD272" s="61">
        <f>IFERROR(SUMIFS('BM MORRO DA CRUZ - VERTICAL'!AH$6:AH$546,'BM MORRO DA CRUZ - VERTICAL'!$O$6:$O$546,'BM MORRO DA CRUZ'!$K272),0)</f>
        <v>0</v>
      </c>
      <c r="AE272" s="63">
        <f t="shared" si="237"/>
        <v>0</v>
      </c>
      <c r="AF272" s="61">
        <f>IFERROR(SUMIFS('BM MORRO DA CRUZ - VERTICAL'!AJ$6:AJ$546,'BM MORRO DA CRUZ - VERTICAL'!$O$6:$O$546,'BM MORRO DA CRUZ'!$K272),0)</f>
        <v>0</v>
      </c>
      <c r="AG272" s="63">
        <f t="shared" si="238"/>
        <v>0</v>
      </c>
      <c r="AH272" s="61">
        <f>IFERROR(SUMIFS('BM MORRO DA CRUZ - VERTICAL'!AL$6:AL$546,'BM MORRO DA CRUZ - VERTICAL'!$O$6:$O$546,'BM MORRO DA CRUZ'!$K272),0)</f>
        <v>0</v>
      </c>
      <c r="AI272" s="63">
        <f t="shared" si="239"/>
        <v>0</v>
      </c>
      <c r="AJ272" s="61">
        <f>IFERROR(SUMIFS('BM MORRO DA CRUZ - VERTICAL'!AN$6:AN$546,'BM MORRO DA CRUZ - VERTICAL'!$O$6:$O$546,'BM MORRO DA CRUZ'!$K272),0)</f>
        <v>0</v>
      </c>
      <c r="AK272" s="63">
        <f t="shared" si="240"/>
        <v>0</v>
      </c>
      <c r="AL272" s="61">
        <f>IFERROR(SUMIFS('BM MORRO DA CRUZ - VERTICAL'!AP$6:AP$546,'BM MORRO DA CRUZ - VERTICAL'!$O$6:$O$546,'BM MORRO DA CRUZ'!$K272),0)</f>
        <v>0</v>
      </c>
      <c r="AM272" s="63">
        <f t="shared" si="241"/>
        <v>0</v>
      </c>
      <c r="AN272" s="61">
        <f>IFERROR(SUMIFS('BM MORRO DA CRUZ - VERTICAL'!AR$6:AR$546,'BM MORRO DA CRUZ - VERTICAL'!$O$6:$O$546,'BM MORRO DA CRUZ'!$K272),0)</f>
        <v>0</v>
      </c>
      <c r="AO272" s="63">
        <f t="shared" si="242"/>
        <v>0</v>
      </c>
      <c r="AP272" s="61">
        <f>IFERROR(SUMIFS('BM MORRO DA CRUZ - VERTICAL'!AT$6:AT$546,'BM MORRO DA CRUZ - VERTICAL'!$O$6:$O$546,'BM MORRO DA CRUZ'!$K272),0)</f>
        <v>0</v>
      </c>
      <c r="AQ272" s="63">
        <f t="shared" si="243"/>
        <v>0</v>
      </c>
      <c r="AR272" s="61">
        <f>IFERROR(SUMIFS('BM MORRO DA CRUZ - VERTICAL'!AV$6:AV$546,'BM MORRO DA CRUZ - VERTICAL'!$O$6:$O$546,'BM MORRO DA CRUZ'!$K272),0)</f>
        <v>0</v>
      </c>
      <c r="AS272" s="63">
        <f t="shared" si="244"/>
        <v>0</v>
      </c>
      <c r="AT272" s="61">
        <f>IFERROR(SUMIFS('BM MORRO DA CRUZ - VERTICAL'!AX$6:AX$546,'BM MORRO DA CRUZ - VERTICAL'!$O$6:$O$546,'BM MORRO DA CRUZ'!$K272),0)</f>
        <v>0</v>
      </c>
      <c r="AU272" s="63">
        <f t="shared" si="245"/>
        <v>0</v>
      </c>
      <c r="AV272" s="61">
        <f>IFERROR(SUMIFS('BM MORRO DA CRUZ - VERTICAL'!AZ$6:AZ$546,'BM MORRO DA CRUZ - VERTICAL'!$O$6:$O$546,'BM MORRO DA CRUZ'!$K272),0)</f>
        <v>0</v>
      </c>
      <c r="AW272" s="63">
        <f t="shared" si="246"/>
        <v>0</v>
      </c>
      <c r="AX272" s="61">
        <f>IFERROR(SUMIFS('BM MORRO DA CRUZ - VERTICAL'!BB$6:BB$546,'BM MORRO DA CRUZ - VERTICAL'!$O$6:$O$546,'BM MORRO DA CRUZ'!$K272),0)</f>
        <v>0</v>
      </c>
      <c r="AY272" s="63">
        <f t="shared" si="247"/>
        <v>0</v>
      </c>
      <c r="AZ272" s="61">
        <f>IFERROR(SUMIFS('BM MORRO DA CRUZ - VERTICAL'!BD$6:BD$546,'BM MORRO DA CRUZ - VERTICAL'!$O$6:$O$546,'BM MORRO DA CRUZ'!$K272),0)</f>
        <v>0</v>
      </c>
      <c r="BA272" s="63">
        <f t="shared" si="248"/>
        <v>0</v>
      </c>
      <c r="BB272" s="61">
        <f t="shared" si="249"/>
        <v>0</v>
      </c>
      <c r="BC272" s="63">
        <f t="shared" si="250"/>
        <v>0</v>
      </c>
      <c r="BD272" s="64">
        <f t="shared" si="251"/>
        <v>0</v>
      </c>
      <c r="BE272" s="65">
        <f t="shared" si="252"/>
        <v>1</v>
      </c>
      <c r="BF272" s="45"/>
    </row>
    <row r="273" spans="1:58" ht="26" customHeight="1" x14ac:dyDescent="0.45">
      <c r="A273" s="56" t="s">
        <v>1029</v>
      </c>
      <c r="B273" s="506" t="s">
        <v>1808</v>
      </c>
      <c r="C273" s="507" t="s">
        <v>39</v>
      </c>
      <c r="D273" s="507" t="s">
        <v>39</v>
      </c>
      <c r="E273" s="507" t="s">
        <v>126</v>
      </c>
      <c r="F273" s="507" t="s">
        <v>39</v>
      </c>
      <c r="G273" s="507" t="s">
        <v>39</v>
      </c>
      <c r="H273" s="508" t="s">
        <v>125</v>
      </c>
      <c r="I273" s="507" t="s">
        <v>1736</v>
      </c>
      <c r="J273" s="508" t="s">
        <v>126</v>
      </c>
      <c r="K273" s="57" t="s">
        <v>1030</v>
      </c>
      <c r="L273" s="58" t="s">
        <v>846</v>
      </c>
      <c r="M273" s="59" t="s">
        <v>1031</v>
      </c>
      <c r="N273" s="60" t="s">
        <v>71</v>
      </c>
      <c r="O273" s="61">
        <v>45</v>
      </c>
      <c r="P273" s="62">
        <v>73.13</v>
      </c>
      <c r="Q273" s="63">
        <f t="shared" si="230"/>
        <v>3290.85</v>
      </c>
      <c r="R273" s="61">
        <f>IFERROR(SUMIFS('BM MORRO DA CRUZ - VERTICAL'!V$6:V$546,'BM MORRO DA CRUZ - VERTICAL'!$O$6:$O$546,'BM MORRO DA CRUZ'!$K273),0)</f>
        <v>0</v>
      </c>
      <c r="S273" s="63">
        <f t="shared" si="231"/>
        <v>0</v>
      </c>
      <c r="T273" s="61">
        <f>IFERROR(SUMIFS('BM MORRO DA CRUZ - VERTICAL'!X$6:X$546,'BM MORRO DA CRUZ - VERTICAL'!$O$6:$O$546,'BM MORRO DA CRUZ'!$K273),0)</f>
        <v>0</v>
      </c>
      <c r="U273" s="63">
        <f t="shared" si="232"/>
        <v>0</v>
      </c>
      <c r="V273" s="61">
        <f>IFERROR(SUMIFS('BM MORRO DA CRUZ - VERTICAL'!Z$6:Z$546,'BM MORRO DA CRUZ - VERTICAL'!$O$6:$O$546,'BM MORRO DA CRUZ'!$K273),0)</f>
        <v>0</v>
      </c>
      <c r="W273" s="63">
        <f t="shared" si="233"/>
        <v>0</v>
      </c>
      <c r="X273" s="61">
        <f>IFERROR(SUMIFS('BM MORRO DA CRUZ - VERTICAL'!AB$6:AB$546,'BM MORRO DA CRUZ - VERTICAL'!$O$6:$O$546,'BM MORRO DA CRUZ'!$K273),0)</f>
        <v>0</v>
      </c>
      <c r="Y273" s="63">
        <f t="shared" si="234"/>
        <v>0</v>
      </c>
      <c r="Z273" s="61">
        <f>IFERROR(SUMIFS('BM MORRO DA CRUZ - VERTICAL'!AD$6:AD$546,'BM MORRO DA CRUZ - VERTICAL'!$O$6:$O$546,'BM MORRO DA CRUZ'!$K273),0)</f>
        <v>0</v>
      </c>
      <c r="AA273" s="63">
        <f t="shared" si="235"/>
        <v>0</v>
      </c>
      <c r="AB273" s="61">
        <f>IFERROR(SUMIFS('BM MORRO DA CRUZ - VERTICAL'!AF$6:AF$546,'BM MORRO DA CRUZ - VERTICAL'!$O$6:$O$546,'BM MORRO DA CRUZ'!$K273),0)</f>
        <v>0</v>
      </c>
      <c r="AC273" s="63">
        <f t="shared" si="236"/>
        <v>0</v>
      </c>
      <c r="AD273" s="61">
        <f>IFERROR(SUMIFS('BM MORRO DA CRUZ - VERTICAL'!AH$6:AH$546,'BM MORRO DA CRUZ - VERTICAL'!$O$6:$O$546,'BM MORRO DA CRUZ'!$K273),0)</f>
        <v>0</v>
      </c>
      <c r="AE273" s="63">
        <f t="shared" si="237"/>
        <v>0</v>
      </c>
      <c r="AF273" s="61">
        <f>IFERROR(SUMIFS('BM MORRO DA CRUZ - VERTICAL'!AJ$6:AJ$546,'BM MORRO DA CRUZ - VERTICAL'!$O$6:$O$546,'BM MORRO DA CRUZ'!$K273),0)</f>
        <v>0</v>
      </c>
      <c r="AG273" s="63">
        <f t="shared" si="238"/>
        <v>0</v>
      </c>
      <c r="AH273" s="61">
        <f>IFERROR(SUMIFS('BM MORRO DA CRUZ - VERTICAL'!AL$6:AL$546,'BM MORRO DA CRUZ - VERTICAL'!$O$6:$O$546,'BM MORRO DA CRUZ'!$K273),0)</f>
        <v>0</v>
      </c>
      <c r="AI273" s="63">
        <f t="shared" si="239"/>
        <v>0</v>
      </c>
      <c r="AJ273" s="61">
        <f>IFERROR(SUMIFS('BM MORRO DA CRUZ - VERTICAL'!AN$6:AN$546,'BM MORRO DA CRUZ - VERTICAL'!$O$6:$O$546,'BM MORRO DA CRUZ'!$K273),0)</f>
        <v>0</v>
      </c>
      <c r="AK273" s="63">
        <f t="shared" si="240"/>
        <v>0</v>
      </c>
      <c r="AL273" s="61">
        <f>IFERROR(SUMIFS('BM MORRO DA CRUZ - VERTICAL'!AP$6:AP$546,'BM MORRO DA CRUZ - VERTICAL'!$O$6:$O$546,'BM MORRO DA CRUZ'!$K273),0)</f>
        <v>0</v>
      </c>
      <c r="AM273" s="63">
        <f t="shared" si="241"/>
        <v>0</v>
      </c>
      <c r="AN273" s="61">
        <f>IFERROR(SUMIFS('BM MORRO DA CRUZ - VERTICAL'!AR$6:AR$546,'BM MORRO DA CRUZ - VERTICAL'!$O$6:$O$546,'BM MORRO DA CRUZ'!$K273),0)</f>
        <v>0</v>
      </c>
      <c r="AO273" s="63">
        <f t="shared" si="242"/>
        <v>0</v>
      </c>
      <c r="AP273" s="61">
        <f>IFERROR(SUMIFS('BM MORRO DA CRUZ - VERTICAL'!AT$6:AT$546,'BM MORRO DA CRUZ - VERTICAL'!$O$6:$O$546,'BM MORRO DA CRUZ'!$K273),0)</f>
        <v>0</v>
      </c>
      <c r="AQ273" s="63">
        <f t="shared" si="243"/>
        <v>0</v>
      </c>
      <c r="AR273" s="61">
        <f>IFERROR(SUMIFS('BM MORRO DA CRUZ - VERTICAL'!AV$6:AV$546,'BM MORRO DA CRUZ - VERTICAL'!$O$6:$O$546,'BM MORRO DA CRUZ'!$K273),0)</f>
        <v>0</v>
      </c>
      <c r="AS273" s="63">
        <f t="shared" si="244"/>
        <v>0</v>
      </c>
      <c r="AT273" s="61">
        <f>IFERROR(SUMIFS('BM MORRO DA CRUZ - VERTICAL'!AX$6:AX$546,'BM MORRO DA CRUZ - VERTICAL'!$O$6:$O$546,'BM MORRO DA CRUZ'!$K273),0)</f>
        <v>0</v>
      </c>
      <c r="AU273" s="63">
        <f t="shared" si="245"/>
        <v>0</v>
      </c>
      <c r="AV273" s="61">
        <f>IFERROR(SUMIFS('BM MORRO DA CRUZ - VERTICAL'!AZ$6:AZ$546,'BM MORRO DA CRUZ - VERTICAL'!$O$6:$O$546,'BM MORRO DA CRUZ'!$K273),0)</f>
        <v>0</v>
      </c>
      <c r="AW273" s="63">
        <f t="shared" si="246"/>
        <v>0</v>
      </c>
      <c r="AX273" s="61">
        <f>IFERROR(SUMIFS('BM MORRO DA CRUZ - VERTICAL'!BB$6:BB$546,'BM MORRO DA CRUZ - VERTICAL'!$O$6:$O$546,'BM MORRO DA CRUZ'!$K273),0)</f>
        <v>0</v>
      </c>
      <c r="AY273" s="63">
        <f t="shared" si="247"/>
        <v>0</v>
      </c>
      <c r="AZ273" s="61">
        <f>IFERROR(SUMIFS('BM MORRO DA CRUZ - VERTICAL'!BD$6:BD$546,'BM MORRO DA CRUZ - VERTICAL'!$O$6:$O$546,'BM MORRO DA CRUZ'!$K273),0)</f>
        <v>0</v>
      </c>
      <c r="BA273" s="63">
        <f t="shared" si="248"/>
        <v>0</v>
      </c>
      <c r="BB273" s="61">
        <f t="shared" si="249"/>
        <v>0</v>
      </c>
      <c r="BC273" s="63">
        <f t="shared" si="250"/>
        <v>0</v>
      </c>
      <c r="BD273" s="64">
        <f t="shared" si="251"/>
        <v>0</v>
      </c>
      <c r="BE273" s="65">
        <f t="shared" si="252"/>
        <v>1</v>
      </c>
      <c r="BF273" s="45"/>
    </row>
    <row r="274" spans="1:58" ht="35.65" x14ac:dyDescent="0.45">
      <c r="A274" s="56" t="s">
        <v>1032</v>
      </c>
      <c r="B274" s="506" t="s">
        <v>1809</v>
      </c>
      <c r="C274" s="507" t="s">
        <v>39</v>
      </c>
      <c r="D274" s="507" t="s">
        <v>39</v>
      </c>
      <c r="E274" s="507" t="s">
        <v>78</v>
      </c>
      <c r="F274" s="507" t="s">
        <v>39</v>
      </c>
      <c r="G274" s="507" t="s">
        <v>39</v>
      </c>
      <c r="H274" s="508" t="s">
        <v>78</v>
      </c>
      <c r="I274" s="507" t="s">
        <v>40</v>
      </c>
      <c r="J274" s="508" t="s">
        <v>78</v>
      </c>
      <c r="K274" s="57" t="s">
        <v>1033</v>
      </c>
      <c r="L274" s="58" t="s">
        <v>846</v>
      </c>
      <c r="M274" s="59" t="s">
        <v>1034</v>
      </c>
      <c r="N274" s="60" t="s">
        <v>792</v>
      </c>
      <c r="O274" s="61">
        <v>640</v>
      </c>
      <c r="P274" s="62">
        <v>223.43</v>
      </c>
      <c r="Q274" s="63">
        <f t="shared" si="230"/>
        <v>142995.20000000001</v>
      </c>
      <c r="R274" s="61">
        <f>IFERROR(SUMIFS('BM MORRO DA CRUZ - VERTICAL'!V$6:V$546,'BM MORRO DA CRUZ - VERTICAL'!$O$6:$O$546,'BM MORRO DA CRUZ'!$K274),0)</f>
        <v>0</v>
      </c>
      <c r="S274" s="63">
        <f t="shared" si="231"/>
        <v>0</v>
      </c>
      <c r="T274" s="61">
        <f>IFERROR(SUMIFS('BM MORRO DA CRUZ - VERTICAL'!X$6:X$546,'BM MORRO DA CRUZ - VERTICAL'!$O$6:$O$546,'BM MORRO DA CRUZ'!$K274),0)</f>
        <v>0</v>
      </c>
      <c r="U274" s="63">
        <f t="shared" si="232"/>
        <v>0</v>
      </c>
      <c r="V274" s="61">
        <f>IFERROR(SUMIFS('BM MORRO DA CRUZ - VERTICAL'!Z$6:Z$546,'BM MORRO DA CRUZ - VERTICAL'!$O$6:$O$546,'BM MORRO DA CRUZ'!$K274),0)</f>
        <v>0</v>
      </c>
      <c r="W274" s="63">
        <f t="shared" si="233"/>
        <v>0</v>
      </c>
      <c r="X274" s="61">
        <f>IFERROR(SUMIFS('BM MORRO DA CRUZ - VERTICAL'!AB$6:AB$546,'BM MORRO DA CRUZ - VERTICAL'!$O$6:$O$546,'BM MORRO DA CRUZ'!$K274),0)</f>
        <v>0</v>
      </c>
      <c r="Y274" s="63">
        <f t="shared" si="234"/>
        <v>0</v>
      </c>
      <c r="Z274" s="61">
        <f>IFERROR(SUMIFS('BM MORRO DA CRUZ - VERTICAL'!AD$6:AD$546,'BM MORRO DA CRUZ - VERTICAL'!$O$6:$O$546,'BM MORRO DA CRUZ'!$K274),0)</f>
        <v>0</v>
      </c>
      <c r="AA274" s="63">
        <f t="shared" si="235"/>
        <v>0</v>
      </c>
      <c r="AB274" s="61">
        <f>IFERROR(SUMIFS('BM MORRO DA CRUZ - VERTICAL'!AF$6:AF$546,'BM MORRO DA CRUZ - VERTICAL'!$O$6:$O$546,'BM MORRO DA CRUZ'!$K274),0)</f>
        <v>0</v>
      </c>
      <c r="AC274" s="63">
        <f t="shared" si="236"/>
        <v>0</v>
      </c>
      <c r="AD274" s="61">
        <f>IFERROR(SUMIFS('BM MORRO DA CRUZ - VERTICAL'!AH$6:AH$546,'BM MORRO DA CRUZ - VERTICAL'!$O$6:$O$546,'BM MORRO DA CRUZ'!$K274),0)</f>
        <v>0</v>
      </c>
      <c r="AE274" s="63">
        <f t="shared" si="237"/>
        <v>0</v>
      </c>
      <c r="AF274" s="61">
        <f>IFERROR(SUMIFS('BM MORRO DA CRUZ - VERTICAL'!AJ$6:AJ$546,'BM MORRO DA CRUZ - VERTICAL'!$O$6:$O$546,'BM MORRO DA CRUZ'!$K274),0)</f>
        <v>0</v>
      </c>
      <c r="AG274" s="63">
        <f t="shared" si="238"/>
        <v>0</v>
      </c>
      <c r="AH274" s="61">
        <f>IFERROR(SUMIFS('BM MORRO DA CRUZ - VERTICAL'!AL$6:AL$546,'BM MORRO DA CRUZ - VERTICAL'!$O$6:$O$546,'BM MORRO DA CRUZ'!$K274),0)</f>
        <v>0</v>
      </c>
      <c r="AI274" s="63">
        <f t="shared" si="239"/>
        <v>0</v>
      </c>
      <c r="AJ274" s="61">
        <f>IFERROR(SUMIFS('BM MORRO DA CRUZ - VERTICAL'!AN$6:AN$546,'BM MORRO DA CRUZ - VERTICAL'!$O$6:$O$546,'BM MORRO DA CRUZ'!$K274),0)</f>
        <v>0</v>
      </c>
      <c r="AK274" s="63">
        <f t="shared" si="240"/>
        <v>0</v>
      </c>
      <c r="AL274" s="61">
        <f>IFERROR(SUMIFS('BM MORRO DA CRUZ - VERTICAL'!AP$6:AP$546,'BM MORRO DA CRUZ - VERTICAL'!$O$6:$O$546,'BM MORRO DA CRUZ'!$K274),0)</f>
        <v>0</v>
      </c>
      <c r="AM274" s="63">
        <f t="shared" si="241"/>
        <v>0</v>
      </c>
      <c r="AN274" s="61">
        <f>IFERROR(SUMIFS('BM MORRO DA CRUZ - VERTICAL'!AR$6:AR$546,'BM MORRO DA CRUZ - VERTICAL'!$O$6:$O$546,'BM MORRO DA CRUZ'!$K274),0)</f>
        <v>0</v>
      </c>
      <c r="AO274" s="63">
        <f t="shared" si="242"/>
        <v>0</v>
      </c>
      <c r="AP274" s="61">
        <f>IFERROR(SUMIFS('BM MORRO DA CRUZ - VERTICAL'!AT$6:AT$546,'BM MORRO DA CRUZ - VERTICAL'!$O$6:$O$546,'BM MORRO DA CRUZ'!$K274),0)</f>
        <v>0</v>
      </c>
      <c r="AQ274" s="63">
        <f t="shared" si="243"/>
        <v>0</v>
      </c>
      <c r="AR274" s="61">
        <f>IFERROR(SUMIFS('BM MORRO DA CRUZ - VERTICAL'!AV$6:AV$546,'BM MORRO DA CRUZ - VERTICAL'!$O$6:$O$546,'BM MORRO DA CRUZ'!$K274),0)</f>
        <v>0</v>
      </c>
      <c r="AS274" s="63">
        <f t="shared" si="244"/>
        <v>0</v>
      </c>
      <c r="AT274" s="61">
        <f>IFERROR(SUMIFS('BM MORRO DA CRUZ - VERTICAL'!AX$6:AX$546,'BM MORRO DA CRUZ - VERTICAL'!$O$6:$O$546,'BM MORRO DA CRUZ'!$K274),0)</f>
        <v>0</v>
      </c>
      <c r="AU274" s="63">
        <f t="shared" si="245"/>
        <v>0</v>
      </c>
      <c r="AV274" s="61">
        <f>IFERROR(SUMIFS('BM MORRO DA CRUZ - VERTICAL'!AZ$6:AZ$546,'BM MORRO DA CRUZ - VERTICAL'!$O$6:$O$546,'BM MORRO DA CRUZ'!$K274),0)</f>
        <v>0</v>
      </c>
      <c r="AW274" s="63">
        <f t="shared" si="246"/>
        <v>0</v>
      </c>
      <c r="AX274" s="61">
        <f>IFERROR(SUMIFS('BM MORRO DA CRUZ - VERTICAL'!BB$6:BB$546,'BM MORRO DA CRUZ - VERTICAL'!$O$6:$O$546,'BM MORRO DA CRUZ'!$K274),0)</f>
        <v>0</v>
      </c>
      <c r="AY274" s="63">
        <f t="shared" si="247"/>
        <v>0</v>
      </c>
      <c r="AZ274" s="61">
        <f>IFERROR(SUMIFS('BM MORRO DA CRUZ - VERTICAL'!BD$6:BD$546,'BM MORRO DA CRUZ - VERTICAL'!$O$6:$O$546,'BM MORRO DA CRUZ'!$K274),0)</f>
        <v>0</v>
      </c>
      <c r="BA274" s="63">
        <f t="shared" si="248"/>
        <v>0</v>
      </c>
      <c r="BB274" s="61">
        <f t="shared" si="249"/>
        <v>0</v>
      </c>
      <c r="BC274" s="63">
        <f t="shared" si="250"/>
        <v>0</v>
      </c>
      <c r="BD274" s="64">
        <f t="shared" si="251"/>
        <v>0</v>
      </c>
      <c r="BE274" s="65">
        <f t="shared" si="252"/>
        <v>1</v>
      </c>
      <c r="BF274" s="45"/>
    </row>
    <row r="275" spans="1:58" ht="35.65" x14ac:dyDescent="0.45">
      <c r="A275" s="56" t="s">
        <v>1035</v>
      </c>
      <c r="B275" s="506" t="s">
        <v>1037</v>
      </c>
      <c r="C275" s="507" t="s">
        <v>39</v>
      </c>
      <c r="D275" s="507" t="s">
        <v>39</v>
      </c>
      <c r="E275" s="507" t="s">
        <v>1810</v>
      </c>
      <c r="F275" s="507" t="s">
        <v>39</v>
      </c>
      <c r="G275" s="507" t="s">
        <v>39</v>
      </c>
      <c r="H275" s="508" t="s">
        <v>783</v>
      </c>
      <c r="I275" s="507" t="s">
        <v>79</v>
      </c>
      <c r="J275" s="508" t="s">
        <v>1811</v>
      </c>
      <c r="K275" s="57" t="s">
        <v>1036</v>
      </c>
      <c r="L275" s="58" t="s">
        <v>846</v>
      </c>
      <c r="M275" s="59" t="s">
        <v>1037</v>
      </c>
      <c r="N275" s="60" t="s">
        <v>792</v>
      </c>
      <c r="O275" s="61">
        <v>2319</v>
      </c>
      <c r="P275" s="62">
        <v>149.69</v>
      </c>
      <c r="Q275" s="63">
        <f t="shared" si="230"/>
        <v>347131.11</v>
      </c>
      <c r="R275" s="61">
        <f>IFERROR(SUMIFS('BM MORRO DA CRUZ - VERTICAL'!V$6:V$546,'BM MORRO DA CRUZ - VERTICAL'!$O$6:$O$546,'BM MORRO DA CRUZ'!$K275),0)</f>
        <v>0</v>
      </c>
      <c r="S275" s="63">
        <f t="shared" si="231"/>
        <v>0</v>
      </c>
      <c r="T275" s="61">
        <f>IFERROR(SUMIFS('BM MORRO DA CRUZ - VERTICAL'!X$6:X$546,'BM MORRO DA CRUZ - VERTICAL'!$O$6:$O$546,'BM MORRO DA CRUZ'!$K275),0)</f>
        <v>0</v>
      </c>
      <c r="U275" s="63">
        <f t="shared" si="232"/>
        <v>0</v>
      </c>
      <c r="V275" s="61">
        <f>IFERROR(SUMIFS('BM MORRO DA CRUZ - VERTICAL'!Z$6:Z$546,'BM MORRO DA CRUZ - VERTICAL'!$O$6:$O$546,'BM MORRO DA CRUZ'!$K275),0)</f>
        <v>0</v>
      </c>
      <c r="W275" s="63">
        <f t="shared" si="233"/>
        <v>0</v>
      </c>
      <c r="X275" s="61">
        <f>IFERROR(SUMIFS('BM MORRO DA CRUZ - VERTICAL'!AB$6:AB$546,'BM MORRO DA CRUZ - VERTICAL'!$O$6:$O$546,'BM MORRO DA CRUZ'!$K275),0)</f>
        <v>0</v>
      </c>
      <c r="Y275" s="63">
        <f t="shared" si="234"/>
        <v>0</v>
      </c>
      <c r="Z275" s="61">
        <f>IFERROR(SUMIFS('BM MORRO DA CRUZ - VERTICAL'!AD$6:AD$546,'BM MORRO DA CRUZ - VERTICAL'!$O$6:$O$546,'BM MORRO DA CRUZ'!$K275),0)</f>
        <v>0</v>
      </c>
      <c r="AA275" s="63">
        <f t="shared" si="235"/>
        <v>0</v>
      </c>
      <c r="AB275" s="61">
        <f>IFERROR(SUMIFS('BM MORRO DA CRUZ - VERTICAL'!AF$6:AF$546,'BM MORRO DA CRUZ - VERTICAL'!$O$6:$O$546,'BM MORRO DA CRUZ'!$K275),0)</f>
        <v>0</v>
      </c>
      <c r="AC275" s="63">
        <f t="shared" si="236"/>
        <v>0</v>
      </c>
      <c r="AD275" s="61">
        <f>IFERROR(SUMIFS('BM MORRO DA CRUZ - VERTICAL'!AH$6:AH$546,'BM MORRO DA CRUZ - VERTICAL'!$O$6:$O$546,'BM MORRO DA CRUZ'!$K275),0)</f>
        <v>0</v>
      </c>
      <c r="AE275" s="63">
        <f t="shared" si="237"/>
        <v>0</v>
      </c>
      <c r="AF275" s="61">
        <f>IFERROR(SUMIFS('BM MORRO DA CRUZ - VERTICAL'!AJ$6:AJ$546,'BM MORRO DA CRUZ - VERTICAL'!$O$6:$O$546,'BM MORRO DA CRUZ'!$K275),0)</f>
        <v>0</v>
      </c>
      <c r="AG275" s="63">
        <f t="shared" si="238"/>
        <v>0</v>
      </c>
      <c r="AH275" s="61">
        <f>IFERROR(SUMIFS('BM MORRO DA CRUZ - VERTICAL'!AL$6:AL$546,'BM MORRO DA CRUZ - VERTICAL'!$O$6:$O$546,'BM MORRO DA CRUZ'!$K275),0)</f>
        <v>0</v>
      </c>
      <c r="AI275" s="63">
        <f t="shared" si="239"/>
        <v>0</v>
      </c>
      <c r="AJ275" s="61">
        <f>IFERROR(SUMIFS('BM MORRO DA CRUZ - VERTICAL'!AN$6:AN$546,'BM MORRO DA CRUZ - VERTICAL'!$O$6:$O$546,'BM MORRO DA CRUZ'!$K275),0)</f>
        <v>0</v>
      </c>
      <c r="AK275" s="63">
        <f t="shared" si="240"/>
        <v>0</v>
      </c>
      <c r="AL275" s="61">
        <f>IFERROR(SUMIFS('BM MORRO DA CRUZ - VERTICAL'!AP$6:AP$546,'BM MORRO DA CRUZ - VERTICAL'!$O$6:$O$546,'BM MORRO DA CRUZ'!$K275),0)</f>
        <v>0</v>
      </c>
      <c r="AM275" s="63">
        <f t="shared" si="241"/>
        <v>0</v>
      </c>
      <c r="AN275" s="61">
        <f>IFERROR(SUMIFS('BM MORRO DA CRUZ - VERTICAL'!AR$6:AR$546,'BM MORRO DA CRUZ - VERTICAL'!$O$6:$O$546,'BM MORRO DA CRUZ'!$K275),0)</f>
        <v>0</v>
      </c>
      <c r="AO275" s="63">
        <f t="shared" si="242"/>
        <v>0</v>
      </c>
      <c r="AP275" s="61">
        <f>IFERROR(SUMIFS('BM MORRO DA CRUZ - VERTICAL'!AT$6:AT$546,'BM MORRO DA CRUZ - VERTICAL'!$O$6:$O$546,'BM MORRO DA CRUZ'!$K275),0)</f>
        <v>0</v>
      </c>
      <c r="AQ275" s="63">
        <f t="shared" si="243"/>
        <v>0</v>
      </c>
      <c r="AR275" s="61">
        <f>IFERROR(SUMIFS('BM MORRO DA CRUZ - VERTICAL'!AV$6:AV$546,'BM MORRO DA CRUZ - VERTICAL'!$O$6:$O$546,'BM MORRO DA CRUZ'!$K275),0)</f>
        <v>0</v>
      </c>
      <c r="AS275" s="63">
        <f t="shared" si="244"/>
        <v>0</v>
      </c>
      <c r="AT275" s="61">
        <f>IFERROR(SUMIFS('BM MORRO DA CRUZ - VERTICAL'!AX$6:AX$546,'BM MORRO DA CRUZ - VERTICAL'!$O$6:$O$546,'BM MORRO DA CRUZ'!$K275),0)</f>
        <v>0</v>
      </c>
      <c r="AU275" s="63">
        <f t="shared" si="245"/>
        <v>0</v>
      </c>
      <c r="AV275" s="61">
        <f>IFERROR(SUMIFS('BM MORRO DA CRUZ - VERTICAL'!AZ$6:AZ$546,'BM MORRO DA CRUZ - VERTICAL'!$O$6:$O$546,'BM MORRO DA CRUZ'!$K275),0)</f>
        <v>0</v>
      </c>
      <c r="AW275" s="63">
        <f t="shared" si="246"/>
        <v>0</v>
      </c>
      <c r="AX275" s="61">
        <f>IFERROR(SUMIFS('BM MORRO DA CRUZ - VERTICAL'!BB$6:BB$546,'BM MORRO DA CRUZ - VERTICAL'!$O$6:$O$546,'BM MORRO DA CRUZ'!$K275),0)</f>
        <v>0</v>
      </c>
      <c r="AY275" s="63">
        <f t="shared" si="247"/>
        <v>0</v>
      </c>
      <c r="AZ275" s="61">
        <f>IFERROR(SUMIFS('BM MORRO DA CRUZ - VERTICAL'!BD$6:BD$546,'BM MORRO DA CRUZ - VERTICAL'!$O$6:$O$546,'BM MORRO DA CRUZ'!$K275),0)</f>
        <v>0</v>
      </c>
      <c r="BA275" s="63">
        <f t="shared" si="248"/>
        <v>0</v>
      </c>
      <c r="BB275" s="61">
        <f t="shared" si="249"/>
        <v>0</v>
      </c>
      <c r="BC275" s="63">
        <f t="shared" si="250"/>
        <v>0</v>
      </c>
      <c r="BD275" s="64">
        <f t="shared" si="251"/>
        <v>0</v>
      </c>
      <c r="BE275" s="65">
        <f t="shared" si="252"/>
        <v>1</v>
      </c>
      <c r="BF275" s="45"/>
    </row>
    <row r="276" spans="1:58" ht="26" customHeight="1" x14ac:dyDescent="0.45">
      <c r="A276" s="56" t="s">
        <v>1038</v>
      </c>
      <c r="B276" s="506" t="s">
        <v>1812</v>
      </c>
      <c r="C276" s="507" t="s">
        <v>39</v>
      </c>
      <c r="D276" s="507" t="s">
        <v>39</v>
      </c>
      <c r="E276" s="507" t="s">
        <v>78</v>
      </c>
      <c r="F276" s="507" t="s">
        <v>39</v>
      </c>
      <c r="G276" s="507" t="s">
        <v>39</v>
      </c>
      <c r="H276" s="508" t="s">
        <v>78</v>
      </c>
      <c r="I276" s="507" t="s">
        <v>79</v>
      </c>
      <c r="J276" s="508" t="s">
        <v>78</v>
      </c>
      <c r="K276" s="57" t="s">
        <v>1039</v>
      </c>
      <c r="L276" s="58" t="s">
        <v>846</v>
      </c>
      <c r="M276" s="59" t="s">
        <v>1040</v>
      </c>
      <c r="N276" s="60" t="s">
        <v>755</v>
      </c>
      <c r="O276" s="61">
        <v>326</v>
      </c>
      <c r="P276" s="62">
        <v>46.05</v>
      </c>
      <c r="Q276" s="63">
        <f t="shared" si="230"/>
        <v>15012.3</v>
      </c>
      <c r="R276" s="61">
        <f>IFERROR(SUMIFS('BM MORRO DA CRUZ - VERTICAL'!V$6:V$546,'BM MORRO DA CRUZ - VERTICAL'!$O$6:$O$546,'BM MORRO DA CRUZ'!$K276),0)</f>
        <v>0</v>
      </c>
      <c r="S276" s="63">
        <f t="shared" si="231"/>
        <v>0</v>
      </c>
      <c r="T276" s="61">
        <f>IFERROR(SUMIFS('BM MORRO DA CRUZ - VERTICAL'!X$6:X$546,'BM MORRO DA CRUZ - VERTICAL'!$O$6:$O$546,'BM MORRO DA CRUZ'!$K276),0)</f>
        <v>0</v>
      </c>
      <c r="U276" s="63">
        <f t="shared" si="232"/>
        <v>0</v>
      </c>
      <c r="V276" s="61">
        <f>IFERROR(SUMIFS('BM MORRO DA CRUZ - VERTICAL'!Z$6:Z$546,'BM MORRO DA CRUZ - VERTICAL'!$O$6:$O$546,'BM MORRO DA CRUZ'!$K276),0)</f>
        <v>0</v>
      </c>
      <c r="W276" s="63">
        <f t="shared" si="233"/>
        <v>0</v>
      </c>
      <c r="X276" s="61">
        <f>IFERROR(SUMIFS('BM MORRO DA CRUZ - VERTICAL'!AB$6:AB$546,'BM MORRO DA CRUZ - VERTICAL'!$O$6:$O$546,'BM MORRO DA CRUZ'!$K276),0)</f>
        <v>0</v>
      </c>
      <c r="Y276" s="63">
        <f t="shared" si="234"/>
        <v>0</v>
      </c>
      <c r="Z276" s="61">
        <f>IFERROR(SUMIFS('BM MORRO DA CRUZ - VERTICAL'!AD$6:AD$546,'BM MORRO DA CRUZ - VERTICAL'!$O$6:$O$546,'BM MORRO DA CRUZ'!$K276),0)</f>
        <v>0</v>
      </c>
      <c r="AA276" s="63">
        <f t="shared" si="235"/>
        <v>0</v>
      </c>
      <c r="AB276" s="61">
        <f>IFERROR(SUMIFS('BM MORRO DA CRUZ - VERTICAL'!AF$6:AF$546,'BM MORRO DA CRUZ - VERTICAL'!$O$6:$O$546,'BM MORRO DA CRUZ'!$K276),0)</f>
        <v>0</v>
      </c>
      <c r="AC276" s="63">
        <f t="shared" si="236"/>
        <v>0</v>
      </c>
      <c r="AD276" s="61">
        <f>IFERROR(SUMIFS('BM MORRO DA CRUZ - VERTICAL'!AH$6:AH$546,'BM MORRO DA CRUZ - VERTICAL'!$O$6:$O$546,'BM MORRO DA CRUZ'!$K276),0)</f>
        <v>0</v>
      </c>
      <c r="AE276" s="63">
        <f t="shared" si="237"/>
        <v>0</v>
      </c>
      <c r="AF276" s="61">
        <f>IFERROR(SUMIFS('BM MORRO DA CRUZ - VERTICAL'!AJ$6:AJ$546,'BM MORRO DA CRUZ - VERTICAL'!$O$6:$O$546,'BM MORRO DA CRUZ'!$K276),0)</f>
        <v>0</v>
      </c>
      <c r="AG276" s="63">
        <f t="shared" si="238"/>
        <v>0</v>
      </c>
      <c r="AH276" s="61">
        <f>IFERROR(SUMIFS('BM MORRO DA CRUZ - VERTICAL'!AL$6:AL$546,'BM MORRO DA CRUZ - VERTICAL'!$O$6:$O$546,'BM MORRO DA CRUZ'!$K276),0)</f>
        <v>0</v>
      </c>
      <c r="AI276" s="63">
        <f t="shared" si="239"/>
        <v>0</v>
      </c>
      <c r="AJ276" s="61">
        <f>IFERROR(SUMIFS('BM MORRO DA CRUZ - VERTICAL'!AN$6:AN$546,'BM MORRO DA CRUZ - VERTICAL'!$O$6:$O$546,'BM MORRO DA CRUZ'!$K276),0)</f>
        <v>0</v>
      </c>
      <c r="AK276" s="63">
        <f t="shared" si="240"/>
        <v>0</v>
      </c>
      <c r="AL276" s="61">
        <f>IFERROR(SUMIFS('BM MORRO DA CRUZ - VERTICAL'!AP$6:AP$546,'BM MORRO DA CRUZ - VERTICAL'!$O$6:$O$546,'BM MORRO DA CRUZ'!$K276),0)</f>
        <v>0</v>
      </c>
      <c r="AM276" s="63">
        <f t="shared" si="241"/>
        <v>0</v>
      </c>
      <c r="AN276" s="61">
        <f>IFERROR(SUMIFS('BM MORRO DA CRUZ - VERTICAL'!AR$6:AR$546,'BM MORRO DA CRUZ - VERTICAL'!$O$6:$O$546,'BM MORRO DA CRUZ'!$K276),0)</f>
        <v>0</v>
      </c>
      <c r="AO276" s="63">
        <f t="shared" si="242"/>
        <v>0</v>
      </c>
      <c r="AP276" s="61">
        <f>IFERROR(SUMIFS('BM MORRO DA CRUZ - VERTICAL'!AT$6:AT$546,'BM MORRO DA CRUZ - VERTICAL'!$O$6:$O$546,'BM MORRO DA CRUZ'!$K276),0)</f>
        <v>0</v>
      </c>
      <c r="AQ276" s="63">
        <f t="shared" si="243"/>
        <v>0</v>
      </c>
      <c r="AR276" s="61">
        <f>IFERROR(SUMIFS('BM MORRO DA CRUZ - VERTICAL'!AV$6:AV$546,'BM MORRO DA CRUZ - VERTICAL'!$O$6:$O$546,'BM MORRO DA CRUZ'!$K276),0)</f>
        <v>0</v>
      </c>
      <c r="AS276" s="63">
        <f t="shared" si="244"/>
        <v>0</v>
      </c>
      <c r="AT276" s="61">
        <f>IFERROR(SUMIFS('BM MORRO DA CRUZ - VERTICAL'!AX$6:AX$546,'BM MORRO DA CRUZ - VERTICAL'!$O$6:$O$546,'BM MORRO DA CRUZ'!$K276),0)</f>
        <v>0</v>
      </c>
      <c r="AU276" s="63">
        <f t="shared" si="245"/>
        <v>0</v>
      </c>
      <c r="AV276" s="61">
        <f>IFERROR(SUMIFS('BM MORRO DA CRUZ - VERTICAL'!AZ$6:AZ$546,'BM MORRO DA CRUZ - VERTICAL'!$O$6:$O$546,'BM MORRO DA CRUZ'!$K276),0)</f>
        <v>0</v>
      </c>
      <c r="AW276" s="63">
        <f t="shared" si="246"/>
        <v>0</v>
      </c>
      <c r="AX276" s="61">
        <f>IFERROR(SUMIFS('BM MORRO DA CRUZ - VERTICAL'!BB$6:BB$546,'BM MORRO DA CRUZ - VERTICAL'!$O$6:$O$546,'BM MORRO DA CRUZ'!$K276),0)</f>
        <v>0</v>
      </c>
      <c r="AY276" s="63">
        <f t="shared" si="247"/>
        <v>0</v>
      </c>
      <c r="AZ276" s="61">
        <f>IFERROR(SUMIFS('BM MORRO DA CRUZ - VERTICAL'!BD$6:BD$546,'BM MORRO DA CRUZ - VERTICAL'!$O$6:$O$546,'BM MORRO DA CRUZ'!$K276),0)</f>
        <v>0</v>
      </c>
      <c r="BA276" s="63">
        <f t="shared" si="248"/>
        <v>0</v>
      </c>
      <c r="BB276" s="61">
        <f t="shared" si="249"/>
        <v>0</v>
      </c>
      <c r="BC276" s="63">
        <f t="shared" si="250"/>
        <v>0</v>
      </c>
      <c r="BD276" s="64">
        <f t="shared" si="251"/>
        <v>0</v>
      </c>
      <c r="BE276" s="65">
        <f t="shared" si="252"/>
        <v>1</v>
      </c>
      <c r="BF276" s="45"/>
    </row>
    <row r="277" spans="1:58" ht="26" customHeight="1" x14ac:dyDescent="0.45">
      <c r="A277" s="56" t="s">
        <v>1041</v>
      </c>
      <c r="B277" s="506" t="s">
        <v>1813</v>
      </c>
      <c r="C277" s="507" t="s">
        <v>39</v>
      </c>
      <c r="D277" s="507" t="s">
        <v>39</v>
      </c>
      <c r="E277" s="507" t="s">
        <v>1792</v>
      </c>
      <c r="F277" s="507" t="s">
        <v>39</v>
      </c>
      <c r="G277" s="507" t="s">
        <v>39</v>
      </c>
      <c r="H277" s="508" t="s">
        <v>1720</v>
      </c>
      <c r="I277" s="507" t="s">
        <v>79</v>
      </c>
      <c r="J277" s="508" t="s">
        <v>1792</v>
      </c>
      <c r="K277" s="57" t="s">
        <v>1042</v>
      </c>
      <c r="L277" s="58" t="s">
        <v>846</v>
      </c>
      <c r="M277" s="59" t="s">
        <v>1043</v>
      </c>
      <c r="N277" s="60" t="s">
        <v>755</v>
      </c>
      <c r="O277" s="61">
        <v>32.4</v>
      </c>
      <c r="P277" s="62">
        <v>300.37</v>
      </c>
      <c r="Q277" s="63">
        <f t="shared" si="230"/>
        <v>9731.99</v>
      </c>
      <c r="R277" s="61">
        <f>IFERROR(SUMIFS('BM MORRO DA CRUZ - VERTICAL'!V$6:V$546,'BM MORRO DA CRUZ - VERTICAL'!$O$6:$O$546,'BM MORRO DA CRUZ'!$K277),0)</f>
        <v>0</v>
      </c>
      <c r="S277" s="63">
        <f t="shared" si="231"/>
        <v>0</v>
      </c>
      <c r="T277" s="61">
        <f>IFERROR(SUMIFS('BM MORRO DA CRUZ - VERTICAL'!X$6:X$546,'BM MORRO DA CRUZ - VERTICAL'!$O$6:$O$546,'BM MORRO DA CRUZ'!$K277),0)</f>
        <v>0</v>
      </c>
      <c r="U277" s="63">
        <f t="shared" si="232"/>
        <v>0</v>
      </c>
      <c r="V277" s="61">
        <f>IFERROR(SUMIFS('BM MORRO DA CRUZ - VERTICAL'!Z$6:Z$546,'BM MORRO DA CRUZ - VERTICAL'!$O$6:$O$546,'BM MORRO DA CRUZ'!$K277),0)</f>
        <v>0</v>
      </c>
      <c r="W277" s="63">
        <f t="shared" si="233"/>
        <v>0</v>
      </c>
      <c r="X277" s="61">
        <f>IFERROR(SUMIFS('BM MORRO DA CRUZ - VERTICAL'!AB$6:AB$546,'BM MORRO DA CRUZ - VERTICAL'!$O$6:$O$546,'BM MORRO DA CRUZ'!$K277),0)</f>
        <v>0</v>
      </c>
      <c r="Y277" s="63">
        <f t="shared" si="234"/>
        <v>0</v>
      </c>
      <c r="Z277" s="61">
        <f>IFERROR(SUMIFS('BM MORRO DA CRUZ - VERTICAL'!AD$6:AD$546,'BM MORRO DA CRUZ - VERTICAL'!$O$6:$O$546,'BM MORRO DA CRUZ'!$K277),0)</f>
        <v>0</v>
      </c>
      <c r="AA277" s="63">
        <f t="shared" si="235"/>
        <v>0</v>
      </c>
      <c r="AB277" s="61">
        <f>IFERROR(SUMIFS('BM MORRO DA CRUZ - VERTICAL'!AF$6:AF$546,'BM MORRO DA CRUZ - VERTICAL'!$O$6:$O$546,'BM MORRO DA CRUZ'!$K277),0)</f>
        <v>0</v>
      </c>
      <c r="AC277" s="63">
        <f t="shared" si="236"/>
        <v>0</v>
      </c>
      <c r="AD277" s="61">
        <f>IFERROR(SUMIFS('BM MORRO DA CRUZ - VERTICAL'!AH$6:AH$546,'BM MORRO DA CRUZ - VERTICAL'!$O$6:$O$546,'BM MORRO DA CRUZ'!$K277),0)</f>
        <v>0</v>
      </c>
      <c r="AE277" s="63">
        <f t="shared" si="237"/>
        <v>0</v>
      </c>
      <c r="AF277" s="61">
        <f>IFERROR(SUMIFS('BM MORRO DA CRUZ - VERTICAL'!AJ$6:AJ$546,'BM MORRO DA CRUZ - VERTICAL'!$O$6:$O$546,'BM MORRO DA CRUZ'!$K277),0)</f>
        <v>0</v>
      </c>
      <c r="AG277" s="63">
        <f t="shared" si="238"/>
        <v>0</v>
      </c>
      <c r="AH277" s="61">
        <f>IFERROR(SUMIFS('BM MORRO DA CRUZ - VERTICAL'!AL$6:AL$546,'BM MORRO DA CRUZ - VERTICAL'!$O$6:$O$546,'BM MORRO DA CRUZ'!$K277),0)</f>
        <v>0</v>
      </c>
      <c r="AI277" s="63">
        <f t="shared" si="239"/>
        <v>0</v>
      </c>
      <c r="AJ277" s="61">
        <f>IFERROR(SUMIFS('BM MORRO DA CRUZ - VERTICAL'!AN$6:AN$546,'BM MORRO DA CRUZ - VERTICAL'!$O$6:$O$546,'BM MORRO DA CRUZ'!$K277),0)</f>
        <v>0</v>
      </c>
      <c r="AK277" s="63">
        <f t="shared" si="240"/>
        <v>0</v>
      </c>
      <c r="AL277" s="61">
        <f>IFERROR(SUMIFS('BM MORRO DA CRUZ - VERTICAL'!AP$6:AP$546,'BM MORRO DA CRUZ - VERTICAL'!$O$6:$O$546,'BM MORRO DA CRUZ'!$K277),0)</f>
        <v>0</v>
      </c>
      <c r="AM277" s="63">
        <f t="shared" si="241"/>
        <v>0</v>
      </c>
      <c r="AN277" s="61">
        <f>IFERROR(SUMIFS('BM MORRO DA CRUZ - VERTICAL'!AR$6:AR$546,'BM MORRO DA CRUZ - VERTICAL'!$O$6:$O$546,'BM MORRO DA CRUZ'!$K277),0)</f>
        <v>0</v>
      </c>
      <c r="AO277" s="63">
        <f t="shared" si="242"/>
        <v>0</v>
      </c>
      <c r="AP277" s="61">
        <f>IFERROR(SUMIFS('BM MORRO DA CRUZ - VERTICAL'!AT$6:AT$546,'BM MORRO DA CRUZ - VERTICAL'!$O$6:$O$546,'BM MORRO DA CRUZ'!$K277),0)</f>
        <v>0</v>
      </c>
      <c r="AQ277" s="63">
        <f t="shared" si="243"/>
        <v>0</v>
      </c>
      <c r="AR277" s="61">
        <f>IFERROR(SUMIFS('BM MORRO DA CRUZ - VERTICAL'!AV$6:AV$546,'BM MORRO DA CRUZ - VERTICAL'!$O$6:$O$546,'BM MORRO DA CRUZ'!$K277),0)</f>
        <v>0</v>
      </c>
      <c r="AS277" s="63">
        <f t="shared" si="244"/>
        <v>0</v>
      </c>
      <c r="AT277" s="61">
        <f>IFERROR(SUMIFS('BM MORRO DA CRUZ - VERTICAL'!AX$6:AX$546,'BM MORRO DA CRUZ - VERTICAL'!$O$6:$O$546,'BM MORRO DA CRUZ'!$K277),0)</f>
        <v>0</v>
      </c>
      <c r="AU277" s="63">
        <f t="shared" si="245"/>
        <v>0</v>
      </c>
      <c r="AV277" s="61">
        <f>IFERROR(SUMIFS('BM MORRO DA CRUZ - VERTICAL'!AZ$6:AZ$546,'BM MORRO DA CRUZ - VERTICAL'!$O$6:$O$546,'BM MORRO DA CRUZ'!$K277),0)</f>
        <v>0</v>
      </c>
      <c r="AW277" s="63">
        <f t="shared" si="246"/>
        <v>0</v>
      </c>
      <c r="AX277" s="61">
        <f>IFERROR(SUMIFS('BM MORRO DA CRUZ - VERTICAL'!BB$6:BB$546,'BM MORRO DA CRUZ - VERTICAL'!$O$6:$O$546,'BM MORRO DA CRUZ'!$K277),0)</f>
        <v>0</v>
      </c>
      <c r="AY277" s="63">
        <f t="shared" si="247"/>
        <v>0</v>
      </c>
      <c r="AZ277" s="61">
        <f>IFERROR(SUMIFS('BM MORRO DA CRUZ - VERTICAL'!BD$6:BD$546,'BM MORRO DA CRUZ - VERTICAL'!$O$6:$O$546,'BM MORRO DA CRUZ'!$K277),0)</f>
        <v>0</v>
      </c>
      <c r="BA277" s="63">
        <f t="shared" si="248"/>
        <v>0</v>
      </c>
      <c r="BB277" s="61">
        <f t="shared" si="249"/>
        <v>0</v>
      </c>
      <c r="BC277" s="63">
        <f t="shared" si="250"/>
        <v>0</v>
      </c>
      <c r="BD277" s="64">
        <f t="shared" si="251"/>
        <v>0</v>
      </c>
      <c r="BE277" s="65">
        <f t="shared" si="252"/>
        <v>1</v>
      </c>
      <c r="BF277" s="45"/>
    </row>
    <row r="278" spans="1:58" ht="26" customHeight="1" x14ac:dyDescent="0.45">
      <c r="A278" s="56" t="s">
        <v>1044</v>
      </c>
      <c r="B278" s="506" t="s">
        <v>1813</v>
      </c>
      <c r="C278" s="507" t="s">
        <v>39</v>
      </c>
      <c r="D278" s="507" t="s">
        <v>39</v>
      </c>
      <c r="E278" s="507" t="s">
        <v>1792</v>
      </c>
      <c r="F278" s="507" t="s">
        <v>39</v>
      </c>
      <c r="G278" s="507" t="s">
        <v>39</v>
      </c>
      <c r="H278" s="508" t="s">
        <v>1720</v>
      </c>
      <c r="I278" s="507" t="s">
        <v>1814</v>
      </c>
      <c r="J278" s="508" t="s">
        <v>1792</v>
      </c>
      <c r="K278" s="57" t="s">
        <v>1045</v>
      </c>
      <c r="L278" s="58" t="s">
        <v>846</v>
      </c>
      <c r="M278" s="59" t="s">
        <v>1046</v>
      </c>
      <c r="N278" s="60" t="s">
        <v>755</v>
      </c>
      <c r="O278" s="61">
        <v>142.33000000000001</v>
      </c>
      <c r="P278" s="62">
        <v>301</v>
      </c>
      <c r="Q278" s="63">
        <f t="shared" si="230"/>
        <v>42841.33</v>
      </c>
      <c r="R278" s="61">
        <f>IFERROR(SUMIFS('BM MORRO DA CRUZ - VERTICAL'!V$6:V$546,'BM MORRO DA CRUZ - VERTICAL'!$O$6:$O$546,'BM MORRO DA CRUZ'!$K278),0)</f>
        <v>0</v>
      </c>
      <c r="S278" s="63">
        <f t="shared" si="231"/>
        <v>0</v>
      </c>
      <c r="T278" s="61">
        <f>IFERROR(SUMIFS('BM MORRO DA CRUZ - VERTICAL'!X$6:X$546,'BM MORRO DA CRUZ - VERTICAL'!$O$6:$O$546,'BM MORRO DA CRUZ'!$K278),0)</f>
        <v>0</v>
      </c>
      <c r="U278" s="63">
        <f t="shared" si="232"/>
        <v>0</v>
      </c>
      <c r="V278" s="61">
        <f>IFERROR(SUMIFS('BM MORRO DA CRUZ - VERTICAL'!Z$6:Z$546,'BM MORRO DA CRUZ - VERTICAL'!$O$6:$O$546,'BM MORRO DA CRUZ'!$K278),0)</f>
        <v>0</v>
      </c>
      <c r="W278" s="63">
        <f t="shared" si="233"/>
        <v>0</v>
      </c>
      <c r="X278" s="61">
        <f>IFERROR(SUMIFS('BM MORRO DA CRUZ - VERTICAL'!AB$6:AB$546,'BM MORRO DA CRUZ - VERTICAL'!$O$6:$O$546,'BM MORRO DA CRUZ'!$K278),0)</f>
        <v>0</v>
      </c>
      <c r="Y278" s="63">
        <f t="shared" si="234"/>
        <v>0</v>
      </c>
      <c r="Z278" s="61">
        <f>IFERROR(SUMIFS('BM MORRO DA CRUZ - VERTICAL'!AD$6:AD$546,'BM MORRO DA CRUZ - VERTICAL'!$O$6:$O$546,'BM MORRO DA CRUZ'!$K278),0)</f>
        <v>0</v>
      </c>
      <c r="AA278" s="63">
        <f t="shared" si="235"/>
        <v>0</v>
      </c>
      <c r="AB278" s="61">
        <f>IFERROR(SUMIFS('BM MORRO DA CRUZ - VERTICAL'!AF$6:AF$546,'BM MORRO DA CRUZ - VERTICAL'!$O$6:$O$546,'BM MORRO DA CRUZ'!$K278),0)</f>
        <v>0</v>
      </c>
      <c r="AC278" s="63">
        <f t="shared" si="236"/>
        <v>0</v>
      </c>
      <c r="AD278" s="61">
        <f>IFERROR(SUMIFS('BM MORRO DA CRUZ - VERTICAL'!AH$6:AH$546,'BM MORRO DA CRUZ - VERTICAL'!$O$6:$O$546,'BM MORRO DA CRUZ'!$K278),0)</f>
        <v>0</v>
      </c>
      <c r="AE278" s="63">
        <f t="shared" si="237"/>
        <v>0</v>
      </c>
      <c r="AF278" s="61">
        <f>IFERROR(SUMIFS('BM MORRO DA CRUZ - VERTICAL'!AJ$6:AJ$546,'BM MORRO DA CRUZ - VERTICAL'!$O$6:$O$546,'BM MORRO DA CRUZ'!$K278),0)</f>
        <v>0</v>
      </c>
      <c r="AG278" s="63">
        <f t="shared" si="238"/>
        <v>0</v>
      </c>
      <c r="AH278" s="61">
        <f>IFERROR(SUMIFS('BM MORRO DA CRUZ - VERTICAL'!AL$6:AL$546,'BM MORRO DA CRUZ - VERTICAL'!$O$6:$O$546,'BM MORRO DA CRUZ'!$K278),0)</f>
        <v>0</v>
      </c>
      <c r="AI278" s="63">
        <f t="shared" si="239"/>
        <v>0</v>
      </c>
      <c r="AJ278" s="61">
        <f>IFERROR(SUMIFS('BM MORRO DA CRUZ - VERTICAL'!AN$6:AN$546,'BM MORRO DA CRUZ - VERTICAL'!$O$6:$O$546,'BM MORRO DA CRUZ'!$K278),0)</f>
        <v>0</v>
      </c>
      <c r="AK278" s="63">
        <f t="shared" si="240"/>
        <v>0</v>
      </c>
      <c r="AL278" s="61">
        <f>IFERROR(SUMIFS('BM MORRO DA CRUZ - VERTICAL'!AP$6:AP$546,'BM MORRO DA CRUZ - VERTICAL'!$O$6:$O$546,'BM MORRO DA CRUZ'!$K278),0)</f>
        <v>0</v>
      </c>
      <c r="AM278" s="63">
        <f t="shared" si="241"/>
        <v>0</v>
      </c>
      <c r="AN278" s="61">
        <f>IFERROR(SUMIFS('BM MORRO DA CRUZ - VERTICAL'!AR$6:AR$546,'BM MORRO DA CRUZ - VERTICAL'!$O$6:$O$546,'BM MORRO DA CRUZ'!$K278),0)</f>
        <v>0</v>
      </c>
      <c r="AO278" s="63">
        <f t="shared" si="242"/>
        <v>0</v>
      </c>
      <c r="AP278" s="61">
        <f>IFERROR(SUMIFS('BM MORRO DA CRUZ - VERTICAL'!AT$6:AT$546,'BM MORRO DA CRUZ - VERTICAL'!$O$6:$O$546,'BM MORRO DA CRUZ'!$K278),0)</f>
        <v>0</v>
      </c>
      <c r="AQ278" s="63">
        <f t="shared" si="243"/>
        <v>0</v>
      </c>
      <c r="AR278" s="61">
        <f>IFERROR(SUMIFS('BM MORRO DA CRUZ - VERTICAL'!AV$6:AV$546,'BM MORRO DA CRUZ - VERTICAL'!$O$6:$O$546,'BM MORRO DA CRUZ'!$K278),0)</f>
        <v>0</v>
      </c>
      <c r="AS278" s="63">
        <f t="shared" si="244"/>
        <v>0</v>
      </c>
      <c r="AT278" s="61">
        <f>IFERROR(SUMIFS('BM MORRO DA CRUZ - VERTICAL'!AX$6:AX$546,'BM MORRO DA CRUZ - VERTICAL'!$O$6:$O$546,'BM MORRO DA CRUZ'!$K278),0)</f>
        <v>0</v>
      </c>
      <c r="AU278" s="63">
        <f t="shared" si="245"/>
        <v>0</v>
      </c>
      <c r="AV278" s="61">
        <f>IFERROR(SUMIFS('BM MORRO DA CRUZ - VERTICAL'!AZ$6:AZ$546,'BM MORRO DA CRUZ - VERTICAL'!$O$6:$O$546,'BM MORRO DA CRUZ'!$K278),0)</f>
        <v>0</v>
      </c>
      <c r="AW278" s="63">
        <f t="shared" si="246"/>
        <v>0</v>
      </c>
      <c r="AX278" s="61">
        <f>IFERROR(SUMIFS('BM MORRO DA CRUZ - VERTICAL'!BB$6:BB$546,'BM MORRO DA CRUZ - VERTICAL'!$O$6:$O$546,'BM MORRO DA CRUZ'!$K278),0)</f>
        <v>0</v>
      </c>
      <c r="AY278" s="63">
        <f t="shared" si="247"/>
        <v>0</v>
      </c>
      <c r="AZ278" s="61">
        <f>IFERROR(SUMIFS('BM MORRO DA CRUZ - VERTICAL'!BD$6:BD$546,'BM MORRO DA CRUZ - VERTICAL'!$O$6:$O$546,'BM MORRO DA CRUZ'!$K278),0)</f>
        <v>0</v>
      </c>
      <c r="BA278" s="63">
        <f t="shared" si="248"/>
        <v>0</v>
      </c>
      <c r="BB278" s="61">
        <f t="shared" si="249"/>
        <v>0</v>
      </c>
      <c r="BC278" s="63">
        <f t="shared" si="250"/>
        <v>0</v>
      </c>
      <c r="BD278" s="64">
        <f t="shared" si="251"/>
        <v>0</v>
      </c>
      <c r="BE278" s="65">
        <f t="shared" si="252"/>
        <v>1</v>
      </c>
      <c r="BF278" s="45"/>
    </row>
    <row r="279" spans="1:58" ht="26" customHeight="1" x14ac:dyDescent="0.45">
      <c r="A279" s="56" t="s">
        <v>1047</v>
      </c>
      <c r="B279" s="506" t="s">
        <v>1049</v>
      </c>
      <c r="C279" s="507" t="s">
        <v>39</v>
      </c>
      <c r="D279" s="507" t="s">
        <v>39</v>
      </c>
      <c r="E279" s="507" t="s">
        <v>1777</v>
      </c>
      <c r="F279" s="507" t="s">
        <v>39</v>
      </c>
      <c r="G279" s="507" t="s">
        <v>39</v>
      </c>
      <c r="H279" s="508" t="s">
        <v>1745</v>
      </c>
      <c r="I279" s="507" t="s">
        <v>79</v>
      </c>
      <c r="J279" s="508" t="s">
        <v>1777</v>
      </c>
      <c r="K279" s="57" t="s">
        <v>1048</v>
      </c>
      <c r="L279" s="58" t="s">
        <v>846</v>
      </c>
      <c r="M279" s="59" t="s">
        <v>1049</v>
      </c>
      <c r="N279" s="60" t="s">
        <v>755</v>
      </c>
      <c r="O279" s="61">
        <v>48.6</v>
      </c>
      <c r="P279" s="62">
        <v>298.20999999999998</v>
      </c>
      <c r="Q279" s="63">
        <f t="shared" si="230"/>
        <v>14493.01</v>
      </c>
      <c r="R279" s="61">
        <f>IFERROR(SUMIFS('BM MORRO DA CRUZ - VERTICAL'!V$6:V$546,'BM MORRO DA CRUZ - VERTICAL'!$O$6:$O$546,'BM MORRO DA CRUZ'!$K279),0)</f>
        <v>0</v>
      </c>
      <c r="S279" s="63">
        <f t="shared" si="231"/>
        <v>0</v>
      </c>
      <c r="T279" s="61">
        <f>IFERROR(SUMIFS('BM MORRO DA CRUZ - VERTICAL'!X$6:X$546,'BM MORRO DA CRUZ - VERTICAL'!$O$6:$O$546,'BM MORRO DA CRUZ'!$K279),0)</f>
        <v>0</v>
      </c>
      <c r="U279" s="63">
        <f t="shared" si="232"/>
        <v>0</v>
      </c>
      <c r="V279" s="61">
        <f>IFERROR(SUMIFS('BM MORRO DA CRUZ - VERTICAL'!Z$6:Z$546,'BM MORRO DA CRUZ - VERTICAL'!$O$6:$O$546,'BM MORRO DA CRUZ'!$K279),0)</f>
        <v>0</v>
      </c>
      <c r="W279" s="63">
        <f t="shared" si="233"/>
        <v>0</v>
      </c>
      <c r="X279" s="61">
        <f>IFERROR(SUMIFS('BM MORRO DA CRUZ - VERTICAL'!AB$6:AB$546,'BM MORRO DA CRUZ - VERTICAL'!$O$6:$O$546,'BM MORRO DA CRUZ'!$K279),0)</f>
        <v>0</v>
      </c>
      <c r="Y279" s="63">
        <f t="shared" si="234"/>
        <v>0</v>
      </c>
      <c r="Z279" s="61">
        <f>IFERROR(SUMIFS('BM MORRO DA CRUZ - VERTICAL'!AD$6:AD$546,'BM MORRO DA CRUZ - VERTICAL'!$O$6:$O$546,'BM MORRO DA CRUZ'!$K279),0)</f>
        <v>0</v>
      </c>
      <c r="AA279" s="63">
        <f t="shared" si="235"/>
        <v>0</v>
      </c>
      <c r="AB279" s="61">
        <f>IFERROR(SUMIFS('BM MORRO DA CRUZ - VERTICAL'!AF$6:AF$546,'BM MORRO DA CRUZ - VERTICAL'!$O$6:$O$546,'BM MORRO DA CRUZ'!$K279),0)</f>
        <v>0</v>
      </c>
      <c r="AC279" s="63">
        <f t="shared" si="236"/>
        <v>0</v>
      </c>
      <c r="AD279" s="61">
        <f>IFERROR(SUMIFS('BM MORRO DA CRUZ - VERTICAL'!AH$6:AH$546,'BM MORRO DA CRUZ - VERTICAL'!$O$6:$O$546,'BM MORRO DA CRUZ'!$K279),0)</f>
        <v>0</v>
      </c>
      <c r="AE279" s="63">
        <f t="shared" si="237"/>
        <v>0</v>
      </c>
      <c r="AF279" s="61">
        <f>IFERROR(SUMIFS('BM MORRO DA CRUZ - VERTICAL'!AJ$6:AJ$546,'BM MORRO DA CRUZ - VERTICAL'!$O$6:$O$546,'BM MORRO DA CRUZ'!$K279),0)</f>
        <v>0</v>
      </c>
      <c r="AG279" s="63">
        <f t="shared" si="238"/>
        <v>0</v>
      </c>
      <c r="AH279" s="61">
        <f>IFERROR(SUMIFS('BM MORRO DA CRUZ - VERTICAL'!AL$6:AL$546,'BM MORRO DA CRUZ - VERTICAL'!$O$6:$O$546,'BM MORRO DA CRUZ'!$K279),0)</f>
        <v>0</v>
      </c>
      <c r="AI279" s="63">
        <f t="shared" si="239"/>
        <v>0</v>
      </c>
      <c r="AJ279" s="61">
        <f>IFERROR(SUMIFS('BM MORRO DA CRUZ - VERTICAL'!AN$6:AN$546,'BM MORRO DA CRUZ - VERTICAL'!$O$6:$O$546,'BM MORRO DA CRUZ'!$K279),0)</f>
        <v>0</v>
      </c>
      <c r="AK279" s="63">
        <f t="shared" si="240"/>
        <v>0</v>
      </c>
      <c r="AL279" s="61">
        <f>IFERROR(SUMIFS('BM MORRO DA CRUZ - VERTICAL'!AP$6:AP$546,'BM MORRO DA CRUZ - VERTICAL'!$O$6:$O$546,'BM MORRO DA CRUZ'!$K279),0)</f>
        <v>0</v>
      </c>
      <c r="AM279" s="63">
        <f t="shared" si="241"/>
        <v>0</v>
      </c>
      <c r="AN279" s="61">
        <f>IFERROR(SUMIFS('BM MORRO DA CRUZ - VERTICAL'!AR$6:AR$546,'BM MORRO DA CRUZ - VERTICAL'!$O$6:$O$546,'BM MORRO DA CRUZ'!$K279),0)</f>
        <v>0</v>
      </c>
      <c r="AO279" s="63">
        <f t="shared" si="242"/>
        <v>0</v>
      </c>
      <c r="AP279" s="61">
        <f>IFERROR(SUMIFS('BM MORRO DA CRUZ - VERTICAL'!AT$6:AT$546,'BM MORRO DA CRUZ - VERTICAL'!$O$6:$O$546,'BM MORRO DA CRUZ'!$K279),0)</f>
        <v>0</v>
      </c>
      <c r="AQ279" s="63">
        <f t="shared" si="243"/>
        <v>0</v>
      </c>
      <c r="AR279" s="61">
        <f>IFERROR(SUMIFS('BM MORRO DA CRUZ - VERTICAL'!AV$6:AV$546,'BM MORRO DA CRUZ - VERTICAL'!$O$6:$O$546,'BM MORRO DA CRUZ'!$K279),0)</f>
        <v>0</v>
      </c>
      <c r="AS279" s="63">
        <f t="shared" si="244"/>
        <v>0</v>
      </c>
      <c r="AT279" s="61">
        <f>IFERROR(SUMIFS('BM MORRO DA CRUZ - VERTICAL'!AX$6:AX$546,'BM MORRO DA CRUZ - VERTICAL'!$O$6:$O$546,'BM MORRO DA CRUZ'!$K279),0)</f>
        <v>0</v>
      </c>
      <c r="AU279" s="63">
        <f t="shared" si="245"/>
        <v>0</v>
      </c>
      <c r="AV279" s="61">
        <f>IFERROR(SUMIFS('BM MORRO DA CRUZ - VERTICAL'!AZ$6:AZ$546,'BM MORRO DA CRUZ - VERTICAL'!$O$6:$O$546,'BM MORRO DA CRUZ'!$K279),0)</f>
        <v>0</v>
      </c>
      <c r="AW279" s="63">
        <f t="shared" si="246"/>
        <v>0</v>
      </c>
      <c r="AX279" s="61">
        <f>IFERROR(SUMIFS('BM MORRO DA CRUZ - VERTICAL'!BB$6:BB$546,'BM MORRO DA CRUZ - VERTICAL'!$O$6:$O$546,'BM MORRO DA CRUZ'!$K279),0)</f>
        <v>0</v>
      </c>
      <c r="AY279" s="63">
        <f t="shared" si="247"/>
        <v>0</v>
      </c>
      <c r="AZ279" s="61">
        <f>IFERROR(SUMIFS('BM MORRO DA CRUZ - VERTICAL'!BD$6:BD$546,'BM MORRO DA CRUZ - VERTICAL'!$O$6:$O$546,'BM MORRO DA CRUZ'!$K279),0)</f>
        <v>0</v>
      </c>
      <c r="BA279" s="63">
        <f t="shared" si="248"/>
        <v>0</v>
      </c>
      <c r="BB279" s="61">
        <f t="shared" si="249"/>
        <v>0</v>
      </c>
      <c r="BC279" s="63">
        <f t="shared" si="250"/>
        <v>0</v>
      </c>
      <c r="BD279" s="64">
        <f t="shared" si="251"/>
        <v>0</v>
      </c>
      <c r="BE279" s="65">
        <f t="shared" si="252"/>
        <v>1</v>
      </c>
      <c r="BF279" s="45"/>
    </row>
    <row r="280" spans="1:58" ht="35.65" x14ac:dyDescent="0.45">
      <c r="A280" s="56" t="s">
        <v>1050</v>
      </c>
      <c r="B280" s="506" t="s">
        <v>1815</v>
      </c>
      <c r="C280" s="507" t="s">
        <v>39</v>
      </c>
      <c r="D280" s="507" t="s">
        <v>39</v>
      </c>
      <c r="E280" s="507" t="s">
        <v>78</v>
      </c>
      <c r="F280" s="507" t="s">
        <v>39</v>
      </c>
      <c r="G280" s="507" t="s">
        <v>39</v>
      </c>
      <c r="H280" s="508" t="s">
        <v>803</v>
      </c>
      <c r="I280" s="507" t="s">
        <v>748</v>
      </c>
      <c r="J280" s="508" t="s">
        <v>78</v>
      </c>
      <c r="K280" s="57" t="s">
        <v>1051</v>
      </c>
      <c r="L280" s="58" t="s">
        <v>846</v>
      </c>
      <c r="M280" s="59" t="s">
        <v>1052</v>
      </c>
      <c r="N280" s="60" t="s">
        <v>755</v>
      </c>
      <c r="O280" s="61">
        <v>0.6</v>
      </c>
      <c r="P280" s="62">
        <v>4049.77</v>
      </c>
      <c r="Q280" s="63">
        <f t="shared" si="230"/>
        <v>2429.86</v>
      </c>
      <c r="R280" s="61">
        <f>IFERROR(SUMIFS('BM MORRO DA CRUZ - VERTICAL'!V$6:V$546,'BM MORRO DA CRUZ - VERTICAL'!$O$6:$O$546,'BM MORRO DA CRUZ'!$K280),0)</f>
        <v>0</v>
      </c>
      <c r="S280" s="63">
        <f t="shared" si="231"/>
        <v>0</v>
      </c>
      <c r="T280" s="61">
        <f>IFERROR(SUMIFS('BM MORRO DA CRUZ - VERTICAL'!X$6:X$546,'BM MORRO DA CRUZ - VERTICAL'!$O$6:$O$546,'BM MORRO DA CRUZ'!$K280),0)</f>
        <v>0</v>
      </c>
      <c r="U280" s="63">
        <f t="shared" si="232"/>
        <v>0</v>
      </c>
      <c r="V280" s="61">
        <f>IFERROR(SUMIFS('BM MORRO DA CRUZ - VERTICAL'!Z$6:Z$546,'BM MORRO DA CRUZ - VERTICAL'!$O$6:$O$546,'BM MORRO DA CRUZ'!$K280),0)</f>
        <v>0</v>
      </c>
      <c r="W280" s="63">
        <f t="shared" si="233"/>
        <v>0</v>
      </c>
      <c r="X280" s="61">
        <f>IFERROR(SUMIFS('BM MORRO DA CRUZ - VERTICAL'!AB$6:AB$546,'BM MORRO DA CRUZ - VERTICAL'!$O$6:$O$546,'BM MORRO DA CRUZ'!$K280),0)</f>
        <v>0</v>
      </c>
      <c r="Y280" s="63">
        <f t="shared" si="234"/>
        <v>0</v>
      </c>
      <c r="Z280" s="61">
        <f>IFERROR(SUMIFS('BM MORRO DA CRUZ - VERTICAL'!AD$6:AD$546,'BM MORRO DA CRUZ - VERTICAL'!$O$6:$O$546,'BM MORRO DA CRUZ'!$K280),0)</f>
        <v>0</v>
      </c>
      <c r="AA280" s="63">
        <f t="shared" si="235"/>
        <v>0</v>
      </c>
      <c r="AB280" s="61">
        <f>IFERROR(SUMIFS('BM MORRO DA CRUZ - VERTICAL'!AF$6:AF$546,'BM MORRO DA CRUZ - VERTICAL'!$O$6:$O$546,'BM MORRO DA CRUZ'!$K280),0)</f>
        <v>0</v>
      </c>
      <c r="AC280" s="63">
        <f t="shared" si="236"/>
        <v>0</v>
      </c>
      <c r="AD280" s="61">
        <f>IFERROR(SUMIFS('BM MORRO DA CRUZ - VERTICAL'!AH$6:AH$546,'BM MORRO DA CRUZ - VERTICAL'!$O$6:$O$546,'BM MORRO DA CRUZ'!$K280),0)</f>
        <v>0</v>
      </c>
      <c r="AE280" s="63">
        <f t="shared" si="237"/>
        <v>0</v>
      </c>
      <c r="AF280" s="61">
        <f>IFERROR(SUMIFS('BM MORRO DA CRUZ - VERTICAL'!AJ$6:AJ$546,'BM MORRO DA CRUZ - VERTICAL'!$O$6:$O$546,'BM MORRO DA CRUZ'!$K280),0)</f>
        <v>0</v>
      </c>
      <c r="AG280" s="63">
        <f t="shared" si="238"/>
        <v>0</v>
      </c>
      <c r="AH280" s="61">
        <f>IFERROR(SUMIFS('BM MORRO DA CRUZ - VERTICAL'!AL$6:AL$546,'BM MORRO DA CRUZ - VERTICAL'!$O$6:$O$546,'BM MORRO DA CRUZ'!$K280),0)</f>
        <v>0</v>
      </c>
      <c r="AI280" s="63">
        <f t="shared" si="239"/>
        <v>0</v>
      </c>
      <c r="AJ280" s="61">
        <f>IFERROR(SUMIFS('BM MORRO DA CRUZ - VERTICAL'!AN$6:AN$546,'BM MORRO DA CRUZ - VERTICAL'!$O$6:$O$546,'BM MORRO DA CRUZ'!$K280),0)</f>
        <v>0</v>
      </c>
      <c r="AK280" s="63">
        <f t="shared" si="240"/>
        <v>0</v>
      </c>
      <c r="AL280" s="61">
        <f>IFERROR(SUMIFS('BM MORRO DA CRUZ - VERTICAL'!AP$6:AP$546,'BM MORRO DA CRUZ - VERTICAL'!$O$6:$O$546,'BM MORRO DA CRUZ'!$K280),0)</f>
        <v>0</v>
      </c>
      <c r="AM280" s="63">
        <f t="shared" si="241"/>
        <v>0</v>
      </c>
      <c r="AN280" s="61">
        <f>IFERROR(SUMIFS('BM MORRO DA CRUZ - VERTICAL'!AR$6:AR$546,'BM MORRO DA CRUZ - VERTICAL'!$O$6:$O$546,'BM MORRO DA CRUZ'!$K280),0)</f>
        <v>0</v>
      </c>
      <c r="AO280" s="63">
        <f t="shared" si="242"/>
        <v>0</v>
      </c>
      <c r="AP280" s="61">
        <f>IFERROR(SUMIFS('BM MORRO DA CRUZ - VERTICAL'!AT$6:AT$546,'BM MORRO DA CRUZ - VERTICAL'!$O$6:$O$546,'BM MORRO DA CRUZ'!$K280),0)</f>
        <v>0</v>
      </c>
      <c r="AQ280" s="63">
        <f t="shared" si="243"/>
        <v>0</v>
      </c>
      <c r="AR280" s="61">
        <f>IFERROR(SUMIFS('BM MORRO DA CRUZ - VERTICAL'!AV$6:AV$546,'BM MORRO DA CRUZ - VERTICAL'!$O$6:$O$546,'BM MORRO DA CRUZ'!$K280),0)</f>
        <v>0</v>
      </c>
      <c r="AS280" s="63">
        <f t="shared" si="244"/>
        <v>0</v>
      </c>
      <c r="AT280" s="61">
        <f>IFERROR(SUMIFS('BM MORRO DA CRUZ - VERTICAL'!AX$6:AX$546,'BM MORRO DA CRUZ - VERTICAL'!$O$6:$O$546,'BM MORRO DA CRUZ'!$K280),0)</f>
        <v>0</v>
      </c>
      <c r="AU280" s="63">
        <f t="shared" si="245"/>
        <v>0</v>
      </c>
      <c r="AV280" s="61">
        <f>IFERROR(SUMIFS('BM MORRO DA CRUZ - VERTICAL'!AZ$6:AZ$546,'BM MORRO DA CRUZ - VERTICAL'!$O$6:$O$546,'BM MORRO DA CRUZ'!$K280),0)</f>
        <v>0</v>
      </c>
      <c r="AW280" s="63">
        <f t="shared" si="246"/>
        <v>0</v>
      </c>
      <c r="AX280" s="61">
        <f>IFERROR(SUMIFS('BM MORRO DA CRUZ - VERTICAL'!BB$6:BB$546,'BM MORRO DA CRUZ - VERTICAL'!$O$6:$O$546,'BM MORRO DA CRUZ'!$K280),0)</f>
        <v>0</v>
      </c>
      <c r="AY280" s="63">
        <f t="shared" si="247"/>
        <v>0</v>
      </c>
      <c r="AZ280" s="61">
        <f>IFERROR(SUMIFS('BM MORRO DA CRUZ - VERTICAL'!BD$6:BD$546,'BM MORRO DA CRUZ - VERTICAL'!$O$6:$O$546,'BM MORRO DA CRUZ'!$K280),0)</f>
        <v>0</v>
      </c>
      <c r="BA280" s="63">
        <f t="shared" si="248"/>
        <v>0</v>
      </c>
      <c r="BB280" s="61">
        <f t="shared" si="249"/>
        <v>0</v>
      </c>
      <c r="BC280" s="63">
        <f t="shared" si="250"/>
        <v>0</v>
      </c>
      <c r="BD280" s="64">
        <f t="shared" si="251"/>
        <v>0</v>
      </c>
      <c r="BE280" s="65">
        <f t="shared" si="252"/>
        <v>1</v>
      </c>
      <c r="BF280" s="45"/>
    </row>
    <row r="281" spans="1:58" ht="19.5" customHeight="1" x14ac:dyDescent="0.45">
      <c r="A281" s="46" t="s">
        <v>1053</v>
      </c>
      <c r="B281" s="503"/>
      <c r="C281" s="504"/>
      <c r="D281" s="504"/>
      <c r="E281" s="504"/>
      <c r="F281" s="504"/>
      <c r="G281" s="504"/>
      <c r="H281" s="505" t="s">
        <v>1718</v>
      </c>
      <c r="I281" s="504"/>
      <c r="J281" s="505" t="s">
        <v>1718</v>
      </c>
      <c r="K281" s="47" t="s">
        <v>1054</v>
      </c>
      <c r="L281" s="48"/>
      <c r="M281" s="49" t="s">
        <v>1055</v>
      </c>
      <c r="N281" s="50"/>
      <c r="O281" s="51"/>
      <c r="P281" s="52"/>
      <c r="Q281" s="53">
        <f>SUM(Q282:Q337)</f>
        <v>1321585.0000000002</v>
      </c>
      <c r="R281" s="51"/>
      <c r="S281" s="53">
        <f>SUM(S282:S337)</f>
        <v>0</v>
      </c>
      <c r="T281" s="51"/>
      <c r="U281" s="53">
        <f>SUM(U282:U337)</f>
        <v>0</v>
      </c>
      <c r="V281" s="51"/>
      <c r="W281" s="53">
        <f>SUM(W282:W337)</f>
        <v>0</v>
      </c>
      <c r="X281" s="51"/>
      <c r="Y281" s="53">
        <f>SUM(Y282:Y337)</f>
        <v>0</v>
      </c>
      <c r="Z281" s="51"/>
      <c r="AA281" s="53">
        <f>SUM(AA282:AA337)</f>
        <v>0</v>
      </c>
      <c r="AB281" s="51"/>
      <c r="AC281" s="53">
        <f>SUM(AC282:AC337)</f>
        <v>0</v>
      </c>
      <c r="AD281" s="51"/>
      <c r="AE281" s="53">
        <f>SUM(AE282:AE337)</f>
        <v>0</v>
      </c>
      <c r="AF281" s="51"/>
      <c r="AG281" s="53">
        <f>SUM(AG282:AG337)</f>
        <v>0</v>
      </c>
      <c r="AH281" s="51"/>
      <c r="AI281" s="53">
        <f>SUM(AI282:AI337)</f>
        <v>0</v>
      </c>
      <c r="AJ281" s="51"/>
      <c r="AK281" s="53">
        <f>SUM(AK282:AK337)</f>
        <v>0</v>
      </c>
      <c r="AL281" s="51"/>
      <c r="AM281" s="53">
        <f>SUM(AM282:AM337)</f>
        <v>0</v>
      </c>
      <c r="AN281" s="51"/>
      <c r="AO281" s="53">
        <f>SUM(AO282:AO337)</f>
        <v>0</v>
      </c>
      <c r="AP281" s="51"/>
      <c r="AQ281" s="53">
        <f>SUM(AQ282:AQ337)</f>
        <v>0</v>
      </c>
      <c r="AR281" s="51"/>
      <c r="AS281" s="53">
        <f>SUM(AS282:AS337)</f>
        <v>0</v>
      </c>
      <c r="AT281" s="51"/>
      <c r="AU281" s="53">
        <f>SUM(AU282:AU337)</f>
        <v>0</v>
      </c>
      <c r="AV281" s="51"/>
      <c r="AW281" s="53">
        <f>SUM(AW282:AW337)</f>
        <v>0</v>
      </c>
      <c r="AX281" s="51"/>
      <c r="AY281" s="53">
        <f>SUM(AY282:AY337)</f>
        <v>0</v>
      </c>
      <c r="AZ281" s="51"/>
      <c r="BA281" s="53">
        <f>SUM(BA282:BA337)</f>
        <v>0</v>
      </c>
      <c r="BB281" s="51"/>
      <c r="BC281" s="53">
        <f>SUM(BC282:BC337)</f>
        <v>0</v>
      </c>
      <c r="BD281" s="54"/>
      <c r="BE281" s="55"/>
      <c r="BF281" s="45"/>
    </row>
    <row r="282" spans="1:58" ht="35.65" x14ac:dyDescent="0.45">
      <c r="A282" s="56" t="s">
        <v>1056</v>
      </c>
      <c r="B282" s="506" t="s">
        <v>1816</v>
      </c>
      <c r="C282" s="507" t="s">
        <v>1795</v>
      </c>
      <c r="D282" s="507" t="s">
        <v>1795</v>
      </c>
      <c r="E282" s="507" t="s">
        <v>1817</v>
      </c>
      <c r="F282" s="507" t="s">
        <v>1818</v>
      </c>
      <c r="G282" s="507">
        <v>110</v>
      </c>
      <c r="H282" s="508" t="s">
        <v>267</v>
      </c>
      <c r="I282" s="507" t="s">
        <v>1760</v>
      </c>
      <c r="J282" s="508" t="s">
        <v>1055</v>
      </c>
      <c r="K282" s="57" t="s">
        <v>1057</v>
      </c>
      <c r="L282" s="58" t="s">
        <v>846</v>
      </c>
      <c r="M282" s="59" t="s">
        <v>1058</v>
      </c>
      <c r="N282" s="60" t="s">
        <v>71</v>
      </c>
      <c r="O282" s="61">
        <v>293</v>
      </c>
      <c r="P282" s="62">
        <v>23.16</v>
      </c>
      <c r="Q282" s="63">
        <f t="shared" ref="Q282:Q313" si="253">ROUND(P282*$O282,2)</f>
        <v>6785.88</v>
      </c>
      <c r="R282" s="61">
        <f>IFERROR(SUMIFS('BM MORRO DA CRUZ - VERTICAL'!V$6:V$546,'BM MORRO DA CRUZ - VERTICAL'!$O$6:$O$546,'BM MORRO DA CRUZ'!$K282),0)</f>
        <v>0</v>
      </c>
      <c r="S282" s="63">
        <f t="shared" ref="S282:S313" si="254">ROUND(R282*$P282,2)</f>
        <v>0</v>
      </c>
      <c r="T282" s="61">
        <f>IFERROR(SUMIFS('BM MORRO DA CRUZ - VERTICAL'!X$6:X$546,'BM MORRO DA CRUZ - VERTICAL'!$O$6:$O$546,'BM MORRO DA CRUZ'!$K282),0)</f>
        <v>0</v>
      </c>
      <c r="U282" s="63">
        <f t="shared" ref="U282:U313" si="255">ROUND(T282*$P282,2)</f>
        <v>0</v>
      </c>
      <c r="V282" s="61">
        <f>IFERROR(SUMIFS('BM MORRO DA CRUZ - VERTICAL'!Z$6:Z$546,'BM MORRO DA CRUZ - VERTICAL'!$O$6:$O$546,'BM MORRO DA CRUZ'!$K282),0)</f>
        <v>0</v>
      </c>
      <c r="W282" s="63">
        <f t="shared" ref="W282:W313" si="256">ROUND(V282*$P282,2)</f>
        <v>0</v>
      </c>
      <c r="X282" s="61">
        <f>IFERROR(SUMIFS('BM MORRO DA CRUZ - VERTICAL'!AB$6:AB$546,'BM MORRO DA CRUZ - VERTICAL'!$O$6:$O$546,'BM MORRO DA CRUZ'!$K282),0)</f>
        <v>0</v>
      </c>
      <c r="Y282" s="63">
        <f t="shared" ref="Y282:Y313" si="257">ROUND(X282*$P282,2)</f>
        <v>0</v>
      </c>
      <c r="Z282" s="61">
        <f>IFERROR(SUMIFS('BM MORRO DA CRUZ - VERTICAL'!AD$6:AD$546,'BM MORRO DA CRUZ - VERTICAL'!$O$6:$O$546,'BM MORRO DA CRUZ'!$K282),0)</f>
        <v>0</v>
      </c>
      <c r="AA282" s="63">
        <f t="shared" ref="AA282:AA313" si="258">ROUND(Z282*$P282,2)</f>
        <v>0</v>
      </c>
      <c r="AB282" s="61">
        <f>IFERROR(SUMIFS('BM MORRO DA CRUZ - VERTICAL'!AF$6:AF$546,'BM MORRO DA CRUZ - VERTICAL'!$O$6:$O$546,'BM MORRO DA CRUZ'!$K282),0)</f>
        <v>0</v>
      </c>
      <c r="AC282" s="63">
        <f t="shared" ref="AC282:AC313" si="259">ROUND(AB282*$P282,2)</f>
        <v>0</v>
      </c>
      <c r="AD282" s="61">
        <f>IFERROR(SUMIFS('BM MORRO DA CRUZ - VERTICAL'!AH$6:AH$546,'BM MORRO DA CRUZ - VERTICAL'!$O$6:$O$546,'BM MORRO DA CRUZ'!$K282),0)</f>
        <v>0</v>
      </c>
      <c r="AE282" s="63">
        <f t="shared" ref="AE282:AE313" si="260">ROUND(AD282*$P282,2)</f>
        <v>0</v>
      </c>
      <c r="AF282" s="61">
        <f>IFERROR(SUMIFS('BM MORRO DA CRUZ - VERTICAL'!AJ$6:AJ$546,'BM MORRO DA CRUZ - VERTICAL'!$O$6:$O$546,'BM MORRO DA CRUZ'!$K282),0)</f>
        <v>0</v>
      </c>
      <c r="AG282" s="63">
        <f t="shared" ref="AG282:AG313" si="261">ROUND(AF282*$P282,2)</f>
        <v>0</v>
      </c>
      <c r="AH282" s="61">
        <f>IFERROR(SUMIFS('BM MORRO DA CRUZ - VERTICAL'!AL$6:AL$546,'BM MORRO DA CRUZ - VERTICAL'!$O$6:$O$546,'BM MORRO DA CRUZ'!$K282),0)</f>
        <v>0</v>
      </c>
      <c r="AI282" s="63">
        <f t="shared" ref="AI282:AI313" si="262">ROUND(AH282*$P282,2)</f>
        <v>0</v>
      </c>
      <c r="AJ282" s="61">
        <f>IFERROR(SUMIFS('BM MORRO DA CRUZ - VERTICAL'!AN$6:AN$546,'BM MORRO DA CRUZ - VERTICAL'!$O$6:$O$546,'BM MORRO DA CRUZ'!$K282),0)</f>
        <v>0</v>
      </c>
      <c r="AK282" s="63">
        <f t="shared" ref="AK282:AK313" si="263">ROUND(AJ282*$P282,2)</f>
        <v>0</v>
      </c>
      <c r="AL282" s="61">
        <f>IFERROR(SUMIFS('BM MORRO DA CRUZ - VERTICAL'!AP$6:AP$546,'BM MORRO DA CRUZ - VERTICAL'!$O$6:$O$546,'BM MORRO DA CRUZ'!$K282),0)</f>
        <v>0</v>
      </c>
      <c r="AM282" s="63">
        <f t="shared" ref="AM282:AM313" si="264">ROUND(AL282*$P282,2)</f>
        <v>0</v>
      </c>
      <c r="AN282" s="61">
        <f>IFERROR(SUMIFS('BM MORRO DA CRUZ - VERTICAL'!AR$6:AR$546,'BM MORRO DA CRUZ - VERTICAL'!$O$6:$O$546,'BM MORRO DA CRUZ'!$K282),0)</f>
        <v>0</v>
      </c>
      <c r="AO282" s="63">
        <f t="shared" ref="AO282:AO313" si="265">ROUND(AN282*$P282,2)</f>
        <v>0</v>
      </c>
      <c r="AP282" s="61">
        <f>IFERROR(SUMIFS('BM MORRO DA CRUZ - VERTICAL'!AT$6:AT$546,'BM MORRO DA CRUZ - VERTICAL'!$O$6:$O$546,'BM MORRO DA CRUZ'!$K282),0)</f>
        <v>0</v>
      </c>
      <c r="AQ282" s="63">
        <f t="shared" ref="AQ282:AQ313" si="266">ROUND(AP282*$P282,2)</f>
        <v>0</v>
      </c>
      <c r="AR282" s="61">
        <f>IFERROR(SUMIFS('BM MORRO DA CRUZ - VERTICAL'!AV$6:AV$546,'BM MORRO DA CRUZ - VERTICAL'!$O$6:$O$546,'BM MORRO DA CRUZ'!$K282),0)</f>
        <v>0</v>
      </c>
      <c r="AS282" s="63">
        <f t="shared" ref="AS282:AS313" si="267">ROUND(AR282*$P282,2)</f>
        <v>0</v>
      </c>
      <c r="AT282" s="61">
        <f>IFERROR(SUMIFS('BM MORRO DA CRUZ - VERTICAL'!AX$6:AX$546,'BM MORRO DA CRUZ - VERTICAL'!$O$6:$O$546,'BM MORRO DA CRUZ'!$K282),0)</f>
        <v>0</v>
      </c>
      <c r="AU282" s="63">
        <f t="shared" ref="AU282:AU313" si="268">ROUND(AT282*$P282,2)</f>
        <v>0</v>
      </c>
      <c r="AV282" s="61">
        <f>IFERROR(SUMIFS('BM MORRO DA CRUZ - VERTICAL'!AZ$6:AZ$546,'BM MORRO DA CRUZ - VERTICAL'!$O$6:$O$546,'BM MORRO DA CRUZ'!$K282),0)</f>
        <v>0</v>
      </c>
      <c r="AW282" s="63">
        <f t="shared" ref="AW282:AW313" si="269">ROUND(AV282*$P282,2)</f>
        <v>0</v>
      </c>
      <c r="AX282" s="61">
        <f>IFERROR(SUMIFS('BM MORRO DA CRUZ - VERTICAL'!BB$6:BB$546,'BM MORRO DA CRUZ - VERTICAL'!$O$6:$O$546,'BM MORRO DA CRUZ'!$K282),0)</f>
        <v>0</v>
      </c>
      <c r="AY282" s="63">
        <f t="shared" ref="AY282:AY313" si="270">ROUND(AX282*$P282,2)</f>
        <v>0</v>
      </c>
      <c r="AZ282" s="61">
        <f>IFERROR(SUMIFS('BM MORRO DA CRUZ - VERTICAL'!BD$6:BD$546,'BM MORRO DA CRUZ - VERTICAL'!$O$6:$O$546,'BM MORRO DA CRUZ'!$K282),0)</f>
        <v>0</v>
      </c>
      <c r="BA282" s="63">
        <f t="shared" ref="BA282:BA313" si="271">ROUND(AZ282*$P282,2)</f>
        <v>0</v>
      </c>
      <c r="BB282" s="61">
        <f t="shared" ref="BB282:BB313" si="272">IFERROR(SUMIFS($R282:$BA282,$R$5:$BA$5,$BB$5),0)</f>
        <v>0</v>
      </c>
      <c r="BC282" s="63">
        <f t="shared" ref="BC282:BC313" si="273">SUMIFS($R282:$BA282,$R$5:$BA$5,$S$5)</f>
        <v>0</v>
      </c>
      <c r="BD282" s="64">
        <f t="shared" ref="BD282:BD313" si="274">IFERROR(BB282/O282,0)</f>
        <v>0</v>
      </c>
      <c r="BE282" s="65">
        <f t="shared" ref="BE282:BE313" si="275">IFERROR((O282-BB282)/O282,0)</f>
        <v>1</v>
      </c>
      <c r="BF282" s="45"/>
    </row>
    <row r="283" spans="1:58" ht="35.65" x14ac:dyDescent="0.45">
      <c r="A283" s="56" t="s">
        <v>1059</v>
      </c>
      <c r="B283" s="506" t="s">
        <v>1816</v>
      </c>
      <c r="C283" s="507" t="s">
        <v>1795</v>
      </c>
      <c r="D283" s="507" t="s">
        <v>1795</v>
      </c>
      <c r="E283" s="507" t="s">
        <v>1817</v>
      </c>
      <c r="F283" s="507" t="s">
        <v>1818</v>
      </c>
      <c r="G283" s="507">
        <v>160</v>
      </c>
      <c r="H283" s="508" t="s">
        <v>267</v>
      </c>
      <c r="I283" s="507" t="s">
        <v>1760</v>
      </c>
      <c r="J283" s="508" t="s">
        <v>1055</v>
      </c>
      <c r="K283" s="57" t="s">
        <v>1060</v>
      </c>
      <c r="L283" s="58" t="s">
        <v>846</v>
      </c>
      <c r="M283" s="59" t="s">
        <v>1061</v>
      </c>
      <c r="N283" s="60" t="s">
        <v>71</v>
      </c>
      <c r="O283" s="61">
        <v>560</v>
      </c>
      <c r="P283" s="62">
        <v>33.69</v>
      </c>
      <c r="Q283" s="63">
        <f t="shared" si="253"/>
        <v>18866.400000000001</v>
      </c>
      <c r="R283" s="61">
        <f>IFERROR(SUMIFS('BM MORRO DA CRUZ - VERTICAL'!V$6:V$546,'BM MORRO DA CRUZ - VERTICAL'!$O$6:$O$546,'BM MORRO DA CRUZ'!$K283),0)</f>
        <v>0</v>
      </c>
      <c r="S283" s="63">
        <f t="shared" si="254"/>
        <v>0</v>
      </c>
      <c r="T283" s="61">
        <f>IFERROR(SUMIFS('BM MORRO DA CRUZ - VERTICAL'!X$6:X$546,'BM MORRO DA CRUZ - VERTICAL'!$O$6:$O$546,'BM MORRO DA CRUZ'!$K283),0)</f>
        <v>0</v>
      </c>
      <c r="U283" s="63">
        <f t="shared" si="255"/>
        <v>0</v>
      </c>
      <c r="V283" s="61">
        <f>IFERROR(SUMIFS('BM MORRO DA CRUZ - VERTICAL'!Z$6:Z$546,'BM MORRO DA CRUZ - VERTICAL'!$O$6:$O$546,'BM MORRO DA CRUZ'!$K283),0)</f>
        <v>0</v>
      </c>
      <c r="W283" s="63">
        <f t="shared" si="256"/>
        <v>0</v>
      </c>
      <c r="X283" s="61">
        <f>IFERROR(SUMIFS('BM MORRO DA CRUZ - VERTICAL'!AB$6:AB$546,'BM MORRO DA CRUZ - VERTICAL'!$O$6:$O$546,'BM MORRO DA CRUZ'!$K283),0)</f>
        <v>0</v>
      </c>
      <c r="Y283" s="63">
        <f t="shared" si="257"/>
        <v>0</v>
      </c>
      <c r="Z283" s="61">
        <f>IFERROR(SUMIFS('BM MORRO DA CRUZ - VERTICAL'!AD$6:AD$546,'BM MORRO DA CRUZ - VERTICAL'!$O$6:$O$546,'BM MORRO DA CRUZ'!$K283),0)</f>
        <v>0</v>
      </c>
      <c r="AA283" s="63">
        <f t="shared" si="258"/>
        <v>0</v>
      </c>
      <c r="AB283" s="61">
        <f>IFERROR(SUMIFS('BM MORRO DA CRUZ - VERTICAL'!AF$6:AF$546,'BM MORRO DA CRUZ - VERTICAL'!$O$6:$O$546,'BM MORRO DA CRUZ'!$K283),0)</f>
        <v>0</v>
      </c>
      <c r="AC283" s="63">
        <f t="shared" si="259"/>
        <v>0</v>
      </c>
      <c r="AD283" s="61">
        <f>IFERROR(SUMIFS('BM MORRO DA CRUZ - VERTICAL'!AH$6:AH$546,'BM MORRO DA CRUZ - VERTICAL'!$O$6:$O$546,'BM MORRO DA CRUZ'!$K283),0)</f>
        <v>0</v>
      </c>
      <c r="AE283" s="63">
        <f t="shared" si="260"/>
        <v>0</v>
      </c>
      <c r="AF283" s="61">
        <f>IFERROR(SUMIFS('BM MORRO DA CRUZ - VERTICAL'!AJ$6:AJ$546,'BM MORRO DA CRUZ - VERTICAL'!$O$6:$O$546,'BM MORRO DA CRUZ'!$K283),0)</f>
        <v>0</v>
      </c>
      <c r="AG283" s="63">
        <f t="shared" si="261"/>
        <v>0</v>
      </c>
      <c r="AH283" s="61">
        <f>IFERROR(SUMIFS('BM MORRO DA CRUZ - VERTICAL'!AL$6:AL$546,'BM MORRO DA CRUZ - VERTICAL'!$O$6:$O$546,'BM MORRO DA CRUZ'!$K283),0)</f>
        <v>0</v>
      </c>
      <c r="AI283" s="63">
        <f t="shared" si="262"/>
        <v>0</v>
      </c>
      <c r="AJ283" s="61">
        <f>IFERROR(SUMIFS('BM MORRO DA CRUZ - VERTICAL'!AN$6:AN$546,'BM MORRO DA CRUZ - VERTICAL'!$O$6:$O$546,'BM MORRO DA CRUZ'!$K283),0)</f>
        <v>0</v>
      </c>
      <c r="AK283" s="63">
        <f t="shared" si="263"/>
        <v>0</v>
      </c>
      <c r="AL283" s="61">
        <f>IFERROR(SUMIFS('BM MORRO DA CRUZ - VERTICAL'!AP$6:AP$546,'BM MORRO DA CRUZ - VERTICAL'!$O$6:$O$546,'BM MORRO DA CRUZ'!$K283),0)</f>
        <v>0</v>
      </c>
      <c r="AM283" s="63">
        <f t="shared" si="264"/>
        <v>0</v>
      </c>
      <c r="AN283" s="61">
        <f>IFERROR(SUMIFS('BM MORRO DA CRUZ - VERTICAL'!AR$6:AR$546,'BM MORRO DA CRUZ - VERTICAL'!$O$6:$O$546,'BM MORRO DA CRUZ'!$K283),0)</f>
        <v>0</v>
      </c>
      <c r="AO283" s="63">
        <f t="shared" si="265"/>
        <v>0</v>
      </c>
      <c r="AP283" s="61">
        <f>IFERROR(SUMIFS('BM MORRO DA CRUZ - VERTICAL'!AT$6:AT$546,'BM MORRO DA CRUZ - VERTICAL'!$O$6:$O$546,'BM MORRO DA CRUZ'!$K283),0)</f>
        <v>0</v>
      </c>
      <c r="AQ283" s="63">
        <f t="shared" si="266"/>
        <v>0</v>
      </c>
      <c r="AR283" s="61">
        <f>IFERROR(SUMIFS('BM MORRO DA CRUZ - VERTICAL'!AV$6:AV$546,'BM MORRO DA CRUZ - VERTICAL'!$O$6:$O$546,'BM MORRO DA CRUZ'!$K283),0)</f>
        <v>0</v>
      </c>
      <c r="AS283" s="63">
        <f t="shared" si="267"/>
        <v>0</v>
      </c>
      <c r="AT283" s="61">
        <f>IFERROR(SUMIFS('BM MORRO DA CRUZ - VERTICAL'!AX$6:AX$546,'BM MORRO DA CRUZ - VERTICAL'!$O$6:$O$546,'BM MORRO DA CRUZ'!$K283),0)</f>
        <v>0</v>
      </c>
      <c r="AU283" s="63">
        <f t="shared" si="268"/>
        <v>0</v>
      </c>
      <c r="AV283" s="61">
        <f>IFERROR(SUMIFS('BM MORRO DA CRUZ - VERTICAL'!AZ$6:AZ$546,'BM MORRO DA CRUZ - VERTICAL'!$O$6:$O$546,'BM MORRO DA CRUZ'!$K283),0)</f>
        <v>0</v>
      </c>
      <c r="AW283" s="63">
        <f t="shared" si="269"/>
        <v>0</v>
      </c>
      <c r="AX283" s="61">
        <f>IFERROR(SUMIFS('BM MORRO DA CRUZ - VERTICAL'!BB$6:BB$546,'BM MORRO DA CRUZ - VERTICAL'!$O$6:$O$546,'BM MORRO DA CRUZ'!$K283),0)</f>
        <v>0</v>
      </c>
      <c r="AY283" s="63">
        <f t="shared" si="270"/>
        <v>0</v>
      </c>
      <c r="AZ283" s="61">
        <f>IFERROR(SUMIFS('BM MORRO DA CRUZ - VERTICAL'!BD$6:BD$546,'BM MORRO DA CRUZ - VERTICAL'!$O$6:$O$546,'BM MORRO DA CRUZ'!$K283),0)</f>
        <v>0</v>
      </c>
      <c r="BA283" s="63">
        <f t="shared" si="271"/>
        <v>0</v>
      </c>
      <c r="BB283" s="61">
        <f t="shared" si="272"/>
        <v>0</v>
      </c>
      <c r="BC283" s="63">
        <f t="shared" si="273"/>
        <v>0</v>
      </c>
      <c r="BD283" s="64">
        <f t="shared" si="274"/>
        <v>0</v>
      </c>
      <c r="BE283" s="65">
        <f t="shared" si="275"/>
        <v>1</v>
      </c>
      <c r="BF283" s="45"/>
    </row>
    <row r="284" spans="1:58" ht="35.65" x14ac:dyDescent="0.45">
      <c r="A284" s="56" t="s">
        <v>1062</v>
      </c>
      <c r="B284" s="506" t="s">
        <v>1816</v>
      </c>
      <c r="C284" s="507" t="s">
        <v>1795</v>
      </c>
      <c r="D284" s="507" t="s">
        <v>1795</v>
      </c>
      <c r="E284" s="507" t="s">
        <v>1817</v>
      </c>
      <c r="F284" s="507" t="s">
        <v>1818</v>
      </c>
      <c r="G284" s="507">
        <v>200</v>
      </c>
      <c r="H284" s="508" t="s">
        <v>267</v>
      </c>
      <c r="I284" s="507" t="s">
        <v>79</v>
      </c>
      <c r="J284" s="508" t="s">
        <v>1055</v>
      </c>
      <c r="K284" s="57" t="s">
        <v>1063</v>
      </c>
      <c r="L284" s="58" t="s">
        <v>846</v>
      </c>
      <c r="M284" s="59" t="s">
        <v>1064</v>
      </c>
      <c r="N284" s="60" t="s">
        <v>71</v>
      </c>
      <c r="O284" s="61">
        <v>16</v>
      </c>
      <c r="P284" s="62">
        <v>42.12</v>
      </c>
      <c r="Q284" s="63">
        <f t="shared" si="253"/>
        <v>673.92</v>
      </c>
      <c r="R284" s="61">
        <f>IFERROR(SUMIFS('BM MORRO DA CRUZ - VERTICAL'!V$6:V$546,'BM MORRO DA CRUZ - VERTICAL'!$O$6:$O$546,'BM MORRO DA CRUZ'!$K284),0)</f>
        <v>0</v>
      </c>
      <c r="S284" s="63">
        <f t="shared" si="254"/>
        <v>0</v>
      </c>
      <c r="T284" s="61">
        <f>IFERROR(SUMIFS('BM MORRO DA CRUZ - VERTICAL'!X$6:X$546,'BM MORRO DA CRUZ - VERTICAL'!$O$6:$O$546,'BM MORRO DA CRUZ'!$K284),0)</f>
        <v>0</v>
      </c>
      <c r="U284" s="63">
        <f t="shared" si="255"/>
        <v>0</v>
      </c>
      <c r="V284" s="61">
        <f>IFERROR(SUMIFS('BM MORRO DA CRUZ - VERTICAL'!Z$6:Z$546,'BM MORRO DA CRUZ - VERTICAL'!$O$6:$O$546,'BM MORRO DA CRUZ'!$K284),0)</f>
        <v>0</v>
      </c>
      <c r="W284" s="63">
        <f t="shared" si="256"/>
        <v>0</v>
      </c>
      <c r="X284" s="61">
        <f>IFERROR(SUMIFS('BM MORRO DA CRUZ - VERTICAL'!AB$6:AB$546,'BM MORRO DA CRUZ - VERTICAL'!$O$6:$O$546,'BM MORRO DA CRUZ'!$K284),0)</f>
        <v>0</v>
      </c>
      <c r="Y284" s="63">
        <f t="shared" si="257"/>
        <v>0</v>
      </c>
      <c r="Z284" s="61">
        <f>IFERROR(SUMIFS('BM MORRO DA CRUZ - VERTICAL'!AD$6:AD$546,'BM MORRO DA CRUZ - VERTICAL'!$O$6:$O$546,'BM MORRO DA CRUZ'!$K284),0)</f>
        <v>0</v>
      </c>
      <c r="AA284" s="63">
        <f t="shared" si="258"/>
        <v>0</v>
      </c>
      <c r="AB284" s="61">
        <f>IFERROR(SUMIFS('BM MORRO DA CRUZ - VERTICAL'!AF$6:AF$546,'BM MORRO DA CRUZ - VERTICAL'!$O$6:$O$546,'BM MORRO DA CRUZ'!$K284),0)</f>
        <v>0</v>
      </c>
      <c r="AC284" s="63">
        <f t="shared" si="259"/>
        <v>0</v>
      </c>
      <c r="AD284" s="61">
        <f>IFERROR(SUMIFS('BM MORRO DA CRUZ - VERTICAL'!AH$6:AH$546,'BM MORRO DA CRUZ - VERTICAL'!$O$6:$O$546,'BM MORRO DA CRUZ'!$K284),0)</f>
        <v>0</v>
      </c>
      <c r="AE284" s="63">
        <f t="shared" si="260"/>
        <v>0</v>
      </c>
      <c r="AF284" s="61">
        <f>IFERROR(SUMIFS('BM MORRO DA CRUZ - VERTICAL'!AJ$6:AJ$546,'BM MORRO DA CRUZ - VERTICAL'!$O$6:$O$546,'BM MORRO DA CRUZ'!$K284),0)</f>
        <v>0</v>
      </c>
      <c r="AG284" s="63">
        <f t="shared" si="261"/>
        <v>0</v>
      </c>
      <c r="AH284" s="61">
        <f>IFERROR(SUMIFS('BM MORRO DA CRUZ - VERTICAL'!AL$6:AL$546,'BM MORRO DA CRUZ - VERTICAL'!$O$6:$O$546,'BM MORRO DA CRUZ'!$K284),0)</f>
        <v>0</v>
      </c>
      <c r="AI284" s="63">
        <f t="shared" si="262"/>
        <v>0</v>
      </c>
      <c r="AJ284" s="61">
        <f>IFERROR(SUMIFS('BM MORRO DA CRUZ - VERTICAL'!AN$6:AN$546,'BM MORRO DA CRUZ - VERTICAL'!$O$6:$O$546,'BM MORRO DA CRUZ'!$K284),0)</f>
        <v>0</v>
      </c>
      <c r="AK284" s="63">
        <f t="shared" si="263"/>
        <v>0</v>
      </c>
      <c r="AL284" s="61">
        <f>IFERROR(SUMIFS('BM MORRO DA CRUZ - VERTICAL'!AP$6:AP$546,'BM MORRO DA CRUZ - VERTICAL'!$O$6:$O$546,'BM MORRO DA CRUZ'!$K284),0)</f>
        <v>0</v>
      </c>
      <c r="AM284" s="63">
        <f t="shared" si="264"/>
        <v>0</v>
      </c>
      <c r="AN284" s="61">
        <f>IFERROR(SUMIFS('BM MORRO DA CRUZ - VERTICAL'!AR$6:AR$546,'BM MORRO DA CRUZ - VERTICAL'!$O$6:$O$546,'BM MORRO DA CRUZ'!$K284),0)</f>
        <v>0</v>
      </c>
      <c r="AO284" s="63">
        <f t="shared" si="265"/>
        <v>0</v>
      </c>
      <c r="AP284" s="61">
        <f>IFERROR(SUMIFS('BM MORRO DA CRUZ - VERTICAL'!AT$6:AT$546,'BM MORRO DA CRUZ - VERTICAL'!$O$6:$O$546,'BM MORRO DA CRUZ'!$K284),0)</f>
        <v>0</v>
      </c>
      <c r="AQ284" s="63">
        <f t="shared" si="266"/>
        <v>0</v>
      </c>
      <c r="AR284" s="61">
        <f>IFERROR(SUMIFS('BM MORRO DA CRUZ - VERTICAL'!AV$6:AV$546,'BM MORRO DA CRUZ - VERTICAL'!$O$6:$O$546,'BM MORRO DA CRUZ'!$K284),0)</f>
        <v>0</v>
      </c>
      <c r="AS284" s="63">
        <f t="shared" si="267"/>
        <v>0</v>
      </c>
      <c r="AT284" s="61">
        <f>IFERROR(SUMIFS('BM MORRO DA CRUZ - VERTICAL'!AX$6:AX$546,'BM MORRO DA CRUZ - VERTICAL'!$O$6:$O$546,'BM MORRO DA CRUZ'!$K284),0)</f>
        <v>0</v>
      </c>
      <c r="AU284" s="63">
        <f t="shared" si="268"/>
        <v>0</v>
      </c>
      <c r="AV284" s="61">
        <f>IFERROR(SUMIFS('BM MORRO DA CRUZ - VERTICAL'!AZ$6:AZ$546,'BM MORRO DA CRUZ - VERTICAL'!$O$6:$O$546,'BM MORRO DA CRUZ'!$K284),0)</f>
        <v>0</v>
      </c>
      <c r="AW284" s="63">
        <f t="shared" si="269"/>
        <v>0</v>
      </c>
      <c r="AX284" s="61">
        <f>IFERROR(SUMIFS('BM MORRO DA CRUZ - VERTICAL'!BB$6:BB$546,'BM MORRO DA CRUZ - VERTICAL'!$O$6:$O$546,'BM MORRO DA CRUZ'!$K284),0)</f>
        <v>0</v>
      </c>
      <c r="AY284" s="63">
        <f t="shared" si="270"/>
        <v>0</v>
      </c>
      <c r="AZ284" s="61">
        <f>IFERROR(SUMIFS('BM MORRO DA CRUZ - VERTICAL'!BD$6:BD$546,'BM MORRO DA CRUZ - VERTICAL'!$O$6:$O$546,'BM MORRO DA CRUZ'!$K284),0)</f>
        <v>0</v>
      </c>
      <c r="BA284" s="63">
        <f t="shared" si="271"/>
        <v>0</v>
      </c>
      <c r="BB284" s="61">
        <f t="shared" si="272"/>
        <v>0</v>
      </c>
      <c r="BC284" s="63">
        <f t="shared" si="273"/>
        <v>0</v>
      </c>
      <c r="BD284" s="64">
        <f t="shared" si="274"/>
        <v>0</v>
      </c>
      <c r="BE284" s="65">
        <f t="shared" si="275"/>
        <v>1</v>
      </c>
      <c r="BF284" s="45"/>
    </row>
    <row r="285" spans="1:58" ht="35.65" x14ac:dyDescent="0.45">
      <c r="A285" s="56" t="s">
        <v>1065</v>
      </c>
      <c r="B285" s="506" t="s">
        <v>1816</v>
      </c>
      <c r="C285" s="507" t="s">
        <v>1795</v>
      </c>
      <c r="D285" s="507" t="s">
        <v>1795</v>
      </c>
      <c r="E285" s="507" t="s">
        <v>1817</v>
      </c>
      <c r="F285" s="507" t="s">
        <v>1818</v>
      </c>
      <c r="G285" s="507">
        <v>225</v>
      </c>
      <c r="H285" s="508" t="s">
        <v>267</v>
      </c>
      <c r="I285" s="507" t="s">
        <v>1742</v>
      </c>
      <c r="J285" s="508" t="s">
        <v>1055</v>
      </c>
      <c r="K285" s="57" t="s">
        <v>1066</v>
      </c>
      <c r="L285" s="58" t="s">
        <v>846</v>
      </c>
      <c r="M285" s="59" t="s">
        <v>1067</v>
      </c>
      <c r="N285" s="60" t="s">
        <v>71</v>
      </c>
      <c r="O285" s="61">
        <v>187</v>
      </c>
      <c r="P285" s="62">
        <v>47.38</v>
      </c>
      <c r="Q285" s="63">
        <f t="shared" si="253"/>
        <v>8860.06</v>
      </c>
      <c r="R285" s="61">
        <f>IFERROR(SUMIFS('BM MORRO DA CRUZ - VERTICAL'!V$6:V$546,'BM MORRO DA CRUZ - VERTICAL'!$O$6:$O$546,'BM MORRO DA CRUZ'!$K285),0)</f>
        <v>0</v>
      </c>
      <c r="S285" s="63">
        <f t="shared" si="254"/>
        <v>0</v>
      </c>
      <c r="T285" s="61">
        <f>IFERROR(SUMIFS('BM MORRO DA CRUZ - VERTICAL'!X$6:X$546,'BM MORRO DA CRUZ - VERTICAL'!$O$6:$O$546,'BM MORRO DA CRUZ'!$K285),0)</f>
        <v>0</v>
      </c>
      <c r="U285" s="63">
        <f t="shared" si="255"/>
        <v>0</v>
      </c>
      <c r="V285" s="61">
        <f>IFERROR(SUMIFS('BM MORRO DA CRUZ - VERTICAL'!Z$6:Z$546,'BM MORRO DA CRUZ - VERTICAL'!$O$6:$O$546,'BM MORRO DA CRUZ'!$K285),0)</f>
        <v>0</v>
      </c>
      <c r="W285" s="63">
        <f t="shared" si="256"/>
        <v>0</v>
      </c>
      <c r="X285" s="61">
        <f>IFERROR(SUMIFS('BM MORRO DA CRUZ - VERTICAL'!AB$6:AB$546,'BM MORRO DA CRUZ - VERTICAL'!$O$6:$O$546,'BM MORRO DA CRUZ'!$K285),0)</f>
        <v>0</v>
      </c>
      <c r="Y285" s="63">
        <f t="shared" si="257"/>
        <v>0</v>
      </c>
      <c r="Z285" s="61">
        <f>IFERROR(SUMIFS('BM MORRO DA CRUZ - VERTICAL'!AD$6:AD$546,'BM MORRO DA CRUZ - VERTICAL'!$O$6:$O$546,'BM MORRO DA CRUZ'!$K285),0)</f>
        <v>0</v>
      </c>
      <c r="AA285" s="63">
        <f t="shared" si="258"/>
        <v>0</v>
      </c>
      <c r="AB285" s="61">
        <f>IFERROR(SUMIFS('BM MORRO DA CRUZ - VERTICAL'!AF$6:AF$546,'BM MORRO DA CRUZ - VERTICAL'!$O$6:$O$546,'BM MORRO DA CRUZ'!$K285),0)</f>
        <v>0</v>
      </c>
      <c r="AC285" s="63">
        <f t="shared" si="259"/>
        <v>0</v>
      </c>
      <c r="AD285" s="61">
        <f>IFERROR(SUMIFS('BM MORRO DA CRUZ - VERTICAL'!AH$6:AH$546,'BM MORRO DA CRUZ - VERTICAL'!$O$6:$O$546,'BM MORRO DA CRUZ'!$K285),0)</f>
        <v>0</v>
      </c>
      <c r="AE285" s="63">
        <f t="shared" si="260"/>
        <v>0</v>
      </c>
      <c r="AF285" s="61">
        <f>IFERROR(SUMIFS('BM MORRO DA CRUZ - VERTICAL'!AJ$6:AJ$546,'BM MORRO DA CRUZ - VERTICAL'!$O$6:$O$546,'BM MORRO DA CRUZ'!$K285),0)</f>
        <v>0</v>
      </c>
      <c r="AG285" s="63">
        <f t="shared" si="261"/>
        <v>0</v>
      </c>
      <c r="AH285" s="61">
        <f>IFERROR(SUMIFS('BM MORRO DA CRUZ - VERTICAL'!AL$6:AL$546,'BM MORRO DA CRUZ - VERTICAL'!$O$6:$O$546,'BM MORRO DA CRUZ'!$K285),0)</f>
        <v>0</v>
      </c>
      <c r="AI285" s="63">
        <f t="shared" si="262"/>
        <v>0</v>
      </c>
      <c r="AJ285" s="61">
        <f>IFERROR(SUMIFS('BM MORRO DA CRUZ - VERTICAL'!AN$6:AN$546,'BM MORRO DA CRUZ - VERTICAL'!$O$6:$O$546,'BM MORRO DA CRUZ'!$K285),0)</f>
        <v>0</v>
      </c>
      <c r="AK285" s="63">
        <f t="shared" si="263"/>
        <v>0</v>
      </c>
      <c r="AL285" s="61">
        <f>IFERROR(SUMIFS('BM MORRO DA CRUZ - VERTICAL'!AP$6:AP$546,'BM MORRO DA CRUZ - VERTICAL'!$O$6:$O$546,'BM MORRO DA CRUZ'!$K285),0)</f>
        <v>0</v>
      </c>
      <c r="AM285" s="63">
        <f t="shared" si="264"/>
        <v>0</v>
      </c>
      <c r="AN285" s="61">
        <f>IFERROR(SUMIFS('BM MORRO DA CRUZ - VERTICAL'!AR$6:AR$546,'BM MORRO DA CRUZ - VERTICAL'!$O$6:$O$546,'BM MORRO DA CRUZ'!$K285),0)</f>
        <v>0</v>
      </c>
      <c r="AO285" s="63">
        <f t="shared" si="265"/>
        <v>0</v>
      </c>
      <c r="AP285" s="61">
        <f>IFERROR(SUMIFS('BM MORRO DA CRUZ - VERTICAL'!AT$6:AT$546,'BM MORRO DA CRUZ - VERTICAL'!$O$6:$O$546,'BM MORRO DA CRUZ'!$K285),0)</f>
        <v>0</v>
      </c>
      <c r="AQ285" s="63">
        <f t="shared" si="266"/>
        <v>0</v>
      </c>
      <c r="AR285" s="61">
        <f>IFERROR(SUMIFS('BM MORRO DA CRUZ - VERTICAL'!AV$6:AV$546,'BM MORRO DA CRUZ - VERTICAL'!$O$6:$O$546,'BM MORRO DA CRUZ'!$K285),0)</f>
        <v>0</v>
      </c>
      <c r="AS285" s="63">
        <f t="shared" si="267"/>
        <v>0</v>
      </c>
      <c r="AT285" s="61">
        <f>IFERROR(SUMIFS('BM MORRO DA CRUZ - VERTICAL'!AX$6:AX$546,'BM MORRO DA CRUZ - VERTICAL'!$O$6:$O$546,'BM MORRO DA CRUZ'!$K285),0)</f>
        <v>0</v>
      </c>
      <c r="AU285" s="63">
        <f t="shared" si="268"/>
        <v>0</v>
      </c>
      <c r="AV285" s="61">
        <f>IFERROR(SUMIFS('BM MORRO DA CRUZ - VERTICAL'!AZ$6:AZ$546,'BM MORRO DA CRUZ - VERTICAL'!$O$6:$O$546,'BM MORRO DA CRUZ'!$K285),0)</f>
        <v>0</v>
      </c>
      <c r="AW285" s="63">
        <f t="shared" si="269"/>
        <v>0</v>
      </c>
      <c r="AX285" s="61">
        <f>IFERROR(SUMIFS('BM MORRO DA CRUZ - VERTICAL'!BB$6:BB$546,'BM MORRO DA CRUZ - VERTICAL'!$O$6:$O$546,'BM MORRO DA CRUZ'!$K285),0)</f>
        <v>0</v>
      </c>
      <c r="AY285" s="63">
        <f t="shared" si="270"/>
        <v>0</v>
      </c>
      <c r="AZ285" s="61">
        <f>IFERROR(SUMIFS('BM MORRO DA CRUZ - VERTICAL'!BD$6:BD$546,'BM MORRO DA CRUZ - VERTICAL'!$O$6:$O$546,'BM MORRO DA CRUZ'!$K285),0)</f>
        <v>0</v>
      </c>
      <c r="BA285" s="63">
        <f t="shared" si="271"/>
        <v>0</v>
      </c>
      <c r="BB285" s="61">
        <f t="shared" si="272"/>
        <v>0</v>
      </c>
      <c r="BC285" s="63">
        <f t="shared" si="273"/>
        <v>0</v>
      </c>
      <c r="BD285" s="64">
        <f t="shared" si="274"/>
        <v>0</v>
      </c>
      <c r="BE285" s="65">
        <f t="shared" si="275"/>
        <v>1</v>
      </c>
      <c r="BF285" s="45"/>
    </row>
    <row r="286" spans="1:58" ht="35.65" x14ac:dyDescent="0.45">
      <c r="A286" s="56" t="s">
        <v>1068</v>
      </c>
      <c r="B286" s="506" t="s">
        <v>1816</v>
      </c>
      <c r="C286" s="507" t="s">
        <v>1795</v>
      </c>
      <c r="D286" s="507" t="s">
        <v>1795</v>
      </c>
      <c r="E286" s="507" t="s">
        <v>1817</v>
      </c>
      <c r="F286" s="507" t="s">
        <v>1818</v>
      </c>
      <c r="G286" s="507">
        <v>250</v>
      </c>
      <c r="H286" s="508" t="s">
        <v>267</v>
      </c>
      <c r="I286" s="507" t="s">
        <v>1760</v>
      </c>
      <c r="J286" s="508" t="s">
        <v>1055</v>
      </c>
      <c r="K286" s="57" t="s">
        <v>1069</v>
      </c>
      <c r="L286" s="58" t="s">
        <v>846</v>
      </c>
      <c r="M286" s="59" t="s">
        <v>1070</v>
      </c>
      <c r="N286" s="60" t="s">
        <v>71</v>
      </c>
      <c r="O286" s="61">
        <v>61</v>
      </c>
      <c r="P286" s="62">
        <v>52.65</v>
      </c>
      <c r="Q286" s="63">
        <f t="shared" si="253"/>
        <v>3211.65</v>
      </c>
      <c r="R286" s="61">
        <f>IFERROR(SUMIFS('BM MORRO DA CRUZ - VERTICAL'!V$6:V$546,'BM MORRO DA CRUZ - VERTICAL'!$O$6:$O$546,'BM MORRO DA CRUZ'!$K286),0)</f>
        <v>0</v>
      </c>
      <c r="S286" s="63">
        <f t="shared" si="254"/>
        <v>0</v>
      </c>
      <c r="T286" s="61">
        <f>IFERROR(SUMIFS('BM MORRO DA CRUZ - VERTICAL'!X$6:X$546,'BM MORRO DA CRUZ - VERTICAL'!$O$6:$O$546,'BM MORRO DA CRUZ'!$K286),0)</f>
        <v>0</v>
      </c>
      <c r="U286" s="63">
        <f t="shared" si="255"/>
        <v>0</v>
      </c>
      <c r="V286" s="61">
        <f>IFERROR(SUMIFS('BM MORRO DA CRUZ - VERTICAL'!Z$6:Z$546,'BM MORRO DA CRUZ - VERTICAL'!$O$6:$O$546,'BM MORRO DA CRUZ'!$K286),0)</f>
        <v>0</v>
      </c>
      <c r="W286" s="63">
        <f t="shared" si="256"/>
        <v>0</v>
      </c>
      <c r="X286" s="61">
        <f>IFERROR(SUMIFS('BM MORRO DA CRUZ - VERTICAL'!AB$6:AB$546,'BM MORRO DA CRUZ - VERTICAL'!$O$6:$O$546,'BM MORRO DA CRUZ'!$K286),0)</f>
        <v>0</v>
      </c>
      <c r="Y286" s="63">
        <f t="shared" si="257"/>
        <v>0</v>
      </c>
      <c r="Z286" s="61">
        <f>IFERROR(SUMIFS('BM MORRO DA CRUZ - VERTICAL'!AD$6:AD$546,'BM MORRO DA CRUZ - VERTICAL'!$O$6:$O$546,'BM MORRO DA CRUZ'!$K286),0)</f>
        <v>0</v>
      </c>
      <c r="AA286" s="63">
        <f t="shared" si="258"/>
        <v>0</v>
      </c>
      <c r="AB286" s="61">
        <f>IFERROR(SUMIFS('BM MORRO DA CRUZ - VERTICAL'!AF$6:AF$546,'BM MORRO DA CRUZ - VERTICAL'!$O$6:$O$546,'BM MORRO DA CRUZ'!$K286),0)</f>
        <v>0</v>
      </c>
      <c r="AC286" s="63">
        <f t="shared" si="259"/>
        <v>0</v>
      </c>
      <c r="AD286" s="61">
        <f>IFERROR(SUMIFS('BM MORRO DA CRUZ - VERTICAL'!AH$6:AH$546,'BM MORRO DA CRUZ - VERTICAL'!$O$6:$O$546,'BM MORRO DA CRUZ'!$K286),0)</f>
        <v>0</v>
      </c>
      <c r="AE286" s="63">
        <f t="shared" si="260"/>
        <v>0</v>
      </c>
      <c r="AF286" s="61">
        <f>IFERROR(SUMIFS('BM MORRO DA CRUZ - VERTICAL'!AJ$6:AJ$546,'BM MORRO DA CRUZ - VERTICAL'!$O$6:$O$546,'BM MORRO DA CRUZ'!$K286),0)</f>
        <v>0</v>
      </c>
      <c r="AG286" s="63">
        <f t="shared" si="261"/>
        <v>0</v>
      </c>
      <c r="AH286" s="61">
        <f>IFERROR(SUMIFS('BM MORRO DA CRUZ - VERTICAL'!AL$6:AL$546,'BM MORRO DA CRUZ - VERTICAL'!$O$6:$O$546,'BM MORRO DA CRUZ'!$K286),0)</f>
        <v>0</v>
      </c>
      <c r="AI286" s="63">
        <f t="shared" si="262"/>
        <v>0</v>
      </c>
      <c r="AJ286" s="61">
        <f>IFERROR(SUMIFS('BM MORRO DA CRUZ - VERTICAL'!AN$6:AN$546,'BM MORRO DA CRUZ - VERTICAL'!$O$6:$O$546,'BM MORRO DA CRUZ'!$K286),0)</f>
        <v>0</v>
      </c>
      <c r="AK286" s="63">
        <f t="shared" si="263"/>
        <v>0</v>
      </c>
      <c r="AL286" s="61">
        <f>IFERROR(SUMIFS('BM MORRO DA CRUZ - VERTICAL'!AP$6:AP$546,'BM MORRO DA CRUZ - VERTICAL'!$O$6:$O$546,'BM MORRO DA CRUZ'!$K286),0)</f>
        <v>0</v>
      </c>
      <c r="AM286" s="63">
        <f t="shared" si="264"/>
        <v>0</v>
      </c>
      <c r="AN286" s="61">
        <f>IFERROR(SUMIFS('BM MORRO DA CRUZ - VERTICAL'!AR$6:AR$546,'BM MORRO DA CRUZ - VERTICAL'!$O$6:$O$546,'BM MORRO DA CRUZ'!$K286),0)</f>
        <v>0</v>
      </c>
      <c r="AO286" s="63">
        <f t="shared" si="265"/>
        <v>0</v>
      </c>
      <c r="AP286" s="61">
        <f>IFERROR(SUMIFS('BM MORRO DA CRUZ - VERTICAL'!AT$6:AT$546,'BM MORRO DA CRUZ - VERTICAL'!$O$6:$O$546,'BM MORRO DA CRUZ'!$K286),0)</f>
        <v>0</v>
      </c>
      <c r="AQ286" s="63">
        <f t="shared" si="266"/>
        <v>0</v>
      </c>
      <c r="AR286" s="61">
        <f>IFERROR(SUMIFS('BM MORRO DA CRUZ - VERTICAL'!AV$6:AV$546,'BM MORRO DA CRUZ - VERTICAL'!$O$6:$O$546,'BM MORRO DA CRUZ'!$K286),0)</f>
        <v>0</v>
      </c>
      <c r="AS286" s="63">
        <f t="shared" si="267"/>
        <v>0</v>
      </c>
      <c r="AT286" s="61">
        <f>IFERROR(SUMIFS('BM MORRO DA CRUZ - VERTICAL'!AX$6:AX$546,'BM MORRO DA CRUZ - VERTICAL'!$O$6:$O$546,'BM MORRO DA CRUZ'!$K286),0)</f>
        <v>0</v>
      </c>
      <c r="AU286" s="63">
        <f t="shared" si="268"/>
        <v>0</v>
      </c>
      <c r="AV286" s="61">
        <f>IFERROR(SUMIFS('BM MORRO DA CRUZ - VERTICAL'!AZ$6:AZ$546,'BM MORRO DA CRUZ - VERTICAL'!$O$6:$O$546,'BM MORRO DA CRUZ'!$K286),0)</f>
        <v>0</v>
      </c>
      <c r="AW286" s="63">
        <f t="shared" si="269"/>
        <v>0</v>
      </c>
      <c r="AX286" s="61">
        <f>IFERROR(SUMIFS('BM MORRO DA CRUZ - VERTICAL'!BB$6:BB$546,'BM MORRO DA CRUZ - VERTICAL'!$O$6:$O$546,'BM MORRO DA CRUZ'!$K286),0)</f>
        <v>0</v>
      </c>
      <c r="AY286" s="63">
        <f t="shared" si="270"/>
        <v>0</v>
      </c>
      <c r="AZ286" s="61">
        <f>IFERROR(SUMIFS('BM MORRO DA CRUZ - VERTICAL'!BD$6:BD$546,'BM MORRO DA CRUZ - VERTICAL'!$O$6:$O$546,'BM MORRO DA CRUZ'!$K286),0)</f>
        <v>0</v>
      </c>
      <c r="BA286" s="63">
        <f t="shared" si="271"/>
        <v>0</v>
      </c>
      <c r="BB286" s="61">
        <f t="shared" si="272"/>
        <v>0</v>
      </c>
      <c r="BC286" s="63">
        <f t="shared" si="273"/>
        <v>0</v>
      </c>
      <c r="BD286" s="64">
        <f t="shared" si="274"/>
        <v>0</v>
      </c>
      <c r="BE286" s="65">
        <f t="shared" si="275"/>
        <v>1</v>
      </c>
      <c r="BF286" s="45"/>
    </row>
    <row r="287" spans="1:58" ht="35.65" x14ac:dyDescent="0.45">
      <c r="A287" s="56" t="s">
        <v>1071</v>
      </c>
      <c r="B287" s="506" t="s">
        <v>1816</v>
      </c>
      <c r="C287" s="507" t="s">
        <v>1795</v>
      </c>
      <c r="D287" s="507" t="s">
        <v>1795</v>
      </c>
      <c r="E287" s="507" t="s">
        <v>1817</v>
      </c>
      <c r="F287" s="507" t="s">
        <v>1818</v>
      </c>
      <c r="G287" s="507">
        <v>280</v>
      </c>
      <c r="H287" s="508" t="s">
        <v>267</v>
      </c>
      <c r="I287" s="507" t="s">
        <v>763</v>
      </c>
      <c r="J287" s="508" t="s">
        <v>1055</v>
      </c>
      <c r="K287" s="57" t="s">
        <v>1072</v>
      </c>
      <c r="L287" s="58" t="s">
        <v>846</v>
      </c>
      <c r="M287" s="59" t="s">
        <v>1073</v>
      </c>
      <c r="N287" s="60" t="s">
        <v>71</v>
      </c>
      <c r="O287" s="61">
        <v>9</v>
      </c>
      <c r="P287" s="62">
        <v>58.96</v>
      </c>
      <c r="Q287" s="63">
        <f t="shared" si="253"/>
        <v>530.64</v>
      </c>
      <c r="R287" s="61">
        <f>IFERROR(SUMIFS('BM MORRO DA CRUZ - VERTICAL'!V$6:V$546,'BM MORRO DA CRUZ - VERTICAL'!$O$6:$O$546,'BM MORRO DA CRUZ'!$K287),0)</f>
        <v>0</v>
      </c>
      <c r="S287" s="63">
        <f t="shared" si="254"/>
        <v>0</v>
      </c>
      <c r="T287" s="61">
        <f>IFERROR(SUMIFS('BM MORRO DA CRUZ - VERTICAL'!X$6:X$546,'BM MORRO DA CRUZ - VERTICAL'!$O$6:$O$546,'BM MORRO DA CRUZ'!$K287),0)</f>
        <v>0</v>
      </c>
      <c r="U287" s="63">
        <f t="shared" si="255"/>
        <v>0</v>
      </c>
      <c r="V287" s="61">
        <f>IFERROR(SUMIFS('BM MORRO DA CRUZ - VERTICAL'!Z$6:Z$546,'BM MORRO DA CRUZ - VERTICAL'!$O$6:$O$546,'BM MORRO DA CRUZ'!$K287),0)</f>
        <v>0</v>
      </c>
      <c r="W287" s="63">
        <f t="shared" si="256"/>
        <v>0</v>
      </c>
      <c r="X287" s="61">
        <f>IFERROR(SUMIFS('BM MORRO DA CRUZ - VERTICAL'!AB$6:AB$546,'BM MORRO DA CRUZ - VERTICAL'!$O$6:$O$546,'BM MORRO DA CRUZ'!$K287),0)</f>
        <v>0</v>
      </c>
      <c r="Y287" s="63">
        <f t="shared" si="257"/>
        <v>0</v>
      </c>
      <c r="Z287" s="61">
        <f>IFERROR(SUMIFS('BM MORRO DA CRUZ - VERTICAL'!AD$6:AD$546,'BM MORRO DA CRUZ - VERTICAL'!$O$6:$O$546,'BM MORRO DA CRUZ'!$K287),0)</f>
        <v>0</v>
      </c>
      <c r="AA287" s="63">
        <f t="shared" si="258"/>
        <v>0</v>
      </c>
      <c r="AB287" s="61">
        <f>IFERROR(SUMIFS('BM MORRO DA CRUZ - VERTICAL'!AF$6:AF$546,'BM MORRO DA CRUZ - VERTICAL'!$O$6:$O$546,'BM MORRO DA CRUZ'!$K287),0)</f>
        <v>0</v>
      </c>
      <c r="AC287" s="63">
        <f t="shared" si="259"/>
        <v>0</v>
      </c>
      <c r="AD287" s="61">
        <f>IFERROR(SUMIFS('BM MORRO DA CRUZ - VERTICAL'!AH$6:AH$546,'BM MORRO DA CRUZ - VERTICAL'!$O$6:$O$546,'BM MORRO DA CRUZ'!$K287),0)</f>
        <v>0</v>
      </c>
      <c r="AE287" s="63">
        <f t="shared" si="260"/>
        <v>0</v>
      </c>
      <c r="AF287" s="61">
        <f>IFERROR(SUMIFS('BM MORRO DA CRUZ - VERTICAL'!AJ$6:AJ$546,'BM MORRO DA CRUZ - VERTICAL'!$O$6:$O$546,'BM MORRO DA CRUZ'!$K287),0)</f>
        <v>0</v>
      </c>
      <c r="AG287" s="63">
        <f t="shared" si="261"/>
        <v>0</v>
      </c>
      <c r="AH287" s="61">
        <f>IFERROR(SUMIFS('BM MORRO DA CRUZ - VERTICAL'!AL$6:AL$546,'BM MORRO DA CRUZ - VERTICAL'!$O$6:$O$546,'BM MORRO DA CRUZ'!$K287),0)</f>
        <v>0</v>
      </c>
      <c r="AI287" s="63">
        <f t="shared" si="262"/>
        <v>0</v>
      </c>
      <c r="AJ287" s="61">
        <f>IFERROR(SUMIFS('BM MORRO DA CRUZ - VERTICAL'!AN$6:AN$546,'BM MORRO DA CRUZ - VERTICAL'!$O$6:$O$546,'BM MORRO DA CRUZ'!$K287),0)</f>
        <v>0</v>
      </c>
      <c r="AK287" s="63">
        <f t="shared" si="263"/>
        <v>0</v>
      </c>
      <c r="AL287" s="61">
        <f>IFERROR(SUMIFS('BM MORRO DA CRUZ - VERTICAL'!AP$6:AP$546,'BM MORRO DA CRUZ - VERTICAL'!$O$6:$O$546,'BM MORRO DA CRUZ'!$K287),0)</f>
        <v>0</v>
      </c>
      <c r="AM287" s="63">
        <f t="shared" si="264"/>
        <v>0</v>
      </c>
      <c r="AN287" s="61">
        <f>IFERROR(SUMIFS('BM MORRO DA CRUZ - VERTICAL'!AR$6:AR$546,'BM MORRO DA CRUZ - VERTICAL'!$O$6:$O$546,'BM MORRO DA CRUZ'!$K287),0)</f>
        <v>0</v>
      </c>
      <c r="AO287" s="63">
        <f t="shared" si="265"/>
        <v>0</v>
      </c>
      <c r="AP287" s="61">
        <f>IFERROR(SUMIFS('BM MORRO DA CRUZ - VERTICAL'!AT$6:AT$546,'BM MORRO DA CRUZ - VERTICAL'!$O$6:$O$546,'BM MORRO DA CRUZ'!$K287),0)</f>
        <v>0</v>
      </c>
      <c r="AQ287" s="63">
        <f t="shared" si="266"/>
        <v>0</v>
      </c>
      <c r="AR287" s="61">
        <f>IFERROR(SUMIFS('BM MORRO DA CRUZ - VERTICAL'!AV$6:AV$546,'BM MORRO DA CRUZ - VERTICAL'!$O$6:$O$546,'BM MORRO DA CRUZ'!$K287),0)</f>
        <v>0</v>
      </c>
      <c r="AS287" s="63">
        <f t="shared" si="267"/>
        <v>0</v>
      </c>
      <c r="AT287" s="61">
        <f>IFERROR(SUMIFS('BM MORRO DA CRUZ - VERTICAL'!AX$6:AX$546,'BM MORRO DA CRUZ - VERTICAL'!$O$6:$O$546,'BM MORRO DA CRUZ'!$K287),0)</f>
        <v>0</v>
      </c>
      <c r="AU287" s="63">
        <f t="shared" si="268"/>
        <v>0</v>
      </c>
      <c r="AV287" s="61">
        <f>IFERROR(SUMIFS('BM MORRO DA CRUZ - VERTICAL'!AZ$6:AZ$546,'BM MORRO DA CRUZ - VERTICAL'!$O$6:$O$546,'BM MORRO DA CRUZ'!$K287),0)</f>
        <v>0</v>
      </c>
      <c r="AW287" s="63">
        <f t="shared" si="269"/>
        <v>0</v>
      </c>
      <c r="AX287" s="61">
        <f>IFERROR(SUMIFS('BM MORRO DA CRUZ - VERTICAL'!BB$6:BB$546,'BM MORRO DA CRUZ - VERTICAL'!$O$6:$O$546,'BM MORRO DA CRUZ'!$K287),0)</f>
        <v>0</v>
      </c>
      <c r="AY287" s="63">
        <f t="shared" si="270"/>
        <v>0</v>
      </c>
      <c r="AZ287" s="61">
        <f>IFERROR(SUMIFS('BM MORRO DA CRUZ - VERTICAL'!BD$6:BD$546,'BM MORRO DA CRUZ - VERTICAL'!$O$6:$O$546,'BM MORRO DA CRUZ'!$K287),0)</f>
        <v>0</v>
      </c>
      <c r="BA287" s="63">
        <f t="shared" si="271"/>
        <v>0</v>
      </c>
      <c r="BB287" s="61">
        <f t="shared" si="272"/>
        <v>0</v>
      </c>
      <c r="BC287" s="63">
        <f t="shared" si="273"/>
        <v>0</v>
      </c>
      <c r="BD287" s="64">
        <f t="shared" si="274"/>
        <v>0</v>
      </c>
      <c r="BE287" s="65">
        <f t="shared" si="275"/>
        <v>1</v>
      </c>
      <c r="BF287" s="45"/>
    </row>
    <row r="288" spans="1:58" ht="35.65" x14ac:dyDescent="0.45">
      <c r="A288" s="56" t="s">
        <v>1074</v>
      </c>
      <c r="B288" s="506" t="s">
        <v>1816</v>
      </c>
      <c r="C288" s="507" t="s">
        <v>1795</v>
      </c>
      <c r="D288" s="507" t="s">
        <v>1795</v>
      </c>
      <c r="E288" s="507" t="s">
        <v>1817</v>
      </c>
      <c r="F288" s="507" t="s">
        <v>1818</v>
      </c>
      <c r="G288" s="507">
        <v>315</v>
      </c>
      <c r="H288" s="508" t="s">
        <v>267</v>
      </c>
      <c r="I288" s="507" t="s">
        <v>763</v>
      </c>
      <c r="J288" s="508" t="s">
        <v>1055</v>
      </c>
      <c r="K288" s="57" t="s">
        <v>1075</v>
      </c>
      <c r="L288" s="58" t="s">
        <v>846</v>
      </c>
      <c r="M288" s="59" t="s">
        <v>1076</v>
      </c>
      <c r="N288" s="60" t="s">
        <v>71</v>
      </c>
      <c r="O288" s="61">
        <v>44</v>
      </c>
      <c r="P288" s="62">
        <v>66.34</v>
      </c>
      <c r="Q288" s="63">
        <f t="shared" si="253"/>
        <v>2918.96</v>
      </c>
      <c r="R288" s="61">
        <f>IFERROR(SUMIFS('BM MORRO DA CRUZ - VERTICAL'!V$6:V$546,'BM MORRO DA CRUZ - VERTICAL'!$O$6:$O$546,'BM MORRO DA CRUZ'!$K288),0)</f>
        <v>0</v>
      </c>
      <c r="S288" s="63">
        <f t="shared" si="254"/>
        <v>0</v>
      </c>
      <c r="T288" s="61">
        <f>IFERROR(SUMIFS('BM MORRO DA CRUZ - VERTICAL'!X$6:X$546,'BM MORRO DA CRUZ - VERTICAL'!$O$6:$O$546,'BM MORRO DA CRUZ'!$K288),0)</f>
        <v>0</v>
      </c>
      <c r="U288" s="63">
        <f t="shared" si="255"/>
        <v>0</v>
      </c>
      <c r="V288" s="61">
        <f>IFERROR(SUMIFS('BM MORRO DA CRUZ - VERTICAL'!Z$6:Z$546,'BM MORRO DA CRUZ - VERTICAL'!$O$6:$O$546,'BM MORRO DA CRUZ'!$K288),0)</f>
        <v>0</v>
      </c>
      <c r="W288" s="63">
        <f t="shared" si="256"/>
        <v>0</v>
      </c>
      <c r="X288" s="61">
        <f>IFERROR(SUMIFS('BM MORRO DA CRUZ - VERTICAL'!AB$6:AB$546,'BM MORRO DA CRUZ - VERTICAL'!$O$6:$O$546,'BM MORRO DA CRUZ'!$K288),0)</f>
        <v>0</v>
      </c>
      <c r="Y288" s="63">
        <f t="shared" si="257"/>
        <v>0</v>
      </c>
      <c r="Z288" s="61">
        <f>IFERROR(SUMIFS('BM MORRO DA CRUZ - VERTICAL'!AD$6:AD$546,'BM MORRO DA CRUZ - VERTICAL'!$O$6:$O$546,'BM MORRO DA CRUZ'!$K288),0)</f>
        <v>0</v>
      </c>
      <c r="AA288" s="63">
        <f t="shared" si="258"/>
        <v>0</v>
      </c>
      <c r="AB288" s="61">
        <f>IFERROR(SUMIFS('BM MORRO DA CRUZ - VERTICAL'!AF$6:AF$546,'BM MORRO DA CRUZ - VERTICAL'!$O$6:$O$546,'BM MORRO DA CRUZ'!$K288),0)</f>
        <v>0</v>
      </c>
      <c r="AC288" s="63">
        <f t="shared" si="259"/>
        <v>0</v>
      </c>
      <c r="AD288" s="61">
        <f>IFERROR(SUMIFS('BM MORRO DA CRUZ - VERTICAL'!AH$6:AH$546,'BM MORRO DA CRUZ - VERTICAL'!$O$6:$O$546,'BM MORRO DA CRUZ'!$K288),0)</f>
        <v>0</v>
      </c>
      <c r="AE288" s="63">
        <f t="shared" si="260"/>
        <v>0</v>
      </c>
      <c r="AF288" s="61">
        <f>IFERROR(SUMIFS('BM MORRO DA CRUZ - VERTICAL'!AJ$6:AJ$546,'BM MORRO DA CRUZ - VERTICAL'!$O$6:$O$546,'BM MORRO DA CRUZ'!$K288),0)</f>
        <v>0</v>
      </c>
      <c r="AG288" s="63">
        <f t="shared" si="261"/>
        <v>0</v>
      </c>
      <c r="AH288" s="61">
        <f>IFERROR(SUMIFS('BM MORRO DA CRUZ - VERTICAL'!AL$6:AL$546,'BM MORRO DA CRUZ - VERTICAL'!$O$6:$O$546,'BM MORRO DA CRUZ'!$K288),0)</f>
        <v>0</v>
      </c>
      <c r="AI288" s="63">
        <f t="shared" si="262"/>
        <v>0</v>
      </c>
      <c r="AJ288" s="61">
        <f>IFERROR(SUMIFS('BM MORRO DA CRUZ - VERTICAL'!AN$6:AN$546,'BM MORRO DA CRUZ - VERTICAL'!$O$6:$O$546,'BM MORRO DA CRUZ'!$K288),0)</f>
        <v>0</v>
      </c>
      <c r="AK288" s="63">
        <f t="shared" si="263"/>
        <v>0</v>
      </c>
      <c r="AL288" s="61">
        <f>IFERROR(SUMIFS('BM MORRO DA CRUZ - VERTICAL'!AP$6:AP$546,'BM MORRO DA CRUZ - VERTICAL'!$O$6:$O$546,'BM MORRO DA CRUZ'!$K288),0)</f>
        <v>0</v>
      </c>
      <c r="AM288" s="63">
        <f t="shared" si="264"/>
        <v>0</v>
      </c>
      <c r="AN288" s="61">
        <f>IFERROR(SUMIFS('BM MORRO DA CRUZ - VERTICAL'!AR$6:AR$546,'BM MORRO DA CRUZ - VERTICAL'!$O$6:$O$546,'BM MORRO DA CRUZ'!$K288),0)</f>
        <v>0</v>
      </c>
      <c r="AO288" s="63">
        <f t="shared" si="265"/>
        <v>0</v>
      </c>
      <c r="AP288" s="61">
        <f>IFERROR(SUMIFS('BM MORRO DA CRUZ - VERTICAL'!AT$6:AT$546,'BM MORRO DA CRUZ - VERTICAL'!$O$6:$O$546,'BM MORRO DA CRUZ'!$K288),0)</f>
        <v>0</v>
      </c>
      <c r="AQ288" s="63">
        <f t="shared" si="266"/>
        <v>0</v>
      </c>
      <c r="AR288" s="61">
        <f>IFERROR(SUMIFS('BM MORRO DA CRUZ - VERTICAL'!AV$6:AV$546,'BM MORRO DA CRUZ - VERTICAL'!$O$6:$O$546,'BM MORRO DA CRUZ'!$K288),0)</f>
        <v>0</v>
      </c>
      <c r="AS288" s="63">
        <f t="shared" si="267"/>
        <v>0</v>
      </c>
      <c r="AT288" s="61">
        <f>IFERROR(SUMIFS('BM MORRO DA CRUZ - VERTICAL'!AX$6:AX$546,'BM MORRO DA CRUZ - VERTICAL'!$O$6:$O$546,'BM MORRO DA CRUZ'!$K288),0)</f>
        <v>0</v>
      </c>
      <c r="AU288" s="63">
        <f t="shared" si="268"/>
        <v>0</v>
      </c>
      <c r="AV288" s="61">
        <f>IFERROR(SUMIFS('BM MORRO DA CRUZ - VERTICAL'!AZ$6:AZ$546,'BM MORRO DA CRUZ - VERTICAL'!$O$6:$O$546,'BM MORRO DA CRUZ'!$K288),0)</f>
        <v>0</v>
      </c>
      <c r="AW288" s="63">
        <f t="shared" si="269"/>
        <v>0</v>
      </c>
      <c r="AX288" s="61">
        <f>IFERROR(SUMIFS('BM MORRO DA CRUZ - VERTICAL'!BB$6:BB$546,'BM MORRO DA CRUZ - VERTICAL'!$O$6:$O$546,'BM MORRO DA CRUZ'!$K288),0)</f>
        <v>0</v>
      </c>
      <c r="AY288" s="63">
        <f t="shared" si="270"/>
        <v>0</v>
      </c>
      <c r="AZ288" s="61">
        <f>IFERROR(SUMIFS('BM MORRO DA CRUZ - VERTICAL'!BD$6:BD$546,'BM MORRO DA CRUZ - VERTICAL'!$O$6:$O$546,'BM MORRO DA CRUZ'!$K288),0)</f>
        <v>0</v>
      </c>
      <c r="BA288" s="63">
        <f t="shared" si="271"/>
        <v>0</v>
      </c>
      <c r="BB288" s="61">
        <f t="shared" si="272"/>
        <v>0</v>
      </c>
      <c r="BC288" s="63">
        <f t="shared" si="273"/>
        <v>0</v>
      </c>
      <c r="BD288" s="64">
        <f t="shared" si="274"/>
        <v>0</v>
      </c>
      <c r="BE288" s="65">
        <f t="shared" si="275"/>
        <v>1</v>
      </c>
      <c r="BF288" s="45"/>
    </row>
    <row r="289" spans="1:58" ht="35.65" x14ac:dyDescent="0.45">
      <c r="A289" s="56" t="s">
        <v>1077</v>
      </c>
      <c r="B289" s="506" t="s">
        <v>1816</v>
      </c>
      <c r="C289" s="507" t="s">
        <v>1795</v>
      </c>
      <c r="D289" s="507" t="s">
        <v>1795</v>
      </c>
      <c r="E289" s="507" t="s">
        <v>1817</v>
      </c>
      <c r="F289" s="507" t="s">
        <v>1818</v>
      </c>
      <c r="G289" s="507">
        <v>355</v>
      </c>
      <c r="H289" s="508" t="s">
        <v>267</v>
      </c>
      <c r="I289" s="507" t="s">
        <v>763</v>
      </c>
      <c r="J289" s="508" t="s">
        <v>1055</v>
      </c>
      <c r="K289" s="57" t="s">
        <v>1078</v>
      </c>
      <c r="L289" s="58" t="s">
        <v>846</v>
      </c>
      <c r="M289" s="59" t="s">
        <v>1079</v>
      </c>
      <c r="N289" s="60" t="s">
        <v>71</v>
      </c>
      <c r="O289" s="61">
        <v>14</v>
      </c>
      <c r="P289" s="62">
        <v>74.77</v>
      </c>
      <c r="Q289" s="63">
        <f t="shared" si="253"/>
        <v>1046.78</v>
      </c>
      <c r="R289" s="61">
        <f>IFERROR(SUMIFS('BM MORRO DA CRUZ - VERTICAL'!V$6:V$546,'BM MORRO DA CRUZ - VERTICAL'!$O$6:$O$546,'BM MORRO DA CRUZ'!$K289),0)</f>
        <v>0</v>
      </c>
      <c r="S289" s="63">
        <f t="shared" si="254"/>
        <v>0</v>
      </c>
      <c r="T289" s="61">
        <f>IFERROR(SUMIFS('BM MORRO DA CRUZ - VERTICAL'!X$6:X$546,'BM MORRO DA CRUZ - VERTICAL'!$O$6:$O$546,'BM MORRO DA CRUZ'!$K289),0)</f>
        <v>0</v>
      </c>
      <c r="U289" s="63">
        <f t="shared" si="255"/>
        <v>0</v>
      </c>
      <c r="V289" s="61">
        <f>IFERROR(SUMIFS('BM MORRO DA CRUZ - VERTICAL'!Z$6:Z$546,'BM MORRO DA CRUZ - VERTICAL'!$O$6:$O$546,'BM MORRO DA CRUZ'!$K289),0)</f>
        <v>0</v>
      </c>
      <c r="W289" s="63">
        <f t="shared" si="256"/>
        <v>0</v>
      </c>
      <c r="X289" s="61">
        <f>IFERROR(SUMIFS('BM MORRO DA CRUZ - VERTICAL'!AB$6:AB$546,'BM MORRO DA CRUZ - VERTICAL'!$O$6:$O$546,'BM MORRO DA CRUZ'!$K289),0)</f>
        <v>0</v>
      </c>
      <c r="Y289" s="63">
        <f t="shared" si="257"/>
        <v>0</v>
      </c>
      <c r="Z289" s="61">
        <f>IFERROR(SUMIFS('BM MORRO DA CRUZ - VERTICAL'!AD$6:AD$546,'BM MORRO DA CRUZ - VERTICAL'!$O$6:$O$546,'BM MORRO DA CRUZ'!$K289),0)</f>
        <v>0</v>
      </c>
      <c r="AA289" s="63">
        <f t="shared" si="258"/>
        <v>0</v>
      </c>
      <c r="AB289" s="61">
        <f>IFERROR(SUMIFS('BM MORRO DA CRUZ - VERTICAL'!AF$6:AF$546,'BM MORRO DA CRUZ - VERTICAL'!$O$6:$O$546,'BM MORRO DA CRUZ'!$K289),0)</f>
        <v>0</v>
      </c>
      <c r="AC289" s="63">
        <f t="shared" si="259"/>
        <v>0</v>
      </c>
      <c r="AD289" s="61">
        <f>IFERROR(SUMIFS('BM MORRO DA CRUZ - VERTICAL'!AH$6:AH$546,'BM MORRO DA CRUZ - VERTICAL'!$O$6:$O$546,'BM MORRO DA CRUZ'!$K289),0)</f>
        <v>0</v>
      </c>
      <c r="AE289" s="63">
        <f t="shared" si="260"/>
        <v>0</v>
      </c>
      <c r="AF289" s="61">
        <f>IFERROR(SUMIFS('BM MORRO DA CRUZ - VERTICAL'!AJ$6:AJ$546,'BM MORRO DA CRUZ - VERTICAL'!$O$6:$O$546,'BM MORRO DA CRUZ'!$K289),0)</f>
        <v>0</v>
      </c>
      <c r="AG289" s="63">
        <f t="shared" si="261"/>
        <v>0</v>
      </c>
      <c r="AH289" s="61">
        <f>IFERROR(SUMIFS('BM MORRO DA CRUZ - VERTICAL'!AL$6:AL$546,'BM MORRO DA CRUZ - VERTICAL'!$O$6:$O$546,'BM MORRO DA CRUZ'!$K289),0)</f>
        <v>0</v>
      </c>
      <c r="AI289" s="63">
        <f t="shared" si="262"/>
        <v>0</v>
      </c>
      <c r="AJ289" s="61">
        <f>IFERROR(SUMIFS('BM MORRO DA CRUZ - VERTICAL'!AN$6:AN$546,'BM MORRO DA CRUZ - VERTICAL'!$O$6:$O$546,'BM MORRO DA CRUZ'!$K289),0)</f>
        <v>0</v>
      </c>
      <c r="AK289" s="63">
        <f t="shared" si="263"/>
        <v>0</v>
      </c>
      <c r="AL289" s="61">
        <f>IFERROR(SUMIFS('BM MORRO DA CRUZ - VERTICAL'!AP$6:AP$546,'BM MORRO DA CRUZ - VERTICAL'!$O$6:$O$546,'BM MORRO DA CRUZ'!$K289),0)</f>
        <v>0</v>
      </c>
      <c r="AM289" s="63">
        <f t="shared" si="264"/>
        <v>0</v>
      </c>
      <c r="AN289" s="61">
        <f>IFERROR(SUMIFS('BM MORRO DA CRUZ - VERTICAL'!AR$6:AR$546,'BM MORRO DA CRUZ - VERTICAL'!$O$6:$O$546,'BM MORRO DA CRUZ'!$K289),0)</f>
        <v>0</v>
      </c>
      <c r="AO289" s="63">
        <f t="shared" si="265"/>
        <v>0</v>
      </c>
      <c r="AP289" s="61">
        <f>IFERROR(SUMIFS('BM MORRO DA CRUZ - VERTICAL'!AT$6:AT$546,'BM MORRO DA CRUZ - VERTICAL'!$O$6:$O$546,'BM MORRO DA CRUZ'!$K289),0)</f>
        <v>0</v>
      </c>
      <c r="AQ289" s="63">
        <f t="shared" si="266"/>
        <v>0</v>
      </c>
      <c r="AR289" s="61">
        <f>IFERROR(SUMIFS('BM MORRO DA CRUZ - VERTICAL'!AV$6:AV$546,'BM MORRO DA CRUZ - VERTICAL'!$O$6:$O$546,'BM MORRO DA CRUZ'!$K289),0)</f>
        <v>0</v>
      </c>
      <c r="AS289" s="63">
        <f t="shared" si="267"/>
        <v>0</v>
      </c>
      <c r="AT289" s="61">
        <f>IFERROR(SUMIFS('BM MORRO DA CRUZ - VERTICAL'!AX$6:AX$546,'BM MORRO DA CRUZ - VERTICAL'!$O$6:$O$546,'BM MORRO DA CRUZ'!$K289),0)</f>
        <v>0</v>
      </c>
      <c r="AU289" s="63">
        <f t="shared" si="268"/>
        <v>0</v>
      </c>
      <c r="AV289" s="61">
        <f>IFERROR(SUMIFS('BM MORRO DA CRUZ - VERTICAL'!AZ$6:AZ$546,'BM MORRO DA CRUZ - VERTICAL'!$O$6:$O$546,'BM MORRO DA CRUZ'!$K289),0)</f>
        <v>0</v>
      </c>
      <c r="AW289" s="63">
        <f t="shared" si="269"/>
        <v>0</v>
      </c>
      <c r="AX289" s="61">
        <f>IFERROR(SUMIFS('BM MORRO DA CRUZ - VERTICAL'!BB$6:BB$546,'BM MORRO DA CRUZ - VERTICAL'!$O$6:$O$546,'BM MORRO DA CRUZ'!$K289),0)</f>
        <v>0</v>
      </c>
      <c r="AY289" s="63">
        <f t="shared" si="270"/>
        <v>0</v>
      </c>
      <c r="AZ289" s="61">
        <f>IFERROR(SUMIFS('BM MORRO DA CRUZ - VERTICAL'!BD$6:BD$546,'BM MORRO DA CRUZ - VERTICAL'!$O$6:$O$546,'BM MORRO DA CRUZ'!$K289),0)</f>
        <v>0</v>
      </c>
      <c r="BA289" s="63">
        <f t="shared" si="271"/>
        <v>0</v>
      </c>
      <c r="BB289" s="61">
        <f t="shared" si="272"/>
        <v>0</v>
      </c>
      <c r="BC289" s="63">
        <f t="shared" si="273"/>
        <v>0</v>
      </c>
      <c r="BD289" s="64">
        <f t="shared" si="274"/>
        <v>0</v>
      </c>
      <c r="BE289" s="65">
        <f t="shared" si="275"/>
        <v>1</v>
      </c>
      <c r="BF289" s="45"/>
    </row>
    <row r="290" spans="1:58" ht="35.65" x14ac:dyDescent="0.45">
      <c r="A290" s="56" t="s">
        <v>1080</v>
      </c>
      <c r="B290" s="506" t="s">
        <v>1816</v>
      </c>
      <c r="C290" s="507" t="s">
        <v>1795</v>
      </c>
      <c r="D290" s="507" t="s">
        <v>1795</v>
      </c>
      <c r="E290" s="507" t="s">
        <v>1817</v>
      </c>
      <c r="F290" s="507" t="s">
        <v>1818</v>
      </c>
      <c r="G290" s="507">
        <v>400</v>
      </c>
      <c r="H290" s="508" t="s">
        <v>267</v>
      </c>
      <c r="I290" s="507" t="s">
        <v>763</v>
      </c>
      <c r="J290" s="508" t="s">
        <v>1055</v>
      </c>
      <c r="K290" s="57" t="s">
        <v>1081</v>
      </c>
      <c r="L290" s="58" t="s">
        <v>846</v>
      </c>
      <c r="M290" s="59" t="s">
        <v>1082</v>
      </c>
      <c r="N290" s="60" t="s">
        <v>71</v>
      </c>
      <c r="O290" s="61">
        <v>8</v>
      </c>
      <c r="P290" s="62">
        <v>84.24</v>
      </c>
      <c r="Q290" s="63">
        <f t="shared" si="253"/>
        <v>673.92</v>
      </c>
      <c r="R290" s="61">
        <f>IFERROR(SUMIFS('BM MORRO DA CRUZ - VERTICAL'!V$6:V$546,'BM MORRO DA CRUZ - VERTICAL'!$O$6:$O$546,'BM MORRO DA CRUZ'!$K290),0)</f>
        <v>0</v>
      </c>
      <c r="S290" s="63">
        <f t="shared" si="254"/>
        <v>0</v>
      </c>
      <c r="T290" s="61">
        <f>IFERROR(SUMIFS('BM MORRO DA CRUZ - VERTICAL'!X$6:X$546,'BM MORRO DA CRUZ - VERTICAL'!$O$6:$O$546,'BM MORRO DA CRUZ'!$K290),0)</f>
        <v>0</v>
      </c>
      <c r="U290" s="63">
        <f t="shared" si="255"/>
        <v>0</v>
      </c>
      <c r="V290" s="61">
        <f>IFERROR(SUMIFS('BM MORRO DA CRUZ - VERTICAL'!Z$6:Z$546,'BM MORRO DA CRUZ - VERTICAL'!$O$6:$O$546,'BM MORRO DA CRUZ'!$K290),0)</f>
        <v>0</v>
      </c>
      <c r="W290" s="63">
        <f t="shared" si="256"/>
        <v>0</v>
      </c>
      <c r="X290" s="61">
        <f>IFERROR(SUMIFS('BM MORRO DA CRUZ - VERTICAL'!AB$6:AB$546,'BM MORRO DA CRUZ - VERTICAL'!$O$6:$O$546,'BM MORRO DA CRUZ'!$K290),0)</f>
        <v>0</v>
      </c>
      <c r="Y290" s="63">
        <f t="shared" si="257"/>
        <v>0</v>
      </c>
      <c r="Z290" s="61">
        <f>IFERROR(SUMIFS('BM MORRO DA CRUZ - VERTICAL'!AD$6:AD$546,'BM MORRO DA CRUZ - VERTICAL'!$O$6:$O$546,'BM MORRO DA CRUZ'!$K290),0)</f>
        <v>0</v>
      </c>
      <c r="AA290" s="63">
        <f t="shared" si="258"/>
        <v>0</v>
      </c>
      <c r="AB290" s="61">
        <f>IFERROR(SUMIFS('BM MORRO DA CRUZ - VERTICAL'!AF$6:AF$546,'BM MORRO DA CRUZ - VERTICAL'!$O$6:$O$546,'BM MORRO DA CRUZ'!$K290),0)</f>
        <v>0</v>
      </c>
      <c r="AC290" s="63">
        <f t="shared" si="259"/>
        <v>0</v>
      </c>
      <c r="AD290" s="61">
        <f>IFERROR(SUMIFS('BM MORRO DA CRUZ - VERTICAL'!AH$6:AH$546,'BM MORRO DA CRUZ - VERTICAL'!$O$6:$O$546,'BM MORRO DA CRUZ'!$K290),0)</f>
        <v>0</v>
      </c>
      <c r="AE290" s="63">
        <f t="shared" si="260"/>
        <v>0</v>
      </c>
      <c r="AF290" s="61">
        <f>IFERROR(SUMIFS('BM MORRO DA CRUZ - VERTICAL'!AJ$6:AJ$546,'BM MORRO DA CRUZ - VERTICAL'!$O$6:$O$546,'BM MORRO DA CRUZ'!$K290),0)</f>
        <v>0</v>
      </c>
      <c r="AG290" s="63">
        <f t="shared" si="261"/>
        <v>0</v>
      </c>
      <c r="AH290" s="61">
        <f>IFERROR(SUMIFS('BM MORRO DA CRUZ - VERTICAL'!AL$6:AL$546,'BM MORRO DA CRUZ - VERTICAL'!$O$6:$O$546,'BM MORRO DA CRUZ'!$K290),0)</f>
        <v>0</v>
      </c>
      <c r="AI290" s="63">
        <f t="shared" si="262"/>
        <v>0</v>
      </c>
      <c r="AJ290" s="61">
        <f>IFERROR(SUMIFS('BM MORRO DA CRUZ - VERTICAL'!AN$6:AN$546,'BM MORRO DA CRUZ - VERTICAL'!$O$6:$O$546,'BM MORRO DA CRUZ'!$K290),0)</f>
        <v>0</v>
      </c>
      <c r="AK290" s="63">
        <f t="shared" si="263"/>
        <v>0</v>
      </c>
      <c r="AL290" s="61">
        <f>IFERROR(SUMIFS('BM MORRO DA CRUZ - VERTICAL'!AP$6:AP$546,'BM MORRO DA CRUZ - VERTICAL'!$O$6:$O$546,'BM MORRO DA CRUZ'!$K290),0)</f>
        <v>0</v>
      </c>
      <c r="AM290" s="63">
        <f t="shared" si="264"/>
        <v>0</v>
      </c>
      <c r="AN290" s="61">
        <f>IFERROR(SUMIFS('BM MORRO DA CRUZ - VERTICAL'!AR$6:AR$546,'BM MORRO DA CRUZ - VERTICAL'!$O$6:$O$546,'BM MORRO DA CRUZ'!$K290),0)</f>
        <v>0</v>
      </c>
      <c r="AO290" s="63">
        <f t="shared" si="265"/>
        <v>0</v>
      </c>
      <c r="AP290" s="61">
        <f>IFERROR(SUMIFS('BM MORRO DA CRUZ - VERTICAL'!AT$6:AT$546,'BM MORRO DA CRUZ - VERTICAL'!$O$6:$O$546,'BM MORRO DA CRUZ'!$K290),0)</f>
        <v>0</v>
      </c>
      <c r="AQ290" s="63">
        <f t="shared" si="266"/>
        <v>0</v>
      </c>
      <c r="AR290" s="61">
        <f>IFERROR(SUMIFS('BM MORRO DA CRUZ - VERTICAL'!AV$6:AV$546,'BM MORRO DA CRUZ - VERTICAL'!$O$6:$O$546,'BM MORRO DA CRUZ'!$K290),0)</f>
        <v>0</v>
      </c>
      <c r="AS290" s="63">
        <f t="shared" si="267"/>
        <v>0</v>
      </c>
      <c r="AT290" s="61">
        <f>IFERROR(SUMIFS('BM MORRO DA CRUZ - VERTICAL'!AX$6:AX$546,'BM MORRO DA CRUZ - VERTICAL'!$O$6:$O$546,'BM MORRO DA CRUZ'!$K290),0)</f>
        <v>0</v>
      </c>
      <c r="AU290" s="63">
        <f t="shared" si="268"/>
        <v>0</v>
      </c>
      <c r="AV290" s="61">
        <f>IFERROR(SUMIFS('BM MORRO DA CRUZ - VERTICAL'!AZ$6:AZ$546,'BM MORRO DA CRUZ - VERTICAL'!$O$6:$O$546,'BM MORRO DA CRUZ'!$K290),0)</f>
        <v>0</v>
      </c>
      <c r="AW290" s="63">
        <f t="shared" si="269"/>
        <v>0</v>
      </c>
      <c r="AX290" s="61">
        <f>IFERROR(SUMIFS('BM MORRO DA CRUZ - VERTICAL'!BB$6:BB$546,'BM MORRO DA CRUZ - VERTICAL'!$O$6:$O$546,'BM MORRO DA CRUZ'!$K290),0)</f>
        <v>0</v>
      </c>
      <c r="AY290" s="63">
        <f t="shared" si="270"/>
        <v>0</v>
      </c>
      <c r="AZ290" s="61">
        <f>IFERROR(SUMIFS('BM MORRO DA CRUZ - VERTICAL'!BD$6:BD$546,'BM MORRO DA CRUZ - VERTICAL'!$O$6:$O$546,'BM MORRO DA CRUZ'!$K290),0)</f>
        <v>0</v>
      </c>
      <c r="BA290" s="63">
        <f t="shared" si="271"/>
        <v>0</v>
      </c>
      <c r="BB290" s="61">
        <f t="shared" si="272"/>
        <v>0</v>
      </c>
      <c r="BC290" s="63">
        <f t="shared" si="273"/>
        <v>0</v>
      </c>
      <c r="BD290" s="64">
        <f t="shared" si="274"/>
        <v>0</v>
      </c>
      <c r="BE290" s="65">
        <f t="shared" si="275"/>
        <v>1</v>
      </c>
      <c r="BF290" s="45"/>
    </row>
    <row r="291" spans="1:58" ht="35.65" x14ac:dyDescent="0.45">
      <c r="A291" s="56" t="s">
        <v>1083</v>
      </c>
      <c r="B291" s="506" t="s">
        <v>1816</v>
      </c>
      <c r="C291" s="507" t="s">
        <v>1795</v>
      </c>
      <c r="D291" s="507" t="s">
        <v>1795</v>
      </c>
      <c r="E291" s="507" t="s">
        <v>1817</v>
      </c>
      <c r="F291" s="507" t="s">
        <v>1818</v>
      </c>
      <c r="G291" s="507">
        <v>63</v>
      </c>
      <c r="H291" s="508" t="s">
        <v>267</v>
      </c>
      <c r="I291" s="507" t="s">
        <v>1760</v>
      </c>
      <c r="J291" s="508" t="s">
        <v>1055</v>
      </c>
      <c r="K291" s="57" t="s">
        <v>1084</v>
      </c>
      <c r="L291" s="58" t="s">
        <v>846</v>
      </c>
      <c r="M291" s="59" t="s">
        <v>1085</v>
      </c>
      <c r="N291" s="60" t="s">
        <v>71</v>
      </c>
      <c r="O291" s="61">
        <v>2305</v>
      </c>
      <c r="P291" s="62">
        <v>13.26</v>
      </c>
      <c r="Q291" s="63">
        <f t="shared" si="253"/>
        <v>30564.3</v>
      </c>
      <c r="R291" s="61">
        <f>IFERROR(SUMIFS('BM MORRO DA CRUZ - VERTICAL'!V$6:V$546,'BM MORRO DA CRUZ - VERTICAL'!$O$6:$O$546,'BM MORRO DA CRUZ'!$K291),0)</f>
        <v>0</v>
      </c>
      <c r="S291" s="63">
        <f t="shared" si="254"/>
        <v>0</v>
      </c>
      <c r="T291" s="61">
        <f>IFERROR(SUMIFS('BM MORRO DA CRUZ - VERTICAL'!X$6:X$546,'BM MORRO DA CRUZ - VERTICAL'!$O$6:$O$546,'BM MORRO DA CRUZ'!$K291),0)</f>
        <v>0</v>
      </c>
      <c r="U291" s="63">
        <f t="shared" si="255"/>
        <v>0</v>
      </c>
      <c r="V291" s="61">
        <f>IFERROR(SUMIFS('BM MORRO DA CRUZ - VERTICAL'!Z$6:Z$546,'BM MORRO DA CRUZ - VERTICAL'!$O$6:$O$546,'BM MORRO DA CRUZ'!$K291),0)</f>
        <v>0</v>
      </c>
      <c r="W291" s="63">
        <f t="shared" si="256"/>
        <v>0</v>
      </c>
      <c r="X291" s="61">
        <f>IFERROR(SUMIFS('BM MORRO DA CRUZ - VERTICAL'!AB$6:AB$546,'BM MORRO DA CRUZ - VERTICAL'!$O$6:$O$546,'BM MORRO DA CRUZ'!$K291),0)</f>
        <v>0</v>
      </c>
      <c r="Y291" s="63">
        <f t="shared" si="257"/>
        <v>0</v>
      </c>
      <c r="Z291" s="61">
        <f>IFERROR(SUMIFS('BM MORRO DA CRUZ - VERTICAL'!AD$6:AD$546,'BM MORRO DA CRUZ - VERTICAL'!$O$6:$O$546,'BM MORRO DA CRUZ'!$K291),0)</f>
        <v>0</v>
      </c>
      <c r="AA291" s="63">
        <f t="shared" si="258"/>
        <v>0</v>
      </c>
      <c r="AB291" s="61">
        <f>IFERROR(SUMIFS('BM MORRO DA CRUZ - VERTICAL'!AF$6:AF$546,'BM MORRO DA CRUZ - VERTICAL'!$O$6:$O$546,'BM MORRO DA CRUZ'!$K291),0)</f>
        <v>0</v>
      </c>
      <c r="AC291" s="63">
        <f t="shared" si="259"/>
        <v>0</v>
      </c>
      <c r="AD291" s="61">
        <f>IFERROR(SUMIFS('BM MORRO DA CRUZ - VERTICAL'!AH$6:AH$546,'BM MORRO DA CRUZ - VERTICAL'!$O$6:$O$546,'BM MORRO DA CRUZ'!$K291),0)</f>
        <v>0</v>
      </c>
      <c r="AE291" s="63">
        <f t="shared" si="260"/>
        <v>0</v>
      </c>
      <c r="AF291" s="61">
        <f>IFERROR(SUMIFS('BM MORRO DA CRUZ - VERTICAL'!AJ$6:AJ$546,'BM MORRO DA CRUZ - VERTICAL'!$O$6:$O$546,'BM MORRO DA CRUZ'!$K291),0)</f>
        <v>0</v>
      </c>
      <c r="AG291" s="63">
        <f t="shared" si="261"/>
        <v>0</v>
      </c>
      <c r="AH291" s="61">
        <f>IFERROR(SUMIFS('BM MORRO DA CRUZ - VERTICAL'!AL$6:AL$546,'BM MORRO DA CRUZ - VERTICAL'!$O$6:$O$546,'BM MORRO DA CRUZ'!$K291),0)</f>
        <v>0</v>
      </c>
      <c r="AI291" s="63">
        <f t="shared" si="262"/>
        <v>0</v>
      </c>
      <c r="AJ291" s="61">
        <f>IFERROR(SUMIFS('BM MORRO DA CRUZ - VERTICAL'!AN$6:AN$546,'BM MORRO DA CRUZ - VERTICAL'!$O$6:$O$546,'BM MORRO DA CRUZ'!$K291),0)</f>
        <v>0</v>
      </c>
      <c r="AK291" s="63">
        <f t="shared" si="263"/>
        <v>0</v>
      </c>
      <c r="AL291" s="61">
        <f>IFERROR(SUMIFS('BM MORRO DA CRUZ - VERTICAL'!AP$6:AP$546,'BM MORRO DA CRUZ - VERTICAL'!$O$6:$O$546,'BM MORRO DA CRUZ'!$K291),0)</f>
        <v>0</v>
      </c>
      <c r="AM291" s="63">
        <f t="shared" si="264"/>
        <v>0</v>
      </c>
      <c r="AN291" s="61">
        <f>IFERROR(SUMIFS('BM MORRO DA CRUZ - VERTICAL'!AR$6:AR$546,'BM MORRO DA CRUZ - VERTICAL'!$O$6:$O$546,'BM MORRO DA CRUZ'!$K291),0)</f>
        <v>0</v>
      </c>
      <c r="AO291" s="63">
        <f t="shared" si="265"/>
        <v>0</v>
      </c>
      <c r="AP291" s="61">
        <f>IFERROR(SUMIFS('BM MORRO DA CRUZ - VERTICAL'!AT$6:AT$546,'BM MORRO DA CRUZ - VERTICAL'!$O$6:$O$546,'BM MORRO DA CRUZ'!$K291),0)</f>
        <v>0</v>
      </c>
      <c r="AQ291" s="63">
        <f t="shared" si="266"/>
        <v>0</v>
      </c>
      <c r="AR291" s="61">
        <f>IFERROR(SUMIFS('BM MORRO DA CRUZ - VERTICAL'!AV$6:AV$546,'BM MORRO DA CRUZ - VERTICAL'!$O$6:$O$546,'BM MORRO DA CRUZ'!$K291),0)</f>
        <v>0</v>
      </c>
      <c r="AS291" s="63">
        <f t="shared" si="267"/>
        <v>0</v>
      </c>
      <c r="AT291" s="61">
        <f>IFERROR(SUMIFS('BM MORRO DA CRUZ - VERTICAL'!AX$6:AX$546,'BM MORRO DA CRUZ - VERTICAL'!$O$6:$O$546,'BM MORRO DA CRUZ'!$K291),0)</f>
        <v>0</v>
      </c>
      <c r="AU291" s="63">
        <f t="shared" si="268"/>
        <v>0</v>
      </c>
      <c r="AV291" s="61">
        <f>IFERROR(SUMIFS('BM MORRO DA CRUZ - VERTICAL'!AZ$6:AZ$546,'BM MORRO DA CRUZ - VERTICAL'!$O$6:$O$546,'BM MORRO DA CRUZ'!$K291),0)</f>
        <v>0</v>
      </c>
      <c r="AW291" s="63">
        <f t="shared" si="269"/>
        <v>0</v>
      </c>
      <c r="AX291" s="61">
        <f>IFERROR(SUMIFS('BM MORRO DA CRUZ - VERTICAL'!BB$6:BB$546,'BM MORRO DA CRUZ - VERTICAL'!$O$6:$O$546,'BM MORRO DA CRUZ'!$K291),0)</f>
        <v>0</v>
      </c>
      <c r="AY291" s="63">
        <f t="shared" si="270"/>
        <v>0</v>
      </c>
      <c r="AZ291" s="61">
        <f>IFERROR(SUMIFS('BM MORRO DA CRUZ - VERTICAL'!BD$6:BD$546,'BM MORRO DA CRUZ - VERTICAL'!$O$6:$O$546,'BM MORRO DA CRUZ'!$K291),0)</f>
        <v>0</v>
      </c>
      <c r="BA291" s="63">
        <f t="shared" si="271"/>
        <v>0</v>
      </c>
      <c r="BB291" s="61">
        <f t="shared" si="272"/>
        <v>0</v>
      </c>
      <c r="BC291" s="63">
        <f t="shared" si="273"/>
        <v>0</v>
      </c>
      <c r="BD291" s="64">
        <f t="shared" si="274"/>
        <v>0</v>
      </c>
      <c r="BE291" s="65">
        <f t="shared" si="275"/>
        <v>1</v>
      </c>
      <c r="BF291" s="45"/>
    </row>
    <row r="292" spans="1:58" ht="35.65" x14ac:dyDescent="0.45">
      <c r="A292" s="56" t="s">
        <v>1086</v>
      </c>
      <c r="B292" s="506" t="s">
        <v>1816</v>
      </c>
      <c r="C292" s="507" t="s">
        <v>1795</v>
      </c>
      <c r="D292" s="507" t="s">
        <v>1795</v>
      </c>
      <c r="E292" s="507" t="s">
        <v>1817</v>
      </c>
      <c r="F292" s="507" t="s">
        <v>1818</v>
      </c>
      <c r="G292" s="507">
        <v>90</v>
      </c>
      <c r="H292" s="508" t="s">
        <v>267</v>
      </c>
      <c r="I292" s="507" t="s">
        <v>1760</v>
      </c>
      <c r="J292" s="508" t="s">
        <v>1055</v>
      </c>
      <c r="K292" s="57" t="s">
        <v>1087</v>
      </c>
      <c r="L292" s="58" t="s">
        <v>846</v>
      </c>
      <c r="M292" s="59" t="s">
        <v>1088</v>
      </c>
      <c r="N292" s="60" t="s">
        <v>71</v>
      </c>
      <c r="O292" s="61">
        <v>341</v>
      </c>
      <c r="P292" s="62">
        <v>18.95</v>
      </c>
      <c r="Q292" s="63">
        <f t="shared" si="253"/>
        <v>6461.95</v>
      </c>
      <c r="R292" s="61">
        <f>IFERROR(SUMIFS('BM MORRO DA CRUZ - VERTICAL'!V$6:V$546,'BM MORRO DA CRUZ - VERTICAL'!$O$6:$O$546,'BM MORRO DA CRUZ'!$K292),0)</f>
        <v>0</v>
      </c>
      <c r="S292" s="63">
        <f t="shared" si="254"/>
        <v>0</v>
      </c>
      <c r="T292" s="61">
        <f>IFERROR(SUMIFS('BM MORRO DA CRUZ - VERTICAL'!X$6:X$546,'BM MORRO DA CRUZ - VERTICAL'!$O$6:$O$546,'BM MORRO DA CRUZ'!$K292),0)</f>
        <v>0</v>
      </c>
      <c r="U292" s="63">
        <f t="shared" si="255"/>
        <v>0</v>
      </c>
      <c r="V292" s="61">
        <f>IFERROR(SUMIFS('BM MORRO DA CRUZ - VERTICAL'!Z$6:Z$546,'BM MORRO DA CRUZ - VERTICAL'!$O$6:$O$546,'BM MORRO DA CRUZ'!$K292),0)</f>
        <v>0</v>
      </c>
      <c r="W292" s="63">
        <f t="shared" si="256"/>
        <v>0</v>
      </c>
      <c r="X292" s="61">
        <f>IFERROR(SUMIFS('BM MORRO DA CRUZ - VERTICAL'!AB$6:AB$546,'BM MORRO DA CRUZ - VERTICAL'!$O$6:$O$546,'BM MORRO DA CRUZ'!$K292),0)</f>
        <v>0</v>
      </c>
      <c r="Y292" s="63">
        <f t="shared" si="257"/>
        <v>0</v>
      </c>
      <c r="Z292" s="61">
        <f>IFERROR(SUMIFS('BM MORRO DA CRUZ - VERTICAL'!AD$6:AD$546,'BM MORRO DA CRUZ - VERTICAL'!$O$6:$O$546,'BM MORRO DA CRUZ'!$K292),0)</f>
        <v>0</v>
      </c>
      <c r="AA292" s="63">
        <f t="shared" si="258"/>
        <v>0</v>
      </c>
      <c r="AB292" s="61">
        <f>IFERROR(SUMIFS('BM MORRO DA CRUZ - VERTICAL'!AF$6:AF$546,'BM MORRO DA CRUZ - VERTICAL'!$O$6:$O$546,'BM MORRO DA CRUZ'!$K292),0)</f>
        <v>0</v>
      </c>
      <c r="AC292" s="63">
        <f t="shared" si="259"/>
        <v>0</v>
      </c>
      <c r="AD292" s="61">
        <f>IFERROR(SUMIFS('BM MORRO DA CRUZ - VERTICAL'!AH$6:AH$546,'BM MORRO DA CRUZ - VERTICAL'!$O$6:$O$546,'BM MORRO DA CRUZ'!$K292),0)</f>
        <v>0</v>
      </c>
      <c r="AE292" s="63">
        <f t="shared" si="260"/>
        <v>0</v>
      </c>
      <c r="AF292" s="61">
        <f>IFERROR(SUMIFS('BM MORRO DA CRUZ - VERTICAL'!AJ$6:AJ$546,'BM MORRO DA CRUZ - VERTICAL'!$O$6:$O$546,'BM MORRO DA CRUZ'!$K292),0)</f>
        <v>0</v>
      </c>
      <c r="AG292" s="63">
        <f t="shared" si="261"/>
        <v>0</v>
      </c>
      <c r="AH292" s="61">
        <f>IFERROR(SUMIFS('BM MORRO DA CRUZ - VERTICAL'!AL$6:AL$546,'BM MORRO DA CRUZ - VERTICAL'!$O$6:$O$546,'BM MORRO DA CRUZ'!$K292),0)</f>
        <v>0</v>
      </c>
      <c r="AI292" s="63">
        <f t="shared" si="262"/>
        <v>0</v>
      </c>
      <c r="AJ292" s="61">
        <f>IFERROR(SUMIFS('BM MORRO DA CRUZ - VERTICAL'!AN$6:AN$546,'BM MORRO DA CRUZ - VERTICAL'!$O$6:$O$546,'BM MORRO DA CRUZ'!$K292),0)</f>
        <v>0</v>
      </c>
      <c r="AK292" s="63">
        <f t="shared" si="263"/>
        <v>0</v>
      </c>
      <c r="AL292" s="61">
        <f>IFERROR(SUMIFS('BM MORRO DA CRUZ - VERTICAL'!AP$6:AP$546,'BM MORRO DA CRUZ - VERTICAL'!$O$6:$O$546,'BM MORRO DA CRUZ'!$K292),0)</f>
        <v>0</v>
      </c>
      <c r="AM292" s="63">
        <f t="shared" si="264"/>
        <v>0</v>
      </c>
      <c r="AN292" s="61">
        <f>IFERROR(SUMIFS('BM MORRO DA CRUZ - VERTICAL'!AR$6:AR$546,'BM MORRO DA CRUZ - VERTICAL'!$O$6:$O$546,'BM MORRO DA CRUZ'!$K292),0)</f>
        <v>0</v>
      </c>
      <c r="AO292" s="63">
        <f t="shared" si="265"/>
        <v>0</v>
      </c>
      <c r="AP292" s="61">
        <f>IFERROR(SUMIFS('BM MORRO DA CRUZ - VERTICAL'!AT$6:AT$546,'BM MORRO DA CRUZ - VERTICAL'!$O$6:$O$546,'BM MORRO DA CRUZ'!$K292),0)</f>
        <v>0</v>
      </c>
      <c r="AQ292" s="63">
        <f t="shared" si="266"/>
        <v>0</v>
      </c>
      <c r="AR292" s="61">
        <f>IFERROR(SUMIFS('BM MORRO DA CRUZ - VERTICAL'!AV$6:AV$546,'BM MORRO DA CRUZ - VERTICAL'!$O$6:$O$546,'BM MORRO DA CRUZ'!$K292),0)</f>
        <v>0</v>
      </c>
      <c r="AS292" s="63">
        <f t="shared" si="267"/>
        <v>0</v>
      </c>
      <c r="AT292" s="61">
        <f>IFERROR(SUMIFS('BM MORRO DA CRUZ - VERTICAL'!AX$6:AX$546,'BM MORRO DA CRUZ - VERTICAL'!$O$6:$O$546,'BM MORRO DA CRUZ'!$K292),0)</f>
        <v>0</v>
      </c>
      <c r="AU292" s="63">
        <f t="shared" si="268"/>
        <v>0</v>
      </c>
      <c r="AV292" s="61">
        <f>IFERROR(SUMIFS('BM MORRO DA CRUZ - VERTICAL'!AZ$6:AZ$546,'BM MORRO DA CRUZ - VERTICAL'!$O$6:$O$546,'BM MORRO DA CRUZ'!$K292),0)</f>
        <v>0</v>
      </c>
      <c r="AW292" s="63">
        <f t="shared" si="269"/>
        <v>0</v>
      </c>
      <c r="AX292" s="61">
        <f>IFERROR(SUMIFS('BM MORRO DA CRUZ - VERTICAL'!BB$6:BB$546,'BM MORRO DA CRUZ - VERTICAL'!$O$6:$O$546,'BM MORRO DA CRUZ'!$K292),0)</f>
        <v>0</v>
      </c>
      <c r="AY292" s="63">
        <f t="shared" si="270"/>
        <v>0</v>
      </c>
      <c r="AZ292" s="61">
        <f>IFERROR(SUMIFS('BM MORRO DA CRUZ - VERTICAL'!BD$6:BD$546,'BM MORRO DA CRUZ - VERTICAL'!$O$6:$O$546,'BM MORRO DA CRUZ'!$K292),0)</f>
        <v>0</v>
      </c>
      <c r="BA292" s="63">
        <f t="shared" si="271"/>
        <v>0</v>
      </c>
      <c r="BB292" s="61">
        <f t="shared" si="272"/>
        <v>0</v>
      </c>
      <c r="BC292" s="63">
        <f t="shared" si="273"/>
        <v>0</v>
      </c>
      <c r="BD292" s="64">
        <f t="shared" si="274"/>
        <v>0</v>
      </c>
      <c r="BE292" s="65">
        <f t="shared" si="275"/>
        <v>1</v>
      </c>
      <c r="BF292" s="45"/>
    </row>
    <row r="293" spans="1:58" ht="26" customHeight="1" x14ac:dyDescent="0.45">
      <c r="A293" s="56" t="s">
        <v>1089</v>
      </c>
      <c r="B293" s="506" t="s">
        <v>1819</v>
      </c>
      <c r="C293" s="507" t="s">
        <v>1795</v>
      </c>
      <c r="D293" s="507" t="s">
        <v>39</v>
      </c>
      <c r="E293" s="507" t="s">
        <v>1817</v>
      </c>
      <c r="F293" s="507" t="s">
        <v>39</v>
      </c>
      <c r="G293" s="507">
        <v>100</v>
      </c>
      <c r="H293" s="508" t="s">
        <v>125</v>
      </c>
      <c r="I293" s="507" t="s">
        <v>79</v>
      </c>
      <c r="J293" s="508" t="s">
        <v>1055</v>
      </c>
      <c r="K293" s="57" t="s">
        <v>1090</v>
      </c>
      <c r="L293" s="58" t="s">
        <v>846</v>
      </c>
      <c r="M293" s="59" t="s">
        <v>1091</v>
      </c>
      <c r="N293" s="60" t="s">
        <v>71</v>
      </c>
      <c r="O293" s="61">
        <v>20</v>
      </c>
      <c r="P293" s="62">
        <v>60.02</v>
      </c>
      <c r="Q293" s="63">
        <f t="shared" si="253"/>
        <v>1200.4000000000001</v>
      </c>
      <c r="R293" s="61">
        <f>IFERROR(SUMIFS('BM MORRO DA CRUZ - VERTICAL'!V$6:V$546,'BM MORRO DA CRUZ - VERTICAL'!$O$6:$O$546,'BM MORRO DA CRUZ'!$K293),0)</f>
        <v>0</v>
      </c>
      <c r="S293" s="63">
        <f t="shared" si="254"/>
        <v>0</v>
      </c>
      <c r="T293" s="61">
        <f>IFERROR(SUMIFS('BM MORRO DA CRUZ - VERTICAL'!X$6:X$546,'BM MORRO DA CRUZ - VERTICAL'!$O$6:$O$546,'BM MORRO DA CRUZ'!$K293),0)</f>
        <v>0</v>
      </c>
      <c r="U293" s="63">
        <f t="shared" si="255"/>
        <v>0</v>
      </c>
      <c r="V293" s="61">
        <f>IFERROR(SUMIFS('BM MORRO DA CRUZ - VERTICAL'!Z$6:Z$546,'BM MORRO DA CRUZ - VERTICAL'!$O$6:$O$546,'BM MORRO DA CRUZ'!$K293),0)</f>
        <v>0</v>
      </c>
      <c r="W293" s="63">
        <f t="shared" si="256"/>
        <v>0</v>
      </c>
      <c r="X293" s="61">
        <f>IFERROR(SUMIFS('BM MORRO DA CRUZ - VERTICAL'!AB$6:AB$546,'BM MORRO DA CRUZ - VERTICAL'!$O$6:$O$546,'BM MORRO DA CRUZ'!$K293),0)</f>
        <v>0</v>
      </c>
      <c r="Y293" s="63">
        <f t="shared" si="257"/>
        <v>0</v>
      </c>
      <c r="Z293" s="61">
        <f>IFERROR(SUMIFS('BM MORRO DA CRUZ - VERTICAL'!AD$6:AD$546,'BM MORRO DA CRUZ - VERTICAL'!$O$6:$O$546,'BM MORRO DA CRUZ'!$K293),0)</f>
        <v>0</v>
      </c>
      <c r="AA293" s="63">
        <f t="shared" si="258"/>
        <v>0</v>
      </c>
      <c r="AB293" s="61">
        <f>IFERROR(SUMIFS('BM MORRO DA CRUZ - VERTICAL'!AF$6:AF$546,'BM MORRO DA CRUZ - VERTICAL'!$O$6:$O$546,'BM MORRO DA CRUZ'!$K293),0)</f>
        <v>0</v>
      </c>
      <c r="AC293" s="63">
        <f t="shared" si="259"/>
        <v>0</v>
      </c>
      <c r="AD293" s="61">
        <f>IFERROR(SUMIFS('BM MORRO DA CRUZ - VERTICAL'!AH$6:AH$546,'BM MORRO DA CRUZ - VERTICAL'!$O$6:$O$546,'BM MORRO DA CRUZ'!$K293),0)</f>
        <v>0</v>
      </c>
      <c r="AE293" s="63">
        <f t="shared" si="260"/>
        <v>0</v>
      </c>
      <c r="AF293" s="61">
        <f>IFERROR(SUMIFS('BM MORRO DA CRUZ - VERTICAL'!AJ$6:AJ$546,'BM MORRO DA CRUZ - VERTICAL'!$O$6:$O$546,'BM MORRO DA CRUZ'!$K293),0)</f>
        <v>0</v>
      </c>
      <c r="AG293" s="63">
        <f t="shared" si="261"/>
        <v>0</v>
      </c>
      <c r="AH293" s="61">
        <f>IFERROR(SUMIFS('BM MORRO DA CRUZ - VERTICAL'!AL$6:AL$546,'BM MORRO DA CRUZ - VERTICAL'!$O$6:$O$546,'BM MORRO DA CRUZ'!$K293),0)</f>
        <v>0</v>
      </c>
      <c r="AI293" s="63">
        <f t="shared" si="262"/>
        <v>0</v>
      </c>
      <c r="AJ293" s="61">
        <f>IFERROR(SUMIFS('BM MORRO DA CRUZ - VERTICAL'!AN$6:AN$546,'BM MORRO DA CRUZ - VERTICAL'!$O$6:$O$546,'BM MORRO DA CRUZ'!$K293),0)</f>
        <v>0</v>
      </c>
      <c r="AK293" s="63">
        <f t="shared" si="263"/>
        <v>0</v>
      </c>
      <c r="AL293" s="61">
        <f>IFERROR(SUMIFS('BM MORRO DA CRUZ - VERTICAL'!AP$6:AP$546,'BM MORRO DA CRUZ - VERTICAL'!$O$6:$O$546,'BM MORRO DA CRUZ'!$K293),0)</f>
        <v>0</v>
      </c>
      <c r="AM293" s="63">
        <f t="shared" si="264"/>
        <v>0</v>
      </c>
      <c r="AN293" s="61">
        <f>IFERROR(SUMIFS('BM MORRO DA CRUZ - VERTICAL'!AR$6:AR$546,'BM MORRO DA CRUZ - VERTICAL'!$O$6:$O$546,'BM MORRO DA CRUZ'!$K293),0)</f>
        <v>0</v>
      </c>
      <c r="AO293" s="63">
        <f t="shared" si="265"/>
        <v>0</v>
      </c>
      <c r="AP293" s="61">
        <f>IFERROR(SUMIFS('BM MORRO DA CRUZ - VERTICAL'!AT$6:AT$546,'BM MORRO DA CRUZ - VERTICAL'!$O$6:$O$546,'BM MORRO DA CRUZ'!$K293),0)</f>
        <v>0</v>
      </c>
      <c r="AQ293" s="63">
        <f t="shared" si="266"/>
        <v>0</v>
      </c>
      <c r="AR293" s="61">
        <f>IFERROR(SUMIFS('BM MORRO DA CRUZ - VERTICAL'!AV$6:AV$546,'BM MORRO DA CRUZ - VERTICAL'!$O$6:$O$546,'BM MORRO DA CRUZ'!$K293),0)</f>
        <v>0</v>
      </c>
      <c r="AS293" s="63">
        <f t="shared" si="267"/>
        <v>0</v>
      </c>
      <c r="AT293" s="61">
        <f>IFERROR(SUMIFS('BM MORRO DA CRUZ - VERTICAL'!AX$6:AX$546,'BM MORRO DA CRUZ - VERTICAL'!$O$6:$O$546,'BM MORRO DA CRUZ'!$K293),0)</f>
        <v>0</v>
      </c>
      <c r="AU293" s="63">
        <f t="shared" si="268"/>
        <v>0</v>
      </c>
      <c r="AV293" s="61">
        <f>IFERROR(SUMIFS('BM MORRO DA CRUZ - VERTICAL'!AZ$6:AZ$546,'BM MORRO DA CRUZ - VERTICAL'!$O$6:$O$546,'BM MORRO DA CRUZ'!$K293),0)</f>
        <v>0</v>
      </c>
      <c r="AW293" s="63">
        <f t="shared" si="269"/>
        <v>0</v>
      </c>
      <c r="AX293" s="61">
        <f>IFERROR(SUMIFS('BM MORRO DA CRUZ - VERTICAL'!BB$6:BB$546,'BM MORRO DA CRUZ - VERTICAL'!$O$6:$O$546,'BM MORRO DA CRUZ'!$K293),0)</f>
        <v>0</v>
      </c>
      <c r="AY293" s="63">
        <f t="shared" si="270"/>
        <v>0</v>
      </c>
      <c r="AZ293" s="61">
        <f>IFERROR(SUMIFS('BM MORRO DA CRUZ - VERTICAL'!BD$6:BD$546,'BM MORRO DA CRUZ - VERTICAL'!$O$6:$O$546,'BM MORRO DA CRUZ'!$K293),0)</f>
        <v>0</v>
      </c>
      <c r="BA293" s="63">
        <f t="shared" si="271"/>
        <v>0</v>
      </c>
      <c r="BB293" s="61">
        <f t="shared" si="272"/>
        <v>0</v>
      </c>
      <c r="BC293" s="63">
        <f t="shared" si="273"/>
        <v>0</v>
      </c>
      <c r="BD293" s="64">
        <f t="shared" si="274"/>
        <v>0</v>
      </c>
      <c r="BE293" s="65">
        <f t="shared" si="275"/>
        <v>1</v>
      </c>
      <c r="BF293" s="45"/>
    </row>
    <row r="294" spans="1:58" ht="26" customHeight="1" x14ac:dyDescent="0.45">
      <c r="A294" s="56" t="s">
        <v>1092</v>
      </c>
      <c r="B294" s="506" t="s">
        <v>1819</v>
      </c>
      <c r="C294" s="507" t="s">
        <v>1795</v>
      </c>
      <c r="D294" s="507" t="s">
        <v>39</v>
      </c>
      <c r="E294" s="507" t="s">
        <v>1817</v>
      </c>
      <c r="F294" s="507" t="s">
        <v>39</v>
      </c>
      <c r="G294" s="507">
        <v>150</v>
      </c>
      <c r="H294" s="508" t="s">
        <v>125</v>
      </c>
      <c r="I294" s="507" t="s">
        <v>79</v>
      </c>
      <c r="J294" s="508" t="s">
        <v>1055</v>
      </c>
      <c r="K294" s="57" t="s">
        <v>1093</v>
      </c>
      <c r="L294" s="58" t="s">
        <v>846</v>
      </c>
      <c r="M294" s="59" t="s">
        <v>1094</v>
      </c>
      <c r="N294" s="60" t="s">
        <v>71</v>
      </c>
      <c r="O294" s="61">
        <v>38</v>
      </c>
      <c r="P294" s="62">
        <v>84.67</v>
      </c>
      <c r="Q294" s="63">
        <f t="shared" si="253"/>
        <v>3217.46</v>
      </c>
      <c r="R294" s="61">
        <f>IFERROR(SUMIFS('BM MORRO DA CRUZ - VERTICAL'!V$6:V$546,'BM MORRO DA CRUZ - VERTICAL'!$O$6:$O$546,'BM MORRO DA CRUZ'!$K294),0)</f>
        <v>0</v>
      </c>
      <c r="S294" s="63">
        <f t="shared" si="254"/>
        <v>0</v>
      </c>
      <c r="T294" s="61">
        <f>IFERROR(SUMIFS('BM MORRO DA CRUZ - VERTICAL'!X$6:X$546,'BM MORRO DA CRUZ - VERTICAL'!$O$6:$O$546,'BM MORRO DA CRUZ'!$K294),0)</f>
        <v>0</v>
      </c>
      <c r="U294" s="63">
        <f t="shared" si="255"/>
        <v>0</v>
      </c>
      <c r="V294" s="61">
        <f>IFERROR(SUMIFS('BM MORRO DA CRUZ - VERTICAL'!Z$6:Z$546,'BM MORRO DA CRUZ - VERTICAL'!$O$6:$O$546,'BM MORRO DA CRUZ'!$K294),0)</f>
        <v>0</v>
      </c>
      <c r="W294" s="63">
        <f t="shared" si="256"/>
        <v>0</v>
      </c>
      <c r="X294" s="61">
        <f>IFERROR(SUMIFS('BM MORRO DA CRUZ - VERTICAL'!AB$6:AB$546,'BM MORRO DA CRUZ - VERTICAL'!$O$6:$O$546,'BM MORRO DA CRUZ'!$K294),0)</f>
        <v>0</v>
      </c>
      <c r="Y294" s="63">
        <f t="shared" si="257"/>
        <v>0</v>
      </c>
      <c r="Z294" s="61">
        <f>IFERROR(SUMIFS('BM MORRO DA CRUZ - VERTICAL'!AD$6:AD$546,'BM MORRO DA CRUZ - VERTICAL'!$O$6:$O$546,'BM MORRO DA CRUZ'!$K294),0)</f>
        <v>0</v>
      </c>
      <c r="AA294" s="63">
        <f t="shared" si="258"/>
        <v>0</v>
      </c>
      <c r="AB294" s="61">
        <f>IFERROR(SUMIFS('BM MORRO DA CRUZ - VERTICAL'!AF$6:AF$546,'BM MORRO DA CRUZ - VERTICAL'!$O$6:$O$546,'BM MORRO DA CRUZ'!$K294),0)</f>
        <v>0</v>
      </c>
      <c r="AC294" s="63">
        <f t="shared" si="259"/>
        <v>0</v>
      </c>
      <c r="AD294" s="61">
        <f>IFERROR(SUMIFS('BM MORRO DA CRUZ - VERTICAL'!AH$6:AH$546,'BM MORRO DA CRUZ - VERTICAL'!$O$6:$O$546,'BM MORRO DA CRUZ'!$K294),0)</f>
        <v>0</v>
      </c>
      <c r="AE294" s="63">
        <f t="shared" si="260"/>
        <v>0</v>
      </c>
      <c r="AF294" s="61">
        <f>IFERROR(SUMIFS('BM MORRO DA CRUZ - VERTICAL'!AJ$6:AJ$546,'BM MORRO DA CRUZ - VERTICAL'!$O$6:$O$546,'BM MORRO DA CRUZ'!$K294),0)</f>
        <v>0</v>
      </c>
      <c r="AG294" s="63">
        <f t="shared" si="261"/>
        <v>0</v>
      </c>
      <c r="AH294" s="61">
        <f>IFERROR(SUMIFS('BM MORRO DA CRUZ - VERTICAL'!AL$6:AL$546,'BM MORRO DA CRUZ - VERTICAL'!$O$6:$O$546,'BM MORRO DA CRUZ'!$K294),0)</f>
        <v>0</v>
      </c>
      <c r="AI294" s="63">
        <f t="shared" si="262"/>
        <v>0</v>
      </c>
      <c r="AJ294" s="61">
        <f>IFERROR(SUMIFS('BM MORRO DA CRUZ - VERTICAL'!AN$6:AN$546,'BM MORRO DA CRUZ - VERTICAL'!$O$6:$O$546,'BM MORRO DA CRUZ'!$K294),0)</f>
        <v>0</v>
      </c>
      <c r="AK294" s="63">
        <f t="shared" si="263"/>
        <v>0</v>
      </c>
      <c r="AL294" s="61">
        <f>IFERROR(SUMIFS('BM MORRO DA CRUZ - VERTICAL'!AP$6:AP$546,'BM MORRO DA CRUZ - VERTICAL'!$O$6:$O$546,'BM MORRO DA CRUZ'!$K294),0)</f>
        <v>0</v>
      </c>
      <c r="AM294" s="63">
        <f t="shared" si="264"/>
        <v>0</v>
      </c>
      <c r="AN294" s="61">
        <f>IFERROR(SUMIFS('BM MORRO DA CRUZ - VERTICAL'!AR$6:AR$546,'BM MORRO DA CRUZ - VERTICAL'!$O$6:$O$546,'BM MORRO DA CRUZ'!$K294),0)</f>
        <v>0</v>
      </c>
      <c r="AO294" s="63">
        <f t="shared" si="265"/>
        <v>0</v>
      </c>
      <c r="AP294" s="61">
        <f>IFERROR(SUMIFS('BM MORRO DA CRUZ - VERTICAL'!AT$6:AT$546,'BM MORRO DA CRUZ - VERTICAL'!$O$6:$O$546,'BM MORRO DA CRUZ'!$K294),0)</f>
        <v>0</v>
      </c>
      <c r="AQ294" s="63">
        <f t="shared" si="266"/>
        <v>0</v>
      </c>
      <c r="AR294" s="61">
        <f>IFERROR(SUMIFS('BM MORRO DA CRUZ - VERTICAL'!AV$6:AV$546,'BM MORRO DA CRUZ - VERTICAL'!$O$6:$O$546,'BM MORRO DA CRUZ'!$K294),0)</f>
        <v>0</v>
      </c>
      <c r="AS294" s="63">
        <f t="shared" si="267"/>
        <v>0</v>
      </c>
      <c r="AT294" s="61">
        <f>IFERROR(SUMIFS('BM MORRO DA CRUZ - VERTICAL'!AX$6:AX$546,'BM MORRO DA CRUZ - VERTICAL'!$O$6:$O$546,'BM MORRO DA CRUZ'!$K294),0)</f>
        <v>0</v>
      </c>
      <c r="AU294" s="63">
        <f t="shared" si="268"/>
        <v>0</v>
      </c>
      <c r="AV294" s="61">
        <f>IFERROR(SUMIFS('BM MORRO DA CRUZ - VERTICAL'!AZ$6:AZ$546,'BM MORRO DA CRUZ - VERTICAL'!$O$6:$O$546,'BM MORRO DA CRUZ'!$K294),0)</f>
        <v>0</v>
      </c>
      <c r="AW294" s="63">
        <f t="shared" si="269"/>
        <v>0</v>
      </c>
      <c r="AX294" s="61">
        <f>IFERROR(SUMIFS('BM MORRO DA CRUZ - VERTICAL'!BB$6:BB$546,'BM MORRO DA CRUZ - VERTICAL'!$O$6:$O$546,'BM MORRO DA CRUZ'!$K294),0)</f>
        <v>0</v>
      </c>
      <c r="AY294" s="63">
        <f t="shared" si="270"/>
        <v>0</v>
      </c>
      <c r="AZ294" s="61">
        <f>IFERROR(SUMIFS('BM MORRO DA CRUZ - VERTICAL'!BD$6:BD$546,'BM MORRO DA CRUZ - VERTICAL'!$O$6:$O$546,'BM MORRO DA CRUZ'!$K294),0)</f>
        <v>0</v>
      </c>
      <c r="BA294" s="63">
        <f t="shared" si="271"/>
        <v>0</v>
      </c>
      <c r="BB294" s="61">
        <f t="shared" si="272"/>
        <v>0</v>
      </c>
      <c r="BC294" s="63">
        <f t="shared" si="273"/>
        <v>0</v>
      </c>
      <c r="BD294" s="64">
        <f t="shared" si="274"/>
        <v>0</v>
      </c>
      <c r="BE294" s="65">
        <f t="shared" si="275"/>
        <v>1</v>
      </c>
      <c r="BF294" s="45"/>
    </row>
    <row r="295" spans="1:58" ht="26" customHeight="1" x14ac:dyDescent="0.45">
      <c r="A295" s="56" t="s">
        <v>1095</v>
      </c>
      <c r="B295" s="506" t="s">
        <v>1819</v>
      </c>
      <c r="C295" s="507" t="s">
        <v>1795</v>
      </c>
      <c r="D295" s="507" t="s">
        <v>39</v>
      </c>
      <c r="E295" s="507" t="s">
        <v>1817</v>
      </c>
      <c r="F295" s="507" t="s">
        <v>39</v>
      </c>
      <c r="G295" s="507">
        <v>200</v>
      </c>
      <c r="H295" s="508" t="s">
        <v>125</v>
      </c>
      <c r="I295" s="507" t="s">
        <v>1736</v>
      </c>
      <c r="J295" s="508" t="s">
        <v>1055</v>
      </c>
      <c r="K295" s="57" t="s">
        <v>1096</v>
      </c>
      <c r="L295" s="58" t="s">
        <v>846</v>
      </c>
      <c r="M295" s="59" t="s">
        <v>1097</v>
      </c>
      <c r="N295" s="60" t="s">
        <v>71</v>
      </c>
      <c r="O295" s="61">
        <v>29</v>
      </c>
      <c r="P295" s="62">
        <v>109.32</v>
      </c>
      <c r="Q295" s="63">
        <f t="shared" si="253"/>
        <v>3170.28</v>
      </c>
      <c r="R295" s="61">
        <f>IFERROR(SUMIFS('BM MORRO DA CRUZ - VERTICAL'!V$6:V$546,'BM MORRO DA CRUZ - VERTICAL'!$O$6:$O$546,'BM MORRO DA CRUZ'!$K295),0)</f>
        <v>0</v>
      </c>
      <c r="S295" s="63">
        <f t="shared" si="254"/>
        <v>0</v>
      </c>
      <c r="T295" s="61">
        <f>IFERROR(SUMIFS('BM MORRO DA CRUZ - VERTICAL'!X$6:X$546,'BM MORRO DA CRUZ - VERTICAL'!$O$6:$O$546,'BM MORRO DA CRUZ'!$K295),0)</f>
        <v>0</v>
      </c>
      <c r="U295" s="63">
        <f t="shared" si="255"/>
        <v>0</v>
      </c>
      <c r="V295" s="61">
        <f>IFERROR(SUMIFS('BM MORRO DA CRUZ - VERTICAL'!Z$6:Z$546,'BM MORRO DA CRUZ - VERTICAL'!$O$6:$O$546,'BM MORRO DA CRUZ'!$K295),0)</f>
        <v>0</v>
      </c>
      <c r="W295" s="63">
        <f t="shared" si="256"/>
        <v>0</v>
      </c>
      <c r="X295" s="61">
        <f>IFERROR(SUMIFS('BM MORRO DA CRUZ - VERTICAL'!AB$6:AB$546,'BM MORRO DA CRUZ - VERTICAL'!$O$6:$O$546,'BM MORRO DA CRUZ'!$K295),0)</f>
        <v>0</v>
      </c>
      <c r="Y295" s="63">
        <f t="shared" si="257"/>
        <v>0</v>
      </c>
      <c r="Z295" s="61">
        <f>IFERROR(SUMIFS('BM MORRO DA CRUZ - VERTICAL'!AD$6:AD$546,'BM MORRO DA CRUZ - VERTICAL'!$O$6:$O$546,'BM MORRO DA CRUZ'!$K295),0)</f>
        <v>0</v>
      </c>
      <c r="AA295" s="63">
        <f t="shared" si="258"/>
        <v>0</v>
      </c>
      <c r="AB295" s="61">
        <f>IFERROR(SUMIFS('BM MORRO DA CRUZ - VERTICAL'!AF$6:AF$546,'BM MORRO DA CRUZ - VERTICAL'!$O$6:$O$546,'BM MORRO DA CRUZ'!$K295),0)</f>
        <v>0</v>
      </c>
      <c r="AC295" s="63">
        <f t="shared" si="259"/>
        <v>0</v>
      </c>
      <c r="AD295" s="61">
        <f>IFERROR(SUMIFS('BM MORRO DA CRUZ - VERTICAL'!AH$6:AH$546,'BM MORRO DA CRUZ - VERTICAL'!$O$6:$O$546,'BM MORRO DA CRUZ'!$K295),0)</f>
        <v>0</v>
      </c>
      <c r="AE295" s="63">
        <f t="shared" si="260"/>
        <v>0</v>
      </c>
      <c r="AF295" s="61">
        <f>IFERROR(SUMIFS('BM MORRO DA CRUZ - VERTICAL'!AJ$6:AJ$546,'BM MORRO DA CRUZ - VERTICAL'!$O$6:$O$546,'BM MORRO DA CRUZ'!$K295),0)</f>
        <v>0</v>
      </c>
      <c r="AG295" s="63">
        <f t="shared" si="261"/>
        <v>0</v>
      </c>
      <c r="AH295" s="61">
        <f>IFERROR(SUMIFS('BM MORRO DA CRUZ - VERTICAL'!AL$6:AL$546,'BM MORRO DA CRUZ - VERTICAL'!$O$6:$O$546,'BM MORRO DA CRUZ'!$K295),0)</f>
        <v>0</v>
      </c>
      <c r="AI295" s="63">
        <f t="shared" si="262"/>
        <v>0</v>
      </c>
      <c r="AJ295" s="61">
        <f>IFERROR(SUMIFS('BM MORRO DA CRUZ - VERTICAL'!AN$6:AN$546,'BM MORRO DA CRUZ - VERTICAL'!$O$6:$O$546,'BM MORRO DA CRUZ'!$K295),0)</f>
        <v>0</v>
      </c>
      <c r="AK295" s="63">
        <f t="shared" si="263"/>
        <v>0</v>
      </c>
      <c r="AL295" s="61">
        <f>IFERROR(SUMIFS('BM MORRO DA CRUZ - VERTICAL'!AP$6:AP$546,'BM MORRO DA CRUZ - VERTICAL'!$O$6:$O$546,'BM MORRO DA CRUZ'!$K295),0)</f>
        <v>0</v>
      </c>
      <c r="AM295" s="63">
        <f t="shared" si="264"/>
        <v>0</v>
      </c>
      <c r="AN295" s="61">
        <f>IFERROR(SUMIFS('BM MORRO DA CRUZ - VERTICAL'!AR$6:AR$546,'BM MORRO DA CRUZ - VERTICAL'!$O$6:$O$546,'BM MORRO DA CRUZ'!$K295),0)</f>
        <v>0</v>
      </c>
      <c r="AO295" s="63">
        <f t="shared" si="265"/>
        <v>0</v>
      </c>
      <c r="AP295" s="61">
        <f>IFERROR(SUMIFS('BM MORRO DA CRUZ - VERTICAL'!AT$6:AT$546,'BM MORRO DA CRUZ - VERTICAL'!$O$6:$O$546,'BM MORRO DA CRUZ'!$K295),0)</f>
        <v>0</v>
      </c>
      <c r="AQ295" s="63">
        <f t="shared" si="266"/>
        <v>0</v>
      </c>
      <c r="AR295" s="61">
        <f>IFERROR(SUMIFS('BM MORRO DA CRUZ - VERTICAL'!AV$6:AV$546,'BM MORRO DA CRUZ - VERTICAL'!$O$6:$O$546,'BM MORRO DA CRUZ'!$K295),0)</f>
        <v>0</v>
      </c>
      <c r="AS295" s="63">
        <f t="shared" si="267"/>
        <v>0</v>
      </c>
      <c r="AT295" s="61">
        <f>IFERROR(SUMIFS('BM MORRO DA CRUZ - VERTICAL'!AX$6:AX$546,'BM MORRO DA CRUZ - VERTICAL'!$O$6:$O$546,'BM MORRO DA CRUZ'!$K295),0)</f>
        <v>0</v>
      </c>
      <c r="AU295" s="63">
        <f t="shared" si="268"/>
        <v>0</v>
      </c>
      <c r="AV295" s="61">
        <f>IFERROR(SUMIFS('BM MORRO DA CRUZ - VERTICAL'!AZ$6:AZ$546,'BM MORRO DA CRUZ - VERTICAL'!$O$6:$O$546,'BM MORRO DA CRUZ'!$K295),0)</f>
        <v>0</v>
      </c>
      <c r="AW295" s="63">
        <f t="shared" si="269"/>
        <v>0</v>
      </c>
      <c r="AX295" s="61">
        <f>IFERROR(SUMIFS('BM MORRO DA CRUZ - VERTICAL'!BB$6:BB$546,'BM MORRO DA CRUZ - VERTICAL'!$O$6:$O$546,'BM MORRO DA CRUZ'!$K295),0)</f>
        <v>0</v>
      </c>
      <c r="AY295" s="63">
        <f t="shared" si="270"/>
        <v>0</v>
      </c>
      <c r="AZ295" s="61">
        <f>IFERROR(SUMIFS('BM MORRO DA CRUZ - VERTICAL'!BD$6:BD$546,'BM MORRO DA CRUZ - VERTICAL'!$O$6:$O$546,'BM MORRO DA CRUZ'!$K295),0)</f>
        <v>0</v>
      </c>
      <c r="BA295" s="63">
        <f t="shared" si="271"/>
        <v>0</v>
      </c>
      <c r="BB295" s="61">
        <f t="shared" si="272"/>
        <v>0</v>
      </c>
      <c r="BC295" s="63">
        <f t="shared" si="273"/>
        <v>0</v>
      </c>
      <c r="BD295" s="64">
        <f t="shared" si="274"/>
        <v>0</v>
      </c>
      <c r="BE295" s="65">
        <f t="shared" si="275"/>
        <v>1</v>
      </c>
      <c r="BF295" s="45"/>
    </row>
    <row r="296" spans="1:58" ht="26" customHeight="1" x14ac:dyDescent="0.45">
      <c r="A296" s="56" t="s">
        <v>1098</v>
      </c>
      <c r="B296" s="506" t="s">
        <v>1819</v>
      </c>
      <c r="C296" s="507" t="s">
        <v>1795</v>
      </c>
      <c r="D296" s="507" t="s">
        <v>39</v>
      </c>
      <c r="E296" s="507" t="s">
        <v>1817</v>
      </c>
      <c r="F296" s="507" t="s">
        <v>39</v>
      </c>
      <c r="G296" s="507">
        <v>250</v>
      </c>
      <c r="H296" s="508" t="s">
        <v>125</v>
      </c>
      <c r="I296" s="507" t="s">
        <v>79</v>
      </c>
      <c r="J296" s="508" t="s">
        <v>1055</v>
      </c>
      <c r="K296" s="57" t="s">
        <v>1099</v>
      </c>
      <c r="L296" s="58" t="s">
        <v>846</v>
      </c>
      <c r="M296" s="59" t="s">
        <v>1100</v>
      </c>
      <c r="N296" s="60" t="s">
        <v>71</v>
      </c>
      <c r="O296" s="61">
        <v>3</v>
      </c>
      <c r="P296" s="62">
        <v>180.27</v>
      </c>
      <c r="Q296" s="63">
        <f t="shared" si="253"/>
        <v>540.80999999999995</v>
      </c>
      <c r="R296" s="61">
        <f>IFERROR(SUMIFS('BM MORRO DA CRUZ - VERTICAL'!V$6:V$546,'BM MORRO DA CRUZ - VERTICAL'!$O$6:$O$546,'BM MORRO DA CRUZ'!$K296),0)</f>
        <v>0</v>
      </c>
      <c r="S296" s="63">
        <f t="shared" si="254"/>
        <v>0</v>
      </c>
      <c r="T296" s="61">
        <f>IFERROR(SUMIFS('BM MORRO DA CRUZ - VERTICAL'!X$6:X$546,'BM MORRO DA CRUZ - VERTICAL'!$O$6:$O$546,'BM MORRO DA CRUZ'!$K296),0)</f>
        <v>0</v>
      </c>
      <c r="U296" s="63">
        <f t="shared" si="255"/>
        <v>0</v>
      </c>
      <c r="V296" s="61">
        <f>IFERROR(SUMIFS('BM MORRO DA CRUZ - VERTICAL'!Z$6:Z$546,'BM MORRO DA CRUZ - VERTICAL'!$O$6:$O$546,'BM MORRO DA CRUZ'!$K296),0)</f>
        <v>0</v>
      </c>
      <c r="W296" s="63">
        <f t="shared" si="256"/>
        <v>0</v>
      </c>
      <c r="X296" s="61">
        <f>IFERROR(SUMIFS('BM MORRO DA CRUZ - VERTICAL'!AB$6:AB$546,'BM MORRO DA CRUZ - VERTICAL'!$O$6:$O$546,'BM MORRO DA CRUZ'!$K296),0)</f>
        <v>0</v>
      </c>
      <c r="Y296" s="63">
        <f t="shared" si="257"/>
        <v>0</v>
      </c>
      <c r="Z296" s="61">
        <f>IFERROR(SUMIFS('BM MORRO DA CRUZ - VERTICAL'!AD$6:AD$546,'BM MORRO DA CRUZ - VERTICAL'!$O$6:$O$546,'BM MORRO DA CRUZ'!$K296),0)</f>
        <v>0</v>
      </c>
      <c r="AA296" s="63">
        <f t="shared" si="258"/>
        <v>0</v>
      </c>
      <c r="AB296" s="61">
        <f>IFERROR(SUMIFS('BM MORRO DA CRUZ - VERTICAL'!AF$6:AF$546,'BM MORRO DA CRUZ - VERTICAL'!$O$6:$O$546,'BM MORRO DA CRUZ'!$K296),0)</f>
        <v>0</v>
      </c>
      <c r="AC296" s="63">
        <f t="shared" si="259"/>
        <v>0</v>
      </c>
      <c r="AD296" s="61">
        <f>IFERROR(SUMIFS('BM MORRO DA CRUZ - VERTICAL'!AH$6:AH$546,'BM MORRO DA CRUZ - VERTICAL'!$O$6:$O$546,'BM MORRO DA CRUZ'!$K296),0)</f>
        <v>0</v>
      </c>
      <c r="AE296" s="63">
        <f t="shared" si="260"/>
        <v>0</v>
      </c>
      <c r="AF296" s="61">
        <f>IFERROR(SUMIFS('BM MORRO DA CRUZ - VERTICAL'!AJ$6:AJ$546,'BM MORRO DA CRUZ - VERTICAL'!$O$6:$O$546,'BM MORRO DA CRUZ'!$K296),0)</f>
        <v>0</v>
      </c>
      <c r="AG296" s="63">
        <f t="shared" si="261"/>
        <v>0</v>
      </c>
      <c r="AH296" s="61">
        <f>IFERROR(SUMIFS('BM MORRO DA CRUZ - VERTICAL'!AL$6:AL$546,'BM MORRO DA CRUZ - VERTICAL'!$O$6:$O$546,'BM MORRO DA CRUZ'!$K296),0)</f>
        <v>0</v>
      </c>
      <c r="AI296" s="63">
        <f t="shared" si="262"/>
        <v>0</v>
      </c>
      <c r="AJ296" s="61">
        <f>IFERROR(SUMIFS('BM MORRO DA CRUZ - VERTICAL'!AN$6:AN$546,'BM MORRO DA CRUZ - VERTICAL'!$O$6:$O$546,'BM MORRO DA CRUZ'!$K296),0)</f>
        <v>0</v>
      </c>
      <c r="AK296" s="63">
        <f t="shared" si="263"/>
        <v>0</v>
      </c>
      <c r="AL296" s="61">
        <f>IFERROR(SUMIFS('BM MORRO DA CRUZ - VERTICAL'!AP$6:AP$546,'BM MORRO DA CRUZ - VERTICAL'!$O$6:$O$546,'BM MORRO DA CRUZ'!$K296),0)</f>
        <v>0</v>
      </c>
      <c r="AM296" s="63">
        <f t="shared" si="264"/>
        <v>0</v>
      </c>
      <c r="AN296" s="61">
        <f>IFERROR(SUMIFS('BM MORRO DA CRUZ - VERTICAL'!AR$6:AR$546,'BM MORRO DA CRUZ - VERTICAL'!$O$6:$O$546,'BM MORRO DA CRUZ'!$K296),0)</f>
        <v>0</v>
      </c>
      <c r="AO296" s="63">
        <f t="shared" si="265"/>
        <v>0</v>
      </c>
      <c r="AP296" s="61">
        <f>IFERROR(SUMIFS('BM MORRO DA CRUZ - VERTICAL'!AT$6:AT$546,'BM MORRO DA CRUZ - VERTICAL'!$O$6:$O$546,'BM MORRO DA CRUZ'!$K296),0)</f>
        <v>0</v>
      </c>
      <c r="AQ296" s="63">
        <f t="shared" si="266"/>
        <v>0</v>
      </c>
      <c r="AR296" s="61">
        <f>IFERROR(SUMIFS('BM MORRO DA CRUZ - VERTICAL'!AV$6:AV$546,'BM MORRO DA CRUZ - VERTICAL'!$O$6:$O$546,'BM MORRO DA CRUZ'!$K296),0)</f>
        <v>0</v>
      </c>
      <c r="AS296" s="63">
        <f t="shared" si="267"/>
        <v>0</v>
      </c>
      <c r="AT296" s="61">
        <f>IFERROR(SUMIFS('BM MORRO DA CRUZ - VERTICAL'!AX$6:AX$546,'BM MORRO DA CRUZ - VERTICAL'!$O$6:$O$546,'BM MORRO DA CRUZ'!$K296),0)</f>
        <v>0</v>
      </c>
      <c r="AU296" s="63">
        <f t="shared" si="268"/>
        <v>0</v>
      </c>
      <c r="AV296" s="61">
        <f>IFERROR(SUMIFS('BM MORRO DA CRUZ - VERTICAL'!AZ$6:AZ$546,'BM MORRO DA CRUZ - VERTICAL'!$O$6:$O$546,'BM MORRO DA CRUZ'!$K296),0)</f>
        <v>0</v>
      </c>
      <c r="AW296" s="63">
        <f t="shared" si="269"/>
        <v>0</v>
      </c>
      <c r="AX296" s="61">
        <f>IFERROR(SUMIFS('BM MORRO DA CRUZ - VERTICAL'!BB$6:BB$546,'BM MORRO DA CRUZ - VERTICAL'!$O$6:$O$546,'BM MORRO DA CRUZ'!$K296),0)</f>
        <v>0</v>
      </c>
      <c r="AY296" s="63">
        <f t="shared" si="270"/>
        <v>0</v>
      </c>
      <c r="AZ296" s="61">
        <f>IFERROR(SUMIFS('BM MORRO DA CRUZ - VERTICAL'!BD$6:BD$546,'BM MORRO DA CRUZ - VERTICAL'!$O$6:$O$546,'BM MORRO DA CRUZ'!$K296),0)</f>
        <v>0</v>
      </c>
      <c r="BA296" s="63">
        <f t="shared" si="271"/>
        <v>0</v>
      </c>
      <c r="BB296" s="61">
        <f t="shared" si="272"/>
        <v>0</v>
      </c>
      <c r="BC296" s="63">
        <f t="shared" si="273"/>
        <v>0</v>
      </c>
      <c r="BD296" s="64">
        <f t="shared" si="274"/>
        <v>0</v>
      </c>
      <c r="BE296" s="65">
        <f t="shared" si="275"/>
        <v>1</v>
      </c>
      <c r="BF296" s="45"/>
    </row>
    <row r="297" spans="1:58" ht="26" customHeight="1" x14ac:dyDescent="0.45">
      <c r="A297" s="56" t="s">
        <v>1101</v>
      </c>
      <c r="B297" s="506" t="s">
        <v>1819</v>
      </c>
      <c r="C297" s="507" t="s">
        <v>1795</v>
      </c>
      <c r="D297" s="507" t="s">
        <v>39</v>
      </c>
      <c r="E297" s="507" t="s">
        <v>1817</v>
      </c>
      <c r="F297" s="507" t="s">
        <v>39</v>
      </c>
      <c r="G297" s="507">
        <v>300</v>
      </c>
      <c r="H297" s="508" t="s">
        <v>125</v>
      </c>
      <c r="I297" s="507" t="s">
        <v>79</v>
      </c>
      <c r="J297" s="508" t="s">
        <v>1055</v>
      </c>
      <c r="K297" s="57" t="s">
        <v>1102</v>
      </c>
      <c r="L297" s="58" t="s">
        <v>846</v>
      </c>
      <c r="M297" s="59" t="s">
        <v>1103</v>
      </c>
      <c r="N297" s="60" t="s">
        <v>71</v>
      </c>
      <c r="O297" s="61">
        <v>2</v>
      </c>
      <c r="P297" s="62">
        <v>204.91</v>
      </c>
      <c r="Q297" s="63">
        <f t="shared" si="253"/>
        <v>409.82</v>
      </c>
      <c r="R297" s="61">
        <f>IFERROR(SUMIFS('BM MORRO DA CRUZ - VERTICAL'!V$6:V$546,'BM MORRO DA CRUZ - VERTICAL'!$O$6:$O$546,'BM MORRO DA CRUZ'!$K297),0)</f>
        <v>0</v>
      </c>
      <c r="S297" s="63">
        <f t="shared" si="254"/>
        <v>0</v>
      </c>
      <c r="T297" s="61">
        <f>IFERROR(SUMIFS('BM MORRO DA CRUZ - VERTICAL'!X$6:X$546,'BM MORRO DA CRUZ - VERTICAL'!$O$6:$O$546,'BM MORRO DA CRUZ'!$K297),0)</f>
        <v>0</v>
      </c>
      <c r="U297" s="63">
        <f t="shared" si="255"/>
        <v>0</v>
      </c>
      <c r="V297" s="61">
        <f>IFERROR(SUMIFS('BM MORRO DA CRUZ - VERTICAL'!Z$6:Z$546,'BM MORRO DA CRUZ - VERTICAL'!$O$6:$O$546,'BM MORRO DA CRUZ'!$K297),0)</f>
        <v>0</v>
      </c>
      <c r="W297" s="63">
        <f t="shared" si="256"/>
        <v>0</v>
      </c>
      <c r="X297" s="61">
        <f>IFERROR(SUMIFS('BM MORRO DA CRUZ - VERTICAL'!AB$6:AB$546,'BM MORRO DA CRUZ - VERTICAL'!$O$6:$O$546,'BM MORRO DA CRUZ'!$K297),0)</f>
        <v>0</v>
      </c>
      <c r="Y297" s="63">
        <f t="shared" si="257"/>
        <v>0</v>
      </c>
      <c r="Z297" s="61">
        <f>IFERROR(SUMIFS('BM MORRO DA CRUZ - VERTICAL'!AD$6:AD$546,'BM MORRO DA CRUZ - VERTICAL'!$O$6:$O$546,'BM MORRO DA CRUZ'!$K297),0)</f>
        <v>0</v>
      </c>
      <c r="AA297" s="63">
        <f t="shared" si="258"/>
        <v>0</v>
      </c>
      <c r="AB297" s="61">
        <f>IFERROR(SUMIFS('BM MORRO DA CRUZ - VERTICAL'!AF$6:AF$546,'BM MORRO DA CRUZ - VERTICAL'!$O$6:$O$546,'BM MORRO DA CRUZ'!$K297),0)</f>
        <v>0</v>
      </c>
      <c r="AC297" s="63">
        <f t="shared" si="259"/>
        <v>0</v>
      </c>
      <c r="AD297" s="61">
        <f>IFERROR(SUMIFS('BM MORRO DA CRUZ - VERTICAL'!AH$6:AH$546,'BM MORRO DA CRUZ - VERTICAL'!$O$6:$O$546,'BM MORRO DA CRUZ'!$K297),0)</f>
        <v>0</v>
      </c>
      <c r="AE297" s="63">
        <f t="shared" si="260"/>
        <v>0</v>
      </c>
      <c r="AF297" s="61">
        <f>IFERROR(SUMIFS('BM MORRO DA CRUZ - VERTICAL'!AJ$6:AJ$546,'BM MORRO DA CRUZ - VERTICAL'!$O$6:$O$546,'BM MORRO DA CRUZ'!$K297),0)</f>
        <v>0</v>
      </c>
      <c r="AG297" s="63">
        <f t="shared" si="261"/>
        <v>0</v>
      </c>
      <c r="AH297" s="61">
        <f>IFERROR(SUMIFS('BM MORRO DA CRUZ - VERTICAL'!AL$6:AL$546,'BM MORRO DA CRUZ - VERTICAL'!$O$6:$O$546,'BM MORRO DA CRUZ'!$K297),0)</f>
        <v>0</v>
      </c>
      <c r="AI297" s="63">
        <f t="shared" si="262"/>
        <v>0</v>
      </c>
      <c r="AJ297" s="61">
        <f>IFERROR(SUMIFS('BM MORRO DA CRUZ - VERTICAL'!AN$6:AN$546,'BM MORRO DA CRUZ - VERTICAL'!$O$6:$O$546,'BM MORRO DA CRUZ'!$K297),0)</f>
        <v>0</v>
      </c>
      <c r="AK297" s="63">
        <f t="shared" si="263"/>
        <v>0</v>
      </c>
      <c r="AL297" s="61">
        <f>IFERROR(SUMIFS('BM MORRO DA CRUZ - VERTICAL'!AP$6:AP$546,'BM MORRO DA CRUZ - VERTICAL'!$O$6:$O$546,'BM MORRO DA CRUZ'!$K297),0)</f>
        <v>0</v>
      </c>
      <c r="AM297" s="63">
        <f t="shared" si="264"/>
        <v>0</v>
      </c>
      <c r="AN297" s="61">
        <f>IFERROR(SUMIFS('BM MORRO DA CRUZ - VERTICAL'!AR$6:AR$546,'BM MORRO DA CRUZ - VERTICAL'!$O$6:$O$546,'BM MORRO DA CRUZ'!$K297),0)</f>
        <v>0</v>
      </c>
      <c r="AO297" s="63">
        <f t="shared" si="265"/>
        <v>0</v>
      </c>
      <c r="AP297" s="61">
        <f>IFERROR(SUMIFS('BM MORRO DA CRUZ - VERTICAL'!AT$6:AT$546,'BM MORRO DA CRUZ - VERTICAL'!$O$6:$O$546,'BM MORRO DA CRUZ'!$K297),0)</f>
        <v>0</v>
      </c>
      <c r="AQ297" s="63">
        <f t="shared" si="266"/>
        <v>0</v>
      </c>
      <c r="AR297" s="61">
        <f>IFERROR(SUMIFS('BM MORRO DA CRUZ - VERTICAL'!AV$6:AV$546,'BM MORRO DA CRUZ - VERTICAL'!$O$6:$O$546,'BM MORRO DA CRUZ'!$K297),0)</f>
        <v>0</v>
      </c>
      <c r="AS297" s="63">
        <f t="shared" si="267"/>
        <v>0</v>
      </c>
      <c r="AT297" s="61">
        <f>IFERROR(SUMIFS('BM MORRO DA CRUZ - VERTICAL'!AX$6:AX$546,'BM MORRO DA CRUZ - VERTICAL'!$O$6:$O$546,'BM MORRO DA CRUZ'!$K297),0)</f>
        <v>0</v>
      </c>
      <c r="AU297" s="63">
        <f t="shared" si="268"/>
        <v>0</v>
      </c>
      <c r="AV297" s="61">
        <f>IFERROR(SUMIFS('BM MORRO DA CRUZ - VERTICAL'!AZ$6:AZ$546,'BM MORRO DA CRUZ - VERTICAL'!$O$6:$O$546,'BM MORRO DA CRUZ'!$K297),0)</f>
        <v>0</v>
      </c>
      <c r="AW297" s="63">
        <f t="shared" si="269"/>
        <v>0</v>
      </c>
      <c r="AX297" s="61">
        <f>IFERROR(SUMIFS('BM MORRO DA CRUZ - VERTICAL'!BB$6:BB$546,'BM MORRO DA CRUZ - VERTICAL'!$O$6:$O$546,'BM MORRO DA CRUZ'!$K297),0)</f>
        <v>0</v>
      </c>
      <c r="AY297" s="63">
        <f t="shared" si="270"/>
        <v>0</v>
      </c>
      <c r="AZ297" s="61">
        <f>IFERROR(SUMIFS('BM MORRO DA CRUZ - VERTICAL'!BD$6:BD$546,'BM MORRO DA CRUZ - VERTICAL'!$O$6:$O$546,'BM MORRO DA CRUZ'!$K297),0)</f>
        <v>0</v>
      </c>
      <c r="BA297" s="63">
        <f t="shared" si="271"/>
        <v>0</v>
      </c>
      <c r="BB297" s="61">
        <f t="shared" si="272"/>
        <v>0</v>
      </c>
      <c r="BC297" s="63">
        <f t="shared" si="273"/>
        <v>0</v>
      </c>
      <c r="BD297" s="64">
        <f t="shared" si="274"/>
        <v>0</v>
      </c>
      <c r="BE297" s="65">
        <f t="shared" si="275"/>
        <v>1</v>
      </c>
      <c r="BF297" s="45"/>
    </row>
    <row r="298" spans="1:58" ht="26" customHeight="1" x14ac:dyDescent="0.45">
      <c r="A298" s="56" t="s">
        <v>1104</v>
      </c>
      <c r="B298" s="506" t="s">
        <v>1819</v>
      </c>
      <c r="C298" s="507" t="s">
        <v>1795</v>
      </c>
      <c r="D298" s="507" t="s">
        <v>39</v>
      </c>
      <c r="E298" s="507" t="s">
        <v>1817</v>
      </c>
      <c r="F298" s="507" t="s">
        <v>39</v>
      </c>
      <c r="G298" s="507">
        <v>350</v>
      </c>
      <c r="H298" s="508" t="s">
        <v>125</v>
      </c>
      <c r="I298" s="507" t="s">
        <v>79</v>
      </c>
      <c r="J298" s="508" t="s">
        <v>1055</v>
      </c>
      <c r="K298" s="57" t="s">
        <v>1105</v>
      </c>
      <c r="L298" s="58" t="s">
        <v>846</v>
      </c>
      <c r="M298" s="59" t="s">
        <v>1106</v>
      </c>
      <c r="N298" s="60" t="s">
        <v>71</v>
      </c>
      <c r="O298" s="61">
        <v>6</v>
      </c>
      <c r="P298" s="62">
        <v>275.88</v>
      </c>
      <c r="Q298" s="63">
        <f t="shared" si="253"/>
        <v>1655.28</v>
      </c>
      <c r="R298" s="61">
        <f>IFERROR(SUMIFS('BM MORRO DA CRUZ - VERTICAL'!V$6:V$546,'BM MORRO DA CRUZ - VERTICAL'!$O$6:$O$546,'BM MORRO DA CRUZ'!$K298),0)</f>
        <v>0</v>
      </c>
      <c r="S298" s="63">
        <f t="shared" si="254"/>
        <v>0</v>
      </c>
      <c r="T298" s="61">
        <f>IFERROR(SUMIFS('BM MORRO DA CRUZ - VERTICAL'!X$6:X$546,'BM MORRO DA CRUZ - VERTICAL'!$O$6:$O$546,'BM MORRO DA CRUZ'!$K298),0)</f>
        <v>0</v>
      </c>
      <c r="U298" s="63">
        <f t="shared" si="255"/>
        <v>0</v>
      </c>
      <c r="V298" s="61">
        <f>IFERROR(SUMIFS('BM MORRO DA CRUZ - VERTICAL'!Z$6:Z$546,'BM MORRO DA CRUZ - VERTICAL'!$O$6:$O$546,'BM MORRO DA CRUZ'!$K298),0)</f>
        <v>0</v>
      </c>
      <c r="W298" s="63">
        <f t="shared" si="256"/>
        <v>0</v>
      </c>
      <c r="X298" s="61">
        <f>IFERROR(SUMIFS('BM MORRO DA CRUZ - VERTICAL'!AB$6:AB$546,'BM MORRO DA CRUZ - VERTICAL'!$O$6:$O$546,'BM MORRO DA CRUZ'!$K298),0)</f>
        <v>0</v>
      </c>
      <c r="Y298" s="63">
        <f t="shared" si="257"/>
        <v>0</v>
      </c>
      <c r="Z298" s="61">
        <f>IFERROR(SUMIFS('BM MORRO DA CRUZ - VERTICAL'!AD$6:AD$546,'BM MORRO DA CRUZ - VERTICAL'!$O$6:$O$546,'BM MORRO DA CRUZ'!$K298),0)</f>
        <v>0</v>
      </c>
      <c r="AA298" s="63">
        <f t="shared" si="258"/>
        <v>0</v>
      </c>
      <c r="AB298" s="61">
        <f>IFERROR(SUMIFS('BM MORRO DA CRUZ - VERTICAL'!AF$6:AF$546,'BM MORRO DA CRUZ - VERTICAL'!$O$6:$O$546,'BM MORRO DA CRUZ'!$K298),0)</f>
        <v>0</v>
      </c>
      <c r="AC298" s="63">
        <f t="shared" si="259"/>
        <v>0</v>
      </c>
      <c r="AD298" s="61">
        <f>IFERROR(SUMIFS('BM MORRO DA CRUZ - VERTICAL'!AH$6:AH$546,'BM MORRO DA CRUZ - VERTICAL'!$O$6:$O$546,'BM MORRO DA CRUZ'!$K298),0)</f>
        <v>0</v>
      </c>
      <c r="AE298" s="63">
        <f t="shared" si="260"/>
        <v>0</v>
      </c>
      <c r="AF298" s="61">
        <f>IFERROR(SUMIFS('BM MORRO DA CRUZ - VERTICAL'!AJ$6:AJ$546,'BM MORRO DA CRUZ - VERTICAL'!$O$6:$O$546,'BM MORRO DA CRUZ'!$K298),0)</f>
        <v>0</v>
      </c>
      <c r="AG298" s="63">
        <f t="shared" si="261"/>
        <v>0</v>
      </c>
      <c r="AH298" s="61">
        <f>IFERROR(SUMIFS('BM MORRO DA CRUZ - VERTICAL'!AL$6:AL$546,'BM MORRO DA CRUZ - VERTICAL'!$O$6:$O$546,'BM MORRO DA CRUZ'!$K298),0)</f>
        <v>0</v>
      </c>
      <c r="AI298" s="63">
        <f t="shared" si="262"/>
        <v>0</v>
      </c>
      <c r="AJ298" s="61">
        <f>IFERROR(SUMIFS('BM MORRO DA CRUZ - VERTICAL'!AN$6:AN$546,'BM MORRO DA CRUZ - VERTICAL'!$O$6:$O$546,'BM MORRO DA CRUZ'!$K298),0)</f>
        <v>0</v>
      </c>
      <c r="AK298" s="63">
        <f t="shared" si="263"/>
        <v>0</v>
      </c>
      <c r="AL298" s="61">
        <f>IFERROR(SUMIFS('BM MORRO DA CRUZ - VERTICAL'!AP$6:AP$546,'BM MORRO DA CRUZ - VERTICAL'!$O$6:$O$546,'BM MORRO DA CRUZ'!$K298),0)</f>
        <v>0</v>
      </c>
      <c r="AM298" s="63">
        <f t="shared" si="264"/>
        <v>0</v>
      </c>
      <c r="AN298" s="61">
        <f>IFERROR(SUMIFS('BM MORRO DA CRUZ - VERTICAL'!AR$6:AR$546,'BM MORRO DA CRUZ - VERTICAL'!$O$6:$O$546,'BM MORRO DA CRUZ'!$K298),0)</f>
        <v>0</v>
      </c>
      <c r="AO298" s="63">
        <f t="shared" si="265"/>
        <v>0</v>
      </c>
      <c r="AP298" s="61">
        <f>IFERROR(SUMIFS('BM MORRO DA CRUZ - VERTICAL'!AT$6:AT$546,'BM MORRO DA CRUZ - VERTICAL'!$O$6:$O$546,'BM MORRO DA CRUZ'!$K298),0)</f>
        <v>0</v>
      </c>
      <c r="AQ298" s="63">
        <f t="shared" si="266"/>
        <v>0</v>
      </c>
      <c r="AR298" s="61">
        <f>IFERROR(SUMIFS('BM MORRO DA CRUZ - VERTICAL'!AV$6:AV$546,'BM MORRO DA CRUZ - VERTICAL'!$O$6:$O$546,'BM MORRO DA CRUZ'!$K298),0)</f>
        <v>0</v>
      </c>
      <c r="AS298" s="63">
        <f t="shared" si="267"/>
        <v>0</v>
      </c>
      <c r="AT298" s="61">
        <f>IFERROR(SUMIFS('BM MORRO DA CRUZ - VERTICAL'!AX$6:AX$546,'BM MORRO DA CRUZ - VERTICAL'!$O$6:$O$546,'BM MORRO DA CRUZ'!$K298),0)</f>
        <v>0</v>
      </c>
      <c r="AU298" s="63">
        <f t="shared" si="268"/>
        <v>0</v>
      </c>
      <c r="AV298" s="61">
        <f>IFERROR(SUMIFS('BM MORRO DA CRUZ - VERTICAL'!AZ$6:AZ$546,'BM MORRO DA CRUZ - VERTICAL'!$O$6:$O$546,'BM MORRO DA CRUZ'!$K298),0)</f>
        <v>0</v>
      </c>
      <c r="AW298" s="63">
        <f t="shared" si="269"/>
        <v>0</v>
      </c>
      <c r="AX298" s="61">
        <f>IFERROR(SUMIFS('BM MORRO DA CRUZ - VERTICAL'!BB$6:BB$546,'BM MORRO DA CRUZ - VERTICAL'!$O$6:$O$546,'BM MORRO DA CRUZ'!$K298),0)</f>
        <v>0</v>
      </c>
      <c r="AY298" s="63">
        <f t="shared" si="270"/>
        <v>0</v>
      </c>
      <c r="AZ298" s="61">
        <f>IFERROR(SUMIFS('BM MORRO DA CRUZ - VERTICAL'!BD$6:BD$546,'BM MORRO DA CRUZ - VERTICAL'!$O$6:$O$546,'BM MORRO DA CRUZ'!$K298),0)</f>
        <v>0</v>
      </c>
      <c r="BA298" s="63">
        <f t="shared" si="271"/>
        <v>0</v>
      </c>
      <c r="BB298" s="61">
        <f t="shared" si="272"/>
        <v>0</v>
      </c>
      <c r="BC298" s="63">
        <f t="shared" si="273"/>
        <v>0</v>
      </c>
      <c r="BD298" s="64">
        <f t="shared" si="274"/>
        <v>0</v>
      </c>
      <c r="BE298" s="65">
        <f t="shared" si="275"/>
        <v>1</v>
      </c>
      <c r="BF298" s="45"/>
    </row>
    <row r="299" spans="1:58" ht="26" customHeight="1" x14ac:dyDescent="0.45">
      <c r="A299" s="56" t="s">
        <v>1107</v>
      </c>
      <c r="B299" s="506" t="s">
        <v>1819</v>
      </c>
      <c r="C299" s="507" t="s">
        <v>1795</v>
      </c>
      <c r="D299" s="507" t="s">
        <v>39</v>
      </c>
      <c r="E299" s="507" t="s">
        <v>1817</v>
      </c>
      <c r="F299" s="507" t="s">
        <v>39</v>
      </c>
      <c r="G299" s="507">
        <v>80</v>
      </c>
      <c r="H299" s="508" t="s">
        <v>125</v>
      </c>
      <c r="I299" s="507" t="s">
        <v>79</v>
      </c>
      <c r="J299" s="508" t="s">
        <v>1055</v>
      </c>
      <c r="K299" s="57" t="s">
        <v>1108</v>
      </c>
      <c r="L299" s="58" t="s">
        <v>846</v>
      </c>
      <c r="M299" s="59" t="s">
        <v>1109</v>
      </c>
      <c r="N299" s="60" t="s">
        <v>71</v>
      </c>
      <c r="O299" s="61">
        <v>85</v>
      </c>
      <c r="P299" s="62">
        <v>50.15</v>
      </c>
      <c r="Q299" s="63">
        <f t="shared" si="253"/>
        <v>4262.75</v>
      </c>
      <c r="R299" s="61">
        <f>IFERROR(SUMIFS('BM MORRO DA CRUZ - VERTICAL'!V$6:V$546,'BM MORRO DA CRUZ - VERTICAL'!$O$6:$O$546,'BM MORRO DA CRUZ'!$K299),0)</f>
        <v>0</v>
      </c>
      <c r="S299" s="63">
        <f t="shared" si="254"/>
        <v>0</v>
      </c>
      <c r="T299" s="61">
        <f>IFERROR(SUMIFS('BM MORRO DA CRUZ - VERTICAL'!X$6:X$546,'BM MORRO DA CRUZ - VERTICAL'!$O$6:$O$546,'BM MORRO DA CRUZ'!$K299),0)</f>
        <v>0</v>
      </c>
      <c r="U299" s="63">
        <f t="shared" si="255"/>
        <v>0</v>
      </c>
      <c r="V299" s="61">
        <f>IFERROR(SUMIFS('BM MORRO DA CRUZ - VERTICAL'!Z$6:Z$546,'BM MORRO DA CRUZ - VERTICAL'!$O$6:$O$546,'BM MORRO DA CRUZ'!$K299),0)</f>
        <v>0</v>
      </c>
      <c r="W299" s="63">
        <f t="shared" si="256"/>
        <v>0</v>
      </c>
      <c r="X299" s="61">
        <f>IFERROR(SUMIFS('BM MORRO DA CRUZ - VERTICAL'!AB$6:AB$546,'BM MORRO DA CRUZ - VERTICAL'!$O$6:$O$546,'BM MORRO DA CRUZ'!$K299),0)</f>
        <v>0</v>
      </c>
      <c r="Y299" s="63">
        <f t="shared" si="257"/>
        <v>0</v>
      </c>
      <c r="Z299" s="61">
        <f>IFERROR(SUMIFS('BM MORRO DA CRUZ - VERTICAL'!AD$6:AD$546,'BM MORRO DA CRUZ - VERTICAL'!$O$6:$O$546,'BM MORRO DA CRUZ'!$K299),0)</f>
        <v>0</v>
      </c>
      <c r="AA299" s="63">
        <f t="shared" si="258"/>
        <v>0</v>
      </c>
      <c r="AB299" s="61">
        <f>IFERROR(SUMIFS('BM MORRO DA CRUZ - VERTICAL'!AF$6:AF$546,'BM MORRO DA CRUZ - VERTICAL'!$O$6:$O$546,'BM MORRO DA CRUZ'!$K299),0)</f>
        <v>0</v>
      </c>
      <c r="AC299" s="63">
        <f t="shared" si="259"/>
        <v>0</v>
      </c>
      <c r="AD299" s="61">
        <f>IFERROR(SUMIFS('BM MORRO DA CRUZ - VERTICAL'!AH$6:AH$546,'BM MORRO DA CRUZ - VERTICAL'!$O$6:$O$546,'BM MORRO DA CRUZ'!$K299),0)</f>
        <v>0</v>
      </c>
      <c r="AE299" s="63">
        <f t="shared" si="260"/>
        <v>0</v>
      </c>
      <c r="AF299" s="61">
        <f>IFERROR(SUMIFS('BM MORRO DA CRUZ - VERTICAL'!AJ$6:AJ$546,'BM MORRO DA CRUZ - VERTICAL'!$O$6:$O$546,'BM MORRO DA CRUZ'!$K299),0)</f>
        <v>0</v>
      </c>
      <c r="AG299" s="63">
        <f t="shared" si="261"/>
        <v>0</v>
      </c>
      <c r="AH299" s="61">
        <f>IFERROR(SUMIFS('BM MORRO DA CRUZ - VERTICAL'!AL$6:AL$546,'BM MORRO DA CRUZ - VERTICAL'!$O$6:$O$546,'BM MORRO DA CRUZ'!$K299),0)</f>
        <v>0</v>
      </c>
      <c r="AI299" s="63">
        <f t="shared" si="262"/>
        <v>0</v>
      </c>
      <c r="AJ299" s="61">
        <f>IFERROR(SUMIFS('BM MORRO DA CRUZ - VERTICAL'!AN$6:AN$546,'BM MORRO DA CRUZ - VERTICAL'!$O$6:$O$546,'BM MORRO DA CRUZ'!$K299),0)</f>
        <v>0</v>
      </c>
      <c r="AK299" s="63">
        <f t="shared" si="263"/>
        <v>0</v>
      </c>
      <c r="AL299" s="61">
        <f>IFERROR(SUMIFS('BM MORRO DA CRUZ - VERTICAL'!AP$6:AP$546,'BM MORRO DA CRUZ - VERTICAL'!$O$6:$O$546,'BM MORRO DA CRUZ'!$K299),0)</f>
        <v>0</v>
      </c>
      <c r="AM299" s="63">
        <f t="shared" si="264"/>
        <v>0</v>
      </c>
      <c r="AN299" s="61">
        <f>IFERROR(SUMIFS('BM MORRO DA CRUZ - VERTICAL'!AR$6:AR$546,'BM MORRO DA CRUZ - VERTICAL'!$O$6:$O$546,'BM MORRO DA CRUZ'!$K299),0)</f>
        <v>0</v>
      </c>
      <c r="AO299" s="63">
        <f t="shared" si="265"/>
        <v>0</v>
      </c>
      <c r="AP299" s="61">
        <f>IFERROR(SUMIFS('BM MORRO DA CRUZ - VERTICAL'!AT$6:AT$546,'BM MORRO DA CRUZ - VERTICAL'!$O$6:$O$546,'BM MORRO DA CRUZ'!$K299),0)</f>
        <v>0</v>
      </c>
      <c r="AQ299" s="63">
        <f t="shared" si="266"/>
        <v>0</v>
      </c>
      <c r="AR299" s="61">
        <f>IFERROR(SUMIFS('BM MORRO DA CRUZ - VERTICAL'!AV$6:AV$546,'BM MORRO DA CRUZ - VERTICAL'!$O$6:$O$546,'BM MORRO DA CRUZ'!$K299),0)</f>
        <v>0</v>
      </c>
      <c r="AS299" s="63">
        <f t="shared" si="267"/>
        <v>0</v>
      </c>
      <c r="AT299" s="61">
        <f>IFERROR(SUMIFS('BM MORRO DA CRUZ - VERTICAL'!AX$6:AX$546,'BM MORRO DA CRUZ - VERTICAL'!$O$6:$O$546,'BM MORRO DA CRUZ'!$K299),0)</f>
        <v>0</v>
      </c>
      <c r="AU299" s="63">
        <f t="shared" si="268"/>
        <v>0</v>
      </c>
      <c r="AV299" s="61">
        <f>IFERROR(SUMIFS('BM MORRO DA CRUZ - VERTICAL'!AZ$6:AZ$546,'BM MORRO DA CRUZ - VERTICAL'!$O$6:$O$546,'BM MORRO DA CRUZ'!$K299),0)</f>
        <v>0</v>
      </c>
      <c r="AW299" s="63">
        <f t="shared" si="269"/>
        <v>0</v>
      </c>
      <c r="AX299" s="61">
        <f>IFERROR(SUMIFS('BM MORRO DA CRUZ - VERTICAL'!BB$6:BB$546,'BM MORRO DA CRUZ - VERTICAL'!$O$6:$O$546,'BM MORRO DA CRUZ'!$K299),0)</f>
        <v>0</v>
      </c>
      <c r="AY299" s="63">
        <f t="shared" si="270"/>
        <v>0</v>
      </c>
      <c r="AZ299" s="61">
        <f>IFERROR(SUMIFS('BM MORRO DA CRUZ - VERTICAL'!BD$6:BD$546,'BM MORRO DA CRUZ - VERTICAL'!$O$6:$O$546,'BM MORRO DA CRUZ'!$K299),0)</f>
        <v>0</v>
      </c>
      <c r="BA299" s="63">
        <f t="shared" si="271"/>
        <v>0</v>
      </c>
      <c r="BB299" s="61">
        <f t="shared" si="272"/>
        <v>0</v>
      </c>
      <c r="BC299" s="63">
        <f t="shared" si="273"/>
        <v>0</v>
      </c>
      <c r="BD299" s="64">
        <f t="shared" si="274"/>
        <v>0</v>
      </c>
      <c r="BE299" s="65">
        <f t="shared" si="275"/>
        <v>1</v>
      </c>
      <c r="BF299" s="45"/>
    </row>
    <row r="300" spans="1:58" ht="35.65" x14ac:dyDescent="0.45">
      <c r="A300" s="56" t="s">
        <v>1110</v>
      </c>
      <c r="B300" s="506" t="s">
        <v>1820</v>
      </c>
      <c r="C300" s="507" t="s">
        <v>1795</v>
      </c>
      <c r="D300" s="507" t="s">
        <v>1795</v>
      </c>
      <c r="E300" s="507" t="s">
        <v>1817</v>
      </c>
      <c r="F300" s="507" t="s">
        <v>1818</v>
      </c>
      <c r="G300" s="507">
        <v>110</v>
      </c>
      <c r="H300" s="508" t="s">
        <v>267</v>
      </c>
      <c r="I300" s="507" t="s">
        <v>1760</v>
      </c>
      <c r="J300" s="508" t="s">
        <v>1055</v>
      </c>
      <c r="K300" s="57" t="s">
        <v>1111</v>
      </c>
      <c r="L300" s="58" t="s">
        <v>846</v>
      </c>
      <c r="M300" s="59" t="s">
        <v>1112</v>
      </c>
      <c r="N300" s="60" t="s">
        <v>71</v>
      </c>
      <c r="O300" s="61">
        <v>91</v>
      </c>
      <c r="P300" s="62">
        <v>46.32</v>
      </c>
      <c r="Q300" s="63">
        <f t="shared" si="253"/>
        <v>4215.12</v>
      </c>
      <c r="R300" s="61">
        <f>IFERROR(SUMIFS('BM MORRO DA CRUZ - VERTICAL'!V$6:V$546,'BM MORRO DA CRUZ - VERTICAL'!$O$6:$O$546,'BM MORRO DA CRUZ'!$K300),0)</f>
        <v>0</v>
      </c>
      <c r="S300" s="63">
        <f t="shared" si="254"/>
        <v>0</v>
      </c>
      <c r="T300" s="61">
        <f>IFERROR(SUMIFS('BM MORRO DA CRUZ - VERTICAL'!X$6:X$546,'BM MORRO DA CRUZ - VERTICAL'!$O$6:$O$546,'BM MORRO DA CRUZ'!$K300),0)</f>
        <v>0</v>
      </c>
      <c r="U300" s="63">
        <f t="shared" si="255"/>
        <v>0</v>
      </c>
      <c r="V300" s="61">
        <f>IFERROR(SUMIFS('BM MORRO DA CRUZ - VERTICAL'!Z$6:Z$546,'BM MORRO DA CRUZ - VERTICAL'!$O$6:$O$546,'BM MORRO DA CRUZ'!$K300),0)</f>
        <v>0</v>
      </c>
      <c r="W300" s="63">
        <f t="shared" si="256"/>
        <v>0</v>
      </c>
      <c r="X300" s="61">
        <f>IFERROR(SUMIFS('BM MORRO DA CRUZ - VERTICAL'!AB$6:AB$546,'BM MORRO DA CRUZ - VERTICAL'!$O$6:$O$546,'BM MORRO DA CRUZ'!$K300),0)</f>
        <v>0</v>
      </c>
      <c r="Y300" s="63">
        <f t="shared" si="257"/>
        <v>0</v>
      </c>
      <c r="Z300" s="61">
        <f>IFERROR(SUMIFS('BM MORRO DA CRUZ - VERTICAL'!AD$6:AD$546,'BM MORRO DA CRUZ - VERTICAL'!$O$6:$O$546,'BM MORRO DA CRUZ'!$K300),0)</f>
        <v>0</v>
      </c>
      <c r="AA300" s="63">
        <f t="shared" si="258"/>
        <v>0</v>
      </c>
      <c r="AB300" s="61">
        <f>IFERROR(SUMIFS('BM MORRO DA CRUZ - VERTICAL'!AF$6:AF$546,'BM MORRO DA CRUZ - VERTICAL'!$O$6:$O$546,'BM MORRO DA CRUZ'!$K300),0)</f>
        <v>0</v>
      </c>
      <c r="AC300" s="63">
        <f t="shared" si="259"/>
        <v>0</v>
      </c>
      <c r="AD300" s="61">
        <f>IFERROR(SUMIFS('BM MORRO DA CRUZ - VERTICAL'!AH$6:AH$546,'BM MORRO DA CRUZ - VERTICAL'!$O$6:$O$546,'BM MORRO DA CRUZ'!$K300),0)</f>
        <v>0</v>
      </c>
      <c r="AE300" s="63">
        <f t="shared" si="260"/>
        <v>0</v>
      </c>
      <c r="AF300" s="61">
        <f>IFERROR(SUMIFS('BM MORRO DA CRUZ - VERTICAL'!AJ$6:AJ$546,'BM MORRO DA CRUZ - VERTICAL'!$O$6:$O$546,'BM MORRO DA CRUZ'!$K300),0)</f>
        <v>0</v>
      </c>
      <c r="AG300" s="63">
        <f t="shared" si="261"/>
        <v>0</v>
      </c>
      <c r="AH300" s="61">
        <f>IFERROR(SUMIFS('BM MORRO DA CRUZ - VERTICAL'!AL$6:AL$546,'BM MORRO DA CRUZ - VERTICAL'!$O$6:$O$546,'BM MORRO DA CRUZ'!$K300),0)</f>
        <v>0</v>
      </c>
      <c r="AI300" s="63">
        <f t="shared" si="262"/>
        <v>0</v>
      </c>
      <c r="AJ300" s="61">
        <f>IFERROR(SUMIFS('BM MORRO DA CRUZ - VERTICAL'!AN$6:AN$546,'BM MORRO DA CRUZ - VERTICAL'!$O$6:$O$546,'BM MORRO DA CRUZ'!$K300),0)</f>
        <v>0</v>
      </c>
      <c r="AK300" s="63">
        <f t="shared" si="263"/>
        <v>0</v>
      </c>
      <c r="AL300" s="61">
        <f>IFERROR(SUMIFS('BM MORRO DA CRUZ - VERTICAL'!AP$6:AP$546,'BM MORRO DA CRUZ - VERTICAL'!$O$6:$O$546,'BM MORRO DA CRUZ'!$K300),0)</f>
        <v>0</v>
      </c>
      <c r="AM300" s="63">
        <f t="shared" si="264"/>
        <v>0</v>
      </c>
      <c r="AN300" s="61">
        <f>IFERROR(SUMIFS('BM MORRO DA CRUZ - VERTICAL'!AR$6:AR$546,'BM MORRO DA CRUZ - VERTICAL'!$O$6:$O$546,'BM MORRO DA CRUZ'!$K300),0)</f>
        <v>0</v>
      </c>
      <c r="AO300" s="63">
        <f t="shared" si="265"/>
        <v>0</v>
      </c>
      <c r="AP300" s="61">
        <f>IFERROR(SUMIFS('BM MORRO DA CRUZ - VERTICAL'!AT$6:AT$546,'BM MORRO DA CRUZ - VERTICAL'!$O$6:$O$546,'BM MORRO DA CRUZ'!$K300),0)</f>
        <v>0</v>
      </c>
      <c r="AQ300" s="63">
        <f t="shared" si="266"/>
        <v>0</v>
      </c>
      <c r="AR300" s="61">
        <f>IFERROR(SUMIFS('BM MORRO DA CRUZ - VERTICAL'!AV$6:AV$546,'BM MORRO DA CRUZ - VERTICAL'!$O$6:$O$546,'BM MORRO DA CRUZ'!$K300),0)</f>
        <v>0</v>
      </c>
      <c r="AS300" s="63">
        <f t="shared" si="267"/>
        <v>0</v>
      </c>
      <c r="AT300" s="61">
        <f>IFERROR(SUMIFS('BM MORRO DA CRUZ - VERTICAL'!AX$6:AX$546,'BM MORRO DA CRUZ - VERTICAL'!$O$6:$O$546,'BM MORRO DA CRUZ'!$K300),0)</f>
        <v>0</v>
      </c>
      <c r="AU300" s="63">
        <f t="shared" si="268"/>
        <v>0</v>
      </c>
      <c r="AV300" s="61">
        <f>IFERROR(SUMIFS('BM MORRO DA CRUZ - VERTICAL'!AZ$6:AZ$546,'BM MORRO DA CRUZ - VERTICAL'!$O$6:$O$546,'BM MORRO DA CRUZ'!$K300),0)</f>
        <v>0</v>
      </c>
      <c r="AW300" s="63">
        <f t="shared" si="269"/>
        <v>0</v>
      </c>
      <c r="AX300" s="61">
        <f>IFERROR(SUMIFS('BM MORRO DA CRUZ - VERTICAL'!BB$6:BB$546,'BM MORRO DA CRUZ - VERTICAL'!$O$6:$O$546,'BM MORRO DA CRUZ'!$K300),0)</f>
        <v>0</v>
      </c>
      <c r="AY300" s="63">
        <f t="shared" si="270"/>
        <v>0</v>
      </c>
      <c r="AZ300" s="61">
        <f>IFERROR(SUMIFS('BM MORRO DA CRUZ - VERTICAL'!BD$6:BD$546,'BM MORRO DA CRUZ - VERTICAL'!$O$6:$O$546,'BM MORRO DA CRUZ'!$K300),0)</f>
        <v>0</v>
      </c>
      <c r="BA300" s="63">
        <f t="shared" si="271"/>
        <v>0</v>
      </c>
      <c r="BB300" s="61">
        <f t="shared" si="272"/>
        <v>0</v>
      </c>
      <c r="BC300" s="63">
        <f t="shared" si="273"/>
        <v>0</v>
      </c>
      <c r="BD300" s="64">
        <f t="shared" si="274"/>
        <v>0</v>
      </c>
      <c r="BE300" s="65">
        <f t="shared" si="275"/>
        <v>1</v>
      </c>
      <c r="BF300" s="45"/>
    </row>
    <row r="301" spans="1:58" ht="35.65" x14ac:dyDescent="0.45">
      <c r="A301" s="56" t="s">
        <v>1113</v>
      </c>
      <c r="B301" s="506" t="s">
        <v>1820</v>
      </c>
      <c r="C301" s="507" t="s">
        <v>1795</v>
      </c>
      <c r="D301" s="507" t="s">
        <v>1795</v>
      </c>
      <c r="E301" s="507" t="s">
        <v>1817</v>
      </c>
      <c r="F301" s="507" t="s">
        <v>1818</v>
      </c>
      <c r="G301" s="507">
        <v>160</v>
      </c>
      <c r="H301" s="508" t="s">
        <v>267</v>
      </c>
      <c r="I301" s="507" t="s">
        <v>1760</v>
      </c>
      <c r="J301" s="508" t="s">
        <v>1055</v>
      </c>
      <c r="K301" s="57" t="s">
        <v>1114</v>
      </c>
      <c r="L301" s="58" t="s">
        <v>846</v>
      </c>
      <c r="M301" s="59" t="s">
        <v>1115</v>
      </c>
      <c r="N301" s="60" t="s">
        <v>71</v>
      </c>
      <c r="O301" s="61">
        <v>129</v>
      </c>
      <c r="P301" s="62">
        <v>67.39</v>
      </c>
      <c r="Q301" s="63">
        <f t="shared" si="253"/>
        <v>8693.31</v>
      </c>
      <c r="R301" s="61">
        <f>IFERROR(SUMIFS('BM MORRO DA CRUZ - VERTICAL'!V$6:V$546,'BM MORRO DA CRUZ - VERTICAL'!$O$6:$O$546,'BM MORRO DA CRUZ'!$K301),0)</f>
        <v>0</v>
      </c>
      <c r="S301" s="63">
        <f t="shared" si="254"/>
        <v>0</v>
      </c>
      <c r="T301" s="61">
        <f>IFERROR(SUMIFS('BM MORRO DA CRUZ - VERTICAL'!X$6:X$546,'BM MORRO DA CRUZ - VERTICAL'!$O$6:$O$546,'BM MORRO DA CRUZ'!$K301),0)</f>
        <v>0</v>
      </c>
      <c r="U301" s="63">
        <f t="shared" si="255"/>
        <v>0</v>
      </c>
      <c r="V301" s="61">
        <f>IFERROR(SUMIFS('BM MORRO DA CRUZ - VERTICAL'!Z$6:Z$546,'BM MORRO DA CRUZ - VERTICAL'!$O$6:$O$546,'BM MORRO DA CRUZ'!$K301),0)</f>
        <v>0</v>
      </c>
      <c r="W301" s="63">
        <f t="shared" si="256"/>
        <v>0</v>
      </c>
      <c r="X301" s="61">
        <f>IFERROR(SUMIFS('BM MORRO DA CRUZ - VERTICAL'!AB$6:AB$546,'BM MORRO DA CRUZ - VERTICAL'!$O$6:$O$546,'BM MORRO DA CRUZ'!$K301),0)</f>
        <v>0</v>
      </c>
      <c r="Y301" s="63">
        <f t="shared" si="257"/>
        <v>0</v>
      </c>
      <c r="Z301" s="61">
        <f>IFERROR(SUMIFS('BM MORRO DA CRUZ - VERTICAL'!AD$6:AD$546,'BM MORRO DA CRUZ - VERTICAL'!$O$6:$O$546,'BM MORRO DA CRUZ'!$K301),0)</f>
        <v>0</v>
      </c>
      <c r="AA301" s="63">
        <f t="shared" si="258"/>
        <v>0</v>
      </c>
      <c r="AB301" s="61">
        <f>IFERROR(SUMIFS('BM MORRO DA CRUZ - VERTICAL'!AF$6:AF$546,'BM MORRO DA CRUZ - VERTICAL'!$O$6:$O$546,'BM MORRO DA CRUZ'!$K301),0)</f>
        <v>0</v>
      </c>
      <c r="AC301" s="63">
        <f t="shared" si="259"/>
        <v>0</v>
      </c>
      <c r="AD301" s="61">
        <f>IFERROR(SUMIFS('BM MORRO DA CRUZ - VERTICAL'!AH$6:AH$546,'BM MORRO DA CRUZ - VERTICAL'!$O$6:$O$546,'BM MORRO DA CRUZ'!$K301),0)</f>
        <v>0</v>
      </c>
      <c r="AE301" s="63">
        <f t="shared" si="260"/>
        <v>0</v>
      </c>
      <c r="AF301" s="61">
        <f>IFERROR(SUMIFS('BM MORRO DA CRUZ - VERTICAL'!AJ$6:AJ$546,'BM MORRO DA CRUZ - VERTICAL'!$O$6:$O$546,'BM MORRO DA CRUZ'!$K301),0)</f>
        <v>0</v>
      </c>
      <c r="AG301" s="63">
        <f t="shared" si="261"/>
        <v>0</v>
      </c>
      <c r="AH301" s="61">
        <f>IFERROR(SUMIFS('BM MORRO DA CRUZ - VERTICAL'!AL$6:AL$546,'BM MORRO DA CRUZ - VERTICAL'!$O$6:$O$546,'BM MORRO DA CRUZ'!$K301),0)</f>
        <v>0</v>
      </c>
      <c r="AI301" s="63">
        <f t="shared" si="262"/>
        <v>0</v>
      </c>
      <c r="AJ301" s="61">
        <f>IFERROR(SUMIFS('BM MORRO DA CRUZ - VERTICAL'!AN$6:AN$546,'BM MORRO DA CRUZ - VERTICAL'!$O$6:$O$546,'BM MORRO DA CRUZ'!$K301),0)</f>
        <v>0</v>
      </c>
      <c r="AK301" s="63">
        <f t="shared" si="263"/>
        <v>0</v>
      </c>
      <c r="AL301" s="61">
        <f>IFERROR(SUMIFS('BM MORRO DA CRUZ - VERTICAL'!AP$6:AP$546,'BM MORRO DA CRUZ - VERTICAL'!$O$6:$O$546,'BM MORRO DA CRUZ'!$K301),0)</f>
        <v>0</v>
      </c>
      <c r="AM301" s="63">
        <f t="shared" si="264"/>
        <v>0</v>
      </c>
      <c r="AN301" s="61">
        <f>IFERROR(SUMIFS('BM MORRO DA CRUZ - VERTICAL'!AR$6:AR$546,'BM MORRO DA CRUZ - VERTICAL'!$O$6:$O$546,'BM MORRO DA CRUZ'!$K301),0)</f>
        <v>0</v>
      </c>
      <c r="AO301" s="63">
        <f t="shared" si="265"/>
        <v>0</v>
      </c>
      <c r="AP301" s="61">
        <f>IFERROR(SUMIFS('BM MORRO DA CRUZ - VERTICAL'!AT$6:AT$546,'BM MORRO DA CRUZ - VERTICAL'!$O$6:$O$546,'BM MORRO DA CRUZ'!$K301),0)</f>
        <v>0</v>
      </c>
      <c r="AQ301" s="63">
        <f t="shared" si="266"/>
        <v>0</v>
      </c>
      <c r="AR301" s="61">
        <f>IFERROR(SUMIFS('BM MORRO DA CRUZ - VERTICAL'!AV$6:AV$546,'BM MORRO DA CRUZ - VERTICAL'!$O$6:$O$546,'BM MORRO DA CRUZ'!$K301),0)</f>
        <v>0</v>
      </c>
      <c r="AS301" s="63">
        <f t="shared" si="267"/>
        <v>0</v>
      </c>
      <c r="AT301" s="61">
        <f>IFERROR(SUMIFS('BM MORRO DA CRUZ - VERTICAL'!AX$6:AX$546,'BM MORRO DA CRUZ - VERTICAL'!$O$6:$O$546,'BM MORRO DA CRUZ'!$K301),0)</f>
        <v>0</v>
      </c>
      <c r="AU301" s="63">
        <f t="shared" si="268"/>
        <v>0</v>
      </c>
      <c r="AV301" s="61">
        <f>IFERROR(SUMIFS('BM MORRO DA CRUZ - VERTICAL'!AZ$6:AZ$546,'BM MORRO DA CRUZ - VERTICAL'!$O$6:$O$546,'BM MORRO DA CRUZ'!$K301),0)</f>
        <v>0</v>
      </c>
      <c r="AW301" s="63">
        <f t="shared" si="269"/>
        <v>0</v>
      </c>
      <c r="AX301" s="61">
        <f>IFERROR(SUMIFS('BM MORRO DA CRUZ - VERTICAL'!BB$6:BB$546,'BM MORRO DA CRUZ - VERTICAL'!$O$6:$O$546,'BM MORRO DA CRUZ'!$K301),0)</f>
        <v>0</v>
      </c>
      <c r="AY301" s="63">
        <f t="shared" si="270"/>
        <v>0</v>
      </c>
      <c r="AZ301" s="61">
        <f>IFERROR(SUMIFS('BM MORRO DA CRUZ - VERTICAL'!BD$6:BD$546,'BM MORRO DA CRUZ - VERTICAL'!$O$6:$O$546,'BM MORRO DA CRUZ'!$K301),0)</f>
        <v>0</v>
      </c>
      <c r="BA301" s="63">
        <f t="shared" si="271"/>
        <v>0</v>
      </c>
      <c r="BB301" s="61">
        <f t="shared" si="272"/>
        <v>0</v>
      </c>
      <c r="BC301" s="63">
        <f t="shared" si="273"/>
        <v>0</v>
      </c>
      <c r="BD301" s="64">
        <f t="shared" si="274"/>
        <v>0</v>
      </c>
      <c r="BE301" s="65">
        <f t="shared" si="275"/>
        <v>1</v>
      </c>
      <c r="BF301" s="45"/>
    </row>
    <row r="302" spans="1:58" ht="35.65" x14ac:dyDescent="0.45">
      <c r="A302" s="56" t="s">
        <v>1116</v>
      </c>
      <c r="B302" s="506" t="s">
        <v>1820</v>
      </c>
      <c r="C302" s="507" t="s">
        <v>1795</v>
      </c>
      <c r="D302" s="507" t="s">
        <v>1795</v>
      </c>
      <c r="E302" s="507" t="s">
        <v>1817</v>
      </c>
      <c r="F302" s="507" t="s">
        <v>1818</v>
      </c>
      <c r="G302" s="507">
        <v>225</v>
      </c>
      <c r="H302" s="508" t="s">
        <v>267</v>
      </c>
      <c r="I302" s="507" t="s">
        <v>1760</v>
      </c>
      <c r="J302" s="508" t="s">
        <v>1055</v>
      </c>
      <c r="K302" s="57" t="s">
        <v>1117</v>
      </c>
      <c r="L302" s="58" t="s">
        <v>846</v>
      </c>
      <c r="M302" s="59" t="s">
        <v>1118</v>
      </c>
      <c r="N302" s="60" t="s">
        <v>71</v>
      </c>
      <c r="O302" s="61">
        <v>52</v>
      </c>
      <c r="P302" s="62">
        <v>94.77</v>
      </c>
      <c r="Q302" s="63">
        <f t="shared" si="253"/>
        <v>4928.04</v>
      </c>
      <c r="R302" s="61">
        <f>IFERROR(SUMIFS('BM MORRO DA CRUZ - VERTICAL'!V$6:V$546,'BM MORRO DA CRUZ - VERTICAL'!$O$6:$O$546,'BM MORRO DA CRUZ'!$K302),0)</f>
        <v>0</v>
      </c>
      <c r="S302" s="63">
        <f t="shared" si="254"/>
        <v>0</v>
      </c>
      <c r="T302" s="61">
        <f>IFERROR(SUMIFS('BM MORRO DA CRUZ - VERTICAL'!X$6:X$546,'BM MORRO DA CRUZ - VERTICAL'!$O$6:$O$546,'BM MORRO DA CRUZ'!$K302),0)</f>
        <v>0</v>
      </c>
      <c r="U302" s="63">
        <f t="shared" si="255"/>
        <v>0</v>
      </c>
      <c r="V302" s="61">
        <f>IFERROR(SUMIFS('BM MORRO DA CRUZ - VERTICAL'!Z$6:Z$546,'BM MORRO DA CRUZ - VERTICAL'!$O$6:$O$546,'BM MORRO DA CRUZ'!$K302),0)</f>
        <v>0</v>
      </c>
      <c r="W302" s="63">
        <f t="shared" si="256"/>
        <v>0</v>
      </c>
      <c r="X302" s="61">
        <f>IFERROR(SUMIFS('BM MORRO DA CRUZ - VERTICAL'!AB$6:AB$546,'BM MORRO DA CRUZ - VERTICAL'!$O$6:$O$546,'BM MORRO DA CRUZ'!$K302),0)</f>
        <v>0</v>
      </c>
      <c r="Y302" s="63">
        <f t="shared" si="257"/>
        <v>0</v>
      </c>
      <c r="Z302" s="61">
        <f>IFERROR(SUMIFS('BM MORRO DA CRUZ - VERTICAL'!AD$6:AD$546,'BM MORRO DA CRUZ - VERTICAL'!$O$6:$O$546,'BM MORRO DA CRUZ'!$K302),0)</f>
        <v>0</v>
      </c>
      <c r="AA302" s="63">
        <f t="shared" si="258"/>
        <v>0</v>
      </c>
      <c r="AB302" s="61">
        <f>IFERROR(SUMIFS('BM MORRO DA CRUZ - VERTICAL'!AF$6:AF$546,'BM MORRO DA CRUZ - VERTICAL'!$O$6:$O$546,'BM MORRO DA CRUZ'!$K302),0)</f>
        <v>0</v>
      </c>
      <c r="AC302" s="63">
        <f t="shared" si="259"/>
        <v>0</v>
      </c>
      <c r="AD302" s="61">
        <f>IFERROR(SUMIFS('BM MORRO DA CRUZ - VERTICAL'!AH$6:AH$546,'BM MORRO DA CRUZ - VERTICAL'!$O$6:$O$546,'BM MORRO DA CRUZ'!$K302),0)</f>
        <v>0</v>
      </c>
      <c r="AE302" s="63">
        <f t="shared" si="260"/>
        <v>0</v>
      </c>
      <c r="AF302" s="61">
        <f>IFERROR(SUMIFS('BM MORRO DA CRUZ - VERTICAL'!AJ$6:AJ$546,'BM MORRO DA CRUZ - VERTICAL'!$O$6:$O$546,'BM MORRO DA CRUZ'!$K302),0)</f>
        <v>0</v>
      </c>
      <c r="AG302" s="63">
        <f t="shared" si="261"/>
        <v>0</v>
      </c>
      <c r="AH302" s="61">
        <f>IFERROR(SUMIFS('BM MORRO DA CRUZ - VERTICAL'!AL$6:AL$546,'BM MORRO DA CRUZ - VERTICAL'!$O$6:$O$546,'BM MORRO DA CRUZ'!$K302),0)</f>
        <v>0</v>
      </c>
      <c r="AI302" s="63">
        <f t="shared" si="262"/>
        <v>0</v>
      </c>
      <c r="AJ302" s="61">
        <f>IFERROR(SUMIFS('BM MORRO DA CRUZ - VERTICAL'!AN$6:AN$546,'BM MORRO DA CRUZ - VERTICAL'!$O$6:$O$546,'BM MORRO DA CRUZ'!$K302),0)</f>
        <v>0</v>
      </c>
      <c r="AK302" s="63">
        <f t="shared" si="263"/>
        <v>0</v>
      </c>
      <c r="AL302" s="61">
        <f>IFERROR(SUMIFS('BM MORRO DA CRUZ - VERTICAL'!AP$6:AP$546,'BM MORRO DA CRUZ - VERTICAL'!$O$6:$O$546,'BM MORRO DA CRUZ'!$K302),0)</f>
        <v>0</v>
      </c>
      <c r="AM302" s="63">
        <f t="shared" si="264"/>
        <v>0</v>
      </c>
      <c r="AN302" s="61">
        <f>IFERROR(SUMIFS('BM MORRO DA CRUZ - VERTICAL'!AR$6:AR$546,'BM MORRO DA CRUZ - VERTICAL'!$O$6:$O$546,'BM MORRO DA CRUZ'!$K302),0)</f>
        <v>0</v>
      </c>
      <c r="AO302" s="63">
        <f t="shared" si="265"/>
        <v>0</v>
      </c>
      <c r="AP302" s="61">
        <f>IFERROR(SUMIFS('BM MORRO DA CRUZ - VERTICAL'!AT$6:AT$546,'BM MORRO DA CRUZ - VERTICAL'!$O$6:$O$546,'BM MORRO DA CRUZ'!$K302),0)</f>
        <v>0</v>
      </c>
      <c r="AQ302" s="63">
        <f t="shared" si="266"/>
        <v>0</v>
      </c>
      <c r="AR302" s="61">
        <f>IFERROR(SUMIFS('BM MORRO DA CRUZ - VERTICAL'!AV$6:AV$546,'BM MORRO DA CRUZ - VERTICAL'!$O$6:$O$546,'BM MORRO DA CRUZ'!$K302),0)</f>
        <v>0</v>
      </c>
      <c r="AS302" s="63">
        <f t="shared" si="267"/>
        <v>0</v>
      </c>
      <c r="AT302" s="61">
        <f>IFERROR(SUMIFS('BM MORRO DA CRUZ - VERTICAL'!AX$6:AX$546,'BM MORRO DA CRUZ - VERTICAL'!$O$6:$O$546,'BM MORRO DA CRUZ'!$K302),0)</f>
        <v>0</v>
      </c>
      <c r="AU302" s="63">
        <f t="shared" si="268"/>
        <v>0</v>
      </c>
      <c r="AV302" s="61">
        <f>IFERROR(SUMIFS('BM MORRO DA CRUZ - VERTICAL'!AZ$6:AZ$546,'BM MORRO DA CRUZ - VERTICAL'!$O$6:$O$546,'BM MORRO DA CRUZ'!$K302),0)</f>
        <v>0</v>
      </c>
      <c r="AW302" s="63">
        <f t="shared" si="269"/>
        <v>0</v>
      </c>
      <c r="AX302" s="61">
        <f>IFERROR(SUMIFS('BM MORRO DA CRUZ - VERTICAL'!BB$6:BB$546,'BM MORRO DA CRUZ - VERTICAL'!$O$6:$O$546,'BM MORRO DA CRUZ'!$K302),0)</f>
        <v>0</v>
      </c>
      <c r="AY302" s="63">
        <f t="shared" si="270"/>
        <v>0</v>
      </c>
      <c r="AZ302" s="61">
        <f>IFERROR(SUMIFS('BM MORRO DA CRUZ - VERTICAL'!BD$6:BD$546,'BM MORRO DA CRUZ - VERTICAL'!$O$6:$O$546,'BM MORRO DA CRUZ'!$K302),0)</f>
        <v>0</v>
      </c>
      <c r="BA302" s="63">
        <f t="shared" si="271"/>
        <v>0</v>
      </c>
      <c r="BB302" s="61">
        <f t="shared" si="272"/>
        <v>0</v>
      </c>
      <c r="BC302" s="63">
        <f t="shared" si="273"/>
        <v>0</v>
      </c>
      <c r="BD302" s="64">
        <f t="shared" si="274"/>
        <v>0</v>
      </c>
      <c r="BE302" s="65">
        <f t="shared" si="275"/>
        <v>1</v>
      </c>
      <c r="BF302" s="45"/>
    </row>
    <row r="303" spans="1:58" ht="35.65" x14ac:dyDescent="0.45">
      <c r="A303" s="56" t="s">
        <v>1119</v>
      </c>
      <c r="B303" s="506" t="s">
        <v>1820</v>
      </c>
      <c r="C303" s="507" t="s">
        <v>1795</v>
      </c>
      <c r="D303" s="507" t="s">
        <v>1795</v>
      </c>
      <c r="E303" s="507" t="s">
        <v>1817</v>
      </c>
      <c r="F303" s="507" t="s">
        <v>1818</v>
      </c>
      <c r="G303" s="507">
        <v>250</v>
      </c>
      <c r="H303" s="508" t="s">
        <v>267</v>
      </c>
      <c r="I303" s="507" t="s">
        <v>1760</v>
      </c>
      <c r="J303" s="508" t="s">
        <v>1055</v>
      </c>
      <c r="K303" s="57" t="s">
        <v>1120</v>
      </c>
      <c r="L303" s="58" t="s">
        <v>846</v>
      </c>
      <c r="M303" s="59" t="s">
        <v>1121</v>
      </c>
      <c r="N303" s="60" t="s">
        <v>71</v>
      </c>
      <c r="O303" s="61">
        <v>5</v>
      </c>
      <c r="P303" s="62">
        <v>105.3</v>
      </c>
      <c r="Q303" s="63">
        <f t="shared" si="253"/>
        <v>526.5</v>
      </c>
      <c r="R303" s="61">
        <f>IFERROR(SUMIFS('BM MORRO DA CRUZ - VERTICAL'!V$6:V$546,'BM MORRO DA CRUZ - VERTICAL'!$O$6:$O$546,'BM MORRO DA CRUZ'!$K303),0)</f>
        <v>0</v>
      </c>
      <c r="S303" s="63">
        <f t="shared" si="254"/>
        <v>0</v>
      </c>
      <c r="T303" s="61">
        <f>IFERROR(SUMIFS('BM MORRO DA CRUZ - VERTICAL'!X$6:X$546,'BM MORRO DA CRUZ - VERTICAL'!$O$6:$O$546,'BM MORRO DA CRUZ'!$K303),0)</f>
        <v>0</v>
      </c>
      <c r="U303" s="63">
        <f t="shared" si="255"/>
        <v>0</v>
      </c>
      <c r="V303" s="61">
        <f>IFERROR(SUMIFS('BM MORRO DA CRUZ - VERTICAL'!Z$6:Z$546,'BM MORRO DA CRUZ - VERTICAL'!$O$6:$O$546,'BM MORRO DA CRUZ'!$K303),0)</f>
        <v>0</v>
      </c>
      <c r="W303" s="63">
        <f t="shared" si="256"/>
        <v>0</v>
      </c>
      <c r="X303" s="61">
        <f>IFERROR(SUMIFS('BM MORRO DA CRUZ - VERTICAL'!AB$6:AB$546,'BM MORRO DA CRUZ - VERTICAL'!$O$6:$O$546,'BM MORRO DA CRUZ'!$K303),0)</f>
        <v>0</v>
      </c>
      <c r="Y303" s="63">
        <f t="shared" si="257"/>
        <v>0</v>
      </c>
      <c r="Z303" s="61">
        <f>IFERROR(SUMIFS('BM MORRO DA CRUZ - VERTICAL'!AD$6:AD$546,'BM MORRO DA CRUZ - VERTICAL'!$O$6:$O$546,'BM MORRO DA CRUZ'!$K303),0)</f>
        <v>0</v>
      </c>
      <c r="AA303" s="63">
        <f t="shared" si="258"/>
        <v>0</v>
      </c>
      <c r="AB303" s="61">
        <f>IFERROR(SUMIFS('BM MORRO DA CRUZ - VERTICAL'!AF$6:AF$546,'BM MORRO DA CRUZ - VERTICAL'!$O$6:$O$546,'BM MORRO DA CRUZ'!$K303),0)</f>
        <v>0</v>
      </c>
      <c r="AC303" s="63">
        <f t="shared" si="259"/>
        <v>0</v>
      </c>
      <c r="AD303" s="61">
        <f>IFERROR(SUMIFS('BM MORRO DA CRUZ - VERTICAL'!AH$6:AH$546,'BM MORRO DA CRUZ - VERTICAL'!$O$6:$O$546,'BM MORRO DA CRUZ'!$K303),0)</f>
        <v>0</v>
      </c>
      <c r="AE303" s="63">
        <f t="shared" si="260"/>
        <v>0</v>
      </c>
      <c r="AF303" s="61">
        <f>IFERROR(SUMIFS('BM MORRO DA CRUZ - VERTICAL'!AJ$6:AJ$546,'BM MORRO DA CRUZ - VERTICAL'!$O$6:$O$546,'BM MORRO DA CRUZ'!$K303),0)</f>
        <v>0</v>
      </c>
      <c r="AG303" s="63">
        <f t="shared" si="261"/>
        <v>0</v>
      </c>
      <c r="AH303" s="61">
        <f>IFERROR(SUMIFS('BM MORRO DA CRUZ - VERTICAL'!AL$6:AL$546,'BM MORRO DA CRUZ - VERTICAL'!$O$6:$O$546,'BM MORRO DA CRUZ'!$K303),0)</f>
        <v>0</v>
      </c>
      <c r="AI303" s="63">
        <f t="shared" si="262"/>
        <v>0</v>
      </c>
      <c r="AJ303" s="61">
        <f>IFERROR(SUMIFS('BM MORRO DA CRUZ - VERTICAL'!AN$6:AN$546,'BM MORRO DA CRUZ - VERTICAL'!$O$6:$O$546,'BM MORRO DA CRUZ'!$K303),0)</f>
        <v>0</v>
      </c>
      <c r="AK303" s="63">
        <f t="shared" si="263"/>
        <v>0</v>
      </c>
      <c r="AL303" s="61">
        <f>IFERROR(SUMIFS('BM MORRO DA CRUZ - VERTICAL'!AP$6:AP$546,'BM MORRO DA CRUZ - VERTICAL'!$O$6:$O$546,'BM MORRO DA CRUZ'!$K303),0)</f>
        <v>0</v>
      </c>
      <c r="AM303" s="63">
        <f t="shared" si="264"/>
        <v>0</v>
      </c>
      <c r="AN303" s="61">
        <f>IFERROR(SUMIFS('BM MORRO DA CRUZ - VERTICAL'!AR$6:AR$546,'BM MORRO DA CRUZ - VERTICAL'!$O$6:$O$546,'BM MORRO DA CRUZ'!$K303),0)</f>
        <v>0</v>
      </c>
      <c r="AO303" s="63">
        <f t="shared" si="265"/>
        <v>0</v>
      </c>
      <c r="AP303" s="61">
        <f>IFERROR(SUMIFS('BM MORRO DA CRUZ - VERTICAL'!AT$6:AT$546,'BM MORRO DA CRUZ - VERTICAL'!$O$6:$O$546,'BM MORRO DA CRUZ'!$K303),0)</f>
        <v>0</v>
      </c>
      <c r="AQ303" s="63">
        <f t="shared" si="266"/>
        <v>0</v>
      </c>
      <c r="AR303" s="61">
        <f>IFERROR(SUMIFS('BM MORRO DA CRUZ - VERTICAL'!AV$6:AV$546,'BM MORRO DA CRUZ - VERTICAL'!$O$6:$O$546,'BM MORRO DA CRUZ'!$K303),0)</f>
        <v>0</v>
      </c>
      <c r="AS303" s="63">
        <f t="shared" si="267"/>
        <v>0</v>
      </c>
      <c r="AT303" s="61">
        <f>IFERROR(SUMIFS('BM MORRO DA CRUZ - VERTICAL'!AX$6:AX$546,'BM MORRO DA CRUZ - VERTICAL'!$O$6:$O$546,'BM MORRO DA CRUZ'!$K303),0)</f>
        <v>0</v>
      </c>
      <c r="AU303" s="63">
        <f t="shared" si="268"/>
        <v>0</v>
      </c>
      <c r="AV303" s="61">
        <f>IFERROR(SUMIFS('BM MORRO DA CRUZ - VERTICAL'!AZ$6:AZ$546,'BM MORRO DA CRUZ - VERTICAL'!$O$6:$O$546,'BM MORRO DA CRUZ'!$K303),0)</f>
        <v>0</v>
      </c>
      <c r="AW303" s="63">
        <f t="shared" si="269"/>
        <v>0</v>
      </c>
      <c r="AX303" s="61">
        <f>IFERROR(SUMIFS('BM MORRO DA CRUZ - VERTICAL'!BB$6:BB$546,'BM MORRO DA CRUZ - VERTICAL'!$O$6:$O$546,'BM MORRO DA CRUZ'!$K303),0)</f>
        <v>0</v>
      </c>
      <c r="AY303" s="63">
        <f t="shared" si="270"/>
        <v>0</v>
      </c>
      <c r="AZ303" s="61">
        <f>IFERROR(SUMIFS('BM MORRO DA CRUZ - VERTICAL'!BD$6:BD$546,'BM MORRO DA CRUZ - VERTICAL'!$O$6:$O$546,'BM MORRO DA CRUZ'!$K303),0)</f>
        <v>0</v>
      </c>
      <c r="BA303" s="63">
        <f t="shared" si="271"/>
        <v>0</v>
      </c>
      <c r="BB303" s="61">
        <f t="shared" si="272"/>
        <v>0</v>
      </c>
      <c r="BC303" s="63">
        <f t="shared" si="273"/>
        <v>0</v>
      </c>
      <c r="BD303" s="64">
        <f t="shared" si="274"/>
        <v>0</v>
      </c>
      <c r="BE303" s="65">
        <f t="shared" si="275"/>
        <v>1</v>
      </c>
      <c r="BF303" s="45"/>
    </row>
    <row r="304" spans="1:58" ht="35.65" x14ac:dyDescent="0.45">
      <c r="A304" s="56" t="s">
        <v>1122</v>
      </c>
      <c r="B304" s="506" t="s">
        <v>1820</v>
      </c>
      <c r="C304" s="507" t="s">
        <v>1795</v>
      </c>
      <c r="D304" s="507" t="s">
        <v>1795</v>
      </c>
      <c r="E304" s="507" t="s">
        <v>1817</v>
      </c>
      <c r="F304" s="507" t="s">
        <v>1818</v>
      </c>
      <c r="G304" s="507">
        <v>280</v>
      </c>
      <c r="H304" s="508" t="s">
        <v>267</v>
      </c>
      <c r="I304" s="507" t="s">
        <v>1760</v>
      </c>
      <c r="J304" s="508" t="s">
        <v>1055</v>
      </c>
      <c r="K304" s="57" t="s">
        <v>1123</v>
      </c>
      <c r="L304" s="58" t="s">
        <v>846</v>
      </c>
      <c r="M304" s="59" t="s">
        <v>1124</v>
      </c>
      <c r="N304" s="60" t="s">
        <v>71</v>
      </c>
      <c r="O304" s="61">
        <v>2</v>
      </c>
      <c r="P304" s="62">
        <v>117.94</v>
      </c>
      <c r="Q304" s="63">
        <f t="shared" si="253"/>
        <v>235.88</v>
      </c>
      <c r="R304" s="61">
        <f>IFERROR(SUMIFS('BM MORRO DA CRUZ - VERTICAL'!V$6:V$546,'BM MORRO DA CRUZ - VERTICAL'!$O$6:$O$546,'BM MORRO DA CRUZ'!$K304),0)</f>
        <v>0</v>
      </c>
      <c r="S304" s="63">
        <f t="shared" si="254"/>
        <v>0</v>
      </c>
      <c r="T304" s="61">
        <f>IFERROR(SUMIFS('BM MORRO DA CRUZ - VERTICAL'!X$6:X$546,'BM MORRO DA CRUZ - VERTICAL'!$O$6:$O$546,'BM MORRO DA CRUZ'!$K304),0)</f>
        <v>0</v>
      </c>
      <c r="U304" s="63">
        <f t="shared" si="255"/>
        <v>0</v>
      </c>
      <c r="V304" s="61">
        <f>IFERROR(SUMIFS('BM MORRO DA CRUZ - VERTICAL'!Z$6:Z$546,'BM MORRO DA CRUZ - VERTICAL'!$O$6:$O$546,'BM MORRO DA CRUZ'!$K304),0)</f>
        <v>0</v>
      </c>
      <c r="W304" s="63">
        <f t="shared" si="256"/>
        <v>0</v>
      </c>
      <c r="X304" s="61">
        <f>IFERROR(SUMIFS('BM MORRO DA CRUZ - VERTICAL'!AB$6:AB$546,'BM MORRO DA CRUZ - VERTICAL'!$O$6:$O$546,'BM MORRO DA CRUZ'!$K304),0)</f>
        <v>0</v>
      </c>
      <c r="Y304" s="63">
        <f t="shared" si="257"/>
        <v>0</v>
      </c>
      <c r="Z304" s="61">
        <f>IFERROR(SUMIFS('BM MORRO DA CRUZ - VERTICAL'!AD$6:AD$546,'BM MORRO DA CRUZ - VERTICAL'!$O$6:$O$546,'BM MORRO DA CRUZ'!$K304),0)</f>
        <v>0</v>
      </c>
      <c r="AA304" s="63">
        <f t="shared" si="258"/>
        <v>0</v>
      </c>
      <c r="AB304" s="61">
        <f>IFERROR(SUMIFS('BM MORRO DA CRUZ - VERTICAL'!AF$6:AF$546,'BM MORRO DA CRUZ - VERTICAL'!$O$6:$O$546,'BM MORRO DA CRUZ'!$K304),0)</f>
        <v>0</v>
      </c>
      <c r="AC304" s="63">
        <f t="shared" si="259"/>
        <v>0</v>
      </c>
      <c r="AD304" s="61">
        <f>IFERROR(SUMIFS('BM MORRO DA CRUZ - VERTICAL'!AH$6:AH$546,'BM MORRO DA CRUZ - VERTICAL'!$O$6:$O$546,'BM MORRO DA CRUZ'!$K304),0)</f>
        <v>0</v>
      </c>
      <c r="AE304" s="63">
        <f t="shared" si="260"/>
        <v>0</v>
      </c>
      <c r="AF304" s="61">
        <f>IFERROR(SUMIFS('BM MORRO DA CRUZ - VERTICAL'!AJ$6:AJ$546,'BM MORRO DA CRUZ - VERTICAL'!$O$6:$O$546,'BM MORRO DA CRUZ'!$K304),0)</f>
        <v>0</v>
      </c>
      <c r="AG304" s="63">
        <f t="shared" si="261"/>
        <v>0</v>
      </c>
      <c r="AH304" s="61">
        <f>IFERROR(SUMIFS('BM MORRO DA CRUZ - VERTICAL'!AL$6:AL$546,'BM MORRO DA CRUZ - VERTICAL'!$O$6:$O$546,'BM MORRO DA CRUZ'!$K304),0)</f>
        <v>0</v>
      </c>
      <c r="AI304" s="63">
        <f t="shared" si="262"/>
        <v>0</v>
      </c>
      <c r="AJ304" s="61">
        <f>IFERROR(SUMIFS('BM MORRO DA CRUZ - VERTICAL'!AN$6:AN$546,'BM MORRO DA CRUZ - VERTICAL'!$O$6:$O$546,'BM MORRO DA CRUZ'!$K304),0)</f>
        <v>0</v>
      </c>
      <c r="AK304" s="63">
        <f t="shared" si="263"/>
        <v>0</v>
      </c>
      <c r="AL304" s="61">
        <f>IFERROR(SUMIFS('BM MORRO DA CRUZ - VERTICAL'!AP$6:AP$546,'BM MORRO DA CRUZ - VERTICAL'!$O$6:$O$546,'BM MORRO DA CRUZ'!$K304),0)</f>
        <v>0</v>
      </c>
      <c r="AM304" s="63">
        <f t="shared" si="264"/>
        <v>0</v>
      </c>
      <c r="AN304" s="61">
        <f>IFERROR(SUMIFS('BM MORRO DA CRUZ - VERTICAL'!AR$6:AR$546,'BM MORRO DA CRUZ - VERTICAL'!$O$6:$O$546,'BM MORRO DA CRUZ'!$K304),0)</f>
        <v>0</v>
      </c>
      <c r="AO304" s="63">
        <f t="shared" si="265"/>
        <v>0</v>
      </c>
      <c r="AP304" s="61">
        <f>IFERROR(SUMIFS('BM MORRO DA CRUZ - VERTICAL'!AT$6:AT$546,'BM MORRO DA CRUZ - VERTICAL'!$O$6:$O$546,'BM MORRO DA CRUZ'!$K304),0)</f>
        <v>0</v>
      </c>
      <c r="AQ304" s="63">
        <f t="shared" si="266"/>
        <v>0</v>
      </c>
      <c r="AR304" s="61">
        <f>IFERROR(SUMIFS('BM MORRO DA CRUZ - VERTICAL'!AV$6:AV$546,'BM MORRO DA CRUZ - VERTICAL'!$O$6:$O$546,'BM MORRO DA CRUZ'!$K304),0)</f>
        <v>0</v>
      </c>
      <c r="AS304" s="63">
        <f t="shared" si="267"/>
        <v>0</v>
      </c>
      <c r="AT304" s="61">
        <f>IFERROR(SUMIFS('BM MORRO DA CRUZ - VERTICAL'!AX$6:AX$546,'BM MORRO DA CRUZ - VERTICAL'!$O$6:$O$546,'BM MORRO DA CRUZ'!$K304),0)</f>
        <v>0</v>
      </c>
      <c r="AU304" s="63">
        <f t="shared" si="268"/>
        <v>0</v>
      </c>
      <c r="AV304" s="61">
        <f>IFERROR(SUMIFS('BM MORRO DA CRUZ - VERTICAL'!AZ$6:AZ$546,'BM MORRO DA CRUZ - VERTICAL'!$O$6:$O$546,'BM MORRO DA CRUZ'!$K304),0)</f>
        <v>0</v>
      </c>
      <c r="AW304" s="63">
        <f t="shared" si="269"/>
        <v>0</v>
      </c>
      <c r="AX304" s="61">
        <f>IFERROR(SUMIFS('BM MORRO DA CRUZ - VERTICAL'!BB$6:BB$546,'BM MORRO DA CRUZ - VERTICAL'!$O$6:$O$546,'BM MORRO DA CRUZ'!$K304),0)</f>
        <v>0</v>
      </c>
      <c r="AY304" s="63">
        <f t="shared" si="270"/>
        <v>0</v>
      </c>
      <c r="AZ304" s="61">
        <f>IFERROR(SUMIFS('BM MORRO DA CRUZ - VERTICAL'!BD$6:BD$546,'BM MORRO DA CRUZ - VERTICAL'!$O$6:$O$546,'BM MORRO DA CRUZ'!$K304),0)</f>
        <v>0</v>
      </c>
      <c r="BA304" s="63">
        <f t="shared" si="271"/>
        <v>0</v>
      </c>
      <c r="BB304" s="61">
        <f t="shared" si="272"/>
        <v>0</v>
      </c>
      <c r="BC304" s="63">
        <f t="shared" si="273"/>
        <v>0</v>
      </c>
      <c r="BD304" s="64">
        <f t="shared" si="274"/>
        <v>0</v>
      </c>
      <c r="BE304" s="65">
        <f t="shared" si="275"/>
        <v>1</v>
      </c>
      <c r="BF304" s="45"/>
    </row>
    <row r="305" spans="1:58" ht="35.65" x14ac:dyDescent="0.45">
      <c r="A305" s="56" t="s">
        <v>1125</v>
      </c>
      <c r="B305" s="506" t="s">
        <v>1820</v>
      </c>
      <c r="C305" s="507" t="s">
        <v>1795</v>
      </c>
      <c r="D305" s="507" t="s">
        <v>1795</v>
      </c>
      <c r="E305" s="507" t="s">
        <v>1817</v>
      </c>
      <c r="F305" s="507" t="s">
        <v>1818</v>
      </c>
      <c r="G305" s="507">
        <v>315</v>
      </c>
      <c r="H305" s="508" t="s">
        <v>267</v>
      </c>
      <c r="I305" s="507" t="s">
        <v>763</v>
      </c>
      <c r="J305" s="508" t="s">
        <v>1055</v>
      </c>
      <c r="K305" s="57" t="s">
        <v>1126</v>
      </c>
      <c r="L305" s="58" t="s">
        <v>846</v>
      </c>
      <c r="M305" s="59" t="s">
        <v>1127</v>
      </c>
      <c r="N305" s="60" t="s">
        <v>71</v>
      </c>
      <c r="O305" s="61">
        <v>6</v>
      </c>
      <c r="P305" s="62">
        <v>132.68</v>
      </c>
      <c r="Q305" s="63">
        <f t="shared" si="253"/>
        <v>796.08</v>
      </c>
      <c r="R305" s="61">
        <f>IFERROR(SUMIFS('BM MORRO DA CRUZ - VERTICAL'!V$6:V$546,'BM MORRO DA CRUZ - VERTICAL'!$O$6:$O$546,'BM MORRO DA CRUZ'!$K305),0)</f>
        <v>0</v>
      </c>
      <c r="S305" s="63">
        <f t="shared" si="254"/>
        <v>0</v>
      </c>
      <c r="T305" s="61">
        <f>IFERROR(SUMIFS('BM MORRO DA CRUZ - VERTICAL'!X$6:X$546,'BM MORRO DA CRUZ - VERTICAL'!$O$6:$O$546,'BM MORRO DA CRUZ'!$K305),0)</f>
        <v>0</v>
      </c>
      <c r="U305" s="63">
        <f t="shared" si="255"/>
        <v>0</v>
      </c>
      <c r="V305" s="61">
        <f>IFERROR(SUMIFS('BM MORRO DA CRUZ - VERTICAL'!Z$6:Z$546,'BM MORRO DA CRUZ - VERTICAL'!$O$6:$O$546,'BM MORRO DA CRUZ'!$K305),0)</f>
        <v>0</v>
      </c>
      <c r="W305" s="63">
        <f t="shared" si="256"/>
        <v>0</v>
      </c>
      <c r="X305" s="61">
        <f>IFERROR(SUMIFS('BM MORRO DA CRUZ - VERTICAL'!AB$6:AB$546,'BM MORRO DA CRUZ - VERTICAL'!$O$6:$O$546,'BM MORRO DA CRUZ'!$K305),0)</f>
        <v>0</v>
      </c>
      <c r="Y305" s="63">
        <f t="shared" si="257"/>
        <v>0</v>
      </c>
      <c r="Z305" s="61">
        <f>IFERROR(SUMIFS('BM MORRO DA CRUZ - VERTICAL'!AD$6:AD$546,'BM MORRO DA CRUZ - VERTICAL'!$O$6:$O$546,'BM MORRO DA CRUZ'!$K305),0)</f>
        <v>0</v>
      </c>
      <c r="AA305" s="63">
        <f t="shared" si="258"/>
        <v>0</v>
      </c>
      <c r="AB305" s="61">
        <f>IFERROR(SUMIFS('BM MORRO DA CRUZ - VERTICAL'!AF$6:AF$546,'BM MORRO DA CRUZ - VERTICAL'!$O$6:$O$546,'BM MORRO DA CRUZ'!$K305),0)</f>
        <v>0</v>
      </c>
      <c r="AC305" s="63">
        <f t="shared" si="259"/>
        <v>0</v>
      </c>
      <c r="AD305" s="61">
        <f>IFERROR(SUMIFS('BM MORRO DA CRUZ - VERTICAL'!AH$6:AH$546,'BM MORRO DA CRUZ - VERTICAL'!$O$6:$O$546,'BM MORRO DA CRUZ'!$K305),0)</f>
        <v>0</v>
      </c>
      <c r="AE305" s="63">
        <f t="shared" si="260"/>
        <v>0</v>
      </c>
      <c r="AF305" s="61">
        <f>IFERROR(SUMIFS('BM MORRO DA CRUZ - VERTICAL'!AJ$6:AJ$546,'BM MORRO DA CRUZ - VERTICAL'!$O$6:$O$546,'BM MORRO DA CRUZ'!$K305),0)</f>
        <v>0</v>
      </c>
      <c r="AG305" s="63">
        <f t="shared" si="261"/>
        <v>0</v>
      </c>
      <c r="AH305" s="61">
        <f>IFERROR(SUMIFS('BM MORRO DA CRUZ - VERTICAL'!AL$6:AL$546,'BM MORRO DA CRUZ - VERTICAL'!$O$6:$O$546,'BM MORRO DA CRUZ'!$K305),0)</f>
        <v>0</v>
      </c>
      <c r="AI305" s="63">
        <f t="shared" si="262"/>
        <v>0</v>
      </c>
      <c r="AJ305" s="61">
        <f>IFERROR(SUMIFS('BM MORRO DA CRUZ - VERTICAL'!AN$6:AN$546,'BM MORRO DA CRUZ - VERTICAL'!$O$6:$O$546,'BM MORRO DA CRUZ'!$K305),0)</f>
        <v>0</v>
      </c>
      <c r="AK305" s="63">
        <f t="shared" si="263"/>
        <v>0</v>
      </c>
      <c r="AL305" s="61">
        <f>IFERROR(SUMIFS('BM MORRO DA CRUZ - VERTICAL'!AP$6:AP$546,'BM MORRO DA CRUZ - VERTICAL'!$O$6:$O$546,'BM MORRO DA CRUZ'!$K305),0)</f>
        <v>0</v>
      </c>
      <c r="AM305" s="63">
        <f t="shared" si="264"/>
        <v>0</v>
      </c>
      <c r="AN305" s="61">
        <f>IFERROR(SUMIFS('BM MORRO DA CRUZ - VERTICAL'!AR$6:AR$546,'BM MORRO DA CRUZ - VERTICAL'!$O$6:$O$546,'BM MORRO DA CRUZ'!$K305),0)</f>
        <v>0</v>
      </c>
      <c r="AO305" s="63">
        <f t="shared" si="265"/>
        <v>0</v>
      </c>
      <c r="AP305" s="61">
        <f>IFERROR(SUMIFS('BM MORRO DA CRUZ - VERTICAL'!AT$6:AT$546,'BM MORRO DA CRUZ - VERTICAL'!$O$6:$O$546,'BM MORRO DA CRUZ'!$K305),0)</f>
        <v>0</v>
      </c>
      <c r="AQ305" s="63">
        <f t="shared" si="266"/>
        <v>0</v>
      </c>
      <c r="AR305" s="61">
        <f>IFERROR(SUMIFS('BM MORRO DA CRUZ - VERTICAL'!AV$6:AV$546,'BM MORRO DA CRUZ - VERTICAL'!$O$6:$O$546,'BM MORRO DA CRUZ'!$K305),0)</f>
        <v>0</v>
      </c>
      <c r="AS305" s="63">
        <f t="shared" si="267"/>
        <v>0</v>
      </c>
      <c r="AT305" s="61">
        <f>IFERROR(SUMIFS('BM MORRO DA CRUZ - VERTICAL'!AX$6:AX$546,'BM MORRO DA CRUZ - VERTICAL'!$O$6:$O$546,'BM MORRO DA CRUZ'!$K305),0)</f>
        <v>0</v>
      </c>
      <c r="AU305" s="63">
        <f t="shared" si="268"/>
        <v>0</v>
      </c>
      <c r="AV305" s="61">
        <f>IFERROR(SUMIFS('BM MORRO DA CRUZ - VERTICAL'!AZ$6:AZ$546,'BM MORRO DA CRUZ - VERTICAL'!$O$6:$O$546,'BM MORRO DA CRUZ'!$K305),0)</f>
        <v>0</v>
      </c>
      <c r="AW305" s="63">
        <f t="shared" si="269"/>
        <v>0</v>
      </c>
      <c r="AX305" s="61">
        <f>IFERROR(SUMIFS('BM MORRO DA CRUZ - VERTICAL'!BB$6:BB$546,'BM MORRO DA CRUZ - VERTICAL'!$O$6:$O$546,'BM MORRO DA CRUZ'!$K305),0)</f>
        <v>0</v>
      </c>
      <c r="AY305" s="63">
        <f t="shared" si="270"/>
        <v>0</v>
      </c>
      <c r="AZ305" s="61">
        <f>IFERROR(SUMIFS('BM MORRO DA CRUZ - VERTICAL'!BD$6:BD$546,'BM MORRO DA CRUZ - VERTICAL'!$O$6:$O$546,'BM MORRO DA CRUZ'!$K305),0)</f>
        <v>0</v>
      </c>
      <c r="BA305" s="63">
        <f t="shared" si="271"/>
        <v>0</v>
      </c>
      <c r="BB305" s="61">
        <f t="shared" si="272"/>
        <v>0</v>
      </c>
      <c r="BC305" s="63">
        <f t="shared" si="273"/>
        <v>0</v>
      </c>
      <c r="BD305" s="64">
        <f t="shared" si="274"/>
        <v>0</v>
      </c>
      <c r="BE305" s="65">
        <f t="shared" si="275"/>
        <v>1</v>
      </c>
      <c r="BF305" s="45"/>
    </row>
    <row r="306" spans="1:58" ht="35.65" x14ac:dyDescent="0.45">
      <c r="A306" s="56" t="s">
        <v>1128</v>
      </c>
      <c r="B306" s="506" t="s">
        <v>1820</v>
      </c>
      <c r="C306" s="507" t="s">
        <v>1795</v>
      </c>
      <c r="D306" s="507" t="s">
        <v>1795</v>
      </c>
      <c r="E306" s="507" t="s">
        <v>1817</v>
      </c>
      <c r="F306" s="507" t="s">
        <v>1818</v>
      </c>
      <c r="G306" s="507">
        <v>355</v>
      </c>
      <c r="H306" s="508" t="s">
        <v>267</v>
      </c>
      <c r="I306" s="507" t="s">
        <v>763</v>
      </c>
      <c r="J306" s="508" t="s">
        <v>1055</v>
      </c>
      <c r="K306" s="57" t="s">
        <v>1129</v>
      </c>
      <c r="L306" s="58" t="s">
        <v>846</v>
      </c>
      <c r="M306" s="59" t="s">
        <v>1130</v>
      </c>
      <c r="N306" s="60" t="s">
        <v>71</v>
      </c>
      <c r="O306" s="61">
        <v>2</v>
      </c>
      <c r="P306" s="62">
        <v>149.53</v>
      </c>
      <c r="Q306" s="63">
        <f t="shared" si="253"/>
        <v>299.06</v>
      </c>
      <c r="R306" s="61">
        <f>IFERROR(SUMIFS('BM MORRO DA CRUZ - VERTICAL'!V$6:V$546,'BM MORRO DA CRUZ - VERTICAL'!$O$6:$O$546,'BM MORRO DA CRUZ'!$K306),0)</f>
        <v>0</v>
      </c>
      <c r="S306" s="63">
        <f t="shared" si="254"/>
        <v>0</v>
      </c>
      <c r="T306" s="61">
        <f>IFERROR(SUMIFS('BM MORRO DA CRUZ - VERTICAL'!X$6:X$546,'BM MORRO DA CRUZ - VERTICAL'!$O$6:$O$546,'BM MORRO DA CRUZ'!$K306),0)</f>
        <v>0</v>
      </c>
      <c r="U306" s="63">
        <f t="shared" si="255"/>
        <v>0</v>
      </c>
      <c r="V306" s="61">
        <f>IFERROR(SUMIFS('BM MORRO DA CRUZ - VERTICAL'!Z$6:Z$546,'BM MORRO DA CRUZ - VERTICAL'!$O$6:$O$546,'BM MORRO DA CRUZ'!$K306),0)</f>
        <v>0</v>
      </c>
      <c r="W306" s="63">
        <f t="shared" si="256"/>
        <v>0</v>
      </c>
      <c r="X306" s="61">
        <f>IFERROR(SUMIFS('BM MORRO DA CRUZ - VERTICAL'!AB$6:AB$546,'BM MORRO DA CRUZ - VERTICAL'!$O$6:$O$546,'BM MORRO DA CRUZ'!$K306),0)</f>
        <v>0</v>
      </c>
      <c r="Y306" s="63">
        <f t="shared" si="257"/>
        <v>0</v>
      </c>
      <c r="Z306" s="61">
        <f>IFERROR(SUMIFS('BM MORRO DA CRUZ - VERTICAL'!AD$6:AD$546,'BM MORRO DA CRUZ - VERTICAL'!$O$6:$O$546,'BM MORRO DA CRUZ'!$K306),0)</f>
        <v>0</v>
      </c>
      <c r="AA306" s="63">
        <f t="shared" si="258"/>
        <v>0</v>
      </c>
      <c r="AB306" s="61">
        <f>IFERROR(SUMIFS('BM MORRO DA CRUZ - VERTICAL'!AF$6:AF$546,'BM MORRO DA CRUZ - VERTICAL'!$O$6:$O$546,'BM MORRO DA CRUZ'!$K306),0)</f>
        <v>0</v>
      </c>
      <c r="AC306" s="63">
        <f t="shared" si="259"/>
        <v>0</v>
      </c>
      <c r="AD306" s="61">
        <f>IFERROR(SUMIFS('BM MORRO DA CRUZ - VERTICAL'!AH$6:AH$546,'BM MORRO DA CRUZ - VERTICAL'!$O$6:$O$546,'BM MORRO DA CRUZ'!$K306),0)</f>
        <v>0</v>
      </c>
      <c r="AE306" s="63">
        <f t="shared" si="260"/>
        <v>0</v>
      </c>
      <c r="AF306" s="61">
        <f>IFERROR(SUMIFS('BM MORRO DA CRUZ - VERTICAL'!AJ$6:AJ$546,'BM MORRO DA CRUZ - VERTICAL'!$O$6:$O$546,'BM MORRO DA CRUZ'!$K306),0)</f>
        <v>0</v>
      </c>
      <c r="AG306" s="63">
        <f t="shared" si="261"/>
        <v>0</v>
      </c>
      <c r="AH306" s="61">
        <f>IFERROR(SUMIFS('BM MORRO DA CRUZ - VERTICAL'!AL$6:AL$546,'BM MORRO DA CRUZ - VERTICAL'!$O$6:$O$546,'BM MORRO DA CRUZ'!$K306),0)</f>
        <v>0</v>
      </c>
      <c r="AI306" s="63">
        <f t="shared" si="262"/>
        <v>0</v>
      </c>
      <c r="AJ306" s="61">
        <f>IFERROR(SUMIFS('BM MORRO DA CRUZ - VERTICAL'!AN$6:AN$546,'BM MORRO DA CRUZ - VERTICAL'!$O$6:$O$546,'BM MORRO DA CRUZ'!$K306),0)</f>
        <v>0</v>
      </c>
      <c r="AK306" s="63">
        <f t="shared" si="263"/>
        <v>0</v>
      </c>
      <c r="AL306" s="61">
        <f>IFERROR(SUMIFS('BM MORRO DA CRUZ - VERTICAL'!AP$6:AP$546,'BM MORRO DA CRUZ - VERTICAL'!$O$6:$O$546,'BM MORRO DA CRUZ'!$K306),0)</f>
        <v>0</v>
      </c>
      <c r="AM306" s="63">
        <f t="shared" si="264"/>
        <v>0</v>
      </c>
      <c r="AN306" s="61">
        <f>IFERROR(SUMIFS('BM MORRO DA CRUZ - VERTICAL'!AR$6:AR$546,'BM MORRO DA CRUZ - VERTICAL'!$O$6:$O$546,'BM MORRO DA CRUZ'!$K306),0)</f>
        <v>0</v>
      </c>
      <c r="AO306" s="63">
        <f t="shared" si="265"/>
        <v>0</v>
      </c>
      <c r="AP306" s="61">
        <f>IFERROR(SUMIFS('BM MORRO DA CRUZ - VERTICAL'!AT$6:AT$546,'BM MORRO DA CRUZ - VERTICAL'!$O$6:$O$546,'BM MORRO DA CRUZ'!$K306),0)</f>
        <v>0</v>
      </c>
      <c r="AQ306" s="63">
        <f t="shared" si="266"/>
        <v>0</v>
      </c>
      <c r="AR306" s="61">
        <f>IFERROR(SUMIFS('BM MORRO DA CRUZ - VERTICAL'!AV$6:AV$546,'BM MORRO DA CRUZ - VERTICAL'!$O$6:$O$546,'BM MORRO DA CRUZ'!$K306),0)</f>
        <v>0</v>
      </c>
      <c r="AS306" s="63">
        <f t="shared" si="267"/>
        <v>0</v>
      </c>
      <c r="AT306" s="61">
        <f>IFERROR(SUMIFS('BM MORRO DA CRUZ - VERTICAL'!AX$6:AX$546,'BM MORRO DA CRUZ - VERTICAL'!$O$6:$O$546,'BM MORRO DA CRUZ'!$K306),0)</f>
        <v>0</v>
      </c>
      <c r="AU306" s="63">
        <f t="shared" si="268"/>
        <v>0</v>
      </c>
      <c r="AV306" s="61">
        <f>IFERROR(SUMIFS('BM MORRO DA CRUZ - VERTICAL'!AZ$6:AZ$546,'BM MORRO DA CRUZ - VERTICAL'!$O$6:$O$546,'BM MORRO DA CRUZ'!$K306),0)</f>
        <v>0</v>
      </c>
      <c r="AW306" s="63">
        <f t="shared" si="269"/>
        <v>0</v>
      </c>
      <c r="AX306" s="61">
        <f>IFERROR(SUMIFS('BM MORRO DA CRUZ - VERTICAL'!BB$6:BB$546,'BM MORRO DA CRUZ - VERTICAL'!$O$6:$O$546,'BM MORRO DA CRUZ'!$K306),0)</f>
        <v>0</v>
      </c>
      <c r="AY306" s="63">
        <f t="shared" si="270"/>
        <v>0</v>
      </c>
      <c r="AZ306" s="61">
        <f>IFERROR(SUMIFS('BM MORRO DA CRUZ - VERTICAL'!BD$6:BD$546,'BM MORRO DA CRUZ - VERTICAL'!$O$6:$O$546,'BM MORRO DA CRUZ'!$K306),0)</f>
        <v>0</v>
      </c>
      <c r="BA306" s="63">
        <f t="shared" si="271"/>
        <v>0</v>
      </c>
      <c r="BB306" s="61">
        <f t="shared" si="272"/>
        <v>0</v>
      </c>
      <c r="BC306" s="63">
        <f t="shared" si="273"/>
        <v>0</v>
      </c>
      <c r="BD306" s="64">
        <f t="shared" si="274"/>
        <v>0</v>
      </c>
      <c r="BE306" s="65">
        <f t="shared" si="275"/>
        <v>1</v>
      </c>
      <c r="BF306" s="45"/>
    </row>
    <row r="307" spans="1:58" ht="35.65" x14ac:dyDescent="0.45">
      <c r="A307" s="56" t="s">
        <v>1131</v>
      </c>
      <c r="B307" s="506" t="s">
        <v>1820</v>
      </c>
      <c r="C307" s="507" t="s">
        <v>1795</v>
      </c>
      <c r="D307" s="507" t="s">
        <v>1795</v>
      </c>
      <c r="E307" s="507" t="s">
        <v>1817</v>
      </c>
      <c r="F307" s="507" t="s">
        <v>1818</v>
      </c>
      <c r="G307" s="507">
        <v>63</v>
      </c>
      <c r="H307" s="508" t="s">
        <v>267</v>
      </c>
      <c r="I307" s="507" t="s">
        <v>1760</v>
      </c>
      <c r="J307" s="508" t="s">
        <v>1055</v>
      </c>
      <c r="K307" s="57" t="s">
        <v>1132</v>
      </c>
      <c r="L307" s="58" t="s">
        <v>846</v>
      </c>
      <c r="M307" s="59" t="s">
        <v>1133</v>
      </c>
      <c r="N307" s="60" t="s">
        <v>71</v>
      </c>
      <c r="O307" s="61">
        <v>490</v>
      </c>
      <c r="P307" s="62">
        <v>26.52</v>
      </c>
      <c r="Q307" s="63">
        <f t="shared" si="253"/>
        <v>12994.8</v>
      </c>
      <c r="R307" s="61">
        <f>IFERROR(SUMIFS('BM MORRO DA CRUZ - VERTICAL'!V$6:V$546,'BM MORRO DA CRUZ - VERTICAL'!$O$6:$O$546,'BM MORRO DA CRUZ'!$K307),0)</f>
        <v>0</v>
      </c>
      <c r="S307" s="63">
        <f t="shared" si="254"/>
        <v>0</v>
      </c>
      <c r="T307" s="61">
        <f>IFERROR(SUMIFS('BM MORRO DA CRUZ - VERTICAL'!X$6:X$546,'BM MORRO DA CRUZ - VERTICAL'!$O$6:$O$546,'BM MORRO DA CRUZ'!$K307),0)</f>
        <v>0</v>
      </c>
      <c r="U307" s="63">
        <f t="shared" si="255"/>
        <v>0</v>
      </c>
      <c r="V307" s="61">
        <f>IFERROR(SUMIFS('BM MORRO DA CRUZ - VERTICAL'!Z$6:Z$546,'BM MORRO DA CRUZ - VERTICAL'!$O$6:$O$546,'BM MORRO DA CRUZ'!$K307),0)</f>
        <v>0</v>
      </c>
      <c r="W307" s="63">
        <f t="shared" si="256"/>
        <v>0</v>
      </c>
      <c r="X307" s="61">
        <f>IFERROR(SUMIFS('BM MORRO DA CRUZ - VERTICAL'!AB$6:AB$546,'BM MORRO DA CRUZ - VERTICAL'!$O$6:$O$546,'BM MORRO DA CRUZ'!$K307),0)</f>
        <v>0</v>
      </c>
      <c r="Y307" s="63">
        <f t="shared" si="257"/>
        <v>0</v>
      </c>
      <c r="Z307" s="61">
        <f>IFERROR(SUMIFS('BM MORRO DA CRUZ - VERTICAL'!AD$6:AD$546,'BM MORRO DA CRUZ - VERTICAL'!$O$6:$O$546,'BM MORRO DA CRUZ'!$K307),0)</f>
        <v>0</v>
      </c>
      <c r="AA307" s="63">
        <f t="shared" si="258"/>
        <v>0</v>
      </c>
      <c r="AB307" s="61">
        <f>IFERROR(SUMIFS('BM MORRO DA CRUZ - VERTICAL'!AF$6:AF$546,'BM MORRO DA CRUZ - VERTICAL'!$O$6:$O$546,'BM MORRO DA CRUZ'!$K307),0)</f>
        <v>0</v>
      </c>
      <c r="AC307" s="63">
        <f t="shared" si="259"/>
        <v>0</v>
      </c>
      <c r="AD307" s="61">
        <f>IFERROR(SUMIFS('BM MORRO DA CRUZ - VERTICAL'!AH$6:AH$546,'BM MORRO DA CRUZ - VERTICAL'!$O$6:$O$546,'BM MORRO DA CRUZ'!$K307),0)</f>
        <v>0</v>
      </c>
      <c r="AE307" s="63">
        <f t="shared" si="260"/>
        <v>0</v>
      </c>
      <c r="AF307" s="61">
        <f>IFERROR(SUMIFS('BM MORRO DA CRUZ - VERTICAL'!AJ$6:AJ$546,'BM MORRO DA CRUZ - VERTICAL'!$O$6:$O$546,'BM MORRO DA CRUZ'!$K307),0)</f>
        <v>0</v>
      </c>
      <c r="AG307" s="63">
        <f t="shared" si="261"/>
        <v>0</v>
      </c>
      <c r="AH307" s="61">
        <f>IFERROR(SUMIFS('BM MORRO DA CRUZ - VERTICAL'!AL$6:AL$546,'BM MORRO DA CRUZ - VERTICAL'!$O$6:$O$546,'BM MORRO DA CRUZ'!$K307),0)</f>
        <v>0</v>
      </c>
      <c r="AI307" s="63">
        <f t="shared" si="262"/>
        <v>0</v>
      </c>
      <c r="AJ307" s="61">
        <f>IFERROR(SUMIFS('BM MORRO DA CRUZ - VERTICAL'!AN$6:AN$546,'BM MORRO DA CRUZ - VERTICAL'!$O$6:$O$546,'BM MORRO DA CRUZ'!$K307),0)</f>
        <v>0</v>
      </c>
      <c r="AK307" s="63">
        <f t="shared" si="263"/>
        <v>0</v>
      </c>
      <c r="AL307" s="61">
        <f>IFERROR(SUMIFS('BM MORRO DA CRUZ - VERTICAL'!AP$6:AP$546,'BM MORRO DA CRUZ - VERTICAL'!$O$6:$O$546,'BM MORRO DA CRUZ'!$K307),0)</f>
        <v>0</v>
      </c>
      <c r="AM307" s="63">
        <f t="shared" si="264"/>
        <v>0</v>
      </c>
      <c r="AN307" s="61">
        <f>IFERROR(SUMIFS('BM MORRO DA CRUZ - VERTICAL'!AR$6:AR$546,'BM MORRO DA CRUZ - VERTICAL'!$O$6:$O$546,'BM MORRO DA CRUZ'!$K307),0)</f>
        <v>0</v>
      </c>
      <c r="AO307" s="63">
        <f t="shared" si="265"/>
        <v>0</v>
      </c>
      <c r="AP307" s="61">
        <f>IFERROR(SUMIFS('BM MORRO DA CRUZ - VERTICAL'!AT$6:AT$546,'BM MORRO DA CRUZ - VERTICAL'!$O$6:$O$546,'BM MORRO DA CRUZ'!$K307),0)</f>
        <v>0</v>
      </c>
      <c r="AQ307" s="63">
        <f t="shared" si="266"/>
        <v>0</v>
      </c>
      <c r="AR307" s="61">
        <f>IFERROR(SUMIFS('BM MORRO DA CRUZ - VERTICAL'!AV$6:AV$546,'BM MORRO DA CRUZ - VERTICAL'!$O$6:$O$546,'BM MORRO DA CRUZ'!$K307),0)</f>
        <v>0</v>
      </c>
      <c r="AS307" s="63">
        <f t="shared" si="267"/>
        <v>0</v>
      </c>
      <c r="AT307" s="61">
        <f>IFERROR(SUMIFS('BM MORRO DA CRUZ - VERTICAL'!AX$6:AX$546,'BM MORRO DA CRUZ - VERTICAL'!$O$6:$O$546,'BM MORRO DA CRUZ'!$K307),0)</f>
        <v>0</v>
      </c>
      <c r="AU307" s="63">
        <f t="shared" si="268"/>
        <v>0</v>
      </c>
      <c r="AV307" s="61">
        <f>IFERROR(SUMIFS('BM MORRO DA CRUZ - VERTICAL'!AZ$6:AZ$546,'BM MORRO DA CRUZ - VERTICAL'!$O$6:$O$546,'BM MORRO DA CRUZ'!$K307),0)</f>
        <v>0</v>
      </c>
      <c r="AW307" s="63">
        <f t="shared" si="269"/>
        <v>0</v>
      </c>
      <c r="AX307" s="61">
        <f>IFERROR(SUMIFS('BM MORRO DA CRUZ - VERTICAL'!BB$6:BB$546,'BM MORRO DA CRUZ - VERTICAL'!$O$6:$O$546,'BM MORRO DA CRUZ'!$K307),0)</f>
        <v>0</v>
      </c>
      <c r="AY307" s="63">
        <f t="shared" si="270"/>
        <v>0</v>
      </c>
      <c r="AZ307" s="61">
        <f>IFERROR(SUMIFS('BM MORRO DA CRUZ - VERTICAL'!BD$6:BD$546,'BM MORRO DA CRUZ - VERTICAL'!$O$6:$O$546,'BM MORRO DA CRUZ'!$K307),0)</f>
        <v>0</v>
      </c>
      <c r="BA307" s="63">
        <f t="shared" si="271"/>
        <v>0</v>
      </c>
      <c r="BB307" s="61">
        <f t="shared" si="272"/>
        <v>0</v>
      </c>
      <c r="BC307" s="63">
        <f t="shared" si="273"/>
        <v>0</v>
      </c>
      <c r="BD307" s="64">
        <f t="shared" si="274"/>
        <v>0</v>
      </c>
      <c r="BE307" s="65">
        <f t="shared" si="275"/>
        <v>1</v>
      </c>
      <c r="BF307" s="45"/>
    </row>
    <row r="308" spans="1:58" ht="35.65" x14ac:dyDescent="0.45">
      <c r="A308" s="56" t="s">
        <v>1134</v>
      </c>
      <c r="B308" s="506" t="s">
        <v>1820</v>
      </c>
      <c r="C308" s="507" t="s">
        <v>1795</v>
      </c>
      <c r="D308" s="507" t="s">
        <v>1795</v>
      </c>
      <c r="E308" s="507" t="s">
        <v>1817</v>
      </c>
      <c r="F308" s="507" t="s">
        <v>1818</v>
      </c>
      <c r="G308" s="507">
        <v>90</v>
      </c>
      <c r="H308" s="508" t="s">
        <v>267</v>
      </c>
      <c r="I308" s="507" t="s">
        <v>1760</v>
      </c>
      <c r="J308" s="508" t="s">
        <v>1055</v>
      </c>
      <c r="K308" s="57" t="s">
        <v>1135</v>
      </c>
      <c r="L308" s="58" t="s">
        <v>846</v>
      </c>
      <c r="M308" s="59" t="s">
        <v>1136</v>
      </c>
      <c r="N308" s="60" t="s">
        <v>71</v>
      </c>
      <c r="O308" s="61">
        <v>67</v>
      </c>
      <c r="P308" s="62">
        <v>37.9</v>
      </c>
      <c r="Q308" s="63">
        <f t="shared" si="253"/>
        <v>2539.3000000000002</v>
      </c>
      <c r="R308" s="61">
        <f>IFERROR(SUMIFS('BM MORRO DA CRUZ - VERTICAL'!V$6:V$546,'BM MORRO DA CRUZ - VERTICAL'!$O$6:$O$546,'BM MORRO DA CRUZ'!$K308),0)</f>
        <v>0</v>
      </c>
      <c r="S308" s="63">
        <f t="shared" si="254"/>
        <v>0</v>
      </c>
      <c r="T308" s="61">
        <f>IFERROR(SUMIFS('BM MORRO DA CRUZ - VERTICAL'!X$6:X$546,'BM MORRO DA CRUZ - VERTICAL'!$O$6:$O$546,'BM MORRO DA CRUZ'!$K308),0)</f>
        <v>0</v>
      </c>
      <c r="U308" s="63">
        <f t="shared" si="255"/>
        <v>0</v>
      </c>
      <c r="V308" s="61">
        <f>IFERROR(SUMIFS('BM MORRO DA CRUZ - VERTICAL'!Z$6:Z$546,'BM MORRO DA CRUZ - VERTICAL'!$O$6:$O$546,'BM MORRO DA CRUZ'!$K308),0)</f>
        <v>0</v>
      </c>
      <c r="W308" s="63">
        <f t="shared" si="256"/>
        <v>0</v>
      </c>
      <c r="X308" s="61">
        <f>IFERROR(SUMIFS('BM MORRO DA CRUZ - VERTICAL'!AB$6:AB$546,'BM MORRO DA CRUZ - VERTICAL'!$O$6:$O$546,'BM MORRO DA CRUZ'!$K308),0)</f>
        <v>0</v>
      </c>
      <c r="Y308" s="63">
        <f t="shared" si="257"/>
        <v>0</v>
      </c>
      <c r="Z308" s="61">
        <f>IFERROR(SUMIFS('BM MORRO DA CRUZ - VERTICAL'!AD$6:AD$546,'BM MORRO DA CRUZ - VERTICAL'!$O$6:$O$546,'BM MORRO DA CRUZ'!$K308),0)</f>
        <v>0</v>
      </c>
      <c r="AA308" s="63">
        <f t="shared" si="258"/>
        <v>0</v>
      </c>
      <c r="AB308" s="61">
        <f>IFERROR(SUMIFS('BM MORRO DA CRUZ - VERTICAL'!AF$6:AF$546,'BM MORRO DA CRUZ - VERTICAL'!$O$6:$O$546,'BM MORRO DA CRUZ'!$K308),0)</f>
        <v>0</v>
      </c>
      <c r="AC308" s="63">
        <f t="shared" si="259"/>
        <v>0</v>
      </c>
      <c r="AD308" s="61">
        <f>IFERROR(SUMIFS('BM MORRO DA CRUZ - VERTICAL'!AH$6:AH$546,'BM MORRO DA CRUZ - VERTICAL'!$O$6:$O$546,'BM MORRO DA CRUZ'!$K308),0)</f>
        <v>0</v>
      </c>
      <c r="AE308" s="63">
        <f t="shared" si="260"/>
        <v>0</v>
      </c>
      <c r="AF308" s="61">
        <f>IFERROR(SUMIFS('BM MORRO DA CRUZ - VERTICAL'!AJ$6:AJ$546,'BM MORRO DA CRUZ - VERTICAL'!$O$6:$O$546,'BM MORRO DA CRUZ'!$K308),0)</f>
        <v>0</v>
      </c>
      <c r="AG308" s="63">
        <f t="shared" si="261"/>
        <v>0</v>
      </c>
      <c r="AH308" s="61">
        <f>IFERROR(SUMIFS('BM MORRO DA CRUZ - VERTICAL'!AL$6:AL$546,'BM MORRO DA CRUZ - VERTICAL'!$O$6:$O$546,'BM MORRO DA CRUZ'!$K308),0)</f>
        <v>0</v>
      </c>
      <c r="AI308" s="63">
        <f t="shared" si="262"/>
        <v>0</v>
      </c>
      <c r="AJ308" s="61">
        <f>IFERROR(SUMIFS('BM MORRO DA CRUZ - VERTICAL'!AN$6:AN$546,'BM MORRO DA CRUZ - VERTICAL'!$O$6:$O$546,'BM MORRO DA CRUZ'!$K308),0)</f>
        <v>0</v>
      </c>
      <c r="AK308" s="63">
        <f t="shared" si="263"/>
        <v>0</v>
      </c>
      <c r="AL308" s="61">
        <f>IFERROR(SUMIFS('BM MORRO DA CRUZ - VERTICAL'!AP$6:AP$546,'BM MORRO DA CRUZ - VERTICAL'!$O$6:$O$546,'BM MORRO DA CRUZ'!$K308),0)</f>
        <v>0</v>
      </c>
      <c r="AM308" s="63">
        <f t="shared" si="264"/>
        <v>0</v>
      </c>
      <c r="AN308" s="61">
        <f>IFERROR(SUMIFS('BM MORRO DA CRUZ - VERTICAL'!AR$6:AR$546,'BM MORRO DA CRUZ - VERTICAL'!$O$6:$O$546,'BM MORRO DA CRUZ'!$K308),0)</f>
        <v>0</v>
      </c>
      <c r="AO308" s="63">
        <f t="shared" si="265"/>
        <v>0</v>
      </c>
      <c r="AP308" s="61">
        <f>IFERROR(SUMIFS('BM MORRO DA CRUZ - VERTICAL'!AT$6:AT$546,'BM MORRO DA CRUZ - VERTICAL'!$O$6:$O$546,'BM MORRO DA CRUZ'!$K308),0)</f>
        <v>0</v>
      </c>
      <c r="AQ308" s="63">
        <f t="shared" si="266"/>
        <v>0</v>
      </c>
      <c r="AR308" s="61">
        <f>IFERROR(SUMIFS('BM MORRO DA CRUZ - VERTICAL'!AV$6:AV$546,'BM MORRO DA CRUZ - VERTICAL'!$O$6:$O$546,'BM MORRO DA CRUZ'!$K308),0)</f>
        <v>0</v>
      </c>
      <c r="AS308" s="63">
        <f t="shared" si="267"/>
        <v>0</v>
      </c>
      <c r="AT308" s="61">
        <f>IFERROR(SUMIFS('BM MORRO DA CRUZ - VERTICAL'!AX$6:AX$546,'BM MORRO DA CRUZ - VERTICAL'!$O$6:$O$546,'BM MORRO DA CRUZ'!$K308),0)</f>
        <v>0</v>
      </c>
      <c r="AU308" s="63">
        <f t="shared" si="268"/>
        <v>0</v>
      </c>
      <c r="AV308" s="61">
        <f>IFERROR(SUMIFS('BM MORRO DA CRUZ - VERTICAL'!AZ$6:AZ$546,'BM MORRO DA CRUZ - VERTICAL'!$O$6:$O$546,'BM MORRO DA CRUZ'!$K308),0)</f>
        <v>0</v>
      </c>
      <c r="AW308" s="63">
        <f t="shared" si="269"/>
        <v>0</v>
      </c>
      <c r="AX308" s="61">
        <f>IFERROR(SUMIFS('BM MORRO DA CRUZ - VERTICAL'!BB$6:BB$546,'BM MORRO DA CRUZ - VERTICAL'!$O$6:$O$546,'BM MORRO DA CRUZ'!$K308),0)</f>
        <v>0</v>
      </c>
      <c r="AY308" s="63">
        <f t="shared" si="270"/>
        <v>0</v>
      </c>
      <c r="AZ308" s="61">
        <f>IFERROR(SUMIFS('BM MORRO DA CRUZ - VERTICAL'!BD$6:BD$546,'BM MORRO DA CRUZ - VERTICAL'!$O$6:$O$546,'BM MORRO DA CRUZ'!$K308),0)</f>
        <v>0</v>
      </c>
      <c r="BA308" s="63">
        <f t="shared" si="271"/>
        <v>0</v>
      </c>
      <c r="BB308" s="61">
        <f t="shared" si="272"/>
        <v>0</v>
      </c>
      <c r="BC308" s="63">
        <f t="shared" si="273"/>
        <v>0</v>
      </c>
      <c r="BD308" s="64">
        <f t="shared" si="274"/>
        <v>0</v>
      </c>
      <c r="BE308" s="65">
        <f t="shared" si="275"/>
        <v>1</v>
      </c>
      <c r="BF308" s="45"/>
    </row>
    <row r="309" spans="1:58" ht="26" customHeight="1" x14ac:dyDescent="0.45">
      <c r="A309" s="56" t="s">
        <v>1137</v>
      </c>
      <c r="B309" s="506" t="s">
        <v>1821</v>
      </c>
      <c r="C309" s="507" t="s">
        <v>1795</v>
      </c>
      <c r="D309" s="507" t="s">
        <v>39</v>
      </c>
      <c r="E309" s="507" t="s">
        <v>1817</v>
      </c>
      <c r="F309" s="507" t="s">
        <v>39</v>
      </c>
      <c r="G309" s="507">
        <v>200</v>
      </c>
      <c r="H309" s="508" t="s">
        <v>125</v>
      </c>
      <c r="I309" s="507" t="s">
        <v>748</v>
      </c>
      <c r="J309" s="508" t="s">
        <v>1055</v>
      </c>
      <c r="K309" s="57" t="s">
        <v>1138</v>
      </c>
      <c r="L309" s="58" t="s">
        <v>846</v>
      </c>
      <c r="M309" s="59" t="s">
        <v>1139</v>
      </c>
      <c r="N309" s="60" t="s">
        <v>71</v>
      </c>
      <c r="O309" s="61">
        <v>2</v>
      </c>
      <c r="P309" s="62">
        <v>154.84</v>
      </c>
      <c r="Q309" s="63">
        <f t="shared" si="253"/>
        <v>309.68</v>
      </c>
      <c r="R309" s="61">
        <f>IFERROR(SUMIFS('BM MORRO DA CRUZ - VERTICAL'!V$6:V$546,'BM MORRO DA CRUZ - VERTICAL'!$O$6:$O$546,'BM MORRO DA CRUZ'!$K309),0)</f>
        <v>0</v>
      </c>
      <c r="S309" s="63">
        <f t="shared" si="254"/>
        <v>0</v>
      </c>
      <c r="T309" s="61">
        <f>IFERROR(SUMIFS('BM MORRO DA CRUZ - VERTICAL'!X$6:X$546,'BM MORRO DA CRUZ - VERTICAL'!$O$6:$O$546,'BM MORRO DA CRUZ'!$K309),0)</f>
        <v>0</v>
      </c>
      <c r="U309" s="63">
        <f t="shared" si="255"/>
        <v>0</v>
      </c>
      <c r="V309" s="61">
        <f>IFERROR(SUMIFS('BM MORRO DA CRUZ - VERTICAL'!Z$6:Z$546,'BM MORRO DA CRUZ - VERTICAL'!$O$6:$O$546,'BM MORRO DA CRUZ'!$K309),0)</f>
        <v>0</v>
      </c>
      <c r="W309" s="63">
        <f t="shared" si="256"/>
        <v>0</v>
      </c>
      <c r="X309" s="61">
        <f>IFERROR(SUMIFS('BM MORRO DA CRUZ - VERTICAL'!AB$6:AB$546,'BM MORRO DA CRUZ - VERTICAL'!$O$6:$O$546,'BM MORRO DA CRUZ'!$K309),0)</f>
        <v>0</v>
      </c>
      <c r="Y309" s="63">
        <f t="shared" si="257"/>
        <v>0</v>
      </c>
      <c r="Z309" s="61">
        <f>IFERROR(SUMIFS('BM MORRO DA CRUZ - VERTICAL'!AD$6:AD$546,'BM MORRO DA CRUZ - VERTICAL'!$O$6:$O$546,'BM MORRO DA CRUZ'!$K309),0)</f>
        <v>0</v>
      </c>
      <c r="AA309" s="63">
        <f t="shared" si="258"/>
        <v>0</v>
      </c>
      <c r="AB309" s="61">
        <f>IFERROR(SUMIFS('BM MORRO DA CRUZ - VERTICAL'!AF$6:AF$546,'BM MORRO DA CRUZ - VERTICAL'!$O$6:$O$546,'BM MORRO DA CRUZ'!$K309),0)</f>
        <v>0</v>
      </c>
      <c r="AC309" s="63">
        <f t="shared" si="259"/>
        <v>0</v>
      </c>
      <c r="AD309" s="61">
        <f>IFERROR(SUMIFS('BM MORRO DA CRUZ - VERTICAL'!AH$6:AH$546,'BM MORRO DA CRUZ - VERTICAL'!$O$6:$O$546,'BM MORRO DA CRUZ'!$K309),0)</f>
        <v>0</v>
      </c>
      <c r="AE309" s="63">
        <f t="shared" si="260"/>
        <v>0</v>
      </c>
      <c r="AF309" s="61">
        <f>IFERROR(SUMIFS('BM MORRO DA CRUZ - VERTICAL'!AJ$6:AJ$546,'BM MORRO DA CRUZ - VERTICAL'!$O$6:$O$546,'BM MORRO DA CRUZ'!$K309),0)</f>
        <v>0</v>
      </c>
      <c r="AG309" s="63">
        <f t="shared" si="261"/>
        <v>0</v>
      </c>
      <c r="AH309" s="61">
        <f>IFERROR(SUMIFS('BM MORRO DA CRUZ - VERTICAL'!AL$6:AL$546,'BM MORRO DA CRUZ - VERTICAL'!$O$6:$O$546,'BM MORRO DA CRUZ'!$K309),0)</f>
        <v>0</v>
      </c>
      <c r="AI309" s="63">
        <f t="shared" si="262"/>
        <v>0</v>
      </c>
      <c r="AJ309" s="61">
        <f>IFERROR(SUMIFS('BM MORRO DA CRUZ - VERTICAL'!AN$6:AN$546,'BM MORRO DA CRUZ - VERTICAL'!$O$6:$O$546,'BM MORRO DA CRUZ'!$K309),0)</f>
        <v>0</v>
      </c>
      <c r="AK309" s="63">
        <f t="shared" si="263"/>
        <v>0</v>
      </c>
      <c r="AL309" s="61">
        <f>IFERROR(SUMIFS('BM MORRO DA CRUZ - VERTICAL'!AP$6:AP$546,'BM MORRO DA CRUZ - VERTICAL'!$O$6:$O$546,'BM MORRO DA CRUZ'!$K309),0)</f>
        <v>0</v>
      </c>
      <c r="AM309" s="63">
        <f t="shared" si="264"/>
        <v>0</v>
      </c>
      <c r="AN309" s="61">
        <f>IFERROR(SUMIFS('BM MORRO DA CRUZ - VERTICAL'!AR$6:AR$546,'BM MORRO DA CRUZ - VERTICAL'!$O$6:$O$546,'BM MORRO DA CRUZ'!$K309),0)</f>
        <v>0</v>
      </c>
      <c r="AO309" s="63">
        <f t="shared" si="265"/>
        <v>0</v>
      </c>
      <c r="AP309" s="61">
        <f>IFERROR(SUMIFS('BM MORRO DA CRUZ - VERTICAL'!AT$6:AT$546,'BM MORRO DA CRUZ - VERTICAL'!$O$6:$O$546,'BM MORRO DA CRUZ'!$K309),0)</f>
        <v>0</v>
      </c>
      <c r="AQ309" s="63">
        <f t="shared" si="266"/>
        <v>0</v>
      </c>
      <c r="AR309" s="61">
        <f>IFERROR(SUMIFS('BM MORRO DA CRUZ - VERTICAL'!AV$6:AV$546,'BM MORRO DA CRUZ - VERTICAL'!$O$6:$O$546,'BM MORRO DA CRUZ'!$K309),0)</f>
        <v>0</v>
      </c>
      <c r="AS309" s="63">
        <f t="shared" si="267"/>
        <v>0</v>
      </c>
      <c r="AT309" s="61">
        <f>IFERROR(SUMIFS('BM MORRO DA CRUZ - VERTICAL'!AX$6:AX$546,'BM MORRO DA CRUZ - VERTICAL'!$O$6:$O$546,'BM MORRO DA CRUZ'!$K309),0)</f>
        <v>0</v>
      </c>
      <c r="AU309" s="63">
        <f t="shared" si="268"/>
        <v>0</v>
      </c>
      <c r="AV309" s="61">
        <f>IFERROR(SUMIFS('BM MORRO DA CRUZ - VERTICAL'!AZ$6:AZ$546,'BM MORRO DA CRUZ - VERTICAL'!$O$6:$O$546,'BM MORRO DA CRUZ'!$K309),0)</f>
        <v>0</v>
      </c>
      <c r="AW309" s="63">
        <f t="shared" si="269"/>
        <v>0</v>
      </c>
      <c r="AX309" s="61">
        <f>IFERROR(SUMIFS('BM MORRO DA CRUZ - VERTICAL'!BB$6:BB$546,'BM MORRO DA CRUZ - VERTICAL'!$O$6:$O$546,'BM MORRO DA CRUZ'!$K309),0)</f>
        <v>0</v>
      </c>
      <c r="AY309" s="63">
        <f t="shared" si="270"/>
        <v>0</v>
      </c>
      <c r="AZ309" s="61">
        <f>IFERROR(SUMIFS('BM MORRO DA CRUZ - VERTICAL'!BD$6:BD$546,'BM MORRO DA CRUZ - VERTICAL'!$O$6:$O$546,'BM MORRO DA CRUZ'!$K309),0)</f>
        <v>0</v>
      </c>
      <c r="BA309" s="63">
        <f t="shared" si="271"/>
        <v>0</v>
      </c>
      <c r="BB309" s="61">
        <f t="shared" si="272"/>
        <v>0</v>
      </c>
      <c r="BC309" s="63">
        <f t="shared" si="273"/>
        <v>0</v>
      </c>
      <c r="BD309" s="64">
        <f t="shared" si="274"/>
        <v>0</v>
      </c>
      <c r="BE309" s="65">
        <f t="shared" si="275"/>
        <v>1</v>
      </c>
      <c r="BF309" s="45"/>
    </row>
    <row r="310" spans="1:58" ht="26" customHeight="1" x14ac:dyDescent="0.45">
      <c r="A310" s="56" t="s">
        <v>1140</v>
      </c>
      <c r="B310" s="506" t="s">
        <v>1822</v>
      </c>
      <c r="C310" s="507" t="s">
        <v>1795</v>
      </c>
      <c r="D310" s="507" t="s">
        <v>39</v>
      </c>
      <c r="E310" s="507" t="s">
        <v>1823</v>
      </c>
      <c r="F310" s="507" t="s">
        <v>39</v>
      </c>
      <c r="G310" s="507">
        <v>100</v>
      </c>
      <c r="H310" s="508" t="s">
        <v>125</v>
      </c>
      <c r="I310" s="507" t="s">
        <v>79</v>
      </c>
      <c r="J310" s="508" t="s">
        <v>1055</v>
      </c>
      <c r="K310" s="57" t="s">
        <v>1141</v>
      </c>
      <c r="L310" s="58" t="s">
        <v>846</v>
      </c>
      <c r="M310" s="59" t="s">
        <v>1142</v>
      </c>
      <c r="N310" s="60" t="s">
        <v>367</v>
      </c>
      <c r="O310" s="61">
        <v>2.46</v>
      </c>
      <c r="P310" s="62">
        <v>14.47</v>
      </c>
      <c r="Q310" s="63">
        <f t="shared" si="253"/>
        <v>35.6</v>
      </c>
      <c r="R310" s="61">
        <f>IFERROR(SUMIFS('BM MORRO DA CRUZ - VERTICAL'!V$6:V$546,'BM MORRO DA CRUZ - VERTICAL'!$O$6:$O$546,'BM MORRO DA CRUZ'!$K310),0)</f>
        <v>0</v>
      </c>
      <c r="S310" s="63">
        <f t="shared" si="254"/>
        <v>0</v>
      </c>
      <c r="T310" s="61">
        <f>IFERROR(SUMIFS('BM MORRO DA CRUZ - VERTICAL'!X$6:X$546,'BM MORRO DA CRUZ - VERTICAL'!$O$6:$O$546,'BM MORRO DA CRUZ'!$K310),0)</f>
        <v>0</v>
      </c>
      <c r="U310" s="63">
        <f t="shared" si="255"/>
        <v>0</v>
      </c>
      <c r="V310" s="61">
        <f>IFERROR(SUMIFS('BM MORRO DA CRUZ - VERTICAL'!Z$6:Z$546,'BM MORRO DA CRUZ - VERTICAL'!$O$6:$O$546,'BM MORRO DA CRUZ'!$K310),0)</f>
        <v>0</v>
      </c>
      <c r="W310" s="63">
        <f t="shared" si="256"/>
        <v>0</v>
      </c>
      <c r="X310" s="61">
        <f>IFERROR(SUMIFS('BM MORRO DA CRUZ - VERTICAL'!AB$6:AB$546,'BM MORRO DA CRUZ - VERTICAL'!$O$6:$O$546,'BM MORRO DA CRUZ'!$K310),0)</f>
        <v>0</v>
      </c>
      <c r="Y310" s="63">
        <f t="shared" si="257"/>
        <v>0</v>
      </c>
      <c r="Z310" s="61">
        <f>IFERROR(SUMIFS('BM MORRO DA CRUZ - VERTICAL'!AD$6:AD$546,'BM MORRO DA CRUZ - VERTICAL'!$O$6:$O$546,'BM MORRO DA CRUZ'!$K310),0)</f>
        <v>0</v>
      </c>
      <c r="AA310" s="63">
        <f t="shared" si="258"/>
        <v>0</v>
      </c>
      <c r="AB310" s="61">
        <f>IFERROR(SUMIFS('BM MORRO DA CRUZ - VERTICAL'!AF$6:AF$546,'BM MORRO DA CRUZ - VERTICAL'!$O$6:$O$546,'BM MORRO DA CRUZ'!$K310),0)</f>
        <v>0</v>
      </c>
      <c r="AC310" s="63">
        <f t="shared" si="259"/>
        <v>0</v>
      </c>
      <c r="AD310" s="61">
        <f>IFERROR(SUMIFS('BM MORRO DA CRUZ - VERTICAL'!AH$6:AH$546,'BM MORRO DA CRUZ - VERTICAL'!$O$6:$O$546,'BM MORRO DA CRUZ'!$K310),0)</f>
        <v>0</v>
      </c>
      <c r="AE310" s="63">
        <f t="shared" si="260"/>
        <v>0</v>
      </c>
      <c r="AF310" s="61">
        <f>IFERROR(SUMIFS('BM MORRO DA CRUZ - VERTICAL'!AJ$6:AJ$546,'BM MORRO DA CRUZ - VERTICAL'!$O$6:$O$546,'BM MORRO DA CRUZ'!$K310),0)</f>
        <v>0</v>
      </c>
      <c r="AG310" s="63">
        <f t="shared" si="261"/>
        <v>0</v>
      </c>
      <c r="AH310" s="61">
        <f>IFERROR(SUMIFS('BM MORRO DA CRUZ - VERTICAL'!AL$6:AL$546,'BM MORRO DA CRUZ - VERTICAL'!$O$6:$O$546,'BM MORRO DA CRUZ'!$K310),0)</f>
        <v>0</v>
      </c>
      <c r="AI310" s="63">
        <f t="shared" si="262"/>
        <v>0</v>
      </c>
      <c r="AJ310" s="61">
        <f>IFERROR(SUMIFS('BM MORRO DA CRUZ - VERTICAL'!AN$6:AN$546,'BM MORRO DA CRUZ - VERTICAL'!$O$6:$O$546,'BM MORRO DA CRUZ'!$K310),0)</f>
        <v>0</v>
      </c>
      <c r="AK310" s="63">
        <f t="shared" si="263"/>
        <v>0</v>
      </c>
      <c r="AL310" s="61">
        <f>IFERROR(SUMIFS('BM MORRO DA CRUZ - VERTICAL'!AP$6:AP$546,'BM MORRO DA CRUZ - VERTICAL'!$O$6:$O$546,'BM MORRO DA CRUZ'!$K310),0)</f>
        <v>0</v>
      </c>
      <c r="AM310" s="63">
        <f t="shared" si="264"/>
        <v>0</v>
      </c>
      <c r="AN310" s="61">
        <f>IFERROR(SUMIFS('BM MORRO DA CRUZ - VERTICAL'!AR$6:AR$546,'BM MORRO DA CRUZ - VERTICAL'!$O$6:$O$546,'BM MORRO DA CRUZ'!$K310),0)</f>
        <v>0</v>
      </c>
      <c r="AO310" s="63">
        <f t="shared" si="265"/>
        <v>0</v>
      </c>
      <c r="AP310" s="61">
        <f>IFERROR(SUMIFS('BM MORRO DA CRUZ - VERTICAL'!AT$6:AT$546,'BM MORRO DA CRUZ - VERTICAL'!$O$6:$O$546,'BM MORRO DA CRUZ'!$K310),0)</f>
        <v>0</v>
      </c>
      <c r="AQ310" s="63">
        <f t="shared" si="266"/>
        <v>0</v>
      </c>
      <c r="AR310" s="61">
        <f>IFERROR(SUMIFS('BM MORRO DA CRUZ - VERTICAL'!AV$6:AV$546,'BM MORRO DA CRUZ - VERTICAL'!$O$6:$O$546,'BM MORRO DA CRUZ'!$K310),0)</f>
        <v>0</v>
      </c>
      <c r="AS310" s="63">
        <f t="shared" si="267"/>
        <v>0</v>
      </c>
      <c r="AT310" s="61">
        <f>IFERROR(SUMIFS('BM MORRO DA CRUZ - VERTICAL'!AX$6:AX$546,'BM MORRO DA CRUZ - VERTICAL'!$O$6:$O$546,'BM MORRO DA CRUZ'!$K310),0)</f>
        <v>0</v>
      </c>
      <c r="AU310" s="63">
        <f t="shared" si="268"/>
        <v>0</v>
      </c>
      <c r="AV310" s="61">
        <f>IFERROR(SUMIFS('BM MORRO DA CRUZ - VERTICAL'!AZ$6:AZ$546,'BM MORRO DA CRUZ - VERTICAL'!$O$6:$O$546,'BM MORRO DA CRUZ'!$K310),0)</f>
        <v>0</v>
      </c>
      <c r="AW310" s="63">
        <f t="shared" si="269"/>
        <v>0</v>
      </c>
      <c r="AX310" s="61">
        <f>IFERROR(SUMIFS('BM MORRO DA CRUZ - VERTICAL'!BB$6:BB$546,'BM MORRO DA CRUZ - VERTICAL'!$O$6:$O$546,'BM MORRO DA CRUZ'!$K310),0)</f>
        <v>0</v>
      </c>
      <c r="AY310" s="63">
        <f t="shared" si="270"/>
        <v>0</v>
      </c>
      <c r="AZ310" s="61">
        <f>IFERROR(SUMIFS('BM MORRO DA CRUZ - VERTICAL'!BD$6:BD$546,'BM MORRO DA CRUZ - VERTICAL'!$O$6:$O$546,'BM MORRO DA CRUZ'!$K310),0)</f>
        <v>0</v>
      </c>
      <c r="BA310" s="63">
        <f t="shared" si="271"/>
        <v>0</v>
      </c>
      <c r="BB310" s="61">
        <f t="shared" si="272"/>
        <v>0</v>
      </c>
      <c r="BC310" s="63">
        <f t="shared" si="273"/>
        <v>0</v>
      </c>
      <c r="BD310" s="64">
        <f t="shared" si="274"/>
        <v>0</v>
      </c>
      <c r="BE310" s="65">
        <f t="shared" si="275"/>
        <v>1</v>
      </c>
      <c r="BF310" s="45"/>
    </row>
    <row r="311" spans="1:58" ht="26" customHeight="1" x14ac:dyDescent="0.45">
      <c r="A311" s="56" t="s">
        <v>1143</v>
      </c>
      <c r="B311" s="506" t="s">
        <v>1822</v>
      </c>
      <c r="C311" s="507" t="s">
        <v>1795</v>
      </c>
      <c r="D311" s="507" t="s">
        <v>39</v>
      </c>
      <c r="E311" s="507" t="s">
        <v>1823</v>
      </c>
      <c r="F311" s="507" t="s">
        <v>39</v>
      </c>
      <c r="G311" s="507">
        <v>150</v>
      </c>
      <c r="H311" s="508" t="s">
        <v>125</v>
      </c>
      <c r="I311" s="507" t="s">
        <v>79</v>
      </c>
      <c r="J311" s="508" t="s">
        <v>1055</v>
      </c>
      <c r="K311" s="57" t="s">
        <v>1144</v>
      </c>
      <c r="L311" s="58" t="s">
        <v>846</v>
      </c>
      <c r="M311" s="59" t="s">
        <v>1145</v>
      </c>
      <c r="N311" s="60" t="s">
        <v>367</v>
      </c>
      <c r="O311" s="61">
        <v>16.170000000000002</v>
      </c>
      <c r="P311" s="62">
        <v>20.37</v>
      </c>
      <c r="Q311" s="63">
        <f t="shared" si="253"/>
        <v>329.38</v>
      </c>
      <c r="R311" s="61">
        <f>IFERROR(SUMIFS('BM MORRO DA CRUZ - VERTICAL'!V$6:V$546,'BM MORRO DA CRUZ - VERTICAL'!$O$6:$O$546,'BM MORRO DA CRUZ'!$K311),0)</f>
        <v>0</v>
      </c>
      <c r="S311" s="63">
        <f t="shared" si="254"/>
        <v>0</v>
      </c>
      <c r="T311" s="61">
        <f>IFERROR(SUMIFS('BM MORRO DA CRUZ - VERTICAL'!X$6:X$546,'BM MORRO DA CRUZ - VERTICAL'!$O$6:$O$546,'BM MORRO DA CRUZ'!$K311),0)</f>
        <v>0</v>
      </c>
      <c r="U311" s="63">
        <f t="shared" si="255"/>
        <v>0</v>
      </c>
      <c r="V311" s="61">
        <f>IFERROR(SUMIFS('BM MORRO DA CRUZ - VERTICAL'!Z$6:Z$546,'BM MORRO DA CRUZ - VERTICAL'!$O$6:$O$546,'BM MORRO DA CRUZ'!$K311),0)</f>
        <v>0</v>
      </c>
      <c r="W311" s="63">
        <f t="shared" si="256"/>
        <v>0</v>
      </c>
      <c r="X311" s="61">
        <f>IFERROR(SUMIFS('BM MORRO DA CRUZ - VERTICAL'!AB$6:AB$546,'BM MORRO DA CRUZ - VERTICAL'!$O$6:$O$546,'BM MORRO DA CRUZ'!$K311),0)</f>
        <v>0</v>
      </c>
      <c r="Y311" s="63">
        <f t="shared" si="257"/>
        <v>0</v>
      </c>
      <c r="Z311" s="61">
        <f>IFERROR(SUMIFS('BM MORRO DA CRUZ - VERTICAL'!AD$6:AD$546,'BM MORRO DA CRUZ - VERTICAL'!$O$6:$O$546,'BM MORRO DA CRUZ'!$K311),0)</f>
        <v>0</v>
      </c>
      <c r="AA311" s="63">
        <f t="shared" si="258"/>
        <v>0</v>
      </c>
      <c r="AB311" s="61">
        <f>IFERROR(SUMIFS('BM MORRO DA CRUZ - VERTICAL'!AF$6:AF$546,'BM MORRO DA CRUZ - VERTICAL'!$O$6:$O$546,'BM MORRO DA CRUZ'!$K311),0)</f>
        <v>0</v>
      </c>
      <c r="AC311" s="63">
        <f t="shared" si="259"/>
        <v>0</v>
      </c>
      <c r="AD311" s="61">
        <f>IFERROR(SUMIFS('BM MORRO DA CRUZ - VERTICAL'!AH$6:AH$546,'BM MORRO DA CRUZ - VERTICAL'!$O$6:$O$546,'BM MORRO DA CRUZ'!$K311),0)</f>
        <v>0</v>
      </c>
      <c r="AE311" s="63">
        <f t="shared" si="260"/>
        <v>0</v>
      </c>
      <c r="AF311" s="61">
        <f>IFERROR(SUMIFS('BM MORRO DA CRUZ - VERTICAL'!AJ$6:AJ$546,'BM MORRO DA CRUZ - VERTICAL'!$O$6:$O$546,'BM MORRO DA CRUZ'!$K311),0)</f>
        <v>0</v>
      </c>
      <c r="AG311" s="63">
        <f t="shared" si="261"/>
        <v>0</v>
      </c>
      <c r="AH311" s="61">
        <f>IFERROR(SUMIFS('BM MORRO DA CRUZ - VERTICAL'!AL$6:AL$546,'BM MORRO DA CRUZ - VERTICAL'!$O$6:$O$546,'BM MORRO DA CRUZ'!$K311),0)</f>
        <v>0</v>
      </c>
      <c r="AI311" s="63">
        <f t="shared" si="262"/>
        <v>0</v>
      </c>
      <c r="AJ311" s="61">
        <f>IFERROR(SUMIFS('BM MORRO DA CRUZ - VERTICAL'!AN$6:AN$546,'BM MORRO DA CRUZ - VERTICAL'!$O$6:$O$546,'BM MORRO DA CRUZ'!$K311),0)</f>
        <v>0</v>
      </c>
      <c r="AK311" s="63">
        <f t="shared" si="263"/>
        <v>0</v>
      </c>
      <c r="AL311" s="61">
        <f>IFERROR(SUMIFS('BM MORRO DA CRUZ - VERTICAL'!AP$6:AP$546,'BM MORRO DA CRUZ - VERTICAL'!$O$6:$O$546,'BM MORRO DA CRUZ'!$K311),0)</f>
        <v>0</v>
      </c>
      <c r="AM311" s="63">
        <f t="shared" si="264"/>
        <v>0</v>
      </c>
      <c r="AN311" s="61">
        <f>IFERROR(SUMIFS('BM MORRO DA CRUZ - VERTICAL'!AR$6:AR$546,'BM MORRO DA CRUZ - VERTICAL'!$O$6:$O$546,'BM MORRO DA CRUZ'!$K311),0)</f>
        <v>0</v>
      </c>
      <c r="AO311" s="63">
        <f t="shared" si="265"/>
        <v>0</v>
      </c>
      <c r="AP311" s="61">
        <f>IFERROR(SUMIFS('BM MORRO DA CRUZ - VERTICAL'!AT$6:AT$546,'BM MORRO DA CRUZ - VERTICAL'!$O$6:$O$546,'BM MORRO DA CRUZ'!$K311),0)</f>
        <v>0</v>
      </c>
      <c r="AQ311" s="63">
        <f t="shared" si="266"/>
        <v>0</v>
      </c>
      <c r="AR311" s="61">
        <f>IFERROR(SUMIFS('BM MORRO DA CRUZ - VERTICAL'!AV$6:AV$546,'BM MORRO DA CRUZ - VERTICAL'!$O$6:$O$546,'BM MORRO DA CRUZ'!$K311),0)</f>
        <v>0</v>
      </c>
      <c r="AS311" s="63">
        <f t="shared" si="267"/>
        <v>0</v>
      </c>
      <c r="AT311" s="61">
        <f>IFERROR(SUMIFS('BM MORRO DA CRUZ - VERTICAL'!AX$6:AX$546,'BM MORRO DA CRUZ - VERTICAL'!$O$6:$O$546,'BM MORRO DA CRUZ'!$K311),0)</f>
        <v>0</v>
      </c>
      <c r="AU311" s="63">
        <f t="shared" si="268"/>
        <v>0</v>
      </c>
      <c r="AV311" s="61">
        <f>IFERROR(SUMIFS('BM MORRO DA CRUZ - VERTICAL'!AZ$6:AZ$546,'BM MORRO DA CRUZ - VERTICAL'!$O$6:$O$546,'BM MORRO DA CRUZ'!$K311),0)</f>
        <v>0</v>
      </c>
      <c r="AW311" s="63">
        <f t="shared" si="269"/>
        <v>0</v>
      </c>
      <c r="AX311" s="61">
        <f>IFERROR(SUMIFS('BM MORRO DA CRUZ - VERTICAL'!BB$6:BB$546,'BM MORRO DA CRUZ - VERTICAL'!$O$6:$O$546,'BM MORRO DA CRUZ'!$K311),0)</f>
        <v>0</v>
      </c>
      <c r="AY311" s="63">
        <f t="shared" si="270"/>
        <v>0</v>
      </c>
      <c r="AZ311" s="61">
        <f>IFERROR(SUMIFS('BM MORRO DA CRUZ - VERTICAL'!BD$6:BD$546,'BM MORRO DA CRUZ - VERTICAL'!$O$6:$O$546,'BM MORRO DA CRUZ'!$K311),0)</f>
        <v>0</v>
      </c>
      <c r="BA311" s="63">
        <f t="shared" si="271"/>
        <v>0</v>
      </c>
      <c r="BB311" s="61">
        <f t="shared" si="272"/>
        <v>0</v>
      </c>
      <c r="BC311" s="63">
        <f t="shared" si="273"/>
        <v>0</v>
      </c>
      <c r="BD311" s="64">
        <f t="shared" si="274"/>
        <v>0</v>
      </c>
      <c r="BE311" s="65">
        <f t="shared" si="275"/>
        <v>1</v>
      </c>
      <c r="BF311" s="45"/>
    </row>
    <row r="312" spans="1:58" ht="26" customHeight="1" x14ac:dyDescent="0.45">
      <c r="A312" s="56" t="s">
        <v>1146</v>
      </c>
      <c r="B312" s="506" t="s">
        <v>1822</v>
      </c>
      <c r="C312" s="507" t="s">
        <v>1795</v>
      </c>
      <c r="D312" s="507" t="s">
        <v>39</v>
      </c>
      <c r="E312" s="507" t="s">
        <v>1823</v>
      </c>
      <c r="F312" s="507" t="s">
        <v>39</v>
      </c>
      <c r="G312" s="507">
        <v>200</v>
      </c>
      <c r="H312" s="508" t="s">
        <v>125</v>
      </c>
      <c r="I312" s="507" t="s">
        <v>1736</v>
      </c>
      <c r="J312" s="508" t="s">
        <v>1055</v>
      </c>
      <c r="K312" s="57" t="s">
        <v>1147</v>
      </c>
      <c r="L312" s="58" t="s">
        <v>846</v>
      </c>
      <c r="M312" s="59" t="s">
        <v>1148</v>
      </c>
      <c r="N312" s="60" t="s">
        <v>367</v>
      </c>
      <c r="O312" s="61">
        <v>48.87</v>
      </c>
      <c r="P312" s="62">
        <v>26.28</v>
      </c>
      <c r="Q312" s="63">
        <f t="shared" si="253"/>
        <v>1284.3</v>
      </c>
      <c r="R312" s="61">
        <f>IFERROR(SUMIFS('BM MORRO DA CRUZ - VERTICAL'!V$6:V$546,'BM MORRO DA CRUZ - VERTICAL'!$O$6:$O$546,'BM MORRO DA CRUZ'!$K312),0)</f>
        <v>0</v>
      </c>
      <c r="S312" s="63">
        <f t="shared" si="254"/>
        <v>0</v>
      </c>
      <c r="T312" s="61">
        <f>IFERROR(SUMIFS('BM MORRO DA CRUZ - VERTICAL'!X$6:X$546,'BM MORRO DA CRUZ - VERTICAL'!$O$6:$O$546,'BM MORRO DA CRUZ'!$K312),0)</f>
        <v>0</v>
      </c>
      <c r="U312" s="63">
        <f t="shared" si="255"/>
        <v>0</v>
      </c>
      <c r="V312" s="61">
        <f>IFERROR(SUMIFS('BM MORRO DA CRUZ - VERTICAL'!Z$6:Z$546,'BM MORRO DA CRUZ - VERTICAL'!$O$6:$O$546,'BM MORRO DA CRUZ'!$K312),0)</f>
        <v>0</v>
      </c>
      <c r="W312" s="63">
        <f t="shared" si="256"/>
        <v>0</v>
      </c>
      <c r="X312" s="61">
        <f>IFERROR(SUMIFS('BM MORRO DA CRUZ - VERTICAL'!AB$6:AB$546,'BM MORRO DA CRUZ - VERTICAL'!$O$6:$O$546,'BM MORRO DA CRUZ'!$K312),0)</f>
        <v>0</v>
      </c>
      <c r="Y312" s="63">
        <f t="shared" si="257"/>
        <v>0</v>
      </c>
      <c r="Z312" s="61">
        <f>IFERROR(SUMIFS('BM MORRO DA CRUZ - VERTICAL'!AD$6:AD$546,'BM MORRO DA CRUZ - VERTICAL'!$O$6:$O$546,'BM MORRO DA CRUZ'!$K312),0)</f>
        <v>0</v>
      </c>
      <c r="AA312" s="63">
        <f t="shared" si="258"/>
        <v>0</v>
      </c>
      <c r="AB312" s="61">
        <f>IFERROR(SUMIFS('BM MORRO DA CRUZ - VERTICAL'!AF$6:AF$546,'BM MORRO DA CRUZ - VERTICAL'!$O$6:$O$546,'BM MORRO DA CRUZ'!$K312),0)</f>
        <v>0</v>
      </c>
      <c r="AC312" s="63">
        <f t="shared" si="259"/>
        <v>0</v>
      </c>
      <c r="AD312" s="61">
        <f>IFERROR(SUMIFS('BM MORRO DA CRUZ - VERTICAL'!AH$6:AH$546,'BM MORRO DA CRUZ - VERTICAL'!$O$6:$O$546,'BM MORRO DA CRUZ'!$K312),0)</f>
        <v>0</v>
      </c>
      <c r="AE312" s="63">
        <f t="shared" si="260"/>
        <v>0</v>
      </c>
      <c r="AF312" s="61">
        <f>IFERROR(SUMIFS('BM MORRO DA CRUZ - VERTICAL'!AJ$6:AJ$546,'BM MORRO DA CRUZ - VERTICAL'!$O$6:$O$546,'BM MORRO DA CRUZ'!$K312),0)</f>
        <v>0</v>
      </c>
      <c r="AG312" s="63">
        <f t="shared" si="261"/>
        <v>0</v>
      </c>
      <c r="AH312" s="61">
        <f>IFERROR(SUMIFS('BM MORRO DA CRUZ - VERTICAL'!AL$6:AL$546,'BM MORRO DA CRUZ - VERTICAL'!$O$6:$O$546,'BM MORRO DA CRUZ'!$K312),0)</f>
        <v>0</v>
      </c>
      <c r="AI312" s="63">
        <f t="shared" si="262"/>
        <v>0</v>
      </c>
      <c r="AJ312" s="61">
        <f>IFERROR(SUMIFS('BM MORRO DA CRUZ - VERTICAL'!AN$6:AN$546,'BM MORRO DA CRUZ - VERTICAL'!$O$6:$O$546,'BM MORRO DA CRUZ'!$K312),0)</f>
        <v>0</v>
      </c>
      <c r="AK312" s="63">
        <f t="shared" si="263"/>
        <v>0</v>
      </c>
      <c r="AL312" s="61">
        <f>IFERROR(SUMIFS('BM MORRO DA CRUZ - VERTICAL'!AP$6:AP$546,'BM MORRO DA CRUZ - VERTICAL'!$O$6:$O$546,'BM MORRO DA CRUZ'!$K312),0)</f>
        <v>0</v>
      </c>
      <c r="AM312" s="63">
        <f t="shared" si="264"/>
        <v>0</v>
      </c>
      <c r="AN312" s="61">
        <f>IFERROR(SUMIFS('BM MORRO DA CRUZ - VERTICAL'!AR$6:AR$546,'BM MORRO DA CRUZ - VERTICAL'!$O$6:$O$546,'BM MORRO DA CRUZ'!$K312),0)</f>
        <v>0</v>
      </c>
      <c r="AO312" s="63">
        <f t="shared" si="265"/>
        <v>0</v>
      </c>
      <c r="AP312" s="61">
        <f>IFERROR(SUMIFS('BM MORRO DA CRUZ - VERTICAL'!AT$6:AT$546,'BM MORRO DA CRUZ - VERTICAL'!$O$6:$O$546,'BM MORRO DA CRUZ'!$K312),0)</f>
        <v>0</v>
      </c>
      <c r="AQ312" s="63">
        <f t="shared" si="266"/>
        <v>0</v>
      </c>
      <c r="AR312" s="61">
        <f>IFERROR(SUMIFS('BM MORRO DA CRUZ - VERTICAL'!AV$6:AV$546,'BM MORRO DA CRUZ - VERTICAL'!$O$6:$O$546,'BM MORRO DA CRUZ'!$K312),0)</f>
        <v>0</v>
      </c>
      <c r="AS312" s="63">
        <f t="shared" si="267"/>
        <v>0</v>
      </c>
      <c r="AT312" s="61">
        <f>IFERROR(SUMIFS('BM MORRO DA CRUZ - VERTICAL'!AX$6:AX$546,'BM MORRO DA CRUZ - VERTICAL'!$O$6:$O$546,'BM MORRO DA CRUZ'!$K312),0)</f>
        <v>0</v>
      </c>
      <c r="AU312" s="63">
        <f t="shared" si="268"/>
        <v>0</v>
      </c>
      <c r="AV312" s="61">
        <f>IFERROR(SUMIFS('BM MORRO DA CRUZ - VERTICAL'!AZ$6:AZ$546,'BM MORRO DA CRUZ - VERTICAL'!$O$6:$O$546,'BM MORRO DA CRUZ'!$K312),0)</f>
        <v>0</v>
      </c>
      <c r="AW312" s="63">
        <f t="shared" si="269"/>
        <v>0</v>
      </c>
      <c r="AX312" s="61">
        <f>IFERROR(SUMIFS('BM MORRO DA CRUZ - VERTICAL'!BB$6:BB$546,'BM MORRO DA CRUZ - VERTICAL'!$O$6:$O$546,'BM MORRO DA CRUZ'!$K312),0)</f>
        <v>0</v>
      </c>
      <c r="AY312" s="63">
        <f t="shared" si="270"/>
        <v>0</v>
      </c>
      <c r="AZ312" s="61">
        <f>IFERROR(SUMIFS('BM MORRO DA CRUZ - VERTICAL'!BD$6:BD$546,'BM MORRO DA CRUZ - VERTICAL'!$O$6:$O$546,'BM MORRO DA CRUZ'!$K312),0)</f>
        <v>0</v>
      </c>
      <c r="BA312" s="63">
        <f t="shared" si="271"/>
        <v>0</v>
      </c>
      <c r="BB312" s="61">
        <f t="shared" si="272"/>
        <v>0</v>
      </c>
      <c r="BC312" s="63">
        <f t="shared" si="273"/>
        <v>0</v>
      </c>
      <c r="BD312" s="64">
        <f t="shared" si="274"/>
        <v>0</v>
      </c>
      <c r="BE312" s="65">
        <f t="shared" si="275"/>
        <v>1</v>
      </c>
      <c r="BF312" s="45"/>
    </row>
    <row r="313" spans="1:58" ht="26" customHeight="1" x14ac:dyDescent="0.45">
      <c r="A313" s="56" t="s">
        <v>1149</v>
      </c>
      <c r="B313" s="506" t="s">
        <v>1822</v>
      </c>
      <c r="C313" s="507" t="s">
        <v>1795</v>
      </c>
      <c r="D313" s="507" t="s">
        <v>39</v>
      </c>
      <c r="E313" s="507" t="s">
        <v>1823</v>
      </c>
      <c r="F313" s="507" t="s">
        <v>39</v>
      </c>
      <c r="G313" s="507">
        <v>300</v>
      </c>
      <c r="H313" s="508" t="s">
        <v>125</v>
      </c>
      <c r="I313" s="507" t="s">
        <v>79</v>
      </c>
      <c r="J313" s="508" t="s">
        <v>1055</v>
      </c>
      <c r="K313" s="57" t="s">
        <v>1150</v>
      </c>
      <c r="L313" s="58" t="s">
        <v>846</v>
      </c>
      <c r="M313" s="59" t="s">
        <v>1151</v>
      </c>
      <c r="N313" s="60" t="s">
        <v>367</v>
      </c>
      <c r="O313" s="61">
        <v>1.06</v>
      </c>
      <c r="P313" s="62">
        <v>46.12</v>
      </c>
      <c r="Q313" s="63">
        <f t="shared" si="253"/>
        <v>48.89</v>
      </c>
      <c r="R313" s="61">
        <f>IFERROR(SUMIFS('BM MORRO DA CRUZ - VERTICAL'!V$6:V$546,'BM MORRO DA CRUZ - VERTICAL'!$O$6:$O$546,'BM MORRO DA CRUZ'!$K313),0)</f>
        <v>0</v>
      </c>
      <c r="S313" s="63">
        <f t="shared" si="254"/>
        <v>0</v>
      </c>
      <c r="T313" s="61">
        <f>IFERROR(SUMIFS('BM MORRO DA CRUZ - VERTICAL'!X$6:X$546,'BM MORRO DA CRUZ - VERTICAL'!$O$6:$O$546,'BM MORRO DA CRUZ'!$K313),0)</f>
        <v>0</v>
      </c>
      <c r="U313" s="63">
        <f t="shared" si="255"/>
        <v>0</v>
      </c>
      <c r="V313" s="61">
        <f>IFERROR(SUMIFS('BM MORRO DA CRUZ - VERTICAL'!Z$6:Z$546,'BM MORRO DA CRUZ - VERTICAL'!$O$6:$O$546,'BM MORRO DA CRUZ'!$K313),0)</f>
        <v>0</v>
      </c>
      <c r="W313" s="63">
        <f t="shared" si="256"/>
        <v>0</v>
      </c>
      <c r="X313" s="61">
        <f>IFERROR(SUMIFS('BM MORRO DA CRUZ - VERTICAL'!AB$6:AB$546,'BM MORRO DA CRUZ - VERTICAL'!$O$6:$O$546,'BM MORRO DA CRUZ'!$K313),0)</f>
        <v>0</v>
      </c>
      <c r="Y313" s="63">
        <f t="shared" si="257"/>
        <v>0</v>
      </c>
      <c r="Z313" s="61">
        <f>IFERROR(SUMIFS('BM MORRO DA CRUZ - VERTICAL'!AD$6:AD$546,'BM MORRO DA CRUZ - VERTICAL'!$O$6:$O$546,'BM MORRO DA CRUZ'!$K313),0)</f>
        <v>0</v>
      </c>
      <c r="AA313" s="63">
        <f t="shared" si="258"/>
        <v>0</v>
      </c>
      <c r="AB313" s="61">
        <f>IFERROR(SUMIFS('BM MORRO DA CRUZ - VERTICAL'!AF$6:AF$546,'BM MORRO DA CRUZ - VERTICAL'!$O$6:$O$546,'BM MORRO DA CRUZ'!$K313),0)</f>
        <v>0</v>
      </c>
      <c r="AC313" s="63">
        <f t="shared" si="259"/>
        <v>0</v>
      </c>
      <c r="AD313" s="61">
        <f>IFERROR(SUMIFS('BM MORRO DA CRUZ - VERTICAL'!AH$6:AH$546,'BM MORRO DA CRUZ - VERTICAL'!$O$6:$O$546,'BM MORRO DA CRUZ'!$K313),0)</f>
        <v>0</v>
      </c>
      <c r="AE313" s="63">
        <f t="shared" si="260"/>
        <v>0</v>
      </c>
      <c r="AF313" s="61">
        <f>IFERROR(SUMIFS('BM MORRO DA CRUZ - VERTICAL'!AJ$6:AJ$546,'BM MORRO DA CRUZ - VERTICAL'!$O$6:$O$546,'BM MORRO DA CRUZ'!$K313),0)</f>
        <v>0</v>
      </c>
      <c r="AG313" s="63">
        <f t="shared" si="261"/>
        <v>0</v>
      </c>
      <c r="AH313" s="61">
        <f>IFERROR(SUMIFS('BM MORRO DA CRUZ - VERTICAL'!AL$6:AL$546,'BM MORRO DA CRUZ - VERTICAL'!$O$6:$O$546,'BM MORRO DA CRUZ'!$K313),0)</f>
        <v>0</v>
      </c>
      <c r="AI313" s="63">
        <f t="shared" si="262"/>
        <v>0</v>
      </c>
      <c r="AJ313" s="61">
        <f>IFERROR(SUMIFS('BM MORRO DA CRUZ - VERTICAL'!AN$6:AN$546,'BM MORRO DA CRUZ - VERTICAL'!$O$6:$O$546,'BM MORRO DA CRUZ'!$K313),0)</f>
        <v>0</v>
      </c>
      <c r="AK313" s="63">
        <f t="shared" si="263"/>
        <v>0</v>
      </c>
      <c r="AL313" s="61">
        <f>IFERROR(SUMIFS('BM MORRO DA CRUZ - VERTICAL'!AP$6:AP$546,'BM MORRO DA CRUZ - VERTICAL'!$O$6:$O$546,'BM MORRO DA CRUZ'!$K313),0)</f>
        <v>0</v>
      </c>
      <c r="AM313" s="63">
        <f t="shared" si="264"/>
        <v>0</v>
      </c>
      <c r="AN313" s="61">
        <f>IFERROR(SUMIFS('BM MORRO DA CRUZ - VERTICAL'!AR$6:AR$546,'BM MORRO DA CRUZ - VERTICAL'!$O$6:$O$546,'BM MORRO DA CRUZ'!$K313),0)</f>
        <v>0</v>
      </c>
      <c r="AO313" s="63">
        <f t="shared" si="265"/>
        <v>0</v>
      </c>
      <c r="AP313" s="61">
        <f>IFERROR(SUMIFS('BM MORRO DA CRUZ - VERTICAL'!AT$6:AT$546,'BM MORRO DA CRUZ - VERTICAL'!$O$6:$O$546,'BM MORRO DA CRUZ'!$K313),0)</f>
        <v>0</v>
      </c>
      <c r="AQ313" s="63">
        <f t="shared" si="266"/>
        <v>0</v>
      </c>
      <c r="AR313" s="61">
        <f>IFERROR(SUMIFS('BM MORRO DA CRUZ - VERTICAL'!AV$6:AV$546,'BM MORRO DA CRUZ - VERTICAL'!$O$6:$O$546,'BM MORRO DA CRUZ'!$K313),0)</f>
        <v>0</v>
      </c>
      <c r="AS313" s="63">
        <f t="shared" si="267"/>
        <v>0</v>
      </c>
      <c r="AT313" s="61">
        <f>IFERROR(SUMIFS('BM MORRO DA CRUZ - VERTICAL'!AX$6:AX$546,'BM MORRO DA CRUZ - VERTICAL'!$O$6:$O$546,'BM MORRO DA CRUZ'!$K313),0)</f>
        <v>0</v>
      </c>
      <c r="AU313" s="63">
        <f t="shared" si="268"/>
        <v>0</v>
      </c>
      <c r="AV313" s="61">
        <f>IFERROR(SUMIFS('BM MORRO DA CRUZ - VERTICAL'!AZ$6:AZ$546,'BM MORRO DA CRUZ - VERTICAL'!$O$6:$O$546,'BM MORRO DA CRUZ'!$K313),0)</f>
        <v>0</v>
      </c>
      <c r="AW313" s="63">
        <f t="shared" si="269"/>
        <v>0</v>
      </c>
      <c r="AX313" s="61">
        <f>IFERROR(SUMIFS('BM MORRO DA CRUZ - VERTICAL'!BB$6:BB$546,'BM MORRO DA CRUZ - VERTICAL'!$O$6:$O$546,'BM MORRO DA CRUZ'!$K313),0)</f>
        <v>0</v>
      </c>
      <c r="AY313" s="63">
        <f t="shared" si="270"/>
        <v>0</v>
      </c>
      <c r="AZ313" s="61">
        <f>IFERROR(SUMIFS('BM MORRO DA CRUZ - VERTICAL'!BD$6:BD$546,'BM MORRO DA CRUZ - VERTICAL'!$O$6:$O$546,'BM MORRO DA CRUZ'!$K313),0)</f>
        <v>0</v>
      </c>
      <c r="BA313" s="63">
        <f t="shared" si="271"/>
        <v>0</v>
      </c>
      <c r="BB313" s="61">
        <f t="shared" si="272"/>
        <v>0</v>
      </c>
      <c r="BC313" s="63">
        <f t="shared" si="273"/>
        <v>0</v>
      </c>
      <c r="BD313" s="64">
        <f t="shared" si="274"/>
        <v>0</v>
      </c>
      <c r="BE313" s="65">
        <f t="shared" si="275"/>
        <v>1</v>
      </c>
      <c r="BF313" s="45"/>
    </row>
    <row r="314" spans="1:58" ht="26" customHeight="1" x14ac:dyDescent="0.45">
      <c r="A314" s="56" t="s">
        <v>1152</v>
      </c>
      <c r="B314" s="506" t="s">
        <v>1822</v>
      </c>
      <c r="C314" s="507" t="s">
        <v>1795</v>
      </c>
      <c r="D314" s="507" t="s">
        <v>39</v>
      </c>
      <c r="E314" s="507" t="s">
        <v>1823</v>
      </c>
      <c r="F314" s="507" t="s">
        <v>39</v>
      </c>
      <c r="G314" s="507">
        <v>350</v>
      </c>
      <c r="H314" s="508" t="s">
        <v>125</v>
      </c>
      <c r="I314" s="507" t="s">
        <v>79</v>
      </c>
      <c r="J314" s="508" t="s">
        <v>1055</v>
      </c>
      <c r="K314" s="57" t="s">
        <v>1153</v>
      </c>
      <c r="L314" s="58" t="s">
        <v>846</v>
      </c>
      <c r="M314" s="59" t="s">
        <v>1154</v>
      </c>
      <c r="N314" s="60" t="s">
        <v>367</v>
      </c>
      <c r="O314" s="61">
        <v>1.4</v>
      </c>
      <c r="P314" s="62">
        <v>60.01</v>
      </c>
      <c r="Q314" s="63">
        <f t="shared" ref="Q314:Q337" si="276">ROUND(P314*$O314,2)</f>
        <v>84.01</v>
      </c>
      <c r="R314" s="61">
        <f>IFERROR(SUMIFS('BM MORRO DA CRUZ - VERTICAL'!V$6:V$546,'BM MORRO DA CRUZ - VERTICAL'!$O$6:$O$546,'BM MORRO DA CRUZ'!$K314),0)</f>
        <v>0</v>
      </c>
      <c r="S314" s="63">
        <f t="shared" ref="S314:S337" si="277">ROUND(R314*$P314,2)</f>
        <v>0</v>
      </c>
      <c r="T314" s="61">
        <f>IFERROR(SUMIFS('BM MORRO DA CRUZ - VERTICAL'!X$6:X$546,'BM MORRO DA CRUZ - VERTICAL'!$O$6:$O$546,'BM MORRO DA CRUZ'!$K314),0)</f>
        <v>0</v>
      </c>
      <c r="U314" s="63">
        <f t="shared" ref="U314:U337" si="278">ROUND(T314*$P314,2)</f>
        <v>0</v>
      </c>
      <c r="V314" s="61">
        <f>IFERROR(SUMIFS('BM MORRO DA CRUZ - VERTICAL'!Z$6:Z$546,'BM MORRO DA CRUZ - VERTICAL'!$O$6:$O$546,'BM MORRO DA CRUZ'!$K314),0)</f>
        <v>0</v>
      </c>
      <c r="W314" s="63">
        <f t="shared" ref="W314:W337" si="279">ROUND(V314*$P314,2)</f>
        <v>0</v>
      </c>
      <c r="X314" s="61">
        <f>IFERROR(SUMIFS('BM MORRO DA CRUZ - VERTICAL'!AB$6:AB$546,'BM MORRO DA CRUZ - VERTICAL'!$O$6:$O$546,'BM MORRO DA CRUZ'!$K314),0)</f>
        <v>0</v>
      </c>
      <c r="Y314" s="63">
        <f t="shared" ref="Y314:Y337" si="280">ROUND(X314*$P314,2)</f>
        <v>0</v>
      </c>
      <c r="Z314" s="61">
        <f>IFERROR(SUMIFS('BM MORRO DA CRUZ - VERTICAL'!AD$6:AD$546,'BM MORRO DA CRUZ - VERTICAL'!$O$6:$O$546,'BM MORRO DA CRUZ'!$K314),0)</f>
        <v>0</v>
      </c>
      <c r="AA314" s="63">
        <f t="shared" ref="AA314:AA337" si="281">ROUND(Z314*$P314,2)</f>
        <v>0</v>
      </c>
      <c r="AB314" s="61">
        <f>IFERROR(SUMIFS('BM MORRO DA CRUZ - VERTICAL'!AF$6:AF$546,'BM MORRO DA CRUZ - VERTICAL'!$O$6:$O$546,'BM MORRO DA CRUZ'!$K314),0)</f>
        <v>0</v>
      </c>
      <c r="AC314" s="63">
        <f t="shared" ref="AC314:AC337" si="282">ROUND(AB314*$P314,2)</f>
        <v>0</v>
      </c>
      <c r="AD314" s="61">
        <f>IFERROR(SUMIFS('BM MORRO DA CRUZ - VERTICAL'!AH$6:AH$546,'BM MORRO DA CRUZ - VERTICAL'!$O$6:$O$546,'BM MORRO DA CRUZ'!$K314),0)</f>
        <v>0</v>
      </c>
      <c r="AE314" s="63">
        <f t="shared" ref="AE314:AE337" si="283">ROUND(AD314*$P314,2)</f>
        <v>0</v>
      </c>
      <c r="AF314" s="61">
        <f>IFERROR(SUMIFS('BM MORRO DA CRUZ - VERTICAL'!AJ$6:AJ$546,'BM MORRO DA CRUZ - VERTICAL'!$O$6:$O$546,'BM MORRO DA CRUZ'!$K314),0)</f>
        <v>0</v>
      </c>
      <c r="AG314" s="63">
        <f t="shared" ref="AG314:AG337" si="284">ROUND(AF314*$P314,2)</f>
        <v>0</v>
      </c>
      <c r="AH314" s="61">
        <f>IFERROR(SUMIFS('BM MORRO DA CRUZ - VERTICAL'!AL$6:AL$546,'BM MORRO DA CRUZ - VERTICAL'!$O$6:$O$546,'BM MORRO DA CRUZ'!$K314),0)</f>
        <v>0</v>
      </c>
      <c r="AI314" s="63">
        <f t="shared" ref="AI314:AI337" si="285">ROUND(AH314*$P314,2)</f>
        <v>0</v>
      </c>
      <c r="AJ314" s="61">
        <f>IFERROR(SUMIFS('BM MORRO DA CRUZ - VERTICAL'!AN$6:AN$546,'BM MORRO DA CRUZ - VERTICAL'!$O$6:$O$546,'BM MORRO DA CRUZ'!$K314),0)</f>
        <v>0</v>
      </c>
      <c r="AK314" s="63">
        <f t="shared" ref="AK314:AK337" si="286">ROUND(AJ314*$P314,2)</f>
        <v>0</v>
      </c>
      <c r="AL314" s="61">
        <f>IFERROR(SUMIFS('BM MORRO DA CRUZ - VERTICAL'!AP$6:AP$546,'BM MORRO DA CRUZ - VERTICAL'!$O$6:$O$546,'BM MORRO DA CRUZ'!$K314),0)</f>
        <v>0</v>
      </c>
      <c r="AM314" s="63">
        <f t="shared" ref="AM314:AM337" si="287">ROUND(AL314*$P314,2)</f>
        <v>0</v>
      </c>
      <c r="AN314" s="61">
        <f>IFERROR(SUMIFS('BM MORRO DA CRUZ - VERTICAL'!AR$6:AR$546,'BM MORRO DA CRUZ - VERTICAL'!$O$6:$O$546,'BM MORRO DA CRUZ'!$K314),0)</f>
        <v>0</v>
      </c>
      <c r="AO314" s="63">
        <f t="shared" ref="AO314:AO337" si="288">ROUND(AN314*$P314,2)</f>
        <v>0</v>
      </c>
      <c r="AP314" s="61">
        <f>IFERROR(SUMIFS('BM MORRO DA CRUZ - VERTICAL'!AT$6:AT$546,'BM MORRO DA CRUZ - VERTICAL'!$O$6:$O$546,'BM MORRO DA CRUZ'!$K314),0)</f>
        <v>0</v>
      </c>
      <c r="AQ314" s="63">
        <f t="shared" ref="AQ314:AQ337" si="289">ROUND(AP314*$P314,2)</f>
        <v>0</v>
      </c>
      <c r="AR314" s="61">
        <f>IFERROR(SUMIFS('BM MORRO DA CRUZ - VERTICAL'!AV$6:AV$546,'BM MORRO DA CRUZ - VERTICAL'!$O$6:$O$546,'BM MORRO DA CRUZ'!$K314),0)</f>
        <v>0</v>
      </c>
      <c r="AS314" s="63">
        <f t="shared" ref="AS314:AS337" si="290">ROUND(AR314*$P314,2)</f>
        <v>0</v>
      </c>
      <c r="AT314" s="61">
        <f>IFERROR(SUMIFS('BM MORRO DA CRUZ - VERTICAL'!AX$6:AX$546,'BM MORRO DA CRUZ - VERTICAL'!$O$6:$O$546,'BM MORRO DA CRUZ'!$K314),0)</f>
        <v>0</v>
      </c>
      <c r="AU314" s="63">
        <f t="shared" ref="AU314:AU337" si="291">ROUND(AT314*$P314,2)</f>
        <v>0</v>
      </c>
      <c r="AV314" s="61">
        <f>IFERROR(SUMIFS('BM MORRO DA CRUZ - VERTICAL'!AZ$6:AZ$546,'BM MORRO DA CRUZ - VERTICAL'!$O$6:$O$546,'BM MORRO DA CRUZ'!$K314),0)</f>
        <v>0</v>
      </c>
      <c r="AW314" s="63">
        <f t="shared" ref="AW314:AW337" si="292">ROUND(AV314*$P314,2)</f>
        <v>0</v>
      </c>
      <c r="AX314" s="61">
        <f>IFERROR(SUMIFS('BM MORRO DA CRUZ - VERTICAL'!BB$6:BB$546,'BM MORRO DA CRUZ - VERTICAL'!$O$6:$O$546,'BM MORRO DA CRUZ'!$K314),0)</f>
        <v>0</v>
      </c>
      <c r="AY314" s="63">
        <f t="shared" ref="AY314:AY337" si="293">ROUND(AX314*$P314,2)</f>
        <v>0</v>
      </c>
      <c r="AZ314" s="61">
        <f>IFERROR(SUMIFS('BM MORRO DA CRUZ - VERTICAL'!BD$6:BD$546,'BM MORRO DA CRUZ - VERTICAL'!$O$6:$O$546,'BM MORRO DA CRUZ'!$K314),0)</f>
        <v>0</v>
      </c>
      <c r="BA314" s="63">
        <f t="shared" ref="BA314:BA337" si="294">ROUND(AZ314*$P314,2)</f>
        <v>0</v>
      </c>
      <c r="BB314" s="61">
        <f t="shared" ref="BB314:BB337" si="295">IFERROR(SUMIFS($R314:$BA314,$R$5:$BA$5,$BB$5),0)</f>
        <v>0</v>
      </c>
      <c r="BC314" s="63">
        <f t="shared" ref="BC314:BC337" si="296">SUMIFS($R314:$BA314,$R$5:$BA$5,$S$5)</f>
        <v>0</v>
      </c>
      <c r="BD314" s="64">
        <f t="shared" ref="BD314:BD337" si="297">IFERROR(BB314/O314,0)</f>
        <v>0</v>
      </c>
      <c r="BE314" s="65">
        <f t="shared" ref="BE314:BE337" si="298">IFERROR((O314-BB314)/O314,0)</f>
        <v>1</v>
      </c>
      <c r="BF314" s="45"/>
    </row>
    <row r="315" spans="1:58" ht="26" customHeight="1" x14ac:dyDescent="0.45">
      <c r="A315" s="56" t="s">
        <v>1155</v>
      </c>
      <c r="B315" s="506" t="s">
        <v>1822</v>
      </c>
      <c r="C315" s="507" t="s">
        <v>1795</v>
      </c>
      <c r="D315" s="507" t="s">
        <v>39</v>
      </c>
      <c r="E315" s="507" t="s">
        <v>1823</v>
      </c>
      <c r="F315" s="507" t="s">
        <v>39</v>
      </c>
      <c r="G315" s="507">
        <v>80</v>
      </c>
      <c r="H315" s="508" t="s">
        <v>125</v>
      </c>
      <c r="I315" s="507" t="s">
        <v>79</v>
      </c>
      <c r="J315" s="508" t="s">
        <v>1055</v>
      </c>
      <c r="K315" s="57" t="s">
        <v>1156</v>
      </c>
      <c r="L315" s="58" t="s">
        <v>846</v>
      </c>
      <c r="M315" s="59" t="s">
        <v>1157</v>
      </c>
      <c r="N315" s="60" t="s">
        <v>367</v>
      </c>
      <c r="O315" s="61">
        <v>40.83</v>
      </c>
      <c r="P315" s="62">
        <v>12.09</v>
      </c>
      <c r="Q315" s="63">
        <f t="shared" si="276"/>
        <v>493.63</v>
      </c>
      <c r="R315" s="61">
        <f>IFERROR(SUMIFS('BM MORRO DA CRUZ - VERTICAL'!V$6:V$546,'BM MORRO DA CRUZ - VERTICAL'!$O$6:$O$546,'BM MORRO DA CRUZ'!$K315),0)</f>
        <v>0</v>
      </c>
      <c r="S315" s="63">
        <f t="shared" si="277"/>
        <v>0</v>
      </c>
      <c r="T315" s="61">
        <f>IFERROR(SUMIFS('BM MORRO DA CRUZ - VERTICAL'!X$6:X$546,'BM MORRO DA CRUZ - VERTICAL'!$O$6:$O$546,'BM MORRO DA CRUZ'!$K315),0)</f>
        <v>0</v>
      </c>
      <c r="U315" s="63">
        <f t="shared" si="278"/>
        <v>0</v>
      </c>
      <c r="V315" s="61">
        <f>IFERROR(SUMIFS('BM MORRO DA CRUZ - VERTICAL'!Z$6:Z$546,'BM MORRO DA CRUZ - VERTICAL'!$O$6:$O$546,'BM MORRO DA CRUZ'!$K315),0)</f>
        <v>0</v>
      </c>
      <c r="W315" s="63">
        <f t="shared" si="279"/>
        <v>0</v>
      </c>
      <c r="X315" s="61">
        <f>IFERROR(SUMIFS('BM MORRO DA CRUZ - VERTICAL'!AB$6:AB$546,'BM MORRO DA CRUZ - VERTICAL'!$O$6:$O$546,'BM MORRO DA CRUZ'!$K315),0)</f>
        <v>0</v>
      </c>
      <c r="Y315" s="63">
        <f t="shared" si="280"/>
        <v>0</v>
      </c>
      <c r="Z315" s="61">
        <f>IFERROR(SUMIFS('BM MORRO DA CRUZ - VERTICAL'!AD$6:AD$546,'BM MORRO DA CRUZ - VERTICAL'!$O$6:$O$546,'BM MORRO DA CRUZ'!$K315),0)</f>
        <v>0</v>
      </c>
      <c r="AA315" s="63">
        <f t="shared" si="281"/>
        <v>0</v>
      </c>
      <c r="AB315" s="61">
        <f>IFERROR(SUMIFS('BM MORRO DA CRUZ - VERTICAL'!AF$6:AF$546,'BM MORRO DA CRUZ - VERTICAL'!$O$6:$O$546,'BM MORRO DA CRUZ'!$K315),0)</f>
        <v>0</v>
      </c>
      <c r="AC315" s="63">
        <f t="shared" si="282"/>
        <v>0</v>
      </c>
      <c r="AD315" s="61">
        <f>IFERROR(SUMIFS('BM MORRO DA CRUZ - VERTICAL'!AH$6:AH$546,'BM MORRO DA CRUZ - VERTICAL'!$O$6:$O$546,'BM MORRO DA CRUZ'!$K315),0)</f>
        <v>0</v>
      </c>
      <c r="AE315" s="63">
        <f t="shared" si="283"/>
        <v>0</v>
      </c>
      <c r="AF315" s="61">
        <f>IFERROR(SUMIFS('BM MORRO DA CRUZ - VERTICAL'!AJ$6:AJ$546,'BM MORRO DA CRUZ - VERTICAL'!$O$6:$O$546,'BM MORRO DA CRUZ'!$K315),0)</f>
        <v>0</v>
      </c>
      <c r="AG315" s="63">
        <f t="shared" si="284"/>
        <v>0</v>
      </c>
      <c r="AH315" s="61">
        <f>IFERROR(SUMIFS('BM MORRO DA CRUZ - VERTICAL'!AL$6:AL$546,'BM MORRO DA CRUZ - VERTICAL'!$O$6:$O$546,'BM MORRO DA CRUZ'!$K315),0)</f>
        <v>0</v>
      </c>
      <c r="AI315" s="63">
        <f t="shared" si="285"/>
        <v>0</v>
      </c>
      <c r="AJ315" s="61">
        <f>IFERROR(SUMIFS('BM MORRO DA CRUZ - VERTICAL'!AN$6:AN$546,'BM MORRO DA CRUZ - VERTICAL'!$O$6:$O$546,'BM MORRO DA CRUZ'!$K315),0)</f>
        <v>0</v>
      </c>
      <c r="AK315" s="63">
        <f t="shared" si="286"/>
        <v>0</v>
      </c>
      <c r="AL315" s="61">
        <f>IFERROR(SUMIFS('BM MORRO DA CRUZ - VERTICAL'!AP$6:AP$546,'BM MORRO DA CRUZ - VERTICAL'!$O$6:$O$546,'BM MORRO DA CRUZ'!$K315),0)</f>
        <v>0</v>
      </c>
      <c r="AM315" s="63">
        <f t="shared" si="287"/>
        <v>0</v>
      </c>
      <c r="AN315" s="61">
        <f>IFERROR(SUMIFS('BM MORRO DA CRUZ - VERTICAL'!AR$6:AR$546,'BM MORRO DA CRUZ - VERTICAL'!$O$6:$O$546,'BM MORRO DA CRUZ'!$K315),0)</f>
        <v>0</v>
      </c>
      <c r="AO315" s="63">
        <f t="shared" si="288"/>
        <v>0</v>
      </c>
      <c r="AP315" s="61">
        <f>IFERROR(SUMIFS('BM MORRO DA CRUZ - VERTICAL'!AT$6:AT$546,'BM MORRO DA CRUZ - VERTICAL'!$O$6:$O$546,'BM MORRO DA CRUZ'!$K315),0)</f>
        <v>0</v>
      </c>
      <c r="AQ315" s="63">
        <f t="shared" si="289"/>
        <v>0</v>
      </c>
      <c r="AR315" s="61">
        <f>IFERROR(SUMIFS('BM MORRO DA CRUZ - VERTICAL'!AV$6:AV$546,'BM MORRO DA CRUZ - VERTICAL'!$O$6:$O$546,'BM MORRO DA CRUZ'!$K315),0)</f>
        <v>0</v>
      </c>
      <c r="AS315" s="63">
        <f t="shared" si="290"/>
        <v>0</v>
      </c>
      <c r="AT315" s="61">
        <f>IFERROR(SUMIFS('BM MORRO DA CRUZ - VERTICAL'!AX$6:AX$546,'BM MORRO DA CRUZ - VERTICAL'!$O$6:$O$546,'BM MORRO DA CRUZ'!$K315),0)</f>
        <v>0</v>
      </c>
      <c r="AU315" s="63">
        <f t="shared" si="291"/>
        <v>0</v>
      </c>
      <c r="AV315" s="61">
        <f>IFERROR(SUMIFS('BM MORRO DA CRUZ - VERTICAL'!AZ$6:AZ$546,'BM MORRO DA CRUZ - VERTICAL'!$O$6:$O$546,'BM MORRO DA CRUZ'!$K315),0)</f>
        <v>0</v>
      </c>
      <c r="AW315" s="63">
        <f t="shared" si="292"/>
        <v>0</v>
      </c>
      <c r="AX315" s="61">
        <f>IFERROR(SUMIFS('BM MORRO DA CRUZ - VERTICAL'!BB$6:BB$546,'BM MORRO DA CRUZ - VERTICAL'!$O$6:$O$546,'BM MORRO DA CRUZ'!$K315),0)</f>
        <v>0</v>
      </c>
      <c r="AY315" s="63">
        <f t="shared" si="293"/>
        <v>0</v>
      </c>
      <c r="AZ315" s="61">
        <f>IFERROR(SUMIFS('BM MORRO DA CRUZ - VERTICAL'!BD$6:BD$546,'BM MORRO DA CRUZ - VERTICAL'!$O$6:$O$546,'BM MORRO DA CRUZ'!$K315),0)</f>
        <v>0</v>
      </c>
      <c r="BA315" s="63">
        <f t="shared" si="294"/>
        <v>0</v>
      </c>
      <c r="BB315" s="61">
        <f t="shared" si="295"/>
        <v>0</v>
      </c>
      <c r="BC315" s="63">
        <f t="shared" si="296"/>
        <v>0</v>
      </c>
      <c r="BD315" s="64">
        <f t="shared" si="297"/>
        <v>0</v>
      </c>
      <c r="BE315" s="65">
        <f t="shared" si="298"/>
        <v>1</v>
      </c>
      <c r="BF315" s="45"/>
    </row>
    <row r="316" spans="1:58" ht="35.65" x14ac:dyDescent="0.45">
      <c r="A316" s="56" t="s">
        <v>1158</v>
      </c>
      <c r="B316" s="506" t="s">
        <v>1824</v>
      </c>
      <c r="C316" s="507" t="s">
        <v>1795</v>
      </c>
      <c r="D316" s="507" t="s">
        <v>1795</v>
      </c>
      <c r="E316" s="507" t="s">
        <v>1823</v>
      </c>
      <c r="F316" s="507" t="s">
        <v>1818</v>
      </c>
      <c r="G316" s="507">
        <v>280</v>
      </c>
      <c r="H316" s="508" t="s">
        <v>267</v>
      </c>
      <c r="I316" s="507" t="s">
        <v>763</v>
      </c>
      <c r="J316" s="508" t="s">
        <v>1055</v>
      </c>
      <c r="K316" s="57" t="s">
        <v>1159</v>
      </c>
      <c r="L316" s="58" t="s">
        <v>846</v>
      </c>
      <c r="M316" s="59" t="s">
        <v>1160</v>
      </c>
      <c r="N316" s="60" t="s">
        <v>367</v>
      </c>
      <c r="O316" s="61">
        <v>463.85</v>
      </c>
      <c r="P316" s="62">
        <v>3.88</v>
      </c>
      <c r="Q316" s="63">
        <f t="shared" si="276"/>
        <v>1799.74</v>
      </c>
      <c r="R316" s="61">
        <f>IFERROR(SUMIFS('BM MORRO DA CRUZ - VERTICAL'!V$6:V$546,'BM MORRO DA CRUZ - VERTICAL'!$O$6:$O$546,'BM MORRO DA CRUZ'!$K316),0)</f>
        <v>0</v>
      </c>
      <c r="S316" s="63">
        <f t="shared" si="277"/>
        <v>0</v>
      </c>
      <c r="T316" s="61">
        <f>IFERROR(SUMIFS('BM MORRO DA CRUZ - VERTICAL'!X$6:X$546,'BM MORRO DA CRUZ - VERTICAL'!$O$6:$O$546,'BM MORRO DA CRUZ'!$K316),0)</f>
        <v>0</v>
      </c>
      <c r="U316" s="63">
        <f t="shared" si="278"/>
        <v>0</v>
      </c>
      <c r="V316" s="61">
        <f>IFERROR(SUMIFS('BM MORRO DA CRUZ - VERTICAL'!Z$6:Z$546,'BM MORRO DA CRUZ - VERTICAL'!$O$6:$O$546,'BM MORRO DA CRUZ'!$K316),0)</f>
        <v>0</v>
      </c>
      <c r="W316" s="63">
        <f t="shared" si="279"/>
        <v>0</v>
      </c>
      <c r="X316" s="61">
        <f>IFERROR(SUMIFS('BM MORRO DA CRUZ - VERTICAL'!AB$6:AB$546,'BM MORRO DA CRUZ - VERTICAL'!$O$6:$O$546,'BM MORRO DA CRUZ'!$K316),0)</f>
        <v>0</v>
      </c>
      <c r="Y316" s="63">
        <f t="shared" si="280"/>
        <v>0</v>
      </c>
      <c r="Z316" s="61">
        <f>IFERROR(SUMIFS('BM MORRO DA CRUZ - VERTICAL'!AD$6:AD$546,'BM MORRO DA CRUZ - VERTICAL'!$O$6:$O$546,'BM MORRO DA CRUZ'!$K316),0)</f>
        <v>0</v>
      </c>
      <c r="AA316" s="63">
        <f t="shared" si="281"/>
        <v>0</v>
      </c>
      <c r="AB316" s="61">
        <f>IFERROR(SUMIFS('BM MORRO DA CRUZ - VERTICAL'!AF$6:AF$546,'BM MORRO DA CRUZ - VERTICAL'!$O$6:$O$546,'BM MORRO DA CRUZ'!$K316),0)</f>
        <v>0</v>
      </c>
      <c r="AC316" s="63">
        <f t="shared" si="282"/>
        <v>0</v>
      </c>
      <c r="AD316" s="61">
        <f>IFERROR(SUMIFS('BM MORRO DA CRUZ - VERTICAL'!AH$6:AH$546,'BM MORRO DA CRUZ - VERTICAL'!$O$6:$O$546,'BM MORRO DA CRUZ'!$K316),0)</f>
        <v>0</v>
      </c>
      <c r="AE316" s="63">
        <f t="shared" si="283"/>
        <v>0</v>
      </c>
      <c r="AF316" s="61">
        <f>IFERROR(SUMIFS('BM MORRO DA CRUZ - VERTICAL'!AJ$6:AJ$546,'BM MORRO DA CRUZ - VERTICAL'!$O$6:$O$546,'BM MORRO DA CRUZ'!$K316),0)</f>
        <v>0</v>
      </c>
      <c r="AG316" s="63">
        <f t="shared" si="284"/>
        <v>0</v>
      </c>
      <c r="AH316" s="61">
        <f>IFERROR(SUMIFS('BM MORRO DA CRUZ - VERTICAL'!AL$6:AL$546,'BM MORRO DA CRUZ - VERTICAL'!$O$6:$O$546,'BM MORRO DA CRUZ'!$K316),0)</f>
        <v>0</v>
      </c>
      <c r="AI316" s="63">
        <f t="shared" si="285"/>
        <v>0</v>
      </c>
      <c r="AJ316" s="61">
        <f>IFERROR(SUMIFS('BM MORRO DA CRUZ - VERTICAL'!AN$6:AN$546,'BM MORRO DA CRUZ - VERTICAL'!$O$6:$O$546,'BM MORRO DA CRUZ'!$K316),0)</f>
        <v>0</v>
      </c>
      <c r="AK316" s="63">
        <f t="shared" si="286"/>
        <v>0</v>
      </c>
      <c r="AL316" s="61">
        <f>IFERROR(SUMIFS('BM MORRO DA CRUZ - VERTICAL'!AP$6:AP$546,'BM MORRO DA CRUZ - VERTICAL'!$O$6:$O$546,'BM MORRO DA CRUZ'!$K316),0)</f>
        <v>0</v>
      </c>
      <c r="AM316" s="63">
        <f t="shared" si="287"/>
        <v>0</v>
      </c>
      <c r="AN316" s="61">
        <f>IFERROR(SUMIFS('BM MORRO DA CRUZ - VERTICAL'!AR$6:AR$546,'BM MORRO DA CRUZ - VERTICAL'!$O$6:$O$546,'BM MORRO DA CRUZ'!$K316),0)</f>
        <v>0</v>
      </c>
      <c r="AO316" s="63">
        <f t="shared" si="288"/>
        <v>0</v>
      </c>
      <c r="AP316" s="61">
        <f>IFERROR(SUMIFS('BM MORRO DA CRUZ - VERTICAL'!AT$6:AT$546,'BM MORRO DA CRUZ - VERTICAL'!$O$6:$O$546,'BM MORRO DA CRUZ'!$K316),0)</f>
        <v>0</v>
      </c>
      <c r="AQ316" s="63">
        <f t="shared" si="289"/>
        <v>0</v>
      </c>
      <c r="AR316" s="61">
        <f>IFERROR(SUMIFS('BM MORRO DA CRUZ - VERTICAL'!AV$6:AV$546,'BM MORRO DA CRUZ - VERTICAL'!$O$6:$O$546,'BM MORRO DA CRUZ'!$K316),0)</f>
        <v>0</v>
      </c>
      <c r="AS316" s="63">
        <f t="shared" si="290"/>
        <v>0</v>
      </c>
      <c r="AT316" s="61">
        <f>IFERROR(SUMIFS('BM MORRO DA CRUZ - VERTICAL'!AX$6:AX$546,'BM MORRO DA CRUZ - VERTICAL'!$O$6:$O$546,'BM MORRO DA CRUZ'!$K316),0)</f>
        <v>0</v>
      </c>
      <c r="AU316" s="63">
        <f t="shared" si="291"/>
        <v>0</v>
      </c>
      <c r="AV316" s="61">
        <f>IFERROR(SUMIFS('BM MORRO DA CRUZ - VERTICAL'!AZ$6:AZ$546,'BM MORRO DA CRUZ - VERTICAL'!$O$6:$O$546,'BM MORRO DA CRUZ'!$K316),0)</f>
        <v>0</v>
      </c>
      <c r="AW316" s="63">
        <f t="shared" si="292"/>
        <v>0</v>
      </c>
      <c r="AX316" s="61">
        <f>IFERROR(SUMIFS('BM MORRO DA CRUZ - VERTICAL'!BB$6:BB$546,'BM MORRO DA CRUZ - VERTICAL'!$O$6:$O$546,'BM MORRO DA CRUZ'!$K316),0)</f>
        <v>0</v>
      </c>
      <c r="AY316" s="63">
        <f t="shared" si="293"/>
        <v>0</v>
      </c>
      <c r="AZ316" s="61">
        <f>IFERROR(SUMIFS('BM MORRO DA CRUZ - VERTICAL'!BD$6:BD$546,'BM MORRO DA CRUZ - VERTICAL'!$O$6:$O$546,'BM MORRO DA CRUZ'!$K316),0)</f>
        <v>0</v>
      </c>
      <c r="BA316" s="63">
        <f t="shared" si="294"/>
        <v>0</v>
      </c>
      <c r="BB316" s="61">
        <f t="shared" si="295"/>
        <v>0</v>
      </c>
      <c r="BC316" s="63">
        <f t="shared" si="296"/>
        <v>0</v>
      </c>
      <c r="BD316" s="64">
        <f t="shared" si="297"/>
        <v>0</v>
      </c>
      <c r="BE316" s="65">
        <f t="shared" si="298"/>
        <v>1</v>
      </c>
      <c r="BF316" s="45"/>
    </row>
    <row r="317" spans="1:58" ht="35.65" x14ac:dyDescent="0.45">
      <c r="A317" s="56" t="s">
        <v>1161</v>
      </c>
      <c r="B317" s="506" t="s">
        <v>1824</v>
      </c>
      <c r="C317" s="507" t="s">
        <v>1795</v>
      </c>
      <c r="D317" s="507" t="s">
        <v>1795</v>
      </c>
      <c r="E317" s="507" t="s">
        <v>1823</v>
      </c>
      <c r="F317" s="507" t="s">
        <v>1818</v>
      </c>
      <c r="G317" s="507">
        <v>110</v>
      </c>
      <c r="H317" s="508" t="s">
        <v>267</v>
      </c>
      <c r="I317" s="507" t="s">
        <v>763</v>
      </c>
      <c r="J317" s="508" t="s">
        <v>1055</v>
      </c>
      <c r="K317" s="57" t="s">
        <v>1162</v>
      </c>
      <c r="L317" s="58" t="s">
        <v>846</v>
      </c>
      <c r="M317" s="59" t="s">
        <v>1163</v>
      </c>
      <c r="N317" s="60" t="s">
        <v>367</v>
      </c>
      <c r="O317" s="61">
        <v>8672.68</v>
      </c>
      <c r="P317" s="62">
        <v>1.35</v>
      </c>
      <c r="Q317" s="63">
        <f t="shared" si="276"/>
        <v>11708.12</v>
      </c>
      <c r="R317" s="61">
        <f>IFERROR(SUMIFS('BM MORRO DA CRUZ - VERTICAL'!V$6:V$546,'BM MORRO DA CRUZ - VERTICAL'!$O$6:$O$546,'BM MORRO DA CRUZ'!$K317),0)</f>
        <v>0</v>
      </c>
      <c r="S317" s="63">
        <f t="shared" si="277"/>
        <v>0</v>
      </c>
      <c r="T317" s="61">
        <f>IFERROR(SUMIFS('BM MORRO DA CRUZ - VERTICAL'!X$6:X$546,'BM MORRO DA CRUZ - VERTICAL'!$O$6:$O$546,'BM MORRO DA CRUZ'!$K317),0)</f>
        <v>0</v>
      </c>
      <c r="U317" s="63">
        <f t="shared" si="278"/>
        <v>0</v>
      </c>
      <c r="V317" s="61">
        <f>IFERROR(SUMIFS('BM MORRO DA CRUZ - VERTICAL'!Z$6:Z$546,'BM MORRO DA CRUZ - VERTICAL'!$O$6:$O$546,'BM MORRO DA CRUZ'!$K317),0)</f>
        <v>0</v>
      </c>
      <c r="W317" s="63">
        <f t="shared" si="279"/>
        <v>0</v>
      </c>
      <c r="X317" s="61">
        <f>IFERROR(SUMIFS('BM MORRO DA CRUZ - VERTICAL'!AB$6:AB$546,'BM MORRO DA CRUZ - VERTICAL'!$O$6:$O$546,'BM MORRO DA CRUZ'!$K317),0)</f>
        <v>0</v>
      </c>
      <c r="Y317" s="63">
        <f t="shared" si="280"/>
        <v>0</v>
      </c>
      <c r="Z317" s="61">
        <f>IFERROR(SUMIFS('BM MORRO DA CRUZ - VERTICAL'!AD$6:AD$546,'BM MORRO DA CRUZ - VERTICAL'!$O$6:$O$546,'BM MORRO DA CRUZ'!$K317),0)</f>
        <v>0</v>
      </c>
      <c r="AA317" s="63">
        <f t="shared" si="281"/>
        <v>0</v>
      </c>
      <c r="AB317" s="61">
        <f>IFERROR(SUMIFS('BM MORRO DA CRUZ - VERTICAL'!AF$6:AF$546,'BM MORRO DA CRUZ - VERTICAL'!$O$6:$O$546,'BM MORRO DA CRUZ'!$K317),0)</f>
        <v>0</v>
      </c>
      <c r="AC317" s="63">
        <f t="shared" si="282"/>
        <v>0</v>
      </c>
      <c r="AD317" s="61">
        <f>IFERROR(SUMIFS('BM MORRO DA CRUZ - VERTICAL'!AH$6:AH$546,'BM MORRO DA CRUZ - VERTICAL'!$O$6:$O$546,'BM MORRO DA CRUZ'!$K317),0)</f>
        <v>0</v>
      </c>
      <c r="AE317" s="63">
        <f t="shared" si="283"/>
        <v>0</v>
      </c>
      <c r="AF317" s="61">
        <f>IFERROR(SUMIFS('BM MORRO DA CRUZ - VERTICAL'!AJ$6:AJ$546,'BM MORRO DA CRUZ - VERTICAL'!$O$6:$O$546,'BM MORRO DA CRUZ'!$K317),0)</f>
        <v>0</v>
      </c>
      <c r="AG317" s="63">
        <f t="shared" si="284"/>
        <v>0</v>
      </c>
      <c r="AH317" s="61">
        <f>IFERROR(SUMIFS('BM MORRO DA CRUZ - VERTICAL'!AL$6:AL$546,'BM MORRO DA CRUZ - VERTICAL'!$O$6:$O$546,'BM MORRO DA CRUZ'!$K317),0)</f>
        <v>0</v>
      </c>
      <c r="AI317" s="63">
        <f t="shared" si="285"/>
        <v>0</v>
      </c>
      <c r="AJ317" s="61">
        <f>IFERROR(SUMIFS('BM MORRO DA CRUZ - VERTICAL'!AN$6:AN$546,'BM MORRO DA CRUZ - VERTICAL'!$O$6:$O$546,'BM MORRO DA CRUZ'!$K317),0)</f>
        <v>0</v>
      </c>
      <c r="AK317" s="63">
        <f t="shared" si="286"/>
        <v>0</v>
      </c>
      <c r="AL317" s="61">
        <f>IFERROR(SUMIFS('BM MORRO DA CRUZ - VERTICAL'!AP$6:AP$546,'BM MORRO DA CRUZ - VERTICAL'!$O$6:$O$546,'BM MORRO DA CRUZ'!$K317),0)</f>
        <v>0</v>
      </c>
      <c r="AM317" s="63">
        <f t="shared" si="287"/>
        <v>0</v>
      </c>
      <c r="AN317" s="61">
        <f>IFERROR(SUMIFS('BM MORRO DA CRUZ - VERTICAL'!AR$6:AR$546,'BM MORRO DA CRUZ - VERTICAL'!$O$6:$O$546,'BM MORRO DA CRUZ'!$K317),0)</f>
        <v>0</v>
      </c>
      <c r="AO317" s="63">
        <f t="shared" si="288"/>
        <v>0</v>
      </c>
      <c r="AP317" s="61">
        <f>IFERROR(SUMIFS('BM MORRO DA CRUZ - VERTICAL'!AT$6:AT$546,'BM MORRO DA CRUZ - VERTICAL'!$O$6:$O$546,'BM MORRO DA CRUZ'!$K317),0)</f>
        <v>0</v>
      </c>
      <c r="AQ317" s="63">
        <f t="shared" si="289"/>
        <v>0</v>
      </c>
      <c r="AR317" s="61">
        <f>IFERROR(SUMIFS('BM MORRO DA CRUZ - VERTICAL'!AV$6:AV$546,'BM MORRO DA CRUZ - VERTICAL'!$O$6:$O$546,'BM MORRO DA CRUZ'!$K317),0)</f>
        <v>0</v>
      </c>
      <c r="AS317" s="63">
        <f t="shared" si="290"/>
        <v>0</v>
      </c>
      <c r="AT317" s="61">
        <f>IFERROR(SUMIFS('BM MORRO DA CRUZ - VERTICAL'!AX$6:AX$546,'BM MORRO DA CRUZ - VERTICAL'!$O$6:$O$546,'BM MORRO DA CRUZ'!$K317),0)</f>
        <v>0</v>
      </c>
      <c r="AU317" s="63">
        <f t="shared" si="291"/>
        <v>0</v>
      </c>
      <c r="AV317" s="61">
        <f>IFERROR(SUMIFS('BM MORRO DA CRUZ - VERTICAL'!AZ$6:AZ$546,'BM MORRO DA CRUZ - VERTICAL'!$O$6:$O$546,'BM MORRO DA CRUZ'!$K317),0)</f>
        <v>0</v>
      </c>
      <c r="AW317" s="63">
        <f t="shared" si="292"/>
        <v>0</v>
      </c>
      <c r="AX317" s="61">
        <f>IFERROR(SUMIFS('BM MORRO DA CRUZ - VERTICAL'!BB$6:BB$546,'BM MORRO DA CRUZ - VERTICAL'!$O$6:$O$546,'BM MORRO DA CRUZ'!$K317),0)</f>
        <v>0</v>
      </c>
      <c r="AY317" s="63">
        <f t="shared" si="293"/>
        <v>0</v>
      </c>
      <c r="AZ317" s="61">
        <f>IFERROR(SUMIFS('BM MORRO DA CRUZ - VERTICAL'!BD$6:BD$546,'BM MORRO DA CRUZ - VERTICAL'!$O$6:$O$546,'BM MORRO DA CRUZ'!$K317),0)</f>
        <v>0</v>
      </c>
      <c r="BA317" s="63">
        <f t="shared" si="294"/>
        <v>0</v>
      </c>
      <c r="BB317" s="61">
        <f t="shared" si="295"/>
        <v>0</v>
      </c>
      <c r="BC317" s="63">
        <f t="shared" si="296"/>
        <v>0</v>
      </c>
      <c r="BD317" s="64">
        <f t="shared" si="297"/>
        <v>0</v>
      </c>
      <c r="BE317" s="65">
        <f t="shared" si="298"/>
        <v>1</v>
      </c>
      <c r="BF317" s="45"/>
    </row>
    <row r="318" spans="1:58" ht="35.65" x14ac:dyDescent="0.45">
      <c r="A318" s="56" t="s">
        <v>1164</v>
      </c>
      <c r="B318" s="506" t="s">
        <v>1824</v>
      </c>
      <c r="C318" s="507" t="s">
        <v>1795</v>
      </c>
      <c r="D318" s="507" t="s">
        <v>1795</v>
      </c>
      <c r="E318" s="507" t="s">
        <v>1823</v>
      </c>
      <c r="F318" s="507" t="s">
        <v>1818</v>
      </c>
      <c r="G318" s="507">
        <v>160</v>
      </c>
      <c r="H318" s="508" t="s">
        <v>267</v>
      </c>
      <c r="I318" s="507" t="s">
        <v>763</v>
      </c>
      <c r="J318" s="508" t="s">
        <v>1055</v>
      </c>
      <c r="K318" s="57" t="s">
        <v>1165</v>
      </c>
      <c r="L318" s="58" t="s">
        <v>846</v>
      </c>
      <c r="M318" s="59" t="s">
        <v>1166</v>
      </c>
      <c r="N318" s="60" t="s">
        <v>367</v>
      </c>
      <c r="O318" s="61">
        <v>13455.06</v>
      </c>
      <c r="P318" s="62">
        <v>1.97</v>
      </c>
      <c r="Q318" s="63">
        <f t="shared" si="276"/>
        <v>26506.47</v>
      </c>
      <c r="R318" s="61">
        <f>IFERROR(SUMIFS('BM MORRO DA CRUZ - VERTICAL'!V$6:V$546,'BM MORRO DA CRUZ - VERTICAL'!$O$6:$O$546,'BM MORRO DA CRUZ'!$K318),0)</f>
        <v>0</v>
      </c>
      <c r="S318" s="63">
        <f t="shared" si="277"/>
        <v>0</v>
      </c>
      <c r="T318" s="61">
        <f>IFERROR(SUMIFS('BM MORRO DA CRUZ - VERTICAL'!X$6:X$546,'BM MORRO DA CRUZ - VERTICAL'!$O$6:$O$546,'BM MORRO DA CRUZ'!$K318),0)</f>
        <v>0</v>
      </c>
      <c r="U318" s="63">
        <f t="shared" si="278"/>
        <v>0</v>
      </c>
      <c r="V318" s="61">
        <f>IFERROR(SUMIFS('BM MORRO DA CRUZ - VERTICAL'!Z$6:Z$546,'BM MORRO DA CRUZ - VERTICAL'!$O$6:$O$546,'BM MORRO DA CRUZ'!$K318),0)</f>
        <v>0</v>
      </c>
      <c r="W318" s="63">
        <f t="shared" si="279"/>
        <v>0</v>
      </c>
      <c r="X318" s="61">
        <f>IFERROR(SUMIFS('BM MORRO DA CRUZ - VERTICAL'!AB$6:AB$546,'BM MORRO DA CRUZ - VERTICAL'!$O$6:$O$546,'BM MORRO DA CRUZ'!$K318),0)</f>
        <v>0</v>
      </c>
      <c r="Y318" s="63">
        <f t="shared" si="280"/>
        <v>0</v>
      </c>
      <c r="Z318" s="61">
        <f>IFERROR(SUMIFS('BM MORRO DA CRUZ - VERTICAL'!AD$6:AD$546,'BM MORRO DA CRUZ - VERTICAL'!$O$6:$O$546,'BM MORRO DA CRUZ'!$K318),0)</f>
        <v>0</v>
      </c>
      <c r="AA318" s="63">
        <f t="shared" si="281"/>
        <v>0</v>
      </c>
      <c r="AB318" s="61">
        <f>IFERROR(SUMIFS('BM MORRO DA CRUZ - VERTICAL'!AF$6:AF$546,'BM MORRO DA CRUZ - VERTICAL'!$O$6:$O$546,'BM MORRO DA CRUZ'!$K318),0)</f>
        <v>0</v>
      </c>
      <c r="AC318" s="63">
        <f t="shared" si="282"/>
        <v>0</v>
      </c>
      <c r="AD318" s="61">
        <f>IFERROR(SUMIFS('BM MORRO DA CRUZ - VERTICAL'!AH$6:AH$546,'BM MORRO DA CRUZ - VERTICAL'!$O$6:$O$546,'BM MORRO DA CRUZ'!$K318),0)</f>
        <v>0</v>
      </c>
      <c r="AE318" s="63">
        <f t="shared" si="283"/>
        <v>0</v>
      </c>
      <c r="AF318" s="61">
        <f>IFERROR(SUMIFS('BM MORRO DA CRUZ - VERTICAL'!AJ$6:AJ$546,'BM MORRO DA CRUZ - VERTICAL'!$O$6:$O$546,'BM MORRO DA CRUZ'!$K318),0)</f>
        <v>0</v>
      </c>
      <c r="AG318" s="63">
        <f t="shared" si="284"/>
        <v>0</v>
      </c>
      <c r="AH318" s="61">
        <f>IFERROR(SUMIFS('BM MORRO DA CRUZ - VERTICAL'!AL$6:AL$546,'BM MORRO DA CRUZ - VERTICAL'!$O$6:$O$546,'BM MORRO DA CRUZ'!$K318),0)</f>
        <v>0</v>
      </c>
      <c r="AI318" s="63">
        <f t="shared" si="285"/>
        <v>0</v>
      </c>
      <c r="AJ318" s="61">
        <f>IFERROR(SUMIFS('BM MORRO DA CRUZ - VERTICAL'!AN$6:AN$546,'BM MORRO DA CRUZ - VERTICAL'!$O$6:$O$546,'BM MORRO DA CRUZ'!$K318),0)</f>
        <v>0</v>
      </c>
      <c r="AK318" s="63">
        <f t="shared" si="286"/>
        <v>0</v>
      </c>
      <c r="AL318" s="61">
        <f>IFERROR(SUMIFS('BM MORRO DA CRUZ - VERTICAL'!AP$6:AP$546,'BM MORRO DA CRUZ - VERTICAL'!$O$6:$O$546,'BM MORRO DA CRUZ'!$K318),0)</f>
        <v>0</v>
      </c>
      <c r="AM318" s="63">
        <f t="shared" si="287"/>
        <v>0</v>
      </c>
      <c r="AN318" s="61">
        <f>IFERROR(SUMIFS('BM MORRO DA CRUZ - VERTICAL'!AR$6:AR$546,'BM MORRO DA CRUZ - VERTICAL'!$O$6:$O$546,'BM MORRO DA CRUZ'!$K318),0)</f>
        <v>0</v>
      </c>
      <c r="AO318" s="63">
        <f t="shared" si="288"/>
        <v>0</v>
      </c>
      <c r="AP318" s="61">
        <f>IFERROR(SUMIFS('BM MORRO DA CRUZ - VERTICAL'!AT$6:AT$546,'BM MORRO DA CRUZ - VERTICAL'!$O$6:$O$546,'BM MORRO DA CRUZ'!$K318),0)</f>
        <v>0</v>
      </c>
      <c r="AQ318" s="63">
        <f t="shared" si="289"/>
        <v>0</v>
      </c>
      <c r="AR318" s="61">
        <f>IFERROR(SUMIFS('BM MORRO DA CRUZ - VERTICAL'!AV$6:AV$546,'BM MORRO DA CRUZ - VERTICAL'!$O$6:$O$546,'BM MORRO DA CRUZ'!$K318),0)</f>
        <v>0</v>
      </c>
      <c r="AS318" s="63">
        <f t="shared" si="290"/>
        <v>0</v>
      </c>
      <c r="AT318" s="61">
        <f>IFERROR(SUMIFS('BM MORRO DA CRUZ - VERTICAL'!AX$6:AX$546,'BM MORRO DA CRUZ - VERTICAL'!$O$6:$O$546,'BM MORRO DA CRUZ'!$K318),0)</f>
        <v>0</v>
      </c>
      <c r="AU318" s="63">
        <f t="shared" si="291"/>
        <v>0</v>
      </c>
      <c r="AV318" s="61">
        <f>IFERROR(SUMIFS('BM MORRO DA CRUZ - VERTICAL'!AZ$6:AZ$546,'BM MORRO DA CRUZ - VERTICAL'!$O$6:$O$546,'BM MORRO DA CRUZ'!$K318),0)</f>
        <v>0</v>
      </c>
      <c r="AW318" s="63">
        <f t="shared" si="292"/>
        <v>0</v>
      </c>
      <c r="AX318" s="61">
        <f>IFERROR(SUMIFS('BM MORRO DA CRUZ - VERTICAL'!BB$6:BB$546,'BM MORRO DA CRUZ - VERTICAL'!$O$6:$O$546,'BM MORRO DA CRUZ'!$K318),0)</f>
        <v>0</v>
      </c>
      <c r="AY318" s="63">
        <f t="shared" si="293"/>
        <v>0</v>
      </c>
      <c r="AZ318" s="61">
        <f>IFERROR(SUMIFS('BM MORRO DA CRUZ - VERTICAL'!BD$6:BD$546,'BM MORRO DA CRUZ - VERTICAL'!$O$6:$O$546,'BM MORRO DA CRUZ'!$K318),0)</f>
        <v>0</v>
      </c>
      <c r="BA318" s="63">
        <f t="shared" si="294"/>
        <v>0</v>
      </c>
      <c r="BB318" s="61">
        <f t="shared" si="295"/>
        <v>0</v>
      </c>
      <c r="BC318" s="63">
        <f t="shared" si="296"/>
        <v>0</v>
      </c>
      <c r="BD318" s="64">
        <f t="shared" si="297"/>
        <v>0</v>
      </c>
      <c r="BE318" s="65">
        <f t="shared" si="298"/>
        <v>1</v>
      </c>
      <c r="BF318" s="45"/>
    </row>
    <row r="319" spans="1:58" ht="35.65" x14ac:dyDescent="0.45">
      <c r="A319" s="56" t="s">
        <v>1167</v>
      </c>
      <c r="B319" s="506" t="s">
        <v>1824</v>
      </c>
      <c r="C319" s="507" t="s">
        <v>1795</v>
      </c>
      <c r="D319" s="507" t="s">
        <v>1795</v>
      </c>
      <c r="E319" s="507" t="s">
        <v>1823</v>
      </c>
      <c r="F319" s="507" t="s">
        <v>1818</v>
      </c>
      <c r="G319" s="507">
        <v>225</v>
      </c>
      <c r="H319" s="508" t="s">
        <v>267</v>
      </c>
      <c r="I319" s="507" t="s">
        <v>1825</v>
      </c>
      <c r="J319" s="508" t="s">
        <v>1055</v>
      </c>
      <c r="K319" s="57" t="s">
        <v>1168</v>
      </c>
      <c r="L319" s="58" t="s">
        <v>846</v>
      </c>
      <c r="M319" s="59" t="s">
        <v>1169</v>
      </c>
      <c r="N319" s="60" t="s">
        <v>367</v>
      </c>
      <c r="O319" s="61">
        <v>4145.17</v>
      </c>
      <c r="P319" s="62">
        <v>2.77</v>
      </c>
      <c r="Q319" s="63">
        <f t="shared" si="276"/>
        <v>11482.12</v>
      </c>
      <c r="R319" s="61">
        <f>IFERROR(SUMIFS('BM MORRO DA CRUZ - VERTICAL'!V$6:V$546,'BM MORRO DA CRUZ - VERTICAL'!$O$6:$O$546,'BM MORRO DA CRUZ'!$K319),0)</f>
        <v>0</v>
      </c>
      <c r="S319" s="63">
        <f t="shared" si="277"/>
        <v>0</v>
      </c>
      <c r="T319" s="61">
        <f>IFERROR(SUMIFS('BM MORRO DA CRUZ - VERTICAL'!X$6:X$546,'BM MORRO DA CRUZ - VERTICAL'!$O$6:$O$546,'BM MORRO DA CRUZ'!$K319),0)</f>
        <v>0</v>
      </c>
      <c r="U319" s="63">
        <f t="shared" si="278"/>
        <v>0</v>
      </c>
      <c r="V319" s="61">
        <f>IFERROR(SUMIFS('BM MORRO DA CRUZ - VERTICAL'!Z$6:Z$546,'BM MORRO DA CRUZ - VERTICAL'!$O$6:$O$546,'BM MORRO DA CRUZ'!$K319),0)</f>
        <v>0</v>
      </c>
      <c r="W319" s="63">
        <f t="shared" si="279"/>
        <v>0</v>
      </c>
      <c r="X319" s="61">
        <f>IFERROR(SUMIFS('BM MORRO DA CRUZ - VERTICAL'!AB$6:AB$546,'BM MORRO DA CRUZ - VERTICAL'!$O$6:$O$546,'BM MORRO DA CRUZ'!$K319),0)</f>
        <v>0</v>
      </c>
      <c r="Y319" s="63">
        <f t="shared" si="280"/>
        <v>0</v>
      </c>
      <c r="Z319" s="61">
        <f>IFERROR(SUMIFS('BM MORRO DA CRUZ - VERTICAL'!AD$6:AD$546,'BM MORRO DA CRUZ - VERTICAL'!$O$6:$O$546,'BM MORRO DA CRUZ'!$K319),0)</f>
        <v>0</v>
      </c>
      <c r="AA319" s="63">
        <f t="shared" si="281"/>
        <v>0</v>
      </c>
      <c r="AB319" s="61">
        <f>IFERROR(SUMIFS('BM MORRO DA CRUZ - VERTICAL'!AF$6:AF$546,'BM MORRO DA CRUZ - VERTICAL'!$O$6:$O$546,'BM MORRO DA CRUZ'!$K319),0)</f>
        <v>0</v>
      </c>
      <c r="AC319" s="63">
        <f t="shared" si="282"/>
        <v>0</v>
      </c>
      <c r="AD319" s="61">
        <f>IFERROR(SUMIFS('BM MORRO DA CRUZ - VERTICAL'!AH$6:AH$546,'BM MORRO DA CRUZ - VERTICAL'!$O$6:$O$546,'BM MORRO DA CRUZ'!$K319),0)</f>
        <v>0</v>
      </c>
      <c r="AE319" s="63">
        <f t="shared" si="283"/>
        <v>0</v>
      </c>
      <c r="AF319" s="61">
        <f>IFERROR(SUMIFS('BM MORRO DA CRUZ - VERTICAL'!AJ$6:AJ$546,'BM MORRO DA CRUZ - VERTICAL'!$O$6:$O$546,'BM MORRO DA CRUZ'!$K319),0)</f>
        <v>0</v>
      </c>
      <c r="AG319" s="63">
        <f t="shared" si="284"/>
        <v>0</v>
      </c>
      <c r="AH319" s="61">
        <f>IFERROR(SUMIFS('BM MORRO DA CRUZ - VERTICAL'!AL$6:AL$546,'BM MORRO DA CRUZ - VERTICAL'!$O$6:$O$546,'BM MORRO DA CRUZ'!$K319),0)</f>
        <v>0</v>
      </c>
      <c r="AI319" s="63">
        <f t="shared" si="285"/>
        <v>0</v>
      </c>
      <c r="AJ319" s="61">
        <f>IFERROR(SUMIFS('BM MORRO DA CRUZ - VERTICAL'!AN$6:AN$546,'BM MORRO DA CRUZ - VERTICAL'!$O$6:$O$546,'BM MORRO DA CRUZ'!$K319),0)</f>
        <v>0</v>
      </c>
      <c r="AK319" s="63">
        <f t="shared" si="286"/>
        <v>0</v>
      </c>
      <c r="AL319" s="61">
        <f>IFERROR(SUMIFS('BM MORRO DA CRUZ - VERTICAL'!AP$6:AP$546,'BM MORRO DA CRUZ - VERTICAL'!$O$6:$O$546,'BM MORRO DA CRUZ'!$K319),0)</f>
        <v>0</v>
      </c>
      <c r="AM319" s="63">
        <f t="shared" si="287"/>
        <v>0</v>
      </c>
      <c r="AN319" s="61">
        <f>IFERROR(SUMIFS('BM MORRO DA CRUZ - VERTICAL'!AR$6:AR$546,'BM MORRO DA CRUZ - VERTICAL'!$O$6:$O$546,'BM MORRO DA CRUZ'!$K319),0)</f>
        <v>0</v>
      </c>
      <c r="AO319" s="63">
        <f t="shared" si="288"/>
        <v>0</v>
      </c>
      <c r="AP319" s="61">
        <f>IFERROR(SUMIFS('BM MORRO DA CRUZ - VERTICAL'!AT$6:AT$546,'BM MORRO DA CRUZ - VERTICAL'!$O$6:$O$546,'BM MORRO DA CRUZ'!$K319),0)</f>
        <v>0</v>
      </c>
      <c r="AQ319" s="63">
        <f t="shared" si="289"/>
        <v>0</v>
      </c>
      <c r="AR319" s="61">
        <f>IFERROR(SUMIFS('BM MORRO DA CRUZ - VERTICAL'!AV$6:AV$546,'BM MORRO DA CRUZ - VERTICAL'!$O$6:$O$546,'BM MORRO DA CRUZ'!$K319),0)</f>
        <v>0</v>
      </c>
      <c r="AS319" s="63">
        <f t="shared" si="290"/>
        <v>0</v>
      </c>
      <c r="AT319" s="61">
        <f>IFERROR(SUMIFS('BM MORRO DA CRUZ - VERTICAL'!AX$6:AX$546,'BM MORRO DA CRUZ - VERTICAL'!$O$6:$O$546,'BM MORRO DA CRUZ'!$K319),0)</f>
        <v>0</v>
      </c>
      <c r="AU319" s="63">
        <f t="shared" si="291"/>
        <v>0</v>
      </c>
      <c r="AV319" s="61">
        <f>IFERROR(SUMIFS('BM MORRO DA CRUZ - VERTICAL'!AZ$6:AZ$546,'BM MORRO DA CRUZ - VERTICAL'!$O$6:$O$546,'BM MORRO DA CRUZ'!$K319),0)</f>
        <v>0</v>
      </c>
      <c r="AW319" s="63">
        <f t="shared" si="292"/>
        <v>0</v>
      </c>
      <c r="AX319" s="61">
        <f>IFERROR(SUMIFS('BM MORRO DA CRUZ - VERTICAL'!BB$6:BB$546,'BM MORRO DA CRUZ - VERTICAL'!$O$6:$O$546,'BM MORRO DA CRUZ'!$K319),0)</f>
        <v>0</v>
      </c>
      <c r="AY319" s="63">
        <f t="shared" si="293"/>
        <v>0</v>
      </c>
      <c r="AZ319" s="61">
        <f>IFERROR(SUMIFS('BM MORRO DA CRUZ - VERTICAL'!BD$6:BD$546,'BM MORRO DA CRUZ - VERTICAL'!$O$6:$O$546,'BM MORRO DA CRUZ'!$K319),0)</f>
        <v>0</v>
      </c>
      <c r="BA319" s="63">
        <f t="shared" si="294"/>
        <v>0</v>
      </c>
      <c r="BB319" s="61">
        <f t="shared" si="295"/>
        <v>0</v>
      </c>
      <c r="BC319" s="63">
        <f t="shared" si="296"/>
        <v>0</v>
      </c>
      <c r="BD319" s="64">
        <f t="shared" si="297"/>
        <v>0</v>
      </c>
      <c r="BE319" s="65">
        <f t="shared" si="298"/>
        <v>1</v>
      </c>
      <c r="BF319" s="45"/>
    </row>
    <row r="320" spans="1:58" ht="35.65" x14ac:dyDescent="0.45">
      <c r="A320" s="56" t="s">
        <v>1170</v>
      </c>
      <c r="B320" s="506" t="s">
        <v>1824</v>
      </c>
      <c r="C320" s="507" t="s">
        <v>1795</v>
      </c>
      <c r="D320" s="507" t="s">
        <v>1795</v>
      </c>
      <c r="E320" s="507" t="s">
        <v>1823</v>
      </c>
      <c r="F320" s="507" t="s">
        <v>1818</v>
      </c>
      <c r="G320" s="507">
        <v>250</v>
      </c>
      <c r="H320" s="508" t="s">
        <v>267</v>
      </c>
      <c r="I320" s="507" t="s">
        <v>763</v>
      </c>
      <c r="J320" s="508" t="s">
        <v>1055</v>
      </c>
      <c r="K320" s="57" t="s">
        <v>1171</v>
      </c>
      <c r="L320" s="58" t="s">
        <v>846</v>
      </c>
      <c r="M320" s="59" t="s">
        <v>1172</v>
      </c>
      <c r="N320" s="60" t="s">
        <v>367</v>
      </c>
      <c r="O320" s="61">
        <v>1001.09</v>
      </c>
      <c r="P320" s="62">
        <v>3.08</v>
      </c>
      <c r="Q320" s="63">
        <f t="shared" si="276"/>
        <v>3083.36</v>
      </c>
      <c r="R320" s="61">
        <f>IFERROR(SUMIFS('BM MORRO DA CRUZ - VERTICAL'!V$6:V$546,'BM MORRO DA CRUZ - VERTICAL'!$O$6:$O$546,'BM MORRO DA CRUZ'!$K320),0)</f>
        <v>0</v>
      </c>
      <c r="S320" s="63">
        <f t="shared" si="277"/>
        <v>0</v>
      </c>
      <c r="T320" s="61">
        <f>IFERROR(SUMIFS('BM MORRO DA CRUZ - VERTICAL'!X$6:X$546,'BM MORRO DA CRUZ - VERTICAL'!$O$6:$O$546,'BM MORRO DA CRUZ'!$K320),0)</f>
        <v>0</v>
      </c>
      <c r="U320" s="63">
        <f t="shared" si="278"/>
        <v>0</v>
      </c>
      <c r="V320" s="61">
        <f>IFERROR(SUMIFS('BM MORRO DA CRUZ - VERTICAL'!Z$6:Z$546,'BM MORRO DA CRUZ - VERTICAL'!$O$6:$O$546,'BM MORRO DA CRUZ'!$K320),0)</f>
        <v>0</v>
      </c>
      <c r="W320" s="63">
        <f t="shared" si="279"/>
        <v>0</v>
      </c>
      <c r="X320" s="61">
        <f>IFERROR(SUMIFS('BM MORRO DA CRUZ - VERTICAL'!AB$6:AB$546,'BM MORRO DA CRUZ - VERTICAL'!$O$6:$O$546,'BM MORRO DA CRUZ'!$K320),0)</f>
        <v>0</v>
      </c>
      <c r="Y320" s="63">
        <f t="shared" si="280"/>
        <v>0</v>
      </c>
      <c r="Z320" s="61">
        <f>IFERROR(SUMIFS('BM MORRO DA CRUZ - VERTICAL'!AD$6:AD$546,'BM MORRO DA CRUZ - VERTICAL'!$O$6:$O$546,'BM MORRO DA CRUZ'!$K320),0)</f>
        <v>0</v>
      </c>
      <c r="AA320" s="63">
        <f t="shared" si="281"/>
        <v>0</v>
      </c>
      <c r="AB320" s="61">
        <f>IFERROR(SUMIFS('BM MORRO DA CRUZ - VERTICAL'!AF$6:AF$546,'BM MORRO DA CRUZ - VERTICAL'!$O$6:$O$546,'BM MORRO DA CRUZ'!$K320),0)</f>
        <v>0</v>
      </c>
      <c r="AC320" s="63">
        <f t="shared" si="282"/>
        <v>0</v>
      </c>
      <c r="AD320" s="61">
        <f>IFERROR(SUMIFS('BM MORRO DA CRUZ - VERTICAL'!AH$6:AH$546,'BM MORRO DA CRUZ - VERTICAL'!$O$6:$O$546,'BM MORRO DA CRUZ'!$K320),0)</f>
        <v>0</v>
      </c>
      <c r="AE320" s="63">
        <f t="shared" si="283"/>
        <v>0</v>
      </c>
      <c r="AF320" s="61">
        <f>IFERROR(SUMIFS('BM MORRO DA CRUZ - VERTICAL'!AJ$6:AJ$546,'BM MORRO DA CRUZ - VERTICAL'!$O$6:$O$546,'BM MORRO DA CRUZ'!$K320),0)</f>
        <v>0</v>
      </c>
      <c r="AG320" s="63">
        <f t="shared" si="284"/>
        <v>0</v>
      </c>
      <c r="AH320" s="61">
        <f>IFERROR(SUMIFS('BM MORRO DA CRUZ - VERTICAL'!AL$6:AL$546,'BM MORRO DA CRUZ - VERTICAL'!$O$6:$O$546,'BM MORRO DA CRUZ'!$K320),0)</f>
        <v>0</v>
      </c>
      <c r="AI320" s="63">
        <f t="shared" si="285"/>
        <v>0</v>
      </c>
      <c r="AJ320" s="61">
        <f>IFERROR(SUMIFS('BM MORRO DA CRUZ - VERTICAL'!AN$6:AN$546,'BM MORRO DA CRUZ - VERTICAL'!$O$6:$O$546,'BM MORRO DA CRUZ'!$K320),0)</f>
        <v>0</v>
      </c>
      <c r="AK320" s="63">
        <f t="shared" si="286"/>
        <v>0</v>
      </c>
      <c r="AL320" s="61">
        <f>IFERROR(SUMIFS('BM MORRO DA CRUZ - VERTICAL'!AP$6:AP$546,'BM MORRO DA CRUZ - VERTICAL'!$O$6:$O$546,'BM MORRO DA CRUZ'!$K320),0)</f>
        <v>0</v>
      </c>
      <c r="AM320" s="63">
        <f t="shared" si="287"/>
        <v>0</v>
      </c>
      <c r="AN320" s="61">
        <f>IFERROR(SUMIFS('BM MORRO DA CRUZ - VERTICAL'!AR$6:AR$546,'BM MORRO DA CRUZ - VERTICAL'!$O$6:$O$546,'BM MORRO DA CRUZ'!$K320),0)</f>
        <v>0</v>
      </c>
      <c r="AO320" s="63">
        <f t="shared" si="288"/>
        <v>0</v>
      </c>
      <c r="AP320" s="61">
        <f>IFERROR(SUMIFS('BM MORRO DA CRUZ - VERTICAL'!AT$6:AT$546,'BM MORRO DA CRUZ - VERTICAL'!$O$6:$O$546,'BM MORRO DA CRUZ'!$K320),0)</f>
        <v>0</v>
      </c>
      <c r="AQ320" s="63">
        <f t="shared" si="289"/>
        <v>0</v>
      </c>
      <c r="AR320" s="61">
        <f>IFERROR(SUMIFS('BM MORRO DA CRUZ - VERTICAL'!AV$6:AV$546,'BM MORRO DA CRUZ - VERTICAL'!$O$6:$O$546,'BM MORRO DA CRUZ'!$K320),0)</f>
        <v>0</v>
      </c>
      <c r="AS320" s="63">
        <f t="shared" si="290"/>
        <v>0</v>
      </c>
      <c r="AT320" s="61">
        <f>IFERROR(SUMIFS('BM MORRO DA CRUZ - VERTICAL'!AX$6:AX$546,'BM MORRO DA CRUZ - VERTICAL'!$O$6:$O$546,'BM MORRO DA CRUZ'!$K320),0)</f>
        <v>0</v>
      </c>
      <c r="AU320" s="63">
        <f t="shared" si="291"/>
        <v>0</v>
      </c>
      <c r="AV320" s="61">
        <f>IFERROR(SUMIFS('BM MORRO DA CRUZ - VERTICAL'!AZ$6:AZ$546,'BM MORRO DA CRUZ - VERTICAL'!$O$6:$O$546,'BM MORRO DA CRUZ'!$K320),0)</f>
        <v>0</v>
      </c>
      <c r="AW320" s="63">
        <f t="shared" si="292"/>
        <v>0</v>
      </c>
      <c r="AX320" s="61">
        <f>IFERROR(SUMIFS('BM MORRO DA CRUZ - VERTICAL'!BB$6:BB$546,'BM MORRO DA CRUZ - VERTICAL'!$O$6:$O$546,'BM MORRO DA CRUZ'!$K320),0)</f>
        <v>0</v>
      </c>
      <c r="AY320" s="63">
        <f t="shared" si="293"/>
        <v>0</v>
      </c>
      <c r="AZ320" s="61">
        <f>IFERROR(SUMIFS('BM MORRO DA CRUZ - VERTICAL'!BD$6:BD$546,'BM MORRO DA CRUZ - VERTICAL'!$O$6:$O$546,'BM MORRO DA CRUZ'!$K320),0)</f>
        <v>0</v>
      </c>
      <c r="BA320" s="63">
        <f t="shared" si="294"/>
        <v>0</v>
      </c>
      <c r="BB320" s="61">
        <f t="shared" si="295"/>
        <v>0</v>
      </c>
      <c r="BC320" s="63">
        <f t="shared" si="296"/>
        <v>0</v>
      </c>
      <c r="BD320" s="64">
        <f t="shared" si="297"/>
        <v>0</v>
      </c>
      <c r="BE320" s="65">
        <f t="shared" si="298"/>
        <v>1</v>
      </c>
      <c r="BF320" s="45"/>
    </row>
    <row r="321" spans="1:58" ht="35.65" x14ac:dyDescent="0.45">
      <c r="A321" s="56" t="s">
        <v>1173</v>
      </c>
      <c r="B321" s="506" t="s">
        <v>1824</v>
      </c>
      <c r="C321" s="507" t="s">
        <v>1795</v>
      </c>
      <c r="D321" s="507" t="s">
        <v>1795</v>
      </c>
      <c r="E321" s="507" t="s">
        <v>1823</v>
      </c>
      <c r="F321" s="507" t="s">
        <v>1818</v>
      </c>
      <c r="G321" s="507">
        <v>315</v>
      </c>
      <c r="H321" s="508" t="s">
        <v>267</v>
      </c>
      <c r="I321" s="507" t="s">
        <v>763</v>
      </c>
      <c r="J321" s="508" t="s">
        <v>1055</v>
      </c>
      <c r="K321" s="57" t="s">
        <v>1174</v>
      </c>
      <c r="L321" s="58" t="s">
        <v>846</v>
      </c>
      <c r="M321" s="59" t="s">
        <v>1175</v>
      </c>
      <c r="N321" s="60" t="s">
        <v>367</v>
      </c>
      <c r="O321" s="61">
        <v>2450.75</v>
      </c>
      <c r="P321" s="62">
        <v>6.24</v>
      </c>
      <c r="Q321" s="63">
        <f t="shared" si="276"/>
        <v>15292.68</v>
      </c>
      <c r="R321" s="61">
        <f>IFERROR(SUMIFS('BM MORRO DA CRUZ - VERTICAL'!V$6:V$546,'BM MORRO DA CRUZ - VERTICAL'!$O$6:$O$546,'BM MORRO DA CRUZ'!$K321),0)</f>
        <v>0</v>
      </c>
      <c r="S321" s="63">
        <f t="shared" si="277"/>
        <v>0</v>
      </c>
      <c r="T321" s="61">
        <f>IFERROR(SUMIFS('BM MORRO DA CRUZ - VERTICAL'!X$6:X$546,'BM MORRO DA CRUZ - VERTICAL'!$O$6:$O$546,'BM MORRO DA CRUZ'!$K321),0)</f>
        <v>0</v>
      </c>
      <c r="U321" s="63">
        <f t="shared" si="278"/>
        <v>0</v>
      </c>
      <c r="V321" s="61">
        <f>IFERROR(SUMIFS('BM MORRO DA CRUZ - VERTICAL'!Z$6:Z$546,'BM MORRO DA CRUZ - VERTICAL'!$O$6:$O$546,'BM MORRO DA CRUZ'!$K321),0)</f>
        <v>0</v>
      </c>
      <c r="W321" s="63">
        <f t="shared" si="279"/>
        <v>0</v>
      </c>
      <c r="X321" s="61">
        <f>IFERROR(SUMIFS('BM MORRO DA CRUZ - VERTICAL'!AB$6:AB$546,'BM MORRO DA CRUZ - VERTICAL'!$O$6:$O$546,'BM MORRO DA CRUZ'!$K321),0)</f>
        <v>0</v>
      </c>
      <c r="Y321" s="63">
        <f t="shared" si="280"/>
        <v>0</v>
      </c>
      <c r="Z321" s="61">
        <f>IFERROR(SUMIFS('BM MORRO DA CRUZ - VERTICAL'!AD$6:AD$546,'BM MORRO DA CRUZ - VERTICAL'!$O$6:$O$546,'BM MORRO DA CRUZ'!$K321),0)</f>
        <v>0</v>
      </c>
      <c r="AA321" s="63">
        <f t="shared" si="281"/>
        <v>0</v>
      </c>
      <c r="AB321" s="61">
        <f>IFERROR(SUMIFS('BM MORRO DA CRUZ - VERTICAL'!AF$6:AF$546,'BM MORRO DA CRUZ - VERTICAL'!$O$6:$O$546,'BM MORRO DA CRUZ'!$K321),0)</f>
        <v>0</v>
      </c>
      <c r="AC321" s="63">
        <f t="shared" si="282"/>
        <v>0</v>
      </c>
      <c r="AD321" s="61">
        <f>IFERROR(SUMIFS('BM MORRO DA CRUZ - VERTICAL'!AH$6:AH$546,'BM MORRO DA CRUZ - VERTICAL'!$O$6:$O$546,'BM MORRO DA CRUZ'!$K321),0)</f>
        <v>0</v>
      </c>
      <c r="AE321" s="63">
        <f t="shared" si="283"/>
        <v>0</v>
      </c>
      <c r="AF321" s="61">
        <f>IFERROR(SUMIFS('BM MORRO DA CRUZ - VERTICAL'!AJ$6:AJ$546,'BM MORRO DA CRUZ - VERTICAL'!$O$6:$O$546,'BM MORRO DA CRUZ'!$K321),0)</f>
        <v>0</v>
      </c>
      <c r="AG321" s="63">
        <f t="shared" si="284"/>
        <v>0</v>
      </c>
      <c r="AH321" s="61">
        <f>IFERROR(SUMIFS('BM MORRO DA CRUZ - VERTICAL'!AL$6:AL$546,'BM MORRO DA CRUZ - VERTICAL'!$O$6:$O$546,'BM MORRO DA CRUZ'!$K321),0)</f>
        <v>0</v>
      </c>
      <c r="AI321" s="63">
        <f t="shared" si="285"/>
        <v>0</v>
      </c>
      <c r="AJ321" s="61">
        <f>IFERROR(SUMIFS('BM MORRO DA CRUZ - VERTICAL'!AN$6:AN$546,'BM MORRO DA CRUZ - VERTICAL'!$O$6:$O$546,'BM MORRO DA CRUZ'!$K321),0)</f>
        <v>0</v>
      </c>
      <c r="AK321" s="63">
        <f t="shared" si="286"/>
        <v>0</v>
      </c>
      <c r="AL321" s="61">
        <f>IFERROR(SUMIFS('BM MORRO DA CRUZ - VERTICAL'!AP$6:AP$546,'BM MORRO DA CRUZ - VERTICAL'!$O$6:$O$546,'BM MORRO DA CRUZ'!$K321),0)</f>
        <v>0</v>
      </c>
      <c r="AM321" s="63">
        <f t="shared" si="287"/>
        <v>0</v>
      </c>
      <c r="AN321" s="61">
        <f>IFERROR(SUMIFS('BM MORRO DA CRUZ - VERTICAL'!AR$6:AR$546,'BM MORRO DA CRUZ - VERTICAL'!$O$6:$O$546,'BM MORRO DA CRUZ'!$K321),0)</f>
        <v>0</v>
      </c>
      <c r="AO321" s="63">
        <f t="shared" si="288"/>
        <v>0</v>
      </c>
      <c r="AP321" s="61">
        <f>IFERROR(SUMIFS('BM MORRO DA CRUZ - VERTICAL'!AT$6:AT$546,'BM MORRO DA CRUZ - VERTICAL'!$O$6:$O$546,'BM MORRO DA CRUZ'!$K321),0)</f>
        <v>0</v>
      </c>
      <c r="AQ321" s="63">
        <f t="shared" si="289"/>
        <v>0</v>
      </c>
      <c r="AR321" s="61">
        <f>IFERROR(SUMIFS('BM MORRO DA CRUZ - VERTICAL'!AV$6:AV$546,'BM MORRO DA CRUZ - VERTICAL'!$O$6:$O$546,'BM MORRO DA CRUZ'!$K321),0)</f>
        <v>0</v>
      </c>
      <c r="AS321" s="63">
        <f t="shared" si="290"/>
        <v>0</v>
      </c>
      <c r="AT321" s="61">
        <f>IFERROR(SUMIFS('BM MORRO DA CRUZ - VERTICAL'!AX$6:AX$546,'BM MORRO DA CRUZ - VERTICAL'!$O$6:$O$546,'BM MORRO DA CRUZ'!$K321),0)</f>
        <v>0</v>
      </c>
      <c r="AU321" s="63">
        <f t="shared" si="291"/>
        <v>0</v>
      </c>
      <c r="AV321" s="61">
        <f>IFERROR(SUMIFS('BM MORRO DA CRUZ - VERTICAL'!AZ$6:AZ$546,'BM MORRO DA CRUZ - VERTICAL'!$O$6:$O$546,'BM MORRO DA CRUZ'!$K321),0)</f>
        <v>0</v>
      </c>
      <c r="AW321" s="63">
        <f t="shared" si="292"/>
        <v>0</v>
      </c>
      <c r="AX321" s="61">
        <f>IFERROR(SUMIFS('BM MORRO DA CRUZ - VERTICAL'!BB$6:BB$546,'BM MORRO DA CRUZ - VERTICAL'!$O$6:$O$546,'BM MORRO DA CRUZ'!$K321),0)</f>
        <v>0</v>
      </c>
      <c r="AY321" s="63">
        <f t="shared" si="293"/>
        <v>0</v>
      </c>
      <c r="AZ321" s="61">
        <f>IFERROR(SUMIFS('BM MORRO DA CRUZ - VERTICAL'!BD$6:BD$546,'BM MORRO DA CRUZ - VERTICAL'!$O$6:$O$546,'BM MORRO DA CRUZ'!$K321),0)</f>
        <v>0</v>
      </c>
      <c r="BA321" s="63">
        <f t="shared" si="294"/>
        <v>0</v>
      </c>
      <c r="BB321" s="61">
        <f t="shared" si="295"/>
        <v>0</v>
      </c>
      <c r="BC321" s="63">
        <f t="shared" si="296"/>
        <v>0</v>
      </c>
      <c r="BD321" s="64">
        <f t="shared" si="297"/>
        <v>0</v>
      </c>
      <c r="BE321" s="65">
        <f t="shared" si="298"/>
        <v>1</v>
      </c>
      <c r="BF321" s="45"/>
    </row>
    <row r="322" spans="1:58" ht="35.65" x14ac:dyDescent="0.45">
      <c r="A322" s="56" t="s">
        <v>1176</v>
      </c>
      <c r="B322" s="506" t="s">
        <v>1824</v>
      </c>
      <c r="C322" s="507" t="s">
        <v>1795</v>
      </c>
      <c r="D322" s="507" t="s">
        <v>1795</v>
      </c>
      <c r="E322" s="507" t="s">
        <v>1823</v>
      </c>
      <c r="F322" s="507" t="s">
        <v>1818</v>
      </c>
      <c r="G322" s="507">
        <v>355</v>
      </c>
      <c r="H322" s="508" t="s">
        <v>267</v>
      </c>
      <c r="I322" s="507" t="s">
        <v>763</v>
      </c>
      <c r="J322" s="508" t="s">
        <v>1055</v>
      </c>
      <c r="K322" s="57" t="s">
        <v>1177</v>
      </c>
      <c r="L322" s="58" t="s">
        <v>846</v>
      </c>
      <c r="M322" s="59" t="s">
        <v>1178</v>
      </c>
      <c r="N322" s="60" t="s">
        <v>367</v>
      </c>
      <c r="O322" s="61">
        <v>683.91</v>
      </c>
      <c r="P322" s="62">
        <v>8.92</v>
      </c>
      <c r="Q322" s="63">
        <f t="shared" si="276"/>
        <v>6100.48</v>
      </c>
      <c r="R322" s="61">
        <f>IFERROR(SUMIFS('BM MORRO DA CRUZ - VERTICAL'!V$6:V$546,'BM MORRO DA CRUZ - VERTICAL'!$O$6:$O$546,'BM MORRO DA CRUZ'!$K322),0)</f>
        <v>0</v>
      </c>
      <c r="S322" s="63">
        <f t="shared" si="277"/>
        <v>0</v>
      </c>
      <c r="T322" s="61">
        <f>IFERROR(SUMIFS('BM MORRO DA CRUZ - VERTICAL'!X$6:X$546,'BM MORRO DA CRUZ - VERTICAL'!$O$6:$O$546,'BM MORRO DA CRUZ'!$K322),0)</f>
        <v>0</v>
      </c>
      <c r="U322" s="63">
        <f t="shared" si="278"/>
        <v>0</v>
      </c>
      <c r="V322" s="61">
        <f>IFERROR(SUMIFS('BM MORRO DA CRUZ - VERTICAL'!Z$6:Z$546,'BM MORRO DA CRUZ - VERTICAL'!$O$6:$O$546,'BM MORRO DA CRUZ'!$K322),0)</f>
        <v>0</v>
      </c>
      <c r="W322" s="63">
        <f t="shared" si="279"/>
        <v>0</v>
      </c>
      <c r="X322" s="61">
        <f>IFERROR(SUMIFS('BM MORRO DA CRUZ - VERTICAL'!AB$6:AB$546,'BM MORRO DA CRUZ - VERTICAL'!$O$6:$O$546,'BM MORRO DA CRUZ'!$K322),0)</f>
        <v>0</v>
      </c>
      <c r="Y322" s="63">
        <f t="shared" si="280"/>
        <v>0</v>
      </c>
      <c r="Z322" s="61">
        <f>IFERROR(SUMIFS('BM MORRO DA CRUZ - VERTICAL'!AD$6:AD$546,'BM MORRO DA CRUZ - VERTICAL'!$O$6:$O$546,'BM MORRO DA CRUZ'!$K322),0)</f>
        <v>0</v>
      </c>
      <c r="AA322" s="63">
        <f t="shared" si="281"/>
        <v>0</v>
      </c>
      <c r="AB322" s="61">
        <f>IFERROR(SUMIFS('BM MORRO DA CRUZ - VERTICAL'!AF$6:AF$546,'BM MORRO DA CRUZ - VERTICAL'!$O$6:$O$546,'BM MORRO DA CRUZ'!$K322),0)</f>
        <v>0</v>
      </c>
      <c r="AC322" s="63">
        <f t="shared" si="282"/>
        <v>0</v>
      </c>
      <c r="AD322" s="61">
        <f>IFERROR(SUMIFS('BM MORRO DA CRUZ - VERTICAL'!AH$6:AH$546,'BM MORRO DA CRUZ - VERTICAL'!$O$6:$O$546,'BM MORRO DA CRUZ'!$K322),0)</f>
        <v>0</v>
      </c>
      <c r="AE322" s="63">
        <f t="shared" si="283"/>
        <v>0</v>
      </c>
      <c r="AF322" s="61">
        <f>IFERROR(SUMIFS('BM MORRO DA CRUZ - VERTICAL'!AJ$6:AJ$546,'BM MORRO DA CRUZ - VERTICAL'!$O$6:$O$546,'BM MORRO DA CRUZ'!$K322),0)</f>
        <v>0</v>
      </c>
      <c r="AG322" s="63">
        <f t="shared" si="284"/>
        <v>0</v>
      </c>
      <c r="AH322" s="61">
        <f>IFERROR(SUMIFS('BM MORRO DA CRUZ - VERTICAL'!AL$6:AL$546,'BM MORRO DA CRUZ - VERTICAL'!$O$6:$O$546,'BM MORRO DA CRUZ'!$K322),0)</f>
        <v>0</v>
      </c>
      <c r="AI322" s="63">
        <f t="shared" si="285"/>
        <v>0</v>
      </c>
      <c r="AJ322" s="61">
        <f>IFERROR(SUMIFS('BM MORRO DA CRUZ - VERTICAL'!AN$6:AN$546,'BM MORRO DA CRUZ - VERTICAL'!$O$6:$O$546,'BM MORRO DA CRUZ'!$K322),0)</f>
        <v>0</v>
      </c>
      <c r="AK322" s="63">
        <f t="shared" si="286"/>
        <v>0</v>
      </c>
      <c r="AL322" s="61">
        <f>IFERROR(SUMIFS('BM MORRO DA CRUZ - VERTICAL'!AP$6:AP$546,'BM MORRO DA CRUZ - VERTICAL'!$O$6:$O$546,'BM MORRO DA CRUZ'!$K322),0)</f>
        <v>0</v>
      </c>
      <c r="AM322" s="63">
        <f t="shared" si="287"/>
        <v>0</v>
      </c>
      <c r="AN322" s="61">
        <f>IFERROR(SUMIFS('BM MORRO DA CRUZ - VERTICAL'!AR$6:AR$546,'BM MORRO DA CRUZ - VERTICAL'!$O$6:$O$546,'BM MORRO DA CRUZ'!$K322),0)</f>
        <v>0</v>
      </c>
      <c r="AO322" s="63">
        <f t="shared" si="288"/>
        <v>0</v>
      </c>
      <c r="AP322" s="61">
        <f>IFERROR(SUMIFS('BM MORRO DA CRUZ - VERTICAL'!AT$6:AT$546,'BM MORRO DA CRUZ - VERTICAL'!$O$6:$O$546,'BM MORRO DA CRUZ'!$K322),0)</f>
        <v>0</v>
      </c>
      <c r="AQ322" s="63">
        <f t="shared" si="289"/>
        <v>0</v>
      </c>
      <c r="AR322" s="61">
        <f>IFERROR(SUMIFS('BM MORRO DA CRUZ - VERTICAL'!AV$6:AV$546,'BM MORRO DA CRUZ - VERTICAL'!$O$6:$O$546,'BM MORRO DA CRUZ'!$K322),0)</f>
        <v>0</v>
      </c>
      <c r="AS322" s="63">
        <f t="shared" si="290"/>
        <v>0</v>
      </c>
      <c r="AT322" s="61">
        <f>IFERROR(SUMIFS('BM MORRO DA CRUZ - VERTICAL'!AX$6:AX$546,'BM MORRO DA CRUZ - VERTICAL'!$O$6:$O$546,'BM MORRO DA CRUZ'!$K322),0)</f>
        <v>0</v>
      </c>
      <c r="AU322" s="63">
        <f t="shared" si="291"/>
        <v>0</v>
      </c>
      <c r="AV322" s="61">
        <f>IFERROR(SUMIFS('BM MORRO DA CRUZ - VERTICAL'!AZ$6:AZ$546,'BM MORRO DA CRUZ - VERTICAL'!$O$6:$O$546,'BM MORRO DA CRUZ'!$K322),0)</f>
        <v>0</v>
      </c>
      <c r="AW322" s="63">
        <f t="shared" si="292"/>
        <v>0</v>
      </c>
      <c r="AX322" s="61">
        <f>IFERROR(SUMIFS('BM MORRO DA CRUZ - VERTICAL'!BB$6:BB$546,'BM MORRO DA CRUZ - VERTICAL'!$O$6:$O$546,'BM MORRO DA CRUZ'!$K322),0)</f>
        <v>0</v>
      </c>
      <c r="AY322" s="63">
        <f t="shared" si="293"/>
        <v>0</v>
      </c>
      <c r="AZ322" s="61">
        <f>IFERROR(SUMIFS('BM MORRO DA CRUZ - VERTICAL'!BD$6:BD$546,'BM MORRO DA CRUZ - VERTICAL'!$O$6:$O$546,'BM MORRO DA CRUZ'!$K322),0)</f>
        <v>0</v>
      </c>
      <c r="BA322" s="63">
        <f t="shared" si="294"/>
        <v>0</v>
      </c>
      <c r="BB322" s="61">
        <f t="shared" si="295"/>
        <v>0</v>
      </c>
      <c r="BC322" s="63">
        <f t="shared" si="296"/>
        <v>0</v>
      </c>
      <c r="BD322" s="64">
        <f t="shared" si="297"/>
        <v>0</v>
      </c>
      <c r="BE322" s="65">
        <f t="shared" si="298"/>
        <v>1</v>
      </c>
      <c r="BF322" s="45"/>
    </row>
    <row r="323" spans="1:58" ht="35.65" x14ac:dyDescent="0.45">
      <c r="A323" s="56" t="s">
        <v>1179</v>
      </c>
      <c r="B323" s="506" t="s">
        <v>1824</v>
      </c>
      <c r="C323" s="507" t="s">
        <v>1795</v>
      </c>
      <c r="D323" s="507" t="s">
        <v>1795</v>
      </c>
      <c r="E323" s="507" t="s">
        <v>1823</v>
      </c>
      <c r="F323" s="507" t="s">
        <v>1818</v>
      </c>
      <c r="G323" s="507">
        <v>400</v>
      </c>
      <c r="H323" s="508" t="s">
        <v>267</v>
      </c>
      <c r="I323" s="507" t="s">
        <v>763</v>
      </c>
      <c r="J323" s="508" t="s">
        <v>1055</v>
      </c>
      <c r="K323" s="57" t="s">
        <v>1180</v>
      </c>
      <c r="L323" s="58" t="s">
        <v>846</v>
      </c>
      <c r="M323" s="59" t="s">
        <v>1181</v>
      </c>
      <c r="N323" s="60" t="s">
        <v>367</v>
      </c>
      <c r="O323" s="61">
        <v>608.92999999999995</v>
      </c>
      <c r="P323" s="62">
        <v>11.93</v>
      </c>
      <c r="Q323" s="63">
        <f t="shared" si="276"/>
        <v>7264.53</v>
      </c>
      <c r="R323" s="61">
        <f>IFERROR(SUMIFS('BM MORRO DA CRUZ - VERTICAL'!V$6:V$546,'BM MORRO DA CRUZ - VERTICAL'!$O$6:$O$546,'BM MORRO DA CRUZ'!$K323),0)</f>
        <v>0</v>
      </c>
      <c r="S323" s="63">
        <f t="shared" si="277"/>
        <v>0</v>
      </c>
      <c r="T323" s="61">
        <f>IFERROR(SUMIFS('BM MORRO DA CRUZ - VERTICAL'!X$6:X$546,'BM MORRO DA CRUZ - VERTICAL'!$O$6:$O$546,'BM MORRO DA CRUZ'!$K323),0)</f>
        <v>0</v>
      </c>
      <c r="U323" s="63">
        <f t="shared" si="278"/>
        <v>0</v>
      </c>
      <c r="V323" s="61">
        <f>IFERROR(SUMIFS('BM MORRO DA CRUZ - VERTICAL'!Z$6:Z$546,'BM MORRO DA CRUZ - VERTICAL'!$O$6:$O$546,'BM MORRO DA CRUZ'!$K323),0)</f>
        <v>0</v>
      </c>
      <c r="W323" s="63">
        <f t="shared" si="279"/>
        <v>0</v>
      </c>
      <c r="X323" s="61">
        <f>IFERROR(SUMIFS('BM MORRO DA CRUZ - VERTICAL'!AB$6:AB$546,'BM MORRO DA CRUZ - VERTICAL'!$O$6:$O$546,'BM MORRO DA CRUZ'!$K323),0)</f>
        <v>0</v>
      </c>
      <c r="Y323" s="63">
        <f t="shared" si="280"/>
        <v>0</v>
      </c>
      <c r="Z323" s="61">
        <f>IFERROR(SUMIFS('BM MORRO DA CRUZ - VERTICAL'!AD$6:AD$546,'BM MORRO DA CRUZ - VERTICAL'!$O$6:$O$546,'BM MORRO DA CRUZ'!$K323),0)</f>
        <v>0</v>
      </c>
      <c r="AA323" s="63">
        <f t="shared" si="281"/>
        <v>0</v>
      </c>
      <c r="AB323" s="61">
        <f>IFERROR(SUMIFS('BM MORRO DA CRUZ - VERTICAL'!AF$6:AF$546,'BM MORRO DA CRUZ - VERTICAL'!$O$6:$O$546,'BM MORRO DA CRUZ'!$K323),0)</f>
        <v>0</v>
      </c>
      <c r="AC323" s="63">
        <f t="shared" si="282"/>
        <v>0</v>
      </c>
      <c r="AD323" s="61">
        <f>IFERROR(SUMIFS('BM MORRO DA CRUZ - VERTICAL'!AH$6:AH$546,'BM MORRO DA CRUZ - VERTICAL'!$O$6:$O$546,'BM MORRO DA CRUZ'!$K323),0)</f>
        <v>0</v>
      </c>
      <c r="AE323" s="63">
        <f t="shared" si="283"/>
        <v>0</v>
      </c>
      <c r="AF323" s="61">
        <f>IFERROR(SUMIFS('BM MORRO DA CRUZ - VERTICAL'!AJ$6:AJ$546,'BM MORRO DA CRUZ - VERTICAL'!$O$6:$O$546,'BM MORRO DA CRUZ'!$K323),0)</f>
        <v>0</v>
      </c>
      <c r="AG323" s="63">
        <f t="shared" si="284"/>
        <v>0</v>
      </c>
      <c r="AH323" s="61">
        <f>IFERROR(SUMIFS('BM MORRO DA CRUZ - VERTICAL'!AL$6:AL$546,'BM MORRO DA CRUZ - VERTICAL'!$O$6:$O$546,'BM MORRO DA CRUZ'!$K323),0)</f>
        <v>0</v>
      </c>
      <c r="AI323" s="63">
        <f t="shared" si="285"/>
        <v>0</v>
      </c>
      <c r="AJ323" s="61">
        <f>IFERROR(SUMIFS('BM MORRO DA CRUZ - VERTICAL'!AN$6:AN$546,'BM MORRO DA CRUZ - VERTICAL'!$O$6:$O$546,'BM MORRO DA CRUZ'!$K323),0)</f>
        <v>0</v>
      </c>
      <c r="AK323" s="63">
        <f t="shared" si="286"/>
        <v>0</v>
      </c>
      <c r="AL323" s="61">
        <f>IFERROR(SUMIFS('BM MORRO DA CRUZ - VERTICAL'!AP$6:AP$546,'BM MORRO DA CRUZ - VERTICAL'!$O$6:$O$546,'BM MORRO DA CRUZ'!$K323),0)</f>
        <v>0</v>
      </c>
      <c r="AM323" s="63">
        <f t="shared" si="287"/>
        <v>0</v>
      </c>
      <c r="AN323" s="61">
        <f>IFERROR(SUMIFS('BM MORRO DA CRUZ - VERTICAL'!AR$6:AR$546,'BM MORRO DA CRUZ - VERTICAL'!$O$6:$O$546,'BM MORRO DA CRUZ'!$K323),0)</f>
        <v>0</v>
      </c>
      <c r="AO323" s="63">
        <f t="shared" si="288"/>
        <v>0</v>
      </c>
      <c r="AP323" s="61">
        <f>IFERROR(SUMIFS('BM MORRO DA CRUZ - VERTICAL'!AT$6:AT$546,'BM MORRO DA CRUZ - VERTICAL'!$O$6:$O$546,'BM MORRO DA CRUZ'!$K323),0)</f>
        <v>0</v>
      </c>
      <c r="AQ323" s="63">
        <f t="shared" si="289"/>
        <v>0</v>
      </c>
      <c r="AR323" s="61">
        <f>IFERROR(SUMIFS('BM MORRO DA CRUZ - VERTICAL'!AV$6:AV$546,'BM MORRO DA CRUZ - VERTICAL'!$O$6:$O$546,'BM MORRO DA CRUZ'!$K323),0)</f>
        <v>0</v>
      </c>
      <c r="AS323" s="63">
        <f t="shared" si="290"/>
        <v>0</v>
      </c>
      <c r="AT323" s="61">
        <f>IFERROR(SUMIFS('BM MORRO DA CRUZ - VERTICAL'!AX$6:AX$546,'BM MORRO DA CRUZ - VERTICAL'!$O$6:$O$546,'BM MORRO DA CRUZ'!$K323),0)</f>
        <v>0</v>
      </c>
      <c r="AU323" s="63">
        <f t="shared" si="291"/>
        <v>0</v>
      </c>
      <c r="AV323" s="61">
        <f>IFERROR(SUMIFS('BM MORRO DA CRUZ - VERTICAL'!AZ$6:AZ$546,'BM MORRO DA CRUZ - VERTICAL'!$O$6:$O$546,'BM MORRO DA CRUZ'!$K323),0)</f>
        <v>0</v>
      </c>
      <c r="AW323" s="63">
        <f t="shared" si="292"/>
        <v>0</v>
      </c>
      <c r="AX323" s="61">
        <f>IFERROR(SUMIFS('BM MORRO DA CRUZ - VERTICAL'!BB$6:BB$546,'BM MORRO DA CRUZ - VERTICAL'!$O$6:$O$546,'BM MORRO DA CRUZ'!$K323),0)</f>
        <v>0</v>
      </c>
      <c r="AY323" s="63">
        <f t="shared" si="293"/>
        <v>0</v>
      </c>
      <c r="AZ323" s="61">
        <f>IFERROR(SUMIFS('BM MORRO DA CRUZ - VERTICAL'!BD$6:BD$546,'BM MORRO DA CRUZ - VERTICAL'!$O$6:$O$546,'BM MORRO DA CRUZ'!$K323),0)</f>
        <v>0</v>
      </c>
      <c r="BA323" s="63">
        <f t="shared" si="294"/>
        <v>0</v>
      </c>
      <c r="BB323" s="61">
        <f t="shared" si="295"/>
        <v>0</v>
      </c>
      <c r="BC323" s="63">
        <f t="shared" si="296"/>
        <v>0</v>
      </c>
      <c r="BD323" s="64">
        <f t="shared" si="297"/>
        <v>0</v>
      </c>
      <c r="BE323" s="65">
        <f t="shared" si="298"/>
        <v>1</v>
      </c>
      <c r="BF323" s="45"/>
    </row>
    <row r="324" spans="1:58" ht="35.65" x14ac:dyDescent="0.45">
      <c r="A324" s="56" t="s">
        <v>1182</v>
      </c>
      <c r="B324" s="506" t="s">
        <v>1824</v>
      </c>
      <c r="C324" s="507" t="s">
        <v>1795</v>
      </c>
      <c r="D324" s="507" t="s">
        <v>1795</v>
      </c>
      <c r="E324" s="507" t="s">
        <v>1823</v>
      </c>
      <c r="F324" s="507" t="s">
        <v>1818</v>
      </c>
      <c r="G324" s="507">
        <v>500</v>
      </c>
      <c r="H324" s="508" t="s">
        <v>267</v>
      </c>
      <c r="I324" s="507" t="s">
        <v>763</v>
      </c>
      <c r="J324" s="508" t="s">
        <v>1055</v>
      </c>
      <c r="K324" s="57" t="s">
        <v>1183</v>
      </c>
      <c r="L324" s="58" t="s">
        <v>846</v>
      </c>
      <c r="M324" s="59" t="s">
        <v>1184</v>
      </c>
      <c r="N324" s="60" t="s">
        <v>367</v>
      </c>
      <c r="O324" s="61">
        <v>1434.91</v>
      </c>
      <c r="P324" s="62">
        <v>18.64</v>
      </c>
      <c r="Q324" s="63">
        <f t="shared" si="276"/>
        <v>26746.720000000001</v>
      </c>
      <c r="R324" s="61">
        <f>IFERROR(SUMIFS('BM MORRO DA CRUZ - VERTICAL'!V$6:V$546,'BM MORRO DA CRUZ - VERTICAL'!$O$6:$O$546,'BM MORRO DA CRUZ'!$K324),0)</f>
        <v>0</v>
      </c>
      <c r="S324" s="63">
        <f t="shared" si="277"/>
        <v>0</v>
      </c>
      <c r="T324" s="61">
        <f>IFERROR(SUMIFS('BM MORRO DA CRUZ - VERTICAL'!X$6:X$546,'BM MORRO DA CRUZ - VERTICAL'!$O$6:$O$546,'BM MORRO DA CRUZ'!$K324),0)</f>
        <v>0</v>
      </c>
      <c r="U324" s="63">
        <f t="shared" si="278"/>
        <v>0</v>
      </c>
      <c r="V324" s="61">
        <f>IFERROR(SUMIFS('BM MORRO DA CRUZ - VERTICAL'!Z$6:Z$546,'BM MORRO DA CRUZ - VERTICAL'!$O$6:$O$546,'BM MORRO DA CRUZ'!$K324),0)</f>
        <v>0</v>
      </c>
      <c r="W324" s="63">
        <f t="shared" si="279"/>
        <v>0</v>
      </c>
      <c r="X324" s="61">
        <f>IFERROR(SUMIFS('BM MORRO DA CRUZ - VERTICAL'!AB$6:AB$546,'BM MORRO DA CRUZ - VERTICAL'!$O$6:$O$546,'BM MORRO DA CRUZ'!$K324),0)</f>
        <v>0</v>
      </c>
      <c r="Y324" s="63">
        <f t="shared" si="280"/>
        <v>0</v>
      </c>
      <c r="Z324" s="61">
        <f>IFERROR(SUMIFS('BM MORRO DA CRUZ - VERTICAL'!AD$6:AD$546,'BM MORRO DA CRUZ - VERTICAL'!$O$6:$O$546,'BM MORRO DA CRUZ'!$K324),0)</f>
        <v>0</v>
      </c>
      <c r="AA324" s="63">
        <f t="shared" si="281"/>
        <v>0</v>
      </c>
      <c r="AB324" s="61">
        <f>IFERROR(SUMIFS('BM MORRO DA CRUZ - VERTICAL'!AF$6:AF$546,'BM MORRO DA CRUZ - VERTICAL'!$O$6:$O$546,'BM MORRO DA CRUZ'!$K324),0)</f>
        <v>0</v>
      </c>
      <c r="AC324" s="63">
        <f t="shared" si="282"/>
        <v>0</v>
      </c>
      <c r="AD324" s="61">
        <f>IFERROR(SUMIFS('BM MORRO DA CRUZ - VERTICAL'!AH$6:AH$546,'BM MORRO DA CRUZ - VERTICAL'!$O$6:$O$546,'BM MORRO DA CRUZ'!$K324),0)</f>
        <v>0</v>
      </c>
      <c r="AE324" s="63">
        <f t="shared" si="283"/>
        <v>0</v>
      </c>
      <c r="AF324" s="61">
        <f>IFERROR(SUMIFS('BM MORRO DA CRUZ - VERTICAL'!AJ$6:AJ$546,'BM MORRO DA CRUZ - VERTICAL'!$O$6:$O$546,'BM MORRO DA CRUZ'!$K324),0)</f>
        <v>0</v>
      </c>
      <c r="AG324" s="63">
        <f t="shared" si="284"/>
        <v>0</v>
      </c>
      <c r="AH324" s="61">
        <f>IFERROR(SUMIFS('BM MORRO DA CRUZ - VERTICAL'!AL$6:AL$546,'BM MORRO DA CRUZ - VERTICAL'!$O$6:$O$546,'BM MORRO DA CRUZ'!$K324),0)</f>
        <v>0</v>
      </c>
      <c r="AI324" s="63">
        <f t="shared" si="285"/>
        <v>0</v>
      </c>
      <c r="AJ324" s="61">
        <f>IFERROR(SUMIFS('BM MORRO DA CRUZ - VERTICAL'!AN$6:AN$546,'BM MORRO DA CRUZ - VERTICAL'!$O$6:$O$546,'BM MORRO DA CRUZ'!$K324),0)</f>
        <v>0</v>
      </c>
      <c r="AK324" s="63">
        <f t="shared" si="286"/>
        <v>0</v>
      </c>
      <c r="AL324" s="61">
        <f>IFERROR(SUMIFS('BM MORRO DA CRUZ - VERTICAL'!AP$6:AP$546,'BM MORRO DA CRUZ - VERTICAL'!$O$6:$O$546,'BM MORRO DA CRUZ'!$K324),0)</f>
        <v>0</v>
      </c>
      <c r="AM324" s="63">
        <f t="shared" si="287"/>
        <v>0</v>
      </c>
      <c r="AN324" s="61">
        <f>IFERROR(SUMIFS('BM MORRO DA CRUZ - VERTICAL'!AR$6:AR$546,'BM MORRO DA CRUZ - VERTICAL'!$O$6:$O$546,'BM MORRO DA CRUZ'!$K324),0)</f>
        <v>0</v>
      </c>
      <c r="AO324" s="63">
        <f t="shared" si="288"/>
        <v>0</v>
      </c>
      <c r="AP324" s="61">
        <f>IFERROR(SUMIFS('BM MORRO DA CRUZ - VERTICAL'!AT$6:AT$546,'BM MORRO DA CRUZ - VERTICAL'!$O$6:$O$546,'BM MORRO DA CRUZ'!$K324),0)</f>
        <v>0</v>
      </c>
      <c r="AQ324" s="63">
        <f t="shared" si="289"/>
        <v>0</v>
      </c>
      <c r="AR324" s="61">
        <f>IFERROR(SUMIFS('BM MORRO DA CRUZ - VERTICAL'!AV$6:AV$546,'BM MORRO DA CRUZ - VERTICAL'!$O$6:$O$546,'BM MORRO DA CRUZ'!$K324),0)</f>
        <v>0</v>
      </c>
      <c r="AS324" s="63">
        <f t="shared" si="290"/>
        <v>0</v>
      </c>
      <c r="AT324" s="61">
        <f>IFERROR(SUMIFS('BM MORRO DA CRUZ - VERTICAL'!AX$6:AX$546,'BM MORRO DA CRUZ - VERTICAL'!$O$6:$O$546,'BM MORRO DA CRUZ'!$K324),0)</f>
        <v>0</v>
      </c>
      <c r="AU324" s="63">
        <f t="shared" si="291"/>
        <v>0</v>
      </c>
      <c r="AV324" s="61">
        <f>IFERROR(SUMIFS('BM MORRO DA CRUZ - VERTICAL'!AZ$6:AZ$546,'BM MORRO DA CRUZ - VERTICAL'!$O$6:$O$546,'BM MORRO DA CRUZ'!$K324),0)</f>
        <v>0</v>
      </c>
      <c r="AW324" s="63">
        <f t="shared" si="292"/>
        <v>0</v>
      </c>
      <c r="AX324" s="61">
        <f>IFERROR(SUMIFS('BM MORRO DA CRUZ - VERTICAL'!BB$6:BB$546,'BM MORRO DA CRUZ - VERTICAL'!$O$6:$O$546,'BM MORRO DA CRUZ'!$K324),0)</f>
        <v>0</v>
      </c>
      <c r="AY324" s="63">
        <f t="shared" si="293"/>
        <v>0</v>
      </c>
      <c r="AZ324" s="61">
        <f>IFERROR(SUMIFS('BM MORRO DA CRUZ - VERTICAL'!BD$6:BD$546,'BM MORRO DA CRUZ - VERTICAL'!$O$6:$O$546,'BM MORRO DA CRUZ'!$K324),0)</f>
        <v>0</v>
      </c>
      <c r="BA324" s="63">
        <f t="shared" si="294"/>
        <v>0</v>
      </c>
      <c r="BB324" s="61">
        <f t="shared" si="295"/>
        <v>0</v>
      </c>
      <c r="BC324" s="63">
        <f t="shared" si="296"/>
        <v>0</v>
      </c>
      <c r="BD324" s="64">
        <f t="shared" si="297"/>
        <v>0</v>
      </c>
      <c r="BE324" s="65">
        <f t="shared" si="298"/>
        <v>1</v>
      </c>
      <c r="BF324" s="45"/>
    </row>
    <row r="325" spans="1:58" ht="35.65" x14ac:dyDescent="0.45">
      <c r="A325" s="56" t="s">
        <v>1185</v>
      </c>
      <c r="B325" s="506" t="s">
        <v>1824</v>
      </c>
      <c r="C325" s="507" t="s">
        <v>1795</v>
      </c>
      <c r="D325" s="507" t="s">
        <v>1795</v>
      </c>
      <c r="E325" s="507" t="s">
        <v>1823</v>
      </c>
      <c r="F325" s="507" t="s">
        <v>1818</v>
      </c>
      <c r="G325" s="507">
        <v>63</v>
      </c>
      <c r="H325" s="508" t="s">
        <v>267</v>
      </c>
      <c r="I325" s="507" t="s">
        <v>1826</v>
      </c>
      <c r="J325" s="508" t="s">
        <v>1055</v>
      </c>
      <c r="K325" s="57" t="s">
        <v>1186</v>
      </c>
      <c r="L325" s="58" t="s">
        <v>846</v>
      </c>
      <c r="M325" s="59" t="s">
        <v>1187</v>
      </c>
      <c r="N325" s="60" t="s">
        <v>367</v>
      </c>
      <c r="O325" s="61">
        <v>70504.88</v>
      </c>
      <c r="P325" s="62">
        <v>0.78</v>
      </c>
      <c r="Q325" s="63">
        <f t="shared" si="276"/>
        <v>54993.81</v>
      </c>
      <c r="R325" s="61">
        <f>IFERROR(SUMIFS('BM MORRO DA CRUZ - VERTICAL'!V$6:V$546,'BM MORRO DA CRUZ - VERTICAL'!$O$6:$O$546,'BM MORRO DA CRUZ'!$K325),0)</f>
        <v>0</v>
      </c>
      <c r="S325" s="63">
        <f t="shared" si="277"/>
        <v>0</v>
      </c>
      <c r="T325" s="61">
        <f>IFERROR(SUMIFS('BM MORRO DA CRUZ - VERTICAL'!X$6:X$546,'BM MORRO DA CRUZ - VERTICAL'!$O$6:$O$546,'BM MORRO DA CRUZ'!$K325),0)</f>
        <v>0</v>
      </c>
      <c r="U325" s="63">
        <f t="shared" si="278"/>
        <v>0</v>
      </c>
      <c r="V325" s="61">
        <f>IFERROR(SUMIFS('BM MORRO DA CRUZ - VERTICAL'!Z$6:Z$546,'BM MORRO DA CRUZ - VERTICAL'!$O$6:$O$546,'BM MORRO DA CRUZ'!$K325),0)</f>
        <v>0</v>
      </c>
      <c r="W325" s="63">
        <f t="shared" si="279"/>
        <v>0</v>
      </c>
      <c r="X325" s="61">
        <f>IFERROR(SUMIFS('BM MORRO DA CRUZ - VERTICAL'!AB$6:AB$546,'BM MORRO DA CRUZ - VERTICAL'!$O$6:$O$546,'BM MORRO DA CRUZ'!$K325),0)</f>
        <v>0</v>
      </c>
      <c r="Y325" s="63">
        <f t="shared" si="280"/>
        <v>0</v>
      </c>
      <c r="Z325" s="61">
        <f>IFERROR(SUMIFS('BM MORRO DA CRUZ - VERTICAL'!AD$6:AD$546,'BM MORRO DA CRUZ - VERTICAL'!$O$6:$O$546,'BM MORRO DA CRUZ'!$K325),0)</f>
        <v>0</v>
      </c>
      <c r="AA325" s="63">
        <f t="shared" si="281"/>
        <v>0</v>
      </c>
      <c r="AB325" s="61">
        <f>IFERROR(SUMIFS('BM MORRO DA CRUZ - VERTICAL'!AF$6:AF$546,'BM MORRO DA CRUZ - VERTICAL'!$O$6:$O$546,'BM MORRO DA CRUZ'!$K325),0)</f>
        <v>0</v>
      </c>
      <c r="AC325" s="63">
        <f t="shared" si="282"/>
        <v>0</v>
      </c>
      <c r="AD325" s="61">
        <f>IFERROR(SUMIFS('BM MORRO DA CRUZ - VERTICAL'!AH$6:AH$546,'BM MORRO DA CRUZ - VERTICAL'!$O$6:$O$546,'BM MORRO DA CRUZ'!$K325),0)</f>
        <v>0</v>
      </c>
      <c r="AE325" s="63">
        <f t="shared" si="283"/>
        <v>0</v>
      </c>
      <c r="AF325" s="61">
        <f>IFERROR(SUMIFS('BM MORRO DA CRUZ - VERTICAL'!AJ$6:AJ$546,'BM MORRO DA CRUZ - VERTICAL'!$O$6:$O$546,'BM MORRO DA CRUZ'!$K325),0)</f>
        <v>0</v>
      </c>
      <c r="AG325" s="63">
        <f t="shared" si="284"/>
        <v>0</v>
      </c>
      <c r="AH325" s="61">
        <f>IFERROR(SUMIFS('BM MORRO DA CRUZ - VERTICAL'!AL$6:AL$546,'BM MORRO DA CRUZ - VERTICAL'!$O$6:$O$546,'BM MORRO DA CRUZ'!$K325),0)</f>
        <v>0</v>
      </c>
      <c r="AI325" s="63">
        <f t="shared" si="285"/>
        <v>0</v>
      </c>
      <c r="AJ325" s="61">
        <f>IFERROR(SUMIFS('BM MORRO DA CRUZ - VERTICAL'!AN$6:AN$546,'BM MORRO DA CRUZ - VERTICAL'!$O$6:$O$546,'BM MORRO DA CRUZ'!$K325),0)</f>
        <v>0</v>
      </c>
      <c r="AK325" s="63">
        <f t="shared" si="286"/>
        <v>0</v>
      </c>
      <c r="AL325" s="61">
        <f>IFERROR(SUMIFS('BM MORRO DA CRUZ - VERTICAL'!AP$6:AP$546,'BM MORRO DA CRUZ - VERTICAL'!$O$6:$O$546,'BM MORRO DA CRUZ'!$K325),0)</f>
        <v>0</v>
      </c>
      <c r="AM325" s="63">
        <f t="shared" si="287"/>
        <v>0</v>
      </c>
      <c r="AN325" s="61">
        <f>IFERROR(SUMIFS('BM MORRO DA CRUZ - VERTICAL'!AR$6:AR$546,'BM MORRO DA CRUZ - VERTICAL'!$O$6:$O$546,'BM MORRO DA CRUZ'!$K325),0)</f>
        <v>0</v>
      </c>
      <c r="AO325" s="63">
        <f t="shared" si="288"/>
        <v>0</v>
      </c>
      <c r="AP325" s="61">
        <f>IFERROR(SUMIFS('BM MORRO DA CRUZ - VERTICAL'!AT$6:AT$546,'BM MORRO DA CRUZ - VERTICAL'!$O$6:$O$546,'BM MORRO DA CRUZ'!$K325),0)</f>
        <v>0</v>
      </c>
      <c r="AQ325" s="63">
        <f t="shared" si="289"/>
        <v>0</v>
      </c>
      <c r="AR325" s="61">
        <f>IFERROR(SUMIFS('BM MORRO DA CRUZ - VERTICAL'!AV$6:AV$546,'BM MORRO DA CRUZ - VERTICAL'!$O$6:$O$546,'BM MORRO DA CRUZ'!$K325),0)</f>
        <v>0</v>
      </c>
      <c r="AS325" s="63">
        <f t="shared" si="290"/>
        <v>0</v>
      </c>
      <c r="AT325" s="61">
        <f>IFERROR(SUMIFS('BM MORRO DA CRUZ - VERTICAL'!AX$6:AX$546,'BM MORRO DA CRUZ - VERTICAL'!$O$6:$O$546,'BM MORRO DA CRUZ'!$K325),0)</f>
        <v>0</v>
      </c>
      <c r="AU325" s="63">
        <f t="shared" si="291"/>
        <v>0</v>
      </c>
      <c r="AV325" s="61">
        <f>IFERROR(SUMIFS('BM MORRO DA CRUZ - VERTICAL'!AZ$6:AZ$546,'BM MORRO DA CRUZ - VERTICAL'!$O$6:$O$546,'BM MORRO DA CRUZ'!$K325),0)</f>
        <v>0</v>
      </c>
      <c r="AW325" s="63">
        <f t="shared" si="292"/>
        <v>0</v>
      </c>
      <c r="AX325" s="61">
        <f>IFERROR(SUMIFS('BM MORRO DA CRUZ - VERTICAL'!BB$6:BB$546,'BM MORRO DA CRUZ - VERTICAL'!$O$6:$O$546,'BM MORRO DA CRUZ'!$K325),0)</f>
        <v>0</v>
      </c>
      <c r="AY325" s="63">
        <f t="shared" si="293"/>
        <v>0</v>
      </c>
      <c r="AZ325" s="61">
        <f>IFERROR(SUMIFS('BM MORRO DA CRUZ - VERTICAL'!BD$6:BD$546,'BM MORRO DA CRUZ - VERTICAL'!$O$6:$O$546,'BM MORRO DA CRUZ'!$K325),0)</f>
        <v>0</v>
      </c>
      <c r="BA325" s="63">
        <f t="shared" si="294"/>
        <v>0</v>
      </c>
      <c r="BB325" s="61">
        <f t="shared" si="295"/>
        <v>0</v>
      </c>
      <c r="BC325" s="63">
        <f t="shared" si="296"/>
        <v>0</v>
      </c>
      <c r="BD325" s="64">
        <f t="shared" si="297"/>
        <v>0</v>
      </c>
      <c r="BE325" s="65">
        <f t="shared" si="298"/>
        <v>1</v>
      </c>
      <c r="BF325" s="45"/>
    </row>
    <row r="326" spans="1:58" ht="35.65" x14ac:dyDescent="0.45">
      <c r="A326" s="56" t="s">
        <v>1188</v>
      </c>
      <c r="B326" s="506" t="s">
        <v>1824</v>
      </c>
      <c r="C326" s="507" t="s">
        <v>1795</v>
      </c>
      <c r="D326" s="507" t="s">
        <v>1795</v>
      </c>
      <c r="E326" s="507" t="s">
        <v>1823</v>
      </c>
      <c r="F326" s="507" t="s">
        <v>1818</v>
      </c>
      <c r="G326" s="507">
        <v>90</v>
      </c>
      <c r="H326" s="508" t="s">
        <v>267</v>
      </c>
      <c r="I326" s="507" t="s">
        <v>763</v>
      </c>
      <c r="J326" s="508" t="s">
        <v>1055</v>
      </c>
      <c r="K326" s="57" t="s">
        <v>1189</v>
      </c>
      <c r="L326" s="58" t="s">
        <v>846</v>
      </c>
      <c r="M326" s="59" t="s">
        <v>1190</v>
      </c>
      <c r="N326" s="60" t="s">
        <v>367</v>
      </c>
      <c r="O326" s="61">
        <v>7892.38</v>
      </c>
      <c r="P326" s="62">
        <v>1.1100000000000001</v>
      </c>
      <c r="Q326" s="63">
        <f t="shared" si="276"/>
        <v>8760.5400000000009</v>
      </c>
      <c r="R326" s="61">
        <f>IFERROR(SUMIFS('BM MORRO DA CRUZ - VERTICAL'!V$6:V$546,'BM MORRO DA CRUZ - VERTICAL'!$O$6:$O$546,'BM MORRO DA CRUZ'!$K326),0)</f>
        <v>0</v>
      </c>
      <c r="S326" s="63">
        <f t="shared" si="277"/>
        <v>0</v>
      </c>
      <c r="T326" s="61">
        <f>IFERROR(SUMIFS('BM MORRO DA CRUZ - VERTICAL'!X$6:X$546,'BM MORRO DA CRUZ - VERTICAL'!$O$6:$O$546,'BM MORRO DA CRUZ'!$K326),0)</f>
        <v>0</v>
      </c>
      <c r="U326" s="63">
        <f t="shared" si="278"/>
        <v>0</v>
      </c>
      <c r="V326" s="61">
        <f>IFERROR(SUMIFS('BM MORRO DA CRUZ - VERTICAL'!Z$6:Z$546,'BM MORRO DA CRUZ - VERTICAL'!$O$6:$O$546,'BM MORRO DA CRUZ'!$K326),0)</f>
        <v>0</v>
      </c>
      <c r="W326" s="63">
        <f t="shared" si="279"/>
        <v>0</v>
      </c>
      <c r="X326" s="61">
        <f>IFERROR(SUMIFS('BM MORRO DA CRUZ - VERTICAL'!AB$6:AB$546,'BM MORRO DA CRUZ - VERTICAL'!$O$6:$O$546,'BM MORRO DA CRUZ'!$K326),0)</f>
        <v>0</v>
      </c>
      <c r="Y326" s="63">
        <f t="shared" si="280"/>
        <v>0</v>
      </c>
      <c r="Z326" s="61">
        <f>IFERROR(SUMIFS('BM MORRO DA CRUZ - VERTICAL'!AD$6:AD$546,'BM MORRO DA CRUZ - VERTICAL'!$O$6:$O$546,'BM MORRO DA CRUZ'!$K326),0)</f>
        <v>0</v>
      </c>
      <c r="AA326" s="63">
        <f t="shared" si="281"/>
        <v>0</v>
      </c>
      <c r="AB326" s="61">
        <f>IFERROR(SUMIFS('BM MORRO DA CRUZ - VERTICAL'!AF$6:AF$546,'BM MORRO DA CRUZ - VERTICAL'!$O$6:$O$546,'BM MORRO DA CRUZ'!$K326),0)</f>
        <v>0</v>
      </c>
      <c r="AC326" s="63">
        <f t="shared" si="282"/>
        <v>0</v>
      </c>
      <c r="AD326" s="61">
        <f>IFERROR(SUMIFS('BM MORRO DA CRUZ - VERTICAL'!AH$6:AH$546,'BM MORRO DA CRUZ - VERTICAL'!$O$6:$O$546,'BM MORRO DA CRUZ'!$K326),0)</f>
        <v>0</v>
      </c>
      <c r="AE326" s="63">
        <f t="shared" si="283"/>
        <v>0</v>
      </c>
      <c r="AF326" s="61">
        <f>IFERROR(SUMIFS('BM MORRO DA CRUZ - VERTICAL'!AJ$6:AJ$546,'BM MORRO DA CRUZ - VERTICAL'!$O$6:$O$546,'BM MORRO DA CRUZ'!$K326),0)</f>
        <v>0</v>
      </c>
      <c r="AG326" s="63">
        <f t="shared" si="284"/>
        <v>0</v>
      </c>
      <c r="AH326" s="61">
        <f>IFERROR(SUMIFS('BM MORRO DA CRUZ - VERTICAL'!AL$6:AL$546,'BM MORRO DA CRUZ - VERTICAL'!$O$6:$O$546,'BM MORRO DA CRUZ'!$K326),0)</f>
        <v>0</v>
      </c>
      <c r="AI326" s="63">
        <f t="shared" si="285"/>
        <v>0</v>
      </c>
      <c r="AJ326" s="61">
        <f>IFERROR(SUMIFS('BM MORRO DA CRUZ - VERTICAL'!AN$6:AN$546,'BM MORRO DA CRUZ - VERTICAL'!$O$6:$O$546,'BM MORRO DA CRUZ'!$K326),0)</f>
        <v>0</v>
      </c>
      <c r="AK326" s="63">
        <f t="shared" si="286"/>
        <v>0</v>
      </c>
      <c r="AL326" s="61">
        <f>IFERROR(SUMIFS('BM MORRO DA CRUZ - VERTICAL'!AP$6:AP$546,'BM MORRO DA CRUZ - VERTICAL'!$O$6:$O$546,'BM MORRO DA CRUZ'!$K326),0)</f>
        <v>0</v>
      </c>
      <c r="AM326" s="63">
        <f t="shared" si="287"/>
        <v>0</v>
      </c>
      <c r="AN326" s="61">
        <f>IFERROR(SUMIFS('BM MORRO DA CRUZ - VERTICAL'!AR$6:AR$546,'BM MORRO DA CRUZ - VERTICAL'!$O$6:$O$546,'BM MORRO DA CRUZ'!$K326),0)</f>
        <v>0</v>
      </c>
      <c r="AO326" s="63">
        <f t="shared" si="288"/>
        <v>0</v>
      </c>
      <c r="AP326" s="61">
        <f>IFERROR(SUMIFS('BM MORRO DA CRUZ - VERTICAL'!AT$6:AT$546,'BM MORRO DA CRUZ - VERTICAL'!$O$6:$O$546,'BM MORRO DA CRUZ'!$K326),0)</f>
        <v>0</v>
      </c>
      <c r="AQ326" s="63">
        <f t="shared" si="289"/>
        <v>0</v>
      </c>
      <c r="AR326" s="61">
        <f>IFERROR(SUMIFS('BM MORRO DA CRUZ - VERTICAL'!AV$6:AV$546,'BM MORRO DA CRUZ - VERTICAL'!$O$6:$O$546,'BM MORRO DA CRUZ'!$K326),0)</f>
        <v>0</v>
      </c>
      <c r="AS326" s="63">
        <f t="shared" si="290"/>
        <v>0</v>
      </c>
      <c r="AT326" s="61">
        <f>IFERROR(SUMIFS('BM MORRO DA CRUZ - VERTICAL'!AX$6:AX$546,'BM MORRO DA CRUZ - VERTICAL'!$O$6:$O$546,'BM MORRO DA CRUZ'!$K326),0)</f>
        <v>0</v>
      </c>
      <c r="AU326" s="63">
        <f t="shared" si="291"/>
        <v>0</v>
      </c>
      <c r="AV326" s="61">
        <f>IFERROR(SUMIFS('BM MORRO DA CRUZ - VERTICAL'!AZ$6:AZ$546,'BM MORRO DA CRUZ - VERTICAL'!$O$6:$O$546,'BM MORRO DA CRUZ'!$K326),0)</f>
        <v>0</v>
      </c>
      <c r="AW326" s="63">
        <f t="shared" si="292"/>
        <v>0</v>
      </c>
      <c r="AX326" s="61">
        <f>IFERROR(SUMIFS('BM MORRO DA CRUZ - VERTICAL'!BB$6:BB$546,'BM MORRO DA CRUZ - VERTICAL'!$O$6:$O$546,'BM MORRO DA CRUZ'!$K326),0)</f>
        <v>0</v>
      </c>
      <c r="AY326" s="63">
        <f t="shared" si="293"/>
        <v>0</v>
      </c>
      <c r="AZ326" s="61">
        <f>IFERROR(SUMIFS('BM MORRO DA CRUZ - VERTICAL'!BD$6:BD$546,'BM MORRO DA CRUZ - VERTICAL'!$O$6:$O$546,'BM MORRO DA CRUZ'!$K326),0)</f>
        <v>0</v>
      </c>
      <c r="BA326" s="63">
        <f t="shared" si="294"/>
        <v>0</v>
      </c>
      <c r="BB326" s="61">
        <f t="shared" si="295"/>
        <v>0</v>
      </c>
      <c r="BC326" s="63">
        <f t="shared" si="296"/>
        <v>0</v>
      </c>
      <c r="BD326" s="64">
        <f t="shared" si="297"/>
        <v>0</v>
      </c>
      <c r="BE326" s="65">
        <f t="shared" si="298"/>
        <v>1</v>
      </c>
      <c r="BF326" s="45"/>
    </row>
    <row r="327" spans="1:58" ht="35.65" x14ac:dyDescent="0.45">
      <c r="A327" s="56" t="s">
        <v>1191</v>
      </c>
      <c r="B327" s="506" t="s">
        <v>1827</v>
      </c>
      <c r="C327" s="507" t="s">
        <v>1795</v>
      </c>
      <c r="D327" s="507" t="s">
        <v>1795</v>
      </c>
      <c r="E327" s="507" t="s">
        <v>1828</v>
      </c>
      <c r="F327" s="507" t="s">
        <v>266</v>
      </c>
      <c r="G327" s="507">
        <v>110</v>
      </c>
      <c r="H327" s="508" t="s">
        <v>267</v>
      </c>
      <c r="I327" s="507" t="s">
        <v>763</v>
      </c>
      <c r="J327" s="508" t="s">
        <v>1829</v>
      </c>
      <c r="K327" s="57" t="s">
        <v>1192</v>
      </c>
      <c r="L327" s="58" t="s">
        <v>846</v>
      </c>
      <c r="M327" s="59" t="s">
        <v>1193</v>
      </c>
      <c r="N327" s="60" t="s">
        <v>71</v>
      </c>
      <c r="O327" s="61">
        <v>1446</v>
      </c>
      <c r="P327" s="62">
        <v>15.56</v>
      </c>
      <c r="Q327" s="63">
        <f t="shared" si="276"/>
        <v>22499.759999999998</v>
      </c>
      <c r="R327" s="61">
        <f>IFERROR(SUMIFS('BM MORRO DA CRUZ - VERTICAL'!V$6:V$546,'BM MORRO DA CRUZ - VERTICAL'!$O$6:$O$546,'BM MORRO DA CRUZ'!$K327),0)</f>
        <v>0</v>
      </c>
      <c r="S327" s="63">
        <f t="shared" si="277"/>
        <v>0</v>
      </c>
      <c r="T327" s="61">
        <f>IFERROR(SUMIFS('BM MORRO DA CRUZ - VERTICAL'!X$6:X$546,'BM MORRO DA CRUZ - VERTICAL'!$O$6:$O$546,'BM MORRO DA CRUZ'!$K327),0)</f>
        <v>0</v>
      </c>
      <c r="U327" s="63">
        <f t="shared" si="278"/>
        <v>0</v>
      </c>
      <c r="V327" s="61">
        <f>IFERROR(SUMIFS('BM MORRO DA CRUZ - VERTICAL'!Z$6:Z$546,'BM MORRO DA CRUZ - VERTICAL'!$O$6:$O$546,'BM MORRO DA CRUZ'!$K327),0)</f>
        <v>0</v>
      </c>
      <c r="W327" s="63">
        <f t="shared" si="279"/>
        <v>0</v>
      </c>
      <c r="X327" s="61">
        <f>IFERROR(SUMIFS('BM MORRO DA CRUZ - VERTICAL'!AB$6:AB$546,'BM MORRO DA CRUZ - VERTICAL'!$O$6:$O$546,'BM MORRO DA CRUZ'!$K327),0)</f>
        <v>0</v>
      </c>
      <c r="Y327" s="63">
        <f t="shared" si="280"/>
        <v>0</v>
      </c>
      <c r="Z327" s="61">
        <f>IFERROR(SUMIFS('BM MORRO DA CRUZ - VERTICAL'!AD$6:AD$546,'BM MORRO DA CRUZ - VERTICAL'!$O$6:$O$546,'BM MORRO DA CRUZ'!$K327),0)</f>
        <v>0</v>
      </c>
      <c r="AA327" s="63">
        <f t="shared" si="281"/>
        <v>0</v>
      </c>
      <c r="AB327" s="61">
        <f>IFERROR(SUMIFS('BM MORRO DA CRUZ - VERTICAL'!AF$6:AF$546,'BM MORRO DA CRUZ - VERTICAL'!$O$6:$O$546,'BM MORRO DA CRUZ'!$K327),0)</f>
        <v>0</v>
      </c>
      <c r="AC327" s="63">
        <f t="shared" si="282"/>
        <v>0</v>
      </c>
      <c r="AD327" s="61">
        <f>IFERROR(SUMIFS('BM MORRO DA CRUZ - VERTICAL'!AH$6:AH$546,'BM MORRO DA CRUZ - VERTICAL'!$O$6:$O$546,'BM MORRO DA CRUZ'!$K327),0)</f>
        <v>0</v>
      </c>
      <c r="AE327" s="63">
        <f t="shared" si="283"/>
        <v>0</v>
      </c>
      <c r="AF327" s="61">
        <f>IFERROR(SUMIFS('BM MORRO DA CRUZ - VERTICAL'!AJ$6:AJ$546,'BM MORRO DA CRUZ - VERTICAL'!$O$6:$O$546,'BM MORRO DA CRUZ'!$K327),0)</f>
        <v>0</v>
      </c>
      <c r="AG327" s="63">
        <f t="shared" si="284"/>
        <v>0</v>
      </c>
      <c r="AH327" s="61">
        <f>IFERROR(SUMIFS('BM MORRO DA CRUZ - VERTICAL'!AL$6:AL$546,'BM MORRO DA CRUZ - VERTICAL'!$O$6:$O$546,'BM MORRO DA CRUZ'!$K327),0)</f>
        <v>0</v>
      </c>
      <c r="AI327" s="63">
        <f t="shared" si="285"/>
        <v>0</v>
      </c>
      <c r="AJ327" s="61">
        <f>IFERROR(SUMIFS('BM MORRO DA CRUZ - VERTICAL'!AN$6:AN$546,'BM MORRO DA CRUZ - VERTICAL'!$O$6:$O$546,'BM MORRO DA CRUZ'!$K327),0)</f>
        <v>0</v>
      </c>
      <c r="AK327" s="63">
        <f t="shared" si="286"/>
        <v>0</v>
      </c>
      <c r="AL327" s="61">
        <f>IFERROR(SUMIFS('BM MORRO DA CRUZ - VERTICAL'!AP$6:AP$546,'BM MORRO DA CRUZ - VERTICAL'!$O$6:$O$546,'BM MORRO DA CRUZ'!$K327),0)</f>
        <v>0</v>
      </c>
      <c r="AM327" s="63">
        <f t="shared" si="287"/>
        <v>0</v>
      </c>
      <c r="AN327" s="61">
        <f>IFERROR(SUMIFS('BM MORRO DA CRUZ - VERTICAL'!AR$6:AR$546,'BM MORRO DA CRUZ - VERTICAL'!$O$6:$O$546,'BM MORRO DA CRUZ'!$K327),0)</f>
        <v>0</v>
      </c>
      <c r="AO327" s="63">
        <f t="shared" si="288"/>
        <v>0</v>
      </c>
      <c r="AP327" s="61">
        <f>IFERROR(SUMIFS('BM MORRO DA CRUZ - VERTICAL'!AT$6:AT$546,'BM MORRO DA CRUZ - VERTICAL'!$O$6:$O$546,'BM MORRO DA CRUZ'!$K327),0)</f>
        <v>0</v>
      </c>
      <c r="AQ327" s="63">
        <f t="shared" si="289"/>
        <v>0</v>
      </c>
      <c r="AR327" s="61">
        <f>IFERROR(SUMIFS('BM MORRO DA CRUZ - VERTICAL'!AV$6:AV$546,'BM MORRO DA CRUZ - VERTICAL'!$O$6:$O$546,'BM MORRO DA CRUZ'!$K327),0)</f>
        <v>0</v>
      </c>
      <c r="AS327" s="63">
        <f t="shared" si="290"/>
        <v>0</v>
      </c>
      <c r="AT327" s="61">
        <f>IFERROR(SUMIFS('BM MORRO DA CRUZ - VERTICAL'!AX$6:AX$546,'BM MORRO DA CRUZ - VERTICAL'!$O$6:$O$546,'BM MORRO DA CRUZ'!$K327),0)</f>
        <v>0</v>
      </c>
      <c r="AU327" s="63">
        <f t="shared" si="291"/>
        <v>0</v>
      </c>
      <c r="AV327" s="61">
        <f>IFERROR(SUMIFS('BM MORRO DA CRUZ - VERTICAL'!AZ$6:AZ$546,'BM MORRO DA CRUZ - VERTICAL'!$O$6:$O$546,'BM MORRO DA CRUZ'!$K327),0)</f>
        <v>0</v>
      </c>
      <c r="AW327" s="63">
        <f t="shared" si="292"/>
        <v>0</v>
      </c>
      <c r="AX327" s="61">
        <f>IFERROR(SUMIFS('BM MORRO DA CRUZ - VERTICAL'!BB$6:BB$546,'BM MORRO DA CRUZ - VERTICAL'!$O$6:$O$546,'BM MORRO DA CRUZ'!$K327),0)</f>
        <v>0</v>
      </c>
      <c r="AY327" s="63">
        <f t="shared" si="293"/>
        <v>0</v>
      </c>
      <c r="AZ327" s="61">
        <f>IFERROR(SUMIFS('BM MORRO DA CRUZ - VERTICAL'!BD$6:BD$546,'BM MORRO DA CRUZ - VERTICAL'!$O$6:$O$546,'BM MORRO DA CRUZ'!$K327),0)</f>
        <v>0</v>
      </c>
      <c r="BA327" s="63">
        <f t="shared" si="294"/>
        <v>0</v>
      </c>
      <c r="BB327" s="61">
        <f t="shared" si="295"/>
        <v>0</v>
      </c>
      <c r="BC327" s="63">
        <f t="shared" si="296"/>
        <v>0</v>
      </c>
      <c r="BD327" s="64">
        <f t="shared" si="297"/>
        <v>0</v>
      </c>
      <c r="BE327" s="65">
        <f t="shared" si="298"/>
        <v>1</v>
      </c>
      <c r="BF327" s="45"/>
    </row>
    <row r="328" spans="1:58" ht="35.65" x14ac:dyDescent="0.45">
      <c r="A328" s="56" t="s">
        <v>1194</v>
      </c>
      <c r="B328" s="506" t="s">
        <v>1827</v>
      </c>
      <c r="C328" s="507" t="s">
        <v>1795</v>
      </c>
      <c r="D328" s="507" t="s">
        <v>1795</v>
      </c>
      <c r="E328" s="507" t="s">
        <v>1828</v>
      </c>
      <c r="F328" s="507" t="s">
        <v>266</v>
      </c>
      <c r="G328" s="507">
        <v>63</v>
      </c>
      <c r="H328" s="508" t="s">
        <v>267</v>
      </c>
      <c r="I328" s="507" t="s">
        <v>1760</v>
      </c>
      <c r="J328" s="508" t="s">
        <v>1829</v>
      </c>
      <c r="K328" s="57" t="s">
        <v>1195</v>
      </c>
      <c r="L328" s="58" t="s">
        <v>846</v>
      </c>
      <c r="M328" s="59" t="s">
        <v>1196</v>
      </c>
      <c r="N328" s="60" t="s">
        <v>71</v>
      </c>
      <c r="O328" s="61">
        <v>11750</v>
      </c>
      <c r="P328" s="62">
        <v>10.14</v>
      </c>
      <c r="Q328" s="63">
        <f t="shared" si="276"/>
        <v>119145</v>
      </c>
      <c r="R328" s="61">
        <f>IFERROR(SUMIFS('BM MORRO DA CRUZ - VERTICAL'!V$6:V$546,'BM MORRO DA CRUZ - VERTICAL'!$O$6:$O$546,'BM MORRO DA CRUZ'!$K328),0)</f>
        <v>0</v>
      </c>
      <c r="S328" s="63">
        <f t="shared" si="277"/>
        <v>0</v>
      </c>
      <c r="T328" s="61">
        <f>IFERROR(SUMIFS('BM MORRO DA CRUZ - VERTICAL'!X$6:X$546,'BM MORRO DA CRUZ - VERTICAL'!$O$6:$O$546,'BM MORRO DA CRUZ'!$K328),0)</f>
        <v>0</v>
      </c>
      <c r="U328" s="63">
        <f t="shared" si="278"/>
        <v>0</v>
      </c>
      <c r="V328" s="61">
        <f>IFERROR(SUMIFS('BM MORRO DA CRUZ - VERTICAL'!Z$6:Z$546,'BM MORRO DA CRUZ - VERTICAL'!$O$6:$O$546,'BM MORRO DA CRUZ'!$K328),0)</f>
        <v>0</v>
      </c>
      <c r="W328" s="63">
        <f t="shared" si="279"/>
        <v>0</v>
      </c>
      <c r="X328" s="61">
        <f>IFERROR(SUMIFS('BM MORRO DA CRUZ - VERTICAL'!AB$6:AB$546,'BM MORRO DA CRUZ - VERTICAL'!$O$6:$O$546,'BM MORRO DA CRUZ'!$K328),0)</f>
        <v>0</v>
      </c>
      <c r="Y328" s="63">
        <f t="shared" si="280"/>
        <v>0</v>
      </c>
      <c r="Z328" s="61">
        <f>IFERROR(SUMIFS('BM MORRO DA CRUZ - VERTICAL'!AD$6:AD$546,'BM MORRO DA CRUZ - VERTICAL'!$O$6:$O$546,'BM MORRO DA CRUZ'!$K328),0)</f>
        <v>0</v>
      </c>
      <c r="AA328" s="63">
        <f t="shared" si="281"/>
        <v>0</v>
      </c>
      <c r="AB328" s="61">
        <f>IFERROR(SUMIFS('BM MORRO DA CRUZ - VERTICAL'!AF$6:AF$546,'BM MORRO DA CRUZ - VERTICAL'!$O$6:$O$546,'BM MORRO DA CRUZ'!$K328),0)</f>
        <v>0</v>
      </c>
      <c r="AC328" s="63">
        <f t="shared" si="282"/>
        <v>0</v>
      </c>
      <c r="AD328" s="61">
        <f>IFERROR(SUMIFS('BM MORRO DA CRUZ - VERTICAL'!AH$6:AH$546,'BM MORRO DA CRUZ - VERTICAL'!$O$6:$O$546,'BM MORRO DA CRUZ'!$K328),0)</f>
        <v>0</v>
      </c>
      <c r="AE328" s="63">
        <f t="shared" si="283"/>
        <v>0</v>
      </c>
      <c r="AF328" s="61">
        <f>IFERROR(SUMIFS('BM MORRO DA CRUZ - VERTICAL'!AJ$6:AJ$546,'BM MORRO DA CRUZ - VERTICAL'!$O$6:$O$546,'BM MORRO DA CRUZ'!$K328),0)</f>
        <v>0</v>
      </c>
      <c r="AG328" s="63">
        <f t="shared" si="284"/>
        <v>0</v>
      </c>
      <c r="AH328" s="61">
        <f>IFERROR(SUMIFS('BM MORRO DA CRUZ - VERTICAL'!AL$6:AL$546,'BM MORRO DA CRUZ - VERTICAL'!$O$6:$O$546,'BM MORRO DA CRUZ'!$K328),0)</f>
        <v>0</v>
      </c>
      <c r="AI328" s="63">
        <f t="shared" si="285"/>
        <v>0</v>
      </c>
      <c r="AJ328" s="61">
        <f>IFERROR(SUMIFS('BM MORRO DA CRUZ - VERTICAL'!AN$6:AN$546,'BM MORRO DA CRUZ - VERTICAL'!$O$6:$O$546,'BM MORRO DA CRUZ'!$K328),0)</f>
        <v>0</v>
      </c>
      <c r="AK328" s="63">
        <f t="shared" si="286"/>
        <v>0</v>
      </c>
      <c r="AL328" s="61">
        <f>IFERROR(SUMIFS('BM MORRO DA CRUZ - VERTICAL'!AP$6:AP$546,'BM MORRO DA CRUZ - VERTICAL'!$O$6:$O$546,'BM MORRO DA CRUZ'!$K328),0)</f>
        <v>0</v>
      </c>
      <c r="AM328" s="63">
        <f t="shared" si="287"/>
        <v>0</v>
      </c>
      <c r="AN328" s="61">
        <f>IFERROR(SUMIFS('BM MORRO DA CRUZ - VERTICAL'!AR$6:AR$546,'BM MORRO DA CRUZ - VERTICAL'!$O$6:$O$546,'BM MORRO DA CRUZ'!$K328),0)</f>
        <v>0</v>
      </c>
      <c r="AO328" s="63">
        <f t="shared" si="288"/>
        <v>0</v>
      </c>
      <c r="AP328" s="61">
        <f>IFERROR(SUMIFS('BM MORRO DA CRUZ - VERTICAL'!AT$6:AT$546,'BM MORRO DA CRUZ - VERTICAL'!$O$6:$O$546,'BM MORRO DA CRUZ'!$K328),0)</f>
        <v>0</v>
      </c>
      <c r="AQ328" s="63">
        <f t="shared" si="289"/>
        <v>0</v>
      </c>
      <c r="AR328" s="61">
        <f>IFERROR(SUMIFS('BM MORRO DA CRUZ - VERTICAL'!AV$6:AV$546,'BM MORRO DA CRUZ - VERTICAL'!$O$6:$O$546,'BM MORRO DA CRUZ'!$K328),0)</f>
        <v>0</v>
      </c>
      <c r="AS328" s="63">
        <f t="shared" si="290"/>
        <v>0</v>
      </c>
      <c r="AT328" s="61">
        <f>IFERROR(SUMIFS('BM MORRO DA CRUZ - VERTICAL'!AX$6:AX$546,'BM MORRO DA CRUZ - VERTICAL'!$O$6:$O$546,'BM MORRO DA CRUZ'!$K328),0)</f>
        <v>0</v>
      </c>
      <c r="AU328" s="63">
        <f t="shared" si="291"/>
        <v>0</v>
      </c>
      <c r="AV328" s="61">
        <f>IFERROR(SUMIFS('BM MORRO DA CRUZ - VERTICAL'!AZ$6:AZ$546,'BM MORRO DA CRUZ - VERTICAL'!$O$6:$O$546,'BM MORRO DA CRUZ'!$K328),0)</f>
        <v>0</v>
      </c>
      <c r="AW328" s="63">
        <f t="shared" si="292"/>
        <v>0</v>
      </c>
      <c r="AX328" s="61">
        <f>IFERROR(SUMIFS('BM MORRO DA CRUZ - VERTICAL'!BB$6:BB$546,'BM MORRO DA CRUZ - VERTICAL'!$O$6:$O$546,'BM MORRO DA CRUZ'!$K328),0)</f>
        <v>0</v>
      </c>
      <c r="AY328" s="63">
        <f t="shared" si="293"/>
        <v>0</v>
      </c>
      <c r="AZ328" s="61">
        <f>IFERROR(SUMIFS('BM MORRO DA CRUZ - VERTICAL'!BD$6:BD$546,'BM MORRO DA CRUZ - VERTICAL'!$O$6:$O$546,'BM MORRO DA CRUZ'!$K328),0)</f>
        <v>0</v>
      </c>
      <c r="BA328" s="63">
        <f t="shared" si="294"/>
        <v>0</v>
      </c>
      <c r="BB328" s="61">
        <f t="shared" si="295"/>
        <v>0</v>
      </c>
      <c r="BC328" s="63">
        <f t="shared" si="296"/>
        <v>0</v>
      </c>
      <c r="BD328" s="64">
        <f t="shared" si="297"/>
        <v>0</v>
      </c>
      <c r="BE328" s="65">
        <f t="shared" si="298"/>
        <v>1</v>
      </c>
      <c r="BF328" s="45"/>
    </row>
    <row r="329" spans="1:58" ht="35.65" x14ac:dyDescent="0.45">
      <c r="A329" s="56" t="s">
        <v>1197</v>
      </c>
      <c r="B329" s="506" t="s">
        <v>1827</v>
      </c>
      <c r="C329" s="507" t="s">
        <v>1795</v>
      </c>
      <c r="D329" s="507" t="s">
        <v>1795</v>
      </c>
      <c r="E329" s="507" t="s">
        <v>1828</v>
      </c>
      <c r="F329" s="507" t="s">
        <v>266</v>
      </c>
      <c r="G329" s="507">
        <v>90</v>
      </c>
      <c r="H329" s="508" t="s">
        <v>267</v>
      </c>
      <c r="I329" s="507" t="s">
        <v>763</v>
      </c>
      <c r="J329" s="508" t="s">
        <v>1829</v>
      </c>
      <c r="K329" s="57" t="s">
        <v>1198</v>
      </c>
      <c r="L329" s="58" t="s">
        <v>846</v>
      </c>
      <c r="M329" s="59" t="s">
        <v>1199</v>
      </c>
      <c r="N329" s="60" t="s">
        <v>71</v>
      </c>
      <c r="O329" s="61">
        <v>1316</v>
      </c>
      <c r="P329" s="62">
        <v>13.25</v>
      </c>
      <c r="Q329" s="63">
        <f t="shared" si="276"/>
        <v>17437</v>
      </c>
      <c r="R329" s="61">
        <f>IFERROR(SUMIFS('BM MORRO DA CRUZ - VERTICAL'!V$6:V$546,'BM MORRO DA CRUZ - VERTICAL'!$O$6:$O$546,'BM MORRO DA CRUZ'!$K329),0)</f>
        <v>0</v>
      </c>
      <c r="S329" s="63">
        <f t="shared" si="277"/>
        <v>0</v>
      </c>
      <c r="T329" s="61">
        <f>IFERROR(SUMIFS('BM MORRO DA CRUZ - VERTICAL'!X$6:X$546,'BM MORRO DA CRUZ - VERTICAL'!$O$6:$O$546,'BM MORRO DA CRUZ'!$K329),0)</f>
        <v>0</v>
      </c>
      <c r="U329" s="63">
        <f t="shared" si="278"/>
        <v>0</v>
      </c>
      <c r="V329" s="61">
        <f>IFERROR(SUMIFS('BM MORRO DA CRUZ - VERTICAL'!Z$6:Z$546,'BM MORRO DA CRUZ - VERTICAL'!$O$6:$O$546,'BM MORRO DA CRUZ'!$K329),0)</f>
        <v>0</v>
      </c>
      <c r="W329" s="63">
        <f t="shared" si="279"/>
        <v>0</v>
      </c>
      <c r="X329" s="61">
        <f>IFERROR(SUMIFS('BM MORRO DA CRUZ - VERTICAL'!AB$6:AB$546,'BM MORRO DA CRUZ - VERTICAL'!$O$6:$O$546,'BM MORRO DA CRUZ'!$K329),0)</f>
        <v>0</v>
      </c>
      <c r="Y329" s="63">
        <f t="shared" si="280"/>
        <v>0</v>
      </c>
      <c r="Z329" s="61">
        <f>IFERROR(SUMIFS('BM MORRO DA CRUZ - VERTICAL'!AD$6:AD$546,'BM MORRO DA CRUZ - VERTICAL'!$O$6:$O$546,'BM MORRO DA CRUZ'!$K329),0)</f>
        <v>0</v>
      </c>
      <c r="AA329" s="63">
        <f t="shared" si="281"/>
        <v>0</v>
      </c>
      <c r="AB329" s="61">
        <f>IFERROR(SUMIFS('BM MORRO DA CRUZ - VERTICAL'!AF$6:AF$546,'BM MORRO DA CRUZ - VERTICAL'!$O$6:$O$546,'BM MORRO DA CRUZ'!$K329),0)</f>
        <v>0</v>
      </c>
      <c r="AC329" s="63">
        <f t="shared" si="282"/>
        <v>0</v>
      </c>
      <c r="AD329" s="61">
        <f>IFERROR(SUMIFS('BM MORRO DA CRUZ - VERTICAL'!AH$6:AH$546,'BM MORRO DA CRUZ - VERTICAL'!$O$6:$O$546,'BM MORRO DA CRUZ'!$K329),0)</f>
        <v>0</v>
      </c>
      <c r="AE329" s="63">
        <f t="shared" si="283"/>
        <v>0</v>
      </c>
      <c r="AF329" s="61">
        <f>IFERROR(SUMIFS('BM MORRO DA CRUZ - VERTICAL'!AJ$6:AJ$546,'BM MORRO DA CRUZ - VERTICAL'!$O$6:$O$546,'BM MORRO DA CRUZ'!$K329),0)</f>
        <v>0</v>
      </c>
      <c r="AG329" s="63">
        <f t="shared" si="284"/>
        <v>0</v>
      </c>
      <c r="AH329" s="61">
        <f>IFERROR(SUMIFS('BM MORRO DA CRUZ - VERTICAL'!AL$6:AL$546,'BM MORRO DA CRUZ - VERTICAL'!$O$6:$O$546,'BM MORRO DA CRUZ'!$K329),0)</f>
        <v>0</v>
      </c>
      <c r="AI329" s="63">
        <f t="shared" si="285"/>
        <v>0</v>
      </c>
      <c r="AJ329" s="61">
        <f>IFERROR(SUMIFS('BM MORRO DA CRUZ - VERTICAL'!AN$6:AN$546,'BM MORRO DA CRUZ - VERTICAL'!$O$6:$O$546,'BM MORRO DA CRUZ'!$K329),0)</f>
        <v>0</v>
      </c>
      <c r="AK329" s="63">
        <f t="shared" si="286"/>
        <v>0</v>
      </c>
      <c r="AL329" s="61">
        <f>IFERROR(SUMIFS('BM MORRO DA CRUZ - VERTICAL'!AP$6:AP$546,'BM MORRO DA CRUZ - VERTICAL'!$O$6:$O$546,'BM MORRO DA CRUZ'!$K329),0)</f>
        <v>0</v>
      </c>
      <c r="AM329" s="63">
        <f t="shared" si="287"/>
        <v>0</v>
      </c>
      <c r="AN329" s="61">
        <f>IFERROR(SUMIFS('BM MORRO DA CRUZ - VERTICAL'!AR$6:AR$546,'BM MORRO DA CRUZ - VERTICAL'!$O$6:$O$546,'BM MORRO DA CRUZ'!$K329),0)</f>
        <v>0</v>
      </c>
      <c r="AO329" s="63">
        <f t="shared" si="288"/>
        <v>0</v>
      </c>
      <c r="AP329" s="61">
        <f>IFERROR(SUMIFS('BM MORRO DA CRUZ - VERTICAL'!AT$6:AT$546,'BM MORRO DA CRUZ - VERTICAL'!$O$6:$O$546,'BM MORRO DA CRUZ'!$K329),0)</f>
        <v>0</v>
      </c>
      <c r="AQ329" s="63">
        <f t="shared" si="289"/>
        <v>0</v>
      </c>
      <c r="AR329" s="61">
        <f>IFERROR(SUMIFS('BM MORRO DA CRUZ - VERTICAL'!AV$6:AV$546,'BM MORRO DA CRUZ - VERTICAL'!$O$6:$O$546,'BM MORRO DA CRUZ'!$K329),0)</f>
        <v>0</v>
      </c>
      <c r="AS329" s="63">
        <f t="shared" si="290"/>
        <v>0</v>
      </c>
      <c r="AT329" s="61">
        <f>IFERROR(SUMIFS('BM MORRO DA CRUZ - VERTICAL'!AX$6:AX$546,'BM MORRO DA CRUZ - VERTICAL'!$O$6:$O$546,'BM MORRO DA CRUZ'!$K329),0)</f>
        <v>0</v>
      </c>
      <c r="AU329" s="63">
        <f t="shared" si="291"/>
        <v>0</v>
      </c>
      <c r="AV329" s="61">
        <f>IFERROR(SUMIFS('BM MORRO DA CRUZ - VERTICAL'!AZ$6:AZ$546,'BM MORRO DA CRUZ - VERTICAL'!$O$6:$O$546,'BM MORRO DA CRUZ'!$K329),0)</f>
        <v>0</v>
      </c>
      <c r="AW329" s="63">
        <f t="shared" si="292"/>
        <v>0</v>
      </c>
      <c r="AX329" s="61">
        <f>IFERROR(SUMIFS('BM MORRO DA CRUZ - VERTICAL'!BB$6:BB$546,'BM MORRO DA CRUZ - VERTICAL'!$O$6:$O$546,'BM MORRO DA CRUZ'!$K329),0)</f>
        <v>0</v>
      </c>
      <c r="AY329" s="63">
        <f t="shared" si="293"/>
        <v>0</v>
      </c>
      <c r="AZ329" s="61">
        <f>IFERROR(SUMIFS('BM MORRO DA CRUZ - VERTICAL'!BD$6:BD$546,'BM MORRO DA CRUZ - VERTICAL'!$O$6:$O$546,'BM MORRO DA CRUZ'!$K329),0)</f>
        <v>0</v>
      </c>
      <c r="BA329" s="63">
        <f t="shared" si="294"/>
        <v>0</v>
      </c>
      <c r="BB329" s="61">
        <f t="shared" si="295"/>
        <v>0</v>
      </c>
      <c r="BC329" s="63">
        <f t="shared" si="296"/>
        <v>0</v>
      </c>
      <c r="BD329" s="64">
        <f t="shared" si="297"/>
        <v>0</v>
      </c>
      <c r="BE329" s="65">
        <f t="shared" si="298"/>
        <v>1</v>
      </c>
      <c r="BF329" s="45"/>
    </row>
    <row r="330" spans="1:58" ht="35.65" x14ac:dyDescent="0.45">
      <c r="A330" s="56" t="s">
        <v>1200</v>
      </c>
      <c r="B330" s="506" t="s">
        <v>1830</v>
      </c>
      <c r="C330" s="507" t="s">
        <v>1795</v>
      </c>
      <c r="D330" s="507" t="s">
        <v>1795</v>
      </c>
      <c r="E330" s="507" t="s">
        <v>1828</v>
      </c>
      <c r="F330" s="507" t="s">
        <v>273</v>
      </c>
      <c r="G330" s="507">
        <v>160</v>
      </c>
      <c r="H330" s="508" t="s">
        <v>267</v>
      </c>
      <c r="I330" s="507" t="s">
        <v>763</v>
      </c>
      <c r="J330" s="508" t="s">
        <v>1829</v>
      </c>
      <c r="K330" s="57" t="s">
        <v>1201</v>
      </c>
      <c r="L330" s="58" t="s">
        <v>846</v>
      </c>
      <c r="M330" s="59" t="s">
        <v>1202</v>
      </c>
      <c r="N330" s="60" t="s">
        <v>71</v>
      </c>
      <c r="O330" s="61">
        <v>2243</v>
      </c>
      <c r="P330" s="62">
        <v>78.84</v>
      </c>
      <c r="Q330" s="63">
        <f t="shared" si="276"/>
        <v>176838.12</v>
      </c>
      <c r="R330" s="61">
        <f>IFERROR(SUMIFS('BM MORRO DA CRUZ - VERTICAL'!V$6:V$546,'BM MORRO DA CRUZ - VERTICAL'!$O$6:$O$546,'BM MORRO DA CRUZ'!$K330),0)</f>
        <v>0</v>
      </c>
      <c r="S330" s="63">
        <f t="shared" si="277"/>
        <v>0</v>
      </c>
      <c r="T330" s="61">
        <f>IFERROR(SUMIFS('BM MORRO DA CRUZ - VERTICAL'!X$6:X$546,'BM MORRO DA CRUZ - VERTICAL'!$O$6:$O$546,'BM MORRO DA CRUZ'!$K330),0)</f>
        <v>0</v>
      </c>
      <c r="U330" s="63">
        <f t="shared" si="278"/>
        <v>0</v>
      </c>
      <c r="V330" s="61">
        <f>IFERROR(SUMIFS('BM MORRO DA CRUZ - VERTICAL'!Z$6:Z$546,'BM MORRO DA CRUZ - VERTICAL'!$O$6:$O$546,'BM MORRO DA CRUZ'!$K330),0)</f>
        <v>0</v>
      </c>
      <c r="W330" s="63">
        <f t="shared" si="279"/>
        <v>0</v>
      </c>
      <c r="X330" s="61">
        <f>IFERROR(SUMIFS('BM MORRO DA CRUZ - VERTICAL'!AB$6:AB$546,'BM MORRO DA CRUZ - VERTICAL'!$O$6:$O$546,'BM MORRO DA CRUZ'!$K330),0)</f>
        <v>0</v>
      </c>
      <c r="Y330" s="63">
        <f t="shared" si="280"/>
        <v>0</v>
      </c>
      <c r="Z330" s="61">
        <f>IFERROR(SUMIFS('BM MORRO DA CRUZ - VERTICAL'!AD$6:AD$546,'BM MORRO DA CRUZ - VERTICAL'!$O$6:$O$546,'BM MORRO DA CRUZ'!$K330),0)</f>
        <v>0</v>
      </c>
      <c r="AA330" s="63">
        <f t="shared" si="281"/>
        <v>0</v>
      </c>
      <c r="AB330" s="61">
        <f>IFERROR(SUMIFS('BM MORRO DA CRUZ - VERTICAL'!AF$6:AF$546,'BM MORRO DA CRUZ - VERTICAL'!$O$6:$O$546,'BM MORRO DA CRUZ'!$K330),0)</f>
        <v>0</v>
      </c>
      <c r="AC330" s="63">
        <f t="shared" si="282"/>
        <v>0</v>
      </c>
      <c r="AD330" s="61">
        <f>IFERROR(SUMIFS('BM MORRO DA CRUZ - VERTICAL'!AH$6:AH$546,'BM MORRO DA CRUZ - VERTICAL'!$O$6:$O$546,'BM MORRO DA CRUZ'!$K330),0)</f>
        <v>0</v>
      </c>
      <c r="AE330" s="63">
        <f t="shared" si="283"/>
        <v>0</v>
      </c>
      <c r="AF330" s="61">
        <f>IFERROR(SUMIFS('BM MORRO DA CRUZ - VERTICAL'!AJ$6:AJ$546,'BM MORRO DA CRUZ - VERTICAL'!$O$6:$O$546,'BM MORRO DA CRUZ'!$K330),0)</f>
        <v>0</v>
      </c>
      <c r="AG330" s="63">
        <f t="shared" si="284"/>
        <v>0</v>
      </c>
      <c r="AH330" s="61">
        <f>IFERROR(SUMIFS('BM MORRO DA CRUZ - VERTICAL'!AL$6:AL$546,'BM MORRO DA CRUZ - VERTICAL'!$O$6:$O$546,'BM MORRO DA CRUZ'!$K330),0)</f>
        <v>0</v>
      </c>
      <c r="AI330" s="63">
        <f t="shared" si="285"/>
        <v>0</v>
      </c>
      <c r="AJ330" s="61">
        <f>IFERROR(SUMIFS('BM MORRO DA CRUZ - VERTICAL'!AN$6:AN$546,'BM MORRO DA CRUZ - VERTICAL'!$O$6:$O$546,'BM MORRO DA CRUZ'!$K330),0)</f>
        <v>0</v>
      </c>
      <c r="AK330" s="63">
        <f t="shared" si="286"/>
        <v>0</v>
      </c>
      <c r="AL330" s="61">
        <f>IFERROR(SUMIFS('BM MORRO DA CRUZ - VERTICAL'!AP$6:AP$546,'BM MORRO DA CRUZ - VERTICAL'!$O$6:$O$546,'BM MORRO DA CRUZ'!$K330),0)</f>
        <v>0</v>
      </c>
      <c r="AM330" s="63">
        <f t="shared" si="287"/>
        <v>0</v>
      </c>
      <c r="AN330" s="61">
        <f>IFERROR(SUMIFS('BM MORRO DA CRUZ - VERTICAL'!AR$6:AR$546,'BM MORRO DA CRUZ - VERTICAL'!$O$6:$O$546,'BM MORRO DA CRUZ'!$K330),0)</f>
        <v>0</v>
      </c>
      <c r="AO330" s="63">
        <f t="shared" si="288"/>
        <v>0</v>
      </c>
      <c r="AP330" s="61">
        <f>IFERROR(SUMIFS('BM MORRO DA CRUZ - VERTICAL'!AT$6:AT$546,'BM MORRO DA CRUZ - VERTICAL'!$O$6:$O$546,'BM MORRO DA CRUZ'!$K330),0)</f>
        <v>0</v>
      </c>
      <c r="AQ330" s="63">
        <f t="shared" si="289"/>
        <v>0</v>
      </c>
      <c r="AR330" s="61">
        <f>IFERROR(SUMIFS('BM MORRO DA CRUZ - VERTICAL'!AV$6:AV$546,'BM MORRO DA CRUZ - VERTICAL'!$O$6:$O$546,'BM MORRO DA CRUZ'!$K330),0)</f>
        <v>0</v>
      </c>
      <c r="AS330" s="63">
        <f t="shared" si="290"/>
        <v>0</v>
      </c>
      <c r="AT330" s="61">
        <f>IFERROR(SUMIFS('BM MORRO DA CRUZ - VERTICAL'!AX$6:AX$546,'BM MORRO DA CRUZ - VERTICAL'!$O$6:$O$546,'BM MORRO DA CRUZ'!$K330),0)</f>
        <v>0</v>
      </c>
      <c r="AU330" s="63">
        <f t="shared" si="291"/>
        <v>0</v>
      </c>
      <c r="AV330" s="61">
        <f>IFERROR(SUMIFS('BM MORRO DA CRUZ - VERTICAL'!AZ$6:AZ$546,'BM MORRO DA CRUZ - VERTICAL'!$O$6:$O$546,'BM MORRO DA CRUZ'!$K330),0)</f>
        <v>0</v>
      </c>
      <c r="AW330" s="63">
        <f t="shared" si="292"/>
        <v>0</v>
      </c>
      <c r="AX330" s="61">
        <f>IFERROR(SUMIFS('BM MORRO DA CRUZ - VERTICAL'!BB$6:BB$546,'BM MORRO DA CRUZ - VERTICAL'!$O$6:$O$546,'BM MORRO DA CRUZ'!$K330),0)</f>
        <v>0</v>
      </c>
      <c r="AY330" s="63">
        <f t="shared" si="293"/>
        <v>0</v>
      </c>
      <c r="AZ330" s="61">
        <f>IFERROR(SUMIFS('BM MORRO DA CRUZ - VERTICAL'!BD$6:BD$546,'BM MORRO DA CRUZ - VERTICAL'!$O$6:$O$546,'BM MORRO DA CRUZ'!$K330),0)</f>
        <v>0</v>
      </c>
      <c r="BA330" s="63">
        <f t="shared" si="294"/>
        <v>0</v>
      </c>
      <c r="BB330" s="61">
        <f t="shared" si="295"/>
        <v>0</v>
      </c>
      <c r="BC330" s="63">
        <f t="shared" si="296"/>
        <v>0</v>
      </c>
      <c r="BD330" s="64">
        <f t="shared" si="297"/>
        <v>0</v>
      </c>
      <c r="BE330" s="65">
        <f t="shared" si="298"/>
        <v>1</v>
      </c>
      <c r="BF330" s="45"/>
    </row>
    <row r="331" spans="1:58" ht="35.65" x14ac:dyDescent="0.45">
      <c r="A331" s="56" t="s">
        <v>1203</v>
      </c>
      <c r="B331" s="506" t="s">
        <v>1830</v>
      </c>
      <c r="C331" s="507" t="s">
        <v>1795</v>
      </c>
      <c r="D331" s="507" t="s">
        <v>1795</v>
      </c>
      <c r="E331" s="507" t="s">
        <v>1828</v>
      </c>
      <c r="F331" s="507" t="s">
        <v>273</v>
      </c>
      <c r="G331" s="507">
        <v>225</v>
      </c>
      <c r="H331" s="508" t="s">
        <v>267</v>
      </c>
      <c r="I331" s="507" t="s">
        <v>1825</v>
      </c>
      <c r="J331" s="508" t="s">
        <v>1829</v>
      </c>
      <c r="K331" s="57" t="s">
        <v>1204</v>
      </c>
      <c r="L331" s="58" t="s">
        <v>846</v>
      </c>
      <c r="M331" s="59" t="s">
        <v>1205</v>
      </c>
      <c r="N331" s="60" t="s">
        <v>71</v>
      </c>
      <c r="O331" s="61">
        <v>691</v>
      </c>
      <c r="P331" s="62">
        <v>168.54</v>
      </c>
      <c r="Q331" s="63">
        <f t="shared" si="276"/>
        <v>116461.14</v>
      </c>
      <c r="R331" s="61">
        <f>IFERROR(SUMIFS('BM MORRO DA CRUZ - VERTICAL'!V$6:V$546,'BM MORRO DA CRUZ - VERTICAL'!$O$6:$O$546,'BM MORRO DA CRUZ'!$K331),0)</f>
        <v>0</v>
      </c>
      <c r="S331" s="63">
        <f t="shared" si="277"/>
        <v>0</v>
      </c>
      <c r="T331" s="61">
        <f>IFERROR(SUMIFS('BM MORRO DA CRUZ - VERTICAL'!X$6:X$546,'BM MORRO DA CRUZ - VERTICAL'!$O$6:$O$546,'BM MORRO DA CRUZ'!$K331),0)</f>
        <v>0</v>
      </c>
      <c r="U331" s="63">
        <f t="shared" si="278"/>
        <v>0</v>
      </c>
      <c r="V331" s="61">
        <f>IFERROR(SUMIFS('BM MORRO DA CRUZ - VERTICAL'!Z$6:Z$546,'BM MORRO DA CRUZ - VERTICAL'!$O$6:$O$546,'BM MORRO DA CRUZ'!$K331),0)</f>
        <v>0</v>
      </c>
      <c r="W331" s="63">
        <f t="shared" si="279"/>
        <v>0</v>
      </c>
      <c r="X331" s="61">
        <f>IFERROR(SUMIFS('BM MORRO DA CRUZ - VERTICAL'!AB$6:AB$546,'BM MORRO DA CRUZ - VERTICAL'!$O$6:$O$546,'BM MORRO DA CRUZ'!$K331),0)</f>
        <v>0</v>
      </c>
      <c r="Y331" s="63">
        <f t="shared" si="280"/>
        <v>0</v>
      </c>
      <c r="Z331" s="61">
        <f>IFERROR(SUMIFS('BM MORRO DA CRUZ - VERTICAL'!AD$6:AD$546,'BM MORRO DA CRUZ - VERTICAL'!$O$6:$O$546,'BM MORRO DA CRUZ'!$K331),0)</f>
        <v>0</v>
      </c>
      <c r="AA331" s="63">
        <f t="shared" si="281"/>
        <v>0</v>
      </c>
      <c r="AB331" s="61">
        <f>IFERROR(SUMIFS('BM MORRO DA CRUZ - VERTICAL'!AF$6:AF$546,'BM MORRO DA CRUZ - VERTICAL'!$O$6:$O$546,'BM MORRO DA CRUZ'!$K331),0)</f>
        <v>0</v>
      </c>
      <c r="AC331" s="63">
        <f t="shared" si="282"/>
        <v>0</v>
      </c>
      <c r="AD331" s="61">
        <f>IFERROR(SUMIFS('BM MORRO DA CRUZ - VERTICAL'!AH$6:AH$546,'BM MORRO DA CRUZ - VERTICAL'!$O$6:$O$546,'BM MORRO DA CRUZ'!$K331),0)</f>
        <v>0</v>
      </c>
      <c r="AE331" s="63">
        <f t="shared" si="283"/>
        <v>0</v>
      </c>
      <c r="AF331" s="61">
        <f>IFERROR(SUMIFS('BM MORRO DA CRUZ - VERTICAL'!AJ$6:AJ$546,'BM MORRO DA CRUZ - VERTICAL'!$O$6:$O$546,'BM MORRO DA CRUZ'!$K331),0)</f>
        <v>0</v>
      </c>
      <c r="AG331" s="63">
        <f t="shared" si="284"/>
        <v>0</v>
      </c>
      <c r="AH331" s="61">
        <f>IFERROR(SUMIFS('BM MORRO DA CRUZ - VERTICAL'!AL$6:AL$546,'BM MORRO DA CRUZ - VERTICAL'!$O$6:$O$546,'BM MORRO DA CRUZ'!$K331),0)</f>
        <v>0</v>
      </c>
      <c r="AI331" s="63">
        <f t="shared" si="285"/>
        <v>0</v>
      </c>
      <c r="AJ331" s="61">
        <f>IFERROR(SUMIFS('BM MORRO DA CRUZ - VERTICAL'!AN$6:AN$546,'BM MORRO DA CRUZ - VERTICAL'!$O$6:$O$546,'BM MORRO DA CRUZ'!$K331),0)</f>
        <v>0</v>
      </c>
      <c r="AK331" s="63">
        <f t="shared" si="286"/>
        <v>0</v>
      </c>
      <c r="AL331" s="61">
        <f>IFERROR(SUMIFS('BM MORRO DA CRUZ - VERTICAL'!AP$6:AP$546,'BM MORRO DA CRUZ - VERTICAL'!$O$6:$O$546,'BM MORRO DA CRUZ'!$K331),0)</f>
        <v>0</v>
      </c>
      <c r="AM331" s="63">
        <f t="shared" si="287"/>
        <v>0</v>
      </c>
      <c r="AN331" s="61">
        <f>IFERROR(SUMIFS('BM MORRO DA CRUZ - VERTICAL'!AR$6:AR$546,'BM MORRO DA CRUZ - VERTICAL'!$O$6:$O$546,'BM MORRO DA CRUZ'!$K331),0)</f>
        <v>0</v>
      </c>
      <c r="AO331" s="63">
        <f t="shared" si="288"/>
        <v>0</v>
      </c>
      <c r="AP331" s="61">
        <f>IFERROR(SUMIFS('BM MORRO DA CRUZ - VERTICAL'!AT$6:AT$546,'BM MORRO DA CRUZ - VERTICAL'!$O$6:$O$546,'BM MORRO DA CRUZ'!$K331),0)</f>
        <v>0</v>
      </c>
      <c r="AQ331" s="63">
        <f t="shared" si="289"/>
        <v>0</v>
      </c>
      <c r="AR331" s="61">
        <f>IFERROR(SUMIFS('BM MORRO DA CRUZ - VERTICAL'!AV$6:AV$546,'BM MORRO DA CRUZ - VERTICAL'!$O$6:$O$546,'BM MORRO DA CRUZ'!$K331),0)</f>
        <v>0</v>
      </c>
      <c r="AS331" s="63">
        <f t="shared" si="290"/>
        <v>0</v>
      </c>
      <c r="AT331" s="61">
        <f>IFERROR(SUMIFS('BM MORRO DA CRUZ - VERTICAL'!AX$6:AX$546,'BM MORRO DA CRUZ - VERTICAL'!$O$6:$O$546,'BM MORRO DA CRUZ'!$K331),0)</f>
        <v>0</v>
      </c>
      <c r="AU331" s="63">
        <f t="shared" si="291"/>
        <v>0</v>
      </c>
      <c r="AV331" s="61">
        <f>IFERROR(SUMIFS('BM MORRO DA CRUZ - VERTICAL'!AZ$6:AZ$546,'BM MORRO DA CRUZ - VERTICAL'!$O$6:$O$546,'BM MORRO DA CRUZ'!$K331),0)</f>
        <v>0</v>
      </c>
      <c r="AW331" s="63">
        <f t="shared" si="292"/>
        <v>0</v>
      </c>
      <c r="AX331" s="61">
        <f>IFERROR(SUMIFS('BM MORRO DA CRUZ - VERTICAL'!BB$6:BB$546,'BM MORRO DA CRUZ - VERTICAL'!$O$6:$O$546,'BM MORRO DA CRUZ'!$K331),0)</f>
        <v>0</v>
      </c>
      <c r="AY331" s="63">
        <f t="shared" si="293"/>
        <v>0</v>
      </c>
      <c r="AZ331" s="61">
        <f>IFERROR(SUMIFS('BM MORRO DA CRUZ - VERTICAL'!BD$6:BD$546,'BM MORRO DA CRUZ - VERTICAL'!$O$6:$O$546,'BM MORRO DA CRUZ'!$K331),0)</f>
        <v>0</v>
      </c>
      <c r="BA331" s="63">
        <f t="shared" si="294"/>
        <v>0</v>
      </c>
      <c r="BB331" s="61">
        <f t="shared" si="295"/>
        <v>0</v>
      </c>
      <c r="BC331" s="63">
        <f t="shared" si="296"/>
        <v>0</v>
      </c>
      <c r="BD331" s="64">
        <f t="shared" si="297"/>
        <v>0</v>
      </c>
      <c r="BE331" s="65">
        <f t="shared" si="298"/>
        <v>1</v>
      </c>
      <c r="BF331" s="45"/>
    </row>
    <row r="332" spans="1:58" ht="35.65" x14ac:dyDescent="0.45">
      <c r="A332" s="56" t="s">
        <v>1206</v>
      </c>
      <c r="B332" s="506" t="s">
        <v>1830</v>
      </c>
      <c r="C332" s="507" t="s">
        <v>1795</v>
      </c>
      <c r="D332" s="507" t="s">
        <v>1795</v>
      </c>
      <c r="E332" s="507" t="s">
        <v>1828</v>
      </c>
      <c r="F332" s="507" t="s">
        <v>273</v>
      </c>
      <c r="G332" s="507">
        <v>250</v>
      </c>
      <c r="H332" s="508" t="s">
        <v>267</v>
      </c>
      <c r="I332" s="507" t="s">
        <v>763</v>
      </c>
      <c r="J332" s="508" t="s">
        <v>1829</v>
      </c>
      <c r="K332" s="57" t="s">
        <v>1207</v>
      </c>
      <c r="L332" s="58" t="s">
        <v>846</v>
      </c>
      <c r="M332" s="59" t="s">
        <v>1208</v>
      </c>
      <c r="N332" s="60" t="s">
        <v>71</v>
      </c>
      <c r="O332" s="61">
        <v>167</v>
      </c>
      <c r="P332" s="62">
        <v>185.77</v>
      </c>
      <c r="Q332" s="63">
        <f t="shared" si="276"/>
        <v>31023.59</v>
      </c>
      <c r="R332" s="61">
        <f>IFERROR(SUMIFS('BM MORRO DA CRUZ - VERTICAL'!V$6:V$546,'BM MORRO DA CRUZ - VERTICAL'!$O$6:$O$546,'BM MORRO DA CRUZ'!$K332),0)</f>
        <v>0</v>
      </c>
      <c r="S332" s="63">
        <f t="shared" si="277"/>
        <v>0</v>
      </c>
      <c r="T332" s="61">
        <f>IFERROR(SUMIFS('BM MORRO DA CRUZ - VERTICAL'!X$6:X$546,'BM MORRO DA CRUZ - VERTICAL'!$O$6:$O$546,'BM MORRO DA CRUZ'!$K332),0)</f>
        <v>0</v>
      </c>
      <c r="U332" s="63">
        <f t="shared" si="278"/>
        <v>0</v>
      </c>
      <c r="V332" s="61">
        <f>IFERROR(SUMIFS('BM MORRO DA CRUZ - VERTICAL'!Z$6:Z$546,'BM MORRO DA CRUZ - VERTICAL'!$O$6:$O$546,'BM MORRO DA CRUZ'!$K332),0)</f>
        <v>0</v>
      </c>
      <c r="W332" s="63">
        <f t="shared" si="279"/>
        <v>0</v>
      </c>
      <c r="X332" s="61">
        <f>IFERROR(SUMIFS('BM MORRO DA CRUZ - VERTICAL'!AB$6:AB$546,'BM MORRO DA CRUZ - VERTICAL'!$O$6:$O$546,'BM MORRO DA CRUZ'!$K332),0)</f>
        <v>0</v>
      </c>
      <c r="Y332" s="63">
        <f t="shared" si="280"/>
        <v>0</v>
      </c>
      <c r="Z332" s="61">
        <f>IFERROR(SUMIFS('BM MORRO DA CRUZ - VERTICAL'!AD$6:AD$546,'BM MORRO DA CRUZ - VERTICAL'!$O$6:$O$546,'BM MORRO DA CRUZ'!$K332),0)</f>
        <v>0</v>
      </c>
      <c r="AA332" s="63">
        <f t="shared" si="281"/>
        <v>0</v>
      </c>
      <c r="AB332" s="61">
        <f>IFERROR(SUMIFS('BM MORRO DA CRUZ - VERTICAL'!AF$6:AF$546,'BM MORRO DA CRUZ - VERTICAL'!$O$6:$O$546,'BM MORRO DA CRUZ'!$K332),0)</f>
        <v>0</v>
      </c>
      <c r="AC332" s="63">
        <f t="shared" si="282"/>
        <v>0</v>
      </c>
      <c r="AD332" s="61">
        <f>IFERROR(SUMIFS('BM MORRO DA CRUZ - VERTICAL'!AH$6:AH$546,'BM MORRO DA CRUZ - VERTICAL'!$O$6:$O$546,'BM MORRO DA CRUZ'!$K332),0)</f>
        <v>0</v>
      </c>
      <c r="AE332" s="63">
        <f t="shared" si="283"/>
        <v>0</v>
      </c>
      <c r="AF332" s="61">
        <f>IFERROR(SUMIFS('BM MORRO DA CRUZ - VERTICAL'!AJ$6:AJ$546,'BM MORRO DA CRUZ - VERTICAL'!$O$6:$O$546,'BM MORRO DA CRUZ'!$K332),0)</f>
        <v>0</v>
      </c>
      <c r="AG332" s="63">
        <f t="shared" si="284"/>
        <v>0</v>
      </c>
      <c r="AH332" s="61">
        <f>IFERROR(SUMIFS('BM MORRO DA CRUZ - VERTICAL'!AL$6:AL$546,'BM MORRO DA CRUZ - VERTICAL'!$O$6:$O$546,'BM MORRO DA CRUZ'!$K332),0)</f>
        <v>0</v>
      </c>
      <c r="AI332" s="63">
        <f t="shared" si="285"/>
        <v>0</v>
      </c>
      <c r="AJ332" s="61">
        <f>IFERROR(SUMIFS('BM MORRO DA CRUZ - VERTICAL'!AN$6:AN$546,'BM MORRO DA CRUZ - VERTICAL'!$O$6:$O$546,'BM MORRO DA CRUZ'!$K332),0)</f>
        <v>0</v>
      </c>
      <c r="AK332" s="63">
        <f t="shared" si="286"/>
        <v>0</v>
      </c>
      <c r="AL332" s="61">
        <f>IFERROR(SUMIFS('BM MORRO DA CRUZ - VERTICAL'!AP$6:AP$546,'BM MORRO DA CRUZ - VERTICAL'!$O$6:$O$546,'BM MORRO DA CRUZ'!$K332),0)</f>
        <v>0</v>
      </c>
      <c r="AM332" s="63">
        <f t="shared" si="287"/>
        <v>0</v>
      </c>
      <c r="AN332" s="61">
        <f>IFERROR(SUMIFS('BM MORRO DA CRUZ - VERTICAL'!AR$6:AR$546,'BM MORRO DA CRUZ - VERTICAL'!$O$6:$O$546,'BM MORRO DA CRUZ'!$K332),0)</f>
        <v>0</v>
      </c>
      <c r="AO332" s="63">
        <f t="shared" si="288"/>
        <v>0</v>
      </c>
      <c r="AP332" s="61">
        <f>IFERROR(SUMIFS('BM MORRO DA CRUZ - VERTICAL'!AT$6:AT$546,'BM MORRO DA CRUZ - VERTICAL'!$O$6:$O$546,'BM MORRO DA CRUZ'!$K332),0)</f>
        <v>0</v>
      </c>
      <c r="AQ332" s="63">
        <f t="shared" si="289"/>
        <v>0</v>
      </c>
      <c r="AR332" s="61">
        <f>IFERROR(SUMIFS('BM MORRO DA CRUZ - VERTICAL'!AV$6:AV$546,'BM MORRO DA CRUZ - VERTICAL'!$O$6:$O$546,'BM MORRO DA CRUZ'!$K332),0)</f>
        <v>0</v>
      </c>
      <c r="AS332" s="63">
        <f t="shared" si="290"/>
        <v>0</v>
      </c>
      <c r="AT332" s="61">
        <f>IFERROR(SUMIFS('BM MORRO DA CRUZ - VERTICAL'!AX$6:AX$546,'BM MORRO DA CRUZ - VERTICAL'!$O$6:$O$546,'BM MORRO DA CRUZ'!$K332),0)</f>
        <v>0</v>
      </c>
      <c r="AU332" s="63">
        <f t="shared" si="291"/>
        <v>0</v>
      </c>
      <c r="AV332" s="61">
        <f>IFERROR(SUMIFS('BM MORRO DA CRUZ - VERTICAL'!AZ$6:AZ$546,'BM MORRO DA CRUZ - VERTICAL'!$O$6:$O$546,'BM MORRO DA CRUZ'!$K332),0)</f>
        <v>0</v>
      </c>
      <c r="AW332" s="63">
        <f t="shared" si="292"/>
        <v>0</v>
      </c>
      <c r="AX332" s="61">
        <f>IFERROR(SUMIFS('BM MORRO DA CRUZ - VERTICAL'!BB$6:BB$546,'BM MORRO DA CRUZ - VERTICAL'!$O$6:$O$546,'BM MORRO DA CRUZ'!$K332),0)</f>
        <v>0</v>
      </c>
      <c r="AY332" s="63">
        <f t="shared" si="293"/>
        <v>0</v>
      </c>
      <c r="AZ332" s="61">
        <f>IFERROR(SUMIFS('BM MORRO DA CRUZ - VERTICAL'!BD$6:BD$546,'BM MORRO DA CRUZ - VERTICAL'!$O$6:$O$546,'BM MORRO DA CRUZ'!$K332),0)</f>
        <v>0</v>
      </c>
      <c r="BA332" s="63">
        <f t="shared" si="294"/>
        <v>0</v>
      </c>
      <c r="BB332" s="61">
        <f t="shared" si="295"/>
        <v>0</v>
      </c>
      <c r="BC332" s="63">
        <f t="shared" si="296"/>
        <v>0</v>
      </c>
      <c r="BD332" s="64">
        <f t="shared" si="297"/>
        <v>0</v>
      </c>
      <c r="BE332" s="65">
        <f t="shared" si="298"/>
        <v>1</v>
      </c>
      <c r="BF332" s="45"/>
    </row>
    <row r="333" spans="1:58" ht="35.65" x14ac:dyDescent="0.45">
      <c r="A333" s="56" t="s">
        <v>1209</v>
      </c>
      <c r="B333" s="506" t="s">
        <v>1830</v>
      </c>
      <c r="C333" s="507" t="s">
        <v>1795</v>
      </c>
      <c r="D333" s="507" t="s">
        <v>1795</v>
      </c>
      <c r="E333" s="507" t="s">
        <v>1828</v>
      </c>
      <c r="F333" s="507" t="s">
        <v>273</v>
      </c>
      <c r="G333" s="507">
        <v>280</v>
      </c>
      <c r="H333" s="508" t="s">
        <v>267</v>
      </c>
      <c r="I333" s="507" t="s">
        <v>763</v>
      </c>
      <c r="J333" s="508" t="s">
        <v>1829</v>
      </c>
      <c r="K333" s="57" t="s">
        <v>1210</v>
      </c>
      <c r="L333" s="58" t="s">
        <v>846</v>
      </c>
      <c r="M333" s="59" t="s">
        <v>1211</v>
      </c>
      <c r="N333" s="60" t="s">
        <v>71</v>
      </c>
      <c r="O333" s="61">
        <v>78</v>
      </c>
      <c r="P333" s="62">
        <v>436.77</v>
      </c>
      <c r="Q333" s="63">
        <f t="shared" si="276"/>
        <v>34068.06</v>
      </c>
      <c r="R333" s="61">
        <f>IFERROR(SUMIFS('BM MORRO DA CRUZ - VERTICAL'!V$6:V$546,'BM MORRO DA CRUZ - VERTICAL'!$O$6:$O$546,'BM MORRO DA CRUZ'!$K333),0)</f>
        <v>0</v>
      </c>
      <c r="S333" s="63">
        <f t="shared" si="277"/>
        <v>0</v>
      </c>
      <c r="T333" s="61">
        <f>IFERROR(SUMIFS('BM MORRO DA CRUZ - VERTICAL'!X$6:X$546,'BM MORRO DA CRUZ - VERTICAL'!$O$6:$O$546,'BM MORRO DA CRUZ'!$K333),0)</f>
        <v>0</v>
      </c>
      <c r="U333" s="63">
        <f t="shared" si="278"/>
        <v>0</v>
      </c>
      <c r="V333" s="61">
        <f>IFERROR(SUMIFS('BM MORRO DA CRUZ - VERTICAL'!Z$6:Z$546,'BM MORRO DA CRUZ - VERTICAL'!$O$6:$O$546,'BM MORRO DA CRUZ'!$K333),0)</f>
        <v>0</v>
      </c>
      <c r="W333" s="63">
        <f t="shared" si="279"/>
        <v>0</v>
      </c>
      <c r="X333" s="61">
        <f>IFERROR(SUMIFS('BM MORRO DA CRUZ - VERTICAL'!AB$6:AB$546,'BM MORRO DA CRUZ - VERTICAL'!$O$6:$O$546,'BM MORRO DA CRUZ'!$K333),0)</f>
        <v>0</v>
      </c>
      <c r="Y333" s="63">
        <f t="shared" si="280"/>
        <v>0</v>
      </c>
      <c r="Z333" s="61">
        <f>IFERROR(SUMIFS('BM MORRO DA CRUZ - VERTICAL'!AD$6:AD$546,'BM MORRO DA CRUZ - VERTICAL'!$O$6:$O$546,'BM MORRO DA CRUZ'!$K333),0)</f>
        <v>0</v>
      </c>
      <c r="AA333" s="63">
        <f t="shared" si="281"/>
        <v>0</v>
      </c>
      <c r="AB333" s="61">
        <f>IFERROR(SUMIFS('BM MORRO DA CRUZ - VERTICAL'!AF$6:AF$546,'BM MORRO DA CRUZ - VERTICAL'!$O$6:$O$546,'BM MORRO DA CRUZ'!$K333),0)</f>
        <v>0</v>
      </c>
      <c r="AC333" s="63">
        <f t="shared" si="282"/>
        <v>0</v>
      </c>
      <c r="AD333" s="61">
        <f>IFERROR(SUMIFS('BM MORRO DA CRUZ - VERTICAL'!AH$6:AH$546,'BM MORRO DA CRUZ - VERTICAL'!$O$6:$O$546,'BM MORRO DA CRUZ'!$K333),0)</f>
        <v>0</v>
      </c>
      <c r="AE333" s="63">
        <f t="shared" si="283"/>
        <v>0</v>
      </c>
      <c r="AF333" s="61">
        <f>IFERROR(SUMIFS('BM MORRO DA CRUZ - VERTICAL'!AJ$6:AJ$546,'BM MORRO DA CRUZ - VERTICAL'!$O$6:$O$546,'BM MORRO DA CRUZ'!$K333),0)</f>
        <v>0</v>
      </c>
      <c r="AG333" s="63">
        <f t="shared" si="284"/>
        <v>0</v>
      </c>
      <c r="AH333" s="61">
        <f>IFERROR(SUMIFS('BM MORRO DA CRUZ - VERTICAL'!AL$6:AL$546,'BM MORRO DA CRUZ - VERTICAL'!$O$6:$O$546,'BM MORRO DA CRUZ'!$K333),0)</f>
        <v>0</v>
      </c>
      <c r="AI333" s="63">
        <f t="shared" si="285"/>
        <v>0</v>
      </c>
      <c r="AJ333" s="61">
        <f>IFERROR(SUMIFS('BM MORRO DA CRUZ - VERTICAL'!AN$6:AN$546,'BM MORRO DA CRUZ - VERTICAL'!$O$6:$O$546,'BM MORRO DA CRUZ'!$K333),0)</f>
        <v>0</v>
      </c>
      <c r="AK333" s="63">
        <f t="shared" si="286"/>
        <v>0</v>
      </c>
      <c r="AL333" s="61">
        <f>IFERROR(SUMIFS('BM MORRO DA CRUZ - VERTICAL'!AP$6:AP$546,'BM MORRO DA CRUZ - VERTICAL'!$O$6:$O$546,'BM MORRO DA CRUZ'!$K333),0)</f>
        <v>0</v>
      </c>
      <c r="AM333" s="63">
        <f t="shared" si="287"/>
        <v>0</v>
      </c>
      <c r="AN333" s="61">
        <f>IFERROR(SUMIFS('BM MORRO DA CRUZ - VERTICAL'!AR$6:AR$546,'BM MORRO DA CRUZ - VERTICAL'!$O$6:$O$546,'BM MORRO DA CRUZ'!$K333),0)</f>
        <v>0</v>
      </c>
      <c r="AO333" s="63">
        <f t="shared" si="288"/>
        <v>0</v>
      </c>
      <c r="AP333" s="61">
        <f>IFERROR(SUMIFS('BM MORRO DA CRUZ - VERTICAL'!AT$6:AT$546,'BM MORRO DA CRUZ - VERTICAL'!$O$6:$O$546,'BM MORRO DA CRUZ'!$K333),0)</f>
        <v>0</v>
      </c>
      <c r="AQ333" s="63">
        <f t="shared" si="289"/>
        <v>0</v>
      </c>
      <c r="AR333" s="61">
        <f>IFERROR(SUMIFS('BM MORRO DA CRUZ - VERTICAL'!AV$6:AV$546,'BM MORRO DA CRUZ - VERTICAL'!$O$6:$O$546,'BM MORRO DA CRUZ'!$K333),0)</f>
        <v>0</v>
      </c>
      <c r="AS333" s="63">
        <f t="shared" si="290"/>
        <v>0</v>
      </c>
      <c r="AT333" s="61">
        <f>IFERROR(SUMIFS('BM MORRO DA CRUZ - VERTICAL'!AX$6:AX$546,'BM MORRO DA CRUZ - VERTICAL'!$O$6:$O$546,'BM MORRO DA CRUZ'!$K333),0)</f>
        <v>0</v>
      </c>
      <c r="AU333" s="63">
        <f t="shared" si="291"/>
        <v>0</v>
      </c>
      <c r="AV333" s="61">
        <f>IFERROR(SUMIFS('BM MORRO DA CRUZ - VERTICAL'!AZ$6:AZ$546,'BM MORRO DA CRUZ - VERTICAL'!$O$6:$O$546,'BM MORRO DA CRUZ'!$K333),0)</f>
        <v>0</v>
      </c>
      <c r="AW333" s="63">
        <f t="shared" si="292"/>
        <v>0</v>
      </c>
      <c r="AX333" s="61">
        <f>IFERROR(SUMIFS('BM MORRO DA CRUZ - VERTICAL'!BB$6:BB$546,'BM MORRO DA CRUZ - VERTICAL'!$O$6:$O$546,'BM MORRO DA CRUZ'!$K333),0)</f>
        <v>0</v>
      </c>
      <c r="AY333" s="63">
        <f t="shared" si="293"/>
        <v>0</v>
      </c>
      <c r="AZ333" s="61">
        <f>IFERROR(SUMIFS('BM MORRO DA CRUZ - VERTICAL'!BD$6:BD$546,'BM MORRO DA CRUZ - VERTICAL'!$O$6:$O$546,'BM MORRO DA CRUZ'!$K333),0)</f>
        <v>0</v>
      </c>
      <c r="BA333" s="63">
        <f t="shared" si="294"/>
        <v>0</v>
      </c>
      <c r="BB333" s="61">
        <f t="shared" si="295"/>
        <v>0</v>
      </c>
      <c r="BC333" s="63">
        <f t="shared" si="296"/>
        <v>0</v>
      </c>
      <c r="BD333" s="64">
        <f t="shared" si="297"/>
        <v>0</v>
      </c>
      <c r="BE333" s="65">
        <f t="shared" si="298"/>
        <v>1</v>
      </c>
      <c r="BF333" s="45"/>
    </row>
    <row r="334" spans="1:58" ht="35.65" x14ac:dyDescent="0.45">
      <c r="A334" s="56" t="s">
        <v>1212</v>
      </c>
      <c r="B334" s="506" t="s">
        <v>1830</v>
      </c>
      <c r="C334" s="507" t="s">
        <v>1795</v>
      </c>
      <c r="D334" s="507" t="s">
        <v>1795</v>
      </c>
      <c r="E334" s="507" t="s">
        <v>1828</v>
      </c>
      <c r="F334" s="507" t="s">
        <v>273</v>
      </c>
      <c r="G334" s="507">
        <v>315</v>
      </c>
      <c r="H334" s="508" t="s">
        <v>267</v>
      </c>
      <c r="I334" s="507" t="s">
        <v>763</v>
      </c>
      <c r="J334" s="508" t="s">
        <v>1829</v>
      </c>
      <c r="K334" s="57" t="s">
        <v>1213</v>
      </c>
      <c r="L334" s="58" t="s">
        <v>846</v>
      </c>
      <c r="M334" s="59" t="s">
        <v>1214</v>
      </c>
      <c r="N334" s="60" t="s">
        <v>71</v>
      </c>
      <c r="O334" s="61">
        <v>409</v>
      </c>
      <c r="P334" s="62">
        <v>477.92</v>
      </c>
      <c r="Q334" s="63">
        <f t="shared" si="276"/>
        <v>195469.28</v>
      </c>
      <c r="R334" s="61">
        <f>IFERROR(SUMIFS('BM MORRO DA CRUZ - VERTICAL'!V$6:V$546,'BM MORRO DA CRUZ - VERTICAL'!$O$6:$O$546,'BM MORRO DA CRUZ'!$K334),0)</f>
        <v>0</v>
      </c>
      <c r="S334" s="63">
        <f t="shared" si="277"/>
        <v>0</v>
      </c>
      <c r="T334" s="61">
        <f>IFERROR(SUMIFS('BM MORRO DA CRUZ - VERTICAL'!X$6:X$546,'BM MORRO DA CRUZ - VERTICAL'!$O$6:$O$546,'BM MORRO DA CRUZ'!$K334),0)</f>
        <v>0</v>
      </c>
      <c r="U334" s="63">
        <f t="shared" si="278"/>
        <v>0</v>
      </c>
      <c r="V334" s="61">
        <f>IFERROR(SUMIFS('BM MORRO DA CRUZ - VERTICAL'!Z$6:Z$546,'BM MORRO DA CRUZ - VERTICAL'!$O$6:$O$546,'BM MORRO DA CRUZ'!$K334),0)</f>
        <v>0</v>
      </c>
      <c r="W334" s="63">
        <f t="shared" si="279"/>
        <v>0</v>
      </c>
      <c r="X334" s="61">
        <f>IFERROR(SUMIFS('BM MORRO DA CRUZ - VERTICAL'!AB$6:AB$546,'BM MORRO DA CRUZ - VERTICAL'!$O$6:$O$546,'BM MORRO DA CRUZ'!$K334),0)</f>
        <v>0</v>
      </c>
      <c r="Y334" s="63">
        <f t="shared" si="280"/>
        <v>0</v>
      </c>
      <c r="Z334" s="61">
        <f>IFERROR(SUMIFS('BM MORRO DA CRUZ - VERTICAL'!AD$6:AD$546,'BM MORRO DA CRUZ - VERTICAL'!$O$6:$O$546,'BM MORRO DA CRUZ'!$K334),0)</f>
        <v>0</v>
      </c>
      <c r="AA334" s="63">
        <f t="shared" si="281"/>
        <v>0</v>
      </c>
      <c r="AB334" s="61">
        <f>IFERROR(SUMIFS('BM MORRO DA CRUZ - VERTICAL'!AF$6:AF$546,'BM MORRO DA CRUZ - VERTICAL'!$O$6:$O$546,'BM MORRO DA CRUZ'!$K334),0)</f>
        <v>0</v>
      </c>
      <c r="AC334" s="63">
        <f t="shared" si="282"/>
        <v>0</v>
      </c>
      <c r="AD334" s="61">
        <f>IFERROR(SUMIFS('BM MORRO DA CRUZ - VERTICAL'!AH$6:AH$546,'BM MORRO DA CRUZ - VERTICAL'!$O$6:$O$546,'BM MORRO DA CRUZ'!$K334),0)</f>
        <v>0</v>
      </c>
      <c r="AE334" s="63">
        <f t="shared" si="283"/>
        <v>0</v>
      </c>
      <c r="AF334" s="61">
        <f>IFERROR(SUMIFS('BM MORRO DA CRUZ - VERTICAL'!AJ$6:AJ$546,'BM MORRO DA CRUZ - VERTICAL'!$O$6:$O$546,'BM MORRO DA CRUZ'!$K334),0)</f>
        <v>0</v>
      </c>
      <c r="AG334" s="63">
        <f t="shared" si="284"/>
        <v>0</v>
      </c>
      <c r="AH334" s="61">
        <f>IFERROR(SUMIFS('BM MORRO DA CRUZ - VERTICAL'!AL$6:AL$546,'BM MORRO DA CRUZ - VERTICAL'!$O$6:$O$546,'BM MORRO DA CRUZ'!$K334),0)</f>
        <v>0</v>
      </c>
      <c r="AI334" s="63">
        <f t="shared" si="285"/>
        <v>0</v>
      </c>
      <c r="AJ334" s="61">
        <f>IFERROR(SUMIFS('BM MORRO DA CRUZ - VERTICAL'!AN$6:AN$546,'BM MORRO DA CRUZ - VERTICAL'!$O$6:$O$546,'BM MORRO DA CRUZ'!$K334),0)</f>
        <v>0</v>
      </c>
      <c r="AK334" s="63">
        <f t="shared" si="286"/>
        <v>0</v>
      </c>
      <c r="AL334" s="61">
        <f>IFERROR(SUMIFS('BM MORRO DA CRUZ - VERTICAL'!AP$6:AP$546,'BM MORRO DA CRUZ - VERTICAL'!$O$6:$O$546,'BM MORRO DA CRUZ'!$K334),0)</f>
        <v>0</v>
      </c>
      <c r="AM334" s="63">
        <f t="shared" si="287"/>
        <v>0</v>
      </c>
      <c r="AN334" s="61">
        <f>IFERROR(SUMIFS('BM MORRO DA CRUZ - VERTICAL'!AR$6:AR$546,'BM MORRO DA CRUZ - VERTICAL'!$O$6:$O$546,'BM MORRO DA CRUZ'!$K334),0)</f>
        <v>0</v>
      </c>
      <c r="AO334" s="63">
        <f t="shared" si="288"/>
        <v>0</v>
      </c>
      <c r="AP334" s="61">
        <f>IFERROR(SUMIFS('BM MORRO DA CRUZ - VERTICAL'!AT$6:AT$546,'BM MORRO DA CRUZ - VERTICAL'!$O$6:$O$546,'BM MORRO DA CRUZ'!$K334),0)</f>
        <v>0</v>
      </c>
      <c r="AQ334" s="63">
        <f t="shared" si="289"/>
        <v>0</v>
      </c>
      <c r="AR334" s="61">
        <f>IFERROR(SUMIFS('BM MORRO DA CRUZ - VERTICAL'!AV$6:AV$546,'BM MORRO DA CRUZ - VERTICAL'!$O$6:$O$546,'BM MORRO DA CRUZ'!$K334),0)</f>
        <v>0</v>
      </c>
      <c r="AS334" s="63">
        <f t="shared" si="290"/>
        <v>0</v>
      </c>
      <c r="AT334" s="61">
        <f>IFERROR(SUMIFS('BM MORRO DA CRUZ - VERTICAL'!AX$6:AX$546,'BM MORRO DA CRUZ - VERTICAL'!$O$6:$O$546,'BM MORRO DA CRUZ'!$K334),0)</f>
        <v>0</v>
      </c>
      <c r="AU334" s="63">
        <f t="shared" si="291"/>
        <v>0</v>
      </c>
      <c r="AV334" s="61">
        <f>IFERROR(SUMIFS('BM MORRO DA CRUZ - VERTICAL'!AZ$6:AZ$546,'BM MORRO DA CRUZ - VERTICAL'!$O$6:$O$546,'BM MORRO DA CRUZ'!$K334),0)</f>
        <v>0</v>
      </c>
      <c r="AW334" s="63">
        <f t="shared" si="292"/>
        <v>0</v>
      </c>
      <c r="AX334" s="61">
        <f>IFERROR(SUMIFS('BM MORRO DA CRUZ - VERTICAL'!BB$6:BB$546,'BM MORRO DA CRUZ - VERTICAL'!$O$6:$O$546,'BM MORRO DA CRUZ'!$K334),0)</f>
        <v>0</v>
      </c>
      <c r="AY334" s="63">
        <f t="shared" si="293"/>
        <v>0</v>
      </c>
      <c r="AZ334" s="61">
        <f>IFERROR(SUMIFS('BM MORRO DA CRUZ - VERTICAL'!BD$6:BD$546,'BM MORRO DA CRUZ - VERTICAL'!$O$6:$O$546,'BM MORRO DA CRUZ'!$K334),0)</f>
        <v>0</v>
      </c>
      <c r="BA334" s="63">
        <f t="shared" si="294"/>
        <v>0</v>
      </c>
      <c r="BB334" s="61">
        <f t="shared" si="295"/>
        <v>0</v>
      </c>
      <c r="BC334" s="63">
        <f t="shared" si="296"/>
        <v>0</v>
      </c>
      <c r="BD334" s="64">
        <f t="shared" si="297"/>
        <v>0</v>
      </c>
      <c r="BE334" s="65">
        <f t="shared" si="298"/>
        <v>1</v>
      </c>
      <c r="BF334" s="45"/>
    </row>
    <row r="335" spans="1:58" ht="35.65" x14ac:dyDescent="0.45">
      <c r="A335" s="56" t="s">
        <v>1215</v>
      </c>
      <c r="B335" s="506" t="s">
        <v>1830</v>
      </c>
      <c r="C335" s="507" t="s">
        <v>1795</v>
      </c>
      <c r="D335" s="507" t="s">
        <v>1795</v>
      </c>
      <c r="E335" s="507" t="s">
        <v>1828</v>
      </c>
      <c r="F335" s="507" t="s">
        <v>273</v>
      </c>
      <c r="G335" s="507">
        <v>355</v>
      </c>
      <c r="H335" s="508" t="s">
        <v>267</v>
      </c>
      <c r="I335" s="507" t="s">
        <v>763</v>
      </c>
      <c r="J335" s="508" t="s">
        <v>1829</v>
      </c>
      <c r="K335" s="57" t="s">
        <v>1216</v>
      </c>
      <c r="L335" s="58" t="s">
        <v>846</v>
      </c>
      <c r="M335" s="59" t="s">
        <v>1217</v>
      </c>
      <c r="N335" s="60" t="s">
        <v>71</v>
      </c>
      <c r="O335" s="61">
        <v>114</v>
      </c>
      <c r="P335" s="62">
        <v>539.84</v>
      </c>
      <c r="Q335" s="63">
        <f t="shared" si="276"/>
        <v>61541.760000000002</v>
      </c>
      <c r="R335" s="61">
        <f>IFERROR(SUMIFS('BM MORRO DA CRUZ - VERTICAL'!V$6:V$546,'BM MORRO DA CRUZ - VERTICAL'!$O$6:$O$546,'BM MORRO DA CRUZ'!$K335),0)</f>
        <v>0</v>
      </c>
      <c r="S335" s="63">
        <f t="shared" si="277"/>
        <v>0</v>
      </c>
      <c r="T335" s="61">
        <f>IFERROR(SUMIFS('BM MORRO DA CRUZ - VERTICAL'!X$6:X$546,'BM MORRO DA CRUZ - VERTICAL'!$O$6:$O$546,'BM MORRO DA CRUZ'!$K335),0)</f>
        <v>0</v>
      </c>
      <c r="U335" s="63">
        <f t="shared" si="278"/>
        <v>0</v>
      </c>
      <c r="V335" s="61">
        <f>IFERROR(SUMIFS('BM MORRO DA CRUZ - VERTICAL'!Z$6:Z$546,'BM MORRO DA CRUZ - VERTICAL'!$O$6:$O$546,'BM MORRO DA CRUZ'!$K335),0)</f>
        <v>0</v>
      </c>
      <c r="W335" s="63">
        <f t="shared" si="279"/>
        <v>0</v>
      </c>
      <c r="X335" s="61">
        <f>IFERROR(SUMIFS('BM MORRO DA CRUZ - VERTICAL'!AB$6:AB$546,'BM MORRO DA CRUZ - VERTICAL'!$O$6:$O$546,'BM MORRO DA CRUZ'!$K335),0)</f>
        <v>0</v>
      </c>
      <c r="Y335" s="63">
        <f t="shared" si="280"/>
        <v>0</v>
      </c>
      <c r="Z335" s="61">
        <f>IFERROR(SUMIFS('BM MORRO DA CRUZ - VERTICAL'!AD$6:AD$546,'BM MORRO DA CRUZ - VERTICAL'!$O$6:$O$546,'BM MORRO DA CRUZ'!$K335),0)</f>
        <v>0</v>
      </c>
      <c r="AA335" s="63">
        <f t="shared" si="281"/>
        <v>0</v>
      </c>
      <c r="AB335" s="61">
        <f>IFERROR(SUMIFS('BM MORRO DA CRUZ - VERTICAL'!AF$6:AF$546,'BM MORRO DA CRUZ - VERTICAL'!$O$6:$O$546,'BM MORRO DA CRUZ'!$K335),0)</f>
        <v>0</v>
      </c>
      <c r="AC335" s="63">
        <f t="shared" si="282"/>
        <v>0</v>
      </c>
      <c r="AD335" s="61">
        <f>IFERROR(SUMIFS('BM MORRO DA CRUZ - VERTICAL'!AH$6:AH$546,'BM MORRO DA CRUZ - VERTICAL'!$O$6:$O$546,'BM MORRO DA CRUZ'!$K335),0)</f>
        <v>0</v>
      </c>
      <c r="AE335" s="63">
        <f t="shared" si="283"/>
        <v>0</v>
      </c>
      <c r="AF335" s="61">
        <f>IFERROR(SUMIFS('BM MORRO DA CRUZ - VERTICAL'!AJ$6:AJ$546,'BM MORRO DA CRUZ - VERTICAL'!$O$6:$O$546,'BM MORRO DA CRUZ'!$K335),0)</f>
        <v>0</v>
      </c>
      <c r="AG335" s="63">
        <f t="shared" si="284"/>
        <v>0</v>
      </c>
      <c r="AH335" s="61">
        <f>IFERROR(SUMIFS('BM MORRO DA CRUZ - VERTICAL'!AL$6:AL$546,'BM MORRO DA CRUZ - VERTICAL'!$O$6:$O$546,'BM MORRO DA CRUZ'!$K335),0)</f>
        <v>0</v>
      </c>
      <c r="AI335" s="63">
        <f t="shared" si="285"/>
        <v>0</v>
      </c>
      <c r="AJ335" s="61">
        <f>IFERROR(SUMIFS('BM MORRO DA CRUZ - VERTICAL'!AN$6:AN$546,'BM MORRO DA CRUZ - VERTICAL'!$O$6:$O$546,'BM MORRO DA CRUZ'!$K335),0)</f>
        <v>0</v>
      </c>
      <c r="AK335" s="63">
        <f t="shared" si="286"/>
        <v>0</v>
      </c>
      <c r="AL335" s="61">
        <f>IFERROR(SUMIFS('BM MORRO DA CRUZ - VERTICAL'!AP$6:AP$546,'BM MORRO DA CRUZ - VERTICAL'!$O$6:$O$546,'BM MORRO DA CRUZ'!$K335),0)</f>
        <v>0</v>
      </c>
      <c r="AM335" s="63">
        <f t="shared" si="287"/>
        <v>0</v>
      </c>
      <c r="AN335" s="61">
        <f>IFERROR(SUMIFS('BM MORRO DA CRUZ - VERTICAL'!AR$6:AR$546,'BM MORRO DA CRUZ - VERTICAL'!$O$6:$O$546,'BM MORRO DA CRUZ'!$K335),0)</f>
        <v>0</v>
      </c>
      <c r="AO335" s="63">
        <f t="shared" si="288"/>
        <v>0</v>
      </c>
      <c r="AP335" s="61">
        <f>IFERROR(SUMIFS('BM MORRO DA CRUZ - VERTICAL'!AT$6:AT$546,'BM MORRO DA CRUZ - VERTICAL'!$O$6:$O$546,'BM MORRO DA CRUZ'!$K335),0)</f>
        <v>0</v>
      </c>
      <c r="AQ335" s="63">
        <f t="shared" si="289"/>
        <v>0</v>
      </c>
      <c r="AR335" s="61">
        <f>IFERROR(SUMIFS('BM MORRO DA CRUZ - VERTICAL'!AV$6:AV$546,'BM MORRO DA CRUZ - VERTICAL'!$O$6:$O$546,'BM MORRO DA CRUZ'!$K335),0)</f>
        <v>0</v>
      </c>
      <c r="AS335" s="63">
        <f t="shared" si="290"/>
        <v>0</v>
      </c>
      <c r="AT335" s="61">
        <f>IFERROR(SUMIFS('BM MORRO DA CRUZ - VERTICAL'!AX$6:AX$546,'BM MORRO DA CRUZ - VERTICAL'!$O$6:$O$546,'BM MORRO DA CRUZ'!$K335),0)</f>
        <v>0</v>
      </c>
      <c r="AU335" s="63">
        <f t="shared" si="291"/>
        <v>0</v>
      </c>
      <c r="AV335" s="61">
        <f>IFERROR(SUMIFS('BM MORRO DA CRUZ - VERTICAL'!AZ$6:AZ$546,'BM MORRO DA CRUZ - VERTICAL'!$O$6:$O$546,'BM MORRO DA CRUZ'!$K335),0)</f>
        <v>0</v>
      </c>
      <c r="AW335" s="63">
        <f t="shared" si="292"/>
        <v>0</v>
      </c>
      <c r="AX335" s="61">
        <f>IFERROR(SUMIFS('BM MORRO DA CRUZ - VERTICAL'!BB$6:BB$546,'BM MORRO DA CRUZ - VERTICAL'!$O$6:$O$546,'BM MORRO DA CRUZ'!$K335),0)</f>
        <v>0</v>
      </c>
      <c r="AY335" s="63">
        <f t="shared" si="293"/>
        <v>0</v>
      </c>
      <c r="AZ335" s="61">
        <f>IFERROR(SUMIFS('BM MORRO DA CRUZ - VERTICAL'!BD$6:BD$546,'BM MORRO DA CRUZ - VERTICAL'!$O$6:$O$546,'BM MORRO DA CRUZ'!$K335),0)</f>
        <v>0</v>
      </c>
      <c r="BA335" s="63">
        <f t="shared" si="294"/>
        <v>0</v>
      </c>
      <c r="BB335" s="61">
        <f t="shared" si="295"/>
        <v>0</v>
      </c>
      <c r="BC335" s="63">
        <f t="shared" si="296"/>
        <v>0</v>
      </c>
      <c r="BD335" s="64">
        <f t="shared" si="297"/>
        <v>0</v>
      </c>
      <c r="BE335" s="65">
        <f t="shared" si="298"/>
        <v>1</v>
      </c>
      <c r="BF335" s="45"/>
    </row>
    <row r="336" spans="1:58" ht="35.65" x14ac:dyDescent="0.45">
      <c r="A336" s="56" t="s">
        <v>1218</v>
      </c>
      <c r="B336" s="506" t="s">
        <v>1830</v>
      </c>
      <c r="C336" s="507" t="s">
        <v>1795</v>
      </c>
      <c r="D336" s="507" t="s">
        <v>1795</v>
      </c>
      <c r="E336" s="507" t="s">
        <v>1828</v>
      </c>
      <c r="F336" s="507" t="s">
        <v>273</v>
      </c>
      <c r="G336" s="507">
        <v>400</v>
      </c>
      <c r="H336" s="508" t="s">
        <v>267</v>
      </c>
      <c r="I336" s="507" t="s">
        <v>763</v>
      </c>
      <c r="J336" s="508" t="s">
        <v>1829</v>
      </c>
      <c r="K336" s="57" t="s">
        <v>1219</v>
      </c>
      <c r="L336" s="58" t="s">
        <v>846</v>
      </c>
      <c r="M336" s="59" t="s">
        <v>1220</v>
      </c>
      <c r="N336" s="60" t="s">
        <v>71</v>
      </c>
      <c r="O336" s="61">
        <v>102</v>
      </c>
      <c r="P336" s="62">
        <v>583.14</v>
      </c>
      <c r="Q336" s="63">
        <f t="shared" si="276"/>
        <v>59480.28</v>
      </c>
      <c r="R336" s="61">
        <f>IFERROR(SUMIFS('BM MORRO DA CRUZ - VERTICAL'!V$6:V$546,'BM MORRO DA CRUZ - VERTICAL'!$O$6:$O$546,'BM MORRO DA CRUZ'!$K336),0)</f>
        <v>0</v>
      </c>
      <c r="S336" s="63">
        <f t="shared" si="277"/>
        <v>0</v>
      </c>
      <c r="T336" s="61">
        <f>IFERROR(SUMIFS('BM MORRO DA CRUZ - VERTICAL'!X$6:X$546,'BM MORRO DA CRUZ - VERTICAL'!$O$6:$O$546,'BM MORRO DA CRUZ'!$K336),0)</f>
        <v>0</v>
      </c>
      <c r="U336" s="63">
        <f t="shared" si="278"/>
        <v>0</v>
      </c>
      <c r="V336" s="61">
        <f>IFERROR(SUMIFS('BM MORRO DA CRUZ - VERTICAL'!Z$6:Z$546,'BM MORRO DA CRUZ - VERTICAL'!$O$6:$O$546,'BM MORRO DA CRUZ'!$K336),0)</f>
        <v>0</v>
      </c>
      <c r="W336" s="63">
        <f t="shared" si="279"/>
        <v>0</v>
      </c>
      <c r="X336" s="61">
        <f>IFERROR(SUMIFS('BM MORRO DA CRUZ - VERTICAL'!AB$6:AB$546,'BM MORRO DA CRUZ - VERTICAL'!$O$6:$O$546,'BM MORRO DA CRUZ'!$K336),0)</f>
        <v>0</v>
      </c>
      <c r="Y336" s="63">
        <f t="shared" si="280"/>
        <v>0</v>
      </c>
      <c r="Z336" s="61">
        <f>IFERROR(SUMIFS('BM MORRO DA CRUZ - VERTICAL'!AD$6:AD$546,'BM MORRO DA CRUZ - VERTICAL'!$O$6:$O$546,'BM MORRO DA CRUZ'!$K336),0)</f>
        <v>0</v>
      </c>
      <c r="AA336" s="63">
        <f t="shared" si="281"/>
        <v>0</v>
      </c>
      <c r="AB336" s="61">
        <f>IFERROR(SUMIFS('BM MORRO DA CRUZ - VERTICAL'!AF$6:AF$546,'BM MORRO DA CRUZ - VERTICAL'!$O$6:$O$546,'BM MORRO DA CRUZ'!$K336),0)</f>
        <v>0</v>
      </c>
      <c r="AC336" s="63">
        <f t="shared" si="282"/>
        <v>0</v>
      </c>
      <c r="AD336" s="61">
        <f>IFERROR(SUMIFS('BM MORRO DA CRUZ - VERTICAL'!AH$6:AH$546,'BM MORRO DA CRUZ - VERTICAL'!$O$6:$O$546,'BM MORRO DA CRUZ'!$K336),0)</f>
        <v>0</v>
      </c>
      <c r="AE336" s="63">
        <f t="shared" si="283"/>
        <v>0</v>
      </c>
      <c r="AF336" s="61">
        <f>IFERROR(SUMIFS('BM MORRO DA CRUZ - VERTICAL'!AJ$6:AJ$546,'BM MORRO DA CRUZ - VERTICAL'!$O$6:$O$546,'BM MORRO DA CRUZ'!$K336),0)</f>
        <v>0</v>
      </c>
      <c r="AG336" s="63">
        <f t="shared" si="284"/>
        <v>0</v>
      </c>
      <c r="AH336" s="61">
        <f>IFERROR(SUMIFS('BM MORRO DA CRUZ - VERTICAL'!AL$6:AL$546,'BM MORRO DA CRUZ - VERTICAL'!$O$6:$O$546,'BM MORRO DA CRUZ'!$K336),0)</f>
        <v>0</v>
      </c>
      <c r="AI336" s="63">
        <f t="shared" si="285"/>
        <v>0</v>
      </c>
      <c r="AJ336" s="61">
        <f>IFERROR(SUMIFS('BM MORRO DA CRUZ - VERTICAL'!AN$6:AN$546,'BM MORRO DA CRUZ - VERTICAL'!$O$6:$O$546,'BM MORRO DA CRUZ'!$K336),0)</f>
        <v>0</v>
      </c>
      <c r="AK336" s="63">
        <f t="shared" si="286"/>
        <v>0</v>
      </c>
      <c r="AL336" s="61">
        <f>IFERROR(SUMIFS('BM MORRO DA CRUZ - VERTICAL'!AP$6:AP$546,'BM MORRO DA CRUZ - VERTICAL'!$O$6:$O$546,'BM MORRO DA CRUZ'!$K336),0)</f>
        <v>0</v>
      </c>
      <c r="AM336" s="63">
        <f t="shared" si="287"/>
        <v>0</v>
      </c>
      <c r="AN336" s="61">
        <f>IFERROR(SUMIFS('BM MORRO DA CRUZ - VERTICAL'!AR$6:AR$546,'BM MORRO DA CRUZ - VERTICAL'!$O$6:$O$546,'BM MORRO DA CRUZ'!$K336),0)</f>
        <v>0</v>
      </c>
      <c r="AO336" s="63">
        <f t="shared" si="288"/>
        <v>0</v>
      </c>
      <c r="AP336" s="61">
        <f>IFERROR(SUMIFS('BM MORRO DA CRUZ - VERTICAL'!AT$6:AT$546,'BM MORRO DA CRUZ - VERTICAL'!$O$6:$O$546,'BM MORRO DA CRUZ'!$K336),0)</f>
        <v>0</v>
      </c>
      <c r="AQ336" s="63">
        <f t="shared" si="289"/>
        <v>0</v>
      </c>
      <c r="AR336" s="61">
        <f>IFERROR(SUMIFS('BM MORRO DA CRUZ - VERTICAL'!AV$6:AV$546,'BM MORRO DA CRUZ - VERTICAL'!$O$6:$O$546,'BM MORRO DA CRUZ'!$K336),0)</f>
        <v>0</v>
      </c>
      <c r="AS336" s="63">
        <f t="shared" si="290"/>
        <v>0</v>
      </c>
      <c r="AT336" s="61">
        <f>IFERROR(SUMIFS('BM MORRO DA CRUZ - VERTICAL'!AX$6:AX$546,'BM MORRO DA CRUZ - VERTICAL'!$O$6:$O$546,'BM MORRO DA CRUZ'!$K336),0)</f>
        <v>0</v>
      </c>
      <c r="AU336" s="63">
        <f t="shared" si="291"/>
        <v>0</v>
      </c>
      <c r="AV336" s="61">
        <f>IFERROR(SUMIFS('BM MORRO DA CRUZ - VERTICAL'!AZ$6:AZ$546,'BM MORRO DA CRUZ - VERTICAL'!$O$6:$O$546,'BM MORRO DA CRUZ'!$K336),0)</f>
        <v>0</v>
      </c>
      <c r="AW336" s="63">
        <f t="shared" si="292"/>
        <v>0</v>
      </c>
      <c r="AX336" s="61">
        <f>IFERROR(SUMIFS('BM MORRO DA CRUZ - VERTICAL'!BB$6:BB$546,'BM MORRO DA CRUZ - VERTICAL'!$O$6:$O$546,'BM MORRO DA CRUZ'!$K336),0)</f>
        <v>0</v>
      </c>
      <c r="AY336" s="63">
        <f t="shared" si="293"/>
        <v>0</v>
      </c>
      <c r="AZ336" s="61">
        <f>IFERROR(SUMIFS('BM MORRO DA CRUZ - VERTICAL'!BD$6:BD$546,'BM MORRO DA CRUZ - VERTICAL'!$O$6:$O$546,'BM MORRO DA CRUZ'!$K336),0)</f>
        <v>0</v>
      </c>
      <c r="BA336" s="63">
        <f t="shared" si="294"/>
        <v>0</v>
      </c>
      <c r="BB336" s="61">
        <f t="shared" si="295"/>
        <v>0</v>
      </c>
      <c r="BC336" s="63">
        <f t="shared" si="296"/>
        <v>0</v>
      </c>
      <c r="BD336" s="64">
        <f t="shared" si="297"/>
        <v>0</v>
      </c>
      <c r="BE336" s="65">
        <f t="shared" si="298"/>
        <v>1</v>
      </c>
      <c r="BF336" s="45"/>
    </row>
    <row r="337" spans="1:58" ht="35.65" x14ac:dyDescent="0.45">
      <c r="A337" s="56" t="s">
        <v>1221</v>
      </c>
      <c r="B337" s="506" t="s">
        <v>1830</v>
      </c>
      <c r="C337" s="507" t="s">
        <v>1795</v>
      </c>
      <c r="D337" s="507" t="s">
        <v>1795</v>
      </c>
      <c r="E337" s="507" t="s">
        <v>1828</v>
      </c>
      <c r="F337" s="507" t="s">
        <v>273</v>
      </c>
      <c r="G337" s="507">
        <v>500</v>
      </c>
      <c r="H337" s="508" t="s">
        <v>267</v>
      </c>
      <c r="I337" s="507" t="s">
        <v>763</v>
      </c>
      <c r="J337" s="508" t="s">
        <v>1829</v>
      </c>
      <c r="K337" s="57" t="s">
        <v>1222</v>
      </c>
      <c r="L337" s="58" t="s">
        <v>846</v>
      </c>
      <c r="M337" s="59" t="s">
        <v>1223</v>
      </c>
      <c r="N337" s="60" t="s">
        <v>71</v>
      </c>
      <c r="O337" s="61">
        <v>240</v>
      </c>
      <c r="P337" s="62">
        <v>754.24</v>
      </c>
      <c r="Q337" s="63">
        <f t="shared" si="276"/>
        <v>181017.60000000001</v>
      </c>
      <c r="R337" s="61">
        <f>IFERROR(SUMIFS('BM MORRO DA CRUZ - VERTICAL'!V$6:V$546,'BM MORRO DA CRUZ - VERTICAL'!$O$6:$O$546,'BM MORRO DA CRUZ'!$K337),0)</f>
        <v>0</v>
      </c>
      <c r="S337" s="63">
        <f t="shared" si="277"/>
        <v>0</v>
      </c>
      <c r="T337" s="61">
        <f>IFERROR(SUMIFS('BM MORRO DA CRUZ - VERTICAL'!X$6:X$546,'BM MORRO DA CRUZ - VERTICAL'!$O$6:$O$546,'BM MORRO DA CRUZ'!$K337),0)</f>
        <v>0</v>
      </c>
      <c r="U337" s="63">
        <f t="shared" si="278"/>
        <v>0</v>
      </c>
      <c r="V337" s="61">
        <f>IFERROR(SUMIFS('BM MORRO DA CRUZ - VERTICAL'!Z$6:Z$546,'BM MORRO DA CRUZ - VERTICAL'!$O$6:$O$546,'BM MORRO DA CRUZ'!$K337),0)</f>
        <v>0</v>
      </c>
      <c r="W337" s="63">
        <f t="shared" si="279"/>
        <v>0</v>
      </c>
      <c r="X337" s="61">
        <f>IFERROR(SUMIFS('BM MORRO DA CRUZ - VERTICAL'!AB$6:AB$546,'BM MORRO DA CRUZ - VERTICAL'!$O$6:$O$546,'BM MORRO DA CRUZ'!$K337),0)</f>
        <v>0</v>
      </c>
      <c r="Y337" s="63">
        <f t="shared" si="280"/>
        <v>0</v>
      </c>
      <c r="Z337" s="61">
        <f>IFERROR(SUMIFS('BM MORRO DA CRUZ - VERTICAL'!AD$6:AD$546,'BM MORRO DA CRUZ - VERTICAL'!$O$6:$O$546,'BM MORRO DA CRUZ'!$K337),0)</f>
        <v>0</v>
      </c>
      <c r="AA337" s="63">
        <f t="shared" si="281"/>
        <v>0</v>
      </c>
      <c r="AB337" s="61">
        <f>IFERROR(SUMIFS('BM MORRO DA CRUZ - VERTICAL'!AF$6:AF$546,'BM MORRO DA CRUZ - VERTICAL'!$O$6:$O$546,'BM MORRO DA CRUZ'!$K337),0)</f>
        <v>0</v>
      </c>
      <c r="AC337" s="63">
        <f t="shared" si="282"/>
        <v>0</v>
      </c>
      <c r="AD337" s="61">
        <f>IFERROR(SUMIFS('BM MORRO DA CRUZ - VERTICAL'!AH$6:AH$546,'BM MORRO DA CRUZ - VERTICAL'!$O$6:$O$546,'BM MORRO DA CRUZ'!$K337),0)</f>
        <v>0</v>
      </c>
      <c r="AE337" s="63">
        <f t="shared" si="283"/>
        <v>0</v>
      </c>
      <c r="AF337" s="61">
        <f>IFERROR(SUMIFS('BM MORRO DA CRUZ - VERTICAL'!AJ$6:AJ$546,'BM MORRO DA CRUZ - VERTICAL'!$O$6:$O$546,'BM MORRO DA CRUZ'!$K337),0)</f>
        <v>0</v>
      </c>
      <c r="AG337" s="63">
        <f t="shared" si="284"/>
        <v>0</v>
      </c>
      <c r="AH337" s="61">
        <f>IFERROR(SUMIFS('BM MORRO DA CRUZ - VERTICAL'!AL$6:AL$546,'BM MORRO DA CRUZ - VERTICAL'!$O$6:$O$546,'BM MORRO DA CRUZ'!$K337),0)</f>
        <v>0</v>
      </c>
      <c r="AI337" s="63">
        <f t="shared" si="285"/>
        <v>0</v>
      </c>
      <c r="AJ337" s="61">
        <f>IFERROR(SUMIFS('BM MORRO DA CRUZ - VERTICAL'!AN$6:AN$546,'BM MORRO DA CRUZ - VERTICAL'!$O$6:$O$546,'BM MORRO DA CRUZ'!$K337),0)</f>
        <v>0</v>
      </c>
      <c r="AK337" s="63">
        <f t="shared" si="286"/>
        <v>0</v>
      </c>
      <c r="AL337" s="61">
        <f>IFERROR(SUMIFS('BM MORRO DA CRUZ - VERTICAL'!AP$6:AP$546,'BM MORRO DA CRUZ - VERTICAL'!$O$6:$O$546,'BM MORRO DA CRUZ'!$K337),0)</f>
        <v>0</v>
      </c>
      <c r="AM337" s="63">
        <f t="shared" si="287"/>
        <v>0</v>
      </c>
      <c r="AN337" s="61">
        <f>IFERROR(SUMIFS('BM MORRO DA CRUZ - VERTICAL'!AR$6:AR$546,'BM MORRO DA CRUZ - VERTICAL'!$O$6:$O$546,'BM MORRO DA CRUZ'!$K337),0)</f>
        <v>0</v>
      </c>
      <c r="AO337" s="63">
        <f t="shared" si="288"/>
        <v>0</v>
      </c>
      <c r="AP337" s="61">
        <f>IFERROR(SUMIFS('BM MORRO DA CRUZ - VERTICAL'!AT$6:AT$546,'BM MORRO DA CRUZ - VERTICAL'!$O$6:$O$546,'BM MORRO DA CRUZ'!$K337),0)</f>
        <v>0</v>
      </c>
      <c r="AQ337" s="63">
        <f t="shared" si="289"/>
        <v>0</v>
      </c>
      <c r="AR337" s="61">
        <f>IFERROR(SUMIFS('BM MORRO DA CRUZ - VERTICAL'!AV$6:AV$546,'BM MORRO DA CRUZ - VERTICAL'!$O$6:$O$546,'BM MORRO DA CRUZ'!$K337),0)</f>
        <v>0</v>
      </c>
      <c r="AS337" s="63">
        <f t="shared" si="290"/>
        <v>0</v>
      </c>
      <c r="AT337" s="61">
        <f>IFERROR(SUMIFS('BM MORRO DA CRUZ - VERTICAL'!AX$6:AX$546,'BM MORRO DA CRUZ - VERTICAL'!$O$6:$O$546,'BM MORRO DA CRUZ'!$K337),0)</f>
        <v>0</v>
      </c>
      <c r="AU337" s="63">
        <f t="shared" si="291"/>
        <v>0</v>
      </c>
      <c r="AV337" s="61">
        <f>IFERROR(SUMIFS('BM MORRO DA CRUZ - VERTICAL'!AZ$6:AZ$546,'BM MORRO DA CRUZ - VERTICAL'!$O$6:$O$546,'BM MORRO DA CRUZ'!$K337),0)</f>
        <v>0</v>
      </c>
      <c r="AW337" s="63">
        <f t="shared" si="292"/>
        <v>0</v>
      </c>
      <c r="AX337" s="61">
        <f>IFERROR(SUMIFS('BM MORRO DA CRUZ - VERTICAL'!BB$6:BB$546,'BM MORRO DA CRUZ - VERTICAL'!$O$6:$O$546,'BM MORRO DA CRUZ'!$K337),0)</f>
        <v>0</v>
      </c>
      <c r="AY337" s="63">
        <f t="shared" si="293"/>
        <v>0</v>
      </c>
      <c r="AZ337" s="61">
        <f>IFERROR(SUMIFS('BM MORRO DA CRUZ - VERTICAL'!BD$6:BD$546,'BM MORRO DA CRUZ - VERTICAL'!$O$6:$O$546,'BM MORRO DA CRUZ'!$K337),0)</f>
        <v>0</v>
      </c>
      <c r="BA337" s="63">
        <f t="shared" si="294"/>
        <v>0</v>
      </c>
      <c r="BB337" s="61">
        <f t="shared" si="295"/>
        <v>0</v>
      </c>
      <c r="BC337" s="63">
        <f t="shared" si="296"/>
        <v>0</v>
      </c>
      <c r="BD337" s="64">
        <f t="shared" si="297"/>
        <v>0</v>
      </c>
      <c r="BE337" s="65">
        <f t="shared" si="298"/>
        <v>1</v>
      </c>
      <c r="BF337" s="45"/>
    </row>
    <row r="338" spans="1:58" ht="19.5" customHeight="1" x14ac:dyDescent="0.45">
      <c r="A338" s="46" t="s">
        <v>1224</v>
      </c>
      <c r="B338" s="503"/>
      <c r="C338" s="504"/>
      <c r="D338" s="504"/>
      <c r="E338" s="504"/>
      <c r="F338" s="504"/>
      <c r="G338" s="504"/>
      <c r="H338" s="505" t="s">
        <v>1718</v>
      </c>
      <c r="I338" s="504"/>
      <c r="J338" s="505" t="s">
        <v>1718</v>
      </c>
      <c r="K338" s="47" t="s">
        <v>1225</v>
      </c>
      <c r="L338" s="48"/>
      <c r="M338" s="49" t="s">
        <v>1226</v>
      </c>
      <c r="N338" s="50"/>
      <c r="O338" s="51"/>
      <c r="P338" s="52"/>
      <c r="Q338" s="53">
        <f>SUM(Q339:Q344)</f>
        <v>174531.33</v>
      </c>
      <c r="R338" s="51"/>
      <c r="S338" s="53">
        <f>SUM(S339:S344)</f>
        <v>0</v>
      </c>
      <c r="T338" s="51"/>
      <c r="U338" s="53">
        <f>SUM(U339:U344)</f>
        <v>0</v>
      </c>
      <c r="V338" s="51"/>
      <c r="W338" s="53">
        <f>SUM(W339:W344)</f>
        <v>0</v>
      </c>
      <c r="X338" s="51"/>
      <c r="Y338" s="53">
        <f>SUM(Y339:Y344)</f>
        <v>0</v>
      </c>
      <c r="Z338" s="51"/>
      <c r="AA338" s="53">
        <f>SUM(AA339:AA344)</f>
        <v>0</v>
      </c>
      <c r="AB338" s="51"/>
      <c r="AC338" s="53">
        <f>SUM(AC339:AC344)</f>
        <v>0</v>
      </c>
      <c r="AD338" s="51"/>
      <c r="AE338" s="53">
        <f>SUM(AE339:AE344)</f>
        <v>0</v>
      </c>
      <c r="AF338" s="51"/>
      <c r="AG338" s="53">
        <f>SUM(AG339:AG344)</f>
        <v>0</v>
      </c>
      <c r="AH338" s="51"/>
      <c r="AI338" s="53">
        <f>SUM(AI339:AI344)</f>
        <v>0</v>
      </c>
      <c r="AJ338" s="51"/>
      <c r="AK338" s="53">
        <f>SUM(AK339:AK344)</f>
        <v>0</v>
      </c>
      <c r="AL338" s="51"/>
      <c r="AM338" s="53">
        <f>SUM(AM339:AM344)</f>
        <v>0</v>
      </c>
      <c r="AN338" s="51"/>
      <c r="AO338" s="53">
        <f>SUM(AO339:AO344)</f>
        <v>0</v>
      </c>
      <c r="AP338" s="51"/>
      <c r="AQ338" s="53">
        <f>SUM(AQ339:AQ344)</f>
        <v>0</v>
      </c>
      <c r="AR338" s="51"/>
      <c r="AS338" s="53">
        <f>SUM(AS339:AS344)</f>
        <v>0</v>
      </c>
      <c r="AT338" s="51"/>
      <c r="AU338" s="53">
        <f>SUM(AU339:AU344)</f>
        <v>0</v>
      </c>
      <c r="AV338" s="51"/>
      <c r="AW338" s="53">
        <f>SUM(AW339:AW344)</f>
        <v>0</v>
      </c>
      <c r="AX338" s="51"/>
      <c r="AY338" s="53">
        <f>SUM(AY339:AY344)</f>
        <v>0</v>
      </c>
      <c r="AZ338" s="51"/>
      <c r="BA338" s="53">
        <f>SUM(BA339:BA344)</f>
        <v>0</v>
      </c>
      <c r="BB338" s="51"/>
      <c r="BC338" s="53">
        <f>SUM(BC339:BC344)</f>
        <v>0</v>
      </c>
      <c r="BD338" s="54"/>
      <c r="BE338" s="55"/>
      <c r="BF338" s="45"/>
    </row>
    <row r="339" spans="1:58" ht="26" customHeight="1" x14ac:dyDescent="0.45">
      <c r="A339" s="56" t="s">
        <v>1227</v>
      </c>
      <c r="B339" s="506" t="s">
        <v>1831</v>
      </c>
      <c r="C339" s="507" t="s">
        <v>39</v>
      </c>
      <c r="D339" s="507" t="s">
        <v>39</v>
      </c>
      <c r="E339" s="507" t="s">
        <v>1832</v>
      </c>
      <c r="F339" s="507" t="s">
        <v>39</v>
      </c>
      <c r="G339" s="507" t="s">
        <v>39</v>
      </c>
      <c r="H339" s="508" t="s">
        <v>39</v>
      </c>
      <c r="I339" s="507" t="s">
        <v>40</v>
      </c>
      <c r="J339" s="508" t="s">
        <v>1298</v>
      </c>
      <c r="K339" s="57" t="s">
        <v>1228</v>
      </c>
      <c r="L339" s="58" t="s">
        <v>846</v>
      </c>
      <c r="M339" s="59" t="s">
        <v>1229</v>
      </c>
      <c r="N339" s="60" t="s">
        <v>755</v>
      </c>
      <c r="O339" s="61">
        <v>697.88</v>
      </c>
      <c r="P339" s="62">
        <v>1.39</v>
      </c>
      <c r="Q339" s="63">
        <f t="shared" ref="Q339:Q344" si="299">ROUND(P339*$O339,2)</f>
        <v>970.05</v>
      </c>
      <c r="R339" s="61">
        <f>IFERROR(SUMIFS('BM MORRO DA CRUZ - VERTICAL'!V$6:V$546,'BM MORRO DA CRUZ - VERTICAL'!$O$6:$O$546,'BM MORRO DA CRUZ'!$K339),0)</f>
        <v>0</v>
      </c>
      <c r="S339" s="63">
        <f t="shared" ref="S339:S344" si="300">ROUND(R339*$P339,2)</f>
        <v>0</v>
      </c>
      <c r="T339" s="61">
        <f>IFERROR(SUMIFS('BM MORRO DA CRUZ - VERTICAL'!X$6:X$546,'BM MORRO DA CRUZ - VERTICAL'!$O$6:$O$546,'BM MORRO DA CRUZ'!$K339),0)</f>
        <v>0</v>
      </c>
      <c r="U339" s="63">
        <f t="shared" ref="U339:U344" si="301">ROUND(T339*$P339,2)</f>
        <v>0</v>
      </c>
      <c r="V339" s="61">
        <f>IFERROR(SUMIFS('BM MORRO DA CRUZ - VERTICAL'!Z$6:Z$546,'BM MORRO DA CRUZ - VERTICAL'!$O$6:$O$546,'BM MORRO DA CRUZ'!$K339),0)</f>
        <v>0</v>
      </c>
      <c r="W339" s="63">
        <f t="shared" ref="W339:W344" si="302">ROUND(V339*$P339,2)</f>
        <v>0</v>
      </c>
      <c r="X339" s="61">
        <f>IFERROR(SUMIFS('BM MORRO DA CRUZ - VERTICAL'!AB$6:AB$546,'BM MORRO DA CRUZ - VERTICAL'!$O$6:$O$546,'BM MORRO DA CRUZ'!$K339),0)</f>
        <v>0</v>
      </c>
      <c r="Y339" s="63">
        <f t="shared" ref="Y339:Y344" si="303">ROUND(X339*$P339,2)</f>
        <v>0</v>
      </c>
      <c r="Z339" s="61">
        <f>IFERROR(SUMIFS('BM MORRO DA CRUZ - VERTICAL'!AD$6:AD$546,'BM MORRO DA CRUZ - VERTICAL'!$O$6:$O$546,'BM MORRO DA CRUZ'!$K339),0)</f>
        <v>0</v>
      </c>
      <c r="AA339" s="63">
        <f t="shared" ref="AA339:AA344" si="304">ROUND(Z339*$P339,2)</f>
        <v>0</v>
      </c>
      <c r="AB339" s="61">
        <f>IFERROR(SUMIFS('BM MORRO DA CRUZ - VERTICAL'!AF$6:AF$546,'BM MORRO DA CRUZ - VERTICAL'!$O$6:$O$546,'BM MORRO DA CRUZ'!$K339),0)</f>
        <v>0</v>
      </c>
      <c r="AC339" s="63">
        <f t="shared" ref="AC339:AC344" si="305">ROUND(AB339*$P339,2)</f>
        <v>0</v>
      </c>
      <c r="AD339" s="61">
        <f>IFERROR(SUMIFS('BM MORRO DA CRUZ - VERTICAL'!AH$6:AH$546,'BM MORRO DA CRUZ - VERTICAL'!$O$6:$O$546,'BM MORRO DA CRUZ'!$K339),0)</f>
        <v>0</v>
      </c>
      <c r="AE339" s="63">
        <f t="shared" ref="AE339:AE344" si="306">ROUND(AD339*$P339,2)</f>
        <v>0</v>
      </c>
      <c r="AF339" s="61">
        <f>IFERROR(SUMIFS('BM MORRO DA CRUZ - VERTICAL'!AJ$6:AJ$546,'BM MORRO DA CRUZ - VERTICAL'!$O$6:$O$546,'BM MORRO DA CRUZ'!$K339),0)</f>
        <v>0</v>
      </c>
      <c r="AG339" s="63">
        <f t="shared" ref="AG339:AG344" si="307">ROUND(AF339*$P339,2)</f>
        <v>0</v>
      </c>
      <c r="AH339" s="61">
        <f>IFERROR(SUMIFS('BM MORRO DA CRUZ - VERTICAL'!AL$6:AL$546,'BM MORRO DA CRUZ - VERTICAL'!$O$6:$O$546,'BM MORRO DA CRUZ'!$K339),0)</f>
        <v>0</v>
      </c>
      <c r="AI339" s="63">
        <f t="shared" ref="AI339:AI344" si="308">ROUND(AH339*$P339,2)</f>
        <v>0</v>
      </c>
      <c r="AJ339" s="61">
        <f>IFERROR(SUMIFS('BM MORRO DA CRUZ - VERTICAL'!AN$6:AN$546,'BM MORRO DA CRUZ - VERTICAL'!$O$6:$O$546,'BM MORRO DA CRUZ'!$K339),0)</f>
        <v>0</v>
      </c>
      <c r="AK339" s="63">
        <f t="shared" ref="AK339:AK344" si="309">ROUND(AJ339*$P339,2)</f>
        <v>0</v>
      </c>
      <c r="AL339" s="61">
        <f>IFERROR(SUMIFS('BM MORRO DA CRUZ - VERTICAL'!AP$6:AP$546,'BM MORRO DA CRUZ - VERTICAL'!$O$6:$O$546,'BM MORRO DA CRUZ'!$K339),0)</f>
        <v>0</v>
      </c>
      <c r="AM339" s="63">
        <f t="shared" ref="AM339:AM344" si="310">ROUND(AL339*$P339,2)</f>
        <v>0</v>
      </c>
      <c r="AN339" s="61">
        <f>IFERROR(SUMIFS('BM MORRO DA CRUZ - VERTICAL'!AR$6:AR$546,'BM MORRO DA CRUZ - VERTICAL'!$O$6:$O$546,'BM MORRO DA CRUZ'!$K339),0)</f>
        <v>0</v>
      </c>
      <c r="AO339" s="63">
        <f t="shared" ref="AO339:AO344" si="311">ROUND(AN339*$P339,2)</f>
        <v>0</v>
      </c>
      <c r="AP339" s="61">
        <f>IFERROR(SUMIFS('BM MORRO DA CRUZ - VERTICAL'!AT$6:AT$546,'BM MORRO DA CRUZ - VERTICAL'!$O$6:$O$546,'BM MORRO DA CRUZ'!$K339),0)</f>
        <v>0</v>
      </c>
      <c r="AQ339" s="63">
        <f t="shared" ref="AQ339:AQ344" si="312">ROUND(AP339*$P339,2)</f>
        <v>0</v>
      </c>
      <c r="AR339" s="61">
        <f>IFERROR(SUMIFS('BM MORRO DA CRUZ - VERTICAL'!AV$6:AV$546,'BM MORRO DA CRUZ - VERTICAL'!$O$6:$O$546,'BM MORRO DA CRUZ'!$K339),0)</f>
        <v>0</v>
      </c>
      <c r="AS339" s="63">
        <f t="shared" ref="AS339:AS344" si="313">ROUND(AR339*$P339,2)</f>
        <v>0</v>
      </c>
      <c r="AT339" s="61">
        <f>IFERROR(SUMIFS('BM MORRO DA CRUZ - VERTICAL'!AX$6:AX$546,'BM MORRO DA CRUZ - VERTICAL'!$O$6:$O$546,'BM MORRO DA CRUZ'!$K339),0)</f>
        <v>0</v>
      </c>
      <c r="AU339" s="63">
        <f t="shared" ref="AU339:AU344" si="314">ROUND(AT339*$P339,2)</f>
        <v>0</v>
      </c>
      <c r="AV339" s="61">
        <f>IFERROR(SUMIFS('BM MORRO DA CRUZ - VERTICAL'!AZ$6:AZ$546,'BM MORRO DA CRUZ - VERTICAL'!$O$6:$O$546,'BM MORRO DA CRUZ'!$K339),0)</f>
        <v>0</v>
      </c>
      <c r="AW339" s="63">
        <f t="shared" ref="AW339:AW344" si="315">ROUND(AV339*$P339,2)</f>
        <v>0</v>
      </c>
      <c r="AX339" s="61">
        <f>IFERROR(SUMIFS('BM MORRO DA CRUZ - VERTICAL'!BB$6:BB$546,'BM MORRO DA CRUZ - VERTICAL'!$O$6:$O$546,'BM MORRO DA CRUZ'!$K339),0)</f>
        <v>0</v>
      </c>
      <c r="AY339" s="63">
        <f t="shared" ref="AY339:AY344" si="316">ROUND(AX339*$P339,2)</f>
        <v>0</v>
      </c>
      <c r="AZ339" s="61">
        <f>IFERROR(SUMIFS('BM MORRO DA CRUZ - VERTICAL'!BD$6:BD$546,'BM MORRO DA CRUZ - VERTICAL'!$O$6:$O$546,'BM MORRO DA CRUZ'!$K339),0)</f>
        <v>0</v>
      </c>
      <c r="BA339" s="63">
        <f t="shared" ref="BA339:BA344" si="317">ROUND(AZ339*$P339,2)</f>
        <v>0</v>
      </c>
      <c r="BB339" s="61">
        <f t="shared" ref="BB339:BB344" si="318">IFERROR(SUMIFS($R339:$BA339,$R$5:$BA$5,$BB$5),0)</f>
        <v>0</v>
      </c>
      <c r="BC339" s="63">
        <f t="shared" ref="BC339:BC344" si="319">SUMIFS($R339:$BA339,$R$5:$BA$5,$S$5)</f>
        <v>0</v>
      </c>
      <c r="BD339" s="64">
        <f t="shared" ref="BD339:BD344" si="320">IFERROR(BB339/O339,0)</f>
        <v>0</v>
      </c>
      <c r="BE339" s="65">
        <f t="shared" ref="BE339:BE344" si="321">IFERROR((O339-BB339)/O339,0)</f>
        <v>1</v>
      </c>
      <c r="BF339" s="45"/>
    </row>
    <row r="340" spans="1:58" ht="26" customHeight="1" x14ac:dyDescent="0.45">
      <c r="A340" s="56" t="s">
        <v>1230</v>
      </c>
      <c r="B340" s="506" t="s">
        <v>1833</v>
      </c>
      <c r="C340" s="507" t="s">
        <v>39</v>
      </c>
      <c r="D340" s="507" t="s">
        <v>39</v>
      </c>
      <c r="E340" s="507" t="s">
        <v>1834</v>
      </c>
      <c r="F340" s="507" t="s">
        <v>39</v>
      </c>
      <c r="G340" s="507" t="s">
        <v>39</v>
      </c>
      <c r="H340" s="508" t="s">
        <v>1749</v>
      </c>
      <c r="I340" s="507" t="s">
        <v>1739</v>
      </c>
      <c r="J340" s="508" t="s">
        <v>1226</v>
      </c>
      <c r="K340" s="57" t="s">
        <v>1231</v>
      </c>
      <c r="L340" s="58" t="s">
        <v>846</v>
      </c>
      <c r="M340" s="59" t="s">
        <v>1232</v>
      </c>
      <c r="N340" s="60" t="s">
        <v>792</v>
      </c>
      <c r="O340" s="61">
        <v>952.4</v>
      </c>
      <c r="P340" s="62">
        <v>9.75</v>
      </c>
      <c r="Q340" s="63">
        <f t="shared" si="299"/>
        <v>9285.9</v>
      </c>
      <c r="R340" s="61">
        <f>IFERROR(SUMIFS('BM MORRO DA CRUZ - VERTICAL'!V$6:V$546,'BM MORRO DA CRUZ - VERTICAL'!$O$6:$O$546,'BM MORRO DA CRUZ'!$K340),0)</f>
        <v>0</v>
      </c>
      <c r="S340" s="63">
        <f t="shared" si="300"/>
        <v>0</v>
      </c>
      <c r="T340" s="61">
        <f>IFERROR(SUMIFS('BM MORRO DA CRUZ - VERTICAL'!X$6:X$546,'BM MORRO DA CRUZ - VERTICAL'!$O$6:$O$546,'BM MORRO DA CRUZ'!$K340),0)</f>
        <v>0</v>
      </c>
      <c r="U340" s="63">
        <f t="shared" si="301"/>
        <v>0</v>
      </c>
      <c r="V340" s="61">
        <f>IFERROR(SUMIFS('BM MORRO DA CRUZ - VERTICAL'!Z$6:Z$546,'BM MORRO DA CRUZ - VERTICAL'!$O$6:$O$546,'BM MORRO DA CRUZ'!$K340),0)</f>
        <v>0</v>
      </c>
      <c r="W340" s="63">
        <f t="shared" si="302"/>
        <v>0</v>
      </c>
      <c r="X340" s="61">
        <f>IFERROR(SUMIFS('BM MORRO DA CRUZ - VERTICAL'!AB$6:AB$546,'BM MORRO DA CRUZ - VERTICAL'!$O$6:$O$546,'BM MORRO DA CRUZ'!$K340),0)</f>
        <v>0</v>
      </c>
      <c r="Y340" s="63">
        <f t="shared" si="303"/>
        <v>0</v>
      </c>
      <c r="Z340" s="61">
        <f>IFERROR(SUMIFS('BM MORRO DA CRUZ - VERTICAL'!AD$6:AD$546,'BM MORRO DA CRUZ - VERTICAL'!$O$6:$O$546,'BM MORRO DA CRUZ'!$K340),0)</f>
        <v>0</v>
      </c>
      <c r="AA340" s="63">
        <f t="shared" si="304"/>
        <v>0</v>
      </c>
      <c r="AB340" s="61">
        <f>IFERROR(SUMIFS('BM MORRO DA CRUZ - VERTICAL'!AF$6:AF$546,'BM MORRO DA CRUZ - VERTICAL'!$O$6:$O$546,'BM MORRO DA CRUZ'!$K340),0)</f>
        <v>0</v>
      </c>
      <c r="AC340" s="63">
        <f t="shared" si="305"/>
        <v>0</v>
      </c>
      <c r="AD340" s="61">
        <f>IFERROR(SUMIFS('BM MORRO DA CRUZ - VERTICAL'!AH$6:AH$546,'BM MORRO DA CRUZ - VERTICAL'!$O$6:$O$546,'BM MORRO DA CRUZ'!$K340),0)</f>
        <v>0</v>
      </c>
      <c r="AE340" s="63">
        <f t="shared" si="306"/>
        <v>0</v>
      </c>
      <c r="AF340" s="61">
        <f>IFERROR(SUMIFS('BM MORRO DA CRUZ - VERTICAL'!AJ$6:AJ$546,'BM MORRO DA CRUZ - VERTICAL'!$O$6:$O$546,'BM MORRO DA CRUZ'!$K340),0)</f>
        <v>0</v>
      </c>
      <c r="AG340" s="63">
        <f t="shared" si="307"/>
        <v>0</v>
      </c>
      <c r="AH340" s="61">
        <f>IFERROR(SUMIFS('BM MORRO DA CRUZ - VERTICAL'!AL$6:AL$546,'BM MORRO DA CRUZ - VERTICAL'!$O$6:$O$546,'BM MORRO DA CRUZ'!$K340),0)</f>
        <v>0</v>
      </c>
      <c r="AI340" s="63">
        <f t="shared" si="308"/>
        <v>0</v>
      </c>
      <c r="AJ340" s="61">
        <f>IFERROR(SUMIFS('BM MORRO DA CRUZ - VERTICAL'!AN$6:AN$546,'BM MORRO DA CRUZ - VERTICAL'!$O$6:$O$546,'BM MORRO DA CRUZ'!$K340),0)</f>
        <v>0</v>
      </c>
      <c r="AK340" s="63">
        <f t="shared" si="309"/>
        <v>0</v>
      </c>
      <c r="AL340" s="61">
        <f>IFERROR(SUMIFS('BM MORRO DA CRUZ - VERTICAL'!AP$6:AP$546,'BM MORRO DA CRUZ - VERTICAL'!$O$6:$O$546,'BM MORRO DA CRUZ'!$K340),0)</f>
        <v>0</v>
      </c>
      <c r="AM340" s="63">
        <f t="shared" si="310"/>
        <v>0</v>
      </c>
      <c r="AN340" s="61">
        <f>IFERROR(SUMIFS('BM MORRO DA CRUZ - VERTICAL'!AR$6:AR$546,'BM MORRO DA CRUZ - VERTICAL'!$O$6:$O$546,'BM MORRO DA CRUZ'!$K340),0)</f>
        <v>0</v>
      </c>
      <c r="AO340" s="63">
        <f t="shared" si="311"/>
        <v>0</v>
      </c>
      <c r="AP340" s="61">
        <f>IFERROR(SUMIFS('BM MORRO DA CRUZ - VERTICAL'!AT$6:AT$546,'BM MORRO DA CRUZ - VERTICAL'!$O$6:$O$546,'BM MORRO DA CRUZ'!$K340),0)</f>
        <v>0</v>
      </c>
      <c r="AQ340" s="63">
        <f t="shared" si="312"/>
        <v>0</v>
      </c>
      <c r="AR340" s="61">
        <f>IFERROR(SUMIFS('BM MORRO DA CRUZ - VERTICAL'!AV$6:AV$546,'BM MORRO DA CRUZ - VERTICAL'!$O$6:$O$546,'BM MORRO DA CRUZ'!$K340),0)</f>
        <v>0</v>
      </c>
      <c r="AS340" s="63">
        <f t="shared" si="313"/>
        <v>0</v>
      </c>
      <c r="AT340" s="61">
        <f>IFERROR(SUMIFS('BM MORRO DA CRUZ - VERTICAL'!AX$6:AX$546,'BM MORRO DA CRUZ - VERTICAL'!$O$6:$O$546,'BM MORRO DA CRUZ'!$K340),0)</f>
        <v>0</v>
      </c>
      <c r="AU340" s="63">
        <f t="shared" si="314"/>
        <v>0</v>
      </c>
      <c r="AV340" s="61">
        <f>IFERROR(SUMIFS('BM MORRO DA CRUZ - VERTICAL'!AZ$6:AZ$546,'BM MORRO DA CRUZ - VERTICAL'!$O$6:$O$546,'BM MORRO DA CRUZ'!$K340),0)</f>
        <v>0</v>
      </c>
      <c r="AW340" s="63">
        <f t="shared" si="315"/>
        <v>0</v>
      </c>
      <c r="AX340" s="61">
        <f>IFERROR(SUMIFS('BM MORRO DA CRUZ - VERTICAL'!BB$6:BB$546,'BM MORRO DA CRUZ - VERTICAL'!$O$6:$O$546,'BM MORRO DA CRUZ'!$K340),0)</f>
        <v>0</v>
      </c>
      <c r="AY340" s="63">
        <f t="shared" si="316"/>
        <v>0</v>
      </c>
      <c r="AZ340" s="61">
        <f>IFERROR(SUMIFS('BM MORRO DA CRUZ - VERTICAL'!BD$6:BD$546,'BM MORRO DA CRUZ - VERTICAL'!$O$6:$O$546,'BM MORRO DA CRUZ'!$K340),0)</f>
        <v>0</v>
      </c>
      <c r="BA340" s="63">
        <f t="shared" si="317"/>
        <v>0</v>
      </c>
      <c r="BB340" s="61">
        <f t="shared" si="318"/>
        <v>0</v>
      </c>
      <c r="BC340" s="63">
        <f t="shared" si="319"/>
        <v>0</v>
      </c>
      <c r="BD340" s="64">
        <f t="shared" si="320"/>
        <v>0</v>
      </c>
      <c r="BE340" s="65">
        <f t="shared" si="321"/>
        <v>1</v>
      </c>
      <c r="BF340" s="45"/>
    </row>
    <row r="341" spans="1:58" ht="35.65" x14ac:dyDescent="0.45">
      <c r="A341" s="56" t="s">
        <v>1233</v>
      </c>
      <c r="B341" s="506" t="s">
        <v>1835</v>
      </c>
      <c r="C341" s="507" t="s">
        <v>39</v>
      </c>
      <c r="D341" s="507" t="s">
        <v>39</v>
      </c>
      <c r="E341" s="507" t="s">
        <v>78</v>
      </c>
      <c r="F341" s="507" t="s">
        <v>39</v>
      </c>
      <c r="G341" s="507" t="s">
        <v>39</v>
      </c>
      <c r="H341" s="508" t="s">
        <v>78</v>
      </c>
      <c r="I341" s="507" t="s">
        <v>1739</v>
      </c>
      <c r="J341" s="508" t="s">
        <v>78</v>
      </c>
      <c r="K341" s="57" t="s">
        <v>1234</v>
      </c>
      <c r="L341" s="58" t="s">
        <v>846</v>
      </c>
      <c r="M341" s="59" t="s">
        <v>1235</v>
      </c>
      <c r="N341" s="60" t="s">
        <v>792</v>
      </c>
      <c r="O341" s="61">
        <v>370.56</v>
      </c>
      <c r="P341" s="62">
        <v>106.91</v>
      </c>
      <c r="Q341" s="63">
        <f t="shared" si="299"/>
        <v>39616.57</v>
      </c>
      <c r="R341" s="61">
        <f>IFERROR(SUMIFS('BM MORRO DA CRUZ - VERTICAL'!V$6:V$546,'BM MORRO DA CRUZ - VERTICAL'!$O$6:$O$546,'BM MORRO DA CRUZ'!$K341),0)</f>
        <v>0</v>
      </c>
      <c r="S341" s="63">
        <f t="shared" si="300"/>
        <v>0</v>
      </c>
      <c r="T341" s="61">
        <f>IFERROR(SUMIFS('BM MORRO DA CRUZ - VERTICAL'!X$6:X$546,'BM MORRO DA CRUZ - VERTICAL'!$O$6:$O$546,'BM MORRO DA CRUZ'!$K341),0)</f>
        <v>0</v>
      </c>
      <c r="U341" s="63">
        <f t="shared" si="301"/>
        <v>0</v>
      </c>
      <c r="V341" s="61">
        <f>IFERROR(SUMIFS('BM MORRO DA CRUZ - VERTICAL'!Z$6:Z$546,'BM MORRO DA CRUZ - VERTICAL'!$O$6:$O$546,'BM MORRO DA CRUZ'!$K341),0)</f>
        <v>0</v>
      </c>
      <c r="W341" s="63">
        <f t="shared" si="302"/>
        <v>0</v>
      </c>
      <c r="X341" s="61">
        <f>IFERROR(SUMIFS('BM MORRO DA CRUZ - VERTICAL'!AB$6:AB$546,'BM MORRO DA CRUZ - VERTICAL'!$O$6:$O$546,'BM MORRO DA CRUZ'!$K341),0)</f>
        <v>0</v>
      </c>
      <c r="Y341" s="63">
        <f t="shared" si="303"/>
        <v>0</v>
      </c>
      <c r="Z341" s="61">
        <f>IFERROR(SUMIFS('BM MORRO DA CRUZ - VERTICAL'!AD$6:AD$546,'BM MORRO DA CRUZ - VERTICAL'!$O$6:$O$546,'BM MORRO DA CRUZ'!$K341),0)</f>
        <v>0</v>
      </c>
      <c r="AA341" s="63">
        <f t="shared" si="304"/>
        <v>0</v>
      </c>
      <c r="AB341" s="61">
        <f>IFERROR(SUMIFS('BM MORRO DA CRUZ - VERTICAL'!AF$6:AF$546,'BM MORRO DA CRUZ - VERTICAL'!$O$6:$O$546,'BM MORRO DA CRUZ'!$K341),0)</f>
        <v>0</v>
      </c>
      <c r="AC341" s="63">
        <f t="shared" si="305"/>
        <v>0</v>
      </c>
      <c r="AD341" s="61">
        <f>IFERROR(SUMIFS('BM MORRO DA CRUZ - VERTICAL'!AH$6:AH$546,'BM MORRO DA CRUZ - VERTICAL'!$O$6:$O$546,'BM MORRO DA CRUZ'!$K341),0)</f>
        <v>0</v>
      </c>
      <c r="AE341" s="63">
        <f t="shared" si="306"/>
        <v>0</v>
      </c>
      <c r="AF341" s="61">
        <f>IFERROR(SUMIFS('BM MORRO DA CRUZ - VERTICAL'!AJ$6:AJ$546,'BM MORRO DA CRUZ - VERTICAL'!$O$6:$O$546,'BM MORRO DA CRUZ'!$K341),0)</f>
        <v>0</v>
      </c>
      <c r="AG341" s="63">
        <f t="shared" si="307"/>
        <v>0</v>
      </c>
      <c r="AH341" s="61">
        <f>IFERROR(SUMIFS('BM MORRO DA CRUZ - VERTICAL'!AL$6:AL$546,'BM MORRO DA CRUZ - VERTICAL'!$O$6:$O$546,'BM MORRO DA CRUZ'!$K341),0)</f>
        <v>0</v>
      </c>
      <c r="AI341" s="63">
        <f t="shared" si="308"/>
        <v>0</v>
      </c>
      <c r="AJ341" s="61">
        <f>IFERROR(SUMIFS('BM MORRO DA CRUZ - VERTICAL'!AN$6:AN$546,'BM MORRO DA CRUZ - VERTICAL'!$O$6:$O$546,'BM MORRO DA CRUZ'!$K341),0)</f>
        <v>0</v>
      </c>
      <c r="AK341" s="63">
        <f t="shared" si="309"/>
        <v>0</v>
      </c>
      <c r="AL341" s="61">
        <f>IFERROR(SUMIFS('BM MORRO DA CRUZ - VERTICAL'!AP$6:AP$546,'BM MORRO DA CRUZ - VERTICAL'!$O$6:$O$546,'BM MORRO DA CRUZ'!$K341),0)</f>
        <v>0</v>
      </c>
      <c r="AM341" s="63">
        <f t="shared" si="310"/>
        <v>0</v>
      </c>
      <c r="AN341" s="61">
        <f>IFERROR(SUMIFS('BM MORRO DA CRUZ - VERTICAL'!AR$6:AR$546,'BM MORRO DA CRUZ - VERTICAL'!$O$6:$O$546,'BM MORRO DA CRUZ'!$K341),0)</f>
        <v>0</v>
      </c>
      <c r="AO341" s="63">
        <f t="shared" si="311"/>
        <v>0</v>
      </c>
      <c r="AP341" s="61">
        <f>IFERROR(SUMIFS('BM MORRO DA CRUZ - VERTICAL'!AT$6:AT$546,'BM MORRO DA CRUZ - VERTICAL'!$O$6:$O$546,'BM MORRO DA CRUZ'!$K341),0)</f>
        <v>0</v>
      </c>
      <c r="AQ341" s="63">
        <f t="shared" si="312"/>
        <v>0</v>
      </c>
      <c r="AR341" s="61">
        <f>IFERROR(SUMIFS('BM MORRO DA CRUZ - VERTICAL'!AV$6:AV$546,'BM MORRO DA CRUZ - VERTICAL'!$O$6:$O$546,'BM MORRO DA CRUZ'!$K341),0)</f>
        <v>0</v>
      </c>
      <c r="AS341" s="63">
        <f t="shared" si="313"/>
        <v>0</v>
      </c>
      <c r="AT341" s="61">
        <f>IFERROR(SUMIFS('BM MORRO DA CRUZ - VERTICAL'!AX$6:AX$546,'BM MORRO DA CRUZ - VERTICAL'!$O$6:$O$546,'BM MORRO DA CRUZ'!$K341),0)</f>
        <v>0</v>
      </c>
      <c r="AU341" s="63">
        <f t="shared" si="314"/>
        <v>0</v>
      </c>
      <c r="AV341" s="61">
        <f>IFERROR(SUMIFS('BM MORRO DA CRUZ - VERTICAL'!AZ$6:AZ$546,'BM MORRO DA CRUZ - VERTICAL'!$O$6:$O$546,'BM MORRO DA CRUZ'!$K341),0)</f>
        <v>0</v>
      </c>
      <c r="AW341" s="63">
        <f t="shared" si="315"/>
        <v>0</v>
      </c>
      <c r="AX341" s="61">
        <f>IFERROR(SUMIFS('BM MORRO DA CRUZ - VERTICAL'!BB$6:BB$546,'BM MORRO DA CRUZ - VERTICAL'!$O$6:$O$546,'BM MORRO DA CRUZ'!$K341),0)</f>
        <v>0</v>
      </c>
      <c r="AY341" s="63">
        <f t="shared" si="316"/>
        <v>0</v>
      </c>
      <c r="AZ341" s="61">
        <f>IFERROR(SUMIFS('BM MORRO DA CRUZ - VERTICAL'!BD$6:BD$546,'BM MORRO DA CRUZ - VERTICAL'!$O$6:$O$546,'BM MORRO DA CRUZ'!$K341),0)</f>
        <v>0</v>
      </c>
      <c r="BA341" s="63">
        <f t="shared" si="317"/>
        <v>0</v>
      </c>
      <c r="BB341" s="61">
        <f t="shared" si="318"/>
        <v>0</v>
      </c>
      <c r="BC341" s="63">
        <f t="shared" si="319"/>
        <v>0</v>
      </c>
      <c r="BD341" s="64">
        <f t="shared" si="320"/>
        <v>0</v>
      </c>
      <c r="BE341" s="65">
        <f t="shared" si="321"/>
        <v>1</v>
      </c>
      <c r="BF341" s="45"/>
    </row>
    <row r="342" spans="1:58" ht="26" customHeight="1" x14ac:dyDescent="0.45">
      <c r="A342" s="56" t="s">
        <v>1236</v>
      </c>
      <c r="B342" s="506" t="s">
        <v>1836</v>
      </c>
      <c r="C342" s="507" t="s">
        <v>39</v>
      </c>
      <c r="D342" s="507" t="s">
        <v>39</v>
      </c>
      <c r="E342" s="507" t="s">
        <v>1837</v>
      </c>
      <c r="F342" s="507" t="s">
        <v>39</v>
      </c>
      <c r="G342" s="507" t="s">
        <v>39</v>
      </c>
      <c r="H342" s="508" t="s">
        <v>1749</v>
      </c>
      <c r="I342" s="507" t="s">
        <v>1739</v>
      </c>
      <c r="J342" s="508" t="s">
        <v>1226</v>
      </c>
      <c r="K342" s="57" t="s">
        <v>1237</v>
      </c>
      <c r="L342" s="58" t="s">
        <v>846</v>
      </c>
      <c r="M342" s="59" t="s">
        <v>1238</v>
      </c>
      <c r="N342" s="60" t="s">
        <v>792</v>
      </c>
      <c r="O342" s="61">
        <v>952.4</v>
      </c>
      <c r="P342" s="62">
        <v>3.17</v>
      </c>
      <c r="Q342" s="63">
        <f t="shared" si="299"/>
        <v>3019.11</v>
      </c>
      <c r="R342" s="61">
        <f>IFERROR(SUMIFS('BM MORRO DA CRUZ - VERTICAL'!V$6:V$546,'BM MORRO DA CRUZ - VERTICAL'!$O$6:$O$546,'BM MORRO DA CRUZ'!$K342),0)</f>
        <v>0</v>
      </c>
      <c r="S342" s="63">
        <f t="shared" si="300"/>
        <v>0</v>
      </c>
      <c r="T342" s="61">
        <f>IFERROR(SUMIFS('BM MORRO DA CRUZ - VERTICAL'!X$6:X$546,'BM MORRO DA CRUZ - VERTICAL'!$O$6:$O$546,'BM MORRO DA CRUZ'!$K342),0)</f>
        <v>0</v>
      </c>
      <c r="U342" s="63">
        <f t="shared" si="301"/>
        <v>0</v>
      </c>
      <c r="V342" s="61">
        <f>IFERROR(SUMIFS('BM MORRO DA CRUZ - VERTICAL'!Z$6:Z$546,'BM MORRO DA CRUZ - VERTICAL'!$O$6:$O$546,'BM MORRO DA CRUZ'!$K342),0)</f>
        <v>0</v>
      </c>
      <c r="W342" s="63">
        <f t="shared" si="302"/>
        <v>0</v>
      </c>
      <c r="X342" s="61">
        <f>IFERROR(SUMIFS('BM MORRO DA CRUZ - VERTICAL'!AB$6:AB$546,'BM MORRO DA CRUZ - VERTICAL'!$O$6:$O$546,'BM MORRO DA CRUZ'!$K342),0)</f>
        <v>0</v>
      </c>
      <c r="Y342" s="63">
        <f t="shared" si="303"/>
        <v>0</v>
      </c>
      <c r="Z342" s="61">
        <f>IFERROR(SUMIFS('BM MORRO DA CRUZ - VERTICAL'!AD$6:AD$546,'BM MORRO DA CRUZ - VERTICAL'!$O$6:$O$546,'BM MORRO DA CRUZ'!$K342),0)</f>
        <v>0</v>
      </c>
      <c r="AA342" s="63">
        <f t="shared" si="304"/>
        <v>0</v>
      </c>
      <c r="AB342" s="61">
        <f>IFERROR(SUMIFS('BM MORRO DA CRUZ - VERTICAL'!AF$6:AF$546,'BM MORRO DA CRUZ - VERTICAL'!$O$6:$O$546,'BM MORRO DA CRUZ'!$K342),0)</f>
        <v>0</v>
      </c>
      <c r="AC342" s="63">
        <f t="shared" si="305"/>
        <v>0</v>
      </c>
      <c r="AD342" s="61">
        <f>IFERROR(SUMIFS('BM MORRO DA CRUZ - VERTICAL'!AH$6:AH$546,'BM MORRO DA CRUZ - VERTICAL'!$O$6:$O$546,'BM MORRO DA CRUZ'!$K342),0)</f>
        <v>0</v>
      </c>
      <c r="AE342" s="63">
        <f t="shared" si="306"/>
        <v>0</v>
      </c>
      <c r="AF342" s="61">
        <f>IFERROR(SUMIFS('BM MORRO DA CRUZ - VERTICAL'!AJ$6:AJ$546,'BM MORRO DA CRUZ - VERTICAL'!$O$6:$O$546,'BM MORRO DA CRUZ'!$K342),0)</f>
        <v>0</v>
      </c>
      <c r="AG342" s="63">
        <f t="shared" si="307"/>
        <v>0</v>
      </c>
      <c r="AH342" s="61">
        <f>IFERROR(SUMIFS('BM MORRO DA CRUZ - VERTICAL'!AL$6:AL$546,'BM MORRO DA CRUZ - VERTICAL'!$O$6:$O$546,'BM MORRO DA CRUZ'!$K342),0)</f>
        <v>0</v>
      </c>
      <c r="AI342" s="63">
        <f t="shared" si="308"/>
        <v>0</v>
      </c>
      <c r="AJ342" s="61">
        <f>IFERROR(SUMIFS('BM MORRO DA CRUZ - VERTICAL'!AN$6:AN$546,'BM MORRO DA CRUZ - VERTICAL'!$O$6:$O$546,'BM MORRO DA CRUZ'!$K342),0)</f>
        <v>0</v>
      </c>
      <c r="AK342" s="63">
        <f t="shared" si="309"/>
        <v>0</v>
      </c>
      <c r="AL342" s="61">
        <f>IFERROR(SUMIFS('BM MORRO DA CRUZ - VERTICAL'!AP$6:AP$546,'BM MORRO DA CRUZ - VERTICAL'!$O$6:$O$546,'BM MORRO DA CRUZ'!$K342),0)</f>
        <v>0</v>
      </c>
      <c r="AM342" s="63">
        <f t="shared" si="310"/>
        <v>0</v>
      </c>
      <c r="AN342" s="61">
        <f>IFERROR(SUMIFS('BM MORRO DA CRUZ - VERTICAL'!AR$6:AR$546,'BM MORRO DA CRUZ - VERTICAL'!$O$6:$O$546,'BM MORRO DA CRUZ'!$K342),0)</f>
        <v>0</v>
      </c>
      <c r="AO342" s="63">
        <f t="shared" si="311"/>
        <v>0</v>
      </c>
      <c r="AP342" s="61">
        <f>IFERROR(SUMIFS('BM MORRO DA CRUZ - VERTICAL'!AT$6:AT$546,'BM MORRO DA CRUZ - VERTICAL'!$O$6:$O$546,'BM MORRO DA CRUZ'!$K342),0)</f>
        <v>0</v>
      </c>
      <c r="AQ342" s="63">
        <f t="shared" si="312"/>
        <v>0</v>
      </c>
      <c r="AR342" s="61">
        <f>IFERROR(SUMIFS('BM MORRO DA CRUZ - VERTICAL'!AV$6:AV$546,'BM MORRO DA CRUZ - VERTICAL'!$O$6:$O$546,'BM MORRO DA CRUZ'!$K342),0)</f>
        <v>0</v>
      </c>
      <c r="AS342" s="63">
        <f t="shared" si="313"/>
        <v>0</v>
      </c>
      <c r="AT342" s="61">
        <f>IFERROR(SUMIFS('BM MORRO DA CRUZ - VERTICAL'!AX$6:AX$546,'BM MORRO DA CRUZ - VERTICAL'!$O$6:$O$546,'BM MORRO DA CRUZ'!$K342),0)</f>
        <v>0</v>
      </c>
      <c r="AU342" s="63">
        <f t="shared" si="314"/>
        <v>0</v>
      </c>
      <c r="AV342" s="61">
        <f>IFERROR(SUMIFS('BM MORRO DA CRUZ - VERTICAL'!AZ$6:AZ$546,'BM MORRO DA CRUZ - VERTICAL'!$O$6:$O$546,'BM MORRO DA CRUZ'!$K342),0)</f>
        <v>0</v>
      </c>
      <c r="AW342" s="63">
        <f t="shared" si="315"/>
        <v>0</v>
      </c>
      <c r="AX342" s="61">
        <f>IFERROR(SUMIFS('BM MORRO DA CRUZ - VERTICAL'!BB$6:BB$546,'BM MORRO DA CRUZ - VERTICAL'!$O$6:$O$546,'BM MORRO DA CRUZ'!$K342),0)</f>
        <v>0</v>
      </c>
      <c r="AY342" s="63">
        <f t="shared" si="316"/>
        <v>0</v>
      </c>
      <c r="AZ342" s="61">
        <f>IFERROR(SUMIFS('BM MORRO DA CRUZ - VERTICAL'!BD$6:BD$546,'BM MORRO DA CRUZ - VERTICAL'!$O$6:$O$546,'BM MORRO DA CRUZ'!$K342),0)</f>
        <v>0</v>
      </c>
      <c r="BA342" s="63">
        <f t="shared" si="317"/>
        <v>0</v>
      </c>
      <c r="BB342" s="61">
        <f t="shared" si="318"/>
        <v>0</v>
      </c>
      <c r="BC342" s="63">
        <f t="shared" si="319"/>
        <v>0</v>
      </c>
      <c r="BD342" s="64">
        <f t="shared" si="320"/>
        <v>0</v>
      </c>
      <c r="BE342" s="65">
        <f t="shared" si="321"/>
        <v>1</v>
      </c>
      <c r="BF342" s="45"/>
    </row>
    <row r="343" spans="1:58" ht="35.65" x14ac:dyDescent="0.45">
      <c r="A343" s="56" t="s">
        <v>1239</v>
      </c>
      <c r="B343" s="506" t="s">
        <v>1838</v>
      </c>
      <c r="C343" s="507" t="s">
        <v>39</v>
      </c>
      <c r="D343" s="507" t="s">
        <v>39</v>
      </c>
      <c r="E343" s="507" t="s">
        <v>1738</v>
      </c>
      <c r="F343" s="507" t="s">
        <v>39</v>
      </c>
      <c r="G343" s="507" t="s">
        <v>39</v>
      </c>
      <c r="H343" s="508" t="s">
        <v>78</v>
      </c>
      <c r="I343" s="507" t="s">
        <v>1739</v>
      </c>
      <c r="J343" s="508" t="s">
        <v>1738</v>
      </c>
      <c r="K343" s="57" t="s">
        <v>1240</v>
      </c>
      <c r="L343" s="58" t="s">
        <v>846</v>
      </c>
      <c r="M343" s="59" t="s">
        <v>1241</v>
      </c>
      <c r="N343" s="60" t="s">
        <v>755</v>
      </c>
      <c r="O343" s="61">
        <v>49.99</v>
      </c>
      <c r="P343" s="62">
        <v>2299.2600000000002</v>
      </c>
      <c r="Q343" s="63">
        <f t="shared" si="299"/>
        <v>114940.01</v>
      </c>
      <c r="R343" s="61">
        <f>IFERROR(SUMIFS('BM MORRO DA CRUZ - VERTICAL'!V$6:V$546,'BM MORRO DA CRUZ - VERTICAL'!$O$6:$O$546,'BM MORRO DA CRUZ'!$K343),0)</f>
        <v>0</v>
      </c>
      <c r="S343" s="63">
        <f t="shared" si="300"/>
        <v>0</v>
      </c>
      <c r="T343" s="61">
        <f>IFERROR(SUMIFS('BM MORRO DA CRUZ - VERTICAL'!X$6:X$546,'BM MORRO DA CRUZ - VERTICAL'!$O$6:$O$546,'BM MORRO DA CRUZ'!$K343),0)</f>
        <v>0</v>
      </c>
      <c r="U343" s="63">
        <f t="shared" si="301"/>
        <v>0</v>
      </c>
      <c r="V343" s="61">
        <f>IFERROR(SUMIFS('BM MORRO DA CRUZ - VERTICAL'!Z$6:Z$546,'BM MORRO DA CRUZ - VERTICAL'!$O$6:$O$546,'BM MORRO DA CRUZ'!$K343),0)</f>
        <v>0</v>
      </c>
      <c r="W343" s="63">
        <f t="shared" si="302"/>
        <v>0</v>
      </c>
      <c r="X343" s="61">
        <f>IFERROR(SUMIFS('BM MORRO DA CRUZ - VERTICAL'!AB$6:AB$546,'BM MORRO DA CRUZ - VERTICAL'!$O$6:$O$546,'BM MORRO DA CRUZ'!$K343),0)</f>
        <v>0</v>
      </c>
      <c r="Y343" s="63">
        <f t="shared" si="303"/>
        <v>0</v>
      </c>
      <c r="Z343" s="61">
        <f>IFERROR(SUMIFS('BM MORRO DA CRUZ - VERTICAL'!AD$6:AD$546,'BM MORRO DA CRUZ - VERTICAL'!$O$6:$O$546,'BM MORRO DA CRUZ'!$K343),0)</f>
        <v>0</v>
      </c>
      <c r="AA343" s="63">
        <f t="shared" si="304"/>
        <v>0</v>
      </c>
      <c r="AB343" s="61">
        <f>IFERROR(SUMIFS('BM MORRO DA CRUZ - VERTICAL'!AF$6:AF$546,'BM MORRO DA CRUZ - VERTICAL'!$O$6:$O$546,'BM MORRO DA CRUZ'!$K343),0)</f>
        <v>0</v>
      </c>
      <c r="AC343" s="63">
        <f t="shared" si="305"/>
        <v>0</v>
      </c>
      <c r="AD343" s="61">
        <f>IFERROR(SUMIFS('BM MORRO DA CRUZ - VERTICAL'!AH$6:AH$546,'BM MORRO DA CRUZ - VERTICAL'!$O$6:$O$546,'BM MORRO DA CRUZ'!$K343),0)</f>
        <v>0</v>
      </c>
      <c r="AE343" s="63">
        <f t="shared" si="306"/>
        <v>0</v>
      </c>
      <c r="AF343" s="61">
        <f>IFERROR(SUMIFS('BM MORRO DA CRUZ - VERTICAL'!AJ$6:AJ$546,'BM MORRO DA CRUZ - VERTICAL'!$O$6:$O$546,'BM MORRO DA CRUZ'!$K343),0)</f>
        <v>0</v>
      </c>
      <c r="AG343" s="63">
        <f t="shared" si="307"/>
        <v>0</v>
      </c>
      <c r="AH343" s="61">
        <f>IFERROR(SUMIFS('BM MORRO DA CRUZ - VERTICAL'!AL$6:AL$546,'BM MORRO DA CRUZ - VERTICAL'!$O$6:$O$546,'BM MORRO DA CRUZ'!$K343),0)</f>
        <v>0</v>
      </c>
      <c r="AI343" s="63">
        <f t="shared" si="308"/>
        <v>0</v>
      </c>
      <c r="AJ343" s="61">
        <f>IFERROR(SUMIFS('BM MORRO DA CRUZ - VERTICAL'!AN$6:AN$546,'BM MORRO DA CRUZ - VERTICAL'!$O$6:$O$546,'BM MORRO DA CRUZ'!$K343),0)</f>
        <v>0</v>
      </c>
      <c r="AK343" s="63">
        <f t="shared" si="309"/>
        <v>0</v>
      </c>
      <c r="AL343" s="61">
        <f>IFERROR(SUMIFS('BM MORRO DA CRUZ - VERTICAL'!AP$6:AP$546,'BM MORRO DA CRUZ - VERTICAL'!$O$6:$O$546,'BM MORRO DA CRUZ'!$K343),0)</f>
        <v>0</v>
      </c>
      <c r="AM343" s="63">
        <f t="shared" si="310"/>
        <v>0</v>
      </c>
      <c r="AN343" s="61">
        <f>IFERROR(SUMIFS('BM MORRO DA CRUZ - VERTICAL'!AR$6:AR$546,'BM MORRO DA CRUZ - VERTICAL'!$O$6:$O$546,'BM MORRO DA CRUZ'!$K343),0)</f>
        <v>0</v>
      </c>
      <c r="AO343" s="63">
        <f t="shared" si="311"/>
        <v>0</v>
      </c>
      <c r="AP343" s="61">
        <f>IFERROR(SUMIFS('BM MORRO DA CRUZ - VERTICAL'!AT$6:AT$546,'BM MORRO DA CRUZ - VERTICAL'!$O$6:$O$546,'BM MORRO DA CRUZ'!$K343),0)</f>
        <v>0</v>
      </c>
      <c r="AQ343" s="63">
        <f t="shared" si="312"/>
        <v>0</v>
      </c>
      <c r="AR343" s="61">
        <f>IFERROR(SUMIFS('BM MORRO DA CRUZ - VERTICAL'!AV$6:AV$546,'BM MORRO DA CRUZ - VERTICAL'!$O$6:$O$546,'BM MORRO DA CRUZ'!$K343),0)</f>
        <v>0</v>
      </c>
      <c r="AS343" s="63">
        <f t="shared" si="313"/>
        <v>0</v>
      </c>
      <c r="AT343" s="61">
        <f>IFERROR(SUMIFS('BM MORRO DA CRUZ - VERTICAL'!AX$6:AX$546,'BM MORRO DA CRUZ - VERTICAL'!$O$6:$O$546,'BM MORRO DA CRUZ'!$K343),0)</f>
        <v>0</v>
      </c>
      <c r="AU343" s="63">
        <f t="shared" si="314"/>
        <v>0</v>
      </c>
      <c r="AV343" s="61">
        <f>IFERROR(SUMIFS('BM MORRO DA CRUZ - VERTICAL'!AZ$6:AZ$546,'BM MORRO DA CRUZ - VERTICAL'!$O$6:$O$546,'BM MORRO DA CRUZ'!$K343),0)</f>
        <v>0</v>
      </c>
      <c r="AW343" s="63">
        <f t="shared" si="315"/>
        <v>0</v>
      </c>
      <c r="AX343" s="61">
        <f>IFERROR(SUMIFS('BM MORRO DA CRUZ - VERTICAL'!BB$6:BB$546,'BM MORRO DA CRUZ - VERTICAL'!$O$6:$O$546,'BM MORRO DA CRUZ'!$K343),0)</f>
        <v>0</v>
      </c>
      <c r="AY343" s="63">
        <f t="shared" si="316"/>
        <v>0</v>
      </c>
      <c r="AZ343" s="61">
        <f>IFERROR(SUMIFS('BM MORRO DA CRUZ - VERTICAL'!BD$6:BD$546,'BM MORRO DA CRUZ - VERTICAL'!$O$6:$O$546,'BM MORRO DA CRUZ'!$K343),0)</f>
        <v>0</v>
      </c>
      <c r="BA343" s="63">
        <f t="shared" si="317"/>
        <v>0</v>
      </c>
      <c r="BB343" s="61">
        <f t="shared" si="318"/>
        <v>0</v>
      </c>
      <c r="BC343" s="63">
        <f t="shared" si="319"/>
        <v>0</v>
      </c>
      <c r="BD343" s="64">
        <f t="shared" si="320"/>
        <v>0</v>
      </c>
      <c r="BE343" s="65">
        <f t="shared" si="321"/>
        <v>1</v>
      </c>
      <c r="BF343" s="45"/>
    </row>
    <row r="344" spans="1:58" ht="26" customHeight="1" x14ac:dyDescent="0.45">
      <c r="A344" s="56" t="s">
        <v>1242</v>
      </c>
      <c r="B344" s="506" t="s">
        <v>1839</v>
      </c>
      <c r="C344" s="507" t="s">
        <v>39</v>
      </c>
      <c r="D344" s="507" t="s">
        <v>39</v>
      </c>
      <c r="E344" s="507" t="s">
        <v>1840</v>
      </c>
      <c r="F344" s="507" t="s">
        <v>39</v>
      </c>
      <c r="G344" s="507" t="s">
        <v>39</v>
      </c>
      <c r="H344" s="508" t="s">
        <v>39</v>
      </c>
      <c r="I344" s="507" t="s">
        <v>40</v>
      </c>
      <c r="J344" s="508" t="s">
        <v>1841</v>
      </c>
      <c r="K344" s="57" t="s">
        <v>1243</v>
      </c>
      <c r="L344" s="58" t="s">
        <v>846</v>
      </c>
      <c r="M344" s="59" t="s">
        <v>1244</v>
      </c>
      <c r="N344" s="60" t="s">
        <v>792</v>
      </c>
      <c r="O344" s="61">
        <v>3489.42</v>
      </c>
      <c r="P344" s="62">
        <v>1.92</v>
      </c>
      <c r="Q344" s="63">
        <f t="shared" si="299"/>
        <v>6699.69</v>
      </c>
      <c r="R344" s="61">
        <f>IFERROR(SUMIFS('BM MORRO DA CRUZ - VERTICAL'!V$6:V$546,'BM MORRO DA CRUZ - VERTICAL'!$O$6:$O$546,'BM MORRO DA CRUZ'!$K344),0)</f>
        <v>0</v>
      </c>
      <c r="S344" s="63">
        <f t="shared" si="300"/>
        <v>0</v>
      </c>
      <c r="T344" s="61">
        <f>IFERROR(SUMIFS('BM MORRO DA CRUZ - VERTICAL'!X$6:X$546,'BM MORRO DA CRUZ - VERTICAL'!$O$6:$O$546,'BM MORRO DA CRUZ'!$K344),0)</f>
        <v>0</v>
      </c>
      <c r="U344" s="63">
        <f t="shared" si="301"/>
        <v>0</v>
      </c>
      <c r="V344" s="61">
        <f>IFERROR(SUMIFS('BM MORRO DA CRUZ - VERTICAL'!Z$6:Z$546,'BM MORRO DA CRUZ - VERTICAL'!$O$6:$O$546,'BM MORRO DA CRUZ'!$K344),0)</f>
        <v>0</v>
      </c>
      <c r="W344" s="63">
        <f t="shared" si="302"/>
        <v>0</v>
      </c>
      <c r="X344" s="61">
        <f>IFERROR(SUMIFS('BM MORRO DA CRUZ - VERTICAL'!AB$6:AB$546,'BM MORRO DA CRUZ - VERTICAL'!$O$6:$O$546,'BM MORRO DA CRUZ'!$K344),0)</f>
        <v>0</v>
      </c>
      <c r="Y344" s="63">
        <f t="shared" si="303"/>
        <v>0</v>
      </c>
      <c r="Z344" s="61">
        <f>IFERROR(SUMIFS('BM MORRO DA CRUZ - VERTICAL'!AD$6:AD$546,'BM MORRO DA CRUZ - VERTICAL'!$O$6:$O$546,'BM MORRO DA CRUZ'!$K344),0)</f>
        <v>0</v>
      </c>
      <c r="AA344" s="63">
        <f t="shared" si="304"/>
        <v>0</v>
      </c>
      <c r="AB344" s="61">
        <f>IFERROR(SUMIFS('BM MORRO DA CRUZ - VERTICAL'!AF$6:AF$546,'BM MORRO DA CRUZ - VERTICAL'!$O$6:$O$546,'BM MORRO DA CRUZ'!$K344),0)</f>
        <v>0</v>
      </c>
      <c r="AC344" s="63">
        <f t="shared" si="305"/>
        <v>0</v>
      </c>
      <c r="AD344" s="61">
        <f>IFERROR(SUMIFS('BM MORRO DA CRUZ - VERTICAL'!AH$6:AH$546,'BM MORRO DA CRUZ - VERTICAL'!$O$6:$O$546,'BM MORRO DA CRUZ'!$K344),0)</f>
        <v>0</v>
      </c>
      <c r="AE344" s="63">
        <f t="shared" si="306"/>
        <v>0</v>
      </c>
      <c r="AF344" s="61">
        <f>IFERROR(SUMIFS('BM MORRO DA CRUZ - VERTICAL'!AJ$6:AJ$546,'BM MORRO DA CRUZ - VERTICAL'!$O$6:$O$546,'BM MORRO DA CRUZ'!$K344),0)</f>
        <v>0</v>
      </c>
      <c r="AG344" s="63">
        <f t="shared" si="307"/>
        <v>0</v>
      </c>
      <c r="AH344" s="61">
        <f>IFERROR(SUMIFS('BM MORRO DA CRUZ - VERTICAL'!AL$6:AL$546,'BM MORRO DA CRUZ - VERTICAL'!$O$6:$O$546,'BM MORRO DA CRUZ'!$K344),0)</f>
        <v>0</v>
      </c>
      <c r="AI344" s="63">
        <f t="shared" si="308"/>
        <v>0</v>
      </c>
      <c r="AJ344" s="61">
        <f>IFERROR(SUMIFS('BM MORRO DA CRUZ - VERTICAL'!AN$6:AN$546,'BM MORRO DA CRUZ - VERTICAL'!$O$6:$O$546,'BM MORRO DA CRUZ'!$K344),0)</f>
        <v>0</v>
      </c>
      <c r="AK344" s="63">
        <f t="shared" si="309"/>
        <v>0</v>
      </c>
      <c r="AL344" s="61">
        <f>IFERROR(SUMIFS('BM MORRO DA CRUZ - VERTICAL'!AP$6:AP$546,'BM MORRO DA CRUZ - VERTICAL'!$O$6:$O$546,'BM MORRO DA CRUZ'!$K344),0)</f>
        <v>0</v>
      </c>
      <c r="AM344" s="63">
        <f t="shared" si="310"/>
        <v>0</v>
      </c>
      <c r="AN344" s="61">
        <f>IFERROR(SUMIFS('BM MORRO DA CRUZ - VERTICAL'!AR$6:AR$546,'BM MORRO DA CRUZ - VERTICAL'!$O$6:$O$546,'BM MORRO DA CRUZ'!$K344),0)</f>
        <v>0</v>
      </c>
      <c r="AO344" s="63">
        <f t="shared" si="311"/>
        <v>0</v>
      </c>
      <c r="AP344" s="61">
        <f>IFERROR(SUMIFS('BM MORRO DA CRUZ - VERTICAL'!AT$6:AT$546,'BM MORRO DA CRUZ - VERTICAL'!$O$6:$O$546,'BM MORRO DA CRUZ'!$K344),0)</f>
        <v>0</v>
      </c>
      <c r="AQ344" s="63">
        <f t="shared" si="312"/>
        <v>0</v>
      </c>
      <c r="AR344" s="61">
        <f>IFERROR(SUMIFS('BM MORRO DA CRUZ - VERTICAL'!AV$6:AV$546,'BM MORRO DA CRUZ - VERTICAL'!$O$6:$O$546,'BM MORRO DA CRUZ'!$K344),0)</f>
        <v>0</v>
      </c>
      <c r="AS344" s="63">
        <f t="shared" si="313"/>
        <v>0</v>
      </c>
      <c r="AT344" s="61">
        <f>IFERROR(SUMIFS('BM MORRO DA CRUZ - VERTICAL'!AX$6:AX$546,'BM MORRO DA CRUZ - VERTICAL'!$O$6:$O$546,'BM MORRO DA CRUZ'!$K344),0)</f>
        <v>0</v>
      </c>
      <c r="AU344" s="63">
        <f t="shared" si="314"/>
        <v>0</v>
      </c>
      <c r="AV344" s="61">
        <f>IFERROR(SUMIFS('BM MORRO DA CRUZ - VERTICAL'!AZ$6:AZ$546,'BM MORRO DA CRUZ - VERTICAL'!$O$6:$O$546,'BM MORRO DA CRUZ'!$K344),0)</f>
        <v>0</v>
      </c>
      <c r="AW344" s="63">
        <f t="shared" si="315"/>
        <v>0</v>
      </c>
      <c r="AX344" s="61">
        <f>IFERROR(SUMIFS('BM MORRO DA CRUZ - VERTICAL'!BB$6:BB$546,'BM MORRO DA CRUZ - VERTICAL'!$O$6:$O$546,'BM MORRO DA CRUZ'!$K344),0)</f>
        <v>0</v>
      </c>
      <c r="AY344" s="63">
        <f t="shared" si="316"/>
        <v>0</v>
      </c>
      <c r="AZ344" s="61">
        <f>IFERROR(SUMIFS('BM MORRO DA CRUZ - VERTICAL'!BD$6:BD$546,'BM MORRO DA CRUZ - VERTICAL'!$O$6:$O$546,'BM MORRO DA CRUZ'!$K344),0)</f>
        <v>0</v>
      </c>
      <c r="BA344" s="63">
        <f t="shared" si="317"/>
        <v>0</v>
      </c>
      <c r="BB344" s="61">
        <f t="shared" si="318"/>
        <v>0</v>
      </c>
      <c r="BC344" s="63">
        <f t="shared" si="319"/>
        <v>0</v>
      </c>
      <c r="BD344" s="64">
        <f t="shared" si="320"/>
        <v>0</v>
      </c>
      <c r="BE344" s="65">
        <f t="shared" si="321"/>
        <v>1</v>
      </c>
      <c r="BF344" s="45"/>
    </row>
    <row r="345" spans="1:58" ht="19.5" customHeight="1" x14ac:dyDescent="0.45">
      <c r="A345" s="46" t="s">
        <v>1245</v>
      </c>
      <c r="B345" s="503"/>
      <c r="C345" s="504"/>
      <c r="D345" s="504"/>
      <c r="E345" s="504"/>
      <c r="F345" s="504"/>
      <c r="G345" s="504"/>
      <c r="H345" s="505" t="s">
        <v>1718</v>
      </c>
      <c r="I345" s="504"/>
      <c r="J345" s="505" t="s">
        <v>1718</v>
      </c>
      <c r="K345" s="47" t="s">
        <v>1246</v>
      </c>
      <c r="L345" s="48"/>
      <c r="M345" s="49" t="s">
        <v>1247</v>
      </c>
      <c r="N345" s="50"/>
      <c r="O345" s="51"/>
      <c r="P345" s="52"/>
      <c r="Q345" s="53">
        <f>SUM(Q346:Q352)</f>
        <v>1326037.03</v>
      </c>
      <c r="R345" s="51"/>
      <c r="S345" s="53">
        <f>SUM(S346:S352)</f>
        <v>0</v>
      </c>
      <c r="T345" s="51"/>
      <c r="U345" s="53">
        <f>SUM(U346:U352)</f>
        <v>0</v>
      </c>
      <c r="V345" s="51"/>
      <c r="W345" s="53">
        <f>SUM(W346:W352)</f>
        <v>0</v>
      </c>
      <c r="X345" s="51"/>
      <c r="Y345" s="53">
        <f>SUM(Y346:Y352)</f>
        <v>0</v>
      </c>
      <c r="Z345" s="51"/>
      <c r="AA345" s="53">
        <f>SUM(AA346:AA352)</f>
        <v>0</v>
      </c>
      <c r="AB345" s="51"/>
      <c r="AC345" s="53">
        <f>SUM(AC346:AC352)</f>
        <v>0</v>
      </c>
      <c r="AD345" s="51"/>
      <c r="AE345" s="53">
        <f>SUM(AE346:AE352)</f>
        <v>0</v>
      </c>
      <c r="AF345" s="51"/>
      <c r="AG345" s="53">
        <f>SUM(AG346:AG352)</f>
        <v>0</v>
      </c>
      <c r="AH345" s="51"/>
      <c r="AI345" s="53">
        <f>SUM(AI346:AI352)</f>
        <v>0</v>
      </c>
      <c r="AJ345" s="51"/>
      <c r="AK345" s="53">
        <f>SUM(AK346:AK352)</f>
        <v>0</v>
      </c>
      <c r="AL345" s="51"/>
      <c r="AM345" s="53">
        <f>SUM(AM346:AM352)</f>
        <v>0</v>
      </c>
      <c r="AN345" s="51"/>
      <c r="AO345" s="53">
        <f>SUM(AO346:AO352)</f>
        <v>0</v>
      </c>
      <c r="AP345" s="51"/>
      <c r="AQ345" s="53">
        <f>SUM(AQ346:AQ352)</f>
        <v>0</v>
      </c>
      <c r="AR345" s="51"/>
      <c r="AS345" s="53">
        <f>SUM(AS346:AS352)</f>
        <v>0</v>
      </c>
      <c r="AT345" s="51"/>
      <c r="AU345" s="53">
        <f>SUM(AU346:AU352)</f>
        <v>0</v>
      </c>
      <c r="AV345" s="51"/>
      <c r="AW345" s="53">
        <f>SUM(AW346:AW352)</f>
        <v>0</v>
      </c>
      <c r="AX345" s="51"/>
      <c r="AY345" s="53">
        <f>SUM(AY346:AY352)</f>
        <v>0</v>
      </c>
      <c r="AZ345" s="51"/>
      <c r="BA345" s="53">
        <f>SUM(BA346:BA352)</f>
        <v>0</v>
      </c>
      <c r="BB345" s="51"/>
      <c r="BC345" s="53">
        <f>SUM(BC346:BC352)</f>
        <v>0</v>
      </c>
      <c r="BD345" s="54"/>
      <c r="BE345" s="55"/>
      <c r="BF345" s="45"/>
    </row>
    <row r="346" spans="1:58" ht="26" customHeight="1" x14ac:dyDescent="0.45">
      <c r="A346" s="56" t="s">
        <v>1248</v>
      </c>
      <c r="B346" s="506" t="s">
        <v>1842</v>
      </c>
      <c r="C346" s="507" t="s">
        <v>39</v>
      </c>
      <c r="D346" s="507" t="s">
        <v>39</v>
      </c>
      <c r="E346" s="507" t="s">
        <v>214</v>
      </c>
      <c r="F346" s="507" t="s">
        <v>39</v>
      </c>
      <c r="G346" s="507" t="s">
        <v>39</v>
      </c>
      <c r="H346" s="508" t="s">
        <v>39</v>
      </c>
      <c r="I346" s="507" t="s">
        <v>40</v>
      </c>
      <c r="J346" s="508" t="s">
        <v>214</v>
      </c>
      <c r="K346" s="57" t="s">
        <v>1249</v>
      </c>
      <c r="L346" s="58" t="s">
        <v>846</v>
      </c>
      <c r="M346" s="59" t="s">
        <v>1250</v>
      </c>
      <c r="N346" s="60" t="s">
        <v>71</v>
      </c>
      <c r="O346" s="61">
        <v>1</v>
      </c>
      <c r="P346" s="62">
        <v>23.73</v>
      </c>
      <c r="Q346" s="63">
        <f t="shared" ref="Q346:Q352" si="322">ROUND(P346*$O346,2)</f>
        <v>23.73</v>
      </c>
      <c r="R346" s="61">
        <f>IFERROR(SUMIFS('BM MORRO DA CRUZ - VERTICAL'!V$6:V$546,'BM MORRO DA CRUZ - VERTICAL'!$O$6:$O$546,'BM MORRO DA CRUZ'!$K346),0)</f>
        <v>0</v>
      </c>
      <c r="S346" s="63">
        <f t="shared" ref="S346:S352" si="323">ROUND(R346*$P346,2)</f>
        <v>0</v>
      </c>
      <c r="T346" s="61">
        <f>IFERROR(SUMIFS('BM MORRO DA CRUZ - VERTICAL'!X$6:X$546,'BM MORRO DA CRUZ - VERTICAL'!$O$6:$O$546,'BM MORRO DA CRUZ'!$K346),0)</f>
        <v>0</v>
      </c>
      <c r="U346" s="63">
        <f t="shared" ref="U346:U352" si="324">ROUND(T346*$P346,2)</f>
        <v>0</v>
      </c>
      <c r="V346" s="61">
        <f>IFERROR(SUMIFS('BM MORRO DA CRUZ - VERTICAL'!Z$6:Z$546,'BM MORRO DA CRUZ - VERTICAL'!$O$6:$O$546,'BM MORRO DA CRUZ'!$K346),0)</f>
        <v>0</v>
      </c>
      <c r="W346" s="63">
        <f t="shared" ref="W346:W352" si="325">ROUND(V346*$P346,2)</f>
        <v>0</v>
      </c>
      <c r="X346" s="61">
        <f>IFERROR(SUMIFS('BM MORRO DA CRUZ - VERTICAL'!AB$6:AB$546,'BM MORRO DA CRUZ - VERTICAL'!$O$6:$O$546,'BM MORRO DA CRUZ'!$K346),0)</f>
        <v>0</v>
      </c>
      <c r="Y346" s="63">
        <f t="shared" ref="Y346:Y352" si="326">ROUND(X346*$P346,2)</f>
        <v>0</v>
      </c>
      <c r="Z346" s="61">
        <f>IFERROR(SUMIFS('BM MORRO DA CRUZ - VERTICAL'!AD$6:AD$546,'BM MORRO DA CRUZ - VERTICAL'!$O$6:$O$546,'BM MORRO DA CRUZ'!$K346),0)</f>
        <v>0</v>
      </c>
      <c r="AA346" s="63">
        <f t="shared" ref="AA346:AA352" si="327">ROUND(Z346*$P346,2)</f>
        <v>0</v>
      </c>
      <c r="AB346" s="61">
        <f>IFERROR(SUMIFS('BM MORRO DA CRUZ - VERTICAL'!AF$6:AF$546,'BM MORRO DA CRUZ - VERTICAL'!$O$6:$O$546,'BM MORRO DA CRUZ'!$K346),0)</f>
        <v>0</v>
      </c>
      <c r="AC346" s="63">
        <f t="shared" ref="AC346:AC352" si="328">ROUND(AB346*$P346,2)</f>
        <v>0</v>
      </c>
      <c r="AD346" s="61">
        <f>IFERROR(SUMIFS('BM MORRO DA CRUZ - VERTICAL'!AH$6:AH$546,'BM MORRO DA CRUZ - VERTICAL'!$O$6:$O$546,'BM MORRO DA CRUZ'!$K346),0)</f>
        <v>0</v>
      </c>
      <c r="AE346" s="63">
        <f t="shared" ref="AE346:AE352" si="329">ROUND(AD346*$P346,2)</f>
        <v>0</v>
      </c>
      <c r="AF346" s="61">
        <f>IFERROR(SUMIFS('BM MORRO DA CRUZ - VERTICAL'!AJ$6:AJ$546,'BM MORRO DA CRUZ - VERTICAL'!$O$6:$O$546,'BM MORRO DA CRUZ'!$K346),0)</f>
        <v>0</v>
      </c>
      <c r="AG346" s="63">
        <f t="shared" ref="AG346:AG352" si="330">ROUND(AF346*$P346,2)</f>
        <v>0</v>
      </c>
      <c r="AH346" s="61">
        <f>IFERROR(SUMIFS('BM MORRO DA CRUZ - VERTICAL'!AL$6:AL$546,'BM MORRO DA CRUZ - VERTICAL'!$O$6:$O$546,'BM MORRO DA CRUZ'!$K346),0)</f>
        <v>0</v>
      </c>
      <c r="AI346" s="63">
        <f t="shared" ref="AI346:AI352" si="331">ROUND(AH346*$P346,2)</f>
        <v>0</v>
      </c>
      <c r="AJ346" s="61">
        <f>IFERROR(SUMIFS('BM MORRO DA CRUZ - VERTICAL'!AN$6:AN$546,'BM MORRO DA CRUZ - VERTICAL'!$O$6:$O$546,'BM MORRO DA CRUZ'!$K346),0)</f>
        <v>0</v>
      </c>
      <c r="AK346" s="63">
        <f t="shared" ref="AK346:AK352" si="332">ROUND(AJ346*$P346,2)</f>
        <v>0</v>
      </c>
      <c r="AL346" s="61">
        <f>IFERROR(SUMIFS('BM MORRO DA CRUZ - VERTICAL'!AP$6:AP$546,'BM MORRO DA CRUZ - VERTICAL'!$O$6:$O$546,'BM MORRO DA CRUZ'!$K346),0)</f>
        <v>0</v>
      </c>
      <c r="AM346" s="63">
        <f t="shared" ref="AM346:AM352" si="333">ROUND(AL346*$P346,2)</f>
        <v>0</v>
      </c>
      <c r="AN346" s="61">
        <f>IFERROR(SUMIFS('BM MORRO DA CRUZ - VERTICAL'!AR$6:AR$546,'BM MORRO DA CRUZ - VERTICAL'!$O$6:$O$546,'BM MORRO DA CRUZ'!$K346),0)</f>
        <v>0</v>
      </c>
      <c r="AO346" s="63">
        <f t="shared" ref="AO346:AO352" si="334">ROUND(AN346*$P346,2)</f>
        <v>0</v>
      </c>
      <c r="AP346" s="61">
        <f>IFERROR(SUMIFS('BM MORRO DA CRUZ - VERTICAL'!AT$6:AT$546,'BM MORRO DA CRUZ - VERTICAL'!$O$6:$O$546,'BM MORRO DA CRUZ'!$K346),0)</f>
        <v>0</v>
      </c>
      <c r="AQ346" s="63">
        <f t="shared" ref="AQ346:AQ352" si="335">ROUND(AP346*$P346,2)</f>
        <v>0</v>
      </c>
      <c r="AR346" s="61">
        <f>IFERROR(SUMIFS('BM MORRO DA CRUZ - VERTICAL'!AV$6:AV$546,'BM MORRO DA CRUZ - VERTICAL'!$O$6:$O$546,'BM MORRO DA CRUZ'!$K346),0)</f>
        <v>0</v>
      </c>
      <c r="AS346" s="63">
        <f t="shared" ref="AS346:AS352" si="336">ROUND(AR346*$P346,2)</f>
        <v>0</v>
      </c>
      <c r="AT346" s="61">
        <f>IFERROR(SUMIFS('BM MORRO DA CRUZ - VERTICAL'!AX$6:AX$546,'BM MORRO DA CRUZ - VERTICAL'!$O$6:$O$546,'BM MORRO DA CRUZ'!$K346),0)</f>
        <v>0</v>
      </c>
      <c r="AU346" s="63">
        <f t="shared" ref="AU346:AU352" si="337">ROUND(AT346*$P346,2)</f>
        <v>0</v>
      </c>
      <c r="AV346" s="61">
        <f>IFERROR(SUMIFS('BM MORRO DA CRUZ - VERTICAL'!AZ$6:AZ$546,'BM MORRO DA CRUZ - VERTICAL'!$O$6:$O$546,'BM MORRO DA CRUZ'!$K346),0)</f>
        <v>0</v>
      </c>
      <c r="AW346" s="63">
        <f t="shared" ref="AW346:AW352" si="338">ROUND(AV346*$P346,2)</f>
        <v>0</v>
      </c>
      <c r="AX346" s="61">
        <f>IFERROR(SUMIFS('BM MORRO DA CRUZ - VERTICAL'!BB$6:BB$546,'BM MORRO DA CRUZ - VERTICAL'!$O$6:$O$546,'BM MORRO DA CRUZ'!$K346),0)</f>
        <v>0</v>
      </c>
      <c r="AY346" s="63">
        <f t="shared" ref="AY346:AY352" si="339">ROUND(AX346*$P346,2)</f>
        <v>0</v>
      </c>
      <c r="AZ346" s="61">
        <f>IFERROR(SUMIFS('BM MORRO DA CRUZ - VERTICAL'!BD$6:BD$546,'BM MORRO DA CRUZ - VERTICAL'!$O$6:$O$546,'BM MORRO DA CRUZ'!$K346),0)</f>
        <v>0</v>
      </c>
      <c r="BA346" s="63">
        <f t="shared" ref="BA346:BA352" si="340">ROUND(AZ346*$P346,2)</f>
        <v>0</v>
      </c>
      <c r="BB346" s="61">
        <f t="shared" ref="BB346:BB352" si="341">IFERROR(SUMIFS($R346:$BA346,$R$5:$BA$5,$BB$5),0)</f>
        <v>0</v>
      </c>
      <c r="BC346" s="63">
        <f t="shared" ref="BC346:BC352" si="342">SUMIFS($R346:$BA346,$R$5:$BA$5,$S$5)</f>
        <v>0</v>
      </c>
      <c r="BD346" s="64">
        <f t="shared" ref="BD346:BD352" si="343">IFERROR(BB346/O346,0)</f>
        <v>0</v>
      </c>
      <c r="BE346" s="65">
        <f t="shared" ref="BE346:BE352" si="344">IFERROR((O346-BB346)/O346,0)</f>
        <v>1</v>
      </c>
      <c r="BF346" s="45"/>
    </row>
    <row r="347" spans="1:58" ht="26" customHeight="1" x14ac:dyDescent="0.45">
      <c r="A347" s="56" t="s">
        <v>1251</v>
      </c>
      <c r="B347" s="506" t="s">
        <v>1843</v>
      </c>
      <c r="C347" s="507" t="s">
        <v>39</v>
      </c>
      <c r="D347" s="507" t="s">
        <v>39</v>
      </c>
      <c r="E347" s="507" t="s">
        <v>214</v>
      </c>
      <c r="F347" s="507" t="s">
        <v>39</v>
      </c>
      <c r="G347" s="507" t="s">
        <v>39</v>
      </c>
      <c r="H347" s="508" t="s">
        <v>78</v>
      </c>
      <c r="I347" s="507" t="s">
        <v>68</v>
      </c>
      <c r="J347" s="508" t="s">
        <v>214</v>
      </c>
      <c r="K347" s="57" t="s">
        <v>1252</v>
      </c>
      <c r="L347" s="58" t="s">
        <v>846</v>
      </c>
      <c r="M347" s="59" t="s">
        <v>1253</v>
      </c>
      <c r="N347" s="60" t="s">
        <v>71</v>
      </c>
      <c r="O347" s="61">
        <v>11894</v>
      </c>
      <c r="P347" s="62">
        <v>61.57</v>
      </c>
      <c r="Q347" s="63">
        <f t="shared" si="322"/>
        <v>732313.58</v>
      </c>
      <c r="R347" s="61">
        <f>IFERROR(SUMIFS('BM MORRO DA CRUZ - VERTICAL'!V$6:V$546,'BM MORRO DA CRUZ - VERTICAL'!$O$6:$O$546,'BM MORRO DA CRUZ'!$K347),0)</f>
        <v>0</v>
      </c>
      <c r="S347" s="63">
        <f t="shared" si="323"/>
        <v>0</v>
      </c>
      <c r="T347" s="61">
        <f>IFERROR(SUMIFS('BM MORRO DA CRUZ - VERTICAL'!X$6:X$546,'BM MORRO DA CRUZ - VERTICAL'!$O$6:$O$546,'BM MORRO DA CRUZ'!$K347),0)</f>
        <v>0</v>
      </c>
      <c r="U347" s="63">
        <f t="shared" si="324"/>
        <v>0</v>
      </c>
      <c r="V347" s="61">
        <f>IFERROR(SUMIFS('BM MORRO DA CRUZ - VERTICAL'!Z$6:Z$546,'BM MORRO DA CRUZ - VERTICAL'!$O$6:$O$546,'BM MORRO DA CRUZ'!$K347),0)</f>
        <v>0</v>
      </c>
      <c r="W347" s="63">
        <f t="shared" si="325"/>
        <v>0</v>
      </c>
      <c r="X347" s="61">
        <f>IFERROR(SUMIFS('BM MORRO DA CRUZ - VERTICAL'!AB$6:AB$546,'BM MORRO DA CRUZ - VERTICAL'!$O$6:$O$546,'BM MORRO DA CRUZ'!$K347),0)</f>
        <v>0</v>
      </c>
      <c r="Y347" s="63">
        <f t="shared" si="326"/>
        <v>0</v>
      </c>
      <c r="Z347" s="61">
        <f>IFERROR(SUMIFS('BM MORRO DA CRUZ - VERTICAL'!AD$6:AD$546,'BM MORRO DA CRUZ - VERTICAL'!$O$6:$O$546,'BM MORRO DA CRUZ'!$K347),0)</f>
        <v>0</v>
      </c>
      <c r="AA347" s="63">
        <f t="shared" si="327"/>
        <v>0</v>
      </c>
      <c r="AB347" s="61">
        <f>IFERROR(SUMIFS('BM MORRO DA CRUZ - VERTICAL'!AF$6:AF$546,'BM MORRO DA CRUZ - VERTICAL'!$O$6:$O$546,'BM MORRO DA CRUZ'!$K347),0)</f>
        <v>0</v>
      </c>
      <c r="AC347" s="63">
        <f t="shared" si="328"/>
        <v>0</v>
      </c>
      <c r="AD347" s="61">
        <f>IFERROR(SUMIFS('BM MORRO DA CRUZ - VERTICAL'!AH$6:AH$546,'BM MORRO DA CRUZ - VERTICAL'!$O$6:$O$546,'BM MORRO DA CRUZ'!$K347),0)</f>
        <v>0</v>
      </c>
      <c r="AE347" s="63">
        <f t="shared" si="329"/>
        <v>0</v>
      </c>
      <c r="AF347" s="61">
        <f>IFERROR(SUMIFS('BM MORRO DA CRUZ - VERTICAL'!AJ$6:AJ$546,'BM MORRO DA CRUZ - VERTICAL'!$O$6:$O$546,'BM MORRO DA CRUZ'!$K347),0)</f>
        <v>0</v>
      </c>
      <c r="AG347" s="63">
        <f t="shared" si="330"/>
        <v>0</v>
      </c>
      <c r="AH347" s="61">
        <f>IFERROR(SUMIFS('BM MORRO DA CRUZ - VERTICAL'!AL$6:AL$546,'BM MORRO DA CRUZ - VERTICAL'!$O$6:$O$546,'BM MORRO DA CRUZ'!$K347),0)</f>
        <v>0</v>
      </c>
      <c r="AI347" s="63">
        <f t="shared" si="331"/>
        <v>0</v>
      </c>
      <c r="AJ347" s="61">
        <f>IFERROR(SUMIFS('BM MORRO DA CRUZ - VERTICAL'!AN$6:AN$546,'BM MORRO DA CRUZ - VERTICAL'!$O$6:$O$546,'BM MORRO DA CRUZ'!$K347),0)</f>
        <v>0</v>
      </c>
      <c r="AK347" s="63">
        <f t="shared" si="332"/>
        <v>0</v>
      </c>
      <c r="AL347" s="61">
        <f>IFERROR(SUMIFS('BM MORRO DA CRUZ - VERTICAL'!AP$6:AP$546,'BM MORRO DA CRUZ - VERTICAL'!$O$6:$O$546,'BM MORRO DA CRUZ'!$K347),0)</f>
        <v>0</v>
      </c>
      <c r="AM347" s="63">
        <f t="shared" si="333"/>
        <v>0</v>
      </c>
      <c r="AN347" s="61">
        <f>IFERROR(SUMIFS('BM MORRO DA CRUZ - VERTICAL'!AR$6:AR$546,'BM MORRO DA CRUZ - VERTICAL'!$O$6:$O$546,'BM MORRO DA CRUZ'!$K347),0)</f>
        <v>0</v>
      </c>
      <c r="AO347" s="63">
        <f t="shared" si="334"/>
        <v>0</v>
      </c>
      <c r="AP347" s="61">
        <f>IFERROR(SUMIFS('BM MORRO DA CRUZ - VERTICAL'!AT$6:AT$546,'BM MORRO DA CRUZ - VERTICAL'!$O$6:$O$546,'BM MORRO DA CRUZ'!$K347),0)</f>
        <v>0</v>
      </c>
      <c r="AQ347" s="63">
        <f t="shared" si="335"/>
        <v>0</v>
      </c>
      <c r="AR347" s="61">
        <f>IFERROR(SUMIFS('BM MORRO DA CRUZ - VERTICAL'!AV$6:AV$546,'BM MORRO DA CRUZ - VERTICAL'!$O$6:$O$546,'BM MORRO DA CRUZ'!$K347),0)</f>
        <v>0</v>
      </c>
      <c r="AS347" s="63">
        <f t="shared" si="336"/>
        <v>0</v>
      </c>
      <c r="AT347" s="61">
        <f>IFERROR(SUMIFS('BM MORRO DA CRUZ - VERTICAL'!AX$6:AX$546,'BM MORRO DA CRUZ - VERTICAL'!$O$6:$O$546,'BM MORRO DA CRUZ'!$K347),0)</f>
        <v>0</v>
      </c>
      <c r="AU347" s="63">
        <f t="shared" si="337"/>
        <v>0</v>
      </c>
      <c r="AV347" s="61">
        <f>IFERROR(SUMIFS('BM MORRO DA CRUZ - VERTICAL'!AZ$6:AZ$546,'BM MORRO DA CRUZ - VERTICAL'!$O$6:$O$546,'BM MORRO DA CRUZ'!$K347),0)</f>
        <v>0</v>
      </c>
      <c r="AW347" s="63">
        <f t="shared" si="338"/>
        <v>0</v>
      </c>
      <c r="AX347" s="61">
        <f>IFERROR(SUMIFS('BM MORRO DA CRUZ - VERTICAL'!BB$6:BB$546,'BM MORRO DA CRUZ - VERTICAL'!$O$6:$O$546,'BM MORRO DA CRUZ'!$K347),0)</f>
        <v>0</v>
      </c>
      <c r="AY347" s="63">
        <f t="shared" si="339"/>
        <v>0</v>
      </c>
      <c r="AZ347" s="61">
        <f>IFERROR(SUMIFS('BM MORRO DA CRUZ - VERTICAL'!BD$6:BD$546,'BM MORRO DA CRUZ - VERTICAL'!$O$6:$O$546,'BM MORRO DA CRUZ'!$K347),0)</f>
        <v>0</v>
      </c>
      <c r="BA347" s="63">
        <f t="shared" si="340"/>
        <v>0</v>
      </c>
      <c r="BB347" s="61">
        <f t="shared" si="341"/>
        <v>0</v>
      </c>
      <c r="BC347" s="63">
        <f t="shared" si="342"/>
        <v>0</v>
      </c>
      <c r="BD347" s="64">
        <f t="shared" si="343"/>
        <v>0</v>
      </c>
      <c r="BE347" s="65">
        <f t="shared" si="344"/>
        <v>1</v>
      </c>
      <c r="BF347" s="45"/>
    </row>
    <row r="348" spans="1:58" ht="26" customHeight="1" x14ac:dyDescent="0.45">
      <c r="A348" s="56" t="s">
        <v>1254</v>
      </c>
      <c r="B348" s="506" t="s">
        <v>1844</v>
      </c>
      <c r="C348" s="507" t="s">
        <v>39</v>
      </c>
      <c r="D348" s="507" t="s">
        <v>39</v>
      </c>
      <c r="E348" s="507" t="s">
        <v>214</v>
      </c>
      <c r="F348" s="507" t="s">
        <v>39</v>
      </c>
      <c r="G348" s="507">
        <v>20</v>
      </c>
      <c r="H348" s="508" t="s">
        <v>78</v>
      </c>
      <c r="I348" s="507" t="s">
        <v>40</v>
      </c>
      <c r="J348" s="508" t="s">
        <v>214</v>
      </c>
      <c r="K348" s="57" t="s">
        <v>1255</v>
      </c>
      <c r="L348" s="58" t="s">
        <v>846</v>
      </c>
      <c r="M348" s="59" t="s">
        <v>1256</v>
      </c>
      <c r="N348" s="60" t="s">
        <v>71</v>
      </c>
      <c r="O348" s="61">
        <v>1</v>
      </c>
      <c r="P348" s="62">
        <v>138.07</v>
      </c>
      <c r="Q348" s="63">
        <f t="shared" si="322"/>
        <v>138.07</v>
      </c>
      <c r="R348" s="61">
        <f>IFERROR(SUMIFS('BM MORRO DA CRUZ - VERTICAL'!V$6:V$546,'BM MORRO DA CRUZ - VERTICAL'!$O$6:$O$546,'BM MORRO DA CRUZ'!$K348),0)</f>
        <v>0</v>
      </c>
      <c r="S348" s="63">
        <f t="shared" si="323"/>
        <v>0</v>
      </c>
      <c r="T348" s="61">
        <f>IFERROR(SUMIFS('BM MORRO DA CRUZ - VERTICAL'!X$6:X$546,'BM MORRO DA CRUZ - VERTICAL'!$O$6:$O$546,'BM MORRO DA CRUZ'!$K348),0)</f>
        <v>0</v>
      </c>
      <c r="U348" s="63">
        <f t="shared" si="324"/>
        <v>0</v>
      </c>
      <c r="V348" s="61">
        <f>IFERROR(SUMIFS('BM MORRO DA CRUZ - VERTICAL'!Z$6:Z$546,'BM MORRO DA CRUZ - VERTICAL'!$O$6:$O$546,'BM MORRO DA CRUZ'!$K348),0)</f>
        <v>0</v>
      </c>
      <c r="W348" s="63">
        <f t="shared" si="325"/>
        <v>0</v>
      </c>
      <c r="X348" s="61">
        <f>IFERROR(SUMIFS('BM MORRO DA CRUZ - VERTICAL'!AB$6:AB$546,'BM MORRO DA CRUZ - VERTICAL'!$O$6:$O$546,'BM MORRO DA CRUZ'!$K348),0)</f>
        <v>0</v>
      </c>
      <c r="Y348" s="63">
        <f t="shared" si="326"/>
        <v>0</v>
      </c>
      <c r="Z348" s="61">
        <f>IFERROR(SUMIFS('BM MORRO DA CRUZ - VERTICAL'!AD$6:AD$546,'BM MORRO DA CRUZ - VERTICAL'!$O$6:$O$546,'BM MORRO DA CRUZ'!$K348),0)</f>
        <v>0</v>
      </c>
      <c r="AA348" s="63">
        <f t="shared" si="327"/>
        <v>0</v>
      </c>
      <c r="AB348" s="61">
        <f>IFERROR(SUMIFS('BM MORRO DA CRUZ - VERTICAL'!AF$6:AF$546,'BM MORRO DA CRUZ - VERTICAL'!$O$6:$O$546,'BM MORRO DA CRUZ'!$K348),0)</f>
        <v>0</v>
      </c>
      <c r="AC348" s="63">
        <f t="shared" si="328"/>
        <v>0</v>
      </c>
      <c r="AD348" s="61">
        <f>IFERROR(SUMIFS('BM MORRO DA CRUZ - VERTICAL'!AH$6:AH$546,'BM MORRO DA CRUZ - VERTICAL'!$O$6:$O$546,'BM MORRO DA CRUZ'!$K348),0)</f>
        <v>0</v>
      </c>
      <c r="AE348" s="63">
        <f t="shared" si="329"/>
        <v>0</v>
      </c>
      <c r="AF348" s="61">
        <f>IFERROR(SUMIFS('BM MORRO DA CRUZ - VERTICAL'!AJ$6:AJ$546,'BM MORRO DA CRUZ - VERTICAL'!$O$6:$O$546,'BM MORRO DA CRUZ'!$K348),0)</f>
        <v>0</v>
      </c>
      <c r="AG348" s="63">
        <f t="shared" si="330"/>
        <v>0</v>
      </c>
      <c r="AH348" s="61">
        <f>IFERROR(SUMIFS('BM MORRO DA CRUZ - VERTICAL'!AL$6:AL$546,'BM MORRO DA CRUZ - VERTICAL'!$O$6:$O$546,'BM MORRO DA CRUZ'!$K348),0)</f>
        <v>0</v>
      </c>
      <c r="AI348" s="63">
        <f t="shared" si="331"/>
        <v>0</v>
      </c>
      <c r="AJ348" s="61">
        <f>IFERROR(SUMIFS('BM MORRO DA CRUZ - VERTICAL'!AN$6:AN$546,'BM MORRO DA CRUZ - VERTICAL'!$O$6:$O$546,'BM MORRO DA CRUZ'!$K348),0)</f>
        <v>0</v>
      </c>
      <c r="AK348" s="63">
        <f t="shared" si="332"/>
        <v>0</v>
      </c>
      <c r="AL348" s="61">
        <f>IFERROR(SUMIFS('BM MORRO DA CRUZ - VERTICAL'!AP$6:AP$546,'BM MORRO DA CRUZ - VERTICAL'!$O$6:$O$546,'BM MORRO DA CRUZ'!$K348),0)</f>
        <v>0</v>
      </c>
      <c r="AM348" s="63">
        <f t="shared" si="333"/>
        <v>0</v>
      </c>
      <c r="AN348" s="61">
        <f>IFERROR(SUMIFS('BM MORRO DA CRUZ - VERTICAL'!AR$6:AR$546,'BM MORRO DA CRUZ - VERTICAL'!$O$6:$O$546,'BM MORRO DA CRUZ'!$K348),0)</f>
        <v>0</v>
      </c>
      <c r="AO348" s="63">
        <f t="shared" si="334"/>
        <v>0</v>
      </c>
      <c r="AP348" s="61">
        <f>IFERROR(SUMIFS('BM MORRO DA CRUZ - VERTICAL'!AT$6:AT$546,'BM MORRO DA CRUZ - VERTICAL'!$O$6:$O$546,'BM MORRO DA CRUZ'!$K348),0)</f>
        <v>0</v>
      </c>
      <c r="AQ348" s="63">
        <f t="shared" si="335"/>
        <v>0</v>
      </c>
      <c r="AR348" s="61">
        <f>IFERROR(SUMIFS('BM MORRO DA CRUZ - VERTICAL'!AV$6:AV$546,'BM MORRO DA CRUZ - VERTICAL'!$O$6:$O$546,'BM MORRO DA CRUZ'!$K348),0)</f>
        <v>0</v>
      </c>
      <c r="AS348" s="63">
        <f t="shared" si="336"/>
        <v>0</v>
      </c>
      <c r="AT348" s="61">
        <f>IFERROR(SUMIFS('BM MORRO DA CRUZ - VERTICAL'!AX$6:AX$546,'BM MORRO DA CRUZ - VERTICAL'!$O$6:$O$546,'BM MORRO DA CRUZ'!$K348),0)</f>
        <v>0</v>
      </c>
      <c r="AU348" s="63">
        <f t="shared" si="337"/>
        <v>0</v>
      </c>
      <c r="AV348" s="61">
        <f>IFERROR(SUMIFS('BM MORRO DA CRUZ - VERTICAL'!AZ$6:AZ$546,'BM MORRO DA CRUZ - VERTICAL'!$O$6:$O$546,'BM MORRO DA CRUZ'!$K348),0)</f>
        <v>0</v>
      </c>
      <c r="AW348" s="63">
        <f t="shared" si="338"/>
        <v>0</v>
      </c>
      <c r="AX348" s="61">
        <f>IFERROR(SUMIFS('BM MORRO DA CRUZ - VERTICAL'!BB$6:BB$546,'BM MORRO DA CRUZ - VERTICAL'!$O$6:$O$546,'BM MORRO DA CRUZ'!$K348),0)</f>
        <v>0</v>
      </c>
      <c r="AY348" s="63">
        <f t="shared" si="339"/>
        <v>0</v>
      </c>
      <c r="AZ348" s="61">
        <f>IFERROR(SUMIFS('BM MORRO DA CRUZ - VERTICAL'!BD$6:BD$546,'BM MORRO DA CRUZ - VERTICAL'!$O$6:$O$546,'BM MORRO DA CRUZ'!$K348),0)</f>
        <v>0</v>
      </c>
      <c r="BA348" s="63">
        <f t="shared" si="340"/>
        <v>0</v>
      </c>
      <c r="BB348" s="61">
        <f t="shared" si="341"/>
        <v>0</v>
      </c>
      <c r="BC348" s="63">
        <f t="shared" si="342"/>
        <v>0</v>
      </c>
      <c r="BD348" s="64">
        <f t="shared" si="343"/>
        <v>0</v>
      </c>
      <c r="BE348" s="65">
        <f t="shared" si="344"/>
        <v>1</v>
      </c>
      <c r="BF348" s="45"/>
    </row>
    <row r="349" spans="1:58" ht="35.65" x14ac:dyDescent="0.45">
      <c r="A349" s="56" t="s">
        <v>1257</v>
      </c>
      <c r="B349" s="506" t="s">
        <v>1845</v>
      </c>
      <c r="C349" s="507" t="s">
        <v>39</v>
      </c>
      <c r="D349" s="507" t="s">
        <v>39</v>
      </c>
      <c r="E349" s="507" t="s">
        <v>214</v>
      </c>
      <c r="F349" s="507" t="s">
        <v>39</v>
      </c>
      <c r="G349" s="507" t="s">
        <v>39</v>
      </c>
      <c r="H349" s="508" t="s">
        <v>257</v>
      </c>
      <c r="I349" s="507" t="s">
        <v>40</v>
      </c>
      <c r="J349" s="508" t="s">
        <v>214</v>
      </c>
      <c r="K349" s="57" t="s">
        <v>1258</v>
      </c>
      <c r="L349" s="58" t="s">
        <v>846</v>
      </c>
      <c r="M349" s="59" t="s">
        <v>1259</v>
      </c>
      <c r="N349" s="60" t="s">
        <v>71</v>
      </c>
      <c r="O349" s="61">
        <v>1</v>
      </c>
      <c r="P349" s="62">
        <v>183.01</v>
      </c>
      <c r="Q349" s="63">
        <f t="shared" si="322"/>
        <v>183.01</v>
      </c>
      <c r="R349" s="61">
        <f>IFERROR(SUMIFS('BM MORRO DA CRUZ - VERTICAL'!V$6:V$546,'BM MORRO DA CRUZ - VERTICAL'!$O$6:$O$546,'BM MORRO DA CRUZ'!$K349),0)</f>
        <v>0</v>
      </c>
      <c r="S349" s="63">
        <f t="shared" si="323"/>
        <v>0</v>
      </c>
      <c r="T349" s="61">
        <f>IFERROR(SUMIFS('BM MORRO DA CRUZ - VERTICAL'!X$6:X$546,'BM MORRO DA CRUZ - VERTICAL'!$O$6:$O$546,'BM MORRO DA CRUZ'!$K349),0)</f>
        <v>0</v>
      </c>
      <c r="U349" s="63">
        <f t="shared" si="324"/>
        <v>0</v>
      </c>
      <c r="V349" s="61">
        <f>IFERROR(SUMIFS('BM MORRO DA CRUZ - VERTICAL'!Z$6:Z$546,'BM MORRO DA CRUZ - VERTICAL'!$O$6:$O$546,'BM MORRO DA CRUZ'!$K349),0)</f>
        <v>0</v>
      </c>
      <c r="W349" s="63">
        <f t="shared" si="325"/>
        <v>0</v>
      </c>
      <c r="X349" s="61">
        <f>IFERROR(SUMIFS('BM MORRO DA CRUZ - VERTICAL'!AB$6:AB$546,'BM MORRO DA CRUZ - VERTICAL'!$O$6:$O$546,'BM MORRO DA CRUZ'!$K349),0)</f>
        <v>0</v>
      </c>
      <c r="Y349" s="63">
        <f t="shared" si="326"/>
        <v>0</v>
      </c>
      <c r="Z349" s="61">
        <f>IFERROR(SUMIFS('BM MORRO DA CRUZ - VERTICAL'!AD$6:AD$546,'BM MORRO DA CRUZ - VERTICAL'!$O$6:$O$546,'BM MORRO DA CRUZ'!$K349),0)</f>
        <v>0</v>
      </c>
      <c r="AA349" s="63">
        <f t="shared" si="327"/>
        <v>0</v>
      </c>
      <c r="AB349" s="61">
        <f>IFERROR(SUMIFS('BM MORRO DA CRUZ - VERTICAL'!AF$6:AF$546,'BM MORRO DA CRUZ - VERTICAL'!$O$6:$O$546,'BM MORRO DA CRUZ'!$K349),0)</f>
        <v>0</v>
      </c>
      <c r="AC349" s="63">
        <f t="shared" si="328"/>
        <v>0</v>
      </c>
      <c r="AD349" s="61">
        <f>IFERROR(SUMIFS('BM MORRO DA CRUZ - VERTICAL'!AH$6:AH$546,'BM MORRO DA CRUZ - VERTICAL'!$O$6:$O$546,'BM MORRO DA CRUZ'!$K349),0)</f>
        <v>0</v>
      </c>
      <c r="AE349" s="63">
        <f t="shared" si="329"/>
        <v>0</v>
      </c>
      <c r="AF349" s="61">
        <f>IFERROR(SUMIFS('BM MORRO DA CRUZ - VERTICAL'!AJ$6:AJ$546,'BM MORRO DA CRUZ - VERTICAL'!$O$6:$O$546,'BM MORRO DA CRUZ'!$K349),0)</f>
        <v>0</v>
      </c>
      <c r="AG349" s="63">
        <f t="shared" si="330"/>
        <v>0</v>
      </c>
      <c r="AH349" s="61">
        <f>IFERROR(SUMIFS('BM MORRO DA CRUZ - VERTICAL'!AL$6:AL$546,'BM MORRO DA CRUZ - VERTICAL'!$O$6:$O$546,'BM MORRO DA CRUZ'!$K349),0)</f>
        <v>0</v>
      </c>
      <c r="AI349" s="63">
        <f t="shared" si="331"/>
        <v>0</v>
      </c>
      <c r="AJ349" s="61">
        <f>IFERROR(SUMIFS('BM MORRO DA CRUZ - VERTICAL'!AN$6:AN$546,'BM MORRO DA CRUZ - VERTICAL'!$O$6:$O$546,'BM MORRO DA CRUZ'!$K349),0)</f>
        <v>0</v>
      </c>
      <c r="AK349" s="63">
        <f t="shared" si="332"/>
        <v>0</v>
      </c>
      <c r="AL349" s="61">
        <f>IFERROR(SUMIFS('BM MORRO DA CRUZ - VERTICAL'!AP$6:AP$546,'BM MORRO DA CRUZ - VERTICAL'!$O$6:$O$546,'BM MORRO DA CRUZ'!$K349),0)</f>
        <v>0</v>
      </c>
      <c r="AM349" s="63">
        <f t="shared" si="333"/>
        <v>0</v>
      </c>
      <c r="AN349" s="61">
        <f>IFERROR(SUMIFS('BM MORRO DA CRUZ - VERTICAL'!AR$6:AR$546,'BM MORRO DA CRUZ - VERTICAL'!$O$6:$O$546,'BM MORRO DA CRUZ'!$K349),0)</f>
        <v>0</v>
      </c>
      <c r="AO349" s="63">
        <f t="shared" si="334"/>
        <v>0</v>
      </c>
      <c r="AP349" s="61">
        <f>IFERROR(SUMIFS('BM MORRO DA CRUZ - VERTICAL'!AT$6:AT$546,'BM MORRO DA CRUZ - VERTICAL'!$O$6:$O$546,'BM MORRO DA CRUZ'!$K349),0)</f>
        <v>0</v>
      </c>
      <c r="AQ349" s="63">
        <f t="shared" si="335"/>
        <v>0</v>
      </c>
      <c r="AR349" s="61">
        <f>IFERROR(SUMIFS('BM MORRO DA CRUZ - VERTICAL'!AV$6:AV$546,'BM MORRO DA CRUZ - VERTICAL'!$O$6:$O$546,'BM MORRO DA CRUZ'!$K349),0)</f>
        <v>0</v>
      </c>
      <c r="AS349" s="63">
        <f t="shared" si="336"/>
        <v>0</v>
      </c>
      <c r="AT349" s="61">
        <f>IFERROR(SUMIFS('BM MORRO DA CRUZ - VERTICAL'!AX$6:AX$546,'BM MORRO DA CRUZ - VERTICAL'!$O$6:$O$546,'BM MORRO DA CRUZ'!$K349),0)</f>
        <v>0</v>
      </c>
      <c r="AU349" s="63">
        <f t="shared" si="337"/>
        <v>0</v>
      </c>
      <c r="AV349" s="61">
        <f>IFERROR(SUMIFS('BM MORRO DA CRUZ - VERTICAL'!AZ$6:AZ$546,'BM MORRO DA CRUZ - VERTICAL'!$O$6:$O$546,'BM MORRO DA CRUZ'!$K349),0)</f>
        <v>0</v>
      </c>
      <c r="AW349" s="63">
        <f t="shared" si="338"/>
        <v>0</v>
      </c>
      <c r="AX349" s="61">
        <f>IFERROR(SUMIFS('BM MORRO DA CRUZ - VERTICAL'!BB$6:BB$546,'BM MORRO DA CRUZ - VERTICAL'!$O$6:$O$546,'BM MORRO DA CRUZ'!$K349),0)</f>
        <v>0</v>
      </c>
      <c r="AY349" s="63">
        <f t="shared" si="339"/>
        <v>0</v>
      </c>
      <c r="AZ349" s="61">
        <f>IFERROR(SUMIFS('BM MORRO DA CRUZ - VERTICAL'!BD$6:BD$546,'BM MORRO DA CRUZ - VERTICAL'!$O$6:$O$546,'BM MORRO DA CRUZ'!$K349),0)</f>
        <v>0</v>
      </c>
      <c r="BA349" s="63">
        <f t="shared" si="340"/>
        <v>0</v>
      </c>
      <c r="BB349" s="61">
        <f t="shared" si="341"/>
        <v>0</v>
      </c>
      <c r="BC349" s="63">
        <f t="shared" si="342"/>
        <v>0</v>
      </c>
      <c r="BD349" s="64">
        <f t="shared" si="343"/>
        <v>0</v>
      </c>
      <c r="BE349" s="65">
        <f t="shared" si="344"/>
        <v>1</v>
      </c>
      <c r="BF349" s="45"/>
    </row>
    <row r="350" spans="1:58" ht="35.65" x14ac:dyDescent="0.45">
      <c r="A350" s="56" t="s">
        <v>1260</v>
      </c>
      <c r="B350" s="506" t="s">
        <v>1846</v>
      </c>
      <c r="C350" s="507" t="s">
        <v>1795</v>
      </c>
      <c r="D350" s="507" t="s">
        <v>1795</v>
      </c>
      <c r="E350" s="507" t="s">
        <v>1823</v>
      </c>
      <c r="F350" s="507" t="s">
        <v>266</v>
      </c>
      <c r="G350" s="507" t="s">
        <v>1795</v>
      </c>
      <c r="H350" s="508" t="s">
        <v>267</v>
      </c>
      <c r="I350" s="507" t="s">
        <v>68</v>
      </c>
      <c r="J350" s="508" t="s">
        <v>1055</v>
      </c>
      <c r="K350" s="57" t="s">
        <v>1261</v>
      </c>
      <c r="L350" s="58" t="s">
        <v>846</v>
      </c>
      <c r="M350" s="59" t="s">
        <v>1262</v>
      </c>
      <c r="N350" s="60" t="s">
        <v>367</v>
      </c>
      <c r="O350" s="61">
        <v>35682</v>
      </c>
      <c r="P350" s="62">
        <v>7.08</v>
      </c>
      <c r="Q350" s="63">
        <f t="shared" si="322"/>
        <v>252628.56</v>
      </c>
      <c r="R350" s="61">
        <f>IFERROR(SUMIFS('BM MORRO DA CRUZ - VERTICAL'!V$6:V$546,'BM MORRO DA CRUZ - VERTICAL'!$O$6:$O$546,'BM MORRO DA CRUZ'!$K350),0)</f>
        <v>0</v>
      </c>
      <c r="S350" s="63">
        <f t="shared" si="323"/>
        <v>0</v>
      </c>
      <c r="T350" s="61">
        <f>IFERROR(SUMIFS('BM MORRO DA CRUZ - VERTICAL'!X$6:X$546,'BM MORRO DA CRUZ - VERTICAL'!$O$6:$O$546,'BM MORRO DA CRUZ'!$K350),0)</f>
        <v>0</v>
      </c>
      <c r="U350" s="63">
        <f t="shared" si="324"/>
        <v>0</v>
      </c>
      <c r="V350" s="61">
        <f>IFERROR(SUMIFS('BM MORRO DA CRUZ - VERTICAL'!Z$6:Z$546,'BM MORRO DA CRUZ - VERTICAL'!$O$6:$O$546,'BM MORRO DA CRUZ'!$K350),0)</f>
        <v>0</v>
      </c>
      <c r="W350" s="63">
        <f t="shared" si="325"/>
        <v>0</v>
      </c>
      <c r="X350" s="61">
        <f>IFERROR(SUMIFS('BM MORRO DA CRUZ - VERTICAL'!AB$6:AB$546,'BM MORRO DA CRUZ - VERTICAL'!$O$6:$O$546,'BM MORRO DA CRUZ'!$K350),0)</f>
        <v>0</v>
      </c>
      <c r="Y350" s="63">
        <f t="shared" si="326"/>
        <v>0</v>
      </c>
      <c r="Z350" s="61">
        <f>IFERROR(SUMIFS('BM MORRO DA CRUZ - VERTICAL'!AD$6:AD$546,'BM MORRO DA CRUZ - VERTICAL'!$O$6:$O$546,'BM MORRO DA CRUZ'!$K350),0)</f>
        <v>0</v>
      </c>
      <c r="AA350" s="63">
        <f t="shared" si="327"/>
        <v>0</v>
      </c>
      <c r="AB350" s="61">
        <f>IFERROR(SUMIFS('BM MORRO DA CRUZ - VERTICAL'!AF$6:AF$546,'BM MORRO DA CRUZ - VERTICAL'!$O$6:$O$546,'BM MORRO DA CRUZ'!$K350),0)</f>
        <v>0</v>
      </c>
      <c r="AC350" s="63">
        <f t="shared" si="328"/>
        <v>0</v>
      </c>
      <c r="AD350" s="61">
        <f>IFERROR(SUMIFS('BM MORRO DA CRUZ - VERTICAL'!AH$6:AH$546,'BM MORRO DA CRUZ - VERTICAL'!$O$6:$O$546,'BM MORRO DA CRUZ'!$K350),0)</f>
        <v>0</v>
      </c>
      <c r="AE350" s="63">
        <f t="shared" si="329"/>
        <v>0</v>
      </c>
      <c r="AF350" s="61">
        <f>IFERROR(SUMIFS('BM MORRO DA CRUZ - VERTICAL'!AJ$6:AJ$546,'BM MORRO DA CRUZ - VERTICAL'!$O$6:$O$546,'BM MORRO DA CRUZ'!$K350),0)</f>
        <v>0</v>
      </c>
      <c r="AG350" s="63">
        <f t="shared" si="330"/>
        <v>0</v>
      </c>
      <c r="AH350" s="61">
        <f>IFERROR(SUMIFS('BM MORRO DA CRUZ - VERTICAL'!AL$6:AL$546,'BM MORRO DA CRUZ - VERTICAL'!$O$6:$O$546,'BM MORRO DA CRUZ'!$K350),0)</f>
        <v>0</v>
      </c>
      <c r="AI350" s="63">
        <f t="shared" si="331"/>
        <v>0</v>
      </c>
      <c r="AJ350" s="61">
        <f>IFERROR(SUMIFS('BM MORRO DA CRUZ - VERTICAL'!AN$6:AN$546,'BM MORRO DA CRUZ - VERTICAL'!$O$6:$O$546,'BM MORRO DA CRUZ'!$K350),0)</f>
        <v>0</v>
      </c>
      <c r="AK350" s="63">
        <f t="shared" si="332"/>
        <v>0</v>
      </c>
      <c r="AL350" s="61">
        <f>IFERROR(SUMIFS('BM MORRO DA CRUZ - VERTICAL'!AP$6:AP$546,'BM MORRO DA CRUZ - VERTICAL'!$O$6:$O$546,'BM MORRO DA CRUZ'!$K350),0)</f>
        <v>0</v>
      </c>
      <c r="AM350" s="63">
        <f t="shared" si="333"/>
        <v>0</v>
      </c>
      <c r="AN350" s="61">
        <f>IFERROR(SUMIFS('BM MORRO DA CRUZ - VERTICAL'!AR$6:AR$546,'BM MORRO DA CRUZ - VERTICAL'!$O$6:$O$546,'BM MORRO DA CRUZ'!$K350),0)</f>
        <v>0</v>
      </c>
      <c r="AO350" s="63">
        <f t="shared" si="334"/>
        <v>0</v>
      </c>
      <c r="AP350" s="61">
        <f>IFERROR(SUMIFS('BM MORRO DA CRUZ - VERTICAL'!AT$6:AT$546,'BM MORRO DA CRUZ - VERTICAL'!$O$6:$O$546,'BM MORRO DA CRUZ'!$K350),0)</f>
        <v>0</v>
      </c>
      <c r="AQ350" s="63">
        <f t="shared" si="335"/>
        <v>0</v>
      </c>
      <c r="AR350" s="61">
        <f>IFERROR(SUMIFS('BM MORRO DA CRUZ - VERTICAL'!AV$6:AV$546,'BM MORRO DA CRUZ - VERTICAL'!$O$6:$O$546,'BM MORRO DA CRUZ'!$K350),0)</f>
        <v>0</v>
      </c>
      <c r="AS350" s="63">
        <f t="shared" si="336"/>
        <v>0</v>
      </c>
      <c r="AT350" s="61">
        <f>IFERROR(SUMIFS('BM MORRO DA CRUZ - VERTICAL'!AX$6:AX$546,'BM MORRO DA CRUZ - VERTICAL'!$O$6:$O$546,'BM MORRO DA CRUZ'!$K350),0)</f>
        <v>0</v>
      </c>
      <c r="AU350" s="63">
        <f t="shared" si="337"/>
        <v>0</v>
      </c>
      <c r="AV350" s="61">
        <f>IFERROR(SUMIFS('BM MORRO DA CRUZ - VERTICAL'!AZ$6:AZ$546,'BM MORRO DA CRUZ - VERTICAL'!$O$6:$O$546,'BM MORRO DA CRUZ'!$K350),0)</f>
        <v>0</v>
      </c>
      <c r="AW350" s="63">
        <f t="shared" si="338"/>
        <v>0</v>
      </c>
      <c r="AX350" s="61">
        <f>IFERROR(SUMIFS('BM MORRO DA CRUZ - VERTICAL'!BB$6:BB$546,'BM MORRO DA CRUZ - VERTICAL'!$O$6:$O$546,'BM MORRO DA CRUZ'!$K350),0)</f>
        <v>0</v>
      </c>
      <c r="AY350" s="63">
        <f t="shared" si="339"/>
        <v>0</v>
      </c>
      <c r="AZ350" s="61">
        <f>IFERROR(SUMIFS('BM MORRO DA CRUZ - VERTICAL'!BD$6:BD$546,'BM MORRO DA CRUZ - VERTICAL'!$O$6:$O$546,'BM MORRO DA CRUZ'!$K350),0)</f>
        <v>0</v>
      </c>
      <c r="BA350" s="63">
        <f t="shared" si="340"/>
        <v>0</v>
      </c>
      <c r="BB350" s="61">
        <f t="shared" si="341"/>
        <v>0</v>
      </c>
      <c r="BC350" s="63">
        <f t="shared" si="342"/>
        <v>0</v>
      </c>
      <c r="BD350" s="64">
        <f t="shared" si="343"/>
        <v>0</v>
      </c>
      <c r="BE350" s="65">
        <f t="shared" si="344"/>
        <v>1</v>
      </c>
      <c r="BF350" s="45"/>
    </row>
    <row r="351" spans="1:58" ht="35.65" x14ac:dyDescent="0.45">
      <c r="A351" s="56" t="s">
        <v>1263</v>
      </c>
      <c r="B351" s="506" t="s">
        <v>1265</v>
      </c>
      <c r="C351" s="507" t="s">
        <v>39</v>
      </c>
      <c r="D351" s="507" t="s">
        <v>1795</v>
      </c>
      <c r="E351" s="507" t="s">
        <v>1847</v>
      </c>
      <c r="F351" s="507" t="s">
        <v>266</v>
      </c>
      <c r="G351" s="507" t="s">
        <v>39</v>
      </c>
      <c r="H351" s="508" t="s">
        <v>267</v>
      </c>
      <c r="I351" s="507" t="s">
        <v>68</v>
      </c>
      <c r="J351" s="508" t="s">
        <v>68</v>
      </c>
      <c r="K351" s="57" t="s">
        <v>1264</v>
      </c>
      <c r="L351" s="58" t="s">
        <v>846</v>
      </c>
      <c r="M351" s="59" t="s">
        <v>1265</v>
      </c>
      <c r="N351" s="60" t="s">
        <v>71</v>
      </c>
      <c r="O351" s="61">
        <v>11894</v>
      </c>
      <c r="P351" s="62">
        <v>28.63</v>
      </c>
      <c r="Q351" s="63">
        <f t="shared" si="322"/>
        <v>340525.22</v>
      </c>
      <c r="R351" s="61">
        <f>IFERROR(SUMIFS('BM MORRO DA CRUZ - VERTICAL'!V$6:V$546,'BM MORRO DA CRUZ - VERTICAL'!$O$6:$O$546,'BM MORRO DA CRUZ'!$K351),0)</f>
        <v>0</v>
      </c>
      <c r="S351" s="63">
        <f t="shared" si="323"/>
        <v>0</v>
      </c>
      <c r="T351" s="61">
        <f>IFERROR(SUMIFS('BM MORRO DA CRUZ - VERTICAL'!X$6:X$546,'BM MORRO DA CRUZ - VERTICAL'!$O$6:$O$546,'BM MORRO DA CRUZ'!$K351),0)</f>
        <v>0</v>
      </c>
      <c r="U351" s="63">
        <f t="shared" si="324"/>
        <v>0</v>
      </c>
      <c r="V351" s="61">
        <f>IFERROR(SUMIFS('BM MORRO DA CRUZ - VERTICAL'!Z$6:Z$546,'BM MORRO DA CRUZ - VERTICAL'!$O$6:$O$546,'BM MORRO DA CRUZ'!$K351),0)</f>
        <v>0</v>
      </c>
      <c r="W351" s="63">
        <f t="shared" si="325"/>
        <v>0</v>
      </c>
      <c r="X351" s="61">
        <f>IFERROR(SUMIFS('BM MORRO DA CRUZ - VERTICAL'!AB$6:AB$546,'BM MORRO DA CRUZ - VERTICAL'!$O$6:$O$546,'BM MORRO DA CRUZ'!$K351),0)</f>
        <v>0</v>
      </c>
      <c r="Y351" s="63">
        <f t="shared" si="326"/>
        <v>0</v>
      </c>
      <c r="Z351" s="61">
        <f>IFERROR(SUMIFS('BM MORRO DA CRUZ - VERTICAL'!AD$6:AD$546,'BM MORRO DA CRUZ - VERTICAL'!$O$6:$O$546,'BM MORRO DA CRUZ'!$K351),0)</f>
        <v>0</v>
      </c>
      <c r="AA351" s="63">
        <f t="shared" si="327"/>
        <v>0</v>
      </c>
      <c r="AB351" s="61">
        <f>IFERROR(SUMIFS('BM MORRO DA CRUZ - VERTICAL'!AF$6:AF$546,'BM MORRO DA CRUZ - VERTICAL'!$O$6:$O$546,'BM MORRO DA CRUZ'!$K351),0)</f>
        <v>0</v>
      </c>
      <c r="AC351" s="63">
        <f t="shared" si="328"/>
        <v>0</v>
      </c>
      <c r="AD351" s="61">
        <f>IFERROR(SUMIFS('BM MORRO DA CRUZ - VERTICAL'!AH$6:AH$546,'BM MORRO DA CRUZ - VERTICAL'!$O$6:$O$546,'BM MORRO DA CRUZ'!$K351),0)</f>
        <v>0</v>
      </c>
      <c r="AE351" s="63">
        <f t="shared" si="329"/>
        <v>0</v>
      </c>
      <c r="AF351" s="61">
        <f>IFERROR(SUMIFS('BM MORRO DA CRUZ - VERTICAL'!AJ$6:AJ$546,'BM MORRO DA CRUZ - VERTICAL'!$O$6:$O$546,'BM MORRO DA CRUZ'!$K351),0)</f>
        <v>0</v>
      </c>
      <c r="AG351" s="63">
        <f t="shared" si="330"/>
        <v>0</v>
      </c>
      <c r="AH351" s="61">
        <f>IFERROR(SUMIFS('BM MORRO DA CRUZ - VERTICAL'!AL$6:AL$546,'BM MORRO DA CRUZ - VERTICAL'!$O$6:$O$546,'BM MORRO DA CRUZ'!$K351),0)</f>
        <v>0</v>
      </c>
      <c r="AI351" s="63">
        <f t="shared" si="331"/>
        <v>0</v>
      </c>
      <c r="AJ351" s="61">
        <f>IFERROR(SUMIFS('BM MORRO DA CRUZ - VERTICAL'!AN$6:AN$546,'BM MORRO DA CRUZ - VERTICAL'!$O$6:$O$546,'BM MORRO DA CRUZ'!$K351),0)</f>
        <v>0</v>
      </c>
      <c r="AK351" s="63">
        <f t="shared" si="332"/>
        <v>0</v>
      </c>
      <c r="AL351" s="61">
        <f>IFERROR(SUMIFS('BM MORRO DA CRUZ - VERTICAL'!AP$6:AP$546,'BM MORRO DA CRUZ - VERTICAL'!$O$6:$O$546,'BM MORRO DA CRUZ'!$K351),0)</f>
        <v>0</v>
      </c>
      <c r="AM351" s="63">
        <f t="shared" si="333"/>
        <v>0</v>
      </c>
      <c r="AN351" s="61">
        <f>IFERROR(SUMIFS('BM MORRO DA CRUZ - VERTICAL'!AR$6:AR$546,'BM MORRO DA CRUZ - VERTICAL'!$O$6:$O$546,'BM MORRO DA CRUZ'!$K351),0)</f>
        <v>0</v>
      </c>
      <c r="AO351" s="63">
        <f t="shared" si="334"/>
        <v>0</v>
      </c>
      <c r="AP351" s="61">
        <f>IFERROR(SUMIFS('BM MORRO DA CRUZ - VERTICAL'!AT$6:AT$546,'BM MORRO DA CRUZ - VERTICAL'!$O$6:$O$546,'BM MORRO DA CRUZ'!$K351),0)</f>
        <v>0</v>
      </c>
      <c r="AQ351" s="63">
        <f t="shared" si="335"/>
        <v>0</v>
      </c>
      <c r="AR351" s="61">
        <f>IFERROR(SUMIFS('BM MORRO DA CRUZ - VERTICAL'!AV$6:AV$546,'BM MORRO DA CRUZ - VERTICAL'!$O$6:$O$546,'BM MORRO DA CRUZ'!$K351),0)</f>
        <v>0</v>
      </c>
      <c r="AS351" s="63">
        <f t="shared" si="336"/>
        <v>0</v>
      </c>
      <c r="AT351" s="61">
        <f>IFERROR(SUMIFS('BM MORRO DA CRUZ - VERTICAL'!AX$6:AX$546,'BM MORRO DA CRUZ - VERTICAL'!$O$6:$O$546,'BM MORRO DA CRUZ'!$K351),0)</f>
        <v>0</v>
      </c>
      <c r="AU351" s="63">
        <f t="shared" si="337"/>
        <v>0</v>
      </c>
      <c r="AV351" s="61">
        <f>IFERROR(SUMIFS('BM MORRO DA CRUZ - VERTICAL'!AZ$6:AZ$546,'BM MORRO DA CRUZ - VERTICAL'!$O$6:$O$546,'BM MORRO DA CRUZ'!$K351),0)</f>
        <v>0</v>
      </c>
      <c r="AW351" s="63">
        <f t="shared" si="338"/>
        <v>0</v>
      </c>
      <c r="AX351" s="61">
        <f>IFERROR(SUMIFS('BM MORRO DA CRUZ - VERTICAL'!BB$6:BB$546,'BM MORRO DA CRUZ - VERTICAL'!$O$6:$O$546,'BM MORRO DA CRUZ'!$K351),0)</f>
        <v>0</v>
      </c>
      <c r="AY351" s="63">
        <f t="shared" si="339"/>
        <v>0</v>
      </c>
      <c r="AZ351" s="61">
        <f>IFERROR(SUMIFS('BM MORRO DA CRUZ - VERTICAL'!BD$6:BD$546,'BM MORRO DA CRUZ - VERTICAL'!$O$6:$O$546,'BM MORRO DA CRUZ'!$K351),0)</f>
        <v>0</v>
      </c>
      <c r="BA351" s="63">
        <f t="shared" si="340"/>
        <v>0</v>
      </c>
      <c r="BB351" s="61">
        <f t="shared" si="341"/>
        <v>0</v>
      </c>
      <c r="BC351" s="63">
        <f t="shared" si="342"/>
        <v>0</v>
      </c>
      <c r="BD351" s="64">
        <f t="shared" si="343"/>
        <v>0</v>
      </c>
      <c r="BE351" s="65">
        <f t="shared" si="344"/>
        <v>1</v>
      </c>
      <c r="BF351" s="45"/>
    </row>
    <row r="352" spans="1:58" ht="26" customHeight="1" x14ac:dyDescent="0.45">
      <c r="A352" s="56" t="s">
        <v>1266</v>
      </c>
      <c r="B352" s="506" t="s">
        <v>1268</v>
      </c>
      <c r="C352" s="507" t="s">
        <v>39</v>
      </c>
      <c r="D352" s="507" t="s">
        <v>39</v>
      </c>
      <c r="E352" s="507" t="s">
        <v>1847</v>
      </c>
      <c r="F352" s="507" t="s">
        <v>39</v>
      </c>
      <c r="G352" s="507" t="s">
        <v>1848</v>
      </c>
      <c r="H352" s="508" t="s">
        <v>39</v>
      </c>
      <c r="I352" s="507" t="s">
        <v>40</v>
      </c>
      <c r="J352" s="508" t="s">
        <v>68</v>
      </c>
      <c r="K352" s="57" t="s">
        <v>1267</v>
      </c>
      <c r="L352" s="58" t="s">
        <v>846</v>
      </c>
      <c r="M352" s="59" t="s">
        <v>1268</v>
      </c>
      <c r="N352" s="60" t="s">
        <v>71</v>
      </c>
      <c r="O352" s="61">
        <v>1</v>
      </c>
      <c r="P352" s="62">
        <v>224.86</v>
      </c>
      <c r="Q352" s="63">
        <f t="shared" si="322"/>
        <v>224.86</v>
      </c>
      <c r="R352" s="61">
        <f>IFERROR(SUMIFS('BM MORRO DA CRUZ - VERTICAL'!V$6:V$546,'BM MORRO DA CRUZ - VERTICAL'!$O$6:$O$546,'BM MORRO DA CRUZ'!$K352),0)</f>
        <v>0</v>
      </c>
      <c r="S352" s="63">
        <f t="shared" si="323"/>
        <v>0</v>
      </c>
      <c r="T352" s="61">
        <f>IFERROR(SUMIFS('BM MORRO DA CRUZ - VERTICAL'!X$6:X$546,'BM MORRO DA CRUZ - VERTICAL'!$O$6:$O$546,'BM MORRO DA CRUZ'!$K352),0)</f>
        <v>0</v>
      </c>
      <c r="U352" s="63">
        <f t="shared" si="324"/>
        <v>0</v>
      </c>
      <c r="V352" s="61">
        <f>IFERROR(SUMIFS('BM MORRO DA CRUZ - VERTICAL'!Z$6:Z$546,'BM MORRO DA CRUZ - VERTICAL'!$O$6:$O$546,'BM MORRO DA CRUZ'!$K352),0)</f>
        <v>0</v>
      </c>
      <c r="W352" s="63">
        <f t="shared" si="325"/>
        <v>0</v>
      </c>
      <c r="X352" s="61">
        <f>IFERROR(SUMIFS('BM MORRO DA CRUZ - VERTICAL'!AB$6:AB$546,'BM MORRO DA CRUZ - VERTICAL'!$O$6:$O$546,'BM MORRO DA CRUZ'!$K352),0)</f>
        <v>0</v>
      </c>
      <c r="Y352" s="63">
        <f t="shared" si="326"/>
        <v>0</v>
      </c>
      <c r="Z352" s="61">
        <f>IFERROR(SUMIFS('BM MORRO DA CRUZ - VERTICAL'!AD$6:AD$546,'BM MORRO DA CRUZ - VERTICAL'!$O$6:$O$546,'BM MORRO DA CRUZ'!$K352),0)</f>
        <v>0</v>
      </c>
      <c r="AA352" s="63">
        <f t="shared" si="327"/>
        <v>0</v>
      </c>
      <c r="AB352" s="61">
        <f>IFERROR(SUMIFS('BM MORRO DA CRUZ - VERTICAL'!AF$6:AF$546,'BM MORRO DA CRUZ - VERTICAL'!$O$6:$O$546,'BM MORRO DA CRUZ'!$K352),0)</f>
        <v>0</v>
      </c>
      <c r="AC352" s="63">
        <f t="shared" si="328"/>
        <v>0</v>
      </c>
      <c r="AD352" s="61">
        <f>IFERROR(SUMIFS('BM MORRO DA CRUZ - VERTICAL'!AH$6:AH$546,'BM MORRO DA CRUZ - VERTICAL'!$O$6:$O$546,'BM MORRO DA CRUZ'!$K352),0)</f>
        <v>0</v>
      </c>
      <c r="AE352" s="63">
        <f t="shared" si="329"/>
        <v>0</v>
      </c>
      <c r="AF352" s="61">
        <f>IFERROR(SUMIFS('BM MORRO DA CRUZ - VERTICAL'!AJ$6:AJ$546,'BM MORRO DA CRUZ - VERTICAL'!$O$6:$O$546,'BM MORRO DA CRUZ'!$K352),0)</f>
        <v>0</v>
      </c>
      <c r="AG352" s="63">
        <f t="shared" si="330"/>
        <v>0</v>
      </c>
      <c r="AH352" s="61">
        <f>IFERROR(SUMIFS('BM MORRO DA CRUZ - VERTICAL'!AL$6:AL$546,'BM MORRO DA CRUZ - VERTICAL'!$O$6:$O$546,'BM MORRO DA CRUZ'!$K352),0)</f>
        <v>0</v>
      </c>
      <c r="AI352" s="63">
        <f t="shared" si="331"/>
        <v>0</v>
      </c>
      <c r="AJ352" s="61">
        <f>IFERROR(SUMIFS('BM MORRO DA CRUZ - VERTICAL'!AN$6:AN$546,'BM MORRO DA CRUZ - VERTICAL'!$O$6:$O$546,'BM MORRO DA CRUZ'!$K352),0)</f>
        <v>0</v>
      </c>
      <c r="AK352" s="63">
        <f t="shared" si="332"/>
        <v>0</v>
      </c>
      <c r="AL352" s="61">
        <f>IFERROR(SUMIFS('BM MORRO DA CRUZ - VERTICAL'!AP$6:AP$546,'BM MORRO DA CRUZ - VERTICAL'!$O$6:$O$546,'BM MORRO DA CRUZ'!$K352),0)</f>
        <v>0</v>
      </c>
      <c r="AM352" s="63">
        <f t="shared" si="333"/>
        <v>0</v>
      </c>
      <c r="AN352" s="61">
        <f>IFERROR(SUMIFS('BM MORRO DA CRUZ - VERTICAL'!AR$6:AR$546,'BM MORRO DA CRUZ - VERTICAL'!$O$6:$O$546,'BM MORRO DA CRUZ'!$K352),0)</f>
        <v>0</v>
      </c>
      <c r="AO352" s="63">
        <f t="shared" si="334"/>
        <v>0</v>
      </c>
      <c r="AP352" s="61">
        <f>IFERROR(SUMIFS('BM MORRO DA CRUZ - VERTICAL'!AT$6:AT$546,'BM MORRO DA CRUZ - VERTICAL'!$O$6:$O$546,'BM MORRO DA CRUZ'!$K352),0)</f>
        <v>0</v>
      </c>
      <c r="AQ352" s="63">
        <f t="shared" si="335"/>
        <v>0</v>
      </c>
      <c r="AR352" s="61">
        <f>IFERROR(SUMIFS('BM MORRO DA CRUZ - VERTICAL'!AV$6:AV$546,'BM MORRO DA CRUZ - VERTICAL'!$O$6:$O$546,'BM MORRO DA CRUZ'!$K352),0)</f>
        <v>0</v>
      </c>
      <c r="AS352" s="63">
        <f t="shared" si="336"/>
        <v>0</v>
      </c>
      <c r="AT352" s="61">
        <f>IFERROR(SUMIFS('BM MORRO DA CRUZ - VERTICAL'!AX$6:AX$546,'BM MORRO DA CRUZ - VERTICAL'!$O$6:$O$546,'BM MORRO DA CRUZ'!$K352),0)</f>
        <v>0</v>
      </c>
      <c r="AU352" s="63">
        <f t="shared" si="337"/>
        <v>0</v>
      </c>
      <c r="AV352" s="61">
        <f>IFERROR(SUMIFS('BM MORRO DA CRUZ - VERTICAL'!AZ$6:AZ$546,'BM MORRO DA CRUZ - VERTICAL'!$O$6:$O$546,'BM MORRO DA CRUZ'!$K352),0)</f>
        <v>0</v>
      </c>
      <c r="AW352" s="63">
        <f t="shared" si="338"/>
        <v>0</v>
      </c>
      <c r="AX352" s="61">
        <f>IFERROR(SUMIFS('BM MORRO DA CRUZ - VERTICAL'!BB$6:BB$546,'BM MORRO DA CRUZ - VERTICAL'!$O$6:$O$546,'BM MORRO DA CRUZ'!$K352),0)</f>
        <v>0</v>
      </c>
      <c r="AY352" s="63">
        <f t="shared" si="339"/>
        <v>0</v>
      </c>
      <c r="AZ352" s="61">
        <f>IFERROR(SUMIFS('BM MORRO DA CRUZ - VERTICAL'!BD$6:BD$546,'BM MORRO DA CRUZ - VERTICAL'!$O$6:$O$546,'BM MORRO DA CRUZ'!$K352),0)</f>
        <v>0</v>
      </c>
      <c r="BA352" s="63">
        <f t="shared" si="340"/>
        <v>0</v>
      </c>
      <c r="BB352" s="61">
        <f t="shared" si="341"/>
        <v>0</v>
      </c>
      <c r="BC352" s="63">
        <f t="shared" si="342"/>
        <v>0</v>
      </c>
      <c r="BD352" s="64">
        <f t="shared" si="343"/>
        <v>0</v>
      </c>
      <c r="BE352" s="65">
        <f t="shared" si="344"/>
        <v>1</v>
      </c>
      <c r="BF352" s="45"/>
    </row>
    <row r="353" spans="1:58" ht="19.5" customHeight="1" x14ac:dyDescent="0.45">
      <c r="A353" s="46" t="s">
        <v>1269</v>
      </c>
      <c r="B353" s="503"/>
      <c r="C353" s="504"/>
      <c r="D353" s="504"/>
      <c r="E353" s="504"/>
      <c r="F353" s="504"/>
      <c r="G353" s="504"/>
      <c r="H353" s="505" t="s">
        <v>1718</v>
      </c>
      <c r="I353" s="504"/>
      <c r="J353" s="505" t="s">
        <v>1718</v>
      </c>
      <c r="K353" s="47" t="s">
        <v>1270</v>
      </c>
      <c r="L353" s="48"/>
      <c r="M353" s="49" t="s">
        <v>1271</v>
      </c>
      <c r="N353" s="50"/>
      <c r="O353" s="51"/>
      <c r="P353" s="52"/>
      <c r="Q353" s="53">
        <f>SUM(Q354:Q355)</f>
        <v>114560.88</v>
      </c>
      <c r="R353" s="51"/>
      <c r="S353" s="53">
        <f>SUM(S354:S355)</f>
        <v>0</v>
      </c>
      <c r="T353" s="51"/>
      <c r="U353" s="53">
        <f>SUM(U354:U355)</f>
        <v>0</v>
      </c>
      <c r="V353" s="51"/>
      <c r="W353" s="53">
        <f>SUM(W354:W355)</f>
        <v>0</v>
      </c>
      <c r="X353" s="51"/>
      <c r="Y353" s="53">
        <f>SUM(Y354:Y355)</f>
        <v>0</v>
      </c>
      <c r="Z353" s="51"/>
      <c r="AA353" s="53">
        <f>SUM(AA354:AA355)</f>
        <v>0</v>
      </c>
      <c r="AB353" s="51"/>
      <c r="AC353" s="53">
        <f>SUM(AC354:AC355)</f>
        <v>0</v>
      </c>
      <c r="AD353" s="51"/>
      <c r="AE353" s="53">
        <f>SUM(AE354:AE355)</f>
        <v>0</v>
      </c>
      <c r="AF353" s="51"/>
      <c r="AG353" s="53">
        <f>SUM(AG354:AG355)</f>
        <v>0</v>
      </c>
      <c r="AH353" s="51"/>
      <c r="AI353" s="53">
        <f>SUM(AI354:AI355)</f>
        <v>0</v>
      </c>
      <c r="AJ353" s="51"/>
      <c r="AK353" s="53">
        <f>SUM(AK354:AK355)</f>
        <v>0</v>
      </c>
      <c r="AL353" s="51"/>
      <c r="AM353" s="53">
        <f>SUM(AM354:AM355)</f>
        <v>0</v>
      </c>
      <c r="AN353" s="51"/>
      <c r="AO353" s="53">
        <f>SUM(AO354:AO355)</f>
        <v>0</v>
      </c>
      <c r="AP353" s="51"/>
      <c r="AQ353" s="53">
        <f>SUM(AQ354:AQ355)</f>
        <v>0</v>
      </c>
      <c r="AR353" s="51"/>
      <c r="AS353" s="53">
        <f>SUM(AS354:AS355)</f>
        <v>0</v>
      </c>
      <c r="AT353" s="51"/>
      <c r="AU353" s="53">
        <f>SUM(AU354:AU355)</f>
        <v>0</v>
      </c>
      <c r="AV353" s="51"/>
      <c r="AW353" s="53">
        <f>SUM(AW354:AW355)</f>
        <v>0</v>
      </c>
      <c r="AX353" s="51"/>
      <c r="AY353" s="53">
        <f>SUM(AY354:AY355)</f>
        <v>0</v>
      </c>
      <c r="AZ353" s="51"/>
      <c r="BA353" s="53">
        <f>SUM(BA354:BA355)</f>
        <v>0</v>
      </c>
      <c r="BB353" s="51"/>
      <c r="BC353" s="53">
        <f>SUM(BC354:BC355)</f>
        <v>0</v>
      </c>
      <c r="BD353" s="54"/>
      <c r="BE353" s="55"/>
      <c r="BF353" s="45"/>
    </row>
    <row r="354" spans="1:58" ht="26" customHeight="1" x14ac:dyDescent="0.45">
      <c r="A354" s="56" t="s">
        <v>1272</v>
      </c>
      <c r="B354" s="506" t="s">
        <v>1849</v>
      </c>
      <c r="C354" s="507" t="s">
        <v>39</v>
      </c>
      <c r="D354" s="507" t="s">
        <v>39</v>
      </c>
      <c r="E354" s="507" t="s">
        <v>1850</v>
      </c>
      <c r="F354" s="507" t="s">
        <v>39</v>
      </c>
      <c r="G354" s="507" t="s">
        <v>39</v>
      </c>
      <c r="H354" s="508" t="s">
        <v>39</v>
      </c>
      <c r="I354" s="507" t="s">
        <v>40</v>
      </c>
      <c r="J354" s="508" t="s">
        <v>40</v>
      </c>
      <c r="K354" s="57" t="s">
        <v>1273</v>
      </c>
      <c r="L354" s="58" t="s">
        <v>846</v>
      </c>
      <c r="M354" s="59" t="s">
        <v>1274</v>
      </c>
      <c r="N354" s="60" t="s">
        <v>792</v>
      </c>
      <c r="O354" s="61">
        <v>456</v>
      </c>
      <c r="P354" s="62">
        <v>203.83</v>
      </c>
      <c r="Q354" s="63">
        <f>ROUND(P354*$O354,2)</f>
        <v>92946.48</v>
      </c>
      <c r="R354" s="61">
        <f>IFERROR(SUMIFS('BM MORRO DA CRUZ - VERTICAL'!V$6:V$546,'BM MORRO DA CRUZ - VERTICAL'!$O$6:$O$546,'BM MORRO DA CRUZ'!$K354),0)</f>
        <v>0</v>
      </c>
      <c r="S354" s="63">
        <f>ROUND(R354*$P354,2)</f>
        <v>0</v>
      </c>
      <c r="T354" s="61">
        <f>IFERROR(SUMIFS('BM MORRO DA CRUZ - VERTICAL'!X$6:X$546,'BM MORRO DA CRUZ - VERTICAL'!$O$6:$O$546,'BM MORRO DA CRUZ'!$K354),0)</f>
        <v>0</v>
      </c>
      <c r="U354" s="63">
        <f>ROUND(T354*$P354,2)</f>
        <v>0</v>
      </c>
      <c r="V354" s="61">
        <f>IFERROR(SUMIFS('BM MORRO DA CRUZ - VERTICAL'!Z$6:Z$546,'BM MORRO DA CRUZ - VERTICAL'!$O$6:$O$546,'BM MORRO DA CRUZ'!$K354),0)</f>
        <v>0</v>
      </c>
      <c r="W354" s="63">
        <f>ROUND(V354*$P354,2)</f>
        <v>0</v>
      </c>
      <c r="X354" s="61">
        <f>IFERROR(SUMIFS('BM MORRO DA CRUZ - VERTICAL'!AB$6:AB$546,'BM MORRO DA CRUZ - VERTICAL'!$O$6:$O$546,'BM MORRO DA CRUZ'!$K354),0)</f>
        <v>0</v>
      </c>
      <c r="Y354" s="63">
        <f>ROUND(X354*$P354,2)</f>
        <v>0</v>
      </c>
      <c r="Z354" s="61">
        <f>IFERROR(SUMIFS('BM MORRO DA CRUZ - VERTICAL'!AD$6:AD$546,'BM MORRO DA CRUZ - VERTICAL'!$O$6:$O$546,'BM MORRO DA CRUZ'!$K354),0)</f>
        <v>0</v>
      </c>
      <c r="AA354" s="63">
        <f>ROUND(Z354*$P354,2)</f>
        <v>0</v>
      </c>
      <c r="AB354" s="61">
        <f>IFERROR(SUMIFS('BM MORRO DA CRUZ - VERTICAL'!AF$6:AF$546,'BM MORRO DA CRUZ - VERTICAL'!$O$6:$O$546,'BM MORRO DA CRUZ'!$K354),0)</f>
        <v>0</v>
      </c>
      <c r="AC354" s="63">
        <f>ROUND(AB354*$P354,2)</f>
        <v>0</v>
      </c>
      <c r="AD354" s="61">
        <f>IFERROR(SUMIFS('BM MORRO DA CRUZ - VERTICAL'!AH$6:AH$546,'BM MORRO DA CRUZ - VERTICAL'!$O$6:$O$546,'BM MORRO DA CRUZ'!$K354),0)</f>
        <v>0</v>
      </c>
      <c r="AE354" s="63">
        <f>ROUND(AD354*$P354,2)</f>
        <v>0</v>
      </c>
      <c r="AF354" s="61">
        <f>IFERROR(SUMIFS('BM MORRO DA CRUZ - VERTICAL'!AJ$6:AJ$546,'BM MORRO DA CRUZ - VERTICAL'!$O$6:$O$546,'BM MORRO DA CRUZ'!$K354),0)</f>
        <v>0</v>
      </c>
      <c r="AG354" s="63">
        <f>ROUND(AF354*$P354,2)</f>
        <v>0</v>
      </c>
      <c r="AH354" s="61">
        <f>IFERROR(SUMIFS('BM MORRO DA CRUZ - VERTICAL'!AL$6:AL$546,'BM MORRO DA CRUZ - VERTICAL'!$O$6:$O$546,'BM MORRO DA CRUZ'!$K354),0)</f>
        <v>0</v>
      </c>
      <c r="AI354" s="63">
        <f>ROUND(AH354*$P354,2)</f>
        <v>0</v>
      </c>
      <c r="AJ354" s="61">
        <f>IFERROR(SUMIFS('BM MORRO DA CRUZ - VERTICAL'!AN$6:AN$546,'BM MORRO DA CRUZ - VERTICAL'!$O$6:$O$546,'BM MORRO DA CRUZ'!$K354),0)</f>
        <v>0</v>
      </c>
      <c r="AK354" s="63">
        <f>ROUND(AJ354*$P354,2)</f>
        <v>0</v>
      </c>
      <c r="AL354" s="61">
        <f>IFERROR(SUMIFS('BM MORRO DA CRUZ - VERTICAL'!AP$6:AP$546,'BM MORRO DA CRUZ - VERTICAL'!$O$6:$O$546,'BM MORRO DA CRUZ'!$K354),0)</f>
        <v>0</v>
      </c>
      <c r="AM354" s="63">
        <f>ROUND(AL354*$P354,2)</f>
        <v>0</v>
      </c>
      <c r="AN354" s="61">
        <f>IFERROR(SUMIFS('BM MORRO DA CRUZ - VERTICAL'!AR$6:AR$546,'BM MORRO DA CRUZ - VERTICAL'!$O$6:$O$546,'BM MORRO DA CRUZ'!$K354),0)</f>
        <v>0</v>
      </c>
      <c r="AO354" s="63">
        <f>ROUND(AN354*$P354,2)</f>
        <v>0</v>
      </c>
      <c r="AP354" s="61">
        <f>IFERROR(SUMIFS('BM MORRO DA CRUZ - VERTICAL'!AT$6:AT$546,'BM MORRO DA CRUZ - VERTICAL'!$O$6:$O$546,'BM MORRO DA CRUZ'!$K354),0)</f>
        <v>0</v>
      </c>
      <c r="AQ354" s="63">
        <f>ROUND(AP354*$P354,2)</f>
        <v>0</v>
      </c>
      <c r="AR354" s="61">
        <f>IFERROR(SUMIFS('BM MORRO DA CRUZ - VERTICAL'!AV$6:AV$546,'BM MORRO DA CRUZ - VERTICAL'!$O$6:$O$546,'BM MORRO DA CRUZ'!$K354),0)</f>
        <v>0</v>
      </c>
      <c r="AS354" s="63">
        <f>ROUND(AR354*$P354,2)</f>
        <v>0</v>
      </c>
      <c r="AT354" s="61">
        <f>IFERROR(SUMIFS('BM MORRO DA CRUZ - VERTICAL'!AX$6:AX$546,'BM MORRO DA CRUZ - VERTICAL'!$O$6:$O$546,'BM MORRO DA CRUZ'!$K354),0)</f>
        <v>0</v>
      </c>
      <c r="AU354" s="63">
        <f>ROUND(AT354*$P354,2)</f>
        <v>0</v>
      </c>
      <c r="AV354" s="61">
        <f>IFERROR(SUMIFS('BM MORRO DA CRUZ - VERTICAL'!AZ$6:AZ$546,'BM MORRO DA CRUZ - VERTICAL'!$O$6:$O$546,'BM MORRO DA CRUZ'!$K354),0)</f>
        <v>0</v>
      </c>
      <c r="AW354" s="63">
        <f>ROUND(AV354*$P354,2)</f>
        <v>0</v>
      </c>
      <c r="AX354" s="61">
        <f>IFERROR(SUMIFS('BM MORRO DA CRUZ - VERTICAL'!BB$6:BB$546,'BM MORRO DA CRUZ - VERTICAL'!$O$6:$O$546,'BM MORRO DA CRUZ'!$K354),0)</f>
        <v>0</v>
      </c>
      <c r="AY354" s="63">
        <f>ROUND(AX354*$P354,2)</f>
        <v>0</v>
      </c>
      <c r="AZ354" s="61">
        <f>IFERROR(SUMIFS('BM MORRO DA CRUZ - VERTICAL'!BD$6:BD$546,'BM MORRO DA CRUZ - VERTICAL'!$O$6:$O$546,'BM MORRO DA CRUZ'!$K354),0)</f>
        <v>0</v>
      </c>
      <c r="BA354" s="63">
        <f>ROUND(AZ354*$P354,2)</f>
        <v>0</v>
      </c>
      <c r="BB354" s="61">
        <f>IFERROR(SUMIFS($R354:$BA354,$R$5:$BA$5,$BB$5),0)</f>
        <v>0</v>
      </c>
      <c r="BC354" s="63">
        <f>SUMIFS($R354:$BA354,$R$5:$BA$5,$S$5)</f>
        <v>0</v>
      </c>
      <c r="BD354" s="64">
        <f>IFERROR(BB354/O354,0)</f>
        <v>0</v>
      </c>
      <c r="BE354" s="65">
        <f>IFERROR((O354-BB354)/O354,0)</f>
        <v>1</v>
      </c>
      <c r="BF354" s="45"/>
    </row>
    <row r="355" spans="1:58" ht="35.65" x14ac:dyDescent="0.45">
      <c r="A355" s="56" t="s">
        <v>1275</v>
      </c>
      <c r="B355" s="506" t="s">
        <v>1851</v>
      </c>
      <c r="C355" s="507" t="s">
        <v>39</v>
      </c>
      <c r="D355" s="507" t="s">
        <v>39</v>
      </c>
      <c r="E355" s="507" t="s">
        <v>1777</v>
      </c>
      <c r="F355" s="507" t="s">
        <v>39</v>
      </c>
      <c r="G355" s="507" t="s">
        <v>39</v>
      </c>
      <c r="H355" s="508" t="s">
        <v>226</v>
      </c>
      <c r="I355" s="507" t="s">
        <v>40</v>
      </c>
      <c r="J355" s="508" t="s">
        <v>1777</v>
      </c>
      <c r="K355" s="57" t="s">
        <v>1276</v>
      </c>
      <c r="L355" s="58" t="s">
        <v>846</v>
      </c>
      <c r="M355" s="59" t="s">
        <v>1277</v>
      </c>
      <c r="N355" s="60" t="s">
        <v>792</v>
      </c>
      <c r="O355" s="61">
        <v>456</v>
      </c>
      <c r="P355" s="62">
        <v>47.4</v>
      </c>
      <c r="Q355" s="63">
        <f>ROUND(P355*$O355,2)</f>
        <v>21614.400000000001</v>
      </c>
      <c r="R355" s="61">
        <f>IFERROR(SUMIFS('BM MORRO DA CRUZ - VERTICAL'!V$6:V$546,'BM MORRO DA CRUZ - VERTICAL'!$O$6:$O$546,'BM MORRO DA CRUZ'!$K355),0)</f>
        <v>0</v>
      </c>
      <c r="S355" s="63">
        <f>ROUND(R355*$P355,2)</f>
        <v>0</v>
      </c>
      <c r="T355" s="61">
        <f>IFERROR(SUMIFS('BM MORRO DA CRUZ - VERTICAL'!X$6:X$546,'BM MORRO DA CRUZ - VERTICAL'!$O$6:$O$546,'BM MORRO DA CRUZ'!$K355),0)</f>
        <v>0</v>
      </c>
      <c r="U355" s="63">
        <f>ROUND(T355*$P355,2)</f>
        <v>0</v>
      </c>
      <c r="V355" s="61">
        <f>IFERROR(SUMIFS('BM MORRO DA CRUZ - VERTICAL'!Z$6:Z$546,'BM MORRO DA CRUZ - VERTICAL'!$O$6:$O$546,'BM MORRO DA CRUZ'!$K355),0)</f>
        <v>0</v>
      </c>
      <c r="W355" s="63">
        <f>ROUND(V355*$P355,2)</f>
        <v>0</v>
      </c>
      <c r="X355" s="61">
        <f>IFERROR(SUMIFS('BM MORRO DA CRUZ - VERTICAL'!AB$6:AB$546,'BM MORRO DA CRUZ - VERTICAL'!$O$6:$O$546,'BM MORRO DA CRUZ'!$K355),0)</f>
        <v>0</v>
      </c>
      <c r="Y355" s="63">
        <f>ROUND(X355*$P355,2)</f>
        <v>0</v>
      </c>
      <c r="Z355" s="61">
        <f>IFERROR(SUMIFS('BM MORRO DA CRUZ - VERTICAL'!AD$6:AD$546,'BM MORRO DA CRUZ - VERTICAL'!$O$6:$O$546,'BM MORRO DA CRUZ'!$K355),0)</f>
        <v>0</v>
      </c>
      <c r="AA355" s="63">
        <f>ROUND(Z355*$P355,2)</f>
        <v>0</v>
      </c>
      <c r="AB355" s="61">
        <f>IFERROR(SUMIFS('BM MORRO DA CRUZ - VERTICAL'!AF$6:AF$546,'BM MORRO DA CRUZ - VERTICAL'!$O$6:$O$546,'BM MORRO DA CRUZ'!$K355),0)</f>
        <v>0</v>
      </c>
      <c r="AC355" s="63">
        <f>ROUND(AB355*$P355,2)</f>
        <v>0</v>
      </c>
      <c r="AD355" s="61">
        <f>IFERROR(SUMIFS('BM MORRO DA CRUZ - VERTICAL'!AH$6:AH$546,'BM MORRO DA CRUZ - VERTICAL'!$O$6:$O$546,'BM MORRO DA CRUZ'!$K355),0)</f>
        <v>0</v>
      </c>
      <c r="AE355" s="63">
        <f>ROUND(AD355*$P355,2)</f>
        <v>0</v>
      </c>
      <c r="AF355" s="61">
        <f>IFERROR(SUMIFS('BM MORRO DA CRUZ - VERTICAL'!AJ$6:AJ$546,'BM MORRO DA CRUZ - VERTICAL'!$O$6:$O$546,'BM MORRO DA CRUZ'!$K355),0)</f>
        <v>0</v>
      </c>
      <c r="AG355" s="63">
        <f>ROUND(AF355*$P355,2)</f>
        <v>0</v>
      </c>
      <c r="AH355" s="61">
        <f>IFERROR(SUMIFS('BM MORRO DA CRUZ - VERTICAL'!AL$6:AL$546,'BM MORRO DA CRUZ - VERTICAL'!$O$6:$O$546,'BM MORRO DA CRUZ'!$K355),0)</f>
        <v>0</v>
      </c>
      <c r="AI355" s="63">
        <f>ROUND(AH355*$P355,2)</f>
        <v>0</v>
      </c>
      <c r="AJ355" s="61">
        <f>IFERROR(SUMIFS('BM MORRO DA CRUZ - VERTICAL'!AN$6:AN$546,'BM MORRO DA CRUZ - VERTICAL'!$O$6:$O$546,'BM MORRO DA CRUZ'!$K355),0)</f>
        <v>0</v>
      </c>
      <c r="AK355" s="63">
        <f>ROUND(AJ355*$P355,2)</f>
        <v>0</v>
      </c>
      <c r="AL355" s="61">
        <f>IFERROR(SUMIFS('BM MORRO DA CRUZ - VERTICAL'!AP$6:AP$546,'BM MORRO DA CRUZ - VERTICAL'!$O$6:$O$546,'BM MORRO DA CRUZ'!$K355),0)</f>
        <v>0</v>
      </c>
      <c r="AM355" s="63">
        <f>ROUND(AL355*$P355,2)</f>
        <v>0</v>
      </c>
      <c r="AN355" s="61">
        <f>IFERROR(SUMIFS('BM MORRO DA CRUZ - VERTICAL'!AR$6:AR$546,'BM MORRO DA CRUZ - VERTICAL'!$O$6:$O$546,'BM MORRO DA CRUZ'!$K355),0)</f>
        <v>0</v>
      </c>
      <c r="AO355" s="63">
        <f>ROUND(AN355*$P355,2)</f>
        <v>0</v>
      </c>
      <c r="AP355" s="61">
        <f>IFERROR(SUMIFS('BM MORRO DA CRUZ - VERTICAL'!AT$6:AT$546,'BM MORRO DA CRUZ - VERTICAL'!$O$6:$O$546,'BM MORRO DA CRUZ'!$K355),0)</f>
        <v>0</v>
      </c>
      <c r="AQ355" s="63">
        <f>ROUND(AP355*$P355,2)</f>
        <v>0</v>
      </c>
      <c r="AR355" s="61">
        <f>IFERROR(SUMIFS('BM MORRO DA CRUZ - VERTICAL'!AV$6:AV$546,'BM MORRO DA CRUZ - VERTICAL'!$O$6:$O$546,'BM MORRO DA CRUZ'!$K355),0)</f>
        <v>0</v>
      </c>
      <c r="AS355" s="63">
        <f>ROUND(AR355*$P355,2)</f>
        <v>0</v>
      </c>
      <c r="AT355" s="61">
        <f>IFERROR(SUMIFS('BM MORRO DA CRUZ - VERTICAL'!AX$6:AX$546,'BM MORRO DA CRUZ - VERTICAL'!$O$6:$O$546,'BM MORRO DA CRUZ'!$K355),0)</f>
        <v>0</v>
      </c>
      <c r="AU355" s="63">
        <f>ROUND(AT355*$P355,2)</f>
        <v>0</v>
      </c>
      <c r="AV355" s="61">
        <f>IFERROR(SUMIFS('BM MORRO DA CRUZ - VERTICAL'!AZ$6:AZ$546,'BM MORRO DA CRUZ - VERTICAL'!$O$6:$O$546,'BM MORRO DA CRUZ'!$K355),0)</f>
        <v>0</v>
      </c>
      <c r="AW355" s="63">
        <f>ROUND(AV355*$P355,2)</f>
        <v>0</v>
      </c>
      <c r="AX355" s="61">
        <f>IFERROR(SUMIFS('BM MORRO DA CRUZ - VERTICAL'!BB$6:BB$546,'BM MORRO DA CRUZ - VERTICAL'!$O$6:$O$546,'BM MORRO DA CRUZ'!$K355),0)</f>
        <v>0</v>
      </c>
      <c r="AY355" s="63">
        <f>ROUND(AX355*$P355,2)</f>
        <v>0</v>
      </c>
      <c r="AZ355" s="61">
        <f>IFERROR(SUMIFS('BM MORRO DA CRUZ - VERTICAL'!BD$6:BD$546,'BM MORRO DA CRUZ - VERTICAL'!$O$6:$O$546,'BM MORRO DA CRUZ'!$K355),0)</f>
        <v>0</v>
      </c>
      <c r="BA355" s="63">
        <f>ROUND(AZ355*$P355,2)</f>
        <v>0</v>
      </c>
      <c r="BB355" s="61">
        <f>IFERROR(SUMIFS($R355:$BA355,$R$5:$BA$5,$BB$5),0)</f>
        <v>0</v>
      </c>
      <c r="BC355" s="63">
        <f>SUMIFS($R355:$BA355,$R$5:$BA$5,$S$5)</f>
        <v>0</v>
      </c>
      <c r="BD355" s="64">
        <f>IFERROR(BB355/O355,0)</f>
        <v>0</v>
      </c>
      <c r="BE355" s="65">
        <f>IFERROR((O355-BB355)/O355,0)</f>
        <v>1</v>
      </c>
      <c r="BF355" s="45"/>
    </row>
    <row r="356" spans="1:58" ht="19.5" customHeight="1" x14ac:dyDescent="0.45">
      <c r="A356" s="46" t="s">
        <v>1278</v>
      </c>
      <c r="B356" s="503"/>
      <c r="C356" s="504"/>
      <c r="D356" s="504"/>
      <c r="E356" s="504"/>
      <c r="F356" s="504"/>
      <c r="G356" s="504"/>
      <c r="H356" s="505" t="s">
        <v>1718</v>
      </c>
      <c r="I356" s="504"/>
      <c r="J356" s="505" t="s">
        <v>1718</v>
      </c>
      <c r="K356" s="47" t="s">
        <v>1279</v>
      </c>
      <c r="L356" s="48"/>
      <c r="M356" s="49" t="s">
        <v>1280</v>
      </c>
      <c r="N356" s="50"/>
      <c r="O356" s="51"/>
      <c r="P356" s="52"/>
      <c r="Q356" s="53">
        <f>SUM(Q357:Q357)</f>
        <v>67910.039999999994</v>
      </c>
      <c r="R356" s="51"/>
      <c r="S356" s="53">
        <f>SUM(S357:S357)</f>
        <v>0</v>
      </c>
      <c r="T356" s="51"/>
      <c r="U356" s="53">
        <f>SUM(U357:U357)</f>
        <v>0</v>
      </c>
      <c r="V356" s="51"/>
      <c r="W356" s="53">
        <f>SUM(W357:W357)</f>
        <v>0</v>
      </c>
      <c r="X356" s="51"/>
      <c r="Y356" s="53">
        <f>SUM(Y357:Y357)</f>
        <v>0</v>
      </c>
      <c r="Z356" s="51"/>
      <c r="AA356" s="53">
        <f>SUM(AA357:AA357)</f>
        <v>0</v>
      </c>
      <c r="AB356" s="51"/>
      <c r="AC356" s="53">
        <f>SUM(AC357:AC357)</f>
        <v>0</v>
      </c>
      <c r="AD356" s="51"/>
      <c r="AE356" s="53">
        <f>SUM(AE357:AE357)</f>
        <v>0</v>
      </c>
      <c r="AF356" s="51"/>
      <c r="AG356" s="53">
        <f>SUM(AG357:AG357)</f>
        <v>0</v>
      </c>
      <c r="AH356" s="51"/>
      <c r="AI356" s="53">
        <f>SUM(AI357:AI357)</f>
        <v>0</v>
      </c>
      <c r="AJ356" s="51"/>
      <c r="AK356" s="53">
        <f>SUM(AK357:AK357)</f>
        <v>0</v>
      </c>
      <c r="AL356" s="51"/>
      <c r="AM356" s="53">
        <f>SUM(AM357:AM357)</f>
        <v>0</v>
      </c>
      <c r="AN356" s="51"/>
      <c r="AO356" s="53">
        <f>SUM(AO357:AO357)</f>
        <v>0</v>
      </c>
      <c r="AP356" s="51"/>
      <c r="AQ356" s="53">
        <f>SUM(AQ357:AQ357)</f>
        <v>0</v>
      </c>
      <c r="AR356" s="51"/>
      <c r="AS356" s="53">
        <f>SUM(AS357:AS357)</f>
        <v>0</v>
      </c>
      <c r="AT356" s="51"/>
      <c r="AU356" s="53">
        <f>SUM(AU357:AU357)</f>
        <v>0</v>
      </c>
      <c r="AV356" s="51"/>
      <c r="AW356" s="53">
        <f>SUM(AW357:AW357)</f>
        <v>0</v>
      </c>
      <c r="AX356" s="51"/>
      <c r="AY356" s="53">
        <f>SUM(AY357:AY357)</f>
        <v>0</v>
      </c>
      <c r="AZ356" s="51"/>
      <c r="BA356" s="53">
        <f>SUM(BA357:BA357)</f>
        <v>0</v>
      </c>
      <c r="BB356" s="51"/>
      <c r="BC356" s="53">
        <f>SUM(BC357:BC357)</f>
        <v>0</v>
      </c>
      <c r="BD356" s="54"/>
      <c r="BE356" s="55"/>
      <c r="BF356" s="45"/>
    </row>
    <row r="357" spans="1:58" ht="26" customHeight="1" x14ac:dyDescent="0.45">
      <c r="A357" s="56" t="s">
        <v>1281</v>
      </c>
      <c r="B357" s="506" t="s">
        <v>1852</v>
      </c>
      <c r="C357" s="507" t="s">
        <v>39</v>
      </c>
      <c r="D357" s="507" t="s">
        <v>39</v>
      </c>
      <c r="E357" s="507" t="s">
        <v>1853</v>
      </c>
      <c r="F357" s="507" t="s">
        <v>39</v>
      </c>
      <c r="G357" s="507" t="s">
        <v>39</v>
      </c>
      <c r="H357" s="508" t="s">
        <v>1749</v>
      </c>
      <c r="I357" s="507" t="s">
        <v>79</v>
      </c>
      <c r="J357" s="508" t="s">
        <v>1853</v>
      </c>
      <c r="K357" s="57" t="s">
        <v>1282</v>
      </c>
      <c r="L357" s="58" t="s">
        <v>846</v>
      </c>
      <c r="M357" s="59" t="s">
        <v>1283</v>
      </c>
      <c r="N357" s="60" t="s">
        <v>792</v>
      </c>
      <c r="O357" s="61">
        <v>1559</v>
      </c>
      <c r="P357" s="62">
        <v>43.56</v>
      </c>
      <c r="Q357" s="63">
        <f>ROUND(P357*$O357,2)</f>
        <v>67910.039999999994</v>
      </c>
      <c r="R357" s="61">
        <f>IFERROR(SUMIFS('BM MORRO DA CRUZ - VERTICAL'!V$6:V$546,'BM MORRO DA CRUZ - VERTICAL'!$O$6:$O$546,'BM MORRO DA CRUZ'!$K357),0)</f>
        <v>0</v>
      </c>
      <c r="S357" s="63">
        <f>ROUND(R357*$P357,2)</f>
        <v>0</v>
      </c>
      <c r="T357" s="61">
        <f>IFERROR(SUMIFS('BM MORRO DA CRUZ - VERTICAL'!X$6:X$546,'BM MORRO DA CRUZ - VERTICAL'!$O$6:$O$546,'BM MORRO DA CRUZ'!$K357),0)</f>
        <v>0</v>
      </c>
      <c r="U357" s="63">
        <f>ROUND(T357*$P357,2)</f>
        <v>0</v>
      </c>
      <c r="V357" s="61">
        <f>IFERROR(SUMIFS('BM MORRO DA CRUZ - VERTICAL'!Z$6:Z$546,'BM MORRO DA CRUZ - VERTICAL'!$O$6:$O$546,'BM MORRO DA CRUZ'!$K357),0)</f>
        <v>0</v>
      </c>
      <c r="W357" s="63">
        <f>ROUND(V357*$P357,2)</f>
        <v>0</v>
      </c>
      <c r="X357" s="61">
        <f>IFERROR(SUMIFS('BM MORRO DA CRUZ - VERTICAL'!AB$6:AB$546,'BM MORRO DA CRUZ - VERTICAL'!$O$6:$O$546,'BM MORRO DA CRUZ'!$K357),0)</f>
        <v>0</v>
      </c>
      <c r="Y357" s="63">
        <f>ROUND(X357*$P357,2)</f>
        <v>0</v>
      </c>
      <c r="Z357" s="61">
        <f>IFERROR(SUMIFS('BM MORRO DA CRUZ - VERTICAL'!AD$6:AD$546,'BM MORRO DA CRUZ - VERTICAL'!$O$6:$O$546,'BM MORRO DA CRUZ'!$K357),0)</f>
        <v>0</v>
      </c>
      <c r="AA357" s="63">
        <f>ROUND(Z357*$P357,2)</f>
        <v>0</v>
      </c>
      <c r="AB357" s="61">
        <f>IFERROR(SUMIFS('BM MORRO DA CRUZ - VERTICAL'!AF$6:AF$546,'BM MORRO DA CRUZ - VERTICAL'!$O$6:$O$546,'BM MORRO DA CRUZ'!$K357),0)</f>
        <v>0</v>
      </c>
      <c r="AC357" s="63">
        <f>ROUND(AB357*$P357,2)</f>
        <v>0</v>
      </c>
      <c r="AD357" s="61">
        <f>IFERROR(SUMIFS('BM MORRO DA CRUZ - VERTICAL'!AH$6:AH$546,'BM MORRO DA CRUZ - VERTICAL'!$O$6:$O$546,'BM MORRO DA CRUZ'!$K357),0)</f>
        <v>0</v>
      </c>
      <c r="AE357" s="63">
        <f>ROUND(AD357*$P357,2)</f>
        <v>0</v>
      </c>
      <c r="AF357" s="61">
        <f>IFERROR(SUMIFS('BM MORRO DA CRUZ - VERTICAL'!AJ$6:AJ$546,'BM MORRO DA CRUZ - VERTICAL'!$O$6:$O$546,'BM MORRO DA CRUZ'!$K357),0)</f>
        <v>0</v>
      </c>
      <c r="AG357" s="63">
        <f>ROUND(AF357*$P357,2)</f>
        <v>0</v>
      </c>
      <c r="AH357" s="61">
        <f>IFERROR(SUMIFS('BM MORRO DA CRUZ - VERTICAL'!AL$6:AL$546,'BM MORRO DA CRUZ - VERTICAL'!$O$6:$O$546,'BM MORRO DA CRUZ'!$K357),0)</f>
        <v>0</v>
      </c>
      <c r="AI357" s="63">
        <f>ROUND(AH357*$P357,2)</f>
        <v>0</v>
      </c>
      <c r="AJ357" s="61">
        <f>IFERROR(SUMIFS('BM MORRO DA CRUZ - VERTICAL'!AN$6:AN$546,'BM MORRO DA CRUZ - VERTICAL'!$O$6:$O$546,'BM MORRO DA CRUZ'!$K357),0)</f>
        <v>0</v>
      </c>
      <c r="AK357" s="63">
        <f>ROUND(AJ357*$P357,2)</f>
        <v>0</v>
      </c>
      <c r="AL357" s="61">
        <f>IFERROR(SUMIFS('BM MORRO DA CRUZ - VERTICAL'!AP$6:AP$546,'BM MORRO DA CRUZ - VERTICAL'!$O$6:$O$546,'BM MORRO DA CRUZ'!$K357),0)</f>
        <v>0</v>
      </c>
      <c r="AM357" s="63">
        <f>ROUND(AL357*$P357,2)</f>
        <v>0</v>
      </c>
      <c r="AN357" s="61">
        <f>IFERROR(SUMIFS('BM MORRO DA CRUZ - VERTICAL'!AR$6:AR$546,'BM MORRO DA CRUZ - VERTICAL'!$O$6:$O$546,'BM MORRO DA CRUZ'!$K357),0)</f>
        <v>0</v>
      </c>
      <c r="AO357" s="63">
        <f>ROUND(AN357*$P357,2)</f>
        <v>0</v>
      </c>
      <c r="AP357" s="61">
        <f>IFERROR(SUMIFS('BM MORRO DA CRUZ - VERTICAL'!AT$6:AT$546,'BM MORRO DA CRUZ - VERTICAL'!$O$6:$O$546,'BM MORRO DA CRUZ'!$K357),0)</f>
        <v>0</v>
      </c>
      <c r="AQ357" s="63">
        <f>ROUND(AP357*$P357,2)</f>
        <v>0</v>
      </c>
      <c r="AR357" s="61">
        <f>IFERROR(SUMIFS('BM MORRO DA CRUZ - VERTICAL'!AV$6:AV$546,'BM MORRO DA CRUZ - VERTICAL'!$O$6:$O$546,'BM MORRO DA CRUZ'!$K357),0)</f>
        <v>0</v>
      </c>
      <c r="AS357" s="63">
        <f>ROUND(AR357*$P357,2)</f>
        <v>0</v>
      </c>
      <c r="AT357" s="61">
        <f>IFERROR(SUMIFS('BM MORRO DA CRUZ - VERTICAL'!AX$6:AX$546,'BM MORRO DA CRUZ - VERTICAL'!$O$6:$O$546,'BM MORRO DA CRUZ'!$K357),0)</f>
        <v>0</v>
      </c>
      <c r="AU357" s="63">
        <f>ROUND(AT357*$P357,2)</f>
        <v>0</v>
      </c>
      <c r="AV357" s="61">
        <f>IFERROR(SUMIFS('BM MORRO DA CRUZ - VERTICAL'!AZ$6:AZ$546,'BM MORRO DA CRUZ - VERTICAL'!$O$6:$O$546,'BM MORRO DA CRUZ'!$K357),0)</f>
        <v>0</v>
      </c>
      <c r="AW357" s="63">
        <f>ROUND(AV357*$P357,2)</f>
        <v>0</v>
      </c>
      <c r="AX357" s="61">
        <f>IFERROR(SUMIFS('BM MORRO DA CRUZ - VERTICAL'!BB$6:BB$546,'BM MORRO DA CRUZ - VERTICAL'!$O$6:$O$546,'BM MORRO DA CRUZ'!$K357),0)</f>
        <v>0</v>
      </c>
      <c r="AY357" s="63">
        <f>ROUND(AX357*$P357,2)</f>
        <v>0</v>
      </c>
      <c r="AZ357" s="61">
        <f>IFERROR(SUMIFS('BM MORRO DA CRUZ - VERTICAL'!BD$6:BD$546,'BM MORRO DA CRUZ - VERTICAL'!$O$6:$O$546,'BM MORRO DA CRUZ'!$K357),0)</f>
        <v>0</v>
      </c>
      <c r="BA357" s="63">
        <f>ROUND(AZ357*$P357,2)</f>
        <v>0</v>
      </c>
      <c r="BB357" s="61">
        <f>IFERROR(SUMIFS($R357:$BA357,$R$5:$BA$5,$BB$5),0)</f>
        <v>0</v>
      </c>
      <c r="BC357" s="63">
        <f>SUMIFS($R357:$BA357,$R$5:$BA$5,$S$5)</f>
        <v>0</v>
      </c>
      <c r="BD357" s="64">
        <f>IFERROR(BB357/O357,0)</f>
        <v>0</v>
      </c>
      <c r="BE357" s="65">
        <f>IFERROR((O357-BB357)/O357,0)</f>
        <v>1</v>
      </c>
      <c r="BF357" s="45"/>
    </row>
    <row r="358" spans="1:58" ht="19.5" customHeight="1" x14ac:dyDescent="0.45">
      <c r="A358" s="46" t="s">
        <v>1284</v>
      </c>
      <c r="B358" s="503"/>
      <c r="C358" s="504"/>
      <c r="D358" s="504"/>
      <c r="E358" s="504"/>
      <c r="F358" s="504"/>
      <c r="G358" s="504"/>
      <c r="H358" s="505" t="s">
        <v>1718</v>
      </c>
      <c r="I358" s="504"/>
      <c r="J358" s="505" t="s">
        <v>1718</v>
      </c>
      <c r="K358" s="47" t="s">
        <v>1285</v>
      </c>
      <c r="L358" s="48"/>
      <c r="M358" s="49" t="s">
        <v>1286</v>
      </c>
      <c r="N358" s="50"/>
      <c r="O358" s="51"/>
      <c r="P358" s="52"/>
      <c r="Q358" s="53">
        <f>SUM(Q359:Q361)</f>
        <v>12131.8</v>
      </c>
      <c r="R358" s="51"/>
      <c r="S358" s="53">
        <f>SUM(S359:S361)</f>
        <v>0</v>
      </c>
      <c r="T358" s="51"/>
      <c r="U358" s="53">
        <f>SUM(U359:U361)</f>
        <v>0</v>
      </c>
      <c r="V358" s="51"/>
      <c r="W358" s="53">
        <f>SUM(W359:W361)</f>
        <v>0</v>
      </c>
      <c r="X358" s="51"/>
      <c r="Y358" s="53">
        <f>SUM(Y359:Y361)</f>
        <v>0</v>
      </c>
      <c r="Z358" s="51"/>
      <c r="AA358" s="53">
        <f>SUM(AA359:AA361)</f>
        <v>0</v>
      </c>
      <c r="AB358" s="51"/>
      <c r="AC358" s="53">
        <f>SUM(AC359:AC361)</f>
        <v>0</v>
      </c>
      <c r="AD358" s="51"/>
      <c r="AE358" s="53">
        <f>SUM(AE359:AE361)</f>
        <v>0</v>
      </c>
      <c r="AF358" s="51"/>
      <c r="AG358" s="53">
        <f>SUM(AG359:AG361)</f>
        <v>0</v>
      </c>
      <c r="AH358" s="51"/>
      <c r="AI358" s="53">
        <f>SUM(AI359:AI361)</f>
        <v>0</v>
      </c>
      <c r="AJ358" s="51"/>
      <c r="AK358" s="53">
        <f>SUM(AK359:AK361)</f>
        <v>0</v>
      </c>
      <c r="AL358" s="51"/>
      <c r="AM358" s="53">
        <f>SUM(AM359:AM361)</f>
        <v>0</v>
      </c>
      <c r="AN358" s="51"/>
      <c r="AO358" s="53">
        <f>SUM(AO359:AO361)</f>
        <v>0</v>
      </c>
      <c r="AP358" s="51"/>
      <c r="AQ358" s="53">
        <f>SUM(AQ359:AQ361)</f>
        <v>0</v>
      </c>
      <c r="AR358" s="51"/>
      <c r="AS358" s="53">
        <f>SUM(AS359:AS361)</f>
        <v>0</v>
      </c>
      <c r="AT358" s="51"/>
      <c r="AU358" s="53">
        <f>SUM(AU359:AU361)</f>
        <v>0</v>
      </c>
      <c r="AV358" s="51"/>
      <c r="AW358" s="53">
        <f>SUM(AW359:AW361)</f>
        <v>0</v>
      </c>
      <c r="AX358" s="51"/>
      <c r="AY358" s="53">
        <f>SUM(AY359:AY361)</f>
        <v>0</v>
      </c>
      <c r="AZ358" s="51"/>
      <c r="BA358" s="53">
        <f>SUM(BA359:BA361)</f>
        <v>0</v>
      </c>
      <c r="BB358" s="51"/>
      <c r="BC358" s="53">
        <f>SUM(BC359:BC361)</f>
        <v>0</v>
      </c>
      <c r="BD358" s="54"/>
      <c r="BE358" s="55"/>
      <c r="BF358" s="45"/>
    </row>
    <row r="359" spans="1:58" ht="35.65" x14ac:dyDescent="0.45">
      <c r="A359" s="56" t="s">
        <v>1287</v>
      </c>
      <c r="B359" s="506" t="s">
        <v>1854</v>
      </c>
      <c r="C359" s="507" t="s">
        <v>39</v>
      </c>
      <c r="D359" s="507" t="s">
        <v>39</v>
      </c>
      <c r="E359" s="507" t="s">
        <v>78</v>
      </c>
      <c r="F359" s="507" t="s">
        <v>39</v>
      </c>
      <c r="G359" s="507" t="s">
        <v>39</v>
      </c>
      <c r="H359" s="508" t="s">
        <v>78</v>
      </c>
      <c r="I359" s="507" t="s">
        <v>40</v>
      </c>
      <c r="J359" s="508" t="s">
        <v>78</v>
      </c>
      <c r="K359" s="57" t="s">
        <v>1288</v>
      </c>
      <c r="L359" s="58" t="s">
        <v>846</v>
      </c>
      <c r="M359" s="59" t="s">
        <v>1289</v>
      </c>
      <c r="N359" s="60" t="s">
        <v>71</v>
      </c>
      <c r="O359" s="61">
        <v>1</v>
      </c>
      <c r="P359" s="62">
        <v>4169.2</v>
      </c>
      <c r="Q359" s="63">
        <f>ROUND(P359*$O359,2)</f>
        <v>4169.2</v>
      </c>
      <c r="R359" s="61">
        <f>IFERROR(SUMIFS('BM MORRO DA CRUZ - VERTICAL'!V$6:V$546,'BM MORRO DA CRUZ - VERTICAL'!$O$6:$O$546,'BM MORRO DA CRUZ'!$K359),0)</f>
        <v>0</v>
      </c>
      <c r="S359" s="63">
        <f>ROUND(R359*$P359,2)</f>
        <v>0</v>
      </c>
      <c r="T359" s="61">
        <f>IFERROR(SUMIFS('BM MORRO DA CRUZ - VERTICAL'!X$6:X$546,'BM MORRO DA CRUZ - VERTICAL'!$O$6:$O$546,'BM MORRO DA CRUZ'!$K359),0)</f>
        <v>0</v>
      </c>
      <c r="U359" s="63">
        <f>ROUND(T359*$P359,2)</f>
        <v>0</v>
      </c>
      <c r="V359" s="61">
        <f>IFERROR(SUMIFS('BM MORRO DA CRUZ - VERTICAL'!Z$6:Z$546,'BM MORRO DA CRUZ - VERTICAL'!$O$6:$O$546,'BM MORRO DA CRUZ'!$K359),0)</f>
        <v>0</v>
      </c>
      <c r="W359" s="63">
        <f>ROUND(V359*$P359,2)</f>
        <v>0</v>
      </c>
      <c r="X359" s="61">
        <f>IFERROR(SUMIFS('BM MORRO DA CRUZ - VERTICAL'!AB$6:AB$546,'BM MORRO DA CRUZ - VERTICAL'!$O$6:$O$546,'BM MORRO DA CRUZ'!$K359),0)</f>
        <v>0</v>
      </c>
      <c r="Y359" s="63">
        <f>ROUND(X359*$P359,2)</f>
        <v>0</v>
      </c>
      <c r="Z359" s="61">
        <f>IFERROR(SUMIFS('BM MORRO DA CRUZ - VERTICAL'!AD$6:AD$546,'BM MORRO DA CRUZ - VERTICAL'!$O$6:$O$546,'BM MORRO DA CRUZ'!$K359),0)</f>
        <v>0</v>
      </c>
      <c r="AA359" s="63">
        <f>ROUND(Z359*$P359,2)</f>
        <v>0</v>
      </c>
      <c r="AB359" s="61">
        <f>IFERROR(SUMIFS('BM MORRO DA CRUZ - VERTICAL'!AF$6:AF$546,'BM MORRO DA CRUZ - VERTICAL'!$O$6:$O$546,'BM MORRO DA CRUZ'!$K359),0)</f>
        <v>0</v>
      </c>
      <c r="AC359" s="63">
        <f>ROUND(AB359*$P359,2)</f>
        <v>0</v>
      </c>
      <c r="AD359" s="61">
        <f>IFERROR(SUMIFS('BM MORRO DA CRUZ - VERTICAL'!AH$6:AH$546,'BM MORRO DA CRUZ - VERTICAL'!$O$6:$O$546,'BM MORRO DA CRUZ'!$K359),0)</f>
        <v>0</v>
      </c>
      <c r="AE359" s="63">
        <f>ROUND(AD359*$P359,2)</f>
        <v>0</v>
      </c>
      <c r="AF359" s="61">
        <f>IFERROR(SUMIFS('BM MORRO DA CRUZ - VERTICAL'!AJ$6:AJ$546,'BM MORRO DA CRUZ - VERTICAL'!$O$6:$O$546,'BM MORRO DA CRUZ'!$K359),0)</f>
        <v>0</v>
      </c>
      <c r="AG359" s="63">
        <f>ROUND(AF359*$P359,2)</f>
        <v>0</v>
      </c>
      <c r="AH359" s="61">
        <f>IFERROR(SUMIFS('BM MORRO DA CRUZ - VERTICAL'!AL$6:AL$546,'BM MORRO DA CRUZ - VERTICAL'!$O$6:$O$546,'BM MORRO DA CRUZ'!$K359),0)</f>
        <v>0</v>
      </c>
      <c r="AI359" s="63">
        <f>ROUND(AH359*$P359,2)</f>
        <v>0</v>
      </c>
      <c r="AJ359" s="61">
        <f>IFERROR(SUMIFS('BM MORRO DA CRUZ - VERTICAL'!AN$6:AN$546,'BM MORRO DA CRUZ - VERTICAL'!$O$6:$O$546,'BM MORRO DA CRUZ'!$K359),0)</f>
        <v>0</v>
      </c>
      <c r="AK359" s="63">
        <f>ROUND(AJ359*$P359,2)</f>
        <v>0</v>
      </c>
      <c r="AL359" s="61">
        <f>IFERROR(SUMIFS('BM MORRO DA CRUZ - VERTICAL'!AP$6:AP$546,'BM MORRO DA CRUZ - VERTICAL'!$O$6:$O$546,'BM MORRO DA CRUZ'!$K359),0)</f>
        <v>0</v>
      </c>
      <c r="AM359" s="63">
        <f>ROUND(AL359*$P359,2)</f>
        <v>0</v>
      </c>
      <c r="AN359" s="61">
        <f>IFERROR(SUMIFS('BM MORRO DA CRUZ - VERTICAL'!AR$6:AR$546,'BM MORRO DA CRUZ - VERTICAL'!$O$6:$O$546,'BM MORRO DA CRUZ'!$K359),0)</f>
        <v>0</v>
      </c>
      <c r="AO359" s="63">
        <f>ROUND(AN359*$P359,2)</f>
        <v>0</v>
      </c>
      <c r="AP359" s="61">
        <f>IFERROR(SUMIFS('BM MORRO DA CRUZ - VERTICAL'!AT$6:AT$546,'BM MORRO DA CRUZ - VERTICAL'!$O$6:$O$546,'BM MORRO DA CRUZ'!$K359),0)</f>
        <v>0</v>
      </c>
      <c r="AQ359" s="63">
        <f>ROUND(AP359*$P359,2)</f>
        <v>0</v>
      </c>
      <c r="AR359" s="61">
        <f>IFERROR(SUMIFS('BM MORRO DA CRUZ - VERTICAL'!AV$6:AV$546,'BM MORRO DA CRUZ - VERTICAL'!$O$6:$O$546,'BM MORRO DA CRUZ'!$K359),0)</f>
        <v>0</v>
      </c>
      <c r="AS359" s="63">
        <f>ROUND(AR359*$P359,2)</f>
        <v>0</v>
      </c>
      <c r="AT359" s="61">
        <f>IFERROR(SUMIFS('BM MORRO DA CRUZ - VERTICAL'!AX$6:AX$546,'BM MORRO DA CRUZ - VERTICAL'!$O$6:$O$546,'BM MORRO DA CRUZ'!$K359),0)</f>
        <v>0</v>
      </c>
      <c r="AU359" s="63">
        <f>ROUND(AT359*$P359,2)</f>
        <v>0</v>
      </c>
      <c r="AV359" s="61">
        <f>IFERROR(SUMIFS('BM MORRO DA CRUZ - VERTICAL'!AZ$6:AZ$546,'BM MORRO DA CRUZ - VERTICAL'!$O$6:$O$546,'BM MORRO DA CRUZ'!$K359),0)</f>
        <v>0</v>
      </c>
      <c r="AW359" s="63">
        <f>ROUND(AV359*$P359,2)</f>
        <v>0</v>
      </c>
      <c r="AX359" s="61">
        <f>IFERROR(SUMIFS('BM MORRO DA CRUZ - VERTICAL'!BB$6:BB$546,'BM MORRO DA CRUZ - VERTICAL'!$O$6:$O$546,'BM MORRO DA CRUZ'!$K359),0)</f>
        <v>0</v>
      </c>
      <c r="AY359" s="63">
        <f>ROUND(AX359*$P359,2)</f>
        <v>0</v>
      </c>
      <c r="AZ359" s="61">
        <f>IFERROR(SUMIFS('BM MORRO DA CRUZ - VERTICAL'!BD$6:BD$546,'BM MORRO DA CRUZ - VERTICAL'!$O$6:$O$546,'BM MORRO DA CRUZ'!$K359),0)</f>
        <v>0</v>
      </c>
      <c r="BA359" s="63">
        <f>ROUND(AZ359*$P359,2)</f>
        <v>0</v>
      </c>
      <c r="BB359" s="61">
        <f>IFERROR(SUMIFS($R359:$BA359,$R$5:$BA$5,$BB$5),0)</f>
        <v>0</v>
      </c>
      <c r="BC359" s="63">
        <f>SUMIFS($R359:$BA359,$R$5:$BA$5,$S$5)</f>
        <v>0</v>
      </c>
      <c r="BD359" s="64">
        <f>IFERROR(BB359/O359,0)</f>
        <v>0</v>
      </c>
      <c r="BE359" s="65">
        <f>IFERROR((O359-BB359)/O359,0)</f>
        <v>1</v>
      </c>
      <c r="BF359" s="45"/>
    </row>
    <row r="360" spans="1:58" ht="35.65" x14ac:dyDescent="0.45">
      <c r="A360" s="56" t="s">
        <v>1290</v>
      </c>
      <c r="B360" s="506" t="s">
        <v>1855</v>
      </c>
      <c r="C360" s="507" t="s">
        <v>39</v>
      </c>
      <c r="D360" s="507" t="s">
        <v>39</v>
      </c>
      <c r="E360" s="507" t="s">
        <v>78</v>
      </c>
      <c r="F360" s="507" t="s">
        <v>39</v>
      </c>
      <c r="G360" s="507" t="s">
        <v>39</v>
      </c>
      <c r="H360" s="508" t="s">
        <v>78</v>
      </c>
      <c r="I360" s="507" t="s">
        <v>40</v>
      </c>
      <c r="J360" s="508" t="s">
        <v>78</v>
      </c>
      <c r="K360" s="57" t="s">
        <v>1291</v>
      </c>
      <c r="L360" s="58" t="s">
        <v>846</v>
      </c>
      <c r="M360" s="59" t="s">
        <v>1292</v>
      </c>
      <c r="N360" s="60" t="s">
        <v>71</v>
      </c>
      <c r="O360" s="61">
        <v>1</v>
      </c>
      <c r="P360" s="62">
        <v>7802.15</v>
      </c>
      <c r="Q360" s="63">
        <f>ROUND(P360*$O360,2)</f>
        <v>7802.15</v>
      </c>
      <c r="R360" s="61">
        <f>IFERROR(SUMIFS('BM MORRO DA CRUZ - VERTICAL'!V$6:V$546,'BM MORRO DA CRUZ - VERTICAL'!$O$6:$O$546,'BM MORRO DA CRUZ'!$K360),0)</f>
        <v>0</v>
      </c>
      <c r="S360" s="63">
        <f>ROUND(R360*$P360,2)</f>
        <v>0</v>
      </c>
      <c r="T360" s="61">
        <f>IFERROR(SUMIFS('BM MORRO DA CRUZ - VERTICAL'!X$6:X$546,'BM MORRO DA CRUZ - VERTICAL'!$O$6:$O$546,'BM MORRO DA CRUZ'!$K360),0)</f>
        <v>0</v>
      </c>
      <c r="U360" s="63">
        <f>ROUND(T360*$P360,2)</f>
        <v>0</v>
      </c>
      <c r="V360" s="61">
        <f>IFERROR(SUMIFS('BM MORRO DA CRUZ - VERTICAL'!Z$6:Z$546,'BM MORRO DA CRUZ - VERTICAL'!$O$6:$O$546,'BM MORRO DA CRUZ'!$K360),0)</f>
        <v>0</v>
      </c>
      <c r="W360" s="63">
        <f>ROUND(V360*$P360,2)</f>
        <v>0</v>
      </c>
      <c r="X360" s="61">
        <f>IFERROR(SUMIFS('BM MORRO DA CRUZ - VERTICAL'!AB$6:AB$546,'BM MORRO DA CRUZ - VERTICAL'!$O$6:$O$546,'BM MORRO DA CRUZ'!$K360),0)</f>
        <v>0</v>
      </c>
      <c r="Y360" s="63">
        <f>ROUND(X360*$P360,2)</f>
        <v>0</v>
      </c>
      <c r="Z360" s="61">
        <f>IFERROR(SUMIFS('BM MORRO DA CRUZ - VERTICAL'!AD$6:AD$546,'BM MORRO DA CRUZ - VERTICAL'!$O$6:$O$546,'BM MORRO DA CRUZ'!$K360),0)</f>
        <v>0</v>
      </c>
      <c r="AA360" s="63">
        <f>ROUND(Z360*$P360,2)</f>
        <v>0</v>
      </c>
      <c r="AB360" s="61">
        <f>IFERROR(SUMIFS('BM MORRO DA CRUZ - VERTICAL'!AF$6:AF$546,'BM MORRO DA CRUZ - VERTICAL'!$O$6:$O$546,'BM MORRO DA CRUZ'!$K360),0)</f>
        <v>0</v>
      </c>
      <c r="AC360" s="63">
        <f>ROUND(AB360*$P360,2)</f>
        <v>0</v>
      </c>
      <c r="AD360" s="61">
        <f>IFERROR(SUMIFS('BM MORRO DA CRUZ - VERTICAL'!AH$6:AH$546,'BM MORRO DA CRUZ - VERTICAL'!$O$6:$O$546,'BM MORRO DA CRUZ'!$K360),0)</f>
        <v>0</v>
      </c>
      <c r="AE360" s="63">
        <f>ROUND(AD360*$P360,2)</f>
        <v>0</v>
      </c>
      <c r="AF360" s="61">
        <f>IFERROR(SUMIFS('BM MORRO DA CRUZ - VERTICAL'!AJ$6:AJ$546,'BM MORRO DA CRUZ - VERTICAL'!$O$6:$O$546,'BM MORRO DA CRUZ'!$K360),0)</f>
        <v>0</v>
      </c>
      <c r="AG360" s="63">
        <f>ROUND(AF360*$P360,2)</f>
        <v>0</v>
      </c>
      <c r="AH360" s="61">
        <f>IFERROR(SUMIFS('BM MORRO DA CRUZ - VERTICAL'!AL$6:AL$546,'BM MORRO DA CRUZ - VERTICAL'!$O$6:$O$546,'BM MORRO DA CRUZ'!$K360),0)</f>
        <v>0</v>
      </c>
      <c r="AI360" s="63">
        <f>ROUND(AH360*$P360,2)</f>
        <v>0</v>
      </c>
      <c r="AJ360" s="61">
        <f>IFERROR(SUMIFS('BM MORRO DA CRUZ - VERTICAL'!AN$6:AN$546,'BM MORRO DA CRUZ - VERTICAL'!$O$6:$O$546,'BM MORRO DA CRUZ'!$K360),0)</f>
        <v>0</v>
      </c>
      <c r="AK360" s="63">
        <f>ROUND(AJ360*$P360,2)</f>
        <v>0</v>
      </c>
      <c r="AL360" s="61">
        <f>IFERROR(SUMIFS('BM MORRO DA CRUZ - VERTICAL'!AP$6:AP$546,'BM MORRO DA CRUZ - VERTICAL'!$O$6:$O$546,'BM MORRO DA CRUZ'!$K360),0)</f>
        <v>0</v>
      </c>
      <c r="AM360" s="63">
        <f>ROUND(AL360*$P360,2)</f>
        <v>0</v>
      </c>
      <c r="AN360" s="61">
        <f>IFERROR(SUMIFS('BM MORRO DA CRUZ - VERTICAL'!AR$6:AR$546,'BM MORRO DA CRUZ - VERTICAL'!$O$6:$O$546,'BM MORRO DA CRUZ'!$K360),0)</f>
        <v>0</v>
      </c>
      <c r="AO360" s="63">
        <f>ROUND(AN360*$P360,2)</f>
        <v>0</v>
      </c>
      <c r="AP360" s="61">
        <f>IFERROR(SUMIFS('BM MORRO DA CRUZ - VERTICAL'!AT$6:AT$546,'BM MORRO DA CRUZ - VERTICAL'!$O$6:$O$546,'BM MORRO DA CRUZ'!$K360),0)</f>
        <v>0</v>
      </c>
      <c r="AQ360" s="63">
        <f>ROUND(AP360*$P360,2)</f>
        <v>0</v>
      </c>
      <c r="AR360" s="61">
        <f>IFERROR(SUMIFS('BM MORRO DA CRUZ - VERTICAL'!AV$6:AV$546,'BM MORRO DA CRUZ - VERTICAL'!$O$6:$O$546,'BM MORRO DA CRUZ'!$K360),0)</f>
        <v>0</v>
      </c>
      <c r="AS360" s="63">
        <f>ROUND(AR360*$P360,2)</f>
        <v>0</v>
      </c>
      <c r="AT360" s="61">
        <f>IFERROR(SUMIFS('BM MORRO DA CRUZ - VERTICAL'!AX$6:AX$546,'BM MORRO DA CRUZ - VERTICAL'!$O$6:$O$546,'BM MORRO DA CRUZ'!$K360),0)</f>
        <v>0</v>
      </c>
      <c r="AU360" s="63">
        <f>ROUND(AT360*$P360,2)</f>
        <v>0</v>
      </c>
      <c r="AV360" s="61">
        <f>IFERROR(SUMIFS('BM MORRO DA CRUZ - VERTICAL'!AZ$6:AZ$546,'BM MORRO DA CRUZ - VERTICAL'!$O$6:$O$546,'BM MORRO DA CRUZ'!$K360),0)</f>
        <v>0</v>
      </c>
      <c r="AW360" s="63">
        <f>ROUND(AV360*$P360,2)</f>
        <v>0</v>
      </c>
      <c r="AX360" s="61">
        <f>IFERROR(SUMIFS('BM MORRO DA CRUZ - VERTICAL'!BB$6:BB$546,'BM MORRO DA CRUZ - VERTICAL'!$O$6:$O$546,'BM MORRO DA CRUZ'!$K360),0)</f>
        <v>0</v>
      </c>
      <c r="AY360" s="63">
        <f>ROUND(AX360*$P360,2)</f>
        <v>0</v>
      </c>
      <c r="AZ360" s="61">
        <f>IFERROR(SUMIFS('BM MORRO DA CRUZ - VERTICAL'!BD$6:BD$546,'BM MORRO DA CRUZ - VERTICAL'!$O$6:$O$546,'BM MORRO DA CRUZ'!$K360),0)</f>
        <v>0</v>
      </c>
      <c r="BA360" s="63">
        <f>ROUND(AZ360*$P360,2)</f>
        <v>0</v>
      </c>
      <c r="BB360" s="61">
        <f>IFERROR(SUMIFS($R360:$BA360,$R$5:$BA$5,$BB$5),0)</f>
        <v>0</v>
      </c>
      <c r="BC360" s="63">
        <f>SUMIFS($R360:$BA360,$R$5:$BA$5,$S$5)</f>
        <v>0</v>
      </c>
      <c r="BD360" s="64">
        <f>IFERROR(BB360/O360,0)</f>
        <v>0</v>
      </c>
      <c r="BE360" s="65">
        <f>IFERROR((O360-BB360)/O360,0)</f>
        <v>1</v>
      </c>
      <c r="BF360" s="45"/>
    </row>
    <row r="361" spans="1:58" ht="26" customHeight="1" x14ac:dyDescent="0.45">
      <c r="A361" s="56" t="s">
        <v>1293</v>
      </c>
      <c r="B361" s="506" t="s">
        <v>1856</v>
      </c>
      <c r="C361" s="507" t="s">
        <v>1795</v>
      </c>
      <c r="D361" s="507" t="s">
        <v>39</v>
      </c>
      <c r="E361" s="507" t="s">
        <v>540</v>
      </c>
      <c r="F361" s="507" t="s">
        <v>39</v>
      </c>
      <c r="G361" s="507" t="s">
        <v>1795</v>
      </c>
      <c r="H361" s="508" t="s">
        <v>257</v>
      </c>
      <c r="I361" s="507" t="s">
        <v>40</v>
      </c>
      <c r="J361" s="508" t="s">
        <v>540</v>
      </c>
      <c r="K361" s="57" t="s">
        <v>1294</v>
      </c>
      <c r="L361" s="58" t="s">
        <v>846</v>
      </c>
      <c r="M361" s="59" t="s">
        <v>1295</v>
      </c>
      <c r="N361" s="60" t="s">
        <v>367</v>
      </c>
      <c r="O361" s="61">
        <v>5</v>
      </c>
      <c r="P361" s="62">
        <v>32.090000000000003</v>
      </c>
      <c r="Q361" s="63">
        <f>ROUND(P361*$O361,2)</f>
        <v>160.44999999999999</v>
      </c>
      <c r="R361" s="61">
        <f>IFERROR(SUMIFS('BM MORRO DA CRUZ - VERTICAL'!V$6:V$546,'BM MORRO DA CRUZ - VERTICAL'!$O$6:$O$546,'BM MORRO DA CRUZ'!$K361),0)</f>
        <v>0</v>
      </c>
      <c r="S361" s="63">
        <f>ROUND(R361*$P361,2)</f>
        <v>0</v>
      </c>
      <c r="T361" s="61">
        <f>IFERROR(SUMIFS('BM MORRO DA CRUZ - VERTICAL'!X$6:X$546,'BM MORRO DA CRUZ - VERTICAL'!$O$6:$O$546,'BM MORRO DA CRUZ'!$K361),0)</f>
        <v>0</v>
      </c>
      <c r="U361" s="63">
        <f>ROUND(T361*$P361,2)</f>
        <v>0</v>
      </c>
      <c r="V361" s="61">
        <f>IFERROR(SUMIFS('BM MORRO DA CRUZ - VERTICAL'!Z$6:Z$546,'BM MORRO DA CRUZ - VERTICAL'!$O$6:$O$546,'BM MORRO DA CRUZ'!$K361),0)</f>
        <v>0</v>
      </c>
      <c r="W361" s="63">
        <f>ROUND(V361*$P361,2)</f>
        <v>0</v>
      </c>
      <c r="X361" s="61">
        <f>IFERROR(SUMIFS('BM MORRO DA CRUZ - VERTICAL'!AB$6:AB$546,'BM MORRO DA CRUZ - VERTICAL'!$O$6:$O$546,'BM MORRO DA CRUZ'!$K361),0)</f>
        <v>0</v>
      </c>
      <c r="Y361" s="63">
        <f>ROUND(X361*$P361,2)</f>
        <v>0</v>
      </c>
      <c r="Z361" s="61">
        <f>IFERROR(SUMIFS('BM MORRO DA CRUZ - VERTICAL'!AD$6:AD$546,'BM MORRO DA CRUZ - VERTICAL'!$O$6:$O$546,'BM MORRO DA CRUZ'!$K361),0)</f>
        <v>0</v>
      </c>
      <c r="AA361" s="63">
        <f>ROUND(Z361*$P361,2)</f>
        <v>0</v>
      </c>
      <c r="AB361" s="61">
        <f>IFERROR(SUMIFS('BM MORRO DA CRUZ - VERTICAL'!AF$6:AF$546,'BM MORRO DA CRUZ - VERTICAL'!$O$6:$O$546,'BM MORRO DA CRUZ'!$K361),0)</f>
        <v>0</v>
      </c>
      <c r="AC361" s="63">
        <f>ROUND(AB361*$P361,2)</f>
        <v>0</v>
      </c>
      <c r="AD361" s="61">
        <f>IFERROR(SUMIFS('BM MORRO DA CRUZ - VERTICAL'!AH$6:AH$546,'BM MORRO DA CRUZ - VERTICAL'!$O$6:$O$546,'BM MORRO DA CRUZ'!$K361),0)</f>
        <v>0</v>
      </c>
      <c r="AE361" s="63">
        <f>ROUND(AD361*$P361,2)</f>
        <v>0</v>
      </c>
      <c r="AF361" s="61">
        <f>IFERROR(SUMIFS('BM MORRO DA CRUZ - VERTICAL'!AJ$6:AJ$546,'BM MORRO DA CRUZ - VERTICAL'!$O$6:$O$546,'BM MORRO DA CRUZ'!$K361),0)</f>
        <v>0</v>
      </c>
      <c r="AG361" s="63">
        <f>ROUND(AF361*$P361,2)</f>
        <v>0</v>
      </c>
      <c r="AH361" s="61">
        <f>IFERROR(SUMIFS('BM MORRO DA CRUZ - VERTICAL'!AL$6:AL$546,'BM MORRO DA CRUZ - VERTICAL'!$O$6:$O$546,'BM MORRO DA CRUZ'!$K361),0)</f>
        <v>0</v>
      </c>
      <c r="AI361" s="63">
        <f>ROUND(AH361*$P361,2)</f>
        <v>0</v>
      </c>
      <c r="AJ361" s="61">
        <f>IFERROR(SUMIFS('BM MORRO DA CRUZ - VERTICAL'!AN$6:AN$546,'BM MORRO DA CRUZ - VERTICAL'!$O$6:$O$546,'BM MORRO DA CRUZ'!$K361),0)</f>
        <v>0</v>
      </c>
      <c r="AK361" s="63">
        <f>ROUND(AJ361*$P361,2)</f>
        <v>0</v>
      </c>
      <c r="AL361" s="61">
        <f>IFERROR(SUMIFS('BM MORRO DA CRUZ - VERTICAL'!AP$6:AP$546,'BM MORRO DA CRUZ - VERTICAL'!$O$6:$O$546,'BM MORRO DA CRUZ'!$K361),0)</f>
        <v>0</v>
      </c>
      <c r="AM361" s="63">
        <f>ROUND(AL361*$P361,2)</f>
        <v>0</v>
      </c>
      <c r="AN361" s="61">
        <f>IFERROR(SUMIFS('BM MORRO DA CRUZ - VERTICAL'!AR$6:AR$546,'BM MORRO DA CRUZ - VERTICAL'!$O$6:$O$546,'BM MORRO DA CRUZ'!$K361),0)</f>
        <v>0</v>
      </c>
      <c r="AO361" s="63">
        <f>ROUND(AN361*$P361,2)</f>
        <v>0</v>
      </c>
      <c r="AP361" s="61">
        <f>IFERROR(SUMIFS('BM MORRO DA CRUZ - VERTICAL'!AT$6:AT$546,'BM MORRO DA CRUZ - VERTICAL'!$O$6:$O$546,'BM MORRO DA CRUZ'!$K361),0)</f>
        <v>0</v>
      </c>
      <c r="AQ361" s="63">
        <f>ROUND(AP361*$P361,2)</f>
        <v>0</v>
      </c>
      <c r="AR361" s="61">
        <f>IFERROR(SUMIFS('BM MORRO DA CRUZ - VERTICAL'!AV$6:AV$546,'BM MORRO DA CRUZ - VERTICAL'!$O$6:$O$546,'BM MORRO DA CRUZ'!$K361),0)</f>
        <v>0</v>
      </c>
      <c r="AS361" s="63">
        <f>ROUND(AR361*$P361,2)</f>
        <v>0</v>
      </c>
      <c r="AT361" s="61">
        <f>IFERROR(SUMIFS('BM MORRO DA CRUZ - VERTICAL'!AX$6:AX$546,'BM MORRO DA CRUZ - VERTICAL'!$O$6:$O$546,'BM MORRO DA CRUZ'!$K361),0)</f>
        <v>0</v>
      </c>
      <c r="AU361" s="63">
        <f>ROUND(AT361*$P361,2)</f>
        <v>0</v>
      </c>
      <c r="AV361" s="61">
        <f>IFERROR(SUMIFS('BM MORRO DA CRUZ - VERTICAL'!AZ$6:AZ$546,'BM MORRO DA CRUZ - VERTICAL'!$O$6:$O$546,'BM MORRO DA CRUZ'!$K361),0)</f>
        <v>0</v>
      </c>
      <c r="AW361" s="63">
        <f>ROUND(AV361*$P361,2)</f>
        <v>0</v>
      </c>
      <c r="AX361" s="61">
        <f>IFERROR(SUMIFS('BM MORRO DA CRUZ - VERTICAL'!BB$6:BB$546,'BM MORRO DA CRUZ - VERTICAL'!$O$6:$O$546,'BM MORRO DA CRUZ'!$K361),0)</f>
        <v>0</v>
      </c>
      <c r="AY361" s="63">
        <f>ROUND(AX361*$P361,2)</f>
        <v>0</v>
      </c>
      <c r="AZ361" s="61">
        <f>IFERROR(SUMIFS('BM MORRO DA CRUZ - VERTICAL'!BD$6:BD$546,'BM MORRO DA CRUZ - VERTICAL'!$O$6:$O$546,'BM MORRO DA CRUZ'!$K361),0)</f>
        <v>0</v>
      </c>
      <c r="BA361" s="63">
        <f>ROUND(AZ361*$P361,2)</f>
        <v>0</v>
      </c>
      <c r="BB361" s="61">
        <f>IFERROR(SUMIFS($R361:$BA361,$R$5:$BA$5,$BB$5),0)</f>
        <v>0</v>
      </c>
      <c r="BC361" s="63">
        <f>SUMIFS($R361:$BA361,$R$5:$BA$5,$S$5)</f>
        <v>0</v>
      </c>
      <c r="BD361" s="64">
        <f>IFERROR(BB361/O361,0)</f>
        <v>0</v>
      </c>
      <c r="BE361" s="65">
        <f>IFERROR((O361-BB361)/O361,0)</f>
        <v>1</v>
      </c>
      <c r="BF361" s="45"/>
    </row>
    <row r="362" spans="1:58" ht="19.5" customHeight="1" x14ac:dyDescent="0.45">
      <c r="A362" s="46" t="s">
        <v>1296</v>
      </c>
      <c r="B362" s="503"/>
      <c r="C362" s="504"/>
      <c r="D362" s="504"/>
      <c r="E362" s="504"/>
      <c r="F362" s="504"/>
      <c r="G362" s="504"/>
      <c r="H362" s="505" t="s">
        <v>1718</v>
      </c>
      <c r="I362" s="504"/>
      <c r="J362" s="505" t="s">
        <v>1718</v>
      </c>
      <c r="K362" s="47" t="s">
        <v>1297</v>
      </c>
      <c r="L362" s="48"/>
      <c r="M362" s="49" t="s">
        <v>1298</v>
      </c>
      <c r="N362" s="50"/>
      <c r="O362" s="51"/>
      <c r="P362" s="52"/>
      <c r="Q362" s="53">
        <f>SUM(Q363:Q368)</f>
        <v>185498.74</v>
      </c>
      <c r="R362" s="51"/>
      <c r="S362" s="53">
        <f>SUM(S363:S368)</f>
        <v>0</v>
      </c>
      <c r="T362" s="51"/>
      <c r="U362" s="53">
        <f>SUM(U363:U368)</f>
        <v>0</v>
      </c>
      <c r="V362" s="51"/>
      <c r="W362" s="53">
        <f>SUM(W363:W368)</f>
        <v>0</v>
      </c>
      <c r="X362" s="51"/>
      <c r="Y362" s="53">
        <f>SUM(Y363:Y368)</f>
        <v>0</v>
      </c>
      <c r="Z362" s="51"/>
      <c r="AA362" s="53">
        <f>SUM(AA363:AA368)</f>
        <v>0</v>
      </c>
      <c r="AB362" s="51"/>
      <c r="AC362" s="53">
        <f>SUM(AC363:AC368)</f>
        <v>0</v>
      </c>
      <c r="AD362" s="51"/>
      <c r="AE362" s="53">
        <f>SUM(AE363:AE368)</f>
        <v>0</v>
      </c>
      <c r="AF362" s="51"/>
      <c r="AG362" s="53">
        <f>SUM(AG363:AG368)</f>
        <v>0</v>
      </c>
      <c r="AH362" s="51"/>
      <c r="AI362" s="53">
        <f>SUM(AI363:AI368)</f>
        <v>0</v>
      </c>
      <c r="AJ362" s="51"/>
      <c r="AK362" s="53">
        <f>SUM(AK363:AK368)</f>
        <v>0</v>
      </c>
      <c r="AL362" s="51"/>
      <c r="AM362" s="53">
        <f>SUM(AM363:AM368)</f>
        <v>0</v>
      </c>
      <c r="AN362" s="51"/>
      <c r="AO362" s="53">
        <f>SUM(AO363:AO368)</f>
        <v>0</v>
      </c>
      <c r="AP362" s="51"/>
      <c r="AQ362" s="53">
        <f>SUM(AQ363:AQ368)</f>
        <v>0</v>
      </c>
      <c r="AR362" s="51"/>
      <c r="AS362" s="53">
        <f>SUM(AS363:AS368)</f>
        <v>0</v>
      </c>
      <c r="AT362" s="51"/>
      <c r="AU362" s="53">
        <f>SUM(AU363:AU368)</f>
        <v>0</v>
      </c>
      <c r="AV362" s="51"/>
      <c r="AW362" s="53">
        <f>SUM(AW363:AW368)</f>
        <v>0</v>
      </c>
      <c r="AX362" s="51"/>
      <c r="AY362" s="53">
        <f>SUM(AY363:AY368)</f>
        <v>0</v>
      </c>
      <c r="AZ362" s="51"/>
      <c r="BA362" s="53">
        <f>SUM(BA363:BA368)</f>
        <v>0</v>
      </c>
      <c r="BB362" s="51"/>
      <c r="BC362" s="53">
        <f>SUM(BC363:BC368)</f>
        <v>0</v>
      </c>
      <c r="BD362" s="54"/>
      <c r="BE362" s="55"/>
      <c r="BF362" s="45"/>
    </row>
    <row r="363" spans="1:58" ht="26" customHeight="1" x14ac:dyDescent="0.45">
      <c r="A363" s="56" t="s">
        <v>1299</v>
      </c>
      <c r="B363" s="506" t="s">
        <v>1301</v>
      </c>
      <c r="C363" s="507" t="s">
        <v>39</v>
      </c>
      <c r="D363" s="507" t="s">
        <v>39</v>
      </c>
      <c r="E363" s="507" t="s">
        <v>1832</v>
      </c>
      <c r="F363" s="507" t="s">
        <v>39</v>
      </c>
      <c r="G363" s="507" t="s">
        <v>39</v>
      </c>
      <c r="H363" s="508" t="s">
        <v>39</v>
      </c>
      <c r="I363" s="507" t="s">
        <v>1742</v>
      </c>
      <c r="J363" s="508" t="s">
        <v>1298</v>
      </c>
      <c r="K363" s="57" t="s">
        <v>1300</v>
      </c>
      <c r="L363" s="58" t="s">
        <v>846</v>
      </c>
      <c r="M363" s="59" t="s">
        <v>1301</v>
      </c>
      <c r="N363" s="60" t="s">
        <v>755</v>
      </c>
      <c r="O363" s="61">
        <v>45165.2</v>
      </c>
      <c r="P363" s="62">
        <v>1.86</v>
      </c>
      <c r="Q363" s="63">
        <f t="shared" ref="Q363:Q368" si="345">ROUND(P363*$O363,2)</f>
        <v>84007.27</v>
      </c>
      <c r="R363" s="61">
        <f>IFERROR(SUMIFS('BM MORRO DA CRUZ - VERTICAL'!V$6:V$546,'BM MORRO DA CRUZ - VERTICAL'!$O$6:$O$546,'BM MORRO DA CRUZ'!$K363),0)</f>
        <v>0</v>
      </c>
      <c r="S363" s="63">
        <f t="shared" ref="S363:S368" si="346">ROUND(R363*$P363,2)</f>
        <v>0</v>
      </c>
      <c r="T363" s="61">
        <f>IFERROR(SUMIFS('BM MORRO DA CRUZ - VERTICAL'!X$6:X$546,'BM MORRO DA CRUZ - VERTICAL'!$O$6:$O$546,'BM MORRO DA CRUZ'!$K363),0)</f>
        <v>0</v>
      </c>
      <c r="U363" s="63">
        <f t="shared" ref="U363:U368" si="347">ROUND(T363*$P363,2)</f>
        <v>0</v>
      </c>
      <c r="V363" s="61">
        <f>IFERROR(SUMIFS('BM MORRO DA CRUZ - VERTICAL'!Z$6:Z$546,'BM MORRO DA CRUZ - VERTICAL'!$O$6:$O$546,'BM MORRO DA CRUZ'!$K363),0)</f>
        <v>0</v>
      </c>
      <c r="W363" s="63">
        <f t="shared" ref="W363:W368" si="348">ROUND(V363*$P363,2)</f>
        <v>0</v>
      </c>
      <c r="X363" s="61">
        <f>IFERROR(SUMIFS('BM MORRO DA CRUZ - VERTICAL'!AB$6:AB$546,'BM MORRO DA CRUZ - VERTICAL'!$O$6:$O$546,'BM MORRO DA CRUZ'!$K363),0)</f>
        <v>0</v>
      </c>
      <c r="Y363" s="63">
        <f t="shared" ref="Y363:Y368" si="349">ROUND(X363*$P363,2)</f>
        <v>0</v>
      </c>
      <c r="Z363" s="61">
        <f>IFERROR(SUMIFS('BM MORRO DA CRUZ - VERTICAL'!AD$6:AD$546,'BM MORRO DA CRUZ - VERTICAL'!$O$6:$O$546,'BM MORRO DA CRUZ'!$K363),0)</f>
        <v>0</v>
      </c>
      <c r="AA363" s="63">
        <f t="shared" ref="AA363:AA368" si="350">ROUND(Z363*$P363,2)</f>
        <v>0</v>
      </c>
      <c r="AB363" s="61">
        <f>IFERROR(SUMIFS('BM MORRO DA CRUZ - VERTICAL'!AF$6:AF$546,'BM MORRO DA CRUZ - VERTICAL'!$O$6:$O$546,'BM MORRO DA CRUZ'!$K363),0)</f>
        <v>0</v>
      </c>
      <c r="AC363" s="63">
        <f t="shared" ref="AC363:AC368" si="351">ROUND(AB363*$P363,2)</f>
        <v>0</v>
      </c>
      <c r="AD363" s="61">
        <f>IFERROR(SUMIFS('BM MORRO DA CRUZ - VERTICAL'!AH$6:AH$546,'BM MORRO DA CRUZ - VERTICAL'!$O$6:$O$546,'BM MORRO DA CRUZ'!$K363),0)</f>
        <v>0</v>
      </c>
      <c r="AE363" s="63">
        <f t="shared" ref="AE363:AE368" si="352">ROUND(AD363*$P363,2)</f>
        <v>0</v>
      </c>
      <c r="AF363" s="61">
        <f>IFERROR(SUMIFS('BM MORRO DA CRUZ - VERTICAL'!AJ$6:AJ$546,'BM MORRO DA CRUZ - VERTICAL'!$O$6:$O$546,'BM MORRO DA CRUZ'!$K363),0)</f>
        <v>0</v>
      </c>
      <c r="AG363" s="63">
        <f t="shared" ref="AG363:AG368" si="353">ROUND(AF363*$P363,2)</f>
        <v>0</v>
      </c>
      <c r="AH363" s="61">
        <f>IFERROR(SUMIFS('BM MORRO DA CRUZ - VERTICAL'!AL$6:AL$546,'BM MORRO DA CRUZ - VERTICAL'!$O$6:$O$546,'BM MORRO DA CRUZ'!$K363),0)</f>
        <v>0</v>
      </c>
      <c r="AI363" s="63">
        <f t="shared" ref="AI363:AI368" si="354">ROUND(AH363*$P363,2)</f>
        <v>0</v>
      </c>
      <c r="AJ363" s="61">
        <f>IFERROR(SUMIFS('BM MORRO DA CRUZ - VERTICAL'!AN$6:AN$546,'BM MORRO DA CRUZ - VERTICAL'!$O$6:$O$546,'BM MORRO DA CRUZ'!$K363),0)</f>
        <v>0</v>
      </c>
      <c r="AK363" s="63">
        <f t="shared" ref="AK363:AK368" si="355">ROUND(AJ363*$P363,2)</f>
        <v>0</v>
      </c>
      <c r="AL363" s="61">
        <f>IFERROR(SUMIFS('BM MORRO DA CRUZ - VERTICAL'!AP$6:AP$546,'BM MORRO DA CRUZ - VERTICAL'!$O$6:$O$546,'BM MORRO DA CRUZ'!$K363),0)</f>
        <v>0</v>
      </c>
      <c r="AM363" s="63">
        <f t="shared" ref="AM363:AM368" si="356">ROUND(AL363*$P363,2)</f>
        <v>0</v>
      </c>
      <c r="AN363" s="61">
        <f>IFERROR(SUMIFS('BM MORRO DA CRUZ - VERTICAL'!AR$6:AR$546,'BM MORRO DA CRUZ - VERTICAL'!$O$6:$O$546,'BM MORRO DA CRUZ'!$K363),0)</f>
        <v>0</v>
      </c>
      <c r="AO363" s="63">
        <f t="shared" ref="AO363:AO368" si="357">ROUND(AN363*$P363,2)</f>
        <v>0</v>
      </c>
      <c r="AP363" s="61">
        <f>IFERROR(SUMIFS('BM MORRO DA CRUZ - VERTICAL'!AT$6:AT$546,'BM MORRO DA CRUZ - VERTICAL'!$O$6:$O$546,'BM MORRO DA CRUZ'!$K363),0)</f>
        <v>0</v>
      </c>
      <c r="AQ363" s="63">
        <f t="shared" ref="AQ363:AQ368" si="358">ROUND(AP363*$P363,2)</f>
        <v>0</v>
      </c>
      <c r="AR363" s="61">
        <f>IFERROR(SUMIFS('BM MORRO DA CRUZ - VERTICAL'!AV$6:AV$546,'BM MORRO DA CRUZ - VERTICAL'!$O$6:$O$546,'BM MORRO DA CRUZ'!$K363),0)</f>
        <v>0</v>
      </c>
      <c r="AS363" s="63">
        <f t="shared" ref="AS363:AS368" si="359">ROUND(AR363*$P363,2)</f>
        <v>0</v>
      </c>
      <c r="AT363" s="61">
        <f>IFERROR(SUMIFS('BM MORRO DA CRUZ - VERTICAL'!AX$6:AX$546,'BM MORRO DA CRUZ - VERTICAL'!$O$6:$O$546,'BM MORRO DA CRUZ'!$K363),0)</f>
        <v>0</v>
      </c>
      <c r="AU363" s="63">
        <f t="shared" ref="AU363:AU368" si="360">ROUND(AT363*$P363,2)</f>
        <v>0</v>
      </c>
      <c r="AV363" s="61">
        <f>IFERROR(SUMIFS('BM MORRO DA CRUZ - VERTICAL'!AZ$6:AZ$546,'BM MORRO DA CRUZ - VERTICAL'!$O$6:$O$546,'BM MORRO DA CRUZ'!$K363),0)</f>
        <v>0</v>
      </c>
      <c r="AW363" s="63">
        <f t="shared" ref="AW363:AW368" si="361">ROUND(AV363*$P363,2)</f>
        <v>0</v>
      </c>
      <c r="AX363" s="61">
        <f>IFERROR(SUMIFS('BM MORRO DA CRUZ - VERTICAL'!BB$6:BB$546,'BM MORRO DA CRUZ - VERTICAL'!$O$6:$O$546,'BM MORRO DA CRUZ'!$K363),0)</f>
        <v>0</v>
      </c>
      <c r="AY363" s="63">
        <f t="shared" ref="AY363:AY368" si="362">ROUND(AX363*$P363,2)</f>
        <v>0</v>
      </c>
      <c r="AZ363" s="61">
        <f>IFERROR(SUMIFS('BM MORRO DA CRUZ - VERTICAL'!BD$6:BD$546,'BM MORRO DA CRUZ - VERTICAL'!$O$6:$O$546,'BM MORRO DA CRUZ'!$K363),0)</f>
        <v>0</v>
      </c>
      <c r="BA363" s="63">
        <f t="shared" ref="BA363:BA368" si="363">ROUND(AZ363*$P363,2)</f>
        <v>0</v>
      </c>
      <c r="BB363" s="61">
        <f t="shared" ref="BB363:BB368" si="364">IFERROR(SUMIFS($R363:$BA363,$R$5:$BA$5,$BB$5),0)</f>
        <v>0</v>
      </c>
      <c r="BC363" s="63">
        <f t="shared" ref="BC363:BC368" si="365">SUMIFS($R363:$BA363,$R$5:$BA$5,$S$5)</f>
        <v>0</v>
      </c>
      <c r="BD363" s="64">
        <f t="shared" ref="BD363:BD368" si="366">IFERROR(BB363/O363,0)</f>
        <v>0</v>
      </c>
      <c r="BE363" s="65">
        <f t="shared" ref="BE363:BE368" si="367">IFERROR((O363-BB363)/O363,0)</f>
        <v>1</v>
      </c>
      <c r="BF363" s="45"/>
    </row>
    <row r="364" spans="1:58" ht="47.25" x14ac:dyDescent="0.45">
      <c r="A364" s="56" t="s">
        <v>1302</v>
      </c>
      <c r="B364" s="506" t="s">
        <v>1857</v>
      </c>
      <c r="C364" s="507" t="s">
        <v>39</v>
      </c>
      <c r="D364" s="507" t="s">
        <v>39</v>
      </c>
      <c r="E364" s="507" t="s">
        <v>78</v>
      </c>
      <c r="F364" s="507" t="s">
        <v>39</v>
      </c>
      <c r="G364" s="507" t="s">
        <v>39</v>
      </c>
      <c r="H364" s="508" t="s">
        <v>78</v>
      </c>
      <c r="I364" s="507" t="s">
        <v>40</v>
      </c>
      <c r="J364" s="508" t="s">
        <v>78</v>
      </c>
      <c r="K364" s="57" t="s">
        <v>1303</v>
      </c>
      <c r="L364" s="58" t="s">
        <v>846</v>
      </c>
      <c r="M364" s="59" t="s">
        <v>1304</v>
      </c>
      <c r="N364" s="60" t="s">
        <v>71</v>
      </c>
      <c r="O364" s="61">
        <v>1</v>
      </c>
      <c r="P364" s="62">
        <v>875.22</v>
      </c>
      <c r="Q364" s="63">
        <f t="shared" si="345"/>
        <v>875.22</v>
      </c>
      <c r="R364" s="61">
        <f>IFERROR(SUMIFS('BM MORRO DA CRUZ - VERTICAL'!V$6:V$546,'BM MORRO DA CRUZ - VERTICAL'!$O$6:$O$546,'BM MORRO DA CRUZ'!$K364),0)</f>
        <v>0</v>
      </c>
      <c r="S364" s="63">
        <f t="shared" si="346"/>
        <v>0</v>
      </c>
      <c r="T364" s="61">
        <f>IFERROR(SUMIFS('BM MORRO DA CRUZ - VERTICAL'!X$6:X$546,'BM MORRO DA CRUZ - VERTICAL'!$O$6:$O$546,'BM MORRO DA CRUZ'!$K364),0)</f>
        <v>0</v>
      </c>
      <c r="U364" s="63">
        <f t="shared" si="347"/>
        <v>0</v>
      </c>
      <c r="V364" s="61">
        <f>IFERROR(SUMIFS('BM MORRO DA CRUZ - VERTICAL'!Z$6:Z$546,'BM MORRO DA CRUZ - VERTICAL'!$O$6:$O$546,'BM MORRO DA CRUZ'!$K364),0)</f>
        <v>0</v>
      </c>
      <c r="W364" s="63">
        <f t="shared" si="348"/>
        <v>0</v>
      </c>
      <c r="X364" s="61">
        <f>IFERROR(SUMIFS('BM MORRO DA CRUZ - VERTICAL'!AB$6:AB$546,'BM MORRO DA CRUZ - VERTICAL'!$O$6:$O$546,'BM MORRO DA CRUZ'!$K364),0)</f>
        <v>0</v>
      </c>
      <c r="Y364" s="63">
        <f t="shared" si="349"/>
        <v>0</v>
      </c>
      <c r="Z364" s="61">
        <f>IFERROR(SUMIFS('BM MORRO DA CRUZ - VERTICAL'!AD$6:AD$546,'BM MORRO DA CRUZ - VERTICAL'!$O$6:$O$546,'BM MORRO DA CRUZ'!$K364),0)</f>
        <v>0</v>
      </c>
      <c r="AA364" s="63">
        <f t="shared" si="350"/>
        <v>0</v>
      </c>
      <c r="AB364" s="61">
        <f>IFERROR(SUMIFS('BM MORRO DA CRUZ - VERTICAL'!AF$6:AF$546,'BM MORRO DA CRUZ - VERTICAL'!$O$6:$O$546,'BM MORRO DA CRUZ'!$K364),0)</f>
        <v>0</v>
      </c>
      <c r="AC364" s="63">
        <f t="shared" si="351"/>
        <v>0</v>
      </c>
      <c r="AD364" s="61">
        <f>IFERROR(SUMIFS('BM MORRO DA CRUZ - VERTICAL'!AH$6:AH$546,'BM MORRO DA CRUZ - VERTICAL'!$O$6:$O$546,'BM MORRO DA CRUZ'!$K364),0)</f>
        <v>0</v>
      </c>
      <c r="AE364" s="63">
        <f t="shared" si="352"/>
        <v>0</v>
      </c>
      <c r="AF364" s="61">
        <f>IFERROR(SUMIFS('BM MORRO DA CRUZ - VERTICAL'!AJ$6:AJ$546,'BM MORRO DA CRUZ - VERTICAL'!$O$6:$O$546,'BM MORRO DA CRUZ'!$K364),0)</f>
        <v>0</v>
      </c>
      <c r="AG364" s="63">
        <f t="shared" si="353"/>
        <v>0</v>
      </c>
      <c r="AH364" s="61">
        <f>IFERROR(SUMIFS('BM MORRO DA CRUZ - VERTICAL'!AL$6:AL$546,'BM MORRO DA CRUZ - VERTICAL'!$O$6:$O$546,'BM MORRO DA CRUZ'!$K364),0)</f>
        <v>0</v>
      </c>
      <c r="AI364" s="63">
        <f t="shared" si="354"/>
        <v>0</v>
      </c>
      <c r="AJ364" s="61">
        <f>IFERROR(SUMIFS('BM MORRO DA CRUZ - VERTICAL'!AN$6:AN$546,'BM MORRO DA CRUZ - VERTICAL'!$O$6:$O$546,'BM MORRO DA CRUZ'!$K364),0)</f>
        <v>0</v>
      </c>
      <c r="AK364" s="63">
        <f t="shared" si="355"/>
        <v>0</v>
      </c>
      <c r="AL364" s="61">
        <f>IFERROR(SUMIFS('BM MORRO DA CRUZ - VERTICAL'!AP$6:AP$546,'BM MORRO DA CRUZ - VERTICAL'!$O$6:$O$546,'BM MORRO DA CRUZ'!$K364),0)</f>
        <v>0</v>
      </c>
      <c r="AM364" s="63">
        <f t="shared" si="356"/>
        <v>0</v>
      </c>
      <c r="AN364" s="61">
        <f>IFERROR(SUMIFS('BM MORRO DA CRUZ - VERTICAL'!AR$6:AR$546,'BM MORRO DA CRUZ - VERTICAL'!$O$6:$O$546,'BM MORRO DA CRUZ'!$K364),0)</f>
        <v>0</v>
      </c>
      <c r="AO364" s="63">
        <f t="shared" si="357"/>
        <v>0</v>
      </c>
      <c r="AP364" s="61">
        <f>IFERROR(SUMIFS('BM MORRO DA CRUZ - VERTICAL'!AT$6:AT$546,'BM MORRO DA CRUZ - VERTICAL'!$O$6:$O$546,'BM MORRO DA CRUZ'!$K364),0)</f>
        <v>0</v>
      </c>
      <c r="AQ364" s="63">
        <f t="shared" si="358"/>
        <v>0</v>
      </c>
      <c r="AR364" s="61">
        <f>IFERROR(SUMIFS('BM MORRO DA CRUZ - VERTICAL'!AV$6:AV$546,'BM MORRO DA CRUZ - VERTICAL'!$O$6:$O$546,'BM MORRO DA CRUZ'!$K364),0)</f>
        <v>0</v>
      </c>
      <c r="AS364" s="63">
        <f t="shared" si="359"/>
        <v>0</v>
      </c>
      <c r="AT364" s="61">
        <f>IFERROR(SUMIFS('BM MORRO DA CRUZ - VERTICAL'!AX$6:AX$546,'BM MORRO DA CRUZ - VERTICAL'!$O$6:$O$546,'BM MORRO DA CRUZ'!$K364),0)</f>
        <v>0</v>
      </c>
      <c r="AU364" s="63">
        <f t="shared" si="360"/>
        <v>0</v>
      </c>
      <c r="AV364" s="61">
        <f>IFERROR(SUMIFS('BM MORRO DA CRUZ - VERTICAL'!AZ$6:AZ$546,'BM MORRO DA CRUZ - VERTICAL'!$O$6:$O$546,'BM MORRO DA CRUZ'!$K364),0)</f>
        <v>0</v>
      </c>
      <c r="AW364" s="63">
        <f t="shared" si="361"/>
        <v>0</v>
      </c>
      <c r="AX364" s="61">
        <f>IFERROR(SUMIFS('BM MORRO DA CRUZ - VERTICAL'!BB$6:BB$546,'BM MORRO DA CRUZ - VERTICAL'!$O$6:$O$546,'BM MORRO DA CRUZ'!$K364),0)</f>
        <v>0</v>
      </c>
      <c r="AY364" s="63">
        <f t="shared" si="362"/>
        <v>0</v>
      </c>
      <c r="AZ364" s="61">
        <f>IFERROR(SUMIFS('BM MORRO DA CRUZ - VERTICAL'!BD$6:BD$546,'BM MORRO DA CRUZ - VERTICAL'!$O$6:$O$546,'BM MORRO DA CRUZ'!$K364),0)</f>
        <v>0</v>
      </c>
      <c r="BA364" s="63">
        <f t="shared" si="363"/>
        <v>0</v>
      </c>
      <c r="BB364" s="61">
        <f t="shared" si="364"/>
        <v>0</v>
      </c>
      <c r="BC364" s="63">
        <f t="shared" si="365"/>
        <v>0</v>
      </c>
      <c r="BD364" s="64">
        <f t="shared" si="366"/>
        <v>0</v>
      </c>
      <c r="BE364" s="65">
        <f t="shared" si="367"/>
        <v>1</v>
      </c>
      <c r="BF364" s="45"/>
    </row>
    <row r="365" spans="1:58" ht="26" customHeight="1" x14ac:dyDescent="0.45">
      <c r="A365" s="56" t="s">
        <v>1305</v>
      </c>
      <c r="B365" s="506" t="s">
        <v>1858</v>
      </c>
      <c r="C365" s="507" t="s">
        <v>39</v>
      </c>
      <c r="D365" s="507" t="s">
        <v>39</v>
      </c>
      <c r="E365" s="507" t="s">
        <v>540</v>
      </c>
      <c r="F365" s="507" t="s">
        <v>39</v>
      </c>
      <c r="G365" s="507" t="s">
        <v>1795</v>
      </c>
      <c r="H365" s="508" t="s">
        <v>39</v>
      </c>
      <c r="I365" s="507" t="s">
        <v>40</v>
      </c>
      <c r="J365" s="508" t="s">
        <v>540</v>
      </c>
      <c r="K365" s="57" t="s">
        <v>1306</v>
      </c>
      <c r="L365" s="58" t="s">
        <v>846</v>
      </c>
      <c r="M365" s="59" t="s">
        <v>1307</v>
      </c>
      <c r="N365" s="60" t="s">
        <v>792</v>
      </c>
      <c r="O365" s="61">
        <v>10</v>
      </c>
      <c r="P365" s="62">
        <v>771.04</v>
      </c>
      <c r="Q365" s="63">
        <f t="shared" si="345"/>
        <v>7710.4</v>
      </c>
      <c r="R365" s="61">
        <f>IFERROR(SUMIFS('BM MORRO DA CRUZ - VERTICAL'!V$6:V$546,'BM MORRO DA CRUZ - VERTICAL'!$O$6:$O$546,'BM MORRO DA CRUZ'!$K365),0)</f>
        <v>0</v>
      </c>
      <c r="S365" s="63">
        <f t="shared" si="346"/>
        <v>0</v>
      </c>
      <c r="T365" s="61">
        <f>IFERROR(SUMIFS('BM MORRO DA CRUZ - VERTICAL'!X$6:X$546,'BM MORRO DA CRUZ - VERTICAL'!$O$6:$O$546,'BM MORRO DA CRUZ'!$K365),0)</f>
        <v>0</v>
      </c>
      <c r="U365" s="63">
        <f t="shared" si="347"/>
        <v>0</v>
      </c>
      <c r="V365" s="61">
        <f>IFERROR(SUMIFS('BM MORRO DA CRUZ - VERTICAL'!Z$6:Z$546,'BM MORRO DA CRUZ - VERTICAL'!$O$6:$O$546,'BM MORRO DA CRUZ'!$K365),0)</f>
        <v>0</v>
      </c>
      <c r="W365" s="63">
        <f t="shared" si="348"/>
        <v>0</v>
      </c>
      <c r="X365" s="61">
        <f>IFERROR(SUMIFS('BM MORRO DA CRUZ - VERTICAL'!AB$6:AB$546,'BM MORRO DA CRUZ - VERTICAL'!$O$6:$O$546,'BM MORRO DA CRUZ'!$K365),0)</f>
        <v>0</v>
      </c>
      <c r="Y365" s="63">
        <f t="shared" si="349"/>
        <v>0</v>
      </c>
      <c r="Z365" s="61">
        <f>IFERROR(SUMIFS('BM MORRO DA CRUZ - VERTICAL'!AD$6:AD$546,'BM MORRO DA CRUZ - VERTICAL'!$O$6:$O$546,'BM MORRO DA CRUZ'!$K365),0)</f>
        <v>0</v>
      </c>
      <c r="AA365" s="63">
        <f t="shared" si="350"/>
        <v>0</v>
      </c>
      <c r="AB365" s="61">
        <f>IFERROR(SUMIFS('BM MORRO DA CRUZ - VERTICAL'!AF$6:AF$546,'BM MORRO DA CRUZ - VERTICAL'!$O$6:$O$546,'BM MORRO DA CRUZ'!$K365),0)</f>
        <v>0</v>
      </c>
      <c r="AC365" s="63">
        <f t="shared" si="351"/>
        <v>0</v>
      </c>
      <c r="AD365" s="61">
        <f>IFERROR(SUMIFS('BM MORRO DA CRUZ - VERTICAL'!AH$6:AH$546,'BM MORRO DA CRUZ - VERTICAL'!$O$6:$O$546,'BM MORRO DA CRUZ'!$K365),0)</f>
        <v>0</v>
      </c>
      <c r="AE365" s="63">
        <f t="shared" si="352"/>
        <v>0</v>
      </c>
      <c r="AF365" s="61">
        <f>IFERROR(SUMIFS('BM MORRO DA CRUZ - VERTICAL'!AJ$6:AJ$546,'BM MORRO DA CRUZ - VERTICAL'!$O$6:$O$546,'BM MORRO DA CRUZ'!$K365),0)</f>
        <v>0</v>
      </c>
      <c r="AG365" s="63">
        <f t="shared" si="353"/>
        <v>0</v>
      </c>
      <c r="AH365" s="61">
        <f>IFERROR(SUMIFS('BM MORRO DA CRUZ - VERTICAL'!AL$6:AL$546,'BM MORRO DA CRUZ - VERTICAL'!$O$6:$O$546,'BM MORRO DA CRUZ'!$K365),0)</f>
        <v>0</v>
      </c>
      <c r="AI365" s="63">
        <f t="shared" si="354"/>
        <v>0</v>
      </c>
      <c r="AJ365" s="61">
        <f>IFERROR(SUMIFS('BM MORRO DA CRUZ - VERTICAL'!AN$6:AN$546,'BM MORRO DA CRUZ - VERTICAL'!$O$6:$O$546,'BM MORRO DA CRUZ'!$K365),0)</f>
        <v>0</v>
      </c>
      <c r="AK365" s="63">
        <f t="shared" si="355"/>
        <v>0</v>
      </c>
      <c r="AL365" s="61">
        <f>IFERROR(SUMIFS('BM MORRO DA CRUZ - VERTICAL'!AP$6:AP$546,'BM MORRO DA CRUZ - VERTICAL'!$O$6:$O$546,'BM MORRO DA CRUZ'!$K365),0)</f>
        <v>0</v>
      </c>
      <c r="AM365" s="63">
        <f t="shared" si="356"/>
        <v>0</v>
      </c>
      <c r="AN365" s="61">
        <f>IFERROR(SUMIFS('BM MORRO DA CRUZ - VERTICAL'!AR$6:AR$546,'BM MORRO DA CRUZ - VERTICAL'!$O$6:$O$546,'BM MORRO DA CRUZ'!$K365),0)</f>
        <v>0</v>
      </c>
      <c r="AO365" s="63">
        <f t="shared" si="357"/>
        <v>0</v>
      </c>
      <c r="AP365" s="61">
        <f>IFERROR(SUMIFS('BM MORRO DA CRUZ - VERTICAL'!AT$6:AT$546,'BM MORRO DA CRUZ - VERTICAL'!$O$6:$O$546,'BM MORRO DA CRUZ'!$K365),0)</f>
        <v>0</v>
      </c>
      <c r="AQ365" s="63">
        <f t="shared" si="358"/>
        <v>0</v>
      </c>
      <c r="AR365" s="61">
        <f>IFERROR(SUMIFS('BM MORRO DA CRUZ - VERTICAL'!AV$6:AV$546,'BM MORRO DA CRUZ - VERTICAL'!$O$6:$O$546,'BM MORRO DA CRUZ'!$K365),0)</f>
        <v>0</v>
      </c>
      <c r="AS365" s="63">
        <f t="shared" si="359"/>
        <v>0</v>
      </c>
      <c r="AT365" s="61">
        <f>IFERROR(SUMIFS('BM MORRO DA CRUZ - VERTICAL'!AX$6:AX$546,'BM MORRO DA CRUZ - VERTICAL'!$O$6:$O$546,'BM MORRO DA CRUZ'!$K365),0)</f>
        <v>0</v>
      </c>
      <c r="AU365" s="63">
        <f t="shared" si="360"/>
        <v>0</v>
      </c>
      <c r="AV365" s="61">
        <f>IFERROR(SUMIFS('BM MORRO DA CRUZ - VERTICAL'!AZ$6:AZ$546,'BM MORRO DA CRUZ - VERTICAL'!$O$6:$O$546,'BM MORRO DA CRUZ'!$K365),0)</f>
        <v>0</v>
      </c>
      <c r="AW365" s="63">
        <f t="shared" si="361"/>
        <v>0</v>
      </c>
      <c r="AX365" s="61">
        <f>IFERROR(SUMIFS('BM MORRO DA CRUZ - VERTICAL'!BB$6:BB$546,'BM MORRO DA CRUZ - VERTICAL'!$O$6:$O$546,'BM MORRO DA CRUZ'!$K365),0)</f>
        <v>0</v>
      </c>
      <c r="AY365" s="63">
        <f t="shared" si="362"/>
        <v>0</v>
      </c>
      <c r="AZ365" s="61">
        <f>IFERROR(SUMIFS('BM MORRO DA CRUZ - VERTICAL'!BD$6:BD$546,'BM MORRO DA CRUZ - VERTICAL'!$O$6:$O$546,'BM MORRO DA CRUZ'!$K365),0)</f>
        <v>0</v>
      </c>
      <c r="BA365" s="63">
        <f t="shared" si="363"/>
        <v>0</v>
      </c>
      <c r="BB365" s="61">
        <f t="shared" si="364"/>
        <v>0</v>
      </c>
      <c r="BC365" s="63">
        <f t="shared" si="365"/>
        <v>0</v>
      </c>
      <c r="BD365" s="64">
        <f t="shared" si="366"/>
        <v>0</v>
      </c>
      <c r="BE365" s="65">
        <f t="shared" si="367"/>
        <v>1</v>
      </c>
      <c r="BF365" s="45"/>
    </row>
    <row r="366" spans="1:58" ht="26" customHeight="1" x14ac:dyDescent="0.45">
      <c r="A366" s="56" t="s">
        <v>1308</v>
      </c>
      <c r="B366" s="506" t="s">
        <v>1859</v>
      </c>
      <c r="C366" s="507" t="s">
        <v>39</v>
      </c>
      <c r="D366" s="507" t="s">
        <v>39</v>
      </c>
      <c r="E366" s="507" t="s">
        <v>787</v>
      </c>
      <c r="F366" s="507" t="s">
        <v>39</v>
      </c>
      <c r="G366" s="507" t="s">
        <v>39</v>
      </c>
      <c r="H366" s="508" t="s">
        <v>783</v>
      </c>
      <c r="I366" s="507" t="s">
        <v>40</v>
      </c>
      <c r="J366" s="508" t="s">
        <v>1726</v>
      </c>
      <c r="K366" s="57" t="s">
        <v>1309</v>
      </c>
      <c r="L366" s="58" t="s">
        <v>846</v>
      </c>
      <c r="M366" s="59" t="s">
        <v>1310</v>
      </c>
      <c r="N366" s="60" t="s">
        <v>792</v>
      </c>
      <c r="O366" s="61">
        <v>25</v>
      </c>
      <c r="P366" s="62">
        <v>463.39</v>
      </c>
      <c r="Q366" s="63">
        <f t="shared" si="345"/>
        <v>11584.75</v>
      </c>
      <c r="R366" s="61">
        <f>IFERROR(SUMIFS('BM MORRO DA CRUZ - VERTICAL'!V$6:V$546,'BM MORRO DA CRUZ - VERTICAL'!$O$6:$O$546,'BM MORRO DA CRUZ'!$K366),0)</f>
        <v>0</v>
      </c>
      <c r="S366" s="63">
        <f t="shared" si="346"/>
        <v>0</v>
      </c>
      <c r="T366" s="61">
        <f>IFERROR(SUMIFS('BM MORRO DA CRUZ - VERTICAL'!X$6:X$546,'BM MORRO DA CRUZ - VERTICAL'!$O$6:$O$546,'BM MORRO DA CRUZ'!$K366),0)</f>
        <v>0</v>
      </c>
      <c r="U366" s="63">
        <f t="shared" si="347"/>
        <v>0</v>
      </c>
      <c r="V366" s="61">
        <f>IFERROR(SUMIFS('BM MORRO DA CRUZ - VERTICAL'!Z$6:Z$546,'BM MORRO DA CRUZ - VERTICAL'!$O$6:$O$546,'BM MORRO DA CRUZ'!$K366),0)</f>
        <v>0</v>
      </c>
      <c r="W366" s="63">
        <f t="shared" si="348"/>
        <v>0</v>
      </c>
      <c r="X366" s="61">
        <f>IFERROR(SUMIFS('BM MORRO DA CRUZ - VERTICAL'!AB$6:AB$546,'BM MORRO DA CRUZ - VERTICAL'!$O$6:$O$546,'BM MORRO DA CRUZ'!$K366),0)</f>
        <v>0</v>
      </c>
      <c r="Y366" s="63">
        <f t="shared" si="349"/>
        <v>0</v>
      </c>
      <c r="Z366" s="61">
        <f>IFERROR(SUMIFS('BM MORRO DA CRUZ - VERTICAL'!AD$6:AD$546,'BM MORRO DA CRUZ - VERTICAL'!$O$6:$O$546,'BM MORRO DA CRUZ'!$K366),0)</f>
        <v>0</v>
      </c>
      <c r="AA366" s="63">
        <f t="shared" si="350"/>
        <v>0</v>
      </c>
      <c r="AB366" s="61">
        <f>IFERROR(SUMIFS('BM MORRO DA CRUZ - VERTICAL'!AF$6:AF$546,'BM MORRO DA CRUZ - VERTICAL'!$O$6:$O$546,'BM MORRO DA CRUZ'!$K366),0)</f>
        <v>0</v>
      </c>
      <c r="AC366" s="63">
        <f t="shared" si="351"/>
        <v>0</v>
      </c>
      <c r="AD366" s="61">
        <f>IFERROR(SUMIFS('BM MORRO DA CRUZ - VERTICAL'!AH$6:AH$546,'BM MORRO DA CRUZ - VERTICAL'!$O$6:$O$546,'BM MORRO DA CRUZ'!$K366),0)</f>
        <v>0</v>
      </c>
      <c r="AE366" s="63">
        <f t="shared" si="352"/>
        <v>0</v>
      </c>
      <c r="AF366" s="61">
        <f>IFERROR(SUMIFS('BM MORRO DA CRUZ - VERTICAL'!AJ$6:AJ$546,'BM MORRO DA CRUZ - VERTICAL'!$O$6:$O$546,'BM MORRO DA CRUZ'!$K366),0)</f>
        <v>0</v>
      </c>
      <c r="AG366" s="63">
        <f t="shared" si="353"/>
        <v>0</v>
      </c>
      <c r="AH366" s="61">
        <f>IFERROR(SUMIFS('BM MORRO DA CRUZ - VERTICAL'!AL$6:AL$546,'BM MORRO DA CRUZ - VERTICAL'!$O$6:$O$546,'BM MORRO DA CRUZ'!$K366),0)</f>
        <v>0</v>
      </c>
      <c r="AI366" s="63">
        <f t="shared" si="354"/>
        <v>0</v>
      </c>
      <c r="AJ366" s="61">
        <f>IFERROR(SUMIFS('BM MORRO DA CRUZ - VERTICAL'!AN$6:AN$546,'BM MORRO DA CRUZ - VERTICAL'!$O$6:$O$546,'BM MORRO DA CRUZ'!$K366),0)</f>
        <v>0</v>
      </c>
      <c r="AK366" s="63">
        <f t="shared" si="355"/>
        <v>0</v>
      </c>
      <c r="AL366" s="61">
        <f>IFERROR(SUMIFS('BM MORRO DA CRUZ - VERTICAL'!AP$6:AP$546,'BM MORRO DA CRUZ - VERTICAL'!$O$6:$O$546,'BM MORRO DA CRUZ'!$K366),0)</f>
        <v>0</v>
      </c>
      <c r="AM366" s="63">
        <f t="shared" si="356"/>
        <v>0</v>
      </c>
      <c r="AN366" s="61">
        <f>IFERROR(SUMIFS('BM MORRO DA CRUZ - VERTICAL'!AR$6:AR$546,'BM MORRO DA CRUZ - VERTICAL'!$O$6:$O$546,'BM MORRO DA CRUZ'!$K366),0)</f>
        <v>0</v>
      </c>
      <c r="AO366" s="63">
        <f t="shared" si="357"/>
        <v>0</v>
      </c>
      <c r="AP366" s="61">
        <f>IFERROR(SUMIFS('BM MORRO DA CRUZ - VERTICAL'!AT$6:AT$546,'BM MORRO DA CRUZ - VERTICAL'!$O$6:$O$546,'BM MORRO DA CRUZ'!$K366),0)</f>
        <v>0</v>
      </c>
      <c r="AQ366" s="63">
        <f t="shared" si="358"/>
        <v>0</v>
      </c>
      <c r="AR366" s="61">
        <f>IFERROR(SUMIFS('BM MORRO DA CRUZ - VERTICAL'!AV$6:AV$546,'BM MORRO DA CRUZ - VERTICAL'!$O$6:$O$546,'BM MORRO DA CRUZ'!$K366),0)</f>
        <v>0</v>
      </c>
      <c r="AS366" s="63">
        <f t="shared" si="359"/>
        <v>0</v>
      </c>
      <c r="AT366" s="61">
        <f>IFERROR(SUMIFS('BM MORRO DA CRUZ - VERTICAL'!AX$6:AX$546,'BM MORRO DA CRUZ - VERTICAL'!$O$6:$O$546,'BM MORRO DA CRUZ'!$K366),0)</f>
        <v>0</v>
      </c>
      <c r="AU366" s="63">
        <f t="shared" si="360"/>
        <v>0</v>
      </c>
      <c r="AV366" s="61">
        <f>IFERROR(SUMIFS('BM MORRO DA CRUZ - VERTICAL'!AZ$6:AZ$546,'BM MORRO DA CRUZ - VERTICAL'!$O$6:$O$546,'BM MORRO DA CRUZ'!$K366),0)</f>
        <v>0</v>
      </c>
      <c r="AW366" s="63">
        <f t="shared" si="361"/>
        <v>0</v>
      </c>
      <c r="AX366" s="61">
        <f>IFERROR(SUMIFS('BM MORRO DA CRUZ - VERTICAL'!BB$6:BB$546,'BM MORRO DA CRUZ - VERTICAL'!$O$6:$O$546,'BM MORRO DA CRUZ'!$K366),0)</f>
        <v>0</v>
      </c>
      <c r="AY366" s="63">
        <f t="shared" si="362"/>
        <v>0</v>
      </c>
      <c r="AZ366" s="61">
        <f>IFERROR(SUMIFS('BM MORRO DA CRUZ - VERTICAL'!BD$6:BD$546,'BM MORRO DA CRUZ - VERTICAL'!$O$6:$O$546,'BM MORRO DA CRUZ'!$K366),0)</f>
        <v>0</v>
      </c>
      <c r="BA366" s="63">
        <f t="shared" si="363"/>
        <v>0</v>
      </c>
      <c r="BB366" s="61">
        <f t="shared" si="364"/>
        <v>0</v>
      </c>
      <c r="BC366" s="63">
        <f t="shared" si="365"/>
        <v>0</v>
      </c>
      <c r="BD366" s="64">
        <f t="shared" si="366"/>
        <v>0</v>
      </c>
      <c r="BE366" s="65">
        <f t="shared" si="367"/>
        <v>1</v>
      </c>
      <c r="BF366" s="45"/>
    </row>
    <row r="367" spans="1:58" ht="35.65" x14ac:dyDescent="0.45">
      <c r="A367" s="56" t="s">
        <v>1311</v>
      </c>
      <c r="B367" s="506" t="s">
        <v>1860</v>
      </c>
      <c r="C367" s="507" t="s">
        <v>39</v>
      </c>
      <c r="D367" s="507" t="s">
        <v>39</v>
      </c>
      <c r="E367" s="507" t="s">
        <v>1861</v>
      </c>
      <c r="F367" s="507" t="s">
        <v>39</v>
      </c>
      <c r="G367" s="507" t="s">
        <v>39</v>
      </c>
      <c r="H367" s="508" t="s">
        <v>39</v>
      </c>
      <c r="I367" s="507" t="s">
        <v>1778</v>
      </c>
      <c r="J367" s="508" t="s">
        <v>1298</v>
      </c>
      <c r="K367" s="57" t="s">
        <v>1312</v>
      </c>
      <c r="L367" s="58" t="s">
        <v>846</v>
      </c>
      <c r="M367" s="59" t="s">
        <v>1313</v>
      </c>
      <c r="N367" s="60" t="s">
        <v>792</v>
      </c>
      <c r="O367" s="61">
        <v>115093.06</v>
      </c>
      <c r="P367" s="62">
        <v>0.66</v>
      </c>
      <c r="Q367" s="63">
        <f t="shared" si="345"/>
        <v>75961.42</v>
      </c>
      <c r="R367" s="61">
        <f>IFERROR(SUMIFS('BM MORRO DA CRUZ - VERTICAL'!V$6:V$546,'BM MORRO DA CRUZ - VERTICAL'!$O$6:$O$546,'BM MORRO DA CRUZ'!$K367),0)</f>
        <v>0</v>
      </c>
      <c r="S367" s="63">
        <f t="shared" si="346"/>
        <v>0</v>
      </c>
      <c r="T367" s="61">
        <f>IFERROR(SUMIFS('BM MORRO DA CRUZ - VERTICAL'!X$6:X$546,'BM MORRO DA CRUZ - VERTICAL'!$O$6:$O$546,'BM MORRO DA CRUZ'!$K367),0)</f>
        <v>0</v>
      </c>
      <c r="U367" s="63">
        <f t="shared" si="347"/>
        <v>0</v>
      </c>
      <c r="V367" s="61">
        <f>IFERROR(SUMIFS('BM MORRO DA CRUZ - VERTICAL'!Z$6:Z$546,'BM MORRO DA CRUZ - VERTICAL'!$O$6:$O$546,'BM MORRO DA CRUZ'!$K367),0)</f>
        <v>0</v>
      </c>
      <c r="W367" s="63">
        <f t="shared" si="348"/>
        <v>0</v>
      </c>
      <c r="X367" s="61">
        <f>IFERROR(SUMIFS('BM MORRO DA CRUZ - VERTICAL'!AB$6:AB$546,'BM MORRO DA CRUZ - VERTICAL'!$O$6:$O$546,'BM MORRO DA CRUZ'!$K367),0)</f>
        <v>0</v>
      </c>
      <c r="Y367" s="63">
        <f t="shared" si="349"/>
        <v>0</v>
      </c>
      <c r="Z367" s="61">
        <f>IFERROR(SUMIFS('BM MORRO DA CRUZ - VERTICAL'!AD$6:AD$546,'BM MORRO DA CRUZ - VERTICAL'!$O$6:$O$546,'BM MORRO DA CRUZ'!$K367),0)</f>
        <v>0</v>
      </c>
      <c r="AA367" s="63">
        <f t="shared" si="350"/>
        <v>0</v>
      </c>
      <c r="AB367" s="61">
        <f>IFERROR(SUMIFS('BM MORRO DA CRUZ - VERTICAL'!AF$6:AF$546,'BM MORRO DA CRUZ - VERTICAL'!$O$6:$O$546,'BM MORRO DA CRUZ'!$K367),0)</f>
        <v>0</v>
      </c>
      <c r="AC367" s="63">
        <f t="shared" si="351"/>
        <v>0</v>
      </c>
      <c r="AD367" s="61">
        <f>IFERROR(SUMIFS('BM MORRO DA CRUZ - VERTICAL'!AH$6:AH$546,'BM MORRO DA CRUZ - VERTICAL'!$O$6:$O$546,'BM MORRO DA CRUZ'!$K367),0)</f>
        <v>0</v>
      </c>
      <c r="AE367" s="63">
        <f t="shared" si="352"/>
        <v>0</v>
      </c>
      <c r="AF367" s="61">
        <f>IFERROR(SUMIFS('BM MORRO DA CRUZ - VERTICAL'!AJ$6:AJ$546,'BM MORRO DA CRUZ - VERTICAL'!$O$6:$O$546,'BM MORRO DA CRUZ'!$K367),0)</f>
        <v>0</v>
      </c>
      <c r="AG367" s="63">
        <f t="shared" si="353"/>
        <v>0</v>
      </c>
      <c r="AH367" s="61">
        <f>IFERROR(SUMIFS('BM MORRO DA CRUZ - VERTICAL'!AL$6:AL$546,'BM MORRO DA CRUZ - VERTICAL'!$O$6:$O$546,'BM MORRO DA CRUZ'!$K367),0)</f>
        <v>0</v>
      </c>
      <c r="AI367" s="63">
        <f t="shared" si="354"/>
        <v>0</v>
      </c>
      <c r="AJ367" s="61">
        <f>IFERROR(SUMIFS('BM MORRO DA CRUZ - VERTICAL'!AN$6:AN$546,'BM MORRO DA CRUZ - VERTICAL'!$O$6:$O$546,'BM MORRO DA CRUZ'!$K367),0)</f>
        <v>0</v>
      </c>
      <c r="AK367" s="63">
        <f t="shared" si="355"/>
        <v>0</v>
      </c>
      <c r="AL367" s="61">
        <f>IFERROR(SUMIFS('BM MORRO DA CRUZ - VERTICAL'!AP$6:AP$546,'BM MORRO DA CRUZ - VERTICAL'!$O$6:$O$546,'BM MORRO DA CRUZ'!$K367),0)</f>
        <v>0</v>
      </c>
      <c r="AM367" s="63">
        <f t="shared" si="356"/>
        <v>0</v>
      </c>
      <c r="AN367" s="61">
        <f>IFERROR(SUMIFS('BM MORRO DA CRUZ - VERTICAL'!AR$6:AR$546,'BM MORRO DA CRUZ - VERTICAL'!$O$6:$O$546,'BM MORRO DA CRUZ'!$K367),0)</f>
        <v>0</v>
      </c>
      <c r="AO367" s="63">
        <f t="shared" si="357"/>
        <v>0</v>
      </c>
      <c r="AP367" s="61">
        <f>IFERROR(SUMIFS('BM MORRO DA CRUZ - VERTICAL'!AT$6:AT$546,'BM MORRO DA CRUZ - VERTICAL'!$O$6:$O$546,'BM MORRO DA CRUZ'!$K367),0)</f>
        <v>0</v>
      </c>
      <c r="AQ367" s="63">
        <f t="shared" si="358"/>
        <v>0</v>
      </c>
      <c r="AR367" s="61">
        <f>IFERROR(SUMIFS('BM MORRO DA CRUZ - VERTICAL'!AV$6:AV$546,'BM MORRO DA CRUZ - VERTICAL'!$O$6:$O$546,'BM MORRO DA CRUZ'!$K367),0)</f>
        <v>0</v>
      </c>
      <c r="AS367" s="63">
        <f t="shared" si="359"/>
        <v>0</v>
      </c>
      <c r="AT367" s="61">
        <f>IFERROR(SUMIFS('BM MORRO DA CRUZ - VERTICAL'!AX$6:AX$546,'BM MORRO DA CRUZ - VERTICAL'!$O$6:$O$546,'BM MORRO DA CRUZ'!$K367),0)</f>
        <v>0</v>
      </c>
      <c r="AU367" s="63">
        <f t="shared" si="360"/>
        <v>0</v>
      </c>
      <c r="AV367" s="61">
        <f>IFERROR(SUMIFS('BM MORRO DA CRUZ - VERTICAL'!AZ$6:AZ$546,'BM MORRO DA CRUZ - VERTICAL'!$O$6:$O$546,'BM MORRO DA CRUZ'!$K367),0)</f>
        <v>0</v>
      </c>
      <c r="AW367" s="63">
        <f t="shared" si="361"/>
        <v>0</v>
      </c>
      <c r="AX367" s="61">
        <f>IFERROR(SUMIFS('BM MORRO DA CRUZ - VERTICAL'!BB$6:BB$546,'BM MORRO DA CRUZ - VERTICAL'!$O$6:$O$546,'BM MORRO DA CRUZ'!$K367),0)</f>
        <v>0</v>
      </c>
      <c r="AY367" s="63">
        <f t="shared" si="362"/>
        <v>0</v>
      </c>
      <c r="AZ367" s="61">
        <f>IFERROR(SUMIFS('BM MORRO DA CRUZ - VERTICAL'!BD$6:BD$546,'BM MORRO DA CRUZ - VERTICAL'!$O$6:$O$546,'BM MORRO DA CRUZ'!$K367),0)</f>
        <v>0</v>
      </c>
      <c r="BA367" s="63">
        <f t="shared" si="363"/>
        <v>0</v>
      </c>
      <c r="BB367" s="61">
        <f t="shared" si="364"/>
        <v>0</v>
      </c>
      <c r="BC367" s="63">
        <f t="shared" si="365"/>
        <v>0</v>
      </c>
      <c r="BD367" s="64">
        <f t="shared" si="366"/>
        <v>0</v>
      </c>
      <c r="BE367" s="65">
        <f t="shared" si="367"/>
        <v>1</v>
      </c>
      <c r="BF367" s="45"/>
    </row>
    <row r="368" spans="1:58" ht="26" customHeight="1" x14ac:dyDescent="0.45">
      <c r="A368" s="56" t="s">
        <v>1314</v>
      </c>
      <c r="B368" s="506" t="s">
        <v>1316</v>
      </c>
      <c r="C368" s="507" t="s">
        <v>39</v>
      </c>
      <c r="D368" s="507" t="s">
        <v>39</v>
      </c>
      <c r="E368" s="507" t="s">
        <v>1862</v>
      </c>
      <c r="F368" s="507" t="s">
        <v>39</v>
      </c>
      <c r="G368" s="507" t="s">
        <v>39</v>
      </c>
      <c r="H368" s="508" t="s">
        <v>226</v>
      </c>
      <c r="I368" s="507" t="s">
        <v>763</v>
      </c>
      <c r="J368" s="508" t="s">
        <v>1726</v>
      </c>
      <c r="K368" s="57" t="s">
        <v>1315</v>
      </c>
      <c r="L368" s="58" t="s">
        <v>846</v>
      </c>
      <c r="M368" s="59" t="s">
        <v>1316</v>
      </c>
      <c r="N368" s="60" t="s">
        <v>792</v>
      </c>
      <c r="O368" s="61">
        <v>8</v>
      </c>
      <c r="P368" s="62">
        <v>669.96</v>
      </c>
      <c r="Q368" s="63">
        <f t="shared" si="345"/>
        <v>5359.68</v>
      </c>
      <c r="R368" s="61">
        <f>IFERROR(SUMIFS('BM MORRO DA CRUZ - VERTICAL'!V$6:V$546,'BM MORRO DA CRUZ - VERTICAL'!$O$6:$O$546,'BM MORRO DA CRUZ'!$K368),0)</f>
        <v>0</v>
      </c>
      <c r="S368" s="63">
        <f t="shared" si="346"/>
        <v>0</v>
      </c>
      <c r="T368" s="61">
        <f>IFERROR(SUMIFS('BM MORRO DA CRUZ - VERTICAL'!X$6:X$546,'BM MORRO DA CRUZ - VERTICAL'!$O$6:$O$546,'BM MORRO DA CRUZ'!$K368),0)</f>
        <v>0</v>
      </c>
      <c r="U368" s="63">
        <f t="shared" si="347"/>
        <v>0</v>
      </c>
      <c r="V368" s="61">
        <f>IFERROR(SUMIFS('BM MORRO DA CRUZ - VERTICAL'!Z$6:Z$546,'BM MORRO DA CRUZ - VERTICAL'!$O$6:$O$546,'BM MORRO DA CRUZ'!$K368),0)</f>
        <v>0</v>
      </c>
      <c r="W368" s="63">
        <f t="shared" si="348"/>
        <v>0</v>
      </c>
      <c r="X368" s="61">
        <f>IFERROR(SUMIFS('BM MORRO DA CRUZ - VERTICAL'!AB$6:AB$546,'BM MORRO DA CRUZ - VERTICAL'!$O$6:$O$546,'BM MORRO DA CRUZ'!$K368),0)</f>
        <v>0</v>
      </c>
      <c r="Y368" s="63">
        <f t="shared" si="349"/>
        <v>0</v>
      </c>
      <c r="Z368" s="61">
        <f>IFERROR(SUMIFS('BM MORRO DA CRUZ - VERTICAL'!AD$6:AD$546,'BM MORRO DA CRUZ - VERTICAL'!$O$6:$O$546,'BM MORRO DA CRUZ'!$K368),0)</f>
        <v>0</v>
      </c>
      <c r="AA368" s="63">
        <f t="shared" si="350"/>
        <v>0</v>
      </c>
      <c r="AB368" s="61">
        <f>IFERROR(SUMIFS('BM MORRO DA CRUZ - VERTICAL'!AF$6:AF$546,'BM MORRO DA CRUZ - VERTICAL'!$O$6:$O$546,'BM MORRO DA CRUZ'!$K368),0)</f>
        <v>0</v>
      </c>
      <c r="AC368" s="63">
        <f t="shared" si="351"/>
        <v>0</v>
      </c>
      <c r="AD368" s="61">
        <f>IFERROR(SUMIFS('BM MORRO DA CRUZ - VERTICAL'!AH$6:AH$546,'BM MORRO DA CRUZ - VERTICAL'!$O$6:$O$546,'BM MORRO DA CRUZ'!$K368),0)</f>
        <v>0</v>
      </c>
      <c r="AE368" s="63">
        <f t="shared" si="352"/>
        <v>0</v>
      </c>
      <c r="AF368" s="61">
        <f>IFERROR(SUMIFS('BM MORRO DA CRUZ - VERTICAL'!AJ$6:AJ$546,'BM MORRO DA CRUZ - VERTICAL'!$O$6:$O$546,'BM MORRO DA CRUZ'!$K368),0)</f>
        <v>0</v>
      </c>
      <c r="AG368" s="63">
        <f t="shared" si="353"/>
        <v>0</v>
      </c>
      <c r="AH368" s="61">
        <f>IFERROR(SUMIFS('BM MORRO DA CRUZ - VERTICAL'!AL$6:AL$546,'BM MORRO DA CRUZ - VERTICAL'!$O$6:$O$546,'BM MORRO DA CRUZ'!$K368),0)</f>
        <v>0</v>
      </c>
      <c r="AI368" s="63">
        <f t="shared" si="354"/>
        <v>0</v>
      </c>
      <c r="AJ368" s="61">
        <f>IFERROR(SUMIFS('BM MORRO DA CRUZ - VERTICAL'!AN$6:AN$546,'BM MORRO DA CRUZ - VERTICAL'!$O$6:$O$546,'BM MORRO DA CRUZ'!$K368),0)</f>
        <v>0</v>
      </c>
      <c r="AK368" s="63">
        <f t="shared" si="355"/>
        <v>0</v>
      </c>
      <c r="AL368" s="61">
        <f>IFERROR(SUMIFS('BM MORRO DA CRUZ - VERTICAL'!AP$6:AP$546,'BM MORRO DA CRUZ - VERTICAL'!$O$6:$O$546,'BM MORRO DA CRUZ'!$K368),0)</f>
        <v>0</v>
      </c>
      <c r="AM368" s="63">
        <f t="shared" si="356"/>
        <v>0</v>
      </c>
      <c r="AN368" s="61">
        <f>IFERROR(SUMIFS('BM MORRO DA CRUZ - VERTICAL'!AR$6:AR$546,'BM MORRO DA CRUZ - VERTICAL'!$O$6:$O$546,'BM MORRO DA CRUZ'!$K368),0)</f>
        <v>0</v>
      </c>
      <c r="AO368" s="63">
        <f t="shared" si="357"/>
        <v>0</v>
      </c>
      <c r="AP368" s="61">
        <f>IFERROR(SUMIFS('BM MORRO DA CRUZ - VERTICAL'!AT$6:AT$546,'BM MORRO DA CRUZ - VERTICAL'!$O$6:$O$546,'BM MORRO DA CRUZ'!$K368),0)</f>
        <v>0</v>
      </c>
      <c r="AQ368" s="63">
        <f t="shared" si="358"/>
        <v>0</v>
      </c>
      <c r="AR368" s="61">
        <f>IFERROR(SUMIFS('BM MORRO DA CRUZ - VERTICAL'!AV$6:AV$546,'BM MORRO DA CRUZ - VERTICAL'!$O$6:$O$546,'BM MORRO DA CRUZ'!$K368),0)</f>
        <v>0</v>
      </c>
      <c r="AS368" s="63">
        <f t="shared" si="359"/>
        <v>0</v>
      </c>
      <c r="AT368" s="61">
        <f>IFERROR(SUMIFS('BM MORRO DA CRUZ - VERTICAL'!AX$6:AX$546,'BM MORRO DA CRUZ - VERTICAL'!$O$6:$O$546,'BM MORRO DA CRUZ'!$K368),0)</f>
        <v>0</v>
      </c>
      <c r="AU368" s="63">
        <f t="shared" si="360"/>
        <v>0</v>
      </c>
      <c r="AV368" s="61">
        <f>IFERROR(SUMIFS('BM MORRO DA CRUZ - VERTICAL'!AZ$6:AZ$546,'BM MORRO DA CRUZ - VERTICAL'!$O$6:$O$546,'BM MORRO DA CRUZ'!$K368),0)</f>
        <v>0</v>
      </c>
      <c r="AW368" s="63">
        <f t="shared" si="361"/>
        <v>0</v>
      </c>
      <c r="AX368" s="61">
        <f>IFERROR(SUMIFS('BM MORRO DA CRUZ - VERTICAL'!BB$6:BB$546,'BM MORRO DA CRUZ - VERTICAL'!$O$6:$O$546,'BM MORRO DA CRUZ'!$K368),0)</f>
        <v>0</v>
      </c>
      <c r="AY368" s="63">
        <f t="shared" si="362"/>
        <v>0</v>
      </c>
      <c r="AZ368" s="61">
        <f>IFERROR(SUMIFS('BM MORRO DA CRUZ - VERTICAL'!BD$6:BD$546,'BM MORRO DA CRUZ - VERTICAL'!$O$6:$O$546,'BM MORRO DA CRUZ'!$K368),0)</f>
        <v>0</v>
      </c>
      <c r="BA368" s="63">
        <f t="shared" si="363"/>
        <v>0</v>
      </c>
      <c r="BB368" s="61">
        <f t="shared" si="364"/>
        <v>0</v>
      </c>
      <c r="BC368" s="63">
        <f t="shared" si="365"/>
        <v>0</v>
      </c>
      <c r="BD368" s="64">
        <f t="shared" si="366"/>
        <v>0</v>
      </c>
      <c r="BE368" s="65">
        <f t="shared" si="367"/>
        <v>1</v>
      </c>
      <c r="BF368" s="45"/>
    </row>
    <row r="369" spans="1:58" ht="19.5" customHeight="1" x14ac:dyDescent="0.45">
      <c r="A369" s="46" t="s">
        <v>1317</v>
      </c>
      <c r="B369" s="503"/>
      <c r="C369" s="504"/>
      <c r="D369" s="504"/>
      <c r="E369" s="504"/>
      <c r="F369" s="504"/>
      <c r="G369" s="504"/>
      <c r="H369" s="505" t="s">
        <v>1718</v>
      </c>
      <c r="I369" s="504"/>
      <c r="J369" s="505" t="s">
        <v>1718</v>
      </c>
      <c r="K369" s="47" t="s">
        <v>1318</v>
      </c>
      <c r="L369" s="48"/>
      <c r="M369" s="49" t="s">
        <v>1319</v>
      </c>
      <c r="N369" s="50"/>
      <c r="O369" s="51"/>
      <c r="P369" s="52"/>
      <c r="Q369" s="53">
        <f>SUM(Q370:Q372)</f>
        <v>11205.869999999999</v>
      </c>
      <c r="R369" s="51"/>
      <c r="S369" s="53">
        <f>SUM(S370:S372)</f>
        <v>0</v>
      </c>
      <c r="T369" s="51"/>
      <c r="U369" s="53">
        <f>SUM(U370:U372)</f>
        <v>0</v>
      </c>
      <c r="V369" s="51"/>
      <c r="W369" s="53">
        <f>SUM(W370:W372)</f>
        <v>0</v>
      </c>
      <c r="X369" s="51"/>
      <c r="Y369" s="53">
        <f>SUM(Y370:Y372)</f>
        <v>0</v>
      </c>
      <c r="Z369" s="51"/>
      <c r="AA369" s="53">
        <f>SUM(AA370:AA372)</f>
        <v>0</v>
      </c>
      <c r="AB369" s="51"/>
      <c r="AC369" s="53">
        <f>SUM(AC370:AC372)</f>
        <v>0</v>
      </c>
      <c r="AD369" s="51"/>
      <c r="AE369" s="53">
        <f>SUM(AE370:AE372)</f>
        <v>0</v>
      </c>
      <c r="AF369" s="51"/>
      <c r="AG369" s="53">
        <f>SUM(AG370:AG372)</f>
        <v>0</v>
      </c>
      <c r="AH369" s="51"/>
      <c r="AI369" s="53">
        <f>SUM(AI370:AI372)</f>
        <v>0</v>
      </c>
      <c r="AJ369" s="51"/>
      <c r="AK369" s="53">
        <f>SUM(AK370:AK372)</f>
        <v>0</v>
      </c>
      <c r="AL369" s="51"/>
      <c r="AM369" s="53">
        <f>SUM(AM370:AM372)</f>
        <v>0</v>
      </c>
      <c r="AN369" s="51"/>
      <c r="AO369" s="53">
        <f>SUM(AO370:AO372)</f>
        <v>0</v>
      </c>
      <c r="AP369" s="51"/>
      <c r="AQ369" s="53">
        <f>SUM(AQ370:AQ372)</f>
        <v>0</v>
      </c>
      <c r="AR369" s="51"/>
      <c r="AS369" s="53">
        <f>SUM(AS370:AS372)</f>
        <v>0</v>
      </c>
      <c r="AT369" s="51"/>
      <c r="AU369" s="53">
        <f>SUM(AU370:AU372)</f>
        <v>0</v>
      </c>
      <c r="AV369" s="51"/>
      <c r="AW369" s="53">
        <f>SUM(AW370:AW372)</f>
        <v>0</v>
      </c>
      <c r="AX369" s="51"/>
      <c r="AY369" s="53">
        <f>SUM(AY370:AY372)</f>
        <v>0</v>
      </c>
      <c r="AZ369" s="51"/>
      <c r="BA369" s="53">
        <f>SUM(BA370:BA372)</f>
        <v>0</v>
      </c>
      <c r="BB369" s="51"/>
      <c r="BC369" s="53">
        <f>SUM(BC370:BC372)</f>
        <v>0</v>
      </c>
      <c r="BD369" s="54"/>
      <c r="BE369" s="55"/>
      <c r="BF369" s="45"/>
    </row>
    <row r="370" spans="1:58" ht="26" customHeight="1" x14ac:dyDescent="0.45">
      <c r="A370" s="56" t="s">
        <v>1320</v>
      </c>
      <c r="B370" s="506" t="s">
        <v>1863</v>
      </c>
      <c r="C370" s="507" t="s">
        <v>39</v>
      </c>
      <c r="D370" s="507" t="s">
        <v>39</v>
      </c>
      <c r="E370" s="507" t="s">
        <v>1805</v>
      </c>
      <c r="F370" s="507" t="s">
        <v>39</v>
      </c>
      <c r="G370" s="507" t="s">
        <v>39</v>
      </c>
      <c r="H370" s="508" t="s">
        <v>1864</v>
      </c>
      <c r="I370" s="507" t="s">
        <v>40</v>
      </c>
      <c r="J370" s="508" t="s">
        <v>1806</v>
      </c>
      <c r="K370" s="57" t="s">
        <v>1321</v>
      </c>
      <c r="L370" s="58" t="s">
        <v>846</v>
      </c>
      <c r="M370" s="59" t="s">
        <v>1322</v>
      </c>
      <c r="N370" s="60" t="s">
        <v>71</v>
      </c>
      <c r="O370" s="61">
        <v>1</v>
      </c>
      <c r="P370" s="62">
        <v>5997.31</v>
      </c>
      <c r="Q370" s="63">
        <f>ROUND(P370*$O370,2)</f>
        <v>5997.31</v>
      </c>
      <c r="R370" s="61">
        <f>IFERROR(SUMIFS('BM MORRO DA CRUZ - VERTICAL'!V$6:V$546,'BM MORRO DA CRUZ - VERTICAL'!$O$6:$O$546,'BM MORRO DA CRUZ'!$K370),0)</f>
        <v>0</v>
      </c>
      <c r="S370" s="63">
        <f>ROUND(R370*$P370,2)</f>
        <v>0</v>
      </c>
      <c r="T370" s="61">
        <f>IFERROR(SUMIFS('BM MORRO DA CRUZ - VERTICAL'!X$6:X$546,'BM MORRO DA CRUZ - VERTICAL'!$O$6:$O$546,'BM MORRO DA CRUZ'!$K370),0)</f>
        <v>0</v>
      </c>
      <c r="U370" s="63">
        <f>ROUND(T370*$P370,2)</f>
        <v>0</v>
      </c>
      <c r="V370" s="61">
        <f>IFERROR(SUMIFS('BM MORRO DA CRUZ - VERTICAL'!Z$6:Z$546,'BM MORRO DA CRUZ - VERTICAL'!$O$6:$O$546,'BM MORRO DA CRUZ'!$K370),0)</f>
        <v>0</v>
      </c>
      <c r="W370" s="63">
        <f>ROUND(V370*$P370,2)</f>
        <v>0</v>
      </c>
      <c r="X370" s="61">
        <f>IFERROR(SUMIFS('BM MORRO DA CRUZ - VERTICAL'!AB$6:AB$546,'BM MORRO DA CRUZ - VERTICAL'!$O$6:$O$546,'BM MORRO DA CRUZ'!$K370),0)</f>
        <v>0</v>
      </c>
      <c r="Y370" s="63">
        <f>ROUND(X370*$P370,2)</f>
        <v>0</v>
      </c>
      <c r="Z370" s="61">
        <f>IFERROR(SUMIFS('BM MORRO DA CRUZ - VERTICAL'!AD$6:AD$546,'BM MORRO DA CRUZ - VERTICAL'!$O$6:$O$546,'BM MORRO DA CRUZ'!$K370),0)</f>
        <v>0</v>
      </c>
      <c r="AA370" s="63">
        <f>ROUND(Z370*$P370,2)</f>
        <v>0</v>
      </c>
      <c r="AB370" s="61">
        <f>IFERROR(SUMIFS('BM MORRO DA CRUZ - VERTICAL'!AF$6:AF$546,'BM MORRO DA CRUZ - VERTICAL'!$O$6:$O$546,'BM MORRO DA CRUZ'!$K370),0)</f>
        <v>0</v>
      </c>
      <c r="AC370" s="63">
        <f>ROUND(AB370*$P370,2)</f>
        <v>0</v>
      </c>
      <c r="AD370" s="61">
        <f>IFERROR(SUMIFS('BM MORRO DA CRUZ - VERTICAL'!AH$6:AH$546,'BM MORRO DA CRUZ - VERTICAL'!$O$6:$O$546,'BM MORRO DA CRUZ'!$K370),0)</f>
        <v>0</v>
      </c>
      <c r="AE370" s="63">
        <f>ROUND(AD370*$P370,2)</f>
        <v>0</v>
      </c>
      <c r="AF370" s="61">
        <f>IFERROR(SUMIFS('BM MORRO DA CRUZ - VERTICAL'!AJ$6:AJ$546,'BM MORRO DA CRUZ - VERTICAL'!$O$6:$O$546,'BM MORRO DA CRUZ'!$K370),0)</f>
        <v>0</v>
      </c>
      <c r="AG370" s="63">
        <f>ROUND(AF370*$P370,2)</f>
        <v>0</v>
      </c>
      <c r="AH370" s="61">
        <f>IFERROR(SUMIFS('BM MORRO DA CRUZ - VERTICAL'!AL$6:AL$546,'BM MORRO DA CRUZ - VERTICAL'!$O$6:$O$546,'BM MORRO DA CRUZ'!$K370),0)</f>
        <v>0</v>
      </c>
      <c r="AI370" s="63">
        <f>ROUND(AH370*$P370,2)</f>
        <v>0</v>
      </c>
      <c r="AJ370" s="61">
        <f>IFERROR(SUMIFS('BM MORRO DA CRUZ - VERTICAL'!AN$6:AN$546,'BM MORRO DA CRUZ - VERTICAL'!$O$6:$O$546,'BM MORRO DA CRUZ'!$K370),0)</f>
        <v>0</v>
      </c>
      <c r="AK370" s="63">
        <f>ROUND(AJ370*$P370,2)</f>
        <v>0</v>
      </c>
      <c r="AL370" s="61">
        <f>IFERROR(SUMIFS('BM MORRO DA CRUZ - VERTICAL'!AP$6:AP$546,'BM MORRO DA CRUZ - VERTICAL'!$O$6:$O$546,'BM MORRO DA CRUZ'!$K370),0)</f>
        <v>0</v>
      </c>
      <c r="AM370" s="63">
        <f>ROUND(AL370*$P370,2)</f>
        <v>0</v>
      </c>
      <c r="AN370" s="61">
        <f>IFERROR(SUMIFS('BM MORRO DA CRUZ - VERTICAL'!AR$6:AR$546,'BM MORRO DA CRUZ - VERTICAL'!$O$6:$O$546,'BM MORRO DA CRUZ'!$K370),0)</f>
        <v>0</v>
      </c>
      <c r="AO370" s="63">
        <f>ROUND(AN370*$P370,2)</f>
        <v>0</v>
      </c>
      <c r="AP370" s="61">
        <f>IFERROR(SUMIFS('BM MORRO DA CRUZ - VERTICAL'!AT$6:AT$546,'BM MORRO DA CRUZ - VERTICAL'!$O$6:$O$546,'BM MORRO DA CRUZ'!$K370),0)</f>
        <v>0</v>
      </c>
      <c r="AQ370" s="63">
        <f>ROUND(AP370*$P370,2)</f>
        <v>0</v>
      </c>
      <c r="AR370" s="61">
        <f>IFERROR(SUMIFS('BM MORRO DA CRUZ - VERTICAL'!AV$6:AV$546,'BM MORRO DA CRUZ - VERTICAL'!$O$6:$O$546,'BM MORRO DA CRUZ'!$K370),0)</f>
        <v>0</v>
      </c>
      <c r="AS370" s="63">
        <f>ROUND(AR370*$P370,2)</f>
        <v>0</v>
      </c>
      <c r="AT370" s="61">
        <f>IFERROR(SUMIFS('BM MORRO DA CRUZ - VERTICAL'!AX$6:AX$546,'BM MORRO DA CRUZ - VERTICAL'!$O$6:$O$546,'BM MORRO DA CRUZ'!$K370),0)</f>
        <v>0</v>
      </c>
      <c r="AU370" s="63">
        <f>ROUND(AT370*$P370,2)</f>
        <v>0</v>
      </c>
      <c r="AV370" s="61">
        <f>IFERROR(SUMIFS('BM MORRO DA CRUZ - VERTICAL'!AZ$6:AZ$546,'BM MORRO DA CRUZ - VERTICAL'!$O$6:$O$546,'BM MORRO DA CRUZ'!$K370),0)</f>
        <v>0</v>
      </c>
      <c r="AW370" s="63">
        <f>ROUND(AV370*$P370,2)</f>
        <v>0</v>
      </c>
      <c r="AX370" s="61">
        <f>IFERROR(SUMIFS('BM MORRO DA CRUZ - VERTICAL'!BB$6:BB$546,'BM MORRO DA CRUZ - VERTICAL'!$O$6:$O$546,'BM MORRO DA CRUZ'!$K370),0)</f>
        <v>0</v>
      </c>
      <c r="AY370" s="63">
        <f>ROUND(AX370*$P370,2)</f>
        <v>0</v>
      </c>
      <c r="AZ370" s="61">
        <f>IFERROR(SUMIFS('BM MORRO DA CRUZ - VERTICAL'!BD$6:BD$546,'BM MORRO DA CRUZ - VERTICAL'!$O$6:$O$546,'BM MORRO DA CRUZ'!$K370),0)</f>
        <v>0</v>
      </c>
      <c r="BA370" s="63">
        <f>ROUND(AZ370*$P370,2)</f>
        <v>0</v>
      </c>
      <c r="BB370" s="61">
        <f>IFERROR(SUMIFS($R370:$BA370,$R$5:$BA$5,$BB$5),0)</f>
        <v>0</v>
      </c>
      <c r="BC370" s="63">
        <f>SUMIFS($R370:$BA370,$R$5:$BA$5,$S$5)</f>
        <v>0</v>
      </c>
      <c r="BD370" s="64">
        <f>IFERROR(BB370/O370,0)</f>
        <v>0</v>
      </c>
      <c r="BE370" s="65">
        <f>IFERROR((O370-BB370)/O370,0)</f>
        <v>1</v>
      </c>
      <c r="BF370" s="45"/>
    </row>
    <row r="371" spans="1:58" ht="26" customHeight="1" x14ac:dyDescent="0.45">
      <c r="A371" s="56" t="s">
        <v>1323</v>
      </c>
      <c r="B371" s="506" t="s">
        <v>1865</v>
      </c>
      <c r="C371" s="507" t="s">
        <v>39</v>
      </c>
      <c r="D371" s="507" t="s">
        <v>39</v>
      </c>
      <c r="E371" s="507" t="s">
        <v>1866</v>
      </c>
      <c r="F371" s="507" t="s">
        <v>39</v>
      </c>
      <c r="G371" s="507" t="s">
        <v>39</v>
      </c>
      <c r="H371" s="508" t="s">
        <v>39</v>
      </c>
      <c r="I371" s="507" t="s">
        <v>40</v>
      </c>
      <c r="J371" s="508" t="s">
        <v>51</v>
      </c>
      <c r="K371" s="57" t="s">
        <v>1324</v>
      </c>
      <c r="L371" s="58" t="s">
        <v>846</v>
      </c>
      <c r="M371" s="59" t="s">
        <v>1325</v>
      </c>
      <c r="N371" s="60" t="s">
        <v>71</v>
      </c>
      <c r="O371" s="61">
        <v>1</v>
      </c>
      <c r="P371" s="62">
        <v>4901.92</v>
      </c>
      <c r="Q371" s="63">
        <f>ROUND(P371*$O371,2)</f>
        <v>4901.92</v>
      </c>
      <c r="R371" s="61">
        <f>IFERROR(SUMIFS('BM MORRO DA CRUZ - VERTICAL'!V$6:V$546,'BM MORRO DA CRUZ - VERTICAL'!$O$6:$O$546,'BM MORRO DA CRUZ'!$K371),0)</f>
        <v>0</v>
      </c>
      <c r="S371" s="63">
        <f>ROUND(R371*$P371,2)</f>
        <v>0</v>
      </c>
      <c r="T371" s="61">
        <f>IFERROR(SUMIFS('BM MORRO DA CRUZ - VERTICAL'!X$6:X$546,'BM MORRO DA CRUZ - VERTICAL'!$O$6:$O$546,'BM MORRO DA CRUZ'!$K371),0)</f>
        <v>0</v>
      </c>
      <c r="U371" s="63">
        <f>ROUND(T371*$P371,2)</f>
        <v>0</v>
      </c>
      <c r="V371" s="61">
        <f>IFERROR(SUMIFS('BM MORRO DA CRUZ - VERTICAL'!Z$6:Z$546,'BM MORRO DA CRUZ - VERTICAL'!$O$6:$O$546,'BM MORRO DA CRUZ'!$K371),0)</f>
        <v>0</v>
      </c>
      <c r="W371" s="63">
        <f>ROUND(V371*$P371,2)</f>
        <v>0</v>
      </c>
      <c r="X371" s="61">
        <f>IFERROR(SUMIFS('BM MORRO DA CRUZ - VERTICAL'!AB$6:AB$546,'BM MORRO DA CRUZ - VERTICAL'!$O$6:$O$546,'BM MORRO DA CRUZ'!$K371),0)</f>
        <v>0</v>
      </c>
      <c r="Y371" s="63">
        <f>ROUND(X371*$P371,2)</f>
        <v>0</v>
      </c>
      <c r="Z371" s="61">
        <f>IFERROR(SUMIFS('BM MORRO DA CRUZ - VERTICAL'!AD$6:AD$546,'BM MORRO DA CRUZ - VERTICAL'!$O$6:$O$546,'BM MORRO DA CRUZ'!$K371),0)</f>
        <v>0</v>
      </c>
      <c r="AA371" s="63">
        <f>ROUND(Z371*$P371,2)</f>
        <v>0</v>
      </c>
      <c r="AB371" s="61">
        <f>IFERROR(SUMIFS('BM MORRO DA CRUZ - VERTICAL'!AF$6:AF$546,'BM MORRO DA CRUZ - VERTICAL'!$O$6:$O$546,'BM MORRO DA CRUZ'!$K371),0)</f>
        <v>0</v>
      </c>
      <c r="AC371" s="63">
        <f>ROUND(AB371*$P371,2)</f>
        <v>0</v>
      </c>
      <c r="AD371" s="61">
        <f>IFERROR(SUMIFS('BM MORRO DA CRUZ - VERTICAL'!AH$6:AH$546,'BM MORRO DA CRUZ - VERTICAL'!$O$6:$O$546,'BM MORRO DA CRUZ'!$K371),0)</f>
        <v>0</v>
      </c>
      <c r="AE371" s="63">
        <f>ROUND(AD371*$P371,2)</f>
        <v>0</v>
      </c>
      <c r="AF371" s="61">
        <f>IFERROR(SUMIFS('BM MORRO DA CRUZ - VERTICAL'!AJ$6:AJ$546,'BM MORRO DA CRUZ - VERTICAL'!$O$6:$O$546,'BM MORRO DA CRUZ'!$K371),0)</f>
        <v>0</v>
      </c>
      <c r="AG371" s="63">
        <f>ROUND(AF371*$P371,2)</f>
        <v>0</v>
      </c>
      <c r="AH371" s="61">
        <f>IFERROR(SUMIFS('BM MORRO DA CRUZ - VERTICAL'!AL$6:AL$546,'BM MORRO DA CRUZ - VERTICAL'!$O$6:$O$546,'BM MORRO DA CRUZ'!$K371),0)</f>
        <v>0</v>
      </c>
      <c r="AI371" s="63">
        <f>ROUND(AH371*$P371,2)</f>
        <v>0</v>
      </c>
      <c r="AJ371" s="61">
        <f>IFERROR(SUMIFS('BM MORRO DA CRUZ - VERTICAL'!AN$6:AN$546,'BM MORRO DA CRUZ - VERTICAL'!$O$6:$O$546,'BM MORRO DA CRUZ'!$K371),0)</f>
        <v>0</v>
      </c>
      <c r="AK371" s="63">
        <f>ROUND(AJ371*$P371,2)</f>
        <v>0</v>
      </c>
      <c r="AL371" s="61">
        <f>IFERROR(SUMIFS('BM MORRO DA CRUZ - VERTICAL'!AP$6:AP$546,'BM MORRO DA CRUZ - VERTICAL'!$O$6:$O$546,'BM MORRO DA CRUZ'!$K371),0)</f>
        <v>0</v>
      </c>
      <c r="AM371" s="63">
        <f>ROUND(AL371*$P371,2)</f>
        <v>0</v>
      </c>
      <c r="AN371" s="61">
        <f>IFERROR(SUMIFS('BM MORRO DA CRUZ - VERTICAL'!AR$6:AR$546,'BM MORRO DA CRUZ - VERTICAL'!$O$6:$O$546,'BM MORRO DA CRUZ'!$K371),0)</f>
        <v>0</v>
      </c>
      <c r="AO371" s="63">
        <f>ROUND(AN371*$P371,2)</f>
        <v>0</v>
      </c>
      <c r="AP371" s="61">
        <f>IFERROR(SUMIFS('BM MORRO DA CRUZ - VERTICAL'!AT$6:AT$546,'BM MORRO DA CRUZ - VERTICAL'!$O$6:$O$546,'BM MORRO DA CRUZ'!$K371),0)</f>
        <v>0</v>
      </c>
      <c r="AQ371" s="63">
        <f>ROUND(AP371*$P371,2)</f>
        <v>0</v>
      </c>
      <c r="AR371" s="61">
        <f>IFERROR(SUMIFS('BM MORRO DA CRUZ - VERTICAL'!AV$6:AV$546,'BM MORRO DA CRUZ - VERTICAL'!$O$6:$O$546,'BM MORRO DA CRUZ'!$K371),0)</f>
        <v>0</v>
      </c>
      <c r="AS371" s="63">
        <f>ROUND(AR371*$P371,2)</f>
        <v>0</v>
      </c>
      <c r="AT371" s="61">
        <f>IFERROR(SUMIFS('BM MORRO DA CRUZ - VERTICAL'!AX$6:AX$546,'BM MORRO DA CRUZ - VERTICAL'!$O$6:$O$546,'BM MORRO DA CRUZ'!$K371),0)</f>
        <v>0</v>
      </c>
      <c r="AU371" s="63">
        <f>ROUND(AT371*$P371,2)</f>
        <v>0</v>
      </c>
      <c r="AV371" s="61">
        <f>IFERROR(SUMIFS('BM MORRO DA CRUZ - VERTICAL'!AZ$6:AZ$546,'BM MORRO DA CRUZ - VERTICAL'!$O$6:$O$546,'BM MORRO DA CRUZ'!$K371),0)</f>
        <v>0</v>
      </c>
      <c r="AW371" s="63">
        <f>ROUND(AV371*$P371,2)</f>
        <v>0</v>
      </c>
      <c r="AX371" s="61">
        <f>IFERROR(SUMIFS('BM MORRO DA CRUZ - VERTICAL'!BB$6:BB$546,'BM MORRO DA CRUZ - VERTICAL'!$O$6:$O$546,'BM MORRO DA CRUZ'!$K371),0)</f>
        <v>0</v>
      </c>
      <c r="AY371" s="63">
        <f>ROUND(AX371*$P371,2)</f>
        <v>0</v>
      </c>
      <c r="AZ371" s="61">
        <f>IFERROR(SUMIFS('BM MORRO DA CRUZ - VERTICAL'!BD$6:BD$546,'BM MORRO DA CRUZ - VERTICAL'!$O$6:$O$546,'BM MORRO DA CRUZ'!$K371),0)</f>
        <v>0</v>
      </c>
      <c r="BA371" s="63">
        <f>ROUND(AZ371*$P371,2)</f>
        <v>0</v>
      </c>
      <c r="BB371" s="61">
        <f>IFERROR(SUMIFS($R371:$BA371,$R$5:$BA$5,$BB$5),0)</f>
        <v>0</v>
      </c>
      <c r="BC371" s="63">
        <f>SUMIFS($R371:$BA371,$R$5:$BA$5,$S$5)</f>
        <v>0</v>
      </c>
      <c r="BD371" s="64">
        <f>IFERROR(BB371/O371,0)</f>
        <v>0</v>
      </c>
      <c r="BE371" s="65">
        <f>IFERROR((O371-BB371)/O371,0)</f>
        <v>1</v>
      </c>
      <c r="BF371" s="45"/>
    </row>
    <row r="372" spans="1:58" ht="26" customHeight="1" x14ac:dyDescent="0.45">
      <c r="A372" s="56" t="s">
        <v>1326</v>
      </c>
      <c r="B372" s="506" t="s">
        <v>1867</v>
      </c>
      <c r="C372" s="507" t="s">
        <v>39</v>
      </c>
      <c r="D372" s="507" t="s">
        <v>39</v>
      </c>
      <c r="E372" s="507" t="s">
        <v>1805</v>
      </c>
      <c r="F372" s="507" t="s">
        <v>39</v>
      </c>
      <c r="G372" s="507" t="s">
        <v>39</v>
      </c>
      <c r="H372" s="508" t="s">
        <v>39</v>
      </c>
      <c r="I372" s="507" t="s">
        <v>40</v>
      </c>
      <c r="J372" s="508" t="s">
        <v>1806</v>
      </c>
      <c r="K372" s="57" t="s">
        <v>1327</v>
      </c>
      <c r="L372" s="58" t="s">
        <v>846</v>
      </c>
      <c r="M372" s="59" t="s">
        <v>1328</v>
      </c>
      <c r="N372" s="60" t="s">
        <v>71</v>
      </c>
      <c r="O372" s="61">
        <v>1</v>
      </c>
      <c r="P372" s="62">
        <v>306.64</v>
      </c>
      <c r="Q372" s="63">
        <f>ROUND(P372*$O372,2)</f>
        <v>306.64</v>
      </c>
      <c r="R372" s="61">
        <f>IFERROR(SUMIFS('BM MORRO DA CRUZ - VERTICAL'!V$6:V$546,'BM MORRO DA CRUZ - VERTICAL'!$O$6:$O$546,'BM MORRO DA CRUZ'!$K372),0)</f>
        <v>0</v>
      </c>
      <c r="S372" s="63">
        <f>ROUND(R372*$P372,2)</f>
        <v>0</v>
      </c>
      <c r="T372" s="61">
        <f>IFERROR(SUMIFS('BM MORRO DA CRUZ - VERTICAL'!X$6:X$546,'BM MORRO DA CRUZ - VERTICAL'!$O$6:$O$546,'BM MORRO DA CRUZ'!$K372),0)</f>
        <v>0</v>
      </c>
      <c r="U372" s="63">
        <f>ROUND(T372*$P372,2)</f>
        <v>0</v>
      </c>
      <c r="V372" s="61">
        <f>IFERROR(SUMIFS('BM MORRO DA CRUZ - VERTICAL'!Z$6:Z$546,'BM MORRO DA CRUZ - VERTICAL'!$O$6:$O$546,'BM MORRO DA CRUZ'!$K372),0)</f>
        <v>0</v>
      </c>
      <c r="W372" s="63">
        <f>ROUND(V372*$P372,2)</f>
        <v>0</v>
      </c>
      <c r="X372" s="61">
        <f>IFERROR(SUMIFS('BM MORRO DA CRUZ - VERTICAL'!AB$6:AB$546,'BM MORRO DA CRUZ - VERTICAL'!$O$6:$O$546,'BM MORRO DA CRUZ'!$K372),0)</f>
        <v>0</v>
      </c>
      <c r="Y372" s="63">
        <f>ROUND(X372*$P372,2)</f>
        <v>0</v>
      </c>
      <c r="Z372" s="61">
        <f>IFERROR(SUMIFS('BM MORRO DA CRUZ - VERTICAL'!AD$6:AD$546,'BM MORRO DA CRUZ - VERTICAL'!$O$6:$O$546,'BM MORRO DA CRUZ'!$K372),0)</f>
        <v>0</v>
      </c>
      <c r="AA372" s="63">
        <f>ROUND(Z372*$P372,2)</f>
        <v>0</v>
      </c>
      <c r="AB372" s="61">
        <f>IFERROR(SUMIFS('BM MORRO DA CRUZ - VERTICAL'!AF$6:AF$546,'BM MORRO DA CRUZ - VERTICAL'!$O$6:$O$546,'BM MORRO DA CRUZ'!$K372),0)</f>
        <v>0</v>
      </c>
      <c r="AC372" s="63">
        <f>ROUND(AB372*$P372,2)</f>
        <v>0</v>
      </c>
      <c r="AD372" s="61">
        <f>IFERROR(SUMIFS('BM MORRO DA CRUZ - VERTICAL'!AH$6:AH$546,'BM MORRO DA CRUZ - VERTICAL'!$O$6:$O$546,'BM MORRO DA CRUZ'!$K372),0)</f>
        <v>0</v>
      </c>
      <c r="AE372" s="63">
        <f>ROUND(AD372*$P372,2)</f>
        <v>0</v>
      </c>
      <c r="AF372" s="61">
        <f>IFERROR(SUMIFS('BM MORRO DA CRUZ - VERTICAL'!AJ$6:AJ$546,'BM MORRO DA CRUZ - VERTICAL'!$O$6:$O$546,'BM MORRO DA CRUZ'!$K372),0)</f>
        <v>0</v>
      </c>
      <c r="AG372" s="63">
        <f>ROUND(AF372*$P372,2)</f>
        <v>0</v>
      </c>
      <c r="AH372" s="61">
        <f>IFERROR(SUMIFS('BM MORRO DA CRUZ - VERTICAL'!AL$6:AL$546,'BM MORRO DA CRUZ - VERTICAL'!$O$6:$O$546,'BM MORRO DA CRUZ'!$K372),0)</f>
        <v>0</v>
      </c>
      <c r="AI372" s="63">
        <f>ROUND(AH372*$P372,2)</f>
        <v>0</v>
      </c>
      <c r="AJ372" s="61">
        <f>IFERROR(SUMIFS('BM MORRO DA CRUZ - VERTICAL'!AN$6:AN$546,'BM MORRO DA CRUZ - VERTICAL'!$O$6:$O$546,'BM MORRO DA CRUZ'!$K372),0)</f>
        <v>0</v>
      </c>
      <c r="AK372" s="63">
        <f>ROUND(AJ372*$P372,2)</f>
        <v>0</v>
      </c>
      <c r="AL372" s="61">
        <f>IFERROR(SUMIFS('BM MORRO DA CRUZ - VERTICAL'!AP$6:AP$546,'BM MORRO DA CRUZ - VERTICAL'!$O$6:$O$546,'BM MORRO DA CRUZ'!$K372),0)</f>
        <v>0</v>
      </c>
      <c r="AM372" s="63">
        <f>ROUND(AL372*$P372,2)</f>
        <v>0</v>
      </c>
      <c r="AN372" s="61">
        <f>IFERROR(SUMIFS('BM MORRO DA CRUZ - VERTICAL'!AR$6:AR$546,'BM MORRO DA CRUZ - VERTICAL'!$O$6:$O$546,'BM MORRO DA CRUZ'!$K372),0)</f>
        <v>0</v>
      </c>
      <c r="AO372" s="63">
        <f>ROUND(AN372*$P372,2)</f>
        <v>0</v>
      </c>
      <c r="AP372" s="61">
        <f>IFERROR(SUMIFS('BM MORRO DA CRUZ - VERTICAL'!AT$6:AT$546,'BM MORRO DA CRUZ - VERTICAL'!$O$6:$O$546,'BM MORRO DA CRUZ'!$K372),0)</f>
        <v>0</v>
      </c>
      <c r="AQ372" s="63">
        <f>ROUND(AP372*$P372,2)</f>
        <v>0</v>
      </c>
      <c r="AR372" s="61">
        <f>IFERROR(SUMIFS('BM MORRO DA CRUZ - VERTICAL'!AV$6:AV$546,'BM MORRO DA CRUZ - VERTICAL'!$O$6:$O$546,'BM MORRO DA CRUZ'!$K372),0)</f>
        <v>0</v>
      </c>
      <c r="AS372" s="63">
        <f>ROUND(AR372*$P372,2)</f>
        <v>0</v>
      </c>
      <c r="AT372" s="61">
        <f>IFERROR(SUMIFS('BM MORRO DA CRUZ - VERTICAL'!AX$6:AX$546,'BM MORRO DA CRUZ - VERTICAL'!$O$6:$O$546,'BM MORRO DA CRUZ'!$K372),0)</f>
        <v>0</v>
      </c>
      <c r="AU372" s="63">
        <f>ROUND(AT372*$P372,2)</f>
        <v>0</v>
      </c>
      <c r="AV372" s="61">
        <f>IFERROR(SUMIFS('BM MORRO DA CRUZ - VERTICAL'!AZ$6:AZ$546,'BM MORRO DA CRUZ - VERTICAL'!$O$6:$O$546,'BM MORRO DA CRUZ'!$K372),0)</f>
        <v>0</v>
      </c>
      <c r="AW372" s="63">
        <f>ROUND(AV372*$P372,2)</f>
        <v>0</v>
      </c>
      <c r="AX372" s="61">
        <f>IFERROR(SUMIFS('BM MORRO DA CRUZ - VERTICAL'!BB$6:BB$546,'BM MORRO DA CRUZ - VERTICAL'!$O$6:$O$546,'BM MORRO DA CRUZ'!$K372),0)</f>
        <v>0</v>
      </c>
      <c r="AY372" s="63">
        <f>ROUND(AX372*$P372,2)</f>
        <v>0</v>
      </c>
      <c r="AZ372" s="61">
        <f>IFERROR(SUMIFS('BM MORRO DA CRUZ - VERTICAL'!BD$6:BD$546,'BM MORRO DA CRUZ - VERTICAL'!$O$6:$O$546,'BM MORRO DA CRUZ'!$K372),0)</f>
        <v>0</v>
      </c>
      <c r="BA372" s="63">
        <f>ROUND(AZ372*$P372,2)</f>
        <v>0</v>
      </c>
      <c r="BB372" s="61">
        <f>IFERROR(SUMIFS($R372:$BA372,$R$5:$BA$5,$BB$5),0)</f>
        <v>0</v>
      </c>
      <c r="BC372" s="63">
        <f>SUMIFS($R372:$BA372,$R$5:$BA$5,$S$5)</f>
        <v>0</v>
      </c>
      <c r="BD372" s="64">
        <f>IFERROR(BB372/O372,0)</f>
        <v>0</v>
      </c>
      <c r="BE372" s="65">
        <f>IFERROR((O372-BB372)/O372,0)</f>
        <v>1</v>
      </c>
      <c r="BF372" s="45"/>
    </row>
    <row r="373" spans="1:58" ht="19.5" customHeight="1" x14ac:dyDescent="0.45">
      <c r="A373" s="46" t="s">
        <v>1329</v>
      </c>
      <c r="B373" s="503"/>
      <c r="C373" s="504"/>
      <c r="D373" s="504"/>
      <c r="E373" s="504"/>
      <c r="F373" s="504"/>
      <c r="G373" s="504"/>
      <c r="H373" s="505" t="s">
        <v>1718</v>
      </c>
      <c r="I373" s="504"/>
      <c r="J373" s="505" t="s">
        <v>1718</v>
      </c>
      <c r="K373" s="47" t="s">
        <v>1330</v>
      </c>
      <c r="L373" s="48"/>
      <c r="M373" s="49" t="s">
        <v>1331</v>
      </c>
      <c r="N373" s="50"/>
      <c r="O373" s="51"/>
      <c r="P373" s="52"/>
      <c r="Q373" s="53">
        <f>SUM(Q374:Q380)</f>
        <v>1174926.1000000001</v>
      </c>
      <c r="R373" s="51"/>
      <c r="S373" s="53">
        <f>SUM(S374:S380)</f>
        <v>0</v>
      </c>
      <c r="T373" s="51"/>
      <c r="U373" s="53">
        <f>SUM(U374:U380)</f>
        <v>0</v>
      </c>
      <c r="V373" s="51"/>
      <c r="W373" s="53">
        <f>SUM(W374:W380)</f>
        <v>0</v>
      </c>
      <c r="X373" s="51"/>
      <c r="Y373" s="53">
        <f>SUM(Y374:Y380)</f>
        <v>0</v>
      </c>
      <c r="Z373" s="51"/>
      <c r="AA373" s="53">
        <f>SUM(AA374:AA380)</f>
        <v>0</v>
      </c>
      <c r="AB373" s="51"/>
      <c r="AC373" s="53">
        <f>SUM(AC374:AC380)</f>
        <v>0</v>
      </c>
      <c r="AD373" s="51"/>
      <c r="AE373" s="53">
        <f>SUM(AE374:AE380)</f>
        <v>0</v>
      </c>
      <c r="AF373" s="51"/>
      <c r="AG373" s="53">
        <f>SUM(AG374:AG380)</f>
        <v>0</v>
      </c>
      <c r="AH373" s="51"/>
      <c r="AI373" s="53">
        <f>SUM(AI374:AI380)</f>
        <v>0</v>
      </c>
      <c r="AJ373" s="51"/>
      <c r="AK373" s="53">
        <f>SUM(AK374:AK380)</f>
        <v>0</v>
      </c>
      <c r="AL373" s="51"/>
      <c r="AM373" s="53">
        <f>SUM(AM374:AM380)</f>
        <v>0</v>
      </c>
      <c r="AN373" s="51"/>
      <c r="AO373" s="53">
        <f>SUM(AO374:AO380)</f>
        <v>0</v>
      </c>
      <c r="AP373" s="51"/>
      <c r="AQ373" s="53">
        <f>SUM(AQ374:AQ380)</f>
        <v>0</v>
      </c>
      <c r="AR373" s="51"/>
      <c r="AS373" s="53">
        <f>SUM(AS374:AS380)</f>
        <v>0</v>
      </c>
      <c r="AT373" s="51"/>
      <c r="AU373" s="53">
        <f>SUM(AU374:AU380)</f>
        <v>0</v>
      </c>
      <c r="AV373" s="51"/>
      <c r="AW373" s="53">
        <f>SUM(AW374:AW380)</f>
        <v>0</v>
      </c>
      <c r="AX373" s="51"/>
      <c r="AY373" s="53">
        <f>SUM(AY374:AY380)</f>
        <v>0</v>
      </c>
      <c r="AZ373" s="51"/>
      <c r="BA373" s="53">
        <f>SUM(BA374:BA380)</f>
        <v>0</v>
      </c>
      <c r="BB373" s="51"/>
      <c r="BC373" s="53">
        <f>SUM(BC374:BC380)</f>
        <v>0</v>
      </c>
      <c r="BD373" s="54"/>
      <c r="BE373" s="55"/>
      <c r="BF373" s="45"/>
    </row>
    <row r="374" spans="1:58" ht="26" customHeight="1" x14ac:dyDescent="0.45">
      <c r="A374" s="56" t="s">
        <v>1332</v>
      </c>
      <c r="B374" s="506" t="s">
        <v>1868</v>
      </c>
      <c r="C374" s="507" t="s">
        <v>39</v>
      </c>
      <c r="D374" s="507" t="s">
        <v>1795</v>
      </c>
      <c r="E374" s="507" t="s">
        <v>1869</v>
      </c>
      <c r="F374" s="507" t="s">
        <v>39</v>
      </c>
      <c r="G374" s="507">
        <v>110</v>
      </c>
      <c r="H374" s="508" t="s">
        <v>267</v>
      </c>
      <c r="I374" s="507" t="s">
        <v>763</v>
      </c>
      <c r="J374" s="508" t="s">
        <v>1869</v>
      </c>
      <c r="K374" s="57" t="s">
        <v>1333</v>
      </c>
      <c r="L374" s="58" t="s">
        <v>846</v>
      </c>
      <c r="M374" s="59" t="s">
        <v>1334</v>
      </c>
      <c r="N374" s="60" t="s">
        <v>367</v>
      </c>
      <c r="O374" s="61">
        <v>294.32</v>
      </c>
      <c r="P374" s="62">
        <v>63.76</v>
      </c>
      <c r="Q374" s="63">
        <f t="shared" ref="Q374:Q380" si="368">ROUND(P374*$O374,2)</f>
        <v>18765.84</v>
      </c>
      <c r="R374" s="61">
        <f>IFERROR(SUMIFS('BM MORRO DA CRUZ - VERTICAL'!V$6:V$546,'BM MORRO DA CRUZ - VERTICAL'!$O$6:$O$546,'BM MORRO DA CRUZ'!$K374),0)</f>
        <v>0</v>
      </c>
      <c r="S374" s="63">
        <f t="shared" ref="S374:S380" si="369">ROUND(R374*$P374,2)</f>
        <v>0</v>
      </c>
      <c r="T374" s="61">
        <f>IFERROR(SUMIFS('BM MORRO DA CRUZ - VERTICAL'!X$6:X$546,'BM MORRO DA CRUZ - VERTICAL'!$O$6:$O$546,'BM MORRO DA CRUZ'!$K374),0)</f>
        <v>0</v>
      </c>
      <c r="U374" s="63">
        <f t="shared" ref="U374:U380" si="370">ROUND(T374*$P374,2)</f>
        <v>0</v>
      </c>
      <c r="V374" s="61">
        <f>IFERROR(SUMIFS('BM MORRO DA CRUZ - VERTICAL'!Z$6:Z$546,'BM MORRO DA CRUZ - VERTICAL'!$O$6:$O$546,'BM MORRO DA CRUZ'!$K374),0)</f>
        <v>0</v>
      </c>
      <c r="W374" s="63">
        <f t="shared" ref="W374:W380" si="371">ROUND(V374*$P374,2)</f>
        <v>0</v>
      </c>
      <c r="X374" s="61">
        <f>IFERROR(SUMIFS('BM MORRO DA CRUZ - VERTICAL'!AB$6:AB$546,'BM MORRO DA CRUZ - VERTICAL'!$O$6:$O$546,'BM MORRO DA CRUZ'!$K374),0)</f>
        <v>0</v>
      </c>
      <c r="Y374" s="63">
        <f t="shared" ref="Y374:Y380" si="372">ROUND(X374*$P374,2)</f>
        <v>0</v>
      </c>
      <c r="Z374" s="61">
        <f>IFERROR(SUMIFS('BM MORRO DA CRUZ - VERTICAL'!AD$6:AD$546,'BM MORRO DA CRUZ - VERTICAL'!$O$6:$O$546,'BM MORRO DA CRUZ'!$K374),0)</f>
        <v>0</v>
      </c>
      <c r="AA374" s="63">
        <f t="shared" ref="AA374:AA380" si="373">ROUND(Z374*$P374,2)</f>
        <v>0</v>
      </c>
      <c r="AB374" s="61">
        <f>IFERROR(SUMIFS('BM MORRO DA CRUZ - VERTICAL'!AF$6:AF$546,'BM MORRO DA CRUZ - VERTICAL'!$O$6:$O$546,'BM MORRO DA CRUZ'!$K374),0)</f>
        <v>0</v>
      </c>
      <c r="AC374" s="63">
        <f t="shared" ref="AC374:AC380" si="374">ROUND(AB374*$P374,2)</f>
        <v>0</v>
      </c>
      <c r="AD374" s="61">
        <f>IFERROR(SUMIFS('BM MORRO DA CRUZ - VERTICAL'!AH$6:AH$546,'BM MORRO DA CRUZ - VERTICAL'!$O$6:$O$546,'BM MORRO DA CRUZ'!$K374),0)</f>
        <v>0</v>
      </c>
      <c r="AE374" s="63">
        <f t="shared" ref="AE374:AE380" si="375">ROUND(AD374*$P374,2)</f>
        <v>0</v>
      </c>
      <c r="AF374" s="61">
        <f>IFERROR(SUMIFS('BM MORRO DA CRUZ - VERTICAL'!AJ$6:AJ$546,'BM MORRO DA CRUZ - VERTICAL'!$O$6:$O$546,'BM MORRO DA CRUZ'!$K374),0)</f>
        <v>0</v>
      </c>
      <c r="AG374" s="63">
        <f t="shared" ref="AG374:AG380" si="376">ROUND(AF374*$P374,2)</f>
        <v>0</v>
      </c>
      <c r="AH374" s="61">
        <f>IFERROR(SUMIFS('BM MORRO DA CRUZ - VERTICAL'!AL$6:AL$546,'BM MORRO DA CRUZ - VERTICAL'!$O$6:$O$546,'BM MORRO DA CRUZ'!$K374),0)</f>
        <v>0</v>
      </c>
      <c r="AI374" s="63">
        <f t="shared" ref="AI374:AI380" si="377">ROUND(AH374*$P374,2)</f>
        <v>0</v>
      </c>
      <c r="AJ374" s="61">
        <f>IFERROR(SUMIFS('BM MORRO DA CRUZ - VERTICAL'!AN$6:AN$546,'BM MORRO DA CRUZ - VERTICAL'!$O$6:$O$546,'BM MORRO DA CRUZ'!$K374),0)</f>
        <v>0</v>
      </c>
      <c r="AK374" s="63">
        <f t="shared" ref="AK374:AK380" si="378">ROUND(AJ374*$P374,2)</f>
        <v>0</v>
      </c>
      <c r="AL374" s="61">
        <f>IFERROR(SUMIFS('BM MORRO DA CRUZ - VERTICAL'!AP$6:AP$546,'BM MORRO DA CRUZ - VERTICAL'!$O$6:$O$546,'BM MORRO DA CRUZ'!$K374),0)</f>
        <v>0</v>
      </c>
      <c r="AM374" s="63">
        <f t="shared" ref="AM374:AM380" si="379">ROUND(AL374*$P374,2)</f>
        <v>0</v>
      </c>
      <c r="AN374" s="61">
        <f>IFERROR(SUMIFS('BM MORRO DA CRUZ - VERTICAL'!AR$6:AR$546,'BM MORRO DA CRUZ - VERTICAL'!$O$6:$O$546,'BM MORRO DA CRUZ'!$K374),0)</f>
        <v>0</v>
      </c>
      <c r="AO374" s="63">
        <f t="shared" ref="AO374:AO380" si="380">ROUND(AN374*$P374,2)</f>
        <v>0</v>
      </c>
      <c r="AP374" s="61">
        <f>IFERROR(SUMIFS('BM MORRO DA CRUZ - VERTICAL'!AT$6:AT$546,'BM MORRO DA CRUZ - VERTICAL'!$O$6:$O$546,'BM MORRO DA CRUZ'!$K374),0)</f>
        <v>0</v>
      </c>
      <c r="AQ374" s="63">
        <f t="shared" ref="AQ374:AQ380" si="381">ROUND(AP374*$P374,2)</f>
        <v>0</v>
      </c>
      <c r="AR374" s="61">
        <f>IFERROR(SUMIFS('BM MORRO DA CRUZ - VERTICAL'!AV$6:AV$546,'BM MORRO DA CRUZ - VERTICAL'!$O$6:$O$546,'BM MORRO DA CRUZ'!$K374),0)</f>
        <v>0</v>
      </c>
      <c r="AS374" s="63">
        <f t="shared" ref="AS374:AS380" si="382">ROUND(AR374*$P374,2)</f>
        <v>0</v>
      </c>
      <c r="AT374" s="61">
        <f>IFERROR(SUMIFS('BM MORRO DA CRUZ - VERTICAL'!AX$6:AX$546,'BM MORRO DA CRUZ - VERTICAL'!$O$6:$O$546,'BM MORRO DA CRUZ'!$K374),0)</f>
        <v>0</v>
      </c>
      <c r="AU374" s="63">
        <f t="shared" ref="AU374:AU380" si="383">ROUND(AT374*$P374,2)</f>
        <v>0</v>
      </c>
      <c r="AV374" s="61">
        <f>IFERROR(SUMIFS('BM MORRO DA CRUZ - VERTICAL'!AZ$6:AZ$546,'BM MORRO DA CRUZ - VERTICAL'!$O$6:$O$546,'BM MORRO DA CRUZ'!$K374),0)</f>
        <v>0</v>
      </c>
      <c r="AW374" s="63">
        <f t="shared" ref="AW374:AW380" si="384">ROUND(AV374*$P374,2)</f>
        <v>0</v>
      </c>
      <c r="AX374" s="61">
        <f>IFERROR(SUMIFS('BM MORRO DA CRUZ - VERTICAL'!BB$6:BB$546,'BM MORRO DA CRUZ - VERTICAL'!$O$6:$O$546,'BM MORRO DA CRUZ'!$K374),0)</f>
        <v>0</v>
      </c>
      <c r="AY374" s="63">
        <f t="shared" ref="AY374:AY380" si="385">ROUND(AX374*$P374,2)</f>
        <v>0</v>
      </c>
      <c r="AZ374" s="61">
        <f>IFERROR(SUMIFS('BM MORRO DA CRUZ - VERTICAL'!BD$6:BD$546,'BM MORRO DA CRUZ - VERTICAL'!$O$6:$O$546,'BM MORRO DA CRUZ'!$K374),0)</f>
        <v>0</v>
      </c>
      <c r="BA374" s="63">
        <f t="shared" ref="BA374:BA380" si="386">ROUND(AZ374*$P374,2)</f>
        <v>0</v>
      </c>
      <c r="BB374" s="61">
        <f t="shared" ref="BB374:BB380" si="387">IFERROR(SUMIFS($R374:$BA374,$R$5:$BA$5,$BB$5),0)</f>
        <v>0</v>
      </c>
      <c r="BC374" s="63">
        <f t="shared" ref="BC374:BC380" si="388">SUMIFS($R374:$BA374,$R$5:$BA$5,$S$5)</f>
        <v>0</v>
      </c>
      <c r="BD374" s="64">
        <f t="shared" ref="BD374:BD380" si="389">IFERROR(BB374/O374,0)</f>
        <v>0</v>
      </c>
      <c r="BE374" s="65">
        <f t="shared" ref="BE374:BE380" si="390">IFERROR((O374-BB374)/O374,0)</f>
        <v>1</v>
      </c>
      <c r="BF374" s="45"/>
    </row>
    <row r="375" spans="1:58" ht="26" customHeight="1" x14ac:dyDescent="0.45">
      <c r="A375" s="56" t="s">
        <v>1335</v>
      </c>
      <c r="B375" s="506" t="s">
        <v>1870</v>
      </c>
      <c r="C375" s="507" t="s">
        <v>39</v>
      </c>
      <c r="D375" s="507" t="s">
        <v>1795</v>
      </c>
      <c r="E375" s="507" t="s">
        <v>1869</v>
      </c>
      <c r="F375" s="507" t="s">
        <v>39</v>
      </c>
      <c r="G375" s="507">
        <v>160</v>
      </c>
      <c r="H375" s="508" t="s">
        <v>267</v>
      </c>
      <c r="I375" s="507" t="s">
        <v>763</v>
      </c>
      <c r="J375" s="508" t="s">
        <v>1869</v>
      </c>
      <c r="K375" s="57" t="s">
        <v>1336</v>
      </c>
      <c r="L375" s="58" t="s">
        <v>846</v>
      </c>
      <c r="M375" s="59" t="s">
        <v>1337</v>
      </c>
      <c r="N375" s="60" t="s">
        <v>367</v>
      </c>
      <c r="O375" s="61">
        <v>3318.34</v>
      </c>
      <c r="P375" s="62">
        <v>110.96</v>
      </c>
      <c r="Q375" s="63">
        <f t="shared" si="368"/>
        <v>368203.01</v>
      </c>
      <c r="R375" s="61">
        <f>IFERROR(SUMIFS('BM MORRO DA CRUZ - VERTICAL'!V$6:V$546,'BM MORRO DA CRUZ - VERTICAL'!$O$6:$O$546,'BM MORRO DA CRUZ'!$K375),0)</f>
        <v>0</v>
      </c>
      <c r="S375" s="63">
        <f t="shared" si="369"/>
        <v>0</v>
      </c>
      <c r="T375" s="61">
        <f>IFERROR(SUMIFS('BM MORRO DA CRUZ - VERTICAL'!X$6:X$546,'BM MORRO DA CRUZ - VERTICAL'!$O$6:$O$546,'BM MORRO DA CRUZ'!$K375),0)</f>
        <v>0</v>
      </c>
      <c r="U375" s="63">
        <f t="shared" si="370"/>
        <v>0</v>
      </c>
      <c r="V375" s="61">
        <f>IFERROR(SUMIFS('BM MORRO DA CRUZ - VERTICAL'!Z$6:Z$546,'BM MORRO DA CRUZ - VERTICAL'!$O$6:$O$546,'BM MORRO DA CRUZ'!$K375),0)</f>
        <v>0</v>
      </c>
      <c r="W375" s="63">
        <f t="shared" si="371"/>
        <v>0</v>
      </c>
      <c r="X375" s="61">
        <f>IFERROR(SUMIFS('BM MORRO DA CRUZ - VERTICAL'!AB$6:AB$546,'BM MORRO DA CRUZ - VERTICAL'!$O$6:$O$546,'BM MORRO DA CRUZ'!$K375),0)</f>
        <v>0</v>
      </c>
      <c r="Y375" s="63">
        <f t="shared" si="372"/>
        <v>0</v>
      </c>
      <c r="Z375" s="61">
        <f>IFERROR(SUMIFS('BM MORRO DA CRUZ - VERTICAL'!AD$6:AD$546,'BM MORRO DA CRUZ - VERTICAL'!$O$6:$O$546,'BM MORRO DA CRUZ'!$K375),0)</f>
        <v>0</v>
      </c>
      <c r="AA375" s="63">
        <f t="shared" si="373"/>
        <v>0</v>
      </c>
      <c r="AB375" s="61">
        <f>IFERROR(SUMIFS('BM MORRO DA CRUZ - VERTICAL'!AF$6:AF$546,'BM MORRO DA CRUZ - VERTICAL'!$O$6:$O$546,'BM MORRO DA CRUZ'!$K375),0)</f>
        <v>0</v>
      </c>
      <c r="AC375" s="63">
        <f t="shared" si="374"/>
        <v>0</v>
      </c>
      <c r="AD375" s="61">
        <f>IFERROR(SUMIFS('BM MORRO DA CRUZ - VERTICAL'!AH$6:AH$546,'BM MORRO DA CRUZ - VERTICAL'!$O$6:$O$546,'BM MORRO DA CRUZ'!$K375),0)</f>
        <v>0</v>
      </c>
      <c r="AE375" s="63">
        <f t="shared" si="375"/>
        <v>0</v>
      </c>
      <c r="AF375" s="61">
        <f>IFERROR(SUMIFS('BM MORRO DA CRUZ - VERTICAL'!AJ$6:AJ$546,'BM MORRO DA CRUZ - VERTICAL'!$O$6:$O$546,'BM MORRO DA CRUZ'!$K375),0)</f>
        <v>0</v>
      </c>
      <c r="AG375" s="63">
        <f t="shared" si="376"/>
        <v>0</v>
      </c>
      <c r="AH375" s="61">
        <f>IFERROR(SUMIFS('BM MORRO DA CRUZ - VERTICAL'!AL$6:AL$546,'BM MORRO DA CRUZ - VERTICAL'!$O$6:$O$546,'BM MORRO DA CRUZ'!$K375),0)</f>
        <v>0</v>
      </c>
      <c r="AI375" s="63">
        <f t="shared" si="377"/>
        <v>0</v>
      </c>
      <c r="AJ375" s="61">
        <f>IFERROR(SUMIFS('BM MORRO DA CRUZ - VERTICAL'!AN$6:AN$546,'BM MORRO DA CRUZ - VERTICAL'!$O$6:$O$546,'BM MORRO DA CRUZ'!$K375),0)</f>
        <v>0</v>
      </c>
      <c r="AK375" s="63">
        <f t="shared" si="378"/>
        <v>0</v>
      </c>
      <c r="AL375" s="61">
        <f>IFERROR(SUMIFS('BM MORRO DA CRUZ - VERTICAL'!AP$6:AP$546,'BM MORRO DA CRUZ - VERTICAL'!$O$6:$O$546,'BM MORRO DA CRUZ'!$K375),0)</f>
        <v>0</v>
      </c>
      <c r="AM375" s="63">
        <f t="shared" si="379"/>
        <v>0</v>
      </c>
      <c r="AN375" s="61">
        <f>IFERROR(SUMIFS('BM MORRO DA CRUZ - VERTICAL'!AR$6:AR$546,'BM MORRO DA CRUZ - VERTICAL'!$O$6:$O$546,'BM MORRO DA CRUZ'!$K375),0)</f>
        <v>0</v>
      </c>
      <c r="AO375" s="63">
        <f t="shared" si="380"/>
        <v>0</v>
      </c>
      <c r="AP375" s="61">
        <f>IFERROR(SUMIFS('BM MORRO DA CRUZ - VERTICAL'!AT$6:AT$546,'BM MORRO DA CRUZ - VERTICAL'!$O$6:$O$546,'BM MORRO DA CRUZ'!$K375),0)</f>
        <v>0</v>
      </c>
      <c r="AQ375" s="63">
        <f t="shared" si="381"/>
        <v>0</v>
      </c>
      <c r="AR375" s="61">
        <f>IFERROR(SUMIFS('BM MORRO DA CRUZ - VERTICAL'!AV$6:AV$546,'BM MORRO DA CRUZ - VERTICAL'!$O$6:$O$546,'BM MORRO DA CRUZ'!$K375),0)</f>
        <v>0</v>
      </c>
      <c r="AS375" s="63">
        <f t="shared" si="382"/>
        <v>0</v>
      </c>
      <c r="AT375" s="61">
        <f>IFERROR(SUMIFS('BM MORRO DA CRUZ - VERTICAL'!AX$6:AX$546,'BM MORRO DA CRUZ - VERTICAL'!$O$6:$O$546,'BM MORRO DA CRUZ'!$K375),0)</f>
        <v>0</v>
      </c>
      <c r="AU375" s="63">
        <f t="shared" si="383"/>
        <v>0</v>
      </c>
      <c r="AV375" s="61">
        <f>IFERROR(SUMIFS('BM MORRO DA CRUZ - VERTICAL'!AZ$6:AZ$546,'BM MORRO DA CRUZ - VERTICAL'!$O$6:$O$546,'BM MORRO DA CRUZ'!$K375),0)</f>
        <v>0</v>
      </c>
      <c r="AW375" s="63">
        <f t="shared" si="384"/>
        <v>0</v>
      </c>
      <c r="AX375" s="61">
        <f>IFERROR(SUMIFS('BM MORRO DA CRUZ - VERTICAL'!BB$6:BB$546,'BM MORRO DA CRUZ - VERTICAL'!$O$6:$O$546,'BM MORRO DA CRUZ'!$K375),0)</f>
        <v>0</v>
      </c>
      <c r="AY375" s="63">
        <f t="shared" si="385"/>
        <v>0</v>
      </c>
      <c r="AZ375" s="61">
        <f>IFERROR(SUMIFS('BM MORRO DA CRUZ - VERTICAL'!BD$6:BD$546,'BM MORRO DA CRUZ - VERTICAL'!$O$6:$O$546,'BM MORRO DA CRUZ'!$K375),0)</f>
        <v>0</v>
      </c>
      <c r="BA375" s="63">
        <f t="shared" si="386"/>
        <v>0</v>
      </c>
      <c r="BB375" s="61">
        <f t="shared" si="387"/>
        <v>0</v>
      </c>
      <c r="BC375" s="63">
        <f t="shared" si="388"/>
        <v>0</v>
      </c>
      <c r="BD375" s="64">
        <f t="shared" si="389"/>
        <v>0</v>
      </c>
      <c r="BE375" s="65">
        <f t="shared" si="390"/>
        <v>1</v>
      </c>
      <c r="BF375" s="45"/>
    </row>
    <row r="376" spans="1:58" ht="26" customHeight="1" x14ac:dyDescent="0.45">
      <c r="A376" s="56" t="s">
        <v>1338</v>
      </c>
      <c r="B376" s="506" t="s">
        <v>1871</v>
      </c>
      <c r="C376" s="507" t="s">
        <v>39</v>
      </c>
      <c r="D376" s="507" t="s">
        <v>1795</v>
      </c>
      <c r="E376" s="507" t="s">
        <v>1869</v>
      </c>
      <c r="F376" s="507" t="s">
        <v>39</v>
      </c>
      <c r="G376" s="507">
        <v>225</v>
      </c>
      <c r="H376" s="508" t="s">
        <v>267</v>
      </c>
      <c r="I376" s="507" t="s">
        <v>1825</v>
      </c>
      <c r="J376" s="508" t="s">
        <v>1869</v>
      </c>
      <c r="K376" s="57" t="s">
        <v>1339</v>
      </c>
      <c r="L376" s="58" t="s">
        <v>846</v>
      </c>
      <c r="M376" s="59" t="s">
        <v>1340</v>
      </c>
      <c r="N376" s="60" t="s">
        <v>367</v>
      </c>
      <c r="O376" s="61">
        <v>1432.11</v>
      </c>
      <c r="P376" s="62">
        <v>164.04</v>
      </c>
      <c r="Q376" s="63">
        <f t="shared" si="368"/>
        <v>234923.32</v>
      </c>
      <c r="R376" s="61">
        <f>IFERROR(SUMIFS('BM MORRO DA CRUZ - VERTICAL'!V$6:V$546,'BM MORRO DA CRUZ - VERTICAL'!$O$6:$O$546,'BM MORRO DA CRUZ'!$K376),0)</f>
        <v>0</v>
      </c>
      <c r="S376" s="63">
        <f t="shared" si="369"/>
        <v>0</v>
      </c>
      <c r="T376" s="61">
        <f>IFERROR(SUMIFS('BM MORRO DA CRUZ - VERTICAL'!X$6:X$546,'BM MORRO DA CRUZ - VERTICAL'!$O$6:$O$546,'BM MORRO DA CRUZ'!$K376),0)</f>
        <v>0</v>
      </c>
      <c r="U376" s="63">
        <f t="shared" si="370"/>
        <v>0</v>
      </c>
      <c r="V376" s="61">
        <f>IFERROR(SUMIFS('BM MORRO DA CRUZ - VERTICAL'!Z$6:Z$546,'BM MORRO DA CRUZ - VERTICAL'!$O$6:$O$546,'BM MORRO DA CRUZ'!$K376),0)</f>
        <v>0</v>
      </c>
      <c r="W376" s="63">
        <f t="shared" si="371"/>
        <v>0</v>
      </c>
      <c r="X376" s="61">
        <f>IFERROR(SUMIFS('BM MORRO DA CRUZ - VERTICAL'!AB$6:AB$546,'BM MORRO DA CRUZ - VERTICAL'!$O$6:$O$546,'BM MORRO DA CRUZ'!$K376),0)</f>
        <v>0</v>
      </c>
      <c r="Y376" s="63">
        <f t="shared" si="372"/>
        <v>0</v>
      </c>
      <c r="Z376" s="61">
        <f>IFERROR(SUMIFS('BM MORRO DA CRUZ - VERTICAL'!AD$6:AD$546,'BM MORRO DA CRUZ - VERTICAL'!$O$6:$O$546,'BM MORRO DA CRUZ'!$K376),0)</f>
        <v>0</v>
      </c>
      <c r="AA376" s="63">
        <f t="shared" si="373"/>
        <v>0</v>
      </c>
      <c r="AB376" s="61">
        <f>IFERROR(SUMIFS('BM MORRO DA CRUZ - VERTICAL'!AF$6:AF$546,'BM MORRO DA CRUZ - VERTICAL'!$O$6:$O$546,'BM MORRO DA CRUZ'!$K376),0)</f>
        <v>0</v>
      </c>
      <c r="AC376" s="63">
        <f t="shared" si="374"/>
        <v>0</v>
      </c>
      <c r="AD376" s="61">
        <f>IFERROR(SUMIFS('BM MORRO DA CRUZ - VERTICAL'!AH$6:AH$546,'BM MORRO DA CRUZ - VERTICAL'!$O$6:$O$546,'BM MORRO DA CRUZ'!$K376),0)</f>
        <v>0</v>
      </c>
      <c r="AE376" s="63">
        <f t="shared" si="375"/>
        <v>0</v>
      </c>
      <c r="AF376" s="61">
        <f>IFERROR(SUMIFS('BM MORRO DA CRUZ - VERTICAL'!AJ$6:AJ$546,'BM MORRO DA CRUZ - VERTICAL'!$O$6:$O$546,'BM MORRO DA CRUZ'!$K376),0)</f>
        <v>0</v>
      </c>
      <c r="AG376" s="63">
        <f t="shared" si="376"/>
        <v>0</v>
      </c>
      <c r="AH376" s="61">
        <f>IFERROR(SUMIFS('BM MORRO DA CRUZ - VERTICAL'!AL$6:AL$546,'BM MORRO DA CRUZ - VERTICAL'!$O$6:$O$546,'BM MORRO DA CRUZ'!$K376),0)</f>
        <v>0</v>
      </c>
      <c r="AI376" s="63">
        <f t="shared" si="377"/>
        <v>0</v>
      </c>
      <c r="AJ376" s="61">
        <f>IFERROR(SUMIFS('BM MORRO DA CRUZ - VERTICAL'!AN$6:AN$546,'BM MORRO DA CRUZ - VERTICAL'!$O$6:$O$546,'BM MORRO DA CRUZ'!$K376),0)</f>
        <v>0</v>
      </c>
      <c r="AK376" s="63">
        <f t="shared" si="378"/>
        <v>0</v>
      </c>
      <c r="AL376" s="61">
        <f>IFERROR(SUMIFS('BM MORRO DA CRUZ - VERTICAL'!AP$6:AP$546,'BM MORRO DA CRUZ - VERTICAL'!$O$6:$O$546,'BM MORRO DA CRUZ'!$K376),0)</f>
        <v>0</v>
      </c>
      <c r="AM376" s="63">
        <f t="shared" si="379"/>
        <v>0</v>
      </c>
      <c r="AN376" s="61">
        <f>IFERROR(SUMIFS('BM MORRO DA CRUZ - VERTICAL'!AR$6:AR$546,'BM MORRO DA CRUZ - VERTICAL'!$O$6:$O$546,'BM MORRO DA CRUZ'!$K376),0)</f>
        <v>0</v>
      </c>
      <c r="AO376" s="63">
        <f t="shared" si="380"/>
        <v>0</v>
      </c>
      <c r="AP376" s="61">
        <f>IFERROR(SUMIFS('BM MORRO DA CRUZ - VERTICAL'!AT$6:AT$546,'BM MORRO DA CRUZ - VERTICAL'!$O$6:$O$546,'BM MORRO DA CRUZ'!$K376),0)</f>
        <v>0</v>
      </c>
      <c r="AQ376" s="63">
        <f t="shared" si="381"/>
        <v>0</v>
      </c>
      <c r="AR376" s="61">
        <f>IFERROR(SUMIFS('BM MORRO DA CRUZ - VERTICAL'!AV$6:AV$546,'BM MORRO DA CRUZ - VERTICAL'!$O$6:$O$546,'BM MORRO DA CRUZ'!$K376),0)</f>
        <v>0</v>
      </c>
      <c r="AS376" s="63">
        <f t="shared" si="382"/>
        <v>0</v>
      </c>
      <c r="AT376" s="61">
        <f>IFERROR(SUMIFS('BM MORRO DA CRUZ - VERTICAL'!AX$6:AX$546,'BM MORRO DA CRUZ - VERTICAL'!$O$6:$O$546,'BM MORRO DA CRUZ'!$K376),0)</f>
        <v>0</v>
      </c>
      <c r="AU376" s="63">
        <f t="shared" si="383"/>
        <v>0</v>
      </c>
      <c r="AV376" s="61">
        <f>IFERROR(SUMIFS('BM MORRO DA CRUZ - VERTICAL'!AZ$6:AZ$546,'BM MORRO DA CRUZ - VERTICAL'!$O$6:$O$546,'BM MORRO DA CRUZ'!$K376),0)</f>
        <v>0</v>
      </c>
      <c r="AW376" s="63">
        <f t="shared" si="384"/>
        <v>0</v>
      </c>
      <c r="AX376" s="61">
        <f>IFERROR(SUMIFS('BM MORRO DA CRUZ - VERTICAL'!BB$6:BB$546,'BM MORRO DA CRUZ - VERTICAL'!$O$6:$O$546,'BM MORRO DA CRUZ'!$K376),0)</f>
        <v>0</v>
      </c>
      <c r="AY376" s="63">
        <f t="shared" si="385"/>
        <v>0</v>
      </c>
      <c r="AZ376" s="61">
        <f>IFERROR(SUMIFS('BM MORRO DA CRUZ - VERTICAL'!BD$6:BD$546,'BM MORRO DA CRUZ - VERTICAL'!$O$6:$O$546,'BM MORRO DA CRUZ'!$K376),0)</f>
        <v>0</v>
      </c>
      <c r="BA376" s="63">
        <f t="shared" si="386"/>
        <v>0</v>
      </c>
      <c r="BB376" s="61">
        <f t="shared" si="387"/>
        <v>0</v>
      </c>
      <c r="BC376" s="63">
        <f t="shared" si="388"/>
        <v>0</v>
      </c>
      <c r="BD376" s="64">
        <f t="shared" si="389"/>
        <v>0</v>
      </c>
      <c r="BE376" s="65">
        <f t="shared" si="390"/>
        <v>1</v>
      </c>
      <c r="BF376" s="45"/>
    </row>
    <row r="377" spans="1:58" ht="26" customHeight="1" x14ac:dyDescent="0.45">
      <c r="A377" s="56" t="s">
        <v>1341</v>
      </c>
      <c r="B377" s="506" t="s">
        <v>1872</v>
      </c>
      <c r="C377" s="507" t="s">
        <v>39</v>
      </c>
      <c r="D377" s="507" t="s">
        <v>1795</v>
      </c>
      <c r="E377" s="507" t="s">
        <v>1869</v>
      </c>
      <c r="F377" s="507" t="s">
        <v>39</v>
      </c>
      <c r="G377" s="507">
        <v>250</v>
      </c>
      <c r="H377" s="508" t="s">
        <v>267</v>
      </c>
      <c r="I377" s="507" t="s">
        <v>763</v>
      </c>
      <c r="J377" s="508" t="s">
        <v>1869</v>
      </c>
      <c r="K377" s="57" t="s">
        <v>1342</v>
      </c>
      <c r="L377" s="58" t="s">
        <v>846</v>
      </c>
      <c r="M377" s="59" t="s">
        <v>1343</v>
      </c>
      <c r="N377" s="60" t="s">
        <v>367</v>
      </c>
      <c r="O377" s="61">
        <v>920.05</v>
      </c>
      <c r="P377" s="62">
        <v>316.99</v>
      </c>
      <c r="Q377" s="63">
        <f t="shared" si="368"/>
        <v>291646.65000000002</v>
      </c>
      <c r="R377" s="61">
        <f>IFERROR(SUMIFS('BM MORRO DA CRUZ - VERTICAL'!V$6:V$546,'BM MORRO DA CRUZ - VERTICAL'!$O$6:$O$546,'BM MORRO DA CRUZ'!$K377),0)</f>
        <v>0</v>
      </c>
      <c r="S377" s="63">
        <f t="shared" si="369"/>
        <v>0</v>
      </c>
      <c r="T377" s="61">
        <f>IFERROR(SUMIFS('BM MORRO DA CRUZ - VERTICAL'!X$6:X$546,'BM MORRO DA CRUZ - VERTICAL'!$O$6:$O$546,'BM MORRO DA CRUZ'!$K377),0)</f>
        <v>0</v>
      </c>
      <c r="U377" s="63">
        <f t="shared" si="370"/>
        <v>0</v>
      </c>
      <c r="V377" s="61">
        <f>IFERROR(SUMIFS('BM MORRO DA CRUZ - VERTICAL'!Z$6:Z$546,'BM MORRO DA CRUZ - VERTICAL'!$O$6:$O$546,'BM MORRO DA CRUZ'!$K377),0)</f>
        <v>0</v>
      </c>
      <c r="W377" s="63">
        <f t="shared" si="371"/>
        <v>0</v>
      </c>
      <c r="X377" s="61">
        <f>IFERROR(SUMIFS('BM MORRO DA CRUZ - VERTICAL'!AB$6:AB$546,'BM MORRO DA CRUZ - VERTICAL'!$O$6:$O$546,'BM MORRO DA CRUZ'!$K377),0)</f>
        <v>0</v>
      </c>
      <c r="Y377" s="63">
        <f t="shared" si="372"/>
        <v>0</v>
      </c>
      <c r="Z377" s="61">
        <f>IFERROR(SUMIFS('BM MORRO DA CRUZ - VERTICAL'!AD$6:AD$546,'BM MORRO DA CRUZ - VERTICAL'!$O$6:$O$546,'BM MORRO DA CRUZ'!$K377),0)</f>
        <v>0</v>
      </c>
      <c r="AA377" s="63">
        <f t="shared" si="373"/>
        <v>0</v>
      </c>
      <c r="AB377" s="61">
        <f>IFERROR(SUMIFS('BM MORRO DA CRUZ - VERTICAL'!AF$6:AF$546,'BM MORRO DA CRUZ - VERTICAL'!$O$6:$O$546,'BM MORRO DA CRUZ'!$K377),0)</f>
        <v>0</v>
      </c>
      <c r="AC377" s="63">
        <f t="shared" si="374"/>
        <v>0</v>
      </c>
      <c r="AD377" s="61">
        <f>IFERROR(SUMIFS('BM MORRO DA CRUZ - VERTICAL'!AH$6:AH$546,'BM MORRO DA CRUZ - VERTICAL'!$O$6:$O$546,'BM MORRO DA CRUZ'!$K377),0)</f>
        <v>0</v>
      </c>
      <c r="AE377" s="63">
        <f t="shared" si="375"/>
        <v>0</v>
      </c>
      <c r="AF377" s="61">
        <f>IFERROR(SUMIFS('BM MORRO DA CRUZ - VERTICAL'!AJ$6:AJ$546,'BM MORRO DA CRUZ - VERTICAL'!$O$6:$O$546,'BM MORRO DA CRUZ'!$K377),0)</f>
        <v>0</v>
      </c>
      <c r="AG377" s="63">
        <f t="shared" si="376"/>
        <v>0</v>
      </c>
      <c r="AH377" s="61">
        <f>IFERROR(SUMIFS('BM MORRO DA CRUZ - VERTICAL'!AL$6:AL$546,'BM MORRO DA CRUZ - VERTICAL'!$O$6:$O$546,'BM MORRO DA CRUZ'!$K377),0)</f>
        <v>0</v>
      </c>
      <c r="AI377" s="63">
        <f t="shared" si="377"/>
        <v>0</v>
      </c>
      <c r="AJ377" s="61">
        <f>IFERROR(SUMIFS('BM MORRO DA CRUZ - VERTICAL'!AN$6:AN$546,'BM MORRO DA CRUZ - VERTICAL'!$O$6:$O$546,'BM MORRO DA CRUZ'!$K377),0)</f>
        <v>0</v>
      </c>
      <c r="AK377" s="63">
        <f t="shared" si="378"/>
        <v>0</v>
      </c>
      <c r="AL377" s="61">
        <f>IFERROR(SUMIFS('BM MORRO DA CRUZ - VERTICAL'!AP$6:AP$546,'BM MORRO DA CRUZ - VERTICAL'!$O$6:$O$546,'BM MORRO DA CRUZ'!$K377),0)</f>
        <v>0</v>
      </c>
      <c r="AM377" s="63">
        <f t="shared" si="379"/>
        <v>0</v>
      </c>
      <c r="AN377" s="61">
        <f>IFERROR(SUMIFS('BM MORRO DA CRUZ - VERTICAL'!AR$6:AR$546,'BM MORRO DA CRUZ - VERTICAL'!$O$6:$O$546,'BM MORRO DA CRUZ'!$K377),0)</f>
        <v>0</v>
      </c>
      <c r="AO377" s="63">
        <f t="shared" si="380"/>
        <v>0</v>
      </c>
      <c r="AP377" s="61">
        <f>IFERROR(SUMIFS('BM MORRO DA CRUZ - VERTICAL'!AT$6:AT$546,'BM MORRO DA CRUZ - VERTICAL'!$O$6:$O$546,'BM MORRO DA CRUZ'!$K377),0)</f>
        <v>0</v>
      </c>
      <c r="AQ377" s="63">
        <f t="shared" si="381"/>
        <v>0</v>
      </c>
      <c r="AR377" s="61">
        <f>IFERROR(SUMIFS('BM MORRO DA CRUZ - VERTICAL'!AV$6:AV$546,'BM MORRO DA CRUZ - VERTICAL'!$O$6:$O$546,'BM MORRO DA CRUZ'!$K377),0)</f>
        <v>0</v>
      </c>
      <c r="AS377" s="63">
        <f t="shared" si="382"/>
        <v>0</v>
      </c>
      <c r="AT377" s="61">
        <f>IFERROR(SUMIFS('BM MORRO DA CRUZ - VERTICAL'!AX$6:AX$546,'BM MORRO DA CRUZ - VERTICAL'!$O$6:$O$546,'BM MORRO DA CRUZ'!$K377),0)</f>
        <v>0</v>
      </c>
      <c r="AU377" s="63">
        <f t="shared" si="383"/>
        <v>0</v>
      </c>
      <c r="AV377" s="61">
        <f>IFERROR(SUMIFS('BM MORRO DA CRUZ - VERTICAL'!AZ$6:AZ$546,'BM MORRO DA CRUZ - VERTICAL'!$O$6:$O$546,'BM MORRO DA CRUZ'!$K377),0)</f>
        <v>0</v>
      </c>
      <c r="AW377" s="63">
        <f t="shared" si="384"/>
        <v>0</v>
      </c>
      <c r="AX377" s="61">
        <f>IFERROR(SUMIFS('BM MORRO DA CRUZ - VERTICAL'!BB$6:BB$546,'BM MORRO DA CRUZ - VERTICAL'!$O$6:$O$546,'BM MORRO DA CRUZ'!$K377),0)</f>
        <v>0</v>
      </c>
      <c r="AY377" s="63">
        <f t="shared" si="385"/>
        <v>0</v>
      </c>
      <c r="AZ377" s="61">
        <f>IFERROR(SUMIFS('BM MORRO DA CRUZ - VERTICAL'!BD$6:BD$546,'BM MORRO DA CRUZ - VERTICAL'!$O$6:$O$546,'BM MORRO DA CRUZ'!$K377),0)</f>
        <v>0</v>
      </c>
      <c r="BA377" s="63">
        <f t="shared" si="386"/>
        <v>0</v>
      </c>
      <c r="BB377" s="61">
        <f t="shared" si="387"/>
        <v>0</v>
      </c>
      <c r="BC377" s="63">
        <f t="shared" si="388"/>
        <v>0</v>
      </c>
      <c r="BD377" s="64">
        <f t="shared" si="389"/>
        <v>0</v>
      </c>
      <c r="BE377" s="65">
        <f t="shared" si="390"/>
        <v>1</v>
      </c>
      <c r="BF377" s="45"/>
    </row>
    <row r="378" spans="1:58" ht="26" customHeight="1" x14ac:dyDescent="0.45">
      <c r="A378" s="56" t="s">
        <v>1344</v>
      </c>
      <c r="B378" s="506" t="s">
        <v>1873</v>
      </c>
      <c r="C378" s="507" t="s">
        <v>39</v>
      </c>
      <c r="D378" s="507" t="s">
        <v>1795</v>
      </c>
      <c r="E378" s="507" t="s">
        <v>1869</v>
      </c>
      <c r="F378" s="507" t="s">
        <v>39</v>
      </c>
      <c r="G378" s="507">
        <v>280</v>
      </c>
      <c r="H378" s="508" t="s">
        <v>267</v>
      </c>
      <c r="I378" s="507" t="s">
        <v>763</v>
      </c>
      <c r="J378" s="508" t="s">
        <v>1869</v>
      </c>
      <c r="K378" s="57" t="s">
        <v>1345</v>
      </c>
      <c r="L378" s="58" t="s">
        <v>846</v>
      </c>
      <c r="M378" s="59" t="s">
        <v>1346</v>
      </c>
      <c r="N378" s="60" t="s">
        <v>367</v>
      </c>
      <c r="O378" s="61">
        <v>454.75</v>
      </c>
      <c r="P378" s="62">
        <v>317.25</v>
      </c>
      <c r="Q378" s="63">
        <f t="shared" si="368"/>
        <v>144269.44</v>
      </c>
      <c r="R378" s="61">
        <f>IFERROR(SUMIFS('BM MORRO DA CRUZ - VERTICAL'!V$6:V$546,'BM MORRO DA CRUZ - VERTICAL'!$O$6:$O$546,'BM MORRO DA CRUZ'!$K378),0)</f>
        <v>0</v>
      </c>
      <c r="S378" s="63">
        <f t="shared" si="369"/>
        <v>0</v>
      </c>
      <c r="T378" s="61">
        <f>IFERROR(SUMIFS('BM MORRO DA CRUZ - VERTICAL'!X$6:X$546,'BM MORRO DA CRUZ - VERTICAL'!$O$6:$O$546,'BM MORRO DA CRUZ'!$K378),0)</f>
        <v>0</v>
      </c>
      <c r="U378" s="63">
        <f t="shared" si="370"/>
        <v>0</v>
      </c>
      <c r="V378" s="61">
        <f>IFERROR(SUMIFS('BM MORRO DA CRUZ - VERTICAL'!Z$6:Z$546,'BM MORRO DA CRUZ - VERTICAL'!$O$6:$O$546,'BM MORRO DA CRUZ'!$K378),0)</f>
        <v>0</v>
      </c>
      <c r="W378" s="63">
        <f t="shared" si="371"/>
        <v>0</v>
      </c>
      <c r="X378" s="61">
        <f>IFERROR(SUMIFS('BM MORRO DA CRUZ - VERTICAL'!AB$6:AB$546,'BM MORRO DA CRUZ - VERTICAL'!$O$6:$O$546,'BM MORRO DA CRUZ'!$K378),0)</f>
        <v>0</v>
      </c>
      <c r="Y378" s="63">
        <f t="shared" si="372"/>
        <v>0</v>
      </c>
      <c r="Z378" s="61">
        <f>IFERROR(SUMIFS('BM MORRO DA CRUZ - VERTICAL'!AD$6:AD$546,'BM MORRO DA CRUZ - VERTICAL'!$O$6:$O$546,'BM MORRO DA CRUZ'!$K378),0)</f>
        <v>0</v>
      </c>
      <c r="AA378" s="63">
        <f t="shared" si="373"/>
        <v>0</v>
      </c>
      <c r="AB378" s="61">
        <f>IFERROR(SUMIFS('BM MORRO DA CRUZ - VERTICAL'!AF$6:AF$546,'BM MORRO DA CRUZ - VERTICAL'!$O$6:$O$546,'BM MORRO DA CRUZ'!$K378),0)</f>
        <v>0</v>
      </c>
      <c r="AC378" s="63">
        <f t="shared" si="374"/>
        <v>0</v>
      </c>
      <c r="AD378" s="61">
        <f>IFERROR(SUMIFS('BM MORRO DA CRUZ - VERTICAL'!AH$6:AH$546,'BM MORRO DA CRUZ - VERTICAL'!$O$6:$O$546,'BM MORRO DA CRUZ'!$K378),0)</f>
        <v>0</v>
      </c>
      <c r="AE378" s="63">
        <f t="shared" si="375"/>
        <v>0</v>
      </c>
      <c r="AF378" s="61">
        <f>IFERROR(SUMIFS('BM MORRO DA CRUZ - VERTICAL'!AJ$6:AJ$546,'BM MORRO DA CRUZ - VERTICAL'!$O$6:$O$546,'BM MORRO DA CRUZ'!$K378),0)</f>
        <v>0</v>
      </c>
      <c r="AG378" s="63">
        <f t="shared" si="376"/>
        <v>0</v>
      </c>
      <c r="AH378" s="61">
        <f>IFERROR(SUMIFS('BM MORRO DA CRUZ - VERTICAL'!AL$6:AL$546,'BM MORRO DA CRUZ - VERTICAL'!$O$6:$O$546,'BM MORRO DA CRUZ'!$K378),0)</f>
        <v>0</v>
      </c>
      <c r="AI378" s="63">
        <f t="shared" si="377"/>
        <v>0</v>
      </c>
      <c r="AJ378" s="61">
        <f>IFERROR(SUMIFS('BM MORRO DA CRUZ - VERTICAL'!AN$6:AN$546,'BM MORRO DA CRUZ - VERTICAL'!$O$6:$O$546,'BM MORRO DA CRUZ'!$K378),0)</f>
        <v>0</v>
      </c>
      <c r="AK378" s="63">
        <f t="shared" si="378"/>
        <v>0</v>
      </c>
      <c r="AL378" s="61">
        <f>IFERROR(SUMIFS('BM MORRO DA CRUZ - VERTICAL'!AP$6:AP$546,'BM MORRO DA CRUZ - VERTICAL'!$O$6:$O$546,'BM MORRO DA CRUZ'!$K378),0)</f>
        <v>0</v>
      </c>
      <c r="AM378" s="63">
        <f t="shared" si="379"/>
        <v>0</v>
      </c>
      <c r="AN378" s="61">
        <f>IFERROR(SUMIFS('BM MORRO DA CRUZ - VERTICAL'!AR$6:AR$546,'BM MORRO DA CRUZ - VERTICAL'!$O$6:$O$546,'BM MORRO DA CRUZ'!$K378),0)</f>
        <v>0</v>
      </c>
      <c r="AO378" s="63">
        <f t="shared" si="380"/>
        <v>0</v>
      </c>
      <c r="AP378" s="61">
        <f>IFERROR(SUMIFS('BM MORRO DA CRUZ - VERTICAL'!AT$6:AT$546,'BM MORRO DA CRUZ - VERTICAL'!$O$6:$O$546,'BM MORRO DA CRUZ'!$K378),0)</f>
        <v>0</v>
      </c>
      <c r="AQ378" s="63">
        <f t="shared" si="381"/>
        <v>0</v>
      </c>
      <c r="AR378" s="61">
        <f>IFERROR(SUMIFS('BM MORRO DA CRUZ - VERTICAL'!AV$6:AV$546,'BM MORRO DA CRUZ - VERTICAL'!$O$6:$O$546,'BM MORRO DA CRUZ'!$K378),0)</f>
        <v>0</v>
      </c>
      <c r="AS378" s="63">
        <f t="shared" si="382"/>
        <v>0</v>
      </c>
      <c r="AT378" s="61">
        <f>IFERROR(SUMIFS('BM MORRO DA CRUZ - VERTICAL'!AX$6:AX$546,'BM MORRO DA CRUZ - VERTICAL'!$O$6:$O$546,'BM MORRO DA CRUZ'!$K378),0)</f>
        <v>0</v>
      </c>
      <c r="AU378" s="63">
        <f t="shared" si="383"/>
        <v>0</v>
      </c>
      <c r="AV378" s="61">
        <f>IFERROR(SUMIFS('BM MORRO DA CRUZ - VERTICAL'!AZ$6:AZ$546,'BM MORRO DA CRUZ - VERTICAL'!$O$6:$O$546,'BM MORRO DA CRUZ'!$K378),0)</f>
        <v>0</v>
      </c>
      <c r="AW378" s="63">
        <f t="shared" si="384"/>
        <v>0</v>
      </c>
      <c r="AX378" s="61">
        <f>IFERROR(SUMIFS('BM MORRO DA CRUZ - VERTICAL'!BB$6:BB$546,'BM MORRO DA CRUZ - VERTICAL'!$O$6:$O$546,'BM MORRO DA CRUZ'!$K378),0)</f>
        <v>0</v>
      </c>
      <c r="AY378" s="63">
        <f t="shared" si="385"/>
        <v>0</v>
      </c>
      <c r="AZ378" s="61">
        <f>IFERROR(SUMIFS('BM MORRO DA CRUZ - VERTICAL'!BD$6:BD$546,'BM MORRO DA CRUZ - VERTICAL'!$O$6:$O$546,'BM MORRO DA CRUZ'!$K378),0)</f>
        <v>0</v>
      </c>
      <c r="BA378" s="63">
        <f t="shared" si="386"/>
        <v>0</v>
      </c>
      <c r="BB378" s="61">
        <f t="shared" si="387"/>
        <v>0</v>
      </c>
      <c r="BC378" s="63">
        <f t="shared" si="388"/>
        <v>0</v>
      </c>
      <c r="BD378" s="64">
        <f t="shared" si="389"/>
        <v>0</v>
      </c>
      <c r="BE378" s="65">
        <f t="shared" si="390"/>
        <v>1</v>
      </c>
      <c r="BF378" s="45"/>
    </row>
    <row r="379" spans="1:58" ht="26" customHeight="1" x14ac:dyDescent="0.45">
      <c r="A379" s="56" t="s">
        <v>1347</v>
      </c>
      <c r="B379" s="506" t="s">
        <v>1874</v>
      </c>
      <c r="C379" s="507" t="s">
        <v>39</v>
      </c>
      <c r="D379" s="507" t="s">
        <v>1795</v>
      </c>
      <c r="E379" s="507" t="s">
        <v>1869</v>
      </c>
      <c r="F379" s="507" t="s">
        <v>39</v>
      </c>
      <c r="G379" s="507">
        <v>315</v>
      </c>
      <c r="H379" s="508" t="s">
        <v>267</v>
      </c>
      <c r="I379" s="507" t="s">
        <v>763</v>
      </c>
      <c r="J379" s="508" t="s">
        <v>1869</v>
      </c>
      <c r="K379" s="57" t="s">
        <v>1348</v>
      </c>
      <c r="L379" s="58" t="s">
        <v>846</v>
      </c>
      <c r="M379" s="59" t="s">
        <v>1349</v>
      </c>
      <c r="N379" s="60" t="s">
        <v>367</v>
      </c>
      <c r="O379" s="61">
        <v>213.77</v>
      </c>
      <c r="P379" s="62">
        <v>492.79</v>
      </c>
      <c r="Q379" s="63">
        <f t="shared" si="368"/>
        <v>105343.72</v>
      </c>
      <c r="R379" s="61">
        <f>IFERROR(SUMIFS('BM MORRO DA CRUZ - VERTICAL'!V$6:V$546,'BM MORRO DA CRUZ - VERTICAL'!$O$6:$O$546,'BM MORRO DA CRUZ'!$K379),0)</f>
        <v>0</v>
      </c>
      <c r="S379" s="63">
        <f t="shared" si="369"/>
        <v>0</v>
      </c>
      <c r="T379" s="61">
        <f>IFERROR(SUMIFS('BM MORRO DA CRUZ - VERTICAL'!X$6:X$546,'BM MORRO DA CRUZ - VERTICAL'!$O$6:$O$546,'BM MORRO DA CRUZ'!$K379),0)</f>
        <v>0</v>
      </c>
      <c r="U379" s="63">
        <f t="shared" si="370"/>
        <v>0</v>
      </c>
      <c r="V379" s="61">
        <f>IFERROR(SUMIFS('BM MORRO DA CRUZ - VERTICAL'!Z$6:Z$546,'BM MORRO DA CRUZ - VERTICAL'!$O$6:$O$546,'BM MORRO DA CRUZ'!$K379),0)</f>
        <v>0</v>
      </c>
      <c r="W379" s="63">
        <f t="shared" si="371"/>
        <v>0</v>
      </c>
      <c r="X379" s="61">
        <f>IFERROR(SUMIFS('BM MORRO DA CRUZ - VERTICAL'!AB$6:AB$546,'BM MORRO DA CRUZ - VERTICAL'!$O$6:$O$546,'BM MORRO DA CRUZ'!$K379),0)</f>
        <v>0</v>
      </c>
      <c r="Y379" s="63">
        <f t="shared" si="372"/>
        <v>0</v>
      </c>
      <c r="Z379" s="61">
        <f>IFERROR(SUMIFS('BM MORRO DA CRUZ - VERTICAL'!AD$6:AD$546,'BM MORRO DA CRUZ - VERTICAL'!$O$6:$O$546,'BM MORRO DA CRUZ'!$K379),0)</f>
        <v>0</v>
      </c>
      <c r="AA379" s="63">
        <f t="shared" si="373"/>
        <v>0</v>
      </c>
      <c r="AB379" s="61">
        <f>IFERROR(SUMIFS('BM MORRO DA CRUZ - VERTICAL'!AF$6:AF$546,'BM MORRO DA CRUZ - VERTICAL'!$O$6:$O$546,'BM MORRO DA CRUZ'!$K379),0)</f>
        <v>0</v>
      </c>
      <c r="AC379" s="63">
        <f t="shared" si="374"/>
        <v>0</v>
      </c>
      <c r="AD379" s="61">
        <f>IFERROR(SUMIFS('BM MORRO DA CRUZ - VERTICAL'!AH$6:AH$546,'BM MORRO DA CRUZ - VERTICAL'!$O$6:$O$546,'BM MORRO DA CRUZ'!$K379),0)</f>
        <v>0</v>
      </c>
      <c r="AE379" s="63">
        <f t="shared" si="375"/>
        <v>0</v>
      </c>
      <c r="AF379" s="61">
        <f>IFERROR(SUMIFS('BM MORRO DA CRUZ - VERTICAL'!AJ$6:AJ$546,'BM MORRO DA CRUZ - VERTICAL'!$O$6:$O$546,'BM MORRO DA CRUZ'!$K379),0)</f>
        <v>0</v>
      </c>
      <c r="AG379" s="63">
        <f t="shared" si="376"/>
        <v>0</v>
      </c>
      <c r="AH379" s="61">
        <f>IFERROR(SUMIFS('BM MORRO DA CRUZ - VERTICAL'!AL$6:AL$546,'BM MORRO DA CRUZ - VERTICAL'!$O$6:$O$546,'BM MORRO DA CRUZ'!$K379),0)</f>
        <v>0</v>
      </c>
      <c r="AI379" s="63">
        <f t="shared" si="377"/>
        <v>0</v>
      </c>
      <c r="AJ379" s="61">
        <f>IFERROR(SUMIFS('BM MORRO DA CRUZ - VERTICAL'!AN$6:AN$546,'BM MORRO DA CRUZ - VERTICAL'!$O$6:$O$546,'BM MORRO DA CRUZ'!$K379),0)</f>
        <v>0</v>
      </c>
      <c r="AK379" s="63">
        <f t="shared" si="378"/>
        <v>0</v>
      </c>
      <c r="AL379" s="61">
        <f>IFERROR(SUMIFS('BM MORRO DA CRUZ - VERTICAL'!AP$6:AP$546,'BM MORRO DA CRUZ - VERTICAL'!$O$6:$O$546,'BM MORRO DA CRUZ'!$K379),0)</f>
        <v>0</v>
      </c>
      <c r="AM379" s="63">
        <f t="shared" si="379"/>
        <v>0</v>
      </c>
      <c r="AN379" s="61">
        <f>IFERROR(SUMIFS('BM MORRO DA CRUZ - VERTICAL'!AR$6:AR$546,'BM MORRO DA CRUZ - VERTICAL'!$O$6:$O$546,'BM MORRO DA CRUZ'!$K379),0)</f>
        <v>0</v>
      </c>
      <c r="AO379" s="63">
        <f t="shared" si="380"/>
        <v>0</v>
      </c>
      <c r="AP379" s="61">
        <f>IFERROR(SUMIFS('BM MORRO DA CRUZ - VERTICAL'!AT$6:AT$546,'BM MORRO DA CRUZ - VERTICAL'!$O$6:$O$546,'BM MORRO DA CRUZ'!$K379),0)</f>
        <v>0</v>
      </c>
      <c r="AQ379" s="63">
        <f t="shared" si="381"/>
        <v>0</v>
      </c>
      <c r="AR379" s="61">
        <f>IFERROR(SUMIFS('BM MORRO DA CRUZ - VERTICAL'!AV$6:AV$546,'BM MORRO DA CRUZ - VERTICAL'!$O$6:$O$546,'BM MORRO DA CRUZ'!$K379),0)</f>
        <v>0</v>
      </c>
      <c r="AS379" s="63">
        <f t="shared" si="382"/>
        <v>0</v>
      </c>
      <c r="AT379" s="61">
        <f>IFERROR(SUMIFS('BM MORRO DA CRUZ - VERTICAL'!AX$6:AX$546,'BM MORRO DA CRUZ - VERTICAL'!$O$6:$O$546,'BM MORRO DA CRUZ'!$K379),0)</f>
        <v>0</v>
      </c>
      <c r="AU379" s="63">
        <f t="shared" si="383"/>
        <v>0</v>
      </c>
      <c r="AV379" s="61">
        <f>IFERROR(SUMIFS('BM MORRO DA CRUZ - VERTICAL'!AZ$6:AZ$546,'BM MORRO DA CRUZ - VERTICAL'!$O$6:$O$546,'BM MORRO DA CRUZ'!$K379),0)</f>
        <v>0</v>
      </c>
      <c r="AW379" s="63">
        <f t="shared" si="384"/>
        <v>0</v>
      </c>
      <c r="AX379" s="61">
        <f>IFERROR(SUMIFS('BM MORRO DA CRUZ - VERTICAL'!BB$6:BB$546,'BM MORRO DA CRUZ - VERTICAL'!$O$6:$O$546,'BM MORRO DA CRUZ'!$K379),0)</f>
        <v>0</v>
      </c>
      <c r="AY379" s="63">
        <f t="shared" si="385"/>
        <v>0</v>
      </c>
      <c r="AZ379" s="61">
        <f>IFERROR(SUMIFS('BM MORRO DA CRUZ - VERTICAL'!BD$6:BD$546,'BM MORRO DA CRUZ - VERTICAL'!$O$6:$O$546,'BM MORRO DA CRUZ'!$K379),0)</f>
        <v>0</v>
      </c>
      <c r="BA379" s="63">
        <f t="shared" si="386"/>
        <v>0</v>
      </c>
      <c r="BB379" s="61">
        <f t="shared" si="387"/>
        <v>0</v>
      </c>
      <c r="BC379" s="63">
        <f t="shared" si="388"/>
        <v>0</v>
      </c>
      <c r="BD379" s="64">
        <f t="shared" si="389"/>
        <v>0</v>
      </c>
      <c r="BE379" s="65">
        <f t="shared" si="390"/>
        <v>1</v>
      </c>
      <c r="BF379" s="45"/>
    </row>
    <row r="380" spans="1:58" ht="26" customHeight="1" x14ac:dyDescent="0.45">
      <c r="A380" s="56" t="s">
        <v>1350</v>
      </c>
      <c r="B380" s="506" t="s">
        <v>1875</v>
      </c>
      <c r="C380" s="507" t="s">
        <v>39</v>
      </c>
      <c r="D380" s="507" t="s">
        <v>1795</v>
      </c>
      <c r="E380" s="507" t="s">
        <v>1869</v>
      </c>
      <c r="F380" s="507" t="s">
        <v>39</v>
      </c>
      <c r="G380" s="507">
        <v>63</v>
      </c>
      <c r="H380" s="508" t="s">
        <v>267</v>
      </c>
      <c r="I380" s="507" t="s">
        <v>763</v>
      </c>
      <c r="J380" s="508" t="s">
        <v>1869</v>
      </c>
      <c r="K380" s="57" t="s">
        <v>1351</v>
      </c>
      <c r="L380" s="58" t="s">
        <v>846</v>
      </c>
      <c r="M380" s="59" t="s">
        <v>1352</v>
      </c>
      <c r="N380" s="60" t="s">
        <v>367</v>
      </c>
      <c r="O380" s="61">
        <v>393.52</v>
      </c>
      <c r="P380" s="62">
        <v>29.92</v>
      </c>
      <c r="Q380" s="63">
        <f t="shared" si="368"/>
        <v>11774.12</v>
      </c>
      <c r="R380" s="61">
        <f>IFERROR(SUMIFS('BM MORRO DA CRUZ - VERTICAL'!V$6:V$546,'BM MORRO DA CRUZ - VERTICAL'!$O$6:$O$546,'BM MORRO DA CRUZ'!$K380),0)</f>
        <v>0</v>
      </c>
      <c r="S380" s="63">
        <f t="shared" si="369"/>
        <v>0</v>
      </c>
      <c r="T380" s="61">
        <f>IFERROR(SUMIFS('BM MORRO DA CRUZ - VERTICAL'!X$6:X$546,'BM MORRO DA CRUZ - VERTICAL'!$O$6:$O$546,'BM MORRO DA CRUZ'!$K380),0)</f>
        <v>0</v>
      </c>
      <c r="U380" s="63">
        <f t="shared" si="370"/>
        <v>0</v>
      </c>
      <c r="V380" s="61">
        <f>IFERROR(SUMIFS('BM MORRO DA CRUZ - VERTICAL'!Z$6:Z$546,'BM MORRO DA CRUZ - VERTICAL'!$O$6:$O$546,'BM MORRO DA CRUZ'!$K380),0)</f>
        <v>0</v>
      </c>
      <c r="W380" s="63">
        <f t="shared" si="371"/>
        <v>0</v>
      </c>
      <c r="X380" s="61">
        <f>IFERROR(SUMIFS('BM MORRO DA CRUZ - VERTICAL'!AB$6:AB$546,'BM MORRO DA CRUZ - VERTICAL'!$O$6:$O$546,'BM MORRO DA CRUZ'!$K380),0)</f>
        <v>0</v>
      </c>
      <c r="Y380" s="63">
        <f t="shared" si="372"/>
        <v>0</v>
      </c>
      <c r="Z380" s="61">
        <f>IFERROR(SUMIFS('BM MORRO DA CRUZ - VERTICAL'!AD$6:AD$546,'BM MORRO DA CRUZ - VERTICAL'!$O$6:$O$546,'BM MORRO DA CRUZ'!$K380),0)</f>
        <v>0</v>
      </c>
      <c r="AA380" s="63">
        <f t="shared" si="373"/>
        <v>0</v>
      </c>
      <c r="AB380" s="61">
        <f>IFERROR(SUMIFS('BM MORRO DA CRUZ - VERTICAL'!AF$6:AF$546,'BM MORRO DA CRUZ - VERTICAL'!$O$6:$O$546,'BM MORRO DA CRUZ'!$K380),0)</f>
        <v>0</v>
      </c>
      <c r="AC380" s="63">
        <f t="shared" si="374"/>
        <v>0</v>
      </c>
      <c r="AD380" s="61">
        <f>IFERROR(SUMIFS('BM MORRO DA CRUZ - VERTICAL'!AH$6:AH$546,'BM MORRO DA CRUZ - VERTICAL'!$O$6:$O$546,'BM MORRO DA CRUZ'!$K380),0)</f>
        <v>0</v>
      </c>
      <c r="AE380" s="63">
        <f t="shared" si="375"/>
        <v>0</v>
      </c>
      <c r="AF380" s="61">
        <f>IFERROR(SUMIFS('BM MORRO DA CRUZ - VERTICAL'!AJ$6:AJ$546,'BM MORRO DA CRUZ - VERTICAL'!$O$6:$O$546,'BM MORRO DA CRUZ'!$K380),0)</f>
        <v>0</v>
      </c>
      <c r="AG380" s="63">
        <f t="shared" si="376"/>
        <v>0</v>
      </c>
      <c r="AH380" s="61">
        <f>IFERROR(SUMIFS('BM MORRO DA CRUZ - VERTICAL'!AL$6:AL$546,'BM MORRO DA CRUZ - VERTICAL'!$O$6:$O$546,'BM MORRO DA CRUZ'!$K380),0)</f>
        <v>0</v>
      </c>
      <c r="AI380" s="63">
        <f t="shared" si="377"/>
        <v>0</v>
      </c>
      <c r="AJ380" s="61">
        <f>IFERROR(SUMIFS('BM MORRO DA CRUZ - VERTICAL'!AN$6:AN$546,'BM MORRO DA CRUZ - VERTICAL'!$O$6:$O$546,'BM MORRO DA CRUZ'!$K380),0)</f>
        <v>0</v>
      </c>
      <c r="AK380" s="63">
        <f t="shared" si="378"/>
        <v>0</v>
      </c>
      <c r="AL380" s="61">
        <f>IFERROR(SUMIFS('BM MORRO DA CRUZ - VERTICAL'!AP$6:AP$546,'BM MORRO DA CRUZ - VERTICAL'!$O$6:$O$546,'BM MORRO DA CRUZ'!$K380),0)</f>
        <v>0</v>
      </c>
      <c r="AM380" s="63">
        <f t="shared" si="379"/>
        <v>0</v>
      </c>
      <c r="AN380" s="61">
        <f>IFERROR(SUMIFS('BM MORRO DA CRUZ - VERTICAL'!AR$6:AR$546,'BM MORRO DA CRUZ - VERTICAL'!$O$6:$O$546,'BM MORRO DA CRUZ'!$K380),0)</f>
        <v>0</v>
      </c>
      <c r="AO380" s="63">
        <f t="shared" si="380"/>
        <v>0</v>
      </c>
      <c r="AP380" s="61">
        <f>IFERROR(SUMIFS('BM MORRO DA CRUZ - VERTICAL'!AT$6:AT$546,'BM MORRO DA CRUZ - VERTICAL'!$O$6:$O$546,'BM MORRO DA CRUZ'!$K380),0)</f>
        <v>0</v>
      </c>
      <c r="AQ380" s="63">
        <f t="shared" si="381"/>
        <v>0</v>
      </c>
      <c r="AR380" s="61">
        <f>IFERROR(SUMIFS('BM MORRO DA CRUZ - VERTICAL'!AV$6:AV$546,'BM MORRO DA CRUZ - VERTICAL'!$O$6:$O$546,'BM MORRO DA CRUZ'!$K380),0)</f>
        <v>0</v>
      </c>
      <c r="AS380" s="63">
        <f t="shared" si="382"/>
        <v>0</v>
      </c>
      <c r="AT380" s="61">
        <f>IFERROR(SUMIFS('BM MORRO DA CRUZ - VERTICAL'!AX$6:AX$546,'BM MORRO DA CRUZ - VERTICAL'!$O$6:$O$546,'BM MORRO DA CRUZ'!$K380),0)</f>
        <v>0</v>
      </c>
      <c r="AU380" s="63">
        <f t="shared" si="383"/>
        <v>0</v>
      </c>
      <c r="AV380" s="61">
        <f>IFERROR(SUMIFS('BM MORRO DA CRUZ - VERTICAL'!AZ$6:AZ$546,'BM MORRO DA CRUZ - VERTICAL'!$O$6:$O$546,'BM MORRO DA CRUZ'!$K380),0)</f>
        <v>0</v>
      </c>
      <c r="AW380" s="63">
        <f t="shared" si="384"/>
        <v>0</v>
      </c>
      <c r="AX380" s="61">
        <f>IFERROR(SUMIFS('BM MORRO DA CRUZ - VERTICAL'!BB$6:BB$546,'BM MORRO DA CRUZ - VERTICAL'!$O$6:$O$546,'BM MORRO DA CRUZ'!$K380),0)</f>
        <v>0</v>
      </c>
      <c r="AY380" s="63">
        <f t="shared" si="385"/>
        <v>0</v>
      </c>
      <c r="AZ380" s="61">
        <f>IFERROR(SUMIFS('BM MORRO DA CRUZ - VERTICAL'!BD$6:BD$546,'BM MORRO DA CRUZ - VERTICAL'!$O$6:$O$546,'BM MORRO DA CRUZ'!$K380),0)</f>
        <v>0</v>
      </c>
      <c r="BA380" s="63">
        <f t="shared" si="386"/>
        <v>0</v>
      </c>
      <c r="BB380" s="61">
        <f t="shared" si="387"/>
        <v>0</v>
      </c>
      <c r="BC380" s="63">
        <f t="shared" si="388"/>
        <v>0</v>
      </c>
      <c r="BD380" s="64">
        <f t="shared" si="389"/>
        <v>0</v>
      </c>
      <c r="BE380" s="65">
        <f t="shared" si="390"/>
        <v>1</v>
      </c>
      <c r="BF380" s="45"/>
    </row>
    <row r="381" spans="1:58" ht="19.5" customHeight="1" x14ac:dyDescent="0.45">
      <c r="A381" s="46" t="s">
        <v>1353</v>
      </c>
      <c r="B381" s="503"/>
      <c r="C381" s="504"/>
      <c r="D381" s="504"/>
      <c r="E381" s="504"/>
      <c r="F381" s="504"/>
      <c r="G381" s="504"/>
      <c r="H381" s="505" t="s">
        <v>1718</v>
      </c>
      <c r="I381" s="504"/>
      <c r="J381" s="505" t="s">
        <v>1718</v>
      </c>
      <c r="K381" s="47" t="s">
        <v>1354</v>
      </c>
      <c r="L381" s="48"/>
      <c r="M381" s="49" t="s">
        <v>1355</v>
      </c>
      <c r="N381" s="50"/>
      <c r="O381" s="51"/>
      <c r="P381" s="52"/>
      <c r="Q381" s="53">
        <f>SUM(Q382:Q386)</f>
        <v>841947.2300000001</v>
      </c>
      <c r="R381" s="51"/>
      <c r="S381" s="53">
        <f>SUM(S382:S386)</f>
        <v>0</v>
      </c>
      <c r="T381" s="51"/>
      <c r="U381" s="53">
        <f>SUM(U382:U386)</f>
        <v>0</v>
      </c>
      <c r="V381" s="51"/>
      <c r="W381" s="53">
        <f>SUM(W382:W386)</f>
        <v>0</v>
      </c>
      <c r="X381" s="51"/>
      <c r="Y381" s="53">
        <f>SUM(Y382:Y386)</f>
        <v>0</v>
      </c>
      <c r="Z381" s="51"/>
      <c r="AA381" s="53">
        <f>SUM(AA382:AA386)</f>
        <v>0</v>
      </c>
      <c r="AB381" s="51"/>
      <c r="AC381" s="53">
        <f>SUM(AC382:AC386)</f>
        <v>0</v>
      </c>
      <c r="AD381" s="51"/>
      <c r="AE381" s="53">
        <f>SUM(AE382:AE386)</f>
        <v>0</v>
      </c>
      <c r="AF381" s="51"/>
      <c r="AG381" s="53">
        <f>SUM(AG382:AG386)</f>
        <v>0</v>
      </c>
      <c r="AH381" s="51"/>
      <c r="AI381" s="53">
        <f>SUM(AI382:AI386)</f>
        <v>0</v>
      </c>
      <c r="AJ381" s="51"/>
      <c r="AK381" s="53">
        <f>SUM(AK382:AK386)</f>
        <v>0</v>
      </c>
      <c r="AL381" s="51"/>
      <c r="AM381" s="53">
        <f>SUM(AM382:AM386)</f>
        <v>0</v>
      </c>
      <c r="AN381" s="51"/>
      <c r="AO381" s="53">
        <f>SUM(AO382:AO386)</f>
        <v>0</v>
      </c>
      <c r="AP381" s="51"/>
      <c r="AQ381" s="53">
        <f>SUM(AQ382:AQ386)</f>
        <v>0</v>
      </c>
      <c r="AR381" s="51"/>
      <c r="AS381" s="53">
        <f>SUM(AS382:AS386)</f>
        <v>0</v>
      </c>
      <c r="AT381" s="51"/>
      <c r="AU381" s="53">
        <f>SUM(AU382:AU386)</f>
        <v>0</v>
      </c>
      <c r="AV381" s="51"/>
      <c r="AW381" s="53">
        <f>SUM(AW382:AW386)</f>
        <v>0</v>
      </c>
      <c r="AX381" s="51"/>
      <c r="AY381" s="53">
        <f>SUM(AY382:AY386)</f>
        <v>0</v>
      </c>
      <c r="AZ381" s="51"/>
      <c r="BA381" s="53">
        <f>SUM(BA382:BA386)</f>
        <v>0</v>
      </c>
      <c r="BB381" s="51"/>
      <c r="BC381" s="53">
        <f>SUM(BC382:BC386)</f>
        <v>0</v>
      </c>
      <c r="BD381" s="54"/>
      <c r="BE381" s="55"/>
      <c r="BF381" s="45"/>
    </row>
    <row r="382" spans="1:58" ht="26" customHeight="1" x14ac:dyDescent="0.45">
      <c r="A382" s="56" t="s">
        <v>1356</v>
      </c>
      <c r="B382" s="506" t="s">
        <v>1358</v>
      </c>
      <c r="C382" s="507" t="s">
        <v>39</v>
      </c>
      <c r="D382" s="507" t="s">
        <v>39</v>
      </c>
      <c r="E382" s="507" t="s">
        <v>1757</v>
      </c>
      <c r="F382" s="507" t="s">
        <v>39</v>
      </c>
      <c r="G382" s="507" t="s">
        <v>39</v>
      </c>
      <c r="H382" s="508" t="s">
        <v>39</v>
      </c>
      <c r="I382" s="507" t="s">
        <v>1742</v>
      </c>
      <c r="J382" s="508" t="s">
        <v>1757</v>
      </c>
      <c r="K382" s="57" t="s">
        <v>1357</v>
      </c>
      <c r="L382" s="58" t="s">
        <v>846</v>
      </c>
      <c r="M382" s="59" t="s">
        <v>1358</v>
      </c>
      <c r="N382" s="60" t="s">
        <v>755</v>
      </c>
      <c r="O382" s="61">
        <v>6499.63</v>
      </c>
      <c r="P382" s="62">
        <v>59.37</v>
      </c>
      <c r="Q382" s="63">
        <f>ROUND(P382*$O382,2)</f>
        <v>385883.03</v>
      </c>
      <c r="R382" s="61">
        <f>IFERROR(SUMIFS('BM MORRO DA CRUZ - VERTICAL'!V$6:V$546,'BM MORRO DA CRUZ - VERTICAL'!$O$6:$O$546,'BM MORRO DA CRUZ'!$K382),0)</f>
        <v>0</v>
      </c>
      <c r="S382" s="63">
        <f>ROUND(R382*$P382,2)</f>
        <v>0</v>
      </c>
      <c r="T382" s="61">
        <f>IFERROR(SUMIFS('BM MORRO DA CRUZ - VERTICAL'!X$6:X$546,'BM MORRO DA CRUZ - VERTICAL'!$O$6:$O$546,'BM MORRO DA CRUZ'!$K382),0)</f>
        <v>0</v>
      </c>
      <c r="U382" s="63">
        <f>ROUND(T382*$P382,2)</f>
        <v>0</v>
      </c>
      <c r="V382" s="61">
        <f>IFERROR(SUMIFS('BM MORRO DA CRUZ - VERTICAL'!Z$6:Z$546,'BM MORRO DA CRUZ - VERTICAL'!$O$6:$O$546,'BM MORRO DA CRUZ'!$K382),0)</f>
        <v>0</v>
      </c>
      <c r="W382" s="63">
        <f>ROUND(V382*$P382,2)</f>
        <v>0</v>
      </c>
      <c r="X382" s="61">
        <f>IFERROR(SUMIFS('BM MORRO DA CRUZ - VERTICAL'!AB$6:AB$546,'BM MORRO DA CRUZ - VERTICAL'!$O$6:$O$546,'BM MORRO DA CRUZ'!$K382),0)</f>
        <v>0</v>
      </c>
      <c r="Y382" s="63">
        <f>ROUND(X382*$P382,2)</f>
        <v>0</v>
      </c>
      <c r="Z382" s="61">
        <f>IFERROR(SUMIFS('BM MORRO DA CRUZ - VERTICAL'!AD$6:AD$546,'BM MORRO DA CRUZ - VERTICAL'!$O$6:$O$546,'BM MORRO DA CRUZ'!$K382),0)</f>
        <v>0</v>
      </c>
      <c r="AA382" s="63">
        <f>ROUND(Z382*$P382,2)</f>
        <v>0</v>
      </c>
      <c r="AB382" s="61">
        <f>IFERROR(SUMIFS('BM MORRO DA CRUZ - VERTICAL'!AF$6:AF$546,'BM MORRO DA CRUZ - VERTICAL'!$O$6:$O$546,'BM MORRO DA CRUZ'!$K382),0)</f>
        <v>0</v>
      </c>
      <c r="AC382" s="63">
        <f>ROUND(AB382*$P382,2)</f>
        <v>0</v>
      </c>
      <c r="AD382" s="61">
        <f>IFERROR(SUMIFS('BM MORRO DA CRUZ - VERTICAL'!AH$6:AH$546,'BM MORRO DA CRUZ - VERTICAL'!$O$6:$O$546,'BM MORRO DA CRUZ'!$K382),0)</f>
        <v>0</v>
      </c>
      <c r="AE382" s="63">
        <f>ROUND(AD382*$P382,2)</f>
        <v>0</v>
      </c>
      <c r="AF382" s="61">
        <f>IFERROR(SUMIFS('BM MORRO DA CRUZ - VERTICAL'!AJ$6:AJ$546,'BM MORRO DA CRUZ - VERTICAL'!$O$6:$O$546,'BM MORRO DA CRUZ'!$K382),0)</f>
        <v>0</v>
      </c>
      <c r="AG382" s="63">
        <f>ROUND(AF382*$P382,2)</f>
        <v>0</v>
      </c>
      <c r="AH382" s="61">
        <f>IFERROR(SUMIFS('BM MORRO DA CRUZ - VERTICAL'!AL$6:AL$546,'BM MORRO DA CRUZ - VERTICAL'!$O$6:$O$546,'BM MORRO DA CRUZ'!$K382),0)</f>
        <v>0</v>
      </c>
      <c r="AI382" s="63">
        <f>ROUND(AH382*$P382,2)</f>
        <v>0</v>
      </c>
      <c r="AJ382" s="61">
        <f>IFERROR(SUMIFS('BM MORRO DA CRUZ - VERTICAL'!AN$6:AN$546,'BM MORRO DA CRUZ - VERTICAL'!$O$6:$O$546,'BM MORRO DA CRUZ'!$K382),0)</f>
        <v>0</v>
      </c>
      <c r="AK382" s="63">
        <f>ROUND(AJ382*$P382,2)</f>
        <v>0</v>
      </c>
      <c r="AL382" s="61">
        <f>IFERROR(SUMIFS('BM MORRO DA CRUZ - VERTICAL'!AP$6:AP$546,'BM MORRO DA CRUZ - VERTICAL'!$O$6:$O$546,'BM MORRO DA CRUZ'!$K382),0)</f>
        <v>0</v>
      </c>
      <c r="AM382" s="63">
        <f>ROUND(AL382*$P382,2)</f>
        <v>0</v>
      </c>
      <c r="AN382" s="61">
        <f>IFERROR(SUMIFS('BM MORRO DA CRUZ - VERTICAL'!AR$6:AR$546,'BM MORRO DA CRUZ - VERTICAL'!$O$6:$O$546,'BM MORRO DA CRUZ'!$K382),0)</f>
        <v>0</v>
      </c>
      <c r="AO382" s="63">
        <f>ROUND(AN382*$P382,2)</f>
        <v>0</v>
      </c>
      <c r="AP382" s="61">
        <f>IFERROR(SUMIFS('BM MORRO DA CRUZ - VERTICAL'!AT$6:AT$546,'BM MORRO DA CRUZ - VERTICAL'!$O$6:$O$546,'BM MORRO DA CRUZ'!$K382),0)</f>
        <v>0</v>
      </c>
      <c r="AQ382" s="63">
        <f>ROUND(AP382*$P382,2)</f>
        <v>0</v>
      </c>
      <c r="AR382" s="61">
        <f>IFERROR(SUMIFS('BM MORRO DA CRUZ - VERTICAL'!AV$6:AV$546,'BM MORRO DA CRUZ - VERTICAL'!$O$6:$O$546,'BM MORRO DA CRUZ'!$K382),0)</f>
        <v>0</v>
      </c>
      <c r="AS382" s="63">
        <f>ROUND(AR382*$P382,2)</f>
        <v>0</v>
      </c>
      <c r="AT382" s="61">
        <f>IFERROR(SUMIFS('BM MORRO DA CRUZ - VERTICAL'!AX$6:AX$546,'BM MORRO DA CRUZ - VERTICAL'!$O$6:$O$546,'BM MORRO DA CRUZ'!$K382),0)</f>
        <v>0</v>
      </c>
      <c r="AU382" s="63">
        <f>ROUND(AT382*$P382,2)</f>
        <v>0</v>
      </c>
      <c r="AV382" s="61">
        <f>IFERROR(SUMIFS('BM MORRO DA CRUZ - VERTICAL'!AZ$6:AZ$546,'BM MORRO DA CRUZ - VERTICAL'!$O$6:$O$546,'BM MORRO DA CRUZ'!$K382),0)</f>
        <v>0</v>
      </c>
      <c r="AW382" s="63">
        <f>ROUND(AV382*$P382,2)</f>
        <v>0</v>
      </c>
      <c r="AX382" s="61">
        <f>IFERROR(SUMIFS('BM MORRO DA CRUZ - VERTICAL'!BB$6:BB$546,'BM MORRO DA CRUZ - VERTICAL'!$O$6:$O$546,'BM MORRO DA CRUZ'!$K382),0)</f>
        <v>0</v>
      </c>
      <c r="AY382" s="63">
        <f>ROUND(AX382*$P382,2)</f>
        <v>0</v>
      </c>
      <c r="AZ382" s="61">
        <f>IFERROR(SUMIFS('BM MORRO DA CRUZ - VERTICAL'!BD$6:BD$546,'BM MORRO DA CRUZ - VERTICAL'!$O$6:$O$546,'BM MORRO DA CRUZ'!$K382),0)</f>
        <v>0</v>
      </c>
      <c r="BA382" s="63">
        <f>ROUND(AZ382*$P382,2)</f>
        <v>0</v>
      </c>
      <c r="BB382" s="61">
        <f>IFERROR(SUMIFS($R382:$BA382,$R$5:$BA$5,$BB$5),0)</f>
        <v>0</v>
      </c>
      <c r="BC382" s="63">
        <f>SUMIFS($R382:$BA382,$R$5:$BA$5,$S$5)</f>
        <v>0</v>
      </c>
      <c r="BD382" s="64">
        <f>IFERROR(BB382/O382,0)</f>
        <v>0</v>
      </c>
      <c r="BE382" s="65">
        <f>IFERROR((O382-BB382)/O382,0)</f>
        <v>1</v>
      </c>
      <c r="BF382" s="45"/>
    </row>
    <row r="383" spans="1:58" ht="26" customHeight="1" x14ac:dyDescent="0.45">
      <c r="A383" s="56" t="s">
        <v>1359</v>
      </c>
      <c r="B383" s="506" t="s">
        <v>1361</v>
      </c>
      <c r="C383" s="507" t="s">
        <v>39</v>
      </c>
      <c r="D383" s="507" t="s">
        <v>39</v>
      </c>
      <c r="E383" s="507" t="s">
        <v>1757</v>
      </c>
      <c r="F383" s="507" t="s">
        <v>39</v>
      </c>
      <c r="G383" s="507" t="s">
        <v>39</v>
      </c>
      <c r="H383" s="508" t="s">
        <v>39</v>
      </c>
      <c r="I383" s="507" t="s">
        <v>79</v>
      </c>
      <c r="J383" s="508" t="s">
        <v>1757</v>
      </c>
      <c r="K383" s="57" t="s">
        <v>1360</v>
      </c>
      <c r="L383" s="58" t="s">
        <v>846</v>
      </c>
      <c r="M383" s="59" t="s">
        <v>1361</v>
      </c>
      <c r="N383" s="60" t="s">
        <v>755</v>
      </c>
      <c r="O383" s="61">
        <v>146.72999999999999</v>
      </c>
      <c r="P383" s="62">
        <v>71.25</v>
      </c>
      <c r="Q383" s="63">
        <f>ROUND(P383*$O383,2)</f>
        <v>10454.51</v>
      </c>
      <c r="R383" s="61">
        <f>IFERROR(SUMIFS('BM MORRO DA CRUZ - VERTICAL'!V$6:V$546,'BM MORRO DA CRUZ - VERTICAL'!$O$6:$O$546,'BM MORRO DA CRUZ'!$K383),0)</f>
        <v>0</v>
      </c>
      <c r="S383" s="63">
        <f>ROUND(R383*$P383,2)</f>
        <v>0</v>
      </c>
      <c r="T383" s="61">
        <f>IFERROR(SUMIFS('BM MORRO DA CRUZ - VERTICAL'!X$6:X$546,'BM MORRO DA CRUZ - VERTICAL'!$O$6:$O$546,'BM MORRO DA CRUZ'!$K383),0)</f>
        <v>0</v>
      </c>
      <c r="U383" s="63">
        <f>ROUND(T383*$P383,2)</f>
        <v>0</v>
      </c>
      <c r="V383" s="61">
        <f>IFERROR(SUMIFS('BM MORRO DA CRUZ - VERTICAL'!Z$6:Z$546,'BM MORRO DA CRUZ - VERTICAL'!$O$6:$O$546,'BM MORRO DA CRUZ'!$K383),0)</f>
        <v>0</v>
      </c>
      <c r="W383" s="63">
        <f>ROUND(V383*$P383,2)</f>
        <v>0</v>
      </c>
      <c r="X383" s="61">
        <f>IFERROR(SUMIFS('BM MORRO DA CRUZ - VERTICAL'!AB$6:AB$546,'BM MORRO DA CRUZ - VERTICAL'!$O$6:$O$546,'BM MORRO DA CRUZ'!$K383),0)</f>
        <v>0</v>
      </c>
      <c r="Y383" s="63">
        <f>ROUND(X383*$P383,2)</f>
        <v>0</v>
      </c>
      <c r="Z383" s="61">
        <f>IFERROR(SUMIFS('BM MORRO DA CRUZ - VERTICAL'!AD$6:AD$546,'BM MORRO DA CRUZ - VERTICAL'!$O$6:$O$546,'BM MORRO DA CRUZ'!$K383),0)</f>
        <v>0</v>
      </c>
      <c r="AA383" s="63">
        <f>ROUND(Z383*$P383,2)</f>
        <v>0</v>
      </c>
      <c r="AB383" s="61">
        <f>IFERROR(SUMIFS('BM MORRO DA CRUZ - VERTICAL'!AF$6:AF$546,'BM MORRO DA CRUZ - VERTICAL'!$O$6:$O$546,'BM MORRO DA CRUZ'!$K383),0)</f>
        <v>0</v>
      </c>
      <c r="AC383" s="63">
        <f>ROUND(AB383*$P383,2)</f>
        <v>0</v>
      </c>
      <c r="AD383" s="61">
        <f>IFERROR(SUMIFS('BM MORRO DA CRUZ - VERTICAL'!AH$6:AH$546,'BM MORRO DA CRUZ - VERTICAL'!$O$6:$O$546,'BM MORRO DA CRUZ'!$K383),0)</f>
        <v>0</v>
      </c>
      <c r="AE383" s="63">
        <f>ROUND(AD383*$P383,2)</f>
        <v>0</v>
      </c>
      <c r="AF383" s="61">
        <f>IFERROR(SUMIFS('BM MORRO DA CRUZ - VERTICAL'!AJ$6:AJ$546,'BM MORRO DA CRUZ - VERTICAL'!$O$6:$O$546,'BM MORRO DA CRUZ'!$K383),0)</f>
        <v>0</v>
      </c>
      <c r="AG383" s="63">
        <f>ROUND(AF383*$P383,2)</f>
        <v>0</v>
      </c>
      <c r="AH383" s="61">
        <f>IFERROR(SUMIFS('BM MORRO DA CRUZ - VERTICAL'!AL$6:AL$546,'BM MORRO DA CRUZ - VERTICAL'!$O$6:$O$546,'BM MORRO DA CRUZ'!$K383),0)</f>
        <v>0</v>
      </c>
      <c r="AI383" s="63">
        <f>ROUND(AH383*$P383,2)</f>
        <v>0</v>
      </c>
      <c r="AJ383" s="61">
        <f>IFERROR(SUMIFS('BM MORRO DA CRUZ - VERTICAL'!AN$6:AN$546,'BM MORRO DA CRUZ - VERTICAL'!$O$6:$O$546,'BM MORRO DA CRUZ'!$K383),0)</f>
        <v>0</v>
      </c>
      <c r="AK383" s="63">
        <f>ROUND(AJ383*$P383,2)</f>
        <v>0</v>
      </c>
      <c r="AL383" s="61">
        <f>IFERROR(SUMIFS('BM MORRO DA CRUZ - VERTICAL'!AP$6:AP$546,'BM MORRO DA CRUZ - VERTICAL'!$O$6:$O$546,'BM MORRO DA CRUZ'!$K383),0)</f>
        <v>0</v>
      </c>
      <c r="AM383" s="63">
        <f>ROUND(AL383*$P383,2)</f>
        <v>0</v>
      </c>
      <c r="AN383" s="61">
        <f>IFERROR(SUMIFS('BM MORRO DA CRUZ - VERTICAL'!AR$6:AR$546,'BM MORRO DA CRUZ - VERTICAL'!$O$6:$O$546,'BM MORRO DA CRUZ'!$K383),0)</f>
        <v>0</v>
      </c>
      <c r="AO383" s="63">
        <f>ROUND(AN383*$P383,2)</f>
        <v>0</v>
      </c>
      <c r="AP383" s="61">
        <f>IFERROR(SUMIFS('BM MORRO DA CRUZ - VERTICAL'!AT$6:AT$546,'BM MORRO DA CRUZ - VERTICAL'!$O$6:$O$546,'BM MORRO DA CRUZ'!$K383),0)</f>
        <v>0</v>
      </c>
      <c r="AQ383" s="63">
        <f>ROUND(AP383*$P383,2)</f>
        <v>0</v>
      </c>
      <c r="AR383" s="61">
        <f>IFERROR(SUMIFS('BM MORRO DA CRUZ - VERTICAL'!AV$6:AV$546,'BM MORRO DA CRUZ - VERTICAL'!$O$6:$O$546,'BM MORRO DA CRUZ'!$K383),0)</f>
        <v>0</v>
      </c>
      <c r="AS383" s="63">
        <f>ROUND(AR383*$P383,2)</f>
        <v>0</v>
      </c>
      <c r="AT383" s="61">
        <f>IFERROR(SUMIFS('BM MORRO DA CRUZ - VERTICAL'!AX$6:AX$546,'BM MORRO DA CRUZ - VERTICAL'!$O$6:$O$546,'BM MORRO DA CRUZ'!$K383),0)</f>
        <v>0</v>
      </c>
      <c r="AU383" s="63">
        <f>ROUND(AT383*$P383,2)</f>
        <v>0</v>
      </c>
      <c r="AV383" s="61">
        <f>IFERROR(SUMIFS('BM MORRO DA CRUZ - VERTICAL'!AZ$6:AZ$546,'BM MORRO DA CRUZ - VERTICAL'!$O$6:$O$546,'BM MORRO DA CRUZ'!$K383),0)</f>
        <v>0</v>
      </c>
      <c r="AW383" s="63">
        <f>ROUND(AV383*$P383,2)</f>
        <v>0</v>
      </c>
      <c r="AX383" s="61">
        <f>IFERROR(SUMIFS('BM MORRO DA CRUZ - VERTICAL'!BB$6:BB$546,'BM MORRO DA CRUZ - VERTICAL'!$O$6:$O$546,'BM MORRO DA CRUZ'!$K383),0)</f>
        <v>0</v>
      </c>
      <c r="AY383" s="63">
        <f>ROUND(AX383*$P383,2)</f>
        <v>0</v>
      </c>
      <c r="AZ383" s="61">
        <f>IFERROR(SUMIFS('BM MORRO DA CRUZ - VERTICAL'!BD$6:BD$546,'BM MORRO DA CRUZ - VERTICAL'!$O$6:$O$546,'BM MORRO DA CRUZ'!$K383),0)</f>
        <v>0</v>
      </c>
      <c r="BA383" s="63">
        <f>ROUND(AZ383*$P383,2)</f>
        <v>0</v>
      </c>
      <c r="BB383" s="61">
        <f>IFERROR(SUMIFS($R383:$BA383,$R$5:$BA$5,$BB$5),0)</f>
        <v>0</v>
      </c>
      <c r="BC383" s="63">
        <f>SUMIFS($R383:$BA383,$R$5:$BA$5,$S$5)</f>
        <v>0</v>
      </c>
      <c r="BD383" s="64">
        <f>IFERROR(BB383/O383,0)</f>
        <v>0</v>
      </c>
      <c r="BE383" s="65">
        <f>IFERROR((O383-BB383)/O383,0)</f>
        <v>1</v>
      </c>
      <c r="BF383" s="45"/>
    </row>
    <row r="384" spans="1:58" ht="26" customHeight="1" x14ac:dyDescent="0.45">
      <c r="A384" s="56" t="s">
        <v>1362</v>
      </c>
      <c r="B384" s="506" t="s">
        <v>1364</v>
      </c>
      <c r="C384" s="507" t="s">
        <v>39</v>
      </c>
      <c r="D384" s="507" t="s">
        <v>39</v>
      </c>
      <c r="E384" s="507" t="s">
        <v>1757</v>
      </c>
      <c r="F384" s="507" t="s">
        <v>39</v>
      </c>
      <c r="G384" s="507" t="s">
        <v>39</v>
      </c>
      <c r="H384" s="508" t="s">
        <v>39</v>
      </c>
      <c r="I384" s="507" t="s">
        <v>1771</v>
      </c>
      <c r="J384" s="508" t="s">
        <v>1757</v>
      </c>
      <c r="K384" s="57" t="s">
        <v>1363</v>
      </c>
      <c r="L384" s="58" t="s">
        <v>846</v>
      </c>
      <c r="M384" s="59" t="s">
        <v>1364</v>
      </c>
      <c r="N384" s="60" t="s">
        <v>755</v>
      </c>
      <c r="O384" s="61">
        <v>6036.27</v>
      </c>
      <c r="P384" s="62">
        <v>47.5</v>
      </c>
      <c r="Q384" s="63">
        <f>ROUND(P384*$O384,2)</f>
        <v>286722.83</v>
      </c>
      <c r="R384" s="61">
        <f>IFERROR(SUMIFS('BM MORRO DA CRUZ - VERTICAL'!V$6:V$546,'BM MORRO DA CRUZ - VERTICAL'!$O$6:$O$546,'BM MORRO DA CRUZ'!$K384),0)</f>
        <v>0</v>
      </c>
      <c r="S384" s="63">
        <f>ROUND(R384*$P384,2)</f>
        <v>0</v>
      </c>
      <c r="T384" s="61">
        <f>IFERROR(SUMIFS('BM MORRO DA CRUZ - VERTICAL'!X$6:X$546,'BM MORRO DA CRUZ - VERTICAL'!$O$6:$O$546,'BM MORRO DA CRUZ'!$K384),0)</f>
        <v>0</v>
      </c>
      <c r="U384" s="63">
        <f>ROUND(T384*$P384,2)</f>
        <v>0</v>
      </c>
      <c r="V384" s="61">
        <f>IFERROR(SUMIFS('BM MORRO DA CRUZ - VERTICAL'!Z$6:Z$546,'BM MORRO DA CRUZ - VERTICAL'!$O$6:$O$546,'BM MORRO DA CRUZ'!$K384),0)</f>
        <v>0</v>
      </c>
      <c r="W384" s="63">
        <f>ROUND(V384*$P384,2)</f>
        <v>0</v>
      </c>
      <c r="X384" s="61">
        <f>IFERROR(SUMIFS('BM MORRO DA CRUZ - VERTICAL'!AB$6:AB$546,'BM MORRO DA CRUZ - VERTICAL'!$O$6:$O$546,'BM MORRO DA CRUZ'!$K384),0)</f>
        <v>0</v>
      </c>
      <c r="Y384" s="63">
        <f>ROUND(X384*$P384,2)</f>
        <v>0</v>
      </c>
      <c r="Z384" s="61">
        <f>IFERROR(SUMIFS('BM MORRO DA CRUZ - VERTICAL'!AD$6:AD$546,'BM MORRO DA CRUZ - VERTICAL'!$O$6:$O$546,'BM MORRO DA CRUZ'!$K384),0)</f>
        <v>0</v>
      </c>
      <c r="AA384" s="63">
        <f>ROUND(Z384*$P384,2)</f>
        <v>0</v>
      </c>
      <c r="AB384" s="61">
        <f>IFERROR(SUMIFS('BM MORRO DA CRUZ - VERTICAL'!AF$6:AF$546,'BM MORRO DA CRUZ - VERTICAL'!$O$6:$O$546,'BM MORRO DA CRUZ'!$K384),0)</f>
        <v>0</v>
      </c>
      <c r="AC384" s="63">
        <f>ROUND(AB384*$P384,2)</f>
        <v>0</v>
      </c>
      <c r="AD384" s="61">
        <f>IFERROR(SUMIFS('BM MORRO DA CRUZ - VERTICAL'!AH$6:AH$546,'BM MORRO DA CRUZ - VERTICAL'!$O$6:$O$546,'BM MORRO DA CRUZ'!$K384),0)</f>
        <v>0</v>
      </c>
      <c r="AE384" s="63">
        <f>ROUND(AD384*$P384,2)</f>
        <v>0</v>
      </c>
      <c r="AF384" s="61">
        <f>IFERROR(SUMIFS('BM MORRO DA CRUZ - VERTICAL'!AJ$6:AJ$546,'BM MORRO DA CRUZ - VERTICAL'!$O$6:$O$546,'BM MORRO DA CRUZ'!$K384),0)</f>
        <v>0</v>
      </c>
      <c r="AG384" s="63">
        <f>ROUND(AF384*$P384,2)</f>
        <v>0</v>
      </c>
      <c r="AH384" s="61">
        <f>IFERROR(SUMIFS('BM MORRO DA CRUZ - VERTICAL'!AL$6:AL$546,'BM MORRO DA CRUZ - VERTICAL'!$O$6:$O$546,'BM MORRO DA CRUZ'!$K384),0)</f>
        <v>0</v>
      </c>
      <c r="AI384" s="63">
        <f>ROUND(AH384*$P384,2)</f>
        <v>0</v>
      </c>
      <c r="AJ384" s="61">
        <f>IFERROR(SUMIFS('BM MORRO DA CRUZ - VERTICAL'!AN$6:AN$546,'BM MORRO DA CRUZ - VERTICAL'!$O$6:$O$546,'BM MORRO DA CRUZ'!$K384),0)</f>
        <v>0</v>
      </c>
      <c r="AK384" s="63">
        <f>ROUND(AJ384*$P384,2)</f>
        <v>0</v>
      </c>
      <c r="AL384" s="61">
        <f>IFERROR(SUMIFS('BM MORRO DA CRUZ - VERTICAL'!AP$6:AP$546,'BM MORRO DA CRUZ - VERTICAL'!$O$6:$O$546,'BM MORRO DA CRUZ'!$K384),0)</f>
        <v>0</v>
      </c>
      <c r="AM384" s="63">
        <f>ROUND(AL384*$P384,2)</f>
        <v>0</v>
      </c>
      <c r="AN384" s="61">
        <f>IFERROR(SUMIFS('BM MORRO DA CRUZ - VERTICAL'!AR$6:AR$546,'BM MORRO DA CRUZ - VERTICAL'!$O$6:$O$546,'BM MORRO DA CRUZ'!$K384),0)</f>
        <v>0</v>
      </c>
      <c r="AO384" s="63">
        <f>ROUND(AN384*$P384,2)</f>
        <v>0</v>
      </c>
      <c r="AP384" s="61">
        <f>IFERROR(SUMIFS('BM MORRO DA CRUZ - VERTICAL'!AT$6:AT$546,'BM MORRO DA CRUZ - VERTICAL'!$O$6:$O$546,'BM MORRO DA CRUZ'!$K384),0)</f>
        <v>0</v>
      </c>
      <c r="AQ384" s="63">
        <f>ROUND(AP384*$P384,2)</f>
        <v>0</v>
      </c>
      <c r="AR384" s="61">
        <f>IFERROR(SUMIFS('BM MORRO DA CRUZ - VERTICAL'!AV$6:AV$546,'BM MORRO DA CRUZ - VERTICAL'!$O$6:$O$546,'BM MORRO DA CRUZ'!$K384),0)</f>
        <v>0</v>
      </c>
      <c r="AS384" s="63">
        <f>ROUND(AR384*$P384,2)</f>
        <v>0</v>
      </c>
      <c r="AT384" s="61">
        <f>IFERROR(SUMIFS('BM MORRO DA CRUZ - VERTICAL'!AX$6:AX$546,'BM MORRO DA CRUZ - VERTICAL'!$O$6:$O$546,'BM MORRO DA CRUZ'!$K384),0)</f>
        <v>0</v>
      </c>
      <c r="AU384" s="63">
        <f>ROUND(AT384*$P384,2)</f>
        <v>0</v>
      </c>
      <c r="AV384" s="61">
        <f>IFERROR(SUMIFS('BM MORRO DA CRUZ - VERTICAL'!AZ$6:AZ$546,'BM MORRO DA CRUZ - VERTICAL'!$O$6:$O$546,'BM MORRO DA CRUZ'!$K384),0)</f>
        <v>0</v>
      </c>
      <c r="AW384" s="63">
        <f>ROUND(AV384*$P384,2)</f>
        <v>0</v>
      </c>
      <c r="AX384" s="61">
        <f>IFERROR(SUMIFS('BM MORRO DA CRUZ - VERTICAL'!BB$6:BB$546,'BM MORRO DA CRUZ - VERTICAL'!$O$6:$O$546,'BM MORRO DA CRUZ'!$K384),0)</f>
        <v>0</v>
      </c>
      <c r="AY384" s="63">
        <f>ROUND(AX384*$P384,2)</f>
        <v>0</v>
      </c>
      <c r="AZ384" s="61">
        <f>IFERROR(SUMIFS('BM MORRO DA CRUZ - VERTICAL'!BD$6:BD$546,'BM MORRO DA CRUZ - VERTICAL'!$O$6:$O$546,'BM MORRO DA CRUZ'!$K384),0)</f>
        <v>0</v>
      </c>
      <c r="BA384" s="63">
        <f>ROUND(AZ384*$P384,2)</f>
        <v>0</v>
      </c>
      <c r="BB384" s="61">
        <f>IFERROR(SUMIFS($R384:$BA384,$R$5:$BA$5,$BB$5),0)</f>
        <v>0</v>
      </c>
      <c r="BC384" s="63">
        <f>SUMIFS($R384:$BA384,$R$5:$BA$5,$S$5)</f>
        <v>0</v>
      </c>
      <c r="BD384" s="64">
        <f>IFERROR(BB384/O384,0)</f>
        <v>0</v>
      </c>
      <c r="BE384" s="65">
        <f>IFERROR((O384-BB384)/O384,0)</f>
        <v>1</v>
      </c>
      <c r="BF384" s="45"/>
    </row>
    <row r="385" spans="1:58" ht="26" customHeight="1" x14ac:dyDescent="0.45">
      <c r="A385" s="56" t="s">
        <v>1365</v>
      </c>
      <c r="B385" s="506" t="s">
        <v>1367</v>
      </c>
      <c r="C385" s="507" t="s">
        <v>39</v>
      </c>
      <c r="D385" s="507" t="s">
        <v>39</v>
      </c>
      <c r="E385" s="507" t="s">
        <v>1757</v>
      </c>
      <c r="F385" s="507" t="s">
        <v>39</v>
      </c>
      <c r="G385" s="507" t="s">
        <v>39</v>
      </c>
      <c r="H385" s="508" t="s">
        <v>39</v>
      </c>
      <c r="I385" s="507" t="s">
        <v>1742</v>
      </c>
      <c r="J385" s="508" t="s">
        <v>1757</v>
      </c>
      <c r="K385" s="57" t="s">
        <v>1366</v>
      </c>
      <c r="L385" s="58" t="s">
        <v>846</v>
      </c>
      <c r="M385" s="59" t="s">
        <v>1367</v>
      </c>
      <c r="N385" s="60" t="s">
        <v>755</v>
      </c>
      <c r="O385" s="61">
        <v>1878.37</v>
      </c>
      <c r="P385" s="62">
        <v>83.12</v>
      </c>
      <c r="Q385" s="63">
        <f>ROUND(P385*$O385,2)</f>
        <v>156130.10999999999</v>
      </c>
      <c r="R385" s="61">
        <f>IFERROR(SUMIFS('BM MORRO DA CRUZ - VERTICAL'!V$6:V$546,'BM MORRO DA CRUZ - VERTICAL'!$O$6:$O$546,'BM MORRO DA CRUZ'!$K385),0)</f>
        <v>0</v>
      </c>
      <c r="S385" s="63">
        <f>ROUND(R385*$P385,2)</f>
        <v>0</v>
      </c>
      <c r="T385" s="61">
        <f>IFERROR(SUMIFS('BM MORRO DA CRUZ - VERTICAL'!X$6:X$546,'BM MORRO DA CRUZ - VERTICAL'!$O$6:$O$546,'BM MORRO DA CRUZ'!$K385),0)</f>
        <v>0</v>
      </c>
      <c r="U385" s="63">
        <f>ROUND(T385*$P385,2)</f>
        <v>0</v>
      </c>
      <c r="V385" s="61">
        <f>IFERROR(SUMIFS('BM MORRO DA CRUZ - VERTICAL'!Z$6:Z$546,'BM MORRO DA CRUZ - VERTICAL'!$O$6:$O$546,'BM MORRO DA CRUZ'!$K385),0)</f>
        <v>0</v>
      </c>
      <c r="W385" s="63">
        <f>ROUND(V385*$P385,2)</f>
        <v>0</v>
      </c>
      <c r="X385" s="61">
        <f>IFERROR(SUMIFS('BM MORRO DA CRUZ - VERTICAL'!AB$6:AB$546,'BM MORRO DA CRUZ - VERTICAL'!$O$6:$O$546,'BM MORRO DA CRUZ'!$K385),0)</f>
        <v>0</v>
      </c>
      <c r="Y385" s="63">
        <f>ROUND(X385*$P385,2)</f>
        <v>0</v>
      </c>
      <c r="Z385" s="61">
        <f>IFERROR(SUMIFS('BM MORRO DA CRUZ - VERTICAL'!AD$6:AD$546,'BM MORRO DA CRUZ - VERTICAL'!$O$6:$O$546,'BM MORRO DA CRUZ'!$K385),0)</f>
        <v>0</v>
      </c>
      <c r="AA385" s="63">
        <f>ROUND(Z385*$P385,2)</f>
        <v>0</v>
      </c>
      <c r="AB385" s="61">
        <f>IFERROR(SUMIFS('BM MORRO DA CRUZ - VERTICAL'!AF$6:AF$546,'BM MORRO DA CRUZ - VERTICAL'!$O$6:$O$546,'BM MORRO DA CRUZ'!$K385),0)</f>
        <v>0</v>
      </c>
      <c r="AC385" s="63">
        <f>ROUND(AB385*$P385,2)</f>
        <v>0</v>
      </c>
      <c r="AD385" s="61">
        <f>IFERROR(SUMIFS('BM MORRO DA CRUZ - VERTICAL'!AH$6:AH$546,'BM MORRO DA CRUZ - VERTICAL'!$O$6:$O$546,'BM MORRO DA CRUZ'!$K385),0)</f>
        <v>0</v>
      </c>
      <c r="AE385" s="63">
        <f>ROUND(AD385*$P385,2)</f>
        <v>0</v>
      </c>
      <c r="AF385" s="61">
        <f>IFERROR(SUMIFS('BM MORRO DA CRUZ - VERTICAL'!AJ$6:AJ$546,'BM MORRO DA CRUZ - VERTICAL'!$O$6:$O$546,'BM MORRO DA CRUZ'!$K385),0)</f>
        <v>0</v>
      </c>
      <c r="AG385" s="63">
        <f>ROUND(AF385*$P385,2)</f>
        <v>0</v>
      </c>
      <c r="AH385" s="61">
        <f>IFERROR(SUMIFS('BM MORRO DA CRUZ - VERTICAL'!AL$6:AL$546,'BM MORRO DA CRUZ - VERTICAL'!$O$6:$O$546,'BM MORRO DA CRUZ'!$K385),0)</f>
        <v>0</v>
      </c>
      <c r="AI385" s="63">
        <f>ROUND(AH385*$P385,2)</f>
        <v>0</v>
      </c>
      <c r="AJ385" s="61">
        <f>IFERROR(SUMIFS('BM MORRO DA CRUZ - VERTICAL'!AN$6:AN$546,'BM MORRO DA CRUZ - VERTICAL'!$O$6:$O$546,'BM MORRO DA CRUZ'!$K385),0)</f>
        <v>0</v>
      </c>
      <c r="AK385" s="63">
        <f>ROUND(AJ385*$P385,2)</f>
        <v>0</v>
      </c>
      <c r="AL385" s="61">
        <f>IFERROR(SUMIFS('BM MORRO DA CRUZ - VERTICAL'!AP$6:AP$546,'BM MORRO DA CRUZ - VERTICAL'!$O$6:$O$546,'BM MORRO DA CRUZ'!$K385),0)</f>
        <v>0</v>
      </c>
      <c r="AM385" s="63">
        <f>ROUND(AL385*$P385,2)</f>
        <v>0</v>
      </c>
      <c r="AN385" s="61">
        <f>IFERROR(SUMIFS('BM MORRO DA CRUZ - VERTICAL'!AR$6:AR$546,'BM MORRO DA CRUZ - VERTICAL'!$O$6:$O$546,'BM MORRO DA CRUZ'!$K385),0)</f>
        <v>0</v>
      </c>
      <c r="AO385" s="63">
        <f>ROUND(AN385*$P385,2)</f>
        <v>0</v>
      </c>
      <c r="AP385" s="61">
        <f>IFERROR(SUMIFS('BM MORRO DA CRUZ - VERTICAL'!AT$6:AT$546,'BM MORRO DA CRUZ - VERTICAL'!$O$6:$O$546,'BM MORRO DA CRUZ'!$K385),0)</f>
        <v>0</v>
      </c>
      <c r="AQ385" s="63">
        <f>ROUND(AP385*$P385,2)</f>
        <v>0</v>
      </c>
      <c r="AR385" s="61">
        <f>IFERROR(SUMIFS('BM MORRO DA CRUZ - VERTICAL'!AV$6:AV$546,'BM MORRO DA CRUZ - VERTICAL'!$O$6:$O$546,'BM MORRO DA CRUZ'!$K385),0)</f>
        <v>0</v>
      </c>
      <c r="AS385" s="63">
        <f>ROUND(AR385*$P385,2)</f>
        <v>0</v>
      </c>
      <c r="AT385" s="61">
        <f>IFERROR(SUMIFS('BM MORRO DA CRUZ - VERTICAL'!AX$6:AX$546,'BM MORRO DA CRUZ - VERTICAL'!$O$6:$O$546,'BM MORRO DA CRUZ'!$K385),0)</f>
        <v>0</v>
      </c>
      <c r="AU385" s="63">
        <f>ROUND(AT385*$P385,2)</f>
        <v>0</v>
      </c>
      <c r="AV385" s="61">
        <f>IFERROR(SUMIFS('BM MORRO DA CRUZ - VERTICAL'!AZ$6:AZ$546,'BM MORRO DA CRUZ - VERTICAL'!$O$6:$O$546,'BM MORRO DA CRUZ'!$K385),0)</f>
        <v>0</v>
      </c>
      <c r="AW385" s="63">
        <f>ROUND(AV385*$P385,2)</f>
        <v>0</v>
      </c>
      <c r="AX385" s="61">
        <f>IFERROR(SUMIFS('BM MORRO DA CRUZ - VERTICAL'!BB$6:BB$546,'BM MORRO DA CRUZ - VERTICAL'!$O$6:$O$546,'BM MORRO DA CRUZ'!$K385),0)</f>
        <v>0</v>
      </c>
      <c r="AY385" s="63">
        <f>ROUND(AX385*$P385,2)</f>
        <v>0</v>
      </c>
      <c r="AZ385" s="61">
        <f>IFERROR(SUMIFS('BM MORRO DA CRUZ - VERTICAL'!BD$6:BD$546,'BM MORRO DA CRUZ - VERTICAL'!$O$6:$O$546,'BM MORRO DA CRUZ'!$K385),0)</f>
        <v>0</v>
      </c>
      <c r="BA385" s="63">
        <f>ROUND(AZ385*$P385,2)</f>
        <v>0</v>
      </c>
      <c r="BB385" s="61">
        <f>IFERROR(SUMIFS($R385:$BA385,$R$5:$BA$5,$BB$5),0)</f>
        <v>0</v>
      </c>
      <c r="BC385" s="63">
        <f>SUMIFS($R385:$BA385,$R$5:$BA$5,$S$5)</f>
        <v>0</v>
      </c>
      <c r="BD385" s="64">
        <f>IFERROR(BB385/O385,0)</f>
        <v>0</v>
      </c>
      <c r="BE385" s="65">
        <f>IFERROR((O385-BB385)/O385,0)</f>
        <v>1</v>
      </c>
      <c r="BF385" s="45"/>
    </row>
    <row r="386" spans="1:58" ht="26" customHeight="1" x14ac:dyDescent="0.45">
      <c r="A386" s="56" t="s">
        <v>1368</v>
      </c>
      <c r="B386" s="506" t="s">
        <v>1370</v>
      </c>
      <c r="C386" s="507" t="s">
        <v>39</v>
      </c>
      <c r="D386" s="507" t="s">
        <v>39</v>
      </c>
      <c r="E386" s="507" t="s">
        <v>1757</v>
      </c>
      <c r="F386" s="507" t="s">
        <v>39</v>
      </c>
      <c r="G386" s="507" t="s">
        <v>39</v>
      </c>
      <c r="H386" s="508" t="s">
        <v>39</v>
      </c>
      <c r="I386" s="507" t="s">
        <v>79</v>
      </c>
      <c r="J386" s="508" t="s">
        <v>1757</v>
      </c>
      <c r="K386" s="57" t="s">
        <v>1369</v>
      </c>
      <c r="L386" s="58" t="s">
        <v>846</v>
      </c>
      <c r="M386" s="59" t="s">
        <v>1370</v>
      </c>
      <c r="N386" s="60" t="s">
        <v>755</v>
      </c>
      <c r="O386" s="61">
        <v>27.86</v>
      </c>
      <c r="P386" s="62">
        <v>98.95</v>
      </c>
      <c r="Q386" s="63">
        <f>ROUND(P386*$O386,2)</f>
        <v>2756.75</v>
      </c>
      <c r="R386" s="61">
        <f>IFERROR(SUMIFS('BM MORRO DA CRUZ - VERTICAL'!V$6:V$546,'BM MORRO DA CRUZ - VERTICAL'!$O$6:$O$546,'BM MORRO DA CRUZ'!$K386),0)</f>
        <v>0</v>
      </c>
      <c r="S386" s="63">
        <f>ROUND(R386*$P386,2)</f>
        <v>0</v>
      </c>
      <c r="T386" s="61">
        <f>IFERROR(SUMIFS('BM MORRO DA CRUZ - VERTICAL'!X$6:X$546,'BM MORRO DA CRUZ - VERTICAL'!$O$6:$O$546,'BM MORRO DA CRUZ'!$K386),0)</f>
        <v>0</v>
      </c>
      <c r="U386" s="63">
        <f>ROUND(T386*$P386,2)</f>
        <v>0</v>
      </c>
      <c r="V386" s="61">
        <f>IFERROR(SUMIFS('BM MORRO DA CRUZ - VERTICAL'!Z$6:Z$546,'BM MORRO DA CRUZ - VERTICAL'!$O$6:$O$546,'BM MORRO DA CRUZ'!$K386),0)</f>
        <v>0</v>
      </c>
      <c r="W386" s="63">
        <f>ROUND(V386*$P386,2)</f>
        <v>0</v>
      </c>
      <c r="X386" s="61">
        <f>IFERROR(SUMIFS('BM MORRO DA CRUZ - VERTICAL'!AB$6:AB$546,'BM MORRO DA CRUZ - VERTICAL'!$O$6:$O$546,'BM MORRO DA CRUZ'!$K386),0)</f>
        <v>0</v>
      </c>
      <c r="Y386" s="63">
        <f>ROUND(X386*$P386,2)</f>
        <v>0</v>
      </c>
      <c r="Z386" s="61">
        <f>IFERROR(SUMIFS('BM MORRO DA CRUZ - VERTICAL'!AD$6:AD$546,'BM MORRO DA CRUZ - VERTICAL'!$O$6:$O$546,'BM MORRO DA CRUZ'!$K386),0)</f>
        <v>0</v>
      </c>
      <c r="AA386" s="63">
        <f>ROUND(Z386*$P386,2)</f>
        <v>0</v>
      </c>
      <c r="AB386" s="61">
        <f>IFERROR(SUMIFS('BM MORRO DA CRUZ - VERTICAL'!AF$6:AF$546,'BM MORRO DA CRUZ - VERTICAL'!$O$6:$O$546,'BM MORRO DA CRUZ'!$K386),0)</f>
        <v>0</v>
      </c>
      <c r="AC386" s="63">
        <f>ROUND(AB386*$P386,2)</f>
        <v>0</v>
      </c>
      <c r="AD386" s="61">
        <f>IFERROR(SUMIFS('BM MORRO DA CRUZ - VERTICAL'!AH$6:AH$546,'BM MORRO DA CRUZ - VERTICAL'!$O$6:$O$546,'BM MORRO DA CRUZ'!$K386),0)</f>
        <v>0</v>
      </c>
      <c r="AE386" s="63">
        <f>ROUND(AD386*$P386,2)</f>
        <v>0</v>
      </c>
      <c r="AF386" s="61">
        <f>IFERROR(SUMIFS('BM MORRO DA CRUZ - VERTICAL'!AJ$6:AJ$546,'BM MORRO DA CRUZ - VERTICAL'!$O$6:$O$546,'BM MORRO DA CRUZ'!$K386),0)</f>
        <v>0</v>
      </c>
      <c r="AG386" s="63">
        <f>ROUND(AF386*$P386,2)</f>
        <v>0</v>
      </c>
      <c r="AH386" s="61">
        <f>IFERROR(SUMIFS('BM MORRO DA CRUZ - VERTICAL'!AL$6:AL$546,'BM MORRO DA CRUZ - VERTICAL'!$O$6:$O$546,'BM MORRO DA CRUZ'!$K386),0)</f>
        <v>0</v>
      </c>
      <c r="AI386" s="63">
        <f>ROUND(AH386*$P386,2)</f>
        <v>0</v>
      </c>
      <c r="AJ386" s="61">
        <f>IFERROR(SUMIFS('BM MORRO DA CRUZ - VERTICAL'!AN$6:AN$546,'BM MORRO DA CRUZ - VERTICAL'!$O$6:$O$546,'BM MORRO DA CRUZ'!$K386),0)</f>
        <v>0</v>
      </c>
      <c r="AK386" s="63">
        <f>ROUND(AJ386*$P386,2)</f>
        <v>0</v>
      </c>
      <c r="AL386" s="61">
        <f>IFERROR(SUMIFS('BM MORRO DA CRUZ - VERTICAL'!AP$6:AP$546,'BM MORRO DA CRUZ - VERTICAL'!$O$6:$O$546,'BM MORRO DA CRUZ'!$K386),0)</f>
        <v>0</v>
      </c>
      <c r="AM386" s="63">
        <f>ROUND(AL386*$P386,2)</f>
        <v>0</v>
      </c>
      <c r="AN386" s="61">
        <f>IFERROR(SUMIFS('BM MORRO DA CRUZ - VERTICAL'!AR$6:AR$546,'BM MORRO DA CRUZ - VERTICAL'!$O$6:$O$546,'BM MORRO DA CRUZ'!$K386),0)</f>
        <v>0</v>
      </c>
      <c r="AO386" s="63">
        <f>ROUND(AN386*$P386,2)</f>
        <v>0</v>
      </c>
      <c r="AP386" s="61">
        <f>IFERROR(SUMIFS('BM MORRO DA CRUZ - VERTICAL'!AT$6:AT$546,'BM MORRO DA CRUZ - VERTICAL'!$O$6:$O$546,'BM MORRO DA CRUZ'!$K386),0)</f>
        <v>0</v>
      </c>
      <c r="AQ386" s="63">
        <f>ROUND(AP386*$P386,2)</f>
        <v>0</v>
      </c>
      <c r="AR386" s="61">
        <f>IFERROR(SUMIFS('BM MORRO DA CRUZ - VERTICAL'!AV$6:AV$546,'BM MORRO DA CRUZ - VERTICAL'!$O$6:$O$546,'BM MORRO DA CRUZ'!$K386),0)</f>
        <v>0</v>
      </c>
      <c r="AS386" s="63">
        <f>ROUND(AR386*$P386,2)</f>
        <v>0</v>
      </c>
      <c r="AT386" s="61">
        <f>IFERROR(SUMIFS('BM MORRO DA CRUZ - VERTICAL'!AX$6:AX$546,'BM MORRO DA CRUZ - VERTICAL'!$O$6:$O$546,'BM MORRO DA CRUZ'!$K386),0)</f>
        <v>0</v>
      </c>
      <c r="AU386" s="63">
        <f>ROUND(AT386*$P386,2)</f>
        <v>0</v>
      </c>
      <c r="AV386" s="61">
        <f>IFERROR(SUMIFS('BM MORRO DA CRUZ - VERTICAL'!AZ$6:AZ$546,'BM MORRO DA CRUZ - VERTICAL'!$O$6:$O$546,'BM MORRO DA CRUZ'!$K386),0)</f>
        <v>0</v>
      </c>
      <c r="AW386" s="63">
        <f>ROUND(AV386*$P386,2)</f>
        <v>0</v>
      </c>
      <c r="AX386" s="61">
        <f>IFERROR(SUMIFS('BM MORRO DA CRUZ - VERTICAL'!BB$6:BB$546,'BM MORRO DA CRUZ - VERTICAL'!$O$6:$O$546,'BM MORRO DA CRUZ'!$K386),0)</f>
        <v>0</v>
      </c>
      <c r="AY386" s="63">
        <f>ROUND(AX386*$P386,2)</f>
        <v>0</v>
      </c>
      <c r="AZ386" s="61">
        <f>IFERROR(SUMIFS('BM MORRO DA CRUZ - VERTICAL'!BD$6:BD$546,'BM MORRO DA CRUZ - VERTICAL'!$O$6:$O$546,'BM MORRO DA CRUZ'!$K386),0)</f>
        <v>0</v>
      </c>
      <c r="BA386" s="63">
        <f>ROUND(AZ386*$P386,2)</f>
        <v>0</v>
      </c>
      <c r="BB386" s="61">
        <f>IFERROR(SUMIFS($R386:$BA386,$R$5:$BA$5,$BB$5),0)</f>
        <v>0</v>
      </c>
      <c r="BC386" s="63">
        <f>SUMIFS($R386:$BA386,$R$5:$BA$5,$S$5)</f>
        <v>0</v>
      </c>
      <c r="BD386" s="64">
        <f>IFERROR(BB386/O386,0)</f>
        <v>0</v>
      </c>
      <c r="BE386" s="65">
        <f>IFERROR((O386-BB386)/O386,0)</f>
        <v>1</v>
      </c>
      <c r="BF386" s="45"/>
    </row>
    <row r="387" spans="1:58" ht="19.5" customHeight="1" x14ac:dyDescent="0.45">
      <c r="A387" s="46" t="s">
        <v>1371</v>
      </c>
      <c r="B387" s="503"/>
      <c r="C387" s="504"/>
      <c r="D387" s="504"/>
      <c r="E387" s="504"/>
      <c r="F387" s="504"/>
      <c r="G387" s="504"/>
      <c r="H387" s="505" t="s">
        <v>1718</v>
      </c>
      <c r="I387" s="504"/>
      <c r="J387" s="505" t="s">
        <v>1718</v>
      </c>
      <c r="K387" s="47" t="s">
        <v>1372</v>
      </c>
      <c r="L387" s="48"/>
      <c r="M387" s="49" t="s">
        <v>1247</v>
      </c>
      <c r="N387" s="50"/>
      <c r="O387" s="51"/>
      <c r="P387" s="52"/>
      <c r="Q387" s="53">
        <f>SUM(Q388:Q388)</f>
        <v>165088.72</v>
      </c>
      <c r="R387" s="51"/>
      <c r="S387" s="53">
        <f>SUM(S388:S388)</f>
        <v>0</v>
      </c>
      <c r="T387" s="51"/>
      <c r="U387" s="53">
        <f>SUM(U388:U388)</f>
        <v>0</v>
      </c>
      <c r="V387" s="51"/>
      <c r="W387" s="53">
        <f>SUM(W388:W388)</f>
        <v>0</v>
      </c>
      <c r="X387" s="51"/>
      <c r="Y387" s="53">
        <f>SUM(Y388:Y388)</f>
        <v>0</v>
      </c>
      <c r="Z387" s="51"/>
      <c r="AA387" s="53">
        <f>SUM(AA388:AA388)</f>
        <v>0</v>
      </c>
      <c r="AB387" s="51"/>
      <c r="AC387" s="53">
        <f>SUM(AC388:AC388)</f>
        <v>0</v>
      </c>
      <c r="AD387" s="51"/>
      <c r="AE387" s="53">
        <f>SUM(AE388:AE388)</f>
        <v>0</v>
      </c>
      <c r="AF387" s="51"/>
      <c r="AG387" s="53">
        <f>SUM(AG388:AG388)</f>
        <v>0</v>
      </c>
      <c r="AH387" s="51"/>
      <c r="AI387" s="53">
        <f>SUM(AI388:AI388)</f>
        <v>0</v>
      </c>
      <c r="AJ387" s="51"/>
      <c r="AK387" s="53">
        <f>SUM(AK388:AK388)</f>
        <v>0</v>
      </c>
      <c r="AL387" s="51"/>
      <c r="AM387" s="53">
        <f>SUM(AM388:AM388)</f>
        <v>0</v>
      </c>
      <c r="AN387" s="51"/>
      <c r="AO387" s="53">
        <f>SUM(AO388:AO388)</f>
        <v>0</v>
      </c>
      <c r="AP387" s="51"/>
      <c r="AQ387" s="53">
        <f>SUM(AQ388:AQ388)</f>
        <v>0</v>
      </c>
      <c r="AR387" s="51"/>
      <c r="AS387" s="53">
        <f>SUM(AS388:AS388)</f>
        <v>0</v>
      </c>
      <c r="AT387" s="51"/>
      <c r="AU387" s="53">
        <f>SUM(AU388:AU388)</f>
        <v>0</v>
      </c>
      <c r="AV387" s="51"/>
      <c r="AW387" s="53">
        <f>SUM(AW388:AW388)</f>
        <v>0</v>
      </c>
      <c r="AX387" s="51"/>
      <c r="AY387" s="53">
        <f>SUM(AY388:AY388)</f>
        <v>0</v>
      </c>
      <c r="AZ387" s="51"/>
      <c r="BA387" s="53">
        <f>SUM(BA388:BA388)</f>
        <v>0</v>
      </c>
      <c r="BB387" s="51"/>
      <c r="BC387" s="53">
        <f>SUM(BC388:BC388)</f>
        <v>0</v>
      </c>
      <c r="BD387" s="54"/>
      <c r="BE387" s="55"/>
      <c r="BF387" s="45"/>
    </row>
    <row r="388" spans="1:58" ht="26" customHeight="1" x14ac:dyDescent="0.45">
      <c r="A388" s="56" t="s">
        <v>1373</v>
      </c>
      <c r="B388" s="506" t="s">
        <v>1842</v>
      </c>
      <c r="C388" s="507" t="s">
        <v>39</v>
      </c>
      <c r="D388" s="507" t="s">
        <v>39</v>
      </c>
      <c r="E388" s="507" t="s">
        <v>214</v>
      </c>
      <c r="F388" s="507" t="s">
        <v>39</v>
      </c>
      <c r="G388" s="507" t="s">
        <v>39</v>
      </c>
      <c r="H388" s="508" t="s">
        <v>39</v>
      </c>
      <c r="I388" s="507" t="s">
        <v>68</v>
      </c>
      <c r="J388" s="508" t="s">
        <v>214</v>
      </c>
      <c r="K388" s="57" t="s">
        <v>1374</v>
      </c>
      <c r="L388" s="58" t="s">
        <v>846</v>
      </c>
      <c r="M388" s="59" t="s">
        <v>1375</v>
      </c>
      <c r="N388" s="60" t="s">
        <v>71</v>
      </c>
      <c r="O388" s="61">
        <v>11894</v>
      </c>
      <c r="P388" s="62">
        <v>13.88</v>
      </c>
      <c r="Q388" s="63">
        <f>ROUND(P388*$O388,2)</f>
        <v>165088.72</v>
      </c>
      <c r="R388" s="61">
        <f>IFERROR(SUMIFS('BM MORRO DA CRUZ - VERTICAL'!V$6:V$546,'BM MORRO DA CRUZ - VERTICAL'!$O$6:$O$546,'BM MORRO DA CRUZ'!$K388),0)</f>
        <v>0</v>
      </c>
      <c r="S388" s="63">
        <f>ROUND(R388*$P388,2)</f>
        <v>0</v>
      </c>
      <c r="T388" s="61">
        <f>IFERROR(SUMIFS('BM MORRO DA CRUZ - VERTICAL'!X$6:X$546,'BM MORRO DA CRUZ - VERTICAL'!$O$6:$O$546,'BM MORRO DA CRUZ'!$K388),0)</f>
        <v>0</v>
      </c>
      <c r="U388" s="63">
        <f>ROUND(T388*$P388,2)</f>
        <v>0</v>
      </c>
      <c r="V388" s="61">
        <f>IFERROR(SUMIFS('BM MORRO DA CRUZ - VERTICAL'!Z$6:Z$546,'BM MORRO DA CRUZ - VERTICAL'!$O$6:$O$546,'BM MORRO DA CRUZ'!$K388),0)</f>
        <v>0</v>
      </c>
      <c r="W388" s="63">
        <f>ROUND(V388*$P388,2)</f>
        <v>0</v>
      </c>
      <c r="X388" s="61">
        <f>IFERROR(SUMIFS('BM MORRO DA CRUZ - VERTICAL'!AB$6:AB$546,'BM MORRO DA CRUZ - VERTICAL'!$O$6:$O$546,'BM MORRO DA CRUZ'!$K388),0)</f>
        <v>0</v>
      </c>
      <c r="Y388" s="63">
        <f>ROUND(X388*$P388,2)</f>
        <v>0</v>
      </c>
      <c r="Z388" s="61">
        <f>IFERROR(SUMIFS('BM MORRO DA CRUZ - VERTICAL'!AD$6:AD$546,'BM MORRO DA CRUZ - VERTICAL'!$O$6:$O$546,'BM MORRO DA CRUZ'!$K388),0)</f>
        <v>0</v>
      </c>
      <c r="AA388" s="63">
        <f>ROUND(Z388*$P388,2)</f>
        <v>0</v>
      </c>
      <c r="AB388" s="61">
        <f>IFERROR(SUMIFS('BM MORRO DA CRUZ - VERTICAL'!AF$6:AF$546,'BM MORRO DA CRUZ - VERTICAL'!$O$6:$O$546,'BM MORRO DA CRUZ'!$K388),0)</f>
        <v>0</v>
      </c>
      <c r="AC388" s="63">
        <f>ROUND(AB388*$P388,2)</f>
        <v>0</v>
      </c>
      <c r="AD388" s="61">
        <f>IFERROR(SUMIFS('BM MORRO DA CRUZ - VERTICAL'!AH$6:AH$546,'BM MORRO DA CRUZ - VERTICAL'!$O$6:$O$546,'BM MORRO DA CRUZ'!$K388),0)</f>
        <v>0</v>
      </c>
      <c r="AE388" s="63">
        <f>ROUND(AD388*$P388,2)</f>
        <v>0</v>
      </c>
      <c r="AF388" s="61">
        <f>IFERROR(SUMIFS('BM MORRO DA CRUZ - VERTICAL'!AJ$6:AJ$546,'BM MORRO DA CRUZ - VERTICAL'!$O$6:$O$546,'BM MORRO DA CRUZ'!$K388),0)</f>
        <v>0</v>
      </c>
      <c r="AG388" s="63">
        <f>ROUND(AF388*$P388,2)</f>
        <v>0</v>
      </c>
      <c r="AH388" s="61">
        <f>IFERROR(SUMIFS('BM MORRO DA CRUZ - VERTICAL'!AL$6:AL$546,'BM MORRO DA CRUZ - VERTICAL'!$O$6:$O$546,'BM MORRO DA CRUZ'!$K388),0)</f>
        <v>0</v>
      </c>
      <c r="AI388" s="63">
        <f>ROUND(AH388*$P388,2)</f>
        <v>0</v>
      </c>
      <c r="AJ388" s="61">
        <f>IFERROR(SUMIFS('BM MORRO DA CRUZ - VERTICAL'!AN$6:AN$546,'BM MORRO DA CRUZ - VERTICAL'!$O$6:$O$546,'BM MORRO DA CRUZ'!$K388),0)</f>
        <v>0</v>
      </c>
      <c r="AK388" s="63">
        <f>ROUND(AJ388*$P388,2)</f>
        <v>0</v>
      </c>
      <c r="AL388" s="61">
        <f>IFERROR(SUMIFS('BM MORRO DA CRUZ - VERTICAL'!AP$6:AP$546,'BM MORRO DA CRUZ - VERTICAL'!$O$6:$O$546,'BM MORRO DA CRUZ'!$K388),0)</f>
        <v>0</v>
      </c>
      <c r="AM388" s="63">
        <f>ROUND(AL388*$P388,2)</f>
        <v>0</v>
      </c>
      <c r="AN388" s="61">
        <f>IFERROR(SUMIFS('BM MORRO DA CRUZ - VERTICAL'!AR$6:AR$546,'BM MORRO DA CRUZ - VERTICAL'!$O$6:$O$546,'BM MORRO DA CRUZ'!$K388),0)</f>
        <v>0</v>
      </c>
      <c r="AO388" s="63">
        <f>ROUND(AN388*$P388,2)</f>
        <v>0</v>
      </c>
      <c r="AP388" s="61">
        <f>IFERROR(SUMIFS('BM MORRO DA CRUZ - VERTICAL'!AT$6:AT$546,'BM MORRO DA CRUZ - VERTICAL'!$O$6:$O$546,'BM MORRO DA CRUZ'!$K388),0)</f>
        <v>0</v>
      </c>
      <c r="AQ388" s="63">
        <f>ROUND(AP388*$P388,2)</f>
        <v>0</v>
      </c>
      <c r="AR388" s="61">
        <f>IFERROR(SUMIFS('BM MORRO DA CRUZ - VERTICAL'!AV$6:AV$546,'BM MORRO DA CRUZ - VERTICAL'!$O$6:$O$546,'BM MORRO DA CRUZ'!$K388),0)</f>
        <v>0</v>
      </c>
      <c r="AS388" s="63">
        <f>ROUND(AR388*$P388,2)</f>
        <v>0</v>
      </c>
      <c r="AT388" s="61">
        <f>IFERROR(SUMIFS('BM MORRO DA CRUZ - VERTICAL'!AX$6:AX$546,'BM MORRO DA CRUZ - VERTICAL'!$O$6:$O$546,'BM MORRO DA CRUZ'!$K388),0)</f>
        <v>0</v>
      </c>
      <c r="AU388" s="63">
        <f>ROUND(AT388*$P388,2)</f>
        <v>0</v>
      </c>
      <c r="AV388" s="61">
        <f>IFERROR(SUMIFS('BM MORRO DA CRUZ - VERTICAL'!AZ$6:AZ$546,'BM MORRO DA CRUZ - VERTICAL'!$O$6:$O$546,'BM MORRO DA CRUZ'!$K388),0)</f>
        <v>0</v>
      </c>
      <c r="AW388" s="63">
        <f>ROUND(AV388*$P388,2)</f>
        <v>0</v>
      </c>
      <c r="AX388" s="61">
        <f>IFERROR(SUMIFS('BM MORRO DA CRUZ - VERTICAL'!BB$6:BB$546,'BM MORRO DA CRUZ - VERTICAL'!$O$6:$O$546,'BM MORRO DA CRUZ'!$K388),0)</f>
        <v>0</v>
      </c>
      <c r="AY388" s="63">
        <f>ROUND(AX388*$P388,2)</f>
        <v>0</v>
      </c>
      <c r="AZ388" s="61">
        <f>IFERROR(SUMIFS('BM MORRO DA CRUZ - VERTICAL'!BD$6:BD$546,'BM MORRO DA CRUZ - VERTICAL'!$O$6:$O$546,'BM MORRO DA CRUZ'!$K388),0)</f>
        <v>0</v>
      </c>
      <c r="BA388" s="63">
        <f>ROUND(AZ388*$P388,2)</f>
        <v>0</v>
      </c>
      <c r="BB388" s="61">
        <f>IFERROR(SUMIFS($R388:$BA388,$R$5:$BA$5,$BB$5),0)</f>
        <v>0</v>
      </c>
      <c r="BC388" s="63">
        <f>SUMIFS($R388:$BA388,$R$5:$BA$5,$S$5)</f>
        <v>0</v>
      </c>
      <c r="BD388" s="64">
        <f>IFERROR(BB388/O388,0)</f>
        <v>0</v>
      </c>
      <c r="BE388" s="65">
        <f>IFERROR((O388-BB388)/O388,0)</f>
        <v>1</v>
      </c>
      <c r="BF388" s="45"/>
    </row>
    <row r="389" spans="1:58" ht="19.5" customHeight="1" x14ac:dyDescent="0.45">
      <c r="A389" s="35">
        <v>6</v>
      </c>
      <c r="B389" s="500"/>
      <c r="C389" s="501"/>
      <c r="D389" s="501"/>
      <c r="E389" s="501"/>
      <c r="F389" s="501"/>
      <c r="G389" s="501"/>
      <c r="H389" s="502" t="s">
        <v>1718</v>
      </c>
      <c r="I389" s="501"/>
      <c r="J389" s="502" t="s">
        <v>1718</v>
      </c>
      <c r="K389" s="36" t="s">
        <v>1376</v>
      </c>
      <c r="L389" s="37"/>
      <c r="M389" s="38" t="s">
        <v>1377</v>
      </c>
      <c r="N389" s="39"/>
      <c r="O389" s="40"/>
      <c r="P389" s="41"/>
      <c r="Q389" s="42">
        <f>SUM(Q390)</f>
        <v>459842.94</v>
      </c>
      <c r="R389" s="40"/>
      <c r="S389" s="42">
        <f>SUM(S390)</f>
        <v>0</v>
      </c>
      <c r="T389" s="40"/>
      <c r="U389" s="42">
        <f>SUM(U390)</f>
        <v>0</v>
      </c>
      <c r="V389" s="40"/>
      <c r="W389" s="42">
        <f>SUM(W390)</f>
        <v>0</v>
      </c>
      <c r="X389" s="40"/>
      <c r="Y389" s="42">
        <f>SUM(Y390)</f>
        <v>0</v>
      </c>
      <c r="Z389" s="40"/>
      <c r="AA389" s="42">
        <f>SUM(AA390)</f>
        <v>0</v>
      </c>
      <c r="AB389" s="40"/>
      <c r="AC389" s="42">
        <f>SUM(AC390)</f>
        <v>0</v>
      </c>
      <c r="AD389" s="40"/>
      <c r="AE389" s="42">
        <f>SUM(AE390)</f>
        <v>0</v>
      </c>
      <c r="AF389" s="40"/>
      <c r="AG389" s="42">
        <f>SUM(AG390)</f>
        <v>0</v>
      </c>
      <c r="AH389" s="40"/>
      <c r="AI389" s="42">
        <f>SUM(AI390)</f>
        <v>0</v>
      </c>
      <c r="AJ389" s="40"/>
      <c r="AK389" s="42">
        <f>SUM(AK390)</f>
        <v>0</v>
      </c>
      <c r="AL389" s="40"/>
      <c r="AM389" s="42">
        <f>SUM(AM390)</f>
        <v>0</v>
      </c>
      <c r="AN389" s="40"/>
      <c r="AO389" s="42">
        <f>SUM(AO390)</f>
        <v>0</v>
      </c>
      <c r="AP389" s="40"/>
      <c r="AQ389" s="42">
        <f>SUM(AQ390)</f>
        <v>0</v>
      </c>
      <c r="AR389" s="40"/>
      <c r="AS389" s="42">
        <f>SUM(AS390)</f>
        <v>0</v>
      </c>
      <c r="AT389" s="40"/>
      <c r="AU389" s="42">
        <f>SUM(AU390)</f>
        <v>0</v>
      </c>
      <c r="AV389" s="40"/>
      <c r="AW389" s="42">
        <f>SUM(AW390)</f>
        <v>0</v>
      </c>
      <c r="AX389" s="40"/>
      <c r="AY389" s="42">
        <f>SUM(AY390)</f>
        <v>0</v>
      </c>
      <c r="AZ389" s="40"/>
      <c r="BA389" s="42">
        <f>SUM(BA390)</f>
        <v>0</v>
      </c>
      <c r="BB389" s="40"/>
      <c r="BC389" s="42">
        <f>SUM(BC390)</f>
        <v>0</v>
      </c>
      <c r="BD389" s="43"/>
      <c r="BE389" s="44"/>
      <c r="BF389" s="45"/>
    </row>
    <row r="390" spans="1:58" ht="19.5" customHeight="1" x14ac:dyDescent="0.45">
      <c r="A390" s="46" t="s">
        <v>1378</v>
      </c>
      <c r="B390" s="503"/>
      <c r="C390" s="504"/>
      <c r="D390" s="504"/>
      <c r="E390" s="504"/>
      <c r="F390" s="504"/>
      <c r="G390" s="504"/>
      <c r="H390" s="505" t="s">
        <v>1718</v>
      </c>
      <c r="I390" s="504"/>
      <c r="J390" s="505" t="s">
        <v>1718</v>
      </c>
      <c r="K390" s="47" t="s">
        <v>1379</v>
      </c>
      <c r="L390" s="48"/>
      <c r="M390" s="49" t="s">
        <v>1380</v>
      </c>
      <c r="N390" s="50"/>
      <c r="O390" s="51"/>
      <c r="P390" s="52"/>
      <c r="Q390" s="53">
        <f>SUM(Q391:Q393)</f>
        <v>459842.94</v>
      </c>
      <c r="R390" s="51"/>
      <c r="S390" s="53">
        <f>SUM(S391:S393)</f>
        <v>0</v>
      </c>
      <c r="T390" s="51"/>
      <c r="U390" s="53">
        <f>SUM(U391:U393)</f>
        <v>0</v>
      </c>
      <c r="V390" s="51"/>
      <c r="W390" s="53">
        <f>SUM(W391:W393)</f>
        <v>0</v>
      </c>
      <c r="X390" s="51"/>
      <c r="Y390" s="53">
        <f>SUM(Y391:Y393)</f>
        <v>0</v>
      </c>
      <c r="Z390" s="51"/>
      <c r="AA390" s="53">
        <f>SUM(AA391:AA393)</f>
        <v>0</v>
      </c>
      <c r="AB390" s="51"/>
      <c r="AC390" s="53">
        <f>SUM(AC391:AC393)</f>
        <v>0</v>
      </c>
      <c r="AD390" s="51"/>
      <c r="AE390" s="53">
        <f>SUM(AE391:AE393)</f>
        <v>0</v>
      </c>
      <c r="AF390" s="51"/>
      <c r="AG390" s="53">
        <f>SUM(AG391:AG393)</f>
        <v>0</v>
      </c>
      <c r="AH390" s="51"/>
      <c r="AI390" s="53">
        <f>SUM(AI391:AI393)</f>
        <v>0</v>
      </c>
      <c r="AJ390" s="51"/>
      <c r="AK390" s="53">
        <f>SUM(AK391:AK393)</f>
        <v>0</v>
      </c>
      <c r="AL390" s="51"/>
      <c r="AM390" s="53">
        <f>SUM(AM391:AM393)</f>
        <v>0</v>
      </c>
      <c r="AN390" s="51"/>
      <c r="AO390" s="53">
        <f>SUM(AO391:AO393)</f>
        <v>0</v>
      </c>
      <c r="AP390" s="51"/>
      <c r="AQ390" s="53">
        <f>SUM(AQ391:AQ393)</f>
        <v>0</v>
      </c>
      <c r="AR390" s="51"/>
      <c r="AS390" s="53">
        <f>SUM(AS391:AS393)</f>
        <v>0</v>
      </c>
      <c r="AT390" s="51"/>
      <c r="AU390" s="53">
        <f>SUM(AU391:AU393)</f>
        <v>0</v>
      </c>
      <c r="AV390" s="51"/>
      <c r="AW390" s="53">
        <f>SUM(AW391:AW393)</f>
        <v>0</v>
      </c>
      <c r="AX390" s="51"/>
      <c r="AY390" s="53">
        <f>SUM(AY391:AY393)</f>
        <v>0</v>
      </c>
      <c r="AZ390" s="51"/>
      <c r="BA390" s="53">
        <f>SUM(BA391:BA393)</f>
        <v>0</v>
      </c>
      <c r="BB390" s="51"/>
      <c r="BC390" s="53">
        <f>SUM(BC391:BC393)</f>
        <v>0</v>
      </c>
      <c r="BD390" s="54"/>
      <c r="BE390" s="55"/>
      <c r="BF390" s="45"/>
    </row>
    <row r="391" spans="1:58" ht="38.25" customHeight="1" x14ac:dyDescent="0.45">
      <c r="A391" s="56" t="s">
        <v>1381</v>
      </c>
      <c r="B391" s="506" t="s">
        <v>1382</v>
      </c>
      <c r="C391" s="507" t="s">
        <v>39</v>
      </c>
      <c r="D391" s="507" t="s">
        <v>39</v>
      </c>
      <c r="E391" s="507" t="s">
        <v>1383</v>
      </c>
      <c r="F391" s="507" t="s">
        <v>39</v>
      </c>
      <c r="G391" s="507" t="s">
        <v>1384</v>
      </c>
      <c r="H391" s="508" t="s">
        <v>789</v>
      </c>
      <c r="I391" s="507" t="s">
        <v>40</v>
      </c>
      <c r="J391" s="508" t="s">
        <v>1383</v>
      </c>
      <c r="K391" s="57" t="s">
        <v>1385</v>
      </c>
      <c r="L391" s="58" t="s">
        <v>21</v>
      </c>
      <c r="M391" s="59" t="s">
        <v>1386</v>
      </c>
      <c r="N391" s="60" t="s">
        <v>44</v>
      </c>
      <c r="O391" s="61">
        <v>90</v>
      </c>
      <c r="P391" s="62">
        <v>1500</v>
      </c>
      <c r="Q391" s="63">
        <f>ROUND(P391*$O391,2)</f>
        <v>135000</v>
      </c>
      <c r="R391" s="61">
        <f>IFERROR(SUMIFS('BM MORRO DA CRUZ - VERTICAL'!V$6:V$546,'BM MORRO DA CRUZ - VERTICAL'!$O$6:$O$546,'BM MORRO DA CRUZ'!$K391),0)</f>
        <v>0</v>
      </c>
      <c r="S391" s="63">
        <f>ROUND(R391*$P391,2)</f>
        <v>0</v>
      </c>
      <c r="T391" s="61">
        <f>IFERROR(SUMIFS('BM MORRO DA CRUZ - VERTICAL'!X$6:X$546,'BM MORRO DA CRUZ - VERTICAL'!$O$6:$O$546,'BM MORRO DA CRUZ'!$K391),0)</f>
        <v>0</v>
      </c>
      <c r="U391" s="63">
        <f>ROUND(T391*$P391,2)</f>
        <v>0</v>
      </c>
      <c r="V391" s="61">
        <f>IFERROR(SUMIFS('BM MORRO DA CRUZ - VERTICAL'!Z$6:Z$546,'BM MORRO DA CRUZ - VERTICAL'!$O$6:$O$546,'BM MORRO DA CRUZ'!$K391),0)</f>
        <v>0</v>
      </c>
      <c r="W391" s="63">
        <f>ROUND(V391*$P391,2)</f>
        <v>0</v>
      </c>
      <c r="X391" s="61">
        <f>IFERROR(SUMIFS('BM MORRO DA CRUZ - VERTICAL'!AB$6:AB$546,'BM MORRO DA CRUZ - VERTICAL'!$O$6:$O$546,'BM MORRO DA CRUZ'!$K391),0)</f>
        <v>0</v>
      </c>
      <c r="Y391" s="63">
        <f>ROUND(X391*$P391,2)</f>
        <v>0</v>
      </c>
      <c r="Z391" s="61">
        <f>IFERROR(SUMIFS('BM MORRO DA CRUZ - VERTICAL'!AD$6:AD$546,'BM MORRO DA CRUZ - VERTICAL'!$O$6:$O$546,'BM MORRO DA CRUZ'!$K391),0)</f>
        <v>0</v>
      </c>
      <c r="AA391" s="63">
        <f>ROUND(Z391*$P391,2)</f>
        <v>0</v>
      </c>
      <c r="AB391" s="61">
        <f>IFERROR(SUMIFS('BM MORRO DA CRUZ - VERTICAL'!AF$6:AF$546,'BM MORRO DA CRUZ - VERTICAL'!$O$6:$O$546,'BM MORRO DA CRUZ'!$K391),0)</f>
        <v>0</v>
      </c>
      <c r="AC391" s="63">
        <f>ROUND(AB391*$P391,2)</f>
        <v>0</v>
      </c>
      <c r="AD391" s="61">
        <f>IFERROR(SUMIFS('BM MORRO DA CRUZ - VERTICAL'!AH$6:AH$546,'BM MORRO DA CRUZ - VERTICAL'!$O$6:$O$546,'BM MORRO DA CRUZ'!$K391),0)</f>
        <v>0</v>
      </c>
      <c r="AE391" s="63">
        <f>ROUND(AD391*$P391,2)</f>
        <v>0</v>
      </c>
      <c r="AF391" s="61">
        <f>IFERROR(SUMIFS('BM MORRO DA CRUZ - VERTICAL'!AJ$6:AJ$546,'BM MORRO DA CRUZ - VERTICAL'!$O$6:$O$546,'BM MORRO DA CRUZ'!$K391),0)</f>
        <v>0</v>
      </c>
      <c r="AG391" s="63">
        <f>ROUND(AF391*$P391,2)</f>
        <v>0</v>
      </c>
      <c r="AH391" s="61">
        <f>IFERROR(SUMIFS('BM MORRO DA CRUZ - VERTICAL'!AL$6:AL$546,'BM MORRO DA CRUZ - VERTICAL'!$O$6:$O$546,'BM MORRO DA CRUZ'!$K391),0)</f>
        <v>0</v>
      </c>
      <c r="AI391" s="63">
        <f>ROUND(AH391*$P391,2)</f>
        <v>0</v>
      </c>
      <c r="AJ391" s="61">
        <f>IFERROR(SUMIFS('BM MORRO DA CRUZ - VERTICAL'!AN$6:AN$546,'BM MORRO DA CRUZ - VERTICAL'!$O$6:$O$546,'BM MORRO DA CRUZ'!$K391),0)</f>
        <v>0</v>
      </c>
      <c r="AK391" s="63">
        <f>ROUND(AJ391*$P391,2)</f>
        <v>0</v>
      </c>
      <c r="AL391" s="61">
        <f>IFERROR(SUMIFS('BM MORRO DA CRUZ - VERTICAL'!AP$6:AP$546,'BM MORRO DA CRUZ - VERTICAL'!$O$6:$O$546,'BM MORRO DA CRUZ'!$K391),0)</f>
        <v>0</v>
      </c>
      <c r="AM391" s="63">
        <f>ROUND(AL391*$P391,2)</f>
        <v>0</v>
      </c>
      <c r="AN391" s="61">
        <f>IFERROR(SUMIFS('BM MORRO DA CRUZ - VERTICAL'!AR$6:AR$546,'BM MORRO DA CRUZ - VERTICAL'!$O$6:$O$546,'BM MORRO DA CRUZ'!$K391),0)</f>
        <v>0</v>
      </c>
      <c r="AO391" s="63">
        <f>ROUND(AN391*$P391,2)</f>
        <v>0</v>
      </c>
      <c r="AP391" s="61">
        <f>IFERROR(SUMIFS('BM MORRO DA CRUZ - VERTICAL'!AT$6:AT$546,'BM MORRO DA CRUZ - VERTICAL'!$O$6:$O$546,'BM MORRO DA CRUZ'!$K391),0)</f>
        <v>0</v>
      </c>
      <c r="AQ391" s="63">
        <f>ROUND(AP391*$P391,2)</f>
        <v>0</v>
      </c>
      <c r="AR391" s="61">
        <f>IFERROR(SUMIFS('BM MORRO DA CRUZ - VERTICAL'!AV$6:AV$546,'BM MORRO DA CRUZ - VERTICAL'!$O$6:$O$546,'BM MORRO DA CRUZ'!$K391),0)</f>
        <v>0</v>
      </c>
      <c r="AS391" s="63">
        <f>ROUND(AR391*$P391,2)</f>
        <v>0</v>
      </c>
      <c r="AT391" s="61">
        <f>IFERROR(SUMIFS('BM MORRO DA CRUZ - VERTICAL'!AX$6:AX$546,'BM MORRO DA CRUZ - VERTICAL'!$O$6:$O$546,'BM MORRO DA CRUZ'!$K391),0)</f>
        <v>0</v>
      </c>
      <c r="AU391" s="63">
        <f>ROUND(AT391*$P391,2)</f>
        <v>0</v>
      </c>
      <c r="AV391" s="61">
        <f>IFERROR(SUMIFS('BM MORRO DA CRUZ - VERTICAL'!AZ$6:AZ$546,'BM MORRO DA CRUZ - VERTICAL'!$O$6:$O$546,'BM MORRO DA CRUZ'!$K391),0)</f>
        <v>0</v>
      </c>
      <c r="AW391" s="63">
        <f>ROUND(AV391*$P391,2)</f>
        <v>0</v>
      </c>
      <c r="AX391" s="61">
        <f>IFERROR(SUMIFS('BM MORRO DA CRUZ - VERTICAL'!BB$6:BB$546,'BM MORRO DA CRUZ - VERTICAL'!$O$6:$O$546,'BM MORRO DA CRUZ'!$K391),0)</f>
        <v>0</v>
      </c>
      <c r="AY391" s="63">
        <f>ROUND(AX391*$P391,2)</f>
        <v>0</v>
      </c>
      <c r="AZ391" s="61">
        <f>IFERROR(SUMIFS('BM MORRO DA CRUZ - VERTICAL'!BD$6:BD$546,'BM MORRO DA CRUZ - VERTICAL'!$O$6:$O$546,'BM MORRO DA CRUZ'!$K391),0)</f>
        <v>0</v>
      </c>
      <c r="BA391" s="63">
        <f>ROUND(AZ391*$P391,2)</f>
        <v>0</v>
      </c>
      <c r="BB391" s="61">
        <f>IFERROR(SUMIFS($R391:$BA391,$R$5:$BA$5,$BB$5),0)</f>
        <v>0</v>
      </c>
      <c r="BC391" s="63">
        <f>SUMIFS($R391:$BA391,$R$5:$BA$5,$S$5)</f>
        <v>0</v>
      </c>
      <c r="BD391" s="64">
        <f>IFERROR(BB391/O391,0)</f>
        <v>0</v>
      </c>
      <c r="BE391" s="65">
        <f>IFERROR((O391-BB391)/O391,0)</f>
        <v>1</v>
      </c>
      <c r="BF391" s="45"/>
    </row>
    <row r="392" spans="1:58" ht="26.25" customHeight="1" x14ac:dyDescent="0.45">
      <c r="A392" s="56" t="s">
        <v>1387</v>
      </c>
      <c r="B392" s="506" t="s">
        <v>1388</v>
      </c>
      <c r="C392" s="507" t="s">
        <v>39</v>
      </c>
      <c r="D392" s="507" t="s">
        <v>39</v>
      </c>
      <c r="E392" s="507" t="s">
        <v>1383</v>
      </c>
      <c r="F392" s="507" t="s">
        <v>39</v>
      </c>
      <c r="G392" s="507" t="s">
        <v>1384</v>
      </c>
      <c r="H392" s="508" t="s">
        <v>789</v>
      </c>
      <c r="I392" s="507" t="s">
        <v>40</v>
      </c>
      <c r="J392" s="508" t="s">
        <v>1383</v>
      </c>
      <c r="K392" s="57" t="s">
        <v>1389</v>
      </c>
      <c r="L392" s="58" t="s">
        <v>21</v>
      </c>
      <c r="M392" s="59" t="s">
        <v>1390</v>
      </c>
      <c r="N392" s="60" t="s">
        <v>44</v>
      </c>
      <c r="O392" s="61">
        <v>162</v>
      </c>
      <c r="P392" s="62">
        <v>1171.8699999999999</v>
      </c>
      <c r="Q392" s="63">
        <f>ROUND(P392*$O392,2)</f>
        <v>189842.94</v>
      </c>
      <c r="R392" s="61">
        <f>IFERROR(SUMIFS('BM MORRO DA CRUZ - VERTICAL'!V$6:V$546,'BM MORRO DA CRUZ - VERTICAL'!$O$6:$O$546,'BM MORRO DA CRUZ'!$K392),0)</f>
        <v>0</v>
      </c>
      <c r="S392" s="63">
        <f>ROUND(R392*$P392,2)</f>
        <v>0</v>
      </c>
      <c r="T392" s="61">
        <f>IFERROR(SUMIFS('BM MORRO DA CRUZ - VERTICAL'!X$6:X$546,'BM MORRO DA CRUZ - VERTICAL'!$O$6:$O$546,'BM MORRO DA CRUZ'!$K392),0)</f>
        <v>0</v>
      </c>
      <c r="U392" s="63">
        <f>ROUND(T392*$P392,2)</f>
        <v>0</v>
      </c>
      <c r="V392" s="61">
        <f>IFERROR(SUMIFS('BM MORRO DA CRUZ - VERTICAL'!Z$6:Z$546,'BM MORRO DA CRUZ - VERTICAL'!$O$6:$O$546,'BM MORRO DA CRUZ'!$K392),0)</f>
        <v>0</v>
      </c>
      <c r="W392" s="63">
        <f>ROUND(V392*$P392,2)</f>
        <v>0</v>
      </c>
      <c r="X392" s="61">
        <f>IFERROR(SUMIFS('BM MORRO DA CRUZ - VERTICAL'!AB$6:AB$546,'BM MORRO DA CRUZ - VERTICAL'!$O$6:$O$546,'BM MORRO DA CRUZ'!$K392),0)</f>
        <v>0</v>
      </c>
      <c r="Y392" s="63">
        <f>ROUND(X392*$P392,2)</f>
        <v>0</v>
      </c>
      <c r="Z392" s="61">
        <f>IFERROR(SUMIFS('BM MORRO DA CRUZ - VERTICAL'!AD$6:AD$546,'BM MORRO DA CRUZ - VERTICAL'!$O$6:$O$546,'BM MORRO DA CRUZ'!$K392),0)</f>
        <v>0</v>
      </c>
      <c r="AA392" s="63">
        <f>ROUND(Z392*$P392,2)</f>
        <v>0</v>
      </c>
      <c r="AB392" s="61">
        <f>IFERROR(SUMIFS('BM MORRO DA CRUZ - VERTICAL'!AF$6:AF$546,'BM MORRO DA CRUZ - VERTICAL'!$O$6:$O$546,'BM MORRO DA CRUZ'!$K392),0)</f>
        <v>0</v>
      </c>
      <c r="AC392" s="63">
        <f>ROUND(AB392*$P392,2)</f>
        <v>0</v>
      </c>
      <c r="AD392" s="61">
        <f>IFERROR(SUMIFS('BM MORRO DA CRUZ - VERTICAL'!AH$6:AH$546,'BM MORRO DA CRUZ - VERTICAL'!$O$6:$O$546,'BM MORRO DA CRUZ'!$K392),0)</f>
        <v>0</v>
      </c>
      <c r="AE392" s="63">
        <f>ROUND(AD392*$P392,2)</f>
        <v>0</v>
      </c>
      <c r="AF392" s="61">
        <f>IFERROR(SUMIFS('BM MORRO DA CRUZ - VERTICAL'!AJ$6:AJ$546,'BM MORRO DA CRUZ - VERTICAL'!$O$6:$O$546,'BM MORRO DA CRUZ'!$K392),0)</f>
        <v>0</v>
      </c>
      <c r="AG392" s="63">
        <f>ROUND(AF392*$P392,2)</f>
        <v>0</v>
      </c>
      <c r="AH392" s="61">
        <f>IFERROR(SUMIFS('BM MORRO DA CRUZ - VERTICAL'!AL$6:AL$546,'BM MORRO DA CRUZ - VERTICAL'!$O$6:$O$546,'BM MORRO DA CRUZ'!$K392),0)</f>
        <v>0</v>
      </c>
      <c r="AI392" s="63">
        <f>ROUND(AH392*$P392,2)</f>
        <v>0</v>
      </c>
      <c r="AJ392" s="61">
        <f>IFERROR(SUMIFS('BM MORRO DA CRUZ - VERTICAL'!AN$6:AN$546,'BM MORRO DA CRUZ - VERTICAL'!$O$6:$O$546,'BM MORRO DA CRUZ'!$K392),0)</f>
        <v>0</v>
      </c>
      <c r="AK392" s="63">
        <f>ROUND(AJ392*$P392,2)</f>
        <v>0</v>
      </c>
      <c r="AL392" s="61">
        <f>IFERROR(SUMIFS('BM MORRO DA CRUZ - VERTICAL'!AP$6:AP$546,'BM MORRO DA CRUZ - VERTICAL'!$O$6:$O$546,'BM MORRO DA CRUZ'!$K392),0)</f>
        <v>0</v>
      </c>
      <c r="AM392" s="63">
        <f>ROUND(AL392*$P392,2)</f>
        <v>0</v>
      </c>
      <c r="AN392" s="61">
        <f>IFERROR(SUMIFS('BM MORRO DA CRUZ - VERTICAL'!AR$6:AR$546,'BM MORRO DA CRUZ - VERTICAL'!$O$6:$O$546,'BM MORRO DA CRUZ'!$K392),0)</f>
        <v>0</v>
      </c>
      <c r="AO392" s="63">
        <f>ROUND(AN392*$P392,2)</f>
        <v>0</v>
      </c>
      <c r="AP392" s="61">
        <f>IFERROR(SUMIFS('BM MORRO DA CRUZ - VERTICAL'!AT$6:AT$546,'BM MORRO DA CRUZ - VERTICAL'!$O$6:$O$546,'BM MORRO DA CRUZ'!$K392),0)</f>
        <v>0</v>
      </c>
      <c r="AQ392" s="63">
        <f>ROUND(AP392*$P392,2)</f>
        <v>0</v>
      </c>
      <c r="AR392" s="61">
        <f>IFERROR(SUMIFS('BM MORRO DA CRUZ - VERTICAL'!AV$6:AV$546,'BM MORRO DA CRUZ - VERTICAL'!$O$6:$O$546,'BM MORRO DA CRUZ'!$K392),0)</f>
        <v>0</v>
      </c>
      <c r="AS392" s="63">
        <f>ROUND(AR392*$P392,2)</f>
        <v>0</v>
      </c>
      <c r="AT392" s="61">
        <f>IFERROR(SUMIFS('BM MORRO DA CRUZ - VERTICAL'!AX$6:AX$546,'BM MORRO DA CRUZ - VERTICAL'!$O$6:$O$546,'BM MORRO DA CRUZ'!$K392),0)</f>
        <v>0</v>
      </c>
      <c r="AU392" s="63">
        <f>ROUND(AT392*$P392,2)</f>
        <v>0</v>
      </c>
      <c r="AV392" s="61">
        <f>IFERROR(SUMIFS('BM MORRO DA CRUZ - VERTICAL'!AZ$6:AZ$546,'BM MORRO DA CRUZ - VERTICAL'!$O$6:$O$546,'BM MORRO DA CRUZ'!$K392),0)</f>
        <v>0</v>
      </c>
      <c r="AW392" s="63">
        <f>ROUND(AV392*$P392,2)</f>
        <v>0</v>
      </c>
      <c r="AX392" s="61">
        <f>IFERROR(SUMIFS('BM MORRO DA CRUZ - VERTICAL'!BB$6:BB$546,'BM MORRO DA CRUZ - VERTICAL'!$O$6:$O$546,'BM MORRO DA CRUZ'!$K392),0)</f>
        <v>0</v>
      </c>
      <c r="AY392" s="63">
        <f>ROUND(AX392*$P392,2)</f>
        <v>0</v>
      </c>
      <c r="AZ392" s="61">
        <f>IFERROR(SUMIFS('BM MORRO DA CRUZ - VERTICAL'!BD$6:BD$546,'BM MORRO DA CRUZ - VERTICAL'!$O$6:$O$546,'BM MORRO DA CRUZ'!$K392),0)</f>
        <v>0</v>
      </c>
      <c r="BA392" s="63">
        <f>ROUND(AZ392*$P392,2)</f>
        <v>0</v>
      </c>
      <c r="BB392" s="61">
        <f>IFERROR(SUMIFS($R392:$BA392,$R$5:$BA$5,$BB$5),0)</f>
        <v>0</v>
      </c>
      <c r="BC392" s="63">
        <f>SUMIFS($R392:$BA392,$R$5:$BA$5,$S$5)</f>
        <v>0</v>
      </c>
      <c r="BD392" s="64">
        <f>IFERROR(BB392/O392,0)</f>
        <v>0</v>
      </c>
      <c r="BE392" s="65">
        <f>IFERROR((O392-BB392)/O392,0)</f>
        <v>1</v>
      </c>
      <c r="BF392" s="45"/>
    </row>
    <row r="393" spans="1:58" ht="38.25" customHeight="1" x14ac:dyDescent="0.45">
      <c r="A393" s="56" t="s">
        <v>1391</v>
      </c>
      <c r="B393" s="506" t="s">
        <v>1392</v>
      </c>
      <c r="C393" s="507" t="s">
        <v>39</v>
      </c>
      <c r="D393" s="507" t="s">
        <v>39</v>
      </c>
      <c r="E393" s="507" t="s">
        <v>1383</v>
      </c>
      <c r="F393" s="507" t="s">
        <v>39</v>
      </c>
      <c r="G393" s="507" t="s">
        <v>1384</v>
      </c>
      <c r="H393" s="508" t="s">
        <v>789</v>
      </c>
      <c r="I393" s="507" t="s">
        <v>40</v>
      </c>
      <c r="J393" s="508" t="s">
        <v>1383</v>
      </c>
      <c r="K393" s="57" t="s">
        <v>1393</v>
      </c>
      <c r="L393" s="58" t="s">
        <v>21</v>
      </c>
      <c r="M393" s="59" t="s">
        <v>1394</v>
      </c>
      <c r="N393" s="60" t="s">
        <v>44</v>
      </c>
      <c r="O393" s="61">
        <v>72</v>
      </c>
      <c r="P393" s="62">
        <v>1875</v>
      </c>
      <c r="Q393" s="63">
        <f>ROUND(P393*$O393,2)</f>
        <v>135000</v>
      </c>
      <c r="R393" s="61">
        <f>IFERROR(SUMIFS('BM MORRO DA CRUZ - VERTICAL'!V$6:V$546,'BM MORRO DA CRUZ - VERTICAL'!$O$6:$O$546,'BM MORRO DA CRUZ'!$K393),0)</f>
        <v>0</v>
      </c>
      <c r="S393" s="63">
        <f>ROUND(R393*$P393,2)</f>
        <v>0</v>
      </c>
      <c r="T393" s="61">
        <f>IFERROR(SUMIFS('BM MORRO DA CRUZ - VERTICAL'!X$6:X$546,'BM MORRO DA CRUZ - VERTICAL'!$O$6:$O$546,'BM MORRO DA CRUZ'!$K393),0)</f>
        <v>0</v>
      </c>
      <c r="U393" s="63">
        <f>ROUND(T393*$P393,2)</f>
        <v>0</v>
      </c>
      <c r="V393" s="61">
        <f>IFERROR(SUMIFS('BM MORRO DA CRUZ - VERTICAL'!Z$6:Z$546,'BM MORRO DA CRUZ - VERTICAL'!$O$6:$O$546,'BM MORRO DA CRUZ'!$K393),0)</f>
        <v>0</v>
      </c>
      <c r="W393" s="63">
        <f>ROUND(V393*$P393,2)</f>
        <v>0</v>
      </c>
      <c r="X393" s="61">
        <f>IFERROR(SUMIFS('BM MORRO DA CRUZ - VERTICAL'!AB$6:AB$546,'BM MORRO DA CRUZ - VERTICAL'!$O$6:$O$546,'BM MORRO DA CRUZ'!$K393),0)</f>
        <v>0</v>
      </c>
      <c r="Y393" s="63">
        <f>ROUND(X393*$P393,2)</f>
        <v>0</v>
      </c>
      <c r="Z393" s="61">
        <f>IFERROR(SUMIFS('BM MORRO DA CRUZ - VERTICAL'!AD$6:AD$546,'BM MORRO DA CRUZ - VERTICAL'!$O$6:$O$546,'BM MORRO DA CRUZ'!$K393),0)</f>
        <v>0</v>
      </c>
      <c r="AA393" s="63">
        <f>ROUND(Z393*$P393,2)</f>
        <v>0</v>
      </c>
      <c r="AB393" s="61">
        <f>IFERROR(SUMIFS('BM MORRO DA CRUZ - VERTICAL'!AF$6:AF$546,'BM MORRO DA CRUZ - VERTICAL'!$O$6:$O$546,'BM MORRO DA CRUZ'!$K393),0)</f>
        <v>0</v>
      </c>
      <c r="AC393" s="63">
        <f>ROUND(AB393*$P393,2)</f>
        <v>0</v>
      </c>
      <c r="AD393" s="61">
        <f>IFERROR(SUMIFS('BM MORRO DA CRUZ - VERTICAL'!AH$6:AH$546,'BM MORRO DA CRUZ - VERTICAL'!$O$6:$O$546,'BM MORRO DA CRUZ'!$K393),0)</f>
        <v>0</v>
      </c>
      <c r="AE393" s="63">
        <f>ROUND(AD393*$P393,2)</f>
        <v>0</v>
      </c>
      <c r="AF393" s="61">
        <f>IFERROR(SUMIFS('BM MORRO DA CRUZ - VERTICAL'!AJ$6:AJ$546,'BM MORRO DA CRUZ - VERTICAL'!$O$6:$O$546,'BM MORRO DA CRUZ'!$K393),0)</f>
        <v>0</v>
      </c>
      <c r="AG393" s="63">
        <f>ROUND(AF393*$P393,2)</f>
        <v>0</v>
      </c>
      <c r="AH393" s="61">
        <f>IFERROR(SUMIFS('BM MORRO DA CRUZ - VERTICAL'!AL$6:AL$546,'BM MORRO DA CRUZ - VERTICAL'!$O$6:$O$546,'BM MORRO DA CRUZ'!$K393),0)</f>
        <v>0</v>
      </c>
      <c r="AI393" s="63">
        <f>ROUND(AH393*$P393,2)</f>
        <v>0</v>
      </c>
      <c r="AJ393" s="61">
        <f>IFERROR(SUMIFS('BM MORRO DA CRUZ - VERTICAL'!AN$6:AN$546,'BM MORRO DA CRUZ - VERTICAL'!$O$6:$O$546,'BM MORRO DA CRUZ'!$K393),0)</f>
        <v>0</v>
      </c>
      <c r="AK393" s="63">
        <f>ROUND(AJ393*$P393,2)</f>
        <v>0</v>
      </c>
      <c r="AL393" s="61">
        <f>IFERROR(SUMIFS('BM MORRO DA CRUZ - VERTICAL'!AP$6:AP$546,'BM MORRO DA CRUZ - VERTICAL'!$O$6:$O$546,'BM MORRO DA CRUZ'!$K393),0)</f>
        <v>0</v>
      </c>
      <c r="AM393" s="63">
        <f>ROUND(AL393*$P393,2)</f>
        <v>0</v>
      </c>
      <c r="AN393" s="61">
        <f>IFERROR(SUMIFS('BM MORRO DA CRUZ - VERTICAL'!AR$6:AR$546,'BM MORRO DA CRUZ - VERTICAL'!$O$6:$O$546,'BM MORRO DA CRUZ'!$K393),0)</f>
        <v>0</v>
      </c>
      <c r="AO393" s="63">
        <f>ROUND(AN393*$P393,2)</f>
        <v>0</v>
      </c>
      <c r="AP393" s="61">
        <f>IFERROR(SUMIFS('BM MORRO DA CRUZ - VERTICAL'!AT$6:AT$546,'BM MORRO DA CRUZ - VERTICAL'!$O$6:$O$546,'BM MORRO DA CRUZ'!$K393),0)</f>
        <v>0</v>
      </c>
      <c r="AQ393" s="63">
        <f>ROUND(AP393*$P393,2)</f>
        <v>0</v>
      </c>
      <c r="AR393" s="61">
        <f>IFERROR(SUMIFS('BM MORRO DA CRUZ - VERTICAL'!AV$6:AV$546,'BM MORRO DA CRUZ - VERTICAL'!$O$6:$O$546,'BM MORRO DA CRUZ'!$K393),0)</f>
        <v>0</v>
      </c>
      <c r="AS393" s="63">
        <f>ROUND(AR393*$P393,2)</f>
        <v>0</v>
      </c>
      <c r="AT393" s="61">
        <f>IFERROR(SUMIFS('BM MORRO DA CRUZ - VERTICAL'!AX$6:AX$546,'BM MORRO DA CRUZ - VERTICAL'!$O$6:$O$546,'BM MORRO DA CRUZ'!$K393),0)</f>
        <v>0</v>
      </c>
      <c r="AU393" s="63">
        <f>ROUND(AT393*$P393,2)</f>
        <v>0</v>
      </c>
      <c r="AV393" s="61">
        <f>IFERROR(SUMIFS('BM MORRO DA CRUZ - VERTICAL'!AZ$6:AZ$546,'BM MORRO DA CRUZ - VERTICAL'!$O$6:$O$546,'BM MORRO DA CRUZ'!$K393),0)</f>
        <v>0</v>
      </c>
      <c r="AW393" s="63">
        <f>ROUND(AV393*$P393,2)</f>
        <v>0</v>
      </c>
      <c r="AX393" s="61">
        <f>IFERROR(SUMIFS('BM MORRO DA CRUZ - VERTICAL'!BB$6:BB$546,'BM MORRO DA CRUZ - VERTICAL'!$O$6:$O$546,'BM MORRO DA CRUZ'!$K393),0)</f>
        <v>0</v>
      </c>
      <c r="AY393" s="63">
        <f>ROUND(AX393*$P393,2)</f>
        <v>0</v>
      </c>
      <c r="AZ393" s="61">
        <f>IFERROR(SUMIFS('BM MORRO DA CRUZ - VERTICAL'!BD$6:BD$546,'BM MORRO DA CRUZ - VERTICAL'!$O$6:$O$546,'BM MORRO DA CRUZ'!$K393),0)</f>
        <v>0</v>
      </c>
      <c r="BA393" s="63">
        <f>ROUND(AZ393*$P393,2)</f>
        <v>0</v>
      </c>
      <c r="BB393" s="61">
        <f>IFERROR(SUMIFS($R393:$BA393,$R$5:$BA$5,$BB$5),0)</f>
        <v>0</v>
      </c>
      <c r="BC393" s="63">
        <f>SUMIFS($R393:$BA393,$R$5:$BA$5,$S$5)</f>
        <v>0</v>
      </c>
      <c r="BD393" s="64">
        <f>IFERROR(BB393/O393,0)</f>
        <v>0</v>
      </c>
      <c r="BE393" s="65">
        <f>IFERROR((O393-BB393)/O393,0)</f>
        <v>1</v>
      </c>
      <c r="BF393" s="45"/>
    </row>
    <row r="394" spans="1:58" ht="19.5" customHeight="1" x14ac:dyDescent="0.45">
      <c r="A394" s="35">
        <v>7</v>
      </c>
      <c r="B394" s="500"/>
      <c r="C394" s="501"/>
      <c r="D394" s="501"/>
      <c r="E394" s="501"/>
      <c r="F394" s="501"/>
      <c r="G394" s="501"/>
      <c r="H394" s="502" t="s">
        <v>1718</v>
      </c>
      <c r="I394" s="501"/>
      <c r="J394" s="502" t="s">
        <v>1718</v>
      </c>
      <c r="K394" s="36" t="s">
        <v>1395</v>
      </c>
      <c r="L394" s="37"/>
      <c r="M394" s="38" t="s">
        <v>1396</v>
      </c>
      <c r="N394" s="39"/>
      <c r="O394" s="40"/>
      <c r="P394" s="41"/>
      <c r="Q394" s="42">
        <f>SUM(Q395)</f>
        <v>47401.2</v>
      </c>
      <c r="R394" s="40"/>
      <c r="S394" s="42">
        <f>SUM(S395)</f>
        <v>0</v>
      </c>
      <c r="T394" s="40"/>
      <c r="U394" s="42">
        <f>SUM(U395)</f>
        <v>0</v>
      </c>
      <c r="V394" s="40"/>
      <c r="W394" s="42">
        <f>SUM(W395)</f>
        <v>0</v>
      </c>
      <c r="X394" s="40"/>
      <c r="Y394" s="42">
        <f>SUM(Y395)</f>
        <v>0</v>
      </c>
      <c r="Z394" s="40"/>
      <c r="AA394" s="42">
        <f>SUM(AA395)</f>
        <v>0</v>
      </c>
      <c r="AB394" s="40"/>
      <c r="AC394" s="42">
        <f>SUM(AC395)</f>
        <v>0</v>
      </c>
      <c r="AD394" s="40"/>
      <c r="AE394" s="42">
        <f>SUM(AE395)</f>
        <v>0</v>
      </c>
      <c r="AF394" s="40"/>
      <c r="AG394" s="42">
        <f>SUM(AG395)</f>
        <v>0</v>
      </c>
      <c r="AH394" s="40"/>
      <c r="AI394" s="42">
        <f>SUM(AI395)</f>
        <v>0</v>
      </c>
      <c r="AJ394" s="40"/>
      <c r="AK394" s="42">
        <f>SUM(AK395)</f>
        <v>0</v>
      </c>
      <c r="AL394" s="40"/>
      <c r="AM394" s="42">
        <f>SUM(AM395)</f>
        <v>0</v>
      </c>
      <c r="AN394" s="40"/>
      <c r="AO394" s="42">
        <f>SUM(AO395)</f>
        <v>0</v>
      </c>
      <c r="AP394" s="40"/>
      <c r="AQ394" s="42">
        <f>SUM(AQ395)</f>
        <v>0</v>
      </c>
      <c r="AR394" s="40"/>
      <c r="AS394" s="42">
        <f>SUM(AS395)</f>
        <v>0</v>
      </c>
      <c r="AT394" s="40"/>
      <c r="AU394" s="42">
        <f>SUM(AU395)</f>
        <v>0</v>
      </c>
      <c r="AV394" s="40"/>
      <c r="AW394" s="42">
        <f>SUM(AW395)</f>
        <v>0</v>
      </c>
      <c r="AX394" s="40"/>
      <c r="AY394" s="42">
        <f>SUM(AY395)</f>
        <v>0</v>
      </c>
      <c r="AZ394" s="40"/>
      <c r="BA394" s="42">
        <f>SUM(BA395)</f>
        <v>0</v>
      </c>
      <c r="BB394" s="40"/>
      <c r="BC394" s="42">
        <f>SUM(BC395)</f>
        <v>0</v>
      </c>
      <c r="BD394" s="43"/>
      <c r="BE394" s="44"/>
      <c r="BF394" s="45"/>
    </row>
    <row r="395" spans="1:58" ht="19.5" customHeight="1" x14ac:dyDescent="0.45">
      <c r="A395" s="46" t="s">
        <v>1397</v>
      </c>
      <c r="B395" s="503"/>
      <c r="C395" s="504"/>
      <c r="D395" s="504"/>
      <c r="E395" s="504"/>
      <c r="F395" s="504"/>
      <c r="G395" s="504"/>
      <c r="H395" s="505" t="s">
        <v>1718</v>
      </c>
      <c r="I395" s="504"/>
      <c r="J395" s="505" t="s">
        <v>1718</v>
      </c>
      <c r="K395" s="47" t="s">
        <v>1398</v>
      </c>
      <c r="L395" s="48"/>
      <c r="M395" s="49" t="s">
        <v>1399</v>
      </c>
      <c r="N395" s="50"/>
      <c r="O395" s="51"/>
      <c r="P395" s="52"/>
      <c r="Q395" s="53">
        <f>SUM(Q396:Q396)</f>
        <v>47401.2</v>
      </c>
      <c r="R395" s="51"/>
      <c r="S395" s="53">
        <f>SUM(S396:S396)</f>
        <v>0</v>
      </c>
      <c r="T395" s="51"/>
      <c r="U395" s="53">
        <f>SUM(U396:U396)</f>
        <v>0</v>
      </c>
      <c r="V395" s="51"/>
      <c r="W395" s="53">
        <f>SUM(W396:W396)</f>
        <v>0</v>
      </c>
      <c r="X395" s="51"/>
      <c r="Y395" s="53">
        <f>SUM(Y396:Y396)</f>
        <v>0</v>
      </c>
      <c r="Z395" s="51"/>
      <c r="AA395" s="53">
        <f>SUM(AA396:AA396)</f>
        <v>0</v>
      </c>
      <c r="AB395" s="51"/>
      <c r="AC395" s="53">
        <f>SUM(AC396:AC396)</f>
        <v>0</v>
      </c>
      <c r="AD395" s="51"/>
      <c r="AE395" s="53">
        <f>SUM(AE396:AE396)</f>
        <v>0</v>
      </c>
      <c r="AF395" s="51"/>
      <c r="AG395" s="53">
        <f>SUM(AG396:AG396)</f>
        <v>0</v>
      </c>
      <c r="AH395" s="51"/>
      <c r="AI395" s="53">
        <f>SUM(AI396:AI396)</f>
        <v>0</v>
      </c>
      <c r="AJ395" s="51"/>
      <c r="AK395" s="53">
        <f>SUM(AK396:AK396)</f>
        <v>0</v>
      </c>
      <c r="AL395" s="51"/>
      <c r="AM395" s="53">
        <f>SUM(AM396:AM396)</f>
        <v>0</v>
      </c>
      <c r="AN395" s="51"/>
      <c r="AO395" s="53">
        <f>SUM(AO396:AO396)</f>
        <v>0</v>
      </c>
      <c r="AP395" s="51"/>
      <c r="AQ395" s="53">
        <f>SUM(AQ396:AQ396)</f>
        <v>0</v>
      </c>
      <c r="AR395" s="51"/>
      <c r="AS395" s="53">
        <f>SUM(AS396:AS396)</f>
        <v>0</v>
      </c>
      <c r="AT395" s="51"/>
      <c r="AU395" s="53">
        <f>SUM(AU396:AU396)</f>
        <v>0</v>
      </c>
      <c r="AV395" s="51"/>
      <c r="AW395" s="53">
        <f>SUM(AW396:AW396)</f>
        <v>0</v>
      </c>
      <c r="AX395" s="51"/>
      <c r="AY395" s="53">
        <f>SUM(AY396:AY396)</f>
        <v>0</v>
      </c>
      <c r="AZ395" s="51"/>
      <c r="BA395" s="53">
        <f>SUM(BA396:BA396)</f>
        <v>0</v>
      </c>
      <c r="BB395" s="51"/>
      <c r="BC395" s="53">
        <f>SUM(BC396:BC396)</f>
        <v>0</v>
      </c>
      <c r="BD395" s="54"/>
      <c r="BE395" s="55"/>
      <c r="BF395" s="45"/>
    </row>
    <row r="396" spans="1:58" ht="19.5" customHeight="1" x14ac:dyDescent="0.45">
      <c r="A396" s="56" t="s">
        <v>1400</v>
      </c>
      <c r="B396" s="506" t="s">
        <v>1401</v>
      </c>
      <c r="C396" s="507" t="s">
        <v>39</v>
      </c>
      <c r="D396" s="507" t="s">
        <v>39</v>
      </c>
      <c r="E396" s="507" t="s">
        <v>1383</v>
      </c>
      <c r="F396" s="507" t="s">
        <v>39</v>
      </c>
      <c r="G396" s="507" t="s">
        <v>39</v>
      </c>
      <c r="H396" s="508" t="s">
        <v>39</v>
      </c>
      <c r="I396" s="507" t="s">
        <v>40</v>
      </c>
      <c r="J396" s="508" t="s">
        <v>1383</v>
      </c>
      <c r="K396" s="57" t="s">
        <v>1402</v>
      </c>
      <c r="L396" s="58" t="s">
        <v>21</v>
      </c>
      <c r="M396" s="59" t="s">
        <v>1401</v>
      </c>
      <c r="N396" s="60" t="s">
        <v>1403</v>
      </c>
      <c r="O396" s="61">
        <v>36</v>
      </c>
      <c r="P396" s="62">
        <v>1316.7</v>
      </c>
      <c r="Q396" s="63">
        <f>ROUND(P396*$O396,2)</f>
        <v>47401.2</v>
      </c>
      <c r="R396" s="61">
        <f>IFERROR(SUMIFS('BM MORRO DA CRUZ - VERTICAL'!V$6:V$546,'BM MORRO DA CRUZ - VERTICAL'!$O$6:$O$546,'BM MORRO DA CRUZ'!$K396),0)</f>
        <v>0</v>
      </c>
      <c r="S396" s="63">
        <f>ROUND(R396*$P396,2)</f>
        <v>0</v>
      </c>
      <c r="T396" s="61">
        <f>IFERROR(SUMIFS('BM MORRO DA CRUZ - VERTICAL'!X$6:X$546,'BM MORRO DA CRUZ - VERTICAL'!$O$6:$O$546,'BM MORRO DA CRUZ'!$K396),0)</f>
        <v>0</v>
      </c>
      <c r="U396" s="63">
        <f>ROUND(T396*$P396,2)</f>
        <v>0</v>
      </c>
      <c r="V396" s="61">
        <f>IFERROR(SUMIFS('BM MORRO DA CRUZ - VERTICAL'!Z$6:Z$546,'BM MORRO DA CRUZ - VERTICAL'!$O$6:$O$546,'BM MORRO DA CRUZ'!$K396),0)</f>
        <v>0</v>
      </c>
      <c r="W396" s="63">
        <f>ROUND(V396*$P396,2)</f>
        <v>0</v>
      </c>
      <c r="X396" s="61">
        <f>IFERROR(SUMIFS('BM MORRO DA CRUZ - VERTICAL'!AB$6:AB$546,'BM MORRO DA CRUZ - VERTICAL'!$O$6:$O$546,'BM MORRO DA CRUZ'!$K396),0)</f>
        <v>0</v>
      </c>
      <c r="Y396" s="63">
        <f>ROUND(X396*$P396,2)</f>
        <v>0</v>
      </c>
      <c r="Z396" s="61">
        <f>IFERROR(SUMIFS('BM MORRO DA CRUZ - VERTICAL'!AD$6:AD$546,'BM MORRO DA CRUZ - VERTICAL'!$O$6:$O$546,'BM MORRO DA CRUZ'!$K396),0)</f>
        <v>0</v>
      </c>
      <c r="AA396" s="63">
        <f>ROUND(Z396*$P396,2)</f>
        <v>0</v>
      </c>
      <c r="AB396" s="61">
        <f>IFERROR(SUMIFS('BM MORRO DA CRUZ - VERTICAL'!AF$6:AF$546,'BM MORRO DA CRUZ - VERTICAL'!$O$6:$O$546,'BM MORRO DA CRUZ'!$K396),0)</f>
        <v>0</v>
      </c>
      <c r="AC396" s="63">
        <f>ROUND(AB396*$P396,2)</f>
        <v>0</v>
      </c>
      <c r="AD396" s="61">
        <f>IFERROR(SUMIFS('BM MORRO DA CRUZ - VERTICAL'!AH$6:AH$546,'BM MORRO DA CRUZ - VERTICAL'!$O$6:$O$546,'BM MORRO DA CRUZ'!$K396),0)</f>
        <v>0</v>
      </c>
      <c r="AE396" s="63">
        <f>ROUND(AD396*$P396,2)</f>
        <v>0</v>
      </c>
      <c r="AF396" s="61">
        <f>IFERROR(SUMIFS('BM MORRO DA CRUZ - VERTICAL'!AJ$6:AJ$546,'BM MORRO DA CRUZ - VERTICAL'!$O$6:$O$546,'BM MORRO DA CRUZ'!$K396),0)</f>
        <v>0</v>
      </c>
      <c r="AG396" s="63">
        <f>ROUND(AF396*$P396,2)</f>
        <v>0</v>
      </c>
      <c r="AH396" s="61">
        <f>IFERROR(SUMIFS('BM MORRO DA CRUZ - VERTICAL'!AL$6:AL$546,'BM MORRO DA CRUZ - VERTICAL'!$O$6:$O$546,'BM MORRO DA CRUZ'!$K396),0)</f>
        <v>0</v>
      </c>
      <c r="AI396" s="63">
        <f>ROUND(AH396*$P396,2)</f>
        <v>0</v>
      </c>
      <c r="AJ396" s="61">
        <f>IFERROR(SUMIFS('BM MORRO DA CRUZ - VERTICAL'!AN$6:AN$546,'BM MORRO DA CRUZ - VERTICAL'!$O$6:$O$546,'BM MORRO DA CRUZ'!$K396),0)</f>
        <v>0</v>
      </c>
      <c r="AK396" s="63">
        <f>ROUND(AJ396*$P396,2)</f>
        <v>0</v>
      </c>
      <c r="AL396" s="61">
        <f>IFERROR(SUMIFS('BM MORRO DA CRUZ - VERTICAL'!AP$6:AP$546,'BM MORRO DA CRUZ - VERTICAL'!$O$6:$O$546,'BM MORRO DA CRUZ'!$K396),0)</f>
        <v>0</v>
      </c>
      <c r="AM396" s="63">
        <f>ROUND(AL396*$P396,2)</f>
        <v>0</v>
      </c>
      <c r="AN396" s="61">
        <f>IFERROR(SUMIFS('BM MORRO DA CRUZ - VERTICAL'!AR$6:AR$546,'BM MORRO DA CRUZ - VERTICAL'!$O$6:$O$546,'BM MORRO DA CRUZ'!$K396),0)</f>
        <v>0</v>
      </c>
      <c r="AO396" s="63">
        <f>ROUND(AN396*$P396,2)</f>
        <v>0</v>
      </c>
      <c r="AP396" s="61">
        <f>IFERROR(SUMIFS('BM MORRO DA CRUZ - VERTICAL'!AT$6:AT$546,'BM MORRO DA CRUZ - VERTICAL'!$O$6:$O$546,'BM MORRO DA CRUZ'!$K396),0)</f>
        <v>0</v>
      </c>
      <c r="AQ396" s="63">
        <f>ROUND(AP396*$P396,2)</f>
        <v>0</v>
      </c>
      <c r="AR396" s="61">
        <f>IFERROR(SUMIFS('BM MORRO DA CRUZ - VERTICAL'!AV$6:AV$546,'BM MORRO DA CRUZ - VERTICAL'!$O$6:$O$546,'BM MORRO DA CRUZ'!$K396),0)</f>
        <v>0</v>
      </c>
      <c r="AS396" s="63">
        <f>ROUND(AR396*$P396,2)</f>
        <v>0</v>
      </c>
      <c r="AT396" s="61">
        <f>IFERROR(SUMIFS('BM MORRO DA CRUZ - VERTICAL'!AX$6:AX$546,'BM MORRO DA CRUZ - VERTICAL'!$O$6:$O$546,'BM MORRO DA CRUZ'!$K396),0)</f>
        <v>0</v>
      </c>
      <c r="AU396" s="63">
        <f>ROUND(AT396*$P396,2)</f>
        <v>0</v>
      </c>
      <c r="AV396" s="61">
        <f>IFERROR(SUMIFS('BM MORRO DA CRUZ - VERTICAL'!AZ$6:AZ$546,'BM MORRO DA CRUZ - VERTICAL'!$O$6:$O$546,'BM MORRO DA CRUZ'!$K396),0)</f>
        <v>0</v>
      </c>
      <c r="AW396" s="63">
        <f>ROUND(AV396*$P396,2)</f>
        <v>0</v>
      </c>
      <c r="AX396" s="61">
        <f>IFERROR(SUMIFS('BM MORRO DA CRUZ - VERTICAL'!BB$6:BB$546,'BM MORRO DA CRUZ - VERTICAL'!$O$6:$O$546,'BM MORRO DA CRUZ'!$K396),0)</f>
        <v>0</v>
      </c>
      <c r="AY396" s="63">
        <f>ROUND(AX396*$P396,2)</f>
        <v>0</v>
      </c>
      <c r="AZ396" s="61">
        <f>IFERROR(SUMIFS('BM MORRO DA CRUZ - VERTICAL'!BD$6:BD$546,'BM MORRO DA CRUZ - VERTICAL'!$O$6:$O$546,'BM MORRO DA CRUZ'!$K396),0)</f>
        <v>0</v>
      </c>
      <c r="BA396" s="63">
        <f>ROUND(AZ396*$P396,2)</f>
        <v>0</v>
      </c>
      <c r="BB396" s="61">
        <f>IFERROR(SUMIFS($R396:$BA396,$R$5:$BA$5,$BB$5),0)</f>
        <v>0</v>
      </c>
      <c r="BC396" s="63">
        <f>SUMIFS($R396:$BA396,$R$5:$BA$5,$S$5)</f>
        <v>0</v>
      </c>
      <c r="BD396" s="64">
        <f>IFERROR(BB396/O396,0)</f>
        <v>0</v>
      </c>
      <c r="BE396" s="65">
        <f>IFERROR((O396-BB396)/O396,0)</f>
        <v>1</v>
      </c>
      <c r="BF396" s="45"/>
    </row>
    <row r="397" spans="1:58" ht="19.5" customHeight="1" x14ac:dyDescent="0.45">
      <c r="A397" s="35">
        <v>8</v>
      </c>
      <c r="B397" s="500"/>
      <c r="C397" s="501"/>
      <c r="D397" s="501"/>
      <c r="E397" s="501"/>
      <c r="F397" s="501"/>
      <c r="G397" s="501"/>
      <c r="H397" s="502" t="s">
        <v>1718</v>
      </c>
      <c r="I397" s="501"/>
      <c r="J397" s="502" t="s">
        <v>1718</v>
      </c>
      <c r="K397" s="36" t="s">
        <v>1404</v>
      </c>
      <c r="L397" s="37"/>
      <c r="M397" s="38" t="s">
        <v>1405</v>
      </c>
      <c r="N397" s="39"/>
      <c r="O397" s="40"/>
      <c r="P397" s="41"/>
      <c r="Q397" s="42">
        <f>SUM(Q398)</f>
        <v>53701.299999999996</v>
      </c>
      <c r="R397" s="40"/>
      <c r="S397" s="42">
        <f>SUM(S398)</f>
        <v>0</v>
      </c>
      <c r="T397" s="40"/>
      <c r="U397" s="42">
        <f>SUM(U398)</f>
        <v>0</v>
      </c>
      <c r="V397" s="40"/>
      <c r="W397" s="42">
        <f>SUM(W398)</f>
        <v>0</v>
      </c>
      <c r="X397" s="40"/>
      <c r="Y397" s="42">
        <f>SUM(Y398)</f>
        <v>0</v>
      </c>
      <c r="Z397" s="40"/>
      <c r="AA397" s="42">
        <f>SUM(AA398)</f>
        <v>0</v>
      </c>
      <c r="AB397" s="40"/>
      <c r="AC397" s="42">
        <f>SUM(AC398)</f>
        <v>0</v>
      </c>
      <c r="AD397" s="40"/>
      <c r="AE397" s="42">
        <f>SUM(AE398)</f>
        <v>0</v>
      </c>
      <c r="AF397" s="40"/>
      <c r="AG397" s="42">
        <f>SUM(AG398)</f>
        <v>0</v>
      </c>
      <c r="AH397" s="40"/>
      <c r="AI397" s="42">
        <f>SUM(AI398)</f>
        <v>0</v>
      </c>
      <c r="AJ397" s="40"/>
      <c r="AK397" s="42">
        <f>SUM(AK398)</f>
        <v>0</v>
      </c>
      <c r="AL397" s="40"/>
      <c r="AM397" s="42">
        <f>SUM(AM398)</f>
        <v>0</v>
      </c>
      <c r="AN397" s="40"/>
      <c r="AO397" s="42">
        <f>SUM(AO398)</f>
        <v>0</v>
      </c>
      <c r="AP397" s="40"/>
      <c r="AQ397" s="42">
        <f>SUM(AQ398)</f>
        <v>0</v>
      </c>
      <c r="AR397" s="40"/>
      <c r="AS397" s="42">
        <f>SUM(AS398)</f>
        <v>0</v>
      </c>
      <c r="AT397" s="40"/>
      <c r="AU397" s="42">
        <f>SUM(AU398)</f>
        <v>0</v>
      </c>
      <c r="AV397" s="40"/>
      <c r="AW397" s="42">
        <f>SUM(AW398)</f>
        <v>0</v>
      </c>
      <c r="AX397" s="40"/>
      <c r="AY397" s="42">
        <f>SUM(AY398)</f>
        <v>0</v>
      </c>
      <c r="AZ397" s="40"/>
      <c r="BA397" s="42">
        <f>SUM(BA398)</f>
        <v>0</v>
      </c>
      <c r="BB397" s="40"/>
      <c r="BC397" s="42">
        <f>SUM(BC398)</f>
        <v>0</v>
      </c>
      <c r="BD397" s="43"/>
      <c r="BE397" s="44"/>
      <c r="BF397" s="45"/>
    </row>
    <row r="398" spans="1:58" ht="19.5" customHeight="1" x14ac:dyDescent="0.45">
      <c r="A398" s="46" t="s">
        <v>1406</v>
      </c>
      <c r="B398" s="503"/>
      <c r="C398" s="504"/>
      <c r="D398" s="504"/>
      <c r="E398" s="504"/>
      <c r="F398" s="504"/>
      <c r="G398" s="504"/>
      <c r="H398" s="505" t="s">
        <v>1718</v>
      </c>
      <c r="I398" s="504"/>
      <c r="J398" s="505" t="s">
        <v>1718</v>
      </c>
      <c r="K398" s="47" t="s">
        <v>1379</v>
      </c>
      <c r="L398" s="48"/>
      <c r="M398" s="49" t="s">
        <v>1380</v>
      </c>
      <c r="N398" s="50"/>
      <c r="O398" s="51"/>
      <c r="P398" s="52"/>
      <c r="Q398" s="53">
        <f>SUM(Q399:Q402)</f>
        <v>53701.299999999996</v>
      </c>
      <c r="R398" s="51"/>
      <c r="S398" s="53">
        <f>SUM(S399:S402)</f>
        <v>0</v>
      </c>
      <c r="T398" s="51"/>
      <c r="U398" s="53">
        <f>SUM(U399:U402)</f>
        <v>0</v>
      </c>
      <c r="V398" s="51"/>
      <c r="W398" s="53">
        <f>SUM(W399:W402)</f>
        <v>0</v>
      </c>
      <c r="X398" s="51"/>
      <c r="Y398" s="53">
        <f>SUM(Y399:Y402)</f>
        <v>0</v>
      </c>
      <c r="Z398" s="51"/>
      <c r="AA398" s="53">
        <f>SUM(AA399:AA402)</f>
        <v>0</v>
      </c>
      <c r="AB398" s="51"/>
      <c r="AC398" s="53">
        <f>SUM(AC399:AC402)</f>
        <v>0</v>
      </c>
      <c r="AD398" s="51"/>
      <c r="AE398" s="53">
        <f>SUM(AE399:AE402)</f>
        <v>0</v>
      </c>
      <c r="AF398" s="51"/>
      <c r="AG398" s="53">
        <f>SUM(AG399:AG402)</f>
        <v>0</v>
      </c>
      <c r="AH398" s="51"/>
      <c r="AI398" s="53">
        <f>SUM(AI399:AI402)</f>
        <v>0</v>
      </c>
      <c r="AJ398" s="51"/>
      <c r="AK398" s="53">
        <f>SUM(AK399:AK402)</f>
        <v>0</v>
      </c>
      <c r="AL398" s="51"/>
      <c r="AM398" s="53">
        <f>SUM(AM399:AM402)</f>
        <v>0</v>
      </c>
      <c r="AN398" s="51"/>
      <c r="AO398" s="53">
        <f>SUM(AO399:AO402)</f>
        <v>0</v>
      </c>
      <c r="AP398" s="51"/>
      <c r="AQ398" s="53">
        <f>SUM(AQ399:AQ402)</f>
        <v>0</v>
      </c>
      <c r="AR398" s="51"/>
      <c r="AS398" s="53">
        <f>SUM(AS399:AS402)</f>
        <v>0</v>
      </c>
      <c r="AT398" s="51"/>
      <c r="AU398" s="53">
        <f>SUM(AU399:AU402)</f>
        <v>0</v>
      </c>
      <c r="AV398" s="51"/>
      <c r="AW398" s="53">
        <f>SUM(AW399:AW402)</f>
        <v>0</v>
      </c>
      <c r="AX398" s="51"/>
      <c r="AY398" s="53">
        <f>SUM(AY399:AY402)</f>
        <v>0</v>
      </c>
      <c r="AZ398" s="51"/>
      <c r="BA398" s="53">
        <f>SUM(BA399:BA402)</f>
        <v>0</v>
      </c>
      <c r="BB398" s="51"/>
      <c r="BC398" s="53">
        <f>SUM(BC399:BC402)</f>
        <v>0</v>
      </c>
      <c r="BD398" s="54"/>
      <c r="BE398" s="55"/>
      <c r="BF398" s="45"/>
    </row>
    <row r="399" spans="1:58" ht="35.65" x14ac:dyDescent="0.45">
      <c r="A399" s="56" t="s">
        <v>1407</v>
      </c>
      <c r="B399" s="506" t="s">
        <v>1876</v>
      </c>
      <c r="C399" s="507" t="s">
        <v>39</v>
      </c>
      <c r="D399" s="507" t="s">
        <v>39</v>
      </c>
      <c r="E399" s="507" t="s">
        <v>1777</v>
      </c>
      <c r="F399" s="507" t="s">
        <v>39</v>
      </c>
      <c r="G399" s="507" t="s">
        <v>39</v>
      </c>
      <c r="H399" s="508" t="s">
        <v>226</v>
      </c>
      <c r="I399" s="507" t="s">
        <v>40</v>
      </c>
      <c r="J399" s="508" t="s">
        <v>1777</v>
      </c>
      <c r="K399" s="57" t="s">
        <v>1408</v>
      </c>
      <c r="L399" s="58" t="s">
        <v>846</v>
      </c>
      <c r="M399" s="59" t="s">
        <v>1409</v>
      </c>
      <c r="N399" s="60" t="s">
        <v>1410</v>
      </c>
      <c r="O399" s="61">
        <v>0</v>
      </c>
      <c r="P399" s="62">
        <v>62.33</v>
      </c>
      <c r="Q399" s="63">
        <f>ROUND(P399*$O399,2)</f>
        <v>0</v>
      </c>
      <c r="R399" s="61">
        <f>IFERROR(SUMIFS('BM MORRO DA CRUZ - VERTICAL'!V$6:V$546,'BM MORRO DA CRUZ - VERTICAL'!$O$6:$O$546,'BM MORRO DA CRUZ'!$K399),0)</f>
        <v>0</v>
      </c>
      <c r="S399" s="63">
        <f>ROUND(R399*$P399,2)</f>
        <v>0</v>
      </c>
      <c r="T399" s="61">
        <f>IFERROR(SUMIFS('BM MORRO DA CRUZ - VERTICAL'!X$6:X$546,'BM MORRO DA CRUZ - VERTICAL'!$O$6:$O$546,'BM MORRO DA CRUZ'!$K399),0)</f>
        <v>0</v>
      </c>
      <c r="U399" s="63">
        <f>ROUND(T399*$P399,2)</f>
        <v>0</v>
      </c>
      <c r="V399" s="61">
        <f>IFERROR(SUMIFS('BM MORRO DA CRUZ - VERTICAL'!Z$6:Z$546,'BM MORRO DA CRUZ - VERTICAL'!$O$6:$O$546,'BM MORRO DA CRUZ'!$K399),0)</f>
        <v>0</v>
      </c>
      <c r="W399" s="63">
        <f>ROUND(V399*$P399,2)</f>
        <v>0</v>
      </c>
      <c r="X399" s="61">
        <f>IFERROR(SUMIFS('BM MORRO DA CRUZ - VERTICAL'!AB$6:AB$546,'BM MORRO DA CRUZ - VERTICAL'!$O$6:$O$546,'BM MORRO DA CRUZ'!$K399),0)</f>
        <v>0</v>
      </c>
      <c r="Y399" s="63">
        <f>ROUND(X399*$P399,2)</f>
        <v>0</v>
      </c>
      <c r="Z399" s="61">
        <f>IFERROR(SUMIFS('BM MORRO DA CRUZ - VERTICAL'!AD$6:AD$546,'BM MORRO DA CRUZ - VERTICAL'!$O$6:$O$546,'BM MORRO DA CRUZ'!$K399),0)</f>
        <v>0</v>
      </c>
      <c r="AA399" s="63">
        <f>ROUND(Z399*$P399,2)</f>
        <v>0</v>
      </c>
      <c r="AB399" s="61">
        <f>IFERROR(SUMIFS('BM MORRO DA CRUZ - VERTICAL'!AF$6:AF$546,'BM MORRO DA CRUZ - VERTICAL'!$O$6:$O$546,'BM MORRO DA CRUZ'!$K399),0)</f>
        <v>0</v>
      </c>
      <c r="AC399" s="63">
        <f>ROUND(AB399*$P399,2)</f>
        <v>0</v>
      </c>
      <c r="AD399" s="61">
        <f>IFERROR(SUMIFS('BM MORRO DA CRUZ - VERTICAL'!AH$6:AH$546,'BM MORRO DA CRUZ - VERTICAL'!$O$6:$O$546,'BM MORRO DA CRUZ'!$K399),0)</f>
        <v>0</v>
      </c>
      <c r="AE399" s="63">
        <f>ROUND(AD399*$P399,2)</f>
        <v>0</v>
      </c>
      <c r="AF399" s="61">
        <f>IFERROR(SUMIFS('BM MORRO DA CRUZ - VERTICAL'!AJ$6:AJ$546,'BM MORRO DA CRUZ - VERTICAL'!$O$6:$O$546,'BM MORRO DA CRUZ'!$K399),0)</f>
        <v>0</v>
      </c>
      <c r="AG399" s="63">
        <f>ROUND(AF399*$P399,2)</f>
        <v>0</v>
      </c>
      <c r="AH399" s="61">
        <f>IFERROR(SUMIFS('BM MORRO DA CRUZ - VERTICAL'!AL$6:AL$546,'BM MORRO DA CRUZ - VERTICAL'!$O$6:$O$546,'BM MORRO DA CRUZ'!$K399),0)</f>
        <v>0</v>
      </c>
      <c r="AI399" s="63">
        <f>ROUND(AH399*$P399,2)</f>
        <v>0</v>
      </c>
      <c r="AJ399" s="61">
        <f>IFERROR(SUMIFS('BM MORRO DA CRUZ - VERTICAL'!AN$6:AN$546,'BM MORRO DA CRUZ - VERTICAL'!$O$6:$O$546,'BM MORRO DA CRUZ'!$K399),0)</f>
        <v>0</v>
      </c>
      <c r="AK399" s="63">
        <f>ROUND(AJ399*$P399,2)</f>
        <v>0</v>
      </c>
      <c r="AL399" s="61">
        <f>IFERROR(SUMIFS('BM MORRO DA CRUZ - VERTICAL'!AP$6:AP$546,'BM MORRO DA CRUZ - VERTICAL'!$O$6:$O$546,'BM MORRO DA CRUZ'!$K399),0)</f>
        <v>0</v>
      </c>
      <c r="AM399" s="63">
        <f>ROUND(AL399*$P399,2)</f>
        <v>0</v>
      </c>
      <c r="AN399" s="61">
        <f>IFERROR(SUMIFS('BM MORRO DA CRUZ - VERTICAL'!AR$6:AR$546,'BM MORRO DA CRUZ - VERTICAL'!$O$6:$O$546,'BM MORRO DA CRUZ'!$K399),0)</f>
        <v>0</v>
      </c>
      <c r="AO399" s="63">
        <f>ROUND(AN399*$P399,2)</f>
        <v>0</v>
      </c>
      <c r="AP399" s="61">
        <f>IFERROR(SUMIFS('BM MORRO DA CRUZ - VERTICAL'!AT$6:AT$546,'BM MORRO DA CRUZ - VERTICAL'!$O$6:$O$546,'BM MORRO DA CRUZ'!$K399),0)</f>
        <v>0</v>
      </c>
      <c r="AQ399" s="63">
        <f>ROUND(AP399*$P399,2)</f>
        <v>0</v>
      </c>
      <c r="AR399" s="61">
        <f>IFERROR(SUMIFS('BM MORRO DA CRUZ - VERTICAL'!AV$6:AV$546,'BM MORRO DA CRUZ - VERTICAL'!$O$6:$O$546,'BM MORRO DA CRUZ'!$K399),0)</f>
        <v>0</v>
      </c>
      <c r="AS399" s="63">
        <f>ROUND(AR399*$P399,2)</f>
        <v>0</v>
      </c>
      <c r="AT399" s="61">
        <f>IFERROR(SUMIFS('BM MORRO DA CRUZ - VERTICAL'!AX$6:AX$546,'BM MORRO DA CRUZ - VERTICAL'!$O$6:$O$546,'BM MORRO DA CRUZ'!$K399),0)</f>
        <v>0</v>
      </c>
      <c r="AU399" s="63">
        <f>ROUND(AT399*$P399,2)</f>
        <v>0</v>
      </c>
      <c r="AV399" s="61">
        <f>IFERROR(SUMIFS('BM MORRO DA CRUZ - VERTICAL'!AZ$6:AZ$546,'BM MORRO DA CRUZ - VERTICAL'!$O$6:$O$546,'BM MORRO DA CRUZ'!$K399),0)</f>
        <v>0</v>
      </c>
      <c r="AW399" s="63">
        <f>ROUND(AV399*$P399,2)</f>
        <v>0</v>
      </c>
      <c r="AX399" s="61">
        <f>IFERROR(SUMIFS('BM MORRO DA CRUZ - VERTICAL'!BB$6:BB$546,'BM MORRO DA CRUZ - VERTICAL'!$O$6:$O$546,'BM MORRO DA CRUZ'!$K399),0)</f>
        <v>0</v>
      </c>
      <c r="AY399" s="63">
        <f>ROUND(AX399*$P399,2)</f>
        <v>0</v>
      </c>
      <c r="AZ399" s="61">
        <f>IFERROR(SUMIFS('BM MORRO DA CRUZ - VERTICAL'!BD$6:BD$546,'BM MORRO DA CRUZ - VERTICAL'!$O$6:$O$546,'BM MORRO DA CRUZ'!$K399),0)</f>
        <v>0</v>
      </c>
      <c r="BA399" s="63">
        <f>ROUND(AZ399*$P399,2)</f>
        <v>0</v>
      </c>
      <c r="BB399" s="61">
        <f>IFERROR(SUMIFS($R399:$BA399,$R$5:$BA$5,$BB$5),0)</f>
        <v>0</v>
      </c>
      <c r="BC399" s="63">
        <f>SUMIFS($R399:$BA399,$R$5:$BA$5,$S$5)</f>
        <v>0</v>
      </c>
      <c r="BD399" s="64">
        <f>IFERROR(BB399/O399,0)</f>
        <v>0</v>
      </c>
      <c r="BE399" s="65">
        <f>IFERROR((O399-BB399)/O399,0)</f>
        <v>0</v>
      </c>
      <c r="BF399" s="45"/>
    </row>
    <row r="400" spans="1:58" ht="35.65" x14ac:dyDescent="0.45">
      <c r="A400" s="56" t="s">
        <v>1411</v>
      </c>
      <c r="B400" s="506" t="s">
        <v>1876</v>
      </c>
      <c r="C400" s="507" t="s">
        <v>39</v>
      </c>
      <c r="D400" s="507" t="s">
        <v>39</v>
      </c>
      <c r="E400" s="507" t="s">
        <v>1777</v>
      </c>
      <c r="F400" s="507" t="s">
        <v>39</v>
      </c>
      <c r="G400" s="507" t="s">
        <v>39</v>
      </c>
      <c r="H400" s="508" t="s">
        <v>226</v>
      </c>
      <c r="I400" s="507" t="s">
        <v>40</v>
      </c>
      <c r="J400" s="508" t="s">
        <v>1777</v>
      </c>
      <c r="K400" s="57" t="s">
        <v>1412</v>
      </c>
      <c r="L400" s="58" t="s">
        <v>846</v>
      </c>
      <c r="M400" s="59" t="s">
        <v>1413</v>
      </c>
      <c r="N400" s="60" t="s">
        <v>1414</v>
      </c>
      <c r="O400" s="61">
        <v>0</v>
      </c>
      <c r="P400" s="62">
        <v>256.25</v>
      </c>
      <c r="Q400" s="63">
        <f>ROUND(P400*$O400,2)</f>
        <v>0</v>
      </c>
      <c r="R400" s="61">
        <f>IFERROR(SUMIFS('BM MORRO DA CRUZ - VERTICAL'!V$6:V$546,'BM MORRO DA CRUZ - VERTICAL'!$O$6:$O$546,'BM MORRO DA CRUZ'!$K400),0)</f>
        <v>0</v>
      </c>
      <c r="S400" s="63">
        <f>ROUND(R400*$P400,2)</f>
        <v>0</v>
      </c>
      <c r="T400" s="61">
        <f>IFERROR(SUMIFS('BM MORRO DA CRUZ - VERTICAL'!X$6:X$546,'BM MORRO DA CRUZ - VERTICAL'!$O$6:$O$546,'BM MORRO DA CRUZ'!$K400),0)</f>
        <v>0</v>
      </c>
      <c r="U400" s="63">
        <f>ROUND(T400*$P400,2)</f>
        <v>0</v>
      </c>
      <c r="V400" s="61">
        <f>IFERROR(SUMIFS('BM MORRO DA CRUZ - VERTICAL'!Z$6:Z$546,'BM MORRO DA CRUZ - VERTICAL'!$O$6:$O$546,'BM MORRO DA CRUZ'!$K400),0)</f>
        <v>0</v>
      </c>
      <c r="W400" s="63">
        <f>ROUND(V400*$P400,2)</f>
        <v>0</v>
      </c>
      <c r="X400" s="61">
        <f>IFERROR(SUMIFS('BM MORRO DA CRUZ - VERTICAL'!AB$6:AB$546,'BM MORRO DA CRUZ - VERTICAL'!$O$6:$O$546,'BM MORRO DA CRUZ'!$K400),0)</f>
        <v>0</v>
      </c>
      <c r="Y400" s="63">
        <f>ROUND(X400*$P400,2)</f>
        <v>0</v>
      </c>
      <c r="Z400" s="61">
        <f>IFERROR(SUMIFS('BM MORRO DA CRUZ - VERTICAL'!AD$6:AD$546,'BM MORRO DA CRUZ - VERTICAL'!$O$6:$O$546,'BM MORRO DA CRUZ'!$K400),0)</f>
        <v>0</v>
      </c>
      <c r="AA400" s="63">
        <f>ROUND(Z400*$P400,2)</f>
        <v>0</v>
      </c>
      <c r="AB400" s="61">
        <f>IFERROR(SUMIFS('BM MORRO DA CRUZ - VERTICAL'!AF$6:AF$546,'BM MORRO DA CRUZ - VERTICAL'!$O$6:$O$546,'BM MORRO DA CRUZ'!$K400),0)</f>
        <v>0</v>
      </c>
      <c r="AC400" s="63">
        <f>ROUND(AB400*$P400,2)</f>
        <v>0</v>
      </c>
      <c r="AD400" s="61">
        <f>IFERROR(SUMIFS('BM MORRO DA CRUZ - VERTICAL'!AH$6:AH$546,'BM MORRO DA CRUZ - VERTICAL'!$O$6:$O$546,'BM MORRO DA CRUZ'!$K400),0)</f>
        <v>0</v>
      </c>
      <c r="AE400" s="63">
        <f>ROUND(AD400*$P400,2)</f>
        <v>0</v>
      </c>
      <c r="AF400" s="61">
        <f>IFERROR(SUMIFS('BM MORRO DA CRUZ - VERTICAL'!AJ$6:AJ$546,'BM MORRO DA CRUZ - VERTICAL'!$O$6:$O$546,'BM MORRO DA CRUZ'!$K400),0)</f>
        <v>0</v>
      </c>
      <c r="AG400" s="63">
        <f>ROUND(AF400*$P400,2)</f>
        <v>0</v>
      </c>
      <c r="AH400" s="61">
        <f>IFERROR(SUMIFS('BM MORRO DA CRUZ - VERTICAL'!AL$6:AL$546,'BM MORRO DA CRUZ - VERTICAL'!$O$6:$O$546,'BM MORRO DA CRUZ'!$K400),0)</f>
        <v>0</v>
      </c>
      <c r="AI400" s="63">
        <f>ROUND(AH400*$P400,2)</f>
        <v>0</v>
      </c>
      <c r="AJ400" s="61">
        <f>IFERROR(SUMIFS('BM MORRO DA CRUZ - VERTICAL'!AN$6:AN$546,'BM MORRO DA CRUZ - VERTICAL'!$O$6:$O$546,'BM MORRO DA CRUZ'!$K400),0)</f>
        <v>0</v>
      </c>
      <c r="AK400" s="63">
        <f>ROUND(AJ400*$P400,2)</f>
        <v>0</v>
      </c>
      <c r="AL400" s="61">
        <f>IFERROR(SUMIFS('BM MORRO DA CRUZ - VERTICAL'!AP$6:AP$546,'BM MORRO DA CRUZ - VERTICAL'!$O$6:$O$546,'BM MORRO DA CRUZ'!$K400),0)</f>
        <v>0</v>
      </c>
      <c r="AM400" s="63">
        <f>ROUND(AL400*$P400,2)</f>
        <v>0</v>
      </c>
      <c r="AN400" s="61">
        <f>IFERROR(SUMIFS('BM MORRO DA CRUZ - VERTICAL'!AR$6:AR$546,'BM MORRO DA CRUZ - VERTICAL'!$O$6:$O$546,'BM MORRO DA CRUZ'!$K400),0)</f>
        <v>0</v>
      </c>
      <c r="AO400" s="63">
        <f>ROUND(AN400*$P400,2)</f>
        <v>0</v>
      </c>
      <c r="AP400" s="61">
        <f>IFERROR(SUMIFS('BM MORRO DA CRUZ - VERTICAL'!AT$6:AT$546,'BM MORRO DA CRUZ - VERTICAL'!$O$6:$O$546,'BM MORRO DA CRUZ'!$K400),0)</f>
        <v>0</v>
      </c>
      <c r="AQ400" s="63">
        <f>ROUND(AP400*$P400,2)</f>
        <v>0</v>
      </c>
      <c r="AR400" s="61">
        <f>IFERROR(SUMIFS('BM MORRO DA CRUZ - VERTICAL'!AV$6:AV$546,'BM MORRO DA CRUZ - VERTICAL'!$O$6:$O$546,'BM MORRO DA CRUZ'!$K400),0)</f>
        <v>0</v>
      </c>
      <c r="AS400" s="63">
        <f>ROUND(AR400*$P400,2)</f>
        <v>0</v>
      </c>
      <c r="AT400" s="61">
        <f>IFERROR(SUMIFS('BM MORRO DA CRUZ - VERTICAL'!AX$6:AX$546,'BM MORRO DA CRUZ - VERTICAL'!$O$6:$O$546,'BM MORRO DA CRUZ'!$K400),0)</f>
        <v>0</v>
      </c>
      <c r="AU400" s="63">
        <f>ROUND(AT400*$P400,2)</f>
        <v>0</v>
      </c>
      <c r="AV400" s="61">
        <f>IFERROR(SUMIFS('BM MORRO DA CRUZ - VERTICAL'!AZ$6:AZ$546,'BM MORRO DA CRUZ - VERTICAL'!$O$6:$O$546,'BM MORRO DA CRUZ'!$K400),0)</f>
        <v>0</v>
      </c>
      <c r="AW400" s="63">
        <f>ROUND(AV400*$P400,2)</f>
        <v>0</v>
      </c>
      <c r="AX400" s="61">
        <f>IFERROR(SUMIFS('BM MORRO DA CRUZ - VERTICAL'!BB$6:BB$546,'BM MORRO DA CRUZ - VERTICAL'!$O$6:$O$546,'BM MORRO DA CRUZ'!$K400),0)</f>
        <v>0</v>
      </c>
      <c r="AY400" s="63">
        <f>ROUND(AX400*$P400,2)</f>
        <v>0</v>
      </c>
      <c r="AZ400" s="61">
        <f>IFERROR(SUMIFS('BM MORRO DA CRUZ - VERTICAL'!BD$6:BD$546,'BM MORRO DA CRUZ - VERTICAL'!$O$6:$O$546,'BM MORRO DA CRUZ'!$K400),0)</f>
        <v>0</v>
      </c>
      <c r="BA400" s="63">
        <f>ROUND(AZ400*$P400,2)</f>
        <v>0</v>
      </c>
      <c r="BB400" s="61">
        <f>IFERROR(SUMIFS($R400:$BA400,$R$5:$BA$5,$BB$5),0)</f>
        <v>0</v>
      </c>
      <c r="BC400" s="63">
        <f>SUMIFS($R400:$BA400,$R$5:$BA$5,$S$5)</f>
        <v>0</v>
      </c>
      <c r="BD400" s="64">
        <f>IFERROR(BB400/O400,0)</f>
        <v>0</v>
      </c>
      <c r="BE400" s="65">
        <f>IFERROR((O400-BB400)/O400,0)</f>
        <v>0</v>
      </c>
      <c r="BF400" s="45"/>
    </row>
    <row r="401" spans="1:58" ht="26" customHeight="1" x14ac:dyDescent="0.45">
      <c r="A401" s="56" t="s">
        <v>1415</v>
      </c>
      <c r="B401" s="506" t="s">
        <v>1417</v>
      </c>
      <c r="C401" s="507" t="s">
        <v>39</v>
      </c>
      <c r="D401" s="507" t="s">
        <v>39</v>
      </c>
      <c r="E401" s="507" t="s">
        <v>1877</v>
      </c>
      <c r="F401" s="507" t="s">
        <v>39</v>
      </c>
      <c r="G401" s="507" t="s">
        <v>39</v>
      </c>
      <c r="H401" s="508" t="s">
        <v>39</v>
      </c>
      <c r="I401" s="507" t="s">
        <v>40</v>
      </c>
      <c r="J401" s="508" t="s">
        <v>1797</v>
      </c>
      <c r="K401" s="57" t="s">
        <v>1416</v>
      </c>
      <c r="L401" s="58" t="s">
        <v>846</v>
      </c>
      <c r="M401" s="59" t="s">
        <v>1417</v>
      </c>
      <c r="N401" s="60" t="s">
        <v>1414</v>
      </c>
      <c r="O401" s="61">
        <v>475.2</v>
      </c>
      <c r="P401" s="62">
        <v>112.28</v>
      </c>
      <c r="Q401" s="63">
        <f>ROUND(P401*$O401,2)</f>
        <v>53355.46</v>
      </c>
      <c r="R401" s="61">
        <f>IFERROR(SUMIFS('BM MORRO DA CRUZ - VERTICAL'!V$6:V$546,'BM MORRO DA CRUZ - VERTICAL'!$O$6:$O$546,'BM MORRO DA CRUZ'!$K401),0)</f>
        <v>0</v>
      </c>
      <c r="S401" s="63">
        <f>ROUND(R401*$P401,2)</f>
        <v>0</v>
      </c>
      <c r="T401" s="61">
        <f>IFERROR(SUMIFS('BM MORRO DA CRUZ - VERTICAL'!X$6:X$546,'BM MORRO DA CRUZ - VERTICAL'!$O$6:$O$546,'BM MORRO DA CRUZ'!$K401),0)</f>
        <v>0</v>
      </c>
      <c r="U401" s="63">
        <f>ROUND(T401*$P401,2)</f>
        <v>0</v>
      </c>
      <c r="V401" s="61">
        <f>IFERROR(SUMIFS('BM MORRO DA CRUZ - VERTICAL'!Z$6:Z$546,'BM MORRO DA CRUZ - VERTICAL'!$O$6:$O$546,'BM MORRO DA CRUZ'!$K401),0)</f>
        <v>0</v>
      </c>
      <c r="W401" s="63">
        <f>ROUND(V401*$P401,2)</f>
        <v>0</v>
      </c>
      <c r="X401" s="61">
        <f>IFERROR(SUMIFS('BM MORRO DA CRUZ - VERTICAL'!AB$6:AB$546,'BM MORRO DA CRUZ - VERTICAL'!$O$6:$O$546,'BM MORRO DA CRUZ'!$K401),0)</f>
        <v>0</v>
      </c>
      <c r="Y401" s="63">
        <f>ROUND(X401*$P401,2)</f>
        <v>0</v>
      </c>
      <c r="Z401" s="61">
        <f>IFERROR(SUMIFS('BM MORRO DA CRUZ - VERTICAL'!AD$6:AD$546,'BM MORRO DA CRUZ - VERTICAL'!$O$6:$O$546,'BM MORRO DA CRUZ'!$K401),0)</f>
        <v>0</v>
      </c>
      <c r="AA401" s="63">
        <f>ROUND(Z401*$P401,2)</f>
        <v>0</v>
      </c>
      <c r="AB401" s="61">
        <f>IFERROR(SUMIFS('BM MORRO DA CRUZ - VERTICAL'!AF$6:AF$546,'BM MORRO DA CRUZ - VERTICAL'!$O$6:$O$546,'BM MORRO DA CRUZ'!$K401),0)</f>
        <v>0</v>
      </c>
      <c r="AC401" s="63">
        <f>ROUND(AB401*$P401,2)</f>
        <v>0</v>
      </c>
      <c r="AD401" s="61">
        <f>IFERROR(SUMIFS('BM MORRO DA CRUZ - VERTICAL'!AH$6:AH$546,'BM MORRO DA CRUZ - VERTICAL'!$O$6:$O$546,'BM MORRO DA CRUZ'!$K401),0)</f>
        <v>0</v>
      </c>
      <c r="AE401" s="63">
        <f>ROUND(AD401*$P401,2)</f>
        <v>0</v>
      </c>
      <c r="AF401" s="61">
        <f>IFERROR(SUMIFS('BM MORRO DA CRUZ - VERTICAL'!AJ$6:AJ$546,'BM MORRO DA CRUZ - VERTICAL'!$O$6:$O$546,'BM MORRO DA CRUZ'!$K401),0)</f>
        <v>0</v>
      </c>
      <c r="AG401" s="63">
        <f>ROUND(AF401*$P401,2)</f>
        <v>0</v>
      </c>
      <c r="AH401" s="61">
        <f>IFERROR(SUMIFS('BM MORRO DA CRUZ - VERTICAL'!AL$6:AL$546,'BM MORRO DA CRUZ - VERTICAL'!$O$6:$O$546,'BM MORRO DA CRUZ'!$K401),0)</f>
        <v>0</v>
      </c>
      <c r="AI401" s="63">
        <f>ROUND(AH401*$P401,2)</f>
        <v>0</v>
      </c>
      <c r="AJ401" s="61">
        <f>IFERROR(SUMIFS('BM MORRO DA CRUZ - VERTICAL'!AN$6:AN$546,'BM MORRO DA CRUZ - VERTICAL'!$O$6:$O$546,'BM MORRO DA CRUZ'!$K401),0)</f>
        <v>0</v>
      </c>
      <c r="AK401" s="63">
        <f>ROUND(AJ401*$P401,2)</f>
        <v>0</v>
      </c>
      <c r="AL401" s="61">
        <f>IFERROR(SUMIFS('BM MORRO DA CRUZ - VERTICAL'!AP$6:AP$546,'BM MORRO DA CRUZ - VERTICAL'!$O$6:$O$546,'BM MORRO DA CRUZ'!$K401),0)</f>
        <v>0</v>
      </c>
      <c r="AM401" s="63">
        <f>ROUND(AL401*$P401,2)</f>
        <v>0</v>
      </c>
      <c r="AN401" s="61">
        <f>IFERROR(SUMIFS('BM MORRO DA CRUZ - VERTICAL'!AR$6:AR$546,'BM MORRO DA CRUZ - VERTICAL'!$O$6:$O$546,'BM MORRO DA CRUZ'!$K401),0)</f>
        <v>0</v>
      </c>
      <c r="AO401" s="63">
        <f>ROUND(AN401*$P401,2)</f>
        <v>0</v>
      </c>
      <c r="AP401" s="61">
        <f>IFERROR(SUMIFS('BM MORRO DA CRUZ - VERTICAL'!AT$6:AT$546,'BM MORRO DA CRUZ - VERTICAL'!$O$6:$O$546,'BM MORRO DA CRUZ'!$K401),0)</f>
        <v>0</v>
      </c>
      <c r="AQ401" s="63">
        <f>ROUND(AP401*$P401,2)</f>
        <v>0</v>
      </c>
      <c r="AR401" s="61">
        <f>IFERROR(SUMIFS('BM MORRO DA CRUZ - VERTICAL'!AV$6:AV$546,'BM MORRO DA CRUZ - VERTICAL'!$O$6:$O$546,'BM MORRO DA CRUZ'!$K401),0)</f>
        <v>0</v>
      </c>
      <c r="AS401" s="63">
        <f>ROUND(AR401*$P401,2)</f>
        <v>0</v>
      </c>
      <c r="AT401" s="61">
        <f>IFERROR(SUMIFS('BM MORRO DA CRUZ - VERTICAL'!AX$6:AX$546,'BM MORRO DA CRUZ - VERTICAL'!$O$6:$O$546,'BM MORRO DA CRUZ'!$K401),0)</f>
        <v>0</v>
      </c>
      <c r="AU401" s="63">
        <f>ROUND(AT401*$P401,2)</f>
        <v>0</v>
      </c>
      <c r="AV401" s="61">
        <f>IFERROR(SUMIFS('BM MORRO DA CRUZ - VERTICAL'!AZ$6:AZ$546,'BM MORRO DA CRUZ - VERTICAL'!$O$6:$O$546,'BM MORRO DA CRUZ'!$K401),0)</f>
        <v>0</v>
      </c>
      <c r="AW401" s="63">
        <f>ROUND(AV401*$P401,2)</f>
        <v>0</v>
      </c>
      <c r="AX401" s="61">
        <f>IFERROR(SUMIFS('BM MORRO DA CRUZ - VERTICAL'!BB$6:BB$546,'BM MORRO DA CRUZ - VERTICAL'!$O$6:$O$546,'BM MORRO DA CRUZ'!$K401),0)</f>
        <v>0</v>
      </c>
      <c r="AY401" s="63">
        <f>ROUND(AX401*$P401,2)</f>
        <v>0</v>
      </c>
      <c r="AZ401" s="61">
        <f>IFERROR(SUMIFS('BM MORRO DA CRUZ - VERTICAL'!BD$6:BD$546,'BM MORRO DA CRUZ - VERTICAL'!$O$6:$O$546,'BM MORRO DA CRUZ'!$K401),0)</f>
        <v>0</v>
      </c>
      <c r="BA401" s="63">
        <f>ROUND(AZ401*$P401,2)</f>
        <v>0</v>
      </c>
      <c r="BB401" s="61">
        <f>IFERROR(SUMIFS($R401:$BA401,$R$5:$BA$5,$BB$5),0)</f>
        <v>0</v>
      </c>
      <c r="BC401" s="63">
        <f>SUMIFS($R401:$BA401,$R$5:$BA$5,$S$5)</f>
        <v>0</v>
      </c>
      <c r="BD401" s="64">
        <f>IFERROR(BB401/O401,0)</f>
        <v>0</v>
      </c>
      <c r="BE401" s="65">
        <f>IFERROR((O401-BB401)/O401,0)</f>
        <v>1</v>
      </c>
      <c r="BF401" s="45"/>
    </row>
    <row r="402" spans="1:58" ht="26" customHeight="1" x14ac:dyDescent="0.45">
      <c r="A402" s="56" t="s">
        <v>1418</v>
      </c>
      <c r="B402" s="506" t="s">
        <v>1417</v>
      </c>
      <c r="C402" s="507" t="s">
        <v>39</v>
      </c>
      <c r="D402" s="507" t="s">
        <v>39</v>
      </c>
      <c r="E402" s="507" t="s">
        <v>1877</v>
      </c>
      <c r="F402" s="507" t="s">
        <v>39</v>
      </c>
      <c r="G402" s="507" t="s">
        <v>39</v>
      </c>
      <c r="H402" s="508" t="s">
        <v>39</v>
      </c>
      <c r="I402" s="507" t="s">
        <v>40</v>
      </c>
      <c r="J402" s="508" t="s">
        <v>1797</v>
      </c>
      <c r="K402" s="57" t="s">
        <v>1419</v>
      </c>
      <c r="L402" s="58" t="s">
        <v>846</v>
      </c>
      <c r="M402" s="59" t="s">
        <v>1417</v>
      </c>
      <c r="N402" s="60" t="s">
        <v>1410</v>
      </c>
      <c r="O402" s="61">
        <v>52.8</v>
      </c>
      <c r="P402" s="62">
        <v>6.55</v>
      </c>
      <c r="Q402" s="63">
        <f>ROUND(P402*$O402,2)</f>
        <v>345.84</v>
      </c>
      <c r="R402" s="61">
        <f>IFERROR(SUMIFS('BM MORRO DA CRUZ - VERTICAL'!V$6:V$546,'BM MORRO DA CRUZ - VERTICAL'!$O$6:$O$546,'BM MORRO DA CRUZ'!$K402),0)</f>
        <v>0</v>
      </c>
      <c r="S402" s="63">
        <f>ROUND(R402*$P402,2)</f>
        <v>0</v>
      </c>
      <c r="T402" s="61">
        <f>IFERROR(SUMIFS('BM MORRO DA CRUZ - VERTICAL'!X$6:X$546,'BM MORRO DA CRUZ - VERTICAL'!$O$6:$O$546,'BM MORRO DA CRUZ'!$K402),0)</f>
        <v>0</v>
      </c>
      <c r="U402" s="63">
        <f>ROUND(T402*$P402,2)</f>
        <v>0</v>
      </c>
      <c r="V402" s="61">
        <f>IFERROR(SUMIFS('BM MORRO DA CRUZ - VERTICAL'!Z$6:Z$546,'BM MORRO DA CRUZ - VERTICAL'!$O$6:$O$546,'BM MORRO DA CRUZ'!$K402),0)</f>
        <v>0</v>
      </c>
      <c r="W402" s="63">
        <f>ROUND(V402*$P402,2)</f>
        <v>0</v>
      </c>
      <c r="X402" s="61">
        <f>IFERROR(SUMIFS('BM MORRO DA CRUZ - VERTICAL'!AB$6:AB$546,'BM MORRO DA CRUZ - VERTICAL'!$O$6:$O$546,'BM MORRO DA CRUZ'!$K402),0)</f>
        <v>0</v>
      </c>
      <c r="Y402" s="63">
        <f>ROUND(X402*$P402,2)</f>
        <v>0</v>
      </c>
      <c r="Z402" s="61">
        <f>IFERROR(SUMIFS('BM MORRO DA CRUZ - VERTICAL'!AD$6:AD$546,'BM MORRO DA CRUZ - VERTICAL'!$O$6:$O$546,'BM MORRO DA CRUZ'!$K402),0)</f>
        <v>0</v>
      </c>
      <c r="AA402" s="63">
        <f>ROUND(Z402*$P402,2)</f>
        <v>0</v>
      </c>
      <c r="AB402" s="61">
        <f>IFERROR(SUMIFS('BM MORRO DA CRUZ - VERTICAL'!AF$6:AF$546,'BM MORRO DA CRUZ - VERTICAL'!$O$6:$O$546,'BM MORRO DA CRUZ'!$K402),0)</f>
        <v>0</v>
      </c>
      <c r="AC402" s="63">
        <f>ROUND(AB402*$P402,2)</f>
        <v>0</v>
      </c>
      <c r="AD402" s="61">
        <f>IFERROR(SUMIFS('BM MORRO DA CRUZ - VERTICAL'!AH$6:AH$546,'BM MORRO DA CRUZ - VERTICAL'!$O$6:$O$546,'BM MORRO DA CRUZ'!$K402),0)</f>
        <v>0</v>
      </c>
      <c r="AE402" s="63">
        <f>ROUND(AD402*$P402,2)</f>
        <v>0</v>
      </c>
      <c r="AF402" s="61">
        <f>IFERROR(SUMIFS('BM MORRO DA CRUZ - VERTICAL'!AJ$6:AJ$546,'BM MORRO DA CRUZ - VERTICAL'!$O$6:$O$546,'BM MORRO DA CRUZ'!$K402),0)</f>
        <v>0</v>
      </c>
      <c r="AG402" s="63">
        <f>ROUND(AF402*$P402,2)</f>
        <v>0</v>
      </c>
      <c r="AH402" s="61">
        <f>IFERROR(SUMIFS('BM MORRO DA CRUZ - VERTICAL'!AL$6:AL$546,'BM MORRO DA CRUZ - VERTICAL'!$O$6:$O$546,'BM MORRO DA CRUZ'!$K402),0)</f>
        <v>0</v>
      </c>
      <c r="AI402" s="63">
        <f>ROUND(AH402*$P402,2)</f>
        <v>0</v>
      </c>
      <c r="AJ402" s="61">
        <f>IFERROR(SUMIFS('BM MORRO DA CRUZ - VERTICAL'!AN$6:AN$546,'BM MORRO DA CRUZ - VERTICAL'!$O$6:$O$546,'BM MORRO DA CRUZ'!$K402),0)</f>
        <v>0</v>
      </c>
      <c r="AK402" s="63">
        <f>ROUND(AJ402*$P402,2)</f>
        <v>0</v>
      </c>
      <c r="AL402" s="61">
        <f>IFERROR(SUMIFS('BM MORRO DA CRUZ - VERTICAL'!AP$6:AP$546,'BM MORRO DA CRUZ - VERTICAL'!$O$6:$O$546,'BM MORRO DA CRUZ'!$K402),0)</f>
        <v>0</v>
      </c>
      <c r="AM402" s="63">
        <f>ROUND(AL402*$P402,2)</f>
        <v>0</v>
      </c>
      <c r="AN402" s="61">
        <f>IFERROR(SUMIFS('BM MORRO DA CRUZ - VERTICAL'!AR$6:AR$546,'BM MORRO DA CRUZ - VERTICAL'!$O$6:$O$546,'BM MORRO DA CRUZ'!$K402),0)</f>
        <v>0</v>
      </c>
      <c r="AO402" s="63">
        <f>ROUND(AN402*$P402,2)</f>
        <v>0</v>
      </c>
      <c r="AP402" s="61">
        <f>IFERROR(SUMIFS('BM MORRO DA CRUZ - VERTICAL'!AT$6:AT$546,'BM MORRO DA CRUZ - VERTICAL'!$O$6:$O$546,'BM MORRO DA CRUZ'!$K402),0)</f>
        <v>0</v>
      </c>
      <c r="AQ402" s="63">
        <f>ROUND(AP402*$P402,2)</f>
        <v>0</v>
      </c>
      <c r="AR402" s="61">
        <f>IFERROR(SUMIFS('BM MORRO DA CRUZ - VERTICAL'!AV$6:AV$546,'BM MORRO DA CRUZ - VERTICAL'!$O$6:$O$546,'BM MORRO DA CRUZ'!$K402),0)</f>
        <v>0</v>
      </c>
      <c r="AS402" s="63">
        <f>ROUND(AR402*$P402,2)</f>
        <v>0</v>
      </c>
      <c r="AT402" s="61">
        <f>IFERROR(SUMIFS('BM MORRO DA CRUZ - VERTICAL'!AX$6:AX$546,'BM MORRO DA CRUZ - VERTICAL'!$O$6:$O$546,'BM MORRO DA CRUZ'!$K402),0)</f>
        <v>0</v>
      </c>
      <c r="AU402" s="63">
        <f>ROUND(AT402*$P402,2)</f>
        <v>0</v>
      </c>
      <c r="AV402" s="61">
        <f>IFERROR(SUMIFS('BM MORRO DA CRUZ - VERTICAL'!AZ$6:AZ$546,'BM MORRO DA CRUZ - VERTICAL'!$O$6:$O$546,'BM MORRO DA CRUZ'!$K402),0)</f>
        <v>0</v>
      </c>
      <c r="AW402" s="63">
        <f>ROUND(AV402*$P402,2)</f>
        <v>0</v>
      </c>
      <c r="AX402" s="61">
        <f>IFERROR(SUMIFS('BM MORRO DA CRUZ - VERTICAL'!BB$6:BB$546,'BM MORRO DA CRUZ - VERTICAL'!$O$6:$O$546,'BM MORRO DA CRUZ'!$K402),0)</f>
        <v>0</v>
      </c>
      <c r="AY402" s="63">
        <f>ROUND(AX402*$P402,2)</f>
        <v>0</v>
      </c>
      <c r="AZ402" s="61">
        <f>IFERROR(SUMIFS('BM MORRO DA CRUZ - VERTICAL'!BD$6:BD$546,'BM MORRO DA CRUZ - VERTICAL'!$O$6:$O$546,'BM MORRO DA CRUZ'!$K402),0)</f>
        <v>0</v>
      </c>
      <c r="BA402" s="63">
        <f>ROUND(AZ402*$P402,2)</f>
        <v>0</v>
      </c>
      <c r="BB402" s="61">
        <f>IFERROR(SUMIFS($R402:$BA402,$R$5:$BA$5,$BB$5),0)</f>
        <v>0</v>
      </c>
      <c r="BC402" s="63">
        <f>SUMIFS($R402:$BA402,$R$5:$BA$5,$S$5)</f>
        <v>0</v>
      </c>
      <c r="BD402" s="64">
        <f>IFERROR(BB402/O402,0)</f>
        <v>0</v>
      </c>
      <c r="BE402" s="65">
        <f>IFERROR((O402-BB402)/O402,0)</f>
        <v>1</v>
      </c>
      <c r="BF402" s="45"/>
    </row>
    <row r="403" spans="1:58" ht="19.5" customHeight="1" x14ac:dyDescent="0.45">
      <c r="A403" s="421" t="s">
        <v>1420</v>
      </c>
      <c r="B403" s="509"/>
      <c r="C403" s="509"/>
      <c r="D403" s="509"/>
      <c r="E403" s="509"/>
      <c r="F403" s="509"/>
      <c r="G403" s="509"/>
      <c r="H403" s="509"/>
      <c r="I403" s="509"/>
      <c r="J403" s="509"/>
      <c r="K403" s="421"/>
      <c r="L403" s="421"/>
      <c r="M403" s="421"/>
      <c r="N403" s="66" t="s">
        <v>21</v>
      </c>
      <c r="O403" s="67"/>
      <c r="P403" s="409">
        <f>ROUND(SUMPRODUCT($O$6:$O$402,$P$6:$P$402,--($L$6:$L$402=$N$403)),2)</f>
        <v>15063612.609999999</v>
      </c>
      <c r="Q403" s="409"/>
      <c r="R403" s="407">
        <f>SUMIFS(S$6:S$402,$L$6:$L$402,$N$403)</f>
        <v>0</v>
      </c>
      <c r="S403" s="407"/>
      <c r="T403" s="407">
        <f>SUMIFS(U$6:U$402,$L$6:$L$402,$N$403)</f>
        <v>0</v>
      </c>
      <c r="U403" s="407"/>
      <c r="V403" s="407">
        <f>SUMIFS(W$6:W$402,$L$6:$L$402,$N$403)</f>
        <v>0</v>
      </c>
      <c r="W403" s="407"/>
      <c r="X403" s="407">
        <f>SUMIFS(Y$6:Y$402,$L$6:$L$402,$N$403)</f>
        <v>0</v>
      </c>
      <c r="Y403" s="407"/>
      <c r="Z403" s="407">
        <f>SUMIFS(AA$6:AA$402,$L$6:$L$402,$N$403)</f>
        <v>0</v>
      </c>
      <c r="AA403" s="407"/>
      <c r="AB403" s="407">
        <f>SUMIFS(AC$6:AC$402,$L$6:$L$402,$N$403)</f>
        <v>0</v>
      </c>
      <c r="AC403" s="407"/>
      <c r="AD403" s="407">
        <f>SUMIFS(AE$6:AE$402,$L$6:$L$402,$N$403)</f>
        <v>0</v>
      </c>
      <c r="AE403" s="407"/>
      <c r="AF403" s="407">
        <f>SUMIFS(AG$6:AG$402,$L$6:$L$402,$N$403)</f>
        <v>0</v>
      </c>
      <c r="AG403" s="407"/>
      <c r="AH403" s="407">
        <f>SUMIFS(AI$6:AI$402,$L$6:$L$402,$N$403)</f>
        <v>0</v>
      </c>
      <c r="AI403" s="407"/>
      <c r="AJ403" s="407">
        <f>SUMIFS(AK$6:AK$402,$L$6:$L$402,$N$403)</f>
        <v>0</v>
      </c>
      <c r="AK403" s="407"/>
      <c r="AL403" s="407">
        <f>SUMIFS(AM$6:AM$402,$L$6:$L$402,$N$403)</f>
        <v>0</v>
      </c>
      <c r="AM403" s="407"/>
      <c r="AN403" s="407">
        <f>SUMIFS(AO$6:AO$402,$L$6:$L$402,$N$403)</f>
        <v>0</v>
      </c>
      <c r="AO403" s="407"/>
      <c r="AP403" s="407">
        <f>SUMIFS(AQ$6:AQ$402,$L$6:$L$402,$N$403)</f>
        <v>0</v>
      </c>
      <c r="AQ403" s="407"/>
      <c r="AR403" s="407">
        <f>SUMIFS(AS$6:AS$402,$L$6:$L$402,$N$403)</f>
        <v>0</v>
      </c>
      <c r="AS403" s="407"/>
      <c r="AT403" s="407">
        <f>SUMIFS(AU$6:AU$402,$L$6:$L$402,$N$403)</f>
        <v>0</v>
      </c>
      <c r="AU403" s="407"/>
      <c r="AV403" s="407">
        <f>SUMIFS(AW$6:AW$402,$L$6:$L$402,$N$403)</f>
        <v>0</v>
      </c>
      <c r="AW403" s="407"/>
      <c r="AX403" s="407">
        <f>SUMIFS(AY$6:AY$402,$L$6:$L$402,$N$403)</f>
        <v>0</v>
      </c>
      <c r="AY403" s="407"/>
      <c r="AZ403" s="407">
        <f>SUMIFS(BA$6:BA$402,$L$6:$L$402,$N$403)</f>
        <v>0</v>
      </c>
      <c r="BA403" s="407"/>
      <c r="BB403" s="409">
        <f>SUMIFS(BC$6:BC$402,$L$6:$L$402,$N$403)</f>
        <v>0</v>
      </c>
      <c r="BC403" s="409"/>
      <c r="BD403" s="68"/>
      <c r="BE403" s="69"/>
      <c r="BF403" s="70"/>
    </row>
    <row r="404" spans="1:58" ht="19.5" customHeight="1" x14ac:dyDescent="0.45">
      <c r="A404" s="421"/>
      <c r="B404" s="509"/>
      <c r="C404" s="509"/>
      <c r="D404" s="509"/>
      <c r="E404" s="509"/>
      <c r="F404" s="509"/>
      <c r="G404" s="509"/>
      <c r="H404" s="509"/>
      <c r="I404" s="509"/>
      <c r="J404" s="509"/>
      <c r="K404" s="421"/>
      <c r="L404" s="421"/>
      <c r="M404" s="421"/>
      <c r="N404" s="71" t="s">
        <v>846</v>
      </c>
      <c r="O404" s="72"/>
      <c r="P404" s="398">
        <f>ROUND(SUMPRODUCT($O$6:$O$402,$P$6:$P$402,--($L$6:$L$402=$N$404)),2)</f>
        <v>33470695.550000001</v>
      </c>
      <c r="Q404" s="398"/>
      <c r="R404" s="395">
        <f>SUMIFS(S$6:S$402,$L$6:$L$402,$N$404)</f>
        <v>0</v>
      </c>
      <c r="S404" s="395"/>
      <c r="T404" s="395">
        <f>SUMIFS(U$6:U$402,$L$6:$L$402,$N$404)</f>
        <v>0</v>
      </c>
      <c r="U404" s="395"/>
      <c r="V404" s="395">
        <f>SUMIFS(W$6:W$402,$L$6:$L$402,$N$404)</f>
        <v>0</v>
      </c>
      <c r="W404" s="395"/>
      <c r="X404" s="395">
        <f>SUMIFS(Y$6:Y$402,$L$6:$L$402,$N$404)</f>
        <v>0</v>
      </c>
      <c r="Y404" s="395"/>
      <c r="Z404" s="395">
        <f>SUMIFS(AA$6:AA$402,$L$6:$L$402,$N$404)</f>
        <v>0</v>
      </c>
      <c r="AA404" s="395"/>
      <c r="AB404" s="395">
        <f>SUMIFS(AC$6:AC$402,$L$6:$L$402,$N$404)</f>
        <v>0</v>
      </c>
      <c r="AC404" s="395"/>
      <c r="AD404" s="395">
        <f>SUMIFS(AE$6:AE$402,$L$6:$L$402,$N$404)</f>
        <v>0</v>
      </c>
      <c r="AE404" s="395"/>
      <c r="AF404" s="395">
        <f>SUMIFS(AG$6:AG$402,$L$6:$L$402,$N$404)</f>
        <v>0</v>
      </c>
      <c r="AG404" s="395"/>
      <c r="AH404" s="395">
        <f>SUMIFS(AI$6:AI$402,$L$6:$L$402,$N$404)</f>
        <v>0</v>
      </c>
      <c r="AI404" s="395"/>
      <c r="AJ404" s="395">
        <f>SUMIFS(AK$6:AK$402,$L$6:$L$402,$N$404)</f>
        <v>0</v>
      </c>
      <c r="AK404" s="395"/>
      <c r="AL404" s="395">
        <f>SUMIFS(AM$6:AM$402,$L$6:$L$402,$N$404)</f>
        <v>0</v>
      </c>
      <c r="AM404" s="395"/>
      <c r="AN404" s="395">
        <f>SUMIFS(AO$6:AO$402,$L$6:$L$402,$N$404)</f>
        <v>0</v>
      </c>
      <c r="AO404" s="395"/>
      <c r="AP404" s="395">
        <f>SUMIFS(AQ$6:AQ$402,$L$6:$L$402,$N$404)</f>
        <v>0</v>
      </c>
      <c r="AQ404" s="395"/>
      <c r="AR404" s="395">
        <f>SUMIFS(AS$6:AS$402,$L$6:$L$402,$N$404)</f>
        <v>0</v>
      </c>
      <c r="AS404" s="395"/>
      <c r="AT404" s="395">
        <f>SUMIFS(AU$6:AU$402,$L$6:$L$402,$N$404)</f>
        <v>0</v>
      </c>
      <c r="AU404" s="395"/>
      <c r="AV404" s="395">
        <f>SUMIFS(AW$6:AW$402,$L$6:$L$402,$N$404)</f>
        <v>0</v>
      </c>
      <c r="AW404" s="395"/>
      <c r="AX404" s="395">
        <f>SUMIFS(AY$6:AY$402,$L$6:$L$402,$N$404)</f>
        <v>0</v>
      </c>
      <c r="AY404" s="395"/>
      <c r="AZ404" s="395">
        <f>SUMIFS(BA$6:BA$402,$L$6:$L$402,$N$404)</f>
        <v>0</v>
      </c>
      <c r="BA404" s="395"/>
      <c r="BB404" s="398">
        <f>SUMIFS(BC$6:BC$402,$L$6:$L$402,$N$404)</f>
        <v>0</v>
      </c>
      <c r="BC404" s="398"/>
      <c r="BD404" s="73"/>
      <c r="BE404" s="74"/>
      <c r="BF404" s="70"/>
    </row>
    <row r="405" spans="1:58" ht="19.5" customHeight="1" x14ac:dyDescent="0.45">
      <c r="A405" s="421"/>
      <c r="B405" s="509"/>
      <c r="C405" s="509"/>
      <c r="D405" s="509"/>
      <c r="E405" s="509"/>
      <c r="F405" s="509"/>
      <c r="G405" s="509"/>
      <c r="H405" s="509"/>
      <c r="I405" s="509"/>
      <c r="J405" s="509"/>
      <c r="K405" s="421"/>
      <c r="L405" s="421"/>
      <c r="M405" s="421"/>
      <c r="N405" s="75" t="s">
        <v>1421</v>
      </c>
      <c r="O405" s="76"/>
      <c r="P405" s="404">
        <f>SUM(P403:Q404)</f>
        <v>48534308.159999996</v>
      </c>
      <c r="Q405" s="404"/>
      <c r="R405" s="405">
        <f>SUM(R403:S404)</f>
        <v>0</v>
      </c>
      <c r="S405" s="405"/>
      <c r="T405" s="405">
        <f>SUM(T403:U404)</f>
        <v>0</v>
      </c>
      <c r="U405" s="405"/>
      <c r="V405" s="405">
        <f>SUM(V403:W404)</f>
        <v>0</v>
      </c>
      <c r="W405" s="405"/>
      <c r="X405" s="405">
        <f>SUM(X403:Y404)</f>
        <v>0</v>
      </c>
      <c r="Y405" s="405"/>
      <c r="Z405" s="405">
        <f>SUM(Z403:AA404)</f>
        <v>0</v>
      </c>
      <c r="AA405" s="405"/>
      <c r="AB405" s="405">
        <f>SUM(AB403:AC404)</f>
        <v>0</v>
      </c>
      <c r="AC405" s="405"/>
      <c r="AD405" s="405">
        <f>SUM(AD403:AE404)</f>
        <v>0</v>
      </c>
      <c r="AE405" s="405"/>
      <c r="AF405" s="405">
        <f>SUM(AF403:AG404)</f>
        <v>0</v>
      </c>
      <c r="AG405" s="405"/>
      <c r="AH405" s="405">
        <f>SUM(AH403:AI404)</f>
        <v>0</v>
      </c>
      <c r="AI405" s="405"/>
      <c r="AJ405" s="405">
        <f>SUM(AJ403:AK404)</f>
        <v>0</v>
      </c>
      <c r="AK405" s="405"/>
      <c r="AL405" s="405">
        <f>SUM(AL403:AM404)</f>
        <v>0</v>
      </c>
      <c r="AM405" s="405"/>
      <c r="AN405" s="405">
        <f>SUM(AN403:AO404)</f>
        <v>0</v>
      </c>
      <c r="AO405" s="405"/>
      <c r="AP405" s="405">
        <f>SUM(AP403:AQ404)</f>
        <v>0</v>
      </c>
      <c r="AQ405" s="405"/>
      <c r="AR405" s="405">
        <f>SUM(AR403:AS404)</f>
        <v>0</v>
      </c>
      <c r="AS405" s="405"/>
      <c r="AT405" s="405">
        <f>SUM(AT403:AU404)</f>
        <v>0</v>
      </c>
      <c r="AU405" s="405"/>
      <c r="AV405" s="405">
        <f>SUM(AV403:AW404)</f>
        <v>0</v>
      </c>
      <c r="AW405" s="405"/>
      <c r="AX405" s="405">
        <f>SUM(AX403:AY404)</f>
        <v>0</v>
      </c>
      <c r="AY405" s="405"/>
      <c r="AZ405" s="405">
        <f>SUM(AZ403:BA404)</f>
        <v>0</v>
      </c>
      <c r="BA405" s="405"/>
      <c r="BB405" s="404">
        <f>SUM(BB403:BC404)</f>
        <v>0</v>
      </c>
      <c r="BC405" s="404"/>
      <c r="BD405" s="77"/>
      <c r="BE405" s="78"/>
      <c r="BF405" s="70"/>
    </row>
    <row r="406" spans="1:58" ht="19.5" customHeight="1" x14ac:dyDescent="0.45">
      <c r="A406" s="421"/>
      <c r="B406" s="509"/>
      <c r="C406" s="509"/>
      <c r="D406" s="509"/>
      <c r="E406" s="509"/>
      <c r="F406" s="509"/>
      <c r="G406" s="509"/>
      <c r="H406" s="509"/>
      <c r="I406" s="509"/>
      <c r="J406" s="509"/>
      <c r="K406" s="421"/>
      <c r="L406" s="421"/>
      <c r="M406" s="421"/>
      <c r="N406" s="71" t="s">
        <v>1422</v>
      </c>
      <c r="O406" s="79">
        <v>0.15279999999999999</v>
      </c>
      <c r="P406" s="398">
        <f>P403*$O406</f>
        <v>2301720.0068079997</v>
      </c>
      <c r="Q406" s="398"/>
      <c r="R406" s="395">
        <f>R403*$O406</f>
        <v>0</v>
      </c>
      <c r="S406" s="395"/>
      <c r="T406" s="395">
        <f>T403*$O406</f>
        <v>0</v>
      </c>
      <c r="U406" s="395"/>
      <c r="V406" s="395">
        <f>V403*$O406</f>
        <v>0</v>
      </c>
      <c r="W406" s="395"/>
      <c r="X406" s="395">
        <f>X403*$O406</f>
        <v>0</v>
      </c>
      <c r="Y406" s="395"/>
      <c r="Z406" s="395">
        <f>Z403*$O406</f>
        <v>0</v>
      </c>
      <c r="AA406" s="395"/>
      <c r="AB406" s="395">
        <f>AB403*$O406</f>
        <v>0</v>
      </c>
      <c r="AC406" s="395"/>
      <c r="AD406" s="395">
        <f>AD403*$O406</f>
        <v>0</v>
      </c>
      <c r="AE406" s="395"/>
      <c r="AF406" s="395">
        <f>AF403*$O406</f>
        <v>0</v>
      </c>
      <c r="AG406" s="395"/>
      <c r="AH406" s="395">
        <f>AH403*$O406</f>
        <v>0</v>
      </c>
      <c r="AI406" s="395"/>
      <c r="AJ406" s="395">
        <f>AJ403*$O406</f>
        <v>0</v>
      </c>
      <c r="AK406" s="395"/>
      <c r="AL406" s="395">
        <f>AL403*$O406</f>
        <v>0</v>
      </c>
      <c r="AM406" s="395"/>
      <c r="AN406" s="395">
        <f>AN403*$O406</f>
        <v>0</v>
      </c>
      <c r="AO406" s="395"/>
      <c r="AP406" s="395">
        <f>AP403*$O406</f>
        <v>0</v>
      </c>
      <c r="AQ406" s="395"/>
      <c r="AR406" s="395">
        <f>AR403*$O406</f>
        <v>0</v>
      </c>
      <c r="AS406" s="395"/>
      <c r="AT406" s="395">
        <f>AT403*$O406</f>
        <v>0</v>
      </c>
      <c r="AU406" s="395"/>
      <c r="AV406" s="395">
        <f>AV403*$O406</f>
        <v>0</v>
      </c>
      <c r="AW406" s="395"/>
      <c r="AX406" s="395">
        <f>AX403*$O406</f>
        <v>0</v>
      </c>
      <c r="AY406" s="395"/>
      <c r="AZ406" s="395">
        <f>AZ403*$O406</f>
        <v>0</v>
      </c>
      <c r="BA406" s="395"/>
      <c r="BB406" s="398">
        <f>BB403*$O406</f>
        <v>0</v>
      </c>
      <c r="BC406" s="398"/>
      <c r="BD406" s="73"/>
      <c r="BE406" s="74"/>
      <c r="BF406" s="70"/>
    </row>
    <row r="407" spans="1:58" ht="19.5" customHeight="1" x14ac:dyDescent="0.45">
      <c r="A407" s="421"/>
      <c r="B407" s="509"/>
      <c r="C407" s="509"/>
      <c r="D407" s="509"/>
      <c r="E407" s="509"/>
      <c r="F407" s="509"/>
      <c r="G407" s="509"/>
      <c r="H407" s="509"/>
      <c r="I407" s="509"/>
      <c r="J407" s="509"/>
      <c r="K407" s="421"/>
      <c r="L407" s="421"/>
      <c r="M407" s="421"/>
      <c r="N407" s="71" t="s">
        <v>1423</v>
      </c>
      <c r="O407" s="79">
        <v>0.21479999999999999</v>
      </c>
      <c r="P407" s="398">
        <f>P404*$O407</f>
        <v>7189505.4041400002</v>
      </c>
      <c r="Q407" s="398"/>
      <c r="R407" s="395">
        <f>R404*$O407</f>
        <v>0</v>
      </c>
      <c r="S407" s="395"/>
      <c r="T407" s="395">
        <f>T404*$O407</f>
        <v>0</v>
      </c>
      <c r="U407" s="395"/>
      <c r="V407" s="395">
        <f>V404*$O407</f>
        <v>0</v>
      </c>
      <c r="W407" s="395"/>
      <c r="X407" s="395">
        <f>X404*$O407</f>
        <v>0</v>
      </c>
      <c r="Y407" s="395"/>
      <c r="Z407" s="395">
        <f>Z404*$O407</f>
        <v>0</v>
      </c>
      <c r="AA407" s="395"/>
      <c r="AB407" s="395">
        <f>AB404*$O407</f>
        <v>0</v>
      </c>
      <c r="AC407" s="395"/>
      <c r="AD407" s="395">
        <f>AD404*$O407</f>
        <v>0</v>
      </c>
      <c r="AE407" s="395"/>
      <c r="AF407" s="395">
        <f>AF404*$O407</f>
        <v>0</v>
      </c>
      <c r="AG407" s="395"/>
      <c r="AH407" s="395">
        <f>AH404*$O407</f>
        <v>0</v>
      </c>
      <c r="AI407" s="395"/>
      <c r="AJ407" s="395">
        <f>AJ404*$O407</f>
        <v>0</v>
      </c>
      <c r="AK407" s="395"/>
      <c r="AL407" s="395">
        <f>AL404*$O407</f>
        <v>0</v>
      </c>
      <c r="AM407" s="395"/>
      <c r="AN407" s="395">
        <f>AN404*$O407</f>
        <v>0</v>
      </c>
      <c r="AO407" s="395"/>
      <c r="AP407" s="395">
        <f>AP404*$O407</f>
        <v>0</v>
      </c>
      <c r="AQ407" s="395"/>
      <c r="AR407" s="395">
        <f>AR404*$O407</f>
        <v>0</v>
      </c>
      <c r="AS407" s="395"/>
      <c r="AT407" s="395">
        <f>AT404*$O407</f>
        <v>0</v>
      </c>
      <c r="AU407" s="395"/>
      <c r="AV407" s="395">
        <f>AV404*$O407</f>
        <v>0</v>
      </c>
      <c r="AW407" s="395"/>
      <c r="AX407" s="395">
        <f>AX404*$O407</f>
        <v>0</v>
      </c>
      <c r="AY407" s="395"/>
      <c r="AZ407" s="395">
        <f>AZ404*$O407</f>
        <v>0</v>
      </c>
      <c r="BA407" s="395"/>
      <c r="BB407" s="398">
        <f>BB404*$O407</f>
        <v>0</v>
      </c>
      <c r="BC407" s="398"/>
      <c r="BD407" s="73"/>
      <c r="BE407" s="74"/>
      <c r="BF407" s="70"/>
    </row>
    <row r="408" spans="1:58" ht="19.5" customHeight="1" x14ac:dyDescent="0.45">
      <c r="A408" s="421"/>
      <c r="B408" s="509"/>
      <c r="C408" s="509"/>
      <c r="D408" s="509"/>
      <c r="E408" s="509"/>
      <c r="F408" s="509"/>
      <c r="G408" s="509"/>
      <c r="H408" s="509"/>
      <c r="I408" s="509"/>
      <c r="J408" s="509"/>
      <c r="K408" s="421"/>
      <c r="L408" s="421"/>
      <c r="M408" s="421"/>
      <c r="N408" s="75" t="s">
        <v>1424</v>
      </c>
      <c r="O408" s="80"/>
      <c r="P408" s="404">
        <f>SUM(P406:Q407)</f>
        <v>9491225.4109480008</v>
      </c>
      <c r="Q408" s="404"/>
      <c r="R408" s="405">
        <f>SUM(R406:S407)</f>
        <v>0</v>
      </c>
      <c r="S408" s="405"/>
      <c r="T408" s="405">
        <f>SUM(T406:U407)</f>
        <v>0</v>
      </c>
      <c r="U408" s="405"/>
      <c r="V408" s="405">
        <f>SUM(V406:W407)</f>
        <v>0</v>
      </c>
      <c r="W408" s="405"/>
      <c r="X408" s="405">
        <f>SUM(X406:Y407)</f>
        <v>0</v>
      </c>
      <c r="Y408" s="405"/>
      <c r="Z408" s="405">
        <f>SUM(Z406:AA407)</f>
        <v>0</v>
      </c>
      <c r="AA408" s="405"/>
      <c r="AB408" s="405">
        <f>SUM(AB406:AC407)</f>
        <v>0</v>
      </c>
      <c r="AC408" s="405"/>
      <c r="AD408" s="405">
        <f>SUM(AD406:AE407)</f>
        <v>0</v>
      </c>
      <c r="AE408" s="405"/>
      <c r="AF408" s="405">
        <f>SUM(AF406:AG407)</f>
        <v>0</v>
      </c>
      <c r="AG408" s="405"/>
      <c r="AH408" s="405">
        <f>SUM(AH406:AI407)</f>
        <v>0</v>
      </c>
      <c r="AI408" s="405"/>
      <c r="AJ408" s="405">
        <f>SUM(AJ406:AK407)</f>
        <v>0</v>
      </c>
      <c r="AK408" s="405"/>
      <c r="AL408" s="405">
        <f>SUM(AL406:AM407)</f>
        <v>0</v>
      </c>
      <c r="AM408" s="405"/>
      <c r="AN408" s="405">
        <f>SUM(AN406:AO407)</f>
        <v>0</v>
      </c>
      <c r="AO408" s="405"/>
      <c r="AP408" s="405">
        <f>SUM(AP406:AQ407)</f>
        <v>0</v>
      </c>
      <c r="AQ408" s="405"/>
      <c r="AR408" s="405">
        <f>SUM(AR406:AS407)</f>
        <v>0</v>
      </c>
      <c r="AS408" s="405"/>
      <c r="AT408" s="405">
        <f>SUM(AT406:AU407)</f>
        <v>0</v>
      </c>
      <c r="AU408" s="405"/>
      <c r="AV408" s="405">
        <f>SUM(AV406:AW407)</f>
        <v>0</v>
      </c>
      <c r="AW408" s="405"/>
      <c r="AX408" s="405">
        <f>SUM(AX406:AY407)</f>
        <v>0</v>
      </c>
      <c r="AY408" s="405"/>
      <c r="AZ408" s="405">
        <f>SUM(AZ406:BA407)</f>
        <v>0</v>
      </c>
      <c r="BA408" s="405"/>
      <c r="BB408" s="404">
        <f>SUM(BB406:BC407)</f>
        <v>0</v>
      </c>
      <c r="BC408" s="404"/>
      <c r="BD408" s="77"/>
      <c r="BE408" s="78"/>
      <c r="BF408" s="70"/>
    </row>
    <row r="409" spans="1:58" ht="19.5" customHeight="1" x14ac:dyDescent="0.45">
      <c r="A409" s="421"/>
      <c r="B409" s="509"/>
      <c r="C409" s="509"/>
      <c r="D409" s="509"/>
      <c r="E409" s="509"/>
      <c r="F409" s="509"/>
      <c r="G409" s="509"/>
      <c r="H409" s="509"/>
      <c r="I409" s="509"/>
      <c r="J409" s="509"/>
      <c r="K409" s="421"/>
      <c r="L409" s="421"/>
      <c r="M409" s="421"/>
      <c r="N409" s="81" t="s">
        <v>1425</v>
      </c>
      <c r="O409" s="82"/>
      <c r="P409" s="398">
        <f>SUM(P405,P408)</f>
        <v>58025533.570947997</v>
      </c>
      <c r="Q409" s="398"/>
      <c r="R409" s="395">
        <f>SUM(R405,R408)</f>
        <v>0</v>
      </c>
      <c r="S409" s="395"/>
      <c r="T409" s="395">
        <f>SUM(T405,T408)</f>
        <v>0</v>
      </c>
      <c r="U409" s="395"/>
      <c r="V409" s="395">
        <f>SUM(V405,V408)</f>
        <v>0</v>
      </c>
      <c r="W409" s="395"/>
      <c r="X409" s="395">
        <f>SUM(X405,X408)</f>
        <v>0</v>
      </c>
      <c r="Y409" s="395"/>
      <c r="Z409" s="395">
        <f>SUM(Z405,Z408)</f>
        <v>0</v>
      </c>
      <c r="AA409" s="395"/>
      <c r="AB409" s="395">
        <f>SUM(AB405,AB408)</f>
        <v>0</v>
      </c>
      <c r="AC409" s="395"/>
      <c r="AD409" s="395">
        <f>SUM(AD405,AD408)</f>
        <v>0</v>
      </c>
      <c r="AE409" s="395"/>
      <c r="AF409" s="395">
        <f>SUM(AF405,AF408)</f>
        <v>0</v>
      </c>
      <c r="AG409" s="395"/>
      <c r="AH409" s="395">
        <f>SUM(AH405,AH408)</f>
        <v>0</v>
      </c>
      <c r="AI409" s="395"/>
      <c r="AJ409" s="395">
        <f>SUM(AJ405,AJ408)</f>
        <v>0</v>
      </c>
      <c r="AK409" s="395"/>
      <c r="AL409" s="395">
        <f>SUM(AL405,AL408)</f>
        <v>0</v>
      </c>
      <c r="AM409" s="395"/>
      <c r="AN409" s="395">
        <f>SUM(AN405,AN408)</f>
        <v>0</v>
      </c>
      <c r="AO409" s="395"/>
      <c r="AP409" s="395">
        <f>SUM(AP405,AP408)</f>
        <v>0</v>
      </c>
      <c r="AQ409" s="395"/>
      <c r="AR409" s="395">
        <f>SUM(AR405,AR408)</f>
        <v>0</v>
      </c>
      <c r="AS409" s="395"/>
      <c r="AT409" s="395">
        <f>SUM(AT405,AT408)</f>
        <v>0</v>
      </c>
      <c r="AU409" s="395"/>
      <c r="AV409" s="395">
        <f>SUM(AV405,AV408)</f>
        <v>0</v>
      </c>
      <c r="AW409" s="395"/>
      <c r="AX409" s="395">
        <f>SUM(AX405,AX408)</f>
        <v>0</v>
      </c>
      <c r="AY409" s="395"/>
      <c r="AZ409" s="395">
        <f>SUM(AZ405,AZ408)</f>
        <v>0</v>
      </c>
      <c r="BA409" s="395"/>
      <c r="BB409" s="398">
        <f>SUM(BB405,BB408)</f>
        <v>0</v>
      </c>
      <c r="BC409" s="398"/>
      <c r="BD409" s="73"/>
      <c r="BE409" s="74"/>
      <c r="BF409" s="70"/>
    </row>
    <row r="410" spans="1:58" ht="19.5" customHeight="1" x14ac:dyDescent="0.45">
      <c r="A410" s="421"/>
      <c r="B410" s="509"/>
      <c r="C410" s="509"/>
      <c r="D410" s="509"/>
      <c r="E410" s="509"/>
      <c r="F410" s="509"/>
      <c r="G410" s="509"/>
      <c r="H410" s="509"/>
      <c r="I410" s="509"/>
      <c r="J410" s="509"/>
      <c r="K410" s="421"/>
      <c r="L410" s="421"/>
      <c r="M410" s="421"/>
      <c r="N410" s="83" t="s">
        <v>1426</v>
      </c>
      <c r="O410" s="80">
        <f>-1+(1-14.04%)</f>
        <v>-0.14039999999999997</v>
      </c>
      <c r="P410" s="404">
        <f>P$409*$O$410</f>
        <v>-8146784.9133610968</v>
      </c>
      <c r="Q410" s="404"/>
      <c r="R410" s="405">
        <f>R$409*$O$410</f>
        <v>0</v>
      </c>
      <c r="S410" s="405"/>
      <c r="T410" s="405">
        <f>T$409*$O$410</f>
        <v>0</v>
      </c>
      <c r="U410" s="405"/>
      <c r="V410" s="405">
        <f>V$409*$O$410</f>
        <v>0</v>
      </c>
      <c r="W410" s="405"/>
      <c r="X410" s="405">
        <f>X$409*$O$410</f>
        <v>0</v>
      </c>
      <c r="Y410" s="405"/>
      <c r="Z410" s="405">
        <f>Z$409*$O$410</f>
        <v>0</v>
      </c>
      <c r="AA410" s="405"/>
      <c r="AB410" s="405">
        <f>AB$409*$O$410</f>
        <v>0</v>
      </c>
      <c r="AC410" s="405"/>
      <c r="AD410" s="405">
        <f>AD$409*$O$410</f>
        <v>0</v>
      </c>
      <c r="AE410" s="405"/>
      <c r="AF410" s="405">
        <f>AF$409*$O$410</f>
        <v>0</v>
      </c>
      <c r="AG410" s="405"/>
      <c r="AH410" s="405">
        <f>AH$409*$O$410</f>
        <v>0</v>
      </c>
      <c r="AI410" s="405"/>
      <c r="AJ410" s="405">
        <f>AJ$409*$O$410</f>
        <v>0</v>
      </c>
      <c r="AK410" s="405"/>
      <c r="AL410" s="405">
        <f>AL$409*$O$410</f>
        <v>0</v>
      </c>
      <c r="AM410" s="405"/>
      <c r="AN410" s="405">
        <f>AN$409*$O$410</f>
        <v>0</v>
      </c>
      <c r="AO410" s="405"/>
      <c r="AP410" s="405">
        <f>AP$409*$O$410</f>
        <v>0</v>
      </c>
      <c r="AQ410" s="405"/>
      <c r="AR410" s="405">
        <f>AR$409*$O$410</f>
        <v>0</v>
      </c>
      <c r="AS410" s="405"/>
      <c r="AT410" s="405">
        <f>AT$409*$O$410</f>
        <v>0</v>
      </c>
      <c r="AU410" s="405"/>
      <c r="AV410" s="405">
        <f>AV$409*$O$410</f>
        <v>0</v>
      </c>
      <c r="AW410" s="405"/>
      <c r="AX410" s="405">
        <f>AX$409*$O$410</f>
        <v>0</v>
      </c>
      <c r="AY410" s="405"/>
      <c r="AZ410" s="405">
        <f>AZ$409*$O$410</f>
        <v>0</v>
      </c>
      <c r="BA410" s="405"/>
      <c r="BB410" s="404">
        <f>BB$409*$O$410</f>
        <v>0</v>
      </c>
      <c r="BC410" s="404"/>
      <c r="BD410" s="77"/>
      <c r="BE410" s="78"/>
      <c r="BF410" s="84" t="s">
        <v>1427</v>
      </c>
    </row>
    <row r="411" spans="1:58" ht="34.5" customHeight="1" x14ac:dyDescent="0.45">
      <c r="A411" s="421"/>
      <c r="B411" s="509"/>
      <c r="C411" s="509"/>
      <c r="D411" s="509"/>
      <c r="E411" s="509"/>
      <c r="F411" s="509"/>
      <c r="G411" s="509"/>
      <c r="H411" s="509"/>
      <c r="I411" s="509"/>
      <c r="J411" s="509"/>
      <c r="K411" s="421"/>
      <c r="L411" s="421"/>
      <c r="M411" s="421"/>
      <c r="N411" s="85" t="s">
        <v>1428</v>
      </c>
      <c r="O411" s="86"/>
      <c r="P411" s="403">
        <f>SUM(P409:Q410)</f>
        <v>49878748.657586902</v>
      </c>
      <c r="Q411" s="403"/>
      <c r="R411" s="400">
        <f>SUM(R409:S410)</f>
        <v>0</v>
      </c>
      <c r="S411" s="400"/>
      <c r="T411" s="400">
        <f>SUM(T409:U410)</f>
        <v>0</v>
      </c>
      <c r="U411" s="400"/>
      <c r="V411" s="400">
        <f>SUM(V409:W410)</f>
        <v>0</v>
      </c>
      <c r="W411" s="400"/>
      <c r="X411" s="400">
        <f>SUM(X409:Y410)</f>
        <v>0</v>
      </c>
      <c r="Y411" s="400"/>
      <c r="Z411" s="400">
        <f>SUM(Z409:AA410)</f>
        <v>0</v>
      </c>
      <c r="AA411" s="400"/>
      <c r="AB411" s="400">
        <f>SUM(AB409:AC410)</f>
        <v>0</v>
      </c>
      <c r="AC411" s="400"/>
      <c r="AD411" s="400">
        <f>SUM(AD409:AE410)</f>
        <v>0</v>
      </c>
      <c r="AE411" s="400"/>
      <c r="AF411" s="400">
        <f>SUM(AF409:AG410)</f>
        <v>0</v>
      </c>
      <c r="AG411" s="400"/>
      <c r="AH411" s="400">
        <f>SUM(AH409:AI410)</f>
        <v>0</v>
      </c>
      <c r="AI411" s="400"/>
      <c r="AJ411" s="400">
        <f>SUM(AJ409:AK410)</f>
        <v>0</v>
      </c>
      <c r="AK411" s="400"/>
      <c r="AL411" s="400">
        <f>SUM(AL409:AM410)</f>
        <v>0</v>
      </c>
      <c r="AM411" s="400"/>
      <c r="AN411" s="400">
        <f>SUM(AN409:AO410)</f>
        <v>0</v>
      </c>
      <c r="AO411" s="400"/>
      <c r="AP411" s="400">
        <f>SUM(AP409:AQ410)</f>
        <v>0</v>
      </c>
      <c r="AQ411" s="400"/>
      <c r="AR411" s="400">
        <f>SUM(AR409:AS410)</f>
        <v>0</v>
      </c>
      <c r="AS411" s="400"/>
      <c r="AT411" s="400">
        <f>SUM(AT409:AU410)</f>
        <v>0</v>
      </c>
      <c r="AU411" s="400"/>
      <c r="AV411" s="400">
        <f>SUM(AV409:AW410)</f>
        <v>0</v>
      </c>
      <c r="AW411" s="400"/>
      <c r="AX411" s="400">
        <f>SUM(AX409:AY410)</f>
        <v>0</v>
      </c>
      <c r="AY411" s="400"/>
      <c r="AZ411" s="400">
        <f>SUM(AZ409:BA410)</f>
        <v>0</v>
      </c>
      <c r="BA411" s="400"/>
      <c r="BB411" s="403">
        <f>SUM(BB409:BC410)</f>
        <v>0</v>
      </c>
      <c r="BC411" s="403"/>
      <c r="BD411" s="73"/>
      <c r="BE411" s="74"/>
      <c r="BF411" s="70">
        <f>P411-BB411</f>
        <v>49878748.657586902</v>
      </c>
    </row>
    <row r="412" spans="1:58" ht="19.5" customHeight="1" x14ac:dyDescent="0.45">
      <c r="A412" s="421"/>
      <c r="B412" s="509"/>
      <c r="C412" s="509"/>
      <c r="D412" s="509"/>
      <c r="E412" s="509"/>
      <c r="F412" s="509"/>
      <c r="G412" s="509"/>
      <c r="H412" s="509"/>
      <c r="I412" s="509"/>
      <c r="J412" s="509"/>
      <c r="K412" s="421"/>
      <c r="L412" s="421"/>
      <c r="M412" s="421"/>
      <c r="N412" s="85" t="s">
        <v>1429</v>
      </c>
      <c r="O412" s="86"/>
      <c r="P412" s="401">
        <f>P411/P409</f>
        <v>0.85960000000000003</v>
      </c>
      <c r="Q412" s="401"/>
      <c r="R412" s="402">
        <f>R411/$P$411</f>
        <v>0</v>
      </c>
      <c r="S412" s="402"/>
      <c r="T412" s="402">
        <f>T411/$P$411</f>
        <v>0</v>
      </c>
      <c r="U412" s="402"/>
      <c r="V412" s="402">
        <f>V411/$P$411</f>
        <v>0</v>
      </c>
      <c r="W412" s="402"/>
      <c r="X412" s="402">
        <f>X411/$P$411</f>
        <v>0</v>
      </c>
      <c r="Y412" s="402"/>
      <c r="Z412" s="402">
        <f>Z411/$P$411</f>
        <v>0</v>
      </c>
      <c r="AA412" s="402"/>
      <c r="AB412" s="402">
        <f>AB411/$P$411</f>
        <v>0</v>
      </c>
      <c r="AC412" s="402"/>
      <c r="AD412" s="402">
        <f>AD411/$P$411</f>
        <v>0</v>
      </c>
      <c r="AE412" s="402"/>
      <c r="AF412" s="402">
        <f>AF411/$P$411</f>
        <v>0</v>
      </c>
      <c r="AG412" s="402"/>
      <c r="AH412" s="402">
        <f>AH411/$P$411</f>
        <v>0</v>
      </c>
      <c r="AI412" s="402"/>
      <c r="AJ412" s="402">
        <f>AJ411/$P$411</f>
        <v>0</v>
      </c>
      <c r="AK412" s="402"/>
      <c r="AL412" s="402">
        <f>AL411/$P$411</f>
        <v>0</v>
      </c>
      <c r="AM412" s="402"/>
      <c r="AN412" s="402">
        <f>AN411/$P$411</f>
        <v>0</v>
      </c>
      <c r="AO412" s="402"/>
      <c r="AP412" s="402">
        <f>AP411/$P$411</f>
        <v>0</v>
      </c>
      <c r="AQ412" s="402"/>
      <c r="AR412" s="402">
        <f>AR411/$P$411</f>
        <v>0</v>
      </c>
      <c r="AS412" s="402"/>
      <c r="AT412" s="402">
        <f>AT411/$P$411</f>
        <v>0</v>
      </c>
      <c r="AU412" s="402"/>
      <c r="AV412" s="402">
        <f>AV411/$P$411</f>
        <v>0</v>
      </c>
      <c r="AW412" s="402"/>
      <c r="AX412" s="402">
        <f>AX411/$P$411</f>
        <v>0</v>
      </c>
      <c r="AY412" s="402"/>
      <c r="AZ412" s="402">
        <f>AZ411/$P$411</f>
        <v>0</v>
      </c>
      <c r="BA412" s="402"/>
      <c r="BB412" s="401">
        <f>BB411/$P$411</f>
        <v>0</v>
      </c>
      <c r="BC412" s="401"/>
      <c r="BD412" s="87"/>
      <c r="BE412" s="88"/>
    </row>
    <row r="413" spans="1:58" ht="19.5" customHeight="1" x14ac:dyDescent="0.45">
      <c r="A413" s="420" t="s">
        <v>1430</v>
      </c>
      <c r="B413" s="510"/>
      <c r="C413" s="510"/>
      <c r="D413" s="510"/>
      <c r="E413" s="510"/>
      <c r="F413" s="510"/>
      <c r="G413" s="510"/>
      <c r="H413" s="510"/>
      <c r="I413" s="510"/>
      <c r="J413" s="510"/>
      <c r="K413" s="420"/>
      <c r="L413" s="420"/>
      <c r="M413" s="420"/>
      <c r="N413" s="89" t="s">
        <v>1431</v>
      </c>
      <c r="O413" s="90">
        <f>IF(REAJUSTE!$C$18="","",REAJUSTE!$C$18)</f>
        <v>3.2899999999999999E-2</v>
      </c>
      <c r="P413" s="397">
        <f>IF(COUNT(R413,T413,V413,X413,Z413,AB413,AD413,AF413,AH413,AJ413,AL413,AN413,AP413,AR413,AT413,AV413,AX413,AZ413)&lt;18,"",SUM(R413,T413,V413,X413,Z413,AB413,AD413,AF413,AH413,AJ413,AL413,AN413,AP413,AR413,AT413,AV413,AX413,AZ413))</f>
        <v>0</v>
      </c>
      <c r="Q413" s="397"/>
      <c r="R413" s="397">
        <f>IF(SUM(R403,R406)=0,0,IF(COUNT(REAJUSTE!G24)=0,"",REAJUSTE!G24*SUM(R403,R406)*(1+$O$410)))</f>
        <v>0</v>
      </c>
      <c r="S413" s="397"/>
      <c r="T413" s="397">
        <f>IF(SUM(T403,T406)=0,0,IF(COUNT(REAJUSTE!G25)=0,"",REAJUSTE!G25*SUM(T403,T406)*(1+$O$410)))</f>
        <v>0</v>
      </c>
      <c r="U413" s="397"/>
      <c r="V413" s="397">
        <f>IF(SUM(V403,V406)=0,0,IF(COUNT(REAJUSTE!G26)=0,"",REAJUSTE!G26*SUM(V403,V406)*(1+$O$410)))</f>
        <v>0</v>
      </c>
      <c r="W413" s="397"/>
      <c r="X413" s="397">
        <f>IF(SUM(X403,X406)=0,0,IF(COUNT(REAJUSTE!G27)=0,"",REAJUSTE!G27*SUM(X403,X406)*(1+$O$410)))</f>
        <v>0</v>
      </c>
      <c r="Y413" s="397"/>
      <c r="Z413" s="397">
        <f>IF(SUM(Z403,Z406)=0,0,IF(COUNT(REAJUSTE!G28)=0,"",REAJUSTE!G28*SUM(Z403,Z406)*(1+$O$410)))</f>
        <v>0</v>
      </c>
      <c r="AA413" s="397"/>
      <c r="AB413" s="397">
        <f>IF(SUM(AB403,AB406)=0,0,IF(COUNT(REAJUSTE!G29)=0,"",REAJUSTE!G29*SUM(AB403,AB406)*(1+$O$410)))</f>
        <v>0</v>
      </c>
      <c r="AC413" s="397"/>
      <c r="AD413" s="397">
        <f>IF(SUM(AD403,AD406)=0,0,IF(COUNT(REAJUSTE!G30)=0,"",REAJUSTE!G30*SUM(AD403,AD406)*(1+$O$410)))</f>
        <v>0</v>
      </c>
      <c r="AE413" s="397"/>
      <c r="AF413" s="397">
        <f>IF(SUM(AF403,AF406)=0,0,IF(COUNT(REAJUSTE!G31)=0,"",REAJUSTE!G31*SUM(AF403,AF406)*(1+$O$410)))</f>
        <v>0</v>
      </c>
      <c r="AG413" s="397"/>
      <c r="AH413" s="397">
        <f>IF(SUM(AH403,AH406)=0,0,IF(COUNT(REAJUSTE!G32)=0,"",REAJUSTE!G32*SUM(AH403,AH406)*(1+$O$410)))</f>
        <v>0</v>
      </c>
      <c r="AI413" s="397"/>
      <c r="AJ413" s="397">
        <f>IF(SUM(AJ403,AJ406)=0,0,IF(COUNT(REAJUSTE!G33)=0,"",REAJUSTE!G33*SUM(AJ403,AJ406)*(1+$O$410)))</f>
        <v>0</v>
      </c>
      <c r="AK413" s="397"/>
      <c r="AL413" s="397">
        <f>IF(SUM(AL403,AL406)=0,0,IF(COUNT(REAJUSTE!G34)=0,"",REAJUSTE!G34*SUM(AL403,AL406)*(1+$O$410)))</f>
        <v>0</v>
      </c>
      <c r="AM413" s="397"/>
      <c r="AN413" s="397">
        <f>IF(SUM(AN403,AN406)=0,0,IF(COUNT(REAJUSTE!G35)=0,"",REAJUSTE!G35*SUM(AN403,AN406)*(1+$O$410)))</f>
        <v>0</v>
      </c>
      <c r="AO413" s="397"/>
      <c r="AP413" s="397">
        <f>IF(SUM(AP403,AP406)=0,0,IF(COUNT(REAJUSTE!G36)=0,"",REAJUSTE!G36*SUM(AP403,AP406)*(1+$O$410)))</f>
        <v>0</v>
      </c>
      <c r="AQ413" s="397"/>
      <c r="AR413" s="397">
        <f>IF(SUM(AR403,AR406)=0,0,IF(COUNT(REAJUSTE!G37)=0,"",REAJUSTE!G37*SUM(AR403,AR406)*(1+$O$410)))</f>
        <v>0</v>
      </c>
      <c r="AS413" s="397"/>
      <c r="AT413" s="397">
        <f>IF(SUM(AT403,AT406)=0,0,IF(COUNT(REAJUSTE!G38)=0,"",REAJUSTE!G38*SUM(AT403,AT406)*(1+$O$410)))</f>
        <v>0</v>
      </c>
      <c r="AU413" s="397"/>
      <c r="AV413" s="397">
        <f>IF(SUM(AV403,AV406)=0,0,IF(COUNT(REAJUSTE!G39)=0,"",REAJUSTE!G39*SUM(AV403,AV406)*(1+$O$410)))</f>
        <v>0</v>
      </c>
      <c r="AW413" s="397"/>
      <c r="AX413" s="397">
        <f>IF(SUM(AX403,AX406)=0,0,IF(COUNT(REAJUSTE!G40)=0,"",REAJUSTE!G40*SUM(AX403,AX406)*(1+$O$410)))</f>
        <v>0</v>
      </c>
      <c r="AY413" s="397"/>
      <c r="AZ413" s="397">
        <f>IF(SUM(AZ403,AZ406)=0,0,IF(COUNT(REAJUSTE!G41)=0,"",REAJUSTE!G41*SUM(AZ403,AZ406)*(1+$O$410)))</f>
        <v>0</v>
      </c>
      <c r="BA413" s="397"/>
      <c r="BB413" s="397">
        <f>SUM(R413,T413,V413,X413,Z413,AB413,AD413,AF413,AH413,AJ413,AL413,AN413,AP413,AR413,AT413,AV413,AX413,AZ413)</f>
        <v>0</v>
      </c>
      <c r="BC413" s="397"/>
      <c r="BD413" s="73"/>
      <c r="BE413" s="74"/>
    </row>
    <row r="414" spans="1:58" ht="19.5" customHeight="1" x14ac:dyDescent="0.45">
      <c r="A414" s="420"/>
      <c r="B414" s="510"/>
      <c r="C414" s="510"/>
      <c r="D414" s="510"/>
      <c r="E414" s="510"/>
      <c r="F414" s="510"/>
      <c r="G414" s="510"/>
      <c r="H414" s="510"/>
      <c r="I414" s="510"/>
      <c r="J414" s="510"/>
      <c r="K414" s="420"/>
      <c r="L414" s="420"/>
      <c r="M414" s="420"/>
      <c r="N414" s="81" t="s">
        <v>1432</v>
      </c>
      <c r="O414" s="82">
        <f>O413</f>
        <v>3.2899999999999999E-2</v>
      </c>
      <c r="P414" s="398">
        <f>IF(COUNT(R414,T414,V414,X414,Z414,AB414,AD414,AF414,AH414,AJ414,AL414,AN414,AP414,AR414,AT414,AV414,AX414,AZ414)&lt;18,"",SUM(R414,T414,V414,X414,Z414,AB414,AD414,AF414,AH414,AJ414,AL414,AN414,AP414,AR414,AT414,AV414,AX414,AZ414))</f>
        <v>0</v>
      </c>
      <c r="Q414" s="398"/>
      <c r="R414" s="398">
        <f>IF(SUM(R404,R407)=0,0,IF(COUNT(REAJUSTE!H24)=0,"",REAJUSTE!H24*SUM(R404,R407)*(1+$O$410)))</f>
        <v>0</v>
      </c>
      <c r="S414" s="398"/>
      <c r="T414" s="398">
        <f>IF(SUM(T404,T407)=0,0,IF(COUNT(REAJUSTE!H25)=0,"",REAJUSTE!H25*SUM(T404,T407)*(1+$O$410)))</f>
        <v>0</v>
      </c>
      <c r="U414" s="398"/>
      <c r="V414" s="398">
        <f>IF(SUM(V404,V407)=0,0,IF(COUNT(REAJUSTE!H26)=0,"",REAJUSTE!H26*SUM(V404,V407)*(1+$O$410)))</f>
        <v>0</v>
      </c>
      <c r="W414" s="398"/>
      <c r="X414" s="398">
        <f>IF(SUM(X404,X407)=0,0,IF(COUNT(REAJUSTE!H27)=0,"",REAJUSTE!H27*SUM(X404,X407)*(1+$O$410)))</f>
        <v>0</v>
      </c>
      <c r="Y414" s="398"/>
      <c r="Z414" s="398">
        <f>IF(SUM(Z404,Z407)=0,0,IF(COUNT(REAJUSTE!H28)=0,"",REAJUSTE!H28*SUM(Z404,Z407)*(1+$O$410)))</f>
        <v>0</v>
      </c>
      <c r="AA414" s="398"/>
      <c r="AB414" s="398">
        <f>IF(SUM(AB404,AB407)=0,0,IF(COUNT(REAJUSTE!H29)=0,"",REAJUSTE!H29*SUM(AB404,AB407)*(1+$O$410)))</f>
        <v>0</v>
      </c>
      <c r="AC414" s="398"/>
      <c r="AD414" s="398">
        <f>IF(SUM(AD404,AD407)=0,0,IF(COUNT(REAJUSTE!H30)=0,"",REAJUSTE!H30*SUM(AD404,AD407)*(1+$O$410)))</f>
        <v>0</v>
      </c>
      <c r="AE414" s="398"/>
      <c r="AF414" s="398">
        <f>IF(SUM(AF404,AF407)=0,0,IF(COUNT(REAJUSTE!H31)=0,"",REAJUSTE!H31*SUM(AF404,AF407)*(1+$O$410)))</f>
        <v>0</v>
      </c>
      <c r="AG414" s="398"/>
      <c r="AH414" s="398">
        <f>IF(SUM(AH404,AH407)=0,0,IF(COUNT(REAJUSTE!H32)=0,"",REAJUSTE!H32*SUM(AH404,AH407)*(1+$O$410)))</f>
        <v>0</v>
      </c>
      <c r="AI414" s="398"/>
      <c r="AJ414" s="398">
        <f>IF(SUM(AJ404,AJ407)=0,0,IF(COUNT(REAJUSTE!H33)=0,"",REAJUSTE!H33*SUM(AJ404,AJ407)*(1+$O$410)))</f>
        <v>0</v>
      </c>
      <c r="AK414" s="398"/>
      <c r="AL414" s="398">
        <f>IF(SUM(AL404,AL407)=0,0,IF(COUNT(REAJUSTE!H34)=0,"",REAJUSTE!H34*SUM(AL404,AL407)*(1+$O$410)))</f>
        <v>0</v>
      </c>
      <c r="AM414" s="398"/>
      <c r="AN414" s="398">
        <f>IF(SUM(AN404,AN407)=0,0,IF(COUNT(REAJUSTE!H35)=0,"",REAJUSTE!H35*SUM(AN404,AN407)*(1+$O$410)))</f>
        <v>0</v>
      </c>
      <c r="AO414" s="398"/>
      <c r="AP414" s="398">
        <f>IF(SUM(AP404,AP407)=0,0,IF(COUNT(REAJUSTE!H36)=0,"",REAJUSTE!H36*SUM(AP404,AP407)*(1+$O$410)))</f>
        <v>0</v>
      </c>
      <c r="AQ414" s="398"/>
      <c r="AR414" s="398">
        <f>IF(SUM(AR404,AR407)=0,0,IF(COUNT(REAJUSTE!H37)=0,"",REAJUSTE!H37*SUM(AR404,AR407)*(1+$O$410)))</f>
        <v>0</v>
      </c>
      <c r="AS414" s="398"/>
      <c r="AT414" s="398">
        <f>IF(SUM(AT404,AT407)=0,0,IF(COUNT(REAJUSTE!H38)=0,"",REAJUSTE!H38*SUM(AT404,AT407)*(1+$O$410)))</f>
        <v>0</v>
      </c>
      <c r="AU414" s="398"/>
      <c r="AV414" s="398">
        <f>IF(SUM(AV404,AV407)=0,0,IF(COUNT(REAJUSTE!H39)=0,"",REAJUSTE!H39*SUM(AV404,AV407)*(1+$O$410)))</f>
        <v>0</v>
      </c>
      <c r="AW414" s="398"/>
      <c r="AX414" s="398">
        <f>IF(SUM(AX404,AX407)=0,0,IF(COUNT(REAJUSTE!H40)=0,"",REAJUSTE!H40*SUM(AX404,AX407)*(1+$O$410)))</f>
        <v>0</v>
      </c>
      <c r="AY414" s="398"/>
      <c r="AZ414" s="398">
        <f>IF(SUM(AZ404,AZ407)=0,0,IF(COUNT(REAJUSTE!H41)=0,"",REAJUSTE!H41*SUM(AZ404,AZ407)*(1+$O$410)))</f>
        <v>0</v>
      </c>
      <c r="BA414" s="398"/>
      <c r="BB414" s="398">
        <f>SUM(R414,T414,V414,X414,Z414,AB414,AD414,AF414,AH414,AJ414,AL414,AN414,AP414,AR414,AT414,AV414,AX414,AZ414)</f>
        <v>0</v>
      </c>
      <c r="BC414" s="398"/>
      <c r="BD414" s="73"/>
      <c r="BE414" s="74"/>
    </row>
    <row r="415" spans="1:58" ht="19.5" customHeight="1" x14ac:dyDescent="0.45">
      <c r="A415" s="420"/>
      <c r="B415" s="510"/>
      <c r="C415" s="510"/>
      <c r="D415" s="510"/>
      <c r="E415" s="510"/>
      <c r="F415" s="510"/>
      <c r="G415" s="510"/>
      <c r="H415" s="510"/>
      <c r="I415" s="510"/>
      <c r="J415" s="510"/>
      <c r="K415" s="420"/>
      <c r="L415" s="420"/>
      <c r="M415" s="420"/>
      <c r="N415" s="81" t="s">
        <v>1433</v>
      </c>
      <c r="O415" s="82"/>
      <c r="P415" s="398">
        <f>IF(OR(P413="",P414=""),"",SUM(P413,P414))</f>
        <v>0</v>
      </c>
      <c r="Q415" s="398"/>
      <c r="R415" s="395">
        <f>IF(OR(R413="",R414=""),"",SUM(R413,R414))</f>
        <v>0</v>
      </c>
      <c r="S415" s="395"/>
      <c r="T415" s="395">
        <f>IF(OR(T413="",T414=""),"",SUM(T413,T414))</f>
        <v>0</v>
      </c>
      <c r="U415" s="395"/>
      <c r="V415" s="395">
        <f>IF(OR(V413="",V414=""),"",SUM(V413,V414))</f>
        <v>0</v>
      </c>
      <c r="W415" s="395"/>
      <c r="X415" s="395">
        <f>IF(OR(X413="",X414=""),"",SUM(X413,X414))</f>
        <v>0</v>
      </c>
      <c r="Y415" s="395"/>
      <c r="Z415" s="395">
        <f>IF(OR(Z413="",Z414=""),"",SUM(Z413,Z414))</f>
        <v>0</v>
      </c>
      <c r="AA415" s="395"/>
      <c r="AB415" s="395">
        <f>IF(OR(AB413="",AB414=""),"",SUM(AB413,AB414))</f>
        <v>0</v>
      </c>
      <c r="AC415" s="395"/>
      <c r="AD415" s="395">
        <f>IF(OR(AD413="",AD414=""),"",SUM(AD413,AD414))</f>
        <v>0</v>
      </c>
      <c r="AE415" s="395"/>
      <c r="AF415" s="395">
        <f>IF(OR(AF413="",AF414=""),"",SUM(AF413,AF414))</f>
        <v>0</v>
      </c>
      <c r="AG415" s="395"/>
      <c r="AH415" s="395">
        <f>IF(OR(AH413="",AH414=""),"",SUM(AH413,AH414))</f>
        <v>0</v>
      </c>
      <c r="AI415" s="395"/>
      <c r="AJ415" s="395">
        <f>IF(OR(AJ413="",AJ414=""),"",SUM(AJ413,AJ414))</f>
        <v>0</v>
      </c>
      <c r="AK415" s="395"/>
      <c r="AL415" s="395">
        <f>IF(OR(AL413="",AL414=""),"",SUM(AL413,AL414))</f>
        <v>0</v>
      </c>
      <c r="AM415" s="395"/>
      <c r="AN415" s="395">
        <f>IF(OR(AN413="",AN414=""),"",SUM(AN413,AN414))</f>
        <v>0</v>
      </c>
      <c r="AO415" s="395"/>
      <c r="AP415" s="395">
        <f>IF(OR(AP413="",AP414=""),"",SUM(AP413,AP414))</f>
        <v>0</v>
      </c>
      <c r="AQ415" s="395"/>
      <c r="AR415" s="395">
        <f>IF(OR(AR413="",AR414=""),"",SUM(AR413,AR414))</f>
        <v>0</v>
      </c>
      <c r="AS415" s="395"/>
      <c r="AT415" s="395">
        <f>IF(OR(AT413="",AT414=""),"",SUM(AT413,AT414))</f>
        <v>0</v>
      </c>
      <c r="AU415" s="395"/>
      <c r="AV415" s="395">
        <f>IF(OR(AV413="",AV414=""),"",SUM(AV413,AV414))</f>
        <v>0</v>
      </c>
      <c r="AW415" s="395"/>
      <c r="AX415" s="395">
        <f>IF(OR(AX413="",AX414=""),"",SUM(AX413,AX414))</f>
        <v>0</v>
      </c>
      <c r="AY415" s="395"/>
      <c r="AZ415" s="395">
        <f>IF(OR(AZ413="",AZ414=""),"",SUM(AZ413,AZ414))</f>
        <v>0</v>
      </c>
      <c r="BA415" s="395"/>
      <c r="BB415" s="398">
        <f>SUM(BB413:BC414)</f>
        <v>0</v>
      </c>
      <c r="BC415" s="398"/>
      <c r="BD415" s="73"/>
      <c r="BE415" s="74"/>
    </row>
    <row r="416" spans="1:58" ht="19.5" customHeight="1" x14ac:dyDescent="0.45">
      <c r="A416" s="420"/>
      <c r="B416" s="510"/>
      <c r="C416" s="510"/>
      <c r="D416" s="510"/>
      <c r="E416" s="510"/>
      <c r="F416" s="510"/>
      <c r="G416" s="510"/>
      <c r="H416" s="510"/>
      <c r="I416" s="510"/>
      <c r="J416" s="510"/>
      <c r="K416" s="420"/>
      <c r="L416" s="420"/>
      <c r="M416" s="420"/>
      <c r="N416" s="91" t="s">
        <v>1434</v>
      </c>
      <c r="O416" s="92"/>
      <c r="P416" s="396">
        <f>IF(P415="","",IF(P411=0,0,P415/P411))</f>
        <v>0</v>
      </c>
      <c r="Q416" s="396"/>
      <c r="R416" s="419">
        <f>IF(R415="","",IF(R411=0,0,R415/R411))</f>
        <v>0</v>
      </c>
      <c r="S416" s="419"/>
      <c r="T416" s="419">
        <f>IF(T415="","",IF(T411=0,0,T415/T411))</f>
        <v>0</v>
      </c>
      <c r="U416" s="419"/>
      <c r="V416" s="419">
        <f>IF(V415="","",IF(V411=0,0,V415/V411))</f>
        <v>0</v>
      </c>
      <c r="W416" s="419"/>
      <c r="X416" s="419">
        <f>IF(X415="","",IF(X411=0,0,X415/X411))</f>
        <v>0</v>
      </c>
      <c r="Y416" s="419"/>
      <c r="Z416" s="419">
        <f>IF(Z415="","",IF(Z411=0,0,Z415/Z411))</f>
        <v>0</v>
      </c>
      <c r="AA416" s="419"/>
      <c r="AB416" s="419">
        <f>IF(AB415="","",IF(AB411=0,0,AB415/AB411))</f>
        <v>0</v>
      </c>
      <c r="AC416" s="419"/>
      <c r="AD416" s="419">
        <f>IF(AD415="","",IF(AD411=0,0,AD415/AD411))</f>
        <v>0</v>
      </c>
      <c r="AE416" s="419"/>
      <c r="AF416" s="419">
        <f>IF(AF415="","",IF(AF411=0,0,AF415/AF411))</f>
        <v>0</v>
      </c>
      <c r="AG416" s="419"/>
      <c r="AH416" s="419">
        <f>IF(AH415="","",IF(AH411=0,0,AH415/AH411))</f>
        <v>0</v>
      </c>
      <c r="AI416" s="419"/>
      <c r="AJ416" s="419">
        <f>IF(AJ415="","",IF(AJ411=0,0,AJ415/AJ411))</f>
        <v>0</v>
      </c>
      <c r="AK416" s="419"/>
      <c r="AL416" s="419">
        <f>IF(AL415="","",IF(AL411=0,0,AL415/AL411))</f>
        <v>0</v>
      </c>
      <c r="AM416" s="419"/>
      <c r="AN416" s="419">
        <f>IF(AN415="","",IF(AN411=0,0,AN415/AN411))</f>
        <v>0</v>
      </c>
      <c r="AO416" s="419"/>
      <c r="AP416" s="419">
        <f>IF(AP415="","",IF(AP411=0,0,AP415/AP411))</f>
        <v>0</v>
      </c>
      <c r="AQ416" s="419"/>
      <c r="AR416" s="419">
        <f>IF(AR415="","",IF(AR411=0,0,AR415/AR411))</f>
        <v>0</v>
      </c>
      <c r="AS416" s="419"/>
      <c r="AT416" s="419">
        <f>IF(AT415="","",IF(AT411=0,0,AT415/AT411))</f>
        <v>0</v>
      </c>
      <c r="AU416" s="419"/>
      <c r="AV416" s="419">
        <f>IF(AV415="","",IF(AV411=0,0,AV415/AV411))</f>
        <v>0</v>
      </c>
      <c r="AW416" s="419"/>
      <c r="AX416" s="419">
        <f>IF(AX415="","",IF(AX411=0,0,AX415/AX411))</f>
        <v>0</v>
      </c>
      <c r="AY416" s="419"/>
      <c r="AZ416" s="419">
        <f>IF(AZ415="","",IF(AZ411=0,0,AZ415/AZ411))</f>
        <v>0</v>
      </c>
      <c r="BA416" s="419"/>
      <c r="BB416" s="396">
        <f>IFERROR(BB415/BB411,0)</f>
        <v>0</v>
      </c>
      <c r="BC416" s="396"/>
      <c r="BD416" s="87"/>
      <c r="BE416" s="88"/>
    </row>
    <row r="417" spans="1:57" ht="34.5" customHeight="1" x14ac:dyDescent="0.45">
      <c r="A417" s="418" t="s">
        <v>1435</v>
      </c>
      <c r="B417" s="511"/>
      <c r="C417" s="511"/>
      <c r="D417" s="511"/>
      <c r="E417" s="511"/>
      <c r="F417" s="511"/>
      <c r="G417" s="511"/>
      <c r="H417" s="511"/>
      <c r="I417" s="511"/>
      <c r="J417" s="511"/>
      <c r="K417" s="418"/>
      <c r="L417" s="418"/>
      <c r="M417" s="418"/>
      <c r="N417" s="93" t="s">
        <v>1436</v>
      </c>
      <c r="O417" s="94"/>
      <c r="P417" s="394">
        <f>IF(P415="","",SUM(P411,P415))</f>
        <v>49878748.657586902</v>
      </c>
      <c r="Q417" s="394"/>
      <c r="R417" s="392">
        <f>IF(R415="","",SUM(R411,R415))</f>
        <v>0</v>
      </c>
      <c r="S417" s="392"/>
      <c r="T417" s="392">
        <f>IF(T415="","",SUM(T411,T415))</f>
        <v>0</v>
      </c>
      <c r="U417" s="392"/>
      <c r="V417" s="392">
        <f>IF(V415="","",SUM(V411,V415))</f>
        <v>0</v>
      </c>
      <c r="W417" s="392"/>
      <c r="X417" s="392">
        <f>IF(X415="","",SUM(X411,X415))</f>
        <v>0</v>
      </c>
      <c r="Y417" s="392"/>
      <c r="Z417" s="392">
        <f>IF(Z415="","",SUM(Z411,Z415))</f>
        <v>0</v>
      </c>
      <c r="AA417" s="392"/>
      <c r="AB417" s="392">
        <f>IF(AB415="","",SUM(AB411,AB415))</f>
        <v>0</v>
      </c>
      <c r="AC417" s="392"/>
      <c r="AD417" s="392">
        <f>IF(AD415="","",SUM(AD411,AD415))</f>
        <v>0</v>
      </c>
      <c r="AE417" s="392"/>
      <c r="AF417" s="392">
        <f>IF(AF415="","",SUM(AF411,AF415))</f>
        <v>0</v>
      </c>
      <c r="AG417" s="392"/>
      <c r="AH417" s="392">
        <f>IF(AH415="","",SUM(AH411,AH415))</f>
        <v>0</v>
      </c>
      <c r="AI417" s="392"/>
      <c r="AJ417" s="392">
        <f>IF(AJ415="","",SUM(AJ411,AJ415))</f>
        <v>0</v>
      </c>
      <c r="AK417" s="392"/>
      <c r="AL417" s="392">
        <f>IF(AL415="","",SUM(AL411,AL415))</f>
        <v>0</v>
      </c>
      <c r="AM417" s="392"/>
      <c r="AN417" s="392">
        <f>IF(AN415="","",SUM(AN411,AN415))</f>
        <v>0</v>
      </c>
      <c r="AO417" s="392"/>
      <c r="AP417" s="392">
        <f>IF(AP415="","",SUM(AP411,AP415))</f>
        <v>0</v>
      </c>
      <c r="AQ417" s="392"/>
      <c r="AR417" s="392">
        <f>IF(AR415="","",SUM(AR411,AR415))</f>
        <v>0</v>
      </c>
      <c r="AS417" s="392"/>
      <c r="AT417" s="392">
        <f>IF(AT415="","",SUM(AT411,AT415))</f>
        <v>0</v>
      </c>
      <c r="AU417" s="392"/>
      <c r="AV417" s="392">
        <f>IF(AV415="","",SUM(AV411,AV415))</f>
        <v>0</v>
      </c>
      <c r="AW417" s="392"/>
      <c r="AX417" s="392">
        <f>IF(AX415="","",SUM(AX411,AX415))</f>
        <v>0</v>
      </c>
      <c r="AY417" s="392"/>
      <c r="AZ417" s="392">
        <f>IF(AZ415="","",SUM(AZ411,AZ415))</f>
        <v>0</v>
      </c>
      <c r="BA417" s="392"/>
      <c r="BB417" s="394">
        <f>SUM(BB411,BB415)</f>
        <v>0</v>
      </c>
      <c r="BC417" s="394"/>
      <c r="BD417" s="77"/>
      <c r="BE417" s="78"/>
    </row>
  </sheetData>
  <autoFilter ref="A5:BE417" xr:uid="{00000000-0009-0000-0000-000000000000}"/>
  <mergeCells count="345">
    <mergeCell ref="A1:O2"/>
    <mergeCell ref="BD1:BE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P3:Q4"/>
    <mergeCell ref="BD3:BE4"/>
    <mergeCell ref="N4:O4"/>
    <mergeCell ref="R4:S4"/>
    <mergeCell ref="T4:U4"/>
    <mergeCell ref="V4:W4"/>
    <mergeCell ref="X4:Y4"/>
    <mergeCell ref="Z4:AA4"/>
    <mergeCell ref="AB4:AC4"/>
    <mergeCell ref="AD4:AE4"/>
    <mergeCell ref="AF4:AG4"/>
    <mergeCell ref="AH4:AI4"/>
    <mergeCell ref="AJ4:AK4"/>
    <mergeCell ref="AL4:AM4"/>
    <mergeCell ref="AN4:AO4"/>
    <mergeCell ref="AP4:AQ4"/>
    <mergeCell ref="AR4:AS4"/>
    <mergeCell ref="AT4:AU4"/>
    <mergeCell ref="AV4:AW4"/>
    <mergeCell ref="AX4:AY4"/>
    <mergeCell ref="AZ4:BA4"/>
    <mergeCell ref="A403:M412"/>
    <mergeCell ref="P403:Q403"/>
    <mergeCell ref="R403:S403"/>
    <mergeCell ref="T403:U403"/>
    <mergeCell ref="V403:W403"/>
    <mergeCell ref="X403:Y403"/>
    <mergeCell ref="Z403:AA403"/>
    <mergeCell ref="AB403:AC403"/>
    <mergeCell ref="AD403:AE403"/>
    <mergeCell ref="P405:Q405"/>
    <mergeCell ref="R405:S405"/>
    <mergeCell ref="T405:U405"/>
    <mergeCell ref="V405:W405"/>
    <mergeCell ref="X405:Y405"/>
    <mergeCell ref="Z405:AA405"/>
    <mergeCell ref="AB405:AC405"/>
    <mergeCell ref="AD405:AE405"/>
    <mergeCell ref="P407:Q407"/>
    <mergeCell ref="R407:S407"/>
    <mergeCell ref="T407:U407"/>
    <mergeCell ref="V407:W407"/>
    <mergeCell ref="X407:Y407"/>
    <mergeCell ref="Z407:AA407"/>
    <mergeCell ref="AB407:AC407"/>
    <mergeCell ref="AZ403:BA403"/>
    <mergeCell ref="BB403:BC403"/>
    <mergeCell ref="P404:Q404"/>
    <mergeCell ref="R404:S404"/>
    <mergeCell ref="T404:U404"/>
    <mergeCell ref="V404:W404"/>
    <mergeCell ref="X404:Y404"/>
    <mergeCell ref="Z404:AA404"/>
    <mergeCell ref="AB404:AC404"/>
    <mergeCell ref="AD404:AE404"/>
    <mergeCell ref="AF404:AG404"/>
    <mergeCell ref="AH404:AI404"/>
    <mergeCell ref="AJ404:AK404"/>
    <mergeCell ref="AL404:AM404"/>
    <mergeCell ref="AN404:AO404"/>
    <mergeCell ref="AP404:AQ404"/>
    <mergeCell ref="AR404:AS404"/>
    <mergeCell ref="AT404:AU404"/>
    <mergeCell ref="AV404:AW404"/>
    <mergeCell ref="AX404:AY404"/>
    <mergeCell ref="AZ404:BA404"/>
    <mergeCell ref="BB404:BC404"/>
    <mergeCell ref="AF403:AG403"/>
    <mergeCell ref="AH403:AI403"/>
    <mergeCell ref="AJ405:AK405"/>
    <mergeCell ref="AL405:AM405"/>
    <mergeCell ref="AN405:AO405"/>
    <mergeCell ref="AP405:AQ405"/>
    <mergeCell ref="AR405:AS405"/>
    <mergeCell ref="AT405:AU405"/>
    <mergeCell ref="AV405:AW405"/>
    <mergeCell ref="AX403:AY403"/>
    <mergeCell ref="AJ403:AK403"/>
    <mergeCell ref="AL403:AM403"/>
    <mergeCell ref="AN403:AO403"/>
    <mergeCell ref="AP403:AQ403"/>
    <mergeCell ref="AR403:AS403"/>
    <mergeCell ref="AT403:AU403"/>
    <mergeCell ref="AV403:AW403"/>
    <mergeCell ref="AX405:AY405"/>
    <mergeCell ref="AZ405:BA405"/>
    <mergeCell ref="BB405:BC405"/>
    <mergeCell ref="P406:Q406"/>
    <mergeCell ref="R406:S406"/>
    <mergeCell ref="T406:U406"/>
    <mergeCell ref="V406:W406"/>
    <mergeCell ref="X406:Y406"/>
    <mergeCell ref="Z406:AA406"/>
    <mergeCell ref="AB406:AC406"/>
    <mergeCell ref="AD406:AE406"/>
    <mergeCell ref="AF406:AG406"/>
    <mergeCell ref="AH406:AI406"/>
    <mergeCell ref="AJ406:AK406"/>
    <mergeCell ref="AL406:AM406"/>
    <mergeCell ref="AN406:AO406"/>
    <mergeCell ref="AP406:AQ406"/>
    <mergeCell ref="AR406:AS406"/>
    <mergeCell ref="AT406:AU406"/>
    <mergeCell ref="AV406:AW406"/>
    <mergeCell ref="AX406:AY406"/>
    <mergeCell ref="AZ406:BA406"/>
    <mergeCell ref="BB406:BC406"/>
    <mergeCell ref="AF405:AG405"/>
    <mergeCell ref="AH405:AI405"/>
    <mergeCell ref="AD407:AE407"/>
    <mergeCell ref="AF407:AG407"/>
    <mergeCell ref="AH407:AI407"/>
    <mergeCell ref="AJ407:AK407"/>
    <mergeCell ref="AL407:AM407"/>
    <mergeCell ref="AN407:AO407"/>
    <mergeCell ref="AP407:AQ407"/>
    <mergeCell ref="AR407:AS407"/>
    <mergeCell ref="AT407:AU407"/>
    <mergeCell ref="AV407:AW407"/>
    <mergeCell ref="AX407:AY407"/>
    <mergeCell ref="AZ407:BA407"/>
    <mergeCell ref="BB407:BC407"/>
    <mergeCell ref="P408:Q408"/>
    <mergeCell ref="R408:S408"/>
    <mergeCell ref="T408:U408"/>
    <mergeCell ref="V408:W408"/>
    <mergeCell ref="X408:Y408"/>
    <mergeCell ref="Z408:AA408"/>
    <mergeCell ref="AB408:AC408"/>
    <mergeCell ref="AD408:AE408"/>
    <mergeCell ref="AF408:AG408"/>
    <mergeCell ref="AH408:AI408"/>
    <mergeCell ref="AJ408:AK408"/>
    <mergeCell ref="AL408:AM408"/>
    <mergeCell ref="AN408:AO408"/>
    <mergeCell ref="AP408:AQ408"/>
    <mergeCell ref="AR408:AS408"/>
    <mergeCell ref="AT408:AU408"/>
    <mergeCell ref="AV408:AW408"/>
    <mergeCell ref="AX408:AY408"/>
    <mergeCell ref="AZ408:BA408"/>
    <mergeCell ref="BB408:BC408"/>
    <mergeCell ref="AL409:AM409"/>
    <mergeCell ref="AN409:AO409"/>
    <mergeCell ref="AP409:AQ409"/>
    <mergeCell ref="AR409:AS409"/>
    <mergeCell ref="AT409:AU409"/>
    <mergeCell ref="AV409:AW409"/>
    <mergeCell ref="AX409:AY409"/>
    <mergeCell ref="P409:Q409"/>
    <mergeCell ref="R409:S409"/>
    <mergeCell ref="T409:U409"/>
    <mergeCell ref="V409:W409"/>
    <mergeCell ref="X409:Y409"/>
    <mergeCell ref="Z409:AA409"/>
    <mergeCell ref="AB409:AC409"/>
    <mergeCell ref="AD409:AE409"/>
    <mergeCell ref="AF409:AG409"/>
    <mergeCell ref="AZ409:BA409"/>
    <mergeCell ref="BB409:BC409"/>
    <mergeCell ref="P410:Q410"/>
    <mergeCell ref="R410:S410"/>
    <mergeCell ref="T410:U410"/>
    <mergeCell ref="V410:W410"/>
    <mergeCell ref="X410:Y410"/>
    <mergeCell ref="Z410:AA410"/>
    <mergeCell ref="AB410:AC410"/>
    <mergeCell ref="AD410:AE410"/>
    <mergeCell ref="AF410:AG410"/>
    <mergeCell ref="AH410:AI410"/>
    <mergeCell ref="AJ410:AK410"/>
    <mergeCell ref="AL410:AM410"/>
    <mergeCell ref="AN410:AO410"/>
    <mergeCell ref="AP410:AQ410"/>
    <mergeCell ref="AR410:AS410"/>
    <mergeCell ref="AT410:AU410"/>
    <mergeCell ref="AV410:AW410"/>
    <mergeCell ref="AX410:AY410"/>
    <mergeCell ref="AZ410:BA410"/>
    <mergeCell ref="BB410:BC410"/>
    <mergeCell ref="AH409:AI409"/>
    <mergeCell ref="AJ409:AK409"/>
    <mergeCell ref="AL411:AM411"/>
    <mergeCell ref="AN411:AO411"/>
    <mergeCell ref="AP411:AQ411"/>
    <mergeCell ref="AR411:AS411"/>
    <mergeCell ref="AT411:AU411"/>
    <mergeCell ref="AV411:AW411"/>
    <mergeCell ref="AX411:AY411"/>
    <mergeCell ref="P411:Q411"/>
    <mergeCell ref="R411:S411"/>
    <mergeCell ref="T411:U411"/>
    <mergeCell ref="V411:W411"/>
    <mergeCell ref="X411:Y411"/>
    <mergeCell ref="Z411:AA411"/>
    <mergeCell ref="AB411:AC411"/>
    <mergeCell ref="AD411:AE411"/>
    <mergeCell ref="AF411:AG411"/>
    <mergeCell ref="AZ411:BA411"/>
    <mergeCell ref="BB411:BC411"/>
    <mergeCell ref="P412:Q412"/>
    <mergeCell ref="R412:S412"/>
    <mergeCell ref="T412:U412"/>
    <mergeCell ref="V412:W412"/>
    <mergeCell ref="X412:Y412"/>
    <mergeCell ref="Z412:AA412"/>
    <mergeCell ref="AB412:AC412"/>
    <mergeCell ref="AD412:AE412"/>
    <mergeCell ref="AF412:AG412"/>
    <mergeCell ref="AH412:AI412"/>
    <mergeCell ref="AJ412:AK412"/>
    <mergeCell ref="AL412:AM412"/>
    <mergeCell ref="AN412:AO412"/>
    <mergeCell ref="AP412:AQ412"/>
    <mergeCell ref="AR412:AS412"/>
    <mergeCell ref="AT412:AU412"/>
    <mergeCell ref="AV412:AW412"/>
    <mergeCell ref="AX412:AY412"/>
    <mergeCell ref="AZ412:BA412"/>
    <mergeCell ref="BB412:BC412"/>
    <mergeCell ref="AH411:AI411"/>
    <mergeCell ref="AJ411:AK411"/>
    <mergeCell ref="A413:M416"/>
    <mergeCell ref="P413:Q413"/>
    <mergeCell ref="R413:S413"/>
    <mergeCell ref="T413:U413"/>
    <mergeCell ref="V413:W413"/>
    <mergeCell ref="X413:Y413"/>
    <mergeCell ref="Z413:AA413"/>
    <mergeCell ref="AB413:AC413"/>
    <mergeCell ref="AD413:AE413"/>
    <mergeCell ref="P415:Q415"/>
    <mergeCell ref="R415:S415"/>
    <mergeCell ref="T415:U415"/>
    <mergeCell ref="V415:W415"/>
    <mergeCell ref="X415:Y415"/>
    <mergeCell ref="Z415:AA415"/>
    <mergeCell ref="AB415:AC415"/>
    <mergeCell ref="AD415:AE415"/>
    <mergeCell ref="AZ413:BA413"/>
    <mergeCell ref="BB413:BC413"/>
    <mergeCell ref="P414:Q414"/>
    <mergeCell ref="R414:S414"/>
    <mergeCell ref="T414:U414"/>
    <mergeCell ref="V414:W414"/>
    <mergeCell ref="X414:Y414"/>
    <mergeCell ref="Z414:AA414"/>
    <mergeCell ref="AB414:AC414"/>
    <mergeCell ref="AD414:AE414"/>
    <mergeCell ref="AF414:AG414"/>
    <mergeCell ref="AH414:AI414"/>
    <mergeCell ref="AJ414:AK414"/>
    <mergeCell ref="AL414:AM414"/>
    <mergeCell ref="AN414:AO414"/>
    <mergeCell ref="AP414:AQ414"/>
    <mergeCell ref="AR414:AS414"/>
    <mergeCell ref="AT414:AU414"/>
    <mergeCell ref="AV414:AW414"/>
    <mergeCell ref="AX414:AY414"/>
    <mergeCell ref="AZ414:BA414"/>
    <mergeCell ref="BB414:BC414"/>
    <mergeCell ref="AF413:AG413"/>
    <mergeCell ref="AH413:AI413"/>
    <mergeCell ref="AJ415:AK415"/>
    <mergeCell ref="AL415:AM415"/>
    <mergeCell ref="AN415:AO415"/>
    <mergeCell ref="AP415:AQ415"/>
    <mergeCell ref="AR415:AS415"/>
    <mergeCell ref="AT415:AU415"/>
    <mergeCell ref="AV415:AW415"/>
    <mergeCell ref="AX413:AY413"/>
    <mergeCell ref="AJ413:AK413"/>
    <mergeCell ref="AL413:AM413"/>
    <mergeCell ref="AN413:AO413"/>
    <mergeCell ref="AP413:AQ413"/>
    <mergeCell ref="AR413:AS413"/>
    <mergeCell ref="AT413:AU413"/>
    <mergeCell ref="AV413:AW413"/>
    <mergeCell ref="AX415:AY415"/>
    <mergeCell ref="AZ415:BA415"/>
    <mergeCell ref="BB415:BC415"/>
    <mergeCell ref="P416:Q416"/>
    <mergeCell ref="R416:S416"/>
    <mergeCell ref="T416:U416"/>
    <mergeCell ref="V416:W416"/>
    <mergeCell ref="X416:Y416"/>
    <mergeCell ref="Z416:AA416"/>
    <mergeCell ref="AB416:AC416"/>
    <mergeCell ref="AD416:AE416"/>
    <mergeCell ref="AF416:AG416"/>
    <mergeCell ref="AH416:AI416"/>
    <mergeCell ref="AJ416:AK416"/>
    <mergeCell ref="AL416:AM416"/>
    <mergeCell ref="AN416:AO416"/>
    <mergeCell ref="AP416:AQ416"/>
    <mergeCell ref="AR416:AS416"/>
    <mergeCell ref="AT416:AU416"/>
    <mergeCell ref="AV416:AW416"/>
    <mergeCell ref="AX416:AY416"/>
    <mergeCell ref="AZ416:BA416"/>
    <mergeCell ref="BB416:BC416"/>
    <mergeCell ref="AF415:AG415"/>
    <mergeCell ref="AH415:AI415"/>
    <mergeCell ref="A417:M417"/>
    <mergeCell ref="P417:Q417"/>
    <mergeCell ref="R417:S417"/>
    <mergeCell ref="T417:U417"/>
    <mergeCell ref="V417:W417"/>
    <mergeCell ref="X417:Y417"/>
    <mergeCell ref="Z417:AA417"/>
    <mergeCell ref="AB417:AC417"/>
    <mergeCell ref="AD417:AE417"/>
    <mergeCell ref="AX417:AY417"/>
    <mergeCell ref="AZ417:BA417"/>
    <mergeCell ref="BB417:BC417"/>
    <mergeCell ref="AF417:AG417"/>
    <mergeCell ref="AH417:AI417"/>
    <mergeCell ref="AJ417:AK417"/>
    <mergeCell ref="AL417:AM417"/>
    <mergeCell ref="AN417:AO417"/>
    <mergeCell ref="AP417:AQ417"/>
    <mergeCell ref="AR417:AS417"/>
    <mergeCell ref="AT417:AU417"/>
    <mergeCell ref="AV417:AW417"/>
  </mergeCells>
  <printOptions horizontalCentered="1"/>
  <pageMargins left="0.196527777777778" right="0.196527777777778" top="0.59027777777777801" bottom="0.78749999999999998" header="0.511811023622047" footer="0.511811023622047"/>
  <pageSetup paperSize="9" scale="50" orientation="landscape" horizontalDpi="300" verticalDpi="30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BI562"/>
  <sheetViews>
    <sheetView showGridLines="0" tabSelected="1" zoomScale="80" zoomScaleNormal="80" workbookViewId="0">
      <pane xSplit="4" ySplit="5" topLeftCell="E138" activePane="bottomRight" state="frozen"/>
      <selection pane="topRight" activeCell="E1" sqref="E1"/>
      <selection pane="bottomLeft" activeCell="A6" sqref="A6"/>
      <selection pane="bottomRight" activeCell="F150" sqref="F150"/>
    </sheetView>
  </sheetViews>
  <sheetFormatPr defaultColWidth="8.6640625" defaultRowHeight="14.25" outlineLevelCol="1" x14ac:dyDescent="0.45"/>
  <cols>
    <col min="1" max="2" width="10.796875" hidden="1" customWidth="1" outlineLevel="1"/>
    <col min="3" max="3" width="35.796875" hidden="1" customWidth="1" outlineLevel="1"/>
    <col min="4" max="4" width="15.796875" hidden="1" customWidth="1" outlineLevel="1"/>
    <col min="5" max="5" width="15.796875" customWidth="1" collapsed="1"/>
    <col min="6" max="6" width="47.19921875" customWidth="1" outlineLevel="1"/>
    <col min="7" max="14" width="15.796875" customWidth="1" outlineLevel="1"/>
    <col min="15" max="15" width="20.796875" customWidth="1"/>
    <col min="16" max="16" width="15.796875" customWidth="1"/>
    <col min="17" max="17" width="63" customWidth="1"/>
    <col min="18" max="21" width="15.796875" customWidth="1"/>
    <col min="22" max="23" width="15.796875" customWidth="1" outlineLevel="1"/>
    <col min="24" max="57" width="15.796875" hidden="1" customWidth="1" outlineLevel="1"/>
    <col min="58" max="59" width="15.796875" customWidth="1"/>
    <col min="60" max="60" width="20.796875" customWidth="1"/>
    <col min="61" max="200" width="9.33203125" customWidth="1"/>
  </cols>
  <sheetData>
    <row r="1" spans="1:61" ht="19.5" customHeight="1" x14ac:dyDescent="0.45">
      <c r="A1" s="415" t="s">
        <v>1437</v>
      </c>
      <c r="B1" s="415"/>
      <c r="C1" s="415"/>
      <c r="D1" s="95"/>
      <c r="E1" s="416" t="s">
        <v>1438</v>
      </c>
      <c r="F1" s="416"/>
      <c r="G1" s="416"/>
      <c r="H1" s="416"/>
      <c r="I1" s="416"/>
      <c r="J1" s="416"/>
      <c r="K1" s="416"/>
      <c r="L1" s="416"/>
      <c r="M1" s="416"/>
      <c r="N1" s="416"/>
      <c r="O1" s="416"/>
      <c r="P1" s="416"/>
      <c r="Q1" s="416"/>
      <c r="R1" s="417"/>
      <c r="S1" s="417"/>
      <c r="T1" s="1" t="s">
        <v>1</v>
      </c>
      <c r="U1" s="2"/>
      <c r="V1" s="3" t="s">
        <v>2</v>
      </c>
      <c r="W1" s="4"/>
      <c r="X1" s="3" t="s">
        <v>2</v>
      </c>
      <c r="Y1" s="4"/>
      <c r="Z1" s="3" t="s">
        <v>2</v>
      </c>
      <c r="AA1" s="4"/>
      <c r="AB1" s="3" t="s">
        <v>2</v>
      </c>
      <c r="AC1" s="4"/>
      <c r="AD1" s="3" t="s">
        <v>2</v>
      </c>
      <c r="AE1" s="4"/>
      <c r="AF1" s="3" t="s">
        <v>2</v>
      </c>
      <c r="AG1" s="4"/>
      <c r="AH1" s="3" t="s">
        <v>2</v>
      </c>
      <c r="AI1" s="4"/>
      <c r="AJ1" s="3" t="s">
        <v>2</v>
      </c>
      <c r="AK1" s="4"/>
      <c r="AL1" s="3" t="s">
        <v>2</v>
      </c>
      <c r="AM1" s="4"/>
      <c r="AN1" s="3" t="s">
        <v>2</v>
      </c>
      <c r="AO1" s="4"/>
      <c r="AP1" s="3" t="s">
        <v>2</v>
      </c>
      <c r="AQ1" s="4"/>
      <c r="AR1" s="3" t="s">
        <v>2</v>
      </c>
      <c r="AS1" s="4"/>
      <c r="AT1" s="3" t="s">
        <v>2</v>
      </c>
      <c r="AU1" s="4"/>
      <c r="AV1" s="3" t="s">
        <v>2</v>
      </c>
      <c r="AW1" s="4"/>
      <c r="AX1" s="3" t="s">
        <v>2</v>
      </c>
      <c r="AY1" s="4"/>
      <c r="AZ1" s="3" t="s">
        <v>2</v>
      </c>
      <c r="BA1" s="4"/>
      <c r="BB1" s="3" t="s">
        <v>2</v>
      </c>
      <c r="BC1" s="4"/>
      <c r="BD1" s="3" t="s">
        <v>2</v>
      </c>
      <c r="BE1" s="4"/>
      <c r="BF1" s="1" t="s">
        <v>3</v>
      </c>
      <c r="BG1" s="96"/>
    </row>
    <row r="2" spans="1:61" ht="19.5" customHeight="1" x14ac:dyDescent="0.45">
      <c r="A2" s="415"/>
      <c r="B2" s="415"/>
      <c r="C2" s="415"/>
      <c r="D2" s="97"/>
      <c r="E2" s="416"/>
      <c r="F2" s="416"/>
      <c r="G2" s="416"/>
      <c r="H2" s="416"/>
      <c r="I2" s="416"/>
      <c r="J2" s="416"/>
      <c r="K2" s="416"/>
      <c r="L2" s="416"/>
      <c r="M2" s="416"/>
      <c r="N2" s="416"/>
      <c r="O2" s="416"/>
      <c r="P2" s="416"/>
      <c r="Q2" s="416"/>
      <c r="R2" s="417"/>
      <c r="S2" s="417"/>
      <c r="T2" s="7" t="s">
        <v>4</v>
      </c>
      <c r="U2" s="8">
        <v>2026</v>
      </c>
      <c r="V2" s="410" t="s">
        <v>1439</v>
      </c>
      <c r="W2" s="410"/>
      <c r="X2" s="410" t="s">
        <v>1440</v>
      </c>
      <c r="Y2" s="410"/>
      <c r="Z2" s="410" t="s">
        <v>1441</v>
      </c>
      <c r="AA2" s="410"/>
      <c r="AB2" s="410" t="s">
        <v>1442</v>
      </c>
      <c r="AC2" s="410"/>
      <c r="AD2" s="410" t="s">
        <v>1443</v>
      </c>
      <c r="AE2" s="410"/>
      <c r="AF2" s="410" t="s">
        <v>1444</v>
      </c>
      <c r="AG2" s="410"/>
      <c r="AH2" s="410" t="s">
        <v>1445</v>
      </c>
      <c r="AI2" s="410"/>
      <c r="AJ2" s="410" t="s">
        <v>1446</v>
      </c>
      <c r="AK2" s="410"/>
      <c r="AL2" s="410" t="s">
        <v>1447</v>
      </c>
      <c r="AM2" s="410"/>
      <c r="AN2" s="410" t="s">
        <v>1448</v>
      </c>
      <c r="AO2" s="410"/>
      <c r="AP2" s="410" t="s">
        <v>1449</v>
      </c>
      <c r="AQ2" s="410"/>
      <c r="AR2" s="410" t="s">
        <v>1450</v>
      </c>
      <c r="AS2" s="410"/>
      <c r="AT2" s="410" t="s">
        <v>1451</v>
      </c>
      <c r="AU2" s="410"/>
      <c r="AV2" s="410" t="s">
        <v>1452</v>
      </c>
      <c r="AW2" s="410"/>
      <c r="AX2" s="410" t="s">
        <v>1453</v>
      </c>
      <c r="AY2" s="410"/>
      <c r="AZ2" s="410" t="s">
        <v>1454</v>
      </c>
      <c r="BA2" s="410"/>
      <c r="BB2" s="410" t="s">
        <v>1455</v>
      </c>
      <c r="BC2" s="410"/>
      <c r="BD2" s="410" t="s">
        <v>1456</v>
      </c>
      <c r="BE2" s="410"/>
      <c r="BF2" s="411"/>
      <c r="BG2" s="411"/>
    </row>
    <row r="3" spans="1:61" ht="19.5" customHeight="1" x14ac:dyDescent="0.45">
      <c r="A3" s="415"/>
      <c r="B3" s="415"/>
      <c r="C3" s="415"/>
      <c r="D3" s="97"/>
      <c r="E3" s="9" t="s">
        <v>5</v>
      </c>
      <c r="F3" s="10"/>
      <c r="G3" s="10"/>
      <c r="H3" s="10"/>
      <c r="I3" s="10"/>
      <c r="J3" s="10"/>
      <c r="K3" s="10"/>
      <c r="L3" s="10"/>
      <c r="M3" s="10"/>
      <c r="N3" s="10"/>
      <c r="R3" s="11" t="s">
        <v>6</v>
      </c>
      <c r="S3" s="12"/>
      <c r="T3" s="412" t="s">
        <v>7</v>
      </c>
      <c r="U3" s="412"/>
      <c r="V3" s="13" t="s">
        <v>8</v>
      </c>
      <c r="W3" s="14"/>
      <c r="X3" s="13" t="s">
        <v>8</v>
      </c>
      <c r="Y3" s="14"/>
      <c r="Z3" s="13" t="s">
        <v>8</v>
      </c>
      <c r="AA3" s="14"/>
      <c r="AB3" s="13" t="s">
        <v>8</v>
      </c>
      <c r="AC3" s="14"/>
      <c r="AD3" s="13" t="s">
        <v>8</v>
      </c>
      <c r="AE3" s="14"/>
      <c r="AF3" s="13" t="s">
        <v>8</v>
      </c>
      <c r="AG3" s="14"/>
      <c r="AH3" s="13" t="s">
        <v>8</v>
      </c>
      <c r="AI3" s="14"/>
      <c r="AJ3" s="13" t="s">
        <v>8</v>
      </c>
      <c r="AK3" s="14"/>
      <c r="AL3" s="13" t="s">
        <v>8</v>
      </c>
      <c r="AM3" s="14"/>
      <c r="AN3" s="13" t="s">
        <v>8</v>
      </c>
      <c r="AO3" s="14"/>
      <c r="AP3" s="13" t="s">
        <v>8</v>
      </c>
      <c r="AQ3" s="14"/>
      <c r="AR3" s="13" t="s">
        <v>8</v>
      </c>
      <c r="AS3" s="14"/>
      <c r="AT3" s="13" t="s">
        <v>8</v>
      </c>
      <c r="AU3" s="14"/>
      <c r="AV3" s="13" t="s">
        <v>8</v>
      </c>
      <c r="AW3" s="14"/>
      <c r="AX3" s="13" t="s">
        <v>8</v>
      </c>
      <c r="AY3" s="14"/>
      <c r="AZ3" s="13" t="s">
        <v>8</v>
      </c>
      <c r="BA3" s="14"/>
      <c r="BB3" s="13" t="s">
        <v>8</v>
      </c>
      <c r="BC3" s="14"/>
      <c r="BD3" s="13" t="s">
        <v>8</v>
      </c>
      <c r="BE3" s="14"/>
      <c r="BF3" s="15" t="s">
        <v>9</v>
      </c>
      <c r="BG3" s="16"/>
    </row>
    <row r="4" spans="1:61" ht="19.5" customHeight="1" x14ac:dyDescent="0.45">
      <c r="A4" s="415"/>
      <c r="B4" s="415"/>
      <c r="C4" s="415"/>
      <c r="D4" s="97"/>
      <c r="E4" s="17" t="s">
        <v>11</v>
      </c>
      <c r="F4" s="18"/>
      <c r="G4" s="18"/>
      <c r="H4" s="18"/>
      <c r="I4" s="18"/>
      <c r="J4" s="18"/>
      <c r="K4" s="18"/>
      <c r="L4" s="18"/>
      <c r="M4" s="18"/>
      <c r="N4" s="18"/>
      <c r="O4" s="19"/>
      <c r="P4" s="19"/>
      <c r="Q4" s="19"/>
      <c r="R4" s="413" t="s">
        <v>12</v>
      </c>
      <c r="S4" s="413"/>
      <c r="T4" s="412"/>
      <c r="U4" s="412"/>
      <c r="V4" s="414" t="str">
        <f>'CRONOGRAMA FF CAESB'!F$6</f>
        <v>01-10-26 A 31-10-26</v>
      </c>
      <c r="W4" s="414"/>
      <c r="X4" s="414" t="str">
        <f>'CRONOGRAMA FF CAESB'!G$6</f>
        <v>01-11-26 A 30-11-26</v>
      </c>
      <c r="Y4" s="414"/>
      <c r="Z4" s="414" t="str">
        <f>'CRONOGRAMA FF CAESB'!H$6</f>
        <v>01-12-26 A 31-12-26</v>
      </c>
      <c r="AA4" s="414"/>
      <c r="AB4" s="414" t="str">
        <f>'CRONOGRAMA FF CAESB'!I$6</f>
        <v>01-01-27 A 31-01-27</v>
      </c>
      <c r="AC4" s="414"/>
      <c r="AD4" s="414" t="str">
        <f>'CRONOGRAMA FF CAESB'!J$6</f>
        <v>01-02-27 A 28-02-27</v>
      </c>
      <c r="AE4" s="414"/>
      <c r="AF4" s="414" t="str">
        <f>'CRONOGRAMA FF CAESB'!K$6</f>
        <v>01-03-27 A 31-03-27</v>
      </c>
      <c r="AG4" s="414"/>
      <c r="AH4" s="414" t="str">
        <f>'CRONOGRAMA FF CAESB'!L$6</f>
        <v>01-04-27 A 30-04-27</v>
      </c>
      <c r="AI4" s="414"/>
      <c r="AJ4" s="414" t="str">
        <f>'CRONOGRAMA FF CAESB'!M$6</f>
        <v>01-05-27 A 31-05-27</v>
      </c>
      <c r="AK4" s="414"/>
      <c r="AL4" s="414" t="str">
        <f>'CRONOGRAMA FF CAESB'!N$6</f>
        <v>01-06-27 A 30-06-27</v>
      </c>
      <c r="AM4" s="414"/>
      <c r="AN4" s="414" t="str">
        <f>'CRONOGRAMA FF CAESB'!O$6</f>
        <v>01-07-27 A 31-07-27</v>
      </c>
      <c r="AO4" s="414"/>
      <c r="AP4" s="414" t="str">
        <f>'CRONOGRAMA FF CAESB'!P$6</f>
        <v>01-08-27 A 31-08-27</v>
      </c>
      <c r="AQ4" s="414"/>
      <c r="AR4" s="414" t="str">
        <f>'CRONOGRAMA FF CAESB'!Q$6</f>
        <v>01-09-27 A 30-09-27</v>
      </c>
      <c r="AS4" s="414"/>
      <c r="AT4" s="414" t="str">
        <f>'CRONOGRAMA FF CAESB'!R$6</f>
        <v>01-10-27 A 31-10-27</v>
      </c>
      <c r="AU4" s="414"/>
      <c r="AV4" s="414" t="str">
        <f>'CRONOGRAMA FF CAESB'!S$6</f>
        <v>01-11-27 A 30-11-27</v>
      </c>
      <c r="AW4" s="414"/>
      <c r="AX4" s="414" t="str">
        <f>'CRONOGRAMA FF CAESB'!T$6</f>
        <v>01-12-27 A 31-12-27</v>
      </c>
      <c r="AY4" s="414"/>
      <c r="AZ4" s="414" t="str">
        <f>'CRONOGRAMA FF CAESB'!U$6</f>
        <v>01-01-28 A 31-01-28</v>
      </c>
      <c r="BA4" s="414"/>
      <c r="BB4" s="414" t="str">
        <f>'CRONOGRAMA FF CAESB'!V$6</f>
        <v>01-02-28 A 29-02-28</v>
      </c>
      <c r="BC4" s="414"/>
      <c r="BD4" s="414" t="str">
        <f>'CRONOGRAMA FF CAESB'!W$6</f>
        <v>01-03-28 A 23-03-28</v>
      </c>
      <c r="BE4" s="414"/>
      <c r="BF4" s="20" t="s">
        <v>13</v>
      </c>
      <c r="BG4" s="21"/>
    </row>
    <row r="5" spans="1:61" ht="42" customHeight="1" x14ac:dyDescent="0.45">
      <c r="A5" s="98" t="s">
        <v>1457</v>
      </c>
      <c r="B5" s="99" t="s">
        <v>1458</v>
      </c>
      <c r="C5" s="100" t="s">
        <v>1459</v>
      </c>
      <c r="D5" s="101" t="s">
        <v>1460</v>
      </c>
      <c r="E5" s="22" t="s">
        <v>14</v>
      </c>
      <c r="F5" s="23" t="s">
        <v>15</v>
      </c>
      <c r="G5" s="23" t="s">
        <v>16</v>
      </c>
      <c r="H5" s="23" t="s">
        <v>17</v>
      </c>
      <c r="I5" s="23" t="s">
        <v>18</v>
      </c>
      <c r="J5" s="23" t="s">
        <v>19</v>
      </c>
      <c r="K5" s="23" t="s">
        <v>20</v>
      </c>
      <c r="L5" s="23" t="s">
        <v>21</v>
      </c>
      <c r="M5" s="23" t="s">
        <v>22</v>
      </c>
      <c r="N5" s="24" t="s">
        <v>23</v>
      </c>
      <c r="O5" s="25" t="s">
        <v>24</v>
      </c>
      <c r="P5" s="25" t="s">
        <v>25</v>
      </c>
      <c r="Q5" s="25" t="s">
        <v>1461</v>
      </c>
      <c r="R5" s="26" t="s">
        <v>26</v>
      </c>
      <c r="S5" s="28" t="s">
        <v>27</v>
      </c>
      <c r="T5" s="27" t="s">
        <v>28</v>
      </c>
      <c r="U5" s="28" t="s">
        <v>29</v>
      </c>
      <c r="V5" s="29" t="s">
        <v>27</v>
      </c>
      <c r="W5" s="30" t="s">
        <v>29</v>
      </c>
      <c r="X5" s="29" t="s">
        <v>27</v>
      </c>
      <c r="Y5" s="30" t="s">
        <v>29</v>
      </c>
      <c r="Z5" s="29" t="s">
        <v>27</v>
      </c>
      <c r="AA5" s="30" t="s">
        <v>29</v>
      </c>
      <c r="AB5" s="29" t="s">
        <v>27</v>
      </c>
      <c r="AC5" s="30" t="s">
        <v>29</v>
      </c>
      <c r="AD5" s="29" t="s">
        <v>27</v>
      </c>
      <c r="AE5" s="30" t="s">
        <v>29</v>
      </c>
      <c r="AF5" s="29" t="s">
        <v>27</v>
      </c>
      <c r="AG5" s="30" t="s">
        <v>29</v>
      </c>
      <c r="AH5" s="29" t="s">
        <v>27</v>
      </c>
      <c r="AI5" s="30" t="s">
        <v>29</v>
      </c>
      <c r="AJ5" s="29" t="s">
        <v>27</v>
      </c>
      <c r="AK5" s="30" t="s">
        <v>29</v>
      </c>
      <c r="AL5" s="29" t="s">
        <v>27</v>
      </c>
      <c r="AM5" s="30" t="s">
        <v>29</v>
      </c>
      <c r="AN5" s="29" t="s">
        <v>27</v>
      </c>
      <c r="AO5" s="30" t="s">
        <v>29</v>
      </c>
      <c r="AP5" s="29" t="s">
        <v>27</v>
      </c>
      <c r="AQ5" s="30" t="s">
        <v>29</v>
      </c>
      <c r="AR5" s="29" t="s">
        <v>27</v>
      </c>
      <c r="AS5" s="30" t="s">
        <v>29</v>
      </c>
      <c r="AT5" s="29" t="s">
        <v>27</v>
      </c>
      <c r="AU5" s="30" t="s">
        <v>29</v>
      </c>
      <c r="AV5" s="29" t="s">
        <v>27</v>
      </c>
      <c r="AW5" s="30" t="s">
        <v>29</v>
      </c>
      <c r="AX5" s="29" t="s">
        <v>27</v>
      </c>
      <c r="AY5" s="30" t="s">
        <v>29</v>
      </c>
      <c r="AZ5" s="29" t="s">
        <v>27</v>
      </c>
      <c r="BA5" s="30" t="s">
        <v>29</v>
      </c>
      <c r="BB5" s="29" t="s">
        <v>27</v>
      </c>
      <c r="BC5" s="30" t="s">
        <v>29</v>
      </c>
      <c r="BD5" s="29" t="s">
        <v>27</v>
      </c>
      <c r="BE5" s="30" t="s">
        <v>29</v>
      </c>
      <c r="BF5" s="31" t="s">
        <v>27</v>
      </c>
      <c r="BG5" s="32" t="s">
        <v>30</v>
      </c>
      <c r="BH5" s="102"/>
    </row>
    <row r="6" spans="1:61" ht="19.5" customHeight="1" x14ac:dyDescent="0.45">
      <c r="A6" s="103">
        <v>1</v>
      </c>
      <c r="B6" s="104"/>
      <c r="C6" s="105" t="s">
        <v>1462</v>
      </c>
      <c r="D6" s="106"/>
      <c r="E6" s="107"/>
      <c r="F6" s="512"/>
      <c r="G6" s="108"/>
      <c r="H6" s="108"/>
      <c r="I6" s="108"/>
      <c r="J6" s="108"/>
      <c r="K6" s="108"/>
      <c r="L6" s="108"/>
      <c r="M6" s="108"/>
      <c r="N6" s="108"/>
      <c r="O6" s="109"/>
      <c r="P6" s="110"/>
      <c r="Q6" s="111" t="s">
        <v>1462</v>
      </c>
      <c r="R6" s="112"/>
      <c r="S6" s="113"/>
      <c r="T6" s="114"/>
      <c r="U6" s="115">
        <f>SUM(U7,U26,U68,U73,U76)</f>
        <v>1166828.03</v>
      </c>
      <c r="V6" s="116"/>
      <c r="W6" s="115">
        <f>SUM(W7,W26,W68,W73,W76)</f>
        <v>0</v>
      </c>
      <c r="X6" s="116"/>
      <c r="Y6" s="115">
        <f>SUM(Y7,Y26,Y68,Y73,Y76)</f>
        <v>0</v>
      </c>
      <c r="Z6" s="116"/>
      <c r="AA6" s="115">
        <f>SUM(AA7,AA26,AA68,AA73,AA76)</f>
        <v>0</v>
      </c>
      <c r="AB6" s="116"/>
      <c r="AC6" s="115">
        <f>SUM(AC7,AC26,AC68,AC73,AC76)</f>
        <v>0</v>
      </c>
      <c r="AD6" s="116"/>
      <c r="AE6" s="115">
        <f>SUM(AE7,AE26,AE68,AE73,AE76)</f>
        <v>0</v>
      </c>
      <c r="AF6" s="116"/>
      <c r="AG6" s="115">
        <f>SUM(AG7,AG26,AG68,AG73,AG76)</f>
        <v>0</v>
      </c>
      <c r="AH6" s="116"/>
      <c r="AI6" s="115">
        <f>SUM(AI7,AI26,AI68,AI73,AI76)</f>
        <v>0</v>
      </c>
      <c r="AJ6" s="116"/>
      <c r="AK6" s="115">
        <f>SUM(AK7,AK26,AK68,AK73,AK76)</f>
        <v>0</v>
      </c>
      <c r="AL6" s="116"/>
      <c r="AM6" s="115">
        <f>SUM(AM7,AM26,AM68,AM73,AM76)</f>
        <v>0</v>
      </c>
      <c r="AN6" s="116"/>
      <c r="AO6" s="115">
        <f>SUM(AO7,AO26,AO68,AO73,AO76)</f>
        <v>0</v>
      </c>
      <c r="AP6" s="116"/>
      <c r="AQ6" s="115">
        <f>SUM(AQ7,AQ26,AQ68,AQ73,AQ76)</f>
        <v>0</v>
      </c>
      <c r="AR6" s="116"/>
      <c r="AS6" s="115">
        <f>SUM(AS7,AS26,AS68,AS73,AS76)</f>
        <v>0</v>
      </c>
      <c r="AT6" s="116"/>
      <c r="AU6" s="115">
        <f>SUM(AU7,AU26,AU68,AU73,AU76)</f>
        <v>0</v>
      </c>
      <c r="AV6" s="116"/>
      <c r="AW6" s="115">
        <f>SUM(AW7,AW26,AW68,AW73,AW76)</f>
        <v>0</v>
      </c>
      <c r="AX6" s="116"/>
      <c r="AY6" s="115">
        <f>SUM(AY7,AY26,AY68,AY73,AY76)</f>
        <v>0</v>
      </c>
      <c r="AZ6" s="116"/>
      <c r="BA6" s="115">
        <f>SUM(BA7,BA26,BA68,BA73,BA76)</f>
        <v>0</v>
      </c>
      <c r="BB6" s="116"/>
      <c r="BC6" s="115">
        <f>SUM(BC7,BC26,BC68,BC73,BC76)</f>
        <v>0</v>
      </c>
      <c r="BD6" s="116"/>
      <c r="BE6" s="115">
        <f>SUM(BE7,BE26,BE68,BE73,BE76)</f>
        <v>0</v>
      </c>
      <c r="BF6" s="116"/>
      <c r="BG6" s="115">
        <f>SUM(BG7,BG26,BG68,BG73,BG76)</f>
        <v>0</v>
      </c>
      <c r="BH6" s="102">
        <f>U6/$T$550</f>
        <v>2.4041303445665518E-2</v>
      </c>
    </row>
    <row r="7" spans="1:61" ht="19.5" customHeight="1" x14ac:dyDescent="0.45">
      <c r="A7" s="117">
        <v>1</v>
      </c>
      <c r="B7" s="118"/>
      <c r="C7" s="119"/>
      <c r="D7" s="120"/>
      <c r="E7" s="35" t="s">
        <v>1463</v>
      </c>
      <c r="F7" s="513"/>
      <c r="G7" s="514"/>
      <c r="H7" s="514"/>
      <c r="I7" s="514"/>
      <c r="J7" s="514"/>
      <c r="K7" s="514"/>
      <c r="L7" s="514"/>
      <c r="M7" s="514"/>
      <c r="N7" s="514"/>
      <c r="O7" s="121" t="s">
        <v>33</v>
      </c>
      <c r="P7" s="122"/>
      <c r="Q7" s="123" t="s">
        <v>21</v>
      </c>
      <c r="R7" s="124"/>
      <c r="S7" s="125"/>
      <c r="T7" s="126"/>
      <c r="U7" s="127">
        <f>SUM(U8,U10,U12,U14,U16,U19,U21,U23)</f>
        <v>81448.72</v>
      </c>
      <c r="V7" s="125"/>
      <c r="W7" s="127">
        <f>SUM(W8,W10,W12,W14,W16,W19,W21,W23)</f>
        <v>0</v>
      </c>
      <c r="X7" s="125"/>
      <c r="Y7" s="127">
        <f>SUM(Y8,Y10,Y12,Y14,Y16,Y19,Y21,Y23)</f>
        <v>0</v>
      </c>
      <c r="Z7" s="125"/>
      <c r="AA7" s="127">
        <f>SUM(AA8,AA10,AA12,AA14,AA16,AA19,AA21,AA23)</f>
        <v>0</v>
      </c>
      <c r="AB7" s="125"/>
      <c r="AC7" s="127">
        <f>SUM(AC8,AC10,AC12,AC14,AC16,AC19,AC21,AC23)</f>
        <v>0</v>
      </c>
      <c r="AD7" s="125"/>
      <c r="AE7" s="127">
        <f>SUM(AE8,AE10,AE12,AE14,AE16,AE19,AE21,AE23)</f>
        <v>0</v>
      </c>
      <c r="AF7" s="125"/>
      <c r="AG7" s="127">
        <f>SUM(AG8,AG10,AG12,AG14,AG16,AG19,AG21,AG23)</f>
        <v>0</v>
      </c>
      <c r="AH7" s="125"/>
      <c r="AI7" s="127">
        <f>SUM(AI8,AI10,AI12,AI14,AI16,AI19,AI21,AI23)</f>
        <v>0</v>
      </c>
      <c r="AJ7" s="125"/>
      <c r="AK7" s="127">
        <f>SUM(AK8,AK10,AK12,AK14,AK16,AK19,AK21,AK23)</f>
        <v>0</v>
      </c>
      <c r="AL7" s="125"/>
      <c r="AM7" s="127">
        <f>SUM(AM8,AM10,AM12,AM14,AM16,AM19,AM21,AM23)</f>
        <v>0</v>
      </c>
      <c r="AN7" s="125"/>
      <c r="AO7" s="127">
        <f>SUM(AO8,AO10,AO12,AO14,AO16,AO19,AO21,AO23)</f>
        <v>0</v>
      </c>
      <c r="AP7" s="125"/>
      <c r="AQ7" s="127">
        <f>SUM(AQ8,AQ10,AQ12,AQ14,AQ16,AQ19,AQ21,AQ23)</f>
        <v>0</v>
      </c>
      <c r="AR7" s="125"/>
      <c r="AS7" s="127">
        <f>SUM(AS8,AS10,AS12,AS14,AS16,AS19,AS21,AS23)</f>
        <v>0</v>
      </c>
      <c r="AT7" s="125"/>
      <c r="AU7" s="127">
        <f>SUM(AU8,AU10,AU12,AU14,AU16,AU19,AU21,AU23)</f>
        <v>0</v>
      </c>
      <c r="AV7" s="125"/>
      <c r="AW7" s="127">
        <f>SUM(AW8,AW10,AW12,AW14,AW16,AW19,AW21,AW23)</f>
        <v>0</v>
      </c>
      <c r="AX7" s="125"/>
      <c r="AY7" s="127">
        <f>SUM(AY8,AY10,AY12,AY14,AY16,AY19,AY21,AY23)</f>
        <v>0</v>
      </c>
      <c r="AZ7" s="125"/>
      <c r="BA7" s="127">
        <f>SUM(BA8,BA10,BA12,BA14,BA16,BA19,BA21,BA23)</f>
        <v>0</v>
      </c>
      <c r="BB7" s="125"/>
      <c r="BC7" s="127">
        <f>SUM(BC8,BC10,BC12,BC14,BC16,BC19,BC21,BC23)</f>
        <v>0</v>
      </c>
      <c r="BD7" s="125"/>
      <c r="BE7" s="127">
        <f>SUM(BE8,BE10,BE12,BE14,BE16,BE19,BE21,BE23)</f>
        <v>0</v>
      </c>
      <c r="BF7" s="125"/>
      <c r="BG7" s="127">
        <f>SUM(BG8,BG10,BG12,BG14,BG16,BG19,BG21,BG23)</f>
        <v>0</v>
      </c>
      <c r="BH7" s="45"/>
    </row>
    <row r="8" spans="1:61" ht="19.5" customHeight="1" x14ac:dyDescent="0.45">
      <c r="A8" s="128">
        <v>1</v>
      </c>
      <c r="B8" s="129"/>
      <c r="C8" s="130"/>
      <c r="D8" s="131"/>
      <c r="E8" s="132" t="s">
        <v>34</v>
      </c>
      <c r="F8" s="515"/>
      <c r="G8" s="516"/>
      <c r="H8" s="516"/>
      <c r="I8" s="516"/>
      <c r="J8" s="516"/>
      <c r="K8" s="516"/>
      <c r="L8" s="516"/>
      <c r="M8" s="516"/>
      <c r="N8" s="516"/>
      <c r="O8" s="133" t="s">
        <v>35</v>
      </c>
      <c r="P8" s="134"/>
      <c r="Q8" s="135" t="s">
        <v>36</v>
      </c>
      <c r="R8" s="136"/>
      <c r="S8" s="137"/>
      <c r="T8" s="138"/>
      <c r="U8" s="139">
        <f>SUM(U9:U9)</f>
        <v>28416.959999999999</v>
      </c>
      <c r="V8" s="137"/>
      <c r="W8" s="139">
        <f>SUM(W9:W9)</f>
        <v>0</v>
      </c>
      <c r="X8" s="137"/>
      <c r="Y8" s="139">
        <f>SUM(Y9:Y9)</f>
        <v>0</v>
      </c>
      <c r="Z8" s="137"/>
      <c r="AA8" s="139">
        <f>SUM(AA9:AA9)</f>
        <v>0</v>
      </c>
      <c r="AB8" s="137"/>
      <c r="AC8" s="139">
        <f>SUM(AC9:AC9)</f>
        <v>0</v>
      </c>
      <c r="AD8" s="137"/>
      <c r="AE8" s="139">
        <f>SUM(AE9:AE9)</f>
        <v>0</v>
      </c>
      <c r="AF8" s="137"/>
      <c r="AG8" s="139">
        <f>SUM(AG9:AG9)</f>
        <v>0</v>
      </c>
      <c r="AH8" s="137"/>
      <c r="AI8" s="139">
        <f>SUM(AI9:AI9)</f>
        <v>0</v>
      </c>
      <c r="AJ8" s="137"/>
      <c r="AK8" s="139">
        <f>SUM(AK9:AK9)</f>
        <v>0</v>
      </c>
      <c r="AL8" s="137"/>
      <c r="AM8" s="139">
        <f>SUM(AM9:AM9)</f>
        <v>0</v>
      </c>
      <c r="AN8" s="137"/>
      <c r="AO8" s="139">
        <f>SUM(AO9:AO9)</f>
        <v>0</v>
      </c>
      <c r="AP8" s="137"/>
      <c r="AQ8" s="139">
        <f>SUM(AQ9:AQ9)</f>
        <v>0</v>
      </c>
      <c r="AR8" s="137"/>
      <c r="AS8" s="139">
        <f>SUM(AS9:AS9)</f>
        <v>0</v>
      </c>
      <c r="AT8" s="137"/>
      <c r="AU8" s="139">
        <f>SUM(AU9:AU9)</f>
        <v>0</v>
      </c>
      <c r="AV8" s="137"/>
      <c r="AW8" s="139">
        <f>SUM(AW9:AW9)</f>
        <v>0</v>
      </c>
      <c r="AX8" s="137"/>
      <c r="AY8" s="139">
        <f>SUM(AY9:AY9)</f>
        <v>0</v>
      </c>
      <c r="AZ8" s="137"/>
      <c r="BA8" s="139">
        <f>SUM(BA9:BA9)</f>
        <v>0</v>
      </c>
      <c r="BB8" s="137"/>
      <c r="BC8" s="139">
        <f>SUM(BC9:BC9)</f>
        <v>0</v>
      </c>
      <c r="BD8" s="137"/>
      <c r="BE8" s="139">
        <f>SUM(BE9:BE9)</f>
        <v>0</v>
      </c>
      <c r="BF8" s="137"/>
      <c r="BG8" s="139">
        <f>SUM(BG9:BG9)</f>
        <v>0</v>
      </c>
      <c r="BH8" s="45"/>
    </row>
    <row r="9" spans="1:61" ht="26.25" customHeight="1" x14ac:dyDescent="0.45">
      <c r="A9" s="140">
        <v>1</v>
      </c>
      <c r="B9" s="141" t="s">
        <v>34</v>
      </c>
      <c r="C9" s="142" t="s">
        <v>1464</v>
      </c>
      <c r="D9" s="143" t="str">
        <f>B9&amp;"_"&amp;E9</f>
        <v>1.1_1.1.1</v>
      </c>
      <c r="E9" s="56" t="s">
        <v>37</v>
      </c>
      <c r="F9" s="506" t="s">
        <v>38</v>
      </c>
      <c r="G9" s="507" t="s">
        <v>39</v>
      </c>
      <c r="H9" s="507" t="s">
        <v>39</v>
      </c>
      <c r="I9" s="507" t="s">
        <v>39</v>
      </c>
      <c r="J9" s="507" t="s">
        <v>39</v>
      </c>
      <c r="K9" s="507" t="s">
        <v>39</v>
      </c>
      <c r="L9" s="507" t="s">
        <v>39</v>
      </c>
      <c r="M9" s="507" t="s">
        <v>40</v>
      </c>
      <c r="N9" s="507" t="s">
        <v>41</v>
      </c>
      <c r="O9" s="57" t="s">
        <v>42</v>
      </c>
      <c r="P9" s="58" t="s">
        <v>21</v>
      </c>
      <c r="Q9" s="59" t="s">
        <v>43</v>
      </c>
      <c r="R9" s="60" t="s">
        <v>44</v>
      </c>
      <c r="S9" s="61">
        <v>18</v>
      </c>
      <c r="T9" s="62">
        <f>INDEX('BM MORRO DA CRUZ'!$P$6:$P$402,MATCH($O9,'BM MORRO DA CRUZ'!$K$6:$K$402,0))</f>
        <v>1578.72</v>
      </c>
      <c r="U9" s="63">
        <f>ROUND(T9*$S9,2)</f>
        <v>28416.959999999999</v>
      </c>
      <c r="V9" s="61">
        <f>IFERROR(SUMIFS('01ª MC'!$W$1:$W$1840,'01ª MC'!$C$1:$C$1840,$D9),0)</f>
        <v>0</v>
      </c>
      <c r="W9" s="63">
        <f>ROUND(V9*$T9,2)</f>
        <v>0</v>
      </c>
      <c r="X9" s="61">
        <v>0</v>
      </c>
      <c r="Y9" s="63">
        <f>ROUND(X9*$T9,2)</f>
        <v>0</v>
      </c>
      <c r="Z9" s="61">
        <v>0</v>
      </c>
      <c r="AA9" s="63">
        <f>ROUND(Z9*$T9,2)</f>
        <v>0</v>
      </c>
      <c r="AB9" s="61">
        <v>0</v>
      </c>
      <c r="AC9" s="63">
        <f>ROUND(AB9*$T9,2)</f>
        <v>0</v>
      </c>
      <c r="AD9" s="61">
        <v>0</v>
      </c>
      <c r="AE9" s="63">
        <f>ROUND(AD9*$T9,2)</f>
        <v>0</v>
      </c>
      <c r="AF9" s="61">
        <v>0</v>
      </c>
      <c r="AG9" s="63">
        <f>ROUND(AF9*$T9,2)</f>
        <v>0</v>
      </c>
      <c r="AH9" s="61">
        <v>0</v>
      </c>
      <c r="AI9" s="63">
        <f>ROUND(AH9*$T9,2)</f>
        <v>0</v>
      </c>
      <c r="AJ9" s="61">
        <v>0</v>
      </c>
      <c r="AK9" s="63">
        <f>ROUND(AJ9*$T9,2)</f>
        <v>0</v>
      </c>
      <c r="AL9" s="61">
        <v>0</v>
      </c>
      <c r="AM9" s="63">
        <f>ROUND(AL9*$T9,2)</f>
        <v>0</v>
      </c>
      <c r="AN9" s="61">
        <v>0</v>
      </c>
      <c r="AO9" s="63">
        <f>ROUND(AN9*$T9,2)</f>
        <v>0</v>
      </c>
      <c r="AP9" s="61">
        <v>0</v>
      </c>
      <c r="AQ9" s="63">
        <f>ROUND(AP9*$T9,2)</f>
        <v>0</v>
      </c>
      <c r="AR9" s="61">
        <v>0</v>
      </c>
      <c r="AS9" s="63">
        <f>ROUND(AR9*$T9,2)</f>
        <v>0</v>
      </c>
      <c r="AT9" s="61">
        <v>0</v>
      </c>
      <c r="AU9" s="63">
        <f>ROUND(AT9*$T9,2)</f>
        <v>0</v>
      </c>
      <c r="AV9" s="61">
        <v>0</v>
      </c>
      <c r="AW9" s="63">
        <f>ROUND(AV9*$T9,2)</f>
        <v>0</v>
      </c>
      <c r="AX9" s="61">
        <v>0</v>
      </c>
      <c r="AY9" s="63">
        <f>ROUND(AX9*$T9,2)</f>
        <v>0</v>
      </c>
      <c r="AZ9" s="61">
        <v>0</v>
      </c>
      <c r="BA9" s="63">
        <f>ROUND(AZ9*$T9,2)</f>
        <v>0</v>
      </c>
      <c r="BB9" s="61">
        <v>0</v>
      </c>
      <c r="BC9" s="63">
        <f>ROUND(BB9*$T9,2)</f>
        <v>0</v>
      </c>
      <c r="BD9" s="61">
        <v>0</v>
      </c>
      <c r="BE9" s="63">
        <f>ROUND(BD9*$T9,2)</f>
        <v>0</v>
      </c>
      <c r="BF9" s="61">
        <f>IFERROR(SUMIFS($V9:$BE9,$V$5:$BE$5,$BF$5),0)</f>
        <v>0</v>
      </c>
      <c r="BG9" s="63">
        <f>SUMIFS($V9:$BE9,$V$5:$BE$5,$W$5)</f>
        <v>0</v>
      </c>
      <c r="BH9" s="45"/>
      <c r="BI9" s="144"/>
    </row>
    <row r="10" spans="1:61" ht="19.5" customHeight="1" x14ac:dyDescent="0.45">
      <c r="A10" s="128">
        <v>1</v>
      </c>
      <c r="B10" s="129"/>
      <c r="C10" s="130"/>
      <c r="D10" s="131"/>
      <c r="E10" s="132" t="s">
        <v>45</v>
      </c>
      <c r="F10" s="515"/>
      <c r="G10" s="516"/>
      <c r="H10" s="516"/>
      <c r="I10" s="516"/>
      <c r="J10" s="516"/>
      <c r="K10" s="516"/>
      <c r="L10" s="516"/>
      <c r="M10" s="516"/>
      <c r="N10" s="516"/>
      <c r="O10" s="133" t="s">
        <v>46</v>
      </c>
      <c r="P10" s="134"/>
      <c r="Q10" s="135" t="s">
        <v>47</v>
      </c>
      <c r="R10" s="136"/>
      <c r="S10" s="137"/>
      <c r="T10" s="138"/>
      <c r="U10" s="139">
        <f>SUM(U11:U11)</f>
        <v>16736.7</v>
      </c>
      <c r="V10" s="137"/>
      <c r="W10" s="139">
        <f>SUM(W11:W11)</f>
        <v>0</v>
      </c>
      <c r="X10" s="137"/>
      <c r="Y10" s="139">
        <f>SUM(Y11:Y11)</f>
        <v>0</v>
      </c>
      <c r="Z10" s="137"/>
      <c r="AA10" s="139">
        <f>SUM(AA11:AA11)</f>
        <v>0</v>
      </c>
      <c r="AB10" s="137"/>
      <c r="AC10" s="139">
        <f>SUM(AC11:AC11)</f>
        <v>0</v>
      </c>
      <c r="AD10" s="137"/>
      <c r="AE10" s="139">
        <f>SUM(AE11:AE11)</f>
        <v>0</v>
      </c>
      <c r="AF10" s="137"/>
      <c r="AG10" s="139">
        <f>SUM(AG11:AG11)</f>
        <v>0</v>
      </c>
      <c r="AH10" s="137"/>
      <c r="AI10" s="139">
        <f>SUM(AI11:AI11)</f>
        <v>0</v>
      </c>
      <c r="AJ10" s="137"/>
      <c r="AK10" s="139">
        <f>SUM(AK11:AK11)</f>
        <v>0</v>
      </c>
      <c r="AL10" s="137"/>
      <c r="AM10" s="139">
        <f>SUM(AM11:AM11)</f>
        <v>0</v>
      </c>
      <c r="AN10" s="137"/>
      <c r="AO10" s="139">
        <f>SUM(AO11:AO11)</f>
        <v>0</v>
      </c>
      <c r="AP10" s="137"/>
      <c r="AQ10" s="139">
        <f>SUM(AQ11:AQ11)</f>
        <v>0</v>
      </c>
      <c r="AR10" s="137"/>
      <c r="AS10" s="139">
        <f>SUM(AS11:AS11)</f>
        <v>0</v>
      </c>
      <c r="AT10" s="137"/>
      <c r="AU10" s="139">
        <f>SUM(AU11:AU11)</f>
        <v>0</v>
      </c>
      <c r="AV10" s="137"/>
      <c r="AW10" s="139">
        <f>SUM(AW11:AW11)</f>
        <v>0</v>
      </c>
      <c r="AX10" s="137"/>
      <c r="AY10" s="139">
        <f>SUM(AY11:AY11)</f>
        <v>0</v>
      </c>
      <c r="AZ10" s="137"/>
      <c r="BA10" s="139">
        <f>SUM(BA11:BA11)</f>
        <v>0</v>
      </c>
      <c r="BB10" s="137"/>
      <c r="BC10" s="139">
        <f>SUM(BC11:BC11)</f>
        <v>0</v>
      </c>
      <c r="BD10" s="137"/>
      <c r="BE10" s="139">
        <f>SUM(BE11:BE11)</f>
        <v>0</v>
      </c>
      <c r="BF10" s="137"/>
      <c r="BG10" s="139">
        <f>SUM(BG11:BG11)</f>
        <v>0</v>
      </c>
      <c r="BH10" s="45"/>
    </row>
    <row r="11" spans="1:61" ht="26.25" customHeight="1" x14ac:dyDescent="0.45">
      <c r="A11" s="140">
        <v>1</v>
      </c>
      <c r="B11" s="141" t="s">
        <v>34</v>
      </c>
      <c r="C11" s="142" t="s">
        <v>1464</v>
      </c>
      <c r="D11" s="143" t="str">
        <f>B11&amp;"_"&amp;E11</f>
        <v>1.1_1.2.2</v>
      </c>
      <c r="E11" s="56" t="s">
        <v>55</v>
      </c>
      <c r="F11" s="506" t="s">
        <v>56</v>
      </c>
      <c r="G11" s="507" t="s">
        <v>39</v>
      </c>
      <c r="H11" s="507" t="s">
        <v>39</v>
      </c>
      <c r="I11" s="507" t="s">
        <v>39</v>
      </c>
      <c r="J11" s="507" t="s">
        <v>39</v>
      </c>
      <c r="K11" s="507" t="s">
        <v>39</v>
      </c>
      <c r="L11" s="507" t="s">
        <v>39</v>
      </c>
      <c r="M11" s="507" t="s">
        <v>57</v>
      </c>
      <c r="N11" s="507" t="s">
        <v>51</v>
      </c>
      <c r="O11" s="57" t="s">
        <v>58</v>
      </c>
      <c r="P11" s="58" t="s">
        <v>21</v>
      </c>
      <c r="Q11" s="59" t="s">
        <v>59</v>
      </c>
      <c r="R11" s="60" t="s">
        <v>54</v>
      </c>
      <c r="S11" s="61">
        <v>977.04</v>
      </c>
      <c r="T11" s="62">
        <f>INDEX('BM MORRO DA CRUZ'!$P$6:$P$402,MATCH($O11,'BM MORRO DA CRUZ'!$K$6:$K$402,0))</f>
        <v>17.13</v>
      </c>
      <c r="U11" s="63">
        <f>ROUND(T11*$S11,2)</f>
        <v>16736.7</v>
      </c>
      <c r="V11" s="61">
        <f>IFERROR(SUMIFS('01ª MC'!$W$1:$W$1840,'01ª MC'!$C$1:$C$1840,$D11),0)</f>
        <v>0</v>
      </c>
      <c r="W11" s="63">
        <f>ROUND(V11*$T11,2)</f>
        <v>0</v>
      </c>
      <c r="X11" s="61">
        <v>0</v>
      </c>
      <c r="Y11" s="63">
        <f>ROUND(X11*$T11,2)</f>
        <v>0</v>
      </c>
      <c r="Z11" s="61">
        <v>0</v>
      </c>
      <c r="AA11" s="63">
        <f>ROUND(Z11*$T11,2)</f>
        <v>0</v>
      </c>
      <c r="AB11" s="61">
        <v>0</v>
      </c>
      <c r="AC11" s="63">
        <f>ROUND(AB11*$T11,2)</f>
        <v>0</v>
      </c>
      <c r="AD11" s="61">
        <v>0</v>
      </c>
      <c r="AE11" s="63">
        <f>ROUND(AD11*$T11,2)</f>
        <v>0</v>
      </c>
      <c r="AF11" s="61">
        <v>0</v>
      </c>
      <c r="AG11" s="63">
        <f>ROUND(AF11*$T11,2)</f>
        <v>0</v>
      </c>
      <c r="AH11" s="61">
        <v>0</v>
      </c>
      <c r="AI11" s="63">
        <f>ROUND(AH11*$T11,2)</f>
        <v>0</v>
      </c>
      <c r="AJ11" s="61">
        <v>0</v>
      </c>
      <c r="AK11" s="63">
        <f>ROUND(AJ11*$T11,2)</f>
        <v>0</v>
      </c>
      <c r="AL11" s="61">
        <v>0</v>
      </c>
      <c r="AM11" s="63">
        <f>ROUND(AL11*$T11,2)</f>
        <v>0</v>
      </c>
      <c r="AN11" s="61">
        <v>0</v>
      </c>
      <c r="AO11" s="63">
        <f>ROUND(AN11*$T11,2)</f>
        <v>0</v>
      </c>
      <c r="AP11" s="61">
        <v>0</v>
      </c>
      <c r="AQ11" s="63">
        <f>ROUND(AP11*$T11,2)</f>
        <v>0</v>
      </c>
      <c r="AR11" s="61">
        <v>0</v>
      </c>
      <c r="AS11" s="63">
        <f>ROUND(AR11*$T11,2)</f>
        <v>0</v>
      </c>
      <c r="AT11" s="61">
        <v>0</v>
      </c>
      <c r="AU11" s="63">
        <f>ROUND(AT11*$T11,2)</f>
        <v>0</v>
      </c>
      <c r="AV11" s="61">
        <v>0</v>
      </c>
      <c r="AW11" s="63">
        <f>ROUND(AV11*$T11,2)</f>
        <v>0</v>
      </c>
      <c r="AX11" s="61">
        <v>0</v>
      </c>
      <c r="AY11" s="63">
        <f>ROUND(AX11*$T11,2)</f>
        <v>0</v>
      </c>
      <c r="AZ11" s="61">
        <v>0</v>
      </c>
      <c r="BA11" s="63">
        <f>ROUND(AZ11*$T11,2)</f>
        <v>0</v>
      </c>
      <c r="BB11" s="61">
        <v>0</v>
      </c>
      <c r="BC11" s="63">
        <f>ROUND(BB11*$T11,2)</f>
        <v>0</v>
      </c>
      <c r="BD11" s="61">
        <v>0</v>
      </c>
      <c r="BE11" s="63">
        <f>ROUND(BD11*$T11,2)</f>
        <v>0</v>
      </c>
      <c r="BF11" s="61">
        <f>IFERROR(SUMIFS($V11:$BE11,$V$5:$BE$5,$BF$5),0)</f>
        <v>0</v>
      </c>
      <c r="BG11" s="63">
        <f>SUMIFS($V11:$BE11,$V$5:$BE$5,$W$5)</f>
        <v>0</v>
      </c>
      <c r="BH11" s="45"/>
      <c r="BI11" s="144"/>
    </row>
    <row r="12" spans="1:61" ht="19.5" customHeight="1" x14ac:dyDescent="0.45">
      <c r="A12" s="128">
        <v>1</v>
      </c>
      <c r="B12" s="129"/>
      <c r="C12" s="130"/>
      <c r="D12" s="131"/>
      <c r="E12" s="132" t="s">
        <v>90</v>
      </c>
      <c r="F12" s="515"/>
      <c r="G12" s="516"/>
      <c r="H12" s="516"/>
      <c r="I12" s="516"/>
      <c r="J12" s="516"/>
      <c r="K12" s="516"/>
      <c r="L12" s="516"/>
      <c r="M12" s="516"/>
      <c r="N12" s="516"/>
      <c r="O12" s="133" t="s">
        <v>91</v>
      </c>
      <c r="P12" s="134"/>
      <c r="Q12" s="135" t="s">
        <v>92</v>
      </c>
      <c r="R12" s="136"/>
      <c r="S12" s="137"/>
      <c r="T12" s="138"/>
      <c r="U12" s="139">
        <f>SUM(U13:U13)</f>
        <v>5200</v>
      </c>
      <c r="V12" s="137"/>
      <c r="W12" s="139">
        <f>SUM(W13:W13)</f>
        <v>0</v>
      </c>
      <c r="X12" s="137"/>
      <c r="Y12" s="139">
        <f>SUM(Y13:Y13)</f>
        <v>0</v>
      </c>
      <c r="Z12" s="137"/>
      <c r="AA12" s="139">
        <f>SUM(AA13:AA13)</f>
        <v>0</v>
      </c>
      <c r="AB12" s="137"/>
      <c r="AC12" s="139">
        <f>SUM(AC13:AC13)</f>
        <v>0</v>
      </c>
      <c r="AD12" s="137"/>
      <c r="AE12" s="139">
        <f>SUM(AE13:AE13)</f>
        <v>0</v>
      </c>
      <c r="AF12" s="137"/>
      <c r="AG12" s="139">
        <f>SUM(AG13:AG13)</f>
        <v>0</v>
      </c>
      <c r="AH12" s="137"/>
      <c r="AI12" s="139">
        <f>SUM(AI13:AI13)</f>
        <v>0</v>
      </c>
      <c r="AJ12" s="137"/>
      <c r="AK12" s="139">
        <f>SUM(AK13:AK13)</f>
        <v>0</v>
      </c>
      <c r="AL12" s="137"/>
      <c r="AM12" s="139">
        <f>SUM(AM13:AM13)</f>
        <v>0</v>
      </c>
      <c r="AN12" s="137"/>
      <c r="AO12" s="139">
        <f>SUM(AO13:AO13)</f>
        <v>0</v>
      </c>
      <c r="AP12" s="137"/>
      <c r="AQ12" s="139">
        <f>SUM(AQ13:AQ13)</f>
        <v>0</v>
      </c>
      <c r="AR12" s="137"/>
      <c r="AS12" s="139">
        <f>SUM(AS13:AS13)</f>
        <v>0</v>
      </c>
      <c r="AT12" s="137"/>
      <c r="AU12" s="139">
        <f>SUM(AU13:AU13)</f>
        <v>0</v>
      </c>
      <c r="AV12" s="137"/>
      <c r="AW12" s="139">
        <f>SUM(AW13:AW13)</f>
        <v>0</v>
      </c>
      <c r="AX12" s="137"/>
      <c r="AY12" s="139">
        <f>SUM(AY13:AY13)</f>
        <v>0</v>
      </c>
      <c r="AZ12" s="137"/>
      <c r="BA12" s="139">
        <f>SUM(BA13:BA13)</f>
        <v>0</v>
      </c>
      <c r="BB12" s="137"/>
      <c r="BC12" s="139">
        <f>SUM(BC13:BC13)</f>
        <v>0</v>
      </c>
      <c r="BD12" s="137"/>
      <c r="BE12" s="139">
        <f>SUM(BE13:BE13)</f>
        <v>0</v>
      </c>
      <c r="BF12" s="137"/>
      <c r="BG12" s="139">
        <f>SUM(BG13:BG13)</f>
        <v>0</v>
      </c>
      <c r="BH12" s="45"/>
    </row>
    <row r="13" spans="1:61" ht="19.5" customHeight="1" x14ac:dyDescent="0.45">
      <c r="A13" s="140">
        <v>1</v>
      </c>
      <c r="B13" s="141" t="s">
        <v>34</v>
      </c>
      <c r="C13" s="142" t="s">
        <v>1464</v>
      </c>
      <c r="D13" s="143" t="str">
        <f>B13&amp;"_"&amp;E13</f>
        <v>1.1_1.6.1</v>
      </c>
      <c r="E13" s="56" t="s">
        <v>93</v>
      </c>
      <c r="F13" s="506" t="s">
        <v>94</v>
      </c>
      <c r="G13" s="507" t="s">
        <v>39</v>
      </c>
      <c r="H13" s="507" t="s">
        <v>39</v>
      </c>
      <c r="I13" s="507" t="s">
        <v>95</v>
      </c>
      <c r="J13" s="507" t="s">
        <v>39</v>
      </c>
      <c r="K13" s="507" t="s">
        <v>96</v>
      </c>
      <c r="L13" s="507" t="s">
        <v>97</v>
      </c>
      <c r="M13" s="507" t="s">
        <v>40</v>
      </c>
      <c r="N13" s="507" t="s">
        <v>40</v>
      </c>
      <c r="O13" s="57" t="s">
        <v>98</v>
      </c>
      <c r="P13" s="58" t="s">
        <v>21</v>
      </c>
      <c r="Q13" s="59" t="s">
        <v>94</v>
      </c>
      <c r="R13" s="60" t="s">
        <v>71</v>
      </c>
      <c r="S13" s="61">
        <v>2</v>
      </c>
      <c r="T13" s="62">
        <f>INDEX('BM MORRO DA CRUZ'!$P$6:$P$402,MATCH($O13,'BM MORRO DA CRUZ'!$K$6:$K$402,0))</f>
        <v>2600</v>
      </c>
      <c r="U13" s="63">
        <f>ROUND(T13*$S13,2)</f>
        <v>5200</v>
      </c>
      <c r="V13" s="61">
        <f>IFERROR(SUMIFS('01ª MC'!$W$1:$W$1840,'01ª MC'!$C$1:$C$1840,$D13),0)</f>
        <v>0</v>
      </c>
      <c r="W13" s="63">
        <f>ROUND(V13*$T13,2)</f>
        <v>0</v>
      </c>
      <c r="X13" s="61">
        <v>0</v>
      </c>
      <c r="Y13" s="63">
        <f>ROUND(X13*$T13,2)</f>
        <v>0</v>
      </c>
      <c r="Z13" s="61">
        <v>0</v>
      </c>
      <c r="AA13" s="63">
        <f>ROUND(Z13*$T13,2)</f>
        <v>0</v>
      </c>
      <c r="AB13" s="61">
        <v>0</v>
      </c>
      <c r="AC13" s="63">
        <f>ROUND(AB13*$T13,2)</f>
        <v>0</v>
      </c>
      <c r="AD13" s="61">
        <v>0</v>
      </c>
      <c r="AE13" s="63">
        <f>ROUND(AD13*$T13,2)</f>
        <v>0</v>
      </c>
      <c r="AF13" s="61">
        <v>0</v>
      </c>
      <c r="AG13" s="63">
        <f>ROUND(AF13*$T13,2)</f>
        <v>0</v>
      </c>
      <c r="AH13" s="61">
        <v>0</v>
      </c>
      <c r="AI13" s="63">
        <f>ROUND(AH13*$T13,2)</f>
        <v>0</v>
      </c>
      <c r="AJ13" s="61">
        <v>0</v>
      </c>
      <c r="AK13" s="63">
        <f>ROUND(AJ13*$T13,2)</f>
        <v>0</v>
      </c>
      <c r="AL13" s="61">
        <v>0</v>
      </c>
      <c r="AM13" s="63">
        <f>ROUND(AL13*$T13,2)</f>
        <v>0</v>
      </c>
      <c r="AN13" s="61">
        <v>0</v>
      </c>
      <c r="AO13" s="63">
        <f>ROUND(AN13*$T13,2)</f>
        <v>0</v>
      </c>
      <c r="AP13" s="61">
        <v>0</v>
      </c>
      <c r="AQ13" s="63">
        <f>ROUND(AP13*$T13,2)</f>
        <v>0</v>
      </c>
      <c r="AR13" s="61">
        <v>0</v>
      </c>
      <c r="AS13" s="63">
        <f>ROUND(AR13*$T13,2)</f>
        <v>0</v>
      </c>
      <c r="AT13" s="61">
        <v>0</v>
      </c>
      <c r="AU13" s="63">
        <f>ROUND(AT13*$T13,2)</f>
        <v>0</v>
      </c>
      <c r="AV13" s="61">
        <v>0</v>
      </c>
      <c r="AW13" s="63">
        <f>ROUND(AV13*$T13,2)</f>
        <v>0</v>
      </c>
      <c r="AX13" s="61">
        <v>0</v>
      </c>
      <c r="AY13" s="63">
        <f>ROUND(AX13*$T13,2)</f>
        <v>0</v>
      </c>
      <c r="AZ13" s="61">
        <v>0</v>
      </c>
      <c r="BA13" s="63">
        <f>ROUND(AZ13*$T13,2)</f>
        <v>0</v>
      </c>
      <c r="BB13" s="61">
        <v>0</v>
      </c>
      <c r="BC13" s="63">
        <f>ROUND(BB13*$T13,2)</f>
        <v>0</v>
      </c>
      <c r="BD13" s="61">
        <v>0</v>
      </c>
      <c r="BE13" s="63">
        <f>ROUND(BD13*$T13,2)</f>
        <v>0</v>
      </c>
      <c r="BF13" s="61">
        <f>IFERROR(SUMIFS($V13:$BE13,$V$5:$BE$5,$BF$5),0)</f>
        <v>0</v>
      </c>
      <c r="BG13" s="63">
        <f>SUMIFS($V13:$BE13,$V$5:$BE$5,$W$5)</f>
        <v>0</v>
      </c>
      <c r="BH13" s="45"/>
      <c r="BI13" s="144"/>
    </row>
    <row r="14" spans="1:61" ht="19.5" customHeight="1" x14ac:dyDescent="0.45">
      <c r="A14" s="128">
        <v>1</v>
      </c>
      <c r="B14" s="129"/>
      <c r="C14" s="130"/>
      <c r="D14" s="131"/>
      <c r="E14" s="132" t="s">
        <v>99</v>
      </c>
      <c r="F14" s="515"/>
      <c r="G14" s="516"/>
      <c r="H14" s="516"/>
      <c r="I14" s="516"/>
      <c r="J14" s="516"/>
      <c r="K14" s="516"/>
      <c r="L14" s="516"/>
      <c r="M14" s="516"/>
      <c r="N14" s="516"/>
      <c r="O14" s="133" t="s">
        <v>100</v>
      </c>
      <c r="P14" s="134"/>
      <c r="Q14" s="135" t="s">
        <v>101</v>
      </c>
      <c r="R14" s="136"/>
      <c r="S14" s="137"/>
      <c r="T14" s="138"/>
      <c r="U14" s="139">
        <f>SUM(U15:U15)</f>
        <v>8892.18</v>
      </c>
      <c r="V14" s="137"/>
      <c r="W14" s="139">
        <f>SUM(W15:W15)</f>
        <v>0</v>
      </c>
      <c r="X14" s="137"/>
      <c r="Y14" s="139">
        <f>SUM(Y15:Y15)</f>
        <v>0</v>
      </c>
      <c r="Z14" s="137"/>
      <c r="AA14" s="139">
        <f>SUM(AA15:AA15)</f>
        <v>0</v>
      </c>
      <c r="AB14" s="137"/>
      <c r="AC14" s="139">
        <f>SUM(AC15:AC15)</f>
        <v>0</v>
      </c>
      <c r="AD14" s="137"/>
      <c r="AE14" s="139">
        <f>SUM(AE15:AE15)</f>
        <v>0</v>
      </c>
      <c r="AF14" s="137"/>
      <c r="AG14" s="139">
        <f>SUM(AG15:AG15)</f>
        <v>0</v>
      </c>
      <c r="AH14" s="137"/>
      <c r="AI14" s="139">
        <f>SUM(AI15:AI15)</f>
        <v>0</v>
      </c>
      <c r="AJ14" s="137"/>
      <c r="AK14" s="139">
        <f>SUM(AK15:AK15)</f>
        <v>0</v>
      </c>
      <c r="AL14" s="137"/>
      <c r="AM14" s="139">
        <f>SUM(AM15:AM15)</f>
        <v>0</v>
      </c>
      <c r="AN14" s="137"/>
      <c r="AO14" s="139">
        <f>SUM(AO15:AO15)</f>
        <v>0</v>
      </c>
      <c r="AP14" s="137"/>
      <c r="AQ14" s="139">
        <f>SUM(AQ15:AQ15)</f>
        <v>0</v>
      </c>
      <c r="AR14" s="137"/>
      <c r="AS14" s="139">
        <f>SUM(AS15:AS15)</f>
        <v>0</v>
      </c>
      <c r="AT14" s="137"/>
      <c r="AU14" s="139">
        <f>SUM(AU15:AU15)</f>
        <v>0</v>
      </c>
      <c r="AV14" s="137"/>
      <c r="AW14" s="139">
        <f>SUM(AW15:AW15)</f>
        <v>0</v>
      </c>
      <c r="AX14" s="137"/>
      <c r="AY14" s="139">
        <f>SUM(AY15:AY15)</f>
        <v>0</v>
      </c>
      <c r="AZ14" s="137"/>
      <c r="BA14" s="139">
        <f>SUM(BA15:BA15)</f>
        <v>0</v>
      </c>
      <c r="BB14" s="137"/>
      <c r="BC14" s="139">
        <f>SUM(BC15:BC15)</f>
        <v>0</v>
      </c>
      <c r="BD14" s="137"/>
      <c r="BE14" s="139">
        <f>SUM(BE15:BE15)</f>
        <v>0</v>
      </c>
      <c r="BF14" s="137"/>
      <c r="BG14" s="139">
        <f>SUM(BG15:BG15)</f>
        <v>0</v>
      </c>
      <c r="BH14" s="45"/>
    </row>
    <row r="15" spans="1:61" ht="63" customHeight="1" x14ac:dyDescent="0.45">
      <c r="A15" s="140">
        <v>1</v>
      </c>
      <c r="B15" s="141" t="s">
        <v>34</v>
      </c>
      <c r="C15" s="142" t="s">
        <v>1464</v>
      </c>
      <c r="D15" s="143" t="str">
        <f>B15&amp;"_"&amp;E15</f>
        <v>1.1_1.7.1</v>
      </c>
      <c r="E15" s="56" t="s">
        <v>102</v>
      </c>
      <c r="F15" s="506" t="s">
        <v>103</v>
      </c>
      <c r="G15" s="507" t="s">
        <v>39</v>
      </c>
      <c r="H15" s="507" t="s">
        <v>39</v>
      </c>
      <c r="I15" s="507" t="s">
        <v>39</v>
      </c>
      <c r="J15" s="507" t="s">
        <v>39</v>
      </c>
      <c r="K15" s="507" t="s">
        <v>39</v>
      </c>
      <c r="L15" s="507" t="s">
        <v>39</v>
      </c>
      <c r="M15" s="507" t="s">
        <v>40</v>
      </c>
      <c r="N15" s="507" t="s">
        <v>40</v>
      </c>
      <c r="O15" s="57" t="s">
        <v>104</v>
      </c>
      <c r="P15" s="58" t="s">
        <v>21</v>
      </c>
      <c r="Q15" s="59" t="s">
        <v>105</v>
      </c>
      <c r="R15" s="60" t="s">
        <v>44</v>
      </c>
      <c r="S15" s="61">
        <v>18</v>
      </c>
      <c r="T15" s="62">
        <f>INDEX('BM MORRO DA CRUZ'!$P$6:$P$402,MATCH($O15,'BM MORRO DA CRUZ'!$K$6:$K$402,0))</f>
        <v>494.01</v>
      </c>
      <c r="U15" s="63">
        <f>ROUND(T15*$S15,2)</f>
        <v>8892.18</v>
      </c>
      <c r="V15" s="61">
        <f>IFERROR(SUMIFS('01ª MC'!$W$1:$W$1840,'01ª MC'!$C$1:$C$1840,$D15),0)</f>
        <v>0</v>
      </c>
      <c r="W15" s="63">
        <f>ROUND(V15*$T15,2)</f>
        <v>0</v>
      </c>
      <c r="X15" s="61">
        <v>0</v>
      </c>
      <c r="Y15" s="63">
        <f>ROUND(X15*$T15,2)</f>
        <v>0</v>
      </c>
      <c r="Z15" s="61">
        <v>0</v>
      </c>
      <c r="AA15" s="63">
        <f>ROUND(Z15*$T15,2)</f>
        <v>0</v>
      </c>
      <c r="AB15" s="61">
        <v>0</v>
      </c>
      <c r="AC15" s="63">
        <f>ROUND(AB15*$T15,2)</f>
        <v>0</v>
      </c>
      <c r="AD15" s="61">
        <v>0</v>
      </c>
      <c r="AE15" s="63">
        <f>ROUND(AD15*$T15,2)</f>
        <v>0</v>
      </c>
      <c r="AF15" s="61">
        <v>0</v>
      </c>
      <c r="AG15" s="63">
        <f>ROUND(AF15*$T15,2)</f>
        <v>0</v>
      </c>
      <c r="AH15" s="61">
        <v>0</v>
      </c>
      <c r="AI15" s="63">
        <f>ROUND(AH15*$T15,2)</f>
        <v>0</v>
      </c>
      <c r="AJ15" s="61">
        <v>0</v>
      </c>
      <c r="AK15" s="63">
        <f>ROUND(AJ15*$T15,2)</f>
        <v>0</v>
      </c>
      <c r="AL15" s="61">
        <v>0</v>
      </c>
      <c r="AM15" s="63">
        <f>ROUND(AL15*$T15,2)</f>
        <v>0</v>
      </c>
      <c r="AN15" s="61">
        <v>0</v>
      </c>
      <c r="AO15" s="63">
        <f>ROUND(AN15*$T15,2)</f>
        <v>0</v>
      </c>
      <c r="AP15" s="61">
        <v>0</v>
      </c>
      <c r="AQ15" s="63">
        <f>ROUND(AP15*$T15,2)</f>
        <v>0</v>
      </c>
      <c r="AR15" s="61">
        <v>0</v>
      </c>
      <c r="AS15" s="63">
        <f>ROUND(AR15*$T15,2)</f>
        <v>0</v>
      </c>
      <c r="AT15" s="61">
        <v>0</v>
      </c>
      <c r="AU15" s="63">
        <f>ROUND(AT15*$T15,2)</f>
        <v>0</v>
      </c>
      <c r="AV15" s="61">
        <v>0</v>
      </c>
      <c r="AW15" s="63">
        <f>ROUND(AV15*$T15,2)</f>
        <v>0</v>
      </c>
      <c r="AX15" s="61">
        <v>0</v>
      </c>
      <c r="AY15" s="63">
        <f>ROUND(AX15*$T15,2)</f>
        <v>0</v>
      </c>
      <c r="AZ15" s="61">
        <v>0</v>
      </c>
      <c r="BA15" s="63">
        <f>ROUND(AZ15*$T15,2)</f>
        <v>0</v>
      </c>
      <c r="BB15" s="61">
        <v>0</v>
      </c>
      <c r="BC15" s="63">
        <f>ROUND(BB15*$T15,2)</f>
        <v>0</v>
      </c>
      <c r="BD15" s="61">
        <v>0</v>
      </c>
      <c r="BE15" s="63">
        <f>ROUND(BD15*$T15,2)</f>
        <v>0</v>
      </c>
      <c r="BF15" s="61">
        <f>IFERROR(SUMIFS($V15:$BE15,$V$5:$BE$5,$BF$5),0)</f>
        <v>0</v>
      </c>
      <c r="BG15" s="63">
        <f>SUMIFS($V15:$BE15,$V$5:$BE$5,$W$5)</f>
        <v>0</v>
      </c>
      <c r="BH15" s="45"/>
      <c r="BI15" s="144"/>
    </row>
    <row r="16" spans="1:61" ht="19.5" customHeight="1" x14ac:dyDescent="0.45">
      <c r="A16" s="128">
        <v>1</v>
      </c>
      <c r="B16" s="129"/>
      <c r="C16" s="130"/>
      <c r="D16" s="131"/>
      <c r="E16" s="132" t="s">
        <v>202</v>
      </c>
      <c r="F16" s="515"/>
      <c r="G16" s="516"/>
      <c r="H16" s="516"/>
      <c r="I16" s="516"/>
      <c r="J16" s="516"/>
      <c r="K16" s="516"/>
      <c r="L16" s="516"/>
      <c r="M16" s="516"/>
      <c r="N16" s="516"/>
      <c r="O16" s="133" t="s">
        <v>203</v>
      </c>
      <c r="P16" s="134"/>
      <c r="Q16" s="135" t="s">
        <v>204</v>
      </c>
      <c r="R16" s="136"/>
      <c r="S16" s="137"/>
      <c r="T16" s="138"/>
      <c r="U16" s="139">
        <f>SUM(U17:U18)</f>
        <v>250.59</v>
      </c>
      <c r="V16" s="137"/>
      <c r="W16" s="139">
        <f>SUM(W17:W18)</f>
        <v>0</v>
      </c>
      <c r="X16" s="137"/>
      <c r="Y16" s="139">
        <f>SUM(Y17:Y18)</f>
        <v>0</v>
      </c>
      <c r="Z16" s="137"/>
      <c r="AA16" s="139">
        <f>SUM(AA17:AA18)</f>
        <v>0</v>
      </c>
      <c r="AB16" s="137"/>
      <c r="AC16" s="139">
        <f>SUM(AC17:AC18)</f>
        <v>0</v>
      </c>
      <c r="AD16" s="137"/>
      <c r="AE16" s="139">
        <f>SUM(AE17:AE18)</f>
        <v>0</v>
      </c>
      <c r="AF16" s="137"/>
      <c r="AG16" s="139">
        <f>SUM(AG17:AG18)</f>
        <v>0</v>
      </c>
      <c r="AH16" s="137"/>
      <c r="AI16" s="139">
        <f>SUM(AI17:AI18)</f>
        <v>0</v>
      </c>
      <c r="AJ16" s="137"/>
      <c r="AK16" s="139">
        <f>SUM(AK17:AK18)</f>
        <v>0</v>
      </c>
      <c r="AL16" s="137"/>
      <c r="AM16" s="139">
        <f>SUM(AM17:AM18)</f>
        <v>0</v>
      </c>
      <c r="AN16" s="137"/>
      <c r="AO16" s="139">
        <f>SUM(AO17:AO18)</f>
        <v>0</v>
      </c>
      <c r="AP16" s="137"/>
      <c r="AQ16" s="139">
        <f>SUM(AQ17:AQ18)</f>
        <v>0</v>
      </c>
      <c r="AR16" s="137"/>
      <c r="AS16" s="139">
        <f>SUM(AS17:AS18)</f>
        <v>0</v>
      </c>
      <c r="AT16" s="137"/>
      <c r="AU16" s="139">
        <f>SUM(AU17:AU18)</f>
        <v>0</v>
      </c>
      <c r="AV16" s="137"/>
      <c r="AW16" s="139">
        <f>SUM(AW17:AW18)</f>
        <v>0</v>
      </c>
      <c r="AX16" s="137"/>
      <c r="AY16" s="139">
        <f>SUM(AY17:AY18)</f>
        <v>0</v>
      </c>
      <c r="AZ16" s="137"/>
      <c r="BA16" s="139">
        <f>SUM(BA17:BA18)</f>
        <v>0</v>
      </c>
      <c r="BB16" s="137"/>
      <c r="BC16" s="139">
        <f>SUM(BC17:BC18)</f>
        <v>0</v>
      </c>
      <c r="BD16" s="137"/>
      <c r="BE16" s="139">
        <f>SUM(BE17:BE18)</f>
        <v>0</v>
      </c>
      <c r="BF16" s="137"/>
      <c r="BG16" s="139">
        <f>SUM(BG17:BG18)</f>
        <v>0</v>
      </c>
      <c r="BH16" s="45"/>
    </row>
    <row r="17" spans="1:61" ht="19.5" customHeight="1" x14ac:dyDescent="0.45">
      <c r="A17" s="140">
        <v>1</v>
      </c>
      <c r="B17" s="141" t="s">
        <v>34</v>
      </c>
      <c r="C17" s="142" t="s">
        <v>1464</v>
      </c>
      <c r="D17" s="143" t="str">
        <f>B17&amp;"_"&amp;E17</f>
        <v>1.1_1.11.1</v>
      </c>
      <c r="E17" s="56" t="s">
        <v>205</v>
      </c>
      <c r="F17" s="506" t="s">
        <v>206</v>
      </c>
      <c r="G17" s="507" t="s">
        <v>39</v>
      </c>
      <c r="H17" s="507" t="s">
        <v>39</v>
      </c>
      <c r="I17" s="507" t="s">
        <v>207</v>
      </c>
      <c r="J17" s="507" t="s">
        <v>39</v>
      </c>
      <c r="K17" s="507" t="s">
        <v>208</v>
      </c>
      <c r="L17" s="507" t="s">
        <v>209</v>
      </c>
      <c r="M17" s="507" t="s">
        <v>40</v>
      </c>
      <c r="N17" s="507" t="s">
        <v>210</v>
      </c>
      <c r="O17" s="57" t="s">
        <v>211</v>
      </c>
      <c r="P17" s="58" t="s">
        <v>21</v>
      </c>
      <c r="Q17" s="59" t="s">
        <v>206</v>
      </c>
      <c r="R17" s="60" t="s">
        <v>71</v>
      </c>
      <c r="S17" s="61">
        <v>1</v>
      </c>
      <c r="T17" s="62">
        <f>INDEX('BM MORRO DA CRUZ'!$P$6:$P$402,MATCH($O17,'BM MORRO DA CRUZ'!$K$6:$K$402,0))</f>
        <v>129.9</v>
      </c>
      <c r="U17" s="63">
        <f>ROUND(T17*$S17,2)</f>
        <v>129.9</v>
      </c>
      <c r="V17" s="61">
        <f>IFERROR(SUMIFS('01ª MC'!$W$1:$W$1840,'01ª MC'!$C$1:$C$1840,$D17),0)</f>
        <v>0</v>
      </c>
      <c r="W17" s="63">
        <f>ROUND(V17*$T17,2)</f>
        <v>0</v>
      </c>
      <c r="X17" s="61">
        <v>0</v>
      </c>
      <c r="Y17" s="63">
        <f>ROUND(X17*$T17,2)</f>
        <v>0</v>
      </c>
      <c r="Z17" s="61">
        <v>0</v>
      </c>
      <c r="AA17" s="63">
        <f>ROUND(Z17*$T17,2)</f>
        <v>0</v>
      </c>
      <c r="AB17" s="61">
        <v>0</v>
      </c>
      <c r="AC17" s="63">
        <f>ROUND(AB17*$T17,2)</f>
        <v>0</v>
      </c>
      <c r="AD17" s="61">
        <v>0</v>
      </c>
      <c r="AE17" s="63">
        <f>ROUND(AD17*$T17,2)</f>
        <v>0</v>
      </c>
      <c r="AF17" s="61">
        <v>0</v>
      </c>
      <c r="AG17" s="63">
        <f>ROUND(AF17*$T17,2)</f>
        <v>0</v>
      </c>
      <c r="AH17" s="61">
        <v>0</v>
      </c>
      <c r="AI17" s="63">
        <f>ROUND(AH17*$T17,2)</f>
        <v>0</v>
      </c>
      <c r="AJ17" s="61">
        <v>0</v>
      </c>
      <c r="AK17" s="63">
        <f>ROUND(AJ17*$T17,2)</f>
        <v>0</v>
      </c>
      <c r="AL17" s="61">
        <v>0</v>
      </c>
      <c r="AM17" s="63">
        <f>ROUND(AL17*$T17,2)</f>
        <v>0</v>
      </c>
      <c r="AN17" s="61">
        <v>0</v>
      </c>
      <c r="AO17" s="63">
        <f>ROUND(AN17*$T17,2)</f>
        <v>0</v>
      </c>
      <c r="AP17" s="61">
        <v>0</v>
      </c>
      <c r="AQ17" s="63">
        <f>ROUND(AP17*$T17,2)</f>
        <v>0</v>
      </c>
      <c r="AR17" s="61">
        <v>0</v>
      </c>
      <c r="AS17" s="63">
        <f>ROUND(AR17*$T17,2)</f>
        <v>0</v>
      </c>
      <c r="AT17" s="61">
        <v>0</v>
      </c>
      <c r="AU17" s="63">
        <f>ROUND(AT17*$T17,2)</f>
        <v>0</v>
      </c>
      <c r="AV17" s="61">
        <v>0</v>
      </c>
      <c r="AW17" s="63">
        <f>ROUND(AV17*$T17,2)</f>
        <v>0</v>
      </c>
      <c r="AX17" s="61">
        <v>0</v>
      </c>
      <c r="AY17" s="63">
        <f>ROUND(AX17*$T17,2)</f>
        <v>0</v>
      </c>
      <c r="AZ17" s="61">
        <v>0</v>
      </c>
      <c r="BA17" s="63">
        <f>ROUND(AZ17*$T17,2)</f>
        <v>0</v>
      </c>
      <c r="BB17" s="61">
        <v>0</v>
      </c>
      <c r="BC17" s="63">
        <f>ROUND(BB17*$T17,2)</f>
        <v>0</v>
      </c>
      <c r="BD17" s="61">
        <v>0</v>
      </c>
      <c r="BE17" s="63">
        <f>ROUND(BD17*$T17,2)</f>
        <v>0</v>
      </c>
      <c r="BF17" s="61">
        <f>IFERROR(SUMIFS($V17:$BE17,$V$5:$BE$5,$BF$5),0)</f>
        <v>0</v>
      </c>
      <c r="BG17" s="63">
        <f>SUMIFS($V17:$BE17,$V$5:$BE$5,$W$5)</f>
        <v>0</v>
      </c>
      <c r="BH17" s="45"/>
      <c r="BI17" s="144"/>
    </row>
    <row r="18" spans="1:61" ht="26.25" customHeight="1" x14ac:dyDescent="0.45">
      <c r="A18" s="140">
        <v>1</v>
      </c>
      <c r="B18" s="141" t="s">
        <v>34</v>
      </c>
      <c r="C18" s="142" t="s">
        <v>1464</v>
      </c>
      <c r="D18" s="143" t="str">
        <f>B18&amp;"_"&amp;E18</f>
        <v>1.1_1.11.2</v>
      </c>
      <c r="E18" s="56" t="s">
        <v>212</v>
      </c>
      <c r="F18" s="506" t="s">
        <v>213</v>
      </c>
      <c r="G18" s="507" t="s">
        <v>39</v>
      </c>
      <c r="H18" s="507" t="s">
        <v>39</v>
      </c>
      <c r="I18" s="507" t="s">
        <v>214</v>
      </c>
      <c r="J18" s="507" t="s">
        <v>39</v>
      </c>
      <c r="K18" s="507" t="s">
        <v>66</v>
      </c>
      <c r="L18" s="507" t="s">
        <v>215</v>
      </c>
      <c r="M18" s="507" t="s">
        <v>216</v>
      </c>
      <c r="N18" s="507" t="s">
        <v>41</v>
      </c>
      <c r="O18" s="57" t="s">
        <v>217</v>
      </c>
      <c r="P18" s="58" t="s">
        <v>21</v>
      </c>
      <c r="Q18" s="59" t="s">
        <v>218</v>
      </c>
      <c r="R18" s="60" t="s">
        <v>71</v>
      </c>
      <c r="S18" s="61">
        <v>1</v>
      </c>
      <c r="T18" s="62">
        <f>INDEX('BM MORRO DA CRUZ'!$P$6:$P$402,MATCH($O18,'BM MORRO DA CRUZ'!$K$6:$K$402,0))</f>
        <v>120.69</v>
      </c>
      <c r="U18" s="63">
        <f>ROUND(T18*$S18,2)</f>
        <v>120.69</v>
      </c>
      <c r="V18" s="61">
        <f>IFERROR(SUMIFS('01ª MC'!$W$1:$W$1840,'01ª MC'!$C$1:$C$1840,$D18),0)</f>
        <v>0</v>
      </c>
      <c r="W18" s="63">
        <f>ROUND(V18*$T18,2)</f>
        <v>0</v>
      </c>
      <c r="X18" s="61">
        <v>0</v>
      </c>
      <c r="Y18" s="63">
        <f>ROUND(X18*$T18,2)</f>
        <v>0</v>
      </c>
      <c r="Z18" s="61">
        <v>0</v>
      </c>
      <c r="AA18" s="63">
        <f>ROUND(Z18*$T18,2)</f>
        <v>0</v>
      </c>
      <c r="AB18" s="61">
        <v>0</v>
      </c>
      <c r="AC18" s="63">
        <f>ROUND(AB18*$T18,2)</f>
        <v>0</v>
      </c>
      <c r="AD18" s="61">
        <v>0</v>
      </c>
      <c r="AE18" s="63">
        <f>ROUND(AD18*$T18,2)</f>
        <v>0</v>
      </c>
      <c r="AF18" s="61">
        <v>0</v>
      </c>
      <c r="AG18" s="63">
        <f>ROUND(AF18*$T18,2)</f>
        <v>0</v>
      </c>
      <c r="AH18" s="61">
        <v>0</v>
      </c>
      <c r="AI18" s="63">
        <f>ROUND(AH18*$T18,2)</f>
        <v>0</v>
      </c>
      <c r="AJ18" s="61">
        <v>0</v>
      </c>
      <c r="AK18" s="63">
        <f>ROUND(AJ18*$T18,2)</f>
        <v>0</v>
      </c>
      <c r="AL18" s="61">
        <v>0</v>
      </c>
      <c r="AM18" s="63">
        <f>ROUND(AL18*$T18,2)</f>
        <v>0</v>
      </c>
      <c r="AN18" s="61">
        <v>0</v>
      </c>
      <c r="AO18" s="63">
        <f>ROUND(AN18*$T18,2)</f>
        <v>0</v>
      </c>
      <c r="AP18" s="61">
        <v>0</v>
      </c>
      <c r="AQ18" s="63">
        <f>ROUND(AP18*$T18,2)</f>
        <v>0</v>
      </c>
      <c r="AR18" s="61">
        <v>0</v>
      </c>
      <c r="AS18" s="63">
        <f>ROUND(AR18*$T18,2)</f>
        <v>0</v>
      </c>
      <c r="AT18" s="61">
        <v>0</v>
      </c>
      <c r="AU18" s="63">
        <f>ROUND(AT18*$T18,2)</f>
        <v>0</v>
      </c>
      <c r="AV18" s="61">
        <v>0</v>
      </c>
      <c r="AW18" s="63">
        <f>ROUND(AV18*$T18,2)</f>
        <v>0</v>
      </c>
      <c r="AX18" s="61">
        <v>0</v>
      </c>
      <c r="AY18" s="63">
        <f>ROUND(AX18*$T18,2)</f>
        <v>0</v>
      </c>
      <c r="AZ18" s="61">
        <v>0</v>
      </c>
      <c r="BA18" s="63">
        <f>ROUND(AZ18*$T18,2)</f>
        <v>0</v>
      </c>
      <c r="BB18" s="61">
        <v>0</v>
      </c>
      <c r="BC18" s="63">
        <f>ROUND(BB18*$T18,2)</f>
        <v>0</v>
      </c>
      <c r="BD18" s="61">
        <v>0</v>
      </c>
      <c r="BE18" s="63">
        <f>ROUND(BD18*$T18,2)</f>
        <v>0</v>
      </c>
      <c r="BF18" s="61">
        <f>IFERROR(SUMIFS($V18:$BE18,$V$5:$BE$5,$BF$5),0)</f>
        <v>0</v>
      </c>
      <c r="BG18" s="63">
        <f>SUMIFS($V18:$BE18,$V$5:$BE$5,$W$5)</f>
        <v>0</v>
      </c>
      <c r="BH18" s="45"/>
      <c r="BI18" s="144"/>
    </row>
    <row r="19" spans="1:61" ht="19.5" customHeight="1" x14ac:dyDescent="0.45">
      <c r="A19" s="128">
        <v>1</v>
      </c>
      <c r="B19" s="129"/>
      <c r="C19" s="130"/>
      <c r="D19" s="131"/>
      <c r="E19" s="132" t="s">
        <v>250</v>
      </c>
      <c r="F19" s="515"/>
      <c r="G19" s="516"/>
      <c r="H19" s="516"/>
      <c r="I19" s="516"/>
      <c r="J19" s="516"/>
      <c r="K19" s="516"/>
      <c r="L19" s="516"/>
      <c r="M19" s="516"/>
      <c r="N19" s="516"/>
      <c r="O19" s="133" t="s">
        <v>251</v>
      </c>
      <c r="P19" s="134"/>
      <c r="Q19" s="135" t="s">
        <v>252</v>
      </c>
      <c r="R19" s="136"/>
      <c r="S19" s="137"/>
      <c r="T19" s="138"/>
      <c r="U19" s="139">
        <f>SUM(U20:U20)</f>
        <v>39.56</v>
      </c>
      <c r="V19" s="137"/>
      <c r="W19" s="139">
        <f>SUM(W20:W20)</f>
        <v>0</v>
      </c>
      <c r="X19" s="137"/>
      <c r="Y19" s="139">
        <f>SUM(Y20:Y20)</f>
        <v>0</v>
      </c>
      <c r="Z19" s="137"/>
      <c r="AA19" s="139">
        <f>SUM(AA20:AA20)</f>
        <v>0</v>
      </c>
      <c r="AB19" s="137"/>
      <c r="AC19" s="139">
        <f>SUM(AC20:AC20)</f>
        <v>0</v>
      </c>
      <c r="AD19" s="137"/>
      <c r="AE19" s="139">
        <f>SUM(AE20:AE20)</f>
        <v>0</v>
      </c>
      <c r="AF19" s="137"/>
      <c r="AG19" s="139">
        <f>SUM(AG20:AG20)</f>
        <v>0</v>
      </c>
      <c r="AH19" s="137"/>
      <c r="AI19" s="139">
        <f>SUM(AI20:AI20)</f>
        <v>0</v>
      </c>
      <c r="AJ19" s="137"/>
      <c r="AK19" s="139">
        <f>SUM(AK20:AK20)</f>
        <v>0</v>
      </c>
      <c r="AL19" s="137"/>
      <c r="AM19" s="139">
        <f>SUM(AM20:AM20)</f>
        <v>0</v>
      </c>
      <c r="AN19" s="137"/>
      <c r="AO19" s="139">
        <f>SUM(AO20:AO20)</f>
        <v>0</v>
      </c>
      <c r="AP19" s="137"/>
      <c r="AQ19" s="139">
        <f>SUM(AQ20:AQ20)</f>
        <v>0</v>
      </c>
      <c r="AR19" s="137"/>
      <c r="AS19" s="139">
        <f>SUM(AS20:AS20)</f>
        <v>0</v>
      </c>
      <c r="AT19" s="137"/>
      <c r="AU19" s="139">
        <f>SUM(AU20:AU20)</f>
        <v>0</v>
      </c>
      <c r="AV19" s="137"/>
      <c r="AW19" s="139">
        <f>SUM(AW20:AW20)</f>
        <v>0</v>
      </c>
      <c r="AX19" s="137"/>
      <c r="AY19" s="139">
        <f>SUM(AY20:AY20)</f>
        <v>0</v>
      </c>
      <c r="AZ19" s="137"/>
      <c r="BA19" s="139">
        <f>SUM(BA20:BA20)</f>
        <v>0</v>
      </c>
      <c r="BB19" s="137"/>
      <c r="BC19" s="139">
        <f>SUM(BC20:BC20)</f>
        <v>0</v>
      </c>
      <c r="BD19" s="137"/>
      <c r="BE19" s="139">
        <f>SUM(BE20:BE20)</f>
        <v>0</v>
      </c>
      <c r="BF19" s="137"/>
      <c r="BG19" s="139">
        <f>SUM(BG20:BG20)</f>
        <v>0</v>
      </c>
      <c r="BH19" s="45"/>
    </row>
    <row r="20" spans="1:61" ht="26.25" customHeight="1" x14ac:dyDescent="0.45">
      <c r="A20" s="140">
        <v>1</v>
      </c>
      <c r="B20" s="141" t="s">
        <v>34</v>
      </c>
      <c r="C20" s="142" t="s">
        <v>1464</v>
      </c>
      <c r="D20" s="143" t="str">
        <f>B20&amp;"_"&amp;E20</f>
        <v>1.1_1.13.1</v>
      </c>
      <c r="E20" s="56" t="s">
        <v>253</v>
      </c>
      <c r="F20" s="506" t="s">
        <v>254</v>
      </c>
      <c r="G20" s="507" t="s">
        <v>39</v>
      </c>
      <c r="H20" s="507" t="s">
        <v>39</v>
      </c>
      <c r="I20" s="507" t="s">
        <v>255</v>
      </c>
      <c r="J20" s="507" t="s">
        <v>39</v>
      </c>
      <c r="K20" s="507" t="s">
        <v>256</v>
      </c>
      <c r="L20" s="507" t="s">
        <v>257</v>
      </c>
      <c r="M20" s="507" t="s">
        <v>40</v>
      </c>
      <c r="N20" s="507" t="s">
        <v>41</v>
      </c>
      <c r="O20" s="57" t="s">
        <v>258</v>
      </c>
      <c r="P20" s="58" t="s">
        <v>21</v>
      </c>
      <c r="Q20" s="59" t="s">
        <v>259</v>
      </c>
      <c r="R20" s="60" t="s">
        <v>71</v>
      </c>
      <c r="S20" s="61">
        <v>1</v>
      </c>
      <c r="T20" s="62">
        <f>INDEX('BM MORRO DA CRUZ'!$P$6:$P$402,MATCH($O20,'BM MORRO DA CRUZ'!$K$6:$K$402,0))</f>
        <v>39.56</v>
      </c>
      <c r="U20" s="63">
        <f>ROUND(T20*$S20,2)</f>
        <v>39.56</v>
      </c>
      <c r="V20" s="61">
        <f>IFERROR(SUMIFS('01ª MC'!$W$1:$W$1840,'01ª MC'!$C$1:$C$1840,$D20),0)</f>
        <v>0</v>
      </c>
      <c r="W20" s="63">
        <f>ROUND(V20*$T20,2)</f>
        <v>0</v>
      </c>
      <c r="X20" s="61">
        <v>0</v>
      </c>
      <c r="Y20" s="63">
        <f>ROUND(X20*$T20,2)</f>
        <v>0</v>
      </c>
      <c r="Z20" s="61">
        <v>0</v>
      </c>
      <c r="AA20" s="63">
        <f>ROUND(Z20*$T20,2)</f>
        <v>0</v>
      </c>
      <c r="AB20" s="61">
        <v>0</v>
      </c>
      <c r="AC20" s="63">
        <f>ROUND(AB20*$T20,2)</f>
        <v>0</v>
      </c>
      <c r="AD20" s="61">
        <v>0</v>
      </c>
      <c r="AE20" s="63">
        <f>ROUND(AD20*$T20,2)</f>
        <v>0</v>
      </c>
      <c r="AF20" s="61">
        <v>0</v>
      </c>
      <c r="AG20" s="63">
        <f>ROUND(AF20*$T20,2)</f>
        <v>0</v>
      </c>
      <c r="AH20" s="61">
        <v>0</v>
      </c>
      <c r="AI20" s="63">
        <f>ROUND(AH20*$T20,2)</f>
        <v>0</v>
      </c>
      <c r="AJ20" s="61">
        <v>0</v>
      </c>
      <c r="AK20" s="63">
        <f>ROUND(AJ20*$T20,2)</f>
        <v>0</v>
      </c>
      <c r="AL20" s="61">
        <v>0</v>
      </c>
      <c r="AM20" s="63">
        <f>ROUND(AL20*$T20,2)</f>
        <v>0</v>
      </c>
      <c r="AN20" s="61">
        <v>0</v>
      </c>
      <c r="AO20" s="63">
        <f>ROUND(AN20*$T20,2)</f>
        <v>0</v>
      </c>
      <c r="AP20" s="61">
        <v>0</v>
      </c>
      <c r="AQ20" s="63">
        <f>ROUND(AP20*$T20,2)</f>
        <v>0</v>
      </c>
      <c r="AR20" s="61">
        <v>0</v>
      </c>
      <c r="AS20" s="63">
        <f>ROUND(AR20*$T20,2)</f>
        <v>0</v>
      </c>
      <c r="AT20" s="61">
        <v>0</v>
      </c>
      <c r="AU20" s="63">
        <f>ROUND(AT20*$T20,2)</f>
        <v>0</v>
      </c>
      <c r="AV20" s="61">
        <v>0</v>
      </c>
      <c r="AW20" s="63">
        <f>ROUND(AV20*$T20,2)</f>
        <v>0</v>
      </c>
      <c r="AX20" s="61">
        <v>0</v>
      </c>
      <c r="AY20" s="63">
        <f>ROUND(AX20*$T20,2)</f>
        <v>0</v>
      </c>
      <c r="AZ20" s="61">
        <v>0</v>
      </c>
      <c r="BA20" s="63">
        <f>ROUND(AZ20*$T20,2)</f>
        <v>0</v>
      </c>
      <c r="BB20" s="61">
        <v>0</v>
      </c>
      <c r="BC20" s="63">
        <f>ROUND(BB20*$T20,2)</f>
        <v>0</v>
      </c>
      <c r="BD20" s="61">
        <v>0</v>
      </c>
      <c r="BE20" s="63">
        <f>ROUND(BD20*$T20,2)</f>
        <v>0</v>
      </c>
      <c r="BF20" s="61">
        <f>IFERROR(SUMIFS($V20:$BE20,$V$5:$BE$5,$BF$5),0)</f>
        <v>0</v>
      </c>
      <c r="BG20" s="63">
        <f>SUMIFS($V20:$BE20,$V$5:$BE$5,$W$5)</f>
        <v>0</v>
      </c>
      <c r="BH20" s="45"/>
      <c r="BI20" s="144"/>
    </row>
    <row r="21" spans="1:61" ht="19.5" customHeight="1" x14ac:dyDescent="0.45">
      <c r="A21" s="128">
        <v>1</v>
      </c>
      <c r="B21" s="129"/>
      <c r="C21" s="130"/>
      <c r="D21" s="131"/>
      <c r="E21" s="132" t="s">
        <v>260</v>
      </c>
      <c r="F21" s="515"/>
      <c r="G21" s="516"/>
      <c r="H21" s="516"/>
      <c r="I21" s="516"/>
      <c r="J21" s="516"/>
      <c r="K21" s="516"/>
      <c r="L21" s="516"/>
      <c r="M21" s="516"/>
      <c r="N21" s="516"/>
      <c r="O21" s="133" t="s">
        <v>261</v>
      </c>
      <c r="P21" s="134"/>
      <c r="Q21" s="135" t="s">
        <v>262</v>
      </c>
      <c r="R21" s="136"/>
      <c r="S21" s="137"/>
      <c r="T21" s="138"/>
      <c r="U21" s="139">
        <f>SUM(U22:U22)</f>
        <v>255.9</v>
      </c>
      <c r="V21" s="137"/>
      <c r="W21" s="139">
        <f>SUM(W22:W22)</f>
        <v>0</v>
      </c>
      <c r="X21" s="137"/>
      <c r="Y21" s="139">
        <f>SUM(Y22:Y22)</f>
        <v>0</v>
      </c>
      <c r="Z21" s="137"/>
      <c r="AA21" s="139">
        <f>SUM(AA22:AA22)</f>
        <v>0</v>
      </c>
      <c r="AB21" s="137"/>
      <c r="AC21" s="139">
        <f>SUM(AC22:AC22)</f>
        <v>0</v>
      </c>
      <c r="AD21" s="137"/>
      <c r="AE21" s="139">
        <f>SUM(AE22:AE22)</f>
        <v>0</v>
      </c>
      <c r="AF21" s="137"/>
      <c r="AG21" s="139">
        <f>SUM(AG22:AG22)</f>
        <v>0</v>
      </c>
      <c r="AH21" s="137"/>
      <c r="AI21" s="139">
        <f>SUM(AI22:AI22)</f>
        <v>0</v>
      </c>
      <c r="AJ21" s="137"/>
      <c r="AK21" s="139">
        <f>SUM(AK22:AK22)</f>
        <v>0</v>
      </c>
      <c r="AL21" s="137"/>
      <c r="AM21" s="139">
        <f>SUM(AM22:AM22)</f>
        <v>0</v>
      </c>
      <c r="AN21" s="137"/>
      <c r="AO21" s="139">
        <f>SUM(AO22:AO22)</f>
        <v>0</v>
      </c>
      <c r="AP21" s="137"/>
      <c r="AQ21" s="139">
        <f>SUM(AQ22:AQ22)</f>
        <v>0</v>
      </c>
      <c r="AR21" s="137"/>
      <c r="AS21" s="139">
        <f>SUM(AS22:AS22)</f>
        <v>0</v>
      </c>
      <c r="AT21" s="137"/>
      <c r="AU21" s="139">
        <f>SUM(AU22:AU22)</f>
        <v>0</v>
      </c>
      <c r="AV21" s="137"/>
      <c r="AW21" s="139">
        <f>SUM(AW22:AW22)</f>
        <v>0</v>
      </c>
      <c r="AX21" s="137"/>
      <c r="AY21" s="139">
        <f>SUM(AY22:AY22)</f>
        <v>0</v>
      </c>
      <c r="AZ21" s="137"/>
      <c r="BA21" s="139">
        <f>SUM(BA22:BA22)</f>
        <v>0</v>
      </c>
      <c r="BB21" s="137"/>
      <c r="BC21" s="139">
        <f>SUM(BC22:BC22)</f>
        <v>0</v>
      </c>
      <c r="BD21" s="137"/>
      <c r="BE21" s="139">
        <f>SUM(BE22:BE22)</f>
        <v>0</v>
      </c>
      <c r="BF21" s="137"/>
      <c r="BG21" s="139">
        <f>SUM(BG22:BG22)</f>
        <v>0</v>
      </c>
      <c r="BH21" s="45"/>
    </row>
    <row r="22" spans="1:61" ht="26.25" customHeight="1" x14ac:dyDescent="0.45">
      <c r="A22" s="140">
        <v>1</v>
      </c>
      <c r="B22" s="141" t="s">
        <v>34</v>
      </c>
      <c r="C22" s="142" t="s">
        <v>1464</v>
      </c>
      <c r="D22" s="143" t="str">
        <f>B22&amp;"_"&amp;E22</f>
        <v>1.1_1.14.77</v>
      </c>
      <c r="E22" s="56" t="s">
        <v>544</v>
      </c>
      <c r="F22" s="506" t="s">
        <v>540</v>
      </c>
      <c r="G22" s="507" t="s">
        <v>111</v>
      </c>
      <c r="H22" s="507" t="s">
        <v>224</v>
      </c>
      <c r="I22" s="507" t="s">
        <v>540</v>
      </c>
      <c r="J22" s="507" t="s">
        <v>273</v>
      </c>
      <c r="K22" s="507">
        <v>63</v>
      </c>
      <c r="L22" s="507" t="s">
        <v>267</v>
      </c>
      <c r="M22" s="507" t="s">
        <v>545</v>
      </c>
      <c r="N22" s="507" t="s">
        <v>541</v>
      </c>
      <c r="O22" s="57" t="s">
        <v>546</v>
      </c>
      <c r="P22" s="58" t="s">
        <v>21</v>
      </c>
      <c r="Q22" s="59" t="s">
        <v>547</v>
      </c>
      <c r="R22" s="60" t="s">
        <v>367</v>
      </c>
      <c r="S22" s="61">
        <v>15</v>
      </c>
      <c r="T22" s="62">
        <f>INDEX('BM MORRO DA CRUZ'!$P$6:$P$402,MATCH($O22,'BM MORRO DA CRUZ'!$K$6:$K$402,0))</f>
        <v>17.059999999999999</v>
      </c>
      <c r="U22" s="63">
        <f>ROUND(T22*$S22,2)</f>
        <v>255.9</v>
      </c>
      <c r="V22" s="61">
        <f>IFERROR(SUMIFS('01ª MC'!$W$1:$W$1840,'01ª MC'!$C$1:$C$1840,$D22),0)</f>
        <v>0</v>
      </c>
      <c r="W22" s="63">
        <f>ROUND(V22*$T22,2)</f>
        <v>0</v>
      </c>
      <c r="X22" s="61">
        <v>0</v>
      </c>
      <c r="Y22" s="63">
        <f>ROUND(X22*$T22,2)</f>
        <v>0</v>
      </c>
      <c r="Z22" s="61">
        <v>0</v>
      </c>
      <c r="AA22" s="63">
        <f>ROUND(Z22*$T22,2)</f>
        <v>0</v>
      </c>
      <c r="AB22" s="61">
        <v>0</v>
      </c>
      <c r="AC22" s="63">
        <f>ROUND(AB22*$T22,2)</f>
        <v>0</v>
      </c>
      <c r="AD22" s="61">
        <v>0</v>
      </c>
      <c r="AE22" s="63">
        <f>ROUND(AD22*$T22,2)</f>
        <v>0</v>
      </c>
      <c r="AF22" s="61">
        <v>0</v>
      </c>
      <c r="AG22" s="63">
        <f>ROUND(AF22*$T22,2)</f>
        <v>0</v>
      </c>
      <c r="AH22" s="61">
        <v>0</v>
      </c>
      <c r="AI22" s="63">
        <f>ROUND(AH22*$T22,2)</f>
        <v>0</v>
      </c>
      <c r="AJ22" s="61">
        <v>0</v>
      </c>
      <c r="AK22" s="63">
        <f>ROUND(AJ22*$T22,2)</f>
        <v>0</v>
      </c>
      <c r="AL22" s="61">
        <v>0</v>
      </c>
      <c r="AM22" s="63">
        <f>ROUND(AL22*$T22,2)</f>
        <v>0</v>
      </c>
      <c r="AN22" s="61">
        <v>0</v>
      </c>
      <c r="AO22" s="63">
        <f>ROUND(AN22*$T22,2)</f>
        <v>0</v>
      </c>
      <c r="AP22" s="61">
        <v>0</v>
      </c>
      <c r="AQ22" s="63">
        <f>ROUND(AP22*$T22,2)</f>
        <v>0</v>
      </c>
      <c r="AR22" s="61">
        <v>0</v>
      </c>
      <c r="AS22" s="63">
        <f>ROUND(AR22*$T22,2)</f>
        <v>0</v>
      </c>
      <c r="AT22" s="61">
        <v>0</v>
      </c>
      <c r="AU22" s="63">
        <f>ROUND(AT22*$T22,2)</f>
        <v>0</v>
      </c>
      <c r="AV22" s="61">
        <v>0</v>
      </c>
      <c r="AW22" s="63">
        <f>ROUND(AV22*$T22,2)</f>
        <v>0</v>
      </c>
      <c r="AX22" s="61">
        <v>0</v>
      </c>
      <c r="AY22" s="63">
        <f>ROUND(AX22*$T22,2)</f>
        <v>0</v>
      </c>
      <c r="AZ22" s="61">
        <v>0</v>
      </c>
      <c r="BA22" s="63">
        <f>ROUND(AZ22*$T22,2)</f>
        <v>0</v>
      </c>
      <c r="BB22" s="61">
        <v>0</v>
      </c>
      <c r="BC22" s="63">
        <f>ROUND(BB22*$T22,2)</f>
        <v>0</v>
      </c>
      <c r="BD22" s="61">
        <v>0</v>
      </c>
      <c r="BE22" s="63">
        <f>ROUND(BD22*$T22,2)</f>
        <v>0</v>
      </c>
      <c r="BF22" s="61">
        <f>IFERROR(SUMIFS($V22:$BE22,$V$5:$BE$5,$BF$5),0)</f>
        <v>0</v>
      </c>
      <c r="BG22" s="63">
        <f>SUMIFS($V22:$BE22,$V$5:$BE$5,$W$5)</f>
        <v>0</v>
      </c>
      <c r="BH22" s="45"/>
      <c r="BI22" s="144"/>
    </row>
    <row r="23" spans="1:61" ht="19.5" customHeight="1" x14ac:dyDescent="0.45">
      <c r="A23" s="128">
        <v>1</v>
      </c>
      <c r="B23" s="129"/>
      <c r="C23" s="130"/>
      <c r="D23" s="131"/>
      <c r="E23" s="132" t="s">
        <v>742</v>
      </c>
      <c r="F23" s="515"/>
      <c r="G23" s="516"/>
      <c r="H23" s="516"/>
      <c r="I23" s="516"/>
      <c r="J23" s="516"/>
      <c r="K23" s="516"/>
      <c r="L23" s="516"/>
      <c r="M23" s="516"/>
      <c r="N23" s="516"/>
      <c r="O23" s="133" t="s">
        <v>743</v>
      </c>
      <c r="P23" s="134"/>
      <c r="Q23" s="135" t="s">
        <v>744</v>
      </c>
      <c r="R23" s="136"/>
      <c r="S23" s="137"/>
      <c r="T23" s="138"/>
      <c r="U23" s="139">
        <f>SUM(U24:U25)</f>
        <v>21656.83</v>
      </c>
      <c r="V23" s="137"/>
      <c r="W23" s="139">
        <f>SUM(W24:W25)</f>
        <v>0</v>
      </c>
      <c r="X23" s="137"/>
      <c r="Y23" s="139">
        <f>SUM(Y24:Y25)</f>
        <v>0</v>
      </c>
      <c r="Z23" s="137"/>
      <c r="AA23" s="139">
        <f>SUM(AA24:AA25)</f>
        <v>0</v>
      </c>
      <c r="AB23" s="137"/>
      <c r="AC23" s="139">
        <f>SUM(AC24:AC25)</f>
        <v>0</v>
      </c>
      <c r="AD23" s="137"/>
      <c r="AE23" s="139">
        <f>SUM(AE24:AE25)</f>
        <v>0</v>
      </c>
      <c r="AF23" s="137"/>
      <c r="AG23" s="139">
        <f>SUM(AG24:AG25)</f>
        <v>0</v>
      </c>
      <c r="AH23" s="137"/>
      <c r="AI23" s="139">
        <f>SUM(AI24:AI25)</f>
        <v>0</v>
      </c>
      <c r="AJ23" s="137"/>
      <c r="AK23" s="139">
        <f>SUM(AK24:AK25)</f>
        <v>0</v>
      </c>
      <c r="AL23" s="137"/>
      <c r="AM23" s="139">
        <f>SUM(AM24:AM25)</f>
        <v>0</v>
      </c>
      <c r="AN23" s="137"/>
      <c r="AO23" s="139">
        <f>SUM(AO24:AO25)</f>
        <v>0</v>
      </c>
      <c r="AP23" s="137"/>
      <c r="AQ23" s="139">
        <f>SUM(AQ24:AQ25)</f>
        <v>0</v>
      </c>
      <c r="AR23" s="137"/>
      <c r="AS23" s="139">
        <f>SUM(AS24:AS25)</f>
        <v>0</v>
      </c>
      <c r="AT23" s="137"/>
      <c r="AU23" s="139">
        <f>SUM(AU24:AU25)</f>
        <v>0</v>
      </c>
      <c r="AV23" s="137"/>
      <c r="AW23" s="139">
        <f>SUM(AW24:AW25)</f>
        <v>0</v>
      </c>
      <c r="AX23" s="137"/>
      <c r="AY23" s="139">
        <f>SUM(AY24:AY25)</f>
        <v>0</v>
      </c>
      <c r="AZ23" s="137"/>
      <c r="BA23" s="139">
        <f>SUM(BA24:BA25)</f>
        <v>0</v>
      </c>
      <c r="BB23" s="137"/>
      <c r="BC23" s="139">
        <f>SUM(BC24:BC25)</f>
        <v>0</v>
      </c>
      <c r="BD23" s="137"/>
      <c r="BE23" s="139">
        <f>SUM(BE24:BE25)</f>
        <v>0</v>
      </c>
      <c r="BF23" s="137"/>
      <c r="BG23" s="139">
        <f>SUM(BG24:BG25)</f>
        <v>0</v>
      </c>
      <c r="BH23" s="45"/>
    </row>
    <row r="24" spans="1:61" ht="38.25" customHeight="1" x14ac:dyDescent="0.45">
      <c r="A24" s="140">
        <v>1</v>
      </c>
      <c r="B24" s="141" t="s">
        <v>34</v>
      </c>
      <c r="C24" s="142" t="s">
        <v>1464</v>
      </c>
      <c r="D24" s="143" t="str">
        <f>B24&amp;"_"&amp;E24</f>
        <v>1.1_1.18.5</v>
      </c>
      <c r="E24" s="56" t="s">
        <v>766</v>
      </c>
      <c r="F24" s="506" t="s">
        <v>767</v>
      </c>
      <c r="G24" s="507" t="s">
        <v>39</v>
      </c>
      <c r="H24" s="507" t="s">
        <v>39</v>
      </c>
      <c r="I24" s="507" t="s">
        <v>768</v>
      </c>
      <c r="J24" s="507" t="s">
        <v>39</v>
      </c>
      <c r="K24" s="507">
        <v>5500</v>
      </c>
      <c r="L24" s="507" t="s">
        <v>267</v>
      </c>
      <c r="M24" s="507" t="s">
        <v>40</v>
      </c>
      <c r="N24" s="507" t="s">
        <v>41</v>
      </c>
      <c r="O24" s="57" t="s">
        <v>769</v>
      </c>
      <c r="P24" s="58" t="s">
        <v>21</v>
      </c>
      <c r="Q24" s="59" t="s">
        <v>770</v>
      </c>
      <c r="R24" s="60" t="s">
        <v>71</v>
      </c>
      <c r="S24" s="61">
        <v>1</v>
      </c>
      <c r="T24" s="62">
        <f>INDEX('BM MORRO DA CRUZ'!$P$6:$P$402,MATCH($O24,'BM MORRO DA CRUZ'!$K$6:$K$402,0))</f>
        <v>6307.51</v>
      </c>
      <c r="U24" s="63">
        <f>ROUND(T24*$S24,2)</f>
        <v>6307.51</v>
      </c>
      <c r="V24" s="61">
        <f>IFERROR(SUMIFS('01ª MC'!$W$1:$W$1840,'01ª MC'!$C$1:$C$1840,$D24),0)</f>
        <v>0</v>
      </c>
      <c r="W24" s="63">
        <f>ROUND(V24*$T24,2)</f>
        <v>0</v>
      </c>
      <c r="X24" s="61">
        <v>0</v>
      </c>
      <c r="Y24" s="63">
        <f>ROUND(X24*$T24,2)</f>
        <v>0</v>
      </c>
      <c r="Z24" s="61">
        <v>0</v>
      </c>
      <c r="AA24" s="63">
        <f>ROUND(Z24*$T24,2)</f>
        <v>0</v>
      </c>
      <c r="AB24" s="61">
        <v>0</v>
      </c>
      <c r="AC24" s="63">
        <f>ROUND(AB24*$T24,2)</f>
        <v>0</v>
      </c>
      <c r="AD24" s="61">
        <v>0</v>
      </c>
      <c r="AE24" s="63">
        <f>ROUND(AD24*$T24,2)</f>
        <v>0</v>
      </c>
      <c r="AF24" s="61">
        <v>0</v>
      </c>
      <c r="AG24" s="63">
        <f>ROUND(AF24*$T24,2)</f>
        <v>0</v>
      </c>
      <c r="AH24" s="61">
        <v>0</v>
      </c>
      <c r="AI24" s="63">
        <f>ROUND(AH24*$T24,2)</f>
        <v>0</v>
      </c>
      <c r="AJ24" s="61">
        <v>0</v>
      </c>
      <c r="AK24" s="63">
        <f>ROUND(AJ24*$T24,2)</f>
        <v>0</v>
      </c>
      <c r="AL24" s="61">
        <v>0</v>
      </c>
      <c r="AM24" s="63">
        <f>ROUND(AL24*$T24,2)</f>
        <v>0</v>
      </c>
      <c r="AN24" s="61">
        <v>0</v>
      </c>
      <c r="AO24" s="63">
        <f>ROUND(AN24*$T24,2)</f>
        <v>0</v>
      </c>
      <c r="AP24" s="61">
        <v>0</v>
      </c>
      <c r="AQ24" s="63">
        <f>ROUND(AP24*$T24,2)</f>
        <v>0</v>
      </c>
      <c r="AR24" s="61">
        <v>0</v>
      </c>
      <c r="AS24" s="63">
        <f>ROUND(AR24*$T24,2)</f>
        <v>0</v>
      </c>
      <c r="AT24" s="61">
        <v>0</v>
      </c>
      <c r="AU24" s="63">
        <f>ROUND(AT24*$T24,2)</f>
        <v>0</v>
      </c>
      <c r="AV24" s="61">
        <v>0</v>
      </c>
      <c r="AW24" s="63">
        <f>ROUND(AV24*$T24,2)</f>
        <v>0</v>
      </c>
      <c r="AX24" s="61">
        <v>0</v>
      </c>
      <c r="AY24" s="63">
        <f>ROUND(AX24*$T24,2)</f>
        <v>0</v>
      </c>
      <c r="AZ24" s="61">
        <v>0</v>
      </c>
      <c r="BA24" s="63">
        <f>ROUND(AZ24*$T24,2)</f>
        <v>0</v>
      </c>
      <c r="BB24" s="61">
        <v>0</v>
      </c>
      <c r="BC24" s="63">
        <f>ROUND(BB24*$T24,2)</f>
        <v>0</v>
      </c>
      <c r="BD24" s="61">
        <v>0</v>
      </c>
      <c r="BE24" s="63">
        <f>ROUND(BD24*$T24,2)</f>
        <v>0</v>
      </c>
      <c r="BF24" s="61">
        <f>IFERROR(SUMIFS($V24:$BE24,$V$5:$BE$5,$BF$5),0)</f>
        <v>0</v>
      </c>
      <c r="BG24" s="63">
        <f>SUMIFS($V24:$BE24,$V$5:$BE$5,$W$5)</f>
        <v>0</v>
      </c>
      <c r="BH24" s="45"/>
      <c r="BI24" s="144"/>
    </row>
    <row r="25" spans="1:61" ht="26.25" customHeight="1" x14ac:dyDescent="0.45">
      <c r="A25" s="140">
        <v>1</v>
      </c>
      <c r="B25" s="141" t="s">
        <v>34</v>
      </c>
      <c r="C25" s="142" t="s">
        <v>1464</v>
      </c>
      <c r="D25" s="143" t="str">
        <f>B25&amp;"_"&amp;E25</f>
        <v>1.1_1.18.8</v>
      </c>
      <c r="E25" s="56" t="s">
        <v>779</v>
      </c>
      <c r="F25" s="506" t="s">
        <v>780</v>
      </c>
      <c r="G25" s="507" t="s">
        <v>39</v>
      </c>
      <c r="H25" s="507" t="s">
        <v>39</v>
      </c>
      <c r="I25" s="507" t="s">
        <v>781</v>
      </c>
      <c r="J25" s="507" t="s">
        <v>39</v>
      </c>
      <c r="K25" s="507" t="s">
        <v>782</v>
      </c>
      <c r="L25" s="507" t="s">
        <v>783</v>
      </c>
      <c r="M25" s="507" t="s">
        <v>40</v>
      </c>
      <c r="N25" s="507" t="s">
        <v>40</v>
      </c>
      <c r="O25" s="57" t="s">
        <v>784</v>
      </c>
      <c r="P25" s="58" t="s">
        <v>21</v>
      </c>
      <c r="Q25" s="59" t="s">
        <v>785</v>
      </c>
      <c r="R25" s="60" t="s">
        <v>367</v>
      </c>
      <c r="S25" s="61">
        <v>84</v>
      </c>
      <c r="T25" s="62">
        <f>INDEX('BM MORRO DA CRUZ'!$P$6:$P$402,MATCH($O25,'BM MORRO DA CRUZ'!$K$6:$K$402,0))</f>
        <v>182.73</v>
      </c>
      <c r="U25" s="63">
        <f>ROUND(T25*$S25,2)</f>
        <v>15349.32</v>
      </c>
      <c r="V25" s="61">
        <f>IFERROR(SUMIFS('01ª MC'!$W$1:$W$1840,'01ª MC'!$C$1:$C$1840,$D25),0)</f>
        <v>0</v>
      </c>
      <c r="W25" s="63">
        <f>ROUND(V25*$T25,2)</f>
        <v>0</v>
      </c>
      <c r="X25" s="61">
        <v>0</v>
      </c>
      <c r="Y25" s="63">
        <f>ROUND(X25*$T25,2)</f>
        <v>0</v>
      </c>
      <c r="Z25" s="61">
        <v>0</v>
      </c>
      <c r="AA25" s="63">
        <f>ROUND(Z25*$T25,2)</f>
        <v>0</v>
      </c>
      <c r="AB25" s="61">
        <v>0</v>
      </c>
      <c r="AC25" s="63">
        <f>ROUND(AB25*$T25,2)</f>
        <v>0</v>
      </c>
      <c r="AD25" s="61">
        <v>0</v>
      </c>
      <c r="AE25" s="63">
        <f>ROUND(AD25*$T25,2)</f>
        <v>0</v>
      </c>
      <c r="AF25" s="61">
        <v>0</v>
      </c>
      <c r="AG25" s="63">
        <f>ROUND(AF25*$T25,2)</f>
        <v>0</v>
      </c>
      <c r="AH25" s="61">
        <v>0</v>
      </c>
      <c r="AI25" s="63">
        <f>ROUND(AH25*$T25,2)</f>
        <v>0</v>
      </c>
      <c r="AJ25" s="61">
        <v>0</v>
      </c>
      <c r="AK25" s="63">
        <f>ROUND(AJ25*$T25,2)</f>
        <v>0</v>
      </c>
      <c r="AL25" s="61">
        <v>0</v>
      </c>
      <c r="AM25" s="63">
        <f>ROUND(AL25*$T25,2)</f>
        <v>0</v>
      </c>
      <c r="AN25" s="61">
        <v>0</v>
      </c>
      <c r="AO25" s="63">
        <f>ROUND(AN25*$T25,2)</f>
        <v>0</v>
      </c>
      <c r="AP25" s="61">
        <v>0</v>
      </c>
      <c r="AQ25" s="63">
        <f>ROUND(AP25*$T25,2)</f>
        <v>0</v>
      </c>
      <c r="AR25" s="61">
        <v>0</v>
      </c>
      <c r="AS25" s="63">
        <f>ROUND(AR25*$T25,2)</f>
        <v>0</v>
      </c>
      <c r="AT25" s="61">
        <v>0</v>
      </c>
      <c r="AU25" s="63">
        <f>ROUND(AT25*$T25,2)</f>
        <v>0</v>
      </c>
      <c r="AV25" s="61">
        <v>0</v>
      </c>
      <c r="AW25" s="63">
        <f>ROUND(AV25*$T25,2)</f>
        <v>0</v>
      </c>
      <c r="AX25" s="61">
        <v>0</v>
      </c>
      <c r="AY25" s="63">
        <f>ROUND(AX25*$T25,2)</f>
        <v>0</v>
      </c>
      <c r="AZ25" s="61">
        <v>0</v>
      </c>
      <c r="BA25" s="63">
        <f>ROUND(AZ25*$T25,2)</f>
        <v>0</v>
      </c>
      <c r="BB25" s="61">
        <v>0</v>
      </c>
      <c r="BC25" s="63">
        <f>ROUND(BB25*$T25,2)</f>
        <v>0</v>
      </c>
      <c r="BD25" s="61">
        <v>0</v>
      </c>
      <c r="BE25" s="63">
        <f>ROUND(BD25*$T25,2)</f>
        <v>0</v>
      </c>
      <c r="BF25" s="61">
        <f>IFERROR(SUMIFS($V25:$BE25,$V$5:$BE$5,$BF$5),0)</f>
        <v>0</v>
      </c>
      <c r="BG25" s="63">
        <f>SUMIFS($V25:$BE25,$V$5:$BE$5,$W$5)</f>
        <v>0</v>
      </c>
      <c r="BH25" s="45"/>
      <c r="BI25" s="144"/>
    </row>
    <row r="26" spans="1:61" ht="19.5" customHeight="1" x14ac:dyDescent="0.45">
      <c r="A26" s="117">
        <v>1</v>
      </c>
      <c r="B26" s="118"/>
      <c r="C26" s="119"/>
      <c r="D26" s="120"/>
      <c r="E26" s="35" t="s">
        <v>1465</v>
      </c>
      <c r="F26" s="513"/>
      <c r="G26" s="514"/>
      <c r="H26" s="514"/>
      <c r="I26" s="514"/>
      <c r="J26" s="514"/>
      <c r="K26" s="514"/>
      <c r="L26" s="514"/>
      <c r="M26" s="514"/>
      <c r="N26" s="514"/>
      <c r="O26" s="121" t="s">
        <v>848</v>
      </c>
      <c r="P26" s="122"/>
      <c r="Q26" s="123" t="s">
        <v>849</v>
      </c>
      <c r="R26" s="124"/>
      <c r="S26" s="125"/>
      <c r="T26" s="126"/>
      <c r="U26" s="127">
        <f>SUM(U27,U30,U37,U40,U42,U45,U50,U53,U57,U62,U66)</f>
        <v>524433.87</v>
      </c>
      <c r="V26" s="125"/>
      <c r="W26" s="127">
        <f>SUM(W27,W30,W37,W40,W42,W45,W50,W53,W57,W62,W66)</f>
        <v>0</v>
      </c>
      <c r="X26" s="125"/>
      <c r="Y26" s="127">
        <f>SUM(Y27,Y30,Y37,Y40,Y42,Y45,Y50,Y53,Y57,Y62,Y66)</f>
        <v>0</v>
      </c>
      <c r="Z26" s="125"/>
      <c r="AA26" s="127">
        <f>SUM(AA27,AA30,AA37,AA40,AA42,AA45,AA50,AA53,AA57,AA62,AA66)</f>
        <v>0</v>
      </c>
      <c r="AB26" s="125"/>
      <c r="AC26" s="127">
        <f>SUM(AC27,AC30,AC37,AC40,AC42,AC45,AC50,AC53,AC57,AC62,AC66)</f>
        <v>0</v>
      </c>
      <c r="AD26" s="125"/>
      <c r="AE26" s="127">
        <f>SUM(AE27,AE30,AE37,AE40,AE42,AE45,AE50,AE53,AE57,AE62,AE66)</f>
        <v>0</v>
      </c>
      <c r="AF26" s="125"/>
      <c r="AG26" s="127">
        <f>SUM(AG27,AG30,AG37,AG40,AG42,AG45,AG50,AG53,AG57,AG62,AG66)</f>
        <v>0</v>
      </c>
      <c r="AH26" s="125"/>
      <c r="AI26" s="127">
        <f>SUM(AI27,AI30,AI37,AI40,AI42,AI45,AI50,AI53,AI57,AI62,AI66)</f>
        <v>0</v>
      </c>
      <c r="AJ26" s="125"/>
      <c r="AK26" s="127">
        <f>SUM(AK27,AK30,AK37,AK40,AK42,AK45,AK50,AK53,AK57,AK62,AK66)</f>
        <v>0</v>
      </c>
      <c r="AL26" s="125"/>
      <c r="AM26" s="127">
        <f>SUM(AM27,AM30,AM37,AM40,AM42,AM45,AM50,AM53,AM57,AM62,AM66)</f>
        <v>0</v>
      </c>
      <c r="AN26" s="125"/>
      <c r="AO26" s="127">
        <f>SUM(AO27,AO30,AO37,AO40,AO42,AO45,AO50,AO53,AO57,AO62,AO66)</f>
        <v>0</v>
      </c>
      <c r="AP26" s="125"/>
      <c r="AQ26" s="127">
        <f>SUM(AQ27,AQ30,AQ37,AQ40,AQ42,AQ45,AQ50,AQ53,AQ57,AQ62,AQ66)</f>
        <v>0</v>
      </c>
      <c r="AR26" s="125"/>
      <c r="AS26" s="127">
        <f>SUM(AS27,AS30,AS37,AS40,AS42,AS45,AS50,AS53,AS57,AS62,AS66)</f>
        <v>0</v>
      </c>
      <c r="AT26" s="125"/>
      <c r="AU26" s="127">
        <f>SUM(AU27,AU30,AU37,AU40,AU42,AU45,AU50,AU53,AU57,AU62,AU66)</f>
        <v>0</v>
      </c>
      <c r="AV26" s="125"/>
      <c r="AW26" s="127">
        <f>SUM(AW27,AW30,AW37,AW40,AW42,AW45,AW50,AW53,AW57,AW62,AW66)</f>
        <v>0</v>
      </c>
      <c r="AX26" s="125"/>
      <c r="AY26" s="127">
        <f>SUM(AY27,AY30,AY37,AY40,AY42,AY45,AY50,AY53,AY57,AY62,AY66)</f>
        <v>0</v>
      </c>
      <c r="AZ26" s="125"/>
      <c r="BA26" s="127">
        <f>SUM(BA27,BA30,BA37,BA40,BA42,BA45,BA50,BA53,BA57,BA62,BA66)</f>
        <v>0</v>
      </c>
      <c r="BB26" s="125"/>
      <c r="BC26" s="127">
        <f>SUM(BC27,BC30,BC37,BC40,BC42,BC45,BC50,BC53,BC57,BC62,BC66)</f>
        <v>0</v>
      </c>
      <c r="BD26" s="125"/>
      <c r="BE26" s="127">
        <f>SUM(BE27,BE30,BE37,BE40,BE42,BE45,BE50,BE53,BE57,BE62,BE66)</f>
        <v>0</v>
      </c>
      <c r="BF26" s="125"/>
      <c r="BG26" s="127">
        <f>SUM(BG27,BG30,BG37,BG40,BG42,BG45,BG50,BG53,BG57,BG62,BG66)</f>
        <v>0</v>
      </c>
      <c r="BH26" s="45"/>
    </row>
    <row r="27" spans="1:61" ht="19.5" customHeight="1" x14ac:dyDescent="0.45">
      <c r="A27" s="128">
        <v>1</v>
      </c>
      <c r="B27" s="129"/>
      <c r="C27" s="130"/>
      <c r="D27" s="131"/>
      <c r="E27" s="132" t="s">
        <v>850</v>
      </c>
      <c r="F27" s="515"/>
      <c r="G27" s="516"/>
      <c r="H27" s="516"/>
      <c r="I27" s="516"/>
      <c r="J27" s="516"/>
      <c r="K27" s="516"/>
      <c r="L27" s="516"/>
      <c r="M27" s="516"/>
      <c r="N27" s="516"/>
      <c r="O27" s="133" t="s">
        <v>851</v>
      </c>
      <c r="P27" s="134"/>
      <c r="Q27" s="135" t="s">
        <v>852</v>
      </c>
      <c r="R27" s="136"/>
      <c r="S27" s="137"/>
      <c r="T27" s="138"/>
      <c r="U27" s="139">
        <f>SUM(U28:U29)</f>
        <v>72155.72</v>
      </c>
      <c r="V27" s="137"/>
      <c r="W27" s="139">
        <f>SUM(W28:W29)</f>
        <v>0</v>
      </c>
      <c r="X27" s="137"/>
      <c r="Y27" s="139">
        <f>SUM(Y28:Y29)</f>
        <v>0</v>
      </c>
      <c r="Z27" s="137"/>
      <c r="AA27" s="139">
        <f>SUM(AA28:AA29)</f>
        <v>0</v>
      </c>
      <c r="AB27" s="137"/>
      <c r="AC27" s="139">
        <f>SUM(AC28:AC29)</f>
        <v>0</v>
      </c>
      <c r="AD27" s="137"/>
      <c r="AE27" s="139">
        <f>SUM(AE28:AE29)</f>
        <v>0</v>
      </c>
      <c r="AF27" s="137"/>
      <c r="AG27" s="139">
        <f>SUM(AG28:AG29)</f>
        <v>0</v>
      </c>
      <c r="AH27" s="137"/>
      <c r="AI27" s="139">
        <f>SUM(AI28:AI29)</f>
        <v>0</v>
      </c>
      <c r="AJ27" s="137"/>
      <c r="AK27" s="139">
        <f>SUM(AK28:AK29)</f>
        <v>0</v>
      </c>
      <c r="AL27" s="137"/>
      <c r="AM27" s="139">
        <f>SUM(AM28:AM29)</f>
        <v>0</v>
      </c>
      <c r="AN27" s="137"/>
      <c r="AO27" s="139">
        <f>SUM(AO28:AO29)</f>
        <v>0</v>
      </c>
      <c r="AP27" s="137"/>
      <c r="AQ27" s="139">
        <f>SUM(AQ28:AQ29)</f>
        <v>0</v>
      </c>
      <c r="AR27" s="137"/>
      <c r="AS27" s="139">
        <f>SUM(AS28:AS29)</f>
        <v>0</v>
      </c>
      <c r="AT27" s="137"/>
      <c r="AU27" s="139">
        <f>SUM(AU28:AU29)</f>
        <v>0</v>
      </c>
      <c r="AV27" s="137"/>
      <c r="AW27" s="139">
        <f>SUM(AW28:AW29)</f>
        <v>0</v>
      </c>
      <c r="AX27" s="137"/>
      <c r="AY27" s="139">
        <f>SUM(AY28:AY29)</f>
        <v>0</v>
      </c>
      <c r="AZ27" s="137"/>
      <c r="BA27" s="139">
        <f>SUM(BA28:BA29)</f>
        <v>0</v>
      </c>
      <c r="BB27" s="137"/>
      <c r="BC27" s="139">
        <f>SUM(BC28:BC29)</f>
        <v>0</v>
      </c>
      <c r="BD27" s="137"/>
      <c r="BE27" s="139">
        <f>SUM(BE28:BE29)</f>
        <v>0</v>
      </c>
      <c r="BF27" s="137"/>
      <c r="BG27" s="139">
        <f>SUM(BG28:BG29)</f>
        <v>0</v>
      </c>
      <c r="BH27" s="45"/>
    </row>
    <row r="28" spans="1:61" ht="26" customHeight="1" x14ac:dyDescent="0.45">
      <c r="A28" s="140">
        <v>1</v>
      </c>
      <c r="B28" s="141" t="s">
        <v>45</v>
      </c>
      <c r="C28" s="142" t="s">
        <v>1466</v>
      </c>
      <c r="D28" s="143" t="str">
        <f>B28&amp;"_"&amp;E28</f>
        <v>1.2_5.1.1</v>
      </c>
      <c r="E28" s="56" t="s">
        <v>853</v>
      </c>
      <c r="F28" s="506" t="s">
        <v>1722</v>
      </c>
      <c r="G28" s="507" t="s">
        <v>39</v>
      </c>
      <c r="H28" s="507" t="s">
        <v>39</v>
      </c>
      <c r="I28" s="507" t="s">
        <v>1723</v>
      </c>
      <c r="J28" s="507" t="s">
        <v>39</v>
      </c>
      <c r="K28" s="507" t="s">
        <v>39</v>
      </c>
      <c r="L28" s="507" t="s">
        <v>39</v>
      </c>
      <c r="M28" s="507" t="s">
        <v>40</v>
      </c>
      <c r="N28" s="507" t="s">
        <v>40</v>
      </c>
      <c r="O28" s="57" t="s">
        <v>854</v>
      </c>
      <c r="P28" s="58" t="s">
        <v>846</v>
      </c>
      <c r="Q28" s="59" t="s">
        <v>855</v>
      </c>
      <c r="R28" s="60" t="s">
        <v>71</v>
      </c>
      <c r="S28" s="61">
        <v>18</v>
      </c>
      <c r="T28" s="62">
        <f>INDEX('BM MORRO DA CRUZ'!$P$6:$P$402,MATCH($O28,'BM MORRO DA CRUZ'!$K$6:$K$402,0))</f>
        <v>130.91999999999999</v>
      </c>
      <c r="U28" s="63">
        <f>ROUND(T28*$S28,2)</f>
        <v>2356.56</v>
      </c>
      <c r="V28" s="61">
        <f>IFERROR(SUMIFS('01ª MC'!$W$1:$W$1840,'01ª MC'!$C$1:$C$1840,$D28),0)</f>
        <v>0</v>
      </c>
      <c r="W28" s="63">
        <f>ROUND(V28*$T28,2)</f>
        <v>0</v>
      </c>
      <c r="X28" s="61">
        <v>0</v>
      </c>
      <c r="Y28" s="63">
        <f>ROUND(X28*$T28,2)</f>
        <v>0</v>
      </c>
      <c r="Z28" s="61">
        <v>0</v>
      </c>
      <c r="AA28" s="63">
        <f>ROUND(Z28*$T28,2)</f>
        <v>0</v>
      </c>
      <c r="AB28" s="61">
        <v>0</v>
      </c>
      <c r="AC28" s="63">
        <f>ROUND(AB28*$T28,2)</f>
        <v>0</v>
      </c>
      <c r="AD28" s="61">
        <v>0</v>
      </c>
      <c r="AE28" s="63">
        <f>ROUND(AD28*$T28,2)</f>
        <v>0</v>
      </c>
      <c r="AF28" s="61">
        <v>0</v>
      </c>
      <c r="AG28" s="63">
        <f>ROUND(AF28*$T28,2)</f>
        <v>0</v>
      </c>
      <c r="AH28" s="61">
        <v>0</v>
      </c>
      <c r="AI28" s="63">
        <f>ROUND(AH28*$T28,2)</f>
        <v>0</v>
      </c>
      <c r="AJ28" s="61">
        <v>0</v>
      </c>
      <c r="AK28" s="63">
        <f>ROUND(AJ28*$T28,2)</f>
        <v>0</v>
      </c>
      <c r="AL28" s="61">
        <v>0</v>
      </c>
      <c r="AM28" s="63">
        <f>ROUND(AL28*$T28,2)</f>
        <v>0</v>
      </c>
      <c r="AN28" s="61">
        <v>0</v>
      </c>
      <c r="AO28" s="63">
        <f>ROUND(AN28*$T28,2)</f>
        <v>0</v>
      </c>
      <c r="AP28" s="61">
        <v>0</v>
      </c>
      <c r="AQ28" s="63">
        <f>ROUND(AP28*$T28,2)</f>
        <v>0</v>
      </c>
      <c r="AR28" s="61">
        <v>0</v>
      </c>
      <c r="AS28" s="63">
        <f>ROUND(AR28*$T28,2)</f>
        <v>0</v>
      </c>
      <c r="AT28" s="61">
        <v>0</v>
      </c>
      <c r="AU28" s="63">
        <f>ROUND(AT28*$T28,2)</f>
        <v>0</v>
      </c>
      <c r="AV28" s="61">
        <v>0</v>
      </c>
      <c r="AW28" s="63">
        <f>ROUND(AV28*$T28,2)</f>
        <v>0</v>
      </c>
      <c r="AX28" s="61">
        <v>0</v>
      </c>
      <c r="AY28" s="63">
        <f>ROUND(AX28*$T28,2)</f>
        <v>0</v>
      </c>
      <c r="AZ28" s="61">
        <v>0</v>
      </c>
      <c r="BA28" s="63">
        <f>ROUND(AZ28*$T28,2)</f>
        <v>0</v>
      </c>
      <c r="BB28" s="61">
        <v>0</v>
      </c>
      <c r="BC28" s="63">
        <f>ROUND(BB28*$T28,2)</f>
        <v>0</v>
      </c>
      <c r="BD28" s="61">
        <v>0</v>
      </c>
      <c r="BE28" s="63">
        <f>ROUND(BD28*$T28,2)</f>
        <v>0</v>
      </c>
      <c r="BF28" s="61">
        <f>IFERROR(SUMIFS($V28:$BE28,$V$5:$BE$5,$BF$5),0)</f>
        <v>0</v>
      </c>
      <c r="BG28" s="63">
        <f>SUMIFS($V28:$BE28,$V$5:$BE$5,$W$5)</f>
        <v>0</v>
      </c>
      <c r="BH28" s="45"/>
      <c r="BI28" s="144"/>
    </row>
    <row r="29" spans="1:61" ht="26" customHeight="1" x14ac:dyDescent="0.45">
      <c r="A29" s="140">
        <v>1</v>
      </c>
      <c r="B29" s="141" t="s">
        <v>45</v>
      </c>
      <c r="C29" s="142" t="s">
        <v>1466</v>
      </c>
      <c r="D29" s="143" t="str">
        <f>B29&amp;"_"&amp;E29</f>
        <v>1.2_5.1.2</v>
      </c>
      <c r="E29" s="56" t="s">
        <v>856</v>
      </c>
      <c r="F29" s="506" t="s">
        <v>1724</v>
      </c>
      <c r="G29" s="507" t="s">
        <v>39</v>
      </c>
      <c r="H29" s="507" t="s">
        <v>39</v>
      </c>
      <c r="I29" s="507" t="s">
        <v>1725</v>
      </c>
      <c r="J29" s="507" t="s">
        <v>39</v>
      </c>
      <c r="K29" s="507" t="s">
        <v>39</v>
      </c>
      <c r="L29" s="507" t="s">
        <v>39</v>
      </c>
      <c r="M29" s="507" t="s">
        <v>40</v>
      </c>
      <c r="N29" s="507" t="s">
        <v>1726</v>
      </c>
      <c r="O29" s="57" t="s">
        <v>857</v>
      </c>
      <c r="P29" s="58" t="s">
        <v>846</v>
      </c>
      <c r="Q29" s="59" t="s">
        <v>858</v>
      </c>
      <c r="R29" s="60" t="s">
        <v>792</v>
      </c>
      <c r="S29" s="61">
        <v>772.2</v>
      </c>
      <c r="T29" s="62">
        <f>INDEX('BM MORRO DA CRUZ'!$P$6:$P$402,MATCH($O29,'BM MORRO DA CRUZ'!$K$6:$K$402,0))</f>
        <v>90.39</v>
      </c>
      <c r="U29" s="63">
        <f>ROUND(T29*$S29,2)</f>
        <v>69799.16</v>
      </c>
      <c r="V29" s="61">
        <f>IFERROR(SUMIFS('01ª MC'!$W$1:$W$1840,'01ª MC'!$C$1:$C$1840,$D29),0)</f>
        <v>0</v>
      </c>
      <c r="W29" s="63">
        <f>ROUND(V29*$T29,2)</f>
        <v>0</v>
      </c>
      <c r="X29" s="61">
        <v>0</v>
      </c>
      <c r="Y29" s="63">
        <f>ROUND(X29*$T29,2)</f>
        <v>0</v>
      </c>
      <c r="Z29" s="61">
        <v>0</v>
      </c>
      <c r="AA29" s="63">
        <f>ROUND(Z29*$T29,2)</f>
        <v>0</v>
      </c>
      <c r="AB29" s="61">
        <v>0</v>
      </c>
      <c r="AC29" s="63">
        <f>ROUND(AB29*$T29,2)</f>
        <v>0</v>
      </c>
      <c r="AD29" s="61">
        <v>0</v>
      </c>
      <c r="AE29" s="63">
        <f>ROUND(AD29*$T29,2)</f>
        <v>0</v>
      </c>
      <c r="AF29" s="61">
        <v>0</v>
      </c>
      <c r="AG29" s="63">
        <f>ROUND(AF29*$T29,2)</f>
        <v>0</v>
      </c>
      <c r="AH29" s="61">
        <v>0</v>
      </c>
      <c r="AI29" s="63">
        <f>ROUND(AH29*$T29,2)</f>
        <v>0</v>
      </c>
      <c r="AJ29" s="61">
        <v>0</v>
      </c>
      <c r="AK29" s="63">
        <f>ROUND(AJ29*$T29,2)</f>
        <v>0</v>
      </c>
      <c r="AL29" s="61">
        <v>0</v>
      </c>
      <c r="AM29" s="63">
        <f>ROUND(AL29*$T29,2)</f>
        <v>0</v>
      </c>
      <c r="AN29" s="61">
        <v>0</v>
      </c>
      <c r="AO29" s="63">
        <f>ROUND(AN29*$T29,2)</f>
        <v>0</v>
      </c>
      <c r="AP29" s="61">
        <v>0</v>
      </c>
      <c r="AQ29" s="63">
        <f>ROUND(AP29*$T29,2)</f>
        <v>0</v>
      </c>
      <c r="AR29" s="61">
        <v>0</v>
      </c>
      <c r="AS29" s="63">
        <f>ROUND(AR29*$T29,2)</f>
        <v>0</v>
      </c>
      <c r="AT29" s="61">
        <v>0</v>
      </c>
      <c r="AU29" s="63">
        <f>ROUND(AT29*$T29,2)</f>
        <v>0</v>
      </c>
      <c r="AV29" s="61">
        <v>0</v>
      </c>
      <c r="AW29" s="63">
        <f>ROUND(AV29*$T29,2)</f>
        <v>0</v>
      </c>
      <c r="AX29" s="61">
        <v>0</v>
      </c>
      <c r="AY29" s="63">
        <f>ROUND(AX29*$T29,2)</f>
        <v>0</v>
      </c>
      <c r="AZ29" s="61">
        <v>0</v>
      </c>
      <c r="BA29" s="63">
        <f>ROUND(AZ29*$T29,2)</f>
        <v>0</v>
      </c>
      <c r="BB29" s="61">
        <v>0</v>
      </c>
      <c r="BC29" s="63">
        <f>ROUND(BB29*$T29,2)</f>
        <v>0</v>
      </c>
      <c r="BD29" s="61">
        <v>0</v>
      </c>
      <c r="BE29" s="63">
        <f>ROUND(BD29*$T29,2)</f>
        <v>0</v>
      </c>
      <c r="BF29" s="61">
        <f>IFERROR(SUMIFS($V29:$BE29,$V$5:$BE$5,$BF$5),0)</f>
        <v>0</v>
      </c>
      <c r="BG29" s="63">
        <f>SUMIFS($V29:$BE29,$V$5:$BE$5,$W$5)</f>
        <v>0</v>
      </c>
      <c r="BH29" s="45"/>
      <c r="BI29" s="144"/>
    </row>
    <row r="30" spans="1:61" ht="19.5" customHeight="1" x14ac:dyDescent="0.45">
      <c r="A30" s="128">
        <v>1</v>
      </c>
      <c r="B30" s="129"/>
      <c r="C30" s="130"/>
      <c r="D30" s="131"/>
      <c r="E30" s="132" t="s">
        <v>890</v>
      </c>
      <c r="F30" s="515"/>
      <c r="G30" s="516"/>
      <c r="H30" s="516"/>
      <c r="I30" s="516"/>
      <c r="J30" s="516"/>
      <c r="K30" s="516"/>
      <c r="L30" s="516"/>
      <c r="M30" s="516"/>
      <c r="N30" s="516"/>
      <c r="O30" s="133" t="s">
        <v>891</v>
      </c>
      <c r="P30" s="134"/>
      <c r="Q30" s="135" t="s">
        <v>892</v>
      </c>
      <c r="R30" s="136"/>
      <c r="S30" s="137"/>
      <c r="T30" s="138"/>
      <c r="U30" s="139">
        <f>SUM(U31:U36)</f>
        <v>102098.25</v>
      </c>
      <c r="V30" s="137"/>
      <c r="W30" s="139">
        <f>SUM(W31:W36)</f>
        <v>0</v>
      </c>
      <c r="X30" s="137"/>
      <c r="Y30" s="139">
        <f>SUM(Y31:Y36)</f>
        <v>0</v>
      </c>
      <c r="Z30" s="137"/>
      <c r="AA30" s="139">
        <f>SUM(AA31:AA36)</f>
        <v>0</v>
      </c>
      <c r="AB30" s="137"/>
      <c r="AC30" s="139">
        <f>SUM(AC31:AC36)</f>
        <v>0</v>
      </c>
      <c r="AD30" s="137"/>
      <c r="AE30" s="139">
        <f>SUM(AE31:AE36)</f>
        <v>0</v>
      </c>
      <c r="AF30" s="137"/>
      <c r="AG30" s="139">
        <f>SUM(AG31:AG36)</f>
        <v>0</v>
      </c>
      <c r="AH30" s="137"/>
      <c r="AI30" s="139">
        <f>SUM(AI31:AI36)</f>
        <v>0</v>
      </c>
      <c r="AJ30" s="137"/>
      <c r="AK30" s="139">
        <f>SUM(AK31:AK36)</f>
        <v>0</v>
      </c>
      <c r="AL30" s="137"/>
      <c r="AM30" s="139">
        <f>SUM(AM31:AM36)</f>
        <v>0</v>
      </c>
      <c r="AN30" s="137"/>
      <c r="AO30" s="139">
        <f>SUM(AO31:AO36)</f>
        <v>0</v>
      </c>
      <c r="AP30" s="137"/>
      <c r="AQ30" s="139">
        <f>SUM(AQ31:AQ36)</f>
        <v>0</v>
      </c>
      <c r="AR30" s="137"/>
      <c r="AS30" s="139">
        <f>SUM(AS31:AS36)</f>
        <v>0</v>
      </c>
      <c r="AT30" s="137"/>
      <c r="AU30" s="139">
        <f>SUM(AU31:AU36)</f>
        <v>0</v>
      </c>
      <c r="AV30" s="137"/>
      <c r="AW30" s="139">
        <f>SUM(AW31:AW36)</f>
        <v>0</v>
      </c>
      <c r="AX30" s="137"/>
      <c r="AY30" s="139">
        <f>SUM(AY31:AY36)</f>
        <v>0</v>
      </c>
      <c r="AZ30" s="137"/>
      <c r="BA30" s="139">
        <f>SUM(BA31:BA36)</f>
        <v>0</v>
      </c>
      <c r="BB30" s="137"/>
      <c r="BC30" s="139">
        <f>SUM(BC31:BC36)</f>
        <v>0</v>
      </c>
      <c r="BD30" s="137"/>
      <c r="BE30" s="139">
        <f>SUM(BE31:BE36)</f>
        <v>0</v>
      </c>
      <c r="BF30" s="137"/>
      <c r="BG30" s="139">
        <f>SUM(BG31:BG36)</f>
        <v>0</v>
      </c>
      <c r="BH30" s="45"/>
    </row>
    <row r="31" spans="1:61" ht="35.65" x14ac:dyDescent="0.45">
      <c r="A31" s="140">
        <v>1</v>
      </c>
      <c r="B31" s="141" t="s">
        <v>45</v>
      </c>
      <c r="C31" s="142" t="s">
        <v>1466</v>
      </c>
      <c r="D31" s="143" t="str">
        <f t="shared" ref="D31:D36" si="0">B31&amp;"_"&amp;E31</f>
        <v>1.2_5.4.4</v>
      </c>
      <c r="E31" s="56" t="s">
        <v>902</v>
      </c>
      <c r="F31" s="506" t="s">
        <v>1751</v>
      </c>
      <c r="G31" s="507" t="s">
        <v>39</v>
      </c>
      <c r="H31" s="507" t="s">
        <v>39</v>
      </c>
      <c r="I31" s="507" t="s">
        <v>1748</v>
      </c>
      <c r="J31" s="507" t="s">
        <v>39</v>
      </c>
      <c r="K31" s="507" t="s">
        <v>39</v>
      </c>
      <c r="L31" s="507" t="s">
        <v>39</v>
      </c>
      <c r="M31" s="507" t="s">
        <v>40</v>
      </c>
      <c r="N31" s="507" t="s">
        <v>1750</v>
      </c>
      <c r="O31" s="57" t="s">
        <v>903</v>
      </c>
      <c r="P31" s="58" t="s">
        <v>846</v>
      </c>
      <c r="Q31" s="59" t="s">
        <v>904</v>
      </c>
      <c r="R31" s="60" t="s">
        <v>755</v>
      </c>
      <c r="S31" s="61">
        <v>697.88</v>
      </c>
      <c r="T31" s="62">
        <f>INDEX('BM MORRO DA CRUZ'!$P$6:$P$402,MATCH($O31,'BM MORRO DA CRUZ'!$K$6:$K$402,0))</f>
        <v>9.16</v>
      </c>
      <c r="U31" s="63">
        <f t="shared" ref="U31:U36" si="1">ROUND(T31*$S31,2)</f>
        <v>6392.58</v>
      </c>
      <c r="V31" s="61">
        <f>IFERROR(SUMIFS('01ª MC'!$W$1:$W$1840,'01ª MC'!$C$1:$C$1840,$D31),0)</f>
        <v>0</v>
      </c>
      <c r="W31" s="63">
        <f t="shared" ref="W31:W36" si="2">ROUND(V31*$T31,2)</f>
        <v>0</v>
      </c>
      <c r="X31" s="61">
        <v>0</v>
      </c>
      <c r="Y31" s="63">
        <f t="shared" ref="Y31:Y36" si="3">ROUND(X31*$T31,2)</f>
        <v>0</v>
      </c>
      <c r="Z31" s="61">
        <v>0</v>
      </c>
      <c r="AA31" s="63">
        <f t="shared" ref="AA31:AA36" si="4">ROUND(Z31*$T31,2)</f>
        <v>0</v>
      </c>
      <c r="AB31" s="61">
        <v>0</v>
      </c>
      <c r="AC31" s="63">
        <f t="shared" ref="AC31:AC36" si="5">ROUND(AB31*$T31,2)</f>
        <v>0</v>
      </c>
      <c r="AD31" s="61">
        <v>0</v>
      </c>
      <c r="AE31" s="63">
        <f t="shared" ref="AE31:AE36" si="6">ROUND(AD31*$T31,2)</f>
        <v>0</v>
      </c>
      <c r="AF31" s="61">
        <v>0</v>
      </c>
      <c r="AG31" s="63">
        <f t="shared" ref="AG31:AG36" si="7">ROUND(AF31*$T31,2)</f>
        <v>0</v>
      </c>
      <c r="AH31" s="61">
        <v>0</v>
      </c>
      <c r="AI31" s="63">
        <f t="shared" ref="AI31:AI36" si="8">ROUND(AH31*$T31,2)</f>
        <v>0</v>
      </c>
      <c r="AJ31" s="61">
        <v>0</v>
      </c>
      <c r="AK31" s="63">
        <f t="shared" ref="AK31:AK36" si="9">ROUND(AJ31*$T31,2)</f>
        <v>0</v>
      </c>
      <c r="AL31" s="61">
        <v>0</v>
      </c>
      <c r="AM31" s="63">
        <f t="shared" ref="AM31:AM36" si="10">ROUND(AL31*$T31,2)</f>
        <v>0</v>
      </c>
      <c r="AN31" s="61">
        <v>0</v>
      </c>
      <c r="AO31" s="63">
        <f t="shared" ref="AO31:AO36" si="11">ROUND(AN31*$T31,2)</f>
        <v>0</v>
      </c>
      <c r="AP31" s="61">
        <v>0</v>
      </c>
      <c r="AQ31" s="63">
        <f t="shared" ref="AQ31:AQ36" si="12">ROUND(AP31*$T31,2)</f>
        <v>0</v>
      </c>
      <c r="AR31" s="61">
        <v>0</v>
      </c>
      <c r="AS31" s="63">
        <f t="shared" ref="AS31:AS36" si="13">ROUND(AR31*$T31,2)</f>
        <v>0</v>
      </c>
      <c r="AT31" s="61">
        <v>0</v>
      </c>
      <c r="AU31" s="63">
        <f t="shared" ref="AU31:AU36" si="14">ROUND(AT31*$T31,2)</f>
        <v>0</v>
      </c>
      <c r="AV31" s="61">
        <v>0</v>
      </c>
      <c r="AW31" s="63">
        <f t="shared" ref="AW31:AW36" si="15">ROUND(AV31*$T31,2)</f>
        <v>0</v>
      </c>
      <c r="AX31" s="61">
        <v>0</v>
      </c>
      <c r="AY31" s="63">
        <f t="shared" ref="AY31:AY36" si="16">ROUND(AX31*$T31,2)</f>
        <v>0</v>
      </c>
      <c r="AZ31" s="61">
        <v>0</v>
      </c>
      <c r="BA31" s="63">
        <f t="shared" ref="BA31:BA36" si="17">ROUND(AZ31*$T31,2)</f>
        <v>0</v>
      </c>
      <c r="BB31" s="61">
        <v>0</v>
      </c>
      <c r="BC31" s="63">
        <f t="shared" ref="BC31:BC36" si="18">ROUND(BB31*$T31,2)</f>
        <v>0</v>
      </c>
      <c r="BD31" s="61">
        <v>0</v>
      </c>
      <c r="BE31" s="63">
        <f t="shared" ref="BE31:BE36" si="19">ROUND(BD31*$T31,2)</f>
        <v>0</v>
      </c>
      <c r="BF31" s="61">
        <f t="shared" ref="BF31:BF36" si="20">IFERROR(SUMIFS($V31:$BE31,$V$5:$BE$5,$BF$5),0)</f>
        <v>0</v>
      </c>
      <c r="BG31" s="63">
        <f t="shared" ref="BG31:BG36" si="21">SUMIFS($V31:$BE31,$V$5:$BE$5,$W$5)</f>
        <v>0</v>
      </c>
      <c r="BH31" s="45"/>
      <c r="BI31" s="144"/>
    </row>
    <row r="32" spans="1:61" ht="35.65" x14ac:dyDescent="0.45">
      <c r="A32" s="140">
        <v>1</v>
      </c>
      <c r="B32" s="141" t="s">
        <v>45</v>
      </c>
      <c r="C32" s="142" t="s">
        <v>1466</v>
      </c>
      <c r="D32" s="143" t="str">
        <f t="shared" si="0"/>
        <v>1.2_5.4.6</v>
      </c>
      <c r="E32" s="56" t="s">
        <v>908</v>
      </c>
      <c r="F32" s="506" t="s">
        <v>1752</v>
      </c>
      <c r="G32" s="507" t="s">
        <v>39</v>
      </c>
      <c r="H32" s="507" t="s">
        <v>39</v>
      </c>
      <c r="I32" s="507" t="s">
        <v>1748</v>
      </c>
      <c r="J32" s="507" t="s">
        <v>39</v>
      </c>
      <c r="K32" s="507" t="s">
        <v>39</v>
      </c>
      <c r="L32" s="507" t="s">
        <v>39</v>
      </c>
      <c r="M32" s="507" t="s">
        <v>40</v>
      </c>
      <c r="N32" s="507" t="s">
        <v>1750</v>
      </c>
      <c r="O32" s="57" t="s">
        <v>909</v>
      </c>
      <c r="P32" s="58" t="s">
        <v>846</v>
      </c>
      <c r="Q32" s="59" t="s">
        <v>910</v>
      </c>
      <c r="R32" s="60" t="s">
        <v>54</v>
      </c>
      <c r="S32" s="61">
        <v>3489.42</v>
      </c>
      <c r="T32" s="62">
        <f>INDEX('BM MORRO DA CRUZ'!$P$6:$P$402,MATCH($O32,'BM MORRO DA CRUZ'!$K$6:$K$402,0))</f>
        <v>6.35</v>
      </c>
      <c r="U32" s="63">
        <f t="shared" si="1"/>
        <v>22157.82</v>
      </c>
      <c r="V32" s="61">
        <f>IFERROR(SUMIFS('01ª MC'!$W$1:$W$1840,'01ª MC'!$C$1:$C$1840,$D32),0)</f>
        <v>0</v>
      </c>
      <c r="W32" s="63">
        <f t="shared" si="2"/>
        <v>0</v>
      </c>
      <c r="X32" s="61">
        <v>0</v>
      </c>
      <c r="Y32" s="63">
        <f t="shared" si="3"/>
        <v>0</v>
      </c>
      <c r="Z32" s="61">
        <v>0</v>
      </c>
      <c r="AA32" s="63">
        <f t="shared" si="4"/>
        <v>0</v>
      </c>
      <c r="AB32" s="61">
        <v>0</v>
      </c>
      <c r="AC32" s="63">
        <f t="shared" si="5"/>
        <v>0</v>
      </c>
      <c r="AD32" s="61">
        <v>0</v>
      </c>
      <c r="AE32" s="63">
        <f t="shared" si="6"/>
        <v>0</v>
      </c>
      <c r="AF32" s="61">
        <v>0</v>
      </c>
      <c r="AG32" s="63">
        <f t="shared" si="7"/>
        <v>0</v>
      </c>
      <c r="AH32" s="61">
        <v>0</v>
      </c>
      <c r="AI32" s="63">
        <f t="shared" si="8"/>
        <v>0</v>
      </c>
      <c r="AJ32" s="61">
        <v>0</v>
      </c>
      <c r="AK32" s="63">
        <f t="shared" si="9"/>
        <v>0</v>
      </c>
      <c r="AL32" s="61">
        <v>0</v>
      </c>
      <c r="AM32" s="63">
        <f t="shared" si="10"/>
        <v>0</v>
      </c>
      <c r="AN32" s="61">
        <v>0</v>
      </c>
      <c r="AO32" s="63">
        <f t="shared" si="11"/>
        <v>0</v>
      </c>
      <c r="AP32" s="61">
        <v>0</v>
      </c>
      <c r="AQ32" s="63">
        <f t="shared" si="12"/>
        <v>0</v>
      </c>
      <c r="AR32" s="61">
        <v>0</v>
      </c>
      <c r="AS32" s="63">
        <f t="shared" si="13"/>
        <v>0</v>
      </c>
      <c r="AT32" s="61">
        <v>0</v>
      </c>
      <c r="AU32" s="63">
        <f t="shared" si="14"/>
        <v>0</v>
      </c>
      <c r="AV32" s="61">
        <v>0</v>
      </c>
      <c r="AW32" s="63">
        <f t="shared" si="15"/>
        <v>0</v>
      </c>
      <c r="AX32" s="61">
        <v>0</v>
      </c>
      <c r="AY32" s="63">
        <f t="shared" si="16"/>
        <v>0</v>
      </c>
      <c r="AZ32" s="61">
        <v>0</v>
      </c>
      <c r="BA32" s="63">
        <f t="shared" si="17"/>
        <v>0</v>
      </c>
      <c r="BB32" s="61">
        <v>0</v>
      </c>
      <c r="BC32" s="63">
        <f t="shared" si="18"/>
        <v>0</v>
      </c>
      <c r="BD32" s="61">
        <v>0</v>
      </c>
      <c r="BE32" s="63">
        <f t="shared" si="19"/>
        <v>0</v>
      </c>
      <c r="BF32" s="61">
        <f t="shared" si="20"/>
        <v>0</v>
      </c>
      <c r="BG32" s="63">
        <f t="shared" si="21"/>
        <v>0</v>
      </c>
      <c r="BH32" s="45"/>
      <c r="BI32" s="144"/>
    </row>
    <row r="33" spans="1:61" ht="26" customHeight="1" x14ac:dyDescent="0.45">
      <c r="A33" s="140">
        <v>1</v>
      </c>
      <c r="B33" s="141" t="s">
        <v>45</v>
      </c>
      <c r="C33" s="142" t="s">
        <v>1466</v>
      </c>
      <c r="D33" s="143" t="str">
        <f t="shared" si="0"/>
        <v>1.2_5.4.17</v>
      </c>
      <c r="E33" s="56" t="s">
        <v>941</v>
      </c>
      <c r="F33" s="506" t="s">
        <v>1769</v>
      </c>
      <c r="G33" s="507" t="s">
        <v>39</v>
      </c>
      <c r="H33" s="507" t="s">
        <v>39</v>
      </c>
      <c r="I33" s="507" t="s">
        <v>1770</v>
      </c>
      <c r="J33" s="507" t="s">
        <v>39</v>
      </c>
      <c r="K33" s="507" t="s">
        <v>39</v>
      </c>
      <c r="L33" s="507" t="s">
        <v>1730</v>
      </c>
      <c r="M33" s="507" t="s">
        <v>40</v>
      </c>
      <c r="N33" s="507" t="s">
        <v>1770</v>
      </c>
      <c r="O33" s="57" t="s">
        <v>942</v>
      </c>
      <c r="P33" s="58" t="s">
        <v>846</v>
      </c>
      <c r="Q33" s="59" t="s">
        <v>943</v>
      </c>
      <c r="R33" s="60" t="s">
        <v>755</v>
      </c>
      <c r="S33" s="61">
        <v>6.45</v>
      </c>
      <c r="T33" s="62">
        <f>INDEX('BM MORRO DA CRUZ'!$P$6:$P$402,MATCH($O33,'BM MORRO DA CRUZ'!$K$6:$K$402,0))</f>
        <v>27.15</v>
      </c>
      <c r="U33" s="63">
        <f t="shared" si="1"/>
        <v>175.12</v>
      </c>
      <c r="V33" s="61">
        <f>IFERROR(SUMIFS('01ª MC'!$W$1:$W$1840,'01ª MC'!$C$1:$C$1840,$D33),0)</f>
        <v>0</v>
      </c>
      <c r="W33" s="63">
        <f t="shared" si="2"/>
        <v>0</v>
      </c>
      <c r="X33" s="61">
        <v>0</v>
      </c>
      <c r="Y33" s="63">
        <f t="shared" si="3"/>
        <v>0</v>
      </c>
      <c r="Z33" s="61">
        <v>0</v>
      </c>
      <c r="AA33" s="63">
        <f t="shared" si="4"/>
        <v>0</v>
      </c>
      <c r="AB33" s="61">
        <v>0</v>
      </c>
      <c r="AC33" s="63">
        <f t="shared" si="5"/>
        <v>0</v>
      </c>
      <c r="AD33" s="61">
        <v>0</v>
      </c>
      <c r="AE33" s="63">
        <f t="shared" si="6"/>
        <v>0</v>
      </c>
      <c r="AF33" s="61">
        <v>0</v>
      </c>
      <c r="AG33" s="63">
        <f t="shared" si="7"/>
        <v>0</v>
      </c>
      <c r="AH33" s="61">
        <v>0</v>
      </c>
      <c r="AI33" s="63">
        <f t="shared" si="8"/>
        <v>0</v>
      </c>
      <c r="AJ33" s="61">
        <v>0</v>
      </c>
      <c r="AK33" s="63">
        <f t="shared" si="9"/>
        <v>0</v>
      </c>
      <c r="AL33" s="61">
        <v>0</v>
      </c>
      <c r="AM33" s="63">
        <f t="shared" si="10"/>
        <v>0</v>
      </c>
      <c r="AN33" s="61">
        <v>0</v>
      </c>
      <c r="AO33" s="63">
        <f t="shared" si="11"/>
        <v>0</v>
      </c>
      <c r="AP33" s="61">
        <v>0</v>
      </c>
      <c r="AQ33" s="63">
        <f t="shared" si="12"/>
        <v>0</v>
      </c>
      <c r="AR33" s="61">
        <v>0</v>
      </c>
      <c r="AS33" s="63">
        <f t="shared" si="13"/>
        <v>0</v>
      </c>
      <c r="AT33" s="61">
        <v>0</v>
      </c>
      <c r="AU33" s="63">
        <f t="shared" si="14"/>
        <v>0</v>
      </c>
      <c r="AV33" s="61">
        <v>0</v>
      </c>
      <c r="AW33" s="63">
        <f t="shared" si="15"/>
        <v>0</v>
      </c>
      <c r="AX33" s="61">
        <v>0</v>
      </c>
      <c r="AY33" s="63">
        <f t="shared" si="16"/>
        <v>0</v>
      </c>
      <c r="AZ33" s="61">
        <v>0</v>
      </c>
      <c r="BA33" s="63">
        <f t="shared" si="17"/>
        <v>0</v>
      </c>
      <c r="BB33" s="61">
        <v>0</v>
      </c>
      <c r="BC33" s="63">
        <f t="shared" si="18"/>
        <v>0</v>
      </c>
      <c r="BD33" s="61">
        <v>0</v>
      </c>
      <c r="BE33" s="63">
        <f t="shared" si="19"/>
        <v>0</v>
      </c>
      <c r="BF33" s="61">
        <f t="shared" si="20"/>
        <v>0</v>
      </c>
      <c r="BG33" s="63">
        <f t="shared" si="21"/>
        <v>0</v>
      </c>
      <c r="BH33" s="45"/>
      <c r="BI33" s="144"/>
    </row>
    <row r="34" spans="1:61" ht="26" customHeight="1" x14ac:dyDescent="0.45">
      <c r="A34" s="140">
        <v>1</v>
      </c>
      <c r="B34" s="141" t="s">
        <v>45</v>
      </c>
      <c r="C34" s="142" t="s">
        <v>1466</v>
      </c>
      <c r="D34" s="143" t="str">
        <f t="shared" si="0"/>
        <v>1.2_5.4.22</v>
      </c>
      <c r="E34" s="56" t="s">
        <v>956</v>
      </c>
      <c r="F34" s="506" t="s">
        <v>1776</v>
      </c>
      <c r="G34" s="507" t="s">
        <v>39</v>
      </c>
      <c r="H34" s="507" t="s">
        <v>39</v>
      </c>
      <c r="I34" s="507" t="s">
        <v>1777</v>
      </c>
      <c r="J34" s="507" t="s">
        <v>39</v>
      </c>
      <c r="K34" s="507" t="s">
        <v>39</v>
      </c>
      <c r="L34" s="507" t="s">
        <v>39</v>
      </c>
      <c r="M34" s="507" t="s">
        <v>40</v>
      </c>
      <c r="N34" s="507" t="s">
        <v>1777</v>
      </c>
      <c r="O34" s="57" t="s">
        <v>957</v>
      </c>
      <c r="P34" s="58" t="s">
        <v>846</v>
      </c>
      <c r="Q34" s="59" t="s">
        <v>958</v>
      </c>
      <c r="R34" s="60" t="s">
        <v>959</v>
      </c>
      <c r="S34" s="61">
        <v>19122.02</v>
      </c>
      <c r="T34" s="62">
        <f>INDEX('BM MORRO DA CRUZ'!$P$6:$P$402,MATCH($O34,'BM MORRO DA CRUZ'!$K$6:$K$402,0))</f>
        <v>0.89</v>
      </c>
      <c r="U34" s="63">
        <f t="shared" si="1"/>
        <v>17018.599999999999</v>
      </c>
      <c r="V34" s="61">
        <f>IFERROR(SUMIFS('01ª MC'!$W$1:$W$1840,'01ª MC'!$C$1:$C$1840,$D34),0)</f>
        <v>0</v>
      </c>
      <c r="W34" s="63">
        <f t="shared" si="2"/>
        <v>0</v>
      </c>
      <c r="X34" s="61">
        <v>0</v>
      </c>
      <c r="Y34" s="63">
        <f t="shared" si="3"/>
        <v>0</v>
      </c>
      <c r="Z34" s="61">
        <v>0</v>
      </c>
      <c r="AA34" s="63">
        <f t="shared" si="4"/>
        <v>0</v>
      </c>
      <c r="AB34" s="61">
        <v>0</v>
      </c>
      <c r="AC34" s="63">
        <f t="shared" si="5"/>
        <v>0</v>
      </c>
      <c r="AD34" s="61">
        <v>0</v>
      </c>
      <c r="AE34" s="63">
        <f t="shared" si="6"/>
        <v>0</v>
      </c>
      <c r="AF34" s="61">
        <v>0</v>
      </c>
      <c r="AG34" s="63">
        <f t="shared" si="7"/>
        <v>0</v>
      </c>
      <c r="AH34" s="61">
        <v>0</v>
      </c>
      <c r="AI34" s="63">
        <f t="shared" si="8"/>
        <v>0</v>
      </c>
      <c r="AJ34" s="61">
        <v>0</v>
      </c>
      <c r="AK34" s="63">
        <f t="shared" si="9"/>
        <v>0</v>
      </c>
      <c r="AL34" s="61">
        <v>0</v>
      </c>
      <c r="AM34" s="63">
        <f t="shared" si="10"/>
        <v>0</v>
      </c>
      <c r="AN34" s="61">
        <v>0</v>
      </c>
      <c r="AO34" s="63">
        <f t="shared" si="11"/>
        <v>0</v>
      </c>
      <c r="AP34" s="61">
        <v>0</v>
      </c>
      <c r="AQ34" s="63">
        <f t="shared" si="12"/>
        <v>0</v>
      </c>
      <c r="AR34" s="61">
        <v>0</v>
      </c>
      <c r="AS34" s="63">
        <f t="shared" si="13"/>
        <v>0</v>
      </c>
      <c r="AT34" s="61">
        <v>0</v>
      </c>
      <c r="AU34" s="63">
        <f t="shared" si="14"/>
        <v>0</v>
      </c>
      <c r="AV34" s="61">
        <v>0</v>
      </c>
      <c r="AW34" s="63">
        <f t="shared" si="15"/>
        <v>0</v>
      </c>
      <c r="AX34" s="61">
        <v>0</v>
      </c>
      <c r="AY34" s="63">
        <f t="shared" si="16"/>
        <v>0</v>
      </c>
      <c r="AZ34" s="61">
        <v>0</v>
      </c>
      <c r="BA34" s="63">
        <f t="shared" si="17"/>
        <v>0</v>
      </c>
      <c r="BB34" s="61">
        <v>0</v>
      </c>
      <c r="BC34" s="63">
        <f t="shared" si="18"/>
        <v>0</v>
      </c>
      <c r="BD34" s="61">
        <v>0</v>
      </c>
      <c r="BE34" s="63">
        <f t="shared" si="19"/>
        <v>0</v>
      </c>
      <c r="BF34" s="61">
        <f t="shared" si="20"/>
        <v>0</v>
      </c>
      <c r="BG34" s="63">
        <f t="shared" si="21"/>
        <v>0</v>
      </c>
      <c r="BH34" s="45"/>
      <c r="BI34" s="144"/>
    </row>
    <row r="35" spans="1:61" ht="26" customHeight="1" x14ac:dyDescent="0.45">
      <c r="A35" s="140">
        <v>1</v>
      </c>
      <c r="B35" s="141" t="s">
        <v>45</v>
      </c>
      <c r="C35" s="142" t="s">
        <v>1466</v>
      </c>
      <c r="D35" s="143" t="str">
        <f t="shared" si="0"/>
        <v>1.2_5.4.23</v>
      </c>
      <c r="E35" s="56" t="s">
        <v>960</v>
      </c>
      <c r="F35" s="506" t="s">
        <v>1779</v>
      </c>
      <c r="G35" s="507" t="s">
        <v>39</v>
      </c>
      <c r="H35" s="507" t="s">
        <v>39</v>
      </c>
      <c r="I35" s="507" t="s">
        <v>1777</v>
      </c>
      <c r="J35" s="507" t="s">
        <v>39</v>
      </c>
      <c r="K35" s="507" t="s">
        <v>39</v>
      </c>
      <c r="L35" s="507" t="s">
        <v>39</v>
      </c>
      <c r="M35" s="507" t="s">
        <v>40</v>
      </c>
      <c r="N35" s="507" t="s">
        <v>1777</v>
      </c>
      <c r="O35" s="57" t="s">
        <v>961</v>
      </c>
      <c r="P35" s="58" t="s">
        <v>846</v>
      </c>
      <c r="Q35" s="59" t="s">
        <v>962</v>
      </c>
      <c r="R35" s="60" t="s">
        <v>959</v>
      </c>
      <c r="S35" s="61">
        <v>20936.52</v>
      </c>
      <c r="T35" s="62">
        <f>INDEX('BM MORRO DA CRUZ'!$P$6:$P$402,MATCH($O35,'BM MORRO DA CRUZ'!$K$6:$K$402,0))</f>
        <v>2.19</v>
      </c>
      <c r="U35" s="63">
        <f t="shared" si="1"/>
        <v>45850.98</v>
      </c>
      <c r="V35" s="61">
        <f>IFERROR(SUMIFS('01ª MC'!$W$1:$W$1840,'01ª MC'!$C$1:$C$1840,$D35),0)</f>
        <v>0</v>
      </c>
      <c r="W35" s="63">
        <f t="shared" si="2"/>
        <v>0</v>
      </c>
      <c r="X35" s="61">
        <v>0</v>
      </c>
      <c r="Y35" s="63">
        <f t="shared" si="3"/>
        <v>0</v>
      </c>
      <c r="Z35" s="61">
        <v>0</v>
      </c>
      <c r="AA35" s="63">
        <f t="shared" si="4"/>
        <v>0</v>
      </c>
      <c r="AB35" s="61">
        <v>0</v>
      </c>
      <c r="AC35" s="63">
        <f t="shared" si="5"/>
        <v>0</v>
      </c>
      <c r="AD35" s="61">
        <v>0</v>
      </c>
      <c r="AE35" s="63">
        <f t="shared" si="6"/>
        <v>0</v>
      </c>
      <c r="AF35" s="61">
        <v>0</v>
      </c>
      <c r="AG35" s="63">
        <f t="shared" si="7"/>
        <v>0</v>
      </c>
      <c r="AH35" s="61">
        <v>0</v>
      </c>
      <c r="AI35" s="63">
        <f t="shared" si="8"/>
        <v>0</v>
      </c>
      <c r="AJ35" s="61">
        <v>0</v>
      </c>
      <c r="AK35" s="63">
        <f t="shared" si="9"/>
        <v>0</v>
      </c>
      <c r="AL35" s="61">
        <v>0</v>
      </c>
      <c r="AM35" s="63">
        <f t="shared" si="10"/>
        <v>0</v>
      </c>
      <c r="AN35" s="61">
        <v>0</v>
      </c>
      <c r="AO35" s="63">
        <f t="shared" si="11"/>
        <v>0</v>
      </c>
      <c r="AP35" s="61">
        <v>0</v>
      </c>
      <c r="AQ35" s="63">
        <f t="shared" si="12"/>
        <v>0</v>
      </c>
      <c r="AR35" s="61">
        <v>0</v>
      </c>
      <c r="AS35" s="63">
        <f t="shared" si="13"/>
        <v>0</v>
      </c>
      <c r="AT35" s="61">
        <v>0</v>
      </c>
      <c r="AU35" s="63">
        <f t="shared" si="14"/>
        <v>0</v>
      </c>
      <c r="AV35" s="61">
        <v>0</v>
      </c>
      <c r="AW35" s="63">
        <f t="shared" si="15"/>
        <v>0</v>
      </c>
      <c r="AX35" s="61">
        <v>0</v>
      </c>
      <c r="AY35" s="63">
        <f t="shared" si="16"/>
        <v>0</v>
      </c>
      <c r="AZ35" s="61">
        <v>0</v>
      </c>
      <c r="BA35" s="63">
        <f t="shared" si="17"/>
        <v>0</v>
      </c>
      <c r="BB35" s="61">
        <v>0</v>
      </c>
      <c r="BC35" s="63">
        <f t="shared" si="18"/>
        <v>0</v>
      </c>
      <c r="BD35" s="61">
        <v>0</v>
      </c>
      <c r="BE35" s="63">
        <f t="shared" si="19"/>
        <v>0</v>
      </c>
      <c r="BF35" s="61">
        <f t="shared" si="20"/>
        <v>0</v>
      </c>
      <c r="BG35" s="63">
        <f t="shared" si="21"/>
        <v>0</v>
      </c>
      <c r="BH35" s="45"/>
      <c r="BI35" s="144"/>
    </row>
    <row r="36" spans="1:61" ht="26" customHeight="1" x14ac:dyDescent="0.45">
      <c r="A36" s="140">
        <v>1</v>
      </c>
      <c r="B36" s="141" t="s">
        <v>45</v>
      </c>
      <c r="C36" s="142" t="s">
        <v>1466</v>
      </c>
      <c r="D36" s="143" t="str">
        <f t="shared" si="0"/>
        <v>1.2_5.4.25</v>
      </c>
      <c r="E36" s="56" t="s">
        <v>966</v>
      </c>
      <c r="F36" s="506" t="s">
        <v>1781</v>
      </c>
      <c r="G36" s="507" t="s">
        <v>39</v>
      </c>
      <c r="H36" s="507" t="s">
        <v>39</v>
      </c>
      <c r="I36" s="507" t="s">
        <v>1777</v>
      </c>
      <c r="J36" s="507" t="s">
        <v>39</v>
      </c>
      <c r="K36" s="507" t="s">
        <v>39</v>
      </c>
      <c r="L36" s="507" t="s">
        <v>39</v>
      </c>
      <c r="M36" s="507" t="s">
        <v>40</v>
      </c>
      <c r="N36" s="507" t="s">
        <v>1777</v>
      </c>
      <c r="O36" s="57" t="s">
        <v>967</v>
      </c>
      <c r="P36" s="58" t="s">
        <v>846</v>
      </c>
      <c r="Q36" s="59" t="s">
        <v>968</v>
      </c>
      <c r="R36" s="60" t="s">
        <v>959</v>
      </c>
      <c r="S36" s="61">
        <v>3489.42</v>
      </c>
      <c r="T36" s="62">
        <f>INDEX('BM MORRO DA CRUZ'!$P$6:$P$402,MATCH($O36,'BM MORRO DA CRUZ'!$K$6:$K$402,0))</f>
        <v>3.01</v>
      </c>
      <c r="U36" s="63">
        <f t="shared" si="1"/>
        <v>10503.15</v>
      </c>
      <c r="V36" s="61">
        <f>IFERROR(SUMIFS('01ª MC'!$W$1:$W$1840,'01ª MC'!$C$1:$C$1840,$D36),0)</f>
        <v>0</v>
      </c>
      <c r="W36" s="63">
        <f t="shared" si="2"/>
        <v>0</v>
      </c>
      <c r="X36" s="61">
        <v>0</v>
      </c>
      <c r="Y36" s="63">
        <f t="shared" si="3"/>
        <v>0</v>
      </c>
      <c r="Z36" s="61">
        <v>0</v>
      </c>
      <c r="AA36" s="63">
        <f t="shared" si="4"/>
        <v>0</v>
      </c>
      <c r="AB36" s="61">
        <v>0</v>
      </c>
      <c r="AC36" s="63">
        <f t="shared" si="5"/>
        <v>0</v>
      </c>
      <c r="AD36" s="61">
        <v>0</v>
      </c>
      <c r="AE36" s="63">
        <f t="shared" si="6"/>
        <v>0</v>
      </c>
      <c r="AF36" s="61">
        <v>0</v>
      </c>
      <c r="AG36" s="63">
        <f t="shared" si="7"/>
        <v>0</v>
      </c>
      <c r="AH36" s="61">
        <v>0</v>
      </c>
      <c r="AI36" s="63">
        <f t="shared" si="8"/>
        <v>0</v>
      </c>
      <c r="AJ36" s="61">
        <v>0</v>
      </c>
      <c r="AK36" s="63">
        <f t="shared" si="9"/>
        <v>0</v>
      </c>
      <c r="AL36" s="61">
        <v>0</v>
      </c>
      <c r="AM36" s="63">
        <f t="shared" si="10"/>
        <v>0</v>
      </c>
      <c r="AN36" s="61">
        <v>0</v>
      </c>
      <c r="AO36" s="63">
        <f t="shared" si="11"/>
        <v>0</v>
      </c>
      <c r="AP36" s="61">
        <v>0</v>
      </c>
      <c r="AQ36" s="63">
        <f t="shared" si="12"/>
        <v>0</v>
      </c>
      <c r="AR36" s="61">
        <v>0</v>
      </c>
      <c r="AS36" s="63">
        <f t="shared" si="13"/>
        <v>0</v>
      </c>
      <c r="AT36" s="61">
        <v>0</v>
      </c>
      <c r="AU36" s="63">
        <f t="shared" si="14"/>
        <v>0</v>
      </c>
      <c r="AV36" s="61">
        <v>0</v>
      </c>
      <c r="AW36" s="63">
        <f t="shared" si="15"/>
        <v>0</v>
      </c>
      <c r="AX36" s="61">
        <v>0</v>
      </c>
      <c r="AY36" s="63">
        <f t="shared" si="16"/>
        <v>0</v>
      </c>
      <c r="AZ36" s="61">
        <v>0</v>
      </c>
      <c r="BA36" s="63">
        <f t="shared" si="17"/>
        <v>0</v>
      </c>
      <c r="BB36" s="61">
        <v>0</v>
      </c>
      <c r="BC36" s="63">
        <f t="shared" si="18"/>
        <v>0</v>
      </c>
      <c r="BD36" s="61">
        <v>0</v>
      </c>
      <c r="BE36" s="63">
        <f t="shared" si="19"/>
        <v>0</v>
      </c>
      <c r="BF36" s="61">
        <f t="shared" si="20"/>
        <v>0</v>
      </c>
      <c r="BG36" s="63">
        <f t="shared" si="21"/>
        <v>0</v>
      </c>
      <c r="BH36" s="45"/>
      <c r="BI36" s="144"/>
    </row>
    <row r="37" spans="1:61" ht="19.5" customHeight="1" x14ac:dyDescent="0.45">
      <c r="A37" s="128">
        <v>1</v>
      </c>
      <c r="B37" s="129"/>
      <c r="C37" s="130"/>
      <c r="D37" s="131"/>
      <c r="E37" s="132" t="s">
        <v>1001</v>
      </c>
      <c r="F37" s="515"/>
      <c r="G37" s="516"/>
      <c r="H37" s="516"/>
      <c r="I37" s="516"/>
      <c r="J37" s="516"/>
      <c r="K37" s="516"/>
      <c r="L37" s="516"/>
      <c r="M37" s="516"/>
      <c r="N37" s="516"/>
      <c r="O37" s="133" t="s">
        <v>1002</v>
      </c>
      <c r="P37" s="134"/>
      <c r="Q37" s="135" t="s">
        <v>1003</v>
      </c>
      <c r="R37" s="136"/>
      <c r="S37" s="137"/>
      <c r="T37" s="138"/>
      <c r="U37" s="139">
        <f>SUM(U38:U39)</f>
        <v>181101.80000000002</v>
      </c>
      <c r="V37" s="137"/>
      <c r="W37" s="139">
        <f>SUM(W38:W39)</f>
        <v>0</v>
      </c>
      <c r="X37" s="137"/>
      <c r="Y37" s="139">
        <f>SUM(Y38:Y39)</f>
        <v>0</v>
      </c>
      <c r="Z37" s="137"/>
      <c r="AA37" s="139">
        <f>SUM(AA38:AA39)</f>
        <v>0</v>
      </c>
      <c r="AB37" s="137"/>
      <c r="AC37" s="139">
        <f>SUM(AC38:AC39)</f>
        <v>0</v>
      </c>
      <c r="AD37" s="137"/>
      <c r="AE37" s="139">
        <f>SUM(AE38:AE39)</f>
        <v>0</v>
      </c>
      <c r="AF37" s="137"/>
      <c r="AG37" s="139">
        <f>SUM(AG38:AG39)</f>
        <v>0</v>
      </c>
      <c r="AH37" s="137"/>
      <c r="AI37" s="139">
        <f>SUM(AI38:AI39)</f>
        <v>0</v>
      </c>
      <c r="AJ37" s="137"/>
      <c r="AK37" s="139">
        <f>SUM(AK38:AK39)</f>
        <v>0</v>
      </c>
      <c r="AL37" s="137"/>
      <c r="AM37" s="139">
        <f>SUM(AM38:AM39)</f>
        <v>0</v>
      </c>
      <c r="AN37" s="137"/>
      <c r="AO37" s="139">
        <f>SUM(AO38:AO39)</f>
        <v>0</v>
      </c>
      <c r="AP37" s="137"/>
      <c r="AQ37" s="139">
        <f>SUM(AQ38:AQ39)</f>
        <v>0</v>
      </c>
      <c r="AR37" s="137"/>
      <c r="AS37" s="139">
        <f>SUM(AS38:AS39)</f>
        <v>0</v>
      </c>
      <c r="AT37" s="137"/>
      <c r="AU37" s="139">
        <f>SUM(AU38:AU39)</f>
        <v>0</v>
      </c>
      <c r="AV37" s="137"/>
      <c r="AW37" s="139">
        <f>SUM(AW38:AW39)</f>
        <v>0</v>
      </c>
      <c r="AX37" s="137"/>
      <c r="AY37" s="139">
        <f>SUM(AY38:AY39)</f>
        <v>0</v>
      </c>
      <c r="AZ37" s="137"/>
      <c r="BA37" s="139">
        <f>SUM(BA38:BA39)</f>
        <v>0</v>
      </c>
      <c r="BB37" s="137"/>
      <c r="BC37" s="139">
        <f>SUM(BC38:BC39)</f>
        <v>0</v>
      </c>
      <c r="BD37" s="137"/>
      <c r="BE37" s="139">
        <f>SUM(BE38:BE39)</f>
        <v>0</v>
      </c>
      <c r="BF37" s="137"/>
      <c r="BG37" s="139">
        <f>SUM(BG38:BG39)</f>
        <v>0</v>
      </c>
      <c r="BH37" s="45"/>
    </row>
    <row r="38" spans="1:61" ht="35.65" x14ac:dyDescent="0.45">
      <c r="A38" s="140">
        <v>1</v>
      </c>
      <c r="B38" s="141" t="s">
        <v>45</v>
      </c>
      <c r="C38" s="142" t="s">
        <v>1466</v>
      </c>
      <c r="D38" s="143" t="str">
        <f>B38&amp;"_"&amp;E38</f>
        <v>1.2_5.7.10</v>
      </c>
      <c r="E38" s="56" t="s">
        <v>1032</v>
      </c>
      <c r="F38" s="506" t="s">
        <v>1809</v>
      </c>
      <c r="G38" s="507" t="s">
        <v>39</v>
      </c>
      <c r="H38" s="507" t="s">
        <v>39</v>
      </c>
      <c r="I38" s="507" t="s">
        <v>78</v>
      </c>
      <c r="J38" s="507" t="s">
        <v>39</v>
      </c>
      <c r="K38" s="507" t="s">
        <v>39</v>
      </c>
      <c r="L38" s="507" t="s">
        <v>78</v>
      </c>
      <c r="M38" s="507" t="s">
        <v>40</v>
      </c>
      <c r="N38" s="507" t="s">
        <v>78</v>
      </c>
      <c r="O38" s="57" t="s">
        <v>1033</v>
      </c>
      <c r="P38" s="58" t="s">
        <v>846</v>
      </c>
      <c r="Q38" s="59" t="s">
        <v>1034</v>
      </c>
      <c r="R38" s="60" t="s">
        <v>792</v>
      </c>
      <c r="S38" s="61">
        <v>640</v>
      </c>
      <c r="T38" s="62">
        <f>INDEX('BM MORRO DA CRUZ'!$P$6:$P$402,MATCH($O38,'BM MORRO DA CRUZ'!$K$6:$K$402,0))</f>
        <v>223.43</v>
      </c>
      <c r="U38" s="63">
        <f>ROUND(T38*$S38,2)</f>
        <v>142995.20000000001</v>
      </c>
      <c r="V38" s="61">
        <f>IFERROR(SUMIFS('01ª MC'!$W$1:$W$1840,'01ª MC'!$C$1:$C$1840,$D38),0)</f>
        <v>0</v>
      </c>
      <c r="W38" s="63">
        <f>ROUND(V38*$T38,2)</f>
        <v>0</v>
      </c>
      <c r="X38" s="61">
        <v>0</v>
      </c>
      <c r="Y38" s="63">
        <f>ROUND(X38*$T38,2)</f>
        <v>0</v>
      </c>
      <c r="Z38" s="61">
        <v>0</v>
      </c>
      <c r="AA38" s="63">
        <f>ROUND(Z38*$T38,2)</f>
        <v>0</v>
      </c>
      <c r="AB38" s="61">
        <v>0</v>
      </c>
      <c r="AC38" s="63">
        <f>ROUND(AB38*$T38,2)</f>
        <v>0</v>
      </c>
      <c r="AD38" s="61">
        <v>0</v>
      </c>
      <c r="AE38" s="63">
        <f>ROUND(AD38*$T38,2)</f>
        <v>0</v>
      </c>
      <c r="AF38" s="61">
        <v>0</v>
      </c>
      <c r="AG38" s="63">
        <f>ROUND(AF38*$T38,2)</f>
        <v>0</v>
      </c>
      <c r="AH38" s="61">
        <v>0</v>
      </c>
      <c r="AI38" s="63">
        <f>ROUND(AH38*$T38,2)</f>
        <v>0</v>
      </c>
      <c r="AJ38" s="61">
        <v>0</v>
      </c>
      <c r="AK38" s="63">
        <f>ROUND(AJ38*$T38,2)</f>
        <v>0</v>
      </c>
      <c r="AL38" s="61">
        <v>0</v>
      </c>
      <c r="AM38" s="63">
        <f>ROUND(AL38*$T38,2)</f>
        <v>0</v>
      </c>
      <c r="AN38" s="61">
        <v>0</v>
      </c>
      <c r="AO38" s="63">
        <f>ROUND(AN38*$T38,2)</f>
        <v>0</v>
      </c>
      <c r="AP38" s="61">
        <v>0</v>
      </c>
      <c r="AQ38" s="63">
        <f>ROUND(AP38*$T38,2)</f>
        <v>0</v>
      </c>
      <c r="AR38" s="61">
        <v>0</v>
      </c>
      <c r="AS38" s="63">
        <f>ROUND(AR38*$T38,2)</f>
        <v>0</v>
      </c>
      <c r="AT38" s="61">
        <v>0</v>
      </c>
      <c r="AU38" s="63">
        <f>ROUND(AT38*$T38,2)</f>
        <v>0</v>
      </c>
      <c r="AV38" s="61">
        <v>0</v>
      </c>
      <c r="AW38" s="63">
        <f>ROUND(AV38*$T38,2)</f>
        <v>0</v>
      </c>
      <c r="AX38" s="61">
        <v>0</v>
      </c>
      <c r="AY38" s="63">
        <f>ROUND(AX38*$T38,2)</f>
        <v>0</v>
      </c>
      <c r="AZ38" s="61">
        <v>0</v>
      </c>
      <c r="BA38" s="63">
        <f>ROUND(AZ38*$T38,2)</f>
        <v>0</v>
      </c>
      <c r="BB38" s="61">
        <v>0</v>
      </c>
      <c r="BC38" s="63">
        <f>ROUND(BB38*$T38,2)</f>
        <v>0</v>
      </c>
      <c r="BD38" s="61">
        <v>0</v>
      </c>
      <c r="BE38" s="63">
        <f>ROUND(BD38*$T38,2)</f>
        <v>0</v>
      </c>
      <c r="BF38" s="61">
        <f>IFERROR(SUMIFS($V38:$BE38,$V$5:$BE$5,$BF$5),0)</f>
        <v>0</v>
      </c>
      <c r="BG38" s="63">
        <f>SUMIFS($V38:$BE38,$V$5:$BE$5,$W$5)</f>
        <v>0</v>
      </c>
      <c r="BH38" s="45"/>
      <c r="BI38" s="144"/>
    </row>
    <row r="39" spans="1:61" ht="26" customHeight="1" x14ac:dyDescent="0.45">
      <c r="A39" s="140">
        <v>1</v>
      </c>
      <c r="B39" s="141" t="s">
        <v>45</v>
      </c>
      <c r="C39" s="142" t="s">
        <v>1466</v>
      </c>
      <c r="D39" s="143" t="str">
        <f>B39&amp;"_"&amp;E39</f>
        <v>1.2_5.7.14</v>
      </c>
      <c r="E39" s="56" t="s">
        <v>1044</v>
      </c>
      <c r="F39" s="506" t="s">
        <v>1813</v>
      </c>
      <c r="G39" s="507" t="s">
        <v>39</v>
      </c>
      <c r="H39" s="507" t="s">
        <v>39</v>
      </c>
      <c r="I39" s="507" t="s">
        <v>1792</v>
      </c>
      <c r="J39" s="507" t="s">
        <v>39</v>
      </c>
      <c r="K39" s="507" t="s">
        <v>39</v>
      </c>
      <c r="L39" s="507" t="s">
        <v>1720</v>
      </c>
      <c r="M39" s="507" t="s">
        <v>40</v>
      </c>
      <c r="N39" s="507" t="s">
        <v>1792</v>
      </c>
      <c r="O39" s="57" t="s">
        <v>1045</v>
      </c>
      <c r="P39" s="58" t="s">
        <v>846</v>
      </c>
      <c r="Q39" s="59" t="s">
        <v>1046</v>
      </c>
      <c r="R39" s="60" t="s">
        <v>755</v>
      </c>
      <c r="S39" s="61">
        <v>126.6</v>
      </c>
      <c r="T39" s="62">
        <f>INDEX('BM MORRO DA CRUZ'!$P$6:$P$402,MATCH($O39,'BM MORRO DA CRUZ'!$K$6:$K$402,0))</f>
        <v>301</v>
      </c>
      <c r="U39" s="63">
        <f>ROUND(T39*$S39,2)</f>
        <v>38106.6</v>
      </c>
      <c r="V39" s="61">
        <f>IFERROR(SUMIFS('01ª MC'!$W$1:$W$1840,'01ª MC'!$C$1:$C$1840,$D39),0)</f>
        <v>0</v>
      </c>
      <c r="W39" s="63">
        <f>ROUND(V39*$T39,2)</f>
        <v>0</v>
      </c>
      <c r="X39" s="61">
        <v>0</v>
      </c>
      <c r="Y39" s="63">
        <f>ROUND(X39*$T39,2)</f>
        <v>0</v>
      </c>
      <c r="Z39" s="61">
        <v>0</v>
      </c>
      <c r="AA39" s="63">
        <f>ROUND(Z39*$T39,2)</f>
        <v>0</v>
      </c>
      <c r="AB39" s="61">
        <v>0</v>
      </c>
      <c r="AC39" s="63">
        <f>ROUND(AB39*$T39,2)</f>
        <v>0</v>
      </c>
      <c r="AD39" s="61">
        <v>0</v>
      </c>
      <c r="AE39" s="63">
        <f>ROUND(AD39*$T39,2)</f>
        <v>0</v>
      </c>
      <c r="AF39" s="61">
        <v>0</v>
      </c>
      <c r="AG39" s="63">
        <f>ROUND(AF39*$T39,2)</f>
        <v>0</v>
      </c>
      <c r="AH39" s="61">
        <v>0</v>
      </c>
      <c r="AI39" s="63">
        <f>ROUND(AH39*$T39,2)</f>
        <v>0</v>
      </c>
      <c r="AJ39" s="61">
        <v>0</v>
      </c>
      <c r="AK39" s="63">
        <f>ROUND(AJ39*$T39,2)</f>
        <v>0</v>
      </c>
      <c r="AL39" s="61">
        <v>0</v>
      </c>
      <c r="AM39" s="63">
        <f>ROUND(AL39*$T39,2)</f>
        <v>0</v>
      </c>
      <c r="AN39" s="61">
        <v>0</v>
      </c>
      <c r="AO39" s="63">
        <f>ROUND(AN39*$T39,2)</f>
        <v>0</v>
      </c>
      <c r="AP39" s="61">
        <v>0</v>
      </c>
      <c r="AQ39" s="63">
        <f>ROUND(AP39*$T39,2)</f>
        <v>0</v>
      </c>
      <c r="AR39" s="61">
        <v>0</v>
      </c>
      <c r="AS39" s="63">
        <f>ROUND(AR39*$T39,2)</f>
        <v>0</v>
      </c>
      <c r="AT39" s="61">
        <v>0</v>
      </c>
      <c r="AU39" s="63">
        <f>ROUND(AT39*$T39,2)</f>
        <v>0</v>
      </c>
      <c r="AV39" s="61">
        <v>0</v>
      </c>
      <c r="AW39" s="63">
        <f>ROUND(AV39*$T39,2)</f>
        <v>0</v>
      </c>
      <c r="AX39" s="61">
        <v>0</v>
      </c>
      <c r="AY39" s="63">
        <f>ROUND(AX39*$T39,2)</f>
        <v>0</v>
      </c>
      <c r="AZ39" s="61">
        <v>0</v>
      </c>
      <c r="BA39" s="63">
        <f>ROUND(AZ39*$T39,2)</f>
        <v>0</v>
      </c>
      <c r="BB39" s="61">
        <v>0</v>
      </c>
      <c r="BC39" s="63">
        <f>ROUND(BB39*$T39,2)</f>
        <v>0</v>
      </c>
      <c r="BD39" s="61">
        <v>0</v>
      </c>
      <c r="BE39" s="63">
        <f>ROUND(BD39*$T39,2)</f>
        <v>0</v>
      </c>
      <c r="BF39" s="61">
        <f>IFERROR(SUMIFS($V39:$BE39,$V$5:$BE$5,$BF$5),0)</f>
        <v>0</v>
      </c>
      <c r="BG39" s="63">
        <f>SUMIFS($V39:$BE39,$V$5:$BE$5,$W$5)</f>
        <v>0</v>
      </c>
      <c r="BH39" s="45"/>
      <c r="BI39" s="144"/>
    </row>
    <row r="40" spans="1:61" ht="19.5" customHeight="1" x14ac:dyDescent="0.45">
      <c r="A40" s="128">
        <v>1</v>
      </c>
      <c r="B40" s="129"/>
      <c r="C40" s="130"/>
      <c r="D40" s="131"/>
      <c r="E40" s="132" t="s">
        <v>1053</v>
      </c>
      <c r="F40" s="515"/>
      <c r="G40" s="516"/>
      <c r="H40" s="516"/>
      <c r="I40" s="516"/>
      <c r="J40" s="516"/>
      <c r="K40" s="516"/>
      <c r="L40" s="516"/>
      <c r="M40" s="516"/>
      <c r="N40" s="516"/>
      <c r="O40" s="133" t="s">
        <v>1054</v>
      </c>
      <c r="P40" s="134"/>
      <c r="Q40" s="135" t="s">
        <v>1055</v>
      </c>
      <c r="R40" s="136"/>
      <c r="S40" s="137"/>
      <c r="T40" s="138"/>
      <c r="U40" s="139">
        <f>SUM(U41:U41)</f>
        <v>11.7</v>
      </c>
      <c r="V40" s="137"/>
      <c r="W40" s="139">
        <f>SUM(W41:W41)</f>
        <v>0</v>
      </c>
      <c r="X40" s="137"/>
      <c r="Y40" s="139">
        <f>SUM(Y41:Y41)</f>
        <v>0</v>
      </c>
      <c r="Z40" s="137"/>
      <c r="AA40" s="139">
        <f>SUM(AA41:AA41)</f>
        <v>0</v>
      </c>
      <c r="AB40" s="137"/>
      <c r="AC40" s="139">
        <f>SUM(AC41:AC41)</f>
        <v>0</v>
      </c>
      <c r="AD40" s="137"/>
      <c r="AE40" s="139">
        <f>SUM(AE41:AE41)</f>
        <v>0</v>
      </c>
      <c r="AF40" s="137"/>
      <c r="AG40" s="139">
        <f>SUM(AG41:AG41)</f>
        <v>0</v>
      </c>
      <c r="AH40" s="137"/>
      <c r="AI40" s="139">
        <f>SUM(AI41:AI41)</f>
        <v>0</v>
      </c>
      <c r="AJ40" s="137"/>
      <c r="AK40" s="139">
        <f>SUM(AK41:AK41)</f>
        <v>0</v>
      </c>
      <c r="AL40" s="137"/>
      <c r="AM40" s="139">
        <f>SUM(AM41:AM41)</f>
        <v>0</v>
      </c>
      <c r="AN40" s="137"/>
      <c r="AO40" s="139">
        <f>SUM(AO41:AO41)</f>
        <v>0</v>
      </c>
      <c r="AP40" s="137"/>
      <c r="AQ40" s="139">
        <f>SUM(AQ41:AQ41)</f>
        <v>0</v>
      </c>
      <c r="AR40" s="137"/>
      <c r="AS40" s="139">
        <f>SUM(AS41:AS41)</f>
        <v>0</v>
      </c>
      <c r="AT40" s="137"/>
      <c r="AU40" s="139">
        <f>SUM(AU41:AU41)</f>
        <v>0</v>
      </c>
      <c r="AV40" s="137"/>
      <c r="AW40" s="139">
        <f>SUM(AW41:AW41)</f>
        <v>0</v>
      </c>
      <c r="AX40" s="137"/>
      <c r="AY40" s="139">
        <f>SUM(AY41:AY41)</f>
        <v>0</v>
      </c>
      <c r="AZ40" s="137"/>
      <c r="BA40" s="139">
        <f>SUM(BA41:BA41)</f>
        <v>0</v>
      </c>
      <c r="BB40" s="137"/>
      <c r="BC40" s="139">
        <f>SUM(BC41:BC41)</f>
        <v>0</v>
      </c>
      <c r="BD40" s="137"/>
      <c r="BE40" s="139">
        <f>SUM(BE41:BE41)</f>
        <v>0</v>
      </c>
      <c r="BF40" s="137"/>
      <c r="BG40" s="139">
        <f>SUM(BG41:BG41)</f>
        <v>0</v>
      </c>
      <c r="BH40" s="45"/>
    </row>
    <row r="41" spans="1:61" ht="35.65" x14ac:dyDescent="0.45">
      <c r="A41" s="140">
        <v>1</v>
      </c>
      <c r="B41" s="141" t="s">
        <v>45</v>
      </c>
      <c r="C41" s="142" t="s">
        <v>1466</v>
      </c>
      <c r="D41" s="143" t="str">
        <f>B41&amp;"_"&amp;E41</f>
        <v>1.2_5.8.44</v>
      </c>
      <c r="E41" s="56" t="s">
        <v>1185</v>
      </c>
      <c r="F41" s="506" t="s">
        <v>1824</v>
      </c>
      <c r="G41" s="507" t="s">
        <v>1795</v>
      </c>
      <c r="H41" s="507" t="s">
        <v>1795</v>
      </c>
      <c r="I41" s="507" t="s">
        <v>1823</v>
      </c>
      <c r="J41" s="507" t="s">
        <v>1818</v>
      </c>
      <c r="K41" s="507">
        <v>63</v>
      </c>
      <c r="L41" s="507" t="s">
        <v>267</v>
      </c>
      <c r="M41" s="507" t="s">
        <v>40</v>
      </c>
      <c r="N41" s="507" t="s">
        <v>1055</v>
      </c>
      <c r="O41" s="57" t="s">
        <v>1186</v>
      </c>
      <c r="P41" s="58" t="s">
        <v>846</v>
      </c>
      <c r="Q41" s="59" t="s">
        <v>1187</v>
      </c>
      <c r="R41" s="60" t="s">
        <v>367</v>
      </c>
      <c r="S41" s="61">
        <v>15</v>
      </c>
      <c r="T41" s="62">
        <f>INDEX('BM MORRO DA CRUZ'!$P$6:$P$402,MATCH($O41,'BM MORRO DA CRUZ'!$K$6:$K$402,0))</f>
        <v>0.78</v>
      </c>
      <c r="U41" s="63">
        <f>ROUND(T41*$S41,2)</f>
        <v>11.7</v>
      </c>
      <c r="V41" s="61">
        <f>IFERROR(SUMIFS('01ª MC'!$W$1:$W$1840,'01ª MC'!$C$1:$C$1840,$D41),0)</f>
        <v>0</v>
      </c>
      <c r="W41" s="63">
        <f>ROUND(V41*$T41,2)</f>
        <v>0</v>
      </c>
      <c r="X41" s="61">
        <v>0</v>
      </c>
      <c r="Y41" s="63">
        <f>ROUND(X41*$T41,2)</f>
        <v>0</v>
      </c>
      <c r="Z41" s="61">
        <v>0</v>
      </c>
      <c r="AA41" s="63">
        <f>ROUND(Z41*$T41,2)</f>
        <v>0</v>
      </c>
      <c r="AB41" s="61">
        <v>0</v>
      </c>
      <c r="AC41" s="63">
        <f>ROUND(AB41*$T41,2)</f>
        <v>0</v>
      </c>
      <c r="AD41" s="61">
        <v>0</v>
      </c>
      <c r="AE41" s="63">
        <f>ROUND(AD41*$T41,2)</f>
        <v>0</v>
      </c>
      <c r="AF41" s="61">
        <v>0</v>
      </c>
      <c r="AG41" s="63">
        <f>ROUND(AF41*$T41,2)</f>
        <v>0</v>
      </c>
      <c r="AH41" s="61">
        <v>0</v>
      </c>
      <c r="AI41" s="63">
        <f>ROUND(AH41*$T41,2)</f>
        <v>0</v>
      </c>
      <c r="AJ41" s="61">
        <v>0</v>
      </c>
      <c r="AK41" s="63">
        <f>ROUND(AJ41*$T41,2)</f>
        <v>0</v>
      </c>
      <c r="AL41" s="61">
        <v>0</v>
      </c>
      <c r="AM41" s="63">
        <f>ROUND(AL41*$T41,2)</f>
        <v>0</v>
      </c>
      <c r="AN41" s="61">
        <v>0</v>
      </c>
      <c r="AO41" s="63">
        <f>ROUND(AN41*$T41,2)</f>
        <v>0</v>
      </c>
      <c r="AP41" s="61">
        <v>0</v>
      </c>
      <c r="AQ41" s="63">
        <f>ROUND(AP41*$T41,2)</f>
        <v>0</v>
      </c>
      <c r="AR41" s="61">
        <v>0</v>
      </c>
      <c r="AS41" s="63">
        <f>ROUND(AR41*$T41,2)</f>
        <v>0</v>
      </c>
      <c r="AT41" s="61">
        <v>0</v>
      </c>
      <c r="AU41" s="63">
        <f>ROUND(AT41*$T41,2)</f>
        <v>0</v>
      </c>
      <c r="AV41" s="61">
        <v>0</v>
      </c>
      <c r="AW41" s="63">
        <f>ROUND(AV41*$T41,2)</f>
        <v>0</v>
      </c>
      <c r="AX41" s="61">
        <v>0</v>
      </c>
      <c r="AY41" s="63">
        <f>ROUND(AX41*$T41,2)</f>
        <v>0</v>
      </c>
      <c r="AZ41" s="61">
        <v>0</v>
      </c>
      <c r="BA41" s="63">
        <f>ROUND(AZ41*$T41,2)</f>
        <v>0</v>
      </c>
      <c r="BB41" s="61">
        <v>0</v>
      </c>
      <c r="BC41" s="63">
        <f>ROUND(BB41*$T41,2)</f>
        <v>0</v>
      </c>
      <c r="BD41" s="61">
        <v>0</v>
      </c>
      <c r="BE41" s="63">
        <f>ROUND(BD41*$T41,2)</f>
        <v>0</v>
      </c>
      <c r="BF41" s="61">
        <f>IFERROR(SUMIFS($V41:$BE41,$V$5:$BE$5,$BF$5),0)</f>
        <v>0</v>
      </c>
      <c r="BG41" s="63">
        <f>SUMIFS($V41:$BE41,$V$5:$BE$5,$W$5)</f>
        <v>0</v>
      </c>
      <c r="BH41" s="45"/>
      <c r="BI41" s="144"/>
    </row>
    <row r="42" spans="1:61" ht="19.5" customHeight="1" x14ac:dyDescent="0.45">
      <c r="A42" s="128">
        <v>1</v>
      </c>
      <c r="B42" s="129"/>
      <c r="C42" s="130"/>
      <c r="D42" s="131"/>
      <c r="E42" s="132" t="s">
        <v>1224</v>
      </c>
      <c r="F42" s="515"/>
      <c r="G42" s="516"/>
      <c r="H42" s="516"/>
      <c r="I42" s="516"/>
      <c r="J42" s="516"/>
      <c r="K42" s="516"/>
      <c r="L42" s="516"/>
      <c r="M42" s="516"/>
      <c r="N42" s="516"/>
      <c r="O42" s="133" t="s">
        <v>1225</v>
      </c>
      <c r="P42" s="134"/>
      <c r="Q42" s="135" t="s">
        <v>1226</v>
      </c>
      <c r="R42" s="136"/>
      <c r="S42" s="137"/>
      <c r="T42" s="138"/>
      <c r="U42" s="139">
        <f>SUM(U43:U44)</f>
        <v>7669.74</v>
      </c>
      <c r="V42" s="137"/>
      <c r="W42" s="139">
        <f>SUM(W43:W44)</f>
        <v>0</v>
      </c>
      <c r="X42" s="137"/>
      <c r="Y42" s="139">
        <f>SUM(Y43:Y44)</f>
        <v>0</v>
      </c>
      <c r="Z42" s="137"/>
      <c r="AA42" s="139">
        <f>SUM(AA43:AA44)</f>
        <v>0</v>
      </c>
      <c r="AB42" s="137"/>
      <c r="AC42" s="139">
        <f>SUM(AC43:AC44)</f>
        <v>0</v>
      </c>
      <c r="AD42" s="137"/>
      <c r="AE42" s="139">
        <f>SUM(AE43:AE44)</f>
        <v>0</v>
      </c>
      <c r="AF42" s="137"/>
      <c r="AG42" s="139">
        <f>SUM(AG43:AG44)</f>
        <v>0</v>
      </c>
      <c r="AH42" s="137"/>
      <c r="AI42" s="139">
        <f>SUM(AI43:AI44)</f>
        <v>0</v>
      </c>
      <c r="AJ42" s="137"/>
      <c r="AK42" s="139">
        <f>SUM(AK43:AK44)</f>
        <v>0</v>
      </c>
      <c r="AL42" s="137"/>
      <c r="AM42" s="139">
        <f>SUM(AM43:AM44)</f>
        <v>0</v>
      </c>
      <c r="AN42" s="137"/>
      <c r="AO42" s="139">
        <f>SUM(AO43:AO44)</f>
        <v>0</v>
      </c>
      <c r="AP42" s="137"/>
      <c r="AQ42" s="139">
        <f>SUM(AQ43:AQ44)</f>
        <v>0</v>
      </c>
      <c r="AR42" s="137"/>
      <c r="AS42" s="139">
        <f>SUM(AS43:AS44)</f>
        <v>0</v>
      </c>
      <c r="AT42" s="137"/>
      <c r="AU42" s="139">
        <f>SUM(AU43:AU44)</f>
        <v>0</v>
      </c>
      <c r="AV42" s="137"/>
      <c r="AW42" s="139">
        <f>SUM(AW43:AW44)</f>
        <v>0</v>
      </c>
      <c r="AX42" s="137"/>
      <c r="AY42" s="139">
        <f>SUM(AY43:AY44)</f>
        <v>0</v>
      </c>
      <c r="AZ42" s="137"/>
      <c r="BA42" s="139">
        <f>SUM(BA43:BA44)</f>
        <v>0</v>
      </c>
      <c r="BB42" s="137"/>
      <c r="BC42" s="139">
        <f>SUM(BC43:BC44)</f>
        <v>0</v>
      </c>
      <c r="BD42" s="137"/>
      <c r="BE42" s="139">
        <f>SUM(BE43:BE44)</f>
        <v>0</v>
      </c>
      <c r="BF42" s="137"/>
      <c r="BG42" s="139">
        <f>SUM(BG43:BG44)</f>
        <v>0</v>
      </c>
      <c r="BH42" s="45"/>
    </row>
    <row r="43" spans="1:61" ht="26" customHeight="1" x14ac:dyDescent="0.45">
      <c r="A43" s="140">
        <v>1</v>
      </c>
      <c r="B43" s="141" t="s">
        <v>45</v>
      </c>
      <c r="C43" s="142" t="s">
        <v>1466</v>
      </c>
      <c r="D43" s="143" t="str">
        <f>B43&amp;"_"&amp;E43</f>
        <v>1.2_5.9.1</v>
      </c>
      <c r="E43" s="56" t="s">
        <v>1227</v>
      </c>
      <c r="F43" s="506" t="s">
        <v>1831</v>
      </c>
      <c r="G43" s="507" t="s">
        <v>39</v>
      </c>
      <c r="H43" s="507" t="s">
        <v>39</v>
      </c>
      <c r="I43" s="507" t="s">
        <v>1832</v>
      </c>
      <c r="J43" s="507" t="s">
        <v>39</v>
      </c>
      <c r="K43" s="507" t="s">
        <v>39</v>
      </c>
      <c r="L43" s="507" t="s">
        <v>39</v>
      </c>
      <c r="M43" s="507" t="s">
        <v>40</v>
      </c>
      <c r="N43" s="507" t="s">
        <v>1298</v>
      </c>
      <c r="O43" s="57" t="s">
        <v>1228</v>
      </c>
      <c r="P43" s="58" t="s">
        <v>846</v>
      </c>
      <c r="Q43" s="59" t="s">
        <v>1229</v>
      </c>
      <c r="R43" s="60" t="s">
        <v>755</v>
      </c>
      <c r="S43" s="61">
        <v>697.88</v>
      </c>
      <c r="T43" s="62">
        <f>INDEX('BM MORRO DA CRUZ'!$P$6:$P$402,MATCH($O43,'BM MORRO DA CRUZ'!$K$6:$K$402,0))</f>
        <v>1.39</v>
      </c>
      <c r="U43" s="63">
        <f>ROUND(T43*$S43,2)</f>
        <v>970.05</v>
      </c>
      <c r="V43" s="61">
        <f>IFERROR(SUMIFS('01ª MC'!$W$1:$W$1840,'01ª MC'!$C$1:$C$1840,$D43),0)</f>
        <v>0</v>
      </c>
      <c r="W43" s="63">
        <f>ROUND(V43*$T43,2)</f>
        <v>0</v>
      </c>
      <c r="X43" s="61">
        <v>0</v>
      </c>
      <c r="Y43" s="63">
        <f>ROUND(X43*$T43,2)</f>
        <v>0</v>
      </c>
      <c r="Z43" s="61">
        <v>0</v>
      </c>
      <c r="AA43" s="63">
        <f>ROUND(Z43*$T43,2)</f>
        <v>0</v>
      </c>
      <c r="AB43" s="61">
        <v>0</v>
      </c>
      <c r="AC43" s="63">
        <f>ROUND(AB43*$T43,2)</f>
        <v>0</v>
      </c>
      <c r="AD43" s="61">
        <v>0</v>
      </c>
      <c r="AE43" s="63">
        <f>ROUND(AD43*$T43,2)</f>
        <v>0</v>
      </c>
      <c r="AF43" s="61">
        <v>0</v>
      </c>
      <c r="AG43" s="63">
        <f>ROUND(AF43*$T43,2)</f>
        <v>0</v>
      </c>
      <c r="AH43" s="61">
        <v>0</v>
      </c>
      <c r="AI43" s="63">
        <f>ROUND(AH43*$T43,2)</f>
        <v>0</v>
      </c>
      <c r="AJ43" s="61">
        <v>0</v>
      </c>
      <c r="AK43" s="63">
        <f>ROUND(AJ43*$T43,2)</f>
        <v>0</v>
      </c>
      <c r="AL43" s="61">
        <v>0</v>
      </c>
      <c r="AM43" s="63">
        <f>ROUND(AL43*$T43,2)</f>
        <v>0</v>
      </c>
      <c r="AN43" s="61">
        <v>0</v>
      </c>
      <c r="AO43" s="63">
        <f>ROUND(AN43*$T43,2)</f>
        <v>0</v>
      </c>
      <c r="AP43" s="61">
        <v>0</v>
      </c>
      <c r="AQ43" s="63">
        <f>ROUND(AP43*$T43,2)</f>
        <v>0</v>
      </c>
      <c r="AR43" s="61">
        <v>0</v>
      </c>
      <c r="AS43" s="63">
        <f>ROUND(AR43*$T43,2)</f>
        <v>0</v>
      </c>
      <c r="AT43" s="61">
        <v>0</v>
      </c>
      <c r="AU43" s="63">
        <f>ROUND(AT43*$T43,2)</f>
        <v>0</v>
      </c>
      <c r="AV43" s="61">
        <v>0</v>
      </c>
      <c r="AW43" s="63">
        <f>ROUND(AV43*$T43,2)</f>
        <v>0</v>
      </c>
      <c r="AX43" s="61">
        <v>0</v>
      </c>
      <c r="AY43" s="63">
        <f>ROUND(AX43*$T43,2)</f>
        <v>0</v>
      </c>
      <c r="AZ43" s="61">
        <v>0</v>
      </c>
      <c r="BA43" s="63">
        <f>ROUND(AZ43*$T43,2)</f>
        <v>0</v>
      </c>
      <c r="BB43" s="61">
        <v>0</v>
      </c>
      <c r="BC43" s="63">
        <f>ROUND(BB43*$T43,2)</f>
        <v>0</v>
      </c>
      <c r="BD43" s="61">
        <v>0</v>
      </c>
      <c r="BE43" s="63">
        <f>ROUND(BD43*$T43,2)</f>
        <v>0</v>
      </c>
      <c r="BF43" s="61">
        <f>IFERROR(SUMIFS($V43:$BE43,$V$5:$BE$5,$BF$5),0)</f>
        <v>0</v>
      </c>
      <c r="BG43" s="63">
        <f>SUMIFS($V43:$BE43,$V$5:$BE$5,$W$5)</f>
        <v>0</v>
      </c>
      <c r="BH43" s="45"/>
      <c r="BI43" s="144"/>
    </row>
    <row r="44" spans="1:61" ht="26" customHeight="1" x14ac:dyDescent="0.45">
      <c r="A44" s="140">
        <v>1</v>
      </c>
      <c r="B44" s="141" t="s">
        <v>45</v>
      </c>
      <c r="C44" s="142" t="s">
        <v>1466</v>
      </c>
      <c r="D44" s="143" t="str">
        <f>B44&amp;"_"&amp;E44</f>
        <v>1.2_5.9.6</v>
      </c>
      <c r="E44" s="56" t="s">
        <v>1242</v>
      </c>
      <c r="F44" s="506" t="s">
        <v>1839</v>
      </c>
      <c r="G44" s="507" t="s">
        <v>39</v>
      </c>
      <c r="H44" s="507" t="s">
        <v>39</v>
      </c>
      <c r="I44" s="507" t="s">
        <v>1840</v>
      </c>
      <c r="J44" s="507" t="s">
        <v>39</v>
      </c>
      <c r="K44" s="507" t="s">
        <v>39</v>
      </c>
      <c r="L44" s="507" t="s">
        <v>39</v>
      </c>
      <c r="M44" s="507" t="s">
        <v>40</v>
      </c>
      <c r="N44" s="507" t="s">
        <v>1841</v>
      </c>
      <c r="O44" s="57" t="s">
        <v>1243</v>
      </c>
      <c r="P44" s="58" t="s">
        <v>846</v>
      </c>
      <c r="Q44" s="59" t="s">
        <v>1244</v>
      </c>
      <c r="R44" s="60" t="s">
        <v>792</v>
      </c>
      <c r="S44" s="61">
        <v>3489.42</v>
      </c>
      <c r="T44" s="62">
        <f>INDEX('BM MORRO DA CRUZ'!$P$6:$P$402,MATCH($O44,'BM MORRO DA CRUZ'!$K$6:$K$402,0))</f>
        <v>1.92</v>
      </c>
      <c r="U44" s="63">
        <f>ROUND(T44*$S44,2)</f>
        <v>6699.69</v>
      </c>
      <c r="V44" s="61">
        <f>IFERROR(SUMIFS('01ª MC'!$W$1:$W$1840,'01ª MC'!$C$1:$C$1840,$D44),0)</f>
        <v>0</v>
      </c>
      <c r="W44" s="63">
        <f>ROUND(V44*$T44,2)</f>
        <v>0</v>
      </c>
      <c r="X44" s="61">
        <v>0</v>
      </c>
      <c r="Y44" s="63">
        <f>ROUND(X44*$T44,2)</f>
        <v>0</v>
      </c>
      <c r="Z44" s="61">
        <v>0</v>
      </c>
      <c r="AA44" s="63">
        <f>ROUND(Z44*$T44,2)</f>
        <v>0</v>
      </c>
      <c r="AB44" s="61">
        <v>0</v>
      </c>
      <c r="AC44" s="63">
        <f>ROUND(AB44*$T44,2)</f>
        <v>0</v>
      </c>
      <c r="AD44" s="61">
        <v>0</v>
      </c>
      <c r="AE44" s="63">
        <f>ROUND(AD44*$T44,2)</f>
        <v>0</v>
      </c>
      <c r="AF44" s="61">
        <v>0</v>
      </c>
      <c r="AG44" s="63">
        <f>ROUND(AF44*$T44,2)</f>
        <v>0</v>
      </c>
      <c r="AH44" s="61">
        <v>0</v>
      </c>
      <c r="AI44" s="63">
        <f>ROUND(AH44*$T44,2)</f>
        <v>0</v>
      </c>
      <c r="AJ44" s="61">
        <v>0</v>
      </c>
      <c r="AK44" s="63">
        <f>ROUND(AJ44*$T44,2)</f>
        <v>0</v>
      </c>
      <c r="AL44" s="61">
        <v>0</v>
      </c>
      <c r="AM44" s="63">
        <f>ROUND(AL44*$T44,2)</f>
        <v>0</v>
      </c>
      <c r="AN44" s="61">
        <v>0</v>
      </c>
      <c r="AO44" s="63">
        <f>ROUND(AN44*$T44,2)</f>
        <v>0</v>
      </c>
      <c r="AP44" s="61">
        <v>0</v>
      </c>
      <c r="AQ44" s="63">
        <f>ROUND(AP44*$T44,2)</f>
        <v>0</v>
      </c>
      <c r="AR44" s="61">
        <v>0</v>
      </c>
      <c r="AS44" s="63">
        <f>ROUND(AR44*$T44,2)</f>
        <v>0</v>
      </c>
      <c r="AT44" s="61">
        <v>0</v>
      </c>
      <c r="AU44" s="63">
        <f>ROUND(AT44*$T44,2)</f>
        <v>0</v>
      </c>
      <c r="AV44" s="61">
        <v>0</v>
      </c>
      <c r="AW44" s="63">
        <f>ROUND(AV44*$T44,2)</f>
        <v>0</v>
      </c>
      <c r="AX44" s="61">
        <v>0</v>
      </c>
      <c r="AY44" s="63">
        <f>ROUND(AX44*$T44,2)</f>
        <v>0</v>
      </c>
      <c r="AZ44" s="61">
        <v>0</v>
      </c>
      <c r="BA44" s="63">
        <f>ROUND(AZ44*$T44,2)</f>
        <v>0</v>
      </c>
      <c r="BB44" s="61">
        <v>0</v>
      </c>
      <c r="BC44" s="63">
        <f>ROUND(BB44*$T44,2)</f>
        <v>0</v>
      </c>
      <c r="BD44" s="61">
        <v>0</v>
      </c>
      <c r="BE44" s="63">
        <f>ROUND(BD44*$T44,2)</f>
        <v>0</v>
      </c>
      <c r="BF44" s="61">
        <f>IFERROR(SUMIFS($V44:$BE44,$V$5:$BE$5,$BF$5),0)</f>
        <v>0</v>
      </c>
      <c r="BG44" s="63">
        <f>SUMIFS($V44:$BE44,$V$5:$BE$5,$W$5)</f>
        <v>0</v>
      </c>
      <c r="BH44" s="45"/>
      <c r="BI44" s="144"/>
    </row>
    <row r="45" spans="1:61" ht="19.5" customHeight="1" x14ac:dyDescent="0.45">
      <c r="A45" s="128">
        <v>1</v>
      </c>
      <c r="B45" s="129"/>
      <c r="C45" s="130"/>
      <c r="D45" s="131"/>
      <c r="E45" s="132" t="s">
        <v>1245</v>
      </c>
      <c r="F45" s="515"/>
      <c r="G45" s="516"/>
      <c r="H45" s="516"/>
      <c r="I45" s="516"/>
      <c r="J45" s="516"/>
      <c r="K45" s="516"/>
      <c r="L45" s="516"/>
      <c r="M45" s="516"/>
      <c r="N45" s="516"/>
      <c r="O45" s="133" t="s">
        <v>1246</v>
      </c>
      <c r="P45" s="134"/>
      <c r="Q45" s="135" t="s">
        <v>1247</v>
      </c>
      <c r="R45" s="136"/>
      <c r="S45" s="137"/>
      <c r="T45" s="138"/>
      <c r="U45" s="139">
        <f>SUM(U46:U49)</f>
        <v>569.66999999999996</v>
      </c>
      <c r="V45" s="137"/>
      <c r="W45" s="139">
        <f>SUM(W46:W49)</f>
        <v>0</v>
      </c>
      <c r="X45" s="137"/>
      <c r="Y45" s="139">
        <f>SUM(Y46:Y49)</f>
        <v>0</v>
      </c>
      <c r="Z45" s="137"/>
      <c r="AA45" s="139">
        <f>SUM(AA46:AA49)</f>
        <v>0</v>
      </c>
      <c r="AB45" s="137"/>
      <c r="AC45" s="139">
        <f>SUM(AC46:AC49)</f>
        <v>0</v>
      </c>
      <c r="AD45" s="137"/>
      <c r="AE45" s="139">
        <f>SUM(AE46:AE49)</f>
        <v>0</v>
      </c>
      <c r="AF45" s="137"/>
      <c r="AG45" s="139">
        <f>SUM(AG46:AG49)</f>
        <v>0</v>
      </c>
      <c r="AH45" s="137"/>
      <c r="AI45" s="139">
        <f>SUM(AI46:AI49)</f>
        <v>0</v>
      </c>
      <c r="AJ45" s="137"/>
      <c r="AK45" s="139">
        <f>SUM(AK46:AK49)</f>
        <v>0</v>
      </c>
      <c r="AL45" s="137"/>
      <c r="AM45" s="139">
        <f>SUM(AM46:AM49)</f>
        <v>0</v>
      </c>
      <c r="AN45" s="137"/>
      <c r="AO45" s="139">
        <f>SUM(AO46:AO49)</f>
        <v>0</v>
      </c>
      <c r="AP45" s="137"/>
      <c r="AQ45" s="139">
        <f>SUM(AQ46:AQ49)</f>
        <v>0</v>
      </c>
      <c r="AR45" s="137"/>
      <c r="AS45" s="139">
        <f>SUM(AS46:AS49)</f>
        <v>0</v>
      </c>
      <c r="AT45" s="137"/>
      <c r="AU45" s="139">
        <f>SUM(AU46:AU49)</f>
        <v>0</v>
      </c>
      <c r="AV45" s="137"/>
      <c r="AW45" s="139">
        <f>SUM(AW46:AW49)</f>
        <v>0</v>
      </c>
      <c r="AX45" s="137"/>
      <c r="AY45" s="139">
        <f>SUM(AY46:AY49)</f>
        <v>0</v>
      </c>
      <c r="AZ45" s="137"/>
      <c r="BA45" s="139">
        <f>SUM(BA46:BA49)</f>
        <v>0</v>
      </c>
      <c r="BB45" s="137"/>
      <c r="BC45" s="139">
        <f>SUM(BC46:BC49)</f>
        <v>0</v>
      </c>
      <c r="BD45" s="137"/>
      <c r="BE45" s="139">
        <f>SUM(BE46:BE49)</f>
        <v>0</v>
      </c>
      <c r="BF45" s="137"/>
      <c r="BG45" s="139">
        <f>SUM(BG46:BG49)</f>
        <v>0</v>
      </c>
      <c r="BH45" s="45"/>
    </row>
    <row r="46" spans="1:61" ht="26" customHeight="1" x14ac:dyDescent="0.45">
      <c r="A46" s="140">
        <v>1</v>
      </c>
      <c r="B46" s="141" t="s">
        <v>45</v>
      </c>
      <c r="C46" s="142" t="s">
        <v>1466</v>
      </c>
      <c r="D46" s="143" t="str">
        <f>B46&amp;"_"&amp;E46</f>
        <v>1.2_5.10.1</v>
      </c>
      <c r="E46" s="56" t="s">
        <v>1248</v>
      </c>
      <c r="F46" s="506" t="s">
        <v>1842</v>
      </c>
      <c r="G46" s="507" t="s">
        <v>39</v>
      </c>
      <c r="H46" s="507" t="s">
        <v>39</v>
      </c>
      <c r="I46" s="507" t="s">
        <v>214</v>
      </c>
      <c r="J46" s="507" t="s">
        <v>39</v>
      </c>
      <c r="K46" s="507" t="s">
        <v>39</v>
      </c>
      <c r="L46" s="507" t="s">
        <v>39</v>
      </c>
      <c r="M46" s="507" t="s">
        <v>40</v>
      </c>
      <c r="N46" s="507" t="s">
        <v>214</v>
      </c>
      <c r="O46" s="57" t="s">
        <v>1249</v>
      </c>
      <c r="P46" s="58" t="s">
        <v>846</v>
      </c>
      <c r="Q46" s="59" t="s">
        <v>1250</v>
      </c>
      <c r="R46" s="60" t="s">
        <v>71</v>
      </c>
      <c r="S46" s="61">
        <v>1</v>
      </c>
      <c r="T46" s="62">
        <f>INDEX('BM MORRO DA CRUZ'!$P$6:$P$402,MATCH($O46,'BM MORRO DA CRUZ'!$K$6:$K$402,0))</f>
        <v>23.73</v>
      </c>
      <c r="U46" s="63">
        <f>ROUND(T46*$S46,2)</f>
        <v>23.73</v>
      </c>
      <c r="V46" s="61">
        <f>IFERROR(SUMIFS('01ª MC'!$W$1:$W$1840,'01ª MC'!$C$1:$C$1840,$D46),0)</f>
        <v>0</v>
      </c>
      <c r="W46" s="63">
        <f>ROUND(V46*$T46,2)</f>
        <v>0</v>
      </c>
      <c r="X46" s="61">
        <v>0</v>
      </c>
      <c r="Y46" s="63">
        <f>ROUND(X46*$T46,2)</f>
        <v>0</v>
      </c>
      <c r="Z46" s="61">
        <v>0</v>
      </c>
      <c r="AA46" s="63">
        <f>ROUND(Z46*$T46,2)</f>
        <v>0</v>
      </c>
      <c r="AB46" s="61">
        <v>0</v>
      </c>
      <c r="AC46" s="63">
        <f>ROUND(AB46*$T46,2)</f>
        <v>0</v>
      </c>
      <c r="AD46" s="61">
        <v>0</v>
      </c>
      <c r="AE46" s="63">
        <f>ROUND(AD46*$T46,2)</f>
        <v>0</v>
      </c>
      <c r="AF46" s="61">
        <v>0</v>
      </c>
      <c r="AG46" s="63">
        <f>ROUND(AF46*$T46,2)</f>
        <v>0</v>
      </c>
      <c r="AH46" s="61">
        <v>0</v>
      </c>
      <c r="AI46" s="63">
        <f>ROUND(AH46*$T46,2)</f>
        <v>0</v>
      </c>
      <c r="AJ46" s="61">
        <v>0</v>
      </c>
      <c r="AK46" s="63">
        <f>ROUND(AJ46*$T46,2)</f>
        <v>0</v>
      </c>
      <c r="AL46" s="61">
        <v>0</v>
      </c>
      <c r="AM46" s="63">
        <f>ROUND(AL46*$T46,2)</f>
        <v>0</v>
      </c>
      <c r="AN46" s="61">
        <v>0</v>
      </c>
      <c r="AO46" s="63">
        <f>ROUND(AN46*$T46,2)</f>
        <v>0</v>
      </c>
      <c r="AP46" s="61">
        <v>0</v>
      </c>
      <c r="AQ46" s="63">
        <f>ROUND(AP46*$T46,2)</f>
        <v>0</v>
      </c>
      <c r="AR46" s="61">
        <v>0</v>
      </c>
      <c r="AS46" s="63">
        <f>ROUND(AR46*$T46,2)</f>
        <v>0</v>
      </c>
      <c r="AT46" s="61">
        <v>0</v>
      </c>
      <c r="AU46" s="63">
        <f>ROUND(AT46*$T46,2)</f>
        <v>0</v>
      </c>
      <c r="AV46" s="61">
        <v>0</v>
      </c>
      <c r="AW46" s="63">
        <f>ROUND(AV46*$T46,2)</f>
        <v>0</v>
      </c>
      <c r="AX46" s="61">
        <v>0</v>
      </c>
      <c r="AY46" s="63">
        <f>ROUND(AX46*$T46,2)</f>
        <v>0</v>
      </c>
      <c r="AZ46" s="61">
        <v>0</v>
      </c>
      <c r="BA46" s="63">
        <f>ROUND(AZ46*$T46,2)</f>
        <v>0</v>
      </c>
      <c r="BB46" s="61">
        <v>0</v>
      </c>
      <c r="BC46" s="63">
        <f>ROUND(BB46*$T46,2)</f>
        <v>0</v>
      </c>
      <c r="BD46" s="61">
        <v>0</v>
      </c>
      <c r="BE46" s="63">
        <f>ROUND(BD46*$T46,2)</f>
        <v>0</v>
      </c>
      <c r="BF46" s="61">
        <f>IFERROR(SUMIFS($V46:$BE46,$V$5:$BE$5,$BF$5),0)</f>
        <v>0</v>
      </c>
      <c r="BG46" s="63">
        <f>SUMIFS($V46:$BE46,$V$5:$BE$5,$W$5)</f>
        <v>0</v>
      </c>
      <c r="BH46" s="45"/>
      <c r="BI46" s="144"/>
    </row>
    <row r="47" spans="1:61" ht="26" customHeight="1" x14ac:dyDescent="0.45">
      <c r="A47" s="140">
        <v>1</v>
      </c>
      <c r="B47" s="141" t="s">
        <v>45</v>
      </c>
      <c r="C47" s="142" t="s">
        <v>1466</v>
      </c>
      <c r="D47" s="143" t="str">
        <f>B47&amp;"_"&amp;E47</f>
        <v>1.2_5.10.3</v>
      </c>
      <c r="E47" s="56" t="s">
        <v>1254</v>
      </c>
      <c r="F47" s="506" t="s">
        <v>1844</v>
      </c>
      <c r="G47" s="507" t="s">
        <v>39</v>
      </c>
      <c r="H47" s="507" t="s">
        <v>39</v>
      </c>
      <c r="I47" s="507" t="s">
        <v>214</v>
      </c>
      <c r="J47" s="507" t="s">
        <v>39</v>
      </c>
      <c r="K47" s="507">
        <v>20</v>
      </c>
      <c r="L47" s="507" t="s">
        <v>78</v>
      </c>
      <c r="M47" s="507" t="s">
        <v>40</v>
      </c>
      <c r="N47" s="507" t="s">
        <v>214</v>
      </c>
      <c r="O47" s="57" t="s">
        <v>1255</v>
      </c>
      <c r="P47" s="58" t="s">
        <v>846</v>
      </c>
      <c r="Q47" s="59" t="s">
        <v>1256</v>
      </c>
      <c r="R47" s="60" t="s">
        <v>71</v>
      </c>
      <c r="S47" s="61">
        <v>1</v>
      </c>
      <c r="T47" s="62">
        <f>INDEX('BM MORRO DA CRUZ'!$P$6:$P$402,MATCH($O47,'BM MORRO DA CRUZ'!$K$6:$K$402,0))</f>
        <v>138.07</v>
      </c>
      <c r="U47" s="63">
        <f>ROUND(T47*$S47,2)</f>
        <v>138.07</v>
      </c>
      <c r="V47" s="61">
        <f>IFERROR(SUMIFS('01ª MC'!$W$1:$W$1840,'01ª MC'!$C$1:$C$1840,$D47),0)</f>
        <v>0</v>
      </c>
      <c r="W47" s="63">
        <f>ROUND(V47*$T47,2)</f>
        <v>0</v>
      </c>
      <c r="X47" s="61">
        <v>0</v>
      </c>
      <c r="Y47" s="63">
        <f>ROUND(X47*$T47,2)</f>
        <v>0</v>
      </c>
      <c r="Z47" s="61">
        <v>0</v>
      </c>
      <c r="AA47" s="63">
        <f>ROUND(Z47*$T47,2)</f>
        <v>0</v>
      </c>
      <c r="AB47" s="61">
        <v>0</v>
      </c>
      <c r="AC47" s="63">
        <f>ROUND(AB47*$T47,2)</f>
        <v>0</v>
      </c>
      <c r="AD47" s="61">
        <v>0</v>
      </c>
      <c r="AE47" s="63">
        <f>ROUND(AD47*$T47,2)</f>
        <v>0</v>
      </c>
      <c r="AF47" s="61">
        <v>0</v>
      </c>
      <c r="AG47" s="63">
        <f>ROUND(AF47*$T47,2)</f>
        <v>0</v>
      </c>
      <c r="AH47" s="61">
        <v>0</v>
      </c>
      <c r="AI47" s="63">
        <f>ROUND(AH47*$T47,2)</f>
        <v>0</v>
      </c>
      <c r="AJ47" s="61">
        <v>0</v>
      </c>
      <c r="AK47" s="63">
        <f>ROUND(AJ47*$T47,2)</f>
        <v>0</v>
      </c>
      <c r="AL47" s="61">
        <v>0</v>
      </c>
      <c r="AM47" s="63">
        <f>ROUND(AL47*$T47,2)</f>
        <v>0</v>
      </c>
      <c r="AN47" s="61">
        <v>0</v>
      </c>
      <c r="AO47" s="63">
        <f>ROUND(AN47*$T47,2)</f>
        <v>0</v>
      </c>
      <c r="AP47" s="61">
        <v>0</v>
      </c>
      <c r="AQ47" s="63">
        <f>ROUND(AP47*$T47,2)</f>
        <v>0</v>
      </c>
      <c r="AR47" s="61">
        <v>0</v>
      </c>
      <c r="AS47" s="63">
        <f>ROUND(AR47*$T47,2)</f>
        <v>0</v>
      </c>
      <c r="AT47" s="61">
        <v>0</v>
      </c>
      <c r="AU47" s="63">
        <f>ROUND(AT47*$T47,2)</f>
        <v>0</v>
      </c>
      <c r="AV47" s="61">
        <v>0</v>
      </c>
      <c r="AW47" s="63">
        <f>ROUND(AV47*$T47,2)</f>
        <v>0</v>
      </c>
      <c r="AX47" s="61">
        <v>0</v>
      </c>
      <c r="AY47" s="63">
        <f>ROUND(AX47*$T47,2)</f>
        <v>0</v>
      </c>
      <c r="AZ47" s="61">
        <v>0</v>
      </c>
      <c r="BA47" s="63">
        <f>ROUND(AZ47*$T47,2)</f>
        <v>0</v>
      </c>
      <c r="BB47" s="61">
        <v>0</v>
      </c>
      <c r="BC47" s="63">
        <f>ROUND(BB47*$T47,2)</f>
        <v>0</v>
      </c>
      <c r="BD47" s="61">
        <v>0</v>
      </c>
      <c r="BE47" s="63">
        <f>ROUND(BD47*$T47,2)</f>
        <v>0</v>
      </c>
      <c r="BF47" s="61">
        <f>IFERROR(SUMIFS($V47:$BE47,$V$5:$BE$5,$BF$5),0)</f>
        <v>0</v>
      </c>
      <c r="BG47" s="63">
        <f>SUMIFS($V47:$BE47,$V$5:$BE$5,$W$5)</f>
        <v>0</v>
      </c>
      <c r="BH47" s="45"/>
      <c r="BI47" s="144"/>
    </row>
    <row r="48" spans="1:61" ht="35.65" x14ac:dyDescent="0.45">
      <c r="A48" s="140">
        <v>1</v>
      </c>
      <c r="B48" s="141" t="s">
        <v>45</v>
      </c>
      <c r="C48" s="142" t="s">
        <v>1466</v>
      </c>
      <c r="D48" s="143" t="str">
        <f>B48&amp;"_"&amp;E48</f>
        <v>1.2_5.10.4</v>
      </c>
      <c r="E48" s="56" t="s">
        <v>1257</v>
      </c>
      <c r="F48" s="506" t="s">
        <v>1845</v>
      </c>
      <c r="G48" s="507" t="s">
        <v>39</v>
      </c>
      <c r="H48" s="507" t="s">
        <v>39</v>
      </c>
      <c r="I48" s="507" t="s">
        <v>214</v>
      </c>
      <c r="J48" s="507" t="s">
        <v>39</v>
      </c>
      <c r="K48" s="507" t="s">
        <v>39</v>
      </c>
      <c r="L48" s="507" t="s">
        <v>257</v>
      </c>
      <c r="M48" s="507" t="s">
        <v>40</v>
      </c>
      <c r="N48" s="507" t="s">
        <v>214</v>
      </c>
      <c r="O48" s="57" t="s">
        <v>1258</v>
      </c>
      <c r="P48" s="58" t="s">
        <v>846</v>
      </c>
      <c r="Q48" s="59" t="s">
        <v>1259</v>
      </c>
      <c r="R48" s="60" t="s">
        <v>71</v>
      </c>
      <c r="S48" s="61">
        <v>1</v>
      </c>
      <c r="T48" s="62">
        <f>INDEX('BM MORRO DA CRUZ'!$P$6:$P$402,MATCH($O48,'BM MORRO DA CRUZ'!$K$6:$K$402,0))</f>
        <v>183.01</v>
      </c>
      <c r="U48" s="63">
        <f>ROUND(T48*$S48,2)</f>
        <v>183.01</v>
      </c>
      <c r="V48" s="61">
        <f>IFERROR(SUMIFS('01ª MC'!$W$1:$W$1840,'01ª MC'!$C$1:$C$1840,$D48),0)</f>
        <v>0</v>
      </c>
      <c r="W48" s="63">
        <f>ROUND(V48*$T48,2)</f>
        <v>0</v>
      </c>
      <c r="X48" s="61">
        <v>0</v>
      </c>
      <c r="Y48" s="63">
        <f>ROUND(X48*$T48,2)</f>
        <v>0</v>
      </c>
      <c r="Z48" s="61">
        <v>0</v>
      </c>
      <c r="AA48" s="63">
        <f>ROUND(Z48*$T48,2)</f>
        <v>0</v>
      </c>
      <c r="AB48" s="61">
        <v>0</v>
      </c>
      <c r="AC48" s="63">
        <f>ROUND(AB48*$T48,2)</f>
        <v>0</v>
      </c>
      <c r="AD48" s="61">
        <v>0</v>
      </c>
      <c r="AE48" s="63">
        <f>ROUND(AD48*$T48,2)</f>
        <v>0</v>
      </c>
      <c r="AF48" s="61">
        <v>0</v>
      </c>
      <c r="AG48" s="63">
        <f>ROUND(AF48*$T48,2)</f>
        <v>0</v>
      </c>
      <c r="AH48" s="61">
        <v>0</v>
      </c>
      <c r="AI48" s="63">
        <f>ROUND(AH48*$T48,2)</f>
        <v>0</v>
      </c>
      <c r="AJ48" s="61">
        <v>0</v>
      </c>
      <c r="AK48" s="63">
        <f>ROUND(AJ48*$T48,2)</f>
        <v>0</v>
      </c>
      <c r="AL48" s="61">
        <v>0</v>
      </c>
      <c r="AM48" s="63">
        <f>ROUND(AL48*$T48,2)</f>
        <v>0</v>
      </c>
      <c r="AN48" s="61">
        <v>0</v>
      </c>
      <c r="AO48" s="63">
        <f>ROUND(AN48*$T48,2)</f>
        <v>0</v>
      </c>
      <c r="AP48" s="61">
        <v>0</v>
      </c>
      <c r="AQ48" s="63">
        <f>ROUND(AP48*$T48,2)</f>
        <v>0</v>
      </c>
      <c r="AR48" s="61">
        <v>0</v>
      </c>
      <c r="AS48" s="63">
        <f>ROUND(AR48*$T48,2)</f>
        <v>0</v>
      </c>
      <c r="AT48" s="61">
        <v>0</v>
      </c>
      <c r="AU48" s="63">
        <f>ROUND(AT48*$T48,2)</f>
        <v>0</v>
      </c>
      <c r="AV48" s="61">
        <v>0</v>
      </c>
      <c r="AW48" s="63">
        <f>ROUND(AV48*$T48,2)</f>
        <v>0</v>
      </c>
      <c r="AX48" s="61">
        <v>0</v>
      </c>
      <c r="AY48" s="63">
        <f>ROUND(AX48*$T48,2)</f>
        <v>0</v>
      </c>
      <c r="AZ48" s="61">
        <v>0</v>
      </c>
      <c r="BA48" s="63">
        <f>ROUND(AZ48*$T48,2)</f>
        <v>0</v>
      </c>
      <c r="BB48" s="61">
        <v>0</v>
      </c>
      <c r="BC48" s="63">
        <f>ROUND(BB48*$T48,2)</f>
        <v>0</v>
      </c>
      <c r="BD48" s="61">
        <v>0</v>
      </c>
      <c r="BE48" s="63">
        <f>ROUND(BD48*$T48,2)</f>
        <v>0</v>
      </c>
      <c r="BF48" s="61">
        <f>IFERROR(SUMIFS($V48:$BE48,$V$5:$BE$5,$BF$5),0)</f>
        <v>0</v>
      </c>
      <c r="BG48" s="63">
        <f>SUMIFS($V48:$BE48,$V$5:$BE$5,$W$5)</f>
        <v>0</v>
      </c>
      <c r="BH48" s="45"/>
      <c r="BI48" s="144"/>
    </row>
    <row r="49" spans="1:61" ht="26" customHeight="1" x14ac:dyDescent="0.45">
      <c r="A49" s="140">
        <v>1</v>
      </c>
      <c r="B49" s="141" t="s">
        <v>45</v>
      </c>
      <c r="C49" s="142" t="s">
        <v>1466</v>
      </c>
      <c r="D49" s="143" t="str">
        <f>B49&amp;"_"&amp;E49</f>
        <v>1.2_5.10.7</v>
      </c>
      <c r="E49" s="56" t="s">
        <v>1266</v>
      </c>
      <c r="F49" s="506" t="s">
        <v>1268</v>
      </c>
      <c r="G49" s="507" t="s">
        <v>39</v>
      </c>
      <c r="H49" s="507" t="s">
        <v>39</v>
      </c>
      <c r="I49" s="507" t="s">
        <v>1847</v>
      </c>
      <c r="J49" s="507" t="s">
        <v>39</v>
      </c>
      <c r="K49" s="507" t="s">
        <v>1848</v>
      </c>
      <c r="L49" s="507" t="s">
        <v>39</v>
      </c>
      <c r="M49" s="507" t="s">
        <v>40</v>
      </c>
      <c r="N49" s="507" t="s">
        <v>68</v>
      </c>
      <c r="O49" s="57" t="s">
        <v>1267</v>
      </c>
      <c r="P49" s="58" t="s">
        <v>846</v>
      </c>
      <c r="Q49" s="59" t="s">
        <v>1268</v>
      </c>
      <c r="R49" s="60" t="s">
        <v>71</v>
      </c>
      <c r="S49" s="61">
        <v>1</v>
      </c>
      <c r="T49" s="62">
        <f>INDEX('BM MORRO DA CRUZ'!$P$6:$P$402,MATCH($O49,'BM MORRO DA CRUZ'!$K$6:$K$402,0))</f>
        <v>224.86</v>
      </c>
      <c r="U49" s="63">
        <f>ROUND(T49*$S49,2)</f>
        <v>224.86</v>
      </c>
      <c r="V49" s="61">
        <f>IFERROR(SUMIFS('01ª MC'!$W$1:$W$1840,'01ª MC'!$C$1:$C$1840,$D49),0)</f>
        <v>0</v>
      </c>
      <c r="W49" s="63">
        <f>ROUND(V49*$T49,2)</f>
        <v>0</v>
      </c>
      <c r="X49" s="61">
        <v>0</v>
      </c>
      <c r="Y49" s="63">
        <f>ROUND(X49*$T49,2)</f>
        <v>0</v>
      </c>
      <c r="Z49" s="61">
        <v>0</v>
      </c>
      <c r="AA49" s="63">
        <f>ROUND(Z49*$T49,2)</f>
        <v>0</v>
      </c>
      <c r="AB49" s="61">
        <v>0</v>
      </c>
      <c r="AC49" s="63">
        <f>ROUND(AB49*$T49,2)</f>
        <v>0</v>
      </c>
      <c r="AD49" s="61">
        <v>0</v>
      </c>
      <c r="AE49" s="63">
        <f>ROUND(AD49*$T49,2)</f>
        <v>0</v>
      </c>
      <c r="AF49" s="61">
        <v>0</v>
      </c>
      <c r="AG49" s="63">
        <f>ROUND(AF49*$T49,2)</f>
        <v>0</v>
      </c>
      <c r="AH49" s="61">
        <v>0</v>
      </c>
      <c r="AI49" s="63">
        <f>ROUND(AH49*$T49,2)</f>
        <v>0</v>
      </c>
      <c r="AJ49" s="61">
        <v>0</v>
      </c>
      <c r="AK49" s="63">
        <f>ROUND(AJ49*$T49,2)</f>
        <v>0</v>
      </c>
      <c r="AL49" s="61">
        <v>0</v>
      </c>
      <c r="AM49" s="63">
        <f>ROUND(AL49*$T49,2)</f>
        <v>0</v>
      </c>
      <c r="AN49" s="61">
        <v>0</v>
      </c>
      <c r="AO49" s="63">
        <f>ROUND(AN49*$T49,2)</f>
        <v>0</v>
      </c>
      <c r="AP49" s="61">
        <v>0</v>
      </c>
      <c r="AQ49" s="63">
        <f>ROUND(AP49*$T49,2)</f>
        <v>0</v>
      </c>
      <c r="AR49" s="61">
        <v>0</v>
      </c>
      <c r="AS49" s="63">
        <f>ROUND(AR49*$T49,2)</f>
        <v>0</v>
      </c>
      <c r="AT49" s="61">
        <v>0</v>
      </c>
      <c r="AU49" s="63">
        <f>ROUND(AT49*$T49,2)</f>
        <v>0</v>
      </c>
      <c r="AV49" s="61">
        <v>0</v>
      </c>
      <c r="AW49" s="63">
        <f>ROUND(AV49*$T49,2)</f>
        <v>0</v>
      </c>
      <c r="AX49" s="61">
        <v>0</v>
      </c>
      <c r="AY49" s="63">
        <f>ROUND(AX49*$T49,2)</f>
        <v>0</v>
      </c>
      <c r="AZ49" s="61">
        <v>0</v>
      </c>
      <c r="BA49" s="63">
        <f>ROUND(AZ49*$T49,2)</f>
        <v>0</v>
      </c>
      <c r="BB49" s="61">
        <v>0</v>
      </c>
      <c r="BC49" s="63">
        <f>ROUND(BB49*$T49,2)</f>
        <v>0</v>
      </c>
      <c r="BD49" s="61">
        <v>0</v>
      </c>
      <c r="BE49" s="63">
        <f>ROUND(BD49*$T49,2)</f>
        <v>0</v>
      </c>
      <c r="BF49" s="61">
        <f>IFERROR(SUMIFS($V49:$BE49,$V$5:$BE$5,$BF$5),0)</f>
        <v>0</v>
      </c>
      <c r="BG49" s="63">
        <f>SUMIFS($V49:$BE49,$V$5:$BE$5,$W$5)</f>
        <v>0</v>
      </c>
      <c r="BH49" s="45"/>
      <c r="BI49" s="144"/>
    </row>
    <row r="50" spans="1:61" ht="19.5" customHeight="1" x14ac:dyDescent="0.45">
      <c r="A50" s="128">
        <v>1</v>
      </c>
      <c r="B50" s="129"/>
      <c r="C50" s="130"/>
      <c r="D50" s="131"/>
      <c r="E50" s="132" t="s">
        <v>1269</v>
      </c>
      <c r="F50" s="515"/>
      <c r="G50" s="516"/>
      <c r="H50" s="516"/>
      <c r="I50" s="516"/>
      <c r="J50" s="516"/>
      <c r="K50" s="516"/>
      <c r="L50" s="516"/>
      <c r="M50" s="516"/>
      <c r="N50" s="516"/>
      <c r="O50" s="133" t="s">
        <v>1270</v>
      </c>
      <c r="P50" s="134"/>
      <c r="Q50" s="135" t="s">
        <v>1271</v>
      </c>
      <c r="R50" s="136"/>
      <c r="S50" s="137"/>
      <c r="T50" s="138"/>
      <c r="U50" s="139">
        <f>SUM(U51:U52)</f>
        <v>114560.88</v>
      </c>
      <c r="V50" s="137"/>
      <c r="W50" s="139">
        <f>SUM(W51:W52)</f>
        <v>0</v>
      </c>
      <c r="X50" s="137"/>
      <c r="Y50" s="139">
        <f>SUM(Y51:Y52)</f>
        <v>0</v>
      </c>
      <c r="Z50" s="137"/>
      <c r="AA50" s="139">
        <f>SUM(AA51:AA52)</f>
        <v>0</v>
      </c>
      <c r="AB50" s="137"/>
      <c r="AC50" s="139">
        <f>SUM(AC51:AC52)</f>
        <v>0</v>
      </c>
      <c r="AD50" s="137"/>
      <c r="AE50" s="139">
        <f>SUM(AE51:AE52)</f>
        <v>0</v>
      </c>
      <c r="AF50" s="137"/>
      <c r="AG50" s="139">
        <f>SUM(AG51:AG52)</f>
        <v>0</v>
      </c>
      <c r="AH50" s="137"/>
      <c r="AI50" s="139">
        <f>SUM(AI51:AI52)</f>
        <v>0</v>
      </c>
      <c r="AJ50" s="137"/>
      <c r="AK50" s="139">
        <f>SUM(AK51:AK52)</f>
        <v>0</v>
      </c>
      <c r="AL50" s="137"/>
      <c r="AM50" s="139">
        <f>SUM(AM51:AM52)</f>
        <v>0</v>
      </c>
      <c r="AN50" s="137"/>
      <c r="AO50" s="139">
        <f>SUM(AO51:AO52)</f>
        <v>0</v>
      </c>
      <c r="AP50" s="137"/>
      <c r="AQ50" s="139">
        <f>SUM(AQ51:AQ52)</f>
        <v>0</v>
      </c>
      <c r="AR50" s="137"/>
      <c r="AS50" s="139">
        <f>SUM(AS51:AS52)</f>
        <v>0</v>
      </c>
      <c r="AT50" s="137"/>
      <c r="AU50" s="139">
        <f>SUM(AU51:AU52)</f>
        <v>0</v>
      </c>
      <c r="AV50" s="137"/>
      <c r="AW50" s="139">
        <f>SUM(AW51:AW52)</f>
        <v>0</v>
      </c>
      <c r="AX50" s="137"/>
      <c r="AY50" s="139">
        <f>SUM(AY51:AY52)</f>
        <v>0</v>
      </c>
      <c r="AZ50" s="137"/>
      <c r="BA50" s="139">
        <f>SUM(BA51:BA52)</f>
        <v>0</v>
      </c>
      <c r="BB50" s="137"/>
      <c r="BC50" s="139">
        <f>SUM(BC51:BC52)</f>
        <v>0</v>
      </c>
      <c r="BD50" s="137"/>
      <c r="BE50" s="139">
        <f>SUM(BE51:BE52)</f>
        <v>0</v>
      </c>
      <c r="BF50" s="137"/>
      <c r="BG50" s="139">
        <f>SUM(BG51:BG52)</f>
        <v>0</v>
      </c>
      <c r="BH50" s="45"/>
    </row>
    <row r="51" spans="1:61" ht="26" customHeight="1" x14ac:dyDescent="0.45">
      <c r="A51" s="140">
        <v>1</v>
      </c>
      <c r="B51" s="141" t="s">
        <v>45</v>
      </c>
      <c r="C51" s="142" t="s">
        <v>1466</v>
      </c>
      <c r="D51" s="143" t="str">
        <f>B51&amp;"_"&amp;E51</f>
        <v>1.2_5.11.1</v>
      </c>
      <c r="E51" s="56" t="s">
        <v>1272</v>
      </c>
      <c r="F51" s="506" t="s">
        <v>1849</v>
      </c>
      <c r="G51" s="507" t="s">
        <v>39</v>
      </c>
      <c r="H51" s="507" t="s">
        <v>39</v>
      </c>
      <c r="I51" s="507" t="s">
        <v>1850</v>
      </c>
      <c r="J51" s="507" t="s">
        <v>39</v>
      </c>
      <c r="K51" s="507" t="s">
        <v>39</v>
      </c>
      <c r="L51" s="507" t="s">
        <v>39</v>
      </c>
      <c r="M51" s="507" t="s">
        <v>40</v>
      </c>
      <c r="N51" s="507" t="s">
        <v>40</v>
      </c>
      <c r="O51" s="57" t="s">
        <v>1273</v>
      </c>
      <c r="P51" s="58" t="s">
        <v>846</v>
      </c>
      <c r="Q51" s="59" t="s">
        <v>1274</v>
      </c>
      <c r="R51" s="60" t="s">
        <v>792</v>
      </c>
      <c r="S51" s="61">
        <v>456</v>
      </c>
      <c r="T51" s="62">
        <f>INDEX('BM MORRO DA CRUZ'!$P$6:$P$402,MATCH($O51,'BM MORRO DA CRUZ'!$K$6:$K$402,0))</f>
        <v>203.83</v>
      </c>
      <c r="U51" s="63">
        <f>ROUND(T51*$S51,2)</f>
        <v>92946.48</v>
      </c>
      <c r="V51" s="61">
        <f>IFERROR(SUMIFS('01ª MC'!$W$1:$W$1840,'01ª MC'!$C$1:$C$1840,$D51),0)</f>
        <v>0</v>
      </c>
      <c r="W51" s="63">
        <f>ROUND(V51*$T51,2)</f>
        <v>0</v>
      </c>
      <c r="X51" s="61">
        <v>0</v>
      </c>
      <c r="Y51" s="63">
        <f>ROUND(X51*$T51,2)</f>
        <v>0</v>
      </c>
      <c r="Z51" s="61">
        <v>0</v>
      </c>
      <c r="AA51" s="63">
        <f>ROUND(Z51*$T51,2)</f>
        <v>0</v>
      </c>
      <c r="AB51" s="61">
        <v>0</v>
      </c>
      <c r="AC51" s="63">
        <f>ROUND(AB51*$T51,2)</f>
        <v>0</v>
      </c>
      <c r="AD51" s="61">
        <v>0</v>
      </c>
      <c r="AE51" s="63">
        <f>ROUND(AD51*$T51,2)</f>
        <v>0</v>
      </c>
      <c r="AF51" s="61">
        <v>0</v>
      </c>
      <c r="AG51" s="63">
        <f>ROUND(AF51*$T51,2)</f>
        <v>0</v>
      </c>
      <c r="AH51" s="61">
        <v>0</v>
      </c>
      <c r="AI51" s="63">
        <f>ROUND(AH51*$T51,2)</f>
        <v>0</v>
      </c>
      <c r="AJ51" s="61">
        <v>0</v>
      </c>
      <c r="AK51" s="63">
        <f>ROUND(AJ51*$T51,2)</f>
        <v>0</v>
      </c>
      <c r="AL51" s="61">
        <v>0</v>
      </c>
      <c r="AM51" s="63">
        <f>ROUND(AL51*$T51,2)</f>
        <v>0</v>
      </c>
      <c r="AN51" s="61">
        <v>0</v>
      </c>
      <c r="AO51" s="63">
        <f>ROUND(AN51*$T51,2)</f>
        <v>0</v>
      </c>
      <c r="AP51" s="61">
        <v>0</v>
      </c>
      <c r="AQ51" s="63">
        <f>ROUND(AP51*$T51,2)</f>
        <v>0</v>
      </c>
      <c r="AR51" s="61">
        <v>0</v>
      </c>
      <c r="AS51" s="63">
        <f>ROUND(AR51*$T51,2)</f>
        <v>0</v>
      </c>
      <c r="AT51" s="61">
        <v>0</v>
      </c>
      <c r="AU51" s="63">
        <f>ROUND(AT51*$T51,2)</f>
        <v>0</v>
      </c>
      <c r="AV51" s="61">
        <v>0</v>
      </c>
      <c r="AW51" s="63">
        <f>ROUND(AV51*$T51,2)</f>
        <v>0</v>
      </c>
      <c r="AX51" s="61">
        <v>0</v>
      </c>
      <c r="AY51" s="63">
        <f>ROUND(AX51*$T51,2)</f>
        <v>0</v>
      </c>
      <c r="AZ51" s="61">
        <v>0</v>
      </c>
      <c r="BA51" s="63">
        <f>ROUND(AZ51*$T51,2)</f>
        <v>0</v>
      </c>
      <c r="BB51" s="61">
        <v>0</v>
      </c>
      <c r="BC51" s="63">
        <f>ROUND(BB51*$T51,2)</f>
        <v>0</v>
      </c>
      <c r="BD51" s="61">
        <v>0</v>
      </c>
      <c r="BE51" s="63">
        <f>ROUND(BD51*$T51,2)</f>
        <v>0</v>
      </c>
      <c r="BF51" s="61">
        <f>IFERROR(SUMIFS($V51:$BE51,$V$5:$BE$5,$BF$5),0)</f>
        <v>0</v>
      </c>
      <c r="BG51" s="63">
        <f>SUMIFS($V51:$BE51,$V$5:$BE$5,$W$5)</f>
        <v>0</v>
      </c>
      <c r="BH51" s="45"/>
      <c r="BI51" s="144"/>
    </row>
    <row r="52" spans="1:61" ht="35.65" x14ac:dyDescent="0.45">
      <c r="A52" s="140">
        <v>1</v>
      </c>
      <c r="B52" s="141" t="s">
        <v>45</v>
      </c>
      <c r="C52" s="142" t="s">
        <v>1466</v>
      </c>
      <c r="D52" s="143" t="str">
        <f>B52&amp;"_"&amp;E52</f>
        <v>1.2_5.11.2</v>
      </c>
      <c r="E52" s="56" t="s">
        <v>1275</v>
      </c>
      <c r="F52" s="506" t="s">
        <v>1851</v>
      </c>
      <c r="G52" s="507" t="s">
        <v>39</v>
      </c>
      <c r="H52" s="507" t="s">
        <v>39</v>
      </c>
      <c r="I52" s="507" t="s">
        <v>1777</v>
      </c>
      <c r="J52" s="507" t="s">
        <v>39</v>
      </c>
      <c r="K52" s="507" t="s">
        <v>39</v>
      </c>
      <c r="L52" s="507" t="s">
        <v>226</v>
      </c>
      <c r="M52" s="507" t="s">
        <v>40</v>
      </c>
      <c r="N52" s="507" t="s">
        <v>1777</v>
      </c>
      <c r="O52" s="57" t="s">
        <v>1276</v>
      </c>
      <c r="P52" s="58" t="s">
        <v>846</v>
      </c>
      <c r="Q52" s="59" t="s">
        <v>1277</v>
      </c>
      <c r="R52" s="60" t="s">
        <v>792</v>
      </c>
      <c r="S52" s="61">
        <v>456</v>
      </c>
      <c r="T52" s="62">
        <f>INDEX('BM MORRO DA CRUZ'!$P$6:$P$402,MATCH($O52,'BM MORRO DA CRUZ'!$K$6:$K$402,0))</f>
        <v>47.4</v>
      </c>
      <c r="U52" s="63">
        <f>ROUND(T52*$S52,2)</f>
        <v>21614.400000000001</v>
      </c>
      <c r="V52" s="61">
        <f>IFERROR(SUMIFS('01ª MC'!$W$1:$W$1840,'01ª MC'!$C$1:$C$1840,$D52),0)</f>
        <v>0</v>
      </c>
      <c r="W52" s="63">
        <f>ROUND(V52*$T52,2)</f>
        <v>0</v>
      </c>
      <c r="X52" s="61">
        <v>0</v>
      </c>
      <c r="Y52" s="63">
        <f>ROUND(X52*$T52,2)</f>
        <v>0</v>
      </c>
      <c r="Z52" s="61">
        <v>0</v>
      </c>
      <c r="AA52" s="63">
        <f>ROUND(Z52*$T52,2)</f>
        <v>0</v>
      </c>
      <c r="AB52" s="61">
        <v>0</v>
      </c>
      <c r="AC52" s="63">
        <f>ROUND(AB52*$T52,2)</f>
        <v>0</v>
      </c>
      <c r="AD52" s="61">
        <v>0</v>
      </c>
      <c r="AE52" s="63">
        <f>ROUND(AD52*$T52,2)</f>
        <v>0</v>
      </c>
      <c r="AF52" s="61">
        <v>0</v>
      </c>
      <c r="AG52" s="63">
        <f>ROUND(AF52*$T52,2)</f>
        <v>0</v>
      </c>
      <c r="AH52" s="61">
        <v>0</v>
      </c>
      <c r="AI52" s="63">
        <f>ROUND(AH52*$T52,2)</f>
        <v>0</v>
      </c>
      <c r="AJ52" s="61">
        <v>0</v>
      </c>
      <c r="AK52" s="63">
        <f>ROUND(AJ52*$T52,2)</f>
        <v>0</v>
      </c>
      <c r="AL52" s="61">
        <v>0</v>
      </c>
      <c r="AM52" s="63">
        <f>ROUND(AL52*$T52,2)</f>
        <v>0</v>
      </c>
      <c r="AN52" s="61">
        <v>0</v>
      </c>
      <c r="AO52" s="63">
        <f>ROUND(AN52*$T52,2)</f>
        <v>0</v>
      </c>
      <c r="AP52" s="61">
        <v>0</v>
      </c>
      <c r="AQ52" s="63">
        <f>ROUND(AP52*$T52,2)</f>
        <v>0</v>
      </c>
      <c r="AR52" s="61">
        <v>0</v>
      </c>
      <c r="AS52" s="63">
        <f>ROUND(AR52*$T52,2)</f>
        <v>0</v>
      </c>
      <c r="AT52" s="61">
        <v>0</v>
      </c>
      <c r="AU52" s="63">
        <f>ROUND(AT52*$T52,2)</f>
        <v>0</v>
      </c>
      <c r="AV52" s="61">
        <v>0</v>
      </c>
      <c r="AW52" s="63">
        <f>ROUND(AV52*$T52,2)</f>
        <v>0</v>
      </c>
      <c r="AX52" s="61">
        <v>0</v>
      </c>
      <c r="AY52" s="63">
        <f>ROUND(AX52*$T52,2)</f>
        <v>0</v>
      </c>
      <c r="AZ52" s="61">
        <v>0</v>
      </c>
      <c r="BA52" s="63">
        <f>ROUND(AZ52*$T52,2)</f>
        <v>0</v>
      </c>
      <c r="BB52" s="61">
        <v>0</v>
      </c>
      <c r="BC52" s="63">
        <f>ROUND(BB52*$T52,2)</f>
        <v>0</v>
      </c>
      <c r="BD52" s="61">
        <v>0</v>
      </c>
      <c r="BE52" s="63">
        <f>ROUND(BD52*$T52,2)</f>
        <v>0</v>
      </c>
      <c r="BF52" s="61">
        <f>IFERROR(SUMIFS($V52:$BE52,$V$5:$BE$5,$BF$5),0)</f>
        <v>0</v>
      </c>
      <c r="BG52" s="63">
        <f>SUMIFS($V52:$BE52,$V$5:$BE$5,$W$5)</f>
        <v>0</v>
      </c>
      <c r="BH52" s="45"/>
      <c r="BI52" s="144"/>
    </row>
    <row r="53" spans="1:61" ht="19.5" customHeight="1" x14ac:dyDescent="0.45">
      <c r="A53" s="128">
        <v>1</v>
      </c>
      <c r="B53" s="129"/>
      <c r="C53" s="130"/>
      <c r="D53" s="131"/>
      <c r="E53" s="132" t="s">
        <v>1284</v>
      </c>
      <c r="F53" s="515"/>
      <c r="G53" s="516"/>
      <c r="H53" s="516"/>
      <c r="I53" s="516"/>
      <c r="J53" s="516"/>
      <c r="K53" s="516"/>
      <c r="L53" s="516"/>
      <c r="M53" s="516"/>
      <c r="N53" s="516"/>
      <c r="O53" s="133" t="s">
        <v>1285</v>
      </c>
      <c r="P53" s="134"/>
      <c r="Q53" s="135" t="s">
        <v>1286</v>
      </c>
      <c r="R53" s="136"/>
      <c r="S53" s="137"/>
      <c r="T53" s="138"/>
      <c r="U53" s="139">
        <f>SUM(U54:U56)</f>
        <v>12131.8</v>
      </c>
      <c r="V53" s="137"/>
      <c r="W53" s="139">
        <f>SUM(W54:W56)</f>
        <v>0</v>
      </c>
      <c r="X53" s="137"/>
      <c r="Y53" s="139">
        <f>SUM(Y54:Y56)</f>
        <v>0</v>
      </c>
      <c r="Z53" s="137"/>
      <c r="AA53" s="139">
        <f>SUM(AA54:AA56)</f>
        <v>0</v>
      </c>
      <c r="AB53" s="137"/>
      <c r="AC53" s="139">
        <f>SUM(AC54:AC56)</f>
        <v>0</v>
      </c>
      <c r="AD53" s="137"/>
      <c r="AE53" s="139">
        <f>SUM(AE54:AE56)</f>
        <v>0</v>
      </c>
      <c r="AF53" s="137"/>
      <c r="AG53" s="139">
        <f>SUM(AG54:AG56)</f>
        <v>0</v>
      </c>
      <c r="AH53" s="137"/>
      <c r="AI53" s="139">
        <f>SUM(AI54:AI56)</f>
        <v>0</v>
      </c>
      <c r="AJ53" s="137"/>
      <c r="AK53" s="139">
        <f>SUM(AK54:AK56)</f>
        <v>0</v>
      </c>
      <c r="AL53" s="137"/>
      <c r="AM53" s="139">
        <f>SUM(AM54:AM56)</f>
        <v>0</v>
      </c>
      <c r="AN53" s="137"/>
      <c r="AO53" s="139">
        <f>SUM(AO54:AO56)</f>
        <v>0</v>
      </c>
      <c r="AP53" s="137"/>
      <c r="AQ53" s="139">
        <f>SUM(AQ54:AQ56)</f>
        <v>0</v>
      </c>
      <c r="AR53" s="137"/>
      <c r="AS53" s="139">
        <f>SUM(AS54:AS56)</f>
        <v>0</v>
      </c>
      <c r="AT53" s="137"/>
      <c r="AU53" s="139">
        <f>SUM(AU54:AU56)</f>
        <v>0</v>
      </c>
      <c r="AV53" s="137"/>
      <c r="AW53" s="139">
        <f>SUM(AW54:AW56)</f>
        <v>0</v>
      </c>
      <c r="AX53" s="137"/>
      <c r="AY53" s="139">
        <f>SUM(AY54:AY56)</f>
        <v>0</v>
      </c>
      <c r="AZ53" s="137"/>
      <c r="BA53" s="139">
        <f>SUM(BA54:BA56)</f>
        <v>0</v>
      </c>
      <c r="BB53" s="137"/>
      <c r="BC53" s="139">
        <f>SUM(BC54:BC56)</f>
        <v>0</v>
      </c>
      <c r="BD53" s="137"/>
      <c r="BE53" s="139">
        <f>SUM(BE54:BE56)</f>
        <v>0</v>
      </c>
      <c r="BF53" s="137"/>
      <c r="BG53" s="139">
        <f>SUM(BG54:BG56)</f>
        <v>0</v>
      </c>
      <c r="BH53" s="45"/>
    </row>
    <row r="54" spans="1:61" ht="35.65" x14ac:dyDescent="0.45">
      <c r="A54" s="140">
        <v>1</v>
      </c>
      <c r="B54" s="141" t="s">
        <v>45</v>
      </c>
      <c r="C54" s="142" t="s">
        <v>1466</v>
      </c>
      <c r="D54" s="143" t="str">
        <f>B54&amp;"_"&amp;E54</f>
        <v>1.2_5.13.1</v>
      </c>
      <c r="E54" s="56" t="s">
        <v>1287</v>
      </c>
      <c r="F54" s="506" t="s">
        <v>1854</v>
      </c>
      <c r="G54" s="507" t="s">
        <v>39</v>
      </c>
      <c r="H54" s="507" t="s">
        <v>39</v>
      </c>
      <c r="I54" s="507" t="s">
        <v>78</v>
      </c>
      <c r="J54" s="507" t="s">
        <v>39</v>
      </c>
      <c r="K54" s="507" t="s">
        <v>39</v>
      </c>
      <c r="L54" s="507" t="s">
        <v>78</v>
      </c>
      <c r="M54" s="507" t="s">
        <v>40</v>
      </c>
      <c r="N54" s="507" t="s">
        <v>78</v>
      </c>
      <c r="O54" s="57" t="s">
        <v>1288</v>
      </c>
      <c r="P54" s="58" t="s">
        <v>846</v>
      </c>
      <c r="Q54" s="59" t="s">
        <v>1289</v>
      </c>
      <c r="R54" s="60" t="s">
        <v>71</v>
      </c>
      <c r="S54" s="61">
        <v>1</v>
      </c>
      <c r="T54" s="62">
        <f>INDEX('BM MORRO DA CRUZ'!$P$6:$P$402,MATCH($O54,'BM MORRO DA CRUZ'!$K$6:$K$402,0))</f>
        <v>4169.2</v>
      </c>
      <c r="U54" s="63">
        <f>ROUND(T54*$S54,2)</f>
        <v>4169.2</v>
      </c>
      <c r="V54" s="61">
        <f>IFERROR(SUMIFS('01ª MC'!$W$1:$W$1840,'01ª MC'!$C$1:$C$1840,$D54),0)</f>
        <v>0</v>
      </c>
      <c r="W54" s="63">
        <f>ROUND(V54*$T54,2)</f>
        <v>0</v>
      </c>
      <c r="X54" s="61">
        <v>0</v>
      </c>
      <c r="Y54" s="63">
        <f>ROUND(X54*$T54,2)</f>
        <v>0</v>
      </c>
      <c r="Z54" s="61">
        <v>0</v>
      </c>
      <c r="AA54" s="63">
        <f>ROUND(Z54*$T54,2)</f>
        <v>0</v>
      </c>
      <c r="AB54" s="61">
        <v>0</v>
      </c>
      <c r="AC54" s="63">
        <f>ROUND(AB54*$T54,2)</f>
        <v>0</v>
      </c>
      <c r="AD54" s="61">
        <v>0</v>
      </c>
      <c r="AE54" s="63">
        <f>ROUND(AD54*$T54,2)</f>
        <v>0</v>
      </c>
      <c r="AF54" s="61">
        <v>0</v>
      </c>
      <c r="AG54" s="63">
        <f>ROUND(AF54*$T54,2)</f>
        <v>0</v>
      </c>
      <c r="AH54" s="61">
        <v>0</v>
      </c>
      <c r="AI54" s="63">
        <f>ROUND(AH54*$T54,2)</f>
        <v>0</v>
      </c>
      <c r="AJ54" s="61">
        <v>0</v>
      </c>
      <c r="AK54" s="63">
        <f>ROUND(AJ54*$T54,2)</f>
        <v>0</v>
      </c>
      <c r="AL54" s="61">
        <v>0</v>
      </c>
      <c r="AM54" s="63">
        <f>ROUND(AL54*$T54,2)</f>
        <v>0</v>
      </c>
      <c r="AN54" s="61">
        <v>0</v>
      </c>
      <c r="AO54" s="63">
        <f>ROUND(AN54*$T54,2)</f>
        <v>0</v>
      </c>
      <c r="AP54" s="61">
        <v>0</v>
      </c>
      <c r="AQ54" s="63">
        <f>ROUND(AP54*$T54,2)</f>
        <v>0</v>
      </c>
      <c r="AR54" s="61">
        <v>0</v>
      </c>
      <c r="AS54" s="63">
        <f>ROUND(AR54*$T54,2)</f>
        <v>0</v>
      </c>
      <c r="AT54" s="61">
        <v>0</v>
      </c>
      <c r="AU54" s="63">
        <f>ROUND(AT54*$T54,2)</f>
        <v>0</v>
      </c>
      <c r="AV54" s="61">
        <v>0</v>
      </c>
      <c r="AW54" s="63">
        <f>ROUND(AV54*$T54,2)</f>
        <v>0</v>
      </c>
      <c r="AX54" s="61">
        <v>0</v>
      </c>
      <c r="AY54" s="63">
        <f>ROUND(AX54*$T54,2)</f>
        <v>0</v>
      </c>
      <c r="AZ54" s="61">
        <v>0</v>
      </c>
      <c r="BA54" s="63">
        <f>ROUND(AZ54*$T54,2)</f>
        <v>0</v>
      </c>
      <c r="BB54" s="61">
        <v>0</v>
      </c>
      <c r="BC54" s="63">
        <f>ROUND(BB54*$T54,2)</f>
        <v>0</v>
      </c>
      <c r="BD54" s="61">
        <v>0</v>
      </c>
      <c r="BE54" s="63">
        <f>ROUND(BD54*$T54,2)</f>
        <v>0</v>
      </c>
      <c r="BF54" s="61">
        <f>IFERROR(SUMIFS($V54:$BE54,$V$5:$BE$5,$BF$5),0)</f>
        <v>0</v>
      </c>
      <c r="BG54" s="63">
        <f>SUMIFS($V54:$BE54,$V$5:$BE$5,$W$5)</f>
        <v>0</v>
      </c>
      <c r="BH54" s="45"/>
      <c r="BI54" s="144"/>
    </row>
    <row r="55" spans="1:61" ht="35.65" x14ac:dyDescent="0.45">
      <c r="A55" s="140">
        <v>1</v>
      </c>
      <c r="B55" s="141" t="s">
        <v>45</v>
      </c>
      <c r="C55" s="142" t="s">
        <v>1466</v>
      </c>
      <c r="D55" s="143" t="str">
        <f>B55&amp;"_"&amp;E55</f>
        <v>1.2_5.13.2</v>
      </c>
      <c r="E55" s="56" t="s">
        <v>1290</v>
      </c>
      <c r="F55" s="506" t="s">
        <v>1855</v>
      </c>
      <c r="G55" s="507" t="s">
        <v>39</v>
      </c>
      <c r="H55" s="507" t="s">
        <v>39</v>
      </c>
      <c r="I55" s="507" t="s">
        <v>78</v>
      </c>
      <c r="J55" s="507" t="s">
        <v>39</v>
      </c>
      <c r="K55" s="507" t="s">
        <v>39</v>
      </c>
      <c r="L55" s="507" t="s">
        <v>78</v>
      </c>
      <c r="M55" s="507" t="s">
        <v>40</v>
      </c>
      <c r="N55" s="507" t="s">
        <v>78</v>
      </c>
      <c r="O55" s="57" t="s">
        <v>1291</v>
      </c>
      <c r="P55" s="58" t="s">
        <v>846</v>
      </c>
      <c r="Q55" s="59" t="s">
        <v>1292</v>
      </c>
      <c r="R55" s="60" t="s">
        <v>71</v>
      </c>
      <c r="S55" s="61">
        <v>1</v>
      </c>
      <c r="T55" s="62">
        <f>INDEX('BM MORRO DA CRUZ'!$P$6:$P$402,MATCH($O55,'BM MORRO DA CRUZ'!$K$6:$K$402,0))</f>
        <v>7802.15</v>
      </c>
      <c r="U55" s="63">
        <f>ROUND(T55*$S55,2)</f>
        <v>7802.15</v>
      </c>
      <c r="V55" s="61">
        <f>IFERROR(SUMIFS('01ª MC'!$W$1:$W$1840,'01ª MC'!$C$1:$C$1840,$D55),0)</f>
        <v>0</v>
      </c>
      <c r="W55" s="63">
        <f>ROUND(V55*$T55,2)</f>
        <v>0</v>
      </c>
      <c r="X55" s="61">
        <v>0</v>
      </c>
      <c r="Y55" s="63">
        <f>ROUND(X55*$T55,2)</f>
        <v>0</v>
      </c>
      <c r="Z55" s="61">
        <v>0</v>
      </c>
      <c r="AA55" s="63">
        <f>ROUND(Z55*$T55,2)</f>
        <v>0</v>
      </c>
      <c r="AB55" s="61">
        <v>0</v>
      </c>
      <c r="AC55" s="63">
        <f>ROUND(AB55*$T55,2)</f>
        <v>0</v>
      </c>
      <c r="AD55" s="61">
        <v>0</v>
      </c>
      <c r="AE55" s="63">
        <f>ROUND(AD55*$T55,2)</f>
        <v>0</v>
      </c>
      <c r="AF55" s="61">
        <v>0</v>
      </c>
      <c r="AG55" s="63">
        <f>ROUND(AF55*$T55,2)</f>
        <v>0</v>
      </c>
      <c r="AH55" s="61">
        <v>0</v>
      </c>
      <c r="AI55" s="63">
        <f>ROUND(AH55*$T55,2)</f>
        <v>0</v>
      </c>
      <c r="AJ55" s="61">
        <v>0</v>
      </c>
      <c r="AK55" s="63">
        <f>ROUND(AJ55*$T55,2)</f>
        <v>0</v>
      </c>
      <c r="AL55" s="61">
        <v>0</v>
      </c>
      <c r="AM55" s="63">
        <f>ROUND(AL55*$T55,2)</f>
        <v>0</v>
      </c>
      <c r="AN55" s="61">
        <v>0</v>
      </c>
      <c r="AO55" s="63">
        <f>ROUND(AN55*$T55,2)</f>
        <v>0</v>
      </c>
      <c r="AP55" s="61">
        <v>0</v>
      </c>
      <c r="AQ55" s="63">
        <f>ROUND(AP55*$T55,2)</f>
        <v>0</v>
      </c>
      <c r="AR55" s="61">
        <v>0</v>
      </c>
      <c r="AS55" s="63">
        <f>ROUND(AR55*$T55,2)</f>
        <v>0</v>
      </c>
      <c r="AT55" s="61">
        <v>0</v>
      </c>
      <c r="AU55" s="63">
        <f>ROUND(AT55*$T55,2)</f>
        <v>0</v>
      </c>
      <c r="AV55" s="61">
        <v>0</v>
      </c>
      <c r="AW55" s="63">
        <f>ROUND(AV55*$T55,2)</f>
        <v>0</v>
      </c>
      <c r="AX55" s="61">
        <v>0</v>
      </c>
      <c r="AY55" s="63">
        <f>ROUND(AX55*$T55,2)</f>
        <v>0</v>
      </c>
      <c r="AZ55" s="61">
        <v>0</v>
      </c>
      <c r="BA55" s="63">
        <f>ROUND(AZ55*$T55,2)</f>
        <v>0</v>
      </c>
      <c r="BB55" s="61">
        <v>0</v>
      </c>
      <c r="BC55" s="63">
        <f>ROUND(BB55*$T55,2)</f>
        <v>0</v>
      </c>
      <c r="BD55" s="61">
        <v>0</v>
      </c>
      <c r="BE55" s="63">
        <f>ROUND(BD55*$T55,2)</f>
        <v>0</v>
      </c>
      <c r="BF55" s="61">
        <f>IFERROR(SUMIFS($V55:$BE55,$V$5:$BE$5,$BF$5),0)</f>
        <v>0</v>
      </c>
      <c r="BG55" s="63">
        <f>SUMIFS($V55:$BE55,$V$5:$BE$5,$W$5)</f>
        <v>0</v>
      </c>
      <c r="BH55" s="45"/>
      <c r="BI55" s="144"/>
    </row>
    <row r="56" spans="1:61" ht="26" customHeight="1" x14ac:dyDescent="0.45">
      <c r="A56" s="140">
        <v>1</v>
      </c>
      <c r="B56" s="141" t="s">
        <v>45</v>
      </c>
      <c r="C56" s="142" t="s">
        <v>1466</v>
      </c>
      <c r="D56" s="143" t="str">
        <f>B56&amp;"_"&amp;E56</f>
        <v>1.2_5.13.3</v>
      </c>
      <c r="E56" s="56" t="s">
        <v>1293</v>
      </c>
      <c r="F56" s="506" t="s">
        <v>1856</v>
      </c>
      <c r="G56" s="507" t="s">
        <v>1795</v>
      </c>
      <c r="H56" s="507" t="s">
        <v>39</v>
      </c>
      <c r="I56" s="507" t="s">
        <v>540</v>
      </c>
      <c r="J56" s="507" t="s">
        <v>39</v>
      </c>
      <c r="K56" s="507" t="s">
        <v>1795</v>
      </c>
      <c r="L56" s="507" t="s">
        <v>257</v>
      </c>
      <c r="M56" s="507" t="s">
        <v>40</v>
      </c>
      <c r="N56" s="507" t="s">
        <v>540</v>
      </c>
      <c r="O56" s="57" t="s">
        <v>1294</v>
      </c>
      <c r="P56" s="58" t="s">
        <v>846</v>
      </c>
      <c r="Q56" s="59" t="s">
        <v>1295</v>
      </c>
      <c r="R56" s="60" t="s">
        <v>367</v>
      </c>
      <c r="S56" s="61">
        <v>5</v>
      </c>
      <c r="T56" s="62">
        <f>INDEX('BM MORRO DA CRUZ'!$P$6:$P$402,MATCH($O56,'BM MORRO DA CRUZ'!$K$6:$K$402,0))</f>
        <v>32.090000000000003</v>
      </c>
      <c r="U56" s="63">
        <f>ROUND(T56*$S56,2)</f>
        <v>160.44999999999999</v>
      </c>
      <c r="V56" s="61">
        <f>IFERROR(SUMIFS('01ª MC'!$W$1:$W$1840,'01ª MC'!$C$1:$C$1840,$D56),0)</f>
        <v>0</v>
      </c>
      <c r="W56" s="63">
        <f>ROUND(V56*$T56,2)</f>
        <v>0</v>
      </c>
      <c r="X56" s="61">
        <v>0</v>
      </c>
      <c r="Y56" s="63">
        <f>ROUND(X56*$T56,2)</f>
        <v>0</v>
      </c>
      <c r="Z56" s="61">
        <v>0</v>
      </c>
      <c r="AA56" s="63">
        <f>ROUND(Z56*$T56,2)</f>
        <v>0</v>
      </c>
      <c r="AB56" s="61">
        <v>0</v>
      </c>
      <c r="AC56" s="63">
        <f>ROUND(AB56*$T56,2)</f>
        <v>0</v>
      </c>
      <c r="AD56" s="61">
        <v>0</v>
      </c>
      <c r="AE56" s="63">
        <f>ROUND(AD56*$T56,2)</f>
        <v>0</v>
      </c>
      <c r="AF56" s="61">
        <v>0</v>
      </c>
      <c r="AG56" s="63">
        <f>ROUND(AF56*$T56,2)</f>
        <v>0</v>
      </c>
      <c r="AH56" s="61">
        <v>0</v>
      </c>
      <c r="AI56" s="63">
        <f>ROUND(AH56*$T56,2)</f>
        <v>0</v>
      </c>
      <c r="AJ56" s="61">
        <v>0</v>
      </c>
      <c r="AK56" s="63">
        <f>ROUND(AJ56*$T56,2)</f>
        <v>0</v>
      </c>
      <c r="AL56" s="61">
        <v>0</v>
      </c>
      <c r="AM56" s="63">
        <f>ROUND(AL56*$T56,2)</f>
        <v>0</v>
      </c>
      <c r="AN56" s="61">
        <v>0</v>
      </c>
      <c r="AO56" s="63">
        <f>ROUND(AN56*$T56,2)</f>
        <v>0</v>
      </c>
      <c r="AP56" s="61">
        <v>0</v>
      </c>
      <c r="AQ56" s="63">
        <f>ROUND(AP56*$T56,2)</f>
        <v>0</v>
      </c>
      <c r="AR56" s="61">
        <v>0</v>
      </c>
      <c r="AS56" s="63">
        <f>ROUND(AR56*$T56,2)</f>
        <v>0</v>
      </c>
      <c r="AT56" s="61">
        <v>0</v>
      </c>
      <c r="AU56" s="63">
        <f>ROUND(AT56*$T56,2)</f>
        <v>0</v>
      </c>
      <c r="AV56" s="61">
        <v>0</v>
      </c>
      <c r="AW56" s="63">
        <f>ROUND(AV56*$T56,2)</f>
        <v>0</v>
      </c>
      <c r="AX56" s="61">
        <v>0</v>
      </c>
      <c r="AY56" s="63">
        <f>ROUND(AX56*$T56,2)</f>
        <v>0</v>
      </c>
      <c r="AZ56" s="61">
        <v>0</v>
      </c>
      <c r="BA56" s="63">
        <f>ROUND(AZ56*$T56,2)</f>
        <v>0</v>
      </c>
      <c r="BB56" s="61">
        <v>0</v>
      </c>
      <c r="BC56" s="63">
        <f>ROUND(BB56*$T56,2)</f>
        <v>0</v>
      </c>
      <c r="BD56" s="61">
        <v>0</v>
      </c>
      <c r="BE56" s="63">
        <f>ROUND(BD56*$T56,2)</f>
        <v>0</v>
      </c>
      <c r="BF56" s="61">
        <f>IFERROR(SUMIFS($V56:$BE56,$V$5:$BE$5,$BF$5),0)</f>
        <v>0</v>
      </c>
      <c r="BG56" s="63">
        <f>SUMIFS($V56:$BE56,$V$5:$BE$5,$W$5)</f>
        <v>0</v>
      </c>
      <c r="BH56" s="45"/>
      <c r="BI56" s="144"/>
    </row>
    <row r="57" spans="1:61" ht="19.5" customHeight="1" x14ac:dyDescent="0.45">
      <c r="A57" s="128">
        <v>1</v>
      </c>
      <c r="B57" s="129"/>
      <c r="C57" s="130"/>
      <c r="D57" s="131"/>
      <c r="E57" s="132" t="s">
        <v>1296</v>
      </c>
      <c r="F57" s="515"/>
      <c r="G57" s="516"/>
      <c r="H57" s="516"/>
      <c r="I57" s="516"/>
      <c r="J57" s="516"/>
      <c r="K57" s="516"/>
      <c r="L57" s="516"/>
      <c r="M57" s="516"/>
      <c r="N57" s="516"/>
      <c r="O57" s="133" t="s">
        <v>1297</v>
      </c>
      <c r="P57" s="134"/>
      <c r="Q57" s="135" t="s">
        <v>1298</v>
      </c>
      <c r="R57" s="136"/>
      <c r="S57" s="137"/>
      <c r="T57" s="138"/>
      <c r="U57" s="139">
        <f>SUM(U58:U61)</f>
        <v>22473.39</v>
      </c>
      <c r="V57" s="137"/>
      <c r="W57" s="139">
        <f>SUM(W58:W61)</f>
        <v>0</v>
      </c>
      <c r="X57" s="137"/>
      <c r="Y57" s="139">
        <f>SUM(Y58:Y61)</f>
        <v>0</v>
      </c>
      <c r="Z57" s="137"/>
      <c r="AA57" s="139">
        <f>SUM(AA58:AA61)</f>
        <v>0</v>
      </c>
      <c r="AB57" s="137"/>
      <c r="AC57" s="139">
        <f>SUM(AC58:AC61)</f>
        <v>0</v>
      </c>
      <c r="AD57" s="137"/>
      <c r="AE57" s="139">
        <f>SUM(AE58:AE61)</f>
        <v>0</v>
      </c>
      <c r="AF57" s="137"/>
      <c r="AG57" s="139">
        <f>SUM(AG58:AG61)</f>
        <v>0</v>
      </c>
      <c r="AH57" s="137"/>
      <c r="AI57" s="139">
        <f>SUM(AI58:AI61)</f>
        <v>0</v>
      </c>
      <c r="AJ57" s="137"/>
      <c r="AK57" s="139">
        <f>SUM(AK58:AK61)</f>
        <v>0</v>
      </c>
      <c r="AL57" s="137"/>
      <c r="AM57" s="139">
        <f>SUM(AM58:AM61)</f>
        <v>0</v>
      </c>
      <c r="AN57" s="137"/>
      <c r="AO57" s="139">
        <f>SUM(AO58:AO61)</f>
        <v>0</v>
      </c>
      <c r="AP57" s="137"/>
      <c r="AQ57" s="139">
        <f>SUM(AQ58:AQ61)</f>
        <v>0</v>
      </c>
      <c r="AR57" s="137"/>
      <c r="AS57" s="139">
        <f>SUM(AS58:AS61)</f>
        <v>0</v>
      </c>
      <c r="AT57" s="137"/>
      <c r="AU57" s="139">
        <f>SUM(AU58:AU61)</f>
        <v>0</v>
      </c>
      <c r="AV57" s="137"/>
      <c r="AW57" s="139">
        <f>SUM(AW58:AW61)</f>
        <v>0</v>
      </c>
      <c r="AX57" s="137"/>
      <c r="AY57" s="139">
        <f>SUM(AY58:AY61)</f>
        <v>0</v>
      </c>
      <c r="AZ57" s="137"/>
      <c r="BA57" s="139">
        <f>SUM(BA58:BA61)</f>
        <v>0</v>
      </c>
      <c r="BB57" s="137"/>
      <c r="BC57" s="139">
        <f>SUM(BC58:BC61)</f>
        <v>0</v>
      </c>
      <c r="BD57" s="137"/>
      <c r="BE57" s="139">
        <f>SUM(BE58:BE61)</f>
        <v>0</v>
      </c>
      <c r="BF57" s="137"/>
      <c r="BG57" s="139">
        <f>SUM(BG58:BG61)</f>
        <v>0</v>
      </c>
      <c r="BH57" s="45"/>
    </row>
    <row r="58" spans="1:61" ht="47.25" x14ac:dyDescent="0.45">
      <c r="A58" s="140">
        <v>1</v>
      </c>
      <c r="B58" s="141" t="s">
        <v>45</v>
      </c>
      <c r="C58" s="142" t="s">
        <v>1466</v>
      </c>
      <c r="D58" s="143" t="str">
        <f>B58&amp;"_"&amp;E58</f>
        <v>1.2_5.14.2</v>
      </c>
      <c r="E58" s="56" t="s">
        <v>1302</v>
      </c>
      <c r="F58" s="506" t="s">
        <v>1857</v>
      </c>
      <c r="G58" s="507" t="s">
        <v>39</v>
      </c>
      <c r="H58" s="507" t="s">
        <v>39</v>
      </c>
      <c r="I58" s="507" t="s">
        <v>78</v>
      </c>
      <c r="J58" s="507" t="s">
        <v>39</v>
      </c>
      <c r="K58" s="507" t="s">
        <v>39</v>
      </c>
      <c r="L58" s="507" t="s">
        <v>78</v>
      </c>
      <c r="M58" s="507" t="s">
        <v>40</v>
      </c>
      <c r="N58" s="507" t="s">
        <v>78</v>
      </c>
      <c r="O58" s="57" t="s">
        <v>1303</v>
      </c>
      <c r="P58" s="58" t="s">
        <v>846</v>
      </c>
      <c r="Q58" s="59" t="s">
        <v>1304</v>
      </c>
      <c r="R58" s="60" t="s">
        <v>71</v>
      </c>
      <c r="S58" s="61">
        <v>1</v>
      </c>
      <c r="T58" s="62">
        <f>INDEX('BM MORRO DA CRUZ'!$P$6:$P$402,MATCH($O58,'BM MORRO DA CRUZ'!$K$6:$K$402,0))</f>
        <v>875.22</v>
      </c>
      <c r="U58" s="63">
        <f>ROUND(T58*$S58,2)</f>
        <v>875.22</v>
      </c>
      <c r="V58" s="61">
        <f>IFERROR(SUMIFS('01ª MC'!$W$1:$W$1840,'01ª MC'!$C$1:$C$1840,$D58),0)</f>
        <v>0</v>
      </c>
      <c r="W58" s="63">
        <f>ROUND(V58*$T58,2)</f>
        <v>0</v>
      </c>
      <c r="X58" s="61">
        <v>0</v>
      </c>
      <c r="Y58" s="63">
        <f>ROUND(X58*$T58,2)</f>
        <v>0</v>
      </c>
      <c r="Z58" s="61">
        <v>0</v>
      </c>
      <c r="AA58" s="63">
        <f>ROUND(Z58*$T58,2)</f>
        <v>0</v>
      </c>
      <c r="AB58" s="61">
        <v>0</v>
      </c>
      <c r="AC58" s="63">
        <f>ROUND(AB58*$T58,2)</f>
        <v>0</v>
      </c>
      <c r="AD58" s="61">
        <v>0</v>
      </c>
      <c r="AE58" s="63">
        <f>ROUND(AD58*$T58,2)</f>
        <v>0</v>
      </c>
      <c r="AF58" s="61">
        <v>0</v>
      </c>
      <c r="AG58" s="63">
        <f>ROUND(AF58*$T58,2)</f>
        <v>0</v>
      </c>
      <c r="AH58" s="61">
        <v>0</v>
      </c>
      <c r="AI58" s="63">
        <f>ROUND(AH58*$T58,2)</f>
        <v>0</v>
      </c>
      <c r="AJ58" s="61">
        <v>0</v>
      </c>
      <c r="AK58" s="63">
        <f>ROUND(AJ58*$T58,2)</f>
        <v>0</v>
      </c>
      <c r="AL58" s="61">
        <v>0</v>
      </c>
      <c r="AM58" s="63">
        <f>ROUND(AL58*$T58,2)</f>
        <v>0</v>
      </c>
      <c r="AN58" s="61">
        <v>0</v>
      </c>
      <c r="AO58" s="63">
        <f>ROUND(AN58*$T58,2)</f>
        <v>0</v>
      </c>
      <c r="AP58" s="61">
        <v>0</v>
      </c>
      <c r="AQ58" s="63">
        <f>ROUND(AP58*$T58,2)</f>
        <v>0</v>
      </c>
      <c r="AR58" s="61">
        <v>0</v>
      </c>
      <c r="AS58" s="63">
        <f>ROUND(AR58*$T58,2)</f>
        <v>0</v>
      </c>
      <c r="AT58" s="61">
        <v>0</v>
      </c>
      <c r="AU58" s="63">
        <f>ROUND(AT58*$T58,2)</f>
        <v>0</v>
      </c>
      <c r="AV58" s="61">
        <v>0</v>
      </c>
      <c r="AW58" s="63">
        <f>ROUND(AV58*$T58,2)</f>
        <v>0</v>
      </c>
      <c r="AX58" s="61">
        <v>0</v>
      </c>
      <c r="AY58" s="63">
        <f>ROUND(AX58*$T58,2)</f>
        <v>0</v>
      </c>
      <c r="AZ58" s="61">
        <v>0</v>
      </c>
      <c r="BA58" s="63">
        <f>ROUND(AZ58*$T58,2)</f>
        <v>0</v>
      </c>
      <c r="BB58" s="61">
        <v>0</v>
      </c>
      <c r="BC58" s="63">
        <f>ROUND(BB58*$T58,2)</f>
        <v>0</v>
      </c>
      <c r="BD58" s="61">
        <v>0</v>
      </c>
      <c r="BE58" s="63">
        <f>ROUND(BD58*$T58,2)</f>
        <v>0</v>
      </c>
      <c r="BF58" s="61">
        <f>IFERROR(SUMIFS($V58:$BE58,$V$5:$BE$5,$BF$5),0)</f>
        <v>0</v>
      </c>
      <c r="BG58" s="63">
        <f>SUMIFS($V58:$BE58,$V$5:$BE$5,$W$5)</f>
        <v>0</v>
      </c>
      <c r="BH58" s="45"/>
      <c r="BI58" s="144"/>
    </row>
    <row r="59" spans="1:61" ht="26" customHeight="1" x14ac:dyDescent="0.45">
      <c r="A59" s="140">
        <v>1</v>
      </c>
      <c r="B59" s="141" t="s">
        <v>45</v>
      </c>
      <c r="C59" s="142" t="s">
        <v>1466</v>
      </c>
      <c r="D59" s="143" t="str">
        <f>B59&amp;"_"&amp;E59</f>
        <v>1.2_5.14.3</v>
      </c>
      <c r="E59" s="56" t="s">
        <v>1305</v>
      </c>
      <c r="F59" s="506" t="s">
        <v>1858</v>
      </c>
      <c r="G59" s="507" t="s">
        <v>39</v>
      </c>
      <c r="H59" s="507" t="s">
        <v>39</v>
      </c>
      <c r="I59" s="507" t="s">
        <v>540</v>
      </c>
      <c r="J59" s="507" t="s">
        <v>39</v>
      </c>
      <c r="K59" s="507" t="s">
        <v>1795</v>
      </c>
      <c r="L59" s="507" t="s">
        <v>39</v>
      </c>
      <c r="M59" s="507" t="s">
        <v>40</v>
      </c>
      <c r="N59" s="507" t="s">
        <v>540</v>
      </c>
      <c r="O59" s="57" t="s">
        <v>1306</v>
      </c>
      <c r="P59" s="58" t="s">
        <v>846</v>
      </c>
      <c r="Q59" s="59" t="s">
        <v>1307</v>
      </c>
      <c r="R59" s="60" t="s">
        <v>792</v>
      </c>
      <c r="S59" s="61">
        <v>10</v>
      </c>
      <c r="T59" s="62">
        <f>INDEX('BM MORRO DA CRUZ'!$P$6:$P$402,MATCH($O59,'BM MORRO DA CRUZ'!$K$6:$K$402,0))</f>
        <v>771.04</v>
      </c>
      <c r="U59" s="63">
        <f>ROUND(T59*$S59,2)</f>
        <v>7710.4</v>
      </c>
      <c r="V59" s="61">
        <f>IFERROR(SUMIFS('01ª MC'!$W$1:$W$1840,'01ª MC'!$C$1:$C$1840,$D59),0)</f>
        <v>0</v>
      </c>
      <c r="W59" s="63">
        <f>ROUND(V59*$T59,2)</f>
        <v>0</v>
      </c>
      <c r="X59" s="61">
        <v>0</v>
      </c>
      <c r="Y59" s="63">
        <f>ROUND(X59*$T59,2)</f>
        <v>0</v>
      </c>
      <c r="Z59" s="61">
        <v>0</v>
      </c>
      <c r="AA59" s="63">
        <f>ROUND(Z59*$T59,2)</f>
        <v>0</v>
      </c>
      <c r="AB59" s="61">
        <v>0</v>
      </c>
      <c r="AC59" s="63">
        <f>ROUND(AB59*$T59,2)</f>
        <v>0</v>
      </c>
      <c r="AD59" s="61">
        <v>0</v>
      </c>
      <c r="AE59" s="63">
        <f>ROUND(AD59*$T59,2)</f>
        <v>0</v>
      </c>
      <c r="AF59" s="61">
        <v>0</v>
      </c>
      <c r="AG59" s="63">
        <f>ROUND(AF59*$T59,2)</f>
        <v>0</v>
      </c>
      <c r="AH59" s="61">
        <v>0</v>
      </c>
      <c r="AI59" s="63">
        <f>ROUND(AH59*$T59,2)</f>
        <v>0</v>
      </c>
      <c r="AJ59" s="61">
        <v>0</v>
      </c>
      <c r="AK59" s="63">
        <f>ROUND(AJ59*$T59,2)</f>
        <v>0</v>
      </c>
      <c r="AL59" s="61">
        <v>0</v>
      </c>
      <c r="AM59" s="63">
        <f>ROUND(AL59*$T59,2)</f>
        <v>0</v>
      </c>
      <c r="AN59" s="61">
        <v>0</v>
      </c>
      <c r="AO59" s="63">
        <f>ROUND(AN59*$T59,2)</f>
        <v>0</v>
      </c>
      <c r="AP59" s="61">
        <v>0</v>
      </c>
      <c r="AQ59" s="63">
        <f>ROUND(AP59*$T59,2)</f>
        <v>0</v>
      </c>
      <c r="AR59" s="61">
        <v>0</v>
      </c>
      <c r="AS59" s="63">
        <f>ROUND(AR59*$T59,2)</f>
        <v>0</v>
      </c>
      <c r="AT59" s="61">
        <v>0</v>
      </c>
      <c r="AU59" s="63">
        <f>ROUND(AT59*$T59,2)</f>
        <v>0</v>
      </c>
      <c r="AV59" s="61">
        <v>0</v>
      </c>
      <c r="AW59" s="63">
        <f>ROUND(AV59*$T59,2)</f>
        <v>0</v>
      </c>
      <c r="AX59" s="61">
        <v>0</v>
      </c>
      <c r="AY59" s="63">
        <f>ROUND(AX59*$T59,2)</f>
        <v>0</v>
      </c>
      <c r="AZ59" s="61">
        <v>0</v>
      </c>
      <c r="BA59" s="63">
        <f>ROUND(AZ59*$T59,2)</f>
        <v>0</v>
      </c>
      <c r="BB59" s="61">
        <v>0</v>
      </c>
      <c r="BC59" s="63">
        <f>ROUND(BB59*$T59,2)</f>
        <v>0</v>
      </c>
      <c r="BD59" s="61">
        <v>0</v>
      </c>
      <c r="BE59" s="63">
        <f>ROUND(BD59*$T59,2)</f>
        <v>0</v>
      </c>
      <c r="BF59" s="61">
        <f>IFERROR(SUMIFS($V59:$BE59,$V$5:$BE$5,$BF$5),0)</f>
        <v>0</v>
      </c>
      <c r="BG59" s="63">
        <f>SUMIFS($V59:$BE59,$V$5:$BE$5,$W$5)</f>
        <v>0</v>
      </c>
      <c r="BH59" s="45"/>
      <c r="BI59" s="144"/>
    </row>
    <row r="60" spans="1:61" ht="26" customHeight="1" x14ac:dyDescent="0.45">
      <c r="A60" s="140">
        <v>1</v>
      </c>
      <c r="B60" s="141" t="s">
        <v>45</v>
      </c>
      <c r="C60" s="142" t="s">
        <v>1466</v>
      </c>
      <c r="D60" s="143" t="str">
        <f>B60&amp;"_"&amp;E60</f>
        <v>1.2_5.14.4</v>
      </c>
      <c r="E60" s="56" t="s">
        <v>1308</v>
      </c>
      <c r="F60" s="506" t="s">
        <v>1859</v>
      </c>
      <c r="G60" s="507" t="s">
        <v>39</v>
      </c>
      <c r="H60" s="507" t="s">
        <v>39</v>
      </c>
      <c r="I60" s="507" t="s">
        <v>787</v>
      </c>
      <c r="J60" s="507" t="s">
        <v>39</v>
      </c>
      <c r="K60" s="507" t="s">
        <v>39</v>
      </c>
      <c r="L60" s="507" t="s">
        <v>783</v>
      </c>
      <c r="M60" s="507" t="s">
        <v>40</v>
      </c>
      <c r="N60" s="507" t="s">
        <v>1726</v>
      </c>
      <c r="O60" s="57" t="s">
        <v>1309</v>
      </c>
      <c r="P60" s="58" t="s">
        <v>846</v>
      </c>
      <c r="Q60" s="59" t="s">
        <v>1310</v>
      </c>
      <c r="R60" s="60" t="s">
        <v>792</v>
      </c>
      <c r="S60" s="61">
        <v>25</v>
      </c>
      <c r="T60" s="62">
        <f>INDEX('BM MORRO DA CRUZ'!$P$6:$P$402,MATCH($O60,'BM MORRO DA CRUZ'!$K$6:$K$402,0))</f>
        <v>463.39</v>
      </c>
      <c r="U60" s="63">
        <f>ROUND(T60*$S60,2)</f>
        <v>11584.75</v>
      </c>
      <c r="V60" s="61">
        <f>IFERROR(SUMIFS('01ª MC'!$W$1:$W$1840,'01ª MC'!$C$1:$C$1840,$D60),0)</f>
        <v>0</v>
      </c>
      <c r="W60" s="63">
        <f>ROUND(V60*$T60,2)</f>
        <v>0</v>
      </c>
      <c r="X60" s="61">
        <v>0</v>
      </c>
      <c r="Y60" s="63">
        <f>ROUND(X60*$T60,2)</f>
        <v>0</v>
      </c>
      <c r="Z60" s="61">
        <v>0</v>
      </c>
      <c r="AA60" s="63">
        <f>ROUND(Z60*$T60,2)</f>
        <v>0</v>
      </c>
      <c r="AB60" s="61">
        <v>0</v>
      </c>
      <c r="AC60" s="63">
        <f>ROUND(AB60*$T60,2)</f>
        <v>0</v>
      </c>
      <c r="AD60" s="61">
        <v>0</v>
      </c>
      <c r="AE60" s="63">
        <f>ROUND(AD60*$T60,2)</f>
        <v>0</v>
      </c>
      <c r="AF60" s="61">
        <v>0</v>
      </c>
      <c r="AG60" s="63">
        <f>ROUND(AF60*$T60,2)</f>
        <v>0</v>
      </c>
      <c r="AH60" s="61">
        <v>0</v>
      </c>
      <c r="AI60" s="63">
        <f>ROUND(AH60*$T60,2)</f>
        <v>0</v>
      </c>
      <c r="AJ60" s="61">
        <v>0</v>
      </c>
      <c r="AK60" s="63">
        <f>ROUND(AJ60*$T60,2)</f>
        <v>0</v>
      </c>
      <c r="AL60" s="61">
        <v>0</v>
      </c>
      <c r="AM60" s="63">
        <f>ROUND(AL60*$T60,2)</f>
        <v>0</v>
      </c>
      <c r="AN60" s="61">
        <v>0</v>
      </c>
      <c r="AO60" s="63">
        <f>ROUND(AN60*$T60,2)</f>
        <v>0</v>
      </c>
      <c r="AP60" s="61">
        <v>0</v>
      </c>
      <c r="AQ60" s="63">
        <f>ROUND(AP60*$T60,2)</f>
        <v>0</v>
      </c>
      <c r="AR60" s="61">
        <v>0</v>
      </c>
      <c r="AS60" s="63">
        <f>ROUND(AR60*$T60,2)</f>
        <v>0</v>
      </c>
      <c r="AT60" s="61">
        <v>0</v>
      </c>
      <c r="AU60" s="63">
        <f>ROUND(AT60*$T60,2)</f>
        <v>0</v>
      </c>
      <c r="AV60" s="61">
        <v>0</v>
      </c>
      <c r="AW60" s="63">
        <f>ROUND(AV60*$T60,2)</f>
        <v>0</v>
      </c>
      <c r="AX60" s="61">
        <v>0</v>
      </c>
      <c r="AY60" s="63">
        <f>ROUND(AX60*$T60,2)</f>
        <v>0</v>
      </c>
      <c r="AZ60" s="61">
        <v>0</v>
      </c>
      <c r="BA60" s="63">
        <f>ROUND(AZ60*$T60,2)</f>
        <v>0</v>
      </c>
      <c r="BB60" s="61">
        <v>0</v>
      </c>
      <c r="BC60" s="63">
        <f>ROUND(BB60*$T60,2)</f>
        <v>0</v>
      </c>
      <c r="BD60" s="61">
        <v>0</v>
      </c>
      <c r="BE60" s="63">
        <f>ROUND(BD60*$T60,2)</f>
        <v>0</v>
      </c>
      <c r="BF60" s="61">
        <f>IFERROR(SUMIFS($V60:$BE60,$V$5:$BE$5,$BF$5),0)</f>
        <v>0</v>
      </c>
      <c r="BG60" s="63">
        <f>SUMIFS($V60:$BE60,$V$5:$BE$5,$W$5)</f>
        <v>0</v>
      </c>
      <c r="BH60" s="45"/>
      <c r="BI60" s="144"/>
    </row>
    <row r="61" spans="1:61" ht="26" customHeight="1" x14ac:dyDescent="0.45">
      <c r="A61" s="140">
        <v>1</v>
      </c>
      <c r="B61" s="141" t="s">
        <v>45</v>
      </c>
      <c r="C61" s="142" t="s">
        <v>1466</v>
      </c>
      <c r="D61" s="143" t="str">
        <f>B61&amp;"_"&amp;E61</f>
        <v>1.2_5.14.5</v>
      </c>
      <c r="E61" s="56" t="s">
        <v>1311</v>
      </c>
      <c r="F61" s="506" t="s">
        <v>1860</v>
      </c>
      <c r="G61" s="507" t="s">
        <v>39</v>
      </c>
      <c r="H61" s="507" t="s">
        <v>39</v>
      </c>
      <c r="I61" s="507" t="s">
        <v>1861</v>
      </c>
      <c r="J61" s="507" t="s">
        <v>39</v>
      </c>
      <c r="K61" s="507" t="s">
        <v>39</v>
      </c>
      <c r="L61" s="507" t="s">
        <v>39</v>
      </c>
      <c r="M61" s="507" t="s">
        <v>40</v>
      </c>
      <c r="N61" s="507" t="s">
        <v>1298</v>
      </c>
      <c r="O61" s="57" t="s">
        <v>1312</v>
      </c>
      <c r="P61" s="58" t="s">
        <v>846</v>
      </c>
      <c r="Q61" s="59" t="s">
        <v>1313</v>
      </c>
      <c r="R61" s="60" t="s">
        <v>792</v>
      </c>
      <c r="S61" s="61">
        <v>3489.42</v>
      </c>
      <c r="T61" s="62">
        <f>INDEX('BM MORRO DA CRUZ'!$P$6:$P$402,MATCH($O61,'BM MORRO DA CRUZ'!$K$6:$K$402,0))</f>
        <v>0.66</v>
      </c>
      <c r="U61" s="63">
        <f>ROUND(T61*$S61,2)</f>
        <v>2303.02</v>
      </c>
      <c r="V61" s="61">
        <f>IFERROR(SUMIFS('01ª MC'!$W$1:$W$1840,'01ª MC'!$C$1:$C$1840,$D61),0)</f>
        <v>0</v>
      </c>
      <c r="W61" s="63">
        <f>ROUND(V61*$T61,2)</f>
        <v>0</v>
      </c>
      <c r="X61" s="61">
        <v>0</v>
      </c>
      <c r="Y61" s="63">
        <f>ROUND(X61*$T61,2)</f>
        <v>0</v>
      </c>
      <c r="Z61" s="61">
        <v>0</v>
      </c>
      <c r="AA61" s="63">
        <f>ROUND(Z61*$T61,2)</f>
        <v>0</v>
      </c>
      <c r="AB61" s="61">
        <v>0</v>
      </c>
      <c r="AC61" s="63">
        <f>ROUND(AB61*$T61,2)</f>
        <v>0</v>
      </c>
      <c r="AD61" s="61">
        <v>0</v>
      </c>
      <c r="AE61" s="63">
        <f>ROUND(AD61*$T61,2)</f>
        <v>0</v>
      </c>
      <c r="AF61" s="61">
        <v>0</v>
      </c>
      <c r="AG61" s="63">
        <f>ROUND(AF61*$T61,2)</f>
        <v>0</v>
      </c>
      <c r="AH61" s="61">
        <v>0</v>
      </c>
      <c r="AI61" s="63">
        <f>ROUND(AH61*$T61,2)</f>
        <v>0</v>
      </c>
      <c r="AJ61" s="61">
        <v>0</v>
      </c>
      <c r="AK61" s="63">
        <f>ROUND(AJ61*$T61,2)</f>
        <v>0</v>
      </c>
      <c r="AL61" s="61">
        <v>0</v>
      </c>
      <c r="AM61" s="63">
        <f>ROUND(AL61*$T61,2)</f>
        <v>0</v>
      </c>
      <c r="AN61" s="61">
        <v>0</v>
      </c>
      <c r="AO61" s="63">
        <f>ROUND(AN61*$T61,2)</f>
        <v>0</v>
      </c>
      <c r="AP61" s="61">
        <v>0</v>
      </c>
      <c r="AQ61" s="63">
        <f>ROUND(AP61*$T61,2)</f>
        <v>0</v>
      </c>
      <c r="AR61" s="61">
        <v>0</v>
      </c>
      <c r="AS61" s="63">
        <f>ROUND(AR61*$T61,2)</f>
        <v>0</v>
      </c>
      <c r="AT61" s="61">
        <v>0</v>
      </c>
      <c r="AU61" s="63">
        <f>ROUND(AT61*$T61,2)</f>
        <v>0</v>
      </c>
      <c r="AV61" s="61">
        <v>0</v>
      </c>
      <c r="AW61" s="63">
        <f>ROUND(AV61*$T61,2)</f>
        <v>0</v>
      </c>
      <c r="AX61" s="61">
        <v>0</v>
      </c>
      <c r="AY61" s="63">
        <f>ROUND(AX61*$T61,2)</f>
        <v>0</v>
      </c>
      <c r="AZ61" s="61">
        <v>0</v>
      </c>
      <c r="BA61" s="63">
        <f>ROUND(AZ61*$T61,2)</f>
        <v>0</v>
      </c>
      <c r="BB61" s="61">
        <v>0</v>
      </c>
      <c r="BC61" s="63">
        <f>ROUND(BB61*$T61,2)</f>
        <v>0</v>
      </c>
      <c r="BD61" s="61">
        <v>0</v>
      </c>
      <c r="BE61" s="63">
        <f>ROUND(BD61*$T61,2)</f>
        <v>0</v>
      </c>
      <c r="BF61" s="61">
        <f>IFERROR(SUMIFS($V61:$BE61,$V$5:$BE$5,$BF$5),0)</f>
        <v>0</v>
      </c>
      <c r="BG61" s="63">
        <f>SUMIFS($V61:$BE61,$V$5:$BE$5,$W$5)</f>
        <v>0</v>
      </c>
      <c r="BH61" s="45"/>
      <c r="BI61" s="144"/>
    </row>
    <row r="62" spans="1:61" ht="19.5" customHeight="1" x14ac:dyDescent="0.45">
      <c r="A62" s="128">
        <v>1</v>
      </c>
      <c r="B62" s="129"/>
      <c r="C62" s="130"/>
      <c r="D62" s="131"/>
      <c r="E62" s="132" t="s">
        <v>1317</v>
      </c>
      <c r="F62" s="515"/>
      <c r="G62" s="516"/>
      <c r="H62" s="516"/>
      <c r="I62" s="516"/>
      <c r="J62" s="516"/>
      <c r="K62" s="516"/>
      <c r="L62" s="516"/>
      <c r="M62" s="516"/>
      <c r="N62" s="516"/>
      <c r="O62" s="133" t="s">
        <v>1318</v>
      </c>
      <c r="P62" s="134"/>
      <c r="Q62" s="135" t="s">
        <v>1319</v>
      </c>
      <c r="R62" s="136"/>
      <c r="S62" s="137"/>
      <c r="T62" s="138"/>
      <c r="U62" s="139">
        <f>SUM(U63:U65)</f>
        <v>11205.869999999999</v>
      </c>
      <c r="V62" s="137"/>
      <c r="W62" s="139">
        <f>SUM(W63:W65)</f>
        <v>0</v>
      </c>
      <c r="X62" s="137"/>
      <c r="Y62" s="139">
        <f>SUM(Y63:Y65)</f>
        <v>0</v>
      </c>
      <c r="Z62" s="137"/>
      <c r="AA62" s="139">
        <f>SUM(AA63:AA65)</f>
        <v>0</v>
      </c>
      <c r="AB62" s="137"/>
      <c r="AC62" s="139">
        <f>SUM(AC63:AC65)</f>
        <v>0</v>
      </c>
      <c r="AD62" s="137"/>
      <c r="AE62" s="139">
        <f>SUM(AE63:AE65)</f>
        <v>0</v>
      </c>
      <c r="AF62" s="137"/>
      <c r="AG62" s="139">
        <f>SUM(AG63:AG65)</f>
        <v>0</v>
      </c>
      <c r="AH62" s="137"/>
      <c r="AI62" s="139">
        <f>SUM(AI63:AI65)</f>
        <v>0</v>
      </c>
      <c r="AJ62" s="137"/>
      <c r="AK62" s="139">
        <f>SUM(AK63:AK65)</f>
        <v>0</v>
      </c>
      <c r="AL62" s="137"/>
      <c r="AM62" s="139">
        <f>SUM(AM63:AM65)</f>
        <v>0</v>
      </c>
      <c r="AN62" s="137"/>
      <c r="AO62" s="139">
        <f>SUM(AO63:AO65)</f>
        <v>0</v>
      </c>
      <c r="AP62" s="137"/>
      <c r="AQ62" s="139">
        <f>SUM(AQ63:AQ65)</f>
        <v>0</v>
      </c>
      <c r="AR62" s="137"/>
      <c r="AS62" s="139">
        <f>SUM(AS63:AS65)</f>
        <v>0</v>
      </c>
      <c r="AT62" s="137"/>
      <c r="AU62" s="139">
        <f>SUM(AU63:AU65)</f>
        <v>0</v>
      </c>
      <c r="AV62" s="137"/>
      <c r="AW62" s="139">
        <f>SUM(AW63:AW65)</f>
        <v>0</v>
      </c>
      <c r="AX62" s="137"/>
      <c r="AY62" s="139">
        <f>SUM(AY63:AY65)</f>
        <v>0</v>
      </c>
      <c r="AZ62" s="137"/>
      <c r="BA62" s="139">
        <f>SUM(BA63:BA65)</f>
        <v>0</v>
      </c>
      <c r="BB62" s="137"/>
      <c r="BC62" s="139">
        <f>SUM(BC63:BC65)</f>
        <v>0</v>
      </c>
      <c r="BD62" s="137"/>
      <c r="BE62" s="139">
        <f>SUM(BE63:BE65)</f>
        <v>0</v>
      </c>
      <c r="BF62" s="137"/>
      <c r="BG62" s="139">
        <f>SUM(BG63:BG65)</f>
        <v>0</v>
      </c>
      <c r="BH62" s="45"/>
    </row>
    <row r="63" spans="1:61" ht="26" customHeight="1" x14ac:dyDescent="0.45">
      <c r="A63" s="140">
        <v>1</v>
      </c>
      <c r="B63" s="141" t="s">
        <v>45</v>
      </c>
      <c r="C63" s="142" t="s">
        <v>1466</v>
      </c>
      <c r="D63" s="143" t="str">
        <f>B63&amp;"_"&amp;E63</f>
        <v>1.2_5.15.1</v>
      </c>
      <c r="E63" s="56" t="s">
        <v>1320</v>
      </c>
      <c r="F63" s="506" t="s">
        <v>1863</v>
      </c>
      <c r="G63" s="507" t="s">
        <v>39</v>
      </c>
      <c r="H63" s="507" t="s">
        <v>39</v>
      </c>
      <c r="I63" s="507" t="s">
        <v>1805</v>
      </c>
      <c r="J63" s="507" t="s">
        <v>39</v>
      </c>
      <c r="K63" s="507" t="s">
        <v>39</v>
      </c>
      <c r="L63" s="507" t="s">
        <v>1864</v>
      </c>
      <c r="M63" s="507" t="s">
        <v>40</v>
      </c>
      <c r="N63" s="507" t="s">
        <v>1806</v>
      </c>
      <c r="O63" s="57" t="s">
        <v>1321</v>
      </c>
      <c r="P63" s="58" t="s">
        <v>846</v>
      </c>
      <c r="Q63" s="59" t="s">
        <v>1322</v>
      </c>
      <c r="R63" s="60" t="s">
        <v>71</v>
      </c>
      <c r="S63" s="61">
        <v>1</v>
      </c>
      <c r="T63" s="62">
        <f>INDEX('BM MORRO DA CRUZ'!$P$6:$P$402,MATCH($O63,'BM MORRO DA CRUZ'!$K$6:$K$402,0))</f>
        <v>5997.31</v>
      </c>
      <c r="U63" s="63">
        <f>ROUND(T63*$S63,2)</f>
        <v>5997.31</v>
      </c>
      <c r="V63" s="61">
        <f>IFERROR(SUMIFS('01ª MC'!$W$1:$W$1840,'01ª MC'!$C$1:$C$1840,$D63),0)</f>
        <v>0</v>
      </c>
      <c r="W63" s="63">
        <f>ROUND(V63*$T63,2)</f>
        <v>0</v>
      </c>
      <c r="X63" s="61">
        <v>0</v>
      </c>
      <c r="Y63" s="63">
        <f>ROUND(X63*$T63,2)</f>
        <v>0</v>
      </c>
      <c r="Z63" s="61">
        <v>0</v>
      </c>
      <c r="AA63" s="63">
        <f>ROUND(Z63*$T63,2)</f>
        <v>0</v>
      </c>
      <c r="AB63" s="61">
        <v>0</v>
      </c>
      <c r="AC63" s="63">
        <f>ROUND(AB63*$T63,2)</f>
        <v>0</v>
      </c>
      <c r="AD63" s="61">
        <v>0</v>
      </c>
      <c r="AE63" s="63">
        <f>ROUND(AD63*$T63,2)</f>
        <v>0</v>
      </c>
      <c r="AF63" s="61">
        <v>0</v>
      </c>
      <c r="AG63" s="63">
        <f>ROUND(AF63*$T63,2)</f>
        <v>0</v>
      </c>
      <c r="AH63" s="61">
        <v>0</v>
      </c>
      <c r="AI63" s="63">
        <f>ROUND(AH63*$T63,2)</f>
        <v>0</v>
      </c>
      <c r="AJ63" s="61">
        <v>0</v>
      </c>
      <c r="AK63" s="63">
        <f>ROUND(AJ63*$T63,2)</f>
        <v>0</v>
      </c>
      <c r="AL63" s="61">
        <v>0</v>
      </c>
      <c r="AM63" s="63">
        <f>ROUND(AL63*$T63,2)</f>
        <v>0</v>
      </c>
      <c r="AN63" s="61">
        <v>0</v>
      </c>
      <c r="AO63" s="63">
        <f>ROUND(AN63*$T63,2)</f>
        <v>0</v>
      </c>
      <c r="AP63" s="61">
        <v>0</v>
      </c>
      <c r="AQ63" s="63">
        <f>ROUND(AP63*$T63,2)</f>
        <v>0</v>
      </c>
      <c r="AR63" s="61">
        <v>0</v>
      </c>
      <c r="AS63" s="63">
        <f>ROUND(AR63*$T63,2)</f>
        <v>0</v>
      </c>
      <c r="AT63" s="61">
        <v>0</v>
      </c>
      <c r="AU63" s="63">
        <f>ROUND(AT63*$T63,2)</f>
        <v>0</v>
      </c>
      <c r="AV63" s="61">
        <v>0</v>
      </c>
      <c r="AW63" s="63">
        <f>ROUND(AV63*$T63,2)</f>
        <v>0</v>
      </c>
      <c r="AX63" s="61">
        <v>0</v>
      </c>
      <c r="AY63" s="63">
        <f>ROUND(AX63*$T63,2)</f>
        <v>0</v>
      </c>
      <c r="AZ63" s="61">
        <v>0</v>
      </c>
      <c r="BA63" s="63">
        <f>ROUND(AZ63*$T63,2)</f>
        <v>0</v>
      </c>
      <c r="BB63" s="61">
        <v>0</v>
      </c>
      <c r="BC63" s="63">
        <f>ROUND(BB63*$T63,2)</f>
        <v>0</v>
      </c>
      <c r="BD63" s="61">
        <v>0</v>
      </c>
      <c r="BE63" s="63">
        <f>ROUND(BD63*$T63,2)</f>
        <v>0</v>
      </c>
      <c r="BF63" s="61">
        <f>IFERROR(SUMIFS($V63:$BE63,$V$5:$BE$5,$BF$5),0)</f>
        <v>0</v>
      </c>
      <c r="BG63" s="63">
        <f>SUMIFS($V63:$BE63,$V$5:$BE$5,$W$5)</f>
        <v>0</v>
      </c>
      <c r="BH63" s="45"/>
      <c r="BI63" s="144"/>
    </row>
    <row r="64" spans="1:61" ht="26" customHeight="1" x14ac:dyDescent="0.45">
      <c r="A64" s="140">
        <v>1</v>
      </c>
      <c r="B64" s="141" t="s">
        <v>45</v>
      </c>
      <c r="C64" s="142" t="s">
        <v>1466</v>
      </c>
      <c r="D64" s="143" t="str">
        <f>B64&amp;"_"&amp;E64</f>
        <v>1.2_5.15.2</v>
      </c>
      <c r="E64" s="56" t="s">
        <v>1323</v>
      </c>
      <c r="F64" s="506" t="s">
        <v>1865</v>
      </c>
      <c r="G64" s="507" t="s">
        <v>39</v>
      </c>
      <c r="H64" s="507" t="s">
        <v>39</v>
      </c>
      <c r="I64" s="507" t="s">
        <v>1866</v>
      </c>
      <c r="J64" s="507" t="s">
        <v>39</v>
      </c>
      <c r="K64" s="507" t="s">
        <v>39</v>
      </c>
      <c r="L64" s="507" t="s">
        <v>39</v>
      </c>
      <c r="M64" s="507" t="s">
        <v>40</v>
      </c>
      <c r="N64" s="507" t="s">
        <v>51</v>
      </c>
      <c r="O64" s="57" t="s">
        <v>1324</v>
      </c>
      <c r="P64" s="58" t="s">
        <v>846</v>
      </c>
      <c r="Q64" s="59" t="s">
        <v>1325</v>
      </c>
      <c r="R64" s="60" t="s">
        <v>71</v>
      </c>
      <c r="S64" s="61">
        <v>1</v>
      </c>
      <c r="T64" s="62">
        <f>INDEX('BM MORRO DA CRUZ'!$P$6:$P$402,MATCH($O64,'BM MORRO DA CRUZ'!$K$6:$K$402,0))</f>
        <v>4901.92</v>
      </c>
      <c r="U64" s="63">
        <f>ROUND(T64*$S64,2)</f>
        <v>4901.92</v>
      </c>
      <c r="V64" s="61">
        <f>IFERROR(SUMIFS('01ª MC'!$W$1:$W$1840,'01ª MC'!$C$1:$C$1840,$D64),0)</f>
        <v>0</v>
      </c>
      <c r="W64" s="63">
        <f>ROUND(V64*$T64,2)</f>
        <v>0</v>
      </c>
      <c r="X64" s="61">
        <v>0</v>
      </c>
      <c r="Y64" s="63">
        <f>ROUND(X64*$T64,2)</f>
        <v>0</v>
      </c>
      <c r="Z64" s="61">
        <v>0</v>
      </c>
      <c r="AA64" s="63">
        <f>ROUND(Z64*$T64,2)</f>
        <v>0</v>
      </c>
      <c r="AB64" s="61">
        <v>0</v>
      </c>
      <c r="AC64" s="63">
        <f>ROUND(AB64*$T64,2)</f>
        <v>0</v>
      </c>
      <c r="AD64" s="61">
        <v>0</v>
      </c>
      <c r="AE64" s="63">
        <f>ROUND(AD64*$T64,2)</f>
        <v>0</v>
      </c>
      <c r="AF64" s="61">
        <v>0</v>
      </c>
      <c r="AG64" s="63">
        <f>ROUND(AF64*$T64,2)</f>
        <v>0</v>
      </c>
      <c r="AH64" s="61">
        <v>0</v>
      </c>
      <c r="AI64" s="63">
        <f>ROUND(AH64*$T64,2)</f>
        <v>0</v>
      </c>
      <c r="AJ64" s="61">
        <v>0</v>
      </c>
      <c r="AK64" s="63">
        <f>ROUND(AJ64*$T64,2)</f>
        <v>0</v>
      </c>
      <c r="AL64" s="61">
        <v>0</v>
      </c>
      <c r="AM64" s="63">
        <f>ROUND(AL64*$T64,2)</f>
        <v>0</v>
      </c>
      <c r="AN64" s="61">
        <v>0</v>
      </c>
      <c r="AO64" s="63">
        <f>ROUND(AN64*$T64,2)</f>
        <v>0</v>
      </c>
      <c r="AP64" s="61">
        <v>0</v>
      </c>
      <c r="AQ64" s="63">
        <f>ROUND(AP64*$T64,2)</f>
        <v>0</v>
      </c>
      <c r="AR64" s="61">
        <v>0</v>
      </c>
      <c r="AS64" s="63">
        <f>ROUND(AR64*$T64,2)</f>
        <v>0</v>
      </c>
      <c r="AT64" s="61">
        <v>0</v>
      </c>
      <c r="AU64" s="63">
        <f>ROUND(AT64*$T64,2)</f>
        <v>0</v>
      </c>
      <c r="AV64" s="61">
        <v>0</v>
      </c>
      <c r="AW64" s="63">
        <f>ROUND(AV64*$T64,2)</f>
        <v>0</v>
      </c>
      <c r="AX64" s="61">
        <v>0</v>
      </c>
      <c r="AY64" s="63">
        <f>ROUND(AX64*$T64,2)</f>
        <v>0</v>
      </c>
      <c r="AZ64" s="61">
        <v>0</v>
      </c>
      <c r="BA64" s="63">
        <f>ROUND(AZ64*$T64,2)</f>
        <v>0</v>
      </c>
      <c r="BB64" s="61">
        <v>0</v>
      </c>
      <c r="BC64" s="63">
        <f>ROUND(BB64*$T64,2)</f>
        <v>0</v>
      </c>
      <c r="BD64" s="61">
        <v>0</v>
      </c>
      <c r="BE64" s="63">
        <f>ROUND(BD64*$T64,2)</f>
        <v>0</v>
      </c>
      <c r="BF64" s="61">
        <f>IFERROR(SUMIFS($V64:$BE64,$V$5:$BE$5,$BF$5),0)</f>
        <v>0</v>
      </c>
      <c r="BG64" s="63">
        <f>SUMIFS($V64:$BE64,$V$5:$BE$5,$W$5)</f>
        <v>0</v>
      </c>
      <c r="BH64" s="45"/>
      <c r="BI64" s="144"/>
    </row>
    <row r="65" spans="1:61" ht="26" customHeight="1" x14ac:dyDescent="0.45">
      <c r="A65" s="140">
        <v>1</v>
      </c>
      <c r="B65" s="141" t="s">
        <v>45</v>
      </c>
      <c r="C65" s="142" t="s">
        <v>1466</v>
      </c>
      <c r="D65" s="143" t="str">
        <f>B65&amp;"_"&amp;E65</f>
        <v>1.2_5.15.3</v>
      </c>
      <c r="E65" s="56" t="s">
        <v>1326</v>
      </c>
      <c r="F65" s="506" t="s">
        <v>1867</v>
      </c>
      <c r="G65" s="507" t="s">
        <v>39</v>
      </c>
      <c r="H65" s="507" t="s">
        <v>39</v>
      </c>
      <c r="I65" s="507" t="s">
        <v>1805</v>
      </c>
      <c r="J65" s="507" t="s">
        <v>39</v>
      </c>
      <c r="K65" s="507" t="s">
        <v>39</v>
      </c>
      <c r="L65" s="507" t="s">
        <v>39</v>
      </c>
      <c r="M65" s="507" t="s">
        <v>40</v>
      </c>
      <c r="N65" s="507" t="s">
        <v>1806</v>
      </c>
      <c r="O65" s="57" t="s">
        <v>1327</v>
      </c>
      <c r="P65" s="58" t="s">
        <v>846</v>
      </c>
      <c r="Q65" s="59" t="s">
        <v>1328</v>
      </c>
      <c r="R65" s="60" t="s">
        <v>71</v>
      </c>
      <c r="S65" s="61">
        <v>1</v>
      </c>
      <c r="T65" s="62">
        <f>INDEX('BM MORRO DA CRUZ'!$P$6:$P$402,MATCH($O65,'BM MORRO DA CRUZ'!$K$6:$K$402,0))</f>
        <v>306.64</v>
      </c>
      <c r="U65" s="63">
        <f>ROUND(T65*$S65,2)</f>
        <v>306.64</v>
      </c>
      <c r="V65" s="61">
        <f>IFERROR(SUMIFS('01ª MC'!$W$1:$W$1840,'01ª MC'!$C$1:$C$1840,$D65),0)</f>
        <v>0</v>
      </c>
      <c r="W65" s="63">
        <f>ROUND(V65*$T65,2)</f>
        <v>0</v>
      </c>
      <c r="X65" s="61">
        <v>0</v>
      </c>
      <c r="Y65" s="63">
        <f>ROUND(X65*$T65,2)</f>
        <v>0</v>
      </c>
      <c r="Z65" s="61">
        <v>0</v>
      </c>
      <c r="AA65" s="63">
        <f>ROUND(Z65*$T65,2)</f>
        <v>0</v>
      </c>
      <c r="AB65" s="61">
        <v>0</v>
      </c>
      <c r="AC65" s="63">
        <f>ROUND(AB65*$T65,2)</f>
        <v>0</v>
      </c>
      <c r="AD65" s="61">
        <v>0</v>
      </c>
      <c r="AE65" s="63">
        <f>ROUND(AD65*$T65,2)</f>
        <v>0</v>
      </c>
      <c r="AF65" s="61">
        <v>0</v>
      </c>
      <c r="AG65" s="63">
        <f>ROUND(AF65*$T65,2)</f>
        <v>0</v>
      </c>
      <c r="AH65" s="61">
        <v>0</v>
      </c>
      <c r="AI65" s="63">
        <f>ROUND(AH65*$T65,2)</f>
        <v>0</v>
      </c>
      <c r="AJ65" s="61">
        <v>0</v>
      </c>
      <c r="AK65" s="63">
        <f>ROUND(AJ65*$T65,2)</f>
        <v>0</v>
      </c>
      <c r="AL65" s="61">
        <v>0</v>
      </c>
      <c r="AM65" s="63">
        <f>ROUND(AL65*$T65,2)</f>
        <v>0</v>
      </c>
      <c r="AN65" s="61">
        <v>0</v>
      </c>
      <c r="AO65" s="63">
        <f>ROUND(AN65*$T65,2)</f>
        <v>0</v>
      </c>
      <c r="AP65" s="61">
        <v>0</v>
      </c>
      <c r="AQ65" s="63">
        <f>ROUND(AP65*$T65,2)</f>
        <v>0</v>
      </c>
      <c r="AR65" s="61">
        <v>0</v>
      </c>
      <c r="AS65" s="63">
        <f>ROUND(AR65*$T65,2)</f>
        <v>0</v>
      </c>
      <c r="AT65" s="61">
        <v>0</v>
      </c>
      <c r="AU65" s="63">
        <f>ROUND(AT65*$T65,2)</f>
        <v>0</v>
      </c>
      <c r="AV65" s="61">
        <v>0</v>
      </c>
      <c r="AW65" s="63">
        <f>ROUND(AV65*$T65,2)</f>
        <v>0</v>
      </c>
      <c r="AX65" s="61">
        <v>0</v>
      </c>
      <c r="AY65" s="63">
        <f>ROUND(AX65*$T65,2)</f>
        <v>0</v>
      </c>
      <c r="AZ65" s="61">
        <v>0</v>
      </c>
      <c r="BA65" s="63">
        <f>ROUND(AZ65*$T65,2)</f>
        <v>0</v>
      </c>
      <c r="BB65" s="61">
        <v>0</v>
      </c>
      <c r="BC65" s="63">
        <f>ROUND(BB65*$T65,2)</f>
        <v>0</v>
      </c>
      <c r="BD65" s="61">
        <v>0</v>
      </c>
      <c r="BE65" s="63">
        <f>ROUND(BD65*$T65,2)</f>
        <v>0</v>
      </c>
      <c r="BF65" s="61">
        <f>IFERROR(SUMIFS($V65:$BE65,$V$5:$BE$5,$BF$5),0)</f>
        <v>0</v>
      </c>
      <c r="BG65" s="63">
        <f>SUMIFS($V65:$BE65,$V$5:$BE$5,$W$5)</f>
        <v>0</v>
      </c>
      <c r="BH65" s="45"/>
      <c r="BI65" s="144"/>
    </row>
    <row r="66" spans="1:61" ht="19.5" customHeight="1" x14ac:dyDescent="0.45">
      <c r="A66" s="128">
        <v>1</v>
      </c>
      <c r="B66" s="129"/>
      <c r="C66" s="130"/>
      <c r="D66" s="131"/>
      <c r="E66" s="132" t="s">
        <v>1353</v>
      </c>
      <c r="F66" s="515"/>
      <c r="G66" s="516"/>
      <c r="H66" s="516"/>
      <c r="I66" s="516"/>
      <c r="J66" s="516"/>
      <c r="K66" s="516"/>
      <c r="L66" s="516"/>
      <c r="M66" s="516"/>
      <c r="N66" s="516"/>
      <c r="O66" s="133" t="s">
        <v>1354</v>
      </c>
      <c r="P66" s="134"/>
      <c r="Q66" s="135" t="s">
        <v>1355</v>
      </c>
      <c r="R66" s="136"/>
      <c r="S66" s="137"/>
      <c r="T66" s="138"/>
      <c r="U66" s="139">
        <f>SUM(U67:U67)</f>
        <v>455.05</v>
      </c>
      <c r="V66" s="137"/>
      <c r="W66" s="139">
        <f>SUM(W67:W67)</f>
        <v>0</v>
      </c>
      <c r="X66" s="137"/>
      <c r="Y66" s="139">
        <f>SUM(Y67:Y67)</f>
        <v>0</v>
      </c>
      <c r="Z66" s="137"/>
      <c r="AA66" s="139">
        <f>SUM(AA67:AA67)</f>
        <v>0</v>
      </c>
      <c r="AB66" s="137"/>
      <c r="AC66" s="139">
        <f>SUM(AC67:AC67)</f>
        <v>0</v>
      </c>
      <c r="AD66" s="137"/>
      <c r="AE66" s="139">
        <f>SUM(AE67:AE67)</f>
        <v>0</v>
      </c>
      <c r="AF66" s="137"/>
      <c r="AG66" s="139">
        <f>SUM(AG67:AG67)</f>
        <v>0</v>
      </c>
      <c r="AH66" s="137"/>
      <c r="AI66" s="139">
        <f>SUM(AI67:AI67)</f>
        <v>0</v>
      </c>
      <c r="AJ66" s="137"/>
      <c r="AK66" s="139">
        <f>SUM(AK67:AK67)</f>
        <v>0</v>
      </c>
      <c r="AL66" s="137"/>
      <c r="AM66" s="139">
        <f>SUM(AM67:AM67)</f>
        <v>0</v>
      </c>
      <c r="AN66" s="137"/>
      <c r="AO66" s="139">
        <f>SUM(AO67:AO67)</f>
        <v>0</v>
      </c>
      <c r="AP66" s="137"/>
      <c r="AQ66" s="139">
        <f>SUM(AQ67:AQ67)</f>
        <v>0</v>
      </c>
      <c r="AR66" s="137"/>
      <c r="AS66" s="139">
        <f>SUM(AS67:AS67)</f>
        <v>0</v>
      </c>
      <c r="AT66" s="137"/>
      <c r="AU66" s="139">
        <f>SUM(AU67:AU67)</f>
        <v>0</v>
      </c>
      <c r="AV66" s="137"/>
      <c r="AW66" s="139">
        <f>SUM(AW67:AW67)</f>
        <v>0</v>
      </c>
      <c r="AX66" s="137"/>
      <c r="AY66" s="139">
        <f>SUM(AY67:AY67)</f>
        <v>0</v>
      </c>
      <c r="AZ66" s="137"/>
      <c r="BA66" s="139">
        <f>SUM(BA67:BA67)</f>
        <v>0</v>
      </c>
      <c r="BB66" s="137"/>
      <c r="BC66" s="139">
        <f>SUM(BC67:BC67)</f>
        <v>0</v>
      </c>
      <c r="BD66" s="137"/>
      <c r="BE66" s="139">
        <f>SUM(BE67:BE67)</f>
        <v>0</v>
      </c>
      <c r="BF66" s="137"/>
      <c r="BG66" s="139">
        <f>SUM(BG67:BG67)</f>
        <v>0</v>
      </c>
      <c r="BH66" s="45"/>
    </row>
    <row r="67" spans="1:61" ht="26" customHeight="1" x14ac:dyDescent="0.45">
      <c r="A67" s="140">
        <v>1</v>
      </c>
      <c r="B67" s="141" t="s">
        <v>45</v>
      </c>
      <c r="C67" s="142" t="s">
        <v>1466</v>
      </c>
      <c r="D67" s="143" t="str">
        <f>B67&amp;"_"&amp;E67</f>
        <v>1.2_5.17.3</v>
      </c>
      <c r="E67" s="56" t="s">
        <v>1362</v>
      </c>
      <c r="F67" s="506" t="s">
        <v>1364</v>
      </c>
      <c r="G67" s="507" t="s">
        <v>39</v>
      </c>
      <c r="H67" s="507" t="s">
        <v>39</v>
      </c>
      <c r="I67" s="507" t="s">
        <v>1757</v>
      </c>
      <c r="J67" s="507" t="s">
        <v>39</v>
      </c>
      <c r="K67" s="507" t="s">
        <v>39</v>
      </c>
      <c r="L67" s="507" t="s">
        <v>39</v>
      </c>
      <c r="M67" s="507" t="s">
        <v>40</v>
      </c>
      <c r="N67" s="507" t="s">
        <v>1757</v>
      </c>
      <c r="O67" s="57" t="s">
        <v>1363</v>
      </c>
      <c r="P67" s="58" t="s">
        <v>846</v>
      </c>
      <c r="Q67" s="59" t="s">
        <v>1364</v>
      </c>
      <c r="R67" s="60" t="s">
        <v>755</v>
      </c>
      <c r="S67" s="61">
        <v>9.58</v>
      </c>
      <c r="T67" s="62">
        <f>INDEX('BM MORRO DA CRUZ'!$P$6:$P$402,MATCH($O67,'BM MORRO DA CRUZ'!$K$6:$K$402,0))</f>
        <v>47.5</v>
      </c>
      <c r="U67" s="63">
        <f>ROUND(T67*$S67,2)</f>
        <v>455.05</v>
      </c>
      <c r="V67" s="61">
        <f>IFERROR(SUMIFS('01ª MC'!$W$1:$W$1840,'01ª MC'!$C$1:$C$1840,$D67),0)</f>
        <v>0</v>
      </c>
      <c r="W67" s="63">
        <f>ROUND(V67*$T67,2)</f>
        <v>0</v>
      </c>
      <c r="X67" s="61">
        <v>0</v>
      </c>
      <c r="Y67" s="63">
        <f>ROUND(X67*$T67,2)</f>
        <v>0</v>
      </c>
      <c r="Z67" s="61">
        <v>0</v>
      </c>
      <c r="AA67" s="63">
        <f>ROUND(Z67*$T67,2)</f>
        <v>0</v>
      </c>
      <c r="AB67" s="61">
        <v>0</v>
      </c>
      <c r="AC67" s="63">
        <f>ROUND(AB67*$T67,2)</f>
        <v>0</v>
      </c>
      <c r="AD67" s="61">
        <v>0</v>
      </c>
      <c r="AE67" s="63">
        <f>ROUND(AD67*$T67,2)</f>
        <v>0</v>
      </c>
      <c r="AF67" s="61">
        <v>0</v>
      </c>
      <c r="AG67" s="63">
        <f>ROUND(AF67*$T67,2)</f>
        <v>0</v>
      </c>
      <c r="AH67" s="61">
        <v>0</v>
      </c>
      <c r="AI67" s="63">
        <f>ROUND(AH67*$T67,2)</f>
        <v>0</v>
      </c>
      <c r="AJ67" s="61">
        <v>0</v>
      </c>
      <c r="AK67" s="63">
        <f>ROUND(AJ67*$T67,2)</f>
        <v>0</v>
      </c>
      <c r="AL67" s="61">
        <v>0</v>
      </c>
      <c r="AM67" s="63">
        <f>ROUND(AL67*$T67,2)</f>
        <v>0</v>
      </c>
      <c r="AN67" s="61">
        <v>0</v>
      </c>
      <c r="AO67" s="63">
        <f>ROUND(AN67*$T67,2)</f>
        <v>0</v>
      </c>
      <c r="AP67" s="61">
        <v>0</v>
      </c>
      <c r="AQ67" s="63">
        <f>ROUND(AP67*$T67,2)</f>
        <v>0</v>
      </c>
      <c r="AR67" s="61">
        <v>0</v>
      </c>
      <c r="AS67" s="63">
        <f>ROUND(AR67*$T67,2)</f>
        <v>0</v>
      </c>
      <c r="AT67" s="61">
        <v>0</v>
      </c>
      <c r="AU67" s="63">
        <f>ROUND(AT67*$T67,2)</f>
        <v>0</v>
      </c>
      <c r="AV67" s="61">
        <v>0</v>
      </c>
      <c r="AW67" s="63">
        <f>ROUND(AV67*$T67,2)</f>
        <v>0</v>
      </c>
      <c r="AX67" s="61">
        <v>0</v>
      </c>
      <c r="AY67" s="63">
        <f>ROUND(AX67*$T67,2)</f>
        <v>0</v>
      </c>
      <c r="AZ67" s="61">
        <v>0</v>
      </c>
      <c r="BA67" s="63">
        <f>ROUND(AZ67*$T67,2)</f>
        <v>0</v>
      </c>
      <c r="BB67" s="61">
        <v>0</v>
      </c>
      <c r="BC67" s="63">
        <f>ROUND(BB67*$T67,2)</f>
        <v>0</v>
      </c>
      <c r="BD67" s="61">
        <v>0</v>
      </c>
      <c r="BE67" s="63">
        <f>ROUND(BD67*$T67,2)</f>
        <v>0</v>
      </c>
      <c r="BF67" s="61">
        <f>IFERROR(SUMIFS($V67:$BE67,$V$5:$BE$5,$BF$5),0)</f>
        <v>0</v>
      </c>
      <c r="BG67" s="63">
        <f>SUMIFS($V67:$BE67,$V$5:$BE$5,$W$5)</f>
        <v>0</v>
      </c>
      <c r="BH67" s="45"/>
      <c r="BI67" s="144"/>
    </row>
    <row r="68" spans="1:61" ht="19.5" customHeight="1" x14ac:dyDescent="0.45">
      <c r="A68" s="117">
        <v>1</v>
      </c>
      <c r="B68" s="118"/>
      <c r="C68" s="119"/>
      <c r="D68" s="120"/>
      <c r="E68" s="35" t="s">
        <v>1467</v>
      </c>
      <c r="F68" s="513"/>
      <c r="G68" s="514"/>
      <c r="H68" s="514"/>
      <c r="I68" s="514"/>
      <c r="J68" s="514"/>
      <c r="K68" s="514"/>
      <c r="L68" s="514"/>
      <c r="M68" s="514"/>
      <c r="N68" s="514"/>
      <c r="O68" s="121" t="s">
        <v>1376</v>
      </c>
      <c r="P68" s="122"/>
      <c r="Q68" s="123" t="s">
        <v>1377</v>
      </c>
      <c r="R68" s="124"/>
      <c r="S68" s="125"/>
      <c r="T68" s="126"/>
      <c r="U68" s="127">
        <f>SUM(U69)</f>
        <v>459842.94</v>
      </c>
      <c r="V68" s="125"/>
      <c r="W68" s="127">
        <f>SUM(W69)</f>
        <v>0</v>
      </c>
      <c r="X68" s="125"/>
      <c r="Y68" s="127">
        <f>SUM(Y69)</f>
        <v>0</v>
      </c>
      <c r="Z68" s="125"/>
      <c r="AA68" s="127">
        <f>SUM(AA69)</f>
        <v>0</v>
      </c>
      <c r="AB68" s="125"/>
      <c r="AC68" s="127">
        <f>SUM(AC69)</f>
        <v>0</v>
      </c>
      <c r="AD68" s="125"/>
      <c r="AE68" s="127">
        <f>SUM(AE69)</f>
        <v>0</v>
      </c>
      <c r="AF68" s="125"/>
      <c r="AG68" s="127">
        <f>SUM(AG69)</f>
        <v>0</v>
      </c>
      <c r="AH68" s="125"/>
      <c r="AI68" s="127">
        <f>SUM(AI69)</f>
        <v>0</v>
      </c>
      <c r="AJ68" s="125"/>
      <c r="AK68" s="127">
        <f>SUM(AK69)</f>
        <v>0</v>
      </c>
      <c r="AL68" s="125"/>
      <c r="AM68" s="127">
        <f>SUM(AM69)</f>
        <v>0</v>
      </c>
      <c r="AN68" s="125"/>
      <c r="AO68" s="127">
        <f>SUM(AO69)</f>
        <v>0</v>
      </c>
      <c r="AP68" s="125"/>
      <c r="AQ68" s="127">
        <f>SUM(AQ69)</f>
        <v>0</v>
      </c>
      <c r="AR68" s="125"/>
      <c r="AS68" s="127">
        <f>SUM(AS69)</f>
        <v>0</v>
      </c>
      <c r="AT68" s="125"/>
      <c r="AU68" s="127">
        <f>SUM(AU69)</f>
        <v>0</v>
      </c>
      <c r="AV68" s="125"/>
      <c r="AW68" s="127">
        <f>SUM(AW69)</f>
        <v>0</v>
      </c>
      <c r="AX68" s="125"/>
      <c r="AY68" s="127">
        <f>SUM(AY69)</f>
        <v>0</v>
      </c>
      <c r="AZ68" s="125"/>
      <c r="BA68" s="127">
        <f>SUM(BA69)</f>
        <v>0</v>
      </c>
      <c r="BB68" s="125"/>
      <c r="BC68" s="127">
        <f>SUM(BC69)</f>
        <v>0</v>
      </c>
      <c r="BD68" s="125"/>
      <c r="BE68" s="127">
        <f>SUM(BE69)</f>
        <v>0</v>
      </c>
      <c r="BF68" s="125"/>
      <c r="BG68" s="127">
        <f>SUM(BG69)</f>
        <v>0</v>
      </c>
      <c r="BH68" s="45"/>
    </row>
    <row r="69" spans="1:61" ht="19.5" customHeight="1" x14ac:dyDescent="0.45">
      <c r="A69" s="128">
        <v>1</v>
      </c>
      <c r="B69" s="129"/>
      <c r="C69" s="130"/>
      <c r="D69" s="131"/>
      <c r="E69" s="132" t="s">
        <v>1378</v>
      </c>
      <c r="F69" s="515"/>
      <c r="G69" s="516"/>
      <c r="H69" s="516"/>
      <c r="I69" s="516"/>
      <c r="J69" s="516"/>
      <c r="K69" s="516"/>
      <c r="L69" s="516"/>
      <c r="M69" s="516"/>
      <c r="N69" s="516"/>
      <c r="O69" s="133" t="s">
        <v>1379</v>
      </c>
      <c r="P69" s="134"/>
      <c r="Q69" s="135" t="s">
        <v>1380</v>
      </c>
      <c r="R69" s="136"/>
      <c r="S69" s="137"/>
      <c r="T69" s="138"/>
      <c r="U69" s="139">
        <f>SUM(U70:U72)</f>
        <v>459842.94</v>
      </c>
      <c r="V69" s="137"/>
      <c r="W69" s="139">
        <f>SUM(W70:W72)</f>
        <v>0</v>
      </c>
      <c r="X69" s="137"/>
      <c r="Y69" s="139">
        <f>SUM(Y70:Y72)</f>
        <v>0</v>
      </c>
      <c r="Z69" s="137"/>
      <c r="AA69" s="139">
        <f>SUM(AA70:AA72)</f>
        <v>0</v>
      </c>
      <c r="AB69" s="137"/>
      <c r="AC69" s="139">
        <f>SUM(AC70:AC72)</f>
        <v>0</v>
      </c>
      <c r="AD69" s="137"/>
      <c r="AE69" s="139">
        <f>SUM(AE70:AE72)</f>
        <v>0</v>
      </c>
      <c r="AF69" s="137"/>
      <c r="AG69" s="139">
        <f>SUM(AG70:AG72)</f>
        <v>0</v>
      </c>
      <c r="AH69" s="137"/>
      <c r="AI69" s="139">
        <f>SUM(AI70:AI72)</f>
        <v>0</v>
      </c>
      <c r="AJ69" s="137"/>
      <c r="AK69" s="139">
        <f>SUM(AK70:AK72)</f>
        <v>0</v>
      </c>
      <c r="AL69" s="137"/>
      <c r="AM69" s="139">
        <f>SUM(AM70:AM72)</f>
        <v>0</v>
      </c>
      <c r="AN69" s="137"/>
      <c r="AO69" s="139">
        <f>SUM(AO70:AO72)</f>
        <v>0</v>
      </c>
      <c r="AP69" s="137"/>
      <c r="AQ69" s="139">
        <f>SUM(AQ70:AQ72)</f>
        <v>0</v>
      </c>
      <c r="AR69" s="137"/>
      <c r="AS69" s="139">
        <f>SUM(AS70:AS72)</f>
        <v>0</v>
      </c>
      <c r="AT69" s="137"/>
      <c r="AU69" s="139">
        <f>SUM(AU70:AU72)</f>
        <v>0</v>
      </c>
      <c r="AV69" s="137"/>
      <c r="AW69" s="139">
        <f>SUM(AW70:AW72)</f>
        <v>0</v>
      </c>
      <c r="AX69" s="137"/>
      <c r="AY69" s="139">
        <f>SUM(AY70:AY72)</f>
        <v>0</v>
      </c>
      <c r="AZ69" s="137"/>
      <c r="BA69" s="139">
        <f>SUM(BA70:BA72)</f>
        <v>0</v>
      </c>
      <c r="BB69" s="137"/>
      <c r="BC69" s="139">
        <f>SUM(BC70:BC72)</f>
        <v>0</v>
      </c>
      <c r="BD69" s="137"/>
      <c r="BE69" s="139">
        <f>SUM(BE70:BE72)</f>
        <v>0</v>
      </c>
      <c r="BF69" s="137"/>
      <c r="BG69" s="139">
        <f>SUM(BG70:BG72)</f>
        <v>0</v>
      </c>
      <c r="BH69" s="45"/>
    </row>
    <row r="70" spans="1:61" ht="38.25" customHeight="1" x14ac:dyDescent="0.45">
      <c r="A70" s="140">
        <v>1</v>
      </c>
      <c r="B70" s="141" t="s">
        <v>34</v>
      </c>
      <c r="C70" s="142" t="s">
        <v>1464</v>
      </c>
      <c r="D70" s="143" t="str">
        <f>B70&amp;"_"&amp;E70</f>
        <v>1.1_6.1.1</v>
      </c>
      <c r="E70" s="56" t="s">
        <v>1381</v>
      </c>
      <c r="F70" s="506" t="s">
        <v>1382</v>
      </c>
      <c r="G70" s="507" t="s">
        <v>39</v>
      </c>
      <c r="H70" s="507" t="s">
        <v>39</v>
      </c>
      <c r="I70" s="507" t="s">
        <v>1383</v>
      </c>
      <c r="J70" s="507" t="s">
        <v>39</v>
      </c>
      <c r="K70" s="507" t="s">
        <v>1384</v>
      </c>
      <c r="L70" s="507" t="s">
        <v>789</v>
      </c>
      <c r="M70" s="507" t="s">
        <v>40</v>
      </c>
      <c r="N70" s="507" t="s">
        <v>1383</v>
      </c>
      <c r="O70" s="57" t="s">
        <v>1385</v>
      </c>
      <c r="P70" s="58" t="s">
        <v>21</v>
      </c>
      <c r="Q70" s="59" t="s">
        <v>1386</v>
      </c>
      <c r="R70" s="60" t="s">
        <v>44</v>
      </c>
      <c r="S70" s="61">
        <v>90</v>
      </c>
      <c r="T70" s="62">
        <f>INDEX('BM MORRO DA CRUZ'!$P$6:$P$402,MATCH($O70,'BM MORRO DA CRUZ'!$K$6:$K$402,0))</f>
        <v>1500</v>
      </c>
      <c r="U70" s="63">
        <f>ROUND(T70*$S70,2)</f>
        <v>135000</v>
      </c>
      <c r="V70" s="61">
        <f>IFERROR(SUMIFS('01ª MC'!$W$1:$W$1840,'01ª MC'!$C$1:$C$1840,$D70),0)</f>
        <v>0</v>
      </c>
      <c r="W70" s="63">
        <f>ROUND(V70*$T70,2)</f>
        <v>0</v>
      </c>
      <c r="X70" s="61">
        <v>0</v>
      </c>
      <c r="Y70" s="63">
        <f>ROUND(X70*$T70,2)</f>
        <v>0</v>
      </c>
      <c r="Z70" s="61">
        <v>0</v>
      </c>
      <c r="AA70" s="63">
        <f>ROUND(Z70*$T70,2)</f>
        <v>0</v>
      </c>
      <c r="AB70" s="61">
        <v>0</v>
      </c>
      <c r="AC70" s="63">
        <f>ROUND(AB70*$T70,2)</f>
        <v>0</v>
      </c>
      <c r="AD70" s="61">
        <v>0</v>
      </c>
      <c r="AE70" s="63">
        <f>ROUND(AD70*$T70,2)</f>
        <v>0</v>
      </c>
      <c r="AF70" s="61">
        <v>0</v>
      </c>
      <c r="AG70" s="63">
        <f>ROUND(AF70*$T70,2)</f>
        <v>0</v>
      </c>
      <c r="AH70" s="61">
        <v>0</v>
      </c>
      <c r="AI70" s="63">
        <f>ROUND(AH70*$T70,2)</f>
        <v>0</v>
      </c>
      <c r="AJ70" s="61">
        <v>0</v>
      </c>
      <c r="AK70" s="63">
        <f>ROUND(AJ70*$T70,2)</f>
        <v>0</v>
      </c>
      <c r="AL70" s="61">
        <v>0</v>
      </c>
      <c r="AM70" s="63">
        <f>ROUND(AL70*$T70,2)</f>
        <v>0</v>
      </c>
      <c r="AN70" s="61">
        <v>0</v>
      </c>
      <c r="AO70" s="63">
        <f>ROUND(AN70*$T70,2)</f>
        <v>0</v>
      </c>
      <c r="AP70" s="61">
        <v>0</v>
      </c>
      <c r="AQ70" s="63">
        <f>ROUND(AP70*$T70,2)</f>
        <v>0</v>
      </c>
      <c r="AR70" s="61">
        <v>0</v>
      </c>
      <c r="AS70" s="63">
        <f>ROUND(AR70*$T70,2)</f>
        <v>0</v>
      </c>
      <c r="AT70" s="61">
        <v>0</v>
      </c>
      <c r="AU70" s="63">
        <f>ROUND(AT70*$T70,2)</f>
        <v>0</v>
      </c>
      <c r="AV70" s="61">
        <v>0</v>
      </c>
      <c r="AW70" s="63">
        <f>ROUND(AV70*$T70,2)</f>
        <v>0</v>
      </c>
      <c r="AX70" s="61">
        <v>0</v>
      </c>
      <c r="AY70" s="63">
        <f>ROUND(AX70*$T70,2)</f>
        <v>0</v>
      </c>
      <c r="AZ70" s="61">
        <v>0</v>
      </c>
      <c r="BA70" s="63">
        <f>ROUND(AZ70*$T70,2)</f>
        <v>0</v>
      </c>
      <c r="BB70" s="61">
        <v>0</v>
      </c>
      <c r="BC70" s="63">
        <f>ROUND(BB70*$T70,2)</f>
        <v>0</v>
      </c>
      <c r="BD70" s="61">
        <v>0</v>
      </c>
      <c r="BE70" s="63">
        <f>ROUND(BD70*$T70,2)</f>
        <v>0</v>
      </c>
      <c r="BF70" s="61">
        <f>IFERROR(SUMIFS($V70:$BE70,$V$5:$BE$5,$BF$5),0)</f>
        <v>0</v>
      </c>
      <c r="BG70" s="63">
        <f>SUMIFS($V70:$BE70,$V$5:$BE$5,$W$5)</f>
        <v>0</v>
      </c>
      <c r="BH70" s="45"/>
      <c r="BI70" s="144"/>
    </row>
    <row r="71" spans="1:61" ht="26.25" customHeight="1" x14ac:dyDescent="0.45">
      <c r="A71" s="140">
        <v>1</v>
      </c>
      <c r="B71" s="141" t="s">
        <v>34</v>
      </c>
      <c r="C71" s="142" t="s">
        <v>1464</v>
      </c>
      <c r="D71" s="143" t="str">
        <f>B71&amp;"_"&amp;E71</f>
        <v>1.1_6.1.2</v>
      </c>
      <c r="E71" s="56" t="s">
        <v>1387</v>
      </c>
      <c r="F71" s="506" t="s">
        <v>1388</v>
      </c>
      <c r="G71" s="507" t="s">
        <v>39</v>
      </c>
      <c r="H71" s="507" t="s">
        <v>39</v>
      </c>
      <c r="I71" s="507" t="s">
        <v>1383</v>
      </c>
      <c r="J71" s="507" t="s">
        <v>39</v>
      </c>
      <c r="K71" s="507" t="s">
        <v>1384</v>
      </c>
      <c r="L71" s="507" t="s">
        <v>789</v>
      </c>
      <c r="M71" s="507" t="s">
        <v>40</v>
      </c>
      <c r="N71" s="507" t="s">
        <v>1383</v>
      </c>
      <c r="O71" s="57" t="s">
        <v>1389</v>
      </c>
      <c r="P71" s="58" t="s">
        <v>21</v>
      </c>
      <c r="Q71" s="59" t="s">
        <v>1390</v>
      </c>
      <c r="R71" s="60" t="s">
        <v>44</v>
      </c>
      <c r="S71" s="61">
        <v>162</v>
      </c>
      <c r="T71" s="62">
        <f>INDEX('BM MORRO DA CRUZ'!$P$6:$P$402,MATCH($O71,'BM MORRO DA CRUZ'!$K$6:$K$402,0))</f>
        <v>1171.8699999999999</v>
      </c>
      <c r="U71" s="63">
        <f>ROUND(T71*$S71,2)</f>
        <v>189842.94</v>
      </c>
      <c r="V71" s="61">
        <f>IFERROR(SUMIFS('01ª MC'!$W$1:$W$1840,'01ª MC'!$C$1:$C$1840,$D71),0)</f>
        <v>0</v>
      </c>
      <c r="W71" s="63">
        <f>ROUND(V71*$T71,2)</f>
        <v>0</v>
      </c>
      <c r="X71" s="61">
        <v>0</v>
      </c>
      <c r="Y71" s="63">
        <f>ROUND(X71*$T71,2)</f>
        <v>0</v>
      </c>
      <c r="Z71" s="61">
        <v>0</v>
      </c>
      <c r="AA71" s="63">
        <f>ROUND(Z71*$T71,2)</f>
        <v>0</v>
      </c>
      <c r="AB71" s="61">
        <v>0</v>
      </c>
      <c r="AC71" s="63">
        <f>ROUND(AB71*$T71,2)</f>
        <v>0</v>
      </c>
      <c r="AD71" s="61">
        <v>0</v>
      </c>
      <c r="AE71" s="63">
        <f>ROUND(AD71*$T71,2)</f>
        <v>0</v>
      </c>
      <c r="AF71" s="61">
        <v>0</v>
      </c>
      <c r="AG71" s="63">
        <f>ROUND(AF71*$T71,2)</f>
        <v>0</v>
      </c>
      <c r="AH71" s="61">
        <v>0</v>
      </c>
      <c r="AI71" s="63">
        <f>ROUND(AH71*$T71,2)</f>
        <v>0</v>
      </c>
      <c r="AJ71" s="61">
        <v>0</v>
      </c>
      <c r="AK71" s="63">
        <f>ROUND(AJ71*$T71,2)</f>
        <v>0</v>
      </c>
      <c r="AL71" s="61">
        <v>0</v>
      </c>
      <c r="AM71" s="63">
        <f>ROUND(AL71*$T71,2)</f>
        <v>0</v>
      </c>
      <c r="AN71" s="61">
        <v>0</v>
      </c>
      <c r="AO71" s="63">
        <f>ROUND(AN71*$T71,2)</f>
        <v>0</v>
      </c>
      <c r="AP71" s="61">
        <v>0</v>
      </c>
      <c r="AQ71" s="63">
        <f>ROUND(AP71*$T71,2)</f>
        <v>0</v>
      </c>
      <c r="AR71" s="61">
        <v>0</v>
      </c>
      <c r="AS71" s="63">
        <f>ROUND(AR71*$T71,2)</f>
        <v>0</v>
      </c>
      <c r="AT71" s="61">
        <v>0</v>
      </c>
      <c r="AU71" s="63">
        <f>ROUND(AT71*$T71,2)</f>
        <v>0</v>
      </c>
      <c r="AV71" s="61">
        <v>0</v>
      </c>
      <c r="AW71" s="63">
        <f>ROUND(AV71*$T71,2)</f>
        <v>0</v>
      </c>
      <c r="AX71" s="61">
        <v>0</v>
      </c>
      <c r="AY71" s="63">
        <f>ROUND(AX71*$T71,2)</f>
        <v>0</v>
      </c>
      <c r="AZ71" s="61">
        <v>0</v>
      </c>
      <c r="BA71" s="63">
        <f>ROUND(AZ71*$T71,2)</f>
        <v>0</v>
      </c>
      <c r="BB71" s="61">
        <v>0</v>
      </c>
      <c r="BC71" s="63">
        <f>ROUND(BB71*$T71,2)</f>
        <v>0</v>
      </c>
      <c r="BD71" s="61">
        <v>0</v>
      </c>
      <c r="BE71" s="63">
        <f>ROUND(BD71*$T71,2)</f>
        <v>0</v>
      </c>
      <c r="BF71" s="61">
        <f>IFERROR(SUMIFS($V71:$BE71,$V$5:$BE$5,$BF$5),0)</f>
        <v>0</v>
      </c>
      <c r="BG71" s="63">
        <f>SUMIFS($V71:$BE71,$V$5:$BE$5,$W$5)</f>
        <v>0</v>
      </c>
      <c r="BH71" s="45"/>
      <c r="BI71" s="144"/>
    </row>
    <row r="72" spans="1:61" ht="38.25" customHeight="1" x14ac:dyDescent="0.45">
      <c r="A72" s="140">
        <v>1</v>
      </c>
      <c r="B72" s="141" t="s">
        <v>34</v>
      </c>
      <c r="C72" s="142" t="s">
        <v>1464</v>
      </c>
      <c r="D72" s="143" t="str">
        <f>B72&amp;"_"&amp;E72</f>
        <v>1.1_6.1.3</v>
      </c>
      <c r="E72" s="56" t="s">
        <v>1391</v>
      </c>
      <c r="F72" s="506" t="s">
        <v>1392</v>
      </c>
      <c r="G72" s="507" t="s">
        <v>39</v>
      </c>
      <c r="H72" s="507" t="s">
        <v>39</v>
      </c>
      <c r="I72" s="507" t="s">
        <v>1383</v>
      </c>
      <c r="J72" s="507" t="s">
        <v>39</v>
      </c>
      <c r="K72" s="507" t="s">
        <v>1384</v>
      </c>
      <c r="L72" s="507" t="s">
        <v>789</v>
      </c>
      <c r="M72" s="507" t="s">
        <v>40</v>
      </c>
      <c r="N72" s="507" t="s">
        <v>1383</v>
      </c>
      <c r="O72" s="57" t="s">
        <v>1393</v>
      </c>
      <c r="P72" s="58" t="s">
        <v>21</v>
      </c>
      <c r="Q72" s="59" t="s">
        <v>1394</v>
      </c>
      <c r="R72" s="60" t="s">
        <v>44</v>
      </c>
      <c r="S72" s="61">
        <v>72</v>
      </c>
      <c r="T72" s="62">
        <f>INDEX('BM MORRO DA CRUZ'!$P$6:$P$402,MATCH($O72,'BM MORRO DA CRUZ'!$K$6:$K$402,0))</f>
        <v>1875</v>
      </c>
      <c r="U72" s="63">
        <f>ROUND(T72*$S72,2)</f>
        <v>135000</v>
      </c>
      <c r="V72" s="61">
        <f>IFERROR(SUMIFS('01ª MC'!$W$1:$W$1840,'01ª MC'!$C$1:$C$1840,$D72),0)</f>
        <v>0</v>
      </c>
      <c r="W72" s="63">
        <f>ROUND(V72*$T72,2)</f>
        <v>0</v>
      </c>
      <c r="X72" s="61">
        <v>0</v>
      </c>
      <c r="Y72" s="63">
        <f>ROUND(X72*$T72,2)</f>
        <v>0</v>
      </c>
      <c r="Z72" s="61">
        <v>0</v>
      </c>
      <c r="AA72" s="63">
        <f>ROUND(Z72*$T72,2)</f>
        <v>0</v>
      </c>
      <c r="AB72" s="61">
        <v>0</v>
      </c>
      <c r="AC72" s="63">
        <f>ROUND(AB72*$T72,2)</f>
        <v>0</v>
      </c>
      <c r="AD72" s="61">
        <v>0</v>
      </c>
      <c r="AE72" s="63">
        <f>ROUND(AD72*$T72,2)</f>
        <v>0</v>
      </c>
      <c r="AF72" s="61">
        <v>0</v>
      </c>
      <c r="AG72" s="63">
        <f>ROUND(AF72*$T72,2)</f>
        <v>0</v>
      </c>
      <c r="AH72" s="61">
        <v>0</v>
      </c>
      <c r="AI72" s="63">
        <f>ROUND(AH72*$T72,2)</f>
        <v>0</v>
      </c>
      <c r="AJ72" s="61">
        <v>0</v>
      </c>
      <c r="AK72" s="63">
        <f>ROUND(AJ72*$T72,2)</f>
        <v>0</v>
      </c>
      <c r="AL72" s="61">
        <v>0</v>
      </c>
      <c r="AM72" s="63">
        <f>ROUND(AL72*$T72,2)</f>
        <v>0</v>
      </c>
      <c r="AN72" s="61">
        <v>0</v>
      </c>
      <c r="AO72" s="63">
        <f>ROUND(AN72*$T72,2)</f>
        <v>0</v>
      </c>
      <c r="AP72" s="61">
        <v>0</v>
      </c>
      <c r="AQ72" s="63">
        <f>ROUND(AP72*$T72,2)</f>
        <v>0</v>
      </c>
      <c r="AR72" s="61">
        <v>0</v>
      </c>
      <c r="AS72" s="63">
        <f>ROUND(AR72*$T72,2)</f>
        <v>0</v>
      </c>
      <c r="AT72" s="61">
        <v>0</v>
      </c>
      <c r="AU72" s="63">
        <f>ROUND(AT72*$T72,2)</f>
        <v>0</v>
      </c>
      <c r="AV72" s="61">
        <v>0</v>
      </c>
      <c r="AW72" s="63">
        <f>ROUND(AV72*$T72,2)</f>
        <v>0</v>
      </c>
      <c r="AX72" s="61">
        <v>0</v>
      </c>
      <c r="AY72" s="63">
        <f>ROUND(AX72*$T72,2)</f>
        <v>0</v>
      </c>
      <c r="AZ72" s="61">
        <v>0</v>
      </c>
      <c r="BA72" s="63">
        <f>ROUND(AZ72*$T72,2)</f>
        <v>0</v>
      </c>
      <c r="BB72" s="61">
        <v>0</v>
      </c>
      <c r="BC72" s="63">
        <f>ROUND(BB72*$T72,2)</f>
        <v>0</v>
      </c>
      <c r="BD72" s="61">
        <v>0</v>
      </c>
      <c r="BE72" s="63">
        <f>ROUND(BD72*$T72,2)</f>
        <v>0</v>
      </c>
      <c r="BF72" s="61">
        <f>IFERROR(SUMIFS($V72:$BE72,$V$5:$BE$5,$BF$5),0)</f>
        <v>0</v>
      </c>
      <c r="BG72" s="63">
        <f>SUMIFS($V72:$BE72,$V$5:$BE$5,$W$5)</f>
        <v>0</v>
      </c>
      <c r="BH72" s="45"/>
      <c r="BI72" s="144"/>
    </row>
    <row r="73" spans="1:61" ht="19.5" customHeight="1" x14ac:dyDescent="0.45">
      <c r="A73" s="117">
        <v>1</v>
      </c>
      <c r="B73" s="118"/>
      <c r="C73" s="119"/>
      <c r="D73" s="120"/>
      <c r="E73" s="35" t="s">
        <v>1468</v>
      </c>
      <c r="F73" s="513"/>
      <c r="G73" s="514"/>
      <c r="H73" s="514"/>
      <c r="I73" s="514"/>
      <c r="J73" s="514"/>
      <c r="K73" s="514"/>
      <c r="L73" s="514"/>
      <c r="M73" s="514"/>
      <c r="N73" s="514"/>
      <c r="O73" s="121" t="s">
        <v>1395</v>
      </c>
      <c r="P73" s="122"/>
      <c r="Q73" s="123" t="s">
        <v>1396</v>
      </c>
      <c r="R73" s="124"/>
      <c r="S73" s="125"/>
      <c r="T73" s="126"/>
      <c r="U73" s="127">
        <f>SUM(U74)</f>
        <v>47401.2</v>
      </c>
      <c r="V73" s="125"/>
      <c r="W73" s="127">
        <f>SUM(W74)</f>
        <v>0</v>
      </c>
      <c r="X73" s="125"/>
      <c r="Y73" s="127">
        <f>SUM(Y74)</f>
        <v>0</v>
      </c>
      <c r="Z73" s="125"/>
      <c r="AA73" s="127">
        <f>SUM(AA74)</f>
        <v>0</v>
      </c>
      <c r="AB73" s="125"/>
      <c r="AC73" s="127">
        <f>SUM(AC74)</f>
        <v>0</v>
      </c>
      <c r="AD73" s="125"/>
      <c r="AE73" s="127">
        <f>SUM(AE74)</f>
        <v>0</v>
      </c>
      <c r="AF73" s="125"/>
      <c r="AG73" s="127">
        <f>SUM(AG74)</f>
        <v>0</v>
      </c>
      <c r="AH73" s="125"/>
      <c r="AI73" s="127">
        <f>SUM(AI74)</f>
        <v>0</v>
      </c>
      <c r="AJ73" s="125"/>
      <c r="AK73" s="127">
        <f>SUM(AK74)</f>
        <v>0</v>
      </c>
      <c r="AL73" s="125"/>
      <c r="AM73" s="127">
        <f>SUM(AM74)</f>
        <v>0</v>
      </c>
      <c r="AN73" s="125"/>
      <c r="AO73" s="127">
        <f>SUM(AO74)</f>
        <v>0</v>
      </c>
      <c r="AP73" s="125"/>
      <c r="AQ73" s="127">
        <f>SUM(AQ74)</f>
        <v>0</v>
      </c>
      <c r="AR73" s="125"/>
      <c r="AS73" s="127">
        <f>SUM(AS74)</f>
        <v>0</v>
      </c>
      <c r="AT73" s="125"/>
      <c r="AU73" s="127">
        <f>SUM(AU74)</f>
        <v>0</v>
      </c>
      <c r="AV73" s="125"/>
      <c r="AW73" s="127">
        <f>SUM(AW74)</f>
        <v>0</v>
      </c>
      <c r="AX73" s="125"/>
      <c r="AY73" s="127">
        <f>SUM(AY74)</f>
        <v>0</v>
      </c>
      <c r="AZ73" s="125"/>
      <c r="BA73" s="127">
        <f>SUM(BA74)</f>
        <v>0</v>
      </c>
      <c r="BB73" s="125"/>
      <c r="BC73" s="127">
        <f>SUM(BC74)</f>
        <v>0</v>
      </c>
      <c r="BD73" s="125"/>
      <c r="BE73" s="127">
        <f>SUM(BE74)</f>
        <v>0</v>
      </c>
      <c r="BF73" s="125"/>
      <c r="BG73" s="127">
        <f>SUM(BG74)</f>
        <v>0</v>
      </c>
      <c r="BH73" s="45"/>
    </row>
    <row r="74" spans="1:61" ht="19.5" customHeight="1" x14ac:dyDescent="0.45">
      <c r="A74" s="128">
        <v>1</v>
      </c>
      <c r="B74" s="129"/>
      <c r="C74" s="130"/>
      <c r="D74" s="131"/>
      <c r="E74" s="132" t="s">
        <v>1397</v>
      </c>
      <c r="F74" s="515"/>
      <c r="G74" s="516"/>
      <c r="H74" s="516"/>
      <c r="I74" s="516"/>
      <c r="J74" s="516"/>
      <c r="K74" s="516"/>
      <c r="L74" s="516"/>
      <c r="M74" s="516"/>
      <c r="N74" s="516"/>
      <c r="O74" s="133" t="s">
        <v>1398</v>
      </c>
      <c r="P74" s="134"/>
      <c r="Q74" s="135" t="s">
        <v>1399</v>
      </c>
      <c r="R74" s="136"/>
      <c r="S74" s="137"/>
      <c r="T74" s="138"/>
      <c r="U74" s="139">
        <f>SUM(U75:U75)</f>
        <v>47401.2</v>
      </c>
      <c r="V74" s="137"/>
      <c r="W74" s="139">
        <f>SUM(W75:W75)</f>
        <v>0</v>
      </c>
      <c r="X74" s="137"/>
      <c r="Y74" s="139">
        <f>SUM(Y75:Y75)</f>
        <v>0</v>
      </c>
      <c r="Z74" s="137"/>
      <c r="AA74" s="139">
        <f>SUM(AA75:AA75)</f>
        <v>0</v>
      </c>
      <c r="AB74" s="137"/>
      <c r="AC74" s="139">
        <f>SUM(AC75:AC75)</f>
        <v>0</v>
      </c>
      <c r="AD74" s="137"/>
      <c r="AE74" s="139">
        <f>SUM(AE75:AE75)</f>
        <v>0</v>
      </c>
      <c r="AF74" s="137"/>
      <c r="AG74" s="139">
        <f>SUM(AG75:AG75)</f>
        <v>0</v>
      </c>
      <c r="AH74" s="137"/>
      <c r="AI74" s="139">
        <f>SUM(AI75:AI75)</f>
        <v>0</v>
      </c>
      <c r="AJ74" s="137"/>
      <c r="AK74" s="139">
        <f>SUM(AK75:AK75)</f>
        <v>0</v>
      </c>
      <c r="AL74" s="137"/>
      <c r="AM74" s="139">
        <f>SUM(AM75:AM75)</f>
        <v>0</v>
      </c>
      <c r="AN74" s="137"/>
      <c r="AO74" s="139">
        <f>SUM(AO75:AO75)</f>
        <v>0</v>
      </c>
      <c r="AP74" s="137"/>
      <c r="AQ74" s="139">
        <f>SUM(AQ75:AQ75)</f>
        <v>0</v>
      </c>
      <c r="AR74" s="137"/>
      <c r="AS74" s="139">
        <f>SUM(AS75:AS75)</f>
        <v>0</v>
      </c>
      <c r="AT74" s="137"/>
      <c r="AU74" s="139">
        <f>SUM(AU75:AU75)</f>
        <v>0</v>
      </c>
      <c r="AV74" s="137"/>
      <c r="AW74" s="139">
        <f>SUM(AW75:AW75)</f>
        <v>0</v>
      </c>
      <c r="AX74" s="137"/>
      <c r="AY74" s="139">
        <f>SUM(AY75:AY75)</f>
        <v>0</v>
      </c>
      <c r="AZ74" s="137"/>
      <c r="BA74" s="139">
        <f>SUM(BA75:BA75)</f>
        <v>0</v>
      </c>
      <c r="BB74" s="137"/>
      <c r="BC74" s="139">
        <f>SUM(BC75:BC75)</f>
        <v>0</v>
      </c>
      <c r="BD74" s="137"/>
      <c r="BE74" s="139">
        <f>SUM(BE75:BE75)</f>
        <v>0</v>
      </c>
      <c r="BF74" s="137"/>
      <c r="BG74" s="139">
        <f>SUM(BG75:BG75)</f>
        <v>0</v>
      </c>
      <c r="BH74" s="45"/>
    </row>
    <row r="75" spans="1:61" ht="19.5" customHeight="1" x14ac:dyDescent="0.45">
      <c r="A75" s="140">
        <v>1</v>
      </c>
      <c r="B75" s="141" t="s">
        <v>34</v>
      </c>
      <c r="C75" s="142" t="s">
        <v>1464</v>
      </c>
      <c r="D75" s="143" t="str">
        <f>B75&amp;"_"&amp;E75</f>
        <v>1.1_7.1.1</v>
      </c>
      <c r="E75" s="56" t="s">
        <v>1400</v>
      </c>
      <c r="F75" s="506" t="s">
        <v>1401</v>
      </c>
      <c r="G75" s="507" t="s">
        <v>39</v>
      </c>
      <c r="H75" s="507" t="s">
        <v>39</v>
      </c>
      <c r="I75" s="507" t="s">
        <v>1383</v>
      </c>
      <c r="J75" s="507" t="s">
        <v>39</v>
      </c>
      <c r="K75" s="507" t="s">
        <v>39</v>
      </c>
      <c r="L75" s="507" t="s">
        <v>39</v>
      </c>
      <c r="M75" s="507" t="s">
        <v>40</v>
      </c>
      <c r="N75" s="507" t="s">
        <v>1383</v>
      </c>
      <c r="O75" s="57" t="s">
        <v>1402</v>
      </c>
      <c r="P75" s="58" t="s">
        <v>21</v>
      </c>
      <c r="Q75" s="59" t="s">
        <v>1401</v>
      </c>
      <c r="R75" s="60" t="s">
        <v>1403</v>
      </c>
      <c r="S75" s="61">
        <v>36</v>
      </c>
      <c r="T75" s="62">
        <f>INDEX('BM MORRO DA CRUZ'!$P$6:$P$402,MATCH($O75,'BM MORRO DA CRUZ'!$K$6:$K$402,0))</f>
        <v>1316.7</v>
      </c>
      <c r="U75" s="63">
        <f>ROUND(T75*$S75,2)</f>
        <v>47401.2</v>
      </c>
      <c r="V75" s="61">
        <f>IFERROR(SUMIFS('01ª MC'!$W$1:$W$1840,'01ª MC'!$C$1:$C$1840,$D75),0)</f>
        <v>0</v>
      </c>
      <c r="W75" s="63">
        <f>ROUND(V75*$T75,2)</f>
        <v>0</v>
      </c>
      <c r="X75" s="61">
        <v>0</v>
      </c>
      <c r="Y75" s="63">
        <f>ROUND(X75*$T75,2)</f>
        <v>0</v>
      </c>
      <c r="Z75" s="61">
        <v>0</v>
      </c>
      <c r="AA75" s="63">
        <f>ROUND(Z75*$T75,2)</f>
        <v>0</v>
      </c>
      <c r="AB75" s="61">
        <v>0</v>
      </c>
      <c r="AC75" s="63">
        <f>ROUND(AB75*$T75,2)</f>
        <v>0</v>
      </c>
      <c r="AD75" s="61">
        <v>0</v>
      </c>
      <c r="AE75" s="63">
        <f>ROUND(AD75*$T75,2)</f>
        <v>0</v>
      </c>
      <c r="AF75" s="61">
        <v>0</v>
      </c>
      <c r="AG75" s="63">
        <f>ROUND(AF75*$T75,2)</f>
        <v>0</v>
      </c>
      <c r="AH75" s="61">
        <v>0</v>
      </c>
      <c r="AI75" s="63">
        <f>ROUND(AH75*$T75,2)</f>
        <v>0</v>
      </c>
      <c r="AJ75" s="61">
        <v>0</v>
      </c>
      <c r="AK75" s="63">
        <f>ROUND(AJ75*$T75,2)</f>
        <v>0</v>
      </c>
      <c r="AL75" s="61">
        <v>0</v>
      </c>
      <c r="AM75" s="63">
        <f>ROUND(AL75*$T75,2)</f>
        <v>0</v>
      </c>
      <c r="AN75" s="61">
        <v>0</v>
      </c>
      <c r="AO75" s="63">
        <f>ROUND(AN75*$T75,2)</f>
        <v>0</v>
      </c>
      <c r="AP75" s="61">
        <v>0</v>
      </c>
      <c r="AQ75" s="63">
        <f>ROUND(AP75*$T75,2)</f>
        <v>0</v>
      </c>
      <c r="AR75" s="61">
        <v>0</v>
      </c>
      <c r="AS75" s="63">
        <f>ROUND(AR75*$T75,2)</f>
        <v>0</v>
      </c>
      <c r="AT75" s="61">
        <v>0</v>
      </c>
      <c r="AU75" s="63">
        <f>ROUND(AT75*$T75,2)</f>
        <v>0</v>
      </c>
      <c r="AV75" s="61">
        <v>0</v>
      </c>
      <c r="AW75" s="63">
        <f>ROUND(AV75*$T75,2)</f>
        <v>0</v>
      </c>
      <c r="AX75" s="61">
        <v>0</v>
      </c>
      <c r="AY75" s="63">
        <f>ROUND(AX75*$T75,2)</f>
        <v>0</v>
      </c>
      <c r="AZ75" s="61">
        <v>0</v>
      </c>
      <c r="BA75" s="63">
        <f>ROUND(AZ75*$T75,2)</f>
        <v>0</v>
      </c>
      <c r="BB75" s="61">
        <v>0</v>
      </c>
      <c r="BC75" s="63">
        <f>ROUND(BB75*$T75,2)</f>
        <v>0</v>
      </c>
      <c r="BD75" s="61">
        <v>0</v>
      </c>
      <c r="BE75" s="63">
        <f>ROUND(BD75*$T75,2)</f>
        <v>0</v>
      </c>
      <c r="BF75" s="61">
        <f>IFERROR(SUMIFS($V75:$BE75,$V$5:$BE$5,$BF$5),0)</f>
        <v>0</v>
      </c>
      <c r="BG75" s="63">
        <f>SUMIFS($V75:$BE75,$V$5:$BE$5,$W$5)</f>
        <v>0</v>
      </c>
      <c r="BH75" s="45"/>
      <c r="BI75" s="144"/>
    </row>
    <row r="76" spans="1:61" ht="19.5" customHeight="1" x14ac:dyDescent="0.45">
      <c r="A76" s="117">
        <v>1</v>
      </c>
      <c r="B76" s="118"/>
      <c r="C76" s="119"/>
      <c r="D76" s="120"/>
      <c r="E76" s="35" t="s">
        <v>1469</v>
      </c>
      <c r="F76" s="513"/>
      <c r="G76" s="514"/>
      <c r="H76" s="514"/>
      <c r="I76" s="514"/>
      <c r="J76" s="514"/>
      <c r="K76" s="514"/>
      <c r="L76" s="514"/>
      <c r="M76" s="514"/>
      <c r="N76" s="514"/>
      <c r="O76" s="121" t="s">
        <v>1404</v>
      </c>
      <c r="P76" s="122"/>
      <c r="Q76" s="123" t="s">
        <v>1405</v>
      </c>
      <c r="R76" s="124"/>
      <c r="S76" s="125"/>
      <c r="T76" s="126"/>
      <c r="U76" s="127">
        <f>SUM(U77)</f>
        <v>53701.299999999996</v>
      </c>
      <c r="V76" s="125"/>
      <c r="W76" s="127">
        <f>SUM(W77)</f>
        <v>0</v>
      </c>
      <c r="X76" s="125"/>
      <c r="Y76" s="127">
        <f>SUM(Y77)</f>
        <v>0</v>
      </c>
      <c r="Z76" s="125"/>
      <c r="AA76" s="127">
        <f>SUM(AA77)</f>
        <v>0</v>
      </c>
      <c r="AB76" s="125"/>
      <c r="AC76" s="127">
        <f>SUM(AC77)</f>
        <v>0</v>
      </c>
      <c r="AD76" s="125"/>
      <c r="AE76" s="127">
        <f>SUM(AE77)</f>
        <v>0</v>
      </c>
      <c r="AF76" s="125"/>
      <c r="AG76" s="127">
        <f>SUM(AG77)</f>
        <v>0</v>
      </c>
      <c r="AH76" s="125"/>
      <c r="AI76" s="127">
        <f>SUM(AI77)</f>
        <v>0</v>
      </c>
      <c r="AJ76" s="125"/>
      <c r="AK76" s="127">
        <f>SUM(AK77)</f>
        <v>0</v>
      </c>
      <c r="AL76" s="125"/>
      <c r="AM76" s="127">
        <f>SUM(AM77)</f>
        <v>0</v>
      </c>
      <c r="AN76" s="125"/>
      <c r="AO76" s="127">
        <f>SUM(AO77)</f>
        <v>0</v>
      </c>
      <c r="AP76" s="125"/>
      <c r="AQ76" s="127">
        <f>SUM(AQ77)</f>
        <v>0</v>
      </c>
      <c r="AR76" s="125"/>
      <c r="AS76" s="127">
        <f>SUM(AS77)</f>
        <v>0</v>
      </c>
      <c r="AT76" s="125"/>
      <c r="AU76" s="127">
        <f>SUM(AU77)</f>
        <v>0</v>
      </c>
      <c r="AV76" s="125"/>
      <c r="AW76" s="127">
        <f>SUM(AW77)</f>
        <v>0</v>
      </c>
      <c r="AX76" s="125"/>
      <c r="AY76" s="127">
        <f>SUM(AY77)</f>
        <v>0</v>
      </c>
      <c r="AZ76" s="125"/>
      <c r="BA76" s="127">
        <f>SUM(BA77)</f>
        <v>0</v>
      </c>
      <c r="BB76" s="125"/>
      <c r="BC76" s="127">
        <f>SUM(BC77)</f>
        <v>0</v>
      </c>
      <c r="BD76" s="125"/>
      <c r="BE76" s="127">
        <f>SUM(BE77)</f>
        <v>0</v>
      </c>
      <c r="BF76" s="125"/>
      <c r="BG76" s="127">
        <f>SUM(BG77)</f>
        <v>0</v>
      </c>
      <c r="BH76" s="45"/>
    </row>
    <row r="77" spans="1:61" ht="19.5" customHeight="1" x14ac:dyDescent="0.45">
      <c r="A77" s="128">
        <v>1</v>
      </c>
      <c r="B77" s="129"/>
      <c r="C77" s="130"/>
      <c r="D77" s="131"/>
      <c r="E77" s="132" t="s">
        <v>1406</v>
      </c>
      <c r="F77" s="515"/>
      <c r="G77" s="516"/>
      <c r="H77" s="516"/>
      <c r="I77" s="516"/>
      <c r="J77" s="516"/>
      <c r="K77" s="516"/>
      <c r="L77" s="516"/>
      <c r="M77" s="516"/>
      <c r="N77" s="516"/>
      <c r="O77" s="133" t="s">
        <v>1379</v>
      </c>
      <c r="P77" s="134"/>
      <c r="Q77" s="135" t="s">
        <v>1380</v>
      </c>
      <c r="R77" s="136"/>
      <c r="S77" s="137"/>
      <c r="T77" s="138"/>
      <c r="U77" s="139">
        <f>SUM(U78:U81)</f>
        <v>53701.299999999996</v>
      </c>
      <c r="V77" s="137"/>
      <c r="W77" s="139">
        <f>SUM(W78:W81)</f>
        <v>0</v>
      </c>
      <c r="X77" s="137"/>
      <c r="Y77" s="139">
        <f>SUM(Y78:Y81)</f>
        <v>0</v>
      </c>
      <c r="Z77" s="137"/>
      <c r="AA77" s="139">
        <f>SUM(AA78:AA81)</f>
        <v>0</v>
      </c>
      <c r="AB77" s="137"/>
      <c r="AC77" s="139">
        <f>SUM(AC78:AC81)</f>
        <v>0</v>
      </c>
      <c r="AD77" s="137"/>
      <c r="AE77" s="139">
        <f>SUM(AE78:AE81)</f>
        <v>0</v>
      </c>
      <c r="AF77" s="137"/>
      <c r="AG77" s="139">
        <f>SUM(AG78:AG81)</f>
        <v>0</v>
      </c>
      <c r="AH77" s="137"/>
      <c r="AI77" s="139">
        <f>SUM(AI78:AI81)</f>
        <v>0</v>
      </c>
      <c r="AJ77" s="137"/>
      <c r="AK77" s="139">
        <f>SUM(AK78:AK81)</f>
        <v>0</v>
      </c>
      <c r="AL77" s="137"/>
      <c r="AM77" s="139">
        <f>SUM(AM78:AM81)</f>
        <v>0</v>
      </c>
      <c r="AN77" s="137"/>
      <c r="AO77" s="139">
        <f>SUM(AO78:AO81)</f>
        <v>0</v>
      </c>
      <c r="AP77" s="137"/>
      <c r="AQ77" s="139">
        <f>SUM(AQ78:AQ81)</f>
        <v>0</v>
      </c>
      <c r="AR77" s="137"/>
      <c r="AS77" s="139">
        <f>SUM(AS78:AS81)</f>
        <v>0</v>
      </c>
      <c r="AT77" s="137"/>
      <c r="AU77" s="139">
        <f>SUM(AU78:AU81)</f>
        <v>0</v>
      </c>
      <c r="AV77" s="137"/>
      <c r="AW77" s="139">
        <f>SUM(AW78:AW81)</f>
        <v>0</v>
      </c>
      <c r="AX77" s="137"/>
      <c r="AY77" s="139">
        <f>SUM(AY78:AY81)</f>
        <v>0</v>
      </c>
      <c r="AZ77" s="137"/>
      <c r="BA77" s="139">
        <f>SUM(BA78:BA81)</f>
        <v>0</v>
      </c>
      <c r="BB77" s="137"/>
      <c r="BC77" s="139">
        <f>SUM(BC78:BC81)</f>
        <v>0</v>
      </c>
      <c r="BD77" s="137"/>
      <c r="BE77" s="139">
        <f>SUM(BE78:BE81)</f>
        <v>0</v>
      </c>
      <c r="BF77" s="137"/>
      <c r="BG77" s="139">
        <f>SUM(BG78:BG81)</f>
        <v>0</v>
      </c>
      <c r="BH77" s="45"/>
    </row>
    <row r="78" spans="1:61" ht="35.65" x14ac:dyDescent="0.45">
      <c r="A78" s="140">
        <v>1</v>
      </c>
      <c r="B78" s="141" t="s">
        <v>45</v>
      </c>
      <c r="C78" s="142" t="s">
        <v>1466</v>
      </c>
      <c r="D78" s="143" t="str">
        <f>B78&amp;"_"&amp;E78</f>
        <v>1.2_8.1.1</v>
      </c>
      <c r="E78" s="56" t="s">
        <v>1407</v>
      </c>
      <c r="F78" s="506" t="s">
        <v>1876</v>
      </c>
      <c r="G78" s="507" t="s">
        <v>39</v>
      </c>
      <c r="H78" s="507" t="s">
        <v>39</v>
      </c>
      <c r="I78" s="507" t="s">
        <v>1777</v>
      </c>
      <c r="J78" s="507" t="s">
        <v>39</v>
      </c>
      <c r="K78" s="507" t="s">
        <v>39</v>
      </c>
      <c r="L78" s="507" t="s">
        <v>226</v>
      </c>
      <c r="M78" s="507" t="s">
        <v>40</v>
      </c>
      <c r="N78" s="507" t="s">
        <v>1777</v>
      </c>
      <c r="O78" s="57" t="s">
        <v>1408</v>
      </c>
      <c r="P78" s="58" t="s">
        <v>846</v>
      </c>
      <c r="Q78" s="59" t="s">
        <v>1409</v>
      </c>
      <c r="R78" s="60" t="s">
        <v>1410</v>
      </c>
      <c r="S78" s="61">
        <v>0</v>
      </c>
      <c r="T78" s="62">
        <f>INDEX('BM MORRO DA CRUZ'!$P$6:$P$402,MATCH($O78,'BM MORRO DA CRUZ'!$K$6:$K$402,0))</f>
        <v>62.33</v>
      </c>
      <c r="U78" s="63">
        <f>ROUND(T78*$S78,2)</f>
        <v>0</v>
      </c>
      <c r="V78" s="61">
        <f>IFERROR(SUMIFS('01ª MC'!$W$1:$W$1840,'01ª MC'!$C$1:$C$1840,$D78),0)</f>
        <v>0</v>
      </c>
      <c r="W78" s="63">
        <f>ROUND(V78*$T78,2)</f>
        <v>0</v>
      </c>
      <c r="X78" s="61">
        <v>0</v>
      </c>
      <c r="Y78" s="63">
        <f>ROUND(X78*$T78,2)</f>
        <v>0</v>
      </c>
      <c r="Z78" s="61">
        <v>0</v>
      </c>
      <c r="AA78" s="63">
        <f>ROUND(Z78*$T78,2)</f>
        <v>0</v>
      </c>
      <c r="AB78" s="61">
        <v>0</v>
      </c>
      <c r="AC78" s="63">
        <f>ROUND(AB78*$T78,2)</f>
        <v>0</v>
      </c>
      <c r="AD78" s="61">
        <v>0</v>
      </c>
      <c r="AE78" s="63">
        <f>ROUND(AD78*$T78,2)</f>
        <v>0</v>
      </c>
      <c r="AF78" s="61">
        <v>0</v>
      </c>
      <c r="AG78" s="63">
        <f>ROUND(AF78*$T78,2)</f>
        <v>0</v>
      </c>
      <c r="AH78" s="61">
        <v>0</v>
      </c>
      <c r="AI78" s="63">
        <f>ROUND(AH78*$T78,2)</f>
        <v>0</v>
      </c>
      <c r="AJ78" s="61">
        <v>0</v>
      </c>
      <c r="AK78" s="63">
        <f>ROUND(AJ78*$T78,2)</f>
        <v>0</v>
      </c>
      <c r="AL78" s="61">
        <v>0</v>
      </c>
      <c r="AM78" s="63">
        <f>ROUND(AL78*$T78,2)</f>
        <v>0</v>
      </c>
      <c r="AN78" s="61">
        <v>0</v>
      </c>
      <c r="AO78" s="63">
        <f>ROUND(AN78*$T78,2)</f>
        <v>0</v>
      </c>
      <c r="AP78" s="61">
        <v>0</v>
      </c>
      <c r="AQ78" s="63">
        <f>ROUND(AP78*$T78,2)</f>
        <v>0</v>
      </c>
      <c r="AR78" s="61">
        <v>0</v>
      </c>
      <c r="AS78" s="63">
        <f>ROUND(AR78*$T78,2)</f>
        <v>0</v>
      </c>
      <c r="AT78" s="61">
        <v>0</v>
      </c>
      <c r="AU78" s="63">
        <f>ROUND(AT78*$T78,2)</f>
        <v>0</v>
      </c>
      <c r="AV78" s="61">
        <v>0</v>
      </c>
      <c r="AW78" s="63">
        <f>ROUND(AV78*$T78,2)</f>
        <v>0</v>
      </c>
      <c r="AX78" s="61">
        <v>0</v>
      </c>
      <c r="AY78" s="63">
        <f>ROUND(AX78*$T78,2)</f>
        <v>0</v>
      </c>
      <c r="AZ78" s="61">
        <v>0</v>
      </c>
      <c r="BA78" s="63">
        <f>ROUND(AZ78*$T78,2)</f>
        <v>0</v>
      </c>
      <c r="BB78" s="61">
        <v>0</v>
      </c>
      <c r="BC78" s="63">
        <f>ROUND(BB78*$T78,2)</f>
        <v>0</v>
      </c>
      <c r="BD78" s="61">
        <v>0</v>
      </c>
      <c r="BE78" s="63">
        <f>ROUND(BD78*$T78,2)</f>
        <v>0</v>
      </c>
      <c r="BF78" s="61">
        <f>IFERROR(SUMIFS($V78:$BE78,$V$5:$BE$5,$BF$5),0)</f>
        <v>0</v>
      </c>
      <c r="BG78" s="63">
        <f>SUMIFS($V78:$BE78,$V$5:$BE$5,$W$5)</f>
        <v>0</v>
      </c>
      <c r="BH78" s="45"/>
      <c r="BI78" s="144"/>
    </row>
    <row r="79" spans="1:61" ht="35.65" x14ac:dyDescent="0.45">
      <c r="A79" s="140">
        <v>1</v>
      </c>
      <c r="B79" s="141" t="s">
        <v>45</v>
      </c>
      <c r="C79" s="142" t="s">
        <v>1466</v>
      </c>
      <c r="D79" s="143" t="str">
        <f>B79&amp;"_"&amp;E79</f>
        <v>1.2_8.1.2</v>
      </c>
      <c r="E79" s="56" t="s">
        <v>1411</v>
      </c>
      <c r="F79" s="506" t="s">
        <v>1876</v>
      </c>
      <c r="G79" s="507" t="s">
        <v>39</v>
      </c>
      <c r="H79" s="507" t="s">
        <v>39</v>
      </c>
      <c r="I79" s="507" t="s">
        <v>1777</v>
      </c>
      <c r="J79" s="507" t="s">
        <v>39</v>
      </c>
      <c r="K79" s="507" t="s">
        <v>39</v>
      </c>
      <c r="L79" s="507" t="s">
        <v>226</v>
      </c>
      <c r="M79" s="507" t="s">
        <v>40</v>
      </c>
      <c r="N79" s="507" t="s">
        <v>1777</v>
      </c>
      <c r="O79" s="57" t="s">
        <v>1412</v>
      </c>
      <c r="P79" s="58" t="s">
        <v>846</v>
      </c>
      <c r="Q79" s="59" t="s">
        <v>1413</v>
      </c>
      <c r="R79" s="60" t="s">
        <v>1414</v>
      </c>
      <c r="S79" s="61">
        <v>0</v>
      </c>
      <c r="T79" s="62">
        <f>INDEX('BM MORRO DA CRUZ'!$P$6:$P$402,MATCH($O79,'BM MORRO DA CRUZ'!$K$6:$K$402,0))</f>
        <v>256.25</v>
      </c>
      <c r="U79" s="63">
        <f>ROUND(T79*$S79,2)</f>
        <v>0</v>
      </c>
      <c r="V79" s="61">
        <f>IFERROR(SUMIFS('01ª MC'!$W$1:$W$1840,'01ª MC'!$C$1:$C$1840,$D79),0)</f>
        <v>0</v>
      </c>
      <c r="W79" s="63">
        <f>ROUND(V79*$T79,2)</f>
        <v>0</v>
      </c>
      <c r="X79" s="61">
        <v>0</v>
      </c>
      <c r="Y79" s="63">
        <f>ROUND(X79*$T79,2)</f>
        <v>0</v>
      </c>
      <c r="Z79" s="61">
        <v>0</v>
      </c>
      <c r="AA79" s="63">
        <f>ROUND(Z79*$T79,2)</f>
        <v>0</v>
      </c>
      <c r="AB79" s="61">
        <v>0</v>
      </c>
      <c r="AC79" s="63">
        <f>ROUND(AB79*$T79,2)</f>
        <v>0</v>
      </c>
      <c r="AD79" s="61">
        <v>0</v>
      </c>
      <c r="AE79" s="63">
        <f>ROUND(AD79*$T79,2)</f>
        <v>0</v>
      </c>
      <c r="AF79" s="61">
        <v>0</v>
      </c>
      <c r="AG79" s="63">
        <f>ROUND(AF79*$T79,2)</f>
        <v>0</v>
      </c>
      <c r="AH79" s="61">
        <v>0</v>
      </c>
      <c r="AI79" s="63">
        <f>ROUND(AH79*$T79,2)</f>
        <v>0</v>
      </c>
      <c r="AJ79" s="61">
        <v>0</v>
      </c>
      <c r="AK79" s="63">
        <f>ROUND(AJ79*$T79,2)</f>
        <v>0</v>
      </c>
      <c r="AL79" s="61">
        <v>0</v>
      </c>
      <c r="AM79" s="63">
        <f>ROUND(AL79*$T79,2)</f>
        <v>0</v>
      </c>
      <c r="AN79" s="61">
        <v>0</v>
      </c>
      <c r="AO79" s="63">
        <f>ROUND(AN79*$T79,2)</f>
        <v>0</v>
      </c>
      <c r="AP79" s="61">
        <v>0</v>
      </c>
      <c r="AQ79" s="63">
        <f>ROUND(AP79*$T79,2)</f>
        <v>0</v>
      </c>
      <c r="AR79" s="61">
        <v>0</v>
      </c>
      <c r="AS79" s="63">
        <f>ROUND(AR79*$T79,2)</f>
        <v>0</v>
      </c>
      <c r="AT79" s="61">
        <v>0</v>
      </c>
      <c r="AU79" s="63">
        <f>ROUND(AT79*$T79,2)</f>
        <v>0</v>
      </c>
      <c r="AV79" s="61">
        <v>0</v>
      </c>
      <c r="AW79" s="63">
        <f>ROUND(AV79*$T79,2)</f>
        <v>0</v>
      </c>
      <c r="AX79" s="61">
        <v>0</v>
      </c>
      <c r="AY79" s="63">
        <f>ROUND(AX79*$T79,2)</f>
        <v>0</v>
      </c>
      <c r="AZ79" s="61">
        <v>0</v>
      </c>
      <c r="BA79" s="63">
        <f>ROUND(AZ79*$T79,2)</f>
        <v>0</v>
      </c>
      <c r="BB79" s="61">
        <v>0</v>
      </c>
      <c r="BC79" s="63">
        <f>ROUND(BB79*$T79,2)</f>
        <v>0</v>
      </c>
      <c r="BD79" s="61">
        <v>0</v>
      </c>
      <c r="BE79" s="63">
        <f>ROUND(BD79*$T79,2)</f>
        <v>0</v>
      </c>
      <c r="BF79" s="61">
        <f>IFERROR(SUMIFS($V79:$BE79,$V$5:$BE$5,$BF$5),0)</f>
        <v>0</v>
      </c>
      <c r="BG79" s="63">
        <f>SUMIFS($V79:$BE79,$V$5:$BE$5,$W$5)</f>
        <v>0</v>
      </c>
      <c r="BH79" s="45"/>
      <c r="BI79" s="144"/>
    </row>
    <row r="80" spans="1:61" ht="26" customHeight="1" x14ac:dyDescent="0.45">
      <c r="A80" s="140">
        <v>1</v>
      </c>
      <c r="B80" s="141" t="s">
        <v>45</v>
      </c>
      <c r="C80" s="142" t="s">
        <v>1466</v>
      </c>
      <c r="D80" s="143" t="str">
        <f>B80&amp;"_"&amp;E80</f>
        <v>1.2_8.1.4</v>
      </c>
      <c r="E80" s="56" t="s">
        <v>1418</v>
      </c>
      <c r="F80" s="506" t="s">
        <v>1417</v>
      </c>
      <c r="G80" s="507" t="s">
        <v>39</v>
      </c>
      <c r="H80" s="507" t="s">
        <v>39</v>
      </c>
      <c r="I80" s="507" t="s">
        <v>1877</v>
      </c>
      <c r="J80" s="507" t="s">
        <v>39</v>
      </c>
      <c r="K80" s="507" t="s">
        <v>39</v>
      </c>
      <c r="L80" s="507" t="s">
        <v>39</v>
      </c>
      <c r="M80" s="507" t="s">
        <v>40</v>
      </c>
      <c r="N80" s="507" t="s">
        <v>1797</v>
      </c>
      <c r="O80" s="57" t="s">
        <v>1419</v>
      </c>
      <c r="P80" s="58" t="s">
        <v>846</v>
      </c>
      <c r="Q80" s="59" t="s">
        <v>1417</v>
      </c>
      <c r="R80" s="60" t="s">
        <v>1410</v>
      </c>
      <c r="S80" s="61">
        <v>52.8</v>
      </c>
      <c r="T80" s="62">
        <f>INDEX('BM MORRO DA CRUZ'!$P$6:$P$402,MATCH($O80,'BM MORRO DA CRUZ'!$K$6:$K$402,0))</f>
        <v>6.55</v>
      </c>
      <c r="U80" s="63">
        <f>ROUND(T80*$S80,2)</f>
        <v>345.84</v>
      </c>
      <c r="V80" s="61">
        <f>IFERROR(SUMIFS('01ª MC'!$W$1:$W$1840,'01ª MC'!$C$1:$C$1840,$D80),0)</f>
        <v>0</v>
      </c>
      <c r="W80" s="63">
        <f>ROUND(V80*$T80,2)</f>
        <v>0</v>
      </c>
      <c r="X80" s="61">
        <v>0</v>
      </c>
      <c r="Y80" s="63">
        <f>ROUND(X80*$T80,2)</f>
        <v>0</v>
      </c>
      <c r="Z80" s="61">
        <v>0</v>
      </c>
      <c r="AA80" s="63">
        <f>ROUND(Z80*$T80,2)</f>
        <v>0</v>
      </c>
      <c r="AB80" s="61">
        <v>0</v>
      </c>
      <c r="AC80" s="63">
        <f>ROUND(AB80*$T80,2)</f>
        <v>0</v>
      </c>
      <c r="AD80" s="61">
        <v>0</v>
      </c>
      <c r="AE80" s="63">
        <f>ROUND(AD80*$T80,2)</f>
        <v>0</v>
      </c>
      <c r="AF80" s="61">
        <v>0</v>
      </c>
      <c r="AG80" s="63">
        <f>ROUND(AF80*$T80,2)</f>
        <v>0</v>
      </c>
      <c r="AH80" s="61">
        <v>0</v>
      </c>
      <c r="AI80" s="63">
        <f>ROUND(AH80*$T80,2)</f>
        <v>0</v>
      </c>
      <c r="AJ80" s="61">
        <v>0</v>
      </c>
      <c r="AK80" s="63">
        <f>ROUND(AJ80*$T80,2)</f>
        <v>0</v>
      </c>
      <c r="AL80" s="61">
        <v>0</v>
      </c>
      <c r="AM80" s="63">
        <f>ROUND(AL80*$T80,2)</f>
        <v>0</v>
      </c>
      <c r="AN80" s="61">
        <v>0</v>
      </c>
      <c r="AO80" s="63">
        <f>ROUND(AN80*$T80,2)</f>
        <v>0</v>
      </c>
      <c r="AP80" s="61">
        <v>0</v>
      </c>
      <c r="AQ80" s="63">
        <f>ROUND(AP80*$T80,2)</f>
        <v>0</v>
      </c>
      <c r="AR80" s="61">
        <v>0</v>
      </c>
      <c r="AS80" s="63">
        <f>ROUND(AR80*$T80,2)</f>
        <v>0</v>
      </c>
      <c r="AT80" s="61">
        <v>0</v>
      </c>
      <c r="AU80" s="63">
        <f>ROUND(AT80*$T80,2)</f>
        <v>0</v>
      </c>
      <c r="AV80" s="61">
        <v>0</v>
      </c>
      <c r="AW80" s="63">
        <f>ROUND(AV80*$T80,2)</f>
        <v>0</v>
      </c>
      <c r="AX80" s="61">
        <v>0</v>
      </c>
      <c r="AY80" s="63">
        <f>ROUND(AX80*$T80,2)</f>
        <v>0</v>
      </c>
      <c r="AZ80" s="61">
        <v>0</v>
      </c>
      <c r="BA80" s="63">
        <f>ROUND(AZ80*$T80,2)</f>
        <v>0</v>
      </c>
      <c r="BB80" s="61">
        <v>0</v>
      </c>
      <c r="BC80" s="63">
        <f>ROUND(BB80*$T80,2)</f>
        <v>0</v>
      </c>
      <c r="BD80" s="61">
        <v>0</v>
      </c>
      <c r="BE80" s="63">
        <f>ROUND(BD80*$T80,2)</f>
        <v>0</v>
      </c>
      <c r="BF80" s="61">
        <f>IFERROR(SUMIFS($V80:$BE80,$V$5:$BE$5,$BF$5),0)</f>
        <v>0</v>
      </c>
      <c r="BG80" s="63">
        <f>SUMIFS($V80:$BE80,$V$5:$BE$5,$W$5)</f>
        <v>0</v>
      </c>
      <c r="BH80" s="45"/>
      <c r="BI80" s="144"/>
    </row>
    <row r="81" spans="1:61" ht="26" customHeight="1" x14ac:dyDescent="0.45">
      <c r="A81" s="140">
        <v>1</v>
      </c>
      <c r="B81" s="141" t="s">
        <v>45</v>
      </c>
      <c r="C81" s="142" t="s">
        <v>1466</v>
      </c>
      <c r="D81" s="143" t="str">
        <f>B81&amp;"_"&amp;E81</f>
        <v>1.2_8.1.3</v>
      </c>
      <c r="E81" s="56" t="s">
        <v>1415</v>
      </c>
      <c r="F81" s="506" t="s">
        <v>1417</v>
      </c>
      <c r="G81" s="507" t="s">
        <v>39</v>
      </c>
      <c r="H81" s="507" t="s">
        <v>39</v>
      </c>
      <c r="I81" s="507" t="s">
        <v>1877</v>
      </c>
      <c r="J81" s="507" t="s">
        <v>39</v>
      </c>
      <c r="K81" s="507" t="s">
        <v>39</v>
      </c>
      <c r="L81" s="507" t="s">
        <v>39</v>
      </c>
      <c r="M81" s="507" t="s">
        <v>40</v>
      </c>
      <c r="N81" s="507" t="s">
        <v>1797</v>
      </c>
      <c r="O81" s="57" t="s">
        <v>1416</v>
      </c>
      <c r="P81" s="58" t="s">
        <v>846</v>
      </c>
      <c r="Q81" s="59" t="s">
        <v>1417</v>
      </c>
      <c r="R81" s="60" t="s">
        <v>1414</v>
      </c>
      <c r="S81" s="61">
        <v>475.2</v>
      </c>
      <c r="T81" s="62">
        <f>INDEX('BM MORRO DA CRUZ'!$P$6:$P$402,MATCH($O81,'BM MORRO DA CRUZ'!$K$6:$K$402,0))</f>
        <v>112.28</v>
      </c>
      <c r="U81" s="63">
        <f>ROUND(T81*$S81,2)</f>
        <v>53355.46</v>
      </c>
      <c r="V81" s="61">
        <f>IFERROR(SUMIFS('01ª MC'!$W$1:$W$1840,'01ª MC'!$C$1:$C$1840,$D81),0)</f>
        <v>0</v>
      </c>
      <c r="W81" s="63">
        <f>ROUND(V81*$T81,2)</f>
        <v>0</v>
      </c>
      <c r="X81" s="61">
        <v>0</v>
      </c>
      <c r="Y81" s="63">
        <f>ROUND(X81*$T81,2)</f>
        <v>0</v>
      </c>
      <c r="Z81" s="61">
        <v>0</v>
      </c>
      <c r="AA81" s="63">
        <f>ROUND(Z81*$T81,2)</f>
        <v>0</v>
      </c>
      <c r="AB81" s="61">
        <v>0</v>
      </c>
      <c r="AC81" s="63">
        <f>ROUND(AB81*$T81,2)</f>
        <v>0</v>
      </c>
      <c r="AD81" s="61">
        <v>0</v>
      </c>
      <c r="AE81" s="63">
        <f>ROUND(AD81*$T81,2)</f>
        <v>0</v>
      </c>
      <c r="AF81" s="61">
        <v>0</v>
      </c>
      <c r="AG81" s="63">
        <f>ROUND(AF81*$T81,2)</f>
        <v>0</v>
      </c>
      <c r="AH81" s="61">
        <v>0</v>
      </c>
      <c r="AI81" s="63">
        <f>ROUND(AH81*$T81,2)</f>
        <v>0</v>
      </c>
      <c r="AJ81" s="61">
        <v>0</v>
      </c>
      <c r="AK81" s="63">
        <f>ROUND(AJ81*$T81,2)</f>
        <v>0</v>
      </c>
      <c r="AL81" s="61">
        <v>0</v>
      </c>
      <c r="AM81" s="63">
        <f>ROUND(AL81*$T81,2)</f>
        <v>0</v>
      </c>
      <c r="AN81" s="61">
        <v>0</v>
      </c>
      <c r="AO81" s="63">
        <f>ROUND(AN81*$T81,2)</f>
        <v>0</v>
      </c>
      <c r="AP81" s="61">
        <v>0</v>
      </c>
      <c r="AQ81" s="63">
        <f>ROUND(AP81*$T81,2)</f>
        <v>0</v>
      </c>
      <c r="AR81" s="61">
        <v>0</v>
      </c>
      <c r="AS81" s="63">
        <f>ROUND(AR81*$T81,2)</f>
        <v>0</v>
      </c>
      <c r="AT81" s="61">
        <v>0</v>
      </c>
      <c r="AU81" s="63">
        <f>ROUND(AT81*$T81,2)</f>
        <v>0</v>
      </c>
      <c r="AV81" s="61">
        <v>0</v>
      </c>
      <c r="AW81" s="63">
        <f>ROUND(AV81*$T81,2)</f>
        <v>0</v>
      </c>
      <c r="AX81" s="61">
        <v>0</v>
      </c>
      <c r="AY81" s="63">
        <f>ROUND(AX81*$T81,2)</f>
        <v>0</v>
      </c>
      <c r="AZ81" s="61">
        <v>0</v>
      </c>
      <c r="BA81" s="63">
        <f>ROUND(AZ81*$T81,2)</f>
        <v>0</v>
      </c>
      <c r="BB81" s="61">
        <v>0</v>
      </c>
      <c r="BC81" s="63">
        <f>ROUND(BB81*$T81,2)</f>
        <v>0</v>
      </c>
      <c r="BD81" s="61">
        <v>0</v>
      </c>
      <c r="BE81" s="63">
        <f>ROUND(BD81*$T81,2)</f>
        <v>0</v>
      </c>
      <c r="BF81" s="61">
        <f>IFERROR(SUMIFS($V81:$BE81,$V$5:$BE$5,$BF$5),0)</f>
        <v>0</v>
      </c>
      <c r="BG81" s="63">
        <f>SUMIFS($V81:$BE81,$V$5:$BE$5,$W$5)</f>
        <v>0</v>
      </c>
      <c r="BH81" s="45"/>
      <c r="BI81" s="144"/>
    </row>
    <row r="82" spans="1:61" ht="19.5" customHeight="1" x14ac:dyDescent="0.45">
      <c r="A82" s="103">
        <v>2</v>
      </c>
      <c r="B82" s="104"/>
      <c r="C82" s="105" t="s">
        <v>1470</v>
      </c>
      <c r="D82" s="106"/>
      <c r="E82" s="107"/>
      <c r="F82" s="512"/>
      <c r="G82" s="108"/>
      <c r="H82" s="108"/>
      <c r="I82" s="108"/>
      <c r="J82" s="108"/>
      <c r="K82" s="108"/>
      <c r="L82" s="108"/>
      <c r="M82" s="108"/>
      <c r="N82" s="108"/>
      <c r="O82" s="109"/>
      <c r="P82" s="110"/>
      <c r="Q82" s="111" t="s">
        <v>1470</v>
      </c>
      <c r="R82" s="112"/>
      <c r="S82" s="113"/>
      <c r="T82" s="114"/>
      <c r="U82" s="115">
        <f>SUM(U83,U90)</f>
        <v>29424726.299999997</v>
      </c>
      <c r="V82" s="116"/>
      <c r="W82" s="115">
        <f>SUM(W83,W90)</f>
        <v>0</v>
      </c>
      <c r="X82" s="116"/>
      <c r="Y82" s="115">
        <f>SUM(Y83,Y90)</f>
        <v>0</v>
      </c>
      <c r="Z82" s="116"/>
      <c r="AA82" s="115">
        <f>SUM(AA83,AA90)</f>
        <v>0</v>
      </c>
      <c r="AB82" s="116"/>
      <c r="AC82" s="115">
        <f>SUM(AC83,AC90)</f>
        <v>0</v>
      </c>
      <c r="AD82" s="116"/>
      <c r="AE82" s="115">
        <f>SUM(AE83,AE90)</f>
        <v>0</v>
      </c>
      <c r="AF82" s="116"/>
      <c r="AG82" s="115">
        <f>SUM(AG83,AG90)</f>
        <v>0</v>
      </c>
      <c r="AH82" s="116"/>
      <c r="AI82" s="115">
        <f>SUM(AI83,AI90)</f>
        <v>0</v>
      </c>
      <c r="AJ82" s="116"/>
      <c r="AK82" s="115">
        <f>SUM(AK83,AK90)</f>
        <v>0</v>
      </c>
      <c r="AL82" s="116"/>
      <c r="AM82" s="115">
        <f>SUM(AM83,AM90)</f>
        <v>0</v>
      </c>
      <c r="AN82" s="116"/>
      <c r="AO82" s="115">
        <f>SUM(AO83,AO90)</f>
        <v>0</v>
      </c>
      <c r="AP82" s="116"/>
      <c r="AQ82" s="115">
        <f>SUM(AQ83,AQ90)</f>
        <v>0</v>
      </c>
      <c r="AR82" s="116"/>
      <c r="AS82" s="115">
        <f>SUM(AS83,AS90)</f>
        <v>0</v>
      </c>
      <c r="AT82" s="116"/>
      <c r="AU82" s="115">
        <f>SUM(AU83,AU90)</f>
        <v>0</v>
      </c>
      <c r="AV82" s="116"/>
      <c r="AW82" s="115">
        <f>SUM(AW83,AW90)</f>
        <v>0</v>
      </c>
      <c r="AX82" s="116"/>
      <c r="AY82" s="115">
        <f>SUM(AY83,AY90)</f>
        <v>0</v>
      </c>
      <c r="AZ82" s="116"/>
      <c r="BA82" s="115">
        <f>SUM(BA83,BA90)</f>
        <v>0</v>
      </c>
      <c r="BB82" s="116"/>
      <c r="BC82" s="115">
        <f>SUM(BC83,BC90)</f>
        <v>0</v>
      </c>
      <c r="BD82" s="116"/>
      <c r="BE82" s="115">
        <f>SUM(BE83,BE90)</f>
        <v>0</v>
      </c>
      <c r="BF82" s="116"/>
      <c r="BG82" s="115">
        <f>SUM(BG83,BG90)</f>
        <v>0</v>
      </c>
      <c r="BH82" s="102">
        <f>U82/$T$550</f>
        <v>0.60626652394008285</v>
      </c>
    </row>
    <row r="83" spans="1:61" ht="19.5" customHeight="1" x14ac:dyDescent="0.45">
      <c r="A83" s="117">
        <v>2</v>
      </c>
      <c r="B83" s="118"/>
      <c r="C83" s="119"/>
      <c r="D83" s="120"/>
      <c r="E83" s="35" t="s">
        <v>1463</v>
      </c>
      <c r="F83" s="513"/>
      <c r="G83" s="514"/>
      <c r="H83" s="514"/>
      <c r="I83" s="514"/>
      <c r="J83" s="514"/>
      <c r="K83" s="514"/>
      <c r="L83" s="514"/>
      <c r="M83" s="514"/>
      <c r="N83" s="514"/>
      <c r="O83" s="121" t="s">
        <v>33</v>
      </c>
      <c r="P83" s="122"/>
      <c r="Q83" s="123" t="s">
        <v>21</v>
      </c>
      <c r="R83" s="124"/>
      <c r="S83" s="125"/>
      <c r="T83" s="126"/>
      <c r="U83" s="127">
        <f>SUM(U84,U87)</f>
        <v>1083366.3199999998</v>
      </c>
      <c r="V83" s="125"/>
      <c r="W83" s="127">
        <f>SUM(W84,W87)</f>
        <v>0</v>
      </c>
      <c r="X83" s="125"/>
      <c r="Y83" s="127">
        <f>SUM(Y84,Y87)</f>
        <v>0</v>
      </c>
      <c r="Z83" s="125"/>
      <c r="AA83" s="127">
        <f>SUM(AA84,AA87)</f>
        <v>0</v>
      </c>
      <c r="AB83" s="125"/>
      <c r="AC83" s="127">
        <f>SUM(AC84,AC87)</f>
        <v>0</v>
      </c>
      <c r="AD83" s="125"/>
      <c r="AE83" s="127">
        <f>SUM(AE84,AE87)</f>
        <v>0</v>
      </c>
      <c r="AF83" s="125"/>
      <c r="AG83" s="127">
        <f>SUM(AG84,AG87)</f>
        <v>0</v>
      </c>
      <c r="AH83" s="125"/>
      <c r="AI83" s="127">
        <f>SUM(AI84,AI87)</f>
        <v>0</v>
      </c>
      <c r="AJ83" s="125"/>
      <c r="AK83" s="127">
        <f>SUM(AK84,AK87)</f>
        <v>0</v>
      </c>
      <c r="AL83" s="125"/>
      <c r="AM83" s="127">
        <f>SUM(AM84,AM87)</f>
        <v>0</v>
      </c>
      <c r="AN83" s="125"/>
      <c r="AO83" s="127">
        <f>SUM(AO84,AO87)</f>
        <v>0</v>
      </c>
      <c r="AP83" s="125"/>
      <c r="AQ83" s="127">
        <f>SUM(AQ84,AQ87)</f>
        <v>0</v>
      </c>
      <c r="AR83" s="125"/>
      <c r="AS83" s="127">
        <f>SUM(AS84,AS87)</f>
        <v>0</v>
      </c>
      <c r="AT83" s="125"/>
      <c r="AU83" s="127">
        <f>SUM(AU84,AU87)</f>
        <v>0</v>
      </c>
      <c r="AV83" s="125"/>
      <c r="AW83" s="127">
        <f>SUM(AW84,AW87)</f>
        <v>0</v>
      </c>
      <c r="AX83" s="125"/>
      <c r="AY83" s="127">
        <f>SUM(AY84,AY87)</f>
        <v>0</v>
      </c>
      <c r="AZ83" s="125"/>
      <c r="BA83" s="127">
        <f>SUM(BA84,BA87)</f>
        <v>0</v>
      </c>
      <c r="BB83" s="125"/>
      <c r="BC83" s="127">
        <f>SUM(BC84,BC87)</f>
        <v>0</v>
      </c>
      <c r="BD83" s="125"/>
      <c r="BE83" s="127">
        <f>SUM(BE84,BE87)</f>
        <v>0</v>
      </c>
      <c r="BF83" s="125"/>
      <c r="BG83" s="127">
        <f>SUM(BG84,BG87)</f>
        <v>0</v>
      </c>
      <c r="BH83" s="45"/>
    </row>
    <row r="84" spans="1:61" ht="19.5" customHeight="1" x14ac:dyDescent="0.45">
      <c r="A84" s="128">
        <v>2</v>
      </c>
      <c r="B84" s="129"/>
      <c r="C84" s="130"/>
      <c r="D84" s="131"/>
      <c r="E84" s="132" t="s">
        <v>45</v>
      </c>
      <c r="F84" s="515"/>
      <c r="G84" s="516"/>
      <c r="H84" s="516"/>
      <c r="I84" s="516"/>
      <c r="J84" s="516"/>
      <c r="K84" s="516"/>
      <c r="L84" s="516"/>
      <c r="M84" s="516"/>
      <c r="N84" s="516"/>
      <c r="O84" s="133" t="s">
        <v>46</v>
      </c>
      <c r="P84" s="134"/>
      <c r="Q84" s="135" t="s">
        <v>47</v>
      </c>
      <c r="R84" s="136"/>
      <c r="S84" s="137"/>
      <c r="T84" s="138"/>
      <c r="U84" s="139">
        <f>SUM(U85:U86)</f>
        <v>1061980.0699999998</v>
      </c>
      <c r="V84" s="137"/>
      <c r="W84" s="139">
        <f>SUM(W85:W86)</f>
        <v>0</v>
      </c>
      <c r="X84" s="137"/>
      <c r="Y84" s="139">
        <f>SUM(Y85:Y86)</f>
        <v>0</v>
      </c>
      <c r="Z84" s="137"/>
      <c r="AA84" s="139">
        <f>SUM(AA85:AA86)</f>
        <v>0</v>
      </c>
      <c r="AB84" s="137"/>
      <c r="AC84" s="139">
        <f>SUM(AC85:AC86)</f>
        <v>0</v>
      </c>
      <c r="AD84" s="137"/>
      <c r="AE84" s="139">
        <f>SUM(AE85:AE86)</f>
        <v>0</v>
      </c>
      <c r="AF84" s="137"/>
      <c r="AG84" s="139">
        <f>SUM(AG85:AG86)</f>
        <v>0</v>
      </c>
      <c r="AH84" s="137"/>
      <c r="AI84" s="139">
        <f>SUM(AI85:AI86)</f>
        <v>0</v>
      </c>
      <c r="AJ84" s="137"/>
      <c r="AK84" s="139">
        <f>SUM(AK85:AK86)</f>
        <v>0</v>
      </c>
      <c r="AL84" s="137"/>
      <c r="AM84" s="139">
        <f>SUM(AM85:AM86)</f>
        <v>0</v>
      </c>
      <c r="AN84" s="137"/>
      <c r="AO84" s="139">
        <f>SUM(AO85:AO86)</f>
        <v>0</v>
      </c>
      <c r="AP84" s="137"/>
      <c r="AQ84" s="139">
        <f>SUM(AQ85:AQ86)</f>
        <v>0</v>
      </c>
      <c r="AR84" s="137"/>
      <c r="AS84" s="139">
        <f>SUM(AS85:AS86)</f>
        <v>0</v>
      </c>
      <c r="AT84" s="137"/>
      <c r="AU84" s="139">
        <f>SUM(AU85:AU86)</f>
        <v>0</v>
      </c>
      <c r="AV84" s="137"/>
      <c r="AW84" s="139">
        <f>SUM(AW85:AW86)</f>
        <v>0</v>
      </c>
      <c r="AX84" s="137"/>
      <c r="AY84" s="139">
        <f>SUM(AY85:AY86)</f>
        <v>0</v>
      </c>
      <c r="AZ84" s="137"/>
      <c r="BA84" s="139">
        <f>SUM(BA85:BA86)</f>
        <v>0</v>
      </c>
      <c r="BB84" s="137"/>
      <c r="BC84" s="139">
        <f>SUM(BC85:BC86)</f>
        <v>0</v>
      </c>
      <c r="BD84" s="137"/>
      <c r="BE84" s="139">
        <f>SUM(BE85:BE86)</f>
        <v>0</v>
      </c>
      <c r="BF84" s="137"/>
      <c r="BG84" s="139">
        <f>SUM(BG85:BG86)</f>
        <v>0</v>
      </c>
      <c r="BH84" s="45"/>
    </row>
    <row r="85" spans="1:61" ht="26.25" customHeight="1" x14ac:dyDescent="0.45">
      <c r="A85" s="140">
        <v>2</v>
      </c>
      <c r="B85" s="141" t="s">
        <v>824</v>
      </c>
      <c r="C85" s="142" t="s">
        <v>1471</v>
      </c>
      <c r="D85" s="143" t="str">
        <f>B85&amp;"_"&amp;E85</f>
        <v>2.1_1.2.1</v>
      </c>
      <c r="E85" s="56" t="s">
        <v>48</v>
      </c>
      <c r="F85" s="506" t="s">
        <v>49</v>
      </c>
      <c r="G85" s="507" t="s">
        <v>39</v>
      </c>
      <c r="H85" s="507" t="s">
        <v>39</v>
      </c>
      <c r="I85" s="507" t="s">
        <v>39</v>
      </c>
      <c r="J85" s="507" t="s">
        <v>39</v>
      </c>
      <c r="K85" s="507" t="s">
        <v>39</v>
      </c>
      <c r="L85" s="507" t="s">
        <v>39</v>
      </c>
      <c r="M85" s="507" t="s">
        <v>50</v>
      </c>
      <c r="N85" s="507" t="s">
        <v>51</v>
      </c>
      <c r="O85" s="57" t="s">
        <v>52</v>
      </c>
      <c r="P85" s="58" t="s">
        <v>21</v>
      </c>
      <c r="Q85" s="59" t="s">
        <v>53</v>
      </c>
      <c r="R85" s="60" t="s">
        <v>54</v>
      </c>
      <c r="S85" s="61">
        <v>72.41</v>
      </c>
      <c r="T85" s="62">
        <f>INDEX('BM MORRO DA CRUZ'!$P$6:$P$402,MATCH($O85,'BM MORRO DA CRUZ'!$K$6:$K$402,0))</f>
        <v>28.42</v>
      </c>
      <c r="U85" s="63">
        <f>ROUND(T85*$S85,2)</f>
        <v>2057.89</v>
      </c>
      <c r="V85" s="61">
        <f>IFERROR(SUMIFS('01ª MC'!$W$1:$W$1840,'01ª MC'!$C$1:$C$1840,$D85),0)</f>
        <v>0</v>
      </c>
      <c r="W85" s="63">
        <f>ROUND(V85*$T85,2)</f>
        <v>0</v>
      </c>
      <c r="X85" s="61">
        <v>0</v>
      </c>
      <c r="Y85" s="63">
        <f>ROUND(X85*$T85,2)</f>
        <v>0</v>
      </c>
      <c r="Z85" s="61">
        <v>0</v>
      </c>
      <c r="AA85" s="63">
        <f>ROUND(Z85*$T85,2)</f>
        <v>0</v>
      </c>
      <c r="AB85" s="61">
        <v>0</v>
      </c>
      <c r="AC85" s="63">
        <f>ROUND(AB85*$T85,2)</f>
        <v>0</v>
      </c>
      <c r="AD85" s="61">
        <v>0</v>
      </c>
      <c r="AE85" s="63">
        <f>ROUND(AD85*$T85,2)</f>
        <v>0</v>
      </c>
      <c r="AF85" s="61">
        <v>0</v>
      </c>
      <c r="AG85" s="63">
        <f>ROUND(AF85*$T85,2)</f>
        <v>0</v>
      </c>
      <c r="AH85" s="61">
        <v>0</v>
      </c>
      <c r="AI85" s="63">
        <f>ROUND(AH85*$T85,2)</f>
        <v>0</v>
      </c>
      <c r="AJ85" s="61">
        <v>0</v>
      </c>
      <c r="AK85" s="63">
        <f>ROUND(AJ85*$T85,2)</f>
        <v>0</v>
      </c>
      <c r="AL85" s="61">
        <v>0</v>
      </c>
      <c r="AM85" s="63">
        <f>ROUND(AL85*$T85,2)</f>
        <v>0</v>
      </c>
      <c r="AN85" s="61">
        <v>0</v>
      </c>
      <c r="AO85" s="63">
        <f>ROUND(AN85*$T85,2)</f>
        <v>0</v>
      </c>
      <c r="AP85" s="61">
        <v>0</v>
      </c>
      <c r="AQ85" s="63">
        <f>ROUND(AP85*$T85,2)</f>
        <v>0</v>
      </c>
      <c r="AR85" s="61">
        <v>0</v>
      </c>
      <c r="AS85" s="63">
        <f>ROUND(AR85*$T85,2)</f>
        <v>0</v>
      </c>
      <c r="AT85" s="61">
        <v>0</v>
      </c>
      <c r="AU85" s="63">
        <f>ROUND(AT85*$T85,2)</f>
        <v>0</v>
      </c>
      <c r="AV85" s="61">
        <v>0</v>
      </c>
      <c r="AW85" s="63">
        <f>ROUND(AV85*$T85,2)</f>
        <v>0</v>
      </c>
      <c r="AX85" s="61">
        <v>0</v>
      </c>
      <c r="AY85" s="63">
        <f>ROUND(AX85*$T85,2)</f>
        <v>0</v>
      </c>
      <c r="AZ85" s="61">
        <v>0</v>
      </c>
      <c r="BA85" s="63">
        <f>ROUND(AZ85*$T85,2)</f>
        <v>0</v>
      </c>
      <c r="BB85" s="61">
        <v>0</v>
      </c>
      <c r="BC85" s="63">
        <f>ROUND(BB85*$T85,2)</f>
        <v>0</v>
      </c>
      <c r="BD85" s="61">
        <v>0</v>
      </c>
      <c r="BE85" s="63">
        <f>ROUND(BD85*$T85,2)</f>
        <v>0</v>
      </c>
      <c r="BF85" s="61">
        <f>IFERROR(SUMIFS($V85:$BE85,$V$5:$BE$5,$BF$5),0)</f>
        <v>0</v>
      </c>
      <c r="BG85" s="63">
        <f>SUMIFS($V85:$BE85,$V$5:$BE$5,$W$5)</f>
        <v>0</v>
      </c>
      <c r="BH85" s="45"/>
      <c r="BI85" s="144"/>
    </row>
    <row r="86" spans="1:61" ht="26.25" customHeight="1" x14ac:dyDescent="0.45">
      <c r="A86" s="140">
        <v>2</v>
      </c>
      <c r="B86" s="141" t="s">
        <v>824</v>
      </c>
      <c r="C86" s="142" t="s">
        <v>1471</v>
      </c>
      <c r="D86" s="143" t="str">
        <f>B86&amp;"_"&amp;E86</f>
        <v>2.1_1.2.2</v>
      </c>
      <c r="E86" s="56" t="s">
        <v>55</v>
      </c>
      <c r="F86" s="506" t="s">
        <v>56</v>
      </c>
      <c r="G86" s="507" t="s">
        <v>39</v>
      </c>
      <c r="H86" s="507" t="s">
        <v>39</v>
      </c>
      <c r="I86" s="507" t="s">
        <v>39</v>
      </c>
      <c r="J86" s="507" t="s">
        <v>39</v>
      </c>
      <c r="K86" s="507" t="s">
        <v>39</v>
      </c>
      <c r="L86" s="507" t="s">
        <v>39</v>
      </c>
      <c r="M86" s="507" t="s">
        <v>57</v>
      </c>
      <c r="N86" s="507" t="s">
        <v>51</v>
      </c>
      <c r="O86" s="57" t="s">
        <v>58</v>
      </c>
      <c r="P86" s="58" t="s">
        <v>21</v>
      </c>
      <c r="Q86" s="59" t="s">
        <v>59</v>
      </c>
      <c r="R86" s="60" t="s">
        <v>54</v>
      </c>
      <c r="S86" s="61">
        <v>61875.199999999997</v>
      </c>
      <c r="T86" s="62">
        <f>INDEX('BM MORRO DA CRUZ'!$P$6:$P$402,MATCH($O86,'BM MORRO DA CRUZ'!$K$6:$K$402,0))</f>
        <v>17.13</v>
      </c>
      <c r="U86" s="63">
        <f>ROUND(T86*$S86,2)</f>
        <v>1059922.18</v>
      </c>
      <c r="V86" s="61">
        <f>IFERROR(SUMIFS('01ª MC'!$W$1:$W$1840,'01ª MC'!$C$1:$C$1840,$D86),0)</f>
        <v>0</v>
      </c>
      <c r="W86" s="63">
        <f>ROUND(V86*$T86,2)</f>
        <v>0</v>
      </c>
      <c r="X86" s="61">
        <v>0</v>
      </c>
      <c r="Y86" s="63">
        <f>ROUND(X86*$T86,2)</f>
        <v>0</v>
      </c>
      <c r="Z86" s="61">
        <v>0</v>
      </c>
      <c r="AA86" s="63">
        <f>ROUND(Z86*$T86,2)</f>
        <v>0</v>
      </c>
      <c r="AB86" s="61">
        <v>0</v>
      </c>
      <c r="AC86" s="63">
        <f>ROUND(AB86*$T86,2)</f>
        <v>0</v>
      </c>
      <c r="AD86" s="61">
        <v>0</v>
      </c>
      <c r="AE86" s="63">
        <f>ROUND(AD86*$T86,2)</f>
        <v>0</v>
      </c>
      <c r="AF86" s="61">
        <v>0</v>
      </c>
      <c r="AG86" s="63">
        <f>ROUND(AF86*$T86,2)</f>
        <v>0</v>
      </c>
      <c r="AH86" s="61">
        <v>0</v>
      </c>
      <c r="AI86" s="63">
        <f>ROUND(AH86*$T86,2)</f>
        <v>0</v>
      </c>
      <c r="AJ86" s="61">
        <v>0</v>
      </c>
      <c r="AK86" s="63">
        <f>ROUND(AJ86*$T86,2)</f>
        <v>0</v>
      </c>
      <c r="AL86" s="61">
        <v>0</v>
      </c>
      <c r="AM86" s="63">
        <f>ROUND(AL86*$T86,2)</f>
        <v>0</v>
      </c>
      <c r="AN86" s="61">
        <v>0</v>
      </c>
      <c r="AO86" s="63">
        <f>ROUND(AN86*$T86,2)</f>
        <v>0</v>
      </c>
      <c r="AP86" s="61">
        <v>0</v>
      </c>
      <c r="AQ86" s="63">
        <f>ROUND(AP86*$T86,2)</f>
        <v>0</v>
      </c>
      <c r="AR86" s="61">
        <v>0</v>
      </c>
      <c r="AS86" s="63">
        <f>ROUND(AR86*$T86,2)</f>
        <v>0</v>
      </c>
      <c r="AT86" s="61">
        <v>0</v>
      </c>
      <c r="AU86" s="63">
        <f>ROUND(AT86*$T86,2)</f>
        <v>0</v>
      </c>
      <c r="AV86" s="61">
        <v>0</v>
      </c>
      <c r="AW86" s="63">
        <f>ROUND(AV86*$T86,2)</f>
        <v>0</v>
      </c>
      <c r="AX86" s="61">
        <v>0</v>
      </c>
      <c r="AY86" s="63">
        <f>ROUND(AX86*$T86,2)</f>
        <v>0</v>
      </c>
      <c r="AZ86" s="61">
        <v>0</v>
      </c>
      <c r="BA86" s="63">
        <f>ROUND(AZ86*$T86,2)</f>
        <v>0</v>
      </c>
      <c r="BB86" s="61">
        <v>0</v>
      </c>
      <c r="BC86" s="63">
        <f>ROUND(BB86*$T86,2)</f>
        <v>0</v>
      </c>
      <c r="BD86" s="61">
        <v>0</v>
      </c>
      <c r="BE86" s="63">
        <f>ROUND(BD86*$T86,2)</f>
        <v>0</v>
      </c>
      <c r="BF86" s="61">
        <f>IFERROR(SUMIFS($V86:$BE86,$V$5:$BE$5,$BF$5),0)</f>
        <v>0</v>
      </c>
      <c r="BG86" s="63">
        <f>SUMIFS($V86:$BE86,$V$5:$BE$5,$W$5)</f>
        <v>0</v>
      </c>
      <c r="BH86" s="45"/>
      <c r="BI86" s="144"/>
    </row>
    <row r="87" spans="1:61" ht="19.5" customHeight="1" x14ac:dyDescent="0.45">
      <c r="A87" s="128">
        <v>2</v>
      </c>
      <c r="B87" s="129"/>
      <c r="C87" s="130"/>
      <c r="D87" s="131"/>
      <c r="E87" s="132" t="s">
        <v>742</v>
      </c>
      <c r="F87" s="515"/>
      <c r="G87" s="516"/>
      <c r="H87" s="516"/>
      <c r="I87" s="516"/>
      <c r="J87" s="516"/>
      <c r="K87" s="516"/>
      <c r="L87" s="516"/>
      <c r="M87" s="516"/>
      <c r="N87" s="516"/>
      <c r="O87" s="133" t="s">
        <v>743</v>
      </c>
      <c r="P87" s="134"/>
      <c r="Q87" s="135" t="s">
        <v>744</v>
      </c>
      <c r="R87" s="136"/>
      <c r="S87" s="137"/>
      <c r="T87" s="138"/>
      <c r="U87" s="139">
        <f>SUM(U88:U89)</f>
        <v>21386.25</v>
      </c>
      <c r="V87" s="137"/>
      <c r="W87" s="139">
        <f>SUM(W88:W89)</f>
        <v>0</v>
      </c>
      <c r="X87" s="137"/>
      <c r="Y87" s="139">
        <f>SUM(Y88:Y89)</f>
        <v>0</v>
      </c>
      <c r="Z87" s="137"/>
      <c r="AA87" s="139">
        <f>SUM(AA88:AA89)</f>
        <v>0</v>
      </c>
      <c r="AB87" s="137"/>
      <c r="AC87" s="139">
        <f>SUM(AC88:AC89)</f>
        <v>0</v>
      </c>
      <c r="AD87" s="137"/>
      <c r="AE87" s="139">
        <f>SUM(AE88:AE89)</f>
        <v>0</v>
      </c>
      <c r="AF87" s="137"/>
      <c r="AG87" s="139">
        <f>SUM(AG88:AG89)</f>
        <v>0</v>
      </c>
      <c r="AH87" s="137"/>
      <c r="AI87" s="139">
        <f>SUM(AI88:AI89)</f>
        <v>0</v>
      </c>
      <c r="AJ87" s="137"/>
      <c r="AK87" s="139">
        <f>SUM(AK88:AK89)</f>
        <v>0</v>
      </c>
      <c r="AL87" s="137"/>
      <c r="AM87" s="139">
        <f>SUM(AM88:AM89)</f>
        <v>0</v>
      </c>
      <c r="AN87" s="137"/>
      <c r="AO87" s="139">
        <f>SUM(AO88:AO89)</f>
        <v>0</v>
      </c>
      <c r="AP87" s="137"/>
      <c r="AQ87" s="139">
        <f>SUM(AQ88:AQ89)</f>
        <v>0</v>
      </c>
      <c r="AR87" s="137"/>
      <c r="AS87" s="139">
        <f>SUM(AS88:AS89)</f>
        <v>0</v>
      </c>
      <c r="AT87" s="137"/>
      <c r="AU87" s="139">
        <f>SUM(AU88:AU89)</f>
        <v>0</v>
      </c>
      <c r="AV87" s="137"/>
      <c r="AW87" s="139">
        <f>SUM(AW88:AW89)</f>
        <v>0</v>
      </c>
      <c r="AX87" s="137"/>
      <c r="AY87" s="139">
        <f>SUM(AY88:AY89)</f>
        <v>0</v>
      </c>
      <c r="AZ87" s="137"/>
      <c r="BA87" s="139">
        <f>SUM(BA88:BA89)</f>
        <v>0</v>
      </c>
      <c r="BB87" s="137"/>
      <c r="BC87" s="139">
        <f>SUM(BC88:BC89)</f>
        <v>0</v>
      </c>
      <c r="BD87" s="137"/>
      <c r="BE87" s="139">
        <f>SUM(BE88:BE89)</f>
        <v>0</v>
      </c>
      <c r="BF87" s="137"/>
      <c r="BG87" s="139">
        <f>SUM(BG88:BG89)</f>
        <v>0</v>
      </c>
      <c r="BH87" s="45"/>
    </row>
    <row r="88" spans="1:61" ht="19.5" customHeight="1" x14ac:dyDescent="0.45">
      <c r="A88" s="140">
        <v>2</v>
      </c>
      <c r="B88" s="141" t="s">
        <v>824</v>
      </c>
      <c r="C88" s="142" t="s">
        <v>1471</v>
      </c>
      <c r="D88" s="143" t="str">
        <f>B88&amp;"_"&amp;E88</f>
        <v>2.1_1.18.4</v>
      </c>
      <c r="E88" s="56" t="s">
        <v>760</v>
      </c>
      <c r="F88" s="506" t="s">
        <v>761</v>
      </c>
      <c r="G88" s="507" t="s">
        <v>39</v>
      </c>
      <c r="H88" s="507" t="s">
        <v>39</v>
      </c>
      <c r="I88" s="507" t="s">
        <v>762</v>
      </c>
      <c r="J88" s="507" t="s">
        <v>39</v>
      </c>
      <c r="K88" s="507" t="s">
        <v>39</v>
      </c>
      <c r="L88" s="507" t="s">
        <v>257</v>
      </c>
      <c r="M88" s="507" t="s">
        <v>763</v>
      </c>
      <c r="N88" s="507" t="s">
        <v>41</v>
      </c>
      <c r="O88" s="57" t="s">
        <v>764</v>
      </c>
      <c r="P88" s="58" t="s">
        <v>21</v>
      </c>
      <c r="Q88" s="59" t="s">
        <v>765</v>
      </c>
      <c r="R88" s="60" t="s">
        <v>71</v>
      </c>
      <c r="S88" s="61">
        <v>25</v>
      </c>
      <c r="T88" s="62">
        <f>INDEX('BM MORRO DA CRUZ'!$P$6:$P$402,MATCH($O88,'BM MORRO DA CRUZ'!$K$6:$K$402,0))</f>
        <v>39.450000000000003</v>
      </c>
      <c r="U88" s="63">
        <f>ROUND(T88*$S88,2)</f>
        <v>986.25</v>
      </c>
      <c r="V88" s="61">
        <f>IFERROR(SUMIFS('01ª MC'!$W$1:$W$1840,'01ª MC'!$C$1:$C$1840,$D88),0)</f>
        <v>0</v>
      </c>
      <c r="W88" s="63">
        <f>ROUND(V88*$T88,2)</f>
        <v>0</v>
      </c>
      <c r="X88" s="61">
        <v>0</v>
      </c>
      <c r="Y88" s="63">
        <f>ROUND(X88*$T88,2)</f>
        <v>0</v>
      </c>
      <c r="Z88" s="61">
        <v>0</v>
      </c>
      <c r="AA88" s="63">
        <f>ROUND(Z88*$T88,2)</f>
        <v>0</v>
      </c>
      <c r="AB88" s="61">
        <v>0</v>
      </c>
      <c r="AC88" s="63">
        <f>ROUND(AB88*$T88,2)</f>
        <v>0</v>
      </c>
      <c r="AD88" s="61">
        <v>0</v>
      </c>
      <c r="AE88" s="63">
        <f>ROUND(AD88*$T88,2)</f>
        <v>0</v>
      </c>
      <c r="AF88" s="61">
        <v>0</v>
      </c>
      <c r="AG88" s="63">
        <f>ROUND(AF88*$T88,2)</f>
        <v>0</v>
      </c>
      <c r="AH88" s="61">
        <v>0</v>
      </c>
      <c r="AI88" s="63">
        <f>ROUND(AH88*$T88,2)</f>
        <v>0</v>
      </c>
      <c r="AJ88" s="61">
        <v>0</v>
      </c>
      <c r="AK88" s="63">
        <f>ROUND(AJ88*$T88,2)</f>
        <v>0</v>
      </c>
      <c r="AL88" s="61">
        <v>0</v>
      </c>
      <c r="AM88" s="63">
        <f>ROUND(AL88*$T88,2)</f>
        <v>0</v>
      </c>
      <c r="AN88" s="61">
        <v>0</v>
      </c>
      <c r="AO88" s="63">
        <f>ROUND(AN88*$T88,2)</f>
        <v>0</v>
      </c>
      <c r="AP88" s="61">
        <v>0</v>
      </c>
      <c r="AQ88" s="63">
        <f>ROUND(AP88*$T88,2)</f>
        <v>0</v>
      </c>
      <c r="AR88" s="61">
        <v>0</v>
      </c>
      <c r="AS88" s="63">
        <f>ROUND(AR88*$T88,2)</f>
        <v>0</v>
      </c>
      <c r="AT88" s="61">
        <v>0</v>
      </c>
      <c r="AU88" s="63">
        <f>ROUND(AT88*$T88,2)</f>
        <v>0</v>
      </c>
      <c r="AV88" s="61">
        <v>0</v>
      </c>
      <c r="AW88" s="63">
        <f>ROUND(AV88*$T88,2)</f>
        <v>0</v>
      </c>
      <c r="AX88" s="61">
        <v>0</v>
      </c>
      <c r="AY88" s="63">
        <f>ROUND(AX88*$T88,2)</f>
        <v>0</v>
      </c>
      <c r="AZ88" s="61">
        <v>0</v>
      </c>
      <c r="BA88" s="63">
        <f>ROUND(AZ88*$T88,2)</f>
        <v>0</v>
      </c>
      <c r="BB88" s="61">
        <v>0</v>
      </c>
      <c r="BC88" s="63">
        <f>ROUND(BB88*$T88,2)</f>
        <v>0</v>
      </c>
      <c r="BD88" s="61">
        <v>0</v>
      </c>
      <c r="BE88" s="63">
        <f>ROUND(BD88*$T88,2)</f>
        <v>0</v>
      </c>
      <c r="BF88" s="61">
        <f>IFERROR(SUMIFS($V88:$BE88,$V$5:$BE$5,$BF$5),0)</f>
        <v>0</v>
      </c>
      <c r="BG88" s="63">
        <f>SUMIFS($V88:$BE88,$V$5:$BE$5,$W$5)</f>
        <v>0</v>
      </c>
      <c r="BH88" s="45"/>
      <c r="BI88" s="144"/>
    </row>
    <row r="89" spans="1:61" ht="26.25" customHeight="1" x14ac:dyDescent="0.45">
      <c r="A89" s="140">
        <v>2</v>
      </c>
      <c r="B89" s="141" t="s">
        <v>824</v>
      </c>
      <c r="C89" s="142" t="s">
        <v>1471</v>
      </c>
      <c r="D89" s="143" t="str">
        <f>B89&amp;"_"&amp;E89</f>
        <v>2.1_1.18.9</v>
      </c>
      <c r="E89" s="56" t="s">
        <v>786</v>
      </c>
      <c r="F89" s="506" t="s">
        <v>787</v>
      </c>
      <c r="G89" s="507" t="s">
        <v>39</v>
      </c>
      <c r="H89" s="507" t="s">
        <v>39</v>
      </c>
      <c r="I89" s="507" t="s">
        <v>787</v>
      </c>
      <c r="J89" s="507" t="s">
        <v>39</v>
      </c>
      <c r="K89" s="507" t="s">
        <v>788</v>
      </c>
      <c r="L89" s="507" t="s">
        <v>789</v>
      </c>
      <c r="M89" s="507" t="s">
        <v>763</v>
      </c>
      <c r="N89" s="507" t="s">
        <v>40</v>
      </c>
      <c r="O89" s="57" t="s">
        <v>790</v>
      </c>
      <c r="P89" s="58" t="s">
        <v>21</v>
      </c>
      <c r="Q89" s="59" t="s">
        <v>791</v>
      </c>
      <c r="R89" s="60" t="s">
        <v>792</v>
      </c>
      <c r="S89" s="61">
        <v>51</v>
      </c>
      <c r="T89" s="62">
        <f>INDEX('BM MORRO DA CRUZ'!$P$6:$P$402,MATCH($O89,'BM MORRO DA CRUZ'!$K$6:$K$402,0))</f>
        <v>400</v>
      </c>
      <c r="U89" s="63">
        <f>ROUND(T89*$S89,2)</f>
        <v>20400</v>
      </c>
      <c r="V89" s="61">
        <f>IFERROR(SUMIFS('01ª MC'!$W$1:$W$1840,'01ª MC'!$C$1:$C$1840,$D89),0)</f>
        <v>0</v>
      </c>
      <c r="W89" s="63">
        <f>ROUND(V89*$T89,2)</f>
        <v>0</v>
      </c>
      <c r="X89" s="61">
        <v>0</v>
      </c>
      <c r="Y89" s="63">
        <f>ROUND(X89*$T89,2)</f>
        <v>0</v>
      </c>
      <c r="Z89" s="61">
        <v>0</v>
      </c>
      <c r="AA89" s="63">
        <f>ROUND(Z89*$T89,2)</f>
        <v>0</v>
      </c>
      <c r="AB89" s="61">
        <v>0</v>
      </c>
      <c r="AC89" s="63">
        <f>ROUND(AB89*$T89,2)</f>
        <v>0</v>
      </c>
      <c r="AD89" s="61">
        <v>0</v>
      </c>
      <c r="AE89" s="63">
        <f>ROUND(AD89*$T89,2)</f>
        <v>0</v>
      </c>
      <c r="AF89" s="61">
        <v>0</v>
      </c>
      <c r="AG89" s="63">
        <f>ROUND(AF89*$T89,2)</f>
        <v>0</v>
      </c>
      <c r="AH89" s="61">
        <v>0</v>
      </c>
      <c r="AI89" s="63">
        <f>ROUND(AH89*$T89,2)</f>
        <v>0</v>
      </c>
      <c r="AJ89" s="61">
        <v>0</v>
      </c>
      <c r="AK89" s="63">
        <f>ROUND(AJ89*$T89,2)</f>
        <v>0</v>
      </c>
      <c r="AL89" s="61">
        <v>0</v>
      </c>
      <c r="AM89" s="63">
        <f>ROUND(AL89*$T89,2)</f>
        <v>0</v>
      </c>
      <c r="AN89" s="61">
        <v>0</v>
      </c>
      <c r="AO89" s="63">
        <f>ROUND(AN89*$T89,2)</f>
        <v>0</v>
      </c>
      <c r="AP89" s="61">
        <v>0</v>
      </c>
      <c r="AQ89" s="63">
        <f>ROUND(AP89*$T89,2)</f>
        <v>0</v>
      </c>
      <c r="AR89" s="61">
        <v>0</v>
      </c>
      <c r="AS89" s="63">
        <f>ROUND(AR89*$T89,2)</f>
        <v>0</v>
      </c>
      <c r="AT89" s="61">
        <v>0</v>
      </c>
      <c r="AU89" s="63">
        <f>ROUND(AT89*$T89,2)</f>
        <v>0</v>
      </c>
      <c r="AV89" s="61">
        <v>0</v>
      </c>
      <c r="AW89" s="63">
        <f>ROUND(AV89*$T89,2)</f>
        <v>0</v>
      </c>
      <c r="AX89" s="61">
        <v>0</v>
      </c>
      <c r="AY89" s="63">
        <f>ROUND(AX89*$T89,2)</f>
        <v>0</v>
      </c>
      <c r="AZ89" s="61">
        <v>0</v>
      </c>
      <c r="BA89" s="63">
        <f>ROUND(AZ89*$T89,2)</f>
        <v>0</v>
      </c>
      <c r="BB89" s="61">
        <v>0</v>
      </c>
      <c r="BC89" s="63">
        <f>ROUND(BB89*$T89,2)</f>
        <v>0</v>
      </c>
      <c r="BD89" s="61">
        <v>0</v>
      </c>
      <c r="BE89" s="63">
        <f>ROUND(BD89*$T89,2)</f>
        <v>0</v>
      </c>
      <c r="BF89" s="61">
        <f>IFERROR(SUMIFS($V89:$BE89,$V$5:$BE$5,$BF$5),0)</f>
        <v>0</v>
      </c>
      <c r="BG89" s="63">
        <f>SUMIFS($V89:$BE89,$V$5:$BE$5,$W$5)</f>
        <v>0</v>
      </c>
      <c r="BH89" s="45"/>
      <c r="BI89" s="144"/>
    </row>
    <row r="90" spans="1:61" ht="19.5" customHeight="1" x14ac:dyDescent="0.45">
      <c r="A90" s="117">
        <v>2</v>
      </c>
      <c r="B90" s="118"/>
      <c r="C90" s="119"/>
      <c r="D90" s="120"/>
      <c r="E90" s="35" t="s">
        <v>1465</v>
      </c>
      <c r="F90" s="513"/>
      <c r="G90" s="514"/>
      <c r="H90" s="514"/>
      <c r="I90" s="514"/>
      <c r="J90" s="514"/>
      <c r="K90" s="514"/>
      <c r="L90" s="514"/>
      <c r="M90" s="514"/>
      <c r="N90" s="514"/>
      <c r="O90" s="121" t="s">
        <v>848</v>
      </c>
      <c r="P90" s="122"/>
      <c r="Q90" s="123" t="s">
        <v>849</v>
      </c>
      <c r="R90" s="124"/>
      <c r="S90" s="125"/>
      <c r="T90" s="126"/>
      <c r="U90" s="127">
        <f>SUM(U91,U98,U101,U123,U128,U130,U172,U177,U181,U189)</f>
        <v>28341359.979999997</v>
      </c>
      <c r="V90" s="125"/>
      <c r="W90" s="127">
        <f>SUM(W91,W98,W101,W123,W128,W130,W172,W177,W181,W189)</f>
        <v>0</v>
      </c>
      <c r="X90" s="125"/>
      <c r="Y90" s="127">
        <f>SUM(Y91,Y98,Y101,Y123,Y128,Y130,Y172,Y177,Y181,Y189)</f>
        <v>0</v>
      </c>
      <c r="Z90" s="125"/>
      <c r="AA90" s="127">
        <f>SUM(AA91,AA98,AA101,AA123,AA128,AA130,AA172,AA177,AA181,AA189)</f>
        <v>0</v>
      </c>
      <c r="AB90" s="125"/>
      <c r="AC90" s="127">
        <f>SUM(AC91,AC98,AC101,AC123,AC128,AC130,AC172,AC177,AC181,AC189)</f>
        <v>0</v>
      </c>
      <c r="AD90" s="125"/>
      <c r="AE90" s="127">
        <f>SUM(AE91,AE98,AE101,AE123,AE128,AE130,AE172,AE177,AE181,AE189)</f>
        <v>0</v>
      </c>
      <c r="AF90" s="125"/>
      <c r="AG90" s="127">
        <f>SUM(AG91,AG98,AG101,AG123,AG128,AG130,AG172,AG177,AG181,AG189)</f>
        <v>0</v>
      </c>
      <c r="AH90" s="125"/>
      <c r="AI90" s="127">
        <f>SUM(AI91,AI98,AI101,AI123,AI128,AI130,AI172,AI177,AI181,AI189)</f>
        <v>0</v>
      </c>
      <c r="AJ90" s="125"/>
      <c r="AK90" s="127">
        <f>SUM(AK91,AK98,AK101,AK123,AK128,AK130,AK172,AK177,AK181,AK189)</f>
        <v>0</v>
      </c>
      <c r="AL90" s="125"/>
      <c r="AM90" s="127">
        <f>SUM(AM91,AM98,AM101,AM123,AM128,AM130,AM172,AM177,AM181,AM189)</f>
        <v>0</v>
      </c>
      <c r="AN90" s="125"/>
      <c r="AO90" s="127">
        <f>SUM(AO91,AO98,AO101,AO123,AO128,AO130,AO172,AO177,AO181,AO189)</f>
        <v>0</v>
      </c>
      <c r="AP90" s="125"/>
      <c r="AQ90" s="127">
        <f>SUM(AQ91,AQ98,AQ101,AQ123,AQ128,AQ130,AQ172,AQ177,AQ181,AQ189)</f>
        <v>0</v>
      </c>
      <c r="AR90" s="125"/>
      <c r="AS90" s="127">
        <f>SUM(AS91,AS98,AS101,AS123,AS128,AS130,AS172,AS177,AS181,AS189)</f>
        <v>0</v>
      </c>
      <c r="AT90" s="125"/>
      <c r="AU90" s="127">
        <f>SUM(AU91,AU98,AU101,AU123,AU128,AU130,AU172,AU177,AU181,AU189)</f>
        <v>0</v>
      </c>
      <c r="AV90" s="125"/>
      <c r="AW90" s="127">
        <f>SUM(AW91,AW98,AW101,AW123,AW128,AW130,AW172,AW177,AW181,AW189)</f>
        <v>0</v>
      </c>
      <c r="AX90" s="125"/>
      <c r="AY90" s="127">
        <f>SUM(AY91,AY98,AY101,AY123,AY128,AY130,AY172,AY177,AY181,AY189)</f>
        <v>0</v>
      </c>
      <c r="AZ90" s="125"/>
      <c r="BA90" s="127">
        <f>SUM(BA91,BA98,BA101,BA123,BA128,BA130,BA172,BA177,BA181,BA189)</f>
        <v>0</v>
      </c>
      <c r="BB90" s="125"/>
      <c r="BC90" s="127">
        <f>SUM(BC91,BC98,BC101,BC123,BC128,BC130,BC172,BC177,BC181,BC189)</f>
        <v>0</v>
      </c>
      <c r="BD90" s="125"/>
      <c r="BE90" s="127">
        <f>SUM(BE91,BE98,BE101,BE123,BE128,BE130,BE172,BE177,BE181,BE189)</f>
        <v>0</v>
      </c>
      <c r="BF90" s="125"/>
      <c r="BG90" s="127">
        <f>SUM(BG91,BG98,BG101,BG123,BG128,BG130,BG172,BG177,BG181,BG189)</f>
        <v>0</v>
      </c>
      <c r="BH90" s="45"/>
    </row>
    <row r="91" spans="1:61" ht="19.5" customHeight="1" x14ac:dyDescent="0.45">
      <c r="A91" s="128">
        <v>2</v>
      </c>
      <c r="B91" s="129"/>
      <c r="C91" s="130"/>
      <c r="D91" s="131"/>
      <c r="E91" s="132" t="s">
        <v>859</v>
      </c>
      <c r="F91" s="515"/>
      <c r="G91" s="516"/>
      <c r="H91" s="516"/>
      <c r="I91" s="516"/>
      <c r="J91" s="516"/>
      <c r="K91" s="516"/>
      <c r="L91" s="516"/>
      <c r="M91" s="516"/>
      <c r="N91" s="516"/>
      <c r="O91" s="133" t="s">
        <v>825</v>
      </c>
      <c r="P91" s="134"/>
      <c r="Q91" s="135" t="s">
        <v>826</v>
      </c>
      <c r="R91" s="136"/>
      <c r="S91" s="137"/>
      <c r="T91" s="138"/>
      <c r="U91" s="139">
        <f>SUM(U92:U97)</f>
        <v>1335467.19</v>
      </c>
      <c r="V91" s="137"/>
      <c r="W91" s="139">
        <f>SUM(W92:W97)</f>
        <v>0</v>
      </c>
      <c r="X91" s="137"/>
      <c r="Y91" s="139">
        <f>SUM(Y92:Y97)</f>
        <v>0</v>
      </c>
      <c r="Z91" s="137"/>
      <c r="AA91" s="139">
        <f>SUM(AA92:AA97)</f>
        <v>0</v>
      </c>
      <c r="AB91" s="137"/>
      <c r="AC91" s="139">
        <f>SUM(AC92:AC97)</f>
        <v>0</v>
      </c>
      <c r="AD91" s="137"/>
      <c r="AE91" s="139">
        <f>SUM(AE92:AE97)</f>
        <v>0</v>
      </c>
      <c r="AF91" s="137"/>
      <c r="AG91" s="139">
        <f>SUM(AG92:AG97)</f>
        <v>0</v>
      </c>
      <c r="AH91" s="137"/>
      <c r="AI91" s="139">
        <f>SUM(AI92:AI97)</f>
        <v>0</v>
      </c>
      <c r="AJ91" s="137"/>
      <c r="AK91" s="139">
        <f>SUM(AK92:AK97)</f>
        <v>0</v>
      </c>
      <c r="AL91" s="137"/>
      <c r="AM91" s="139">
        <f>SUM(AM92:AM97)</f>
        <v>0</v>
      </c>
      <c r="AN91" s="137"/>
      <c r="AO91" s="139">
        <f>SUM(AO92:AO97)</f>
        <v>0</v>
      </c>
      <c r="AP91" s="137"/>
      <c r="AQ91" s="139">
        <f>SUM(AQ92:AQ97)</f>
        <v>0</v>
      </c>
      <c r="AR91" s="137"/>
      <c r="AS91" s="139">
        <f>SUM(AS92:AS97)</f>
        <v>0</v>
      </c>
      <c r="AT91" s="137"/>
      <c r="AU91" s="139">
        <f>SUM(AU92:AU97)</f>
        <v>0</v>
      </c>
      <c r="AV91" s="137"/>
      <c r="AW91" s="139">
        <f>SUM(AW92:AW97)</f>
        <v>0</v>
      </c>
      <c r="AX91" s="137"/>
      <c r="AY91" s="139">
        <f>SUM(AY92:AY97)</f>
        <v>0</v>
      </c>
      <c r="AZ91" s="137"/>
      <c r="BA91" s="139">
        <f>SUM(BA92:BA97)</f>
        <v>0</v>
      </c>
      <c r="BB91" s="137"/>
      <c r="BC91" s="139">
        <f>SUM(BC92:BC97)</f>
        <v>0</v>
      </c>
      <c r="BD91" s="137"/>
      <c r="BE91" s="139">
        <f>SUM(BE92:BE97)</f>
        <v>0</v>
      </c>
      <c r="BF91" s="137"/>
      <c r="BG91" s="139">
        <f>SUM(BG92:BG97)</f>
        <v>0</v>
      </c>
      <c r="BH91" s="45"/>
    </row>
    <row r="92" spans="1:61" ht="26" customHeight="1" x14ac:dyDescent="0.45">
      <c r="A92" s="140">
        <v>2</v>
      </c>
      <c r="B92" s="141" t="s">
        <v>1472</v>
      </c>
      <c r="C92" s="142" t="s">
        <v>1473</v>
      </c>
      <c r="D92" s="143" t="str">
        <f t="shared" ref="D92:D97" si="22">B92&amp;"_"&amp;E92</f>
        <v>2.2_5.2.1</v>
      </c>
      <c r="E92" s="56" t="s">
        <v>860</v>
      </c>
      <c r="F92" s="506" t="s">
        <v>862</v>
      </c>
      <c r="G92" s="507" t="s">
        <v>39</v>
      </c>
      <c r="H92" s="507" t="s">
        <v>39</v>
      </c>
      <c r="I92" s="507" t="s">
        <v>1727</v>
      </c>
      <c r="J92" s="507" t="s">
        <v>39</v>
      </c>
      <c r="K92" s="507" t="s">
        <v>39</v>
      </c>
      <c r="L92" s="507" t="s">
        <v>39</v>
      </c>
      <c r="M92" s="507" t="s">
        <v>763</v>
      </c>
      <c r="N92" s="507" t="s">
        <v>1727</v>
      </c>
      <c r="O92" s="57" t="s">
        <v>861</v>
      </c>
      <c r="P92" s="58" t="s">
        <v>846</v>
      </c>
      <c r="Q92" s="59" t="s">
        <v>862</v>
      </c>
      <c r="R92" s="60" t="s">
        <v>367</v>
      </c>
      <c r="S92" s="61">
        <v>111219.2</v>
      </c>
      <c r="T92" s="62">
        <f>INDEX('BM MORRO DA CRUZ'!$P$6:$P$402,MATCH($O92,'BM MORRO DA CRUZ'!$K$6:$K$402,0))</f>
        <v>2.61</v>
      </c>
      <c r="U92" s="63">
        <f t="shared" ref="U92:U97" si="23">ROUND(T92*$S92,2)</f>
        <v>290282.11</v>
      </c>
      <c r="V92" s="61">
        <f>IFERROR(SUMIFS('01ª MC'!$W$1:$W$1840,'01ª MC'!$C$1:$C$1840,$D92),0)</f>
        <v>0</v>
      </c>
      <c r="W92" s="63">
        <f t="shared" ref="W92:W97" si="24">ROUND(V92*$T92,2)</f>
        <v>0</v>
      </c>
      <c r="X92" s="61">
        <v>0</v>
      </c>
      <c r="Y92" s="63">
        <f t="shared" ref="Y92:Y97" si="25">ROUND(X92*$T92,2)</f>
        <v>0</v>
      </c>
      <c r="Z92" s="61">
        <v>0</v>
      </c>
      <c r="AA92" s="63">
        <f t="shared" ref="AA92:AA97" si="26">ROUND(Z92*$T92,2)</f>
        <v>0</v>
      </c>
      <c r="AB92" s="61">
        <v>0</v>
      </c>
      <c r="AC92" s="63">
        <f t="shared" ref="AC92:AC97" si="27">ROUND(AB92*$T92,2)</f>
        <v>0</v>
      </c>
      <c r="AD92" s="61">
        <v>0</v>
      </c>
      <c r="AE92" s="63">
        <f t="shared" ref="AE92:AE97" si="28">ROUND(AD92*$T92,2)</f>
        <v>0</v>
      </c>
      <c r="AF92" s="61">
        <v>0</v>
      </c>
      <c r="AG92" s="63">
        <f t="shared" ref="AG92:AG97" si="29">ROUND(AF92*$T92,2)</f>
        <v>0</v>
      </c>
      <c r="AH92" s="61">
        <v>0</v>
      </c>
      <c r="AI92" s="63">
        <f t="shared" ref="AI92:AI97" si="30">ROUND(AH92*$T92,2)</f>
        <v>0</v>
      </c>
      <c r="AJ92" s="61">
        <v>0</v>
      </c>
      <c r="AK92" s="63">
        <f t="shared" ref="AK92:AK97" si="31">ROUND(AJ92*$T92,2)</f>
        <v>0</v>
      </c>
      <c r="AL92" s="61">
        <v>0</v>
      </c>
      <c r="AM92" s="63">
        <f t="shared" ref="AM92:AM97" si="32">ROUND(AL92*$T92,2)</f>
        <v>0</v>
      </c>
      <c r="AN92" s="61">
        <v>0</v>
      </c>
      <c r="AO92" s="63">
        <f t="shared" ref="AO92:AO97" si="33">ROUND(AN92*$T92,2)</f>
        <v>0</v>
      </c>
      <c r="AP92" s="61">
        <v>0</v>
      </c>
      <c r="AQ92" s="63">
        <f t="shared" ref="AQ92:AQ97" si="34">ROUND(AP92*$T92,2)</f>
        <v>0</v>
      </c>
      <c r="AR92" s="61">
        <v>0</v>
      </c>
      <c r="AS92" s="63">
        <f t="shared" ref="AS92:AS97" si="35">ROUND(AR92*$T92,2)</f>
        <v>0</v>
      </c>
      <c r="AT92" s="61">
        <v>0</v>
      </c>
      <c r="AU92" s="63">
        <f t="shared" ref="AU92:AU97" si="36">ROUND(AT92*$T92,2)</f>
        <v>0</v>
      </c>
      <c r="AV92" s="61">
        <v>0</v>
      </c>
      <c r="AW92" s="63">
        <f t="shared" ref="AW92:AW97" si="37">ROUND(AV92*$T92,2)</f>
        <v>0</v>
      </c>
      <c r="AX92" s="61">
        <v>0</v>
      </c>
      <c r="AY92" s="63">
        <f t="shared" ref="AY92:AY97" si="38">ROUND(AX92*$T92,2)</f>
        <v>0</v>
      </c>
      <c r="AZ92" s="61">
        <v>0</v>
      </c>
      <c r="BA92" s="63">
        <f t="shared" ref="BA92:BA97" si="39">ROUND(AZ92*$T92,2)</f>
        <v>0</v>
      </c>
      <c r="BB92" s="61">
        <v>0</v>
      </c>
      <c r="BC92" s="63">
        <f t="shared" ref="BC92:BC97" si="40">ROUND(BB92*$T92,2)</f>
        <v>0</v>
      </c>
      <c r="BD92" s="61">
        <v>0</v>
      </c>
      <c r="BE92" s="63">
        <f t="shared" ref="BE92:BE97" si="41">ROUND(BD92*$T92,2)</f>
        <v>0</v>
      </c>
      <c r="BF92" s="61">
        <f t="shared" ref="BF92:BF97" si="42">IFERROR(SUMIFS($V92:$BE92,$V$5:$BE$5,$BF$5),0)</f>
        <v>0</v>
      </c>
      <c r="BG92" s="63">
        <f t="shared" ref="BG92:BG97" si="43">SUMIFS($V92:$BE92,$V$5:$BE$5,$W$5)</f>
        <v>0</v>
      </c>
      <c r="BH92" s="45"/>
      <c r="BI92" s="144"/>
    </row>
    <row r="93" spans="1:61" ht="26" customHeight="1" x14ac:dyDescent="0.45">
      <c r="A93" s="140">
        <v>2</v>
      </c>
      <c r="B93" s="141" t="s">
        <v>1472</v>
      </c>
      <c r="C93" s="142" t="s">
        <v>1473</v>
      </c>
      <c r="D93" s="143" t="str">
        <f t="shared" si="22"/>
        <v>2.2_5.2.2</v>
      </c>
      <c r="E93" s="56" t="s">
        <v>863</v>
      </c>
      <c r="F93" s="506" t="s">
        <v>1728</v>
      </c>
      <c r="G93" s="507" t="s">
        <v>39</v>
      </c>
      <c r="H93" s="507" t="s">
        <v>39</v>
      </c>
      <c r="I93" s="507" t="s">
        <v>1729</v>
      </c>
      <c r="J93" s="507" t="s">
        <v>39</v>
      </c>
      <c r="K93" s="507" t="s">
        <v>39</v>
      </c>
      <c r="L93" s="507" t="s">
        <v>1730</v>
      </c>
      <c r="M93" s="507" t="s">
        <v>763</v>
      </c>
      <c r="N93" s="507" t="s">
        <v>1731</v>
      </c>
      <c r="O93" s="57" t="s">
        <v>864</v>
      </c>
      <c r="P93" s="58" t="s">
        <v>846</v>
      </c>
      <c r="Q93" s="59" t="s">
        <v>865</v>
      </c>
      <c r="R93" s="60" t="s">
        <v>71</v>
      </c>
      <c r="S93" s="61">
        <v>1307</v>
      </c>
      <c r="T93" s="62">
        <f>INDEX('BM MORRO DA CRUZ'!$P$6:$P$402,MATCH($O93,'BM MORRO DA CRUZ'!$K$6:$K$402,0))</f>
        <v>236.46</v>
      </c>
      <c r="U93" s="63">
        <f t="shared" si="23"/>
        <v>309053.21999999997</v>
      </c>
      <c r="V93" s="61">
        <f>IFERROR(SUMIFS('01ª MC'!$W$1:$W$1840,'01ª MC'!$C$1:$C$1840,$D93),0)</f>
        <v>0</v>
      </c>
      <c r="W93" s="63">
        <f t="shared" si="24"/>
        <v>0</v>
      </c>
      <c r="X93" s="61">
        <v>0</v>
      </c>
      <c r="Y93" s="63">
        <f t="shared" si="25"/>
        <v>0</v>
      </c>
      <c r="Z93" s="61">
        <v>0</v>
      </c>
      <c r="AA93" s="63">
        <f t="shared" si="26"/>
        <v>0</v>
      </c>
      <c r="AB93" s="61">
        <v>0</v>
      </c>
      <c r="AC93" s="63">
        <f t="shared" si="27"/>
        <v>0</v>
      </c>
      <c r="AD93" s="61">
        <v>0</v>
      </c>
      <c r="AE93" s="63">
        <f t="shared" si="28"/>
        <v>0</v>
      </c>
      <c r="AF93" s="61">
        <v>0</v>
      </c>
      <c r="AG93" s="63">
        <f t="shared" si="29"/>
        <v>0</v>
      </c>
      <c r="AH93" s="61">
        <v>0</v>
      </c>
      <c r="AI93" s="63">
        <f t="shared" si="30"/>
        <v>0</v>
      </c>
      <c r="AJ93" s="61">
        <v>0</v>
      </c>
      <c r="AK93" s="63">
        <f t="shared" si="31"/>
        <v>0</v>
      </c>
      <c r="AL93" s="61">
        <v>0</v>
      </c>
      <c r="AM93" s="63">
        <f t="shared" si="32"/>
        <v>0</v>
      </c>
      <c r="AN93" s="61">
        <v>0</v>
      </c>
      <c r="AO93" s="63">
        <f t="shared" si="33"/>
        <v>0</v>
      </c>
      <c r="AP93" s="61">
        <v>0</v>
      </c>
      <c r="AQ93" s="63">
        <f t="shared" si="34"/>
        <v>0</v>
      </c>
      <c r="AR93" s="61">
        <v>0</v>
      </c>
      <c r="AS93" s="63">
        <f t="shared" si="35"/>
        <v>0</v>
      </c>
      <c r="AT93" s="61">
        <v>0</v>
      </c>
      <c r="AU93" s="63">
        <f t="shared" si="36"/>
        <v>0</v>
      </c>
      <c r="AV93" s="61">
        <v>0</v>
      </c>
      <c r="AW93" s="63">
        <f t="shared" si="37"/>
        <v>0</v>
      </c>
      <c r="AX93" s="61">
        <v>0</v>
      </c>
      <c r="AY93" s="63">
        <f t="shared" si="38"/>
        <v>0</v>
      </c>
      <c r="AZ93" s="61">
        <v>0</v>
      </c>
      <c r="BA93" s="63">
        <f t="shared" si="39"/>
        <v>0</v>
      </c>
      <c r="BB93" s="61">
        <v>0</v>
      </c>
      <c r="BC93" s="63">
        <f t="shared" si="40"/>
        <v>0</v>
      </c>
      <c r="BD93" s="61">
        <v>0</v>
      </c>
      <c r="BE93" s="63">
        <f t="shared" si="41"/>
        <v>0</v>
      </c>
      <c r="BF93" s="61">
        <f t="shared" si="42"/>
        <v>0</v>
      </c>
      <c r="BG93" s="63">
        <f t="shared" si="43"/>
        <v>0</v>
      </c>
      <c r="BH93" s="45"/>
      <c r="BI93" s="144"/>
    </row>
    <row r="94" spans="1:61" ht="26" customHeight="1" x14ac:dyDescent="0.45">
      <c r="A94" s="140">
        <v>2</v>
      </c>
      <c r="B94" s="141" t="s">
        <v>1472</v>
      </c>
      <c r="C94" s="142" t="s">
        <v>1473</v>
      </c>
      <c r="D94" s="143" t="str">
        <f t="shared" si="22"/>
        <v>2.2_5.2.3</v>
      </c>
      <c r="E94" s="56" t="s">
        <v>866</v>
      </c>
      <c r="F94" s="506" t="s">
        <v>1732</v>
      </c>
      <c r="G94" s="507" t="s">
        <v>39</v>
      </c>
      <c r="H94" s="507" t="s">
        <v>39</v>
      </c>
      <c r="I94" s="507" t="s">
        <v>1729</v>
      </c>
      <c r="J94" s="507" t="s">
        <v>39</v>
      </c>
      <c r="K94" s="507" t="s">
        <v>39</v>
      </c>
      <c r="L94" s="507" t="s">
        <v>1730</v>
      </c>
      <c r="M94" s="507" t="s">
        <v>763</v>
      </c>
      <c r="N94" s="507" t="s">
        <v>1731</v>
      </c>
      <c r="O94" s="57" t="s">
        <v>867</v>
      </c>
      <c r="P94" s="58" t="s">
        <v>846</v>
      </c>
      <c r="Q94" s="59" t="s">
        <v>868</v>
      </c>
      <c r="R94" s="60" t="s">
        <v>71</v>
      </c>
      <c r="S94" s="61">
        <v>1307</v>
      </c>
      <c r="T94" s="62">
        <f>INDEX('BM MORRO DA CRUZ'!$P$6:$P$402,MATCH($O94,'BM MORRO DA CRUZ'!$K$6:$K$402,0))</f>
        <v>199.12</v>
      </c>
      <c r="U94" s="63">
        <f t="shared" si="23"/>
        <v>260249.84</v>
      </c>
      <c r="V94" s="61">
        <f>IFERROR(SUMIFS('01ª MC'!$W$1:$W$1840,'01ª MC'!$C$1:$C$1840,$D94),0)</f>
        <v>0</v>
      </c>
      <c r="W94" s="63">
        <f t="shared" si="24"/>
        <v>0</v>
      </c>
      <c r="X94" s="61">
        <v>0</v>
      </c>
      <c r="Y94" s="63">
        <f t="shared" si="25"/>
        <v>0</v>
      </c>
      <c r="Z94" s="61">
        <v>0</v>
      </c>
      <c r="AA94" s="63">
        <f t="shared" si="26"/>
        <v>0</v>
      </c>
      <c r="AB94" s="61">
        <v>0</v>
      </c>
      <c r="AC94" s="63">
        <f t="shared" si="27"/>
        <v>0</v>
      </c>
      <c r="AD94" s="61">
        <v>0</v>
      </c>
      <c r="AE94" s="63">
        <f t="shared" si="28"/>
        <v>0</v>
      </c>
      <c r="AF94" s="61">
        <v>0</v>
      </c>
      <c r="AG94" s="63">
        <f t="shared" si="29"/>
        <v>0</v>
      </c>
      <c r="AH94" s="61">
        <v>0</v>
      </c>
      <c r="AI94" s="63">
        <f t="shared" si="30"/>
        <v>0</v>
      </c>
      <c r="AJ94" s="61">
        <v>0</v>
      </c>
      <c r="AK94" s="63">
        <f t="shared" si="31"/>
        <v>0</v>
      </c>
      <c r="AL94" s="61">
        <v>0</v>
      </c>
      <c r="AM94" s="63">
        <f t="shared" si="32"/>
        <v>0</v>
      </c>
      <c r="AN94" s="61">
        <v>0</v>
      </c>
      <c r="AO94" s="63">
        <f t="shared" si="33"/>
        <v>0</v>
      </c>
      <c r="AP94" s="61">
        <v>0</v>
      </c>
      <c r="AQ94" s="63">
        <f t="shared" si="34"/>
        <v>0</v>
      </c>
      <c r="AR94" s="61">
        <v>0</v>
      </c>
      <c r="AS94" s="63">
        <f t="shared" si="35"/>
        <v>0</v>
      </c>
      <c r="AT94" s="61">
        <v>0</v>
      </c>
      <c r="AU94" s="63">
        <f t="shared" si="36"/>
        <v>0</v>
      </c>
      <c r="AV94" s="61">
        <v>0</v>
      </c>
      <c r="AW94" s="63">
        <f t="shared" si="37"/>
        <v>0</v>
      </c>
      <c r="AX94" s="61">
        <v>0</v>
      </c>
      <c r="AY94" s="63">
        <f t="shared" si="38"/>
        <v>0</v>
      </c>
      <c r="AZ94" s="61">
        <v>0</v>
      </c>
      <c r="BA94" s="63">
        <f t="shared" si="39"/>
        <v>0</v>
      </c>
      <c r="BB94" s="61">
        <v>0</v>
      </c>
      <c r="BC94" s="63">
        <f t="shared" si="40"/>
        <v>0</v>
      </c>
      <c r="BD94" s="61">
        <v>0</v>
      </c>
      <c r="BE94" s="63">
        <f t="shared" si="41"/>
        <v>0</v>
      </c>
      <c r="BF94" s="61">
        <f t="shared" si="42"/>
        <v>0</v>
      </c>
      <c r="BG94" s="63">
        <f t="shared" si="43"/>
        <v>0</v>
      </c>
      <c r="BH94" s="45"/>
      <c r="BI94" s="144"/>
    </row>
    <row r="95" spans="1:61" ht="26" customHeight="1" x14ac:dyDescent="0.45">
      <c r="A95" s="140">
        <v>2</v>
      </c>
      <c r="B95" s="141" t="s">
        <v>1472</v>
      </c>
      <c r="C95" s="142" t="s">
        <v>1473</v>
      </c>
      <c r="D95" s="143" t="str">
        <f t="shared" si="22"/>
        <v>2.2_5.2.4</v>
      </c>
      <c r="E95" s="56" t="s">
        <v>869</v>
      </c>
      <c r="F95" s="506" t="s">
        <v>1733</v>
      </c>
      <c r="G95" s="507" t="s">
        <v>39</v>
      </c>
      <c r="H95" s="507" t="s">
        <v>39</v>
      </c>
      <c r="I95" s="507" t="s">
        <v>1729</v>
      </c>
      <c r="J95" s="507" t="s">
        <v>39</v>
      </c>
      <c r="K95" s="507" t="s">
        <v>39</v>
      </c>
      <c r="L95" s="507" t="s">
        <v>1730</v>
      </c>
      <c r="M95" s="507" t="s">
        <v>763</v>
      </c>
      <c r="N95" s="507" t="s">
        <v>1731</v>
      </c>
      <c r="O95" s="57" t="s">
        <v>870</v>
      </c>
      <c r="P95" s="58" t="s">
        <v>846</v>
      </c>
      <c r="Q95" s="59" t="s">
        <v>871</v>
      </c>
      <c r="R95" s="60" t="s">
        <v>71</v>
      </c>
      <c r="S95" s="61">
        <v>1307</v>
      </c>
      <c r="T95" s="62">
        <f>INDEX('BM MORRO DA CRUZ'!$P$6:$P$402,MATCH($O95,'BM MORRO DA CRUZ'!$K$6:$K$402,0))</f>
        <v>124.45</v>
      </c>
      <c r="U95" s="63">
        <f t="shared" si="23"/>
        <v>162656.15</v>
      </c>
      <c r="V95" s="61">
        <f>IFERROR(SUMIFS('01ª MC'!$W$1:$W$1840,'01ª MC'!$C$1:$C$1840,$D95),0)</f>
        <v>0</v>
      </c>
      <c r="W95" s="63">
        <f t="shared" si="24"/>
        <v>0</v>
      </c>
      <c r="X95" s="61">
        <v>0</v>
      </c>
      <c r="Y95" s="63">
        <f t="shared" si="25"/>
        <v>0</v>
      </c>
      <c r="Z95" s="61">
        <v>0</v>
      </c>
      <c r="AA95" s="63">
        <f t="shared" si="26"/>
        <v>0</v>
      </c>
      <c r="AB95" s="61">
        <v>0</v>
      </c>
      <c r="AC95" s="63">
        <f t="shared" si="27"/>
        <v>0</v>
      </c>
      <c r="AD95" s="61">
        <v>0</v>
      </c>
      <c r="AE95" s="63">
        <f t="shared" si="28"/>
        <v>0</v>
      </c>
      <c r="AF95" s="61">
        <v>0</v>
      </c>
      <c r="AG95" s="63">
        <f t="shared" si="29"/>
        <v>0</v>
      </c>
      <c r="AH95" s="61">
        <v>0</v>
      </c>
      <c r="AI95" s="63">
        <f t="shared" si="30"/>
        <v>0</v>
      </c>
      <c r="AJ95" s="61">
        <v>0</v>
      </c>
      <c r="AK95" s="63">
        <f t="shared" si="31"/>
        <v>0</v>
      </c>
      <c r="AL95" s="61">
        <v>0</v>
      </c>
      <c r="AM95" s="63">
        <f t="shared" si="32"/>
        <v>0</v>
      </c>
      <c r="AN95" s="61">
        <v>0</v>
      </c>
      <c r="AO95" s="63">
        <f t="shared" si="33"/>
        <v>0</v>
      </c>
      <c r="AP95" s="61">
        <v>0</v>
      </c>
      <c r="AQ95" s="63">
        <f t="shared" si="34"/>
        <v>0</v>
      </c>
      <c r="AR95" s="61">
        <v>0</v>
      </c>
      <c r="AS95" s="63">
        <f t="shared" si="35"/>
        <v>0</v>
      </c>
      <c r="AT95" s="61">
        <v>0</v>
      </c>
      <c r="AU95" s="63">
        <f t="shared" si="36"/>
        <v>0</v>
      </c>
      <c r="AV95" s="61">
        <v>0</v>
      </c>
      <c r="AW95" s="63">
        <f t="shared" si="37"/>
        <v>0</v>
      </c>
      <c r="AX95" s="61">
        <v>0</v>
      </c>
      <c r="AY95" s="63">
        <f t="shared" si="38"/>
        <v>0</v>
      </c>
      <c r="AZ95" s="61">
        <v>0</v>
      </c>
      <c r="BA95" s="63">
        <f t="shared" si="39"/>
        <v>0</v>
      </c>
      <c r="BB95" s="61">
        <v>0</v>
      </c>
      <c r="BC95" s="63">
        <f t="shared" si="40"/>
        <v>0</v>
      </c>
      <c r="BD95" s="61">
        <v>0</v>
      </c>
      <c r="BE95" s="63">
        <f t="shared" si="41"/>
        <v>0</v>
      </c>
      <c r="BF95" s="61">
        <f t="shared" si="42"/>
        <v>0</v>
      </c>
      <c r="BG95" s="63">
        <f t="shared" si="43"/>
        <v>0</v>
      </c>
      <c r="BH95" s="45"/>
      <c r="BI95" s="144"/>
    </row>
    <row r="96" spans="1:61" ht="26" customHeight="1" x14ac:dyDescent="0.45">
      <c r="A96" s="140">
        <v>2</v>
      </c>
      <c r="B96" s="141" t="s">
        <v>1472</v>
      </c>
      <c r="C96" s="142" t="s">
        <v>1473</v>
      </c>
      <c r="D96" s="143" t="str">
        <f t="shared" si="22"/>
        <v>2.2_5.2.5</v>
      </c>
      <c r="E96" s="56" t="s">
        <v>872</v>
      </c>
      <c r="F96" s="506" t="s">
        <v>1734</v>
      </c>
      <c r="G96" s="507" t="s">
        <v>39</v>
      </c>
      <c r="H96" s="507" t="s">
        <v>39</v>
      </c>
      <c r="I96" s="507" t="s">
        <v>1729</v>
      </c>
      <c r="J96" s="507" t="s">
        <v>39</v>
      </c>
      <c r="K96" s="507" t="s">
        <v>39</v>
      </c>
      <c r="L96" s="507" t="s">
        <v>1730</v>
      </c>
      <c r="M96" s="507" t="s">
        <v>763</v>
      </c>
      <c r="N96" s="507" t="s">
        <v>1731</v>
      </c>
      <c r="O96" s="57" t="s">
        <v>873</v>
      </c>
      <c r="P96" s="58" t="s">
        <v>846</v>
      </c>
      <c r="Q96" s="59" t="s">
        <v>874</v>
      </c>
      <c r="R96" s="60" t="s">
        <v>71</v>
      </c>
      <c r="S96" s="61">
        <v>1307</v>
      </c>
      <c r="T96" s="62">
        <f>INDEX('BM MORRO DA CRUZ'!$P$6:$P$402,MATCH($O96,'BM MORRO DA CRUZ'!$K$6:$K$402,0))</f>
        <v>112.01</v>
      </c>
      <c r="U96" s="63">
        <f t="shared" si="23"/>
        <v>146397.07</v>
      </c>
      <c r="V96" s="61">
        <f>IFERROR(SUMIFS('01ª MC'!$W$1:$W$1840,'01ª MC'!$C$1:$C$1840,$D96),0)</f>
        <v>0</v>
      </c>
      <c r="W96" s="63">
        <f t="shared" si="24"/>
        <v>0</v>
      </c>
      <c r="X96" s="61">
        <v>0</v>
      </c>
      <c r="Y96" s="63">
        <f t="shared" si="25"/>
        <v>0</v>
      </c>
      <c r="Z96" s="61">
        <v>0</v>
      </c>
      <c r="AA96" s="63">
        <f t="shared" si="26"/>
        <v>0</v>
      </c>
      <c r="AB96" s="61">
        <v>0</v>
      </c>
      <c r="AC96" s="63">
        <f t="shared" si="27"/>
        <v>0</v>
      </c>
      <c r="AD96" s="61">
        <v>0</v>
      </c>
      <c r="AE96" s="63">
        <f t="shared" si="28"/>
        <v>0</v>
      </c>
      <c r="AF96" s="61">
        <v>0</v>
      </c>
      <c r="AG96" s="63">
        <f t="shared" si="29"/>
        <v>0</v>
      </c>
      <c r="AH96" s="61">
        <v>0</v>
      </c>
      <c r="AI96" s="63">
        <f t="shared" si="30"/>
        <v>0</v>
      </c>
      <c r="AJ96" s="61">
        <v>0</v>
      </c>
      <c r="AK96" s="63">
        <f t="shared" si="31"/>
        <v>0</v>
      </c>
      <c r="AL96" s="61">
        <v>0</v>
      </c>
      <c r="AM96" s="63">
        <f t="shared" si="32"/>
        <v>0</v>
      </c>
      <c r="AN96" s="61">
        <v>0</v>
      </c>
      <c r="AO96" s="63">
        <f t="shared" si="33"/>
        <v>0</v>
      </c>
      <c r="AP96" s="61">
        <v>0</v>
      </c>
      <c r="AQ96" s="63">
        <f t="shared" si="34"/>
        <v>0</v>
      </c>
      <c r="AR96" s="61">
        <v>0</v>
      </c>
      <c r="AS96" s="63">
        <f t="shared" si="35"/>
        <v>0</v>
      </c>
      <c r="AT96" s="61">
        <v>0</v>
      </c>
      <c r="AU96" s="63">
        <f t="shared" si="36"/>
        <v>0</v>
      </c>
      <c r="AV96" s="61">
        <v>0</v>
      </c>
      <c r="AW96" s="63">
        <f t="shared" si="37"/>
        <v>0</v>
      </c>
      <c r="AX96" s="61">
        <v>0</v>
      </c>
      <c r="AY96" s="63">
        <f t="shared" si="38"/>
        <v>0</v>
      </c>
      <c r="AZ96" s="61">
        <v>0</v>
      </c>
      <c r="BA96" s="63">
        <f t="shared" si="39"/>
        <v>0</v>
      </c>
      <c r="BB96" s="61">
        <v>0</v>
      </c>
      <c r="BC96" s="63">
        <f t="shared" si="40"/>
        <v>0</v>
      </c>
      <c r="BD96" s="61">
        <v>0</v>
      </c>
      <c r="BE96" s="63">
        <f t="shared" si="41"/>
        <v>0</v>
      </c>
      <c r="BF96" s="61">
        <f t="shared" si="42"/>
        <v>0</v>
      </c>
      <c r="BG96" s="63">
        <f t="shared" si="43"/>
        <v>0</v>
      </c>
      <c r="BH96" s="45"/>
      <c r="BI96" s="144"/>
    </row>
    <row r="97" spans="1:61" ht="26" customHeight="1" x14ac:dyDescent="0.45">
      <c r="A97" s="140">
        <v>2</v>
      </c>
      <c r="B97" s="141" t="s">
        <v>1472</v>
      </c>
      <c r="C97" s="142" t="s">
        <v>1473</v>
      </c>
      <c r="D97" s="143" t="str">
        <f t="shared" si="22"/>
        <v>2.2_5.2.7</v>
      </c>
      <c r="E97" s="56" t="s">
        <v>878</v>
      </c>
      <c r="F97" s="506" t="s">
        <v>880</v>
      </c>
      <c r="G97" s="507" t="s">
        <v>39</v>
      </c>
      <c r="H97" s="507" t="s">
        <v>39</v>
      </c>
      <c r="I97" s="507" t="s">
        <v>1383</v>
      </c>
      <c r="J97" s="507" t="s">
        <v>39</v>
      </c>
      <c r="K97" s="507" t="s">
        <v>39</v>
      </c>
      <c r="L97" s="507" t="s">
        <v>39</v>
      </c>
      <c r="M97" s="507" t="s">
        <v>763</v>
      </c>
      <c r="N97" s="507" t="s">
        <v>1383</v>
      </c>
      <c r="O97" s="57" t="s">
        <v>879</v>
      </c>
      <c r="P97" s="58" t="s">
        <v>846</v>
      </c>
      <c r="Q97" s="59" t="s">
        <v>880</v>
      </c>
      <c r="R97" s="60" t="s">
        <v>367</v>
      </c>
      <c r="S97" s="61">
        <v>111219.2</v>
      </c>
      <c r="T97" s="62">
        <f>INDEX('BM MORRO DA CRUZ'!$P$6:$P$402,MATCH($O97,'BM MORRO DA CRUZ'!$K$6:$K$402,0))</f>
        <v>1.5</v>
      </c>
      <c r="U97" s="63">
        <f t="shared" si="23"/>
        <v>166828.79999999999</v>
      </c>
      <c r="V97" s="61">
        <f>IFERROR(SUMIFS('01ª MC'!$W$1:$W$1840,'01ª MC'!$C$1:$C$1840,$D97),0)</f>
        <v>0</v>
      </c>
      <c r="W97" s="63">
        <f t="shared" si="24"/>
        <v>0</v>
      </c>
      <c r="X97" s="61">
        <v>0</v>
      </c>
      <c r="Y97" s="63">
        <f t="shared" si="25"/>
        <v>0</v>
      </c>
      <c r="Z97" s="61">
        <v>0</v>
      </c>
      <c r="AA97" s="63">
        <f t="shared" si="26"/>
        <v>0</v>
      </c>
      <c r="AB97" s="61">
        <v>0</v>
      </c>
      <c r="AC97" s="63">
        <f t="shared" si="27"/>
        <v>0</v>
      </c>
      <c r="AD97" s="61">
        <v>0</v>
      </c>
      <c r="AE97" s="63">
        <f t="shared" si="28"/>
        <v>0</v>
      </c>
      <c r="AF97" s="61">
        <v>0</v>
      </c>
      <c r="AG97" s="63">
        <f t="shared" si="29"/>
        <v>0</v>
      </c>
      <c r="AH97" s="61">
        <v>0</v>
      </c>
      <c r="AI97" s="63">
        <f t="shared" si="30"/>
        <v>0</v>
      </c>
      <c r="AJ97" s="61">
        <v>0</v>
      </c>
      <c r="AK97" s="63">
        <f t="shared" si="31"/>
        <v>0</v>
      </c>
      <c r="AL97" s="61">
        <v>0</v>
      </c>
      <c r="AM97" s="63">
        <f t="shared" si="32"/>
        <v>0</v>
      </c>
      <c r="AN97" s="61">
        <v>0</v>
      </c>
      <c r="AO97" s="63">
        <f t="shared" si="33"/>
        <v>0</v>
      </c>
      <c r="AP97" s="61">
        <v>0</v>
      </c>
      <c r="AQ97" s="63">
        <f t="shared" si="34"/>
        <v>0</v>
      </c>
      <c r="AR97" s="61">
        <v>0</v>
      </c>
      <c r="AS97" s="63">
        <f t="shared" si="35"/>
        <v>0</v>
      </c>
      <c r="AT97" s="61">
        <v>0</v>
      </c>
      <c r="AU97" s="63">
        <f t="shared" si="36"/>
        <v>0</v>
      </c>
      <c r="AV97" s="61">
        <v>0</v>
      </c>
      <c r="AW97" s="63">
        <f t="shared" si="37"/>
        <v>0</v>
      </c>
      <c r="AX97" s="61">
        <v>0</v>
      </c>
      <c r="AY97" s="63">
        <f t="shared" si="38"/>
        <v>0</v>
      </c>
      <c r="AZ97" s="61">
        <v>0</v>
      </c>
      <c r="BA97" s="63">
        <f t="shared" si="39"/>
        <v>0</v>
      </c>
      <c r="BB97" s="61">
        <v>0</v>
      </c>
      <c r="BC97" s="63">
        <f t="shared" si="40"/>
        <v>0</v>
      </c>
      <c r="BD97" s="61">
        <v>0</v>
      </c>
      <c r="BE97" s="63">
        <f t="shared" si="41"/>
        <v>0</v>
      </c>
      <c r="BF97" s="61">
        <f t="shared" si="42"/>
        <v>0</v>
      </c>
      <c r="BG97" s="63">
        <f t="shared" si="43"/>
        <v>0</v>
      </c>
      <c r="BH97" s="45"/>
      <c r="BI97" s="144"/>
    </row>
    <row r="98" spans="1:61" ht="19.5" customHeight="1" x14ac:dyDescent="0.45">
      <c r="A98" s="128">
        <v>2</v>
      </c>
      <c r="B98" s="129"/>
      <c r="C98" s="130"/>
      <c r="D98" s="131"/>
      <c r="E98" s="132" t="s">
        <v>881</v>
      </c>
      <c r="F98" s="515"/>
      <c r="G98" s="516"/>
      <c r="H98" s="516"/>
      <c r="I98" s="516"/>
      <c r="J98" s="516"/>
      <c r="K98" s="516"/>
      <c r="L98" s="516"/>
      <c r="M98" s="516"/>
      <c r="N98" s="516"/>
      <c r="O98" s="133" t="s">
        <v>882</v>
      </c>
      <c r="P98" s="134"/>
      <c r="Q98" s="135" t="s">
        <v>883</v>
      </c>
      <c r="R98" s="136"/>
      <c r="S98" s="137"/>
      <c r="T98" s="138"/>
      <c r="U98" s="139">
        <f>SUM(U99:U100)</f>
        <v>830463.95</v>
      </c>
      <c r="V98" s="137"/>
      <c r="W98" s="139">
        <f>SUM(W99:W100)</f>
        <v>0</v>
      </c>
      <c r="X98" s="137"/>
      <c r="Y98" s="139">
        <f>SUM(Y99:Y100)</f>
        <v>0</v>
      </c>
      <c r="Z98" s="137"/>
      <c r="AA98" s="139">
        <f>SUM(AA99:AA100)</f>
        <v>0</v>
      </c>
      <c r="AB98" s="137"/>
      <c r="AC98" s="139">
        <f>SUM(AC99:AC100)</f>
        <v>0</v>
      </c>
      <c r="AD98" s="137"/>
      <c r="AE98" s="139">
        <f>SUM(AE99:AE100)</f>
        <v>0</v>
      </c>
      <c r="AF98" s="137"/>
      <c r="AG98" s="139">
        <f>SUM(AG99:AG100)</f>
        <v>0</v>
      </c>
      <c r="AH98" s="137"/>
      <c r="AI98" s="139">
        <f>SUM(AI99:AI100)</f>
        <v>0</v>
      </c>
      <c r="AJ98" s="137"/>
      <c r="AK98" s="139">
        <f>SUM(AK99:AK100)</f>
        <v>0</v>
      </c>
      <c r="AL98" s="137"/>
      <c r="AM98" s="139">
        <f>SUM(AM99:AM100)</f>
        <v>0</v>
      </c>
      <c r="AN98" s="137"/>
      <c r="AO98" s="139">
        <f>SUM(AO99:AO100)</f>
        <v>0</v>
      </c>
      <c r="AP98" s="137"/>
      <c r="AQ98" s="139">
        <f>SUM(AQ99:AQ100)</f>
        <v>0</v>
      </c>
      <c r="AR98" s="137"/>
      <c r="AS98" s="139">
        <f>SUM(AS99:AS100)</f>
        <v>0</v>
      </c>
      <c r="AT98" s="137"/>
      <c r="AU98" s="139">
        <f>SUM(AU99:AU100)</f>
        <v>0</v>
      </c>
      <c r="AV98" s="137"/>
      <c r="AW98" s="139">
        <f>SUM(AW99:AW100)</f>
        <v>0</v>
      </c>
      <c r="AX98" s="137"/>
      <c r="AY98" s="139">
        <f>SUM(AY99:AY100)</f>
        <v>0</v>
      </c>
      <c r="AZ98" s="137"/>
      <c r="BA98" s="139">
        <f>SUM(BA99:BA100)</f>
        <v>0</v>
      </c>
      <c r="BB98" s="137"/>
      <c r="BC98" s="139">
        <f>SUM(BC99:BC100)</f>
        <v>0</v>
      </c>
      <c r="BD98" s="137"/>
      <c r="BE98" s="139">
        <f>SUM(BE99:BE100)</f>
        <v>0</v>
      </c>
      <c r="BF98" s="137"/>
      <c r="BG98" s="139">
        <f>SUM(BG99:BG100)</f>
        <v>0</v>
      </c>
      <c r="BH98" s="45"/>
    </row>
    <row r="99" spans="1:61" ht="26" customHeight="1" x14ac:dyDescent="0.45">
      <c r="A99" s="140">
        <v>2</v>
      </c>
      <c r="B99" s="141" t="s">
        <v>1472</v>
      </c>
      <c r="C99" s="142" t="s">
        <v>1473</v>
      </c>
      <c r="D99" s="143" t="str">
        <f>B99&amp;"_"&amp;E99</f>
        <v>2.2_5.3.1</v>
      </c>
      <c r="E99" s="56" t="s">
        <v>884</v>
      </c>
      <c r="F99" s="506" t="s">
        <v>1737</v>
      </c>
      <c r="G99" s="507" t="s">
        <v>39</v>
      </c>
      <c r="H99" s="507" t="s">
        <v>39</v>
      </c>
      <c r="I99" s="507" t="s">
        <v>1738</v>
      </c>
      <c r="J99" s="507" t="s">
        <v>39</v>
      </c>
      <c r="K99" s="507" t="s">
        <v>39</v>
      </c>
      <c r="L99" s="507" t="s">
        <v>78</v>
      </c>
      <c r="M99" s="507" t="s">
        <v>763</v>
      </c>
      <c r="N99" s="507" t="s">
        <v>1738</v>
      </c>
      <c r="O99" s="57" t="s">
        <v>885</v>
      </c>
      <c r="P99" s="58" t="s">
        <v>846</v>
      </c>
      <c r="Q99" s="59" t="s">
        <v>886</v>
      </c>
      <c r="R99" s="60" t="s">
        <v>755</v>
      </c>
      <c r="S99" s="61">
        <v>12.51</v>
      </c>
      <c r="T99" s="62">
        <f>INDEX('BM MORRO DA CRUZ'!$P$6:$P$402,MATCH($O99,'BM MORRO DA CRUZ'!$K$6:$K$402,0))</f>
        <v>222.55</v>
      </c>
      <c r="U99" s="63">
        <f>ROUND(T99*$S99,2)</f>
        <v>2784.1</v>
      </c>
      <c r="V99" s="61">
        <f>IFERROR(SUMIFS('01ª MC'!$W$1:$W$1840,'01ª MC'!$C$1:$C$1840,$D99),0)</f>
        <v>0</v>
      </c>
      <c r="W99" s="63">
        <f>ROUND(V99*$T99,2)</f>
        <v>0</v>
      </c>
      <c r="X99" s="61">
        <v>0</v>
      </c>
      <c r="Y99" s="63">
        <f>ROUND(X99*$T99,2)</f>
        <v>0</v>
      </c>
      <c r="Z99" s="61">
        <v>0</v>
      </c>
      <c r="AA99" s="63">
        <f>ROUND(Z99*$T99,2)</f>
        <v>0</v>
      </c>
      <c r="AB99" s="61">
        <v>0</v>
      </c>
      <c r="AC99" s="63">
        <f>ROUND(AB99*$T99,2)</f>
        <v>0</v>
      </c>
      <c r="AD99" s="61">
        <v>0</v>
      </c>
      <c r="AE99" s="63">
        <f>ROUND(AD99*$T99,2)</f>
        <v>0</v>
      </c>
      <c r="AF99" s="61">
        <v>0</v>
      </c>
      <c r="AG99" s="63">
        <f>ROUND(AF99*$T99,2)</f>
        <v>0</v>
      </c>
      <c r="AH99" s="61">
        <v>0</v>
      </c>
      <c r="AI99" s="63">
        <f>ROUND(AH99*$T99,2)</f>
        <v>0</v>
      </c>
      <c r="AJ99" s="61">
        <v>0</v>
      </c>
      <c r="AK99" s="63">
        <f>ROUND(AJ99*$T99,2)</f>
        <v>0</v>
      </c>
      <c r="AL99" s="61">
        <v>0</v>
      </c>
      <c r="AM99" s="63">
        <f>ROUND(AL99*$T99,2)</f>
        <v>0</v>
      </c>
      <c r="AN99" s="61">
        <v>0</v>
      </c>
      <c r="AO99" s="63">
        <f>ROUND(AN99*$T99,2)</f>
        <v>0</v>
      </c>
      <c r="AP99" s="61">
        <v>0</v>
      </c>
      <c r="AQ99" s="63">
        <f>ROUND(AP99*$T99,2)</f>
        <v>0</v>
      </c>
      <c r="AR99" s="61">
        <v>0</v>
      </c>
      <c r="AS99" s="63">
        <f>ROUND(AR99*$T99,2)</f>
        <v>0</v>
      </c>
      <c r="AT99" s="61">
        <v>0</v>
      </c>
      <c r="AU99" s="63">
        <f>ROUND(AT99*$T99,2)</f>
        <v>0</v>
      </c>
      <c r="AV99" s="61">
        <v>0</v>
      </c>
      <c r="AW99" s="63">
        <f>ROUND(AV99*$T99,2)</f>
        <v>0</v>
      </c>
      <c r="AX99" s="61">
        <v>0</v>
      </c>
      <c r="AY99" s="63">
        <f>ROUND(AX99*$T99,2)</f>
        <v>0</v>
      </c>
      <c r="AZ99" s="61">
        <v>0</v>
      </c>
      <c r="BA99" s="63">
        <f>ROUND(AZ99*$T99,2)</f>
        <v>0</v>
      </c>
      <c r="BB99" s="61">
        <v>0</v>
      </c>
      <c r="BC99" s="63">
        <f>ROUND(BB99*$T99,2)</f>
        <v>0</v>
      </c>
      <c r="BD99" s="61">
        <v>0</v>
      </c>
      <c r="BE99" s="63">
        <f>ROUND(BD99*$T99,2)</f>
        <v>0</v>
      </c>
      <c r="BF99" s="61">
        <f>IFERROR(SUMIFS($V99:$BE99,$V$5:$BE$5,$BF$5),0)</f>
        <v>0</v>
      </c>
      <c r="BG99" s="63">
        <f>SUMIFS($V99:$BE99,$V$5:$BE$5,$W$5)</f>
        <v>0</v>
      </c>
      <c r="BH99" s="45"/>
      <c r="BI99" s="144"/>
    </row>
    <row r="100" spans="1:61" ht="47.25" x14ac:dyDescent="0.45">
      <c r="A100" s="140">
        <v>2</v>
      </c>
      <c r="B100" s="141" t="s">
        <v>1472</v>
      </c>
      <c r="C100" s="142" t="s">
        <v>1473</v>
      </c>
      <c r="D100" s="143" t="str">
        <f>B100&amp;"_"&amp;E100</f>
        <v>2.2_5.3.2</v>
      </c>
      <c r="E100" s="56" t="s">
        <v>887</v>
      </c>
      <c r="F100" s="506" t="s">
        <v>1740</v>
      </c>
      <c r="G100" s="507" t="s">
        <v>39</v>
      </c>
      <c r="H100" s="507" t="s">
        <v>39</v>
      </c>
      <c r="I100" s="507" t="s">
        <v>1741</v>
      </c>
      <c r="J100" s="507" t="s">
        <v>39</v>
      </c>
      <c r="K100" s="507" t="s">
        <v>39</v>
      </c>
      <c r="L100" s="507" t="s">
        <v>783</v>
      </c>
      <c r="M100" s="507" t="s">
        <v>763</v>
      </c>
      <c r="N100" s="507" t="s">
        <v>1726</v>
      </c>
      <c r="O100" s="57" t="s">
        <v>888</v>
      </c>
      <c r="P100" s="58" t="s">
        <v>846</v>
      </c>
      <c r="Q100" s="59" t="s">
        <v>889</v>
      </c>
      <c r="R100" s="60" t="s">
        <v>792</v>
      </c>
      <c r="S100" s="61">
        <v>26777.09</v>
      </c>
      <c r="T100" s="62">
        <f>INDEX('BM MORRO DA CRUZ'!$P$6:$P$402,MATCH($O100,'BM MORRO DA CRUZ'!$K$6:$K$402,0))</f>
        <v>30.91</v>
      </c>
      <c r="U100" s="63">
        <f>ROUND(T100*$S100,2)</f>
        <v>827679.85</v>
      </c>
      <c r="V100" s="61">
        <f>IFERROR(SUMIFS('01ª MC'!$W$1:$W$1840,'01ª MC'!$C$1:$C$1840,$D100),0)</f>
        <v>0</v>
      </c>
      <c r="W100" s="63">
        <f>ROUND(V100*$T100,2)</f>
        <v>0</v>
      </c>
      <c r="X100" s="61">
        <v>0</v>
      </c>
      <c r="Y100" s="63">
        <f>ROUND(X100*$T100,2)</f>
        <v>0</v>
      </c>
      <c r="Z100" s="61">
        <v>0</v>
      </c>
      <c r="AA100" s="63">
        <f>ROUND(Z100*$T100,2)</f>
        <v>0</v>
      </c>
      <c r="AB100" s="61">
        <v>0</v>
      </c>
      <c r="AC100" s="63">
        <f>ROUND(AB100*$T100,2)</f>
        <v>0</v>
      </c>
      <c r="AD100" s="61">
        <v>0</v>
      </c>
      <c r="AE100" s="63">
        <f>ROUND(AD100*$T100,2)</f>
        <v>0</v>
      </c>
      <c r="AF100" s="61">
        <v>0</v>
      </c>
      <c r="AG100" s="63">
        <f>ROUND(AF100*$T100,2)</f>
        <v>0</v>
      </c>
      <c r="AH100" s="61">
        <v>0</v>
      </c>
      <c r="AI100" s="63">
        <f>ROUND(AH100*$T100,2)</f>
        <v>0</v>
      </c>
      <c r="AJ100" s="61">
        <v>0</v>
      </c>
      <c r="AK100" s="63">
        <f>ROUND(AJ100*$T100,2)</f>
        <v>0</v>
      </c>
      <c r="AL100" s="61">
        <v>0</v>
      </c>
      <c r="AM100" s="63">
        <f>ROUND(AL100*$T100,2)</f>
        <v>0</v>
      </c>
      <c r="AN100" s="61">
        <v>0</v>
      </c>
      <c r="AO100" s="63">
        <f>ROUND(AN100*$T100,2)</f>
        <v>0</v>
      </c>
      <c r="AP100" s="61">
        <v>0</v>
      </c>
      <c r="AQ100" s="63">
        <f>ROUND(AP100*$T100,2)</f>
        <v>0</v>
      </c>
      <c r="AR100" s="61">
        <v>0</v>
      </c>
      <c r="AS100" s="63">
        <f>ROUND(AR100*$T100,2)</f>
        <v>0</v>
      </c>
      <c r="AT100" s="61">
        <v>0</v>
      </c>
      <c r="AU100" s="63">
        <f>ROUND(AT100*$T100,2)</f>
        <v>0</v>
      </c>
      <c r="AV100" s="61">
        <v>0</v>
      </c>
      <c r="AW100" s="63">
        <f>ROUND(AV100*$T100,2)</f>
        <v>0</v>
      </c>
      <c r="AX100" s="61">
        <v>0</v>
      </c>
      <c r="AY100" s="63">
        <f>ROUND(AX100*$T100,2)</f>
        <v>0</v>
      </c>
      <c r="AZ100" s="61">
        <v>0</v>
      </c>
      <c r="BA100" s="63">
        <f>ROUND(AZ100*$T100,2)</f>
        <v>0</v>
      </c>
      <c r="BB100" s="61">
        <v>0</v>
      </c>
      <c r="BC100" s="63">
        <f>ROUND(BB100*$T100,2)</f>
        <v>0</v>
      </c>
      <c r="BD100" s="61">
        <v>0</v>
      </c>
      <c r="BE100" s="63">
        <f>ROUND(BD100*$T100,2)</f>
        <v>0</v>
      </c>
      <c r="BF100" s="61">
        <f>IFERROR(SUMIFS($V100:$BE100,$V$5:$BE$5,$BF$5),0)</f>
        <v>0</v>
      </c>
      <c r="BG100" s="63">
        <f>SUMIFS($V100:$BE100,$V$5:$BE$5,$W$5)</f>
        <v>0</v>
      </c>
      <c r="BH100" s="45"/>
      <c r="BI100" s="144"/>
    </row>
    <row r="101" spans="1:61" ht="19.5" customHeight="1" x14ac:dyDescent="0.45">
      <c r="A101" s="128">
        <v>2</v>
      </c>
      <c r="B101" s="129"/>
      <c r="C101" s="130"/>
      <c r="D101" s="131"/>
      <c r="E101" s="132" t="s">
        <v>890</v>
      </c>
      <c r="F101" s="515"/>
      <c r="G101" s="516"/>
      <c r="H101" s="516"/>
      <c r="I101" s="516"/>
      <c r="J101" s="516"/>
      <c r="K101" s="516"/>
      <c r="L101" s="516"/>
      <c r="M101" s="516"/>
      <c r="N101" s="516"/>
      <c r="O101" s="133" t="s">
        <v>891</v>
      </c>
      <c r="P101" s="134"/>
      <c r="Q101" s="135" t="s">
        <v>892</v>
      </c>
      <c r="R101" s="136"/>
      <c r="S101" s="137"/>
      <c r="T101" s="138"/>
      <c r="U101" s="139">
        <f>SUM(U102:U122)</f>
        <v>13848038.470000003</v>
      </c>
      <c r="V101" s="137"/>
      <c r="W101" s="139">
        <f>SUM(W102:W122)</f>
        <v>0</v>
      </c>
      <c r="X101" s="137"/>
      <c r="Y101" s="139">
        <f>SUM(Y102:Y122)</f>
        <v>0</v>
      </c>
      <c r="Z101" s="137"/>
      <c r="AA101" s="139">
        <f>SUM(AA102:AA122)</f>
        <v>0</v>
      </c>
      <c r="AB101" s="137"/>
      <c r="AC101" s="139">
        <f>SUM(AC102:AC122)</f>
        <v>0</v>
      </c>
      <c r="AD101" s="137"/>
      <c r="AE101" s="139">
        <f>SUM(AE102:AE122)</f>
        <v>0</v>
      </c>
      <c r="AF101" s="137"/>
      <c r="AG101" s="139">
        <f>SUM(AG102:AG122)</f>
        <v>0</v>
      </c>
      <c r="AH101" s="137"/>
      <c r="AI101" s="139">
        <f>SUM(AI102:AI122)</f>
        <v>0</v>
      </c>
      <c r="AJ101" s="137"/>
      <c r="AK101" s="139">
        <f>SUM(AK102:AK122)</f>
        <v>0</v>
      </c>
      <c r="AL101" s="137"/>
      <c r="AM101" s="139">
        <f>SUM(AM102:AM122)</f>
        <v>0</v>
      </c>
      <c r="AN101" s="137"/>
      <c r="AO101" s="139">
        <f>SUM(AO102:AO122)</f>
        <v>0</v>
      </c>
      <c r="AP101" s="137"/>
      <c r="AQ101" s="139">
        <f>SUM(AQ102:AQ122)</f>
        <v>0</v>
      </c>
      <c r="AR101" s="137"/>
      <c r="AS101" s="139">
        <f>SUM(AS102:AS122)</f>
        <v>0</v>
      </c>
      <c r="AT101" s="137"/>
      <c r="AU101" s="139">
        <f>SUM(AU102:AU122)</f>
        <v>0</v>
      </c>
      <c r="AV101" s="137"/>
      <c r="AW101" s="139">
        <f>SUM(AW102:AW122)</f>
        <v>0</v>
      </c>
      <c r="AX101" s="137"/>
      <c r="AY101" s="139">
        <f>SUM(AY102:AY122)</f>
        <v>0</v>
      </c>
      <c r="AZ101" s="137"/>
      <c r="BA101" s="139">
        <f>SUM(BA102:BA122)</f>
        <v>0</v>
      </c>
      <c r="BB101" s="137"/>
      <c r="BC101" s="139">
        <f>SUM(BC102:BC122)</f>
        <v>0</v>
      </c>
      <c r="BD101" s="137"/>
      <c r="BE101" s="139">
        <f>SUM(BE102:BE122)</f>
        <v>0</v>
      </c>
      <c r="BF101" s="137"/>
      <c r="BG101" s="139">
        <f>SUM(BG102:BG122)</f>
        <v>0</v>
      </c>
      <c r="BH101" s="45"/>
    </row>
    <row r="102" spans="1:61" ht="35.65" x14ac:dyDescent="0.45">
      <c r="A102" s="140">
        <v>2</v>
      </c>
      <c r="B102" s="141" t="s">
        <v>1472</v>
      </c>
      <c r="C102" s="142" t="s">
        <v>1473</v>
      </c>
      <c r="D102" s="143" t="str">
        <f t="shared" ref="D102:D122" si="44">B102&amp;"_"&amp;E102</f>
        <v>2.2_5.4.1</v>
      </c>
      <c r="E102" s="56" t="s">
        <v>893</v>
      </c>
      <c r="F102" s="506" t="s">
        <v>1743</v>
      </c>
      <c r="G102" s="507" t="s">
        <v>39</v>
      </c>
      <c r="H102" s="507" t="s">
        <v>39</v>
      </c>
      <c r="I102" s="507" t="s">
        <v>1744</v>
      </c>
      <c r="J102" s="507" t="s">
        <v>39</v>
      </c>
      <c r="K102" s="507" t="s">
        <v>39</v>
      </c>
      <c r="L102" s="507" t="s">
        <v>1745</v>
      </c>
      <c r="M102" s="507" t="s">
        <v>763</v>
      </c>
      <c r="N102" s="507" t="s">
        <v>1744</v>
      </c>
      <c r="O102" s="57" t="s">
        <v>894</v>
      </c>
      <c r="P102" s="58" t="s">
        <v>846</v>
      </c>
      <c r="Q102" s="59" t="s">
        <v>895</v>
      </c>
      <c r="R102" s="60" t="s">
        <v>755</v>
      </c>
      <c r="S102" s="61">
        <v>25397.93</v>
      </c>
      <c r="T102" s="62">
        <f>INDEX('BM MORRO DA CRUZ'!$P$6:$P$402,MATCH($O102,'BM MORRO DA CRUZ'!$K$6:$K$402,0))</f>
        <v>165.37</v>
      </c>
      <c r="U102" s="63">
        <f t="shared" ref="U102:U122" si="45">ROUND(T102*$S102,2)</f>
        <v>4200055.68</v>
      </c>
      <c r="V102" s="61">
        <f>IFERROR(SUMIFS('01ª MC'!$W$1:$W$1840,'01ª MC'!$C$1:$C$1840,$D102),0)</f>
        <v>0</v>
      </c>
      <c r="W102" s="63">
        <f t="shared" ref="W102:W122" si="46">ROUND(V102*$T102,2)</f>
        <v>0</v>
      </c>
      <c r="X102" s="61">
        <v>0</v>
      </c>
      <c r="Y102" s="63">
        <f t="shared" ref="Y102:Y122" si="47">ROUND(X102*$T102,2)</f>
        <v>0</v>
      </c>
      <c r="Z102" s="61">
        <v>0</v>
      </c>
      <c r="AA102" s="63">
        <f t="shared" ref="AA102:AA122" si="48">ROUND(Z102*$T102,2)</f>
        <v>0</v>
      </c>
      <c r="AB102" s="61">
        <v>0</v>
      </c>
      <c r="AC102" s="63">
        <f t="shared" ref="AC102:AC122" si="49">ROUND(AB102*$T102,2)</f>
        <v>0</v>
      </c>
      <c r="AD102" s="61">
        <v>0</v>
      </c>
      <c r="AE102" s="63">
        <f t="shared" ref="AE102:AE122" si="50">ROUND(AD102*$T102,2)</f>
        <v>0</v>
      </c>
      <c r="AF102" s="61">
        <v>0</v>
      </c>
      <c r="AG102" s="63">
        <f t="shared" ref="AG102:AG122" si="51">ROUND(AF102*$T102,2)</f>
        <v>0</v>
      </c>
      <c r="AH102" s="61">
        <v>0</v>
      </c>
      <c r="AI102" s="63">
        <f t="shared" ref="AI102:AI122" si="52">ROUND(AH102*$T102,2)</f>
        <v>0</v>
      </c>
      <c r="AJ102" s="61">
        <v>0</v>
      </c>
      <c r="AK102" s="63">
        <f t="shared" ref="AK102:AK122" si="53">ROUND(AJ102*$T102,2)</f>
        <v>0</v>
      </c>
      <c r="AL102" s="61">
        <v>0</v>
      </c>
      <c r="AM102" s="63">
        <f t="shared" ref="AM102:AM122" si="54">ROUND(AL102*$T102,2)</f>
        <v>0</v>
      </c>
      <c r="AN102" s="61">
        <v>0</v>
      </c>
      <c r="AO102" s="63">
        <f t="shared" ref="AO102:AO122" si="55">ROUND(AN102*$T102,2)</f>
        <v>0</v>
      </c>
      <c r="AP102" s="61">
        <v>0</v>
      </c>
      <c r="AQ102" s="63">
        <f t="shared" ref="AQ102:AQ122" si="56">ROUND(AP102*$T102,2)</f>
        <v>0</v>
      </c>
      <c r="AR102" s="61">
        <v>0</v>
      </c>
      <c r="AS102" s="63">
        <f t="shared" ref="AS102:AS122" si="57">ROUND(AR102*$T102,2)</f>
        <v>0</v>
      </c>
      <c r="AT102" s="61">
        <v>0</v>
      </c>
      <c r="AU102" s="63">
        <f t="shared" ref="AU102:AU122" si="58">ROUND(AT102*$T102,2)</f>
        <v>0</v>
      </c>
      <c r="AV102" s="61">
        <v>0</v>
      </c>
      <c r="AW102" s="63">
        <f t="shared" ref="AW102:AW122" si="59">ROUND(AV102*$T102,2)</f>
        <v>0</v>
      </c>
      <c r="AX102" s="61">
        <v>0</v>
      </c>
      <c r="AY102" s="63">
        <f t="shared" ref="AY102:AY122" si="60">ROUND(AX102*$T102,2)</f>
        <v>0</v>
      </c>
      <c r="AZ102" s="61">
        <v>0</v>
      </c>
      <c r="BA102" s="63">
        <f t="shared" ref="BA102:BA122" si="61">ROUND(AZ102*$T102,2)</f>
        <v>0</v>
      </c>
      <c r="BB102" s="61">
        <v>0</v>
      </c>
      <c r="BC102" s="63">
        <f t="shared" ref="BC102:BC122" si="62">ROUND(BB102*$T102,2)</f>
        <v>0</v>
      </c>
      <c r="BD102" s="61">
        <v>0</v>
      </c>
      <c r="BE102" s="63">
        <f t="shared" ref="BE102:BE122" si="63">ROUND(BD102*$T102,2)</f>
        <v>0</v>
      </c>
      <c r="BF102" s="61">
        <f t="shared" ref="BF102:BF122" si="64">IFERROR(SUMIFS($V102:$BE102,$V$5:$BE$5,$BF$5),0)</f>
        <v>0</v>
      </c>
      <c r="BG102" s="63">
        <f t="shared" ref="BG102:BG122" si="65">SUMIFS($V102:$BE102,$V$5:$BE$5,$W$5)</f>
        <v>0</v>
      </c>
      <c r="BH102" s="45"/>
      <c r="BI102" s="144"/>
    </row>
    <row r="103" spans="1:61" ht="35.65" x14ac:dyDescent="0.45">
      <c r="A103" s="140">
        <v>2</v>
      </c>
      <c r="B103" s="141" t="s">
        <v>1472</v>
      </c>
      <c r="C103" s="142" t="s">
        <v>1473</v>
      </c>
      <c r="D103" s="143" t="str">
        <f t="shared" si="44"/>
        <v>2.2_5.4.2</v>
      </c>
      <c r="E103" s="56" t="s">
        <v>896</v>
      </c>
      <c r="F103" s="506" t="s">
        <v>1746</v>
      </c>
      <c r="G103" s="507" t="s">
        <v>39</v>
      </c>
      <c r="H103" s="507" t="s">
        <v>39</v>
      </c>
      <c r="I103" s="507" t="s">
        <v>1744</v>
      </c>
      <c r="J103" s="507" t="s">
        <v>39</v>
      </c>
      <c r="K103" s="507" t="s">
        <v>39</v>
      </c>
      <c r="L103" s="507" t="s">
        <v>1745</v>
      </c>
      <c r="M103" s="507" t="s">
        <v>763</v>
      </c>
      <c r="N103" s="507" t="s">
        <v>1744</v>
      </c>
      <c r="O103" s="57" t="s">
        <v>897</v>
      </c>
      <c r="P103" s="58" t="s">
        <v>846</v>
      </c>
      <c r="Q103" s="59" t="s">
        <v>898</v>
      </c>
      <c r="R103" s="60" t="s">
        <v>755</v>
      </c>
      <c r="S103" s="61">
        <v>3362.68</v>
      </c>
      <c r="T103" s="62">
        <f>INDEX('BM MORRO DA CRUZ'!$P$6:$P$402,MATCH($O103,'BM MORRO DA CRUZ'!$K$6:$K$402,0))</f>
        <v>158.85</v>
      </c>
      <c r="U103" s="63">
        <f t="shared" si="45"/>
        <v>534161.72</v>
      </c>
      <c r="V103" s="61">
        <f>IFERROR(SUMIFS('01ª MC'!$W$1:$W$1840,'01ª MC'!$C$1:$C$1840,$D103),0)</f>
        <v>0</v>
      </c>
      <c r="W103" s="63">
        <f t="shared" si="46"/>
        <v>0</v>
      </c>
      <c r="X103" s="61">
        <v>0</v>
      </c>
      <c r="Y103" s="63">
        <f t="shared" si="47"/>
        <v>0</v>
      </c>
      <c r="Z103" s="61">
        <v>0</v>
      </c>
      <c r="AA103" s="63">
        <f t="shared" si="48"/>
        <v>0</v>
      </c>
      <c r="AB103" s="61">
        <v>0</v>
      </c>
      <c r="AC103" s="63">
        <f t="shared" si="49"/>
        <v>0</v>
      </c>
      <c r="AD103" s="61">
        <v>0</v>
      </c>
      <c r="AE103" s="63">
        <f t="shared" si="50"/>
        <v>0</v>
      </c>
      <c r="AF103" s="61">
        <v>0</v>
      </c>
      <c r="AG103" s="63">
        <f t="shared" si="51"/>
        <v>0</v>
      </c>
      <c r="AH103" s="61">
        <v>0</v>
      </c>
      <c r="AI103" s="63">
        <f t="shared" si="52"/>
        <v>0</v>
      </c>
      <c r="AJ103" s="61">
        <v>0</v>
      </c>
      <c r="AK103" s="63">
        <f t="shared" si="53"/>
        <v>0</v>
      </c>
      <c r="AL103" s="61">
        <v>0</v>
      </c>
      <c r="AM103" s="63">
        <f t="shared" si="54"/>
        <v>0</v>
      </c>
      <c r="AN103" s="61">
        <v>0</v>
      </c>
      <c r="AO103" s="63">
        <f t="shared" si="55"/>
        <v>0</v>
      </c>
      <c r="AP103" s="61">
        <v>0</v>
      </c>
      <c r="AQ103" s="63">
        <f t="shared" si="56"/>
        <v>0</v>
      </c>
      <c r="AR103" s="61">
        <v>0</v>
      </c>
      <c r="AS103" s="63">
        <f t="shared" si="57"/>
        <v>0</v>
      </c>
      <c r="AT103" s="61">
        <v>0</v>
      </c>
      <c r="AU103" s="63">
        <f t="shared" si="58"/>
        <v>0</v>
      </c>
      <c r="AV103" s="61">
        <v>0</v>
      </c>
      <c r="AW103" s="63">
        <f t="shared" si="59"/>
        <v>0</v>
      </c>
      <c r="AX103" s="61">
        <v>0</v>
      </c>
      <c r="AY103" s="63">
        <f t="shared" si="60"/>
        <v>0</v>
      </c>
      <c r="AZ103" s="61">
        <v>0</v>
      </c>
      <c r="BA103" s="63">
        <f t="shared" si="61"/>
        <v>0</v>
      </c>
      <c r="BB103" s="61">
        <v>0</v>
      </c>
      <c r="BC103" s="63">
        <f t="shared" si="62"/>
        <v>0</v>
      </c>
      <c r="BD103" s="61">
        <v>0</v>
      </c>
      <c r="BE103" s="63">
        <f t="shared" si="63"/>
        <v>0</v>
      </c>
      <c r="BF103" s="61">
        <f t="shared" si="64"/>
        <v>0</v>
      </c>
      <c r="BG103" s="63">
        <f t="shared" si="65"/>
        <v>0</v>
      </c>
      <c r="BH103" s="45"/>
      <c r="BI103" s="144"/>
    </row>
    <row r="104" spans="1:61" ht="26" customHeight="1" x14ac:dyDescent="0.45">
      <c r="A104" s="140">
        <v>2</v>
      </c>
      <c r="B104" s="141" t="s">
        <v>1472</v>
      </c>
      <c r="C104" s="142" t="s">
        <v>1473</v>
      </c>
      <c r="D104" s="143" t="str">
        <f t="shared" si="44"/>
        <v>2.2_5.4.3</v>
      </c>
      <c r="E104" s="56" t="s">
        <v>899</v>
      </c>
      <c r="F104" s="506" t="s">
        <v>1747</v>
      </c>
      <c r="G104" s="507" t="s">
        <v>39</v>
      </c>
      <c r="H104" s="507" t="s">
        <v>39</v>
      </c>
      <c r="I104" s="507" t="s">
        <v>1748</v>
      </c>
      <c r="J104" s="507" t="s">
        <v>39</v>
      </c>
      <c r="K104" s="507" t="s">
        <v>39</v>
      </c>
      <c r="L104" s="507" t="s">
        <v>1749</v>
      </c>
      <c r="M104" s="507" t="s">
        <v>763</v>
      </c>
      <c r="N104" s="507" t="s">
        <v>1750</v>
      </c>
      <c r="O104" s="57" t="s">
        <v>900</v>
      </c>
      <c r="P104" s="58" t="s">
        <v>846</v>
      </c>
      <c r="Q104" s="59" t="s">
        <v>901</v>
      </c>
      <c r="R104" s="60" t="s">
        <v>54</v>
      </c>
      <c r="S104" s="61">
        <v>29.87</v>
      </c>
      <c r="T104" s="62">
        <f>INDEX('BM MORRO DA CRUZ'!$P$6:$P$402,MATCH($O104,'BM MORRO DA CRUZ'!$K$6:$K$402,0))</f>
        <v>7.46</v>
      </c>
      <c r="U104" s="63">
        <f t="shared" si="45"/>
        <v>222.83</v>
      </c>
      <c r="V104" s="61">
        <f>IFERROR(SUMIFS('01ª MC'!$W$1:$W$1840,'01ª MC'!$C$1:$C$1840,$D104),0)</f>
        <v>0</v>
      </c>
      <c r="W104" s="63">
        <f t="shared" si="46"/>
        <v>0</v>
      </c>
      <c r="X104" s="61">
        <v>0</v>
      </c>
      <c r="Y104" s="63">
        <f t="shared" si="47"/>
        <v>0</v>
      </c>
      <c r="Z104" s="61">
        <v>0</v>
      </c>
      <c r="AA104" s="63">
        <f t="shared" si="48"/>
        <v>0</v>
      </c>
      <c r="AB104" s="61">
        <v>0</v>
      </c>
      <c r="AC104" s="63">
        <f t="shared" si="49"/>
        <v>0</v>
      </c>
      <c r="AD104" s="61">
        <v>0</v>
      </c>
      <c r="AE104" s="63">
        <f t="shared" si="50"/>
        <v>0</v>
      </c>
      <c r="AF104" s="61">
        <v>0</v>
      </c>
      <c r="AG104" s="63">
        <f t="shared" si="51"/>
        <v>0</v>
      </c>
      <c r="AH104" s="61">
        <v>0</v>
      </c>
      <c r="AI104" s="63">
        <f t="shared" si="52"/>
        <v>0</v>
      </c>
      <c r="AJ104" s="61">
        <v>0</v>
      </c>
      <c r="AK104" s="63">
        <f t="shared" si="53"/>
        <v>0</v>
      </c>
      <c r="AL104" s="61">
        <v>0</v>
      </c>
      <c r="AM104" s="63">
        <f t="shared" si="54"/>
        <v>0</v>
      </c>
      <c r="AN104" s="61">
        <v>0</v>
      </c>
      <c r="AO104" s="63">
        <f t="shared" si="55"/>
        <v>0</v>
      </c>
      <c r="AP104" s="61">
        <v>0</v>
      </c>
      <c r="AQ104" s="63">
        <f t="shared" si="56"/>
        <v>0</v>
      </c>
      <c r="AR104" s="61">
        <v>0</v>
      </c>
      <c r="AS104" s="63">
        <f t="shared" si="57"/>
        <v>0</v>
      </c>
      <c r="AT104" s="61">
        <v>0</v>
      </c>
      <c r="AU104" s="63">
        <f t="shared" si="58"/>
        <v>0</v>
      </c>
      <c r="AV104" s="61">
        <v>0</v>
      </c>
      <c r="AW104" s="63">
        <f t="shared" si="59"/>
        <v>0</v>
      </c>
      <c r="AX104" s="61">
        <v>0</v>
      </c>
      <c r="AY104" s="63">
        <f t="shared" si="60"/>
        <v>0</v>
      </c>
      <c r="AZ104" s="61">
        <v>0</v>
      </c>
      <c r="BA104" s="63">
        <f t="shared" si="61"/>
        <v>0</v>
      </c>
      <c r="BB104" s="61">
        <v>0</v>
      </c>
      <c r="BC104" s="63">
        <f t="shared" si="62"/>
        <v>0</v>
      </c>
      <c r="BD104" s="61">
        <v>0</v>
      </c>
      <c r="BE104" s="63">
        <f t="shared" si="63"/>
        <v>0</v>
      </c>
      <c r="BF104" s="61">
        <f t="shared" si="64"/>
        <v>0</v>
      </c>
      <c r="BG104" s="63">
        <f t="shared" si="65"/>
        <v>0</v>
      </c>
      <c r="BH104" s="45"/>
      <c r="BI104" s="144"/>
    </row>
    <row r="105" spans="1:61" ht="35.65" x14ac:dyDescent="0.45">
      <c r="A105" s="140">
        <v>2</v>
      </c>
      <c r="B105" s="141" t="s">
        <v>1472</v>
      </c>
      <c r="C105" s="142" t="s">
        <v>1473</v>
      </c>
      <c r="D105" s="143" t="str">
        <f t="shared" si="44"/>
        <v>2.2_5.4.5</v>
      </c>
      <c r="E105" s="56" t="s">
        <v>905</v>
      </c>
      <c r="F105" s="506" t="s">
        <v>1752</v>
      </c>
      <c r="G105" s="507" t="s">
        <v>39</v>
      </c>
      <c r="H105" s="507" t="s">
        <v>39</v>
      </c>
      <c r="I105" s="507" t="s">
        <v>1748</v>
      </c>
      <c r="J105" s="507" t="s">
        <v>39</v>
      </c>
      <c r="K105" s="507" t="s">
        <v>39</v>
      </c>
      <c r="L105" s="507" t="s">
        <v>39</v>
      </c>
      <c r="M105" s="507" t="s">
        <v>763</v>
      </c>
      <c r="N105" s="507" t="s">
        <v>1750</v>
      </c>
      <c r="O105" s="57" t="s">
        <v>906</v>
      </c>
      <c r="P105" s="58" t="s">
        <v>846</v>
      </c>
      <c r="Q105" s="59" t="s">
        <v>907</v>
      </c>
      <c r="R105" s="60" t="s">
        <v>755</v>
      </c>
      <c r="S105" s="61">
        <v>38.11</v>
      </c>
      <c r="T105" s="62">
        <f>INDEX('BM MORRO DA CRUZ'!$P$6:$P$402,MATCH($O105,'BM MORRO DA CRUZ'!$K$6:$K$402,0))</f>
        <v>9.51</v>
      </c>
      <c r="U105" s="63">
        <f t="shared" si="45"/>
        <v>362.43</v>
      </c>
      <c r="V105" s="61">
        <f>IFERROR(SUMIFS('01ª MC'!$W$1:$W$1840,'01ª MC'!$C$1:$C$1840,$D105),0)</f>
        <v>0</v>
      </c>
      <c r="W105" s="63">
        <f t="shared" si="46"/>
        <v>0</v>
      </c>
      <c r="X105" s="61">
        <v>0</v>
      </c>
      <c r="Y105" s="63">
        <f t="shared" si="47"/>
        <v>0</v>
      </c>
      <c r="Z105" s="61">
        <v>0</v>
      </c>
      <c r="AA105" s="63">
        <f t="shared" si="48"/>
        <v>0</v>
      </c>
      <c r="AB105" s="61">
        <v>0</v>
      </c>
      <c r="AC105" s="63">
        <f t="shared" si="49"/>
        <v>0</v>
      </c>
      <c r="AD105" s="61">
        <v>0</v>
      </c>
      <c r="AE105" s="63">
        <f t="shared" si="50"/>
        <v>0</v>
      </c>
      <c r="AF105" s="61">
        <v>0</v>
      </c>
      <c r="AG105" s="63">
        <f t="shared" si="51"/>
        <v>0</v>
      </c>
      <c r="AH105" s="61">
        <v>0</v>
      </c>
      <c r="AI105" s="63">
        <f t="shared" si="52"/>
        <v>0</v>
      </c>
      <c r="AJ105" s="61">
        <v>0</v>
      </c>
      <c r="AK105" s="63">
        <f t="shared" si="53"/>
        <v>0</v>
      </c>
      <c r="AL105" s="61">
        <v>0</v>
      </c>
      <c r="AM105" s="63">
        <f t="shared" si="54"/>
        <v>0</v>
      </c>
      <c r="AN105" s="61">
        <v>0</v>
      </c>
      <c r="AO105" s="63">
        <f t="shared" si="55"/>
        <v>0</v>
      </c>
      <c r="AP105" s="61">
        <v>0</v>
      </c>
      <c r="AQ105" s="63">
        <f t="shared" si="56"/>
        <v>0</v>
      </c>
      <c r="AR105" s="61">
        <v>0</v>
      </c>
      <c r="AS105" s="63">
        <f t="shared" si="57"/>
        <v>0</v>
      </c>
      <c r="AT105" s="61">
        <v>0</v>
      </c>
      <c r="AU105" s="63">
        <f t="shared" si="58"/>
        <v>0</v>
      </c>
      <c r="AV105" s="61">
        <v>0</v>
      </c>
      <c r="AW105" s="63">
        <f t="shared" si="59"/>
        <v>0</v>
      </c>
      <c r="AX105" s="61">
        <v>0</v>
      </c>
      <c r="AY105" s="63">
        <f t="shared" si="60"/>
        <v>0</v>
      </c>
      <c r="AZ105" s="61">
        <v>0</v>
      </c>
      <c r="BA105" s="63">
        <f t="shared" si="61"/>
        <v>0</v>
      </c>
      <c r="BB105" s="61">
        <v>0</v>
      </c>
      <c r="BC105" s="63">
        <f t="shared" si="62"/>
        <v>0</v>
      </c>
      <c r="BD105" s="61">
        <v>0</v>
      </c>
      <c r="BE105" s="63">
        <f t="shared" si="63"/>
        <v>0</v>
      </c>
      <c r="BF105" s="61">
        <f t="shared" si="64"/>
        <v>0</v>
      </c>
      <c r="BG105" s="63">
        <f t="shared" si="65"/>
        <v>0</v>
      </c>
      <c r="BH105" s="45"/>
      <c r="BI105" s="144"/>
    </row>
    <row r="106" spans="1:61" ht="35.65" x14ac:dyDescent="0.45">
      <c r="A106" s="140">
        <v>2</v>
      </c>
      <c r="B106" s="141" t="s">
        <v>1472</v>
      </c>
      <c r="C106" s="142" t="s">
        <v>1473</v>
      </c>
      <c r="D106" s="143" t="str">
        <f t="shared" si="44"/>
        <v>2.2_5.4.7</v>
      </c>
      <c r="E106" s="56" t="s">
        <v>911</v>
      </c>
      <c r="F106" s="506" t="s">
        <v>1753</v>
      </c>
      <c r="G106" s="507" t="s">
        <v>39</v>
      </c>
      <c r="H106" s="507" t="s">
        <v>39</v>
      </c>
      <c r="I106" s="507" t="s">
        <v>1748</v>
      </c>
      <c r="J106" s="507" t="s">
        <v>39</v>
      </c>
      <c r="K106" s="507" t="s">
        <v>39</v>
      </c>
      <c r="L106" s="507" t="s">
        <v>1730</v>
      </c>
      <c r="M106" s="507" t="s">
        <v>763</v>
      </c>
      <c r="N106" s="507" t="s">
        <v>1750</v>
      </c>
      <c r="O106" s="57" t="s">
        <v>912</v>
      </c>
      <c r="P106" s="58" t="s">
        <v>846</v>
      </c>
      <c r="Q106" s="59" t="s">
        <v>913</v>
      </c>
      <c r="R106" s="60" t="s">
        <v>755</v>
      </c>
      <c r="S106" s="61">
        <v>82639.87</v>
      </c>
      <c r="T106" s="62">
        <f>INDEX('BM MORRO DA CRUZ'!$P$6:$P$402,MATCH($O106,'BM MORRO DA CRUZ'!$K$6:$K$402,0))</f>
        <v>6.79</v>
      </c>
      <c r="U106" s="63">
        <f t="shared" si="45"/>
        <v>561124.72</v>
      </c>
      <c r="V106" s="61">
        <f>IFERROR(SUMIFS('01ª MC'!$W$1:$W$1840,'01ª MC'!$C$1:$C$1840,$D106),0)</f>
        <v>0</v>
      </c>
      <c r="W106" s="63">
        <f t="shared" si="46"/>
        <v>0</v>
      </c>
      <c r="X106" s="61">
        <v>0</v>
      </c>
      <c r="Y106" s="63">
        <f t="shared" si="47"/>
        <v>0</v>
      </c>
      <c r="Z106" s="61">
        <v>0</v>
      </c>
      <c r="AA106" s="63">
        <f t="shared" si="48"/>
        <v>0</v>
      </c>
      <c r="AB106" s="61">
        <v>0</v>
      </c>
      <c r="AC106" s="63">
        <f t="shared" si="49"/>
        <v>0</v>
      </c>
      <c r="AD106" s="61">
        <v>0</v>
      </c>
      <c r="AE106" s="63">
        <f t="shared" si="50"/>
        <v>0</v>
      </c>
      <c r="AF106" s="61">
        <v>0</v>
      </c>
      <c r="AG106" s="63">
        <f t="shared" si="51"/>
        <v>0</v>
      </c>
      <c r="AH106" s="61">
        <v>0</v>
      </c>
      <c r="AI106" s="63">
        <f t="shared" si="52"/>
        <v>0</v>
      </c>
      <c r="AJ106" s="61">
        <v>0</v>
      </c>
      <c r="AK106" s="63">
        <f t="shared" si="53"/>
        <v>0</v>
      </c>
      <c r="AL106" s="61">
        <v>0</v>
      </c>
      <c r="AM106" s="63">
        <f t="shared" si="54"/>
        <v>0</v>
      </c>
      <c r="AN106" s="61">
        <v>0</v>
      </c>
      <c r="AO106" s="63">
        <f t="shared" si="55"/>
        <v>0</v>
      </c>
      <c r="AP106" s="61">
        <v>0</v>
      </c>
      <c r="AQ106" s="63">
        <f t="shared" si="56"/>
        <v>0</v>
      </c>
      <c r="AR106" s="61">
        <v>0</v>
      </c>
      <c r="AS106" s="63">
        <f t="shared" si="57"/>
        <v>0</v>
      </c>
      <c r="AT106" s="61">
        <v>0</v>
      </c>
      <c r="AU106" s="63">
        <f t="shared" si="58"/>
        <v>0</v>
      </c>
      <c r="AV106" s="61">
        <v>0</v>
      </c>
      <c r="AW106" s="63">
        <f t="shared" si="59"/>
        <v>0</v>
      </c>
      <c r="AX106" s="61">
        <v>0</v>
      </c>
      <c r="AY106" s="63">
        <f t="shared" si="60"/>
        <v>0</v>
      </c>
      <c r="AZ106" s="61">
        <v>0</v>
      </c>
      <c r="BA106" s="63">
        <f t="shared" si="61"/>
        <v>0</v>
      </c>
      <c r="BB106" s="61">
        <v>0</v>
      </c>
      <c r="BC106" s="63">
        <f t="shared" si="62"/>
        <v>0</v>
      </c>
      <c r="BD106" s="61">
        <v>0</v>
      </c>
      <c r="BE106" s="63">
        <f t="shared" si="63"/>
        <v>0</v>
      </c>
      <c r="BF106" s="61">
        <f t="shared" si="64"/>
        <v>0</v>
      </c>
      <c r="BG106" s="63">
        <f t="shared" si="65"/>
        <v>0</v>
      </c>
      <c r="BH106" s="45"/>
      <c r="BI106" s="144"/>
    </row>
    <row r="107" spans="1:61" ht="26" customHeight="1" x14ac:dyDescent="0.45">
      <c r="A107" s="140">
        <v>2</v>
      </c>
      <c r="B107" s="141" t="s">
        <v>1472</v>
      </c>
      <c r="C107" s="142" t="s">
        <v>1473</v>
      </c>
      <c r="D107" s="143" t="str">
        <f t="shared" si="44"/>
        <v>2.2_5.4.8</v>
      </c>
      <c r="E107" s="56" t="s">
        <v>914</v>
      </c>
      <c r="F107" s="506" t="s">
        <v>1754</v>
      </c>
      <c r="G107" s="507" t="s">
        <v>39</v>
      </c>
      <c r="H107" s="507" t="s">
        <v>39</v>
      </c>
      <c r="I107" s="507" t="s">
        <v>1755</v>
      </c>
      <c r="J107" s="507" t="s">
        <v>39</v>
      </c>
      <c r="K107" s="507" t="s">
        <v>39</v>
      </c>
      <c r="L107" s="507" t="s">
        <v>1756</v>
      </c>
      <c r="M107" s="507" t="s">
        <v>763</v>
      </c>
      <c r="N107" s="507" t="s">
        <v>1757</v>
      </c>
      <c r="O107" s="57" t="s">
        <v>915</v>
      </c>
      <c r="P107" s="58" t="s">
        <v>846</v>
      </c>
      <c r="Q107" s="59" t="s">
        <v>916</v>
      </c>
      <c r="R107" s="60" t="s">
        <v>755</v>
      </c>
      <c r="S107" s="61">
        <v>1027.27</v>
      </c>
      <c r="T107" s="62">
        <f>INDEX('BM MORRO DA CRUZ'!$P$6:$P$402,MATCH($O107,'BM MORRO DA CRUZ'!$K$6:$K$402,0))</f>
        <v>161.05000000000001</v>
      </c>
      <c r="U107" s="63">
        <f t="shared" si="45"/>
        <v>165441.82999999999</v>
      </c>
      <c r="V107" s="61">
        <f>IFERROR(SUMIFS('01ª MC'!$W$1:$W$1840,'01ª MC'!$C$1:$C$1840,$D107),0)</f>
        <v>0</v>
      </c>
      <c r="W107" s="63">
        <f t="shared" si="46"/>
        <v>0</v>
      </c>
      <c r="X107" s="61">
        <v>0</v>
      </c>
      <c r="Y107" s="63">
        <f t="shared" si="47"/>
        <v>0</v>
      </c>
      <c r="Z107" s="61">
        <v>0</v>
      </c>
      <c r="AA107" s="63">
        <f t="shared" si="48"/>
        <v>0</v>
      </c>
      <c r="AB107" s="61">
        <v>0</v>
      </c>
      <c r="AC107" s="63">
        <f t="shared" si="49"/>
        <v>0</v>
      </c>
      <c r="AD107" s="61">
        <v>0</v>
      </c>
      <c r="AE107" s="63">
        <f t="shared" si="50"/>
        <v>0</v>
      </c>
      <c r="AF107" s="61">
        <v>0</v>
      </c>
      <c r="AG107" s="63">
        <f t="shared" si="51"/>
        <v>0</v>
      </c>
      <c r="AH107" s="61">
        <v>0</v>
      </c>
      <c r="AI107" s="63">
        <f t="shared" si="52"/>
        <v>0</v>
      </c>
      <c r="AJ107" s="61">
        <v>0</v>
      </c>
      <c r="AK107" s="63">
        <f t="shared" si="53"/>
        <v>0</v>
      </c>
      <c r="AL107" s="61">
        <v>0</v>
      </c>
      <c r="AM107" s="63">
        <f t="shared" si="54"/>
        <v>0</v>
      </c>
      <c r="AN107" s="61">
        <v>0</v>
      </c>
      <c r="AO107" s="63">
        <f t="shared" si="55"/>
        <v>0</v>
      </c>
      <c r="AP107" s="61">
        <v>0</v>
      </c>
      <c r="AQ107" s="63">
        <f t="shared" si="56"/>
        <v>0</v>
      </c>
      <c r="AR107" s="61">
        <v>0</v>
      </c>
      <c r="AS107" s="63">
        <f t="shared" si="57"/>
        <v>0</v>
      </c>
      <c r="AT107" s="61">
        <v>0</v>
      </c>
      <c r="AU107" s="63">
        <f t="shared" si="58"/>
        <v>0</v>
      </c>
      <c r="AV107" s="61">
        <v>0</v>
      </c>
      <c r="AW107" s="63">
        <f t="shared" si="59"/>
        <v>0</v>
      </c>
      <c r="AX107" s="61">
        <v>0</v>
      </c>
      <c r="AY107" s="63">
        <f t="shared" si="60"/>
        <v>0</v>
      </c>
      <c r="AZ107" s="61">
        <v>0</v>
      </c>
      <c r="BA107" s="63">
        <f t="shared" si="61"/>
        <v>0</v>
      </c>
      <c r="BB107" s="61">
        <v>0</v>
      </c>
      <c r="BC107" s="63">
        <f t="shared" si="62"/>
        <v>0</v>
      </c>
      <c r="BD107" s="61">
        <v>0</v>
      </c>
      <c r="BE107" s="63">
        <f t="shared" si="63"/>
        <v>0</v>
      </c>
      <c r="BF107" s="61">
        <f t="shared" si="64"/>
        <v>0</v>
      </c>
      <c r="BG107" s="63">
        <f t="shared" si="65"/>
        <v>0</v>
      </c>
      <c r="BH107" s="45"/>
      <c r="BI107" s="144"/>
    </row>
    <row r="108" spans="1:61" ht="26" customHeight="1" x14ac:dyDescent="0.45">
      <c r="A108" s="140">
        <v>2</v>
      </c>
      <c r="B108" s="141" t="s">
        <v>1472</v>
      </c>
      <c r="C108" s="142" t="s">
        <v>1473</v>
      </c>
      <c r="D108" s="143" t="str">
        <f t="shared" si="44"/>
        <v>2.2_5.4.9</v>
      </c>
      <c r="E108" s="56" t="s">
        <v>917</v>
      </c>
      <c r="F108" s="506" t="s">
        <v>919</v>
      </c>
      <c r="G108" s="507" t="s">
        <v>39</v>
      </c>
      <c r="H108" s="507" t="s">
        <v>39</v>
      </c>
      <c r="I108" s="507" t="s">
        <v>1757</v>
      </c>
      <c r="J108" s="507" t="s">
        <v>39</v>
      </c>
      <c r="K108" s="507" t="s">
        <v>39</v>
      </c>
      <c r="L108" s="507" t="s">
        <v>1758</v>
      </c>
      <c r="M108" s="507" t="s">
        <v>763</v>
      </c>
      <c r="N108" s="507" t="s">
        <v>1757</v>
      </c>
      <c r="O108" s="57" t="s">
        <v>918</v>
      </c>
      <c r="P108" s="58" t="s">
        <v>846</v>
      </c>
      <c r="Q108" s="59" t="s">
        <v>919</v>
      </c>
      <c r="R108" s="60" t="s">
        <v>755</v>
      </c>
      <c r="S108" s="61">
        <v>820.35</v>
      </c>
      <c r="T108" s="62">
        <f>INDEX('BM MORRO DA CRUZ'!$P$6:$P$402,MATCH($O108,'BM MORRO DA CRUZ'!$K$6:$K$402,0))</f>
        <v>89.06</v>
      </c>
      <c r="U108" s="63">
        <f t="shared" si="45"/>
        <v>73060.37</v>
      </c>
      <c r="V108" s="61">
        <f>IFERROR(SUMIFS('01ª MC'!$W$1:$W$1840,'01ª MC'!$C$1:$C$1840,$D108),0)</f>
        <v>0</v>
      </c>
      <c r="W108" s="63">
        <f t="shared" si="46"/>
        <v>0</v>
      </c>
      <c r="X108" s="61">
        <v>0</v>
      </c>
      <c r="Y108" s="63">
        <f t="shared" si="47"/>
        <v>0</v>
      </c>
      <c r="Z108" s="61">
        <v>0</v>
      </c>
      <c r="AA108" s="63">
        <f t="shared" si="48"/>
        <v>0</v>
      </c>
      <c r="AB108" s="61">
        <v>0</v>
      </c>
      <c r="AC108" s="63">
        <f t="shared" si="49"/>
        <v>0</v>
      </c>
      <c r="AD108" s="61">
        <v>0</v>
      </c>
      <c r="AE108" s="63">
        <f t="shared" si="50"/>
        <v>0</v>
      </c>
      <c r="AF108" s="61">
        <v>0</v>
      </c>
      <c r="AG108" s="63">
        <f t="shared" si="51"/>
        <v>0</v>
      </c>
      <c r="AH108" s="61">
        <v>0</v>
      </c>
      <c r="AI108" s="63">
        <f t="shared" si="52"/>
        <v>0</v>
      </c>
      <c r="AJ108" s="61">
        <v>0</v>
      </c>
      <c r="AK108" s="63">
        <f t="shared" si="53"/>
        <v>0</v>
      </c>
      <c r="AL108" s="61">
        <v>0</v>
      </c>
      <c r="AM108" s="63">
        <f t="shared" si="54"/>
        <v>0</v>
      </c>
      <c r="AN108" s="61">
        <v>0</v>
      </c>
      <c r="AO108" s="63">
        <f t="shared" si="55"/>
        <v>0</v>
      </c>
      <c r="AP108" s="61">
        <v>0</v>
      </c>
      <c r="AQ108" s="63">
        <f t="shared" si="56"/>
        <v>0</v>
      </c>
      <c r="AR108" s="61">
        <v>0</v>
      </c>
      <c r="AS108" s="63">
        <f t="shared" si="57"/>
        <v>0</v>
      </c>
      <c r="AT108" s="61">
        <v>0</v>
      </c>
      <c r="AU108" s="63">
        <f t="shared" si="58"/>
        <v>0</v>
      </c>
      <c r="AV108" s="61">
        <v>0</v>
      </c>
      <c r="AW108" s="63">
        <f t="shared" si="59"/>
        <v>0</v>
      </c>
      <c r="AX108" s="61">
        <v>0</v>
      </c>
      <c r="AY108" s="63">
        <f t="shared" si="60"/>
        <v>0</v>
      </c>
      <c r="AZ108" s="61">
        <v>0</v>
      </c>
      <c r="BA108" s="63">
        <f t="shared" si="61"/>
        <v>0</v>
      </c>
      <c r="BB108" s="61">
        <v>0</v>
      </c>
      <c r="BC108" s="63">
        <f t="shared" si="62"/>
        <v>0</v>
      </c>
      <c r="BD108" s="61">
        <v>0</v>
      </c>
      <c r="BE108" s="63">
        <f t="shared" si="63"/>
        <v>0</v>
      </c>
      <c r="BF108" s="61">
        <f t="shared" si="64"/>
        <v>0</v>
      </c>
      <c r="BG108" s="63">
        <f t="shared" si="65"/>
        <v>0</v>
      </c>
      <c r="BH108" s="45"/>
      <c r="BI108" s="144"/>
    </row>
    <row r="109" spans="1:61" ht="26" customHeight="1" x14ac:dyDescent="0.45">
      <c r="A109" s="140">
        <v>2</v>
      </c>
      <c r="B109" s="141" t="s">
        <v>1472</v>
      </c>
      <c r="C109" s="142" t="s">
        <v>1473</v>
      </c>
      <c r="D109" s="143" t="str">
        <f t="shared" si="44"/>
        <v>2.2_5.4.10</v>
      </c>
      <c r="E109" s="56" t="s">
        <v>920</v>
      </c>
      <c r="F109" s="506" t="s">
        <v>1759</v>
      </c>
      <c r="G109" s="507" t="s">
        <v>39</v>
      </c>
      <c r="H109" s="507" t="s">
        <v>39</v>
      </c>
      <c r="I109" s="507" t="s">
        <v>1757</v>
      </c>
      <c r="J109" s="507" t="s">
        <v>39</v>
      </c>
      <c r="K109" s="507" t="s">
        <v>39</v>
      </c>
      <c r="L109" s="507" t="s">
        <v>1758</v>
      </c>
      <c r="M109" s="507" t="s">
        <v>763</v>
      </c>
      <c r="N109" s="507" t="s">
        <v>1757</v>
      </c>
      <c r="O109" s="57" t="s">
        <v>921</v>
      </c>
      <c r="P109" s="58" t="s">
        <v>846</v>
      </c>
      <c r="Q109" s="59" t="s">
        <v>922</v>
      </c>
      <c r="R109" s="60" t="s">
        <v>755</v>
      </c>
      <c r="S109" s="61">
        <v>113.53</v>
      </c>
      <c r="T109" s="62">
        <f>INDEX('BM MORRO DA CRUZ'!$P$6:$P$402,MATCH($O109,'BM MORRO DA CRUZ'!$K$6:$K$402,0))</f>
        <v>118.75</v>
      </c>
      <c r="U109" s="63">
        <f t="shared" si="45"/>
        <v>13481.69</v>
      </c>
      <c r="V109" s="61">
        <f>IFERROR(SUMIFS('01ª MC'!$W$1:$W$1840,'01ª MC'!$C$1:$C$1840,$D109),0)</f>
        <v>0</v>
      </c>
      <c r="W109" s="63">
        <f t="shared" si="46"/>
        <v>0</v>
      </c>
      <c r="X109" s="61">
        <v>0</v>
      </c>
      <c r="Y109" s="63">
        <f t="shared" si="47"/>
        <v>0</v>
      </c>
      <c r="Z109" s="61">
        <v>0</v>
      </c>
      <c r="AA109" s="63">
        <f t="shared" si="48"/>
        <v>0</v>
      </c>
      <c r="AB109" s="61">
        <v>0</v>
      </c>
      <c r="AC109" s="63">
        <f t="shared" si="49"/>
        <v>0</v>
      </c>
      <c r="AD109" s="61">
        <v>0</v>
      </c>
      <c r="AE109" s="63">
        <f t="shared" si="50"/>
        <v>0</v>
      </c>
      <c r="AF109" s="61">
        <v>0</v>
      </c>
      <c r="AG109" s="63">
        <f t="shared" si="51"/>
        <v>0</v>
      </c>
      <c r="AH109" s="61">
        <v>0</v>
      </c>
      <c r="AI109" s="63">
        <f t="shared" si="52"/>
        <v>0</v>
      </c>
      <c r="AJ109" s="61">
        <v>0</v>
      </c>
      <c r="AK109" s="63">
        <f t="shared" si="53"/>
        <v>0</v>
      </c>
      <c r="AL109" s="61">
        <v>0</v>
      </c>
      <c r="AM109" s="63">
        <f t="shared" si="54"/>
        <v>0</v>
      </c>
      <c r="AN109" s="61">
        <v>0</v>
      </c>
      <c r="AO109" s="63">
        <f t="shared" si="55"/>
        <v>0</v>
      </c>
      <c r="AP109" s="61">
        <v>0</v>
      </c>
      <c r="AQ109" s="63">
        <f t="shared" si="56"/>
        <v>0</v>
      </c>
      <c r="AR109" s="61">
        <v>0</v>
      </c>
      <c r="AS109" s="63">
        <f t="shared" si="57"/>
        <v>0</v>
      </c>
      <c r="AT109" s="61">
        <v>0</v>
      </c>
      <c r="AU109" s="63">
        <f t="shared" si="58"/>
        <v>0</v>
      </c>
      <c r="AV109" s="61">
        <v>0</v>
      </c>
      <c r="AW109" s="63">
        <f t="shared" si="59"/>
        <v>0</v>
      </c>
      <c r="AX109" s="61">
        <v>0</v>
      </c>
      <c r="AY109" s="63">
        <f t="shared" si="60"/>
        <v>0</v>
      </c>
      <c r="AZ109" s="61">
        <v>0</v>
      </c>
      <c r="BA109" s="63">
        <f t="shared" si="61"/>
        <v>0</v>
      </c>
      <c r="BB109" s="61">
        <v>0</v>
      </c>
      <c r="BC109" s="63">
        <f t="shared" si="62"/>
        <v>0</v>
      </c>
      <c r="BD109" s="61">
        <v>0</v>
      </c>
      <c r="BE109" s="63">
        <f t="shared" si="63"/>
        <v>0</v>
      </c>
      <c r="BF109" s="61">
        <f t="shared" si="64"/>
        <v>0</v>
      </c>
      <c r="BG109" s="63">
        <f t="shared" si="65"/>
        <v>0</v>
      </c>
      <c r="BH109" s="45"/>
      <c r="BI109" s="144"/>
    </row>
    <row r="110" spans="1:61" ht="47.25" x14ac:dyDescent="0.45">
      <c r="A110" s="140">
        <v>2</v>
      </c>
      <c r="B110" s="141" t="s">
        <v>1472</v>
      </c>
      <c r="C110" s="142" t="s">
        <v>1473</v>
      </c>
      <c r="D110" s="143" t="str">
        <f t="shared" si="44"/>
        <v>2.2_5.4.11</v>
      </c>
      <c r="E110" s="56" t="s">
        <v>923</v>
      </c>
      <c r="F110" s="506" t="s">
        <v>1761</v>
      </c>
      <c r="G110" s="507" t="s">
        <v>39</v>
      </c>
      <c r="H110" s="507" t="s">
        <v>39</v>
      </c>
      <c r="I110" s="507" t="s">
        <v>1757</v>
      </c>
      <c r="J110" s="507" t="s">
        <v>39</v>
      </c>
      <c r="K110" s="507" t="s">
        <v>39</v>
      </c>
      <c r="L110" s="507" t="s">
        <v>1762</v>
      </c>
      <c r="M110" s="507" t="s">
        <v>763</v>
      </c>
      <c r="N110" s="507" t="s">
        <v>1757</v>
      </c>
      <c r="O110" s="57" t="s">
        <v>924</v>
      </c>
      <c r="P110" s="58" t="s">
        <v>846</v>
      </c>
      <c r="Q110" s="59" t="s">
        <v>925</v>
      </c>
      <c r="R110" s="60" t="s">
        <v>755</v>
      </c>
      <c r="S110" s="61">
        <v>56604.12</v>
      </c>
      <c r="T110" s="62">
        <f>INDEX('BM MORRO DA CRUZ'!$P$6:$P$402,MATCH($O110,'BM MORRO DA CRUZ'!$K$6:$K$402,0))</f>
        <v>6.08</v>
      </c>
      <c r="U110" s="63">
        <f t="shared" si="45"/>
        <v>344153.05</v>
      </c>
      <c r="V110" s="61">
        <f>IFERROR(SUMIFS('01ª MC'!$W$1:$W$1840,'01ª MC'!$C$1:$C$1840,$D110),0)</f>
        <v>0</v>
      </c>
      <c r="W110" s="63">
        <f t="shared" si="46"/>
        <v>0</v>
      </c>
      <c r="X110" s="61">
        <v>0</v>
      </c>
      <c r="Y110" s="63">
        <f t="shared" si="47"/>
        <v>0</v>
      </c>
      <c r="Z110" s="61">
        <v>0</v>
      </c>
      <c r="AA110" s="63">
        <f t="shared" si="48"/>
        <v>0</v>
      </c>
      <c r="AB110" s="61">
        <v>0</v>
      </c>
      <c r="AC110" s="63">
        <f t="shared" si="49"/>
        <v>0</v>
      </c>
      <c r="AD110" s="61">
        <v>0</v>
      </c>
      <c r="AE110" s="63">
        <f t="shared" si="50"/>
        <v>0</v>
      </c>
      <c r="AF110" s="61">
        <v>0</v>
      </c>
      <c r="AG110" s="63">
        <f t="shared" si="51"/>
        <v>0</v>
      </c>
      <c r="AH110" s="61">
        <v>0</v>
      </c>
      <c r="AI110" s="63">
        <f t="shared" si="52"/>
        <v>0</v>
      </c>
      <c r="AJ110" s="61">
        <v>0</v>
      </c>
      <c r="AK110" s="63">
        <f t="shared" si="53"/>
        <v>0</v>
      </c>
      <c r="AL110" s="61">
        <v>0</v>
      </c>
      <c r="AM110" s="63">
        <f t="shared" si="54"/>
        <v>0</v>
      </c>
      <c r="AN110" s="61">
        <v>0</v>
      </c>
      <c r="AO110" s="63">
        <f t="shared" si="55"/>
        <v>0</v>
      </c>
      <c r="AP110" s="61">
        <v>0</v>
      </c>
      <c r="AQ110" s="63">
        <f t="shared" si="56"/>
        <v>0</v>
      </c>
      <c r="AR110" s="61">
        <v>0</v>
      </c>
      <c r="AS110" s="63">
        <f t="shared" si="57"/>
        <v>0</v>
      </c>
      <c r="AT110" s="61">
        <v>0</v>
      </c>
      <c r="AU110" s="63">
        <f t="shared" si="58"/>
        <v>0</v>
      </c>
      <c r="AV110" s="61">
        <v>0</v>
      </c>
      <c r="AW110" s="63">
        <f t="shared" si="59"/>
        <v>0</v>
      </c>
      <c r="AX110" s="61">
        <v>0</v>
      </c>
      <c r="AY110" s="63">
        <f t="shared" si="60"/>
        <v>0</v>
      </c>
      <c r="AZ110" s="61">
        <v>0</v>
      </c>
      <c r="BA110" s="63">
        <f t="shared" si="61"/>
        <v>0</v>
      </c>
      <c r="BB110" s="61">
        <v>0</v>
      </c>
      <c r="BC110" s="63">
        <f t="shared" si="62"/>
        <v>0</v>
      </c>
      <c r="BD110" s="61">
        <v>0</v>
      </c>
      <c r="BE110" s="63">
        <f t="shared" si="63"/>
        <v>0</v>
      </c>
      <c r="BF110" s="61">
        <f t="shared" si="64"/>
        <v>0</v>
      </c>
      <c r="BG110" s="63">
        <f t="shared" si="65"/>
        <v>0</v>
      </c>
      <c r="BH110" s="45"/>
      <c r="BI110" s="144"/>
    </row>
    <row r="111" spans="1:61" ht="47.25" x14ac:dyDescent="0.45">
      <c r="A111" s="140">
        <v>2</v>
      </c>
      <c r="B111" s="141" t="s">
        <v>1472</v>
      </c>
      <c r="C111" s="142" t="s">
        <v>1473</v>
      </c>
      <c r="D111" s="143" t="str">
        <f t="shared" si="44"/>
        <v>2.2_5.4.12</v>
      </c>
      <c r="E111" s="56" t="s">
        <v>926</v>
      </c>
      <c r="F111" s="506" t="s">
        <v>1763</v>
      </c>
      <c r="G111" s="507" t="s">
        <v>39</v>
      </c>
      <c r="H111" s="507" t="s">
        <v>39</v>
      </c>
      <c r="I111" s="507" t="s">
        <v>1757</v>
      </c>
      <c r="J111" s="507" t="s">
        <v>39</v>
      </c>
      <c r="K111" s="507" t="s">
        <v>39</v>
      </c>
      <c r="L111" s="507" t="s">
        <v>1764</v>
      </c>
      <c r="M111" s="507" t="s">
        <v>763</v>
      </c>
      <c r="N111" s="507" t="s">
        <v>1757</v>
      </c>
      <c r="O111" s="57" t="s">
        <v>927</v>
      </c>
      <c r="P111" s="58" t="s">
        <v>846</v>
      </c>
      <c r="Q111" s="59" t="s">
        <v>928</v>
      </c>
      <c r="R111" s="60" t="s">
        <v>755</v>
      </c>
      <c r="S111" s="61">
        <v>16406.990000000002</v>
      </c>
      <c r="T111" s="62">
        <f>INDEX('BM MORRO DA CRUZ'!$P$6:$P$402,MATCH($O111,'BM MORRO DA CRUZ'!$K$6:$K$402,0))</f>
        <v>7.59</v>
      </c>
      <c r="U111" s="63">
        <f t="shared" si="45"/>
        <v>124529.05</v>
      </c>
      <c r="V111" s="61">
        <f>IFERROR(SUMIFS('01ª MC'!$W$1:$W$1840,'01ª MC'!$C$1:$C$1840,$D111),0)</f>
        <v>0</v>
      </c>
      <c r="W111" s="63">
        <f t="shared" si="46"/>
        <v>0</v>
      </c>
      <c r="X111" s="61">
        <v>0</v>
      </c>
      <c r="Y111" s="63">
        <f t="shared" si="47"/>
        <v>0</v>
      </c>
      <c r="Z111" s="61">
        <v>0</v>
      </c>
      <c r="AA111" s="63">
        <f t="shared" si="48"/>
        <v>0</v>
      </c>
      <c r="AB111" s="61">
        <v>0</v>
      </c>
      <c r="AC111" s="63">
        <f t="shared" si="49"/>
        <v>0</v>
      </c>
      <c r="AD111" s="61">
        <v>0</v>
      </c>
      <c r="AE111" s="63">
        <f t="shared" si="50"/>
        <v>0</v>
      </c>
      <c r="AF111" s="61">
        <v>0</v>
      </c>
      <c r="AG111" s="63">
        <f t="shared" si="51"/>
        <v>0</v>
      </c>
      <c r="AH111" s="61">
        <v>0</v>
      </c>
      <c r="AI111" s="63">
        <f t="shared" si="52"/>
        <v>0</v>
      </c>
      <c r="AJ111" s="61">
        <v>0</v>
      </c>
      <c r="AK111" s="63">
        <f t="shared" si="53"/>
        <v>0</v>
      </c>
      <c r="AL111" s="61">
        <v>0</v>
      </c>
      <c r="AM111" s="63">
        <f t="shared" si="54"/>
        <v>0</v>
      </c>
      <c r="AN111" s="61">
        <v>0</v>
      </c>
      <c r="AO111" s="63">
        <f t="shared" si="55"/>
        <v>0</v>
      </c>
      <c r="AP111" s="61">
        <v>0</v>
      </c>
      <c r="AQ111" s="63">
        <f t="shared" si="56"/>
        <v>0</v>
      </c>
      <c r="AR111" s="61">
        <v>0</v>
      </c>
      <c r="AS111" s="63">
        <f t="shared" si="57"/>
        <v>0</v>
      </c>
      <c r="AT111" s="61">
        <v>0</v>
      </c>
      <c r="AU111" s="63">
        <f t="shared" si="58"/>
        <v>0</v>
      </c>
      <c r="AV111" s="61">
        <v>0</v>
      </c>
      <c r="AW111" s="63">
        <f t="shared" si="59"/>
        <v>0</v>
      </c>
      <c r="AX111" s="61">
        <v>0</v>
      </c>
      <c r="AY111" s="63">
        <f t="shared" si="60"/>
        <v>0</v>
      </c>
      <c r="AZ111" s="61">
        <v>0</v>
      </c>
      <c r="BA111" s="63">
        <f t="shared" si="61"/>
        <v>0</v>
      </c>
      <c r="BB111" s="61">
        <v>0</v>
      </c>
      <c r="BC111" s="63">
        <f t="shared" si="62"/>
        <v>0</v>
      </c>
      <c r="BD111" s="61">
        <v>0</v>
      </c>
      <c r="BE111" s="63">
        <f t="shared" si="63"/>
        <v>0</v>
      </c>
      <c r="BF111" s="61">
        <f t="shared" si="64"/>
        <v>0</v>
      </c>
      <c r="BG111" s="63">
        <f t="shared" si="65"/>
        <v>0</v>
      </c>
      <c r="BH111" s="45"/>
      <c r="BI111" s="144"/>
    </row>
    <row r="112" spans="1:61" ht="35.65" x14ac:dyDescent="0.45">
      <c r="A112" s="140">
        <v>2</v>
      </c>
      <c r="B112" s="141" t="s">
        <v>1472</v>
      </c>
      <c r="C112" s="142" t="s">
        <v>1473</v>
      </c>
      <c r="D112" s="143" t="str">
        <f t="shared" si="44"/>
        <v>2.2_5.4.13</v>
      </c>
      <c r="E112" s="56" t="s">
        <v>929</v>
      </c>
      <c r="F112" s="506" t="s">
        <v>1765</v>
      </c>
      <c r="G112" s="507" t="s">
        <v>39</v>
      </c>
      <c r="H112" s="507" t="s">
        <v>39</v>
      </c>
      <c r="I112" s="507" t="s">
        <v>1757</v>
      </c>
      <c r="J112" s="507" t="s">
        <v>39</v>
      </c>
      <c r="K112" s="507" t="s">
        <v>39</v>
      </c>
      <c r="L112" s="507" t="s">
        <v>1758</v>
      </c>
      <c r="M112" s="507" t="s">
        <v>763</v>
      </c>
      <c r="N112" s="507" t="s">
        <v>1757</v>
      </c>
      <c r="O112" s="57" t="s">
        <v>930</v>
      </c>
      <c r="P112" s="58" t="s">
        <v>846</v>
      </c>
      <c r="Q112" s="59" t="s">
        <v>931</v>
      </c>
      <c r="R112" s="60" t="s">
        <v>755</v>
      </c>
      <c r="S112" s="61">
        <v>8203.5</v>
      </c>
      <c r="T112" s="62">
        <f>INDEX('BM MORRO DA CRUZ'!$P$6:$P$402,MATCH($O112,'BM MORRO DA CRUZ'!$K$6:$K$402,0))</f>
        <v>7.94</v>
      </c>
      <c r="U112" s="63">
        <f t="shared" si="45"/>
        <v>65135.79</v>
      </c>
      <c r="V112" s="61">
        <f>IFERROR(SUMIFS('01ª MC'!$W$1:$W$1840,'01ª MC'!$C$1:$C$1840,$D112),0)</f>
        <v>0</v>
      </c>
      <c r="W112" s="63">
        <f t="shared" si="46"/>
        <v>0</v>
      </c>
      <c r="X112" s="61">
        <v>0</v>
      </c>
      <c r="Y112" s="63">
        <f t="shared" si="47"/>
        <v>0</v>
      </c>
      <c r="Z112" s="61">
        <v>0</v>
      </c>
      <c r="AA112" s="63">
        <f t="shared" si="48"/>
        <v>0</v>
      </c>
      <c r="AB112" s="61">
        <v>0</v>
      </c>
      <c r="AC112" s="63">
        <f t="shared" si="49"/>
        <v>0</v>
      </c>
      <c r="AD112" s="61">
        <v>0</v>
      </c>
      <c r="AE112" s="63">
        <f t="shared" si="50"/>
        <v>0</v>
      </c>
      <c r="AF112" s="61">
        <v>0</v>
      </c>
      <c r="AG112" s="63">
        <f t="shared" si="51"/>
        <v>0</v>
      </c>
      <c r="AH112" s="61">
        <v>0</v>
      </c>
      <c r="AI112" s="63">
        <f t="shared" si="52"/>
        <v>0</v>
      </c>
      <c r="AJ112" s="61">
        <v>0</v>
      </c>
      <c r="AK112" s="63">
        <f t="shared" si="53"/>
        <v>0</v>
      </c>
      <c r="AL112" s="61">
        <v>0</v>
      </c>
      <c r="AM112" s="63">
        <f t="shared" si="54"/>
        <v>0</v>
      </c>
      <c r="AN112" s="61">
        <v>0</v>
      </c>
      <c r="AO112" s="63">
        <f t="shared" si="55"/>
        <v>0</v>
      </c>
      <c r="AP112" s="61">
        <v>0</v>
      </c>
      <c r="AQ112" s="63">
        <f t="shared" si="56"/>
        <v>0</v>
      </c>
      <c r="AR112" s="61">
        <v>0</v>
      </c>
      <c r="AS112" s="63">
        <f t="shared" si="57"/>
        <v>0</v>
      </c>
      <c r="AT112" s="61">
        <v>0</v>
      </c>
      <c r="AU112" s="63">
        <f t="shared" si="58"/>
        <v>0</v>
      </c>
      <c r="AV112" s="61">
        <v>0</v>
      </c>
      <c r="AW112" s="63">
        <f t="shared" si="59"/>
        <v>0</v>
      </c>
      <c r="AX112" s="61">
        <v>0</v>
      </c>
      <c r="AY112" s="63">
        <f t="shared" si="60"/>
        <v>0</v>
      </c>
      <c r="AZ112" s="61">
        <v>0</v>
      </c>
      <c r="BA112" s="63">
        <f t="shared" si="61"/>
        <v>0</v>
      </c>
      <c r="BB112" s="61">
        <v>0</v>
      </c>
      <c r="BC112" s="63">
        <f t="shared" si="62"/>
        <v>0</v>
      </c>
      <c r="BD112" s="61">
        <v>0</v>
      </c>
      <c r="BE112" s="63">
        <f t="shared" si="63"/>
        <v>0</v>
      </c>
      <c r="BF112" s="61">
        <f t="shared" si="64"/>
        <v>0</v>
      </c>
      <c r="BG112" s="63">
        <f t="shared" si="65"/>
        <v>0</v>
      </c>
      <c r="BH112" s="45"/>
      <c r="BI112" s="144"/>
    </row>
    <row r="113" spans="1:61" ht="47.25" x14ac:dyDescent="0.45">
      <c r="A113" s="140">
        <v>2</v>
      </c>
      <c r="B113" s="141" t="s">
        <v>1472</v>
      </c>
      <c r="C113" s="142" t="s">
        <v>1473</v>
      </c>
      <c r="D113" s="143" t="str">
        <f t="shared" si="44"/>
        <v>2.2_5.4.14</v>
      </c>
      <c r="E113" s="56" t="s">
        <v>932</v>
      </c>
      <c r="F113" s="506" t="s">
        <v>1766</v>
      </c>
      <c r="G113" s="507" t="s">
        <v>39</v>
      </c>
      <c r="H113" s="507" t="s">
        <v>39</v>
      </c>
      <c r="I113" s="507" t="s">
        <v>1757</v>
      </c>
      <c r="J113" s="507" t="s">
        <v>39</v>
      </c>
      <c r="K113" s="507" t="s">
        <v>39</v>
      </c>
      <c r="L113" s="507" t="s">
        <v>1758</v>
      </c>
      <c r="M113" s="507" t="s">
        <v>763</v>
      </c>
      <c r="N113" s="507" t="s">
        <v>1757</v>
      </c>
      <c r="O113" s="57" t="s">
        <v>933</v>
      </c>
      <c r="P113" s="58" t="s">
        <v>846</v>
      </c>
      <c r="Q113" s="59" t="s">
        <v>934</v>
      </c>
      <c r="R113" s="60" t="s">
        <v>755</v>
      </c>
      <c r="S113" s="61">
        <v>1135.3399999999999</v>
      </c>
      <c r="T113" s="62">
        <f>INDEX('BM MORRO DA CRUZ'!$P$6:$P$402,MATCH($O113,'BM MORRO DA CRUZ'!$K$6:$K$402,0))</f>
        <v>7.45</v>
      </c>
      <c r="U113" s="63">
        <f t="shared" si="45"/>
        <v>8458.2800000000007</v>
      </c>
      <c r="V113" s="61">
        <f>IFERROR(SUMIFS('01ª MC'!$W$1:$W$1840,'01ª MC'!$C$1:$C$1840,$D113),0)</f>
        <v>0</v>
      </c>
      <c r="W113" s="63">
        <f t="shared" si="46"/>
        <v>0</v>
      </c>
      <c r="X113" s="61">
        <v>0</v>
      </c>
      <c r="Y113" s="63">
        <f t="shared" si="47"/>
        <v>0</v>
      </c>
      <c r="Z113" s="61">
        <v>0</v>
      </c>
      <c r="AA113" s="63">
        <f t="shared" si="48"/>
        <v>0</v>
      </c>
      <c r="AB113" s="61">
        <v>0</v>
      </c>
      <c r="AC113" s="63">
        <f t="shared" si="49"/>
        <v>0</v>
      </c>
      <c r="AD113" s="61">
        <v>0</v>
      </c>
      <c r="AE113" s="63">
        <f t="shared" si="50"/>
        <v>0</v>
      </c>
      <c r="AF113" s="61">
        <v>0</v>
      </c>
      <c r="AG113" s="63">
        <f t="shared" si="51"/>
        <v>0</v>
      </c>
      <c r="AH113" s="61">
        <v>0</v>
      </c>
      <c r="AI113" s="63">
        <f t="shared" si="52"/>
        <v>0</v>
      </c>
      <c r="AJ113" s="61">
        <v>0</v>
      </c>
      <c r="AK113" s="63">
        <f t="shared" si="53"/>
        <v>0</v>
      </c>
      <c r="AL113" s="61">
        <v>0</v>
      </c>
      <c r="AM113" s="63">
        <f t="shared" si="54"/>
        <v>0</v>
      </c>
      <c r="AN113" s="61">
        <v>0</v>
      </c>
      <c r="AO113" s="63">
        <f t="shared" si="55"/>
        <v>0</v>
      </c>
      <c r="AP113" s="61">
        <v>0</v>
      </c>
      <c r="AQ113" s="63">
        <f t="shared" si="56"/>
        <v>0</v>
      </c>
      <c r="AR113" s="61">
        <v>0</v>
      </c>
      <c r="AS113" s="63">
        <f t="shared" si="57"/>
        <v>0</v>
      </c>
      <c r="AT113" s="61">
        <v>0</v>
      </c>
      <c r="AU113" s="63">
        <f t="shared" si="58"/>
        <v>0</v>
      </c>
      <c r="AV113" s="61">
        <v>0</v>
      </c>
      <c r="AW113" s="63">
        <f t="shared" si="59"/>
        <v>0</v>
      </c>
      <c r="AX113" s="61">
        <v>0</v>
      </c>
      <c r="AY113" s="63">
        <f t="shared" si="60"/>
        <v>0</v>
      </c>
      <c r="AZ113" s="61">
        <v>0</v>
      </c>
      <c r="BA113" s="63">
        <f t="shared" si="61"/>
        <v>0</v>
      </c>
      <c r="BB113" s="61">
        <v>0</v>
      </c>
      <c r="BC113" s="63">
        <f t="shared" si="62"/>
        <v>0</v>
      </c>
      <c r="BD113" s="61">
        <v>0</v>
      </c>
      <c r="BE113" s="63">
        <f t="shared" si="63"/>
        <v>0</v>
      </c>
      <c r="BF113" s="61">
        <f t="shared" si="64"/>
        <v>0</v>
      </c>
      <c r="BG113" s="63">
        <f t="shared" si="65"/>
        <v>0</v>
      </c>
      <c r="BH113" s="45"/>
      <c r="BI113" s="144"/>
    </row>
    <row r="114" spans="1:61" ht="47.25" x14ac:dyDescent="0.45">
      <c r="A114" s="140">
        <v>2</v>
      </c>
      <c r="B114" s="141" t="s">
        <v>1472</v>
      </c>
      <c r="C114" s="142" t="s">
        <v>1473</v>
      </c>
      <c r="D114" s="143" t="str">
        <f t="shared" si="44"/>
        <v>2.2_5.4.15</v>
      </c>
      <c r="E114" s="56" t="s">
        <v>935</v>
      </c>
      <c r="F114" s="506" t="s">
        <v>1767</v>
      </c>
      <c r="G114" s="507" t="s">
        <v>39</v>
      </c>
      <c r="H114" s="507" t="s">
        <v>39</v>
      </c>
      <c r="I114" s="507" t="s">
        <v>1757</v>
      </c>
      <c r="J114" s="507" t="s">
        <v>39</v>
      </c>
      <c r="K114" s="507" t="s">
        <v>39</v>
      </c>
      <c r="L114" s="507" t="s">
        <v>1762</v>
      </c>
      <c r="M114" s="507" t="s">
        <v>763</v>
      </c>
      <c r="N114" s="507" t="s">
        <v>1757</v>
      </c>
      <c r="O114" s="57" t="s">
        <v>936</v>
      </c>
      <c r="P114" s="58" t="s">
        <v>846</v>
      </c>
      <c r="Q114" s="59" t="s">
        <v>937</v>
      </c>
      <c r="R114" s="60" t="s">
        <v>755</v>
      </c>
      <c r="S114" s="61">
        <v>7833.85</v>
      </c>
      <c r="T114" s="62">
        <f>INDEX('BM MORRO DA CRUZ'!$P$6:$P$402,MATCH($O114,'BM MORRO DA CRUZ'!$K$6:$K$402,0))</f>
        <v>5.69</v>
      </c>
      <c r="U114" s="63">
        <f t="shared" si="45"/>
        <v>44574.61</v>
      </c>
      <c r="V114" s="61">
        <f>IFERROR(SUMIFS('01ª MC'!$W$1:$W$1840,'01ª MC'!$C$1:$C$1840,$D114),0)</f>
        <v>0</v>
      </c>
      <c r="W114" s="63">
        <f t="shared" si="46"/>
        <v>0</v>
      </c>
      <c r="X114" s="61">
        <v>0</v>
      </c>
      <c r="Y114" s="63">
        <f t="shared" si="47"/>
        <v>0</v>
      </c>
      <c r="Z114" s="61">
        <v>0</v>
      </c>
      <c r="AA114" s="63">
        <f t="shared" si="48"/>
        <v>0</v>
      </c>
      <c r="AB114" s="61">
        <v>0</v>
      </c>
      <c r="AC114" s="63">
        <f t="shared" si="49"/>
        <v>0</v>
      </c>
      <c r="AD114" s="61">
        <v>0</v>
      </c>
      <c r="AE114" s="63">
        <f t="shared" si="50"/>
        <v>0</v>
      </c>
      <c r="AF114" s="61">
        <v>0</v>
      </c>
      <c r="AG114" s="63">
        <f t="shared" si="51"/>
        <v>0</v>
      </c>
      <c r="AH114" s="61">
        <v>0</v>
      </c>
      <c r="AI114" s="63">
        <f t="shared" si="52"/>
        <v>0</v>
      </c>
      <c r="AJ114" s="61">
        <v>0</v>
      </c>
      <c r="AK114" s="63">
        <f t="shared" si="53"/>
        <v>0</v>
      </c>
      <c r="AL114" s="61">
        <v>0</v>
      </c>
      <c r="AM114" s="63">
        <f t="shared" si="54"/>
        <v>0</v>
      </c>
      <c r="AN114" s="61">
        <v>0</v>
      </c>
      <c r="AO114" s="63">
        <f t="shared" si="55"/>
        <v>0</v>
      </c>
      <c r="AP114" s="61">
        <v>0</v>
      </c>
      <c r="AQ114" s="63">
        <f t="shared" si="56"/>
        <v>0</v>
      </c>
      <c r="AR114" s="61">
        <v>0</v>
      </c>
      <c r="AS114" s="63">
        <f t="shared" si="57"/>
        <v>0</v>
      </c>
      <c r="AT114" s="61">
        <v>0</v>
      </c>
      <c r="AU114" s="63">
        <f t="shared" si="58"/>
        <v>0</v>
      </c>
      <c r="AV114" s="61">
        <v>0</v>
      </c>
      <c r="AW114" s="63">
        <f t="shared" si="59"/>
        <v>0</v>
      </c>
      <c r="AX114" s="61">
        <v>0</v>
      </c>
      <c r="AY114" s="63">
        <f t="shared" si="60"/>
        <v>0</v>
      </c>
      <c r="AZ114" s="61">
        <v>0</v>
      </c>
      <c r="BA114" s="63">
        <f t="shared" si="61"/>
        <v>0</v>
      </c>
      <c r="BB114" s="61">
        <v>0</v>
      </c>
      <c r="BC114" s="63">
        <f t="shared" si="62"/>
        <v>0</v>
      </c>
      <c r="BD114" s="61">
        <v>0</v>
      </c>
      <c r="BE114" s="63">
        <f t="shared" si="63"/>
        <v>0</v>
      </c>
      <c r="BF114" s="61">
        <f t="shared" si="64"/>
        <v>0</v>
      </c>
      <c r="BG114" s="63">
        <f t="shared" si="65"/>
        <v>0</v>
      </c>
      <c r="BH114" s="45"/>
      <c r="BI114" s="144"/>
    </row>
    <row r="115" spans="1:61" ht="47.25" x14ac:dyDescent="0.45">
      <c r="A115" s="140">
        <v>2</v>
      </c>
      <c r="B115" s="141" t="s">
        <v>1472</v>
      </c>
      <c r="C115" s="142" t="s">
        <v>1473</v>
      </c>
      <c r="D115" s="143" t="str">
        <f t="shared" si="44"/>
        <v>2.2_5.4.16</v>
      </c>
      <c r="E115" s="56" t="s">
        <v>938</v>
      </c>
      <c r="F115" s="506" t="s">
        <v>1768</v>
      </c>
      <c r="G115" s="507" t="s">
        <v>39</v>
      </c>
      <c r="H115" s="507" t="s">
        <v>39</v>
      </c>
      <c r="I115" s="507" t="s">
        <v>1757</v>
      </c>
      <c r="J115" s="507" t="s">
        <v>39</v>
      </c>
      <c r="K115" s="507" t="s">
        <v>39</v>
      </c>
      <c r="L115" s="507" t="s">
        <v>1764</v>
      </c>
      <c r="M115" s="507" t="s">
        <v>763</v>
      </c>
      <c r="N115" s="507" t="s">
        <v>1757</v>
      </c>
      <c r="O115" s="57" t="s">
        <v>939</v>
      </c>
      <c r="P115" s="58" t="s">
        <v>846</v>
      </c>
      <c r="Q115" s="59" t="s">
        <v>940</v>
      </c>
      <c r="R115" s="60" t="s">
        <v>755</v>
      </c>
      <c r="S115" s="61">
        <v>2270.6799999999998</v>
      </c>
      <c r="T115" s="62">
        <f>INDEX('BM MORRO DA CRUZ'!$P$6:$P$402,MATCH($O115,'BM MORRO DA CRUZ'!$K$6:$K$402,0))</f>
        <v>7.12</v>
      </c>
      <c r="U115" s="63">
        <f t="shared" si="45"/>
        <v>16167.24</v>
      </c>
      <c r="V115" s="61">
        <f>IFERROR(SUMIFS('01ª MC'!$W$1:$W$1840,'01ª MC'!$C$1:$C$1840,$D115),0)</f>
        <v>0</v>
      </c>
      <c r="W115" s="63">
        <f t="shared" si="46"/>
        <v>0</v>
      </c>
      <c r="X115" s="61">
        <v>0</v>
      </c>
      <c r="Y115" s="63">
        <f t="shared" si="47"/>
        <v>0</v>
      </c>
      <c r="Z115" s="61">
        <v>0</v>
      </c>
      <c r="AA115" s="63">
        <f t="shared" si="48"/>
        <v>0</v>
      </c>
      <c r="AB115" s="61">
        <v>0</v>
      </c>
      <c r="AC115" s="63">
        <f t="shared" si="49"/>
        <v>0</v>
      </c>
      <c r="AD115" s="61">
        <v>0</v>
      </c>
      <c r="AE115" s="63">
        <f t="shared" si="50"/>
        <v>0</v>
      </c>
      <c r="AF115" s="61">
        <v>0</v>
      </c>
      <c r="AG115" s="63">
        <f t="shared" si="51"/>
        <v>0</v>
      </c>
      <c r="AH115" s="61">
        <v>0</v>
      </c>
      <c r="AI115" s="63">
        <f t="shared" si="52"/>
        <v>0</v>
      </c>
      <c r="AJ115" s="61">
        <v>0</v>
      </c>
      <c r="AK115" s="63">
        <f t="shared" si="53"/>
        <v>0</v>
      </c>
      <c r="AL115" s="61">
        <v>0</v>
      </c>
      <c r="AM115" s="63">
        <f t="shared" si="54"/>
        <v>0</v>
      </c>
      <c r="AN115" s="61">
        <v>0</v>
      </c>
      <c r="AO115" s="63">
        <f t="shared" si="55"/>
        <v>0</v>
      </c>
      <c r="AP115" s="61">
        <v>0</v>
      </c>
      <c r="AQ115" s="63">
        <f t="shared" si="56"/>
        <v>0</v>
      </c>
      <c r="AR115" s="61">
        <v>0</v>
      </c>
      <c r="AS115" s="63">
        <f t="shared" si="57"/>
        <v>0</v>
      </c>
      <c r="AT115" s="61">
        <v>0</v>
      </c>
      <c r="AU115" s="63">
        <f t="shared" si="58"/>
        <v>0</v>
      </c>
      <c r="AV115" s="61">
        <v>0</v>
      </c>
      <c r="AW115" s="63">
        <f t="shared" si="59"/>
        <v>0</v>
      </c>
      <c r="AX115" s="61">
        <v>0</v>
      </c>
      <c r="AY115" s="63">
        <f t="shared" si="60"/>
        <v>0</v>
      </c>
      <c r="AZ115" s="61">
        <v>0</v>
      </c>
      <c r="BA115" s="63">
        <f t="shared" si="61"/>
        <v>0</v>
      </c>
      <c r="BB115" s="61">
        <v>0</v>
      </c>
      <c r="BC115" s="63">
        <f t="shared" si="62"/>
        <v>0</v>
      </c>
      <c r="BD115" s="61">
        <v>0</v>
      </c>
      <c r="BE115" s="63">
        <f t="shared" si="63"/>
        <v>0</v>
      </c>
      <c r="BF115" s="61">
        <f t="shared" si="64"/>
        <v>0</v>
      </c>
      <c r="BG115" s="63">
        <f t="shared" si="65"/>
        <v>0</v>
      </c>
      <c r="BH115" s="45"/>
      <c r="BI115" s="144"/>
    </row>
    <row r="116" spans="1:61" ht="47.25" x14ac:dyDescent="0.45">
      <c r="A116" s="140">
        <v>2</v>
      </c>
      <c r="B116" s="141" t="s">
        <v>1472</v>
      </c>
      <c r="C116" s="142" t="s">
        <v>1473</v>
      </c>
      <c r="D116" s="143" t="str">
        <f t="shared" si="44"/>
        <v>2.2_5.4.20</v>
      </c>
      <c r="E116" s="56" t="s">
        <v>950</v>
      </c>
      <c r="F116" s="506" t="s">
        <v>1774</v>
      </c>
      <c r="G116" s="507" t="s">
        <v>39</v>
      </c>
      <c r="H116" s="507" t="s">
        <v>39</v>
      </c>
      <c r="I116" s="507" t="s">
        <v>1770</v>
      </c>
      <c r="J116" s="507" t="s">
        <v>39</v>
      </c>
      <c r="K116" s="507" t="s">
        <v>39</v>
      </c>
      <c r="L116" s="507" t="s">
        <v>1730</v>
      </c>
      <c r="M116" s="507" t="s">
        <v>763</v>
      </c>
      <c r="N116" s="507" t="s">
        <v>1770</v>
      </c>
      <c r="O116" s="57" t="s">
        <v>951</v>
      </c>
      <c r="P116" s="58" t="s">
        <v>846</v>
      </c>
      <c r="Q116" s="59" t="s">
        <v>952</v>
      </c>
      <c r="R116" s="60" t="s">
        <v>755</v>
      </c>
      <c r="S116" s="61">
        <v>8284.9</v>
      </c>
      <c r="T116" s="62">
        <f>INDEX('BM MORRO DA CRUZ'!$P$6:$P$402,MATCH($O116,'BM MORRO DA CRUZ'!$K$6:$K$402,0))</f>
        <v>12.12</v>
      </c>
      <c r="U116" s="63">
        <f t="shared" si="45"/>
        <v>100412.99</v>
      </c>
      <c r="V116" s="61">
        <f>IFERROR(SUMIFS('01ª MC'!$W$1:$W$1840,'01ª MC'!$C$1:$C$1840,$D116),0)</f>
        <v>0</v>
      </c>
      <c r="W116" s="63">
        <f t="shared" si="46"/>
        <v>0</v>
      </c>
      <c r="X116" s="61">
        <v>0</v>
      </c>
      <c r="Y116" s="63">
        <f t="shared" si="47"/>
        <v>0</v>
      </c>
      <c r="Z116" s="61">
        <v>0</v>
      </c>
      <c r="AA116" s="63">
        <f t="shared" si="48"/>
        <v>0</v>
      </c>
      <c r="AB116" s="61">
        <v>0</v>
      </c>
      <c r="AC116" s="63">
        <f t="shared" si="49"/>
        <v>0</v>
      </c>
      <c r="AD116" s="61">
        <v>0</v>
      </c>
      <c r="AE116" s="63">
        <f t="shared" si="50"/>
        <v>0</v>
      </c>
      <c r="AF116" s="61">
        <v>0</v>
      </c>
      <c r="AG116" s="63">
        <f t="shared" si="51"/>
        <v>0</v>
      </c>
      <c r="AH116" s="61">
        <v>0</v>
      </c>
      <c r="AI116" s="63">
        <f t="shared" si="52"/>
        <v>0</v>
      </c>
      <c r="AJ116" s="61">
        <v>0</v>
      </c>
      <c r="AK116" s="63">
        <f t="shared" si="53"/>
        <v>0</v>
      </c>
      <c r="AL116" s="61">
        <v>0</v>
      </c>
      <c r="AM116" s="63">
        <f t="shared" si="54"/>
        <v>0</v>
      </c>
      <c r="AN116" s="61">
        <v>0</v>
      </c>
      <c r="AO116" s="63">
        <f t="shared" si="55"/>
        <v>0</v>
      </c>
      <c r="AP116" s="61">
        <v>0</v>
      </c>
      <c r="AQ116" s="63">
        <f t="shared" si="56"/>
        <v>0</v>
      </c>
      <c r="AR116" s="61">
        <v>0</v>
      </c>
      <c r="AS116" s="63">
        <f t="shared" si="57"/>
        <v>0</v>
      </c>
      <c r="AT116" s="61">
        <v>0</v>
      </c>
      <c r="AU116" s="63">
        <f t="shared" si="58"/>
        <v>0</v>
      </c>
      <c r="AV116" s="61">
        <v>0</v>
      </c>
      <c r="AW116" s="63">
        <f t="shared" si="59"/>
        <v>0</v>
      </c>
      <c r="AX116" s="61">
        <v>0</v>
      </c>
      <c r="AY116" s="63">
        <f t="shared" si="60"/>
        <v>0</v>
      </c>
      <c r="AZ116" s="61">
        <v>0</v>
      </c>
      <c r="BA116" s="63">
        <f t="shared" si="61"/>
        <v>0</v>
      </c>
      <c r="BB116" s="61">
        <v>0</v>
      </c>
      <c r="BC116" s="63">
        <f t="shared" si="62"/>
        <v>0</v>
      </c>
      <c r="BD116" s="61">
        <v>0</v>
      </c>
      <c r="BE116" s="63">
        <f t="shared" si="63"/>
        <v>0</v>
      </c>
      <c r="BF116" s="61">
        <f t="shared" si="64"/>
        <v>0</v>
      </c>
      <c r="BG116" s="63">
        <f t="shared" si="65"/>
        <v>0</v>
      </c>
      <c r="BH116" s="45"/>
      <c r="BI116" s="144"/>
    </row>
    <row r="117" spans="1:61" ht="47.25" x14ac:dyDescent="0.45">
      <c r="A117" s="140">
        <v>2</v>
      </c>
      <c r="B117" s="141" t="s">
        <v>1472</v>
      </c>
      <c r="C117" s="142" t="s">
        <v>1473</v>
      </c>
      <c r="D117" s="143" t="str">
        <f t="shared" si="44"/>
        <v>2.2_5.4.21</v>
      </c>
      <c r="E117" s="56" t="s">
        <v>953</v>
      </c>
      <c r="F117" s="506" t="s">
        <v>1775</v>
      </c>
      <c r="G117" s="507" t="s">
        <v>39</v>
      </c>
      <c r="H117" s="507" t="s">
        <v>39</v>
      </c>
      <c r="I117" s="507" t="s">
        <v>1770</v>
      </c>
      <c r="J117" s="507" t="s">
        <v>39</v>
      </c>
      <c r="K117" s="507" t="s">
        <v>39</v>
      </c>
      <c r="L117" s="507" t="s">
        <v>1730</v>
      </c>
      <c r="M117" s="507" t="s">
        <v>763</v>
      </c>
      <c r="N117" s="507" t="s">
        <v>1770</v>
      </c>
      <c r="O117" s="57" t="s">
        <v>954</v>
      </c>
      <c r="P117" s="58" t="s">
        <v>846</v>
      </c>
      <c r="Q117" s="59" t="s">
        <v>955</v>
      </c>
      <c r="R117" s="60" t="s">
        <v>755</v>
      </c>
      <c r="S117" s="61">
        <v>57718.98</v>
      </c>
      <c r="T117" s="62">
        <f>INDEX('BM MORRO DA CRUZ'!$P$6:$P$402,MATCH($O117,'BM MORRO DA CRUZ'!$K$6:$K$402,0))</f>
        <v>17.62</v>
      </c>
      <c r="U117" s="63">
        <f t="shared" si="45"/>
        <v>1017008.43</v>
      </c>
      <c r="V117" s="61">
        <f>IFERROR(SUMIFS('01ª MC'!$W$1:$W$1840,'01ª MC'!$C$1:$C$1840,$D117),0)</f>
        <v>0</v>
      </c>
      <c r="W117" s="63">
        <f t="shared" si="46"/>
        <v>0</v>
      </c>
      <c r="X117" s="61">
        <v>0</v>
      </c>
      <c r="Y117" s="63">
        <f t="shared" si="47"/>
        <v>0</v>
      </c>
      <c r="Z117" s="61">
        <v>0</v>
      </c>
      <c r="AA117" s="63">
        <f t="shared" si="48"/>
        <v>0</v>
      </c>
      <c r="AB117" s="61">
        <v>0</v>
      </c>
      <c r="AC117" s="63">
        <f t="shared" si="49"/>
        <v>0</v>
      </c>
      <c r="AD117" s="61">
        <v>0</v>
      </c>
      <c r="AE117" s="63">
        <f t="shared" si="50"/>
        <v>0</v>
      </c>
      <c r="AF117" s="61">
        <v>0</v>
      </c>
      <c r="AG117" s="63">
        <f t="shared" si="51"/>
        <v>0</v>
      </c>
      <c r="AH117" s="61">
        <v>0</v>
      </c>
      <c r="AI117" s="63">
        <f t="shared" si="52"/>
        <v>0</v>
      </c>
      <c r="AJ117" s="61">
        <v>0</v>
      </c>
      <c r="AK117" s="63">
        <f t="shared" si="53"/>
        <v>0</v>
      </c>
      <c r="AL117" s="61">
        <v>0</v>
      </c>
      <c r="AM117" s="63">
        <f t="shared" si="54"/>
        <v>0</v>
      </c>
      <c r="AN117" s="61">
        <v>0</v>
      </c>
      <c r="AO117" s="63">
        <f t="shared" si="55"/>
        <v>0</v>
      </c>
      <c r="AP117" s="61">
        <v>0</v>
      </c>
      <c r="AQ117" s="63">
        <f t="shared" si="56"/>
        <v>0</v>
      </c>
      <c r="AR117" s="61">
        <v>0</v>
      </c>
      <c r="AS117" s="63">
        <f t="shared" si="57"/>
        <v>0</v>
      </c>
      <c r="AT117" s="61">
        <v>0</v>
      </c>
      <c r="AU117" s="63">
        <f t="shared" si="58"/>
        <v>0</v>
      </c>
      <c r="AV117" s="61">
        <v>0</v>
      </c>
      <c r="AW117" s="63">
        <f t="shared" si="59"/>
        <v>0</v>
      </c>
      <c r="AX117" s="61">
        <v>0</v>
      </c>
      <c r="AY117" s="63">
        <f t="shared" si="60"/>
        <v>0</v>
      </c>
      <c r="AZ117" s="61">
        <v>0</v>
      </c>
      <c r="BA117" s="63">
        <f t="shared" si="61"/>
        <v>0</v>
      </c>
      <c r="BB117" s="61">
        <v>0</v>
      </c>
      <c r="BC117" s="63">
        <f t="shared" si="62"/>
        <v>0</v>
      </c>
      <c r="BD117" s="61">
        <v>0</v>
      </c>
      <c r="BE117" s="63">
        <f t="shared" si="63"/>
        <v>0</v>
      </c>
      <c r="BF117" s="61">
        <f t="shared" si="64"/>
        <v>0</v>
      </c>
      <c r="BG117" s="63">
        <f t="shared" si="65"/>
        <v>0</v>
      </c>
      <c r="BH117" s="45"/>
      <c r="BI117" s="144"/>
    </row>
    <row r="118" spans="1:61" ht="26" customHeight="1" x14ac:dyDescent="0.45">
      <c r="A118" s="140">
        <v>2</v>
      </c>
      <c r="B118" s="141" t="s">
        <v>1472</v>
      </c>
      <c r="C118" s="142" t="s">
        <v>1473</v>
      </c>
      <c r="D118" s="143" t="str">
        <f t="shared" si="44"/>
        <v>2.2_5.4.22</v>
      </c>
      <c r="E118" s="56" t="s">
        <v>956</v>
      </c>
      <c r="F118" s="506" t="s">
        <v>1776</v>
      </c>
      <c r="G118" s="507" t="s">
        <v>39</v>
      </c>
      <c r="H118" s="507" t="s">
        <v>39</v>
      </c>
      <c r="I118" s="507" t="s">
        <v>1777</v>
      </c>
      <c r="J118" s="507" t="s">
        <v>39</v>
      </c>
      <c r="K118" s="507" t="s">
        <v>39</v>
      </c>
      <c r="L118" s="507" t="s">
        <v>39</v>
      </c>
      <c r="M118" s="507" t="s">
        <v>763</v>
      </c>
      <c r="N118" s="507" t="s">
        <v>1777</v>
      </c>
      <c r="O118" s="57" t="s">
        <v>957</v>
      </c>
      <c r="P118" s="58" t="s">
        <v>846</v>
      </c>
      <c r="Q118" s="59" t="s">
        <v>958</v>
      </c>
      <c r="R118" s="60" t="s">
        <v>959</v>
      </c>
      <c r="S118" s="61">
        <v>1237201.8999999999</v>
      </c>
      <c r="T118" s="62">
        <f>INDEX('BM MORRO DA CRUZ'!$P$6:$P$402,MATCH($O118,'BM MORRO DA CRUZ'!$K$6:$K$402,0))</f>
        <v>0.89</v>
      </c>
      <c r="U118" s="63">
        <f t="shared" si="45"/>
        <v>1101109.69</v>
      </c>
      <c r="V118" s="61">
        <f>IFERROR(SUMIFS('01ª MC'!$W$1:$W$1840,'01ª MC'!$C$1:$C$1840,$D118),0)</f>
        <v>0</v>
      </c>
      <c r="W118" s="63">
        <f t="shared" si="46"/>
        <v>0</v>
      </c>
      <c r="X118" s="61">
        <v>0</v>
      </c>
      <c r="Y118" s="63">
        <f t="shared" si="47"/>
        <v>0</v>
      </c>
      <c r="Z118" s="61">
        <v>0</v>
      </c>
      <c r="AA118" s="63">
        <f t="shared" si="48"/>
        <v>0</v>
      </c>
      <c r="AB118" s="61">
        <v>0</v>
      </c>
      <c r="AC118" s="63">
        <f t="shared" si="49"/>
        <v>0</v>
      </c>
      <c r="AD118" s="61">
        <v>0</v>
      </c>
      <c r="AE118" s="63">
        <f t="shared" si="50"/>
        <v>0</v>
      </c>
      <c r="AF118" s="61">
        <v>0</v>
      </c>
      <c r="AG118" s="63">
        <f t="shared" si="51"/>
        <v>0</v>
      </c>
      <c r="AH118" s="61">
        <v>0</v>
      </c>
      <c r="AI118" s="63">
        <f t="shared" si="52"/>
        <v>0</v>
      </c>
      <c r="AJ118" s="61">
        <v>0</v>
      </c>
      <c r="AK118" s="63">
        <f t="shared" si="53"/>
        <v>0</v>
      </c>
      <c r="AL118" s="61">
        <v>0</v>
      </c>
      <c r="AM118" s="63">
        <f t="shared" si="54"/>
        <v>0</v>
      </c>
      <c r="AN118" s="61">
        <v>0</v>
      </c>
      <c r="AO118" s="63">
        <f t="shared" si="55"/>
        <v>0</v>
      </c>
      <c r="AP118" s="61">
        <v>0</v>
      </c>
      <c r="AQ118" s="63">
        <f t="shared" si="56"/>
        <v>0</v>
      </c>
      <c r="AR118" s="61">
        <v>0</v>
      </c>
      <c r="AS118" s="63">
        <f t="shared" si="57"/>
        <v>0</v>
      </c>
      <c r="AT118" s="61">
        <v>0</v>
      </c>
      <c r="AU118" s="63">
        <f t="shared" si="58"/>
        <v>0</v>
      </c>
      <c r="AV118" s="61">
        <v>0</v>
      </c>
      <c r="AW118" s="63">
        <f t="shared" si="59"/>
        <v>0</v>
      </c>
      <c r="AX118" s="61">
        <v>0</v>
      </c>
      <c r="AY118" s="63">
        <f t="shared" si="60"/>
        <v>0</v>
      </c>
      <c r="AZ118" s="61">
        <v>0</v>
      </c>
      <c r="BA118" s="63">
        <f t="shared" si="61"/>
        <v>0</v>
      </c>
      <c r="BB118" s="61">
        <v>0</v>
      </c>
      <c r="BC118" s="63">
        <f t="shared" si="62"/>
        <v>0</v>
      </c>
      <c r="BD118" s="61">
        <v>0</v>
      </c>
      <c r="BE118" s="63">
        <f t="shared" si="63"/>
        <v>0</v>
      </c>
      <c r="BF118" s="61">
        <f t="shared" si="64"/>
        <v>0</v>
      </c>
      <c r="BG118" s="63">
        <f t="shared" si="65"/>
        <v>0</v>
      </c>
      <c r="BH118" s="45"/>
      <c r="BI118" s="144"/>
    </row>
    <row r="119" spans="1:61" ht="26" customHeight="1" x14ac:dyDescent="0.45">
      <c r="A119" s="140">
        <v>2</v>
      </c>
      <c r="B119" s="141" t="s">
        <v>1472</v>
      </c>
      <c r="C119" s="142" t="s">
        <v>1473</v>
      </c>
      <c r="D119" s="143" t="str">
        <f t="shared" si="44"/>
        <v>2.2_5.4.23</v>
      </c>
      <c r="E119" s="56" t="s">
        <v>960</v>
      </c>
      <c r="F119" s="506" t="s">
        <v>1779</v>
      </c>
      <c r="G119" s="507" t="s">
        <v>39</v>
      </c>
      <c r="H119" s="507" t="s">
        <v>39</v>
      </c>
      <c r="I119" s="507" t="s">
        <v>1777</v>
      </c>
      <c r="J119" s="507" t="s">
        <v>39</v>
      </c>
      <c r="K119" s="507" t="s">
        <v>39</v>
      </c>
      <c r="L119" s="507" t="s">
        <v>39</v>
      </c>
      <c r="M119" s="507" t="s">
        <v>763</v>
      </c>
      <c r="N119" s="507" t="s">
        <v>1777</v>
      </c>
      <c r="O119" s="57" t="s">
        <v>961</v>
      </c>
      <c r="P119" s="58" t="s">
        <v>846</v>
      </c>
      <c r="Q119" s="59" t="s">
        <v>962</v>
      </c>
      <c r="R119" s="60" t="s">
        <v>959</v>
      </c>
      <c r="S119" s="61">
        <v>2499615.8199999998</v>
      </c>
      <c r="T119" s="62">
        <f>INDEX('BM MORRO DA CRUZ'!$P$6:$P$402,MATCH($O119,'BM MORRO DA CRUZ'!$K$6:$K$402,0))</f>
        <v>2.19</v>
      </c>
      <c r="U119" s="63">
        <f t="shared" si="45"/>
        <v>5474158.6500000004</v>
      </c>
      <c r="V119" s="61">
        <f>IFERROR(SUMIFS('01ª MC'!$W$1:$W$1840,'01ª MC'!$C$1:$C$1840,$D119),0)</f>
        <v>0</v>
      </c>
      <c r="W119" s="63">
        <f t="shared" si="46"/>
        <v>0</v>
      </c>
      <c r="X119" s="61">
        <v>0</v>
      </c>
      <c r="Y119" s="63">
        <f t="shared" si="47"/>
        <v>0</v>
      </c>
      <c r="Z119" s="61">
        <v>0</v>
      </c>
      <c r="AA119" s="63">
        <f t="shared" si="48"/>
        <v>0</v>
      </c>
      <c r="AB119" s="61">
        <v>0</v>
      </c>
      <c r="AC119" s="63">
        <f t="shared" si="49"/>
        <v>0</v>
      </c>
      <c r="AD119" s="61">
        <v>0</v>
      </c>
      <c r="AE119" s="63">
        <f t="shared" si="50"/>
        <v>0</v>
      </c>
      <c r="AF119" s="61">
        <v>0</v>
      </c>
      <c r="AG119" s="63">
        <f t="shared" si="51"/>
        <v>0</v>
      </c>
      <c r="AH119" s="61">
        <v>0</v>
      </c>
      <c r="AI119" s="63">
        <f t="shared" si="52"/>
        <v>0</v>
      </c>
      <c r="AJ119" s="61">
        <v>0</v>
      </c>
      <c r="AK119" s="63">
        <f t="shared" si="53"/>
        <v>0</v>
      </c>
      <c r="AL119" s="61">
        <v>0</v>
      </c>
      <c r="AM119" s="63">
        <f t="shared" si="54"/>
        <v>0</v>
      </c>
      <c r="AN119" s="61">
        <v>0</v>
      </c>
      <c r="AO119" s="63">
        <f t="shared" si="55"/>
        <v>0</v>
      </c>
      <c r="AP119" s="61">
        <v>0</v>
      </c>
      <c r="AQ119" s="63">
        <f t="shared" si="56"/>
        <v>0</v>
      </c>
      <c r="AR119" s="61">
        <v>0</v>
      </c>
      <c r="AS119" s="63">
        <f t="shared" si="57"/>
        <v>0</v>
      </c>
      <c r="AT119" s="61">
        <v>0</v>
      </c>
      <c r="AU119" s="63">
        <f t="shared" si="58"/>
        <v>0</v>
      </c>
      <c r="AV119" s="61">
        <v>0</v>
      </c>
      <c r="AW119" s="63">
        <f t="shared" si="59"/>
        <v>0</v>
      </c>
      <c r="AX119" s="61">
        <v>0</v>
      </c>
      <c r="AY119" s="63">
        <f t="shared" si="60"/>
        <v>0</v>
      </c>
      <c r="AZ119" s="61">
        <v>0</v>
      </c>
      <c r="BA119" s="63">
        <f t="shared" si="61"/>
        <v>0</v>
      </c>
      <c r="BB119" s="61">
        <v>0</v>
      </c>
      <c r="BC119" s="63">
        <f t="shared" si="62"/>
        <v>0</v>
      </c>
      <c r="BD119" s="61">
        <v>0</v>
      </c>
      <c r="BE119" s="63">
        <f t="shared" si="63"/>
        <v>0</v>
      </c>
      <c r="BF119" s="61">
        <f t="shared" si="64"/>
        <v>0</v>
      </c>
      <c r="BG119" s="63">
        <f t="shared" si="65"/>
        <v>0</v>
      </c>
      <c r="BH119" s="45"/>
      <c r="BI119" s="144"/>
    </row>
    <row r="120" spans="1:61" ht="26" customHeight="1" x14ac:dyDescent="0.45">
      <c r="A120" s="140">
        <v>2</v>
      </c>
      <c r="B120" s="141" t="s">
        <v>1472</v>
      </c>
      <c r="C120" s="142" t="s">
        <v>1473</v>
      </c>
      <c r="D120" s="143" t="str">
        <f t="shared" si="44"/>
        <v>2.2_5.4.24</v>
      </c>
      <c r="E120" s="56" t="s">
        <v>963</v>
      </c>
      <c r="F120" s="506" t="s">
        <v>1780</v>
      </c>
      <c r="G120" s="507" t="s">
        <v>39</v>
      </c>
      <c r="H120" s="507" t="s">
        <v>39</v>
      </c>
      <c r="I120" s="507" t="s">
        <v>1777</v>
      </c>
      <c r="J120" s="507" t="s">
        <v>39</v>
      </c>
      <c r="K120" s="507" t="s">
        <v>39</v>
      </c>
      <c r="L120" s="507" t="s">
        <v>39</v>
      </c>
      <c r="M120" s="507" t="s">
        <v>763</v>
      </c>
      <c r="N120" s="507" t="s">
        <v>1777</v>
      </c>
      <c r="O120" s="57" t="s">
        <v>964</v>
      </c>
      <c r="P120" s="58" t="s">
        <v>846</v>
      </c>
      <c r="Q120" s="59" t="s">
        <v>965</v>
      </c>
      <c r="R120" s="60" t="s">
        <v>959</v>
      </c>
      <c r="S120" s="61">
        <v>594.5</v>
      </c>
      <c r="T120" s="62">
        <f>INDEX('BM MORRO DA CRUZ'!$P$6:$P$402,MATCH($O120,'BM MORRO DA CRUZ'!$K$6:$K$402,0))</f>
        <v>1.2</v>
      </c>
      <c r="U120" s="63">
        <f t="shared" si="45"/>
        <v>713.4</v>
      </c>
      <c r="V120" s="61">
        <f>IFERROR(SUMIFS('01ª MC'!$W$1:$W$1840,'01ª MC'!$C$1:$C$1840,$D120),0)</f>
        <v>0</v>
      </c>
      <c r="W120" s="63">
        <f t="shared" si="46"/>
        <v>0</v>
      </c>
      <c r="X120" s="61">
        <v>0</v>
      </c>
      <c r="Y120" s="63">
        <f t="shared" si="47"/>
        <v>0</v>
      </c>
      <c r="Z120" s="61">
        <v>0</v>
      </c>
      <c r="AA120" s="63">
        <f t="shared" si="48"/>
        <v>0</v>
      </c>
      <c r="AB120" s="61">
        <v>0</v>
      </c>
      <c r="AC120" s="63">
        <f t="shared" si="49"/>
        <v>0</v>
      </c>
      <c r="AD120" s="61">
        <v>0</v>
      </c>
      <c r="AE120" s="63">
        <f t="shared" si="50"/>
        <v>0</v>
      </c>
      <c r="AF120" s="61">
        <v>0</v>
      </c>
      <c r="AG120" s="63">
        <f t="shared" si="51"/>
        <v>0</v>
      </c>
      <c r="AH120" s="61">
        <v>0</v>
      </c>
      <c r="AI120" s="63">
        <f t="shared" si="52"/>
        <v>0</v>
      </c>
      <c r="AJ120" s="61">
        <v>0</v>
      </c>
      <c r="AK120" s="63">
        <f t="shared" si="53"/>
        <v>0</v>
      </c>
      <c r="AL120" s="61">
        <v>0</v>
      </c>
      <c r="AM120" s="63">
        <f t="shared" si="54"/>
        <v>0</v>
      </c>
      <c r="AN120" s="61">
        <v>0</v>
      </c>
      <c r="AO120" s="63">
        <f t="shared" si="55"/>
        <v>0</v>
      </c>
      <c r="AP120" s="61">
        <v>0</v>
      </c>
      <c r="AQ120" s="63">
        <f t="shared" si="56"/>
        <v>0</v>
      </c>
      <c r="AR120" s="61">
        <v>0</v>
      </c>
      <c r="AS120" s="63">
        <f t="shared" si="57"/>
        <v>0</v>
      </c>
      <c r="AT120" s="61">
        <v>0</v>
      </c>
      <c r="AU120" s="63">
        <f t="shared" si="58"/>
        <v>0</v>
      </c>
      <c r="AV120" s="61">
        <v>0</v>
      </c>
      <c r="AW120" s="63">
        <f t="shared" si="59"/>
        <v>0</v>
      </c>
      <c r="AX120" s="61">
        <v>0</v>
      </c>
      <c r="AY120" s="63">
        <f t="shared" si="60"/>
        <v>0</v>
      </c>
      <c r="AZ120" s="61">
        <v>0</v>
      </c>
      <c r="BA120" s="63">
        <f t="shared" si="61"/>
        <v>0</v>
      </c>
      <c r="BB120" s="61">
        <v>0</v>
      </c>
      <c r="BC120" s="63">
        <f t="shared" si="62"/>
        <v>0</v>
      </c>
      <c r="BD120" s="61">
        <v>0</v>
      </c>
      <c r="BE120" s="63">
        <f t="shared" si="63"/>
        <v>0</v>
      </c>
      <c r="BF120" s="61">
        <f t="shared" si="64"/>
        <v>0</v>
      </c>
      <c r="BG120" s="63">
        <f t="shared" si="65"/>
        <v>0</v>
      </c>
      <c r="BH120" s="45"/>
      <c r="BI120" s="144"/>
    </row>
    <row r="121" spans="1:61" ht="26" customHeight="1" x14ac:dyDescent="0.45">
      <c r="A121" s="140">
        <v>2</v>
      </c>
      <c r="B121" s="141" t="s">
        <v>1472</v>
      </c>
      <c r="C121" s="142" t="s">
        <v>1473</v>
      </c>
      <c r="D121" s="143" t="str">
        <f t="shared" si="44"/>
        <v>2.2_5.4.25</v>
      </c>
      <c r="E121" s="56" t="s">
        <v>966</v>
      </c>
      <c r="F121" s="506" t="s">
        <v>1781</v>
      </c>
      <c r="G121" s="507" t="s">
        <v>39</v>
      </c>
      <c r="H121" s="507" t="s">
        <v>39</v>
      </c>
      <c r="I121" s="507" t="s">
        <v>1777</v>
      </c>
      <c r="J121" s="507" t="s">
        <v>39</v>
      </c>
      <c r="K121" s="507" t="s">
        <v>39</v>
      </c>
      <c r="L121" s="507" t="s">
        <v>39</v>
      </c>
      <c r="M121" s="507" t="s">
        <v>763</v>
      </c>
      <c r="N121" s="507" t="s">
        <v>1777</v>
      </c>
      <c r="O121" s="57" t="s">
        <v>967</v>
      </c>
      <c r="P121" s="58" t="s">
        <v>846</v>
      </c>
      <c r="Q121" s="59" t="s">
        <v>968</v>
      </c>
      <c r="R121" s="60" t="s">
        <v>959</v>
      </c>
      <c r="S121" s="61">
        <v>1143.26</v>
      </c>
      <c r="T121" s="62">
        <f>INDEX('BM MORRO DA CRUZ'!$P$6:$P$402,MATCH($O121,'BM MORRO DA CRUZ'!$K$6:$K$402,0))</f>
        <v>3.01</v>
      </c>
      <c r="U121" s="63">
        <f t="shared" si="45"/>
        <v>3441.21</v>
      </c>
      <c r="V121" s="61">
        <f>IFERROR(SUMIFS('01ª MC'!$W$1:$W$1840,'01ª MC'!$C$1:$C$1840,$D121),0)</f>
        <v>0</v>
      </c>
      <c r="W121" s="63">
        <f t="shared" si="46"/>
        <v>0</v>
      </c>
      <c r="X121" s="61">
        <v>0</v>
      </c>
      <c r="Y121" s="63">
        <f t="shared" si="47"/>
        <v>0</v>
      </c>
      <c r="Z121" s="61">
        <v>0</v>
      </c>
      <c r="AA121" s="63">
        <f t="shared" si="48"/>
        <v>0</v>
      </c>
      <c r="AB121" s="61">
        <v>0</v>
      </c>
      <c r="AC121" s="63">
        <f t="shared" si="49"/>
        <v>0</v>
      </c>
      <c r="AD121" s="61">
        <v>0</v>
      </c>
      <c r="AE121" s="63">
        <f t="shared" si="50"/>
        <v>0</v>
      </c>
      <c r="AF121" s="61">
        <v>0</v>
      </c>
      <c r="AG121" s="63">
        <f t="shared" si="51"/>
        <v>0</v>
      </c>
      <c r="AH121" s="61">
        <v>0</v>
      </c>
      <c r="AI121" s="63">
        <f t="shared" si="52"/>
        <v>0</v>
      </c>
      <c r="AJ121" s="61">
        <v>0</v>
      </c>
      <c r="AK121" s="63">
        <f t="shared" si="53"/>
        <v>0</v>
      </c>
      <c r="AL121" s="61">
        <v>0</v>
      </c>
      <c r="AM121" s="63">
        <f t="shared" si="54"/>
        <v>0</v>
      </c>
      <c r="AN121" s="61">
        <v>0</v>
      </c>
      <c r="AO121" s="63">
        <f t="shared" si="55"/>
        <v>0</v>
      </c>
      <c r="AP121" s="61">
        <v>0</v>
      </c>
      <c r="AQ121" s="63">
        <f t="shared" si="56"/>
        <v>0</v>
      </c>
      <c r="AR121" s="61">
        <v>0</v>
      </c>
      <c r="AS121" s="63">
        <f t="shared" si="57"/>
        <v>0</v>
      </c>
      <c r="AT121" s="61">
        <v>0</v>
      </c>
      <c r="AU121" s="63">
        <f t="shared" si="58"/>
        <v>0</v>
      </c>
      <c r="AV121" s="61">
        <v>0</v>
      </c>
      <c r="AW121" s="63">
        <f t="shared" si="59"/>
        <v>0</v>
      </c>
      <c r="AX121" s="61">
        <v>0</v>
      </c>
      <c r="AY121" s="63">
        <f t="shared" si="60"/>
        <v>0</v>
      </c>
      <c r="AZ121" s="61">
        <v>0</v>
      </c>
      <c r="BA121" s="63">
        <f t="shared" si="61"/>
        <v>0</v>
      </c>
      <c r="BB121" s="61">
        <v>0</v>
      </c>
      <c r="BC121" s="63">
        <f t="shared" si="62"/>
        <v>0</v>
      </c>
      <c r="BD121" s="61">
        <v>0</v>
      </c>
      <c r="BE121" s="63">
        <f t="shared" si="63"/>
        <v>0</v>
      </c>
      <c r="BF121" s="61">
        <f t="shared" si="64"/>
        <v>0</v>
      </c>
      <c r="BG121" s="63">
        <f t="shared" si="65"/>
        <v>0</v>
      </c>
      <c r="BH121" s="45"/>
      <c r="BI121" s="144"/>
    </row>
    <row r="122" spans="1:61" ht="35.65" x14ac:dyDescent="0.45">
      <c r="A122" s="140">
        <v>2</v>
      </c>
      <c r="B122" s="141" t="s">
        <v>1472</v>
      </c>
      <c r="C122" s="142" t="s">
        <v>1473</v>
      </c>
      <c r="D122" s="143" t="str">
        <f t="shared" si="44"/>
        <v>2.2_5.4.26</v>
      </c>
      <c r="E122" s="56" t="s">
        <v>969</v>
      </c>
      <c r="F122" s="506" t="s">
        <v>1783</v>
      </c>
      <c r="G122" s="507" t="s">
        <v>39</v>
      </c>
      <c r="H122" s="507" t="s">
        <v>39</v>
      </c>
      <c r="I122" s="507" t="s">
        <v>1777</v>
      </c>
      <c r="J122" s="507" t="s">
        <v>39</v>
      </c>
      <c r="K122" s="507" t="s">
        <v>39</v>
      </c>
      <c r="L122" s="507" t="s">
        <v>1749</v>
      </c>
      <c r="M122" s="507" t="s">
        <v>763</v>
      </c>
      <c r="N122" s="507" t="s">
        <v>1777</v>
      </c>
      <c r="O122" s="57" t="s">
        <v>970</v>
      </c>
      <c r="P122" s="58" t="s">
        <v>846</v>
      </c>
      <c r="Q122" s="59" t="s">
        <v>971</v>
      </c>
      <c r="R122" s="60" t="s">
        <v>972</v>
      </c>
      <c r="S122" s="61">
        <v>185.18</v>
      </c>
      <c r="T122" s="62">
        <f>INDEX('BM MORRO DA CRUZ'!$P$6:$P$402,MATCH($O122,'BM MORRO DA CRUZ'!$K$6:$K$402,0))</f>
        <v>1.43</v>
      </c>
      <c r="U122" s="63">
        <f t="shared" si="45"/>
        <v>264.81</v>
      </c>
      <c r="V122" s="61">
        <f>IFERROR(SUMIFS('01ª MC'!$W$1:$W$1840,'01ª MC'!$C$1:$C$1840,$D122),0)</f>
        <v>0</v>
      </c>
      <c r="W122" s="63">
        <f t="shared" si="46"/>
        <v>0</v>
      </c>
      <c r="X122" s="61">
        <v>0</v>
      </c>
      <c r="Y122" s="63">
        <f t="shared" si="47"/>
        <v>0</v>
      </c>
      <c r="Z122" s="61">
        <v>0</v>
      </c>
      <c r="AA122" s="63">
        <f t="shared" si="48"/>
        <v>0</v>
      </c>
      <c r="AB122" s="61">
        <v>0</v>
      </c>
      <c r="AC122" s="63">
        <f t="shared" si="49"/>
        <v>0</v>
      </c>
      <c r="AD122" s="61">
        <v>0</v>
      </c>
      <c r="AE122" s="63">
        <f t="shared" si="50"/>
        <v>0</v>
      </c>
      <c r="AF122" s="61">
        <v>0</v>
      </c>
      <c r="AG122" s="63">
        <f t="shared" si="51"/>
        <v>0</v>
      </c>
      <c r="AH122" s="61">
        <v>0</v>
      </c>
      <c r="AI122" s="63">
        <f t="shared" si="52"/>
        <v>0</v>
      </c>
      <c r="AJ122" s="61">
        <v>0</v>
      </c>
      <c r="AK122" s="63">
        <f t="shared" si="53"/>
        <v>0</v>
      </c>
      <c r="AL122" s="61">
        <v>0</v>
      </c>
      <c r="AM122" s="63">
        <f t="shared" si="54"/>
        <v>0</v>
      </c>
      <c r="AN122" s="61">
        <v>0</v>
      </c>
      <c r="AO122" s="63">
        <f t="shared" si="55"/>
        <v>0</v>
      </c>
      <c r="AP122" s="61">
        <v>0</v>
      </c>
      <c r="AQ122" s="63">
        <f t="shared" si="56"/>
        <v>0</v>
      </c>
      <c r="AR122" s="61">
        <v>0</v>
      </c>
      <c r="AS122" s="63">
        <f t="shared" si="57"/>
        <v>0</v>
      </c>
      <c r="AT122" s="61">
        <v>0</v>
      </c>
      <c r="AU122" s="63">
        <f t="shared" si="58"/>
        <v>0</v>
      </c>
      <c r="AV122" s="61">
        <v>0</v>
      </c>
      <c r="AW122" s="63">
        <f t="shared" si="59"/>
        <v>0</v>
      </c>
      <c r="AX122" s="61">
        <v>0</v>
      </c>
      <c r="AY122" s="63">
        <f t="shared" si="60"/>
        <v>0</v>
      </c>
      <c r="AZ122" s="61">
        <v>0</v>
      </c>
      <c r="BA122" s="63">
        <f t="shared" si="61"/>
        <v>0</v>
      </c>
      <c r="BB122" s="61">
        <v>0</v>
      </c>
      <c r="BC122" s="63">
        <f t="shared" si="62"/>
        <v>0</v>
      </c>
      <c r="BD122" s="61">
        <v>0</v>
      </c>
      <c r="BE122" s="63">
        <f t="shared" si="63"/>
        <v>0</v>
      </c>
      <c r="BF122" s="61">
        <f t="shared" si="64"/>
        <v>0</v>
      </c>
      <c r="BG122" s="63">
        <f t="shared" si="65"/>
        <v>0</v>
      </c>
      <c r="BH122" s="45"/>
      <c r="BI122" s="144"/>
    </row>
    <row r="123" spans="1:61" ht="19.5" customHeight="1" x14ac:dyDescent="0.45">
      <c r="A123" s="128">
        <v>2</v>
      </c>
      <c r="B123" s="129"/>
      <c r="C123" s="130"/>
      <c r="D123" s="131"/>
      <c r="E123" s="132" t="s">
        <v>973</v>
      </c>
      <c r="F123" s="515"/>
      <c r="G123" s="516"/>
      <c r="H123" s="516"/>
      <c r="I123" s="516"/>
      <c r="J123" s="516"/>
      <c r="K123" s="516"/>
      <c r="L123" s="516"/>
      <c r="M123" s="516"/>
      <c r="N123" s="516"/>
      <c r="O123" s="133" t="s">
        <v>974</v>
      </c>
      <c r="P123" s="134"/>
      <c r="Q123" s="135" t="s">
        <v>975</v>
      </c>
      <c r="R123" s="136"/>
      <c r="S123" s="137"/>
      <c r="T123" s="138"/>
      <c r="U123" s="139">
        <f>SUM(U124:U127)</f>
        <v>8825538.5599999987</v>
      </c>
      <c r="V123" s="137"/>
      <c r="W123" s="139">
        <f>SUM(W124:W127)</f>
        <v>0</v>
      </c>
      <c r="X123" s="137"/>
      <c r="Y123" s="139">
        <f>SUM(Y124:Y127)</f>
        <v>0</v>
      </c>
      <c r="Z123" s="137"/>
      <c r="AA123" s="139">
        <f>SUM(AA124:AA127)</f>
        <v>0</v>
      </c>
      <c r="AB123" s="137"/>
      <c r="AC123" s="139">
        <f>SUM(AC124:AC127)</f>
        <v>0</v>
      </c>
      <c r="AD123" s="137"/>
      <c r="AE123" s="139">
        <f>SUM(AE124:AE127)</f>
        <v>0</v>
      </c>
      <c r="AF123" s="137"/>
      <c r="AG123" s="139">
        <f>SUM(AG124:AG127)</f>
        <v>0</v>
      </c>
      <c r="AH123" s="137"/>
      <c r="AI123" s="139">
        <f>SUM(AI124:AI127)</f>
        <v>0</v>
      </c>
      <c r="AJ123" s="137"/>
      <c r="AK123" s="139">
        <f>SUM(AK124:AK127)</f>
        <v>0</v>
      </c>
      <c r="AL123" s="137"/>
      <c r="AM123" s="139">
        <f>SUM(AM124:AM127)</f>
        <v>0</v>
      </c>
      <c r="AN123" s="137"/>
      <c r="AO123" s="139">
        <f>SUM(AO124:AO127)</f>
        <v>0</v>
      </c>
      <c r="AP123" s="137"/>
      <c r="AQ123" s="139">
        <f>SUM(AQ124:AQ127)</f>
        <v>0</v>
      </c>
      <c r="AR123" s="137"/>
      <c r="AS123" s="139">
        <f>SUM(AS124:AS127)</f>
        <v>0</v>
      </c>
      <c r="AT123" s="137"/>
      <c r="AU123" s="139">
        <f>SUM(AU124:AU127)</f>
        <v>0</v>
      </c>
      <c r="AV123" s="137"/>
      <c r="AW123" s="139">
        <f>SUM(AW124:AW127)</f>
        <v>0</v>
      </c>
      <c r="AX123" s="137"/>
      <c r="AY123" s="139">
        <f>SUM(AY124:AY127)</f>
        <v>0</v>
      </c>
      <c r="AZ123" s="137"/>
      <c r="BA123" s="139">
        <f>SUM(BA124:BA127)</f>
        <v>0</v>
      </c>
      <c r="BB123" s="137"/>
      <c r="BC123" s="139">
        <f>SUM(BC124:BC127)</f>
        <v>0</v>
      </c>
      <c r="BD123" s="137"/>
      <c r="BE123" s="139">
        <f>SUM(BE124:BE127)</f>
        <v>0</v>
      </c>
      <c r="BF123" s="137"/>
      <c r="BG123" s="139">
        <f>SUM(BG124:BG127)</f>
        <v>0</v>
      </c>
      <c r="BH123" s="45"/>
    </row>
    <row r="124" spans="1:61" ht="26" customHeight="1" x14ac:dyDescent="0.45">
      <c r="A124" s="140">
        <v>2</v>
      </c>
      <c r="B124" s="141" t="s">
        <v>1472</v>
      </c>
      <c r="C124" s="142" t="s">
        <v>1473</v>
      </c>
      <c r="D124" s="143" t="str">
        <f>B124&amp;"_"&amp;E124</f>
        <v>2.2_5.5.1</v>
      </c>
      <c r="E124" s="56" t="s">
        <v>976</v>
      </c>
      <c r="F124" s="506" t="s">
        <v>1784</v>
      </c>
      <c r="G124" s="507" t="s">
        <v>39</v>
      </c>
      <c r="H124" s="507" t="s">
        <v>39</v>
      </c>
      <c r="I124" s="507" t="s">
        <v>1785</v>
      </c>
      <c r="J124" s="507" t="s">
        <v>39</v>
      </c>
      <c r="K124" s="507" t="s">
        <v>39</v>
      </c>
      <c r="L124" s="507" t="s">
        <v>1720</v>
      </c>
      <c r="M124" s="507" t="s">
        <v>763</v>
      </c>
      <c r="N124" s="507" t="s">
        <v>1786</v>
      </c>
      <c r="O124" s="57" t="s">
        <v>977</v>
      </c>
      <c r="P124" s="58" t="s">
        <v>846</v>
      </c>
      <c r="Q124" s="59" t="s">
        <v>978</v>
      </c>
      <c r="R124" s="60" t="s">
        <v>755</v>
      </c>
      <c r="S124" s="61">
        <v>2904.93</v>
      </c>
      <c r="T124" s="62">
        <f>INDEX('BM MORRO DA CRUZ'!$P$6:$P$402,MATCH($O124,'BM MORRO DA CRUZ'!$K$6:$K$402,0))</f>
        <v>256.33999999999997</v>
      </c>
      <c r="U124" s="63">
        <f>ROUND(T124*$S124,2)</f>
        <v>744649.76</v>
      </c>
      <c r="V124" s="61">
        <f>IFERROR(SUMIFS('01ª MC'!$W$1:$W$1840,'01ª MC'!$C$1:$C$1840,$D124),0)</f>
        <v>0</v>
      </c>
      <c r="W124" s="63">
        <f>ROUND(V124*$T124,2)</f>
        <v>0</v>
      </c>
      <c r="X124" s="61">
        <v>0</v>
      </c>
      <c r="Y124" s="63">
        <f>ROUND(X124*$T124,2)</f>
        <v>0</v>
      </c>
      <c r="Z124" s="61">
        <v>0</v>
      </c>
      <c r="AA124" s="63">
        <f>ROUND(Z124*$T124,2)</f>
        <v>0</v>
      </c>
      <c r="AB124" s="61">
        <v>0</v>
      </c>
      <c r="AC124" s="63">
        <f>ROUND(AB124*$T124,2)</f>
        <v>0</v>
      </c>
      <c r="AD124" s="61">
        <v>0</v>
      </c>
      <c r="AE124" s="63">
        <f>ROUND(AD124*$T124,2)</f>
        <v>0</v>
      </c>
      <c r="AF124" s="61">
        <v>0</v>
      </c>
      <c r="AG124" s="63">
        <f>ROUND(AF124*$T124,2)</f>
        <v>0</v>
      </c>
      <c r="AH124" s="61">
        <v>0</v>
      </c>
      <c r="AI124" s="63">
        <f>ROUND(AH124*$T124,2)</f>
        <v>0</v>
      </c>
      <c r="AJ124" s="61">
        <v>0</v>
      </c>
      <c r="AK124" s="63">
        <f>ROUND(AJ124*$T124,2)</f>
        <v>0</v>
      </c>
      <c r="AL124" s="61">
        <v>0</v>
      </c>
      <c r="AM124" s="63">
        <f>ROUND(AL124*$T124,2)</f>
        <v>0</v>
      </c>
      <c r="AN124" s="61">
        <v>0</v>
      </c>
      <c r="AO124" s="63">
        <f>ROUND(AN124*$T124,2)</f>
        <v>0</v>
      </c>
      <c r="AP124" s="61">
        <v>0</v>
      </c>
      <c r="AQ124" s="63">
        <f>ROUND(AP124*$T124,2)</f>
        <v>0</v>
      </c>
      <c r="AR124" s="61">
        <v>0</v>
      </c>
      <c r="AS124" s="63">
        <f>ROUND(AR124*$T124,2)</f>
        <v>0</v>
      </c>
      <c r="AT124" s="61">
        <v>0</v>
      </c>
      <c r="AU124" s="63">
        <f>ROUND(AT124*$T124,2)</f>
        <v>0</v>
      </c>
      <c r="AV124" s="61">
        <v>0</v>
      </c>
      <c r="AW124" s="63">
        <f>ROUND(AV124*$T124,2)</f>
        <v>0</v>
      </c>
      <c r="AX124" s="61">
        <v>0</v>
      </c>
      <c r="AY124" s="63">
        <f>ROUND(AX124*$T124,2)</f>
        <v>0</v>
      </c>
      <c r="AZ124" s="61">
        <v>0</v>
      </c>
      <c r="BA124" s="63">
        <f>ROUND(AZ124*$T124,2)</f>
        <v>0</v>
      </c>
      <c r="BB124" s="61">
        <v>0</v>
      </c>
      <c r="BC124" s="63">
        <f>ROUND(BB124*$T124,2)</f>
        <v>0</v>
      </c>
      <c r="BD124" s="61">
        <v>0</v>
      </c>
      <c r="BE124" s="63">
        <f>ROUND(BD124*$T124,2)</f>
        <v>0</v>
      </c>
      <c r="BF124" s="61">
        <f>IFERROR(SUMIFS($V124:$BE124,$V$5:$BE$5,$BF$5),0)</f>
        <v>0</v>
      </c>
      <c r="BG124" s="63">
        <f>SUMIFS($V124:$BE124,$V$5:$BE$5,$W$5)</f>
        <v>0</v>
      </c>
      <c r="BH124" s="45"/>
      <c r="BI124" s="144"/>
    </row>
    <row r="125" spans="1:61" ht="26" customHeight="1" x14ac:dyDescent="0.45">
      <c r="A125" s="140">
        <v>2</v>
      </c>
      <c r="B125" s="141" t="s">
        <v>1472</v>
      </c>
      <c r="C125" s="142" t="s">
        <v>1473</v>
      </c>
      <c r="D125" s="143" t="str">
        <f>B125&amp;"_"&amp;E125</f>
        <v>2.2_5.5.3</v>
      </c>
      <c r="E125" s="56" t="s">
        <v>982</v>
      </c>
      <c r="F125" s="506" t="s">
        <v>1789</v>
      </c>
      <c r="G125" s="507" t="s">
        <v>39</v>
      </c>
      <c r="H125" s="507" t="s">
        <v>39</v>
      </c>
      <c r="I125" s="507" t="s">
        <v>1788</v>
      </c>
      <c r="J125" s="507" t="s">
        <v>39</v>
      </c>
      <c r="K125" s="507" t="s">
        <v>39</v>
      </c>
      <c r="L125" s="507" t="s">
        <v>39</v>
      </c>
      <c r="M125" s="507" t="s">
        <v>763</v>
      </c>
      <c r="N125" s="507" t="s">
        <v>1788</v>
      </c>
      <c r="O125" s="57" t="s">
        <v>983</v>
      </c>
      <c r="P125" s="58" t="s">
        <v>846</v>
      </c>
      <c r="Q125" s="59" t="s">
        <v>984</v>
      </c>
      <c r="R125" s="60" t="s">
        <v>792</v>
      </c>
      <c r="S125" s="61">
        <v>291382.14</v>
      </c>
      <c r="T125" s="62">
        <f>INDEX('BM MORRO DA CRUZ'!$P$6:$P$402,MATCH($O125,'BM MORRO DA CRUZ'!$K$6:$K$402,0))</f>
        <v>19.809999999999999</v>
      </c>
      <c r="U125" s="63">
        <f>ROUND(T125*$S125,2)</f>
        <v>5772280.1900000004</v>
      </c>
      <c r="V125" s="61">
        <f>IFERROR(SUMIFS('01ª MC'!$W$1:$W$1840,'01ª MC'!$C$1:$C$1840,$D125),0)</f>
        <v>0</v>
      </c>
      <c r="W125" s="63">
        <f>ROUND(V125*$T125,2)</f>
        <v>0</v>
      </c>
      <c r="X125" s="61">
        <v>0</v>
      </c>
      <c r="Y125" s="63">
        <f>ROUND(X125*$T125,2)</f>
        <v>0</v>
      </c>
      <c r="Z125" s="61">
        <v>0</v>
      </c>
      <c r="AA125" s="63">
        <f>ROUND(Z125*$T125,2)</f>
        <v>0</v>
      </c>
      <c r="AB125" s="61">
        <v>0</v>
      </c>
      <c r="AC125" s="63">
        <f>ROUND(AB125*$T125,2)</f>
        <v>0</v>
      </c>
      <c r="AD125" s="61">
        <v>0</v>
      </c>
      <c r="AE125" s="63">
        <f>ROUND(AD125*$T125,2)</f>
        <v>0</v>
      </c>
      <c r="AF125" s="61">
        <v>0</v>
      </c>
      <c r="AG125" s="63">
        <f>ROUND(AF125*$T125,2)</f>
        <v>0</v>
      </c>
      <c r="AH125" s="61">
        <v>0</v>
      </c>
      <c r="AI125" s="63">
        <f>ROUND(AH125*$T125,2)</f>
        <v>0</v>
      </c>
      <c r="AJ125" s="61">
        <v>0</v>
      </c>
      <c r="AK125" s="63">
        <f>ROUND(AJ125*$T125,2)</f>
        <v>0</v>
      </c>
      <c r="AL125" s="61">
        <v>0</v>
      </c>
      <c r="AM125" s="63">
        <f>ROUND(AL125*$T125,2)</f>
        <v>0</v>
      </c>
      <c r="AN125" s="61">
        <v>0</v>
      </c>
      <c r="AO125" s="63">
        <f>ROUND(AN125*$T125,2)</f>
        <v>0</v>
      </c>
      <c r="AP125" s="61">
        <v>0</v>
      </c>
      <c r="AQ125" s="63">
        <f>ROUND(AP125*$T125,2)</f>
        <v>0</v>
      </c>
      <c r="AR125" s="61">
        <v>0</v>
      </c>
      <c r="AS125" s="63">
        <f>ROUND(AR125*$T125,2)</f>
        <v>0</v>
      </c>
      <c r="AT125" s="61">
        <v>0</v>
      </c>
      <c r="AU125" s="63">
        <f>ROUND(AT125*$T125,2)</f>
        <v>0</v>
      </c>
      <c r="AV125" s="61">
        <v>0</v>
      </c>
      <c r="AW125" s="63">
        <f>ROUND(AV125*$T125,2)</f>
        <v>0</v>
      </c>
      <c r="AX125" s="61">
        <v>0</v>
      </c>
      <c r="AY125" s="63">
        <f>ROUND(AX125*$T125,2)</f>
        <v>0</v>
      </c>
      <c r="AZ125" s="61">
        <v>0</v>
      </c>
      <c r="BA125" s="63">
        <f>ROUND(AZ125*$T125,2)</f>
        <v>0</v>
      </c>
      <c r="BB125" s="61">
        <v>0</v>
      </c>
      <c r="BC125" s="63">
        <f>ROUND(BB125*$T125,2)</f>
        <v>0</v>
      </c>
      <c r="BD125" s="61">
        <v>0</v>
      </c>
      <c r="BE125" s="63">
        <f>ROUND(BD125*$T125,2)</f>
        <v>0</v>
      </c>
      <c r="BF125" s="61">
        <f>IFERROR(SUMIFS($V125:$BE125,$V$5:$BE$5,$BF$5),0)</f>
        <v>0</v>
      </c>
      <c r="BG125" s="63">
        <f>SUMIFS($V125:$BE125,$V$5:$BE$5,$W$5)</f>
        <v>0</v>
      </c>
      <c r="BH125" s="45"/>
      <c r="BI125" s="144"/>
    </row>
    <row r="126" spans="1:61" ht="35.65" x14ac:dyDescent="0.45">
      <c r="A126" s="140">
        <v>2</v>
      </c>
      <c r="B126" s="141" t="s">
        <v>1472</v>
      </c>
      <c r="C126" s="142" t="s">
        <v>1473</v>
      </c>
      <c r="D126" s="143" t="str">
        <f>B126&amp;"_"&amp;E126</f>
        <v>2.2_5.5.4</v>
      </c>
      <c r="E126" s="56" t="s">
        <v>985</v>
      </c>
      <c r="F126" s="506" t="s">
        <v>1790</v>
      </c>
      <c r="G126" s="507" t="s">
        <v>39</v>
      </c>
      <c r="H126" s="507" t="s">
        <v>39</v>
      </c>
      <c r="I126" s="507" t="s">
        <v>1791</v>
      </c>
      <c r="J126" s="507" t="s">
        <v>39</v>
      </c>
      <c r="K126" s="507" t="s">
        <v>39</v>
      </c>
      <c r="L126" s="507" t="s">
        <v>1745</v>
      </c>
      <c r="M126" s="507" t="s">
        <v>763</v>
      </c>
      <c r="N126" s="507" t="s">
        <v>1792</v>
      </c>
      <c r="O126" s="57" t="s">
        <v>986</v>
      </c>
      <c r="P126" s="58" t="s">
        <v>846</v>
      </c>
      <c r="Q126" s="59" t="s">
        <v>987</v>
      </c>
      <c r="R126" s="60" t="s">
        <v>755</v>
      </c>
      <c r="S126" s="61">
        <v>6806.62</v>
      </c>
      <c r="T126" s="62">
        <f>INDEX('BM MORRO DA CRUZ'!$P$6:$P$402,MATCH($O126,'BM MORRO DA CRUZ'!$K$6:$K$402,0))</f>
        <v>285.56</v>
      </c>
      <c r="U126" s="63">
        <f>ROUND(T126*$S126,2)</f>
        <v>1943698.41</v>
      </c>
      <c r="V126" s="61">
        <f>IFERROR(SUMIFS('01ª MC'!$W$1:$W$1840,'01ª MC'!$C$1:$C$1840,$D126),0)</f>
        <v>0</v>
      </c>
      <c r="W126" s="63">
        <f>ROUND(V126*$T126,2)</f>
        <v>0</v>
      </c>
      <c r="X126" s="61">
        <v>0</v>
      </c>
      <c r="Y126" s="63">
        <f>ROUND(X126*$T126,2)</f>
        <v>0</v>
      </c>
      <c r="Z126" s="61">
        <v>0</v>
      </c>
      <c r="AA126" s="63">
        <f>ROUND(Z126*$T126,2)</f>
        <v>0</v>
      </c>
      <c r="AB126" s="61">
        <v>0</v>
      </c>
      <c r="AC126" s="63">
        <f>ROUND(AB126*$T126,2)</f>
        <v>0</v>
      </c>
      <c r="AD126" s="61">
        <v>0</v>
      </c>
      <c r="AE126" s="63">
        <f>ROUND(AD126*$T126,2)</f>
        <v>0</v>
      </c>
      <c r="AF126" s="61">
        <v>0</v>
      </c>
      <c r="AG126" s="63">
        <f>ROUND(AF126*$T126,2)</f>
        <v>0</v>
      </c>
      <c r="AH126" s="61">
        <v>0</v>
      </c>
      <c r="AI126" s="63">
        <f>ROUND(AH126*$T126,2)</f>
        <v>0</v>
      </c>
      <c r="AJ126" s="61">
        <v>0</v>
      </c>
      <c r="AK126" s="63">
        <f>ROUND(AJ126*$T126,2)</f>
        <v>0</v>
      </c>
      <c r="AL126" s="61">
        <v>0</v>
      </c>
      <c r="AM126" s="63">
        <f>ROUND(AL126*$T126,2)</f>
        <v>0</v>
      </c>
      <c r="AN126" s="61">
        <v>0</v>
      </c>
      <c r="AO126" s="63">
        <f>ROUND(AN126*$T126,2)</f>
        <v>0</v>
      </c>
      <c r="AP126" s="61">
        <v>0</v>
      </c>
      <c r="AQ126" s="63">
        <f>ROUND(AP126*$T126,2)</f>
        <v>0</v>
      </c>
      <c r="AR126" s="61">
        <v>0</v>
      </c>
      <c r="AS126" s="63">
        <f>ROUND(AR126*$T126,2)</f>
        <v>0</v>
      </c>
      <c r="AT126" s="61">
        <v>0</v>
      </c>
      <c r="AU126" s="63">
        <f>ROUND(AT126*$T126,2)</f>
        <v>0</v>
      </c>
      <c r="AV126" s="61">
        <v>0</v>
      </c>
      <c r="AW126" s="63">
        <f>ROUND(AV126*$T126,2)</f>
        <v>0</v>
      </c>
      <c r="AX126" s="61">
        <v>0</v>
      </c>
      <c r="AY126" s="63">
        <f>ROUND(AX126*$T126,2)</f>
        <v>0</v>
      </c>
      <c r="AZ126" s="61">
        <v>0</v>
      </c>
      <c r="BA126" s="63">
        <f>ROUND(AZ126*$T126,2)</f>
        <v>0</v>
      </c>
      <c r="BB126" s="61">
        <v>0</v>
      </c>
      <c r="BC126" s="63">
        <f>ROUND(BB126*$T126,2)</f>
        <v>0</v>
      </c>
      <c r="BD126" s="61">
        <v>0</v>
      </c>
      <c r="BE126" s="63">
        <f>ROUND(BD126*$T126,2)</f>
        <v>0</v>
      </c>
      <c r="BF126" s="61">
        <f>IFERROR(SUMIFS($V126:$BE126,$V$5:$BE$5,$BF$5),0)</f>
        <v>0</v>
      </c>
      <c r="BG126" s="63">
        <f>SUMIFS($V126:$BE126,$V$5:$BE$5,$W$5)</f>
        <v>0</v>
      </c>
      <c r="BH126" s="45"/>
      <c r="BI126" s="144"/>
    </row>
    <row r="127" spans="1:61" ht="26" customHeight="1" x14ac:dyDescent="0.45">
      <c r="A127" s="140">
        <v>2</v>
      </c>
      <c r="B127" s="141" t="s">
        <v>1472</v>
      </c>
      <c r="C127" s="142" t="s">
        <v>1473</v>
      </c>
      <c r="D127" s="143" t="str">
        <f>B127&amp;"_"&amp;E127</f>
        <v>2.2_5.5.6</v>
      </c>
      <c r="E127" s="56" t="s">
        <v>991</v>
      </c>
      <c r="F127" s="506" t="s">
        <v>1794</v>
      </c>
      <c r="G127" s="507" t="s">
        <v>1795</v>
      </c>
      <c r="H127" s="507" t="s">
        <v>39</v>
      </c>
      <c r="I127" s="507" t="s">
        <v>540</v>
      </c>
      <c r="J127" s="507" t="s">
        <v>39</v>
      </c>
      <c r="K127" s="507">
        <v>100</v>
      </c>
      <c r="L127" s="507" t="s">
        <v>257</v>
      </c>
      <c r="M127" s="507" t="s">
        <v>763</v>
      </c>
      <c r="N127" s="507" t="s">
        <v>540</v>
      </c>
      <c r="O127" s="57" t="s">
        <v>992</v>
      </c>
      <c r="P127" s="58" t="s">
        <v>846</v>
      </c>
      <c r="Q127" s="59" t="s">
        <v>993</v>
      </c>
      <c r="R127" s="60" t="s">
        <v>367</v>
      </c>
      <c r="S127" s="61">
        <v>5560.96</v>
      </c>
      <c r="T127" s="62">
        <f>INDEX('BM MORRO DA CRUZ'!$P$6:$P$402,MATCH($O127,'BM MORRO DA CRUZ'!$K$6:$K$402,0))</f>
        <v>65.62</v>
      </c>
      <c r="U127" s="63">
        <f>ROUND(T127*$S127,2)</f>
        <v>364910.2</v>
      </c>
      <c r="V127" s="61">
        <f>IFERROR(SUMIFS('01ª MC'!$W$1:$W$1840,'01ª MC'!$C$1:$C$1840,$D127),0)</f>
        <v>0</v>
      </c>
      <c r="W127" s="63">
        <f>ROUND(V127*$T127,2)</f>
        <v>0</v>
      </c>
      <c r="X127" s="61">
        <v>0</v>
      </c>
      <c r="Y127" s="63">
        <f>ROUND(X127*$T127,2)</f>
        <v>0</v>
      </c>
      <c r="Z127" s="61">
        <v>0</v>
      </c>
      <c r="AA127" s="63">
        <f>ROUND(Z127*$T127,2)</f>
        <v>0</v>
      </c>
      <c r="AB127" s="61">
        <v>0</v>
      </c>
      <c r="AC127" s="63">
        <f>ROUND(AB127*$T127,2)</f>
        <v>0</v>
      </c>
      <c r="AD127" s="61">
        <v>0</v>
      </c>
      <c r="AE127" s="63">
        <f>ROUND(AD127*$T127,2)</f>
        <v>0</v>
      </c>
      <c r="AF127" s="61">
        <v>0</v>
      </c>
      <c r="AG127" s="63">
        <f>ROUND(AF127*$T127,2)</f>
        <v>0</v>
      </c>
      <c r="AH127" s="61">
        <v>0</v>
      </c>
      <c r="AI127" s="63">
        <f>ROUND(AH127*$T127,2)</f>
        <v>0</v>
      </c>
      <c r="AJ127" s="61">
        <v>0</v>
      </c>
      <c r="AK127" s="63">
        <f>ROUND(AJ127*$T127,2)</f>
        <v>0</v>
      </c>
      <c r="AL127" s="61">
        <v>0</v>
      </c>
      <c r="AM127" s="63">
        <f>ROUND(AL127*$T127,2)</f>
        <v>0</v>
      </c>
      <c r="AN127" s="61">
        <v>0</v>
      </c>
      <c r="AO127" s="63">
        <f>ROUND(AN127*$T127,2)</f>
        <v>0</v>
      </c>
      <c r="AP127" s="61">
        <v>0</v>
      </c>
      <c r="AQ127" s="63">
        <f>ROUND(AP127*$T127,2)</f>
        <v>0</v>
      </c>
      <c r="AR127" s="61">
        <v>0</v>
      </c>
      <c r="AS127" s="63">
        <f>ROUND(AR127*$T127,2)</f>
        <v>0</v>
      </c>
      <c r="AT127" s="61">
        <v>0</v>
      </c>
      <c r="AU127" s="63">
        <f>ROUND(AT127*$T127,2)</f>
        <v>0</v>
      </c>
      <c r="AV127" s="61">
        <v>0</v>
      </c>
      <c r="AW127" s="63">
        <f>ROUND(AV127*$T127,2)</f>
        <v>0</v>
      </c>
      <c r="AX127" s="61">
        <v>0</v>
      </c>
      <c r="AY127" s="63">
        <f>ROUND(AX127*$T127,2)</f>
        <v>0</v>
      </c>
      <c r="AZ127" s="61">
        <v>0</v>
      </c>
      <c r="BA127" s="63">
        <f>ROUND(AZ127*$T127,2)</f>
        <v>0</v>
      </c>
      <c r="BB127" s="61">
        <v>0</v>
      </c>
      <c r="BC127" s="63">
        <f>ROUND(BB127*$T127,2)</f>
        <v>0</v>
      </c>
      <c r="BD127" s="61">
        <v>0</v>
      </c>
      <c r="BE127" s="63">
        <f>ROUND(BD127*$T127,2)</f>
        <v>0</v>
      </c>
      <c r="BF127" s="61">
        <f>IFERROR(SUMIFS($V127:$BE127,$V$5:$BE$5,$BF$5),0)</f>
        <v>0</v>
      </c>
      <c r="BG127" s="63">
        <f>SUMIFS($V127:$BE127,$V$5:$BE$5,$W$5)</f>
        <v>0</v>
      </c>
      <c r="BH127" s="45"/>
      <c r="BI127" s="144"/>
    </row>
    <row r="128" spans="1:61" ht="19.5" customHeight="1" x14ac:dyDescent="0.45">
      <c r="A128" s="128">
        <v>2</v>
      </c>
      <c r="B128" s="129"/>
      <c r="C128" s="130"/>
      <c r="D128" s="131"/>
      <c r="E128" s="132" t="s">
        <v>994</v>
      </c>
      <c r="F128" s="515"/>
      <c r="G128" s="516"/>
      <c r="H128" s="516"/>
      <c r="I128" s="516"/>
      <c r="J128" s="516"/>
      <c r="K128" s="516"/>
      <c r="L128" s="516"/>
      <c r="M128" s="516"/>
      <c r="N128" s="516"/>
      <c r="O128" s="133" t="s">
        <v>995</v>
      </c>
      <c r="P128" s="134"/>
      <c r="Q128" s="135" t="s">
        <v>996</v>
      </c>
      <c r="R128" s="136"/>
      <c r="S128" s="137"/>
      <c r="T128" s="138"/>
      <c r="U128" s="139">
        <f>SUM(U129:U129)</f>
        <v>290415.71000000002</v>
      </c>
      <c r="V128" s="137"/>
      <c r="W128" s="139">
        <f>SUM(W129:W129)</f>
        <v>0</v>
      </c>
      <c r="X128" s="137"/>
      <c r="Y128" s="139">
        <f>SUM(Y129:Y129)</f>
        <v>0</v>
      </c>
      <c r="Z128" s="137"/>
      <c r="AA128" s="139">
        <f>SUM(AA129:AA129)</f>
        <v>0</v>
      </c>
      <c r="AB128" s="137"/>
      <c r="AC128" s="139">
        <f>SUM(AC129:AC129)</f>
        <v>0</v>
      </c>
      <c r="AD128" s="137"/>
      <c r="AE128" s="139">
        <f>SUM(AE129:AE129)</f>
        <v>0</v>
      </c>
      <c r="AF128" s="137"/>
      <c r="AG128" s="139">
        <f>SUM(AG129:AG129)</f>
        <v>0</v>
      </c>
      <c r="AH128" s="137"/>
      <c r="AI128" s="139">
        <f>SUM(AI129:AI129)</f>
        <v>0</v>
      </c>
      <c r="AJ128" s="137"/>
      <c r="AK128" s="139">
        <f>SUM(AK129:AK129)</f>
        <v>0</v>
      </c>
      <c r="AL128" s="137"/>
      <c r="AM128" s="139">
        <f>SUM(AM129:AM129)</f>
        <v>0</v>
      </c>
      <c r="AN128" s="137"/>
      <c r="AO128" s="139">
        <f>SUM(AO129:AO129)</f>
        <v>0</v>
      </c>
      <c r="AP128" s="137"/>
      <c r="AQ128" s="139">
        <f>SUM(AQ129:AQ129)</f>
        <v>0</v>
      </c>
      <c r="AR128" s="137"/>
      <c r="AS128" s="139">
        <f>SUM(AS129:AS129)</f>
        <v>0</v>
      </c>
      <c r="AT128" s="137"/>
      <c r="AU128" s="139">
        <f>SUM(AU129:AU129)</f>
        <v>0</v>
      </c>
      <c r="AV128" s="137"/>
      <c r="AW128" s="139">
        <f>SUM(AW129:AW129)</f>
        <v>0</v>
      </c>
      <c r="AX128" s="137"/>
      <c r="AY128" s="139">
        <f>SUM(AY129:AY129)</f>
        <v>0</v>
      </c>
      <c r="AZ128" s="137"/>
      <c r="BA128" s="139">
        <f>SUM(BA129:BA129)</f>
        <v>0</v>
      </c>
      <c r="BB128" s="137"/>
      <c r="BC128" s="139">
        <f>SUM(BC129:BC129)</f>
        <v>0</v>
      </c>
      <c r="BD128" s="137"/>
      <c r="BE128" s="139">
        <f>SUM(BE129:BE129)</f>
        <v>0</v>
      </c>
      <c r="BF128" s="137"/>
      <c r="BG128" s="139">
        <f>SUM(BG129:BG129)</f>
        <v>0</v>
      </c>
      <c r="BH128" s="45"/>
    </row>
    <row r="129" spans="1:61" ht="26" customHeight="1" x14ac:dyDescent="0.45">
      <c r="A129" s="140">
        <v>2</v>
      </c>
      <c r="B129" s="141" t="s">
        <v>1472</v>
      </c>
      <c r="C129" s="142" t="s">
        <v>1473</v>
      </c>
      <c r="D129" s="143" t="str">
        <f>B129&amp;"_"&amp;E129</f>
        <v>2.2_5.6.1</v>
      </c>
      <c r="E129" s="56" t="s">
        <v>997</v>
      </c>
      <c r="F129" s="506" t="s">
        <v>1796</v>
      </c>
      <c r="G129" s="507" t="s">
        <v>39</v>
      </c>
      <c r="H129" s="507" t="s">
        <v>39</v>
      </c>
      <c r="I129" s="507" t="s">
        <v>1797</v>
      </c>
      <c r="J129" s="507" t="s">
        <v>39</v>
      </c>
      <c r="K129" s="507" t="s">
        <v>39</v>
      </c>
      <c r="L129" s="507" t="s">
        <v>39</v>
      </c>
      <c r="M129" s="507" t="s">
        <v>763</v>
      </c>
      <c r="N129" s="507" t="s">
        <v>1797</v>
      </c>
      <c r="O129" s="57" t="s">
        <v>998</v>
      </c>
      <c r="P129" s="58" t="s">
        <v>846</v>
      </c>
      <c r="Q129" s="59" t="s">
        <v>999</v>
      </c>
      <c r="R129" s="60" t="s">
        <v>1000</v>
      </c>
      <c r="S129" s="61">
        <v>8897.5400000000009</v>
      </c>
      <c r="T129" s="62">
        <f>INDEX('BM MORRO DA CRUZ'!$P$6:$P$402,MATCH($O129,'BM MORRO DA CRUZ'!$K$6:$K$402,0))</f>
        <v>32.64</v>
      </c>
      <c r="U129" s="63">
        <f>ROUND(T129*$S129,2)</f>
        <v>290415.71000000002</v>
      </c>
      <c r="V129" s="61">
        <f>IFERROR(SUMIFS('01ª MC'!$W$1:$W$1840,'01ª MC'!$C$1:$C$1840,$D129),0)</f>
        <v>0</v>
      </c>
      <c r="W129" s="63">
        <f>ROUND(V129*$T129,2)</f>
        <v>0</v>
      </c>
      <c r="X129" s="61">
        <v>0</v>
      </c>
      <c r="Y129" s="63">
        <f>ROUND(X129*$T129,2)</f>
        <v>0</v>
      </c>
      <c r="Z129" s="61">
        <v>0</v>
      </c>
      <c r="AA129" s="63">
        <f>ROUND(Z129*$T129,2)</f>
        <v>0</v>
      </c>
      <c r="AB129" s="61">
        <v>0</v>
      </c>
      <c r="AC129" s="63">
        <f>ROUND(AB129*$T129,2)</f>
        <v>0</v>
      </c>
      <c r="AD129" s="61">
        <v>0</v>
      </c>
      <c r="AE129" s="63">
        <f>ROUND(AD129*$T129,2)</f>
        <v>0</v>
      </c>
      <c r="AF129" s="61">
        <v>0</v>
      </c>
      <c r="AG129" s="63">
        <f>ROUND(AF129*$T129,2)</f>
        <v>0</v>
      </c>
      <c r="AH129" s="61">
        <v>0</v>
      </c>
      <c r="AI129" s="63">
        <f>ROUND(AH129*$T129,2)</f>
        <v>0</v>
      </c>
      <c r="AJ129" s="61">
        <v>0</v>
      </c>
      <c r="AK129" s="63">
        <f>ROUND(AJ129*$T129,2)</f>
        <v>0</v>
      </c>
      <c r="AL129" s="61">
        <v>0</v>
      </c>
      <c r="AM129" s="63">
        <f>ROUND(AL129*$T129,2)</f>
        <v>0</v>
      </c>
      <c r="AN129" s="61">
        <v>0</v>
      </c>
      <c r="AO129" s="63">
        <f>ROUND(AN129*$T129,2)</f>
        <v>0</v>
      </c>
      <c r="AP129" s="61">
        <v>0</v>
      </c>
      <c r="AQ129" s="63">
        <f>ROUND(AP129*$T129,2)</f>
        <v>0</v>
      </c>
      <c r="AR129" s="61">
        <v>0</v>
      </c>
      <c r="AS129" s="63">
        <f>ROUND(AR129*$T129,2)</f>
        <v>0</v>
      </c>
      <c r="AT129" s="61">
        <v>0</v>
      </c>
      <c r="AU129" s="63">
        <f>ROUND(AT129*$T129,2)</f>
        <v>0</v>
      </c>
      <c r="AV129" s="61">
        <v>0</v>
      </c>
      <c r="AW129" s="63">
        <f>ROUND(AV129*$T129,2)</f>
        <v>0</v>
      </c>
      <c r="AX129" s="61">
        <v>0</v>
      </c>
      <c r="AY129" s="63">
        <f>ROUND(AX129*$T129,2)</f>
        <v>0</v>
      </c>
      <c r="AZ129" s="61">
        <v>0</v>
      </c>
      <c r="BA129" s="63">
        <f>ROUND(AZ129*$T129,2)</f>
        <v>0</v>
      </c>
      <c r="BB129" s="61">
        <v>0</v>
      </c>
      <c r="BC129" s="63">
        <f>ROUND(BB129*$T129,2)</f>
        <v>0</v>
      </c>
      <c r="BD129" s="61">
        <v>0</v>
      </c>
      <c r="BE129" s="63">
        <f>ROUND(BD129*$T129,2)</f>
        <v>0</v>
      </c>
      <c r="BF129" s="61">
        <f>IFERROR(SUMIFS($V129:$BE129,$V$5:$BE$5,$BF$5),0)</f>
        <v>0</v>
      </c>
      <c r="BG129" s="63">
        <f>SUMIFS($V129:$BE129,$V$5:$BE$5,$W$5)</f>
        <v>0</v>
      </c>
      <c r="BH129" s="45"/>
      <c r="BI129" s="144"/>
    </row>
    <row r="130" spans="1:61" ht="19.5" customHeight="1" x14ac:dyDescent="0.45">
      <c r="A130" s="128">
        <v>2</v>
      </c>
      <c r="B130" s="129"/>
      <c r="C130" s="130"/>
      <c r="D130" s="131"/>
      <c r="E130" s="132" t="s">
        <v>1053</v>
      </c>
      <c r="F130" s="515"/>
      <c r="G130" s="516"/>
      <c r="H130" s="516"/>
      <c r="I130" s="516"/>
      <c r="J130" s="516"/>
      <c r="K130" s="516"/>
      <c r="L130" s="516"/>
      <c r="M130" s="516"/>
      <c r="N130" s="516"/>
      <c r="O130" s="133" t="s">
        <v>1054</v>
      </c>
      <c r="P130" s="134"/>
      <c r="Q130" s="135" t="s">
        <v>1055</v>
      </c>
      <c r="R130" s="136"/>
      <c r="S130" s="137"/>
      <c r="T130" s="138"/>
      <c r="U130" s="139">
        <f>SUM(U131:U171)</f>
        <v>1285950.83</v>
      </c>
      <c r="V130" s="137"/>
      <c r="W130" s="139">
        <f>SUM(W131:W171)</f>
        <v>0</v>
      </c>
      <c r="X130" s="137"/>
      <c r="Y130" s="139">
        <f>SUM(Y131:Y171)</f>
        <v>0</v>
      </c>
      <c r="Z130" s="137"/>
      <c r="AA130" s="139">
        <f>SUM(AA131:AA171)</f>
        <v>0</v>
      </c>
      <c r="AB130" s="137"/>
      <c r="AC130" s="139">
        <f>SUM(AC131:AC171)</f>
        <v>0</v>
      </c>
      <c r="AD130" s="137"/>
      <c r="AE130" s="139">
        <f>SUM(AE131:AE171)</f>
        <v>0</v>
      </c>
      <c r="AF130" s="137"/>
      <c r="AG130" s="139">
        <f>SUM(AG131:AG171)</f>
        <v>0</v>
      </c>
      <c r="AH130" s="137"/>
      <c r="AI130" s="139">
        <f>SUM(AI131:AI171)</f>
        <v>0</v>
      </c>
      <c r="AJ130" s="137"/>
      <c r="AK130" s="139">
        <f>SUM(AK131:AK171)</f>
        <v>0</v>
      </c>
      <c r="AL130" s="137"/>
      <c r="AM130" s="139">
        <f>SUM(AM131:AM171)</f>
        <v>0</v>
      </c>
      <c r="AN130" s="137"/>
      <c r="AO130" s="139">
        <f>SUM(AO131:AO171)</f>
        <v>0</v>
      </c>
      <c r="AP130" s="137"/>
      <c r="AQ130" s="139">
        <f>SUM(AQ131:AQ171)</f>
        <v>0</v>
      </c>
      <c r="AR130" s="137"/>
      <c r="AS130" s="139">
        <f>SUM(AS131:AS171)</f>
        <v>0</v>
      </c>
      <c r="AT130" s="137"/>
      <c r="AU130" s="139">
        <f>SUM(AU131:AU171)</f>
        <v>0</v>
      </c>
      <c r="AV130" s="137"/>
      <c r="AW130" s="139">
        <f>SUM(AW131:AW171)</f>
        <v>0</v>
      </c>
      <c r="AX130" s="137"/>
      <c r="AY130" s="139">
        <f>SUM(AY131:AY171)</f>
        <v>0</v>
      </c>
      <c r="AZ130" s="137"/>
      <c r="BA130" s="139">
        <f>SUM(BA131:BA171)</f>
        <v>0</v>
      </c>
      <c r="BB130" s="137"/>
      <c r="BC130" s="139">
        <f>SUM(BC131:BC171)</f>
        <v>0</v>
      </c>
      <c r="BD130" s="137"/>
      <c r="BE130" s="139">
        <f>SUM(BE131:BE171)</f>
        <v>0</v>
      </c>
      <c r="BF130" s="137"/>
      <c r="BG130" s="139">
        <f>SUM(BG131:BG171)</f>
        <v>0</v>
      </c>
      <c r="BH130" s="45"/>
    </row>
    <row r="131" spans="1:61" ht="35.65" x14ac:dyDescent="0.45">
      <c r="A131" s="140">
        <v>2</v>
      </c>
      <c r="B131" s="141" t="s">
        <v>1472</v>
      </c>
      <c r="C131" s="142" t="s">
        <v>1473</v>
      </c>
      <c r="D131" s="143" t="str">
        <f t="shared" ref="D131:D171" si="66">B131&amp;"_"&amp;E131</f>
        <v>2.2_5.8.1</v>
      </c>
      <c r="E131" s="56" t="s">
        <v>1056</v>
      </c>
      <c r="F131" s="506" t="s">
        <v>1816</v>
      </c>
      <c r="G131" s="507" t="s">
        <v>1795</v>
      </c>
      <c r="H131" s="507" t="s">
        <v>1795</v>
      </c>
      <c r="I131" s="507" t="s">
        <v>1817</v>
      </c>
      <c r="J131" s="507" t="s">
        <v>1818</v>
      </c>
      <c r="K131" s="507">
        <v>110</v>
      </c>
      <c r="L131" s="507" t="s">
        <v>267</v>
      </c>
      <c r="M131" s="507" t="s">
        <v>763</v>
      </c>
      <c r="N131" s="507" t="s">
        <v>1055</v>
      </c>
      <c r="O131" s="57" t="s">
        <v>1057</v>
      </c>
      <c r="P131" s="58" t="s">
        <v>846</v>
      </c>
      <c r="Q131" s="59" t="s">
        <v>1058</v>
      </c>
      <c r="R131" s="60" t="s">
        <v>71</v>
      </c>
      <c r="S131" s="61">
        <v>289</v>
      </c>
      <c r="T131" s="62">
        <f>INDEX('BM MORRO DA CRUZ'!$P$6:$P$402,MATCH($O131,'BM MORRO DA CRUZ'!$K$6:$K$402,0))</f>
        <v>23.16</v>
      </c>
      <c r="U131" s="63">
        <f t="shared" ref="U131:U171" si="67">ROUND(T131*$S131,2)</f>
        <v>6693.24</v>
      </c>
      <c r="V131" s="61">
        <f>IFERROR(SUMIFS('01ª MC'!$W$1:$W$1840,'01ª MC'!$C$1:$C$1840,$D131),0)</f>
        <v>0</v>
      </c>
      <c r="W131" s="63">
        <f t="shared" ref="W131:W171" si="68">ROUND(V131*$T131,2)</f>
        <v>0</v>
      </c>
      <c r="X131" s="61">
        <v>0</v>
      </c>
      <c r="Y131" s="63">
        <f t="shared" ref="Y131:Y171" si="69">ROUND(X131*$T131,2)</f>
        <v>0</v>
      </c>
      <c r="Z131" s="61">
        <v>0</v>
      </c>
      <c r="AA131" s="63">
        <f t="shared" ref="AA131:AA171" si="70">ROUND(Z131*$T131,2)</f>
        <v>0</v>
      </c>
      <c r="AB131" s="61">
        <v>0</v>
      </c>
      <c r="AC131" s="63">
        <f t="shared" ref="AC131:AC171" si="71">ROUND(AB131*$T131,2)</f>
        <v>0</v>
      </c>
      <c r="AD131" s="61">
        <v>0</v>
      </c>
      <c r="AE131" s="63">
        <f t="shared" ref="AE131:AE171" si="72">ROUND(AD131*$T131,2)</f>
        <v>0</v>
      </c>
      <c r="AF131" s="61">
        <v>0</v>
      </c>
      <c r="AG131" s="63">
        <f t="shared" ref="AG131:AG171" si="73">ROUND(AF131*$T131,2)</f>
        <v>0</v>
      </c>
      <c r="AH131" s="61">
        <v>0</v>
      </c>
      <c r="AI131" s="63">
        <f t="shared" ref="AI131:AI171" si="74">ROUND(AH131*$T131,2)</f>
        <v>0</v>
      </c>
      <c r="AJ131" s="61">
        <v>0</v>
      </c>
      <c r="AK131" s="63">
        <f t="shared" ref="AK131:AK171" si="75">ROUND(AJ131*$T131,2)</f>
        <v>0</v>
      </c>
      <c r="AL131" s="61">
        <v>0</v>
      </c>
      <c r="AM131" s="63">
        <f t="shared" ref="AM131:AM171" si="76">ROUND(AL131*$T131,2)</f>
        <v>0</v>
      </c>
      <c r="AN131" s="61">
        <v>0</v>
      </c>
      <c r="AO131" s="63">
        <f t="shared" ref="AO131:AO171" si="77">ROUND(AN131*$T131,2)</f>
        <v>0</v>
      </c>
      <c r="AP131" s="61">
        <v>0</v>
      </c>
      <c r="AQ131" s="63">
        <f t="shared" ref="AQ131:AQ171" si="78">ROUND(AP131*$T131,2)</f>
        <v>0</v>
      </c>
      <c r="AR131" s="61">
        <v>0</v>
      </c>
      <c r="AS131" s="63">
        <f t="shared" ref="AS131:AS171" si="79">ROUND(AR131*$T131,2)</f>
        <v>0</v>
      </c>
      <c r="AT131" s="61">
        <v>0</v>
      </c>
      <c r="AU131" s="63">
        <f t="shared" ref="AU131:AU171" si="80">ROUND(AT131*$T131,2)</f>
        <v>0</v>
      </c>
      <c r="AV131" s="61">
        <v>0</v>
      </c>
      <c r="AW131" s="63">
        <f t="shared" ref="AW131:AW171" si="81">ROUND(AV131*$T131,2)</f>
        <v>0</v>
      </c>
      <c r="AX131" s="61">
        <v>0</v>
      </c>
      <c r="AY131" s="63">
        <f t="shared" ref="AY131:AY171" si="82">ROUND(AX131*$T131,2)</f>
        <v>0</v>
      </c>
      <c r="AZ131" s="61">
        <v>0</v>
      </c>
      <c r="BA131" s="63">
        <f t="shared" ref="BA131:BA171" si="83">ROUND(AZ131*$T131,2)</f>
        <v>0</v>
      </c>
      <c r="BB131" s="61">
        <v>0</v>
      </c>
      <c r="BC131" s="63">
        <f t="shared" ref="BC131:BC171" si="84">ROUND(BB131*$T131,2)</f>
        <v>0</v>
      </c>
      <c r="BD131" s="61">
        <v>0</v>
      </c>
      <c r="BE131" s="63">
        <f t="shared" ref="BE131:BE171" si="85">ROUND(BD131*$T131,2)</f>
        <v>0</v>
      </c>
      <c r="BF131" s="61">
        <f t="shared" ref="BF131:BF171" si="86">IFERROR(SUMIFS($V131:$BE131,$V$5:$BE$5,$BF$5),0)</f>
        <v>0</v>
      </c>
      <c r="BG131" s="63">
        <f t="shared" ref="BG131:BG171" si="87">SUMIFS($V131:$BE131,$V$5:$BE$5,$W$5)</f>
        <v>0</v>
      </c>
      <c r="BH131" s="45"/>
      <c r="BI131" s="144"/>
    </row>
    <row r="132" spans="1:61" ht="35.65" x14ac:dyDescent="0.45">
      <c r="A132" s="140">
        <v>2</v>
      </c>
      <c r="B132" s="141" t="s">
        <v>1472</v>
      </c>
      <c r="C132" s="142" t="s">
        <v>1473</v>
      </c>
      <c r="D132" s="143" t="str">
        <f t="shared" si="66"/>
        <v>2.2_5.8.2</v>
      </c>
      <c r="E132" s="56" t="s">
        <v>1059</v>
      </c>
      <c r="F132" s="506" t="s">
        <v>1816</v>
      </c>
      <c r="G132" s="507" t="s">
        <v>1795</v>
      </c>
      <c r="H132" s="507" t="s">
        <v>1795</v>
      </c>
      <c r="I132" s="507" t="s">
        <v>1817</v>
      </c>
      <c r="J132" s="507" t="s">
        <v>1818</v>
      </c>
      <c r="K132" s="507">
        <v>160</v>
      </c>
      <c r="L132" s="507" t="s">
        <v>267</v>
      </c>
      <c r="M132" s="507" t="s">
        <v>763</v>
      </c>
      <c r="N132" s="507" t="s">
        <v>1055</v>
      </c>
      <c r="O132" s="57" t="s">
        <v>1060</v>
      </c>
      <c r="P132" s="58" t="s">
        <v>846</v>
      </c>
      <c r="Q132" s="59" t="s">
        <v>1061</v>
      </c>
      <c r="R132" s="60" t="s">
        <v>71</v>
      </c>
      <c r="S132" s="61">
        <v>430</v>
      </c>
      <c r="T132" s="62">
        <f>INDEX('BM MORRO DA CRUZ'!$P$6:$P$402,MATCH($O132,'BM MORRO DA CRUZ'!$K$6:$K$402,0))</f>
        <v>33.69</v>
      </c>
      <c r="U132" s="63">
        <f t="shared" si="67"/>
        <v>14486.7</v>
      </c>
      <c r="V132" s="61">
        <f>IFERROR(SUMIFS('01ª MC'!$W$1:$W$1840,'01ª MC'!$C$1:$C$1840,$D132),0)</f>
        <v>0</v>
      </c>
      <c r="W132" s="63">
        <f t="shared" si="68"/>
        <v>0</v>
      </c>
      <c r="X132" s="61">
        <v>0</v>
      </c>
      <c r="Y132" s="63">
        <f t="shared" si="69"/>
        <v>0</v>
      </c>
      <c r="Z132" s="61">
        <v>0</v>
      </c>
      <c r="AA132" s="63">
        <f t="shared" si="70"/>
        <v>0</v>
      </c>
      <c r="AB132" s="61">
        <v>0</v>
      </c>
      <c r="AC132" s="63">
        <f t="shared" si="71"/>
        <v>0</v>
      </c>
      <c r="AD132" s="61">
        <v>0</v>
      </c>
      <c r="AE132" s="63">
        <f t="shared" si="72"/>
        <v>0</v>
      </c>
      <c r="AF132" s="61">
        <v>0</v>
      </c>
      <c r="AG132" s="63">
        <f t="shared" si="73"/>
        <v>0</v>
      </c>
      <c r="AH132" s="61">
        <v>0</v>
      </c>
      <c r="AI132" s="63">
        <f t="shared" si="74"/>
        <v>0</v>
      </c>
      <c r="AJ132" s="61">
        <v>0</v>
      </c>
      <c r="AK132" s="63">
        <f t="shared" si="75"/>
        <v>0</v>
      </c>
      <c r="AL132" s="61">
        <v>0</v>
      </c>
      <c r="AM132" s="63">
        <f t="shared" si="76"/>
        <v>0</v>
      </c>
      <c r="AN132" s="61">
        <v>0</v>
      </c>
      <c r="AO132" s="63">
        <f t="shared" si="77"/>
        <v>0</v>
      </c>
      <c r="AP132" s="61">
        <v>0</v>
      </c>
      <c r="AQ132" s="63">
        <f t="shared" si="78"/>
        <v>0</v>
      </c>
      <c r="AR132" s="61">
        <v>0</v>
      </c>
      <c r="AS132" s="63">
        <f t="shared" si="79"/>
        <v>0</v>
      </c>
      <c r="AT132" s="61">
        <v>0</v>
      </c>
      <c r="AU132" s="63">
        <f t="shared" si="80"/>
        <v>0</v>
      </c>
      <c r="AV132" s="61">
        <v>0</v>
      </c>
      <c r="AW132" s="63">
        <f t="shared" si="81"/>
        <v>0</v>
      </c>
      <c r="AX132" s="61">
        <v>0</v>
      </c>
      <c r="AY132" s="63">
        <f t="shared" si="82"/>
        <v>0</v>
      </c>
      <c r="AZ132" s="61">
        <v>0</v>
      </c>
      <c r="BA132" s="63">
        <f t="shared" si="83"/>
        <v>0</v>
      </c>
      <c r="BB132" s="61">
        <v>0</v>
      </c>
      <c r="BC132" s="63">
        <f t="shared" si="84"/>
        <v>0</v>
      </c>
      <c r="BD132" s="61">
        <v>0</v>
      </c>
      <c r="BE132" s="63">
        <f t="shared" si="85"/>
        <v>0</v>
      </c>
      <c r="BF132" s="61">
        <f t="shared" si="86"/>
        <v>0</v>
      </c>
      <c r="BG132" s="63">
        <f t="shared" si="87"/>
        <v>0</v>
      </c>
      <c r="BH132" s="45"/>
      <c r="BI132" s="144"/>
    </row>
    <row r="133" spans="1:61" ht="35.65" x14ac:dyDescent="0.45">
      <c r="A133" s="140">
        <v>2</v>
      </c>
      <c r="B133" s="141" t="s">
        <v>1472</v>
      </c>
      <c r="C133" s="142" t="s">
        <v>1473</v>
      </c>
      <c r="D133" s="143" t="str">
        <f t="shared" si="66"/>
        <v>2.2_5.8.4</v>
      </c>
      <c r="E133" s="56" t="s">
        <v>1065</v>
      </c>
      <c r="F133" s="506" t="s">
        <v>1816</v>
      </c>
      <c r="G133" s="507" t="s">
        <v>1795</v>
      </c>
      <c r="H133" s="507" t="s">
        <v>1795</v>
      </c>
      <c r="I133" s="507" t="s">
        <v>1817</v>
      </c>
      <c r="J133" s="507" t="s">
        <v>1818</v>
      </c>
      <c r="K133" s="507">
        <v>225</v>
      </c>
      <c r="L133" s="507" t="s">
        <v>267</v>
      </c>
      <c r="M133" s="507" t="s">
        <v>763</v>
      </c>
      <c r="N133" s="507" t="s">
        <v>1055</v>
      </c>
      <c r="O133" s="57" t="s">
        <v>1066</v>
      </c>
      <c r="P133" s="58" t="s">
        <v>846</v>
      </c>
      <c r="Q133" s="59" t="s">
        <v>1067</v>
      </c>
      <c r="R133" s="60" t="s">
        <v>71</v>
      </c>
      <c r="S133" s="61">
        <v>140</v>
      </c>
      <c r="T133" s="62">
        <f>INDEX('BM MORRO DA CRUZ'!$P$6:$P$402,MATCH($O133,'BM MORRO DA CRUZ'!$K$6:$K$402,0))</f>
        <v>47.38</v>
      </c>
      <c r="U133" s="63">
        <f t="shared" si="67"/>
        <v>6633.2</v>
      </c>
      <c r="V133" s="61">
        <f>IFERROR(SUMIFS('01ª MC'!$W$1:$W$1840,'01ª MC'!$C$1:$C$1840,$D133),0)</f>
        <v>0</v>
      </c>
      <c r="W133" s="63">
        <f t="shared" si="68"/>
        <v>0</v>
      </c>
      <c r="X133" s="61">
        <v>0</v>
      </c>
      <c r="Y133" s="63">
        <f t="shared" si="69"/>
        <v>0</v>
      </c>
      <c r="Z133" s="61">
        <v>0</v>
      </c>
      <c r="AA133" s="63">
        <f t="shared" si="70"/>
        <v>0</v>
      </c>
      <c r="AB133" s="61">
        <v>0</v>
      </c>
      <c r="AC133" s="63">
        <f t="shared" si="71"/>
        <v>0</v>
      </c>
      <c r="AD133" s="61">
        <v>0</v>
      </c>
      <c r="AE133" s="63">
        <f t="shared" si="72"/>
        <v>0</v>
      </c>
      <c r="AF133" s="61">
        <v>0</v>
      </c>
      <c r="AG133" s="63">
        <f t="shared" si="73"/>
        <v>0</v>
      </c>
      <c r="AH133" s="61">
        <v>0</v>
      </c>
      <c r="AI133" s="63">
        <f t="shared" si="74"/>
        <v>0</v>
      </c>
      <c r="AJ133" s="61">
        <v>0</v>
      </c>
      <c r="AK133" s="63">
        <f t="shared" si="75"/>
        <v>0</v>
      </c>
      <c r="AL133" s="61">
        <v>0</v>
      </c>
      <c r="AM133" s="63">
        <f t="shared" si="76"/>
        <v>0</v>
      </c>
      <c r="AN133" s="61">
        <v>0</v>
      </c>
      <c r="AO133" s="63">
        <f t="shared" si="77"/>
        <v>0</v>
      </c>
      <c r="AP133" s="61">
        <v>0</v>
      </c>
      <c r="AQ133" s="63">
        <f t="shared" si="78"/>
        <v>0</v>
      </c>
      <c r="AR133" s="61">
        <v>0</v>
      </c>
      <c r="AS133" s="63">
        <f t="shared" si="79"/>
        <v>0</v>
      </c>
      <c r="AT133" s="61">
        <v>0</v>
      </c>
      <c r="AU133" s="63">
        <f t="shared" si="80"/>
        <v>0</v>
      </c>
      <c r="AV133" s="61">
        <v>0</v>
      </c>
      <c r="AW133" s="63">
        <f t="shared" si="81"/>
        <v>0</v>
      </c>
      <c r="AX133" s="61">
        <v>0</v>
      </c>
      <c r="AY133" s="63">
        <f t="shared" si="82"/>
        <v>0</v>
      </c>
      <c r="AZ133" s="61">
        <v>0</v>
      </c>
      <c r="BA133" s="63">
        <f t="shared" si="83"/>
        <v>0</v>
      </c>
      <c r="BB133" s="61">
        <v>0</v>
      </c>
      <c r="BC133" s="63">
        <f t="shared" si="84"/>
        <v>0</v>
      </c>
      <c r="BD133" s="61">
        <v>0</v>
      </c>
      <c r="BE133" s="63">
        <f t="shared" si="85"/>
        <v>0</v>
      </c>
      <c r="BF133" s="61">
        <f t="shared" si="86"/>
        <v>0</v>
      </c>
      <c r="BG133" s="63">
        <f t="shared" si="87"/>
        <v>0</v>
      </c>
      <c r="BH133" s="45"/>
      <c r="BI133" s="144"/>
    </row>
    <row r="134" spans="1:61" ht="35.65" x14ac:dyDescent="0.45">
      <c r="A134" s="140">
        <v>2</v>
      </c>
      <c r="B134" s="141" t="s">
        <v>1472</v>
      </c>
      <c r="C134" s="142" t="s">
        <v>1473</v>
      </c>
      <c r="D134" s="143" t="str">
        <f t="shared" si="66"/>
        <v>2.2_5.8.5</v>
      </c>
      <c r="E134" s="56" t="s">
        <v>1068</v>
      </c>
      <c r="F134" s="506" t="s">
        <v>1816</v>
      </c>
      <c r="G134" s="507" t="s">
        <v>1795</v>
      </c>
      <c r="H134" s="507" t="s">
        <v>1795</v>
      </c>
      <c r="I134" s="507" t="s">
        <v>1817</v>
      </c>
      <c r="J134" s="507" t="s">
        <v>1818</v>
      </c>
      <c r="K134" s="507">
        <v>250</v>
      </c>
      <c r="L134" s="507" t="s">
        <v>267</v>
      </c>
      <c r="M134" s="507" t="s">
        <v>763</v>
      </c>
      <c r="N134" s="507" t="s">
        <v>1055</v>
      </c>
      <c r="O134" s="57" t="s">
        <v>1069</v>
      </c>
      <c r="P134" s="58" t="s">
        <v>846</v>
      </c>
      <c r="Q134" s="59" t="s">
        <v>1070</v>
      </c>
      <c r="R134" s="60" t="s">
        <v>71</v>
      </c>
      <c r="S134" s="61">
        <v>29</v>
      </c>
      <c r="T134" s="62">
        <f>INDEX('BM MORRO DA CRUZ'!$P$6:$P$402,MATCH($O134,'BM MORRO DA CRUZ'!$K$6:$K$402,0))</f>
        <v>52.65</v>
      </c>
      <c r="U134" s="63">
        <f t="shared" si="67"/>
        <v>1526.85</v>
      </c>
      <c r="V134" s="61">
        <f>IFERROR(SUMIFS('01ª MC'!$W$1:$W$1840,'01ª MC'!$C$1:$C$1840,$D134),0)</f>
        <v>0</v>
      </c>
      <c r="W134" s="63">
        <f t="shared" si="68"/>
        <v>0</v>
      </c>
      <c r="X134" s="61">
        <v>0</v>
      </c>
      <c r="Y134" s="63">
        <f t="shared" si="69"/>
        <v>0</v>
      </c>
      <c r="Z134" s="61">
        <v>0</v>
      </c>
      <c r="AA134" s="63">
        <f t="shared" si="70"/>
        <v>0</v>
      </c>
      <c r="AB134" s="61">
        <v>0</v>
      </c>
      <c r="AC134" s="63">
        <f t="shared" si="71"/>
        <v>0</v>
      </c>
      <c r="AD134" s="61">
        <v>0</v>
      </c>
      <c r="AE134" s="63">
        <f t="shared" si="72"/>
        <v>0</v>
      </c>
      <c r="AF134" s="61">
        <v>0</v>
      </c>
      <c r="AG134" s="63">
        <f t="shared" si="73"/>
        <v>0</v>
      </c>
      <c r="AH134" s="61">
        <v>0</v>
      </c>
      <c r="AI134" s="63">
        <f t="shared" si="74"/>
        <v>0</v>
      </c>
      <c r="AJ134" s="61">
        <v>0</v>
      </c>
      <c r="AK134" s="63">
        <f t="shared" si="75"/>
        <v>0</v>
      </c>
      <c r="AL134" s="61">
        <v>0</v>
      </c>
      <c r="AM134" s="63">
        <f t="shared" si="76"/>
        <v>0</v>
      </c>
      <c r="AN134" s="61">
        <v>0</v>
      </c>
      <c r="AO134" s="63">
        <f t="shared" si="77"/>
        <v>0</v>
      </c>
      <c r="AP134" s="61">
        <v>0</v>
      </c>
      <c r="AQ134" s="63">
        <f t="shared" si="78"/>
        <v>0</v>
      </c>
      <c r="AR134" s="61">
        <v>0</v>
      </c>
      <c r="AS134" s="63">
        <f t="shared" si="79"/>
        <v>0</v>
      </c>
      <c r="AT134" s="61">
        <v>0</v>
      </c>
      <c r="AU134" s="63">
        <f t="shared" si="80"/>
        <v>0</v>
      </c>
      <c r="AV134" s="61">
        <v>0</v>
      </c>
      <c r="AW134" s="63">
        <f t="shared" si="81"/>
        <v>0</v>
      </c>
      <c r="AX134" s="61">
        <v>0</v>
      </c>
      <c r="AY134" s="63">
        <f t="shared" si="82"/>
        <v>0</v>
      </c>
      <c r="AZ134" s="61">
        <v>0</v>
      </c>
      <c r="BA134" s="63">
        <f t="shared" si="83"/>
        <v>0</v>
      </c>
      <c r="BB134" s="61">
        <v>0</v>
      </c>
      <c r="BC134" s="63">
        <f t="shared" si="84"/>
        <v>0</v>
      </c>
      <c r="BD134" s="61">
        <v>0</v>
      </c>
      <c r="BE134" s="63">
        <f t="shared" si="85"/>
        <v>0</v>
      </c>
      <c r="BF134" s="61">
        <f t="shared" si="86"/>
        <v>0</v>
      </c>
      <c r="BG134" s="63">
        <f t="shared" si="87"/>
        <v>0</v>
      </c>
      <c r="BH134" s="45"/>
      <c r="BI134" s="144"/>
    </row>
    <row r="135" spans="1:61" ht="35.65" x14ac:dyDescent="0.45">
      <c r="A135" s="140">
        <v>2</v>
      </c>
      <c r="B135" s="141" t="s">
        <v>1472</v>
      </c>
      <c r="C135" s="142" t="s">
        <v>1473</v>
      </c>
      <c r="D135" s="143" t="str">
        <f t="shared" si="66"/>
        <v>2.2_5.8.6</v>
      </c>
      <c r="E135" s="56" t="s">
        <v>1071</v>
      </c>
      <c r="F135" s="506" t="s">
        <v>1816</v>
      </c>
      <c r="G135" s="507" t="s">
        <v>1795</v>
      </c>
      <c r="H135" s="507" t="s">
        <v>1795</v>
      </c>
      <c r="I135" s="507" t="s">
        <v>1817</v>
      </c>
      <c r="J135" s="507" t="s">
        <v>1818</v>
      </c>
      <c r="K135" s="507">
        <v>280</v>
      </c>
      <c r="L135" s="507" t="s">
        <v>267</v>
      </c>
      <c r="M135" s="507" t="s">
        <v>763</v>
      </c>
      <c r="N135" s="507" t="s">
        <v>1055</v>
      </c>
      <c r="O135" s="57" t="s">
        <v>1072</v>
      </c>
      <c r="P135" s="58" t="s">
        <v>846</v>
      </c>
      <c r="Q135" s="59" t="s">
        <v>1073</v>
      </c>
      <c r="R135" s="60" t="s">
        <v>71</v>
      </c>
      <c r="S135" s="61">
        <v>9</v>
      </c>
      <c r="T135" s="62">
        <f>INDEX('BM MORRO DA CRUZ'!$P$6:$P$402,MATCH($O135,'BM MORRO DA CRUZ'!$K$6:$K$402,0))</f>
        <v>58.96</v>
      </c>
      <c r="U135" s="63">
        <f t="shared" si="67"/>
        <v>530.64</v>
      </c>
      <c r="V135" s="61">
        <f>IFERROR(SUMIFS('01ª MC'!$W$1:$W$1840,'01ª MC'!$C$1:$C$1840,$D135),0)</f>
        <v>0</v>
      </c>
      <c r="W135" s="63">
        <f t="shared" si="68"/>
        <v>0</v>
      </c>
      <c r="X135" s="61">
        <v>0</v>
      </c>
      <c r="Y135" s="63">
        <f t="shared" si="69"/>
        <v>0</v>
      </c>
      <c r="Z135" s="61">
        <v>0</v>
      </c>
      <c r="AA135" s="63">
        <f t="shared" si="70"/>
        <v>0</v>
      </c>
      <c r="AB135" s="61">
        <v>0</v>
      </c>
      <c r="AC135" s="63">
        <f t="shared" si="71"/>
        <v>0</v>
      </c>
      <c r="AD135" s="61">
        <v>0</v>
      </c>
      <c r="AE135" s="63">
        <f t="shared" si="72"/>
        <v>0</v>
      </c>
      <c r="AF135" s="61">
        <v>0</v>
      </c>
      <c r="AG135" s="63">
        <f t="shared" si="73"/>
        <v>0</v>
      </c>
      <c r="AH135" s="61">
        <v>0</v>
      </c>
      <c r="AI135" s="63">
        <f t="shared" si="74"/>
        <v>0</v>
      </c>
      <c r="AJ135" s="61">
        <v>0</v>
      </c>
      <c r="AK135" s="63">
        <f t="shared" si="75"/>
        <v>0</v>
      </c>
      <c r="AL135" s="61">
        <v>0</v>
      </c>
      <c r="AM135" s="63">
        <f t="shared" si="76"/>
        <v>0</v>
      </c>
      <c r="AN135" s="61">
        <v>0</v>
      </c>
      <c r="AO135" s="63">
        <f t="shared" si="77"/>
        <v>0</v>
      </c>
      <c r="AP135" s="61">
        <v>0</v>
      </c>
      <c r="AQ135" s="63">
        <f t="shared" si="78"/>
        <v>0</v>
      </c>
      <c r="AR135" s="61">
        <v>0</v>
      </c>
      <c r="AS135" s="63">
        <f t="shared" si="79"/>
        <v>0</v>
      </c>
      <c r="AT135" s="61">
        <v>0</v>
      </c>
      <c r="AU135" s="63">
        <f t="shared" si="80"/>
        <v>0</v>
      </c>
      <c r="AV135" s="61">
        <v>0</v>
      </c>
      <c r="AW135" s="63">
        <f t="shared" si="81"/>
        <v>0</v>
      </c>
      <c r="AX135" s="61">
        <v>0</v>
      </c>
      <c r="AY135" s="63">
        <f t="shared" si="82"/>
        <v>0</v>
      </c>
      <c r="AZ135" s="61">
        <v>0</v>
      </c>
      <c r="BA135" s="63">
        <f t="shared" si="83"/>
        <v>0</v>
      </c>
      <c r="BB135" s="61">
        <v>0</v>
      </c>
      <c r="BC135" s="63">
        <f t="shared" si="84"/>
        <v>0</v>
      </c>
      <c r="BD135" s="61">
        <v>0</v>
      </c>
      <c r="BE135" s="63">
        <f t="shared" si="85"/>
        <v>0</v>
      </c>
      <c r="BF135" s="61">
        <f t="shared" si="86"/>
        <v>0</v>
      </c>
      <c r="BG135" s="63">
        <f t="shared" si="87"/>
        <v>0</v>
      </c>
      <c r="BH135" s="45"/>
      <c r="BI135" s="144"/>
    </row>
    <row r="136" spans="1:61" ht="35.65" x14ac:dyDescent="0.45">
      <c r="A136" s="140">
        <v>2</v>
      </c>
      <c r="B136" s="141" t="s">
        <v>1472</v>
      </c>
      <c r="C136" s="142" t="s">
        <v>1473</v>
      </c>
      <c r="D136" s="143" t="str">
        <f t="shared" si="66"/>
        <v>2.2_5.8.7</v>
      </c>
      <c r="E136" s="56" t="s">
        <v>1074</v>
      </c>
      <c r="F136" s="506" t="s">
        <v>1816</v>
      </c>
      <c r="G136" s="507" t="s">
        <v>1795</v>
      </c>
      <c r="H136" s="507" t="s">
        <v>1795</v>
      </c>
      <c r="I136" s="507" t="s">
        <v>1817</v>
      </c>
      <c r="J136" s="507" t="s">
        <v>1818</v>
      </c>
      <c r="K136" s="507">
        <v>315</v>
      </c>
      <c r="L136" s="507" t="s">
        <v>267</v>
      </c>
      <c r="M136" s="507" t="s">
        <v>763</v>
      </c>
      <c r="N136" s="507" t="s">
        <v>1055</v>
      </c>
      <c r="O136" s="57" t="s">
        <v>1075</v>
      </c>
      <c r="P136" s="58" t="s">
        <v>846</v>
      </c>
      <c r="Q136" s="59" t="s">
        <v>1076</v>
      </c>
      <c r="R136" s="60" t="s">
        <v>71</v>
      </c>
      <c r="S136" s="61">
        <v>44</v>
      </c>
      <c r="T136" s="62">
        <f>INDEX('BM MORRO DA CRUZ'!$P$6:$P$402,MATCH($O136,'BM MORRO DA CRUZ'!$K$6:$K$402,0))</f>
        <v>66.34</v>
      </c>
      <c r="U136" s="63">
        <f t="shared" si="67"/>
        <v>2918.96</v>
      </c>
      <c r="V136" s="61">
        <f>IFERROR(SUMIFS('01ª MC'!$W$1:$W$1840,'01ª MC'!$C$1:$C$1840,$D136),0)</f>
        <v>0</v>
      </c>
      <c r="W136" s="63">
        <f t="shared" si="68"/>
        <v>0</v>
      </c>
      <c r="X136" s="61">
        <v>0</v>
      </c>
      <c r="Y136" s="63">
        <f t="shared" si="69"/>
        <v>0</v>
      </c>
      <c r="Z136" s="61">
        <v>0</v>
      </c>
      <c r="AA136" s="63">
        <f t="shared" si="70"/>
        <v>0</v>
      </c>
      <c r="AB136" s="61">
        <v>0</v>
      </c>
      <c r="AC136" s="63">
        <f t="shared" si="71"/>
        <v>0</v>
      </c>
      <c r="AD136" s="61">
        <v>0</v>
      </c>
      <c r="AE136" s="63">
        <f t="shared" si="72"/>
        <v>0</v>
      </c>
      <c r="AF136" s="61">
        <v>0</v>
      </c>
      <c r="AG136" s="63">
        <f t="shared" si="73"/>
        <v>0</v>
      </c>
      <c r="AH136" s="61">
        <v>0</v>
      </c>
      <c r="AI136" s="63">
        <f t="shared" si="74"/>
        <v>0</v>
      </c>
      <c r="AJ136" s="61">
        <v>0</v>
      </c>
      <c r="AK136" s="63">
        <f t="shared" si="75"/>
        <v>0</v>
      </c>
      <c r="AL136" s="61">
        <v>0</v>
      </c>
      <c r="AM136" s="63">
        <f t="shared" si="76"/>
        <v>0</v>
      </c>
      <c r="AN136" s="61">
        <v>0</v>
      </c>
      <c r="AO136" s="63">
        <f t="shared" si="77"/>
        <v>0</v>
      </c>
      <c r="AP136" s="61">
        <v>0</v>
      </c>
      <c r="AQ136" s="63">
        <f t="shared" si="78"/>
        <v>0</v>
      </c>
      <c r="AR136" s="61">
        <v>0</v>
      </c>
      <c r="AS136" s="63">
        <f t="shared" si="79"/>
        <v>0</v>
      </c>
      <c r="AT136" s="61">
        <v>0</v>
      </c>
      <c r="AU136" s="63">
        <f t="shared" si="80"/>
        <v>0</v>
      </c>
      <c r="AV136" s="61">
        <v>0</v>
      </c>
      <c r="AW136" s="63">
        <f t="shared" si="81"/>
        <v>0</v>
      </c>
      <c r="AX136" s="61">
        <v>0</v>
      </c>
      <c r="AY136" s="63">
        <f t="shared" si="82"/>
        <v>0</v>
      </c>
      <c r="AZ136" s="61">
        <v>0</v>
      </c>
      <c r="BA136" s="63">
        <f t="shared" si="83"/>
        <v>0</v>
      </c>
      <c r="BB136" s="61">
        <v>0</v>
      </c>
      <c r="BC136" s="63">
        <f t="shared" si="84"/>
        <v>0</v>
      </c>
      <c r="BD136" s="61">
        <v>0</v>
      </c>
      <c r="BE136" s="63">
        <f t="shared" si="85"/>
        <v>0</v>
      </c>
      <c r="BF136" s="61">
        <f t="shared" si="86"/>
        <v>0</v>
      </c>
      <c r="BG136" s="63">
        <f t="shared" si="87"/>
        <v>0</v>
      </c>
      <c r="BH136" s="45"/>
      <c r="BI136" s="144"/>
    </row>
    <row r="137" spans="1:61" ht="35.65" x14ac:dyDescent="0.45">
      <c r="A137" s="140">
        <v>2</v>
      </c>
      <c r="B137" s="141" t="s">
        <v>1472</v>
      </c>
      <c r="C137" s="142" t="s">
        <v>1473</v>
      </c>
      <c r="D137" s="143" t="str">
        <f t="shared" si="66"/>
        <v>2.2_5.8.8</v>
      </c>
      <c r="E137" s="56" t="s">
        <v>1077</v>
      </c>
      <c r="F137" s="506" t="s">
        <v>1816</v>
      </c>
      <c r="G137" s="507" t="s">
        <v>1795</v>
      </c>
      <c r="H137" s="507" t="s">
        <v>1795</v>
      </c>
      <c r="I137" s="507" t="s">
        <v>1817</v>
      </c>
      <c r="J137" s="507" t="s">
        <v>1818</v>
      </c>
      <c r="K137" s="507">
        <v>355</v>
      </c>
      <c r="L137" s="507" t="s">
        <v>267</v>
      </c>
      <c r="M137" s="507" t="s">
        <v>763</v>
      </c>
      <c r="N137" s="507" t="s">
        <v>1055</v>
      </c>
      <c r="O137" s="57" t="s">
        <v>1078</v>
      </c>
      <c r="P137" s="58" t="s">
        <v>846</v>
      </c>
      <c r="Q137" s="59" t="s">
        <v>1079</v>
      </c>
      <c r="R137" s="60" t="s">
        <v>71</v>
      </c>
      <c r="S137" s="61">
        <v>14</v>
      </c>
      <c r="T137" s="62">
        <f>INDEX('BM MORRO DA CRUZ'!$P$6:$P$402,MATCH($O137,'BM MORRO DA CRUZ'!$K$6:$K$402,0))</f>
        <v>74.77</v>
      </c>
      <c r="U137" s="63">
        <f t="shared" si="67"/>
        <v>1046.78</v>
      </c>
      <c r="V137" s="61">
        <f>IFERROR(SUMIFS('01ª MC'!$W$1:$W$1840,'01ª MC'!$C$1:$C$1840,$D137),0)</f>
        <v>0</v>
      </c>
      <c r="W137" s="63">
        <f t="shared" si="68"/>
        <v>0</v>
      </c>
      <c r="X137" s="61">
        <v>0</v>
      </c>
      <c r="Y137" s="63">
        <f t="shared" si="69"/>
        <v>0</v>
      </c>
      <c r="Z137" s="61">
        <v>0</v>
      </c>
      <c r="AA137" s="63">
        <f t="shared" si="70"/>
        <v>0</v>
      </c>
      <c r="AB137" s="61">
        <v>0</v>
      </c>
      <c r="AC137" s="63">
        <f t="shared" si="71"/>
        <v>0</v>
      </c>
      <c r="AD137" s="61">
        <v>0</v>
      </c>
      <c r="AE137" s="63">
        <f t="shared" si="72"/>
        <v>0</v>
      </c>
      <c r="AF137" s="61">
        <v>0</v>
      </c>
      <c r="AG137" s="63">
        <f t="shared" si="73"/>
        <v>0</v>
      </c>
      <c r="AH137" s="61">
        <v>0</v>
      </c>
      <c r="AI137" s="63">
        <f t="shared" si="74"/>
        <v>0</v>
      </c>
      <c r="AJ137" s="61">
        <v>0</v>
      </c>
      <c r="AK137" s="63">
        <f t="shared" si="75"/>
        <v>0</v>
      </c>
      <c r="AL137" s="61">
        <v>0</v>
      </c>
      <c r="AM137" s="63">
        <f t="shared" si="76"/>
        <v>0</v>
      </c>
      <c r="AN137" s="61">
        <v>0</v>
      </c>
      <c r="AO137" s="63">
        <f t="shared" si="77"/>
        <v>0</v>
      </c>
      <c r="AP137" s="61">
        <v>0</v>
      </c>
      <c r="AQ137" s="63">
        <f t="shared" si="78"/>
        <v>0</v>
      </c>
      <c r="AR137" s="61">
        <v>0</v>
      </c>
      <c r="AS137" s="63">
        <f t="shared" si="79"/>
        <v>0</v>
      </c>
      <c r="AT137" s="61">
        <v>0</v>
      </c>
      <c r="AU137" s="63">
        <f t="shared" si="80"/>
        <v>0</v>
      </c>
      <c r="AV137" s="61">
        <v>0</v>
      </c>
      <c r="AW137" s="63">
        <f t="shared" si="81"/>
        <v>0</v>
      </c>
      <c r="AX137" s="61">
        <v>0</v>
      </c>
      <c r="AY137" s="63">
        <f t="shared" si="82"/>
        <v>0</v>
      </c>
      <c r="AZ137" s="61">
        <v>0</v>
      </c>
      <c r="BA137" s="63">
        <f t="shared" si="83"/>
        <v>0</v>
      </c>
      <c r="BB137" s="61">
        <v>0</v>
      </c>
      <c r="BC137" s="63">
        <f t="shared" si="84"/>
        <v>0</v>
      </c>
      <c r="BD137" s="61">
        <v>0</v>
      </c>
      <c r="BE137" s="63">
        <f t="shared" si="85"/>
        <v>0</v>
      </c>
      <c r="BF137" s="61">
        <f t="shared" si="86"/>
        <v>0</v>
      </c>
      <c r="BG137" s="63">
        <f t="shared" si="87"/>
        <v>0</v>
      </c>
      <c r="BH137" s="45"/>
      <c r="BI137" s="144"/>
    </row>
    <row r="138" spans="1:61" ht="35.65" x14ac:dyDescent="0.45">
      <c r="A138" s="140">
        <v>2</v>
      </c>
      <c r="B138" s="141" t="s">
        <v>1472</v>
      </c>
      <c r="C138" s="142" t="s">
        <v>1473</v>
      </c>
      <c r="D138" s="143" t="str">
        <f t="shared" si="66"/>
        <v>2.2_5.8.9</v>
      </c>
      <c r="E138" s="56" t="s">
        <v>1080</v>
      </c>
      <c r="F138" s="506" t="s">
        <v>1816</v>
      </c>
      <c r="G138" s="507" t="s">
        <v>1795</v>
      </c>
      <c r="H138" s="507" t="s">
        <v>1795</v>
      </c>
      <c r="I138" s="507" t="s">
        <v>1817</v>
      </c>
      <c r="J138" s="507" t="s">
        <v>1818</v>
      </c>
      <c r="K138" s="507">
        <v>400</v>
      </c>
      <c r="L138" s="507" t="s">
        <v>267</v>
      </c>
      <c r="M138" s="507" t="s">
        <v>763</v>
      </c>
      <c r="N138" s="507" t="s">
        <v>1055</v>
      </c>
      <c r="O138" s="57" t="s">
        <v>1081</v>
      </c>
      <c r="P138" s="58" t="s">
        <v>846</v>
      </c>
      <c r="Q138" s="59" t="s">
        <v>1082</v>
      </c>
      <c r="R138" s="60" t="s">
        <v>71</v>
      </c>
      <c r="S138" s="61">
        <v>8</v>
      </c>
      <c r="T138" s="62">
        <f>INDEX('BM MORRO DA CRUZ'!$P$6:$P$402,MATCH($O138,'BM MORRO DA CRUZ'!$K$6:$K$402,0))</f>
        <v>84.24</v>
      </c>
      <c r="U138" s="63">
        <f t="shared" si="67"/>
        <v>673.92</v>
      </c>
      <c r="V138" s="61">
        <f>IFERROR(SUMIFS('01ª MC'!$W$1:$W$1840,'01ª MC'!$C$1:$C$1840,$D138),0)</f>
        <v>0</v>
      </c>
      <c r="W138" s="63">
        <f t="shared" si="68"/>
        <v>0</v>
      </c>
      <c r="X138" s="61">
        <v>0</v>
      </c>
      <c r="Y138" s="63">
        <f t="shared" si="69"/>
        <v>0</v>
      </c>
      <c r="Z138" s="61">
        <v>0</v>
      </c>
      <c r="AA138" s="63">
        <f t="shared" si="70"/>
        <v>0</v>
      </c>
      <c r="AB138" s="61">
        <v>0</v>
      </c>
      <c r="AC138" s="63">
        <f t="shared" si="71"/>
        <v>0</v>
      </c>
      <c r="AD138" s="61">
        <v>0</v>
      </c>
      <c r="AE138" s="63">
        <f t="shared" si="72"/>
        <v>0</v>
      </c>
      <c r="AF138" s="61">
        <v>0</v>
      </c>
      <c r="AG138" s="63">
        <f t="shared" si="73"/>
        <v>0</v>
      </c>
      <c r="AH138" s="61">
        <v>0</v>
      </c>
      <c r="AI138" s="63">
        <f t="shared" si="74"/>
        <v>0</v>
      </c>
      <c r="AJ138" s="61">
        <v>0</v>
      </c>
      <c r="AK138" s="63">
        <f t="shared" si="75"/>
        <v>0</v>
      </c>
      <c r="AL138" s="61">
        <v>0</v>
      </c>
      <c r="AM138" s="63">
        <f t="shared" si="76"/>
        <v>0</v>
      </c>
      <c r="AN138" s="61">
        <v>0</v>
      </c>
      <c r="AO138" s="63">
        <f t="shared" si="77"/>
        <v>0</v>
      </c>
      <c r="AP138" s="61">
        <v>0</v>
      </c>
      <c r="AQ138" s="63">
        <f t="shared" si="78"/>
        <v>0</v>
      </c>
      <c r="AR138" s="61">
        <v>0</v>
      </c>
      <c r="AS138" s="63">
        <f t="shared" si="79"/>
        <v>0</v>
      </c>
      <c r="AT138" s="61">
        <v>0</v>
      </c>
      <c r="AU138" s="63">
        <f t="shared" si="80"/>
        <v>0</v>
      </c>
      <c r="AV138" s="61">
        <v>0</v>
      </c>
      <c r="AW138" s="63">
        <f t="shared" si="81"/>
        <v>0</v>
      </c>
      <c r="AX138" s="61">
        <v>0</v>
      </c>
      <c r="AY138" s="63">
        <f t="shared" si="82"/>
        <v>0</v>
      </c>
      <c r="AZ138" s="61">
        <v>0</v>
      </c>
      <c r="BA138" s="63">
        <f t="shared" si="83"/>
        <v>0</v>
      </c>
      <c r="BB138" s="61">
        <v>0</v>
      </c>
      <c r="BC138" s="63">
        <f t="shared" si="84"/>
        <v>0</v>
      </c>
      <c r="BD138" s="61">
        <v>0</v>
      </c>
      <c r="BE138" s="63">
        <f t="shared" si="85"/>
        <v>0</v>
      </c>
      <c r="BF138" s="61">
        <f t="shared" si="86"/>
        <v>0</v>
      </c>
      <c r="BG138" s="63">
        <f t="shared" si="87"/>
        <v>0</v>
      </c>
      <c r="BH138" s="45"/>
      <c r="BI138" s="144"/>
    </row>
    <row r="139" spans="1:61" ht="35.65" x14ac:dyDescent="0.45">
      <c r="A139" s="140">
        <v>2</v>
      </c>
      <c r="B139" s="141" t="s">
        <v>1472</v>
      </c>
      <c r="C139" s="142" t="s">
        <v>1473</v>
      </c>
      <c r="D139" s="143" t="str">
        <f t="shared" si="66"/>
        <v>2.2_5.8.10</v>
      </c>
      <c r="E139" s="56" t="s">
        <v>1083</v>
      </c>
      <c r="F139" s="506" t="s">
        <v>1816</v>
      </c>
      <c r="G139" s="507" t="s">
        <v>1795</v>
      </c>
      <c r="H139" s="507" t="s">
        <v>1795</v>
      </c>
      <c r="I139" s="507" t="s">
        <v>1817</v>
      </c>
      <c r="J139" s="507" t="s">
        <v>1818</v>
      </c>
      <c r="K139" s="507">
        <v>63</v>
      </c>
      <c r="L139" s="507" t="s">
        <v>267</v>
      </c>
      <c r="M139" s="507" t="s">
        <v>763</v>
      </c>
      <c r="N139" s="507" t="s">
        <v>1055</v>
      </c>
      <c r="O139" s="57" t="s">
        <v>1084</v>
      </c>
      <c r="P139" s="58" t="s">
        <v>846</v>
      </c>
      <c r="Q139" s="59" t="s">
        <v>1085</v>
      </c>
      <c r="R139" s="60" t="s">
        <v>71</v>
      </c>
      <c r="S139" s="61">
        <v>1945</v>
      </c>
      <c r="T139" s="62">
        <f>INDEX('BM MORRO DA CRUZ'!$P$6:$P$402,MATCH($O139,'BM MORRO DA CRUZ'!$K$6:$K$402,0))</f>
        <v>13.26</v>
      </c>
      <c r="U139" s="63">
        <f t="shared" si="67"/>
        <v>25790.7</v>
      </c>
      <c r="V139" s="61">
        <f>IFERROR(SUMIFS('01ª MC'!$W$1:$W$1840,'01ª MC'!$C$1:$C$1840,$D139),0)</f>
        <v>0</v>
      </c>
      <c r="W139" s="63">
        <f t="shared" si="68"/>
        <v>0</v>
      </c>
      <c r="X139" s="61">
        <v>0</v>
      </c>
      <c r="Y139" s="63">
        <f t="shared" si="69"/>
        <v>0</v>
      </c>
      <c r="Z139" s="61">
        <v>0</v>
      </c>
      <c r="AA139" s="63">
        <f t="shared" si="70"/>
        <v>0</v>
      </c>
      <c r="AB139" s="61">
        <v>0</v>
      </c>
      <c r="AC139" s="63">
        <f t="shared" si="71"/>
        <v>0</v>
      </c>
      <c r="AD139" s="61">
        <v>0</v>
      </c>
      <c r="AE139" s="63">
        <f t="shared" si="72"/>
        <v>0</v>
      </c>
      <c r="AF139" s="61">
        <v>0</v>
      </c>
      <c r="AG139" s="63">
        <f t="shared" si="73"/>
        <v>0</v>
      </c>
      <c r="AH139" s="61">
        <v>0</v>
      </c>
      <c r="AI139" s="63">
        <f t="shared" si="74"/>
        <v>0</v>
      </c>
      <c r="AJ139" s="61">
        <v>0</v>
      </c>
      <c r="AK139" s="63">
        <f t="shared" si="75"/>
        <v>0</v>
      </c>
      <c r="AL139" s="61">
        <v>0</v>
      </c>
      <c r="AM139" s="63">
        <f t="shared" si="76"/>
        <v>0</v>
      </c>
      <c r="AN139" s="61">
        <v>0</v>
      </c>
      <c r="AO139" s="63">
        <f t="shared" si="77"/>
        <v>0</v>
      </c>
      <c r="AP139" s="61">
        <v>0</v>
      </c>
      <c r="AQ139" s="63">
        <f t="shared" si="78"/>
        <v>0</v>
      </c>
      <c r="AR139" s="61">
        <v>0</v>
      </c>
      <c r="AS139" s="63">
        <f t="shared" si="79"/>
        <v>0</v>
      </c>
      <c r="AT139" s="61">
        <v>0</v>
      </c>
      <c r="AU139" s="63">
        <f t="shared" si="80"/>
        <v>0</v>
      </c>
      <c r="AV139" s="61">
        <v>0</v>
      </c>
      <c r="AW139" s="63">
        <f t="shared" si="81"/>
        <v>0</v>
      </c>
      <c r="AX139" s="61">
        <v>0</v>
      </c>
      <c r="AY139" s="63">
        <f t="shared" si="82"/>
        <v>0</v>
      </c>
      <c r="AZ139" s="61">
        <v>0</v>
      </c>
      <c r="BA139" s="63">
        <f t="shared" si="83"/>
        <v>0</v>
      </c>
      <c r="BB139" s="61">
        <v>0</v>
      </c>
      <c r="BC139" s="63">
        <f t="shared" si="84"/>
        <v>0</v>
      </c>
      <c r="BD139" s="61">
        <v>0</v>
      </c>
      <c r="BE139" s="63">
        <f t="shared" si="85"/>
        <v>0</v>
      </c>
      <c r="BF139" s="61">
        <f t="shared" si="86"/>
        <v>0</v>
      </c>
      <c r="BG139" s="63">
        <f t="shared" si="87"/>
        <v>0</v>
      </c>
      <c r="BH139" s="45"/>
      <c r="BI139" s="144"/>
    </row>
    <row r="140" spans="1:61" ht="35.65" x14ac:dyDescent="0.45">
      <c r="A140" s="140">
        <v>2</v>
      </c>
      <c r="B140" s="141" t="s">
        <v>1472</v>
      </c>
      <c r="C140" s="142" t="s">
        <v>1473</v>
      </c>
      <c r="D140" s="143" t="str">
        <f t="shared" si="66"/>
        <v>2.2_5.8.11</v>
      </c>
      <c r="E140" s="56" t="s">
        <v>1086</v>
      </c>
      <c r="F140" s="506" t="s">
        <v>1816</v>
      </c>
      <c r="G140" s="507" t="s">
        <v>1795</v>
      </c>
      <c r="H140" s="507" t="s">
        <v>1795</v>
      </c>
      <c r="I140" s="507" t="s">
        <v>1817</v>
      </c>
      <c r="J140" s="507" t="s">
        <v>1818</v>
      </c>
      <c r="K140" s="507">
        <v>90</v>
      </c>
      <c r="L140" s="507" t="s">
        <v>267</v>
      </c>
      <c r="M140" s="507" t="s">
        <v>763</v>
      </c>
      <c r="N140" s="507" t="s">
        <v>1055</v>
      </c>
      <c r="O140" s="57" t="s">
        <v>1087</v>
      </c>
      <c r="P140" s="58" t="s">
        <v>846</v>
      </c>
      <c r="Q140" s="59" t="s">
        <v>1088</v>
      </c>
      <c r="R140" s="60" t="s">
        <v>71</v>
      </c>
      <c r="S140" s="61">
        <v>269</v>
      </c>
      <c r="T140" s="62">
        <f>INDEX('BM MORRO DA CRUZ'!$P$6:$P$402,MATCH($O140,'BM MORRO DA CRUZ'!$K$6:$K$402,0))</f>
        <v>18.95</v>
      </c>
      <c r="U140" s="63">
        <f t="shared" si="67"/>
        <v>5097.55</v>
      </c>
      <c r="V140" s="61">
        <f>IFERROR(SUMIFS('01ª MC'!$W$1:$W$1840,'01ª MC'!$C$1:$C$1840,$D140),0)</f>
        <v>0</v>
      </c>
      <c r="W140" s="63">
        <f t="shared" si="68"/>
        <v>0</v>
      </c>
      <c r="X140" s="61">
        <v>0</v>
      </c>
      <c r="Y140" s="63">
        <f t="shared" si="69"/>
        <v>0</v>
      </c>
      <c r="Z140" s="61">
        <v>0</v>
      </c>
      <c r="AA140" s="63">
        <f t="shared" si="70"/>
        <v>0</v>
      </c>
      <c r="AB140" s="61">
        <v>0</v>
      </c>
      <c r="AC140" s="63">
        <f t="shared" si="71"/>
        <v>0</v>
      </c>
      <c r="AD140" s="61">
        <v>0</v>
      </c>
      <c r="AE140" s="63">
        <f t="shared" si="72"/>
        <v>0</v>
      </c>
      <c r="AF140" s="61">
        <v>0</v>
      </c>
      <c r="AG140" s="63">
        <f t="shared" si="73"/>
        <v>0</v>
      </c>
      <c r="AH140" s="61">
        <v>0</v>
      </c>
      <c r="AI140" s="63">
        <f t="shared" si="74"/>
        <v>0</v>
      </c>
      <c r="AJ140" s="61">
        <v>0</v>
      </c>
      <c r="AK140" s="63">
        <f t="shared" si="75"/>
        <v>0</v>
      </c>
      <c r="AL140" s="61">
        <v>0</v>
      </c>
      <c r="AM140" s="63">
        <f t="shared" si="76"/>
        <v>0</v>
      </c>
      <c r="AN140" s="61">
        <v>0</v>
      </c>
      <c r="AO140" s="63">
        <f t="shared" si="77"/>
        <v>0</v>
      </c>
      <c r="AP140" s="61">
        <v>0</v>
      </c>
      <c r="AQ140" s="63">
        <f t="shared" si="78"/>
        <v>0</v>
      </c>
      <c r="AR140" s="61">
        <v>0</v>
      </c>
      <c r="AS140" s="63">
        <f t="shared" si="79"/>
        <v>0</v>
      </c>
      <c r="AT140" s="61">
        <v>0</v>
      </c>
      <c r="AU140" s="63">
        <f t="shared" si="80"/>
        <v>0</v>
      </c>
      <c r="AV140" s="61">
        <v>0</v>
      </c>
      <c r="AW140" s="63">
        <f t="shared" si="81"/>
        <v>0</v>
      </c>
      <c r="AX140" s="61">
        <v>0</v>
      </c>
      <c r="AY140" s="63">
        <f t="shared" si="82"/>
        <v>0</v>
      </c>
      <c r="AZ140" s="61">
        <v>0</v>
      </c>
      <c r="BA140" s="63">
        <f t="shared" si="83"/>
        <v>0</v>
      </c>
      <c r="BB140" s="61">
        <v>0</v>
      </c>
      <c r="BC140" s="63">
        <f t="shared" si="84"/>
        <v>0</v>
      </c>
      <c r="BD140" s="61">
        <v>0</v>
      </c>
      <c r="BE140" s="63">
        <f t="shared" si="85"/>
        <v>0</v>
      </c>
      <c r="BF140" s="61">
        <f t="shared" si="86"/>
        <v>0</v>
      </c>
      <c r="BG140" s="63">
        <f t="shared" si="87"/>
        <v>0</v>
      </c>
      <c r="BH140" s="45"/>
      <c r="BI140" s="144"/>
    </row>
    <row r="141" spans="1:61" ht="35.65" x14ac:dyDescent="0.45">
      <c r="A141" s="140">
        <v>2</v>
      </c>
      <c r="B141" s="141" t="s">
        <v>1472</v>
      </c>
      <c r="C141" s="142" t="s">
        <v>1473</v>
      </c>
      <c r="D141" s="143" t="str">
        <f t="shared" si="66"/>
        <v>2.2_5.8.19</v>
      </c>
      <c r="E141" s="56" t="s">
        <v>1110</v>
      </c>
      <c r="F141" s="506" t="s">
        <v>1820</v>
      </c>
      <c r="G141" s="507" t="s">
        <v>1795</v>
      </c>
      <c r="H141" s="507" t="s">
        <v>1795</v>
      </c>
      <c r="I141" s="507" t="s">
        <v>1817</v>
      </c>
      <c r="J141" s="507" t="s">
        <v>1818</v>
      </c>
      <c r="K141" s="507">
        <v>110</v>
      </c>
      <c r="L141" s="507" t="s">
        <v>267</v>
      </c>
      <c r="M141" s="507" t="s">
        <v>763</v>
      </c>
      <c r="N141" s="507" t="s">
        <v>1055</v>
      </c>
      <c r="O141" s="57" t="s">
        <v>1111</v>
      </c>
      <c r="P141" s="58" t="s">
        <v>846</v>
      </c>
      <c r="Q141" s="59" t="s">
        <v>1112</v>
      </c>
      <c r="R141" s="60" t="s">
        <v>71</v>
      </c>
      <c r="S141" s="61">
        <v>90</v>
      </c>
      <c r="T141" s="62">
        <f>INDEX('BM MORRO DA CRUZ'!$P$6:$P$402,MATCH($O141,'BM MORRO DA CRUZ'!$K$6:$K$402,0))</f>
        <v>46.32</v>
      </c>
      <c r="U141" s="63">
        <f t="shared" si="67"/>
        <v>4168.8</v>
      </c>
      <c r="V141" s="61">
        <f>IFERROR(SUMIFS('01ª MC'!$W$1:$W$1840,'01ª MC'!$C$1:$C$1840,$D141),0)</f>
        <v>0</v>
      </c>
      <c r="W141" s="63">
        <f t="shared" si="68"/>
        <v>0</v>
      </c>
      <c r="X141" s="61">
        <v>0</v>
      </c>
      <c r="Y141" s="63">
        <f t="shared" si="69"/>
        <v>0</v>
      </c>
      <c r="Z141" s="61">
        <v>0</v>
      </c>
      <c r="AA141" s="63">
        <f t="shared" si="70"/>
        <v>0</v>
      </c>
      <c r="AB141" s="61">
        <v>0</v>
      </c>
      <c r="AC141" s="63">
        <f t="shared" si="71"/>
        <v>0</v>
      </c>
      <c r="AD141" s="61">
        <v>0</v>
      </c>
      <c r="AE141" s="63">
        <f t="shared" si="72"/>
        <v>0</v>
      </c>
      <c r="AF141" s="61">
        <v>0</v>
      </c>
      <c r="AG141" s="63">
        <f t="shared" si="73"/>
        <v>0</v>
      </c>
      <c r="AH141" s="61">
        <v>0</v>
      </c>
      <c r="AI141" s="63">
        <f t="shared" si="74"/>
        <v>0</v>
      </c>
      <c r="AJ141" s="61">
        <v>0</v>
      </c>
      <c r="AK141" s="63">
        <f t="shared" si="75"/>
        <v>0</v>
      </c>
      <c r="AL141" s="61">
        <v>0</v>
      </c>
      <c r="AM141" s="63">
        <f t="shared" si="76"/>
        <v>0</v>
      </c>
      <c r="AN141" s="61">
        <v>0</v>
      </c>
      <c r="AO141" s="63">
        <f t="shared" si="77"/>
        <v>0</v>
      </c>
      <c r="AP141" s="61">
        <v>0</v>
      </c>
      <c r="AQ141" s="63">
        <f t="shared" si="78"/>
        <v>0</v>
      </c>
      <c r="AR141" s="61">
        <v>0</v>
      </c>
      <c r="AS141" s="63">
        <f t="shared" si="79"/>
        <v>0</v>
      </c>
      <c r="AT141" s="61">
        <v>0</v>
      </c>
      <c r="AU141" s="63">
        <f t="shared" si="80"/>
        <v>0</v>
      </c>
      <c r="AV141" s="61">
        <v>0</v>
      </c>
      <c r="AW141" s="63">
        <f t="shared" si="81"/>
        <v>0</v>
      </c>
      <c r="AX141" s="61">
        <v>0</v>
      </c>
      <c r="AY141" s="63">
        <f t="shared" si="82"/>
        <v>0</v>
      </c>
      <c r="AZ141" s="61">
        <v>0</v>
      </c>
      <c r="BA141" s="63">
        <f t="shared" si="83"/>
        <v>0</v>
      </c>
      <c r="BB141" s="61">
        <v>0</v>
      </c>
      <c r="BC141" s="63">
        <f t="shared" si="84"/>
        <v>0</v>
      </c>
      <c r="BD141" s="61">
        <v>0</v>
      </c>
      <c r="BE141" s="63">
        <f t="shared" si="85"/>
        <v>0</v>
      </c>
      <c r="BF141" s="61">
        <f t="shared" si="86"/>
        <v>0</v>
      </c>
      <c r="BG141" s="63">
        <f t="shared" si="87"/>
        <v>0</v>
      </c>
      <c r="BH141" s="45"/>
      <c r="BI141" s="144"/>
    </row>
    <row r="142" spans="1:61" ht="35.65" x14ac:dyDescent="0.45">
      <c r="A142" s="140">
        <v>2</v>
      </c>
      <c r="B142" s="141" t="s">
        <v>1472</v>
      </c>
      <c r="C142" s="142" t="s">
        <v>1473</v>
      </c>
      <c r="D142" s="143" t="str">
        <f t="shared" si="66"/>
        <v>2.2_5.8.20</v>
      </c>
      <c r="E142" s="56" t="s">
        <v>1113</v>
      </c>
      <c r="F142" s="506" t="s">
        <v>1820</v>
      </c>
      <c r="G142" s="507" t="s">
        <v>1795</v>
      </c>
      <c r="H142" s="507" t="s">
        <v>1795</v>
      </c>
      <c r="I142" s="507" t="s">
        <v>1817</v>
      </c>
      <c r="J142" s="507" t="s">
        <v>1818</v>
      </c>
      <c r="K142" s="507">
        <v>160</v>
      </c>
      <c r="L142" s="507" t="s">
        <v>267</v>
      </c>
      <c r="M142" s="507" t="s">
        <v>763</v>
      </c>
      <c r="N142" s="507" t="s">
        <v>1055</v>
      </c>
      <c r="O142" s="57" t="s">
        <v>1114</v>
      </c>
      <c r="P142" s="58" t="s">
        <v>846</v>
      </c>
      <c r="Q142" s="59" t="s">
        <v>1115</v>
      </c>
      <c r="R142" s="60" t="s">
        <v>71</v>
      </c>
      <c r="S142" s="61">
        <v>113</v>
      </c>
      <c r="T142" s="62">
        <f>INDEX('BM MORRO DA CRUZ'!$P$6:$P$402,MATCH($O142,'BM MORRO DA CRUZ'!$K$6:$K$402,0))</f>
        <v>67.39</v>
      </c>
      <c r="U142" s="63">
        <f t="shared" si="67"/>
        <v>7615.07</v>
      </c>
      <c r="V142" s="61">
        <f>IFERROR(SUMIFS('01ª MC'!$W$1:$W$1840,'01ª MC'!$C$1:$C$1840,$D142),0)</f>
        <v>0</v>
      </c>
      <c r="W142" s="63">
        <f t="shared" si="68"/>
        <v>0</v>
      </c>
      <c r="X142" s="61">
        <v>0</v>
      </c>
      <c r="Y142" s="63">
        <f t="shared" si="69"/>
        <v>0</v>
      </c>
      <c r="Z142" s="61">
        <v>0</v>
      </c>
      <c r="AA142" s="63">
        <f t="shared" si="70"/>
        <v>0</v>
      </c>
      <c r="AB142" s="61">
        <v>0</v>
      </c>
      <c r="AC142" s="63">
        <f t="shared" si="71"/>
        <v>0</v>
      </c>
      <c r="AD142" s="61">
        <v>0</v>
      </c>
      <c r="AE142" s="63">
        <f t="shared" si="72"/>
        <v>0</v>
      </c>
      <c r="AF142" s="61">
        <v>0</v>
      </c>
      <c r="AG142" s="63">
        <f t="shared" si="73"/>
        <v>0</v>
      </c>
      <c r="AH142" s="61">
        <v>0</v>
      </c>
      <c r="AI142" s="63">
        <f t="shared" si="74"/>
        <v>0</v>
      </c>
      <c r="AJ142" s="61">
        <v>0</v>
      </c>
      <c r="AK142" s="63">
        <f t="shared" si="75"/>
        <v>0</v>
      </c>
      <c r="AL142" s="61">
        <v>0</v>
      </c>
      <c r="AM142" s="63">
        <f t="shared" si="76"/>
        <v>0</v>
      </c>
      <c r="AN142" s="61">
        <v>0</v>
      </c>
      <c r="AO142" s="63">
        <f t="shared" si="77"/>
        <v>0</v>
      </c>
      <c r="AP142" s="61">
        <v>0</v>
      </c>
      <c r="AQ142" s="63">
        <f t="shared" si="78"/>
        <v>0</v>
      </c>
      <c r="AR142" s="61">
        <v>0</v>
      </c>
      <c r="AS142" s="63">
        <f t="shared" si="79"/>
        <v>0</v>
      </c>
      <c r="AT142" s="61">
        <v>0</v>
      </c>
      <c r="AU142" s="63">
        <f t="shared" si="80"/>
        <v>0</v>
      </c>
      <c r="AV142" s="61">
        <v>0</v>
      </c>
      <c r="AW142" s="63">
        <f t="shared" si="81"/>
        <v>0</v>
      </c>
      <c r="AX142" s="61">
        <v>0</v>
      </c>
      <c r="AY142" s="63">
        <f t="shared" si="82"/>
        <v>0</v>
      </c>
      <c r="AZ142" s="61">
        <v>0</v>
      </c>
      <c r="BA142" s="63">
        <f t="shared" si="83"/>
        <v>0</v>
      </c>
      <c r="BB142" s="61">
        <v>0</v>
      </c>
      <c r="BC142" s="63">
        <f t="shared" si="84"/>
        <v>0</v>
      </c>
      <c r="BD142" s="61">
        <v>0</v>
      </c>
      <c r="BE142" s="63">
        <f t="shared" si="85"/>
        <v>0</v>
      </c>
      <c r="BF142" s="61">
        <f t="shared" si="86"/>
        <v>0</v>
      </c>
      <c r="BG142" s="63">
        <f t="shared" si="87"/>
        <v>0</v>
      </c>
      <c r="BH142" s="45"/>
      <c r="BI142" s="144"/>
    </row>
    <row r="143" spans="1:61" ht="35.65" x14ac:dyDescent="0.45">
      <c r="A143" s="140">
        <v>2</v>
      </c>
      <c r="B143" s="141" t="s">
        <v>1472</v>
      </c>
      <c r="C143" s="142" t="s">
        <v>1473</v>
      </c>
      <c r="D143" s="143" t="str">
        <f t="shared" si="66"/>
        <v>2.2_5.8.21</v>
      </c>
      <c r="E143" s="56" t="s">
        <v>1116</v>
      </c>
      <c r="F143" s="506" t="s">
        <v>1820</v>
      </c>
      <c r="G143" s="507" t="s">
        <v>1795</v>
      </c>
      <c r="H143" s="507" t="s">
        <v>1795</v>
      </c>
      <c r="I143" s="507" t="s">
        <v>1817</v>
      </c>
      <c r="J143" s="507" t="s">
        <v>1818</v>
      </c>
      <c r="K143" s="507">
        <v>225</v>
      </c>
      <c r="L143" s="507" t="s">
        <v>267</v>
      </c>
      <c r="M143" s="507" t="s">
        <v>763</v>
      </c>
      <c r="N143" s="507" t="s">
        <v>1055</v>
      </c>
      <c r="O143" s="57" t="s">
        <v>1117</v>
      </c>
      <c r="P143" s="58" t="s">
        <v>846</v>
      </c>
      <c r="Q143" s="59" t="s">
        <v>1118</v>
      </c>
      <c r="R143" s="60" t="s">
        <v>71</v>
      </c>
      <c r="S143" s="61">
        <v>48</v>
      </c>
      <c r="T143" s="62">
        <f>INDEX('BM MORRO DA CRUZ'!$P$6:$P$402,MATCH($O143,'BM MORRO DA CRUZ'!$K$6:$K$402,0))</f>
        <v>94.77</v>
      </c>
      <c r="U143" s="63">
        <f t="shared" si="67"/>
        <v>4548.96</v>
      </c>
      <c r="V143" s="61">
        <f>IFERROR(SUMIFS('01ª MC'!$W$1:$W$1840,'01ª MC'!$C$1:$C$1840,$D143),0)</f>
        <v>0</v>
      </c>
      <c r="W143" s="63">
        <f t="shared" si="68"/>
        <v>0</v>
      </c>
      <c r="X143" s="61">
        <v>0</v>
      </c>
      <c r="Y143" s="63">
        <f t="shared" si="69"/>
        <v>0</v>
      </c>
      <c r="Z143" s="61">
        <v>0</v>
      </c>
      <c r="AA143" s="63">
        <f t="shared" si="70"/>
        <v>0</v>
      </c>
      <c r="AB143" s="61">
        <v>0</v>
      </c>
      <c r="AC143" s="63">
        <f t="shared" si="71"/>
        <v>0</v>
      </c>
      <c r="AD143" s="61">
        <v>0</v>
      </c>
      <c r="AE143" s="63">
        <f t="shared" si="72"/>
        <v>0</v>
      </c>
      <c r="AF143" s="61">
        <v>0</v>
      </c>
      <c r="AG143" s="63">
        <f t="shared" si="73"/>
        <v>0</v>
      </c>
      <c r="AH143" s="61">
        <v>0</v>
      </c>
      <c r="AI143" s="63">
        <f t="shared" si="74"/>
        <v>0</v>
      </c>
      <c r="AJ143" s="61">
        <v>0</v>
      </c>
      <c r="AK143" s="63">
        <f t="shared" si="75"/>
        <v>0</v>
      </c>
      <c r="AL143" s="61">
        <v>0</v>
      </c>
      <c r="AM143" s="63">
        <f t="shared" si="76"/>
        <v>0</v>
      </c>
      <c r="AN143" s="61">
        <v>0</v>
      </c>
      <c r="AO143" s="63">
        <f t="shared" si="77"/>
        <v>0</v>
      </c>
      <c r="AP143" s="61">
        <v>0</v>
      </c>
      <c r="AQ143" s="63">
        <f t="shared" si="78"/>
        <v>0</v>
      </c>
      <c r="AR143" s="61">
        <v>0</v>
      </c>
      <c r="AS143" s="63">
        <f t="shared" si="79"/>
        <v>0</v>
      </c>
      <c r="AT143" s="61">
        <v>0</v>
      </c>
      <c r="AU143" s="63">
        <f t="shared" si="80"/>
        <v>0</v>
      </c>
      <c r="AV143" s="61">
        <v>0</v>
      </c>
      <c r="AW143" s="63">
        <f t="shared" si="81"/>
        <v>0</v>
      </c>
      <c r="AX143" s="61">
        <v>0</v>
      </c>
      <c r="AY143" s="63">
        <f t="shared" si="82"/>
        <v>0</v>
      </c>
      <c r="AZ143" s="61">
        <v>0</v>
      </c>
      <c r="BA143" s="63">
        <f t="shared" si="83"/>
        <v>0</v>
      </c>
      <c r="BB143" s="61">
        <v>0</v>
      </c>
      <c r="BC143" s="63">
        <f t="shared" si="84"/>
        <v>0</v>
      </c>
      <c r="BD143" s="61">
        <v>0</v>
      </c>
      <c r="BE143" s="63">
        <f t="shared" si="85"/>
        <v>0</v>
      </c>
      <c r="BF143" s="61">
        <f t="shared" si="86"/>
        <v>0</v>
      </c>
      <c r="BG143" s="63">
        <f t="shared" si="87"/>
        <v>0</v>
      </c>
      <c r="BH143" s="45"/>
      <c r="BI143" s="144"/>
    </row>
    <row r="144" spans="1:61" ht="35.65" x14ac:dyDescent="0.45">
      <c r="A144" s="140">
        <v>2</v>
      </c>
      <c r="B144" s="141" t="s">
        <v>1472</v>
      </c>
      <c r="C144" s="142" t="s">
        <v>1473</v>
      </c>
      <c r="D144" s="143" t="str">
        <f t="shared" si="66"/>
        <v>2.2_5.8.22</v>
      </c>
      <c r="E144" s="56" t="s">
        <v>1119</v>
      </c>
      <c r="F144" s="506" t="s">
        <v>1820</v>
      </c>
      <c r="G144" s="507" t="s">
        <v>1795</v>
      </c>
      <c r="H144" s="507" t="s">
        <v>1795</v>
      </c>
      <c r="I144" s="507" t="s">
        <v>1817</v>
      </c>
      <c r="J144" s="507" t="s">
        <v>1818</v>
      </c>
      <c r="K144" s="507">
        <v>250</v>
      </c>
      <c r="L144" s="507" t="s">
        <v>267</v>
      </c>
      <c r="M144" s="507" t="s">
        <v>763</v>
      </c>
      <c r="N144" s="507" t="s">
        <v>1055</v>
      </c>
      <c r="O144" s="57" t="s">
        <v>1120</v>
      </c>
      <c r="P144" s="58" t="s">
        <v>846</v>
      </c>
      <c r="Q144" s="59" t="s">
        <v>1121</v>
      </c>
      <c r="R144" s="60" t="s">
        <v>71</v>
      </c>
      <c r="S144" s="61">
        <v>4</v>
      </c>
      <c r="T144" s="62">
        <f>INDEX('BM MORRO DA CRUZ'!$P$6:$P$402,MATCH($O144,'BM MORRO DA CRUZ'!$K$6:$K$402,0))</f>
        <v>105.3</v>
      </c>
      <c r="U144" s="63">
        <f t="shared" si="67"/>
        <v>421.2</v>
      </c>
      <c r="V144" s="61">
        <f>IFERROR(SUMIFS('01ª MC'!$W$1:$W$1840,'01ª MC'!$C$1:$C$1840,$D144),0)</f>
        <v>0</v>
      </c>
      <c r="W144" s="63">
        <f t="shared" si="68"/>
        <v>0</v>
      </c>
      <c r="X144" s="61">
        <v>0</v>
      </c>
      <c r="Y144" s="63">
        <f t="shared" si="69"/>
        <v>0</v>
      </c>
      <c r="Z144" s="61">
        <v>0</v>
      </c>
      <c r="AA144" s="63">
        <f t="shared" si="70"/>
        <v>0</v>
      </c>
      <c r="AB144" s="61">
        <v>0</v>
      </c>
      <c r="AC144" s="63">
        <f t="shared" si="71"/>
        <v>0</v>
      </c>
      <c r="AD144" s="61">
        <v>0</v>
      </c>
      <c r="AE144" s="63">
        <f t="shared" si="72"/>
        <v>0</v>
      </c>
      <c r="AF144" s="61">
        <v>0</v>
      </c>
      <c r="AG144" s="63">
        <f t="shared" si="73"/>
        <v>0</v>
      </c>
      <c r="AH144" s="61">
        <v>0</v>
      </c>
      <c r="AI144" s="63">
        <f t="shared" si="74"/>
        <v>0</v>
      </c>
      <c r="AJ144" s="61">
        <v>0</v>
      </c>
      <c r="AK144" s="63">
        <f t="shared" si="75"/>
        <v>0</v>
      </c>
      <c r="AL144" s="61">
        <v>0</v>
      </c>
      <c r="AM144" s="63">
        <f t="shared" si="76"/>
        <v>0</v>
      </c>
      <c r="AN144" s="61">
        <v>0</v>
      </c>
      <c r="AO144" s="63">
        <f t="shared" si="77"/>
        <v>0</v>
      </c>
      <c r="AP144" s="61">
        <v>0</v>
      </c>
      <c r="AQ144" s="63">
        <f t="shared" si="78"/>
        <v>0</v>
      </c>
      <c r="AR144" s="61">
        <v>0</v>
      </c>
      <c r="AS144" s="63">
        <f t="shared" si="79"/>
        <v>0</v>
      </c>
      <c r="AT144" s="61">
        <v>0</v>
      </c>
      <c r="AU144" s="63">
        <f t="shared" si="80"/>
        <v>0</v>
      </c>
      <c r="AV144" s="61">
        <v>0</v>
      </c>
      <c r="AW144" s="63">
        <f t="shared" si="81"/>
        <v>0</v>
      </c>
      <c r="AX144" s="61">
        <v>0</v>
      </c>
      <c r="AY144" s="63">
        <f t="shared" si="82"/>
        <v>0</v>
      </c>
      <c r="AZ144" s="61">
        <v>0</v>
      </c>
      <c r="BA144" s="63">
        <f t="shared" si="83"/>
        <v>0</v>
      </c>
      <c r="BB144" s="61">
        <v>0</v>
      </c>
      <c r="BC144" s="63">
        <f t="shared" si="84"/>
        <v>0</v>
      </c>
      <c r="BD144" s="61">
        <v>0</v>
      </c>
      <c r="BE144" s="63">
        <f t="shared" si="85"/>
        <v>0</v>
      </c>
      <c r="BF144" s="61">
        <f t="shared" si="86"/>
        <v>0</v>
      </c>
      <c r="BG144" s="63">
        <f t="shared" si="87"/>
        <v>0</v>
      </c>
      <c r="BH144" s="45"/>
      <c r="BI144" s="144"/>
    </row>
    <row r="145" spans="1:61" ht="35.65" x14ac:dyDescent="0.45">
      <c r="A145" s="140">
        <v>2</v>
      </c>
      <c r="B145" s="141" t="s">
        <v>1472</v>
      </c>
      <c r="C145" s="142" t="s">
        <v>1473</v>
      </c>
      <c r="D145" s="143" t="str">
        <f t="shared" si="66"/>
        <v>2.2_5.8.23</v>
      </c>
      <c r="E145" s="56" t="s">
        <v>1122</v>
      </c>
      <c r="F145" s="506" t="s">
        <v>1820</v>
      </c>
      <c r="G145" s="507" t="s">
        <v>1795</v>
      </c>
      <c r="H145" s="507" t="s">
        <v>1795</v>
      </c>
      <c r="I145" s="507" t="s">
        <v>1817</v>
      </c>
      <c r="J145" s="507" t="s">
        <v>1818</v>
      </c>
      <c r="K145" s="507">
        <v>280</v>
      </c>
      <c r="L145" s="507" t="s">
        <v>267</v>
      </c>
      <c r="M145" s="507" t="s">
        <v>763</v>
      </c>
      <c r="N145" s="507" t="s">
        <v>1055</v>
      </c>
      <c r="O145" s="57" t="s">
        <v>1123</v>
      </c>
      <c r="P145" s="58" t="s">
        <v>846</v>
      </c>
      <c r="Q145" s="59" t="s">
        <v>1124</v>
      </c>
      <c r="R145" s="60" t="s">
        <v>71</v>
      </c>
      <c r="S145" s="61">
        <v>1</v>
      </c>
      <c r="T145" s="62">
        <f>INDEX('BM MORRO DA CRUZ'!$P$6:$P$402,MATCH($O145,'BM MORRO DA CRUZ'!$K$6:$K$402,0))</f>
        <v>117.94</v>
      </c>
      <c r="U145" s="63">
        <f t="shared" si="67"/>
        <v>117.94</v>
      </c>
      <c r="V145" s="61">
        <f>IFERROR(SUMIFS('01ª MC'!$W$1:$W$1840,'01ª MC'!$C$1:$C$1840,$D145),0)</f>
        <v>0</v>
      </c>
      <c r="W145" s="63">
        <f t="shared" si="68"/>
        <v>0</v>
      </c>
      <c r="X145" s="61">
        <v>0</v>
      </c>
      <c r="Y145" s="63">
        <f t="shared" si="69"/>
        <v>0</v>
      </c>
      <c r="Z145" s="61">
        <v>0</v>
      </c>
      <c r="AA145" s="63">
        <f t="shared" si="70"/>
        <v>0</v>
      </c>
      <c r="AB145" s="61">
        <v>0</v>
      </c>
      <c r="AC145" s="63">
        <f t="shared" si="71"/>
        <v>0</v>
      </c>
      <c r="AD145" s="61">
        <v>0</v>
      </c>
      <c r="AE145" s="63">
        <f t="shared" si="72"/>
        <v>0</v>
      </c>
      <c r="AF145" s="61">
        <v>0</v>
      </c>
      <c r="AG145" s="63">
        <f t="shared" si="73"/>
        <v>0</v>
      </c>
      <c r="AH145" s="61">
        <v>0</v>
      </c>
      <c r="AI145" s="63">
        <f t="shared" si="74"/>
        <v>0</v>
      </c>
      <c r="AJ145" s="61">
        <v>0</v>
      </c>
      <c r="AK145" s="63">
        <f t="shared" si="75"/>
        <v>0</v>
      </c>
      <c r="AL145" s="61">
        <v>0</v>
      </c>
      <c r="AM145" s="63">
        <f t="shared" si="76"/>
        <v>0</v>
      </c>
      <c r="AN145" s="61">
        <v>0</v>
      </c>
      <c r="AO145" s="63">
        <f t="shared" si="77"/>
        <v>0</v>
      </c>
      <c r="AP145" s="61">
        <v>0</v>
      </c>
      <c r="AQ145" s="63">
        <f t="shared" si="78"/>
        <v>0</v>
      </c>
      <c r="AR145" s="61">
        <v>0</v>
      </c>
      <c r="AS145" s="63">
        <f t="shared" si="79"/>
        <v>0</v>
      </c>
      <c r="AT145" s="61">
        <v>0</v>
      </c>
      <c r="AU145" s="63">
        <f t="shared" si="80"/>
        <v>0</v>
      </c>
      <c r="AV145" s="61">
        <v>0</v>
      </c>
      <c r="AW145" s="63">
        <f t="shared" si="81"/>
        <v>0</v>
      </c>
      <c r="AX145" s="61">
        <v>0</v>
      </c>
      <c r="AY145" s="63">
        <f t="shared" si="82"/>
        <v>0</v>
      </c>
      <c r="AZ145" s="61">
        <v>0</v>
      </c>
      <c r="BA145" s="63">
        <f t="shared" si="83"/>
        <v>0</v>
      </c>
      <c r="BB145" s="61">
        <v>0</v>
      </c>
      <c r="BC145" s="63">
        <f t="shared" si="84"/>
        <v>0</v>
      </c>
      <c r="BD145" s="61">
        <v>0</v>
      </c>
      <c r="BE145" s="63">
        <f t="shared" si="85"/>
        <v>0</v>
      </c>
      <c r="BF145" s="61">
        <f t="shared" si="86"/>
        <v>0</v>
      </c>
      <c r="BG145" s="63">
        <f t="shared" si="87"/>
        <v>0</v>
      </c>
      <c r="BH145" s="45"/>
      <c r="BI145" s="144"/>
    </row>
    <row r="146" spans="1:61" ht="35.65" x14ac:dyDescent="0.45">
      <c r="A146" s="140">
        <v>2</v>
      </c>
      <c r="B146" s="141" t="s">
        <v>1472</v>
      </c>
      <c r="C146" s="142" t="s">
        <v>1473</v>
      </c>
      <c r="D146" s="143" t="str">
        <f t="shared" si="66"/>
        <v>2.2_5.8.24</v>
      </c>
      <c r="E146" s="56" t="s">
        <v>1125</v>
      </c>
      <c r="F146" s="506" t="s">
        <v>1820</v>
      </c>
      <c r="G146" s="507" t="s">
        <v>1795</v>
      </c>
      <c r="H146" s="507" t="s">
        <v>1795</v>
      </c>
      <c r="I146" s="507" t="s">
        <v>1817</v>
      </c>
      <c r="J146" s="507" t="s">
        <v>1818</v>
      </c>
      <c r="K146" s="507">
        <v>315</v>
      </c>
      <c r="L146" s="507" t="s">
        <v>267</v>
      </c>
      <c r="M146" s="507" t="s">
        <v>763</v>
      </c>
      <c r="N146" s="507" t="s">
        <v>1055</v>
      </c>
      <c r="O146" s="57" t="s">
        <v>1126</v>
      </c>
      <c r="P146" s="58" t="s">
        <v>846</v>
      </c>
      <c r="Q146" s="59" t="s">
        <v>1127</v>
      </c>
      <c r="R146" s="60" t="s">
        <v>71</v>
      </c>
      <c r="S146" s="61">
        <v>6</v>
      </c>
      <c r="T146" s="62">
        <f>INDEX('BM MORRO DA CRUZ'!$P$6:$P$402,MATCH($O146,'BM MORRO DA CRUZ'!$K$6:$K$402,0))</f>
        <v>132.68</v>
      </c>
      <c r="U146" s="63">
        <f t="shared" si="67"/>
        <v>796.08</v>
      </c>
      <c r="V146" s="61">
        <f>IFERROR(SUMIFS('01ª MC'!$W$1:$W$1840,'01ª MC'!$C$1:$C$1840,$D146),0)</f>
        <v>0</v>
      </c>
      <c r="W146" s="63">
        <f t="shared" si="68"/>
        <v>0</v>
      </c>
      <c r="X146" s="61">
        <v>0</v>
      </c>
      <c r="Y146" s="63">
        <f t="shared" si="69"/>
        <v>0</v>
      </c>
      <c r="Z146" s="61">
        <v>0</v>
      </c>
      <c r="AA146" s="63">
        <f t="shared" si="70"/>
        <v>0</v>
      </c>
      <c r="AB146" s="61">
        <v>0</v>
      </c>
      <c r="AC146" s="63">
        <f t="shared" si="71"/>
        <v>0</v>
      </c>
      <c r="AD146" s="61">
        <v>0</v>
      </c>
      <c r="AE146" s="63">
        <f t="shared" si="72"/>
        <v>0</v>
      </c>
      <c r="AF146" s="61">
        <v>0</v>
      </c>
      <c r="AG146" s="63">
        <f t="shared" si="73"/>
        <v>0</v>
      </c>
      <c r="AH146" s="61">
        <v>0</v>
      </c>
      <c r="AI146" s="63">
        <f t="shared" si="74"/>
        <v>0</v>
      </c>
      <c r="AJ146" s="61">
        <v>0</v>
      </c>
      <c r="AK146" s="63">
        <f t="shared" si="75"/>
        <v>0</v>
      </c>
      <c r="AL146" s="61">
        <v>0</v>
      </c>
      <c r="AM146" s="63">
        <f t="shared" si="76"/>
        <v>0</v>
      </c>
      <c r="AN146" s="61">
        <v>0</v>
      </c>
      <c r="AO146" s="63">
        <f t="shared" si="77"/>
        <v>0</v>
      </c>
      <c r="AP146" s="61">
        <v>0</v>
      </c>
      <c r="AQ146" s="63">
        <f t="shared" si="78"/>
        <v>0</v>
      </c>
      <c r="AR146" s="61">
        <v>0</v>
      </c>
      <c r="AS146" s="63">
        <f t="shared" si="79"/>
        <v>0</v>
      </c>
      <c r="AT146" s="61">
        <v>0</v>
      </c>
      <c r="AU146" s="63">
        <f t="shared" si="80"/>
        <v>0</v>
      </c>
      <c r="AV146" s="61">
        <v>0</v>
      </c>
      <c r="AW146" s="63">
        <f t="shared" si="81"/>
        <v>0</v>
      </c>
      <c r="AX146" s="61">
        <v>0</v>
      </c>
      <c r="AY146" s="63">
        <f t="shared" si="82"/>
        <v>0</v>
      </c>
      <c r="AZ146" s="61">
        <v>0</v>
      </c>
      <c r="BA146" s="63">
        <f t="shared" si="83"/>
        <v>0</v>
      </c>
      <c r="BB146" s="61">
        <v>0</v>
      </c>
      <c r="BC146" s="63">
        <f t="shared" si="84"/>
        <v>0</v>
      </c>
      <c r="BD146" s="61">
        <v>0</v>
      </c>
      <c r="BE146" s="63">
        <f t="shared" si="85"/>
        <v>0</v>
      </c>
      <c r="BF146" s="61">
        <f t="shared" si="86"/>
        <v>0</v>
      </c>
      <c r="BG146" s="63">
        <f t="shared" si="87"/>
        <v>0</v>
      </c>
      <c r="BH146" s="45"/>
      <c r="BI146" s="144"/>
    </row>
    <row r="147" spans="1:61" ht="35.65" x14ac:dyDescent="0.45">
      <c r="A147" s="140">
        <v>2</v>
      </c>
      <c r="B147" s="141" t="s">
        <v>1472</v>
      </c>
      <c r="C147" s="142" t="s">
        <v>1473</v>
      </c>
      <c r="D147" s="143" t="str">
        <f t="shared" si="66"/>
        <v>2.2_5.8.25</v>
      </c>
      <c r="E147" s="56" t="s">
        <v>1128</v>
      </c>
      <c r="F147" s="506" t="s">
        <v>1820</v>
      </c>
      <c r="G147" s="507" t="s">
        <v>1795</v>
      </c>
      <c r="H147" s="507" t="s">
        <v>1795</v>
      </c>
      <c r="I147" s="507" t="s">
        <v>1817</v>
      </c>
      <c r="J147" s="507" t="s">
        <v>1818</v>
      </c>
      <c r="K147" s="507">
        <v>355</v>
      </c>
      <c r="L147" s="507" t="s">
        <v>267</v>
      </c>
      <c r="M147" s="507" t="s">
        <v>763</v>
      </c>
      <c r="N147" s="507" t="s">
        <v>1055</v>
      </c>
      <c r="O147" s="57" t="s">
        <v>1129</v>
      </c>
      <c r="P147" s="58" t="s">
        <v>846</v>
      </c>
      <c r="Q147" s="59" t="s">
        <v>1130</v>
      </c>
      <c r="R147" s="60" t="s">
        <v>71</v>
      </c>
      <c r="S147" s="61">
        <v>2</v>
      </c>
      <c r="T147" s="62">
        <f>INDEX('BM MORRO DA CRUZ'!$P$6:$P$402,MATCH($O147,'BM MORRO DA CRUZ'!$K$6:$K$402,0))</f>
        <v>149.53</v>
      </c>
      <c r="U147" s="63">
        <f t="shared" si="67"/>
        <v>299.06</v>
      </c>
      <c r="V147" s="61">
        <f>IFERROR(SUMIFS('01ª MC'!$W$1:$W$1840,'01ª MC'!$C$1:$C$1840,$D147),0)</f>
        <v>0</v>
      </c>
      <c r="W147" s="63">
        <f t="shared" si="68"/>
        <v>0</v>
      </c>
      <c r="X147" s="61">
        <v>0</v>
      </c>
      <c r="Y147" s="63">
        <f t="shared" si="69"/>
        <v>0</v>
      </c>
      <c r="Z147" s="61">
        <v>0</v>
      </c>
      <c r="AA147" s="63">
        <f t="shared" si="70"/>
        <v>0</v>
      </c>
      <c r="AB147" s="61">
        <v>0</v>
      </c>
      <c r="AC147" s="63">
        <f t="shared" si="71"/>
        <v>0</v>
      </c>
      <c r="AD147" s="61">
        <v>0</v>
      </c>
      <c r="AE147" s="63">
        <f t="shared" si="72"/>
        <v>0</v>
      </c>
      <c r="AF147" s="61">
        <v>0</v>
      </c>
      <c r="AG147" s="63">
        <f t="shared" si="73"/>
        <v>0</v>
      </c>
      <c r="AH147" s="61">
        <v>0</v>
      </c>
      <c r="AI147" s="63">
        <f t="shared" si="74"/>
        <v>0</v>
      </c>
      <c r="AJ147" s="61">
        <v>0</v>
      </c>
      <c r="AK147" s="63">
        <f t="shared" si="75"/>
        <v>0</v>
      </c>
      <c r="AL147" s="61">
        <v>0</v>
      </c>
      <c r="AM147" s="63">
        <f t="shared" si="76"/>
        <v>0</v>
      </c>
      <c r="AN147" s="61">
        <v>0</v>
      </c>
      <c r="AO147" s="63">
        <f t="shared" si="77"/>
        <v>0</v>
      </c>
      <c r="AP147" s="61">
        <v>0</v>
      </c>
      <c r="AQ147" s="63">
        <f t="shared" si="78"/>
        <v>0</v>
      </c>
      <c r="AR147" s="61">
        <v>0</v>
      </c>
      <c r="AS147" s="63">
        <f t="shared" si="79"/>
        <v>0</v>
      </c>
      <c r="AT147" s="61">
        <v>0</v>
      </c>
      <c r="AU147" s="63">
        <f t="shared" si="80"/>
        <v>0</v>
      </c>
      <c r="AV147" s="61">
        <v>0</v>
      </c>
      <c r="AW147" s="63">
        <f t="shared" si="81"/>
        <v>0</v>
      </c>
      <c r="AX147" s="61">
        <v>0</v>
      </c>
      <c r="AY147" s="63">
        <f t="shared" si="82"/>
        <v>0</v>
      </c>
      <c r="AZ147" s="61">
        <v>0</v>
      </c>
      <c r="BA147" s="63">
        <f t="shared" si="83"/>
        <v>0</v>
      </c>
      <c r="BB147" s="61">
        <v>0</v>
      </c>
      <c r="BC147" s="63">
        <f t="shared" si="84"/>
        <v>0</v>
      </c>
      <c r="BD147" s="61">
        <v>0</v>
      </c>
      <c r="BE147" s="63">
        <f t="shared" si="85"/>
        <v>0</v>
      </c>
      <c r="BF147" s="61">
        <f t="shared" si="86"/>
        <v>0</v>
      </c>
      <c r="BG147" s="63">
        <f t="shared" si="87"/>
        <v>0</v>
      </c>
      <c r="BH147" s="45"/>
      <c r="BI147" s="144"/>
    </row>
    <row r="148" spans="1:61" ht="35.65" x14ac:dyDescent="0.45">
      <c r="A148" s="140">
        <v>2</v>
      </c>
      <c r="B148" s="141" t="s">
        <v>1472</v>
      </c>
      <c r="C148" s="142" t="s">
        <v>1473</v>
      </c>
      <c r="D148" s="143" t="str">
        <f t="shared" si="66"/>
        <v>2.2_5.8.26</v>
      </c>
      <c r="E148" s="56" t="s">
        <v>1131</v>
      </c>
      <c r="F148" s="506" t="s">
        <v>1820</v>
      </c>
      <c r="G148" s="507" t="s">
        <v>1795</v>
      </c>
      <c r="H148" s="507" t="s">
        <v>1795</v>
      </c>
      <c r="I148" s="507" t="s">
        <v>1817</v>
      </c>
      <c r="J148" s="507" t="s">
        <v>1818</v>
      </c>
      <c r="K148" s="507">
        <v>63</v>
      </c>
      <c r="L148" s="507" t="s">
        <v>267</v>
      </c>
      <c r="M148" s="507" t="s">
        <v>763</v>
      </c>
      <c r="N148" s="507" t="s">
        <v>1055</v>
      </c>
      <c r="O148" s="57" t="s">
        <v>1132</v>
      </c>
      <c r="P148" s="58" t="s">
        <v>846</v>
      </c>
      <c r="Q148" s="59" t="s">
        <v>1133</v>
      </c>
      <c r="R148" s="60" t="s">
        <v>71</v>
      </c>
      <c r="S148" s="61">
        <v>488</v>
      </c>
      <c r="T148" s="62">
        <f>INDEX('BM MORRO DA CRUZ'!$P$6:$P$402,MATCH($O148,'BM MORRO DA CRUZ'!$K$6:$K$402,0))</f>
        <v>26.52</v>
      </c>
      <c r="U148" s="63">
        <f t="shared" si="67"/>
        <v>12941.76</v>
      </c>
      <c r="V148" s="61">
        <f>IFERROR(SUMIFS('01ª MC'!$W$1:$W$1840,'01ª MC'!$C$1:$C$1840,$D148),0)</f>
        <v>0</v>
      </c>
      <c r="W148" s="63">
        <f t="shared" si="68"/>
        <v>0</v>
      </c>
      <c r="X148" s="61">
        <v>0</v>
      </c>
      <c r="Y148" s="63">
        <f t="shared" si="69"/>
        <v>0</v>
      </c>
      <c r="Z148" s="61">
        <v>0</v>
      </c>
      <c r="AA148" s="63">
        <f t="shared" si="70"/>
        <v>0</v>
      </c>
      <c r="AB148" s="61">
        <v>0</v>
      </c>
      <c r="AC148" s="63">
        <f t="shared" si="71"/>
        <v>0</v>
      </c>
      <c r="AD148" s="61">
        <v>0</v>
      </c>
      <c r="AE148" s="63">
        <f t="shared" si="72"/>
        <v>0</v>
      </c>
      <c r="AF148" s="61">
        <v>0</v>
      </c>
      <c r="AG148" s="63">
        <f t="shared" si="73"/>
        <v>0</v>
      </c>
      <c r="AH148" s="61">
        <v>0</v>
      </c>
      <c r="AI148" s="63">
        <f t="shared" si="74"/>
        <v>0</v>
      </c>
      <c r="AJ148" s="61">
        <v>0</v>
      </c>
      <c r="AK148" s="63">
        <f t="shared" si="75"/>
        <v>0</v>
      </c>
      <c r="AL148" s="61">
        <v>0</v>
      </c>
      <c r="AM148" s="63">
        <f t="shared" si="76"/>
        <v>0</v>
      </c>
      <c r="AN148" s="61">
        <v>0</v>
      </c>
      <c r="AO148" s="63">
        <f t="shared" si="77"/>
        <v>0</v>
      </c>
      <c r="AP148" s="61">
        <v>0</v>
      </c>
      <c r="AQ148" s="63">
        <f t="shared" si="78"/>
        <v>0</v>
      </c>
      <c r="AR148" s="61">
        <v>0</v>
      </c>
      <c r="AS148" s="63">
        <f t="shared" si="79"/>
        <v>0</v>
      </c>
      <c r="AT148" s="61">
        <v>0</v>
      </c>
      <c r="AU148" s="63">
        <f t="shared" si="80"/>
        <v>0</v>
      </c>
      <c r="AV148" s="61">
        <v>0</v>
      </c>
      <c r="AW148" s="63">
        <f t="shared" si="81"/>
        <v>0</v>
      </c>
      <c r="AX148" s="61">
        <v>0</v>
      </c>
      <c r="AY148" s="63">
        <f t="shared" si="82"/>
        <v>0</v>
      </c>
      <c r="AZ148" s="61">
        <v>0</v>
      </c>
      <c r="BA148" s="63">
        <f t="shared" si="83"/>
        <v>0</v>
      </c>
      <c r="BB148" s="61">
        <v>0</v>
      </c>
      <c r="BC148" s="63">
        <f t="shared" si="84"/>
        <v>0</v>
      </c>
      <c r="BD148" s="61">
        <v>0</v>
      </c>
      <c r="BE148" s="63">
        <f t="shared" si="85"/>
        <v>0</v>
      </c>
      <c r="BF148" s="61">
        <f t="shared" si="86"/>
        <v>0</v>
      </c>
      <c r="BG148" s="63">
        <f t="shared" si="87"/>
        <v>0</v>
      </c>
      <c r="BH148" s="45"/>
      <c r="BI148" s="144"/>
    </row>
    <row r="149" spans="1:61" ht="35.65" x14ac:dyDescent="0.45">
      <c r="A149" s="140">
        <v>2</v>
      </c>
      <c r="B149" s="141" t="s">
        <v>1472</v>
      </c>
      <c r="C149" s="142" t="s">
        <v>1473</v>
      </c>
      <c r="D149" s="143" t="str">
        <f t="shared" si="66"/>
        <v>2.2_5.8.27</v>
      </c>
      <c r="E149" s="56" t="s">
        <v>1134</v>
      </c>
      <c r="F149" s="506" t="s">
        <v>1820</v>
      </c>
      <c r="G149" s="507" t="s">
        <v>1795</v>
      </c>
      <c r="H149" s="507" t="s">
        <v>1795</v>
      </c>
      <c r="I149" s="507" t="s">
        <v>1817</v>
      </c>
      <c r="J149" s="507" t="s">
        <v>1818</v>
      </c>
      <c r="K149" s="507">
        <v>90</v>
      </c>
      <c r="L149" s="507" t="s">
        <v>267</v>
      </c>
      <c r="M149" s="507" t="s">
        <v>763</v>
      </c>
      <c r="N149" s="507" t="s">
        <v>1055</v>
      </c>
      <c r="O149" s="57" t="s">
        <v>1135</v>
      </c>
      <c r="P149" s="58" t="s">
        <v>846</v>
      </c>
      <c r="Q149" s="59" t="s">
        <v>1136</v>
      </c>
      <c r="R149" s="60" t="s">
        <v>71</v>
      </c>
      <c r="S149" s="61">
        <v>66</v>
      </c>
      <c r="T149" s="62">
        <f>INDEX('BM MORRO DA CRUZ'!$P$6:$P$402,MATCH($O149,'BM MORRO DA CRUZ'!$K$6:$K$402,0))</f>
        <v>37.9</v>
      </c>
      <c r="U149" s="63">
        <f t="shared" si="67"/>
        <v>2501.4</v>
      </c>
      <c r="V149" s="61">
        <f>IFERROR(SUMIFS('01ª MC'!$W$1:$W$1840,'01ª MC'!$C$1:$C$1840,$D149),0)</f>
        <v>0</v>
      </c>
      <c r="W149" s="63">
        <f t="shared" si="68"/>
        <v>0</v>
      </c>
      <c r="X149" s="61">
        <v>0</v>
      </c>
      <c r="Y149" s="63">
        <f t="shared" si="69"/>
        <v>0</v>
      </c>
      <c r="Z149" s="61">
        <v>0</v>
      </c>
      <c r="AA149" s="63">
        <f t="shared" si="70"/>
        <v>0</v>
      </c>
      <c r="AB149" s="61">
        <v>0</v>
      </c>
      <c r="AC149" s="63">
        <f t="shared" si="71"/>
        <v>0</v>
      </c>
      <c r="AD149" s="61">
        <v>0</v>
      </c>
      <c r="AE149" s="63">
        <f t="shared" si="72"/>
        <v>0</v>
      </c>
      <c r="AF149" s="61">
        <v>0</v>
      </c>
      <c r="AG149" s="63">
        <f t="shared" si="73"/>
        <v>0</v>
      </c>
      <c r="AH149" s="61">
        <v>0</v>
      </c>
      <c r="AI149" s="63">
        <f t="shared" si="74"/>
        <v>0</v>
      </c>
      <c r="AJ149" s="61">
        <v>0</v>
      </c>
      <c r="AK149" s="63">
        <f t="shared" si="75"/>
        <v>0</v>
      </c>
      <c r="AL149" s="61">
        <v>0</v>
      </c>
      <c r="AM149" s="63">
        <f t="shared" si="76"/>
        <v>0</v>
      </c>
      <c r="AN149" s="61">
        <v>0</v>
      </c>
      <c r="AO149" s="63">
        <f t="shared" si="77"/>
        <v>0</v>
      </c>
      <c r="AP149" s="61">
        <v>0</v>
      </c>
      <c r="AQ149" s="63">
        <f t="shared" si="78"/>
        <v>0</v>
      </c>
      <c r="AR149" s="61">
        <v>0</v>
      </c>
      <c r="AS149" s="63">
        <f t="shared" si="79"/>
        <v>0</v>
      </c>
      <c r="AT149" s="61">
        <v>0</v>
      </c>
      <c r="AU149" s="63">
        <f t="shared" si="80"/>
        <v>0</v>
      </c>
      <c r="AV149" s="61">
        <v>0</v>
      </c>
      <c r="AW149" s="63">
        <f t="shared" si="81"/>
        <v>0</v>
      </c>
      <c r="AX149" s="61">
        <v>0</v>
      </c>
      <c r="AY149" s="63">
        <f t="shared" si="82"/>
        <v>0</v>
      </c>
      <c r="AZ149" s="61">
        <v>0</v>
      </c>
      <c r="BA149" s="63">
        <f t="shared" si="83"/>
        <v>0</v>
      </c>
      <c r="BB149" s="61">
        <v>0</v>
      </c>
      <c r="BC149" s="63">
        <f t="shared" si="84"/>
        <v>0</v>
      </c>
      <c r="BD149" s="61">
        <v>0</v>
      </c>
      <c r="BE149" s="63">
        <f t="shared" si="85"/>
        <v>0</v>
      </c>
      <c r="BF149" s="61">
        <f t="shared" si="86"/>
        <v>0</v>
      </c>
      <c r="BG149" s="63">
        <f t="shared" si="87"/>
        <v>0</v>
      </c>
      <c r="BH149" s="45"/>
      <c r="BI149" s="144"/>
    </row>
    <row r="150" spans="1:61" ht="35.65" x14ac:dyDescent="0.45">
      <c r="A150" s="140">
        <v>2</v>
      </c>
      <c r="B150" s="141" t="s">
        <v>1472</v>
      </c>
      <c r="C150" s="142" t="s">
        <v>1473</v>
      </c>
      <c r="D150" s="143" t="str">
        <f t="shared" si="66"/>
        <v>2.2_5.8.35</v>
      </c>
      <c r="E150" s="56" t="s">
        <v>1158</v>
      </c>
      <c r="F150" s="506" t="s">
        <v>1824</v>
      </c>
      <c r="G150" s="507" t="s">
        <v>1795</v>
      </c>
      <c r="H150" s="507" t="s">
        <v>1795</v>
      </c>
      <c r="I150" s="507" t="s">
        <v>1823</v>
      </c>
      <c r="J150" s="507" t="s">
        <v>1818</v>
      </c>
      <c r="K150" s="507">
        <v>280</v>
      </c>
      <c r="L150" s="507" t="s">
        <v>267</v>
      </c>
      <c r="M150" s="507" t="s">
        <v>763</v>
      </c>
      <c r="N150" s="507" t="s">
        <v>1055</v>
      </c>
      <c r="O150" s="57" t="s">
        <v>1159</v>
      </c>
      <c r="P150" s="58" t="s">
        <v>846</v>
      </c>
      <c r="Q150" s="59" t="s">
        <v>1160</v>
      </c>
      <c r="R150" s="60" t="s">
        <v>367</v>
      </c>
      <c r="S150" s="61">
        <v>463.85</v>
      </c>
      <c r="T150" s="62">
        <f>INDEX('BM MORRO DA CRUZ'!$P$6:$P$402,MATCH($O150,'BM MORRO DA CRUZ'!$K$6:$K$402,0))</f>
        <v>3.88</v>
      </c>
      <c r="U150" s="63">
        <f t="shared" si="67"/>
        <v>1799.74</v>
      </c>
      <c r="V150" s="61">
        <f>IFERROR(SUMIFS('01ª MC'!$W$1:$W$1840,'01ª MC'!$C$1:$C$1840,$D150),0)</f>
        <v>0</v>
      </c>
      <c r="W150" s="63">
        <f t="shared" si="68"/>
        <v>0</v>
      </c>
      <c r="X150" s="61">
        <v>0</v>
      </c>
      <c r="Y150" s="63">
        <f t="shared" si="69"/>
        <v>0</v>
      </c>
      <c r="Z150" s="61">
        <v>0</v>
      </c>
      <c r="AA150" s="63">
        <f t="shared" si="70"/>
        <v>0</v>
      </c>
      <c r="AB150" s="61">
        <v>0</v>
      </c>
      <c r="AC150" s="63">
        <f t="shared" si="71"/>
        <v>0</v>
      </c>
      <c r="AD150" s="61">
        <v>0</v>
      </c>
      <c r="AE150" s="63">
        <f t="shared" si="72"/>
        <v>0</v>
      </c>
      <c r="AF150" s="61">
        <v>0</v>
      </c>
      <c r="AG150" s="63">
        <f t="shared" si="73"/>
        <v>0</v>
      </c>
      <c r="AH150" s="61">
        <v>0</v>
      </c>
      <c r="AI150" s="63">
        <f t="shared" si="74"/>
        <v>0</v>
      </c>
      <c r="AJ150" s="61">
        <v>0</v>
      </c>
      <c r="AK150" s="63">
        <f t="shared" si="75"/>
        <v>0</v>
      </c>
      <c r="AL150" s="61">
        <v>0</v>
      </c>
      <c r="AM150" s="63">
        <f t="shared" si="76"/>
        <v>0</v>
      </c>
      <c r="AN150" s="61">
        <v>0</v>
      </c>
      <c r="AO150" s="63">
        <f t="shared" si="77"/>
        <v>0</v>
      </c>
      <c r="AP150" s="61">
        <v>0</v>
      </c>
      <c r="AQ150" s="63">
        <f t="shared" si="78"/>
        <v>0</v>
      </c>
      <c r="AR150" s="61">
        <v>0</v>
      </c>
      <c r="AS150" s="63">
        <f t="shared" si="79"/>
        <v>0</v>
      </c>
      <c r="AT150" s="61">
        <v>0</v>
      </c>
      <c r="AU150" s="63">
        <f t="shared" si="80"/>
        <v>0</v>
      </c>
      <c r="AV150" s="61">
        <v>0</v>
      </c>
      <c r="AW150" s="63">
        <f t="shared" si="81"/>
        <v>0</v>
      </c>
      <c r="AX150" s="61">
        <v>0</v>
      </c>
      <c r="AY150" s="63">
        <f t="shared" si="82"/>
        <v>0</v>
      </c>
      <c r="AZ150" s="61">
        <v>0</v>
      </c>
      <c r="BA150" s="63">
        <f t="shared" si="83"/>
        <v>0</v>
      </c>
      <c r="BB150" s="61">
        <v>0</v>
      </c>
      <c r="BC150" s="63">
        <f t="shared" si="84"/>
        <v>0</v>
      </c>
      <c r="BD150" s="61">
        <v>0</v>
      </c>
      <c r="BE150" s="63">
        <f t="shared" si="85"/>
        <v>0</v>
      </c>
      <c r="BF150" s="61">
        <f t="shared" si="86"/>
        <v>0</v>
      </c>
      <c r="BG150" s="63">
        <f t="shared" si="87"/>
        <v>0</v>
      </c>
      <c r="BH150" s="45"/>
      <c r="BI150" s="144"/>
    </row>
    <row r="151" spans="1:61" ht="35.65" x14ac:dyDescent="0.45">
      <c r="A151" s="140">
        <v>2</v>
      </c>
      <c r="B151" s="141" t="s">
        <v>1472</v>
      </c>
      <c r="C151" s="142" t="s">
        <v>1473</v>
      </c>
      <c r="D151" s="143" t="str">
        <f t="shared" si="66"/>
        <v>2.2_5.8.36</v>
      </c>
      <c r="E151" s="56" t="s">
        <v>1161</v>
      </c>
      <c r="F151" s="506" t="s">
        <v>1824</v>
      </c>
      <c r="G151" s="507" t="s">
        <v>1795</v>
      </c>
      <c r="H151" s="507" t="s">
        <v>1795</v>
      </c>
      <c r="I151" s="507" t="s">
        <v>1823</v>
      </c>
      <c r="J151" s="507" t="s">
        <v>1818</v>
      </c>
      <c r="K151" s="507">
        <v>110</v>
      </c>
      <c r="L151" s="507" t="s">
        <v>267</v>
      </c>
      <c r="M151" s="507" t="s">
        <v>763</v>
      </c>
      <c r="N151" s="507" t="s">
        <v>1055</v>
      </c>
      <c r="O151" s="57" t="s">
        <v>1162</v>
      </c>
      <c r="P151" s="58" t="s">
        <v>846</v>
      </c>
      <c r="Q151" s="59" t="s">
        <v>1163</v>
      </c>
      <c r="R151" s="60" t="s">
        <v>367</v>
      </c>
      <c r="S151" s="61">
        <v>8672.68</v>
      </c>
      <c r="T151" s="62">
        <f>INDEX('BM MORRO DA CRUZ'!$P$6:$P$402,MATCH($O151,'BM MORRO DA CRUZ'!$K$6:$K$402,0))</f>
        <v>1.35</v>
      </c>
      <c r="U151" s="63">
        <f t="shared" si="67"/>
        <v>11708.12</v>
      </c>
      <c r="V151" s="61">
        <f>IFERROR(SUMIFS('01ª MC'!$W$1:$W$1840,'01ª MC'!$C$1:$C$1840,$D151),0)</f>
        <v>0</v>
      </c>
      <c r="W151" s="63">
        <f t="shared" si="68"/>
        <v>0</v>
      </c>
      <c r="X151" s="61">
        <v>0</v>
      </c>
      <c r="Y151" s="63">
        <f t="shared" si="69"/>
        <v>0</v>
      </c>
      <c r="Z151" s="61">
        <v>0</v>
      </c>
      <c r="AA151" s="63">
        <f t="shared" si="70"/>
        <v>0</v>
      </c>
      <c r="AB151" s="61">
        <v>0</v>
      </c>
      <c r="AC151" s="63">
        <f t="shared" si="71"/>
        <v>0</v>
      </c>
      <c r="AD151" s="61">
        <v>0</v>
      </c>
      <c r="AE151" s="63">
        <f t="shared" si="72"/>
        <v>0</v>
      </c>
      <c r="AF151" s="61">
        <v>0</v>
      </c>
      <c r="AG151" s="63">
        <f t="shared" si="73"/>
        <v>0</v>
      </c>
      <c r="AH151" s="61">
        <v>0</v>
      </c>
      <c r="AI151" s="63">
        <f t="shared" si="74"/>
        <v>0</v>
      </c>
      <c r="AJ151" s="61">
        <v>0</v>
      </c>
      <c r="AK151" s="63">
        <f t="shared" si="75"/>
        <v>0</v>
      </c>
      <c r="AL151" s="61">
        <v>0</v>
      </c>
      <c r="AM151" s="63">
        <f t="shared" si="76"/>
        <v>0</v>
      </c>
      <c r="AN151" s="61">
        <v>0</v>
      </c>
      <c r="AO151" s="63">
        <f t="shared" si="77"/>
        <v>0</v>
      </c>
      <c r="AP151" s="61">
        <v>0</v>
      </c>
      <c r="AQ151" s="63">
        <f t="shared" si="78"/>
        <v>0</v>
      </c>
      <c r="AR151" s="61">
        <v>0</v>
      </c>
      <c r="AS151" s="63">
        <f t="shared" si="79"/>
        <v>0</v>
      </c>
      <c r="AT151" s="61">
        <v>0</v>
      </c>
      <c r="AU151" s="63">
        <f t="shared" si="80"/>
        <v>0</v>
      </c>
      <c r="AV151" s="61">
        <v>0</v>
      </c>
      <c r="AW151" s="63">
        <f t="shared" si="81"/>
        <v>0</v>
      </c>
      <c r="AX151" s="61">
        <v>0</v>
      </c>
      <c r="AY151" s="63">
        <f t="shared" si="82"/>
        <v>0</v>
      </c>
      <c r="AZ151" s="61">
        <v>0</v>
      </c>
      <c r="BA151" s="63">
        <f t="shared" si="83"/>
        <v>0</v>
      </c>
      <c r="BB151" s="61">
        <v>0</v>
      </c>
      <c r="BC151" s="63">
        <f t="shared" si="84"/>
        <v>0</v>
      </c>
      <c r="BD151" s="61">
        <v>0</v>
      </c>
      <c r="BE151" s="63">
        <f t="shared" si="85"/>
        <v>0</v>
      </c>
      <c r="BF151" s="61">
        <f t="shared" si="86"/>
        <v>0</v>
      </c>
      <c r="BG151" s="63">
        <f t="shared" si="87"/>
        <v>0</v>
      </c>
      <c r="BH151" s="45"/>
      <c r="BI151" s="144"/>
    </row>
    <row r="152" spans="1:61" ht="35.65" x14ac:dyDescent="0.45">
      <c r="A152" s="140">
        <v>2</v>
      </c>
      <c r="B152" s="141" t="s">
        <v>1472</v>
      </c>
      <c r="C152" s="142" t="s">
        <v>1473</v>
      </c>
      <c r="D152" s="143" t="str">
        <f t="shared" si="66"/>
        <v>2.2_5.8.37</v>
      </c>
      <c r="E152" s="56" t="s">
        <v>1164</v>
      </c>
      <c r="F152" s="506" t="s">
        <v>1824</v>
      </c>
      <c r="G152" s="507" t="s">
        <v>1795</v>
      </c>
      <c r="H152" s="507" t="s">
        <v>1795</v>
      </c>
      <c r="I152" s="507" t="s">
        <v>1823</v>
      </c>
      <c r="J152" s="507" t="s">
        <v>1818</v>
      </c>
      <c r="K152" s="507">
        <v>160</v>
      </c>
      <c r="L152" s="507" t="s">
        <v>267</v>
      </c>
      <c r="M152" s="507" t="s">
        <v>763</v>
      </c>
      <c r="N152" s="507" t="s">
        <v>1055</v>
      </c>
      <c r="O152" s="57" t="s">
        <v>1165</v>
      </c>
      <c r="P152" s="58" t="s">
        <v>846</v>
      </c>
      <c r="Q152" s="59" t="s">
        <v>1166</v>
      </c>
      <c r="R152" s="60" t="s">
        <v>367</v>
      </c>
      <c r="S152" s="61">
        <v>13455.06</v>
      </c>
      <c r="T152" s="62">
        <f>INDEX('BM MORRO DA CRUZ'!$P$6:$P$402,MATCH($O152,'BM MORRO DA CRUZ'!$K$6:$K$402,0))</f>
        <v>1.97</v>
      </c>
      <c r="U152" s="63">
        <f t="shared" si="67"/>
        <v>26506.47</v>
      </c>
      <c r="V152" s="61">
        <f>IFERROR(SUMIFS('01ª MC'!$W$1:$W$1840,'01ª MC'!$C$1:$C$1840,$D152),0)</f>
        <v>0</v>
      </c>
      <c r="W152" s="63">
        <f t="shared" si="68"/>
        <v>0</v>
      </c>
      <c r="X152" s="61">
        <v>0</v>
      </c>
      <c r="Y152" s="63">
        <f t="shared" si="69"/>
        <v>0</v>
      </c>
      <c r="Z152" s="61">
        <v>0</v>
      </c>
      <c r="AA152" s="63">
        <f t="shared" si="70"/>
        <v>0</v>
      </c>
      <c r="AB152" s="61">
        <v>0</v>
      </c>
      <c r="AC152" s="63">
        <f t="shared" si="71"/>
        <v>0</v>
      </c>
      <c r="AD152" s="61">
        <v>0</v>
      </c>
      <c r="AE152" s="63">
        <f t="shared" si="72"/>
        <v>0</v>
      </c>
      <c r="AF152" s="61">
        <v>0</v>
      </c>
      <c r="AG152" s="63">
        <f t="shared" si="73"/>
        <v>0</v>
      </c>
      <c r="AH152" s="61">
        <v>0</v>
      </c>
      <c r="AI152" s="63">
        <f t="shared" si="74"/>
        <v>0</v>
      </c>
      <c r="AJ152" s="61">
        <v>0</v>
      </c>
      <c r="AK152" s="63">
        <f t="shared" si="75"/>
        <v>0</v>
      </c>
      <c r="AL152" s="61">
        <v>0</v>
      </c>
      <c r="AM152" s="63">
        <f t="shared" si="76"/>
        <v>0</v>
      </c>
      <c r="AN152" s="61">
        <v>0</v>
      </c>
      <c r="AO152" s="63">
        <f t="shared" si="77"/>
        <v>0</v>
      </c>
      <c r="AP152" s="61">
        <v>0</v>
      </c>
      <c r="AQ152" s="63">
        <f t="shared" si="78"/>
        <v>0</v>
      </c>
      <c r="AR152" s="61">
        <v>0</v>
      </c>
      <c r="AS152" s="63">
        <f t="shared" si="79"/>
        <v>0</v>
      </c>
      <c r="AT152" s="61">
        <v>0</v>
      </c>
      <c r="AU152" s="63">
        <f t="shared" si="80"/>
        <v>0</v>
      </c>
      <c r="AV152" s="61">
        <v>0</v>
      </c>
      <c r="AW152" s="63">
        <f t="shared" si="81"/>
        <v>0</v>
      </c>
      <c r="AX152" s="61">
        <v>0</v>
      </c>
      <c r="AY152" s="63">
        <f t="shared" si="82"/>
        <v>0</v>
      </c>
      <c r="AZ152" s="61">
        <v>0</v>
      </c>
      <c r="BA152" s="63">
        <f t="shared" si="83"/>
        <v>0</v>
      </c>
      <c r="BB152" s="61">
        <v>0</v>
      </c>
      <c r="BC152" s="63">
        <f t="shared" si="84"/>
        <v>0</v>
      </c>
      <c r="BD152" s="61">
        <v>0</v>
      </c>
      <c r="BE152" s="63">
        <f t="shared" si="85"/>
        <v>0</v>
      </c>
      <c r="BF152" s="61">
        <f t="shared" si="86"/>
        <v>0</v>
      </c>
      <c r="BG152" s="63">
        <f t="shared" si="87"/>
        <v>0</v>
      </c>
      <c r="BH152" s="45"/>
      <c r="BI152" s="144"/>
    </row>
    <row r="153" spans="1:61" ht="35.65" x14ac:dyDescent="0.45">
      <c r="A153" s="140">
        <v>2</v>
      </c>
      <c r="B153" s="141" t="s">
        <v>1472</v>
      </c>
      <c r="C153" s="142" t="s">
        <v>1473</v>
      </c>
      <c r="D153" s="143" t="str">
        <f t="shared" si="66"/>
        <v>2.2_5.8.38</v>
      </c>
      <c r="E153" s="56" t="s">
        <v>1167</v>
      </c>
      <c r="F153" s="506" t="s">
        <v>1824</v>
      </c>
      <c r="G153" s="507" t="s">
        <v>1795</v>
      </c>
      <c r="H153" s="507" t="s">
        <v>1795</v>
      </c>
      <c r="I153" s="507" t="s">
        <v>1823</v>
      </c>
      <c r="J153" s="507" t="s">
        <v>1818</v>
      </c>
      <c r="K153" s="507">
        <v>225</v>
      </c>
      <c r="L153" s="507" t="s">
        <v>267</v>
      </c>
      <c r="M153" s="507" t="s">
        <v>763</v>
      </c>
      <c r="N153" s="507" t="s">
        <v>1055</v>
      </c>
      <c r="O153" s="57" t="s">
        <v>1168</v>
      </c>
      <c r="P153" s="58" t="s">
        <v>846</v>
      </c>
      <c r="Q153" s="59" t="s">
        <v>1169</v>
      </c>
      <c r="R153" s="60" t="s">
        <v>367</v>
      </c>
      <c r="S153" s="61">
        <v>4097.26</v>
      </c>
      <c r="T153" s="62">
        <f>INDEX('BM MORRO DA CRUZ'!$P$6:$P$402,MATCH($O153,'BM MORRO DA CRUZ'!$K$6:$K$402,0))</f>
        <v>2.77</v>
      </c>
      <c r="U153" s="63">
        <f t="shared" si="67"/>
        <v>11349.41</v>
      </c>
      <c r="V153" s="61">
        <f>IFERROR(SUMIFS('01ª MC'!$W$1:$W$1840,'01ª MC'!$C$1:$C$1840,$D153),0)</f>
        <v>0</v>
      </c>
      <c r="W153" s="63">
        <f t="shared" si="68"/>
        <v>0</v>
      </c>
      <c r="X153" s="61">
        <v>0</v>
      </c>
      <c r="Y153" s="63">
        <f t="shared" si="69"/>
        <v>0</v>
      </c>
      <c r="Z153" s="61">
        <v>0</v>
      </c>
      <c r="AA153" s="63">
        <f t="shared" si="70"/>
        <v>0</v>
      </c>
      <c r="AB153" s="61">
        <v>0</v>
      </c>
      <c r="AC153" s="63">
        <f t="shared" si="71"/>
        <v>0</v>
      </c>
      <c r="AD153" s="61">
        <v>0</v>
      </c>
      <c r="AE153" s="63">
        <f t="shared" si="72"/>
        <v>0</v>
      </c>
      <c r="AF153" s="61">
        <v>0</v>
      </c>
      <c r="AG153" s="63">
        <f t="shared" si="73"/>
        <v>0</v>
      </c>
      <c r="AH153" s="61">
        <v>0</v>
      </c>
      <c r="AI153" s="63">
        <f t="shared" si="74"/>
        <v>0</v>
      </c>
      <c r="AJ153" s="61">
        <v>0</v>
      </c>
      <c r="AK153" s="63">
        <f t="shared" si="75"/>
        <v>0</v>
      </c>
      <c r="AL153" s="61">
        <v>0</v>
      </c>
      <c r="AM153" s="63">
        <f t="shared" si="76"/>
        <v>0</v>
      </c>
      <c r="AN153" s="61">
        <v>0</v>
      </c>
      <c r="AO153" s="63">
        <f t="shared" si="77"/>
        <v>0</v>
      </c>
      <c r="AP153" s="61">
        <v>0</v>
      </c>
      <c r="AQ153" s="63">
        <f t="shared" si="78"/>
        <v>0</v>
      </c>
      <c r="AR153" s="61">
        <v>0</v>
      </c>
      <c r="AS153" s="63">
        <f t="shared" si="79"/>
        <v>0</v>
      </c>
      <c r="AT153" s="61">
        <v>0</v>
      </c>
      <c r="AU153" s="63">
        <f t="shared" si="80"/>
        <v>0</v>
      </c>
      <c r="AV153" s="61">
        <v>0</v>
      </c>
      <c r="AW153" s="63">
        <f t="shared" si="81"/>
        <v>0</v>
      </c>
      <c r="AX153" s="61">
        <v>0</v>
      </c>
      <c r="AY153" s="63">
        <f t="shared" si="82"/>
        <v>0</v>
      </c>
      <c r="AZ153" s="61">
        <v>0</v>
      </c>
      <c r="BA153" s="63">
        <f t="shared" si="83"/>
        <v>0</v>
      </c>
      <c r="BB153" s="61">
        <v>0</v>
      </c>
      <c r="BC153" s="63">
        <f t="shared" si="84"/>
        <v>0</v>
      </c>
      <c r="BD153" s="61">
        <v>0</v>
      </c>
      <c r="BE153" s="63">
        <f t="shared" si="85"/>
        <v>0</v>
      </c>
      <c r="BF153" s="61">
        <f t="shared" si="86"/>
        <v>0</v>
      </c>
      <c r="BG153" s="63">
        <f t="shared" si="87"/>
        <v>0</v>
      </c>
      <c r="BH153" s="45"/>
      <c r="BI153" s="144"/>
    </row>
    <row r="154" spans="1:61" ht="35.65" x14ac:dyDescent="0.45">
      <c r="A154" s="140">
        <v>2</v>
      </c>
      <c r="B154" s="141" t="s">
        <v>1472</v>
      </c>
      <c r="C154" s="142" t="s">
        <v>1473</v>
      </c>
      <c r="D154" s="143" t="str">
        <f t="shared" si="66"/>
        <v>2.2_5.8.39</v>
      </c>
      <c r="E154" s="56" t="s">
        <v>1170</v>
      </c>
      <c r="F154" s="506" t="s">
        <v>1824</v>
      </c>
      <c r="G154" s="507" t="s">
        <v>1795</v>
      </c>
      <c r="H154" s="507" t="s">
        <v>1795</v>
      </c>
      <c r="I154" s="507" t="s">
        <v>1823</v>
      </c>
      <c r="J154" s="507" t="s">
        <v>1818</v>
      </c>
      <c r="K154" s="507">
        <v>250</v>
      </c>
      <c r="L154" s="507" t="s">
        <v>267</v>
      </c>
      <c r="M154" s="507" t="s">
        <v>763</v>
      </c>
      <c r="N154" s="507" t="s">
        <v>1055</v>
      </c>
      <c r="O154" s="57" t="s">
        <v>1171</v>
      </c>
      <c r="P154" s="58" t="s">
        <v>846</v>
      </c>
      <c r="Q154" s="59" t="s">
        <v>1172</v>
      </c>
      <c r="R154" s="60" t="s">
        <v>367</v>
      </c>
      <c r="S154" s="61">
        <v>1001.09</v>
      </c>
      <c r="T154" s="62">
        <f>INDEX('BM MORRO DA CRUZ'!$P$6:$P$402,MATCH($O154,'BM MORRO DA CRUZ'!$K$6:$K$402,0))</f>
        <v>3.08</v>
      </c>
      <c r="U154" s="63">
        <f t="shared" si="67"/>
        <v>3083.36</v>
      </c>
      <c r="V154" s="61">
        <f>IFERROR(SUMIFS('01ª MC'!$W$1:$W$1840,'01ª MC'!$C$1:$C$1840,$D154),0)</f>
        <v>0</v>
      </c>
      <c r="W154" s="63">
        <f t="shared" si="68"/>
        <v>0</v>
      </c>
      <c r="X154" s="61">
        <v>0</v>
      </c>
      <c r="Y154" s="63">
        <f t="shared" si="69"/>
        <v>0</v>
      </c>
      <c r="Z154" s="61">
        <v>0</v>
      </c>
      <c r="AA154" s="63">
        <f t="shared" si="70"/>
        <v>0</v>
      </c>
      <c r="AB154" s="61">
        <v>0</v>
      </c>
      <c r="AC154" s="63">
        <f t="shared" si="71"/>
        <v>0</v>
      </c>
      <c r="AD154" s="61">
        <v>0</v>
      </c>
      <c r="AE154" s="63">
        <f t="shared" si="72"/>
        <v>0</v>
      </c>
      <c r="AF154" s="61">
        <v>0</v>
      </c>
      <c r="AG154" s="63">
        <f t="shared" si="73"/>
        <v>0</v>
      </c>
      <c r="AH154" s="61">
        <v>0</v>
      </c>
      <c r="AI154" s="63">
        <f t="shared" si="74"/>
        <v>0</v>
      </c>
      <c r="AJ154" s="61">
        <v>0</v>
      </c>
      <c r="AK154" s="63">
        <f t="shared" si="75"/>
        <v>0</v>
      </c>
      <c r="AL154" s="61">
        <v>0</v>
      </c>
      <c r="AM154" s="63">
        <f t="shared" si="76"/>
        <v>0</v>
      </c>
      <c r="AN154" s="61">
        <v>0</v>
      </c>
      <c r="AO154" s="63">
        <f t="shared" si="77"/>
        <v>0</v>
      </c>
      <c r="AP154" s="61">
        <v>0</v>
      </c>
      <c r="AQ154" s="63">
        <f t="shared" si="78"/>
        <v>0</v>
      </c>
      <c r="AR154" s="61">
        <v>0</v>
      </c>
      <c r="AS154" s="63">
        <f t="shared" si="79"/>
        <v>0</v>
      </c>
      <c r="AT154" s="61">
        <v>0</v>
      </c>
      <c r="AU154" s="63">
        <f t="shared" si="80"/>
        <v>0</v>
      </c>
      <c r="AV154" s="61">
        <v>0</v>
      </c>
      <c r="AW154" s="63">
        <f t="shared" si="81"/>
        <v>0</v>
      </c>
      <c r="AX154" s="61">
        <v>0</v>
      </c>
      <c r="AY154" s="63">
        <f t="shared" si="82"/>
        <v>0</v>
      </c>
      <c r="AZ154" s="61">
        <v>0</v>
      </c>
      <c r="BA154" s="63">
        <f t="shared" si="83"/>
        <v>0</v>
      </c>
      <c r="BB154" s="61">
        <v>0</v>
      </c>
      <c r="BC154" s="63">
        <f t="shared" si="84"/>
        <v>0</v>
      </c>
      <c r="BD154" s="61">
        <v>0</v>
      </c>
      <c r="BE154" s="63">
        <f t="shared" si="85"/>
        <v>0</v>
      </c>
      <c r="BF154" s="61">
        <f t="shared" si="86"/>
        <v>0</v>
      </c>
      <c r="BG154" s="63">
        <f t="shared" si="87"/>
        <v>0</v>
      </c>
      <c r="BH154" s="45"/>
      <c r="BI154" s="144"/>
    </row>
    <row r="155" spans="1:61" ht="35.65" x14ac:dyDescent="0.45">
      <c r="A155" s="140">
        <v>2</v>
      </c>
      <c r="B155" s="141" t="s">
        <v>1472</v>
      </c>
      <c r="C155" s="142" t="s">
        <v>1473</v>
      </c>
      <c r="D155" s="143" t="str">
        <f t="shared" si="66"/>
        <v>2.2_5.8.40</v>
      </c>
      <c r="E155" s="56" t="s">
        <v>1173</v>
      </c>
      <c r="F155" s="506" t="s">
        <v>1824</v>
      </c>
      <c r="G155" s="507" t="s">
        <v>1795</v>
      </c>
      <c r="H155" s="507" t="s">
        <v>1795</v>
      </c>
      <c r="I155" s="507" t="s">
        <v>1823</v>
      </c>
      <c r="J155" s="507" t="s">
        <v>1818</v>
      </c>
      <c r="K155" s="507">
        <v>315</v>
      </c>
      <c r="L155" s="507" t="s">
        <v>267</v>
      </c>
      <c r="M155" s="507" t="s">
        <v>763</v>
      </c>
      <c r="N155" s="507" t="s">
        <v>1055</v>
      </c>
      <c r="O155" s="57" t="s">
        <v>1174</v>
      </c>
      <c r="P155" s="58" t="s">
        <v>846</v>
      </c>
      <c r="Q155" s="59" t="s">
        <v>1175</v>
      </c>
      <c r="R155" s="60" t="s">
        <v>367</v>
      </c>
      <c r="S155" s="61">
        <v>2450.75</v>
      </c>
      <c r="T155" s="62">
        <f>INDEX('BM MORRO DA CRUZ'!$P$6:$P$402,MATCH($O155,'BM MORRO DA CRUZ'!$K$6:$K$402,0))</f>
        <v>6.24</v>
      </c>
      <c r="U155" s="63">
        <f t="shared" si="67"/>
        <v>15292.68</v>
      </c>
      <c r="V155" s="61">
        <f>IFERROR(SUMIFS('01ª MC'!$W$1:$W$1840,'01ª MC'!$C$1:$C$1840,$D155),0)</f>
        <v>0</v>
      </c>
      <c r="W155" s="63">
        <f t="shared" si="68"/>
        <v>0</v>
      </c>
      <c r="X155" s="61">
        <v>0</v>
      </c>
      <c r="Y155" s="63">
        <f t="shared" si="69"/>
        <v>0</v>
      </c>
      <c r="Z155" s="61">
        <v>0</v>
      </c>
      <c r="AA155" s="63">
        <f t="shared" si="70"/>
        <v>0</v>
      </c>
      <c r="AB155" s="61">
        <v>0</v>
      </c>
      <c r="AC155" s="63">
        <f t="shared" si="71"/>
        <v>0</v>
      </c>
      <c r="AD155" s="61">
        <v>0</v>
      </c>
      <c r="AE155" s="63">
        <f t="shared" si="72"/>
        <v>0</v>
      </c>
      <c r="AF155" s="61">
        <v>0</v>
      </c>
      <c r="AG155" s="63">
        <f t="shared" si="73"/>
        <v>0</v>
      </c>
      <c r="AH155" s="61">
        <v>0</v>
      </c>
      <c r="AI155" s="63">
        <f t="shared" si="74"/>
        <v>0</v>
      </c>
      <c r="AJ155" s="61">
        <v>0</v>
      </c>
      <c r="AK155" s="63">
        <f t="shared" si="75"/>
        <v>0</v>
      </c>
      <c r="AL155" s="61">
        <v>0</v>
      </c>
      <c r="AM155" s="63">
        <f t="shared" si="76"/>
        <v>0</v>
      </c>
      <c r="AN155" s="61">
        <v>0</v>
      </c>
      <c r="AO155" s="63">
        <f t="shared" si="77"/>
        <v>0</v>
      </c>
      <c r="AP155" s="61">
        <v>0</v>
      </c>
      <c r="AQ155" s="63">
        <f t="shared" si="78"/>
        <v>0</v>
      </c>
      <c r="AR155" s="61">
        <v>0</v>
      </c>
      <c r="AS155" s="63">
        <f t="shared" si="79"/>
        <v>0</v>
      </c>
      <c r="AT155" s="61">
        <v>0</v>
      </c>
      <c r="AU155" s="63">
        <f t="shared" si="80"/>
        <v>0</v>
      </c>
      <c r="AV155" s="61">
        <v>0</v>
      </c>
      <c r="AW155" s="63">
        <f t="shared" si="81"/>
        <v>0</v>
      </c>
      <c r="AX155" s="61">
        <v>0</v>
      </c>
      <c r="AY155" s="63">
        <f t="shared" si="82"/>
        <v>0</v>
      </c>
      <c r="AZ155" s="61">
        <v>0</v>
      </c>
      <c r="BA155" s="63">
        <f t="shared" si="83"/>
        <v>0</v>
      </c>
      <c r="BB155" s="61">
        <v>0</v>
      </c>
      <c r="BC155" s="63">
        <f t="shared" si="84"/>
        <v>0</v>
      </c>
      <c r="BD155" s="61">
        <v>0</v>
      </c>
      <c r="BE155" s="63">
        <f t="shared" si="85"/>
        <v>0</v>
      </c>
      <c r="BF155" s="61">
        <f t="shared" si="86"/>
        <v>0</v>
      </c>
      <c r="BG155" s="63">
        <f t="shared" si="87"/>
        <v>0</v>
      </c>
      <c r="BH155" s="45"/>
      <c r="BI155" s="144"/>
    </row>
    <row r="156" spans="1:61" ht="35.65" x14ac:dyDescent="0.45">
      <c r="A156" s="140">
        <v>2</v>
      </c>
      <c r="B156" s="141" t="s">
        <v>1472</v>
      </c>
      <c r="C156" s="142" t="s">
        <v>1473</v>
      </c>
      <c r="D156" s="143" t="str">
        <f t="shared" si="66"/>
        <v>2.2_5.8.41</v>
      </c>
      <c r="E156" s="56" t="s">
        <v>1176</v>
      </c>
      <c r="F156" s="506" t="s">
        <v>1824</v>
      </c>
      <c r="G156" s="507" t="s">
        <v>1795</v>
      </c>
      <c r="H156" s="507" t="s">
        <v>1795</v>
      </c>
      <c r="I156" s="507" t="s">
        <v>1823</v>
      </c>
      <c r="J156" s="507" t="s">
        <v>1818</v>
      </c>
      <c r="K156" s="507">
        <v>355</v>
      </c>
      <c r="L156" s="507" t="s">
        <v>267</v>
      </c>
      <c r="M156" s="507" t="s">
        <v>763</v>
      </c>
      <c r="N156" s="507" t="s">
        <v>1055</v>
      </c>
      <c r="O156" s="57" t="s">
        <v>1177</v>
      </c>
      <c r="P156" s="58" t="s">
        <v>846</v>
      </c>
      <c r="Q156" s="59" t="s">
        <v>1178</v>
      </c>
      <c r="R156" s="60" t="s">
        <v>367</v>
      </c>
      <c r="S156" s="61">
        <v>683.91</v>
      </c>
      <c r="T156" s="62">
        <f>INDEX('BM MORRO DA CRUZ'!$P$6:$P$402,MATCH($O156,'BM MORRO DA CRUZ'!$K$6:$K$402,0))</f>
        <v>8.92</v>
      </c>
      <c r="U156" s="63">
        <f t="shared" si="67"/>
        <v>6100.48</v>
      </c>
      <c r="V156" s="61">
        <f>IFERROR(SUMIFS('01ª MC'!$W$1:$W$1840,'01ª MC'!$C$1:$C$1840,$D156),0)</f>
        <v>0</v>
      </c>
      <c r="W156" s="63">
        <f t="shared" si="68"/>
        <v>0</v>
      </c>
      <c r="X156" s="61">
        <v>0</v>
      </c>
      <c r="Y156" s="63">
        <f t="shared" si="69"/>
        <v>0</v>
      </c>
      <c r="Z156" s="61">
        <v>0</v>
      </c>
      <c r="AA156" s="63">
        <f t="shared" si="70"/>
        <v>0</v>
      </c>
      <c r="AB156" s="61">
        <v>0</v>
      </c>
      <c r="AC156" s="63">
        <f t="shared" si="71"/>
        <v>0</v>
      </c>
      <c r="AD156" s="61">
        <v>0</v>
      </c>
      <c r="AE156" s="63">
        <f t="shared" si="72"/>
        <v>0</v>
      </c>
      <c r="AF156" s="61">
        <v>0</v>
      </c>
      <c r="AG156" s="63">
        <f t="shared" si="73"/>
        <v>0</v>
      </c>
      <c r="AH156" s="61">
        <v>0</v>
      </c>
      <c r="AI156" s="63">
        <f t="shared" si="74"/>
        <v>0</v>
      </c>
      <c r="AJ156" s="61">
        <v>0</v>
      </c>
      <c r="AK156" s="63">
        <f t="shared" si="75"/>
        <v>0</v>
      </c>
      <c r="AL156" s="61">
        <v>0</v>
      </c>
      <c r="AM156" s="63">
        <f t="shared" si="76"/>
        <v>0</v>
      </c>
      <c r="AN156" s="61">
        <v>0</v>
      </c>
      <c r="AO156" s="63">
        <f t="shared" si="77"/>
        <v>0</v>
      </c>
      <c r="AP156" s="61">
        <v>0</v>
      </c>
      <c r="AQ156" s="63">
        <f t="shared" si="78"/>
        <v>0</v>
      </c>
      <c r="AR156" s="61">
        <v>0</v>
      </c>
      <c r="AS156" s="63">
        <f t="shared" si="79"/>
        <v>0</v>
      </c>
      <c r="AT156" s="61">
        <v>0</v>
      </c>
      <c r="AU156" s="63">
        <f t="shared" si="80"/>
        <v>0</v>
      </c>
      <c r="AV156" s="61">
        <v>0</v>
      </c>
      <c r="AW156" s="63">
        <f t="shared" si="81"/>
        <v>0</v>
      </c>
      <c r="AX156" s="61">
        <v>0</v>
      </c>
      <c r="AY156" s="63">
        <f t="shared" si="82"/>
        <v>0</v>
      </c>
      <c r="AZ156" s="61">
        <v>0</v>
      </c>
      <c r="BA156" s="63">
        <f t="shared" si="83"/>
        <v>0</v>
      </c>
      <c r="BB156" s="61">
        <v>0</v>
      </c>
      <c r="BC156" s="63">
        <f t="shared" si="84"/>
        <v>0</v>
      </c>
      <c r="BD156" s="61">
        <v>0</v>
      </c>
      <c r="BE156" s="63">
        <f t="shared" si="85"/>
        <v>0</v>
      </c>
      <c r="BF156" s="61">
        <f t="shared" si="86"/>
        <v>0</v>
      </c>
      <c r="BG156" s="63">
        <f t="shared" si="87"/>
        <v>0</v>
      </c>
      <c r="BH156" s="45"/>
      <c r="BI156" s="144"/>
    </row>
    <row r="157" spans="1:61" ht="35.65" x14ac:dyDescent="0.45">
      <c r="A157" s="140">
        <v>2</v>
      </c>
      <c r="B157" s="141" t="s">
        <v>1472</v>
      </c>
      <c r="C157" s="142" t="s">
        <v>1473</v>
      </c>
      <c r="D157" s="143" t="str">
        <f t="shared" si="66"/>
        <v>2.2_5.8.42</v>
      </c>
      <c r="E157" s="56" t="s">
        <v>1179</v>
      </c>
      <c r="F157" s="506" t="s">
        <v>1824</v>
      </c>
      <c r="G157" s="507" t="s">
        <v>1795</v>
      </c>
      <c r="H157" s="507" t="s">
        <v>1795</v>
      </c>
      <c r="I157" s="507" t="s">
        <v>1823</v>
      </c>
      <c r="J157" s="507" t="s">
        <v>1818</v>
      </c>
      <c r="K157" s="507">
        <v>400</v>
      </c>
      <c r="L157" s="507" t="s">
        <v>267</v>
      </c>
      <c r="M157" s="507" t="s">
        <v>763</v>
      </c>
      <c r="N157" s="507" t="s">
        <v>1055</v>
      </c>
      <c r="O157" s="57" t="s">
        <v>1180</v>
      </c>
      <c r="P157" s="58" t="s">
        <v>846</v>
      </c>
      <c r="Q157" s="59" t="s">
        <v>1181</v>
      </c>
      <c r="R157" s="60" t="s">
        <v>367</v>
      </c>
      <c r="S157" s="61">
        <v>608.92999999999995</v>
      </c>
      <c r="T157" s="62">
        <f>INDEX('BM MORRO DA CRUZ'!$P$6:$P$402,MATCH($O157,'BM MORRO DA CRUZ'!$K$6:$K$402,0))</f>
        <v>11.93</v>
      </c>
      <c r="U157" s="63">
        <f t="shared" si="67"/>
        <v>7264.53</v>
      </c>
      <c r="V157" s="61">
        <f>IFERROR(SUMIFS('01ª MC'!$W$1:$W$1840,'01ª MC'!$C$1:$C$1840,$D157),0)</f>
        <v>0</v>
      </c>
      <c r="W157" s="63">
        <f t="shared" si="68"/>
        <v>0</v>
      </c>
      <c r="X157" s="61">
        <v>0</v>
      </c>
      <c r="Y157" s="63">
        <f t="shared" si="69"/>
        <v>0</v>
      </c>
      <c r="Z157" s="61">
        <v>0</v>
      </c>
      <c r="AA157" s="63">
        <f t="shared" si="70"/>
        <v>0</v>
      </c>
      <c r="AB157" s="61">
        <v>0</v>
      </c>
      <c r="AC157" s="63">
        <f t="shared" si="71"/>
        <v>0</v>
      </c>
      <c r="AD157" s="61">
        <v>0</v>
      </c>
      <c r="AE157" s="63">
        <f t="shared" si="72"/>
        <v>0</v>
      </c>
      <c r="AF157" s="61">
        <v>0</v>
      </c>
      <c r="AG157" s="63">
        <f t="shared" si="73"/>
        <v>0</v>
      </c>
      <c r="AH157" s="61">
        <v>0</v>
      </c>
      <c r="AI157" s="63">
        <f t="shared" si="74"/>
        <v>0</v>
      </c>
      <c r="AJ157" s="61">
        <v>0</v>
      </c>
      <c r="AK157" s="63">
        <f t="shared" si="75"/>
        <v>0</v>
      </c>
      <c r="AL157" s="61">
        <v>0</v>
      </c>
      <c r="AM157" s="63">
        <f t="shared" si="76"/>
        <v>0</v>
      </c>
      <c r="AN157" s="61">
        <v>0</v>
      </c>
      <c r="AO157" s="63">
        <f t="shared" si="77"/>
        <v>0</v>
      </c>
      <c r="AP157" s="61">
        <v>0</v>
      </c>
      <c r="AQ157" s="63">
        <f t="shared" si="78"/>
        <v>0</v>
      </c>
      <c r="AR157" s="61">
        <v>0</v>
      </c>
      <c r="AS157" s="63">
        <f t="shared" si="79"/>
        <v>0</v>
      </c>
      <c r="AT157" s="61">
        <v>0</v>
      </c>
      <c r="AU157" s="63">
        <f t="shared" si="80"/>
        <v>0</v>
      </c>
      <c r="AV157" s="61">
        <v>0</v>
      </c>
      <c r="AW157" s="63">
        <f t="shared" si="81"/>
        <v>0</v>
      </c>
      <c r="AX157" s="61">
        <v>0</v>
      </c>
      <c r="AY157" s="63">
        <f t="shared" si="82"/>
        <v>0</v>
      </c>
      <c r="AZ157" s="61">
        <v>0</v>
      </c>
      <c r="BA157" s="63">
        <f t="shared" si="83"/>
        <v>0</v>
      </c>
      <c r="BB157" s="61">
        <v>0</v>
      </c>
      <c r="BC157" s="63">
        <f t="shared" si="84"/>
        <v>0</v>
      </c>
      <c r="BD157" s="61">
        <v>0</v>
      </c>
      <c r="BE157" s="63">
        <f t="shared" si="85"/>
        <v>0</v>
      </c>
      <c r="BF157" s="61">
        <f t="shared" si="86"/>
        <v>0</v>
      </c>
      <c r="BG157" s="63">
        <f t="shared" si="87"/>
        <v>0</v>
      </c>
      <c r="BH157" s="45"/>
      <c r="BI157" s="144"/>
    </row>
    <row r="158" spans="1:61" ht="35.65" x14ac:dyDescent="0.45">
      <c r="A158" s="140">
        <v>2</v>
      </c>
      <c r="B158" s="141" t="s">
        <v>1472</v>
      </c>
      <c r="C158" s="142" t="s">
        <v>1473</v>
      </c>
      <c r="D158" s="143" t="str">
        <f t="shared" si="66"/>
        <v>2.2_5.8.43</v>
      </c>
      <c r="E158" s="56" t="s">
        <v>1182</v>
      </c>
      <c r="F158" s="506" t="s">
        <v>1824</v>
      </c>
      <c r="G158" s="507" t="s">
        <v>1795</v>
      </c>
      <c r="H158" s="507" t="s">
        <v>1795</v>
      </c>
      <c r="I158" s="507" t="s">
        <v>1823</v>
      </c>
      <c r="J158" s="507" t="s">
        <v>1818</v>
      </c>
      <c r="K158" s="507">
        <v>500</v>
      </c>
      <c r="L158" s="507" t="s">
        <v>267</v>
      </c>
      <c r="M158" s="507" t="s">
        <v>763</v>
      </c>
      <c r="N158" s="507" t="s">
        <v>1055</v>
      </c>
      <c r="O158" s="57" t="s">
        <v>1183</v>
      </c>
      <c r="P158" s="58" t="s">
        <v>846</v>
      </c>
      <c r="Q158" s="59" t="s">
        <v>1184</v>
      </c>
      <c r="R158" s="60" t="s">
        <v>367</v>
      </c>
      <c r="S158" s="61">
        <v>1434.91</v>
      </c>
      <c r="T158" s="62">
        <f>INDEX('BM MORRO DA CRUZ'!$P$6:$P$402,MATCH($O158,'BM MORRO DA CRUZ'!$K$6:$K$402,0))</f>
        <v>18.64</v>
      </c>
      <c r="U158" s="63">
        <f t="shared" si="67"/>
        <v>26746.720000000001</v>
      </c>
      <c r="V158" s="61">
        <f>IFERROR(SUMIFS('01ª MC'!$W$1:$W$1840,'01ª MC'!$C$1:$C$1840,$D158),0)</f>
        <v>0</v>
      </c>
      <c r="W158" s="63">
        <f t="shared" si="68"/>
        <v>0</v>
      </c>
      <c r="X158" s="61">
        <v>0</v>
      </c>
      <c r="Y158" s="63">
        <f t="shared" si="69"/>
        <v>0</v>
      </c>
      <c r="Z158" s="61">
        <v>0</v>
      </c>
      <c r="AA158" s="63">
        <f t="shared" si="70"/>
        <v>0</v>
      </c>
      <c r="AB158" s="61">
        <v>0</v>
      </c>
      <c r="AC158" s="63">
        <f t="shared" si="71"/>
        <v>0</v>
      </c>
      <c r="AD158" s="61">
        <v>0</v>
      </c>
      <c r="AE158" s="63">
        <f t="shared" si="72"/>
        <v>0</v>
      </c>
      <c r="AF158" s="61">
        <v>0</v>
      </c>
      <c r="AG158" s="63">
        <f t="shared" si="73"/>
        <v>0</v>
      </c>
      <c r="AH158" s="61">
        <v>0</v>
      </c>
      <c r="AI158" s="63">
        <f t="shared" si="74"/>
        <v>0</v>
      </c>
      <c r="AJ158" s="61">
        <v>0</v>
      </c>
      <c r="AK158" s="63">
        <f t="shared" si="75"/>
        <v>0</v>
      </c>
      <c r="AL158" s="61">
        <v>0</v>
      </c>
      <c r="AM158" s="63">
        <f t="shared" si="76"/>
        <v>0</v>
      </c>
      <c r="AN158" s="61">
        <v>0</v>
      </c>
      <c r="AO158" s="63">
        <f t="shared" si="77"/>
        <v>0</v>
      </c>
      <c r="AP158" s="61">
        <v>0</v>
      </c>
      <c r="AQ158" s="63">
        <f t="shared" si="78"/>
        <v>0</v>
      </c>
      <c r="AR158" s="61">
        <v>0</v>
      </c>
      <c r="AS158" s="63">
        <f t="shared" si="79"/>
        <v>0</v>
      </c>
      <c r="AT158" s="61">
        <v>0</v>
      </c>
      <c r="AU158" s="63">
        <f t="shared" si="80"/>
        <v>0</v>
      </c>
      <c r="AV158" s="61">
        <v>0</v>
      </c>
      <c r="AW158" s="63">
        <f t="shared" si="81"/>
        <v>0</v>
      </c>
      <c r="AX158" s="61">
        <v>0</v>
      </c>
      <c r="AY158" s="63">
        <f t="shared" si="82"/>
        <v>0</v>
      </c>
      <c r="AZ158" s="61">
        <v>0</v>
      </c>
      <c r="BA158" s="63">
        <f t="shared" si="83"/>
        <v>0</v>
      </c>
      <c r="BB158" s="61">
        <v>0</v>
      </c>
      <c r="BC158" s="63">
        <f t="shared" si="84"/>
        <v>0</v>
      </c>
      <c r="BD158" s="61">
        <v>0</v>
      </c>
      <c r="BE158" s="63">
        <f t="shared" si="85"/>
        <v>0</v>
      </c>
      <c r="BF158" s="61">
        <f t="shared" si="86"/>
        <v>0</v>
      </c>
      <c r="BG158" s="63">
        <f t="shared" si="87"/>
        <v>0</v>
      </c>
      <c r="BH158" s="45"/>
      <c r="BI158" s="144"/>
    </row>
    <row r="159" spans="1:61" ht="35.65" x14ac:dyDescent="0.45">
      <c r="A159" s="140">
        <v>2</v>
      </c>
      <c r="B159" s="141" t="s">
        <v>1472</v>
      </c>
      <c r="C159" s="142" t="s">
        <v>1473</v>
      </c>
      <c r="D159" s="143" t="str">
        <f t="shared" si="66"/>
        <v>2.2_5.8.44</v>
      </c>
      <c r="E159" s="56" t="s">
        <v>1185</v>
      </c>
      <c r="F159" s="506" t="s">
        <v>1824</v>
      </c>
      <c r="G159" s="507" t="s">
        <v>1795</v>
      </c>
      <c r="H159" s="507" t="s">
        <v>1795</v>
      </c>
      <c r="I159" s="507" t="s">
        <v>1823</v>
      </c>
      <c r="J159" s="507" t="s">
        <v>1818</v>
      </c>
      <c r="K159" s="507">
        <v>63</v>
      </c>
      <c r="L159" s="507" t="s">
        <v>267</v>
      </c>
      <c r="M159" s="507" t="s">
        <v>763</v>
      </c>
      <c r="N159" s="507" t="s">
        <v>1055</v>
      </c>
      <c r="O159" s="57" t="s">
        <v>1186</v>
      </c>
      <c r="P159" s="58" t="s">
        <v>846</v>
      </c>
      <c r="Q159" s="59" t="s">
        <v>1187</v>
      </c>
      <c r="R159" s="60" t="s">
        <v>367</v>
      </c>
      <c r="S159" s="61">
        <v>70458.38</v>
      </c>
      <c r="T159" s="62">
        <f>INDEX('BM MORRO DA CRUZ'!$P$6:$P$402,MATCH($O159,'BM MORRO DA CRUZ'!$K$6:$K$402,0))</f>
        <v>0.78</v>
      </c>
      <c r="U159" s="63">
        <f t="shared" si="67"/>
        <v>54957.54</v>
      </c>
      <c r="V159" s="61">
        <f>IFERROR(SUMIFS('01ª MC'!$W$1:$W$1840,'01ª MC'!$C$1:$C$1840,$D159),0)</f>
        <v>0</v>
      </c>
      <c r="W159" s="63">
        <f t="shared" si="68"/>
        <v>0</v>
      </c>
      <c r="X159" s="61">
        <v>0</v>
      </c>
      <c r="Y159" s="63">
        <f t="shared" si="69"/>
        <v>0</v>
      </c>
      <c r="Z159" s="61">
        <v>0</v>
      </c>
      <c r="AA159" s="63">
        <f t="shared" si="70"/>
        <v>0</v>
      </c>
      <c r="AB159" s="61">
        <v>0</v>
      </c>
      <c r="AC159" s="63">
        <f t="shared" si="71"/>
        <v>0</v>
      </c>
      <c r="AD159" s="61">
        <v>0</v>
      </c>
      <c r="AE159" s="63">
        <f t="shared" si="72"/>
        <v>0</v>
      </c>
      <c r="AF159" s="61">
        <v>0</v>
      </c>
      <c r="AG159" s="63">
        <f t="shared" si="73"/>
        <v>0</v>
      </c>
      <c r="AH159" s="61">
        <v>0</v>
      </c>
      <c r="AI159" s="63">
        <f t="shared" si="74"/>
        <v>0</v>
      </c>
      <c r="AJ159" s="61">
        <v>0</v>
      </c>
      <c r="AK159" s="63">
        <f t="shared" si="75"/>
        <v>0</v>
      </c>
      <c r="AL159" s="61">
        <v>0</v>
      </c>
      <c r="AM159" s="63">
        <f t="shared" si="76"/>
        <v>0</v>
      </c>
      <c r="AN159" s="61">
        <v>0</v>
      </c>
      <c r="AO159" s="63">
        <f t="shared" si="77"/>
        <v>0</v>
      </c>
      <c r="AP159" s="61">
        <v>0</v>
      </c>
      <c r="AQ159" s="63">
        <f t="shared" si="78"/>
        <v>0</v>
      </c>
      <c r="AR159" s="61">
        <v>0</v>
      </c>
      <c r="AS159" s="63">
        <f t="shared" si="79"/>
        <v>0</v>
      </c>
      <c r="AT159" s="61">
        <v>0</v>
      </c>
      <c r="AU159" s="63">
        <f t="shared" si="80"/>
        <v>0</v>
      </c>
      <c r="AV159" s="61">
        <v>0</v>
      </c>
      <c r="AW159" s="63">
        <f t="shared" si="81"/>
        <v>0</v>
      </c>
      <c r="AX159" s="61">
        <v>0</v>
      </c>
      <c r="AY159" s="63">
        <f t="shared" si="82"/>
        <v>0</v>
      </c>
      <c r="AZ159" s="61">
        <v>0</v>
      </c>
      <c r="BA159" s="63">
        <f t="shared" si="83"/>
        <v>0</v>
      </c>
      <c r="BB159" s="61">
        <v>0</v>
      </c>
      <c r="BC159" s="63">
        <f t="shared" si="84"/>
        <v>0</v>
      </c>
      <c r="BD159" s="61">
        <v>0</v>
      </c>
      <c r="BE159" s="63">
        <f t="shared" si="85"/>
        <v>0</v>
      </c>
      <c r="BF159" s="61">
        <f t="shared" si="86"/>
        <v>0</v>
      </c>
      <c r="BG159" s="63">
        <f t="shared" si="87"/>
        <v>0</v>
      </c>
      <c r="BH159" s="45"/>
      <c r="BI159" s="144"/>
    </row>
    <row r="160" spans="1:61" ht="35.65" x14ac:dyDescent="0.45">
      <c r="A160" s="140">
        <v>2</v>
      </c>
      <c r="B160" s="141" t="s">
        <v>1472</v>
      </c>
      <c r="C160" s="142" t="s">
        <v>1473</v>
      </c>
      <c r="D160" s="143" t="str">
        <f t="shared" si="66"/>
        <v>2.2_5.8.45</v>
      </c>
      <c r="E160" s="56" t="s">
        <v>1188</v>
      </c>
      <c r="F160" s="506" t="s">
        <v>1824</v>
      </c>
      <c r="G160" s="507" t="s">
        <v>1795</v>
      </c>
      <c r="H160" s="507" t="s">
        <v>1795</v>
      </c>
      <c r="I160" s="507" t="s">
        <v>1823</v>
      </c>
      <c r="J160" s="507" t="s">
        <v>1818</v>
      </c>
      <c r="K160" s="507">
        <v>90</v>
      </c>
      <c r="L160" s="507" t="s">
        <v>267</v>
      </c>
      <c r="M160" s="507" t="s">
        <v>763</v>
      </c>
      <c r="N160" s="507" t="s">
        <v>1055</v>
      </c>
      <c r="O160" s="57" t="s">
        <v>1189</v>
      </c>
      <c r="P160" s="58" t="s">
        <v>846</v>
      </c>
      <c r="Q160" s="59" t="s">
        <v>1190</v>
      </c>
      <c r="R160" s="60" t="s">
        <v>367</v>
      </c>
      <c r="S160" s="61">
        <v>7892.38</v>
      </c>
      <c r="T160" s="62">
        <f>INDEX('BM MORRO DA CRUZ'!$P$6:$P$402,MATCH($O160,'BM MORRO DA CRUZ'!$K$6:$K$402,0))</f>
        <v>1.1100000000000001</v>
      </c>
      <c r="U160" s="63">
        <f t="shared" si="67"/>
        <v>8760.5400000000009</v>
      </c>
      <c r="V160" s="61">
        <f>IFERROR(SUMIFS('01ª MC'!$W$1:$W$1840,'01ª MC'!$C$1:$C$1840,$D160),0)</f>
        <v>0</v>
      </c>
      <c r="W160" s="63">
        <f t="shared" si="68"/>
        <v>0</v>
      </c>
      <c r="X160" s="61">
        <v>0</v>
      </c>
      <c r="Y160" s="63">
        <f t="shared" si="69"/>
        <v>0</v>
      </c>
      <c r="Z160" s="61">
        <v>0</v>
      </c>
      <c r="AA160" s="63">
        <f t="shared" si="70"/>
        <v>0</v>
      </c>
      <c r="AB160" s="61">
        <v>0</v>
      </c>
      <c r="AC160" s="63">
        <f t="shared" si="71"/>
        <v>0</v>
      </c>
      <c r="AD160" s="61">
        <v>0</v>
      </c>
      <c r="AE160" s="63">
        <f t="shared" si="72"/>
        <v>0</v>
      </c>
      <c r="AF160" s="61">
        <v>0</v>
      </c>
      <c r="AG160" s="63">
        <f t="shared" si="73"/>
        <v>0</v>
      </c>
      <c r="AH160" s="61">
        <v>0</v>
      </c>
      <c r="AI160" s="63">
        <f t="shared" si="74"/>
        <v>0</v>
      </c>
      <c r="AJ160" s="61">
        <v>0</v>
      </c>
      <c r="AK160" s="63">
        <f t="shared" si="75"/>
        <v>0</v>
      </c>
      <c r="AL160" s="61">
        <v>0</v>
      </c>
      <c r="AM160" s="63">
        <f t="shared" si="76"/>
        <v>0</v>
      </c>
      <c r="AN160" s="61">
        <v>0</v>
      </c>
      <c r="AO160" s="63">
        <f t="shared" si="77"/>
        <v>0</v>
      </c>
      <c r="AP160" s="61">
        <v>0</v>
      </c>
      <c r="AQ160" s="63">
        <f t="shared" si="78"/>
        <v>0</v>
      </c>
      <c r="AR160" s="61">
        <v>0</v>
      </c>
      <c r="AS160" s="63">
        <f t="shared" si="79"/>
        <v>0</v>
      </c>
      <c r="AT160" s="61">
        <v>0</v>
      </c>
      <c r="AU160" s="63">
        <f t="shared" si="80"/>
        <v>0</v>
      </c>
      <c r="AV160" s="61">
        <v>0</v>
      </c>
      <c r="AW160" s="63">
        <f t="shared" si="81"/>
        <v>0</v>
      </c>
      <c r="AX160" s="61">
        <v>0</v>
      </c>
      <c r="AY160" s="63">
        <f t="shared" si="82"/>
        <v>0</v>
      </c>
      <c r="AZ160" s="61">
        <v>0</v>
      </c>
      <c r="BA160" s="63">
        <f t="shared" si="83"/>
        <v>0</v>
      </c>
      <c r="BB160" s="61">
        <v>0</v>
      </c>
      <c r="BC160" s="63">
        <f t="shared" si="84"/>
        <v>0</v>
      </c>
      <c r="BD160" s="61">
        <v>0</v>
      </c>
      <c r="BE160" s="63">
        <f t="shared" si="85"/>
        <v>0</v>
      </c>
      <c r="BF160" s="61">
        <f t="shared" si="86"/>
        <v>0</v>
      </c>
      <c r="BG160" s="63">
        <f t="shared" si="87"/>
        <v>0</v>
      </c>
      <c r="BH160" s="45"/>
      <c r="BI160" s="144"/>
    </row>
    <row r="161" spans="1:61" ht="35.65" x14ac:dyDescent="0.45">
      <c r="A161" s="140">
        <v>2</v>
      </c>
      <c r="B161" s="141" t="s">
        <v>1472</v>
      </c>
      <c r="C161" s="142" t="s">
        <v>1473</v>
      </c>
      <c r="D161" s="143" t="str">
        <f t="shared" si="66"/>
        <v>2.2_5.8.46</v>
      </c>
      <c r="E161" s="56" t="s">
        <v>1191</v>
      </c>
      <c r="F161" s="506" t="s">
        <v>1827</v>
      </c>
      <c r="G161" s="507" t="s">
        <v>1795</v>
      </c>
      <c r="H161" s="507" t="s">
        <v>1795</v>
      </c>
      <c r="I161" s="507" t="s">
        <v>1828</v>
      </c>
      <c r="J161" s="507" t="s">
        <v>266</v>
      </c>
      <c r="K161" s="507">
        <v>110</v>
      </c>
      <c r="L161" s="507" t="s">
        <v>267</v>
      </c>
      <c r="M161" s="507" t="s">
        <v>763</v>
      </c>
      <c r="N161" s="507" t="s">
        <v>1829</v>
      </c>
      <c r="O161" s="57" t="s">
        <v>1192</v>
      </c>
      <c r="P161" s="58" t="s">
        <v>846</v>
      </c>
      <c r="Q161" s="59" t="s">
        <v>1193</v>
      </c>
      <c r="R161" s="60" t="s">
        <v>71</v>
      </c>
      <c r="S161" s="61">
        <v>1446</v>
      </c>
      <c r="T161" s="62">
        <f>INDEX('BM MORRO DA CRUZ'!$P$6:$P$402,MATCH($O161,'BM MORRO DA CRUZ'!$K$6:$K$402,0))</f>
        <v>15.56</v>
      </c>
      <c r="U161" s="63">
        <f t="shared" si="67"/>
        <v>22499.759999999998</v>
      </c>
      <c r="V161" s="61">
        <f>IFERROR(SUMIFS('01ª MC'!$W$1:$W$1840,'01ª MC'!$C$1:$C$1840,$D161),0)</f>
        <v>0</v>
      </c>
      <c r="W161" s="63">
        <f t="shared" si="68"/>
        <v>0</v>
      </c>
      <c r="X161" s="61">
        <v>0</v>
      </c>
      <c r="Y161" s="63">
        <f t="shared" si="69"/>
        <v>0</v>
      </c>
      <c r="Z161" s="61">
        <v>0</v>
      </c>
      <c r="AA161" s="63">
        <f t="shared" si="70"/>
        <v>0</v>
      </c>
      <c r="AB161" s="61">
        <v>0</v>
      </c>
      <c r="AC161" s="63">
        <f t="shared" si="71"/>
        <v>0</v>
      </c>
      <c r="AD161" s="61">
        <v>0</v>
      </c>
      <c r="AE161" s="63">
        <f t="shared" si="72"/>
        <v>0</v>
      </c>
      <c r="AF161" s="61">
        <v>0</v>
      </c>
      <c r="AG161" s="63">
        <f t="shared" si="73"/>
        <v>0</v>
      </c>
      <c r="AH161" s="61">
        <v>0</v>
      </c>
      <c r="AI161" s="63">
        <f t="shared" si="74"/>
        <v>0</v>
      </c>
      <c r="AJ161" s="61">
        <v>0</v>
      </c>
      <c r="AK161" s="63">
        <f t="shared" si="75"/>
        <v>0</v>
      </c>
      <c r="AL161" s="61">
        <v>0</v>
      </c>
      <c r="AM161" s="63">
        <f t="shared" si="76"/>
        <v>0</v>
      </c>
      <c r="AN161" s="61">
        <v>0</v>
      </c>
      <c r="AO161" s="63">
        <f t="shared" si="77"/>
        <v>0</v>
      </c>
      <c r="AP161" s="61">
        <v>0</v>
      </c>
      <c r="AQ161" s="63">
        <f t="shared" si="78"/>
        <v>0</v>
      </c>
      <c r="AR161" s="61">
        <v>0</v>
      </c>
      <c r="AS161" s="63">
        <f t="shared" si="79"/>
        <v>0</v>
      </c>
      <c r="AT161" s="61">
        <v>0</v>
      </c>
      <c r="AU161" s="63">
        <f t="shared" si="80"/>
        <v>0</v>
      </c>
      <c r="AV161" s="61">
        <v>0</v>
      </c>
      <c r="AW161" s="63">
        <f t="shared" si="81"/>
        <v>0</v>
      </c>
      <c r="AX161" s="61">
        <v>0</v>
      </c>
      <c r="AY161" s="63">
        <f t="shared" si="82"/>
        <v>0</v>
      </c>
      <c r="AZ161" s="61">
        <v>0</v>
      </c>
      <c r="BA161" s="63">
        <f t="shared" si="83"/>
        <v>0</v>
      </c>
      <c r="BB161" s="61">
        <v>0</v>
      </c>
      <c r="BC161" s="63">
        <f t="shared" si="84"/>
        <v>0</v>
      </c>
      <c r="BD161" s="61">
        <v>0</v>
      </c>
      <c r="BE161" s="63">
        <f t="shared" si="85"/>
        <v>0</v>
      </c>
      <c r="BF161" s="61">
        <f t="shared" si="86"/>
        <v>0</v>
      </c>
      <c r="BG161" s="63">
        <f t="shared" si="87"/>
        <v>0</v>
      </c>
      <c r="BH161" s="45"/>
      <c r="BI161" s="144"/>
    </row>
    <row r="162" spans="1:61" ht="35.65" x14ac:dyDescent="0.45">
      <c r="A162" s="140">
        <v>2</v>
      </c>
      <c r="B162" s="141" t="s">
        <v>1472</v>
      </c>
      <c r="C162" s="142" t="s">
        <v>1473</v>
      </c>
      <c r="D162" s="143" t="str">
        <f t="shared" si="66"/>
        <v>2.2_5.8.47</v>
      </c>
      <c r="E162" s="56" t="s">
        <v>1194</v>
      </c>
      <c r="F162" s="506" t="s">
        <v>1827</v>
      </c>
      <c r="G162" s="507" t="s">
        <v>1795</v>
      </c>
      <c r="H162" s="507" t="s">
        <v>1795</v>
      </c>
      <c r="I162" s="507" t="s">
        <v>1828</v>
      </c>
      <c r="J162" s="507" t="s">
        <v>266</v>
      </c>
      <c r="K162" s="507">
        <v>63</v>
      </c>
      <c r="L162" s="507" t="s">
        <v>267</v>
      </c>
      <c r="M162" s="507" t="s">
        <v>763</v>
      </c>
      <c r="N162" s="507" t="s">
        <v>1829</v>
      </c>
      <c r="O162" s="57" t="s">
        <v>1195</v>
      </c>
      <c r="P162" s="58" t="s">
        <v>846</v>
      </c>
      <c r="Q162" s="59" t="s">
        <v>1196</v>
      </c>
      <c r="R162" s="60" t="s">
        <v>71</v>
      </c>
      <c r="S162" s="61">
        <v>11744</v>
      </c>
      <c r="T162" s="62">
        <f>INDEX('BM MORRO DA CRUZ'!$P$6:$P$402,MATCH($O162,'BM MORRO DA CRUZ'!$K$6:$K$402,0))</f>
        <v>10.14</v>
      </c>
      <c r="U162" s="63">
        <f t="shared" si="67"/>
        <v>119084.16</v>
      </c>
      <c r="V162" s="61">
        <f>IFERROR(SUMIFS('01ª MC'!$W$1:$W$1840,'01ª MC'!$C$1:$C$1840,$D162),0)</f>
        <v>0</v>
      </c>
      <c r="W162" s="63">
        <f t="shared" si="68"/>
        <v>0</v>
      </c>
      <c r="X162" s="61">
        <v>0</v>
      </c>
      <c r="Y162" s="63">
        <f t="shared" si="69"/>
        <v>0</v>
      </c>
      <c r="Z162" s="61">
        <v>0</v>
      </c>
      <c r="AA162" s="63">
        <f t="shared" si="70"/>
        <v>0</v>
      </c>
      <c r="AB162" s="61">
        <v>0</v>
      </c>
      <c r="AC162" s="63">
        <f t="shared" si="71"/>
        <v>0</v>
      </c>
      <c r="AD162" s="61">
        <v>0</v>
      </c>
      <c r="AE162" s="63">
        <f t="shared" si="72"/>
        <v>0</v>
      </c>
      <c r="AF162" s="61">
        <v>0</v>
      </c>
      <c r="AG162" s="63">
        <f t="shared" si="73"/>
        <v>0</v>
      </c>
      <c r="AH162" s="61">
        <v>0</v>
      </c>
      <c r="AI162" s="63">
        <f t="shared" si="74"/>
        <v>0</v>
      </c>
      <c r="AJ162" s="61">
        <v>0</v>
      </c>
      <c r="AK162" s="63">
        <f t="shared" si="75"/>
        <v>0</v>
      </c>
      <c r="AL162" s="61">
        <v>0</v>
      </c>
      <c r="AM162" s="63">
        <f t="shared" si="76"/>
        <v>0</v>
      </c>
      <c r="AN162" s="61">
        <v>0</v>
      </c>
      <c r="AO162" s="63">
        <f t="shared" si="77"/>
        <v>0</v>
      </c>
      <c r="AP162" s="61">
        <v>0</v>
      </c>
      <c r="AQ162" s="63">
        <f t="shared" si="78"/>
        <v>0</v>
      </c>
      <c r="AR162" s="61">
        <v>0</v>
      </c>
      <c r="AS162" s="63">
        <f t="shared" si="79"/>
        <v>0</v>
      </c>
      <c r="AT162" s="61">
        <v>0</v>
      </c>
      <c r="AU162" s="63">
        <f t="shared" si="80"/>
        <v>0</v>
      </c>
      <c r="AV162" s="61">
        <v>0</v>
      </c>
      <c r="AW162" s="63">
        <f t="shared" si="81"/>
        <v>0</v>
      </c>
      <c r="AX162" s="61">
        <v>0</v>
      </c>
      <c r="AY162" s="63">
        <f t="shared" si="82"/>
        <v>0</v>
      </c>
      <c r="AZ162" s="61">
        <v>0</v>
      </c>
      <c r="BA162" s="63">
        <f t="shared" si="83"/>
        <v>0</v>
      </c>
      <c r="BB162" s="61">
        <v>0</v>
      </c>
      <c r="BC162" s="63">
        <f t="shared" si="84"/>
        <v>0</v>
      </c>
      <c r="BD162" s="61">
        <v>0</v>
      </c>
      <c r="BE162" s="63">
        <f t="shared" si="85"/>
        <v>0</v>
      </c>
      <c r="BF162" s="61">
        <f t="shared" si="86"/>
        <v>0</v>
      </c>
      <c r="BG162" s="63">
        <f t="shared" si="87"/>
        <v>0</v>
      </c>
      <c r="BH162" s="45"/>
      <c r="BI162" s="144"/>
    </row>
    <row r="163" spans="1:61" ht="35.65" x14ac:dyDescent="0.45">
      <c r="A163" s="140">
        <v>2</v>
      </c>
      <c r="B163" s="141" t="s">
        <v>1472</v>
      </c>
      <c r="C163" s="142" t="s">
        <v>1473</v>
      </c>
      <c r="D163" s="143" t="str">
        <f t="shared" si="66"/>
        <v>2.2_5.8.48</v>
      </c>
      <c r="E163" s="56" t="s">
        <v>1197</v>
      </c>
      <c r="F163" s="506" t="s">
        <v>1827</v>
      </c>
      <c r="G163" s="507" t="s">
        <v>1795</v>
      </c>
      <c r="H163" s="507" t="s">
        <v>1795</v>
      </c>
      <c r="I163" s="507" t="s">
        <v>1828</v>
      </c>
      <c r="J163" s="507" t="s">
        <v>266</v>
      </c>
      <c r="K163" s="507">
        <v>90</v>
      </c>
      <c r="L163" s="507" t="s">
        <v>267</v>
      </c>
      <c r="M163" s="507" t="s">
        <v>763</v>
      </c>
      <c r="N163" s="507" t="s">
        <v>1829</v>
      </c>
      <c r="O163" s="57" t="s">
        <v>1198</v>
      </c>
      <c r="P163" s="58" t="s">
        <v>846</v>
      </c>
      <c r="Q163" s="59" t="s">
        <v>1199</v>
      </c>
      <c r="R163" s="60" t="s">
        <v>71</v>
      </c>
      <c r="S163" s="61">
        <v>1316</v>
      </c>
      <c r="T163" s="62">
        <f>INDEX('BM MORRO DA CRUZ'!$P$6:$P$402,MATCH($O163,'BM MORRO DA CRUZ'!$K$6:$K$402,0))</f>
        <v>13.25</v>
      </c>
      <c r="U163" s="63">
        <f t="shared" si="67"/>
        <v>17437</v>
      </c>
      <c r="V163" s="61">
        <f>IFERROR(SUMIFS('01ª MC'!$W$1:$W$1840,'01ª MC'!$C$1:$C$1840,$D163),0)</f>
        <v>0</v>
      </c>
      <c r="W163" s="63">
        <f t="shared" si="68"/>
        <v>0</v>
      </c>
      <c r="X163" s="61">
        <v>0</v>
      </c>
      <c r="Y163" s="63">
        <f t="shared" si="69"/>
        <v>0</v>
      </c>
      <c r="Z163" s="61">
        <v>0</v>
      </c>
      <c r="AA163" s="63">
        <f t="shared" si="70"/>
        <v>0</v>
      </c>
      <c r="AB163" s="61">
        <v>0</v>
      </c>
      <c r="AC163" s="63">
        <f t="shared" si="71"/>
        <v>0</v>
      </c>
      <c r="AD163" s="61">
        <v>0</v>
      </c>
      <c r="AE163" s="63">
        <f t="shared" si="72"/>
        <v>0</v>
      </c>
      <c r="AF163" s="61">
        <v>0</v>
      </c>
      <c r="AG163" s="63">
        <f t="shared" si="73"/>
        <v>0</v>
      </c>
      <c r="AH163" s="61">
        <v>0</v>
      </c>
      <c r="AI163" s="63">
        <f t="shared" si="74"/>
        <v>0</v>
      </c>
      <c r="AJ163" s="61">
        <v>0</v>
      </c>
      <c r="AK163" s="63">
        <f t="shared" si="75"/>
        <v>0</v>
      </c>
      <c r="AL163" s="61">
        <v>0</v>
      </c>
      <c r="AM163" s="63">
        <f t="shared" si="76"/>
        <v>0</v>
      </c>
      <c r="AN163" s="61">
        <v>0</v>
      </c>
      <c r="AO163" s="63">
        <f t="shared" si="77"/>
        <v>0</v>
      </c>
      <c r="AP163" s="61">
        <v>0</v>
      </c>
      <c r="AQ163" s="63">
        <f t="shared" si="78"/>
        <v>0</v>
      </c>
      <c r="AR163" s="61">
        <v>0</v>
      </c>
      <c r="AS163" s="63">
        <f t="shared" si="79"/>
        <v>0</v>
      </c>
      <c r="AT163" s="61">
        <v>0</v>
      </c>
      <c r="AU163" s="63">
        <f t="shared" si="80"/>
        <v>0</v>
      </c>
      <c r="AV163" s="61">
        <v>0</v>
      </c>
      <c r="AW163" s="63">
        <f t="shared" si="81"/>
        <v>0</v>
      </c>
      <c r="AX163" s="61">
        <v>0</v>
      </c>
      <c r="AY163" s="63">
        <f t="shared" si="82"/>
        <v>0</v>
      </c>
      <c r="AZ163" s="61">
        <v>0</v>
      </c>
      <c r="BA163" s="63">
        <f t="shared" si="83"/>
        <v>0</v>
      </c>
      <c r="BB163" s="61">
        <v>0</v>
      </c>
      <c r="BC163" s="63">
        <f t="shared" si="84"/>
        <v>0</v>
      </c>
      <c r="BD163" s="61">
        <v>0</v>
      </c>
      <c r="BE163" s="63">
        <f t="shared" si="85"/>
        <v>0</v>
      </c>
      <c r="BF163" s="61">
        <f t="shared" si="86"/>
        <v>0</v>
      </c>
      <c r="BG163" s="63">
        <f t="shared" si="87"/>
        <v>0</v>
      </c>
      <c r="BH163" s="45"/>
      <c r="BI163" s="144"/>
    </row>
    <row r="164" spans="1:61" ht="35.65" x14ac:dyDescent="0.45">
      <c r="A164" s="140">
        <v>2</v>
      </c>
      <c r="B164" s="141" t="s">
        <v>1472</v>
      </c>
      <c r="C164" s="142" t="s">
        <v>1473</v>
      </c>
      <c r="D164" s="143" t="str">
        <f t="shared" si="66"/>
        <v>2.2_5.8.49</v>
      </c>
      <c r="E164" s="56" t="s">
        <v>1200</v>
      </c>
      <c r="F164" s="506" t="s">
        <v>1830</v>
      </c>
      <c r="G164" s="507" t="s">
        <v>1795</v>
      </c>
      <c r="H164" s="507" t="s">
        <v>1795</v>
      </c>
      <c r="I164" s="507" t="s">
        <v>1828</v>
      </c>
      <c r="J164" s="507" t="s">
        <v>273</v>
      </c>
      <c r="K164" s="507">
        <v>160</v>
      </c>
      <c r="L164" s="507" t="s">
        <v>267</v>
      </c>
      <c r="M164" s="507" t="s">
        <v>763</v>
      </c>
      <c r="N164" s="507" t="s">
        <v>1829</v>
      </c>
      <c r="O164" s="57" t="s">
        <v>1201</v>
      </c>
      <c r="P164" s="58" t="s">
        <v>846</v>
      </c>
      <c r="Q164" s="59" t="s">
        <v>1202</v>
      </c>
      <c r="R164" s="60" t="s">
        <v>71</v>
      </c>
      <c r="S164" s="61">
        <v>2243</v>
      </c>
      <c r="T164" s="62">
        <f>INDEX('BM MORRO DA CRUZ'!$P$6:$P$402,MATCH($O164,'BM MORRO DA CRUZ'!$K$6:$K$402,0))</f>
        <v>78.84</v>
      </c>
      <c r="U164" s="63">
        <f t="shared" si="67"/>
        <v>176838.12</v>
      </c>
      <c r="V164" s="61">
        <f>IFERROR(SUMIFS('01ª MC'!$W$1:$W$1840,'01ª MC'!$C$1:$C$1840,$D164),0)</f>
        <v>0</v>
      </c>
      <c r="W164" s="63">
        <f t="shared" si="68"/>
        <v>0</v>
      </c>
      <c r="X164" s="61">
        <v>0</v>
      </c>
      <c r="Y164" s="63">
        <f t="shared" si="69"/>
        <v>0</v>
      </c>
      <c r="Z164" s="61">
        <v>0</v>
      </c>
      <c r="AA164" s="63">
        <f t="shared" si="70"/>
        <v>0</v>
      </c>
      <c r="AB164" s="61">
        <v>0</v>
      </c>
      <c r="AC164" s="63">
        <f t="shared" si="71"/>
        <v>0</v>
      </c>
      <c r="AD164" s="61">
        <v>0</v>
      </c>
      <c r="AE164" s="63">
        <f t="shared" si="72"/>
        <v>0</v>
      </c>
      <c r="AF164" s="61">
        <v>0</v>
      </c>
      <c r="AG164" s="63">
        <f t="shared" si="73"/>
        <v>0</v>
      </c>
      <c r="AH164" s="61">
        <v>0</v>
      </c>
      <c r="AI164" s="63">
        <f t="shared" si="74"/>
        <v>0</v>
      </c>
      <c r="AJ164" s="61">
        <v>0</v>
      </c>
      <c r="AK164" s="63">
        <f t="shared" si="75"/>
        <v>0</v>
      </c>
      <c r="AL164" s="61">
        <v>0</v>
      </c>
      <c r="AM164" s="63">
        <f t="shared" si="76"/>
        <v>0</v>
      </c>
      <c r="AN164" s="61">
        <v>0</v>
      </c>
      <c r="AO164" s="63">
        <f t="shared" si="77"/>
        <v>0</v>
      </c>
      <c r="AP164" s="61">
        <v>0</v>
      </c>
      <c r="AQ164" s="63">
        <f t="shared" si="78"/>
        <v>0</v>
      </c>
      <c r="AR164" s="61">
        <v>0</v>
      </c>
      <c r="AS164" s="63">
        <f t="shared" si="79"/>
        <v>0</v>
      </c>
      <c r="AT164" s="61">
        <v>0</v>
      </c>
      <c r="AU164" s="63">
        <f t="shared" si="80"/>
        <v>0</v>
      </c>
      <c r="AV164" s="61">
        <v>0</v>
      </c>
      <c r="AW164" s="63">
        <f t="shared" si="81"/>
        <v>0</v>
      </c>
      <c r="AX164" s="61">
        <v>0</v>
      </c>
      <c r="AY164" s="63">
        <f t="shared" si="82"/>
        <v>0</v>
      </c>
      <c r="AZ164" s="61">
        <v>0</v>
      </c>
      <c r="BA164" s="63">
        <f t="shared" si="83"/>
        <v>0</v>
      </c>
      <c r="BB164" s="61">
        <v>0</v>
      </c>
      <c r="BC164" s="63">
        <f t="shared" si="84"/>
        <v>0</v>
      </c>
      <c r="BD164" s="61">
        <v>0</v>
      </c>
      <c r="BE164" s="63">
        <f t="shared" si="85"/>
        <v>0</v>
      </c>
      <c r="BF164" s="61">
        <f t="shared" si="86"/>
        <v>0</v>
      </c>
      <c r="BG164" s="63">
        <f t="shared" si="87"/>
        <v>0</v>
      </c>
      <c r="BH164" s="45"/>
      <c r="BI164" s="144"/>
    </row>
    <row r="165" spans="1:61" ht="35.65" x14ac:dyDescent="0.45">
      <c r="A165" s="140">
        <v>2</v>
      </c>
      <c r="B165" s="141" t="s">
        <v>1472</v>
      </c>
      <c r="C165" s="142" t="s">
        <v>1473</v>
      </c>
      <c r="D165" s="143" t="str">
        <f t="shared" si="66"/>
        <v>2.2_5.8.50</v>
      </c>
      <c r="E165" s="56" t="s">
        <v>1203</v>
      </c>
      <c r="F165" s="506" t="s">
        <v>1830</v>
      </c>
      <c r="G165" s="507" t="s">
        <v>1795</v>
      </c>
      <c r="H165" s="507" t="s">
        <v>1795</v>
      </c>
      <c r="I165" s="507" t="s">
        <v>1828</v>
      </c>
      <c r="J165" s="507" t="s">
        <v>273</v>
      </c>
      <c r="K165" s="507">
        <v>225</v>
      </c>
      <c r="L165" s="507" t="s">
        <v>267</v>
      </c>
      <c r="M165" s="507" t="s">
        <v>763</v>
      </c>
      <c r="N165" s="507" t="s">
        <v>1829</v>
      </c>
      <c r="O165" s="57" t="s">
        <v>1204</v>
      </c>
      <c r="P165" s="58" t="s">
        <v>846</v>
      </c>
      <c r="Q165" s="59" t="s">
        <v>1205</v>
      </c>
      <c r="R165" s="60" t="s">
        <v>71</v>
      </c>
      <c r="S165" s="61">
        <v>683</v>
      </c>
      <c r="T165" s="62">
        <f>INDEX('BM MORRO DA CRUZ'!$P$6:$P$402,MATCH($O165,'BM MORRO DA CRUZ'!$K$6:$K$402,0))</f>
        <v>168.54</v>
      </c>
      <c r="U165" s="63">
        <f t="shared" si="67"/>
        <v>115112.82</v>
      </c>
      <c r="V165" s="61">
        <f>IFERROR(SUMIFS('01ª MC'!$W$1:$W$1840,'01ª MC'!$C$1:$C$1840,$D165),0)</f>
        <v>0</v>
      </c>
      <c r="W165" s="63">
        <f t="shared" si="68"/>
        <v>0</v>
      </c>
      <c r="X165" s="61">
        <v>0</v>
      </c>
      <c r="Y165" s="63">
        <f t="shared" si="69"/>
        <v>0</v>
      </c>
      <c r="Z165" s="61">
        <v>0</v>
      </c>
      <c r="AA165" s="63">
        <f t="shared" si="70"/>
        <v>0</v>
      </c>
      <c r="AB165" s="61">
        <v>0</v>
      </c>
      <c r="AC165" s="63">
        <f t="shared" si="71"/>
        <v>0</v>
      </c>
      <c r="AD165" s="61">
        <v>0</v>
      </c>
      <c r="AE165" s="63">
        <f t="shared" si="72"/>
        <v>0</v>
      </c>
      <c r="AF165" s="61">
        <v>0</v>
      </c>
      <c r="AG165" s="63">
        <f t="shared" si="73"/>
        <v>0</v>
      </c>
      <c r="AH165" s="61">
        <v>0</v>
      </c>
      <c r="AI165" s="63">
        <f t="shared" si="74"/>
        <v>0</v>
      </c>
      <c r="AJ165" s="61">
        <v>0</v>
      </c>
      <c r="AK165" s="63">
        <f t="shared" si="75"/>
        <v>0</v>
      </c>
      <c r="AL165" s="61">
        <v>0</v>
      </c>
      <c r="AM165" s="63">
        <f t="shared" si="76"/>
        <v>0</v>
      </c>
      <c r="AN165" s="61">
        <v>0</v>
      </c>
      <c r="AO165" s="63">
        <f t="shared" si="77"/>
        <v>0</v>
      </c>
      <c r="AP165" s="61">
        <v>0</v>
      </c>
      <c r="AQ165" s="63">
        <f t="shared" si="78"/>
        <v>0</v>
      </c>
      <c r="AR165" s="61">
        <v>0</v>
      </c>
      <c r="AS165" s="63">
        <f t="shared" si="79"/>
        <v>0</v>
      </c>
      <c r="AT165" s="61">
        <v>0</v>
      </c>
      <c r="AU165" s="63">
        <f t="shared" si="80"/>
        <v>0</v>
      </c>
      <c r="AV165" s="61">
        <v>0</v>
      </c>
      <c r="AW165" s="63">
        <f t="shared" si="81"/>
        <v>0</v>
      </c>
      <c r="AX165" s="61">
        <v>0</v>
      </c>
      <c r="AY165" s="63">
        <f t="shared" si="82"/>
        <v>0</v>
      </c>
      <c r="AZ165" s="61">
        <v>0</v>
      </c>
      <c r="BA165" s="63">
        <f t="shared" si="83"/>
        <v>0</v>
      </c>
      <c r="BB165" s="61">
        <v>0</v>
      </c>
      <c r="BC165" s="63">
        <f t="shared" si="84"/>
        <v>0</v>
      </c>
      <c r="BD165" s="61">
        <v>0</v>
      </c>
      <c r="BE165" s="63">
        <f t="shared" si="85"/>
        <v>0</v>
      </c>
      <c r="BF165" s="61">
        <f t="shared" si="86"/>
        <v>0</v>
      </c>
      <c r="BG165" s="63">
        <f t="shared" si="87"/>
        <v>0</v>
      </c>
      <c r="BH165" s="45"/>
      <c r="BI165" s="144"/>
    </row>
    <row r="166" spans="1:61" ht="35.65" x14ac:dyDescent="0.45">
      <c r="A166" s="140">
        <v>2</v>
      </c>
      <c r="B166" s="141" t="s">
        <v>1472</v>
      </c>
      <c r="C166" s="142" t="s">
        <v>1473</v>
      </c>
      <c r="D166" s="143" t="str">
        <f t="shared" si="66"/>
        <v>2.2_5.8.51</v>
      </c>
      <c r="E166" s="56" t="s">
        <v>1206</v>
      </c>
      <c r="F166" s="506" t="s">
        <v>1830</v>
      </c>
      <c r="G166" s="507" t="s">
        <v>1795</v>
      </c>
      <c r="H166" s="507" t="s">
        <v>1795</v>
      </c>
      <c r="I166" s="507" t="s">
        <v>1828</v>
      </c>
      <c r="J166" s="507" t="s">
        <v>273</v>
      </c>
      <c r="K166" s="507">
        <v>250</v>
      </c>
      <c r="L166" s="507" t="s">
        <v>267</v>
      </c>
      <c r="M166" s="507" t="s">
        <v>763</v>
      </c>
      <c r="N166" s="507" t="s">
        <v>1829</v>
      </c>
      <c r="O166" s="57" t="s">
        <v>1207</v>
      </c>
      <c r="P166" s="58" t="s">
        <v>846</v>
      </c>
      <c r="Q166" s="59" t="s">
        <v>1208</v>
      </c>
      <c r="R166" s="60" t="s">
        <v>71</v>
      </c>
      <c r="S166" s="61">
        <v>167</v>
      </c>
      <c r="T166" s="62">
        <f>INDEX('BM MORRO DA CRUZ'!$P$6:$P$402,MATCH($O166,'BM MORRO DA CRUZ'!$K$6:$K$402,0))</f>
        <v>185.77</v>
      </c>
      <c r="U166" s="63">
        <f t="shared" si="67"/>
        <v>31023.59</v>
      </c>
      <c r="V166" s="61">
        <f>IFERROR(SUMIFS('01ª MC'!$W$1:$W$1840,'01ª MC'!$C$1:$C$1840,$D166),0)</f>
        <v>0</v>
      </c>
      <c r="W166" s="63">
        <f t="shared" si="68"/>
        <v>0</v>
      </c>
      <c r="X166" s="61">
        <v>0</v>
      </c>
      <c r="Y166" s="63">
        <f t="shared" si="69"/>
        <v>0</v>
      </c>
      <c r="Z166" s="61">
        <v>0</v>
      </c>
      <c r="AA166" s="63">
        <f t="shared" si="70"/>
        <v>0</v>
      </c>
      <c r="AB166" s="61">
        <v>0</v>
      </c>
      <c r="AC166" s="63">
        <f t="shared" si="71"/>
        <v>0</v>
      </c>
      <c r="AD166" s="61">
        <v>0</v>
      </c>
      <c r="AE166" s="63">
        <f t="shared" si="72"/>
        <v>0</v>
      </c>
      <c r="AF166" s="61">
        <v>0</v>
      </c>
      <c r="AG166" s="63">
        <f t="shared" si="73"/>
        <v>0</v>
      </c>
      <c r="AH166" s="61">
        <v>0</v>
      </c>
      <c r="AI166" s="63">
        <f t="shared" si="74"/>
        <v>0</v>
      </c>
      <c r="AJ166" s="61">
        <v>0</v>
      </c>
      <c r="AK166" s="63">
        <f t="shared" si="75"/>
        <v>0</v>
      </c>
      <c r="AL166" s="61">
        <v>0</v>
      </c>
      <c r="AM166" s="63">
        <f t="shared" si="76"/>
        <v>0</v>
      </c>
      <c r="AN166" s="61">
        <v>0</v>
      </c>
      <c r="AO166" s="63">
        <f t="shared" si="77"/>
        <v>0</v>
      </c>
      <c r="AP166" s="61">
        <v>0</v>
      </c>
      <c r="AQ166" s="63">
        <f t="shared" si="78"/>
        <v>0</v>
      </c>
      <c r="AR166" s="61">
        <v>0</v>
      </c>
      <c r="AS166" s="63">
        <f t="shared" si="79"/>
        <v>0</v>
      </c>
      <c r="AT166" s="61">
        <v>0</v>
      </c>
      <c r="AU166" s="63">
        <f t="shared" si="80"/>
        <v>0</v>
      </c>
      <c r="AV166" s="61">
        <v>0</v>
      </c>
      <c r="AW166" s="63">
        <f t="shared" si="81"/>
        <v>0</v>
      </c>
      <c r="AX166" s="61">
        <v>0</v>
      </c>
      <c r="AY166" s="63">
        <f t="shared" si="82"/>
        <v>0</v>
      </c>
      <c r="AZ166" s="61">
        <v>0</v>
      </c>
      <c r="BA166" s="63">
        <f t="shared" si="83"/>
        <v>0</v>
      </c>
      <c r="BB166" s="61">
        <v>0</v>
      </c>
      <c r="BC166" s="63">
        <f t="shared" si="84"/>
        <v>0</v>
      </c>
      <c r="BD166" s="61">
        <v>0</v>
      </c>
      <c r="BE166" s="63">
        <f t="shared" si="85"/>
        <v>0</v>
      </c>
      <c r="BF166" s="61">
        <f t="shared" si="86"/>
        <v>0</v>
      </c>
      <c r="BG166" s="63">
        <f t="shared" si="87"/>
        <v>0</v>
      </c>
      <c r="BH166" s="45"/>
      <c r="BI166" s="144"/>
    </row>
    <row r="167" spans="1:61" ht="35.65" x14ac:dyDescent="0.45">
      <c r="A167" s="140">
        <v>2</v>
      </c>
      <c r="B167" s="141" t="s">
        <v>1472</v>
      </c>
      <c r="C167" s="142" t="s">
        <v>1473</v>
      </c>
      <c r="D167" s="143" t="str">
        <f t="shared" si="66"/>
        <v>2.2_5.8.52</v>
      </c>
      <c r="E167" s="56" t="s">
        <v>1209</v>
      </c>
      <c r="F167" s="506" t="s">
        <v>1830</v>
      </c>
      <c r="G167" s="507" t="s">
        <v>1795</v>
      </c>
      <c r="H167" s="507" t="s">
        <v>1795</v>
      </c>
      <c r="I167" s="507" t="s">
        <v>1828</v>
      </c>
      <c r="J167" s="507" t="s">
        <v>273</v>
      </c>
      <c r="K167" s="507">
        <v>280</v>
      </c>
      <c r="L167" s="507" t="s">
        <v>267</v>
      </c>
      <c r="M167" s="507" t="s">
        <v>763</v>
      </c>
      <c r="N167" s="507" t="s">
        <v>1829</v>
      </c>
      <c r="O167" s="57" t="s">
        <v>1210</v>
      </c>
      <c r="P167" s="58" t="s">
        <v>846</v>
      </c>
      <c r="Q167" s="59" t="s">
        <v>1211</v>
      </c>
      <c r="R167" s="60" t="s">
        <v>71</v>
      </c>
      <c r="S167" s="61">
        <v>78</v>
      </c>
      <c r="T167" s="62">
        <f>INDEX('BM MORRO DA CRUZ'!$P$6:$P$402,MATCH($O167,'BM MORRO DA CRUZ'!$K$6:$K$402,0))</f>
        <v>436.77</v>
      </c>
      <c r="U167" s="63">
        <f t="shared" si="67"/>
        <v>34068.06</v>
      </c>
      <c r="V167" s="61">
        <f>IFERROR(SUMIFS('01ª MC'!$W$1:$W$1840,'01ª MC'!$C$1:$C$1840,$D167),0)</f>
        <v>0</v>
      </c>
      <c r="W167" s="63">
        <f t="shared" si="68"/>
        <v>0</v>
      </c>
      <c r="X167" s="61">
        <v>0</v>
      </c>
      <c r="Y167" s="63">
        <f t="shared" si="69"/>
        <v>0</v>
      </c>
      <c r="Z167" s="61">
        <v>0</v>
      </c>
      <c r="AA167" s="63">
        <f t="shared" si="70"/>
        <v>0</v>
      </c>
      <c r="AB167" s="61">
        <v>0</v>
      </c>
      <c r="AC167" s="63">
        <f t="shared" si="71"/>
        <v>0</v>
      </c>
      <c r="AD167" s="61">
        <v>0</v>
      </c>
      <c r="AE167" s="63">
        <f t="shared" si="72"/>
        <v>0</v>
      </c>
      <c r="AF167" s="61">
        <v>0</v>
      </c>
      <c r="AG167" s="63">
        <f t="shared" si="73"/>
        <v>0</v>
      </c>
      <c r="AH167" s="61">
        <v>0</v>
      </c>
      <c r="AI167" s="63">
        <f t="shared" si="74"/>
        <v>0</v>
      </c>
      <c r="AJ167" s="61">
        <v>0</v>
      </c>
      <c r="AK167" s="63">
        <f t="shared" si="75"/>
        <v>0</v>
      </c>
      <c r="AL167" s="61">
        <v>0</v>
      </c>
      <c r="AM167" s="63">
        <f t="shared" si="76"/>
        <v>0</v>
      </c>
      <c r="AN167" s="61">
        <v>0</v>
      </c>
      <c r="AO167" s="63">
        <f t="shared" si="77"/>
        <v>0</v>
      </c>
      <c r="AP167" s="61">
        <v>0</v>
      </c>
      <c r="AQ167" s="63">
        <f t="shared" si="78"/>
        <v>0</v>
      </c>
      <c r="AR167" s="61">
        <v>0</v>
      </c>
      <c r="AS167" s="63">
        <f t="shared" si="79"/>
        <v>0</v>
      </c>
      <c r="AT167" s="61">
        <v>0</v>
      </c>
      <c r="AU167" s="63">
        <f t="shared" si="80"/>
        <v>0</v>
      </c>
      <c r="AV167" s="61">
        <v>0</v>
      </c>
      <c r="AW167" s="63">
        <f t="shared" si="81"/>
        <v>0</v>
      </c>
      <c r="AX167" s="61">
        <v>0</v>
      </c>
      <c r="AY167" s="63">
        <f t="shared" si="82"/>
        <v>0</v>
      </c>
      <c r="AZ167" s="61">
        <v>0</v>
      </c>
      <c r="BA167" s="63">
        <f t="shared" si="83"/>
        <v>0</v>
      </c>
      <c r="BB167" s="61">
        <v>0</v>
      </c>
      <c r="BC167" s="63">
        <f t="shared" si="84"/>
        <v>0</v>
      </c>
      <c r="BD167" s="61">
        <v>0</v>
      </c>
      <c r="BE167" s="63">
        <f t="shared" si="85"/>
        <v>0</v>
      </c>
      <c r="BF167" s="61">
        <f t="shared" si="86"/>
        <v>0</v>
      </c>
      <c r="BG167" s="63">
        <f t="shared" si="87"/>
        <v>0</v>
      </c>
      <c r="BH167" s="45"/>
      <c r="BI167" s="144"/>
    </row>
    <row r="168" spans="1:61" ht="35.65" x14ac:dyDescent="0.45">
      <c r="A168" s="140">
        <v>2</v>
      </c>
      <c r="B168" s="141" t="s">
        <v>1472</v>
      </c>
      <c r="C168" s="142" t="s">
        <v>1473</v>
      </c>
      <c r="D168" s="143" t="str">
        <f t="shared" si="66"/>
        <v>2.2_5.8.53</v>
      </c>
      <c r="E168" s="56" t="s">
        <v>1212</v>
      </c>
      <c r="F168" s="506" t="s">
        <v>1830</v>
      </c>
      <c r="G168" s="507" t="s">
        <v>1795</v>
      </c>
      <c r="H168" s="507" t="s">
        <v>1795</v>
      </c>
      <c r="I168" s="507" t="s">
        <v>1828</v>
      </c>
      <c r="J168" s="507" t="s">
        <v>273</v>
      </c>
      <c r="K168" s="507">
        <v>315</v>
      </c>
      <c r="L168" s="507" t="s">
        <v>267</v>
      </c>
      <c r="M168" s="507" t="s">
        <v>763</v>
      </c>
      <c r="N168" s="507" t="s">
        <v>1829</v>
      </c>
      <c r="O168" s="57" t="s">
        <v>1213</v>
      </c>
      <c r="P168" s="58" t="s">
        <v>846</v>
      </c>
      <c r="Q168" s="59" t="s">
        <v>1214</v>
      </c>
      <c r="R168" s="60" t="s">
        <v>71</v>
      </c>
      <c r="S168" s="61">
        <v>409</v>
      </c>
      <c r="T168" s="62">
        <f>INDEX('BM MORRO DA CRUZ'!$P$6:$P$402,MATCH($O168,'BM MORRO DA CRUZ'!$K$6:$K$402,0))</f>
        <v>477.92</v>
      </c>
      <c r="U168" s="63">
        <f t="shared" si="67"/>
        <v>195469.28</v>
      </c>
      <c r="V168" s="61">
        <f>IFERROR(SUMIFS('01ª MC'!$W$1:$W$1840,'01ª MC'!$C$1:$C$1840,$D168),0)</f>
        <v>0</v>
      </c>
      <c r="W168" s="63">
        <f t="shared" si="68"/>
        <v>0</v>
      </c>
      <c r="X168" s="61">
        <v>0</v>
      </c>
      <c r="Y168" s="63">
        <f t="shared" si="69"/>
        <v>0</v>
      </c>
      <c r="Z168" s="61">
        <v>0</v>
      </c>
      <c r="AA168" s="63">
        <f t="shared" si="70"/>
        <v>0</v>
      </c>
      <c r="AB168" s="61">
        <v>0</v>
      </c>
      <c r="AC168" s="63">
        <f t="shared" si="71"/>
        <v>0</v>
      </c>
      <c r="AD168" s="61">
        <v>0</v>
      </c>
      <c r="AE168" s="63">
        <f t="shared" si="72"/>
        <v>0</v>
      </c>
      <c r="AF168" s="61">
        <v>0</v>
      </c>
      <c r="AG168" s="63">
        <f t="shared" si="73"/>
        <v>0</v>
      </c>
      <c r="AH168" s="61">
        <v>0</v>
      </c>
      <c r="AI168" s="63">
        <f t="shared" si="74"/>
        <v>0</v>
      </c>
      <c r="AJ168" s="61">
        <v>0</v>
      </c>
      <c r="AK168" s="63">
        <f t="shared" si="75"/>
        <v>0</v>
      </c>
      <c r="AL168" s="61">
        <v>0</v>
      </c>
      <c r="AM168" s="63">
        <f t="shared" si="76"/>
        <v>0</v>
      </c>
      <c r="AN168" s="61">
        <v>0</v>
      </c>
      <c r="AO168" s="63">
        <f t="shared" si="77"/>
        <v>0</v>
      </c>
      <c r="AP168" s="61">
        <v>0</v>
      </c>
      <c r="AQ168" s="63">
        <f t="shared" si="78"/>
        <v>0</v>
      </c>
      <c r="AR168" s="61">
        <v>0</v>
      </c>
      <c r="AS168" s="63">
        <f t="shared" si="79"/>
        <v>0</v>
      </c>
      <c r="AT168" s="61">
        <v>0</v>
      </c>
      <c r="AU168" s="63">
        <f t="shared" si="80"/>
        <v>0</v>
      </c>
      <c r="AV168" s="61">
        <v>0</v>
      </c>
      <c r="AW168" s="63">
        <f t="shared" si="81"/>
        <v>0</v>
      </c>
      <c r="AX168" s="61">
        <v>0</v>
      </c>
      <c r="AY168" s="63">
        <f t="shared" si="82"/>
        <v>0</v>
      </c>
      <c r="AZ168" s="61">
        <v>0</v>
      </c>
      <c r="BA168" s="63">
        <f t="shared" si="83"/>
        <v>0</v>
      </c>
      <c r="BB168" s="61">
        <v>0</v>
      </c>
      <c r="BC168" s="63">
        <f t="shared" si="84"/>
        <v>0</v>
      </c>
      <c r="BD168" s="61">
        <v>0</v>
      </c>
      <c r="BE168" s="63">
        <f t="shared" si="85"/>
        <v>0</v>
      </c>
      <c r="BF168" s="61">
        <f t="shared" si="86"/>
        <v>0</v>
      </c>
      <c r="BG168" s="63">
        <f t="shared" si="87"/>
        <v>0</v>
      </c>
      <c r="BH168" s="45"/>
      <c r="BI168" s="144"/>
    </row>
    <row r="169" spans="1:61" ht="35.65" x14ac:dyDescent="0.45">
      <c r="A169" s="140">
        <v>2</v>
      </c>
      <c r="B169" s="141" t="s">
        <v>1472</v>
      </c>
      <c r="C169" s="142" t="s">
        <v>1473</v>
      </c>
      <c r="D169" s="143" t="str">
        <f t="shared" si="66"/>
        <v>2.2_5.8.54</v>
      </c>
      <c r="E169" s="56" t="s">
        <v>1215</v>
      </c>
      <c r="F169" s="506" t="s">
        <v>1830</v>
      </c>
      <c r="G169" s="507" t="s">
        <v>1795</v>
      </c>
      <c r="H169" s="507" t="s">
        <v>1795</v>
      </c>
      <c r="I169" s="507" t="s">
        <v>1828</v>
      </c>
      <c r="J169" s="507" t="s">
        <v>273</v>
      </c>
      <c r="K169" s="507">
        <v>355</v>
      </c>
      <c r="L169" s="507" t="s">
        <v>267</v>
      </c>
      <c r="M169" s="507" t="s">
        <v>763</v>
      </c>
      <c r="N169" s="507" t="s">
        <v>1829</v>
      </c>
      <c r="O169" s="57" t="s">
        <v>1216</v>
      </c>
      <c r="P169" s="58" t="s">
        <v>846</v>
      </c>
      <c r="Q169" s="59" t="s">
        <v>1217</v>
      </c>
      <c r="R169" s="60" t="s">
        <v>71</v>
      </c>
      <c r="S169" s="61">
        <v>114</v>
      </c>
      <c r="T169" s="62">
        <f>INDEX('BM MORRO DA CRUZ'!$P$6:$P$402,MATCH($O169,'BM MORRO DA CRUZ'!$K$6:$K$402,0))</f>
        <v>539.84</v>
      </c>
      <c r="U169" s="63">
        <f t="shared" si="67"/>
        <v>61541.760000000002</v>
      </c>
      <c r="V169" s="61">
        <f>IFERROR(SUMIFS('01ª MC'!$W$1:$W$1840,'01ª MC'!$C$1:$C$1840,$D169),0)</f>
        <v>0</v>
      </c>
      <c r="W169" s="63">
        <f t="shared" si="68"/>
        <v>0</v>
      </c>
      <c r="X169" s="61">
        <v>0</v>
      </c>
      <c r="Y169" s="63">
        <f t="shared" si="69"/>
        <v>0</v>
      </c>
      <c r="Z169" s="61">
        <v>0</v>
      </c>
      <c r="AA169" s="63">
        <f t="shared" si="70"/>
        <v>0</v>
      </c>
      <c r="AB169" s="61">
        <v>0</v>
      </c>
      <c r="AC169" s="63">
        <f t="shared" si="71"/>
        <v>0</v>
      </c>
      <c r="AD169" s="61">
        <v>0</v>
      </c>
      <c r="AE169" s="63">
        <f t="shared" si="72"/>
        <v>0</v>
      </c>
      <c r="AF169" s="61">
        <v>0</v>
      </c>
      <c r="AG169" s="63">
        <f t="shared" si="73"/>
        <v>0</v>
      </c>
      <c r="AH169" s="61">
        <v>0</v>
      </c>
      <c r="AI169" s="63">
        <f t="shared" si="74"/>
        <v>0</v>
      </c>
      <c r="AJ169" s="61">
        <v>0</v>
      </c>
      <c r="AK169" s="63">
        <f t="shared" si="75"/>
        <v>0</v>
      </c>
      <c r="AL169" s="61">
        <v>0</v>
      </c>
      <c r="AM169" s="63">
        <f t="shared" si="76"/>
        <v>0</v>
      </c>
      <c r="AN169" s="61">
        <v>0</v>
      </c>
      <c r="AO169" s="63">
        <f t="shared" si="77"/>
        <v>0</v>
      </c>
      <c r="AP169" s="61">
        <v>0</v>
      </c>
      <c r="AQ169" s="63">
        <f t="shared" si="78"/>
        <v>0</v>
      </c>
      <c r="AR169" s="61">
        <v>0</v>
      </c>
      <c r="AS169" s="63">
        <f t="shared" si="79"/>
        <v>0</v>
      </c>
      <c r="AT169" s="61">
        <v>0</v>
      </c>
      <c r="AU169" s="63">
        <f t="shared" si="80"/>
        <v>0</v>
      </c>
      <c r="AV169" s="61">
        <v>0</v>
      </c>
      <c r="AW169" s="63">
        <f t="shared" si="81"/>
        <v>0</v>
      </c>
      <c r="AX169" s="61">
        <v>0</v>
      </c>
      <c r="AY169" s="63">
        <f t="shared" si="82"/>
        <v>0</v>
      </c>
      <c r="AZ169" s="61">
        <v>0</v>
      </c>
      <c r="BA169" s="63">
        <f t="shared" si="83"/>
        <v>0</v>
      </c>
      <c r="BB169" s="61">
        <v>0</v>
      </c>
      <c r="BC169" s="63">
        <f t="shared" si="84"/>
        <v>0</v>
      </c>
      <c r="BD169" s="61">
        <v>0</v>
      </c>
      <c r="BE169" s="63">
        <f t="shared" si="85"/>
        <v>0</v>
      </c>
      <c r="BF169" s="61">
        <f t="shared" si="86"/>
        <v>0</v>
      </c>
      <c r="BG169" s="63">
        <f t="shared" si="87"/>
        <v>0</v>
      </c>
      <c r="BH169" s="45"/>
      <c r="BI169" s="144"/>
    </row>
    <row r="170" spans="1:61" ht="35.65" x14ac:dyDescent="0.45">
      <c r="A170" s="140">
        <v>2</v>
      </c>
      <c r="B170" s="141" t="s">
        <v>1472</v>
      </c>
      <c r="C170" s="142" t="s">
        <v>1473</v>
      </c>
      <c r="D170" s="143" t="str">
        <f t="shared" si="66"/>
        <v>2.2_5.8.55</v>
      </c>
      <c r="E170" s="56" t="s">
        <v>1218</v>
      </c>
      <c r="F170" s="506" t="s">
        <v>1830</v>
      </c>
      <c r="G170" s="507" t="s">
        <v>1795</v>
      </c>
      <c r="H170" s="507" t="s">
        <v>1795</v>
      </c>
      <c r="I170" s="507" t="s">
        <v>1828</v>
      </c>
      <c r="J170" s="507" t="s">
        <v>273</v>
      </c>
      <c r="K170" s="507">
        <v>400</v>
      </c>
      <c r="L170" s="507" t="s">
        <v>267</v>
      </c>
      <c r="M170" s="507" t="s">
        <v>763</v>
      </c>
      <c r="N170" s="507" t="s">
        <v>1829</v>
      </c>
      <c r="O170" s="57" t="s">
        <v>1219</v>
      </c>
      <c r="P170" s="58" t="s">
        <v>846</v>
      </c>
      <c r="Q170" s="59" t="s">
        <v>1220</v>
      </c>
      <c r="R170" s="60" t="s">
        <v>71</v>
      </c>
      <c r="S170" s="61">
        <v>102</v>
      </c>
      <c r="T170" s="62">
        <f>INDEX('BM MORRO DA CRUZ'!$P$6:$P$402,MATCH($O170,'BM MORRO DA CRUZ'!$K$6:$K$402,0))</f>
        <v>583.14</v>
      </c>
      <c r="U170" s="63">
        <f t="shared" si="67"/>
        <v>59480.28</v>
      </c>
      <c r="V170" s="61">
        <f>IFERROR(SUMIFS('01ª MC'!$W$1:$W$1840,'01ª MC'!$C$1:$C$1840,$D170),0)</f>
        <v>0</v>
      </c>
      <c r="W170" s="63">
        <f t="shared" si="68"/>
        <v>0</v>
      </c>
      <c r="X170" s="61">
        <v>0</v>
      </c>
      <c r="Y170" s="63">
        <f t="shared" si="69"/>
        <v>0</v>
      </c>
      <c r="Z170" s="61">
        <v>0</v>
      </c>
      <c r="AA170" s="63">
        <f t="shared" si="70"/>
        <v>0</v>
      </c>
      <c r="AB170" s="61">
        <v>0</v>
      </c>
      <c r="AC170" s="63">
        <f t="shared" si="71"/>
        <v>0</v>
      </c>
      <c r="AD170" s="61">
        <v>0</v>
      </c>
      <c r="AE170" s="63">
        <f t="shared" si="72"/>
        <v>0</v>
      </c>
      <c r="AF170" s="61">
        <v>0</v>
      </c>
      <c r="AG170" s="63">
        <f t="shared" si="73"/>
        <v>0</v>
      </c>
      <c r="AH170" s="61">
        <v>0</v>
      </c>
      <c r="AI170" s="63">
        <f t="shared" si="74"/>
        <v>0</v>
      </c>
      <c r="AJ170" s="61">
        <v>0</v>
      </c>
      <c r="AK170" s="63">
        <f t="shared" si="75"/>
        <v>0</v>
      </c>
      <c r="AL170" s="61">
        <v>0</v>
      </c>
      <c r="AM170" s="63">
        <f t="shared" si="76"/>
        <v>0</v>
      </c>
      <c r="AN170" s="61">
        <v>0</v>
      </c>
      <c r="AO170" s="63">
        <f t="shared" si="77"/>
        <v>0</v>
      </c>
      <c r="AP170" s="61">
        <v>0</v>
      </c>
      <c r="AQ170" s="63">
        <f t="shared" si="78"/>
        <v>0</v>
      </c>
      <c r="AR170" s="61">
        <v>0</v>
      </c>
      <c r="AS170" s="63">
        <f t="shared" si="79"/>
        <v>0</v>
      </c>
      <c r="AT170" s="61">
        <v>0</v>
      </c>
      <c r="AU170" s="63">
        <f t="shared" si="80"/>
        <v>0</v>
      </c>
      <c r="AV170" s="61">
        <v>0</v>
      </c>
      <c r="AW170" s="63">
        <f t="shared" si="81"/>
        <v>0</v>
      </c>
      <c r="AX170" s="61">
        <v>0</v>
      </c>
      <c r="AY170" s="63">
        <f t="shared" si="82"/>
        <v>0</v>
      </c>
      <c r="AZ170" s="61">
        <v>0</v>
      </c>
      <c r="BA170" s="63">
        <f t="shared" si="83"/>
        <v>0</v>
      </c>
      <c r="BB170" s="61">
        <v>0</v>
      </c>
      <c r="BC170" s="63">
        <f t="shared" si="84"/>
        <v>0</v>
      </c>
      <c r="BD170" s="61">
        <v>0</v>
      </c>
      <c r="BE170" s="63">
        <f t="shared" si="85"/>
        <v>0</v>
      </c>
      <c r="BF170" s="61">
        <f t="shared" si="86"/>
        <v>0</v>
      </c>
      <c r="BG170" s="63">
        <f t="shared" si="87"/>
        <v>0</v>
      </c>
      <c r="BH170" s="45"/>
      <c r="BI170" s="144"/>
    </row>
    <row r="171" spans="1:61" ht="35.65" x14ac:dyDescent="0.45">
      <c r="A171" s="140">
        <v>2</v>
      </c>
      <c r="B171" s="141" t="s">
        <v>1472</v>
      </c>
      <c r="C171" s="142" t="s">
        <v>1473</v>
      </c>
      <c r="D171" s="143" t="str">
        <f t="shared" si="66"/>
        <v>2.2_5.8.56</v>
      </c>
      <c r="E171" s="56" t="s">
        <v>1221</v>
      </c>
      <c r="F171" s="506" t="s">
        <v>1830</v>
      </c>
      <c r="G171" s="507" t="s">
        <v>1795</v>
      </c>
      <c r="H171" s="507" t="s">
        <v>1795</v>
      </c>
      <c r="I171" s="507" t="s">
        <v>1828</v>
      </c>
      <c r="J171" s="507" t="s">
        <v>273</v>
      </c>
      <c r="K171" s="507">
        <v>500</v>
      </c>
      <c r="L171" s="507" t="s">
        <v>267</v>
      </c>
      <c r="M171" s="507" t="s">
        <v>763</v>
      </c>
      <c r="N171" s="507" t="s">
        <v>1829</v>
      </c>
      <c r="O171" s="57" t="s">
        <v>1222</v>
      </c>
      <c r="P171" s="58" t="s">
        <v>846</v>
      </c>
      <c r="Q171" s="59" t="s">
        <v>1223</v>
      </c>
      <c r="R171" s="60" t="s">
        <v>71</v>
      </c>
      <c r="S171" s="61">
        <v>240</v>
      </c>
      <c r="T171" s="62">
        <f>INDEX('BM MORRO DA CRUZ'!$P$6:$P$402,MATCH($O171,'BM MORRO DA CRUZ'!$K$6:$K$402,0))</f>
        <v>754.24</v>
      </c>
      <c r="U171" s="63">
        <f t="shared" si="67"/>
        <v>181017.60000000001</v>
      </c>
      <c r="V171" s="61">
        <f>IFERROR(SUMIFS('01ª MC'!$W$1:$W$1840,'01ª MC'!$C$1:$C$1840,$D171),0)</f>
        <v>0</v>
      </c>
      <c r="W171" s="63">
        <f t="shared" si="68"/>
        <v>0</v>
      </c>
      <c r="X171" s="61">
        <v>0</v>
      </c>
      <c r="Y171" s="63">
        <f t="shared" si="69"/>
        <v>0</v>
      </c>
      <c r="Z171" s="61">
        <v>0</v>
      </c>
      <c r="AA171" s="63">
        <f t="shared" si="70"/>
        <v>0</v>
      </c>
      <c r="AB171" s="61">
        <v>0</v>
      </c>
      <c r="AC171" s="63">
        <f t="shared" si="71"/>
        <v>0</v>
      </c>
      <c r="AD171" s="61">
        <v>0</v>
      </c>
      <c r="AE171" s="63">
        <f t="shared" si="72"/>
        <v>0</v>
      </c>
      <c r="AF171" s="61">
        <v>0</v>
      </c>
      <c r="AG171" s="63">
        <f t="shared" si="73"/>
        <v>0</v>
      </c>
      <c r="AH171" s="61">
        <v>0</v>
      </c>
      <c r="AI171" s="63">
        <f t="shared" si="74"/>
        <v>0</v>
      </c>
      <c r="AJ171" s="61">
        <v>0</v>
      </c>
      <c r="AK171" s="63">
        <f t="shared" si="75"/>
        <v>0</v>
      </c>
      <c r="AL171" s="61">
        <v>0</v>
      </c>
      <c r="AM171" s="63">
        <f t="shared" si="76"/>
        <v>0</v>
      </c>
      <c r="AN171" s="61">
        <v>0</v>
      </c>
      <c r="AO171" s="63">
        <f t="shared" si="77"/>
        <v>0</v>
      </c>
      <c r="AP171" s="61">
        <v>0</v>
      </c>
      <c r="AQ171" s="63">
        <f t="shared" si="78"/>
        <v>0</v>
      </c>
      <c r="AR171" s="61">
        <v>0</v>
      </c>
      <c r="AS171" s="63">
        <f t="shared" si="79"/>
        <v>0</v>
      </c>
      <c r="AT171" s="61">
        <v>0</v>
      </c>
      <c r="AU171" s="63">
        <f t="shared" si="80"/>
        <v>0</v>
      </c>
      <c r="AV171" s="61">
        <v>0</v>
      </c>
      <c r="AW171" s="63">
        <f t="shared" si="81"/>
        <v>0</v>
      </c>
      <c r="AX171" s="61">
        <v>0</v>
      </c>
      <c r="AY171" s="63">
        <f t="shared" si="82"/>
        <v>0</v>
      </c>
      <c r="AZ171" s="61">
        <v>0</v>
      </c>
      <c r="BA171" s="63">
        <f t="shared" si="83"/>
        <v>0</v>
      </c>
      <c r="BB171" s="61">
        <v>0</v>
      </c>
      <c r="BC171" s="63">
        <f t="shared" si="84"/>
        <v>0</v>
      </c>
      <c r="BD171" s="61">
        <v>0</v>
      </c>
      <c r="BE171" s="63">
        <f t="shared" si="85"/>
        <v>0</v>
      </c>
      <c r="BF171" s="61">
        <f t="shared" si="86"/>
        <v>0</v>
      </c>
      <c r="BG171" s="63">
        <f t="shared" si="87"/>
        <v>0</v>
      </c>
      <c r="BH171" s="45"/>
      <c r="BI171" s="144"/>
    </row>
    <row r="172" spans="1:61" ht="19.5" customHeight="1" x14ac:dyDescent="0.45">
      <c r="A172" s="128">
        <v>2</v>
      </c>
      <c r="B172" s="129"/>
      <c r="C172" s="130"/>
      <c r="D172" s="131"/>
      <c r="E172" s="132" t="s">
        <v>1224</v>
      </c>
      <c r="F172" s="515"/>
      <c r="G172" s="516"/>
      <c r="H172" s="516"/>
      <c r="I172" s="516"/>
      <c r="J172" s="516"/>
      <c r="K172" s="516"/>
      <c r="L172" s="516"/>
      <c r="M172" s="516"/>
      <c r="N172" s="516"/>
      <c r="O172" s="133" t="s">
        <v>1225</v>
      </c>
      <c r="P172" s="134"/>
      <c r="Q172" s="135" t="s">
        <v>1226</v>
      </c>
      <c r="R172" s="136"/>
      <c r="S172" s="137"/>
      <c r="T172" s="138"/>
      <c r="U172" s="139">
        <f>SUM(U173:U176)</f>
        <v>59630.9</v>
      </c>
      <c r="V172" s="137"/>
      <c r="W172" s="139">
        <f>SUM(W173:W176)</f>
        <v>0</v>
      </c>
      <c r="X172" s="137"/>
      <c r="Y172" s="139">
        <f>SUM(Y173:Y176)</f>
        <v>0</v>
      </c>
      <c r="Z172" s="137"/>
      <c r="AA172" s="139">
        <f>SUM(AA173:AA176)</f>
        <v>0</v>
      </c>
      <c r="AB172" s="137"/>
      <c r="AC172" s="139">
        <f>SUM(AC173:AC176)</f>
        <v>0</v>
      </c>
      <c r="AD172" s="137"/>
      <c r="AE172" s="139">
        <f>SUM(AE173:AE176)</f>
        <v>0</v>
      </c>
      <c r="AF172" s="137"/>
      <c r="AG172" s="139">
        <f>SUM(AG173:AG176)</f>
        <v>0</v>
      </c>
      <c r="AH172" s="137"/>
      <c r="AI172" s="139">
        <f>SUM(AI173:AI176)</f>
        <v>0</v>
      </c>
      <c r="AJ172" s="137"/>
      <c r="AK172" s="139">
        <f>SUM(AK173:AK176)</f>
        <v>0</v>
      </c>
      <c r="AL172" s="137"/>
      <c r="AM172" s="139">
        <f>SUM(AM173:AM176)</f>
        <v>0</v>
      </c>
      <c r="AN172" s="137"/>
      <c r="AO172" s="139">
        <f>SUM(AO173:AO176)</f>
        <v>0</v>
      </c>
      <c r="AP172" s="137"/>
      <c r="AQ172" s="139">
        <f>SUM(AQ173:AQ176)</f>
        <v>0</v>
      </c>
      <c r="AR172" s="137"/>
      <c r="AS172" s="139">
        <f>SUM(AS173:AS176)</f>
        <v>0</v>
      </c>
      <c r="AT172" s="137"/>
      <c r="AU172" s="139">
        <f>SUM(AU173:AU176)</f>
        <v>0</v>
      </c>
      <c r="AV172" s="137"/>
      <c r="AW172" s="139">
        <f>SUM(AW173:AW176)</f>
        <v>0</v>
      </c>
      <c r="AX172" s="137"/>
      <c r="AY172" s="139">
        <f>SUM(AY173:AY176)</f>
        <v>0</v>
      </c>
      <c r="AZ172" s="137"/>
      <c r="BA172" s="139">
        <f>SUM(BA173:BA176)</f>
        <v>0</v>
      </c>
      <c r="BB172" s="137"/>
      <c r="BC172" s="139">
        <f>SUM(BC173:BC176)</f>
        <v>0</v>
      </c>
      <c r="BD172" s="137"/>
      <c r="BE172" s="139">
        <f>SUM(BE173:BE176)</f>
        <v>0</v>
      </c>
      <c r="BF172" s="137"/>
      <c r="BG172" s="139">
        <f>SUM(BG173:BG176)</f>
        <v>0</v>
      </c>
      <c r="BH172" s="45"/>
    </row>
    <row r="173" spans="1:61" ht="26" customHeight="1" x14ac:dyDescent="0.45">
      <c r="A173" s="140">
        <v>2</v>
      </c>
      <c r="B173" s="141" t="s">
        <v>1472</v>
      </c>
      <c r="C173" s="142" t="s">
        <v>1473</v>
      </c>
      <c r="D173" s="143" t="str">
        <f>B173&amp;"_"&amp;E173</f>
        <v>2.2_5.9.2</v>
      </c>
      <c r="E173" s="56" t="s">
        <v>1230</v>
      </c>
      <c r="F173" s="506" t="s">
        <v>1833</v>
      </c>
      <c r="G173" s="507" t="s">
        <v>39</v>
      </c>
      <c r="H173" s="507" t="s">
        <v>39</v>
      </c>
      <c r="I173" s="507" t="s">
        <v>1834</v>
      </c>
      <c r="J173" s="507" t="s">
        <v>39</v>
      </c>
      <c r="K173" s="507" t="s">
        <v>39</v>
      </c>
      <c r="L173" s="507" t="s">
        <v>1749</v>
      </c>
      <c r="M173" s="507" t="s">
        <v>763</v>
      </c>
      <c r="N173" s="507" t="s">
        <v>1226</v>
      </c>
      <c r="O173" s="57" t="s">
        <v>1231</v>
      </c>
      <c r="P173" s="58" t="s">
        <v>846</v>
      </c>
      <c r="Q173" s="59" t="s">
        <v>1232</v>
      </c>
      <c r="R173" s="60" t="s">
        <v>792</v>
      </c>
      <c r="S173" s="61">
        <v>524</v>
      </c>
      <c r="T173" s="62">
        <f>INDEX('BM MORRO DA CRUZ'!$P$6:$P$402,MATCH($O173,'BM MORRO DA CRUZ'!$K$6:$K$402,0))</f>
        <v>9.75</v>
      </c>
      <c r="U173" s="63">
        <f>ROUND(T173*$S173,2)</f>
        <v>5109</v>
      </c>
      <c r="V173" s="61">
        <f>IFERROR(SUMIFS('01ª MC'!$W$1:$W$1840,'01ª MC'!$C$1:$C$1840,$D173),0)</f>
        <v>0</v>
      </c>
      <c r="W173" s="63">
        <f>ROUND(V173*$T173,2)</f>
        <v>0</v>
      </c>
      <c r="X173" s="61">
        <v>0</v>
      </c>
      <c r="Y173" s="63">
        <f>ROUND(X173*$T173,2)</f>
        <v>0</v>
      </c>
      <c r="Z173" s="61">
        <v>0</v>
      </c>
      <c r="AA173" s="63">
        <f>ROUND(Z173*$T173,2)</f>
        <v>0</v>
      </c>
      <c r="AB173" s="61">
        <v>0</v>
      </c>
      <c r="AC173" s="63">
        <f>ROUND(AB173*$T173,2)</f>
        <v>0</v>
      </c>
      <c r="AD173" s="61">
        <v>0</v>
      </c>
      <c r="AE173" s="63">
        <f>ROUND(AD173*$T173,2)</f>
        <v>0</v>
      </c>
      <c r="AF173" s="61">
        <v>0</v>
      </c>
      <c r="AG173" s="63">
        <f>ROUND(AF173*$T173,2)</f>
        <v>0</v>
      </c>
      <c r="AH173" s="61">
        <v>0</v>
      </c>
      <c r="AI173" s="63">
        <f>ROUND(AH173*$T173,2)</f>
        <v>0</v>
      </c>
      <c r="AJ173" s="61">
        <v>0</v>
      </c>
      <c r="AK173" s="63">
        <f>ROUND(AJ173*$T173,2)</f>
        <v>0</v>
      </c>
      <c r="AL173" s="61">
        <v>0</v>
      </c>
      <c r="AM173" s="63">
        <f>ROUND(AL173*$T173,2)</f>
        <v>0</v>
      </c>
      <c r="AN173" s="61">
        <v>0</v>
      </c>
      <c r="AO173" s="63">
        <f>ROUND(AN173*$T173,2)</f>
        <v>0</v>
      </c>
      <c r="AP173" s="61">
        <v>0</v>
      </c>
      <c r="AQ173" s="63">
        <f>ROUND(AP173*$T173,2)</f>
        <v>0</v>
      </c>
      <c r="AR173" s="61">
        <v>0</v>
      </c>
      <c r="AS173" s="63">
        <f>ROUND(AR173*$T173,2)</f>
        <v>0</v>
      </c>
      <c r="AT173" s="61">
        <v>0</v>
      </c>
      <c r="AU173" s="63">
        <f>ROUND(AT173*$T173,2)</f>
        <v>0</v>
      </c>
      <c r="AV173" s="61">
        <v>0</v>
      </c>
      <c r="AW173" s="63">
        <f>ROUND(AV173*$T173,2)</f>
        <v>0</v>
      </c>
      <c r="AX173" s="61">
        <v>0</v>
      </c>
      <c r="AY173" s="63">
        <f>ROUND(AX173*$T173,2)</f>
        <v>0</v>
      </c>
      <c r="AZ173" s="61">
        <v>0</v>
      </c>
      <c r="BA173" s="63">
        <f>ROUND(AZ173*$T173,2)</f>
        <v>0</v>
      </c>
      <c r="BB173" s="61">
        <v>0</v>
      </c>
      <c r="BC173" s="63">
        <f>ROUND(BB173*$T173,2)</f>
        <v>0</v>
      </c>
      <c r="BD173" s="61">
        <v>0</v>
      </c>
      <c r="BE173" s="63">
        <f>ROUND(BD173*$T173,2)</f>
        <v>0</v>
      </c>
      <c r="BF173" s="61">
        <f>IFERROR(SUMIFS($V173:$BE173,$V$5:$BE$5,$BF$5),0)</f>
        <v>0</v>
      </c>
      <c r="BG173" s="63">
        <f>SUMIFS($V173:$BE173,$V$5:$BE$5,$W$5)</f>
        <v>0</v>
      </c>
      <c r="BH173" s="45"/>
      <c r="BI173" s="144"/>
    </row>
    <row r="174" spans="1:61" ht="35.65" x14ac:dyDescent="0.45">
      <c r="A174" s="140">
        <v>2</v>
      </c>
      <c r="B174" s="141" t="s">
        <v>1472</v>
      </c>
      <c r="C174" s="142" t="s">
        <v>1473</v>
      </c>
      <c r="D174" s="143" t="str">
        <f>B174&amp;"_"&amp;E174</f>
        <v>2.2_5.9.3</v>
      </c>
      <c r="E174" s="56" t="s">
        <v>1233</v>
      </c>
      <c r="F174" s="506" t="s">
        <v>1835</v>
      </c>
      <c r="G174" s="507" t="s">
        <v>39</v>
      </c>
      <c r="H174" s="507" t="s">
        <v>39</v>
      </c>
      <c r="I174" s="507" t="s">
        <v>78</v>
      </c>
      <c r="J174" s="507" t="s">
        <v>39</v>
      </c>
      <c r="K174" s="507" t="s">
        <v>39</v>
      </c>
      <c r="L174" s="507" t="s">
        <v>78</v>
      </c>
      <c r="M174" s="507" t="s">
        <v>763</v>
      </c>
      <c r="N174" s="507" t="s">
        <v>78</v>
      </c>
      <c r="O174" s="57" t="s">
        <v>1234</v>
      </c>
      <c r="P174" s="58" t="s">
        <v>846</v>
      </c>
      <c r="Q174" s="59" t="s">
        <v>1235</v>
      </c>
      <c r="R174" s="60" t="s">
        <v>792</v>
      </c>
      <c r="S174" s="61">
        <v>156.36000000000001</v>
      </c>
      <c r="T174" s="62">
        <f>INDEX('BM MORRO DA CRUZ'!$P$6:$P$402,MATCH($O174,'BM MORRO DA CRUZ'!$K$6:$K$402,0))</f>
        <v>106.91</v>
      </c>
      <c r="U174" s="63">
        <f>ROUND(T174*$S174,2)</f>
        <v>16716.45</v>
      </c>
      <c r="V174" s="61">
        <f>IFERROR(SUMIFS('01ª MC'!$W$1:$W$1840,'01ª MC'!$C$1:$C$1840,$D174),0)</f>
        <v>0</v>
      </c>
      <c r="W174" s="63">
        <f>ROUND(V174*$T174,2)</f>
        <v>0</v>
      </c>
      <c r="X174" s="61">
        <v>0</v>
      </c>
      <c r="Y174" s="63">
        <f>ROUND(X174*$T174,2)</f>
        <v>0</v>
      </c>
      <c r="Z174" s="61">
        <v>0</v>
      </c>
      <c r="AA174" s="63">
        <f>ROUND(Z174*$T174,2)</f>
        <v>0</v>
      </c>
      <c r="AB174" s="61">
        <v>0</v>
      </c>
      <c r="AC174" s="63">
        <f>ROUND(AB174*$T174,2)</f>
        <v>0</v>
      </c>
      <c r="AD174" s="61">
        <v>0</v>
      </c>
      <c r="AE174" s="63">
        <f>ROUND(AD174*$T174,2)</f>
        <v>0</v>
      </c>
      <c r="AF174" s="61">
        <v>0</v>
      </c>
      <c r="AG174" s="63">
        <f>ROUND(AF174*$T174,2)</f>
        <v>0</v>
      </c>
      <c r="AH174" s="61">
        <v>0</v>
      </c>
      <c r="AI174" s="63">
        <f>ROUND(AH174*$T174,2)</f>
        <v>0</v>
      </c>
      <c r="AJ174" s="61">
        <v>0</v>
      </c>
      <c r="AK174" s="63">
        <f>ROUND(AJ174*$T174,2)</f>
        <v>0</v>
      </c>
      <c r="AL174" s="61">
        <v>0</v>
      </c>
      <c r="AM174" s="63">
        <f>ROUND(AL174*$T174,2)</f>
        <v>0</v>
      </c>
      <c r="AN174" s="61">
        <v>0</v>
      </c>
      <c r="AO174" s="63">
        <f>ROUND(AN174*$T174,2)</f>
        <v>0</v>
      </c>
      <c r="AP174" s="61">
        <v>0</v>
      </c>
      <c r="AQ174" s="63">
        <f>ROUND(AP174*$T174,2)</f>
        <v>0</v>
      </c>
      <c r="AR174" s="61">
        <v>0</v>
      </c>
      <c r="AS174" s="63">
        <f>ROUND(AR174*$T174,2)</f>
        <v>0</v>
      </c>
      <c r="AT174" s="61">
        <v>0</v>
      </c>
      <c r="AU174" s="63">
        <f>ROUND(AT174*$T174,2)</f>
        <v>0</v>
      </c>
      <c r="AV174" s="61">
        <v>0</v>
      </c>
      <c r="AW174" s="63">
        <f>ROUND(AV174*$T174,2)</f>
        <v>0</v>
      </c>
      <c r="AX174" s="61">
        <v>0</v>
      </c>
      <c r="AY174" s="63">
        <f>ROUND(AX174*$T174,2)</f>
        <v>0</v>
      </c>
      <c r="AZ174" s="61">
        <v>0</v>
      </c>
      <c r="BA174" s="63">
        <f>ROUND(AZ174*$T174,2)</f>
        <v>0</v>
      </c>
      <c r="BB174" s="61">
        <v>0</v>
      </c>
      <c r="BC174" s="63">
        <f>ROUND(BB174*$T174,2)</f>
        <v>0</v>
      </c>
      <c r="BD174" s="61">
        <v>0</v>
      </c>
      <c r="BE174" s="63">
        <f>ROUND(BD174*$T174,2)</f>
        <v>0</v>
      </c>
      <c r="BF174" s="61">
        <f>IFERROR(SUMIFS($V174:$BE174,$V$5:$BE$5,$BF$5),0)</f>
        <v>0</v>
      </c>
      <c r="BG174" s="63">
        <f>SUMIFS($V174:$BE174,$V$5:$BE$5,$W$5)</f>
        <v>0</v>
      </c>
      <c r="BH174" s="45"/>
      <c r="BI174" s="144"/>
    </row>
    <row r="175" spans="1:61" ht="26" customHeight="1" x14ac:dyDescent="0.45">
      <c r="A175" s="140">
        <v>2</v>
      </c>
      <c r="B175" s="141" t="s">
        <v>1472</v>
      </c>
      <c r="C175" s="142" t="s">
        <v>1473</v>
      </c>
      <c r="D175" s="143" t="str">
        <f>B175&amp;"_"&amp;E175</f>
        <v>2.2_5.9.4</v>
      </c>
      <c r="E175" s="56" t="s">
        <v>1236</v>
      </c>
      <c r="F175" s="506" t="s">
        <v>1836</v>
      </c>
      <c r="G175" s="507" t="s">
        <v>39</v>
      </c>
      <c r="H175" s="507" t="s">
        <v>39</v>
      </c>
      <c r="I175" s="507" t="s">
        <v>1837</v>
      </c>
      <c r="J175" s="507" t="s">
        <v>39</v>
      </c>
      <c r="K175" s="507" t="s">
        <v>39</v>
      </c>
      <c r="L175" s="507" t="s">
        <v>1749</v>
      </c>
      <c r="M175" s="507" t="s">
        <v>763</v>
      </c>
      <c r="N175" s="507" t="s">
        <v>1226</v>
      </c>
      <c r="O175" s="57" t="s">
        <v>1237</v>
      </c>
      <c r="P175" s="58" t="s">
        <v>846</v>
      </c>
      <c r="Q175" s="59" t="s">
        <v>1238</v>
      </c>
      <c r="R175" s="60" t="s">
        <v>792</v>
      </c>
      <c r="S175" s="61">
        <v>524</v>
      </c>
      <c r="T175" s="62">
        <f>INDEX('BM MORRO DA CRUZ'!$P$6:$P$402,MATCH($O175,'BM MORRO DA CRUZ'!$K$6:$K$402,0))</f>
        <v>3.17</v>
      </c>
      <c r="U175" s="63">
        <f>ROUND(T175*$S175,2)</f>
        <v>1661.08</v>
      </c>
      <c r="V175" s="61">
        <f>IFERROR(SUMIFS('01ª MC'!$W$1:$W$1840,'01ª MC'!$C$1:$C$1840,$D175),0)</f>
        <v>0</v>
      </c>
      <c r="W175" s="63">
        <f>ROUND(V175*$T175,2)</f>
        <v>0</v>
      </c>
      <c r="X175" s="61">
        <v>0</v>
      </c>
      <c r="Y175" s="63">
        <f>ROUND(X175*$T175,2)</f>
        <v>0</v>
      </c>
      <c r="Z175" s="61">
        <v>0</v>
      </c>
      <c r="AA175" s="63">
        <f>ROUND(Z175*$T175,2)</f>
        <v>0</v>
      </c>
      <c r="AB175" s="61">
        <v>0</v>
      </c>
      <c r="AC175" s="63">
        <f>ROUND(AB175*$T175,2)</f>
        <v>0</v>
      </c>
      <c r="AD175" s="61">
        <v>0</v>
      </c>
      <c r="AE175" s="63">
        <f>ROUND(AD175*$T175,2)</f>
        <v>0</v>
      </c>
      <c r="AF175" s="61">
        <v>0</v>
      </c>
      <c r="AG175" s="63">
        <f>ROUND(AF175*$T175,2)</f>
        <v>0</v>
      </c>
      <c r="AH175" s="61">
        <v>0</v>
      </c>
      <c r="AI175" s="63">
        <f>ROUND(AH175*$T175,2)</f>
        <v>0</v>
      </c>
      <c r="AJ175" s="61">
        <v>0</v>
      </c>
      <c r="AK175" s="63">
        <f>ROUND(AJ175*$T175,2)</f>
        <v>0</v>
      </c>
      <c r="AL175" s="61">
        <v>0</v>
      </c>
      <c r="AM175" s="63">
        <f>ROUND(AL175*$T175,2)</f>
        <v>0</v>
      </c>
      <c r="AN175" s="61">
        <v>0</v>
      </c>
      <c r="AO175" s="63">
        <f>ROUND(AN175*$T175,2)</f>
        <v>0</v>
      </c>
      <c r="AP175" s="61">
        <v>0</v>
      </c>
      <c r="AQ175" s="63">
        <f>ROUND(AP175*$T175,2)</f>
        <v>0</v>
      </c>
      <c r="AR175" s="61">
        <v>0</v>
      </c>
      <c r="AS175" s="63">
        <f>ROUND(AR175*$T175,2)</f>
        <v>0</v>
      </c>
      <c r="AT175" s="61">
        <v>0</v>
      </c>
      <c r="AU175" s="63">
        <f>ROUND(AT175*$T175,2)</f>
        <v>0</v>
      </c>
      <c r="AV175" s="61">
        <v>0</v>
      </c>
      <c r="AW175" s="63">
        <f>ROUND(AV175*$T175,2)</f>
        <v>0</v>
      </c>
      <c r="AX175" s="61">
        <v>0</v>
      </c>
      <c r="AY175" s="63">
        <f>ROUND(AX175*$T175,2)</f>
        <v>0</v>
      </c>
      <c r="AZ175" s="61">
        <v>0</v>
      </c>
      <c r="BA175" s="63">
        <f>ROUND(AZ175*$T175,2)</f>
        <v>0</v>
      </c>
      <c r="BB175" s="61">
        <v>0</v>
      </c>
      <c r="BC175" s="63">
        <f>ROUND(BB175*$T175,2)</f>
        <v>0</v>
      </c>
      <c r="BD175" s="61">
        <v>0</v>
      </c>
      <c r="BE175" s="63">
        <f>ROUND(BD175*$T175,2)</f>
        <v>0</v>
      </c>
      <c r="BF175" s="61">
        <f>IFERROR(SUMIFS($V175:$BE175,$V$5:$BE$5,$BF$5),0)</f>
        <v>0</v>
      </c>
      <c r="BG175" s="63">
        <f>SUMIFS($V175:$BE175,$V$5:$BE$5,$W$5)</f>
        <v>0</v>
      </c>
      <c r="BH175" s="45"/>
      <c r="BI175" s="144"/>
    </row>
    <row r="176" spans="1:61" ht="35.65" x14ac:dyDescent="0.45">
      <c r="A176" s="140">
        <v>2</v>
      </c>
      <c r="B176" s="141" t="s">
        <v>1472</v>
      </c>
      <c r="C176" s="142" t="s">
        <v>1473</v>
      </c>
      <c r="D176" s="143" t="str">
        <f>B176&amp;"_"&amp;E176</f>
        <v>2.2_5.9.5</v>
      </c>
      <c r="E176" s="56" t="s">
        <v>1239</v>
      </c>
      <c r="F176" s="506" t="s">
        <v>1838</v>
      </c>
      <c r="G176" s="507" t="s">
        <v>39</v>
      </c>
      <c r="H176" s="507" t="s">
        <v>39</v>
      </c>
      <c r="I176" s="507" t="s">
        <v>1738</v>
      </c>
      <c r="J176" s="507" t="s">
        <v>39</v>
      </c>
      <c r="K176" s="507" t="s">
        <v>39</v>
      </c>
      <c r="L176" s="507" t="s">
        <v>78</v>
      </c>
      <c r="M176" s="507" t="s">
        <v>763</v>
      </c>
      <c r="N176" s="507" t="s">
        <v>1738</v>
      </c>
      <c r="O176" s="57" t="s">
        <v>1240</v>
      </c>
      <c r="P176" s="58" t="s">
        <v>846</v>
      </c>
      <c r="Q176" s="59" t="s">
        <v>1241</v>
      </c>
      <c r="R176" s="60" t="s">
        <v>755</v>
      </c>
      <c r="S176" s="61">
        <v>15.72</v>
      </c>
      <c r="T176" s="62">
        <f>INDEX('BM MORRO DA CRUZ'!$P$6:$P$402,MATCH($O176,'BM MORRO DA CRUZ'!$K$6:$K$402,0))</f>
        <v>2299.2600000000002</v>
      </c>
      <c r="U176" s="63">
        <f>ROUND(T176*$S176,2)</f>
        <v>36144.370000000003</v>
      </c>
      <c r="V176" s="61">
        <f>IFERROR(SUMIFS('01ª MC'!$W$1:$W$1840,'01ª MC'!$C$1:$C$1840,$D176),0)</f>
        <v>0</v>
      </c>
      <c r="W176" s="63">
        <f>ROUND(V176*$T176,2)</f>
        <v>0</v>
      </c>
      <c r="X176" s="61">
        <v>0</v>
      </c>
      <c r="Y176" s="63">
        <f>ROUND(X176*$T176,2)</f>
        <v>0</v>
      </c>
      <c r="Z176" s="61">
        <v>0</v>
      </c>
      <c r="AA176" s="63">
        <f>ROUND(Z176*$T176,2)</f>
        <v>0</v>
      </c>
      <c r="AB176" s="61">
        <v>0</v>
      </c>
      <c r="AC176" s="63">
        <f>ROUND(AB176*$T176,2)</f>
        <v>0</v>
      </c>
      <c r="AD176" s="61">
        <v>0</v>
      </c>
      <c r="AE176" s="63">
        <f>ROUND(AD176*$T176,2)</f>
        <v>0</v>
      </c>
      <c r="AF176" s="61">
        <v>0</v>
      </c>
      <c r="AG176" s="63">
        <f>ROUND(AF176*$T176,2)</f>
        <v>0</v>
      </c>
      <c r="AH176" s="61">
        <v>0</v>
      </c>
      <c r="AI176" s="63">
        <f>ROUND(AH176*$T176,2)</f>
        <v>0</v>
      </c>
      <c r="AJ176" s="61">
        <v>0</v>
      </c>
      <c r="AK176" s="63">
        <f>ROUND(AJ176*$T176,2)</f>
        <v>0</v>
      </c>
      <c r="AL176" s="61">
        <v>0</v>
      </c>
      <c r="AM176" s="63">
        <f>ROUND(AL176*$T176,2)</f>
        <v>0</v>
      </c>
      <c r="AN176" s="61">
        <v>0</v>
      </c>
      <c r="AO176" s="63">
        <f>ROUND(AN176*$T176,2)</f>
        <v>0</v>
      </c>
      <c r="AP176" s="61">
        <v>0</v>
      </c>
      <c r="AQ176" s="63">
        <f>ROUND(AP176*$T176,2)</f>
        <v>0</v>
      </c>
      <c r="AR176" s="61">
        <v>0</v>
      </c>
      <c r="AS176" s="63">
        <f>ROUND(AR176*$T176,2)</f>
        <v>0</v>
      </c>
      <c r="AT176" s="61">
        <v>0</v>
      </c>
      <c r="AU176" s="63">
        <f>ROUND(AT176*$T176,2)</f>
        <v>0</v>
      </c>
      <c r="AV176" s="61">
        <v>0</v>
      </c>
      <c r="AW176" s="63">
        <f>ROUND(AV176*$T176,2)</f>
        <v>0</v>
      </c>
      <c r="AX176" s="61">
        <v>0</v>
      </c>
      <c r="AY176" s="63">
        <f>ROUND(AX176*$T176,2)</f>
        <v>0</v>
      </c>
      <c r="AZ176" s="61">
        <v>0</v>
      </c>
      <c r="BA176" s="63">
        <f>ROUND(AZ176*$T176,2)</f>
        <v>0</v>
      </c>
      <c r="BB176" s="61">
        <v>0</v>
      </c>
      <c r="BC176" s="63">
        <f>ROUND(BB176*$T176,2)</f>
        <v>0</v>
      </c>
      <c r="BD176" s="61">
        <v>0</v>
      </c>
      <c r="BE176" s="63">
        <f>ROUND(BD176*$T176,2)</f>
        <v>0</v>
      </c>
      <c r="BF176" s="61">
        <f>IFERROR(SUMIFS($V176:$BE176,$V$5:$BE$5,$BF$5),0)</f>
        <v>0</v>
      </c>
      <c r="BG176" s="63">
        <f>SUMIFS($V176:$BE176,$V$5:$BE$5,$W$5)</f>
        <v>0</v>
      </c>
      <c r="BH176" s="45"/>
      <c r="BI176" s="144"/>
    </row>
    <row r="177" spans="1:61" ht="19.5" customHeight="1" x14ac:dyDescent="0.45">
      <c r="A177" s="128">
        <v>2</v>
      </c>
      <c r="B177" s="129"/>
      <c r="C177" s="130"/>
      <c r="D177" s="131"/>
      <c r="E177" s="132" t="s">
        <v>1296</v>
      </c>
      <c r="F177" s="515"/>
      <c r="G177" s="516"/>
      <c r="H177" s="516"/>
      <c r="I177" s="516"/>
      <c r="J177" s="516"/>
      <c r="K177" s="516"/>
      <c r="L177" s="516"/>
      <c r="M177" s="516"/>
      <c r="N177" s="516"/>
      <c r="O177" s="133" t="s">
        <v>1297</v>
      </c>
      <c r="P177" s="134"/>
      <c r="Q177" s="135" t="s">
        <v>1298</v>
      </c>
      <c r="R177" s="136"/>
      <c r="S177" s="137"/>
      <c r="T177" s="138"/>
      <c r="U177" s="139">
        <f>SUM(U178:U180)</f>
        <v>160969.96999999997</v>
      </c>
      <c r="V177" s="137"/>
      <c r="W177" s="139">
        <f>SUM(W178:W180)</f>
        <v>0</v>
      </c>
      <c r="X177" s="137"/>
      <c r="Y177" s="139">
        <f>SUM(Y178:Y180)</f>
        <v>0</v>
      </c>
      <c r="Z177" s="137"/>
      <c r="AA177" s="139">
        <f>SUM(AA178:AA180)</f>
        <v>0</v>
      </c>
      <c r="AB177" s="137"/>
      <c r="AC177" s="139">
        <f>SUM(AC178:AC180)</f>
        <v>0</v>
      </c>
      <c r="AD177" s="137"/>
      <c r="AE177" s="139">
        <f>SUM(AE178:AE180)</f>
        <v>0</v>
      </c>
      <c r="AF177" s="137"/>
      <c r="AG177" s="139">
        <f>SUM(AG178:AG180)</f>
        <v>0</v>
      </c>
      <c r="AH177" s="137"/>
      <c r="AI177" s="139">
        <f>SUM(AI178:AI180)</f>
        <v>0</v>
      </c>
      <c r="AJ177" s="137"/>
      <c r="AK177" s="139">
        <f>SUM(AK178:AK180)</f>
        <v>0</v>
      </c>
      <c r="AL177" s="137"/>
      <c r="AM177" s="139">
        <f>SUM(AM178:AM180)</f>
        <v>0</v>
      </c>
      <c r="AN177" s="137"/>
      <c r="AO177" s="139">
        <f>SUM(AO178:AO180)</f>
        <v>0</v>
      </c>
      <c r="AP177" s="137"/>
      <c r="AQ177" s="139">
        <f>SUM(AQ178:AQ180)</f>
        <v>0</v>
      </c>
      <c r="AR177" s="137"/>
      <c r="AS177" s="139">
        <f>SUM(AS178:AS180)</f>
        <v>0</v>
      </c>
      <c r="AT177" s="137"/>
      <c r="AU177" s="139">
        <f>SUM(AU178:AU180)</f>
        <v>0</v>
      </c>
      <c r="AV177" s="137"/>
      <c r="AW177" s="139">
        <f>SUM(AW178:AW180)</f>
        <v>0</v>
      </c>
      <c r="AX177" s="137"/>
      <c r="AY177" s="139">
        <f>SUM(AY178:AY180)</f>
        <v>0</v>
      </c>
      <c r="AZ177" s="137"/>
      <c r="BA177" s="139">
        <f>SUM(BA178:BA180)</f>
        <v>0</v>
      </c>
      <c r="BB177" s="137"/>
      <c r="BC177" s="139">
        <f>SUM(BC178:BC180)</f>
        <v>0</v>
      </c>
      <c r="BD177" s="137"/>
      <c r="BE177" s="139">
        <f>SUM(BE178:BE180)</f>
        <v>0</v>
      </c>
      <c r="BF177" s="137"/>
      <c r="BG177" s="139">
        <f>SUM(BG178:BG180)</f>
        <v>0</v>
      </c>
      <c r="BH177" s="45"/>
    </row>
    <row r="178" spans="1:61" ht="26" customHeight="1" x14ac:dyDescent="0.45">
      <c r="A178" s="140">
        <v>2</v>
      </c>
      <c r="B178" s="141" t="s">
        <v>1472</v>
      </c>
      <c r="C178" s="142" t="s">
        <v>1473</v>
      </c>
      <c r="D178" s="143" t="str">
        <f>B178&amp;"_"&amp;E178</f>
        <v>2.2_5.14.1</v>
      </c>
      <c r="E178" s="56" t="s">
        <v>1299</v>
      </c>
      <c r="F178" s="506" t="s">
        <v>1301</v>
      </c>
      <c r="G178" s="507" t="s">
        <v>39</v>
      </c>
      <c r="H178" s="507" t="s">
        <v>39</v>
      </c>
      <c r="I178" s="507" t="s">
        <v>1832</v>
      </c>
      <c r="J178" s="507" t="s">
        <v>39</v>
      </c>
      <c r="K178" s="507" t="s">
        <v>39</v>
      </c>
      <c r="L178" s="507" t="s">
        <v>39</v>
      </c>
      <c r="M178" s="507" t="s">
        <v>763</v>
      </c>
      <c r="N178" s="507" t="s">
        <v>1298</v>
      </c>
      <c r="O178" s="57" t="s">
        <v>1300</v>
      </c>
      <c r="P178" s="58" t="s">
        <v>846</v>
      </c>
      <c r="Q178" s="59" t="s">
        <v>1301</v>
      </c>
      <c r="R178" s="60" t="s">
        <v>755</v>
      </c>
      <c r="S178" s="61">
        <v>44196.57</v>
      </c>
      <c r="T178" s="62">
        <f>INDEX('BM MORRO DA CRUZ'!$P$6:$P$402,MATCH($O178,'BM MORRO DA CRUZ'!$K$6:$K$402,0))</f>
        <v>1.86</v>
      </c>
      <c r="U178" s="63">
        <f>ROUND(T178*$S178,2)</f>
        <v>82205.62</v>
      </c>
      <c r="V178" s="61">
        <f>IFERROR(SUMIFS('01ª MC'!$W$1:$W$1840,'01ª MC'!$C$1:$C$1840,$D178),0)</f>
        <v>0</v>
      </c>
      <c r="W178" s="63">
        <f>ROUND(V178*$T178,2)</f>
        <v>0</v>
      </c>
      <c r="X178" s="61">
        <v>0</v>
      </c>
      <c r="Y178" s="63">
        <f>ROUND(X178*$T178,2)</f>
        <v>0</v>
      </c>
      <c r="Z178" s="61">
        <v>0</v>
      </c>
      <c r="AA178" s="63">
        <f>ROUND(Z178*$T178,2)</f>
        <v>0</v>
      </c>
      <c r="AB178" s="61">
        <v>0</v>
      </c>
      <c r="AC178" s="63">
        <f>ROUND(AB178*$T178,2)</f>
        <v>0</v>
      </c>
      <c r="AD178" s="61">
        <v>0</v>
      </c>
      <c r="AE178" s="63">
        <f>ROUND(AD178*$T178,2)</f>
        <v>0</v>
      </c>
      <c r="AF178" s="61">
        <v>0</v>
      </c>
      <c r="AG178" s="63">
        <f>ROUND(AF178*$T178,2)</f>
        <v>0</v>
      </c>
      <c r="AH178" s="61">
        <v>0</v>
      </c>
      <c r="AI178" s="63">
        <f>ROUND(AH178*$T178,2)</f>
        <v>0</v>
      </c>
      <c r="AJ178" s="61">
        <v>0</v>
      </c>
      <c r="AK178" s="63">
        <f>ROUND(AJ178*$T178,2)</f>
        <v>0</v>
      </c>
      <c r="AL178" s="61">
        <v>0</v>
      </c>
      <c r="AM178" s="63">
        <f>ROUND(AL178*$T178,2)</f>
        <v>0</v>
      </c>
      <c r="AN178" s="61">
        <v>0</v>
      </c>
      <c r="AO178" s="63">
        <f>ROUND(AN178*$T178,2)</f>
        <v>0</v>
      </c>
      <c r="AP178" s="61">
        <v>0</v>
      </c>
      <c r="AQ178" s="63">
        <f>ROUND(AP178*$T178,2)</f>
        <v>0</v>
      </c>
      <c r="AR178" s="61">
        <v>0</v>
      </c>
      <c r="AS178" s="63">
        <f>ROUND(AR178*$T178,2)</f>
        <v>0</v>
      </c>
      <c r="AT178" s="61">
        <v>0</v>
      </c>
      <c r="AU178" s="63">
        <f>ROUND(AT178*$T178,2)</f>
        <v>0</v>
      </c>
      <c r="AV178" s="61">
        <v>0</v>
      </c>
      <c r="AW178" s="63">
        <f>ROUND(AV178*$T178,2)</f>
        <v>0</v>
      </c>
      <c r="AX178" s="61">
        <v>0</v>
      </c>
      <c r="AY178" s="63">
        <f>ROUND(AX178*$T178,2)</f>
        <v>0</v>
      </c>
      <c r="AZ178" s="61">
        <v>0</v>
      </c>
      <c r="BA178" s="63">
        <f>ROUND(AZ178*$T178,2)</f>
        <v>0</v>
      </c>
      <c r="BB178" s="61">
        <v>0</v>
      </c>
      <c r="BC178" s="63">
        <f>ROUND(BB178*$T178,2)</f>
        <v>0</v>
      </c>
      <c r="BD178" s="61">
        <v>0</v>
      </c>
      <c r="BE178" s="63">
        <f>ROUND(BD178*$T178,2)</f>
        <v>0</v>
      </c>
      <c r="BF178" s="61">
        <f>IFERROR(SUMIFS($V178:$BE178,$V$5:$BE$5,$BF$5),0)</f>
        <v>0</v>
      </c>
      <c r="BG178" s="63">
        <f>SUMIFS($V178:$BE178,$V$5:$BE$5,$W$5)</f>
        <v>0</v>
      </c>
      <c r="BH178" s="45"/>
      <c r="BI178" s="144"/>
    </row>
    <row r="179" spans="1:61" ht="26" customHeight="1" x14ac:dyDescent="0.45">
      <c r="A179" s="140">
        <v>2</v>
      </c>
      <c r="B179" s="141" t="s">
        <v>1472</v>
      </c>
      <c r="C179" s="142" t="s">
        <v>1473</v>
      </c>
      <c r="D179" s="143" t="str">
        <f>B179&amp;"_"&amp;E179</f>
        <v>2.2_5.14.5</v>
      </c>
      <c r="E179" s="56" t="s">
        <v>1311</v>
      </c>
      <c r="F179" s="506" t="s">
        <v>1860</v>
      </c>
      <c r="G179" s="507" t="s">
        <v>39</v>
      </c>
      <c r="H179" s="507" t="s">
        <v>39</v>
      </c>
      <c r="I179" s="507" t="s">
        <v>1861</v>
      </c>
      <c r="J179" s="507" t="s">
        <v>39</v>
      </c>
      <c r="K179" s="507" t="s">
        <v>39</v>
      </c>
      <c r="L179" s="507" t="s">
        <v>39</v>
      </c>
      <c r="M179" s="507" t="s">
        <v>763</v>
      </c>
      <c r="N179" s="507" t="s">
        <v>1298</v>
      </c>
      <c r="O179" s="57" t="s">
        <v>1312</v>
      </c>
      <c r="P179" s="58" t="s">
        <v>846</v>
      </c>
      <c r="Q179" s="59" t="s">
        <v>1313</v>
      </c>
      <c r="R179" s="60" t="s">
        <v>792</v>
      </c>
      <c r="S179" s="61">
        <v>111219.2</v>
      </c>
      <c r="T179" s="62">
        <f>INDEX('BM MORRO DA CRUZ'!$P$6:$P$402,MATCH($O179,'BM MORRO DA CRUZ'!$K$6:$K$402,0))</f>
        <v>0.66</v>
      </c>
      <c r="U179" s="63">
        <f>ROUND(T179*$S179,2)</f>
        <v>73404.67</v>
      </c>
      <c r="V179" s="61">
        <f>IFERROR(SUMIFS('01ª MC'!$W$1:$W$1840,'01ª MC'!$C$1:$C$1840,$D179),0)</f>
        <v>0</v>
      </c>
      <c r="W179" s="63">
        <f>ROUND(V179*$T179,2)</f>
        <v>0</v>
      </c>
      <c r="X179" s="61">
        <v>0</v>
      </c>
      <c r="Y179" s="63">
        <f>ROUND(X179*$T179,2)</f>
        <v>0</v>
      </c>
      <c r="Z179" s="61">
        <v>0</v>
      </c>
      <c r="AA179" s="63">
        <f>ROUND(Z179*$T179,2)</f>
        <v>0</v>
      </c>
      <c r="AB179" s="61">
        <v>0</v>
      </c>
      <c r="AC179" s="63">
        <f>ROUND(AB179*$T179,2)</f>
        <v>0</v>
      </c>
      <c r="AD179" s="61">
        <v>0</v>
      </c>
      <c r="AE179" s="63">
        <f>ROUND(AD179*$T179,2)</f>
        <v>0</v>
      </c>
      <c r="AF179" s="61">
        <v>0</v>
      </c>
      <c r="AG179" s="63">
        <f>ROUND(AF179*$T179,2)</f>
        <v>0</v>
      </c>
      <c r="AH179" s="61">
        <v>0</v>
      </c>
      <c r="AI179" s="63">
        <f>ROUND(AH179*$T179,2)</f>
        <v>0</v>
      </c>
      <c r="AJ179" s="61">
        <v>0</v>
      </c>
      <c r="AK179" s="63">
        <f>ROUND(AJ179*$T179,2)</f>
        <v>0</v>
      </c>
      <c r="AL179" s="61">
        <v>0</v>
      </c>
      <c r="AM179" s="63">
        <f>ROUND(AL179*$T179,2)</f>
        <v>0</v>
      </c>
      <c r="AN179" s="61">
        <v>0</v>
      </c>
      <c r="AO179" s="63">
        <f>ROUND(AN179*$T179,2)</f>
        <v>0</v>
      </c>
      <c r="AP179" s="61">
        <v>0</v>
      </c>
      <c r="AQ179" s="63">
        <f>ROUND(AP179*$T179,2)</f>
        <v>0</v>
      </c>
      <c r="AR179" s="61">
        <v>0</v>
      </c>
      <c r="AS179" s="63">
        <f>ROUND(AR179*$T179,2)</f>
        <v>0</v>
      </c>
      <c r="AT179" s="61">
        <v>0</v>
      </c>
      <c r="AU179" s="63">
        <f>ROUND(AT179*$T179,2)</f>
        <v>0</v>
      </c>
      <c r="AV179" s="61">
        <v>0</v>
      </c>
      <c r="AW179" s="63">
        <f>ROUND(AV179*$T179,2)</f>
        <v>0</v>
      </c>
      <c r="AX179" s="61">
        <v>0</v>
      </c>
      <c r="AY179" s="63">
        <f>ROUND(AX179*$T179,2)</f>
        <v>0</v>
      </c>
      <c r="AZ179" s="61">
        <v>0</v>
      </c>
      <c r="BA179" s="63">
        <f>ROUND(AZ179*$T179,2)</f>
        <v>0</v>
      </c>
      <c r="BB179" s="61">
        <v>0</v>
      </c>
      <c r="BC179" s="63">
        <f>ROUND(BB179*$T179,2)</f>
        <v>0</v>
      </c>
      <c r="BD179" s="61">
        <v>0</v>
      </c>
      <c r="BE179" s="63">
        <f>ROUND(BD179*$T179,2)</f>
        <v>0</v>
      </c>
      <c r="BF179" s="61">
        <f>IFERROR(SUMIFS($V179:$BE179,$V$5:$BE$5,$BF$5),0)</f>
        <v>0</v>
      </c>
      <c r="BG179" s="63">
        <f>SUMIFS($V179:$BE179,$V$5:$BE$5,$W$5)</f>
        <v>0</v>
      </c>
      <c r="BH179" s="45"/>
      <c r="BI179" s="144"/>
    </row>
    <row r="180" spans="1:61" ht="26" customHeight="1" x14ac:dyDescent="0.45">
      <c r="A180" s="140">
        <v>2</v>
      </c>
      <c r="B180" s="141" t="s">
        <v>1472</v>
      </c>
      <c r="C180" s="142" t="s">
        <v>1473</v>
      </c>
      <c r="D180" s="143" t="str">
        <f>B180&amp;"_"&amp;E180</f>
        <v>2.2_5.14.6</v>
      </c>
      <c r="E180" s="56" t="s">
        <v>1314</v>
      </c>
      <c r="F180" s="506" t="s">
        <v>1316</v>
      </c>
      <c r="G180" s="507" t="s">
        <v>39</v>
      </c>
      <c r="H180" s="507" t="s">
        <v>39</v>
      </c>
      <c r="I180" s="507" t="s">
        <v>1862</v>
      </c>
      <c r="J180" s="507" t="s">
        <v>39</v>
      </c>
      <c r="K180" s="507" t="s">
        <v>39</v>
      </c>
      <c r="L180" s="507" t="s">
        <v>226</v>
      </c>
      <c r="M180" s="507" t="s">
        <v>763</v>
      </c>
      <c r="N180" s="507" t="s">
        <v>1726</v>
      </c>
      <c r="O180" s="57" t="s">
        <v>1315</v>
      </c>
      <c r="P180" s="58" t="s">
        <v>846</v>
      </c>
      <c r="Q180" s="59" t="s">
        <v>1316</v>
      </c>
      <c r="R180" s="60" t="s">
        <v>792</v>
      </c>
      <c r="S180" s="61">
        <v>8</v>
      </c>
      <c r="T180" s="62">
        <f>INDEX('BM MORRO DA CRUZ'!$P$6:$P$402,MATCH($O180,'BM MORRO DA CRUZ'!$K$6:$K$402,0))</f>
        <v>669.96</v>
      </c>
      <c r="U180" s="63">
        <f>ROUND(T180*$S180,2)</f>
        <v>5359.68</v>
      </c>
      <c r="V180" s="61">
        <f>IFERROR(SUMIFS('01ª MC'!$W$1:$W$1840,'01ª MC'!$C$1:$C$1840,$D180),0)</f>
        <v>0</v>
      </c>
      <c r="W180" s="63">
        <f>ROUND(V180*$T180,2)</f>
        <v>0</v>
      </c>
      <c r="X180" s="61">
        <v>0</v>
      </c>
      <c r="Y180" s="63">
        <f>ROUND(X180*$T180,2)</f>
        <v>0</v>
      </c>
      <c r="Z180" s="61">
        <v>0</v>
      </c>
      <c r="AA180" s="63">
        <f>ROUND(Z180*$T180,2)</f>
        <v>0</v>
      </c>
      <c r="AB180" s="61">
        <v>0</v>
      </c>
      <c r="AC180" s="63">
        <f>ROUND(AB180*$T180,2)</f>
        <v>0</v>
      </c>
      <c r="AD180" s="61">
        <v>0</v>
      </c>
      <c r="AE180" s="63">
        <f>ROUND(AD180*$T180,2)</f>
        <v>0</v>
      </c>
      <c r="AF180" s="61">
        <v>0</v>
      </c>
      <c r="AG180" s="63">
        <f>ROUND(AF180*$T180,2)</f>
        <v>0</v>
      </c>
      <c r="AH180" s="61">
        <v>0</v>
      </c>
      <c r="AI180" s="63">
        <f>ROUND(AH180*$T180,2)</f>
        <v>0</v>
      </c>
      <c r="AJ180" s="61">
        <v>0</v>
      </c>
      <c r="AK180" s="63">
        <f>ROUND(AJ180*$T180,2)</f>
        <v>0</v>
      </c>
      <c r="AL180" s="61">
        <v>0</v>
      </c>
      <c r="AM180" s="63">
        <f>ROUND(AL180*$T180,2)</f>
        <v>0</v>
      </c>
      <c r="AN180" s="61">
        <v>0</v>
      </c>
      <c r="AO180" s="63">
        <f>ROUND(AN180*$T180,2)</f>
        <v>0</v>
      </c>
      <c r="AP180" s="61">
        <v>0</v>
      </c>
      <c r="AQ180" s="63">
        <f>ROUND(AP180*$T180,2)</f>
        <v>0</v>
      </c>
      <c r="AR180" s="61">
        <v>0</v>
      </c>
      <c r="AS180" s="63">
        <f>ROUND(AR180*$T180,2)</f>
        <v>0</v>
      </c>
      <c r="AT180" s="61">
        <v>0</v>
      </c>
      <c r="AU180" s="63">
        <f>ROUND(AT180*$T180,2)</f>
        <v>0</v>
      </c>
      <c r="AV180" s="61">
        <v>0</v>
      </c>
      <c r="AW180" s="63">
        <f>ROUND(AV180*$T180,2)</f>
        <v>0</v>
      </c>
      <c r="AX180" s="61">
        <v>0</v>
      </c>
      <c r="AY180" s="63">
        <f>ROUND(AX180*$T180,2)</f>
        <v>0</v>
      </c>
      <c r="AZ180" s="61">
        <v>0</v>
      </c>
      <c r="BA180" s="63">
        <f>ROUND(AZ180*$T180,2)</f>
        <v>0</v>
      </c>
      <c r="BB180" s="61">
        <v>0</v>
      </c>
      <c r="BC180" s="63">
        <f>ROUND(BB180*$T180,2)</f>
        <v>0</v>
      </c>
      <c r="BD180" s="61">
        <v>0</v>
      </c>
      <c r="BE180" s="63">
        <f>ROUND(BD180*$T180,2)</f>
        <v>0</v>
      </c>
      <c r="BF180" s="61">
        <f>IFERROR(SUMIFS($V180:$BE180,$V$5:$BE$5,$BF$5),0)</f>
        <v>0</v>
      </c>
      <c r="BG180" s="63">
        <f>SUMIFS($V180:$BE180,$V$5:$BE$5,$W$5)</f>
        <v>0</v>
      </c>
      <c r="BH180" s="45"/>
      <c r="BI180" s="144"/>
    </row>
    <row r="181" spans="1:61" ht="19.5" customHeight="1" x14ac:dyDescent="0.45">
      <c r="A181" s="128">
        <v>2</v>
      </c>
      <c r="B181" s="129"/>
      <c r="C181" s="130"/>
      <c r="D181" s="131"/>
      <c r="E181" s="132" t="s">
        <v>1329</v>
      </c>
      <c r="F181" s="515"/>
      <c r="G181" s="516"/>
      <c r="H181" s="516"/>
      <c r="I181" s="516"/>
      <c r="J181" s="516"/>
      <c r="K181" s="516"/>
      <c r="L181" s="516"/>
      <c r="M181" s="516"/>
      <c r="N181" s="516"/>
      <c r="O181" s="133" t="s">
        <v>1330</v>
      </c>
      <c r="P181" s="134"/>
      <c r="Q181" s="135" t="s">
        <v>1331</v>
      </c>
      <c r="R181" s="136"/>
      <c r="S181" s="137"/>
      <c r="T181" s="138"/>
      <c r="U181" s="139">
        <f>SUM(U182:U188)</f>
        <v>1167066.9500000002</v>
      </c>
      <c r="V181" s="137"/>
      <c r="W181" s="139">
        <f>SUM(W182:W188)</f>
        <v>0</v>
      </c>
      <c r="X181" s="137"/>
      <c r="Y181" s="139">
        <f>SUM(Y182:Y188)</f>
        <v>0</v>
      </c>
      <c r="Z181" s="137"/>
      <c r="AA181" s="139">
        <f>SUM(AA182:AA188)</f>
        <v>0</v>
      </c>
      <c r="AB181" s="137"/>
      <c r="AC181" s="139">
        <f>SUM(AC182:AC188)</f>
        <v>0</v>
      </c>
      <c r="AD181" s="137"/>
      <c r="AE181" s="139">
        <f>SUM(AE182:AE188)</f>
        <v>0</v>
      </c>
      <c r="AF181" s="137"/>
      <c r="AG181" s="139">
        <f>SUM(AG182:AG188)</f>
        <v>0</v>
      </c>
      <c r="AH181" s="137"/>
      <c r="AI181" s="139">
        <f>SUM(AI182:AI188)</f>
        <v>0</v>
      </c>
      <c r="AJ181" s="137"/>
      <c r="AK181" s="139">
        <f>SUM(AK182:AK188)</f>
        <v>0</v>
      </c>
      <c r="AL181" s="137"/>
      <c r="AM181" s="139">
        <f>SUM(AM182:AM188)</f>
        <v>0</v>
      </c>
      <c r="AN181" s="137"/>
      <c r="AO181" s="139">
        <f>SUM(AO182:AO188)</f>
        <v>0</v>
      </c>
      <c r="AP181" s="137"/>
      <c r="AQ181" s="139">
        <f>SUM(AQ182:AQ188)</f>
        <v>0</v>
      </c>
      <c r="AR181" s="137"/>
      <c r="AS181" s="139">
        <f>SUM(AS182:AS188)</f>
        <v>0</v>
      </c>
      <c r="AT181" s="137"/>
      <c r="AU181" s="139">
        <f>SUM(AU182:AU188)</f>
        <v>0</v>
      </c>
      <c r="AV181" s="137"/>
      <c r="AW181" s="139">
        <f>SUM(AW182:AW188)</f>
        <v>0</v>
      </c>
      <c r="AX181" s="137"/>
      <c r="AY181" s="139">
        <f>SUM(AY182:AY188)</f>
        <v>0</v>
      </c>
      <c r="AZ181" s="137"/>
      <c r="BA181" s="139">
        <f>SUM(BA182:BA188)</f>
        <v>0</v>
      </c>
      <c r="BB181" s="137"/>
      <c r="BC181" s="139">
        <f>SUM(BC182:BC188)</f>
        <v>0</v>
      </c>
      <c r="BD181" s="137"/>
      <c r="BE181" s="139">
        <f>SUM(BE182:BE188)</f>
        <v>0</v>
      </c>
      <c r="BF181" s="137"/>
      <c r="BG181" s="139">
        <f>SUM(BG182:BG188)</f>
        <v>0</v>
      </c>
      <c r="BH181" s="45"/>
    </row>
    <row r="182" spans="1:61" ht="26" customHeight="1" x14ac:dyDescent="0.45">
      <c r="A182" s="140">
        <v>2</v>
      </c>
      <c r="B182" s="141" t="s">
        <v>1472</v>
      </c>
      <c r="C182" s="142" t="s">
        <v>1473</v>
      </c>
      <c r="D182" s="143" t="str">
        <f t="shared" ref="D182:D188" si="88">B182&amp;"_"&amp;E182</f>
        <v>2.2_5.16.1</v>
      </c>
      <c r="E182" s="56" t="s">
        <v>1332</v>
      </c>
      <c r="F182" s="506" t="s">
        <v>1868</v>
      </c>
      <c r="G182" s="507" t="s">
        <v>39</v>
      </c>
      <c r="H182" s="507" t="s">
        <v>1795</v>
      </c>
      <c r="I182" s="507" t="s">
        <v>1869</v>
      </c>
      <c r="J182" s="507" t="s">
        <v>39</v>
      </c>
      <c r="K182" s="507">
        <v>110</v>
      </c>
      <c r="L182" s="507" t="s">
        <v>267</v>
      </c>
      <c r="M182" s="507" t="s">
        <v>763</v>
      </c>
      <c r="N182" s="507" t="s">
        <v>1869</v>
      </c>
      <c r="O182" s="57" t="s">
        <v>1333</v>
      </c>
      <c r="P182" s="58" t="s">
        <v>846</v>
      </c>
      <c r="Q182" s="59" t="s">
        <v>1334</v>
      </c>
      <c r="R182" s="60" t="s">
        <v>367</v>
      </c>
      <c r="S182" s="61">
        <v>294.32</v>
      </c>
      <c r="T182" s="62">
        <f>INDEX('BM MORRO DA CRUZ'!$P$6:$P$402,MATCH($O182,'BM MORRO DA CRUZ'!$K$6:$K$402,0))</f>
        <v>63.76</v>
      </c>
      <c r="U182" s="63">
        <f t="shared" ref="U182:U188" si="89">ROUND(T182*$S182,2)</f>
        <v>18765.84</v>
      </c>
      <c r="V182" s="61">
        <f>IFERROR(SUMIFS('01ª MC'!$W$1:$W$1840,'01ª MC'!$C$1:$C$1840,$D182),0)</f>
        <v>0</v>
      </c>
      <c r="W182" s="63">
        <f t="shared" ref="W182:W188" si="90">ROUND(V182*$T182,2)</f>
        <v>0</v>
      </c>
      <c r="X182" s="61">
        <v>0</v>
      </c>
      <c r="Y182" s="63">
        <f t="shared" ref="Y182:Y188" si="91">ROUND(X182*$T182,2)</f>
        <v>0</v>
      </c>
      <c r="Z182" s="61">
        <v>0</v>
      </c>
      <c r="AA182" s="63">
        <f t="shared" ref="AA182:AA188" si="92">ROUND(Z182*$T182,2)</f>
        <v>0</v>
      </c>
      <c r="AB182" s="61">
        <v>0</v>
      </c>
      <c r="AC182" s="63">
        <f t="shared" ref="AC182:AC188" si="93">ROUND(AB182*$T182,2)</f>
        <v>0</v>
      </c>
      <c r="AD182" s="61">
        <v>0</v>
      </c>
      <c r="AE182" s="63">
        <f t="shared" ref="AE182:AE188" si="94">ROUND(AD182*$T182,2)</f>
        <v>0</v>
      </c>
      <c r="AF182" s="61">
        <v>0</v>
      </c>
      <c r="AG182" s="63">
        <f t="shared" ref="AG182:AG188" si="95">ROUND(AF182*$T182,2)</f>
        <v>0</v>
      </c>
      <c r="AH182" s="61">
        <v>0</v>
      </c>
      <c r="AI182" s="63">
        <f t="shared" ref="AI182:AI188" si="96">ROUND(AH182*$T182,2)</f>
        <v>0</v>
      </c>
      <c r="AJ182" s="61">
        <v>0</v>
      </c>
      <c r="AK182" s="63">
        <f t="shared" ref="AK182:AK188" si="97">ROUND(AJ182*$T182,2)</f>
        <v>0</v>
      </c>
      <c r="AL182" s="61">
        <v>0</v>
      </c>
      <c r="AM182" s="63">
        <f t="shared" ref="AM182:AM188" si="98">ROUND(AL182*$T182,2)</f>
        <v>0</v>
      </c>
      <c r="AN182" s="61">
        <v>0</v>
      </c>
      <c r="AO182" s="63">
        <f t="shared" ref="AO182:AO188" si="99">ROUND(AN182*$T182,2)</f>
        <v>0</v>
      </c>
      <c r="AP182" s="61">
        <v>0</v>
      </c>
      <c r="AQ182" s="63">
        <f t="shared" ref="AQ182:AQ188" si="100">ROUND(AP182*$T182,2)</f>
        <v>0</v>
      </c>
      <c r="AR182" s="61">
        <v>0</v>
      </c>
      <c r="AS182" s="63">
        <f t="shared" ref="AS182:AS188" si="101">ROUND(AR182*$T182,2)</f>
        <v>0</v>
      </c>
      <c r="AT182" s="61">
        <v>0</v>
      </c>
      <c r="AU182" s="63">
        <f t="shared" ref="AU182:AU188" si="102">ROUND(AT182*$T182,2)</f>
        <v>0</v>
      </c>
      <c r="AV182" s="61">
        <v>0</v>
      </c>
      <c r="AW182" s="63">
        <f t="shared" ref="AW182:AW188" si="103">ROUND(AV182*$T182,2)</f>
        <v>0</v>
      </c>
      <c r="AX182" s="61">
        <v>0</v>
      </c>
      <c r="AY182" s="63">
        <f t="shared" ref="AY182:AY188" si="104">ROUND(AX182*$T182,2)</f>
        <v>0</v>
      </c>
      <c r="AZ182" s="61">
        <v>0</v>
      </c>
      <c r="BA182" s="63">
        <f t="shared" ref="BA182:BA188" si="105">ROUND(AZ182*$T182,2)</f>
        <v>0</v>
      </c>
      <c r="BB182" s="61">
        <v>0</v>
      </c>
      <c r="BC182" s="63">
        <f t="shared" ref="BC182:BC188" si="106">ROUND(BB182*$T182,2)</f>
        <v>0</v>
      </c>
      <c r="BD182" s="61">
        <v>0</v>
      </c>
      <c r="BE182" s="63">
        <f t="shared" ref="BE182:BE188" si="107">ROUND(BD182*$T182,2)</f>
        <v>0</v>
      </c>
      <c r="BF182" s="61">
        <f t="shared" ref="BF182:BF188" si="108">IFERROR(SUMIFS($V182:$BE182,$V$5:$BE$5,$BF$5),0)</f>
        <v>0</v>
      </c>
      <c r="BG182" s="63">
        <f t="shared" ref="BG182:BG188" si="109">SUMIFS($V182:$BE182,$V$5:$BE$5,$W$5)</f>
        <v>0</v>
      </c>
      <c r="BH182" s="45"/>
      <c r="BI182" s="144"/>
    </row>
    <row r="183" spans="1:61" ht="26" customHeight="1" x14ac:dyDescent="0.45">
      <c r="A183" s="140">
        <v>2</v>
      </c>
      <c r="B183" s="141" t="s">
        <v>1472</v>
      </c>
      <c r="C183" s="142" t="s">
        <v>1473</v>
      </c>
      <c r="D183" s="143" t="str">
        <f t="shared" si="88"/>
        <v>2.2_5.16.2</v>
      </c>
      <c r="E183" s="56" t="s">
        <v>1335</v>
      </c>
      <c r="F183" s="506" t="s">
        <v>1870</v>
      </c>
      <c r="G183" s="507" t="s">
        <v>39</v>
      </c>
      <c r="H183" s="507" t="s">
        <v>1795</v>
      </c>
      <c r="I183" s="507" t="s">
        <v>1869</v>
      </c>
      <c r="J183" s="507" t="s">
        <v>39</v>
      </c>
      <c r="K183" s="507">
        <v>160</v>
      </c>
      <c r="L183" s="507" t="s">
        <v>267</v>
      </c>
      <c r="M183" s="507" t="s">
        <v>763</v>
      </c>
      <c r="N183" s="507" t="s">
        <v>1869</v>
      </c>
      <c r="O183" s="57" t="s">
        <v>1336</v>
      </c>
      <c r="P183" s="58" t="s">
        <v>846</v>
      </c>
      <c r="Q183" s="59" t="s">
        <v>1337</v>
      </c>
      <c r="R183" s="60" t="s">
        <v>367</v>
      </c>
      <c r="S183" s="61">
        <v>3318.34</v>
      </c>
      <c r="T183" s="62">
        <f>INDEX('BM MORRO DA CRUZ'!$P$6:$P$402,MATCH($O183,'BM MORRO DA CRUZ'!$K$6:$K$402,0))</f>
        <v>110.96</v>
      </c>
      <c r="U183" s="63">
        <f t="shared" si="89"/>
        <v>368203.01</v>
      </c>
      <c r="V183" s="61">
        <f>IFERROR(SUMIFS('01ª MC'!$W$1:$W$1840,'01ª MC'!$C$1:$C$1840,$D183),0)</f>
        <v>0</v>
      </c>
      <c r="W183" s="63">
        <f t="shared" si="90"/>
        <v>0</v>
      </c>
      <c r="X183" s="61">
        <v>0</v>
      </c>
      <c r="Y183" s="63">
        <f t="shared" si="91"/>
        <v>0</v>
      </c>
      <c r="Z183" s="61">
        <v>0</v>
      </c>
      <c r="AA183" s="63">
        <f t="shared" si="92"/>
        <v>0</v>
      </c>
      <c r="AB183" s="61">
        <v>0</v>
      </c>
      <c r="AC183" s="63">
        <f t="shared" si="93"/>
        <v>0</v>
      </c>
      <c r="AD183" s="61">
        <v>0</v>
      </c>
      <c r="AE183" s="63">
        <f t="shared" si="94"/>
        <v>0</v>
      </c>
      <c r="AF183" s="61">
        <v>0</v>
      </c>
      <c r="AG183" s="63">
        <f t="shared" si="95"/>
        <v>0</v>
      </c>
      <c r="AH183" s="61">
        <v>0</v>
      </c>
      <c r="AI183" s="63">
        <f t="shared" si="96"/>
        <v>0</v>
      </c>
      <c r="AJ183" s="61">
        <v>0</v>
      </c>
      <c r="AK183" s="63">
        <f t="shared" si="97"/>
        <v>0</v>
      </c>
      <c r="AL183" s="61">
        <v>0</v>
      </c>
      <c r="AM183" s="63">
        <f t="shared" si="98"/>
        <v>0</v>
      </c>
      <c r="AN183" s="61">
        <v>0</v>
      </c>
      <c r="AO183" s="63">
        <f t="shared" si="99"/>
        <v>0</v>
      </c>
      <c r="AP183" s="61">
        <v>0</v>
      </c>
      <c r="AQ183" s="63">
        <f t="shared" si="100"/>
        <v>0</v>
      </c>
      <c r="AR183" s="61">
        <v>0</v>
      </c>
      <c r="AS183" s="63">
        <f t="shared" si="101"/>
        <v>0</v>
      </c>
      <c r="AT183" s="61">
        <v>0</v>
      </c>
      <c r="AU183" s="63">
        <f t="shared" si="102"/>
        <v>0</v>
      </c>
      <c r="AV183" s="61">
        <v>0</v>
      </c>
      <c r="AW183" s="63">
        <f t="shared" si="103"/>
        <v>0</v>
      </c>
      <c r="AX183" s="61">
        <v>0</v>
      </c>
      <c r="AY183" s="63">
        <f t="shared" si="104"/>
        <v>0</v>
      </c>
      <c r="AZ183" s="61">
        <v>0</v>
      </c>
      <c r="BA183" s="63">
        <f t="shared" si="105"/>
        <v>0</v>
      </c>
      <c r="BB183" s="61">
        <v>0</v>
      </c>
      <c r="BC183" s="63">
        <f t="shared" si="106"/>
        <v>0</v>
      </c>
      <c r="BD183" s="61">
        <v>0</v>
      </c>
      <c r="BE183" s="63">
        <f t="shared" si="107"/>
        <v>0</v>
      </c>
      <c r="BF183" s="61">
        <f t="shared" si="108"/>
        <v>0</v>
      </c>
      <c r="BG183" s="63">
        <f t="shared" si="109"/>
        <v>0</v>
      </c>
      <c r="BH183" s="45"/>
      <c r="BI183" s="144"/>
    </row>
    <row r="184" spans="1:61" ht="26" customHeight="1" x14ac:dyDescent="0.45">
      <c r="A184" s="140">
        <v>2</v>
      </c>
      <c r="B184" s="141" t="s">
        <v>1472</v>
      </c>
      <c r="C184" s="142" t="s">
        <v>1473</v>
      </c>
      <c r="D184" s="143" t="str">
        <f t="shared" si="88"/>
        <v>2.2_5.16.3</v>
      </c>
      <c r="E184" s="56" t="s">
        <v>1338</v>
      </c>
      <c r="F184" s="506" t="s">
        <v>1871</v>
      </c>
      <c r="G184" s="507" t="s">
        <v>39</v>
      </c>
      <c r="H184" s="507" t="s">
        <v>1795</v>
      </c>
      <c r="I184" s="507" t="s">
        <v>1869</v>
      </c>
      <c r="J184" s="507" t="s">
        <v>39</v>
      </c>
      <c r="K184" s="507">
        <v>225</v>
      </c>
      <c r="L184" s="507" t="s">
        <v>267</v>
      </c>
      <c r="M184" s="507" t="s">
        <v>763</v>
      </c>
      <c r="N184" s="507" t="s">
        <v>1869</v>
      </c>
      <c r="O184" s="57" t="s">
        <v>1339</v>
      </c>
      <c r="P184" s="58" t="s">
        <v>846</v>
      </c>
      <c r="Q184" s="59" t="s">
        <v>1340</v>
      </c>
      <c r="R184" s="60" t="s">
        <v>367</v>
      </c>
      <c r="S184" s="61">
        <v>1384.2</v>
      </c>
      <c r="T184" s="62">
        <f>INDEX('BM MORRO DA CRUZ'!$P$6:$P$402,MATCH($O184,'BM MORRO DA CRUZ'!$K$6:$K$402,0))</f>
        <v>164.04</v>
      </c>
      <c r="U184" s="63">
        <f t="shared" si="89"/>
        <v>227064.17</v>
      </c>
      <c r="V184" s="61">
        <f>IFERROR(SUMIFS('01ª MC'!$W$1:$W$1840,'01ª MC'!$C$1:$C$1840,$D184),0)</f>
        <v>0</v>
      </c>
      <c r="W184" s="63">
        <f t="shared" si="90"/>
        <v>0</v>
      </c>
      <c r="X184" s="61">
        <v>0</v>
      </c>
      <c r="Y184" s="63">
        <f t="shared" si="91"/>
        <v>0</v>
      </c>
      <c r="Z184" s="61">
        <v>0</v>
      </c>
      <c r="AA184" s="63">
        <f t="shared" si="92"/>
        <v>0</v>
      </c>
      <c r="AB184" s="61">
        <v>0</v>
      </c>
      <c r="AC184" s="63">
        <f t="shared" si="93"/>
        <v>0</v>
      </c>
      <c r="AD184" s="61">
        <v>0</v>
      </c>
      <c r="AE184" s="63">
        <f t="shared" si="94"/>
        <v>0</v>
      </c>
      <c r="AF184" s="61">
        <v>0</v>
      </c>
      <c r="AG184" s="63">
        <f t="shared" si="95"/>
        <v>0</v>
      </c>
      <c r="AH184" s="61">
        <v>0</v>
      </c>
      <c r="AI184" s="63">
        <f t="shared" si="96"/>
        <v>0</v>
      </c>
      <c r="AJ184" s="61">
        <v>0</v>
      </c>
      <c r="AK184" s="63">
        <f t="shared" si="97"/>
        <v>0</v>
      </c>
      <c r="AL184" s="61">
        <v>0</v>
      </c>
      <c r="AM184" s="63">
        <f t="shared" si="98"/>
        <v>0</v>
      </c>
      <c r="AN184" s="61">
        <v>0</v>
      </c>
      <c r="AO184" s="63">
        <f t="shared" si="99"/>
        <v>0</v>
      </c>
      <c r="AP184" s="61">
        <v>0</v>
      </c>
      <c r="AQ184" s="63">
        <f t="shared" si="100"/>
        <v>0</v>
      </c>
      <c r="AR184" s="61">
        <v>0</v>
      </c>
      <c r="AS184" s="63">
        <f t="shared" si="101"/>
        <v>0</v>
      </c>
      <c r="AT184" s="61">
        <v>0</v>
      </c>
      <c r="AU184" s="63">
        <f t="shared" si="102"/>
        <v>0</v>
      </c>
      <c r="AV184" s="61">
        <v>0</v>
      </c>
      <c r="AW184" s="63">
        <f t="shared" si="103"/>
        <v>0</v>
      </c>
      <c r="AX184" s="61">
        <v>0</v>
      </c>
      <c r="AY184" s="63">
        <f t="shared" si="104"/>
        <v>0</v>
      </c>
      <c r="AZ184" s="61">
        <v>0</v>
      </c>
      <c r="BA184" s="63">
        <f t="shared" si="105"/>
        <v>0</v>
      </c>
      <c r="BB184" s="61">
        <v>0</v>
      </c>
      <c r="BC184" s="63">
        <f t="shared" si="106"/>
        <v>0</v>
      </c>
      <c r="BD184" s="61">
        <v>0</v>
      </c>
      <c r="BE184" s="63">
        <f t="shared" si="107"/>
        <v>0</v>
      </c>
      <c r="BF184" s="61">
        <f t="shared" si="108"/>
        <v>0</v>
      </c>
      <c r="BG184" s="63">
        <f t="shared" si="109"/>
        <v>0</v>
      </c>
      <c r="BH184" s="45"/>
      <c r="BI184" s="144"/>
    </row>
    <row r="185" spans="1:61" ht="26" customHeight="1" x14ac:dyDescent="0.45">
      <c r="A185" s="140">
        <v>2</v>
      </c>
      <c r="B185" s="141" t="s">
        <v>1472</v>
      </c>
      <c r="C185" s="142" t="s">
        <v>1473</v>
      </c>
      <c r="D185" s="143" t="str">
        <f t="shared" si="88"/>
        <v>2.2_5.16.4</v>
      </c>
      <c r="E185" s="56" t="s">
        <v>1341</v>
      </c>
      <c r="F185" s="506" t="s">
        <v>1872</v>
      </c>
      <c r="G185" s="507" t="s">
        <v>39</v>
      </c>
      <c r="H185" s="507" t="s">
        <v>1795</v>
      </c>
      <c r="I185" s="507" t="s">
        <v>1869</v>
      </c>
      <c r="J185" s="507" t="s">
        <v>39</v>
      </c>
      <c r="K185" s="507">
        <v>250</v>
      </c>
      <c r="L185" s="507" t="s">
        <v>267</v>
      </c>
      <c r="M185" s="507" t="s">
        <v>763</v>
      </c>
      <c r="N185" s="507" t="s">
        <v>1869</v>
      </c>
      <c r="O185" s="57" t="s">
        <v>1342</v>
      </c>
      <c r="P185" s="58" t="s">
        <v>846</v>
      </c>
      <c r="Q185" s="59" t="s">
        <v>1343</v>
      </c>
      <c r="R185" s="60" t="s">
        <v>367</v>
      </c>
      <c r="S185" s="61">
        <v>920.05</v>
      </c>
      <c r="T185" s="62">
        <f>INDEX('BM MORRO DA CRUZ'!$P$6:$P$402,MATCH($O185,'BM MORRO DA CRUZ'!$K$6:$K$402,0))</f>
        <v>316.99</v>
      </c>
      <c r="U185" s="63">
        <f t="shared" si="89"/>
        <v>291646.65000000002</v>
      </c>
      <c r="V185" s="61">
        <f>IFERROR(SUMIFS('01ª MC'!$W$1:$W$1840,'01ª MC'!$C$1:$C$1840,$D185),0)</f>
        <v>0</v>
      </c>
      <c r="W185" s="63">
        <f t="shared" si="90"/>
        <v>0</v>
      </c>
      <c r="X185" s="61">
        <v>0</v>
      </c>
      <c r="Y185" s="63">
        <f t="shared" si="91"/>
        <v>0</v>
      </c>
      <c r="Z185" s="61">
        <v>0</v>
      </c>
      <c r="AA185" s="63">
        <f t="shared" si="92"/>
        <v>0</v>
      </c>
      <c r="AB185" s="61">
        <v>0</v>
      </c>
      <c r="AC185" s="63">
        <f t="shared" si="93"/>
        <v>0</v>
      </c>
      <c r="AD185" s="61">
        <v>0</v>
      </c>
      <c r="AE185" s="63">
        <f t="shared" si="94"/>
        <v>0</v>
      </c>
      <c r="AF185" s="61">
        <v>0</v>
      </c>
      <c r="AG185" s="63">
        <f t="shared" si="95"/>
        <v>0</v>
      </c>
      <c r="AH185" s="61">
        <v>0</v>
      </c>
      <c r="AI185" s="63">
        <f t="shared" si="96"/>
        <v>0</v>
      </c>
      <c r="AJ185" s="61">
        <v>0</v>
      </c>
      <c r="AK185" s="63">
        <f t="shared" si="97"/>
        <v>0</v>
      </c>
      <c r="AL185" s="61">
        <v>0</v>
      </c>
      <c r="AM185" s="63">
        <f t="shared" si="98"/>
        <v>0</v>
      </c>
      <c r="AN185" s="61">
        <v>0</v>
      </c>
      <c r="AO185" s="63">
        <f t="shared" si="99"/>
        <v>0</v>
      </c>
      <c r="AP185" s="61">
        <v>0</v>
      </c>
      <c r="AQ185" s="63">
        <f t="shared" si="100"/>
        <v>0</v>
      </c>
      <c r="AR185" s="61">
        <v>0</v>
      </c>
      <c r="AS185" s="63">
        <f t="shared" si="101"/>
        <v>0</v>
      </c>
      <c r="AT185" s="61">
        <v>0</v>
      </c>
      <c r="AU185" s="63">
        <f t="shared" si="102"/>
        <v>0</v>
      </c>
      <c r="AV185" s="61">
        <v>0</v>
      </c>
      <c r="AW185" s="63">
        <f t="shared" si="103"/>
        <v>0</v>
      </c>
      <c r="AX185" s="61">
        <v>0</v>
      </c>
      <c r="AY185" s="63">
        <f t="shared" si="104"/>
        <v>0</v>
      </c>
      <c r="AZ185" s="61">
        <v>0</v>
      </c>
      <c r="BA185" s="63">
        <f t="shared" si="105"/>
        <v>0</v>
      </c>
      <c r="BB185" s="61">
        <v>0</v>
      </c>
      <c r="BC185" s="63">
        <f t="shared" si="106"/>
        <v>0</v>
      </c>
      <c r="BD185" s="61">
        <v>0</v>
      </c>
      <c r="BE185" s="63">
        <f t="shared" si="107"/>
        <v>0</v>
      </c>
      <c r="BF185" s="61">
        <f t="shared" si="108"/>
        <v>0</v>
      </c>
      <c r="BG185" s="63">
        <f t="shared" si="109"/>
        <v>0</v>
      </c>
      <c r="BH185" s="45"/>
      <c r="BI185" s="144"/>
    </row>
    <row r="186" spans="1:61" ht="26" customHeight="1" x14ac:dyDescent="0.45">
      <c r="A186" s="140">
        <v>2</v>
      </c>
      <c r="B186" s="141" t="s">
        <v>1472</v>
      </c>
      <c r="C186" s="142" t="s">
        <v>1473</v>
      </c>
      <c r="D186" s="143" t="str">
        <f t="shared" si="88"/>
        <v>2.2_5.16.5</v>
      </c>
      <c r="E186" s="56" t="s">
        <v>1344</v>
      </c>
      <c r="F186" s="506" t="s">
        <v>1873</v>
      </c>
      <c r="G186" s="507" t="s">
        <v>39</v>
      </c>
      <c r="H186" s="507" t="s">
        <v>1795</v>
      </c>
      <c r="I186" s="507" t="s">
        <v>1869</v>
      </c>
      <c r="J186" s="507" t="s">
        <v>39</v>
      </c>
      <c r="K186" s="507">
        <v>280</v>
      </c>
      <c r="L186" s="507" t="s">
        <v>267</v>
      </c>
      <c r="M186" s="507" t="s">
        <v>763</v>
      </c>
      <c r="N186" s="507" t="s">
        <v>1869</v>
      </c>
      <c r="O186" s="57" t="s">
        <v>1345</v>
      </c>
      <c r="P186" s="58" t="s">
        <v>846</v>
      </c>
      <c r="Q186" s="59" t="s">
        <v>1346</v>
      </c>
      <c r="R186" s="60" t="s">
        <v>367</v>
      </c>
      <c r="S186" s="61">
        <v>454.75</v>
      </c>
      <c r="T186" s="62">
        <f>INDEX('BM MORRO DA CRUZ'!$P$6:$P$402,MATCH($O186,'BM MORRO DA CRUZ'!$K$6:$K$402,0))</f>
        <v>317.25</v>
      </c>
      <c r="U186" s="63">
        <f t="shared" si="89"/>
        <v>144269.44</v>
      </c>
      <c r="V186" s="61">
        <f>IFERROR(SUMIFS('01ª MC'!$W$1:$W$1840,'01ª MC'!$C$1:$C$1840,$D186),0)</f>
        <v>0</v>
      </c>
      <c r="W186" s="63">
        <f t="shared" si="90"/>
        <v>0</v>
      </c>
      <c r="X186" s="61">
        <v>0</v>
      </c>
      <c r="Y186" s="63">
        <f t="shared" si="91"/>
        <v>0</v>
      </c>
      <c r="Z186" s="61">
        <v>0</v>
      </c>
      <c r="AA186" s="63">
        <f t="shared" si="92"/>
        <v>0</v>
      </c>
      <c r="AB186" s="61">
        <v>0</v>
      </c>
      <c r="AC186" s="63">
        <f t="shared" si="93"/>
        <v>0</v>
      </c>
      <c r="AD186" s="61">
        <v>0</v>
      </c>
      <c r="AE186" s="63">
        <f t="shared" si="94"/>
        <v>0</v>
      </c>
      <c r="AF186" s="61">
        <v>0</v>
      </c>
      <c r="AG186" s="63">
        <f t="shared" si="95"/>
        <v>0</v>
      </c>
      <c r="AH186" s="61">
        <v>0</v>
      </c>
      <c r="AI186" s="63">
        <f t="shared" si="96"/>
        <v>0</v>
      </c>
      <c r="AJ186" s="61">
        <v>0</v>
      </c>
      <c r="AK186" s="63">
        <f t="shared" si="97"/>
        <v>0</v>
      </c>
      <c r="AL186" s="61">
        <v>0</v>
      </c>
      <c r="AM186" s="63">
        <f t="shared" si="98"/>
        <v>0</v>
      </c>
      <c r="AN186" s="61">
        <v>0</v>
      </c>
      <c r="AO186" s="63">
        <f t="shared" si="99"/>
        <v>0</v>
      </c>
      <c r="AP186" s="61">
        <v>0</v>
      </c>
      <c r="AQ186" s="63">
        <f t="shared" si="100"/>
        <v>0</v>
      </c>
      <c r="AR186" s="61">
        <v>0</v>
      </c>
      <c r="AS186" s="63">
        <f t="shared" si="101"/>
        <v>0</v>
      </c>
      <c r="AT186" s="61">
        <v>0</v>
      </c>
      <c r="AU186" s="63">
        <f t="shared" si="102"/>
        <v>0</v>
      </c>
      <c r="AV186" s="61">
        <v>0</v>
      </c>
      <c r="AW186" s="63">
        <f t="shared" si="103"/>
        <v>0</v>
      </c>
      <c r="AX186" s="61">
        <v>0</v>
      </c>
      <c r="AY186" s="63">
        <f t="shared" si="104"/>
        <v>0</v>
      </c>
      <c r="AZ186" s="61">
        <v>0</v>
      </c>
      <c r="BA186" s="63">
        <f t="shared" si="105"/>
        <v>0</v>
      </c>
      <c r="BB186" s="61">
        <v>0</v>
      </c>
      <c r="BC186" s="63">
        <f t="shared" si="106"/>
        <v>0</v>
      </c>
      <c r="BD186" s="61">
        <v>0</v>
      </c>
      <c r="BE186" s="63">
        <f t="shared" si="107"/>
        <v>0</v>
      </c>
      <c r="BF186" s="61">
        <f t="shared" si="108"/>
        <v>0</v>
      </c>
      <c r="BG186" s="63">
        <f t="shared" si="109"/>
        <v>0</v>
      </c>
      <c r="BH186" s="45"/>
      <c r="BI186" s="144"/>
    </row>
    <row r="187" spans="1:61" ht="26" customHeight="1" x14ac:dyDescent="0.45">
      <c r="A187" s="140">
        <v>2</v>
      </c>
      <c r="B187" s="141" t="s">
        <v>1472</v>
      </c>
      <c r="C187" s="142" t="s">
        <v>1473</v>
      </c>
      <c r="D187" s="143" t="str">
        <f t="shared" si="88"/>
        <v>2.2_5.16.6</v>
      </c>
      <c r="E187" s="56" t="s">
        <v>1347</v>
      </c>
      <c r="F187" s="506" t="s">
        <v>1874</v>
      </c>
      <c r="G187" s="507" t="s">
        <v>39</v>
      </c>
      <c r="H187" s="507" t="s">
        <v>1795</v>
      </c>
      <c r="I187" s="507" t="s">
        <v>1869</v>
      </c>
      <c r="J187" s="507" t="s">
        <v>39</v>
      </c>
      <c r="K187" s="507">
        <v>315</v>
      </c>
      <c r="L187" s="507" t="s">
        <v>267</v>
      </c>
      <c r="M187" s="507" t="s">
        <v>763</v>
      </c>
      <c r="N187" s="507" t="s">
        <v>1869</v>
      </c>
      <c r="O187" s="57" t="s">
        <v>1348</v>
      </c>
      <c r="P187" s="58" t="s">
        <v>846</v>
      </c>
      <c r="Q187" s="59" t="s">
        <v>1349</v>
      </c>
      <c r="R187" s="60" t="s">
        <v>367</v>
      </c>
      <c r="S187" s="61">
        <v>213.77</v>
      </c>
      <c r="T187" s="62">
        <f>INDEX('BM MORRO DA CRUZ'!$P$6:$P$402,MATCH($O187,'BM MORRO DA CRUZ'!$K$6:$K$402,0))</f>
        <v>492.79</v>
      </c>
      <c r="U187" s="63">
        <f t="shared" si="89"/>
        <v>105343.72</v>
      </c>
      <c r="V187" s="61">
        <f>IFERROR(SUMIFS('01ª MC'!$W$1:$W$1840,'01ª MC'!$C$1:$C$1840,$D187),0)</f>
        <v>0</v>
      </c>
      <c r="W187" s="63">
        <f t="shared" si="90"/>
        <v>0</v>
      </c>
      <c r="X187" s="61">
        <v>0</v>
      </c>
      <c r="Y187" s="63">
        <f t="shared" si="91"/>
        <v>0</v>
      </c>
      <c r="Z187" s="61">
        <v>0</v>
      </c>
      <c r="AA187" s="63">
        <f t="shared" si="92"/>
        <v>0</v>
      </c>
      <c r="AB187" s="61">
        <v>0</v>
      </c>
      <c r="AC187" s="63">
        <f t="shared" si="93"/>
        <v>0</v>
      </c>
      <c r="AD187" s="61">
        <v>0</v>
      </c>
      <c r="AE187" s="63">
        <f t="shared" si="94"/>
        <v>0</v>
      </c>
      <c r="AF187" s="61">
        <v>0</v>
      </c>
      <c r="AG187" s="63">
        <f t="shared" si="95"/>
        <v>0</v>
      </c>
      <c r="AH187" s="61">
        <v>0</v>
      </c>
      <c r="AI187" s="63">
        <f t="shared" si="96"/>
        <v>0</v>
      </c>
      <c r="AJ187" s="61">
        <v>0</v>
      </c>
      <c r="AK187" s="63">
        <f t="shared" si="97"/>
        <v>0</v>
      </c>
      <c r="AL187" s="61">
        <v>0</v>
      </c>
      <c r="AM187" s="63">
        <f t="shared" si="98"/>
        <v>0</v>
      </c>
      <c r="AN187" s="61">
        <v>0</v>
      </c>
      <c r="AO187" s="63">
        <f t="shared" si="99"/>
        <v>0</v>
      </c>
      <c r="AP187" s="61">
        <v>0</v>
      </c>
      <c r="AQ187" s="63">
        <f t="shared" si="100"/>
        <v>0</v>
      </c>
      <c r="AR187" s="61">
        <v>0</v>
      </c>
      <c r="AS187" s="63">
        <f t="shared" si="101"/>
        <v>0</v>
      </c>
      <c r="AT187" s="61">
        <v>0</v>
      </c>
      <c r="AU187" s="63">
        <f t="shared" si="102"/>
        <v>0</v>
      </c>
      <c r="AV187" s="61">
        <v>0</v>
      </c>
      <c r="AW187" s="63">
        <f t="shared" si="103"/>
        <v>0</v>
      </c>
      <c r="AX187" s="61">
        <v>0</v>
      </c>
      <c r="AY187" s="63">
        <f t="shared" si="104"/>
        <v>0</v>
      </c>
      <c r="AZ187" s="61">
        <v>0</v>
      </c>
      <c r="BA187" s="63">
        <f t="shared" si="105"/>
        <v>0</v>
      </c>
      <c r="BB187" s="61">
        <v>0</v>
      </c>
      <c r="BC187" s="63">
        <f t="shared" si="106"/>
        <v>0</v>
      </c>
      <c r="BD187" s="61">
        <v>0</v>
      </c>
      <c r="BE187" s="63">
        <f t="shared" si="107"/>
        <v>0</v>
      </c>
      <c r="BF187" s="61">
        <f t="shared" si="108"/>
        <v>0</v>
      </c>
      <c r="BG187" s="63">
        <f t="shared" si="109"/>
        <v>0</v>
      </c>
      <c r="BH187" s="45"/>
      <c r="BI187" s="144"/>
    </row>
    <row r="188" spans="1:61" ht="26" customHeight="1" x14ac:dyDescent="0.45">
      <c r="A188" s="140">
        <v>2</v>
      </c>
      <c r="B188" s="141" t="s">
        <v>1472</v>
      </c>
      <c r="C188" s="142" t="s">
        <v>1473</v>
      </c>
      <c r="D188" s="143" t="str">
        <f t="shared" si="88"/>
        <v>2.2_5.16.7</v>
      </c>
      <c r="E188" s="56" t="s">
        <v>1350</v>
      </c>
      <c r="F188" s="506" t="s">
        <v>1875</v>
      </c>
      <c r="G188" s="507" t="s">
        <v>39</v>
      </c>
      <c r="H188" s="507" t="s">
        <v>1795</v>
      </c>
      <c r="I188" s="507" t="s">
        <v>1869</v>
      </c>
      <c r="J188" s="507" t="s">
        <v>39</v>
      </c>
      <c r="K188" s="507">
        <v>63</v>
      </c>
      <c r="L188" s="507" t="s">
        <v>267</v>
      </c>
      <c r="M188" s="507" t="s">
        <v>763</v>
      </c>
      <c r="N188" s="507" t="s">
        <v>1869</v>
      </c>
      <c r="O188" s="57" t="s">
        <v>1351</v>
      </c>
      <c r="P188" s="58" t="s">
        <v>846</v>
      </c>
      <c r="Q188" s="59" t="s">
        <v>1352</v>
      </c>
      <c r="R188" s="60" t="s">
        <v>367</v>
      </c>
      <c r="S188" s="61">
        <v>393.52</v>
      </c>
      <c r="T188" s="62">
        <f>INDEX('BM MORRO DA CRUZ'!$P$6:$P$402,MATCH($O188,'BM MORRO DA CRUZ'!$K$6:$K$402,0))</f>
        <v>29.92</v>
      </c>
      <c r="U188" s="63">
        <f t="shared" si="89"/>
        <v>11774.12</v>
      </c>
      <c r="V188" s="61">
        <f>IFERROR(SUMIFS('01ª MC'!$W$1:$W$1840,'01ª MC'!$C$1:$C$1840,$D188),0)</f>
        <v>0</v>
      </c>
      <c r="W188" s="63">
        <f t="shared" si="90"/>
        <v>0</v>
      </c>
      <c r="X188" s="61">
        <v>0</v>
      </c>
      <c r="Y188" s="63">
        <f t="shared" si="91"/>
        <v>0</v>
      </c>
      <c r="Z188" s="61">
        <v>0</v>
      </c>
      <c r="AA188" s="63">
        <f t="shared" si="92"/>
        <v>0</v>
      </c>
      <c r="AB188" s="61">
        <v>0</v>
      </c>
      <c r="AC188" s="63">
        <f t="shared" si="93"/>
        <v>0</v>
      </c>
      <c r="AD188" s="61">
        <v>0</v>
      </c>
      <c r="AE188" s="63">
        <f t="shared" si="94"/>
        <v>0</v>
      </c>
      <c r="AF188" s="61">
        <v>0</v>
      </c>
      <c r="AG188" s="63">
        <f t="shared" si="95"/>
        <v>0</v>
      </c>
      <c r="AH188" s="61">
        <v>0</v>
      </c>
      <c r="AI188" s="63">
        <f t="shared" si="96"/>
        <v>0</v>
      </c>
      <c r="AJ188" s="61">
        <v>0</v>
      </c>
      <c r="AK188" s="63">
        <f t="shared" si="97"/>
        <v>0</v>
      </c>
      <c r="AL188" s="61">
        <v>0</v>
      </c>
      <c r="AM188" s="63">
        <f t="shared" si="98"/>
        <v>0</v>
      </c>
      <c r="AN188" s="61">
        <v>0</v>
      </c>
      <c r="AO188" s="63">
        <f t="shared" si="99"/>
        <v>0</v>
      </c>
      <c r="AP188" s="61">
        <v>0</v>
      </c>
      <c r="AQ188" s="63">
        <f t="shared" si="100"/>
        <v>0</v>
      </c>
      <c r="AR188" s="61">
        <v>0</v>
      </c>
      <c r="AS188" s="63">
        <f t="shared" si="101"/>
        <v>0</v>
      </c>
      <c r="AT188" s="61">
        <v>0</v>
      </c>
      <c r="AU188" s="63">
        <f t="shared" si="102"/>
        <v>0</v>
      </c>
      <c r="AV188" s="61">
        <v>0</v>
      </c>
      <c r="AW188" s="63">
        <f t="shared" si="103"/>
        <v>0</v>
      </c>
      <c r="AX188" s="61">
        <v>0</v>
      </c>
      <c r="AY188" s="63">
        <f t="shared" si="104"/>
        <v>0</v>
      </c>
      <c r="AZ188" s="61">
        <v>0</v>
      </c>
      <c r="BA188" s="63">
        <f t="shared" si="105"/>
        <v>0</v>
      </c>
      <c r="BB188" s="61">
        <v>0</v>
      </c>
      <c r="BC188" s="63">
        <f t="shared" si="106"/>
        <v>0</v>
      </c>
      <c r="BD188" s="61">
        <v>0</v>
      </c>
      <c r="BE188" s="63">
        <f t="shared" si="107"/>
        <v>0</v>
      </c>
      <c r="BF188" s="61">
        <f t="shared" si="108"/>
        <v>0</v>
      </c>
      <c r="BG188" s="63">
        <f t="shared" si="109"/>
        <v>0</v>
      </c>
      <c r="BH188" s="45"/>
      <c r="BI188" s="144"/>
    </row>
    <row r="189" spans="1:61" ht="19.5" customHeight="1" x14ac:dyDescent="0.45">
      <c r="A189" s="128">
        <v>2</v>
      </c>
      <c r="B189" s="129"/>
      <c r="C189" s="130"/>
      <c r="D189" s="131"/>
      <c r="E189" s="132" t="s">
        <v>1353</v>
      </c>
      <c r="F189" s="515"/>
      <c r="G189" s="516"/>
      <c r="H189" s="516"/>
      <c r="I189" s="516"/>
      <c r="J189" s="516"/>
      <c r="K189" s="516"/>
      <c r="L189" s="516"/>
      <c r="M189" s="516"/>
      <c r="N189" s="516"/>
      <c r="O189" s="133" t="s">
        <v>1354</v>
      </c>
      <c r="P189" s="134"/>
      <c r="Q189" s="135" t="s">
        <v>1355</v>
      </c>
      <c r="R189" s="136"/>
      <c r="S189" s="137"/>
      <c r="T189" s="138"/>
      <c r="U189" s="139">
        <f>SUM(U190:U191)</f>
        <v>537817.44999999995</v>
      </c>
      <c r="V189" s="137"/>
      <c r="W189" s="139">
        <f>SUM(W190:W191)</f>
        <v>0</v>
      </c>
      <c r="X189" s="137"/>
      <c r="Y189" s="139">
        <f>SUM(Y190:Y191)</f>
        <v>0</v>
      </c>
      <c r="Z189" s="137"/>
      <c r="AA189" s="139">
        <f>SUM(AA190:AA191)</f>
        <v>0</v>
      </c>
      <c r="AB189" s="137"/>
      <c r="AC189" s="139">
        <f>SUM(AC190:AC191)</f>
        <v>0</v>
      </c>
      <c r="AD189" s="137"/>
      <c r="AE189" s="139">
        <f>SUM(AE190:AE191)</f>
        <v>0</v>
      </c>
      <c r="AF189" s="137"/>
      <c r="AG189" s="139">
        <f>SUM(AG190:AG191)</f>
        <v>0</v>
      </c>
      <c r="AH189" s="137"/>
      <c r="AI189" s="139">
        <f>SUM(AI190:AI191)</f>
        <v>0</v>
      </c>
      <c r="AJ189" s="137"/>
      <c r="AK189" s="139">
        <f>SUM(AK190:AK191)</f>
        <v>0</v>
      </c>
      <c r="AL189" s="137"/>
      <c r="AM189" s="139">
        <f>SUM(AM190:AM191)</f>
        <v>0</v>
      </c>
      <c r="AN189" s="137"/>
      <c r="AO189" s="139">
        <f>SUM(AO190:AO191)</f>
        <v>0</v>
      </c>
      <c r="AP189" s="137"/>
      <c r="AQ189" s="139">
        <f>SUM(AQ190:AQ191)</f>
        <v>0</v>
      </c>
      <c r="AR189" s="137"/>
      <c r="AS189" s="139">
        <f>SUM(AS190:AS191)</f>
        <v>0</v>
      </c>
      <c r="AT189" s="137"/>
      <c r="AU189" s="139">
        <f>SUM(AU190:AU191)</f>
        <v>0</v>
      </c>
      <c r="AV189" s="137"/>
      <c r="AW189" s="139">
        <f>SUM(AW190:AW191)</f>
        <v>0</v>
      </c>
      <c r="AX189" s="137"/>
      <c r="AY189" s="139">
        <f>SUM(AY190:AY191)</f>
        <v>0</v>
      </c>
      <c r="AZ189" s="137"/>
      <c r="BA189" s="139">
        <f>SUM(BA190:BA191)</f>
        <v>0</v>
      </c>
      <c r="BB189" s="137"/>
      <c r="BC189" s="139">
        <f>SUM(BC190:BC191)</f>
        <v>0</v>
      </c>
      <c r="BD189" s="137"/>
      <c r="BE189" s="139">
        <f>SUM(BE190:BE191)</f>
        <v>0</v>
      </c>
      <c r="BF189" s="137"/>
      <c r="BG189" s="139">
        <f>SUM(BG190:BG191)</f>
        <v>0</v>
      </c>
      <c r="BH189" s="45"/>
    </row>
    <row r="190" spans="1:61" ht="26" customHeight="1" x14ac:dyDescent="0.45">
      <c r="A190" s="140">
        <v>2</v>
      </c>
      <c r="B190" s="141" t="s">
        <v>1472</v>
      </c>
      <c r="C190" s="142" t="s">
        <v>1473</v>
      </c>
      <c r="D190" s="143" t="str">
        <f>B190&amp;"_"&amp;E190</f>
        <v>2.2_5.17.1</v>
      </c>
      <c r="E190" s="56" t="s">
        <v>1356</v>
      </c>
      <c r="F190" s="506" t="s">
        <v>1358</v>
      </c>
      <c r="G190" s="507" t="s">
        <v>39</v>
      </c>
      <c r="H190" s="507" t="s">
        <v>39</v>
      </c>
      <c r="I190" s="507" t="s">
        <v>1757</v>
      </c>
      <c r="J190" s="507" t="s">
        <v>39</v>
      </c>
      <c r="K190" s="507" t="s">
        <v>39</v>
      </c>
      <c r="L190" s="507" t="s">
        <v>39</v>
      </c>
      <c r="M190" s="507" t="s">
        <v>763</v>
      </c>
      <c r="N190" s="507" t="s">
        <v>1757</v>
      </c>
      <c r="O190" s="57" t="s">
        <v>1357</v>
      </c>
      <c r="P190" s="58" t="s">
        <v>846</v>
      </c>
      <c r="Q190" s="59" t="s">
        <v>1358</v>
      </c>
      <c r="R190" s="60" t="s">
        <v>755</v>
      </c>
      <c r="S190" s="61">
        <v>6443.8</v>
      </c>
      <c r="T190" s="62">
        <f>INDEX('BM MORRO DA CRUZ'!$P$6:$P$402,MATCH($O190,'BM MORRO DA CRUZ'!$K$6:$K$402,0))</f>
        <v>59.37</v>
      </c>
      <c r="U190" s="63">
        <f>ROUND(T190*$S190,2)</f>
        <v>382568.41</v>
      </c>
      <c r="V190" s="61">
        <f>IFERROR(SUMIFS('01ª MC'!$W$1:$W$1840,'01ª MC'!$C$1:$C$1840,$D190),0)</f>
        <v>0</v>
      </c>
      <c r="W190" s="63">
        <f>ROUND(V190*$T190,2)</f>
        <v>0</v>
      </c>
      <c r="X190" s="61">
        <v>0</v>
      </c>
      <c r="Y190" s="63">
        <f>ROUND(X190*$T190,2)</f>
        <v>0</v>
      </c>
      <c r="Z190" s="61">
        <v>0</v>
      </c>
      <c r="AA190" s="63">
        <f>ROUND(Z190*$T190,2)</f>
        <v>0</v>
      </c>
      <c r="AB190" s="61">
        <v>0</v>
      </c>
      <c r="AC190" s="63">
        <f>ROUND(AB190*$T190,2)</f>
        <v>0</v>
      </c>
      <c r="AD190" s="61">
        <v>0</v>
      </c>
      <c r="AE190" s="63">
        <f>ROUND(AD190*$T190,2)</f>
        <v>0</v>
      </c>
      <c r="AF190" s="61">
        <v>0</v>
      </c>
      <c r="AG190" s="63">
        <f>ROUND(AF190*$T190,2)</f>
        <v>0</v>
      </c>
      <c r="AH190" s="61">
        <v>0</v>
      </c>
      <c r="AI190" s="63">
        <f>ROUND(AH190*$T190,2)</f>
        <v>0</v>
      </c>
      <c r="AJ190" s="61">
        <v>0</v>
      </c>
      <c r="AK190" s="63">
        <f>ROUND(AJ190*$T190,2)</f>
        <v>0</v>
      </c>
      <c r="AL190" s="61">
        <v>0</v>
      </c>
      <c r="AM190" s="63">
        <f>ROUND(AL190*$T190,2)</f>
        <v>0</v>
      </c>
      <c r="AN190" s="61">
        <v>0</v>
      </c>
      <c r="AO190" s="63">
        <f>ROUND(AN190*$T190,2)</f>
        <v>0</v>
      </c>
      <c r="AP190" s="61">
        <v>0</v>
      </c>
      <c r="AQ190" s="63">
        <f>ROUND(AP190*$T190,2)</f>
        <v>0</v>
      </c>
      <c r="AR190" s="61">
        <v>0</v>
      </c>
      <c r="AS190" s="63">
        <f>ROUND(AR190*$T190,2)</f>
        <v>0</v>
      </c>
      <c r="AT190" s="61">
        <v>0</v>
      </c>
      <c r="AU190" s="63">
        <f>ROUND(AT190*$T190,2)</f>
        <v>0</v>
      </c>
      <c r="AV190" s="61">
        <v>0</v>
      </c>
      <c r="AW190" s="63">
        <f>ROUND(AV190*$T190,2)</f>
        <v>0</v>
      </c>
      <c r="AX190" s="61">
        <v>0</v>
      </c>
      <c r="AY190" s="63">
        <f>ROUND(AX190*$T190,2)</f>
        <v>0</v>
      </c>
      <c r="AZ190" s="61">
        <v>0</v>
      </c>
      <c r="BA190" s="63">
        <f>ROUND(AZ190*$T190,2)</f>
        <v>0</v>
      </c>
      <c r="BB190" s="61">
        <v>0</v>
      </c>
      <c r="BC190" s="63">
        <f>ROUND(BB190*$T190,2)</f>
        <v>0</v>
      </c>
      <c r="BD190" s="61">
        <v>0</v>
      </c>
      <c r="BE190" s="63">
        <f>ROUND(BD190*$T190,2)</f>
        <v>0</v>
      </c>
      <c r="BF190" s="61">
        <f>IFERROR(SUMIFS($V190:$BE190,$V$5:$BE$5,$BF$5),0)</f>
        <v>0</v>
      </c>
      <c r="BG190" s="63">
        <f>SUMIFS($V190:$BE190,$V$5:$BE$5,$W$5)</f>
        <v>0</v>
      </c>
      <c r="BH190" s="45"/>
      <c r="BI190" s="144"/>
    </row>
    <row r="191" spans="1:61" ht="26" customHeight="1" x14ac:dyDescent="0.45">
      <c r="A191" s="140">
        <v>2</v>
      </c>
      <c r="B191" s="141" t="s">
        <v>1472</v>
      </c>
      <c r="C191" s="142" t="s">
        <v>1473</v>
      </c>
      <c r="D191" s="143" t="str">
        <f>B191&amp;"_"&amp;E191</f>
        <v>2.2_5.17.4</v>
      </c>
      <c r="E191" s="56" t="s">
        <v>1365</v>
      </c>
      <c r="F191" s="506" t="s">
        <v>1367</v>
      </c>
      <c r="G191" s="507" t="s">
        <v>39</v>
      </c>
      <c r="H191" s="507" t="s">
        <v>39</v>
      </c>
      <c r="I191" s="507" t="s">
        <v>1757</v>
      </c>
      <c r="J191" s="507" t="s">
        <v>39</v>
      </c>
      <c r="K191" s="507" t="s">
        <v>39</v>
      </c>
      <c r="L191" s="507" t="s">
        <v>39</v>
      </c>
      <c r="M191" s="507" t="s">
        <v>763</v>
      </c>
      <c r="N191" s="507" t="s">
        <v>1757</v>
      </c>
      <c r="O191" s="57" t="s">
        <v>1366</v>
      </c>
      <c r="P191" s="58" t="s">
        <v>846</v>
      </c>
      <c r="Q191" s="59" t="s">
        <v>1367</v>
      </c>
      <c r="R191" s="60" t="s">
        <v>755</v>
      </c>
      <c r="S191" s="61">
        <v>1867.77</v>
      </c>
      <c r="T191" s="62">
        <f>INDEX('BM MORRO DA CRUZ'!$P$6:$P$402,MATCH($O191,'BM MORRO DA CRUZ'!$K$6:$K$402,0))</f>
        <v>83.12</v>
      </c>
      <c r="U191" s="63">
        <f>ROUND(T191*$S191,2)</f>
        <v>155249.04</v>
      </c>
      <c r="V191" s="61">
        <f>IFERROR(SUMIFS('01ª MC'!$W$1:$W$1840,'01ª MC'!$C$1:$C$1840,$D191),0)</f>
        <v>0</v>
      </c>
      <c r="W191" s="63">
        <f>ROUND(V191*$T191,2)</f>
        <v>0</v>
      </c>
      <c r="X191" s="61">
        <v>0</v>
      </c>
      <c r="Y191" s="63">
        <f>ROUND(X191*$T191,2)</f>
        <v>0</v>
      </c>
      <c r="Z191" s="61">
        <v>0</v>
      </c>
      <c r="AA191" s="63">
        <f>ROUND(Z191*$T191,2)</f>
        <v>0</v>
      </c>
      <c r="AB191" s="61">
        <v>0</v>
      </c>
      <c r="AC191" s="63">
        <f>ROUND(AB191*$T191,2)</f>
        <v>0</v>
      </c>
      <c r="AD191" s="61">
        <v>0</v>
      </c>
      <c r="AE191" s="63">
        <f>ROUND(AD191*$T191,2)</f>
        <v>0</v>
      </c>
      <c r="AF191" s="61">
        <v>0</v>
      </c>
      <c r="AG191" s="63">
        <f>ROUND(AF191*$T191,2)</f>
        <v>0</v>
      </c>
      <c r="AH191" s="61">
        <v>0</v>
      </c>
      <c r="AI191" s="63">
        <f>ROUND(AH191*$T191,2)</f>
        <v>0</v>
      </c>
      <c r="AJ191" s="61">
        <v>0</v>
      </c>
      <c r="AK191" s="63">
        <f>ROUND(AJ191*$T191,2)</f>
        <v>0</v>
      </c>
      <c r="AL191" s="61">
        <v>0</v>
      </c>
      <c r="AM191" s="63">
        <f>ROUND(AL191*$T191,2)</f>
        <v>0</v>
      </c>
      <c r="AN191" s="61">
        <v>0</v>
      </c>
      <c r="AO191" s="63">
        <f>ROUND(AN191*$T191,2)</f>
        <v>0</v>
      </c>
      <c r="AP191" s="61">
        <v>0</v>
      </c>
      <c r="AQ191" s="63">
        <f>ROUND(AP191*$T191,2)</f>
        <v>0</v>
      </c>
      <c r="AR191" s="61">
        <v>0</v>
      </c>
      <c r="AS191" s="63">
        <f>ROUND(AR191*$T191,2)</f>
        <v>0</v>
      </c>
      <c r="AT191" s="61">
        <v>0</v>
      </c>
      <c r="AU191" s="63">
        <f>ROUND(AT191*$T191,2)</f>
        <v>0</v>
      </c>
      <c r="AV191" s="61">
        <v>0</v>
      </c>
      <c r="AW191" s="63">
        <f>ROUND(AV191*$T191,2)</f>
        <v>0</v>
      </c>
      <c r="AX191" s="61">
        <v>0</v>
      </c>
      <c r="AY191" s="63">
        <f>ROUND(AX191*$T191,2)</f>
        <v>0</v>
      </c>
      <c r="AZ191" s="61">
        <v>0</v>
      </c>
      <c r="BA191" s="63">
        <f>ROUND(AZ191*$T191,2)</f>
        <v>0</v>
      </c>
      <c r="BB191" s="61">
        <v>0</v>
      </c>
      <c r="BC191" s="63">
        <f>ROUND(BB191*$T191,2)</f>
        <v>0</v>
      </c>
      <c r="BD191" s="61">
        <v>0</v>
      </c>
      <c r="BE191" s="63">
        <f>ROUND(BD191*$T191,2)</f>
        <v>0</v>
      </c>
      <c r="BF191" s="61">
        <f>IFERROR(SUMIFS($V191:$BE191,$V$5:$BE$5,$BF$5),0)</f>
        <v>0</v>
      </c>
      <c r="BG191" s="63">
        <f>SUMIFS($V191:$BE191,$V$5:$BE$5,$W$5)</f>
        <v>0</v>
      </c>
      <c r="BH191" s="45"/>
      <c r="BI191" s="144"/>
    </row>
    <row r="192" spans="1:61" ht="19.5" customHeight="1" x14ac:dyDescent="0.45">
      <c r="A192" s="103">
        <v>3</v>
      </c>
      <c r="B192" s="104"/>
      <c r="C192" s="105" t="s">
        <v>1474</v>
      </c>
      <c r="D192" s="106"/>
      <c r="E192" s="107"/>
      <c r="F192" s="512"/>
      <c r="G192" s="108"/>
      <c r="H192" s="108"/>
      <c r="I192" s="108"/>
      <c r="J192" s="108"/>
      <c r="K192" s="108"/>
      <c r="L192" s="108"/>
      <c r="M192" s="108"/>
      <c r="N192" s="108"/>
      <c r="O192" s="109"/>
      <c r="P192" s="110"/>
      <c r="Q192" s="111" t="s">
        <v>1474</v>
      </c>
      <c r="R192" s="112"/>
      <c r="S192" s="113"/>
      <c r="T192" s="114"/>
      <c r="U192" s="115">
        <f>SUM(U193,U203,U206)</f>
        <v>1497749.8800000001</v>
      </c>
      <c r="V192" s="116"/>
      <c r="W192" s="115">
        <f>SUM(W193,W203,W206)</f>
        <v>0</v>
      </c>
      <c r="X192" s="116"/>
      <c r="Y192" s="115">
        <f>SUM(Y193,Y203,Y206)</f>
        <v>0</v>
      </c>
      <c r="Z192" s="116"/>
      <c r="AA192" s="115">
        <f>SUM(AA193,AA203,AA206)</f>
        <v>0</v>
      </c>
      <c r="AB192" s="116"/>
      <c r="AC192" s="115">
        <f>SUM(AC193,AC203,AC206)</f>
        <v>0</v>
      </c>
      <c r="AD192" s="116"/>
      <c r="AE192" s="115">
        <f>SUM(AE193,AE203,AE206)</f>
        <v>0</v>
      </c>
      <c r="AF192" s="116"/>
      <c r="AG192" s="115">
        <f>SUM(AG193,AG203,AG206)</f>
        <v>0</v>
      </c>
      <c r="AH192" s="116"/>
      <c r="AI192" s="115">
        <f>SUM(AI193,AI203,AI206)</f>
        <v>0</v>
      </c>
      <c r="AJ192" s="116"/>
      <c r="AK192" s="115">
        <f>SUM(AK193,AK203,AK206)</f>
        <v>0</v>
      </c>
      <c r="AL192" s="116"/>
      <c r="AM192" s="115">
        <f>SUM(AM193,AM203,AM206)</f>
        <v>0</v>
      </c>
      <c r="AN192" s="116"/>
      <c r="AO192" s="115">
        <f>SUM(AO193,AO203,AO206)</f>
        <v>0</v>
      </c>
      <c r="AP192" s="116"/>
      <c r="AQ192" s="115">
        <f>SUM(AQ193,AQ203,AQ206)</f>
        <v>0</v>
      </c>
      <c r="AR192" s="116"/>
      <c r="AS192" s="115">
        <f>SUM(AS193,AS203,AS206)</f>
        <v>0</v>
      </c>
      <c r="AT192" s="116"/>
      <c r="AU192" s="115">
        <f>SUM(AU193,AU203,AU206)</f>
        <v>0</v>
      </c>
      <c r="AV192" s="116"/>
      <c r="AW192" s="115">
        <f>SUM(AW193,AW203,AW206)</f>
        <v>0</v>
      </c>
      <c r="AX192" s="116"/>
      <c r="AY192" s="115">
        <f>SUM(AY193,AY203,AY206)</f>
        <v>0</v>
      </c>
      <c r="AZ192" s="116"/>
      <c r="BA192" s="115">
        <f>SUM(BA193,BA203,BA206)</f>
        <v>0</v>
      </c>
      <c r="BB192" s="116"/>
      <c r="BC192" s="115">
        <f>SUM(BC193,BC203,BC206)</f>
        <v>0</v>
      </c>
      <c r="BD192" s="116"/>
      <c r="BE192" s="115">
        <f>SUM(BE193,BE203,BE206)</f>
        <v>0</v>
      </c>
      <c r="BF192" s="116"/>
      <c r="BG192" s="115">
        <f>SUM(BG193,BG203,BG206)</f>
        <v>0</v>
      </c>
      <c r="BH192" s="102">
        <f>U192/$T$550</f>
        <v>3.0859611206622384E-2</v>
      </c>
    </row>
    <row r="193" spans="1:61" ht="19.5" customHeight="1" x14ac:dyDescent="0.45">
      <c r="A193" s="117">
        <v>3</v>
      </c>
      <c r="B193" s="118"/>
      <c r="C193" s="119"/>
      <c r="D193" s="120"/>
      <c r="E193" s="35" t="s">
        <v>1463</v>
      </c>
      <c r="F193" s="513"/>
      <c r="G193" s="514"/>
      <c r="H193" s="514"/>
      <c r="I193" s="514"/>
      <c r="J193" s="514"/>
      <c r="K193" s="514"/>
      <c r="L193" s="514"/>
      <c r="M193" s="514"/>
      <c r="N193" s="514"/>
      <c r="O193" s="121" t="s">
        <v>33</v>
      </c>
      <c r="P193" s="122"/>
      <c r="Q193" s="123" t="s">
        <v>21</v>
      </c>
      <c r="R193" s="124"/>
      <c r="S193" s="125"/>
      <c r="T193" s="126"/>
      <c r="U193" s="127">
        <f>SUM(U194,U196,U198,U200)</f>
        <v>312540.70999999996</v>
      </c>
      <c r="V193" s="125"/>
      <c r="W193" s="127">
        <f>SUM(W194,W196,W198,W200)</f>
        <v>0</v>
      </c>
      <c r="X193" s="125"/>
      <c r="Y193" s="127">
        <f>SUM(Y194,Y196,Y198,Y200)</f>
        <v>0</v>
      </c>
      <c r="Z193" s="125"/>
      <c r="AA193" s="127">
        <f>SUM(AA194,AA196,AA198,AA200)</f>
        <v>0</v>
      </c>
      <c r="AB193" s="125"/>
      <c r="AC193" s="127">
        <f>SUM(AC194,AC196,AC198,AC200)</f>
        <v>0</v>
      </c>
      <c r="AD193" s="125"/>
      <c r="AE193" s="127">
        <f>SUM(AE194,AE196,AE198,AE200)</f>
        <v>0</v>
      </c>
      <c r="AF193" s="125"/>
      <c r="AG193" s="127">
        <f>SUM(AG194,AG196,AG198,AG200)</f>
        <v>0</v>
      </c>
      <c r="AH193" s="125"/>
      <c r="AI193" s="127">
        <f>SUM(AI194,AI196,AI198,AI200)</f>
        <v>0</v>
      </c>
      <c r="AJ193" s="125"/>
      <c r="AK193" s="127">
        <f>SUM(AK194,AK196,AK198,AK200)</f>
        <v>0</v>
      </c>
      <c r="AL193" s="125"/>
      <c r="AM193" s="127">
        <f>SUM(AM194,AM196,AM198,AM200)</f>
        <v>0</v>
      </c>
      <c r="AN193" s="125"/>
      <c r="AO193" s="127">
        <f>SUM(AO194,AO196,AO198,AO200)</f>
        <v>0</v>
      </c>
      <c r="AP193" s="125"/>
      <c r="AQ193" s="127">
        <f>SUM(AQ194,AQ196,AQ198,AQ200)</f>
        <v>0</v>
      </c>
      <c r="AR193" s="125"/>
      <c r="AS193" s="127">
        <f>SUM(AS194,AS196,AS198,AS200)</f>
        <v>0</v>
      </c>
      <c r="AT193" s="125"/>
      <c r="AU193" s="127">
        <f>SUM(AU194,AU196,AU198,AU200)</f>
        <v>0</v>
      </c>
      <c r="AV193" s="125"/>
      <c r="AW193" s="127">
        <f>SUM(AW194,AW196,AW198,AW200)</f>
        <v>0</v>
      </c>
      <c r="AX193" s="125"/>
      <c r="AY193" s="127">
        <f>SUM(AY194,AY196,AY198,AY200)</f>
        <v>0</v>
      </c>
      <c r="AZ193" s="125"/>
      <c r="BA193" s="127">
        <f>SUM(BA194,BA196,BA198,BA200)</f>
        <v>0</v>
      </c>
      <c r="BB193" s="125"/>
      <c r="BC193" s="127">
        <f>SUM(BC194,BC196,BC198,BC200)</f>
        <v>0</v>
      </c>
      <c r="BD193" s="125"/>
      <c r="BE193" s="127">
        <f>SUM(BE194,BE196,BE198,BE200)</f>
        <v>0</v>
      </c>
      <c r="BF193" s="125"/>
      <c r="BG193" s="127">
        <f>SUM(BG194,BG196,BG198,BG200)</f>
        <v>0</v>
      </c>
      <c r="BH193" s="45"/>
    </row>
    <row r="194" spans="1:61" ht="19.5" customHeight="1" x14ac:dyDescent="0.45">
      <c r="A194" s="128">
        <v>3</v>
      </c>
      <c r="B194" s="129"/>
      <c r="C194" s="130"/>
      <c r="D194" s="131"/>
      <c r="E194" s="132" t="s">
        <v>45</v>
      </c>
      <c r="F194" s="515"/>
      <c r="G194" s="516"/>
      <c r="H194" s="516"/>
      <c r="I194" s="516"/>
      <c r="J194" s="516"/>
      <c r="K194" s="516"/>
      <c r="L194" s="516"/>
      <c r="M194" s="516"/>
      <c r="N194" s="516"/>
      <c r="O194" s="133" t="s">
        <v>46</v>
      </c>
      <c r="P194" s="134"/>
      <c r="Q194" s="135" t="s">
        <v>47</v>
      </c>
      <c r="R194" s="136"/>
      <c r="S194" s="137"/>
      <c r="T194" s="138"/>
      <c r="U194" s="139">
        <f>SUM(U195:U195)</f>
        <v>23066.400000000001</v>
      </c>
      <c r="V194" s="137"/>
      <c r="W194" s="139">
        <f>SUM(W195:W195)</f>
        <v>0</v>
      </c>
      <c r="X194" s="137"/>
      <c r="Y194" s="139">
        <f>SUM(Y195:Y195)</f>
        <v>0</v>
      </c>
      <c r="Z194" s="137"/>
      <c r="AA194" s="139">
        <f>SUM(AA195:AA195)</f>
        <v>0</v>
      </c>
      <c r="AB194" s="137"/>
      <c r="AC194" s="139">
        <f>SUM(AC195:AC195)</f>
        <v>0</v>
      </c>
      <c r="AD194" s="137"/>
      <c r="AE194" s="139">
        <f>SUM(AE195:AE195)</f>
        <v>0</v>
      </c>
      <c r="AF194" s="137"/>
      <c r="AG194" s="139">
        <f>SUM(AG195:AG195)</f>
        <v>0</v>
      </c>
      <c r="AH194" s="137"/>
      <c r="AI194" s="139">
        <f>SUM(AI195:AI195)</f>
        <v>0</v>
      </c>
      <c r="AJ194" s="137"/>
      <c r="AK194" s="139">
        <f>SUM(AK195:AK195)</f>
        <v>0</v>
      </c>
      <c r="AL194" s="137"/>
      <c r="AM194" s="139">
        <f>SUM(AM195:AM195)</f>
        <v>0</v>
      </c>
      <c r="AN194" s="137"/>
      <c r="AO194" s="139">
        <f>SUM(AO195:AO195)</f>
        <v>0</v>
      </c>
      <c r="AP194" s="137"/>
      <c r="AQ194" s="139">
        <f>SUM(AQ195:AQ195)</f>
        <v>0</v>
      </c>
      <c r="AR194" s="137"/>
      <c r="AS194" s="139">
        <f>SUM(AS195:AS195)</f>
        <v>0</v>
      </c>
      <c r="AT194" s="137"/>
      <c r="AU194" s="139">
        <f>SUM(AU195:AU195)</f>
        <v>0</v>
      </c>
      <c r="AV194" s="137"/>
      <c r="AW194" s="139">
        <f>SUM(AW195:AW195)</f>
        <v>0</v>
      </c>
      <c r="AX194" s="137"/>
      <c r="AY194" s="139">
        <f>SUM(AY195:AY195)</f>
        <v>0</v>
      </c>
      <c r="AZ194" s="137"/>
      <c r="BA194" s="139">
        <f>SUM(BA195:BA195)</f>
        <v>0</v>
      </c>
      <c r="BB194" s="137"/>
      <c r="BC194" s="139">
        <f>SUM(BC195:BC195)</f>
        <v>0</v>
      </c>
      <c r="BD194" s="137"/>
      <c r="BE194" s="139">
        <f>SUM(BE195:BE195)</f>
        <v>0</v>
      </c>
      <c r="BF194" s="137"/>
      <c r="BG194" s="139">
        <f>SUM(BG195:BG195)</f>
        <v>0</v>
      </c>
      <c r="BH194" s="45"/>
    </row>
    <row r="195" spans="1:61" ht="26.25" customHeight="1" x14ac:dyDescent="0.45">
      <c r="A195" s="140">
        <v>3</v>
      </c>
      <c r="B195" s="141" t="s">
        <v>833</v>
      </c>
      <c r="C195" s="142" t="s">
        <v>1475</v>
      </c>
      <c r="D195" s="143" t="str">
        <f>B195&amp;"_"&amp;E195</f>
        <v>3.1_1.2.2</v>
      </c>
      <c r="E195" s="56" t="s">
        <v>55</v>
      </c>
      <c r="F195" s="506" t="s">
        <v>56</v>
      </c>
      <c r="G195" s="507" t="s">
        <v>39</v>
      </c>
      <c r="H195" s="507" t="s">
        <v>39</v>
      </c>
      <c r="I195" s="507" t="s">
        <v>39</v>
      </c>
      <c r="J195" s="507" t="s">
        <v>39</v>
      </c>
      <c r="K195" s="507" t="s">
        <v>39</v>
      </c>
      <c r="L195" s="507" t="s">
        <v>39</v>
      </c>
      <c r="M195" s="507" t="s">
        <v>57</v>
      </c>
      <c r="N195" s="507" t="s">
        <v>51</v>
      </c>
      <c r="O195" s="57" t="s">
        <v>58</v>
      </c>
      <c r="P195" s="58" t="s">
        <v>21</v>
      </c>
      <c r="Q195" s="59" t="s">
        <v>59</v>
      </c>
      <c r="R195" s="60" t="s">
        <v>54</v>
      </c>
      <c r="S195" s="61">
        <v>1346.55</v>
      </c>
      <c r="T195" s="62">
        <f>INDEX('BM MORRO DA CRUZ'!$P$6:$P$402,MATCH($O195,'BM MORRO DA CRUZ'!$K$6:$K$402,0))</f>
        <v>17.13</v>
      </c>
      <c r="U195" s="63">
        <f>ROUND(T195*$S195,2)</f>
        <v>23066.400000000001</v>
      </c>
      <c r="V195" s="61">
        <f>IFERROR(SUMIFS('01ª MC'!$W$1:$W$1840,'01ª MC'!$C$1:$C$1840,$D195),0)</f>
        <v>0</v>
      </c>
      <c r="W195" s="63">
        <f>ROUND(V195*$T195,2)</f>
        <v>0</v>
      </c>
      <c r="X195" s="61">
        <v>0</v>
      </c>
      <c r="Y195" s="63">
        <f>ROUND(X195*$T195,2)</f>
        <v>0</v>
      </c>
      <c r="Z195" s="61">
        <v>0</v>
      </c>
      <c r="AA195" s="63">
        <f>ROUND(Z195*$T195,2)</f>
        <v>0</v>
      </c>
      <c r="AB195" s="61">
        <v>0</v>
      </c>
      <c r="AC195" s="63">
        <f>ROUND(AB195*$T195,2)</f>
        <v>0</v>
      </c>
      <c r="AD195" s="61">
        <v>0</v>
      </c>
      <c r="AE195" s="63">
        <f>ROUND(AD195*$T195,2)</f>
        <v>0</v>
      </c>
      <c r="AF195" s="61">
        <v>0</v>
      </c>
      <c r="AG195" s="63">
        <f>ROUND(AF195*$T195,2)</f>
        <v>0</v>
      </c>
      <c r="AH195" s="61">
        <v>0</v>
      </c>
      <c r="AI195" s="63">
        <f>ROUND(AH195*$T195,2)</f>
        <v>0</v>
      </c>
      <c r="AJ195" s="61">
        <v>0</v>
      </c>
      <c r="AK195" s="63">
        <f>ROUND(AJ195*$T195,2)</f>
        <v>0</v>
      </c>
      <c r="AL195" s="61">
        <v>0</v>
      </c>
      <c r="AM195" s="63">
        <f>ROUND(AL195*$T195,2)</f>
        <v>0</v>
      </c>
      <c r="AN195" s="61">
        <v>0</v>
      </c>
      <c r="AO195" s="63">
        <f>ROUND(AN195*$T195,2)</f>
        <v>0</v>
      </c>
      <c r="AP195" s="61">
        <v>0</v>
      </c>
      <c r="AQ195" s="63">
        <f>ROUND(AP195*$T195,2)</f>
        <v>0</v>
      </c>
      <c r="AR195" s="61">
        <v>0</v>
      </c>
      <c r="AS195" s="63">
        <f>ROUND(AR195*$T195,2)</f>
        <v>0</v>
      </c>
      <c r="AT195" s="61">
        <v>0</v>
      </c>
      <c r="AU195" s="63">
        <f>ROUND(AT195*$T195,2)</f>
        <v>0</v>
      </c>
      <c r="AV195" s="61">
        <v>0</v>
      </c>
      <c r="AW195" s="63">
        <f>ROUND(AV195*$T195,2)</f>
        <v>0</v>
      </c>
      <c r="AX195" s="61">
        <v>0</v>
      </c>
      <c r="AY195" s="63">
        <f>ROUND(AX195*$T195,2)</f>
        <v>0</v>
      </c>
      <c r="AZ195" s="61">
        <v>0</v>
      </c>
      <c r="BA195" s="63">
        <f>ROUND(AZ195*$T195,2)</f>
        <v>0</v>
      </c>
      <c r="BB195" s="61">
        <v>0</v>
      </c>
      <c r="BC195" s="63">
        <f>ROUND(BB195*$T195,2)</f>
        <v>0</v>
      </c>
      <c r="BD195" s="61">
        <v>0</v>
      </c>
      <c r="BE195" s="63">
        <f>ROUND(BD195*$T195,2)</f>
        <v>0</v>
      </c>
      <c r="BF195" s="61">
        <f>IFERROR(SUMIFS($V195:$BE195,$V$5:$BE$5,$BF$5),0)</f>
        <v>0</v>
      </c>
      <c r="BG195" s="63">
        <f>SUMIFS($V195:$BE195,$V$5:$BE$5,$W$5)</f>
        <v>0</v>
      </c>
      <c r="BH195" s="45"/>
      <c r="BI195" s="144"/>
    </row>
    <row r="196" spans="1:61" ht="19.5" customHeight="1" x14ac:dyDescent="0.45">
      <c r="A196" s="128">
        <v>3</v>
      </c>
      <c r="B196" s="129"/>
      <c r="C196" s="130"/>
      <c r="D196" s="131"/>
      <c r="E196" s="132" t="s">
        <v>72</v>
      </c>
      <c r="F196" s="515"/>
      <c r="G196" s="516"/>
      <c r="H196" s="516"/>
      <c r="I196" s="516"/>
      <c r="J196" s="516"/>
      <c r="K196" s="516"/>
      <c r="L196" s="516"/>
      <c r="M196" s="516"/>
      <c r="N196" s="516"/>
      <c r="O196" s="133" t="s">
        <v>73</v>
      </c>
      <c r="P196" s="134"/>
      <c r="Q196" s="135" t="s">
        <v>74</v>
      </c>
      <c r="R196" s="136"/>
      <c r="S196" s="137"/>
      <c r="T196" s="138"/>
      <c r="U196" s="139">
        <f>SUM(U197:U197)</f>
        <v>18953.72</v>
      </c>
      <c r="V196" s="137"/>
      <c r="W196" s="139">
        <f>SUM(W197:W197)</f>
        <v>0</v>
      </c>
      <c r="X196" s="137"/>
      <c r="Y196" s="139">
        <f>SUM(Y197:Y197)</f>
        <v>0</v>
      </c>
      <c r="Z196" s="137"/>
      <c r="AA196" s="139">
        <f>SUM(AA197:AA197)</f>
        <v>0</v>
      </c>
      <c r="AB196" s="137"/>
      <c r="AC196" s="139">
        <f>SUM(AC197:AC197)</f>
        <v>0</v>
      </c>
      <c r="AD196" s="137"/>
      <c r="AE196" s="139">
        <f>SUM(AE197:AE197)</f>
        <v>0</v>
      </c>
      <c r="AF196" s="137"/>
      <c r="AG196" s="139">
        <f>SUM(AG197:AG197)</f>
        <v>0</v>
      </c>
      <c r="AH196" s="137"/>
      <c r="AI196" s="139">
        <f>SUM(AI197:AI197)</f>
        <v>0</v>
      </c>
      <c r="AJ196" s="137"/>
      <c r="AK196" s="139">
        <f>SUM(AK197:AK197)</f>
        <v>0</v>
      </c>
      <c r="AL196" s="137"/>
      <c r="AM196" s="139">
        <f>SUM(AM197:AM197)</f>
        <v>0</v>
      </c>
      <c r="AN196" s="137"/>
      <c r="AO196" s="139">
        <f>SUM(AO197:AO197)</f>
        <v>0</v>
      </c>
      <c r="AP196" s="137"/>
      <c r="AQ196" s="139">
        <f>SUM(AQ197:AQ197)</f>
        <v>0</v>
      </c>
      <c r="AR196" s="137"/>
      <c r="AS196" s="139">
        <f>SUM(AS197:AS197)</f>
        <v>0</v>
      </c>
      <c r="AT196" s="137"/>
      <c r="AU196" s="139">
        <f>SUM(AU197:AU197)</f>
        <v>0</v>
      </c>
      <c r="AV196" s="137"/>
      <c r="AW196" s="139">
        <f>SUM(AW197:AW197)</f>
        <v>0</v>
      </c>
      <c r="AX196" s="137"/>
      <c r="AY196" s="139">
        <f>SUM(AY197:AY197)</f>
        <v>0</v>
      </c>
      <c r="AZ196" s="137"/>
      <c r="BA196" s="139">
        <f>SUM(BA197:BA197)</f>
        <v>0</v>
      </c>
      <c r="BB196" s="137"/>
      <c r="BC196" s="139">
        <f>SUM(BC197:BC197)</f>
        <v>0</v>
      </c>
      <c r="BD196" s="137"/>
      <c r="BE196" s="139">
        <f>SUM(BE197:BE197)</f>
        <v>0</v>
      </c>
      <c r="BF196" s="137"/>
      <c r="BG196" s="139">
        <f>SUM(BG197:BG197)</f>
        <v>0</v>
      </c>
      <c r="BH196" s="45"/>
    </row>
    <row r="197" spans="1:61" ht="26.25" customHeight="1" x14ac:dyDescent="0.45">
      <c r="A197" s="140">
        <v>3</v>
      </c>
      <c r="B197" s="141" t="s">
        <v>833</v>
      </c>
      <c r="C197" s="142" t="s">
        <v>1475</v>
      </c>
      <c r="D197" s="143" t="str">
        <f>B197&amp;"_"&amp;E197</f>
        <v>3.1_1.4.1</v>
      </c>
      <c r="E197" s="56" t="s">
        <v>75</v>
      </c>
      <c r="F197" s="506" t="s">
        <v>76</v>
      </c>
      <c r="G197" s="507" t="s">
        <v>39</v>
      </c>
      <c r="H197" s="507" t="s">
        <v>39</v>
      </c>
      <c r="I197" s="507" t="s">
        <v>77</v>
      </c>
      <c r="J197" s="507" t="s">
        <v>39</v>
      </c>
      <c r="K197" s="507">
        <v>600</v>
      </c>
      <c r="L197" s="507" t="s">
        <v>78</v>
      </c>
      <c r="M197" s="507" t="s">
        <v>79</v>
      </c>
      <c r="N197" s="507" t="s">
        <v>78</v>
      </c>
      <c r="O197" s="57" t="s">
        <v>80</v>
      </c>
      <c r="P197" s="58" t="s">
        <v>21</v>
      </c>
      <c r="Q197" s="59" t="s">
        <v>81</v>
      </c>
      <c r="R197" s="60" t="s">
        <v>71</v>
      </c>
      <c r="S197" s="61">
        <v>146</v>
      </c>
      <c r="T197" s="62">
        <f>INDEX('BM MORRO DA CRUZ'!$P$6:$P$402,MATCH($O197,'BM MORRO DA CRUZ'!$K$6:$K$402,0))</f>
        <v>129.82</v>
      </c>
      <c r="U197" s="63">
        <f>ROUND(T197*$S197,2)</f>
        <v>18953.72</v>
      </c>
      <c r="V197" s="61">
        <f>IFERROR(SUMIFS('01ª MC'!$W$1:$W$1840,'01ª MC'!$C$1:$C$1840,$D197),0)</f>
        <v>0</v>
      </c>
      <c r="W197" s="63">
        <f>ROUND(V197*$T197,2)</f>
        <v>0</v>
      </c>
      <c r="X197" s="61">
        <v>0</v>
      </c>
      <c r="Y197" s="63">
        <f>ROUND(X197*$T197,2)</f>
        <v>0</v>
      </c>
      <c r="Z197" s="61">
        <v>0</v>
      </c>
      <c r="AA197" s="63">
        <f>ROUND(Z197*$T197,2)</f>
        <v>0</v>
      </c>
      <c r="AB197" s="61">
        <v>0</v>
      </c>
      <c r="AC197" s="63">
        <f>ROUND(AB197*$T197,2)</f>
        <v>0</v>
      </c>
      <c r="AD197" s="61">
        <v>0</v>
      </c>
      <c r="AE197" s="63">
        <f>ROUND(AD197*$T197,2)</f>
        <v>0</v>
      </c>
      <c r="AF197" s="61">
        <v>0</v>
      </c>
      <c r="AG197" s="63">
        <f>ROUND(AF197*$T197,2)</f>
        <v>0</v>
      </c>
      <c r="AH197" s="61">
        <v>0</v>
      </c>
      <c r="AI197" s="63">
        <f>ROUND(AH197*$T197,2)</f>
        <v>0</v>
      </c>
      <c r="AJ197" s="61">
        <v>0</v>
      </c>
      <c r="AK197" s="63">
        <f>ROUND(AJ197*$T197,2)</f>
        <v>0</v>
      </c>
      <c r="AL197" s="61">
        <v>0</v>
      </c>
      <c r="AM197" s="63">
        <f>ROUND(AL197*$T197,2)</f>
        <v>0</v>
      </c>
      <c r="AN197" s="61">
        <v>0</v>
      </c>
      <c r="AO197" s="63">
        <f>ROUND(AN197*$T197,2)</f>
        <v>0</v>
      </c>
      <c r="AP197" s="61">
        <v>0</v>
      </c>
      <c r="AQ197" s="63">
        <f>ROUND(AP197*$T197,2)</f>
        <v>0</v>
      </c>
      <c r="AR197" s="61">
        <v>0</v>
      </c>
      <c r="AS197" s="63">
        <f>ROUND(AR197*$T197,2)</f>
        <v>0</v>
      </c>
      <c r="AT197" s="61">
        <v>0</v>
      </c>
      <c r="AU197" s="63">
        <f>ROUND(AT197*$T197,2)</f>
        <v>0</v>
      </c>
      <c r="AV197" s="61">
        <v>0</v>
      </c>
      <c r="AW197" s="63">
        <f>ROUND(AV197*$T197,2)</f>
        <v>0</v>
      </c>
      <c r="AX197" s="61">
        <v>0</v>
      </c>
      <c r="AY197" s="63">
        <f>ROUND(AX197*$T197,2)</f>
        <v>0</v>
      </c>
      <c r="AZ197" s="61">
        <v>0</v>
      </c>
      <c r="BA197" s="63">
        <f>ROUND(AZ197*$T197,2)</f>
        <v>0</v>
      </c>
      <c r="BB197" s="61">
        <v>0</v>
      </c>
      <c r="BC197" s="63">
        <f>ROUND(BB197*$T197,2)</f>
        <v>0</v>
      </c>
      <c r="BD197" s="61">
        <v>0</v>
      </c>
      <c r="BE197" s="63">
        <f>ROUND(BD197*$T197,2)</f>
        <v>0</v>
      </c>
      <c r="BF197" s="61">
        <f>IFERROR(SUMIFS($V197:$BE197,$V$5:$BE$5,$BF$5),0)</f>
        <v>0</v>
      </c>
      <c r="BG197" s="63">
        <f>SUMIFS($V197:$BE197,$V$5:$BE$5,$W$5)</f>
        <v>0</v>
      </c>
      <c r="BH197" s="45"/>
      <c r="BI197" s="144"/>
    </row>
    <row r="198" spans="1:61" ht="19.5" customHeight="1" x14ac:dyDescent="0.45">
      <c r="A198" s="128">
        <v>3</v>
      </c>
      <c r="B198" s="129"/>
      <c r="C198" s="130"/>
      <c r="D198" s="131"/>
      <c r="E198" s="132" t="s">
        <v>724</v>
      </c>
      <c r="F198" s="515"/>
      <c r="G198" s="516"/>
      <c r="H198" s="516"/>
      <c r="I198" s="516"/>
      <c r="J198" s="516"/>
      <c r="K198" s="516"/>
      <c r="L198" s="516"/>
      <c r="M198" s="516"/>
      <c r="N198" s="516"/>
      <c r="O198" s="133" t="s">
        <v>725</v>
      </c>
      <c r="P198" s="134"/>
      <c r="Q198" s="135" t="s">
        <v>726</v>
      </c>
      <c r="R198" s="136"/>
      <c r="S198" s="137"/>
      <c r="T198" s="138"/>
      <c r="U198" s="139">
        <f>SUM(U199:U199)</f>
        <v>102130</v>
      </c>
      <c r="V198" s="137"/>
      <c r="W198" s="139">
        <f>SUM(W199:W199)</f>
        <v>0</v>
      </c>
      <c r="X198" s="137"/>
      <c r="Y198" s="139">
        <f>SUM(Y199:Y199)</f>
        <v>0</v>
      </c>
      <c r="Z198" s="137"/>
      <c r="AA198" s="139">
        <f>SUM(AA199:AA199)</f>
        <v>0</v>
      </c>
      <c r="AB198" s="137"/>
      <c r="AC198" s="139">
        <f>SUM(AC199:AC199)</f>
        <v>0</v>
      </c>
      <c r="AD198" s="137"/>
      <c r="AE198" s="139">
        <f>SUM(AE199:AE199)</f>
        <v>0</v>
      </c>
      <c r="AF198" s="137"/>
      <c r="AG198" s="139">
        <f>SUM(AG199:AG199)</f>
        <v>0</v>
      </c>
      <c r="AH198" s="137"/>
      <c r="AI198" s="139">
        <f>SUM(AI199:AI199)</f>
        <v>0</v>
      </c>
      <c r="AJ198" s="137"/>
      <c r="AK198" s="139">
        <f>SUM(AK199:AK199)</f>
        <v>0</v>
      </c>
      <c r="AL198" s="137"/>
      <c r="AM198" s="139">
        <f>SUM(AM199:AM199)</f>
        <v>0</v>
      </c>
      <c r="AN198" s="137"/>
      <c r="AO198" s="139">
        <f>SUM(AO199:AO199)</f>
        <v>0</v>
      </c>
      <c r="AP198" s="137"/>
      <c r="AQ198" s="139">
        <f>SUM(AQ199:AQ199)</f>
        <v>0</v>
      </c>
      <c r="AR198" s="137"/>
      <c r="AS198" s="139">
        <f>SUM(AS199:AS199)</f>
        <v>0</v>
      </c>
      <c r="AT198" s="137"/>
      <c r="AU198" s="139">
        <f>SUM(AU199:AU199)</f>
        <v>0</v>
      </c>
      <c r="AV198" s="137"/>
      <c r="AW198" s="139">
        <f>SUM(AW199:AW199)</f>
        <v>0</v>
      </c>
      <c r="AX198" s="137"/>
      <c r="AY198" s="139">
        <f>SUM(AY199:AY199)</f>
        <v>0</v>
      </c>
      <c r="AZ198" s="137"/>
      <c r="BA198" s="139">
        <f>SUM(BA199:BA199)</f>
        <v>0</v>
      </c>
      <c r="BB198" s="137"/>
      <c r="BC198" s="139">
        <f>SUM(BC199:BC199)</f>
        <v>0</v>
      </c>
      <c r="BD198" s="137"/>
      <c r="BE198" s="139">
        <f>SUM(BE199:BE199)</f>
        <v>0</v>
      </c>
      <c r="BF198" s="137"/>
      <c r="BG198" s="139">
        <f>SUM(BG199:BG199)</f>
        <v>0</v>
      </c>
      <c r="BH198" s="45"/>
    </row>
    <row r="199" spans="1:61" ht="26" customHeight="1" x14ac:dyDescent="0.45">
      <c r="A199" s="140">
        <v>3</v>
      </c>
      <c r="B199" s="141" t="s">
        <v>833</v>
      </c>
      <c r="C199" s="142" t="s">
        <v>1475</v>
      </c>
      <c r="D199" s="143" t="str">
        <f>B199&amp;"_"&amp;E199</f>
        <v>3.1_1.16.1</v>
      </c>
      <c r="E199" s="56" t="s">
        <v>727</v>
      </c>
      <c r="F199" s="506" t="s">
        <v>728</v>
      </c>
      <c r="G199" s="507" t="s">
        <v>39</v>
      </c>
      <c r="H199" s="507" t="s">
        <v>39</v>
      </c>
      <c r="I199" s="507" t="s">
        <v>729</v>
      </c>
      <c r="J199" s="507" t="s">
        <v>39</v>
      </c>
      <c r="K199" s="507" t="s">
        <v>730</v>
      </c>
      <c r="L199" s="507" t="s">
        <v>226</v>
      </c>
      <c r="M199" s="507" t="s">
        <v>79</v>
      </c>
      <c r="N199" s="507" t="s">
        <v>41</v>
      </c>
      <c r="O199" s="57" t="s">
        <v>731</v>
      </c>
      <c r="P199" s="58" t="s">
        <v>21</v>
      </c>
      <c r="Q199" s="59" t="s">
        <v>732</v>
      </c>
      <c r="R199" s="60" t="s">
        <v>367</v>
      </c>
      <c r="S199" s="61">
        <v>145.9</v>
      </c>
      <c r="T199" s="62">
        <f>INDEX('BM MORRO DA CRUZ'!$P$6:$P$402,MATCH($O199,'BM MORRO DA CRUZ'!$K$6:$K$402,0))</f>
        <v>700</v>
      </c>
      <c r="U199" s="63">
        <f>ROUND(T199*$S199,2)</f>
        <v>102130</v>
      </c>
      <c r="V199" s="61">
        <f>IFERROR(SUMIFS('01ª MC'!$W$1:$W$1840,'01ª MC'!$C$1:$C$1840,$D199),0)</f>
        <v>0</v>
      </c>
      <c r="W199" s="63">
        <f>ROUND(V199*$T199,2)</f>
        <v>0</v>
      </c>
      <c r="X199" s="61">
        <v>0</v>
      </c>
      <c r="Y199" s="63">
        <f>ROUND(X199*$T199,2)</f>
        <v>0</v>
      </c>
      <c r="Z199" s="61">
        <v>0</v>
      </c>
      <c r="AA199" s="63">
        <f>ROUND(Z199*$T199,2)</f>
        <v>0</v>
      </c>
      <c r="AB199" s="61">
        <v>0</v>
      </c>
      <c r="AC199" s="63">
        <f>ROUND(AB199*$T199,2)</f>
        <v>0</v>
      </c>
      <c r="AD199" s="61">
        <v>0</v>
      </c>
      <c r="AE199" s="63">
        <f>ROUND(AD199*$T199,2)</f>
        <v>0</v>
      </c>
      <c r="AF199" s="61">
        <v>0</v>
      </c>
      <c r="AG199" s="63">
        <f>ROUND(AF199*$T199,2)</f>
        <v>0</v>
      </c>
      <c r="AH199" s="61">
        <v>0</v>
      </c>
      <c r="AI199" s="63">
        <f>ROUND(AH199*$T199,2)</f>
        <v>0</v>
      </c>
      <c r="AJ199" s="61">
        <v>0</v>
      </c>
      <c r="AK199" s="63">
        <f>ROUND(AJ199*$T199,2)</f>
        <v>0</v>
      </c>
      <c r="AL199" s="61">
        <v>0</v>
      </c>
      <c r="AM199" s="63">
        <f>ROUND(AL199*$T199,2)</f>
        <v>0</v>
      </c>
      <c r="AN199" s="61">
        <v>0</v>
      </c>
      <c r="AO199" s="63">
        <f>ROUND(AN199*$T199,2)</f>
        <v>0</v>
      </c>
      <c r="AP199" s="61">
        <v>0</v>
      </c>
      <c r="AQ199" s="63">
        <f>ROUND(AP199*$T199,2)</f>
        <v>0</v>
      </c>
      <c r="AR199" s="61">
        <v>0</v>
      </c>
      <c r="AS199" s="63">
        <f>ROUND(AR199*$T199,2)</f>
        <v>0</v>
      </c>
      <c r="AT199" s="61">
        <v>0</v>
      </c>
      <c r="AU199" s="63">
        <f>ROUND(AT199*$T199,2)</f>
        <v>0</v>
      </c>
      <c r="AV199" s="61">
        <v>0</v>
      </c>
      <c r="AW199" s="63">
        <f>ROUND(AV199*$T199,2)</f>
        <v>0</v>
      </c>
      <c r="AX199" s="61">
        <v>0</v>
      </c>
      <c r="AY199" s="63">
        <f>ROUND(AX199*$T199,2)</f>
        <v>0</v>
      </c>
      <c r="AZ199" s="61">
        <v>0</v>
      </c>
      <c r="BA199" s="63">
        <f>ROUND(AZ199*$T199,2)</f>
        <v>0</v>
      </c>
      <c r="BB199" s="61">
        <v>0</v>
      </c>
      <c r="BC199" s="63">
        <f>ROUND(BB199*$T199,2)</f>
        <v>0</v>
      </c>
      <c r="BD199" s="61">
        <v>0</v>
      </c>
      <c r="BE199" s="63">
        <f>ROUND(BD199*$T199,2)</f>
        <v>0</v>
      </c>
      <c r="BF199" s="61">
        <f>IFERROR(SUMIFS($V199:$BE199,$V$5:$BE$5,$BF$5),0)</f>
        <v>0</v>
      </c>
      <c r="BG199" s="63">
        <f>SUMIFS($V199:$BE199,$V$5:$BE$5,$W$5)</f>
        <v>0</v>
      </c>
      <c r="BH199" s="45"/>
      <c r="BI199" s="144"/>
    </row>
    <row r="200" spans="1:61" ht="19.5" customHeight="1" x14ac:dyDescent="0.45">
      <c r="A200" s="128">
        <v>3</v>
      </c>
      <c r="B200" s="129"/>
      <c r="C200" s="130"/>
      <c r="D200" s="131"/>
      <c r="E200" s="132" t="s">
        <v>742</v>
      </c>
      <c r="F200" s="515"/>
      <c r="G200" s="516"/>
      <c r="H200" s="516"/>
      <c r="I200" s="516"/>
      <c r="J200" s="516"/>
      <c r="K200" s="516"/>
      <c r="L200" s="516"/>
      <c r="M200" s="516"/>
      <c r="N200" s="516"/>
      <c r="O200" s="133" t="s">
        <v>743</v>
      </c>
      <c r="P200" s="134"/>
      <c r="Q200" s="135" t="s">
        <v>744</v>
      </c>
      <c r="R200" s="136"/>
      <c r="S200" s="137"/>
      <c r="T200" s="138"/>
      <c r="U200" s="139">
        <f>SUM(U201:U202)</f>
        <v>168390.59</v>
      </c>
      <c r="V200" s="137"/>
      <c r="W200" s="139">
        <f>SUM(W201:W202)</f>
        <v>0</v>
      </c>
      <c r="X200" s="137"/>
      <c r="Y200" s="139">
        <f>SUM(Y201:Y202)</f>
        <v>0</v>
      </c>
      <c r="Z200" s="137"/>
      <c r="AA200" s="139">
        <f>SUM(AA201:AA202)</f>
        <v>0</v>
      </c>
      <c r="AB200" s="137"/>
      <c r="AC200" s="139">
        <f>SUM(AC201:AC202)</f>
        <v>0</v>
      </c>
      <c r="AD200" s="137"/>
      <c r="AE200" s="139">
        <f>SUM(AE201:AE202)</f>
        <v>0</v>
      </c>
      <c r="AF200" s="137"/>
      <c r="AG200" s="139">
        <f>SUM(AG201:AG202)</f>
        <v>0</v>
      </c>
      <c r="AH200" s="137"/>
      <c r="AI200" s="139">
        <f>SUM(AI201:AI202)</f>
        <v>0</v>
      </c>
      <c r="AJ200" s="137"/>
      <c r="AK200" s="139">
        <f>SUM(AK201:AK202)</f>
        <v>0</v>
      </c>
      <c r="AL200" s="137"/>
      <c r="AM200" s="139">
        <f>SUM(AM201:AM202)</f>
        <v>0</v>
      </c>
      <c r="AN200" s="137"/>
      <c r="AO200" s="139">
        <f>SUM(AO201:AO202)</f>
        <v>0</v>
      </c>
      <c r="AP200" s="137"/>
      <c r="AQ200" s="139">
        <f>SUM(AQ201:AQ202)</f>
        <v>0</v>
      </c>
      <c r="AR200" s="137"/>
      <c r="AS200" s="139">
        <f>SUM(AS201:AS202)</f>
        <v>0</v>
      </c>
      <c r="AT200" s="137"/>
      <c r="AU200" s="139">
        <f>SUM(AU201:AU202)</f>
        <v>0</v>
      </c>
      <c r="AV200" s="137"/>
      <c r="AW200" s="139">
        <f>SUM(AW201:AW202)</f>
        <v>0</v>
      </c>
      <c r="AX200" s="137"/>
      <c r="AY200" s="139">
        <f>SUM(AY201:AY202)</f>
        <v>0</v>
      </c>
      <c r="AZ200" s="137"/>
      <c r="BA200" s="139">
        <f>SUM(BA201:BA202)</f>
        <v>0</v>
      </c>
      <c r="BB200" s="137"/>
      <c r="BC200" s="139">
        <f>SUM(BC201:BC202)</f>
        <v>0</v>
      </c>
      <c r="BD200" s="137"/>
      <c r="BE200" s="139">
        <f>SUM(BE201:BE202)</f>
        <v>0</v>
      </c>
      <c r="BF200" s="137"/>
      <c r="BG200" s="139">
        <f>SUM(BG201:BG202)</f>
        <v>0</v>
      </c>
      <c r="BH200" s="45"/>
    </row>
    <row r="201" spans="1:61" ht="26.25" customHeight="1" x14ac:dyDescent="0.45">
      <c r="A201" s="140">
        <v>3</v>
      </c>
      <c r="B201" s="141" t="s">
        <v>833</v>
      </c>
      <c r="C201" s="142" t="s">
        <v>1475</v>
      </c>
      <c r="D201" s="143" t="str">
        <f>B201&amp;"_"&amp;E201</f>
        <v>3.1_1.18.2</v>
      </c>
      <c r="E201" s="56" t="s">
        <v>751</v>
      </c>
      <c r="F201" s="506" t="s">
        <v>752</v>
      </c>
      <c r="G201" s="507" t="s">
        <v>39</v>
      </c>
      <c r="H201" s="507" t="s">
        <v>39</v>
      </c>
      <c r="I201" s="507" t="s">
        <v>78</v>
      </c>
      <c r="J201" s="507" t="s">
        <v>39</v>
      </c>
      <c r="K201" s="507" t="s">
        <v>39</v>
      </c>
      <c r="L201" s="507" t="s">
        <v>78</v>
      </c>
      <c r="M201" s="507" t="s">
        <v>79</v>
      </c>
      <c r="N201" s="507" t="s">
        <v>78</v>
      </c>
      <c r="O201" s="57" t="s">
        <v>753</v>
      </c>
      <c r="P201" s="58" t="s">
        <v>21</v>
      </c>
      <c r="Q201" s="59" t="s">
        <v>754</v>
      </c>
      <c r="R201" s="60" t="s">
        <v>755</v>
      </c>
      <c r="S201" s="61">
        <v>45.4</v>
      </c>
      <c r="T201" s="62">
        <f>INDEX('BM MORRO DA CRUZ'!$P$6:$P$402,MATCH($O201,'BM MORRO DA CRUZ'!$K$6:$K$402,0))</f>
        <v>528.86</v>
      </c>
      <c r="U201" s="63">
        <f>ROUND(T201*$S201,2)</f>
        <v>24010.240000000002</v>
      </c>
      <c r="V201" s="61">
        <f>IFERROR(SUMIFS('01ª MC'!$W$1:$W$1840,'01ª MC'!$C$1:$C$1840,$D201),0)</f>
        <v>0</v>
      </c>
      <c r="W201" s="63">
        <f>ROUND(V201*$T201,2)</f>
        <v>0</v>
      </c>
      <c r="X201" s="61">
        <v>0</v>
      </c>
      <c r="Y201" s="63">
        <f>ROUND(X201*$T201,2)</f>
        <v>0</v>
      </c>
      <c r="Z201" s="61">
        <v>0</v>
      </c>
      <c r="AA201" s="63">
        <f>ROUND(Z201*$T201,2)</f>
        <v>0</v>
      </c>
      <c r="AB201" s="61">
        <v>0</v>
      </c>
      <c r="AC201" s="63">
        <f>ROUND(AB201*$T201,2)</f>
        <v>0</v>
      </c>
      <c r="AD201" s="61">
        <v>0</v>
      </c>
      <c r="AE201" s="63">
        <f>ROUND(AD201*$T201,2)</f>
        <v>0</v>
      </c>
      <c r="AF201" s="61">
        <v>0</v>
      </c>
      <c r="AG201" s="63">
        <f>ROUND(AF201*$T201,2)</f>
        <v>0</v>
      </c>
      <c r="AH201" s="61">
        <v>0</v>
      </c>
      <c r="AI201" s="63">
        <f>ROUND(AH201*$T201,2)</f>
        <v>0</v>
      </c>
      <c r="AJ201" s="61">
        <v>0</v>
      </c>
      <c r="AK201" s="63">
        <f>ROUND(AJ201*$T201,2)</f>
        <v>0</v>
      </c>
      <c r="AL201" s="61">
        <v>0</v>
      </c>
      <c r="AM201" s="63">
        <f>ROUND(AL201*$T201,2)</f>
        <v>0</v>
      </c>
      <c r="AN201" s="61">
        <v>0</v>
      </c>
      <c r="AO201" s="63">
        <f>ROUND(AN201*$T201,2)</f>
        <v>0</v>
      </c>
      <c r="AP201" s="61">
        <v>0</v>
      </c>
      <c r="AQ201" s="63">
        <f>ROUND(AP201*$T201,2)</f>
        <v>0</v>
      </c>
      <c r="AR201" s="61">
        <v>0</v>
      </c>
      <c r="AS201" s="63">
        <f>ROUND(AR201*$T201,2)</f>
        <v>0</v>
      </c>
      <c r="AT201" s="61">
        <v>0</v>
      </c>
      <c r="AU201" s="63">
        <f>ROUND(AT201*$T201,2)</f>
        <v>0</v>
      </c>
      <c r="AV201" s="61">
        <v>0</v>
      </c>
      <c r="AW201" s="63">
        <f>ROUND(AV201*$T201,2)</f>
        <v>0</v>
      </c>
      <c r="AX201" s="61">
        <v>0</v>
      </c>
      <c r="AY201" s="63">
        <f>ROUND(AX201*$T201,2)</f>
        <v>0</v>
      </c>
      <c r="AZ201" s="61">
        <v>0</v>
      </c>
      <c r="BA201" s="63">
        <f>ROUND(AZ201*$T201,2)</f>
        <v>0</v>
      </c>
      <c r="BB201" s="61">
        <v>0</v>
      </c>
      <c r="BC201" s="63">
        <f>ROUND(BB201*$T201,2)</f>
        <v>0</v>
      </c>
      <c r="BD201" s="61">
        <v>0</v>
      </c>
      <c r="BE201" s="63">
        <f>ROUND(BD201*$T201,2)</f>
        <v>0</v>
      </c>
      <c r="BF201" s="61">
        <f>IFERROR(SUMIFS($V201:$BE201,$V$5:$BE$5,$BF$5),0)</f>
        <v>0</v>
      </c>
      <c r="BG201" s="63">
        <f>SUMIFS($V201:$BE201,$V$5:$BE$5,$W$5)</f>
        <v>0</v>
      </c>
      <c r="BH201" s="45"/>
      <c r="BI201" s="144"/>
    </row>
    <row r="202" spans="1:61" ht="26" customHeight="1" x14ac:dyDescent="0.45">
      <c r="A202" s="140">
        <v>3</v>
      </c>
      <c r="B202" s="141" t="s">
        <v>833</v>
      </c>
      <c r="C202" s="142" t="s">
        <v>1475</v>
      </c>
      <c r="D202" s="143" t="str">
        <f>B202&amp;"_"&amp;E202</f>
        <v>3.1_1.18.3</v>
      </c>
      <c r="E202" s="56" t="s">
        <v>756</v>
      </c>
      <c r="F202" s="506" t="s">
        <v>757</v>
      </c>
      <c r="G202" s="507" t="s">
        <v>39</v>
      </c>
      <c r="H202" s="507" t="s">
        <v>39</v>
      </c>
      <c r="I202" s="507" t="s">
        <v>78</v>
      </c>
      <c r="J202" s="507" t="s">
        <v>39</v>
      </c>
      <c r="K202" s="507" t="s">
        <v>39</v>
      </c>
      <c r="L202" s="507" t="s">
        <v>1720</v>
      </c>
      <c r="M202" s="507" t="s">
        <v>79</v>
      </c>
      <c r="N202" s="507" t="s">
        <v>78</v>
      </c>
      <c r="O202" s="57" t="s">
        <v>758</v>
      </c>
      <c r="P202" s="58" t="s">
        <v>21</v>
      </c>
      <c r="Q202" s="59" t="s">
        <v>759</v>
      </c>
      <c r="R202" s="60" t="s">
        <v>755</v>
      </c>
      <c r="S202" s="61">
        <v>280.10000000000002</v>
      </c>
      <c r="T202" s="62">
        <f>INDEX('BM MORRO DA CRUZ'!$P$6:$P$402,MATCH($O202,'BM MORRO DA CRUZ'!$K$6:$K$402,0))</f>
        <v>515.46</v>
      </c>
      <c r="U202" s="63">
        <f>ROUND(T202*$S202,2)</f>
        <v>144380.35</v>
      </c>
      <c r="V202" s="61">
        <f>IFERROR(SUMIFS('01ª MC'!$W$1:$W$1840,'01ª MC'!$C$1:$C$1840,$D202),0)</f>
        <v>0</v>
      </c>
      <c r="W202" s="63">
        <f>ROUND(V202*$T202,2)</f>
        <v>0</v>
      </c>
      <c r="X202" s="61">
        <v>0</v>
      </c>
      <c r="Y202" s="63">
        <f>ROUND(X202*$T202,2)</f>
        <v>0</v>
      </c>
      <c r="Z202" s="61">
        <v>0</v>
      </c>
      <c r="AA202" s="63">
        <f>ROUND(Z202*$T202,2)</f>
        <v>0</v>
      </c>
      <c r="AB202" s="61">
        <v>0</v>
      </c>
      <c r="AC202" s="63">
        <f>ROUND(AB202*$T202,2)</f>
        <v>0</v>
      </c>
      <c r="AD202" s="61">
        <v>0</v>
      </c>
      <c r="AE202" s="63">
        <f>ROUND(AD202*$T202,2)</f>
        <v>0</v>
      </c>
      <c r="AF202" s="61">
        <v>0</v>
      </c>
      <c r="AG202" s="63">
        <f>ROUND(AF202*$T202,2)</f>
        <v>0</v>
      </c>
      <c r="AH202" s="61">
        <v>0</v>
      </c>
      <c r="AI202" s="63">
        <f>ROUND(AH202*$T202,2)</f>
        <v>0</v>
      </c>
      <c r="AJ202" s="61">
        <v>0</v>
      </c>
      <c r="AK202" s="63">
        <f>ROUND(AJ202*$T202,2)</f>
        <v>0</v>
      </c>
      <c r="AL202" s="61">
        <v>0</v>
      </c>
      <c r="AM202" s="63">
        <f>ROUND(AL202*$T202,2)</f>
        <v>0</v>
      </c>
      <c r="AN202" s="61">
        <v>0</v>
      </c>
      <c r="AO202" s="63">
        <f>ROUND(AN202*$T202,2)</f>
        <v>0</v>
      </c>
      <c r="AP202" s="61">
        <v>0</v>
      </c>
      <c r="AQ202" s="63">
        <f>ROUND(AP202*$T202,2)</f>
        <v>0</v>
      </c>
      <c r="AR202" s="61">
        <v>0</v>
      </c>
      <c r="AS202" s="63">
        <f>ROUND(AR202*$T202,2)</f>
        <v>0</v>
      </c>
      <c r="AT202" s="61">
        <v>0</v>
      </c>
      <c r="AU202" s="63">
        <f>ROUND(AT202*$T202,2)</f>
        <v>0</v>
      </c>
      <c r="AV202" s="61">
        <v>0</v>
      </c>
      <c r="AW202" s="63">
        <f>ROUND(AV202*$T202,2)</f>
        <v>0</v>
      </c>
      <c r="AX202" s="61">
        <v>0</v>
      </c>
      <c r="AY202" s="63">
        <f>ROUND(AX202*$T202,2)</f>
        <v>0</v>
      </c>
      <c r="AZ202" s="61">
        <v>0</v>
      </c>
      <c r="BA202" s="63">
        <f>ROUND(AZ202*$T202,2)</f>
        <v>0</v>
      </c>
      <c r="BB202" s="61">
        <v>0</v>
      </c>
      <c r="BC202" s="63">
        <f>ROUND(BB202*$T202,2)</f>
        <v>0</v>
      </c>
      <c r="BD202" s="61">
        <v>0</v>
      </c>
      <c r="BE202" s="63">
        <f>ROUND(BD202*$T202,2)</f>
        <v>0</v>
      </c>
      <c r="BF202" s="61">
        <f>IFERROR(SUMIFS($V202:$BE202,$V$5:$BE$5,$BF$5),0)</f>
        <v>0</v>
      </c>
      <c r="BG202" s="63">
        <f>SUMIFS($V202:$BE202,$V$5:$BE$5,$W$5)</f>
        <v>0</v>
      </c>
      <c r="BH202" s="45"/>
      <c r="BI202" s="144"/>
    </row>
    <row r="203" spans="1:61" ht="19.5" customHeight="1" x14ac:dyDescent="0.45">
      <c r="A203" s="117">
        <v>3</v>
      </c>
      <c r="B203" s="118"/>
      <c r="C203" s="119"/>
      <c r="D203" s="120"/>
      <c r="E203" s="35" t="s">
        <v>1476</v>
      </c>
      <c r="F203" s="513"/>
      <c r="G203" s="514"/>
      <c r="H203" s="514"/>
      <c r="I203" s="514"/>
      <c r="J203" s="514"/>
      <c r="K203" s="514"/>
      <c r="L203" s="514"/>
      <c r="M203" s="514"/>
      <c r="N203" s="514"/>
      <c r="O203" s="121" t="s">
        <v>822</v>
      </c>
      <c r="P203" s="122"/>
      <c r="Q203" s="123" t="s">
        <v>823</v>
      </c>
      <c r="R203" s="124"/>
      <c r="S203" s="125"/>
      <c r="T203" s="126"/>
      <c r="U203" s="127">
        <f>SUM(U204)</f>
        <v>15752.32</v>
      </c>
      <c r="V203" s="125"/>
      <c r="W203" s="127">
        <f>SUM(W204)</f>
        <v>0</v>
      </c>
      <c r="X203" s="125"/>
      <c r="Y203" s="127">
        <f>SUM(Y204)</f>
        <v>0</v>
      </c>
      <c r="Z203" s="125"/>
      <c r="AA203" s="127">
        <f>SUM(AA204)</f>
        <v>0</v>
      </c>
      <c r="AB203" s="125"/>
      <c r="AC203" s="127">
        <f>SUM(AC204)</f>
        <v>0</v>
      </c>
      <c r="AD203" s="125"/>
      <c r="AE203" s="127">
        <f>SUM(AE204)</f>
        <v>0</v>
      </c>
      <c r="AF203" s="125"/>
      <c r="AG203" s="127">
        <f>SUM(AG204)</f>
        <v>0</v>
      </c>
      <c r="AH203" s="125"/>
      <c r="AI203" s="127">
        <f>SUM(AI204)</f>
        <v>0</v>
      </c>
      <c r="AJ203" s="125"/>
      <c r="AK203" s="127">
        <f>SUM(AK204)</f>
        <v>0</v>
      </c>
      <c r="AL203" s="125"/>
      <c r="AM203" s="127">
        <f>SUM(AM204)</f>
        <v>0</v>
      </c>
      <c r="AN203" s="125"/>
      <c r="AO203" s="127">
        <f>SUM(AO204)</f>
        <v>0</v>
      </c>
      <c r="AP203" s="125"/>
      <c r="AQ203" s="127">
        <f>SUM(AQ204)</f>
        <v>0</v>
      </c>
      <c r="AR203" s="125"/>
      <c r="AS203" s="127">
        <f>SUM(AS204)</f>
        <v>0</v>
      </c>
      <c r="AT203" s="125"/>
      <c r="AU203" s="127">
        <f>SUM(AU204)</f>
        <v>0</v>
      </c>
      <c r="AV203" s="125"/>
      <c r="AW203" s="127">
        <f>SUM(AW204)</f>
        <v>0</v>
      </c>
      <c r="AX203" s="125"/>
      <c r="AY203" s="127">
        <f>SUM(AY204)</f>
        <v>0</v>
      </c>
      <c r="AZ203" s="125"/>
      <c r="BA203" s="127">
        <f>SUM(BA204)</f>
        <v>0</v>
      </c>
      <c r="BB203" s="125"/>
      <c r="BC203" s="127">
        <f>SUM(BC204)</f>
        <v>0</v>
      </c>
      <c r="BD203" s="125"/>
      <c r="BE203" s="127">
        <f>SUM(BE204)</f>
        <v>0</v>
      </c>
      <c r="BF203" s="125"/>
      <c r="BG203" s="127">
        <f>SUM(BG204)</f>
        <v>0</v>
      </c>
      <c r="BH203" s="45"/>
    </row>
    <row r="204" spans="1:61" ht="19.5" customHeight="1" x14ac:dyDescent="0.45">
      <c r="A204" s="128">
        <v>3</v>
      </c>
      <c r="B204" s="129"/>
      <c r="C204" s="130"/>
      <c r="D204" s="131"/>
      <c r="E204" s="132" t="s">
        <v>824</v>
      </c>
      <c r="F204" s="515"/>
      <c r="G204" s="516"/>
      <c r="H204" s="516"/>
      <c r="I204" s="516"/>
      <c r="J204" s="516"/>
      <c r="K204" s="516"/>
      <c r="L204" s="516"/>
      <c r="M204" s="516"/>
      <c r="N204" s="516"/>
      <c r="O204" s="133" t="s">
        <v>825</v>
      </c>
      <c r="P204" s="134"/>
      <c r="Q204" s="135" t="s">
        <v>826</v>
      </c>
      <c r="R204" s="136"/>
      <c r="S204" s="137"/>
      <c r="T204" s="138"/>
      <c r="U204" s="139">
        <f>SUM(U205:U205)</f>
        <v>15752.32</v>
      </c>
      <c r="V204" s="137"/>
      <c r="W204" s="139">
        <f>SUM(W205:W205)</f>
        <v>0</v>
      </c>
      <c r="X204" s="137"/>
      <c r="Y204" s="139">
        <f>SUM(Y205:Y205)</f>
        <v>0</v>
      </c>
      <c r="Z204" s="137"/>
      <c r="AA204" s="139">
        <f>SUM(AA205:AA205)</f>
        <v>0</v>
      </c>
      <c r="AB204" s="137"/>
      <c r="AC204" s="139">
        <f>SUM(AC205:AC205)</f>
        <v>0</v>
      </c>
      <c r="AD204" s="137"/>
      <c r="AE204" s="139">
        <f>SUM(AE205:AE205)</f>
        <v>0</v>
      </c>
      <c r="AF204" s="137"/>
      <c r="AG204" s="139">
        <f>SUM(AG205:AG205)</f>
        <v>0</v>
      </c>
      <c r="AH204" s="137"/>
      <c r="AI204" s="139">
        <f>SUM(AI205:AI205)</f>
        <v>0</v>
      </c>
      <c r="AJ204" s="137"/>
      <c r="AK204" s="139">
        <f>SUM(AK205:AK205)</f>
        <v>0</v>
      </c>
      <c r="AL204" s="137"/>
      <c r="AM204" s="139">
        <f>SUM(AM205:AM205)</f>
        <v>0</v>
      </c>
      <c r="AN204" s="137"/>
      <c r="AO204" s="139">
        <f>SUM(AO205:AO205)</f>
        <v>0</v>
      </c>
      <c r="AP204" s="137"/>
      <c r="AQ204" s="139">
        <f>SUM(AQ205:AQ205)</f>
        <v>0</v>
      </c>
      <c r="AR204" s="137"/>
      <c r="AS204" s="139">
        <f>SUM(AS205:AS205)</f>
        <v>0</v>
      </c>
      <c r="AT204" s="137"/>
      <c r="AU204" s="139">
        <f>SUM(AU205:AU205)</f>
        <v>0</v>
      </c>
      <c r="AV204" s="137"/>
      <c r="AW204" s="139">
        <f>SUM(AW205:AW205)</f>
        <v>0</v>
      </c>
      <c r="AX204" s="137"/>
      <c r="AY204" s="139">
        <f>SUM(AY205:AY205)</f>
        <v>0</v>
      </c>
      <c r="AZ204" s="137"/>
      <c r="BA204" s="139">
        <f>SUM(BA205:BA205)</f>
        <v>0</v>
      </c>
      <c r="BB204" s="137"/>
      <c r="BC204" s="139">
        <f>SUM(BC205:BC205)</f>
        <v>0</v>
      </c>
      <c r="BD204" s="137"/>
      <c r="BE204" s="139">
        <f>SUM(BE205:BE205)</f>
        <v>0</v>
      </c>
      <c r="BF204" s="137"/>
      <c r="BG204" s="139">
        <f>SUM(BG205:BG205)</f>
        <v>0</v>
      </c>
      <c r="BH204" s="45"/>
    </row>
    <row r="205" spans="1:61" ht="26" customHeight="1" x14ac:dyDescent="0.45">
      <c r="A205" s="140">
        <v>3</v>
      </c>
      <c r="B205" s="141" t="s">
        <v>833</v>
      </c>
      <c r="C205" s="142" t="s">
        <v>1475</v>
      </c>
      <c r="D205" s="143" t="str">
        <f>B205&amp;"_"&amp;E205</f>
        <v>3.1_2.1.1</v>
      </c>
      <c r="E205" s="56" t="s">
        <v>827</v>
      </c>
      <c r="F205" s="506" t="s">
        <v>828</v>
      </c>
      <c r="G205" s="507" t="s">
        <v>39</v>
      </c>
      <c r="H205" s="507" t="s">
        <v>39</v>
      </c>
      <c r="I205" s="507" t="s">
        <v>39</v>
      </c>
      <c r="J205" s="507" t="s">
        <v>39</v>
      </c>
      <c r="K205" s="507" t="s">
        <v>39</v>
      </c>
      <c r="L205" s="507" t="s">
        <v>78</v>
      </c>
      <c r="M205" s="507" t="s">
        <v>79</v>
      </c>
      <c r="N205" s="507" t="s">
        <v>78</v>
      </c>
      <c r="O205" s="57" t="s">
        <v>829</v>
      </c>
      <c r="P205" s="58" t="s">
        <v>21</v>
      </c>
      <c r="Q205" s="59" t="s">
        <v>830</v>
      </c>
      <c r="R205" s="60" t="s">
        <v>755</v>
      </c>
      <c r="S205" s="61">
        <v>326</v>
      </c>
      <c r="T205" s="62">
        <f>INDEX('BM MORRO DA CRUZ'!$P$6:$P$402,MATCH($O205,'BM MORRO DA CRUZ'!$K$6:$K$402,0))</f>
        <v>48.32</v>
      </c>
      <c r="U205" s="63">
        <f>ROUND(T205*$S205,2)</f>
        <v>15752.32</v>
      </c>
      <c r="V205" s="61">
        <f>IFERROR(SUMIFS('01ª MC'!$W$1:$W$1840,'01ª MC'!$C$1:$C$1840,$D205),0)</f>
        <v>0</v>
      </c>
      <c r="W205" s="63">
        <f>ROUND(V205*$T205,2)</f>
        <v>0</v>
      </c>
      <c r="X205" s="61">
        <v>0</v>
      </c>
      <c r="Y205" s="63">
        <f>ROUND(X205*$T205,2)</f>
        <v>0</v>
      </c>
      <c r="Z205" s="61">
        <v>0</v>
      </c>
      <c r="AA205" s="63">
        <f>ROUND(Z205*$T205,2)</f>
        <v>0</v>
      </c>
      <c r="AB205" s="61">
        <v>0</v>
      </c>
      <c r="AC205" s="63">
        <f>ROUND(AB205*$T205,2)</f>
        <v>0</v>
      </c>
      <c r="AD205" s="61">
        <v>0</v>
      </c>
      <c r="AE205" s="63">
        <f>ROUND(AD205*$T205,2)</f>
        <v>0</v>
      </c>
      <c r="AF205" s="61">
        <v>0</v>
      </c>
      <c r="AG205" s="63">
        <f>ROUND(AF205*$T205,2)</f>
        <v>0</v>
      </c>
      <c r="AH205" s="61">
        <v>0</v>
      </c>
      <c r="AI205" s="63">
        <f>ROUND(AH205*$T205,2)</f>
        <v>0</v>
      </c>
      <c r="AJ205" s="61">
        <v>0</v>
      </c>
      <c r="AK205" s="63">
        <f>ROUND(AJ205*$T205,2)</f>
        <v>0</v>
      </c>
      <c r="AL205" s="61">
        <v>0</v>
      </c>
      <c r="AM205" s="63">
        <f>ROUND(AL205*$T205,2)</f>
        <v>0</v>
      </c>
      <c r="AN205" s="61">
        <v>0</v>
      </c>
      <c r="AO205" s="63">
        <f>ROUND(AN205*$T205,2)</f>
        <v>0</v>
      </c>
      <c r="AP205" s="61">
        <v>0</v>
      </c>
      <c r="AQ205" s="63">
        <f>ROUND(AP205*$T205,2)</f>
        <v>0</v>
      </c>
      <c r="AR205" s="61">
        <v>0</v>
      </c>
      <c r="AS205" s="63">
        <f>ROUND(AR205*$T205,2)</f>
        <v>0</v>
      </c>
      <c r="AT205" s="61">
        <v>0</v>
      </c>
      <c r="AU205" s="63">
        <f>ROUND(AT205*$T205,2)</f>
        <v>0</v>
      </c>
      <c r="AV205" s="61">
        <v>0</v>
      </c>
      <c r="AW205" s="63">
        <f>ROUND(AV205*$T205,2)</f>
        <v>0</v>
      </c>
      <c r="AX205" s="61">
        <v>0</v>
      </c>
      <c r="AY205" s="63">
        <f>ROUND(AX205*$T205,2)</f>
        <v>0</v>
      </c>
      <c r="AZ205" s="61">
        <v>0</v>
      </c>
      <c r="BA205" s="63">
        <f>ROUND(AZ205*$T205,2)</f>
        <v>0</v>
      </c>
      <c r="BB205" s="61">
        <v>0</v>
      </c>
      <c r="BC205" s="63">
        <f>ROUND(BB205*$T205,2)</f>
        <v>0</v>
      </c>
      <c r="BD205" s="61">
        <v>0</v>
      </c>
      <c r="BE205" s="63">
        <f>ROUND(BD205*$T205,2)</f>
        <v>0</v>
      </c>
      <c r="BF205" s="61">
        <f>IFERROR(SUMIFS($V205:$BE205,$V$5:$BE$5,$BF$5),0)</f>
        <v>0</v>
      </c>
      <c r="BG205" s="63">
        <f>SUMIFS($V205:$BE205,$V$5:$BE$5,$W$5)</f>
        <v>0</v>
      </c>
      <c r="BH205" s="45"/>
      <c r="BI205" s="144"/>
    </row>
    <row r="206" spans="1:61" ht="19.5" customHeight="1" x14ac:dyDescent="0.45">
      <c r="A206" s="117">
        <v>3</v>
      </c>
      <c r="B206" s="118"/>
      <c r="C206" s="119"/>
      <c r="D206" s="120"/>
      <c r="E206" s="35" t="s">
        <v>1465</v>
      </c>
      <c r="F206" s="513"/>
      <c r="G206" s="514"/>
      <c r="H206" s="514"/>
      <c r="I206" s="514"/>
      <c r="J206" s="514"/>
      <c r="K206" s="514"/>
      <c r="L206" s="514"/>
      <c r="M206" s="514"/>
      <c r="N206" s="514"/>
      <c r="O206" s="121" t="s">
        <v>848</v>
      </c>
      <c r="P206" s="122"/>
      <c r="Q206" s="123" t="s">
        <v>849</v>
      </c>
      <c r="R206" s="124"/>
      <c r="S206" s="125"/>
      <c r="T206" s="126"/>
      <c r="U206" s="127">
        <f>SUM(U207,U209,U211,U226,U231,U233,U247,U277,U279,U282)</f>
        <v>1169456.8500000001</v>
      </c>
      <c r="V206" s="125"/>
      <c r="W206" s="127">
        <f>SUM(W207,W209,W211,W226,W231,W233,W247,W277,W279,W282)</f>
        <v>0</v>
      </c>
      <c r="X206" s="125"/>
      <c r="Y206" s="127">
        <f>SUM(Y207,Y209,Y211,Y226,Y231,Y233,Y247,Y277,Y279,Y282)</f>
        <v>0</v>
      </c>
      <c r="Z206" s="125"/>
      <c r="AA206" s="127">
        <f>SUM(AA207,AA209,AA211,AA226,AA231,AA233,AA247,AA277,AA279,AA282)</f>
        <v>0</v>
      </c>
      <c r="AB206" s="125"/>
      <c r="AC206" s="127">
        <f>SUM(AC207,AC209,AC211,AC226,AC231,AC233,AC247,AC277,AC279,AC282)</f>
        <v>0</v>
      </c>
      <c r="AD206" s="125"/>
      <c r="AE206" s="127">
        <f>SUM(AE207,AE209,AE211,AE226,AE231,AE233,AE247,AE277,AE279,AE282)</f>
        <v>0</v>
      </c>
      <c r="AF206" s="125"/>
      <c r="AG206" s="127">
        <f>SUM(AG207,AG209,AG211,AG226,AG231,AG233,AG247,AG277,AG279,AG282)</f>
        <v>0</v>
      </c>
      <c r="AH206" s="125"/>
      <c r="AI206" s="127">
        <f>SUM(AI207,AI209,AI211,AI226,AI231,AI233,AI247,AI277,AI279,AI282)</f>
        <v>0</v>
      </c>
      <c r="AJ206" s="125"/>
      <c r="AK206" s="127">
        <f>SUM(AK207,AK209,AK211,AK226,AK231,AK233,AK247,AK277,AK279,AK282)</f>
        <v>0</v>
      </c>
      <c r="AL206" s="125"/>
      <c r="AM206" s="127">
        <f>SUM(AM207,AM209,AM211,AM226,AM231,AM233,AM247,AM277,AM279,AM282)</f>
        <v>0</v>
      </c>
      <c r="AN206" s="125"/>
      <c r="AO206" s="127">
        <f>SUM(AO207,AO209,AO211,AO226,AO231,AO233,AO247,AO277,AO279,AO282)</f>
        <v>0</v>
      </c>
      <c r="AP206" s="125"/>
      <c r="AQ206" s="127">
        <f>SUM(AQ207,AQ209,AQ211,AQ226,AQ231,AQ233,AQ247,AQ277,AQ279,AQ282)</f>
        <v>0</v>
      </c>
      <c r="AR206" s="125"/>
      <c r="AS206" s="127">
        <f>SUM(AS207,AS209,AS211,AS226,AS231,AS233,AS247,AS277,AS279,AS282)</f>
        <v>0</v>
      </c>
      <c r="AT206" s="125"/>
      <c r="AU206" s="127">
        <f>SUM(AU207,AU209,AU211,AU226,AU231,AU233,AU247,AU277,AU279,AU282)</f>
        <v>0</v>
      </c>
      <c r="AV206" s="125"/>
      <c r="AW206" s="127">
        <f>SUM(AW207,AW209,AW211,AW226,AW231,AW233,AW247,AW277,AW279,AW282)</f>
        <v>0</v>
      </c>
      <c r="AX206" s="125"/>
      <c r="AY206" s="127">
        <f>SUM(AY207,AY209,AY211,AY226,AY231,AY233,AY247,AY277,AY279,AY282)</f>
        <v>0</v>
      </c>
      <c r="AZ206" s="125"/>
      <c r="BA206" s="127">
        <f>SUM(BA207,BA209,BA211,BA226,BA231,BA233,BA247,BA277,BA279,BA282)</f>
        <v>0</v>
      </c>
      <c r="BB206" s="125"/>
      <c r="BC206" s="127">
        <f>SUM(BC207,BC209,BC211,BC226,BC231,BC233,BC247,BC277,BC279,BC282)</f>
        <v>0</v>
      </c>
      <c r="BD206" s="125"/>
      <c r="BE206" s="127">
        <f>SUM(BE207,BE209,BE211,BE226,BE231,BE233,BE247,BE277,BE279,BE282)</f>
        <v>0</v>
      </c>
      <c r="BF206" s="125"/>
      <c r="BG206" s="127">
        <f>SUM(BG207,BG209,BG211,BG226,BG231,BG233,BG247,BG277,BG279,BG282)</f>
        <v>0</v>
      </c>
      <c r="BH206" s="45"/>
    </row>
    <row r="207" spans="1:61" ht="19.5" customHeight="1" x14ac:dyDescent="0.45">
      <c r="A207" s="128">
        <v>3</v>
      </c>
      <c r="B207" s="129"/>
      <c r="C207" s="130"/>
      <c r="D207" s="131"/>
      <c r="E207" s="132" t="s">
        <v>859</v>
      </c>
      <c r="F207" s="515"/>
      <c r="G207" s="516"/>
      <c r="H207" s="516"/>
      <c r="I207" s="516"/>
      <c r="J207" s="516"/>
      <c r="K207" s="516"/>
      <c r="L207" s="516"/>
      <c r="M207" s="516"/>
      <c r="N207" s="516"/>
      <c r="O207" s="133" t="s">
        <v>825</v>
      </c>
      <c r="P207" s="134"/>
      <c r="Q207" s="135" t="s">
        <v>826</v>
      </c>
      <c r="R207" s="136"/>
      <c r="S207" s="137"/>
      <c r="T207" s="138"/>
      <c r="U207" s="139">
        <f>SUM(U208:U208)</f>
        <v>25365.919999999998</v>
      </c>
      <c r="V207" s="137"/>
      <c r="W207" s="139">
        <f>SUM(W208:W208)</f>
        <v>0</v>
      </c>
      <c r="X207" s="137"/>
      <c r="Y207" s="139">
        <f>SUM(Y208:Y208)</f>
        <v>0</v>
      </c>
      <c r="Z207" s="137"/>
      <c r="AA207" s="139">
        <f>SUM(AA208:AA208)</f>
        <v>0</v>
      </c>
      <c r="AB207" s="137"/>
      <c r="AC207" s="139">
        <f>SUM(AC208:AC208)</f>
        <v>0</v>
      </c>
      <c r="AD207" s="137"/>
      <c r="AE207" s="139">
        <f>SUM(AE208:AE208)</f>
        <v>0</v>
      </c>
      <c r="AF207" s="137"/>
      <c r="AG207" s="139">
        <f>SUM(AG208:AG208)</f>
        <v>0</v>
      </c>
      <c r="AH207" s="137"/>
      <c r="AI207" s="139">
        <f>SUM(AI208:AI208)</f>
        <v>0</v>
      </c>
      <c r="AJ207" s="137"/>
      <c r="AK207" s="139">
        <f>SUM(AK208:AK208)</f>
        <v>0</v>
      </c>
      <c r="AL207" s="137"/>
      <c r="AM207" s="139">
        <f>SUM(AM208:AM208)</f>
        <v>0</v>
      </c>
      <c r="AN207" s="137"/>
      <c r="AO207" s="139">
        <f>SUM(AO208:AO208)</f>
        <v>0</v>
      </c>
      <c r="AP207" s="137"/>
      <c r="AQ207" s="139">
        <f>SUM(AQ208:AQ208)</f>
        <v>0</v>
      </c>
      <c r="AR207" s="137"/>
      <c r="AS207" s="139">
        <f>SUM(AS208:AS208)</f>
        <v>0</v>
      </c>
      <c r="AT207" s="137"/>
      <c r="AU207" s="139">
        <f>SUM(AU208:AU208)</f>
        <v>0</v>
      </c>
      <c r="AV207" s="137"/>
      <c r="AW207" s="139">
        <f>SUM(AW208:AW208)</f>
        <v>0</v>
      </c>
      <c r="AX207" s="137"/>
      <c r="AY207" s="139">
        <f>SUM(AY208:AY208)</f>
        <v>0</v>
      </c>
      <c r="AZ207" s="137"/>
      <c r="BA207" s="139">
        <f>SUM(BA208:BA208)</f>
        <v>0</v>
      </c>
      <c r="BB207" s="137"/>
      <c r="BC207" s="139">
        <f>SUM(BC208:BC208)</f>
        <v>0</v>
      </c>
      <c r="BD207" s="137"/>
      <c r="BE207" s="139">
        <f>SUM(BE208:BE208)</f>
        <v>0</v>
      </c>
      <c r="BF207" s="137"/>
      <c r="BG207" s="139">
        <f>SUM(BG208:BG208)</f>
        <v>0</v>
      </c>
      <c r="BH207" s="45"/>
    </row>
    <row r="208" spans="1:61" ht="26" customHeight="1" x14ac:dyDescent="0.45">
      <c r="A208" s="140">
        <v>3</v>
      </c>
      <c r="B208" s="141" t="s">
        <v>1477</v>
      </c>
      <c r="C208" s="142" t="s">
        <v>1478</v>
      </c>
      <c r="D208" s="143" t="str">
        <f>B208&amp;"_"&amp;E208</f>
        <v>3.2_5.2.6</v>
      </c>
      <c r="E208" s="56" t="s">
        <v>875</v>
      </c>
      <c r="F208" s="506" t="s">
        <v>1735</v>
      </c>
      <c r="G208" s="507" t="s">
        <v>39</v>
      </c>
      <c r="H208" s="507" t="s">
        <v>39</v>
      </c>
      <c r="I208" s="507" t="s">
        <v>1383</v>
      </c>
      <c r="J208" s="507" t="s">
        <v>39</v>
      </c>
      <c r="K208" s="507" t="s">
        <v>39</v>
      </c>
      <c r="L208" s="507" t="s">
        <v>783</v>
      </c>
      <c r="M208" s="507" t="s">
        <v>79</v>
      </c>
      <c r="N208" s="507" t="s">
        <v>1383</v>
      </c>
      <c r="O208" s="57" t="s">
        <v>876</v>
      </c>
      <c r="P208" s="58" t="s">
        <v>846</v>
      </c>
      <c r="Q208" s="59" t="s">
        <v>877</v>
      </c>
      <c r="R208" s="60" t="s">
        <v>367</v>
      </c>
      <c r="S208" s="61">
        <v>379.9</v>
      </c>
      <c r="T208" s="62">
        <f>INDEX('BM MORRO DA CRUZ'!$P$6:$P$402,MATCH($O208,'BM MORRO DA CRUZ'!$K$6:$K$402,0))</f>
        <v>66.77</v>
      </c>
      <c r="U208" s="63">
        <f>ROUND(T208*$S208,2)</f>
        <v>25365.919999999998</v>
      </c>
      <c r="V208" s="61">
        <f>IFERROR(SUMIFS('01ª MC'!$W$1:$W$1840,'01ª MC'!$C$1:$C$1840,$D208),0)</f>
        <v>0</v>
      </c>
      <c r="W208" s="63">
        <f>ROUND(V208*$T208,2)</f>
        <v>0</v>
      </c>
      <c r="X208" s="61">
        <v>0</v>
      </c>
      <c r="Y208" s="63">
        <f>ROUND(X208*$T208,2)</f>
        <v>0</v>
      </c>
      <c r="Z208" s="61">
        <v>0</v>
      </c>
      <c r="AA208" s="63">
        <f>ROUND(Z208*$T208,2)</f>
        <v>0</v>
      </c>
      <c r="AB208" s="61">
        <v>0</v>
      </c>
      <c r="AC208" s="63">
        <f>ROUND(AB208*$T208,2)</f>
        <v>0</v>
      </c>
      <c r="AD208" s="61">
        <v>0</v>
      </c>
      <c r="AE208" s="63">
        <f>ROUND(AD208*$T208,2)</f>
        <v>0</v>
      </c>
      <c r="AF208" s="61">
        <v>0</v>
      </c>
      <c r="AG208" s="63">
        <f>ROUND(AF208*$T208,2)</f>
        <v>0</v>
      </c>
      <c r="AH208" s="61">
        <v>0</v>
      </c>
      <c r="AI208" s="63">
        <f>ROUND(AH208*$T208,2)</f>
        <v>0</v>
      </c>
      <c r="AJ208" s="61">
        <v>0</v>
      </c>
      <c r="AK208" s="63">
        <f>ROUND(AJ208*$T208,2)</f>
        <v>0</v>
      </c>
      <c r="AL208" s="61">
        <v>0</v>
      </c>
      <c r="AM208" s="63">
        <f>ROUND(AL208*$T208,2)</f>
        <v>0</v>
      </c>
      <c r="AN208" s="61">
        <v>0</v>
      </c>
      <c r="AO208" s="63">
        <f>ROUND(AN208*$T208,2)</f>
        <v>0</v>
      </c>
      <c r="AP208" s="61">
        <v>0</v>
      </c>
      <c r="AQ208" s="63">
        <f>ROUND(AP208*$T208,2)</f>
        <v>0</v>
      </c>
      <c r="AR208" s="61">
        <v>0</v>
      </c>
      <c r="AS208" s="63">
        <f>ROUND(AR208*$T208,2)</f>
        <v>0</v>
      </c>
      <c r="AT208" s="61">
        <v>0</v>
      </c>
      <c r="AU208" s="63">
        <f>ROUND(AT208*$T208,2)</f>
        <v>0</v>
      </c>
      <c r="AV208" s="61">
        <v>0</v>
      </c>
      <c r="AW208" s="63">
        <f>ROUND(AV208*$T208,2)</f>
        <v>0</v>
      </c>
      <c r="AX208" s="61">
        <v>0</v>
      </c>
      <c r="AY208" s="63">
        <f>ROUND(AX208*$T208,2)</f>
        <v>0</v>
      </c>
      <c r="AZ208" s="61">
        <v>0</v>
      </c>
      <c r="BA208" s="63">
        <f>ROUND(AZ208*$T208,2)</f>
        <v>0</v>
      </c>
      <c r="BB208" s="61">
        <v>0</v>
      </c>
      <c r="BC208" s="63">
        <f>ROUND(BB208*$T208,2)</f>
        <v>0</v>
      </c>
      <c r="BD208" s="61">
        <v>0</v>
      </c>
      <c r="BE208" s="63">
        <f>ROUND(BD208*$T208,2)</f>
        <v>0</v>
      </c>
      <c r="BF208" s="61">
        <f>IFERROR(SUMIFS($V208:$BE208,$V$5:$BE$5,$BF$5),0)</f>
        <v>0</v>
      </c>
      <c r="BG208" s="63">
        <f>SUMIFS($V208:$BE208,$V$5:$BE$5,$W$5)</f>
        <v>0</v>
      </c>
      <c r="BH208" s="45"/>
      <c r="BI208" s="144"/>
    </row>
    <row r="209" spans="1:61" ht="19.5" customHeight="1" x14ac:dyDescent="0.45">
      <c r="A209" s="128">
        <v>3</v>
      </c>
      <c r="B209" s="129"/>
      <c r="C209" s="130"/>
      <c r="D209" s="131"/>
      <c r="E209" s="132" t="s">
        <v>881</v>
      </c>
      <c r="F209" s="515"/>
      <c r="G209" s="516"/>
      <c r="H209" s="516"/>
      <c r="I209" s="516"/>
      <c r="J209" s="516"/>
      <c r="K209" s="516"/>
      <c r="L209" s="516"/>
      <c r="M209" s="516"/>
      <c r="N209" s="516"/>
      <c r="O209" s="133" t="s">
        <v>882</v>
      </c>
      <c r="P209" s="134"/>
      <c r="Q209" s="135" t="s">
        <v>883</v>
      </c>
      <c r="R209" s="136"/>
      <c r="S209" s="137"/>
      <c r="T209" s="138"/>
      <c r="U209" s="139">
        <f>SUM(U210:U210)</f>
        <v>20711.86</v>
      </c>
      <c r="V209" s="137"/>
      <c r="W209" s="139">
        <f>SUM(W210:W210)</f>
        <v>0</v>
      </c>
      <c r="X209" s="137"/>
      <c r="Y209" s="139">
        <f>SUM(Y210:Y210)</f>
        <v>0</v>
      </c>
      <c r="Z209" s="137"/>
      <c r="AA209" s="139">
        <f>SUM(AA210:AA210)</f>
        <v>0</v>
      </c>
      <c r="AB209" s="137"/>
      <c r="AC209" s="139">
        <f>SUM(AC210:AC210)</f>
        <v>0</v>
      </c>
      <c r="AD209" s="137"/>
      <c r="AE209" s="139">
        <f>SUM(AE210:AE210)</f>
        <v>0</v>
      </c>
      <c r="AF209" s="137"/>
      <c r="AG209" s="139">
        <f>SUM(AG210:AG210)</f>
        <v>0</v>
      </c>
      <c r="AH209" s="137"/>
      <c r="AI209" s="139">
        <f>SUM(AI210:AI210)</f>
        <v>0</v>
      </c>
      <c r="AJ209" s="137"/>
      <c r="AK209" s="139">
        <f>SUM(AK210:AK210)</f>
        <v>0</v>
      </c>
      <c r="AL209" s="137"/>
      <c r="AM209" s="139">
        <f>SUM(AM210:AM210)</f>
        <v>0</v>
      </c>
      <c r="AN209" s="137"/>
      <c r="AO209" s="139">
        <f>SUM(AO210:AO210)</f>
        <v>0</v>
      </c>
      <c r="AP209" s="137"/>
      <c r="AQ209" s="139">
        <f>SUM(AQ210:AQ210)</f>
        <v>0</v>
      </c>
      <c r="AR209" s="137"/>
      <c r="AS209" s="139">
        <f>SUM(AS210:AS210)</f>
        <v>0</v>
      </c>
      <c r="AT209" s="137"/>
      <c r="AU209" s="139">
        <f>SUM(AU210:AU210)</f>
        <v>0</v>
      </c>
      <c r="AV209" s="137"/>
      <c r="AW209" s="139">
        <f>SUM(AW210:AW210)</f>
        <v>0</v>
      </c>
      <c r="AX209" s="137"/>
      <c r="AY209" s="139">
        <f>SUM(AY210:AY210)</f>
        <v>0</v>
      </c>
      <c r="AZ209" s="137"/>
      <c r="BA209" s="139">
        <f>SUM(BA210:BA210)</f>
        <v>0</v>
      </c>
      <c r="BB209" s="137"/>
      <c r="BC209" s="139">
        <f>SUM(BC210:BC210)</f>
        <v>0</v>
      </c>
      <c r="BD209" s="137"/>
      <c r="BE209" s="139">
        <f>SUM(BE210:BE210)</f>
        <v>0</v>
      </c>
      <c r="BF209" s="137"/>
      <c r="BG209" s="139">
        <f>SUM(BG210:BG210)</f>
        <v>0</v>
      </c>
      <c r="BH209" s="45"/>
    </row>
    <row r="210" spans="1:61" ht="47.25" x14ac:dyDescent="0.45">
      <c r="A210" s="140">
        <v>3</v>
      </c>
      <c r="B210" s="141" t="s">
        <v>1477</v>
      </c>
      <c r="C210" s="142" t="s">
        <v>1478</v>
      </c>
      <c r="D210" s="143" t="str">
        <f>B210&amp;"_"&amp;E210</f>
        <v>3.2_5.3.2</v>
      </c>
      <c r="E210" s="56" t="s">
        <v>887</v>
      </c>
      <c r="F210" s="506" t="s">
        <v>1740</v>
      </c>
      <c r="G210" s="507" t="s">
        <v>39</v>
      </c>
      <c r="H210" s="507" t="s">
        <v>39</v>
      </c>
      <c r="I210" s="507" t="s">
        <v>1741</v>
      </c>
      <c r="J210" s="507" t="s">
        <v>39</v>
      </c>
      <c r="K210" s="507" t="s">
        <v>39</v>
      </c>
      <c r="L210" s="507" t="s">
        <v>783</v>
      </c>
      <c r="M210" s="507" t="s">
        <v>79</v>
      </c>
      <c r="N210" s="507" t="s">
        <v>1726</v>
      </c>
      <c r="O210" s="57" t="s">
        <v>888</v>
      </c>
      <c r="P210" s="58" t="s">
        <v>846</v>
      </c>
      <c r="Q210" s="59" t="s">
        <v>889</v>
      </c>
      <c r="R210" s="60" t="s">
        <v>792</v>
      </c>
      <c r="S210" s="61">
        <v>670.07</v>
      </c>
      <c r="T210" s="62">
        <f>INDEX('BM MORRO DA CRUZ'!$P$6:$P$402,MATCH($O210,'BM MORRO DA CRUZ'!$K$6:$K$402,0))</f>
        <v>30.91</v>
      </c>
      <c r="U210" s="63">
        <f>ROUND(T210*$S210,2)</f>
        <v>20711.86</v>
      </c>
      <c r="V210" s="61">
        <f>IFERROR(SUMIFS('01ª MC'!$W$1:$W$1840,'01ª MC'!$C$1:$C$1840,$D210),0)</f>
        <v>0</v>
      </c>
      <c r="W210" s="63">
        <f>ROUND(V210*$T210,2)</f>
        <v>0</v>
      </c>
      <c r="X210" s="61">
        <v>0</v>
      </c>
      <c r="Y210" s="63">
        <f>ROUND(X210*$T210,2)</f>
        <v>0</v>
      </c>
      <c r="Z210" s="61">
        <v>0</v>
      </c>
      <c r="AA210" s="63">
        <f>ROUND(Z210*$T210,2)</f>
        <v>0</v>
      </c>
      <c r="AB210" s="61">
        <v>0</v>
      </c>
      <c r="AC210" s="63">
        <f>ROUND(AB210*$T210,2)</f>
        <v>0</v>
      </c>
      <c r="AD210" s="61">
        <v>0</v>
      </c>
      <c r="AE210" s="63">
        <f>ROUND(AD210*$T210,2)</f>
        <v>0</v>
      </c>
      <c r="AF210" s="61">
        <v>0</v>
      </c>
      <c r="AG210" s="63">
        <f>ROUND(AF210*$T210,2)</f>
        <v>0</v>
      </c>
      <c r="AH210" s="61">
        <v>0</v>
      </c>
      <c r="AI210" s="63">
        <f>ROUND(AH210*$T210,2)</f>
        <v>0</v>
      </c>
      <c r="AJ210" s="61">
        <v>0</v>
      </c>
      <c r="AK210" s="63">
        <f>ROUND(AJ210*$T210,2)</f>
        <v>0</v>
      </c>
      <c r="AL210" s="61">
        <v>0</v>
      </c>
      <c r="AM210" s="63">
        <f>ROUND(AL210*$T210,2)</f>
        <v>0</v>
      </c>
      <c r="AN210" s="61">
        <v>0</v>
      </c>
      <c r="AO210" s="63">
        <f>ROUND(AN210*$T210,2)</f>
        <v>0</v>
      </c>
      <c r="AP210" s="61">
        <v>0</v>
      </c>
      <c r="AQ210" s="63">
        <f>ROUND(AP210*$T210,2)</f>
        <v>0</v>
      </c>
      <c r="AR210" s="61">
        <v>0</v>
      </c>
      <c r="AS210" s="63">
        <f>ROUND(AR210*$T210,2)</f>
        <v>0</v>
      </c>
      <c r="AT210" s="61">
        <v>0</v>
      </c>
      <c r="AU210" s="63">
        <f>ROUND(AT210*$T210,2)</f>
        <v>0</v>
      </c>
      <c r="AV210" s="61">
        <v>0</v>
      </c>
      <c r="AW210" s="63">
        <f>ROUND(AV210*$T210,2)</f>
        <v>0</v>
      </c>
      <c r="AX210" s="61">
        <v>0</v>
      </c>
      <c r="AY210" s="63">
        <f>ROUND(AX210*$T210,2)</f>
        <v>0</v>
      </c>
      <c r="AZ210" s="61">
        <v>0</v>
      </c>
      <c r="BA210" s="63">
        <f>ROUND(AZ210*$T210,2)</f>
        <v>0</v>
      </c>
      <c r="BB210" s="61">
        <v>0</v>
      </c>
      <c r="BC210" s="63">
        <f>ROUND(BB210*$T210,2)</f>
        <v>0</v>
      </c>
      <c r="BD210" s="61">
        <v>0</v>
      </c>
      <c r="BE210" s="63">
        <f>ROUND(BD210*$T210,2)</f>
        <v>0</v>
      </c>
      <c r="BF210" s="61">
        <f>IFERROR(SUMIFS($V210:$BE210,$V$5:$BE$5,$BF$5),0)</f>
        <v>0</v>
      </c>
      <c r="BG210" s="63">
        <f>SUMIFS($V210:$BE210,$V$5:$BE$5,$W$5)</f>
        <v>0</v>
      </c>
      <c r="BH210" s="45"/>
      <c r="BI210" s="144"/>
    </row>
    <row r="211" spans="1:61" ht="19.5" customHeight="1" x14ac:dyDescent="0.45">
      <c r="A211" s="128">
        <v>3</v>
      </c>
      <c r="B211" s="129"/>
      <c r="C211" s="130"/>
      <c r="D211" s="131"/>
      <c r="E211" s="132" t="s">
        <v>890</v>
      </c>
      <c r="F211" s="515"/>
      <c r="G211" s="516"/>
      <c r="H211" s="516"/>
      <c r="I211" s="516"/>
      <c r="J211" s="516"/>
      <c r="K211" s="516"/>
      <c r="L211" s="516"/>
      <c r="M211" s="516"/>
      <c r="N211" s="516"/>
      <c r="O211" s="133" t="s">
        <v>891</v>
      </c>
      <c r="P211" s="134"/>
      <c r="Q211" s="135" t="s">
        <v>892</v>
      </c>
      <c r="R211" s="136"/>
      <c r="S211" s="137"/>
      <c r="T211" s="138"/>
      <c r="U211" s="139">
        <f>SUM(U212:U225)</f>
        <v>156554.23999999999</v>
      </c>
      <c r="V211" s="137"/>
      <c r="W211" s="139">
        <f>SUM(W212:W225)</f>
        <v>0</v>
      </c>
      <c r="X211" s="137"/>
      <c r="Y211" s="139">
        <f>SUM(Y212:Y225)</f>
        <v>0</v>
      </c>
      <c r="Z211" s="137"/>
      <c r="AA211" s="139">
        <f>SUM(AA212:AA225)</f>
        <v>0</v>
      </c>
      <c r="AB211" s="137"/>
      <c r="AC211" s="139">
        <f>SUM(AC212:AC225)</f>
        <v>0</v>
      </c>
      <c r="AD211" s="137"/>
      <c r="AE211" s="139">
        <f>SUM(AE212:AE225)</f>
        <v>0</v>
      </c>
      <c r="AF211" s="137"/>
      <c r="AG211" s="139">
        <f>SUM(AG212:AG225)</f>
        <v>0</v>
      </c>
      <c r="AH211" s="137"/>
      <c r="AI211" s="139">
        <f>SUM(AI212:AI225)</f>
        <v>0</v>
      </c>
      <c r="AJ211" s="137"/>
      <c r="AK211" s="139">
        <f>SUM(AK212:AK225)</f>
        <v>0</v>
      </c>
      <c r="AL211" s="137"/>
      <c r="AM211" s="139">
        <f>SUM(AM212:AM225)</f>
        <v>0</v>
      </c>
      <c r="AN211" s="137"/>
      <c r="AO211" s="139">
        <f>SUM(AO212:AO225)</f>
        <v>0</v>
      </c>
      <c r="AP211" s="137"/>
      <c r="AQ211" s="139">
        <f>SUM(AQ212:AQ225)</f>
        <v>0</v>
      </c>
      <c r="AR211" s="137"/>
      <c r="AS211" s="139">
        <f>SUM(AS212:AS225)</f>
        <v>0</v>
      </c>
      <c r="AT211" s="137"/>
      <c r="AU211" s="139">
        <f>SUM(AU212:AU225)</f>
        <v>0</v>
      </c>
      <c r="AV211" s="137"/>
      <c r="AW211" s="139">
        <f>SUM(AW212:AW225)</f>
        <v>0</v>
      </c>
      <c r="AX211" s="137"/>
      <c r="AY211" s="139">
        <f>SUM(AY212:AY225)</f>
        <v>0</v>
      </c>
      <c r="AZ211" s="137"/>
      <c r="BA211" s="139">
        <f>SUM(BA212:BA225)</f>
        <v>0</v>
      </c>
      <c r="BB211" s="137"/>
      <c r="BC211" s="139">
        <f>SUM(BC212:BC225)</f>
        <v>0</v>
      </c>
      <c r="BD211" s="137"/>
      <c r="BE211" s="139">
        <f>SUM(BE212:BE225)</f>
        <v>0</v>
      </c>
      <c r="BF211" s="137"/>
      <c r="BG211" s="139">
        <f>SUM(BG212:BG225)</f>
        <v>0</v>
      </c>
      <c r="BH211" s="45"/>
    </row>
    <row r="212" spans="1:61" ht="35.65" x14ac:dyDescent="0.45">
      <c r="A212" s="140">
        <v>3</v>
      </c>
      <c r="B212" s="141" t="s">
        <v>1477</v>
      </c>
      <c r="C212" s="142" t="s">
        <v>1478</v>
      </c>
      <c r="D212" s="143" t="str">
        <f t="shared" ref="D212:D225" si="110">B212&amp;"_"&amp;E212</f>
        <v>3.2_5.4.7</v>
      </c>
      <c r="E212" s="56" t="s">
        <v>911</v>
      </c>
      <c r="F212" s="506" t="s">
        <v>1753</v>
      </c>
      <c r="G212" s="507" t="s">
        <v>39</v>
      </c>
      <c r="H212" s="507" t="s">
        <v>39</v>
      </c>
      <c r="I212" s="507" t="s">
        <v>1748</v>
      </c>
      <c r="J212" s="507" t="s">
        <v>39</v>
      </c>
      <c r="K212" s="507" t="s">
        <v>39</v>
      </c>
      <c r="L212" s="507" t="s">
        <v>1730</v>
      </c>
      <c r="M212" s="507" t="s">
        <v>79</v>
      </c>
      <c r="N212" s="507" t="s">
        <v>1750</v>
      </c>
      <c r="O212" s="57" t="s">
        <v>912</v>
      </c>
      <c r="P212" s="58" t="s">
        <v>846</v>
      </c>
      <c r="Q212" s="59" t="s">
        <v>913</v>
      </c>
      <c r="R212" s="60" t="s">
        <v>755</v>
      </c>
      <c r="S212" s="61">
        <v>961.82</v>
      </c>
      <c r="T212" s="62">
        <f>INDEX('BM MORRO DA CRUZ'!$P$6:$P$402,MATCH($O212,'BM MORRO DA CRUZ'!$K$6:$K$402,0))</f>
        <v>6.79</v>
      </c>
      <c r="U212" s="63">
        <f t="shared" ref="U212:U225" si="111">ROUND(T212*$S212,2)</f>
        <v>6530.76</v>
      </c>
      <c r="V212" s="61">
        <f>IFERROR(SUMIFS('01ª MC'!$W$1:$W$1840,'01ª MC'!$C$1:$C$1840,$D212),0)</f>
        <v>0</v>
      </c>
      <c r="W212" s="63">
        <f t="shared" ref="W212:W225" si="112">ROUND(V212*$T212,2)</f>
        <v>0</v>
      </c>
      <c r="X212" s="61">
        <v>0</v>
      </c>
      <c r="Y212" s="63">
        <f t="shared" ref="Y212:Y225" si="113">ROUND(X212*$T212,2)</f>
        <v>0</v>
      </c>
      <c r="Z212" s="61">
        <v>0</v>
      </c>
      <c r="AA212" s="63">
        <f t="shared" ref="AA212:AA225" si="114">ROUND(Z212*$T212,2)</f>
        <v>0</v>
      </c>
      <c r="AB212" s="61">
        <v>0</v>
      </c>
      <c r="AC212" s="63">
        <f t="shared" ref="AC212:AC225" si="115">ROUND(AB212*$T212,2)</f>
        <v>0</v>
      </c>
      <c r="AD212" s="61">
        <v>0</v>
      </c>
      <c r="AE212" s="63">
        <f t="shared" ref="AE212:AE225" si="116">ROUND(AD212*$T212,2)</f>
        <v>0</v>
      </c>
      <c r="AF212" s="61">
        <v>0</v>
      </c>
      <c r="AG212" s="63">
        <f t="shared" ref="AG212:AG225" si="117">ROUND(AF212*$T212,2)</f>
        <v>0</v>
      </c>
      <c r="AH212" s="61">
        <v>0</v>
      </c>
      <c r="AI212" s="63">
        <f t="shared" ref="AI212:AI225" si="118">ROUND(AH212*$T212,2)</f>
        <v>0</v>
      </c>
      <c r="AJ212" s="61">
        <v>0</v>
      </c>
      <c r="AK212" s="63">
        <f t="shared" ref="AK212:AK225" si="119">ROUND(AJ212*$T212,2)</f>
        <v>0</v>
      </c>
      <c r="AL212" s="61">
        <v>0</v>
      </c>
      <c r="AM212" s="63">
        <f t="shared" ref="AM212:AM225" si="120">ROUND(AL212*$T212,2)</f>
        <v>0</v>
      </c>
      <c r="AN212" s="61">
        <v>0</v>
      </c>
      <c r="AO212" s="63">
        <f t="shared" ref="AO212:AO225" si="121">ROUND(AN212*$T212,2)</f>
        <v>0</v>
      </c>
      <c r="AP212" s="61">
        <v>0</v>
      </c>
      <c r="AQ212" s="63">
        <f t="shared" ref="AQ212:AQ225" si="122">ROUND(AP212*$T212,2)</f>
        <v>0</v>
      </c>
      <c r="AR212" s="61">
        <v>0</v>
      </c>
      <c r="AS212" s="63">
        <f t="shared" ref="AS212:AS225" si="123">ROUND(AR212*$T212,2)</f>
        <v>0</v>
      </c>
      <c r="AT212" s="61">
        <v>0</v>
      </c>
      <c r="AU212" s="63">
        <f t="shared" ref="AU212:AU225" si="124">ROUND(AT212*$T212,2)</f>
        <v>0</v>
      </c>
      <c r="AV212" s="61">
        <v>0</v>
      </c>
      <c r="AW212" s="63">
        <f t="shared" ref="AW212:AW225" si="125">ROUND(AV212*$T212,2)</f>
        <v>0</v>
      </c>
      <c r="AX212" s="61">
        <v>0</v>
      </c>
      <c r="AY212" s="63">
        <f t="shared" ref="AY212:AY225" si="126">ROUND(AX212*$T212,2)</f>
        <v>0</v>
      </c>
      <c r="AZ212" s="61">
        <v>0</v>
      </c>
      <c r="BA212" s="63">
        <f t="shared" ref="BA212:BA225" si="127">ROUND(AZ212*$T212,2)</f>
        <v>0</v>
      </c>
      <c r="BB212" s="61">
        <v>0</v>
      </c>
      <c r="BC212" s="63">
        <f t="shared" ref="BC212:BC225" si="128">ROUND(BB212*$T212,2)</f>
        <v>0</v>
      </c>
      <c r="BD212" s="61">
        <v>0</v>
      </c>
      <c r="BE212" s="63">
        <f t="shared" ref="BE212:BE225" si="129">ROUND(BD212*$T212,2)</f>
        <v>0</v>
      </c>
      <c r="BF212" s="61">
        <f t="shared" ref="BF212:BF225" si="130">IFERROR(SUMIFS($V212:$BE212,$V$5:$BE$5,$BF$5),0)</f>
        <v>0</v>
      </c>
      <c r="BG212" s="63">
        <f t="shared" ref="BG212:BG225" si="131">SUMIFS($V212:$BE212,$V$5:$BE$5,$W$5)</f>
        <v>0</v>
      </c>
      <c r="BH212" s="45"/>
      <c r="BI212" s="144"/>
    </row>
    <row r="213" spans="1:61" ht="26" customHeight="1" x14ac:dyDescent="0.45">
      <c r="A213" s="140">
        <v>3</v>
      </c>
      <c r="B213" s="141" t="s">
        <v>1477</v>
      </c>
      <c r="C213" s="142" t="s">
        <v>1478</v>
      </c>
      <c r="D213" s="143" t="str">
        <f t="shared" si="110"/>
        <v>3.2_5.4.8</v>
      </c>
      <c r="E213" s="56" t="s">
        <v>914</v>
      </c>
      <c r="F213" s="506" t="s">
        <v>1754</v>
      </c>
      <c r="G213" s="507" t="s">
        <v>39</v>
      </c>
      <c r="H213" s="507" t="s">
        <v>39</v>
      </c>
      <c r="I213" s="507" t="s">
        <v>1755</v>
      </c>
      <c r="J213" s="507" t="s">
        <v>39</v>
      </c>
      <c r="K213" s="507" t="s">
        <v>39</v>
      </c>
      <c r="L213" s="507" t="s">
        <v>1756</v>
      </c>
      <c r="M213" s="507" t="s">
        <v>79</v>
      </c>
      <c r="N213" s="507" t="s">
        <v>1757</v>
      </c>
      <c r="O213" s="57" t="s">
        <v>915</v>
      </c>
      <c r="P213" s="58" t="s">
        <v>846</v>
      </c>
      <c r="Q213" s="59" t="s">
        <v>916</v>
      </c>
      <c r="R213" s="60" t="s">
        <v>755</v>
      </c>
      <c r="S213" s="61">
        <v>28.43</v>
      </c>
      <c r="T213" s="62">
        <f>INDEX('BM MORRO DA CRUZ'!$P$6:$P$402,MATCH($O213,'BM MORRO DA CRUZ'!$K$6:$K$402,0))</f>
        <v>161.05000000000001</v>
      </c>
      <c r="U213" s="63">
        <f t="shared" si="111"/>
        <v>4578.6499999999996</v>
      </c>
      <c r="V213" s="61">
        <f>IFERROR(SUMIFS('01ª MC'!$W$1:$W$1840,'01ª MC'!$C$1:$C$1840,$D213),0)</f>
        <v>0</v>
      </c>
      <c r="W213" s="63">
        <f t="shared" si="112"/>
        <v>0</v>
      </c>
      <c r="X213" s="61">
        <v>0</v>
      </c>
      <c r="Y213" s="63">
        <f t="shared" si="113"/>
        <v>0</v>
      </c>
      <c r="Z213" s="61">
        <v>0</v>
      </c>
      <c r="AA213" s="63">
        <f t="shared" si="114"/>
        <v>0</v>
      </c>
      <c r="AB213" s="61">
        <v>0</v>
      </c>
      <c r="AC213" s="63">
        <f t="shared" si="115"/>
        <v>0</v>
      </c>
      <c r="AD213" s="61">
        <v>0</v>
      </c>
      <c r="AE213" s="63">
        <f t="shared" si="116"/>
        <v>0</v>
      </c>
      <c r="AF213" s="61">
        <v>0</v>
      </c>
      <c r="AG213" s="63">
        <f t="shared" si="117"/>
        <v>0</v>
      </c>
      <c r="AH213" s="61">
        <v>0</v>
      </c>
      <c r="AI213" s="63">
        <f t="shared" si="118"/>
        <v>0</v>
      </c>
      <c r="AJ213" s="61">
        <v>0</v>
      </c>
      <c r="AK213" s="63">
        <f t="shared" si="119"/>
        <v>0</v>
      </c>
      <c r="AL213" s="61">
        <v>0</v>
      </c>
      <c r="AM213" s="63">
        <f t="shared" si="120"/>
        <v>0</v>
      </c>
      <c r="AN213" s="61">
        <v>0</v>
      </c>
      <c r="AO213" s="63">
        <f t="shared" si="121"/>
        <v>0</v>
      </c>
      <c r="AP213" s="61">
        <v>0</v>
      </c>
      <c r="AQ213" s="63">
        <f t="shared" si="122"/>
        <v>0</v>
      </c>
      <c r="AR213" s="61">
        <v>0</v>
      </c>
      <c r="AS213" s="63">
        <f t="shared" si="123"/>
        <v>0</v>
      </c>
      <c r="AT213" s="61">
        <v>0</v>
      </c>
      <c r="AU213" s="63">
        <f t="shared" si="124"/>
        <v>0</v>
      </c>
      <c r="AV213" s="61">
        <v>0</v>
      </c>
      <c r="AW213" s="63">
        <f t="shared" si="125"/>
        <v>0</v>
      </c>
      <c r="AX213" s="61">
        <v>0</v>
      </c>
      <c r="AY213" s="63">
        <f t="shared" si="126"/>
        <v>0</v>
      </c>
      <c r="AZ213" s="61">
        <v>0</v>
      </c>
      <c r="BA213" s="63">
        <f t="shared" si="127"/>
        <v>0</v>
      </c>
      <c r="BB213" s="61">
        <v>0</v>
      </c>
      <c r="BC213" s="63">
        <f t="shared" si="128"/>
        <v>0</v>
      </c>
      <c r="BD213" s="61">
        <v>0</v>
      </c>
      <c r="BE213" s="63">
        <f t="shared" si="129"/>
        <v>0</v>
      </c>
      <c r="BF213" s="61">
        <f t="shared" si="130"/>
        <v>0</v>
      </c>
      <c r="BG213" s="63">
        <f t="shared" si="131"/>
        <v>0</v>
      </c>
      <c r="BH213" s="45"/>
      <c r="BI213" s="144"/>
    </row>
    <row r="214" spans="1:61" ht="26" customHeight="1" x14ac:dyDescent="0.45">
      <c r="A214" s="140">
        <v>3</v>
      </c>
      <c r="B214" s="141" t="s">
        <v>1477</v>
      </c>
      <c r="C214" s="142" t="s">
        <v>1478</v>
      </c>
      <c r="D214" s="143" t="str">
        <f t="shared" si="110"/>
        <v>3.2_5.4.9</v>
      </c>
      <c r="E214" s="56" t="s">
        <v>917</v>
      </c>
      <c r="F214" s="506" t="s">
        <v>919</v>
      </c>
      <c r="G214" s="507" t="s">
        <v>39</v>
      </c>
      <c r="H214" s="507" t="s">
        <v>39</v>
      </c>
      <c r="I214" s="507" t="s">
        <v>1757</v>
      </c>
      <c r="J214" s="507" t="s">
        <v>39</v>
      </c>
      <c r="K214" s="507" t="s">
        <v>39</v>
      </c>
      <c r="L214" s="507" t="s">
        <v>1758</v>
      </c>
      <c r="M214" s="507" t="s">
        <v>79</v>
      </c>
      <c r="N214" s="507" t="s">
        <v>1757</v>
      </c>
      <c r="O214" s="57" t="s">
        <v>918</v>
      </c>
      <c r="P214" s="58" t="s">
        <v>846</v>
      </c>
      <c r="Q214" s="59" t="s">
        <v>919</v>
      </c>
      <c r="R214" s="60" t="s">
        <v>755</v>
      </c>
      <c r="S214" s="61">
        <v>0.66</v>
      </c>
      <c r="T214" s="62">
        <f>INDEX('BM MORRO DA CRUZ'!$P$6:$P$402,MATCH($O214,'BM MORRO DA CRUZ'!$K$6:$K$402,0))</f>
        <v>89.06</v>
      </c>
      <c r="U214" s="63">
        <f t="shared" si="111"/>
        <v>58.78</v>
      </c>
      <c r="V214" s="61">
        <f>IFERROR(SUMIFS('01ª MC'!$W$1:$W$1840,'01ª MC'!$C$1:$C$1840,$D214),0)</f>
        <v>0</v>
      </c>
      <c r="W214" s="63">
        <f t="shared" si="112"/>
        <v>0</v>
      </c>
      <c r="X214" s="61">
        <v>0</v>
      </c>
      <c r="Y214" s="63">
        <f t="shared" si="113"/>
        <v>0</v>
      </c>
      <c r="Z214" s="61">
        <v>0</v>
      </c>
      <c r="AA214" s="63">
        <f t="shared" si="114"/>
        <v>0</v>
      </c>
      <c r="AB214" s="61">
        <v>0</v>
      </c>
      <c r="AC214" s="63">
        <f t="shared" si="115"/>
        <v>0</v>
      </c>
      <c r="AD214" s="61">
        <v>0</v>
      </c>
      <c r="AE214" s="63">
        <f t="shared" si="116"/>
        <v>0</v>
      </c>
      <c r="AF214" s="61">
        <v>0</v>
      </c>
      <c r="AG214" s="63">
        <f t="shared" si="117"/>
        <v>0</v>
      </c>
      <c r="AH214" s="61">
        <v>0</v>
      </c>
      <c r="AI214" s="63">
        <f t="shared" si="118"/>
        <v>0</v>
      </c>
      <c r="AJ214" s="61">
        <v>0</v>
      </c>
      <c r="AK214" s="63">
        <f t="shared" si="119"/>
        <v>0</v>
      </c>
      <c r="AL214" s="61">
        <v>0</v>
      </c>
      <c r="AM214" s="63">
        <f t="shared" si="120"/>
        <v>0</v>
      </c>
      <c r="AN214" s="61">
        <v>0</v>
      </c>
      <c r="AO214" s="63">
        <f t="shared" si="121"/>
        <v>0</v>
      </c>
      <c r="AP214" s="61">
        <v>0</v>
      </c>
      <c r="AQ214" s="63">
        <f t="shared" si="122"/>
        <v>0</v>
      </c>
      <c r="AR214" s="61">
        <v>0</v>
      </c>
      <c r="AS214" s="63">
        <f t="shared" si="123"/>
        <v>0</v>
      </c>
      <c r="AT214" s="61">
        <v>0</v>
      </c>
      <c r="AU214" s="63">
        <f t="shared" si="124"/>
        <v>0</v>
      </c>
      <c r="AV214" s="61">
        <v>0</v>
      </c>
      <c r="AW214" s="63">
        <f t="shared" si="125"/>
        <v>0</v>
      </c>
      <c r="AX214" s="61">
        <v>0</v>
      </c>
      <c r="AY214" s="63">
        <f t="shared" si="126"/>
        <v>0</v>
      </c>
      <c r="AZ214" s="61">
        <v>0</v>
      </c>
      <c r="BA214" s="63">
        <f t="shared" si="127"/>
        <v>0</v>
      </c>
      <c r="BB214" s="61">
        <v>0</v>
      </c>
      <c r="BC214" s="63">
        <f t="shared" si="128"/>
        <v>0</v>
      </c>
      <c r="BD214" s="61">
        <v>0</v>
      </c>
      <c r="BE214" s="63">
        <f t="shared" si="129"/>
        <v>0</v>
      </c>
      <c r="BF214" s="61">
        <f t="shared" si="130"/>
        <v>0</v>
      </c>
      <c r="BG214" s="63">
        <f t="shared" si="131"/>
        <v>0</v>
      </c>
      <c r="BH214" s="45"/>
      <c r="BI214" s="144"/>
    </row>
    <row r="215" spans="1:61" ht="26" customHeight="1" x14ac:dyDescent="0.45">
      <c r="A215" s="140">
        <v>3</v>
      </c>
      <c r="B215" s="141" t="s">
        <v>1477</v>
      </c>
      <c r="C215" s="142" t="s">
        <v>1478</v>
      </c>
      <c r="D215" s="143" t="str">
        <f t="shared" si="110"/>
        <v>3.2_5.4.10</v>
      </c>
      <c r="E215" s="56" t="s">
        <v>920</v>
      </c>
      <c r="F215" s="506" t="s">
        <v>1759</v>
      </c>
      <c r="G215" s="507" t="s">
        <v>39</v>
      </c>
      <c r="H215" s="507" t="s">
        <v>39</v>
      </c>
      <c r="I215" s="507" t="s">
        <v>1757</v>
      </c>
      <c r="J215" s="507" t="s">
        <v>39</v>
      </c>
      <c r="K215" s="507" t="s">
        <v>39</v>
      </c>
      <c r="L215" s="507" t="s">
        <v>1758</v>
      </c>
      <c r="M215" s="507" t="s">
        <v>79</v>
      </c>
      <c r="N215" s="507" t="s">
        <v>1757</v>
      </c>
      <c r="O215" s="57" t="s">
        <v>921</v>
      </c>
      <c r="P215" s="58" t="s">
        <v>846</v>
      </c>
      <c r="Q215" s="59" t="s">
        <v>922</v>
      </c>
      <c r="R215" s="60" t="s">
        <v>755</v>
      </c>
      <c r="S215" s="61">
        <v>14.7</v>
      </c>
      <c r="T215" s="62">
        <f>INDEX('BM MORRO DA CRUZ'!$P$6:$P$402,MATCH($O215,'BM MORRO DA CRUZ'!$K$6:$K$402,0))</f>
        <v>118.75</v>
      </c>
      <c r="U215" s="63">
        <f t="shared" si="111"/>
        <v>1745.63</v>
      </c>
      <c r="V215" s="61">
        <f>IFERROR(SUMIFS('01ª MC'!$W$1:$W$1840,'01ª MC'!$C$1:$C$1840,$D215),0)</f>
        <v>0</v>
      </c>
      <c r="W215" s="63">
        <f t="shared" si="112"/>
        <v>0</v>
      </c>
      <c r="X215" s="61">
        <v>0</v>
      </c>
      <c r="Y215" s="63">
        <f t="shared" si="113"/>
        <v>0</v>
      </c>
      <c r="Z215" s="61">
        <v>0</v>
      </c>
      <c r="AA215" s="63">
        <f t="shared" si="114"/>
        <v>0</v>
      </c>
      <c r="AB215" s="61">
        <v>0</v>
      </c>
      <c r="AC215" s="63">
        <f t="shared" si="115"/>
        <v>0</v>
      </c>
      <c r="AD215" s="61">
        <v>0</v>
      </c>
      <c r="AE215" s="63">
        <f t="shared" si="116"/>
        <v>0</v>
      </c>
      <c r="AF215" s="61">
        <v>0</v>
      </c>
      <c r="AG215" s="63">
        <f t="shared" si="117"/>
        <v>0</v>
      </c>
      <c r="AH215" s="61">
        <v>0</v>
      </c>
      <c r="AI215" s="63">
        <f t="shared" si="118"/>
        <v>0</v>
      </c>
      <c r="AJ215" s="61">
        <v>0</v>
      </c>
      <c r="AK215" s="63">
        <f t="shared" si="119"/>
        <v>0</v>
      </c>
      <c r="AL215" s="61">
        <v>0</v>
      </c>
      <c r="AM215" s="63">
        <f t="shared" si="120"/>
        <v>0</v>
      </c>
      <c r="AN215" s="61">
        <v>0</v>
      </c>
      <c r="AO215" s="63">
        <f t="shared" si="121"/>
        <v>0</v>
      </c>
      <c r="AP215" s="61">
        <v>0</v>
      </c>
      <c r="AQ215" s="63">
        <f t="shared" si="122"/>
        <v>0</v>
      </c>
      <c r="AR215" s="61">
        <v>0</v>
      </c>
      <c r="AS215" s="63">
        <f t="shared" si="123"/>
        <v>0</v>
      </c>
      <c r="AT215" s="61">
        <v>0</v>
      </c>
      <c r="AU215" s="63">
        <f t="shared" si="124"/>
        <v>0</v>
      </c>
      <c r="AV215" s="61">
        <v>0</v>
      </c>
      <c r="AW215" s="63">
        <f t="shared" si="125"/>
        <v>0</v>
      </c>
      <c r="AX215" s="61">
        <v>0</v>
      </c>
      <c r="AY215" s="63">
        <f t="shared" si="126"/>
        <v>0</v>
      </c>
      <c r="AZ215" s="61">
        <v>0</v>
      </c>
      <c r="BA215" s="63">
        <f t="shared" si="127"/>
        <v>0</v>
      </c>
      <c r="BB215" s="61">
        <v>0</v>
      </c>
      <c r="BC215" s="63">
        <f t="shared" si="128"/>
        <v>0</v>
      </c>
      <c r="BD215" s="61">
        <v>0</v>
      </c>
      <c r="BE215" s="63">
        <f t="shared" si="129"/>
        <v>0</v>
      </c>
      <c r="BF215" s="61">
        <f t="shared" si="130"/>
        <v>0</v>
      </c>
      <c r="BG215" s="63">
        <f t="shared" si="131"/>
        <v>0</v>
      </c>
      <c r="BH215" s="45"/>
      <c r="BI215" s="144"/>
    </row>
    <row r="216" spans="1:61" ht="47.25" x14ac:dyDescent="0.45">
      <c r="A216" s="140">
        <v>3</v>
      </c>
      <c r="B216" s="141" t="s">
        <v>1477</v>
      </c>
      <c r="C216" s="142" t="s">
        <v>1478</v>
      </c>
      <c r="D216" s="143" t="str">
        <f t="shared" si="110"/>
        <v>3.2_5.4.11</v>
      </c>
      <c r="E216" s="56" t="s">
        <v>923</v>
      </c>
      <c r="F216" s="506" t="s">
        <v>1761</v>
      </c>
      <c r="G216" s="507" t="s">
        <v>39</v>
      </c>
      <c r="H216" s="507" t="s">
        <v>39</v>
      </c>
      <c r="I216" s="507" t="s">
        <v>1757</v>
      </c>
      <c r="J216" s="507" t="s">
        <v>39</v>
      </c>
      <c r="K216" s="507" t="s">
        <v>39</v>
      </c>
      <c r="L216" s="507" t="s">
        <v>1762</v>
      </c>
      <c r="M216" s="507" t="s">
        <v>79</v>
      </c>
      <c r="N216" s="507" t="s">
        <v>1757</v>
      </c>
      <c r="O216" s="57" t="s">
        <v>924</v>
      </c>
      <c r="P216" s="58" t="s">
        <v>846</v>
      </c>
      <c r="Q216" s="59" t="s">
        <v>925</v>
      </c>
      <c r="R216" s="60" t="s">
        <v>755</v>
      </c>
      <c r="S216" s="61">
        <v>86.31</v>
      </c>
      <c r="T216" s="62">
        <f>INDEX('BM MORRO DA CRUZ'!$P$6:$P$402,MATCH($O216,'BM MORRO DA CRUZ'!$K$6:$K$402,0))</f>
        <v>6.08</v>
      </c>
      <c r="U216" s="63">
        <f t="shared" si="111"/>
        <v>524.76</v>
      </c>
      <c r="V216" s="61">
        <f>IFERROR(SUMIFS('01ª MC'!$W$1:$W$1840,'01ª MC'!$C$1:$C$1840,$D216),0)</f>
        <v>0</v>
      </c>
      <c r="W216" s="63">
        <f t="shared" si="112"/>
        <v>0</v>
      </c>
      <c r="X216" s="61">
        <v>0</v>
      </c>
      <c r="Y216" s="63">
        <f t="shared" si="113"/>
        <v>0</v>
      </c>
      <c r="Z216" s="61">
        <v>0</v>
      </c>
      <c r="AA216" s="63">
        <f t="shared" si="114"/>
        <v>0</v>
      </c>
      <c r="AB216" s="61">
        <v>0</v>
      </c>
      <c r="AC216" s="63">
        <f t="shared" si="115"/>
        <v>0</v>
      </c>
      <c r="AD216" s="61">
        <v>0</v>
      </c>
      <c r="AE216" s="63">
        <f t="shared" si="116"/>
        <v>0</v>
      </c>
      <c r="AF216" s="61">
        <v>0</v>
      </c>
      <c r="AG216" s="63">
        <f t="shared" si="117"/>
        <v>0</v>
      </c>
      <c r="AH216" s="61">
        <v>0</v>
      </c>
      <c r="AI216" s="63">
        <f t="shared" si="118"/>
        <v>0</v>
      </c>
      <c r="AJ216" s="61">
        <v>0</v>
      </c>
      <c r="AK216" s="63">
        <f t="shared" si="119"/>
        <v>0</v>
      </c>
      <c r="AL216" s="61">
        <v>0</v>
      </c>
      <c r="AM216" s="63">
        <f t="shared" si="120"/>
        <v>0</v>
      </c>
      <c r="AN216" s="61">
        <v>0</v>
      </c>
      <c r="AO216" s="63">
        <f t="shared" si="121"/>
        <v>0</v>
      </c>
      <c r="AP216" s="61">
        <v>0</v>
      </c>
      <c r="AQ216" s="63">
        <f t="shared" si="122"/>
        <v>0</v>
      </c>
      <c r="AR216" s="61">
        <v>0</v>
      </c>
      <c r="AS216" s="63">
        <f t="shared" si="123"/>
        <v>0</v>
      </c>
      <c r="AT216" s="61">
        <v>0</v>
      </c>
      <c r="AU216" s="63">
        <f t="shared" si="124"/>
        <v>0</v>
      </c>
      <c r="AV216" s="61">
        <v>0</v>
      </c>
      <c r="AW216" s="63">
        <f t="shared" si="125"/>
        <v>0</v>
      </c>
      <c r="AX216" s="61">
        <v>0</v>
      </c>
      <c r="AY216" s="63">
        <f t="shared" si="126"/>
        <v>0</v>
      </c>
      <c r="AZ216" s="61">
        <v>0</v>
      </c>
      <c r="BA216" s="63">
        <f t="shared" si="127"/>
        <v>0</v>
      </c>
      <c r="BB216" s="61">
        <v>0</v>
      </c>
      <c r="BC216" s="63">
        <f t="shared" si="128"/>
        <v>0</v>
      </c>
      <c r="BD216" s="61">
        <v>0</v>
      </c>
      <c r="BE216" s="63">
        <f t="shared" si="129"/>
        <v>0</v>
      </c>
      <c r="BF216" s="61">
        <f t="shared" si="130"/>
        <v>0</v>
      </c>
      <c r="BG216" s="63">
        <f t="shared" si="131"/>
        <v>0</v>
      </c>
      <c r="BH216" s="45"/>
      <c r="BI216" s="144"/>
    </row>
    <row r="217" spans="1:61" ht="47.25" x14ac:dyDescent="0.45">
      <c r="A217" s="140">
        <v>3</v>
      </c>
      <c r="B217" s="141" t="s">
        <v>1477</v>
      </c>
      <c r="C217" s="142" t="s">
        <v>1478</v>
      </c>
      <c r="D217" s="143" t="str">
        <f t="shared" si="110"/>
        <v>3.2_5.4.12</v>
      </c>
      <c r="E217" s="56" t="s">
        <v>926</v>
      </c>
      <c r="F217" s="506" t="s">
        <v>1763</v>
      </c>
      <c r="G217" s="507" t="s">
        <v>39</v>
      </c>
      <c r="H217" s="507" t="s">
        <v>39</v>
      </c>
      <c r="I217" s="507" t="s">
        <v>1757</v>
      </c>
      <c r="J217" s="507" t="s">
        <v>39</v>
      </c>
      <c r="K217" s="507" t="s">
        <v>39</v>
      </c>
      <c r="L217" s="507" t="s">
        <v>1764</v>
      </c>
      <c r="M217" s="507" t="s">
        <v>79</v>
      </c>
      <c r="N217" s="507" t="s">
        <v>1757</v>
      </c>
      <c r="O217" s="57" t="s">
        <v>927</v>
      </c>
      <c r="P217" s="58" t="s">
        <v>846</v>
      </c>
      <c r="Q217" s="59" t="s">
        <v>928</v>
      </c>
      <c r="R217" s="60" t="s">
        <v>755</v>
      </c>
      <c r="S217" s="61">
        <v>16.39</v>
      </c>
      <c r="T217" s="62">
        <f>INDEX('BM MORRO DA CRUZ'!$P$6:$P$402,MATCH($O217,'BM MORRO DA CRUZ'!$K$6:$K$402,0))</f>
        <v>7.59</v>
      </c>
      <c r="U217" s="63">
        <f t="shared" si="111"/>
        <v>124.4</v>
      </c>
      <c r="V217" s="61">
        <f>IFERROR(SUMIFS('01ª MC'!$W$1:$W$1840,'01ª MC'!$C$1:$C$1840,$D217),0)</f>
        <v>0</v>
      </c>
      <c r="W217" s="63">
        <f t="shared" si="112"/>
        <v>0</v>
      </c>
      <c r="X217" s="61">
        <v>0</v>
      </c>
      <c r="Y217" s="63">
        <f t="shared" si="113"/>
        <v>0</v>
      </c>
      <c r="Z217" s="61">
        <v>0</v>
      </c>
      <c r="AA217" s="63">
        <f t="shared" si="114"/>
        <v>0</v>
      </c>
      <c r="AB217" s="61">
        <v>0</v>
      </c>
      <c r="AC217" s="63">
        <f t="shared" si="115"/>
        <v>0</v>
      </c>
      <c r="AD217" s="61">
        <v>0</v>
      </c>
      <c r="AE217" s="63">
        <f t="shared" si="116"/>
        <v>0</v>
      </c>
      <c r="AF217" s="61">
        <v>0</v>
      </c>
      <c r="AG217" s="63">
        <f t="shared" si="117"/>
        <v>0</v>
      </c>
      <c r="AH217" s="61">
        <v>0</v>
      </c>
      <c r="AI217" s="63">
        <f t="shared" si="118"/>
        <v>0</v>
      </c>
      <c r="AJ217" s="61">
        <v>0</v>
      </c>
      <c r="AK217" s="63">
        <f t="shared" si="119"/>
        <v>0</v>
      </c>
      <c r="AL217" s="61">
        <v>0</v>
      </c>
      <c r="AM217" s="63">
        <f t="shared" si="120"/>
        <v>0</v>
      </c>
      <c r="AN217" s="61">
        <v>0</v>
      </c>
      <c r="AO217" s="63">
        <f t="shared" si="121"/>
        <v>0</v>
      </c>
      <c r="AP217" s="61">
        <v>0</v>
      </c>
      <c r="AQ217" s="63">
        <f t="shared" si="122"/>
        <v>0</v>
      </c>
      <c r="AR217" s="61">
        <v>0</v>
      </c>
      <c r="AS217" s="63">
        <f t="shared" si="123"/>
        <v>0</v>
      </c>
      <c r="AT217" s="61">
        <v>0</v>
      </c>
      <c r="AU217" s="63">
        <f t="shared" si="124"/>
        <v>0</v>
      </c>
      <c r="AV217" s="61">
        <v>0</v>
      </c>
      <c r="AW217" s="63">
        <f t="shared" si="125"/>
        <v>0</v>
      </c>
      <c r="AX217" s="61">
        <v>0</v>
      </c>
      <c r="AY217" s="63">
        <f t="shared" si="126"/>
        <v>0</v>
      </c>
      <c r="AZ217" s="61">
        <v>0</v>
      </c>
      <c r="BA217" s="63">
        <f t="shared" si="127"/>
        <v>0</v>
      </c>
      <c r="BB217" s="61">
        <v>0</v>
      </c>
      <c r="BC217" s="63">
        <f t="shared" si="128"/>
        <v>0</v>
      </c>
      <c r="BD217" s="61">
        <v>0</v>
      </c>
      <c r="BE217" s="63">
        <f t="shared" si="129"/>
        <v>0</v>
      </c>
      <c r="BF217" s="61">
        <f t="shared" si="130"/>
        <v>0</v>
      </c>
      <c r="BG217" s="63">
        <f t="shared" si="131"/>
        <v>0</v>
      </c>
      <c r="BH217" s="45"/>
      <c r="BI217" s="144"/>
    </row>
    <row r="218" spans="1:61" ht="35.65" x14ac:dyDescent="0.45">
      <c r="A218" s="140">
        <v>3</v>
      </c>
      <c r="B218" s="141" t="s">
        <v>1477</v>
      </c>
      <c r="C218" s="142" t="s">
        <v>1478</v>
      </c>
      <c r="D218" s="143" t="str">
        <f t="shared" si="110"/>
        <v>3.2_5.4.13</v>
      </c>
      <c r="E218" s="56" t="s">
        <v>929</v>
      </c>
      <c r="F218" s="506" t="s">
        <v>1765</v>
      </c>
      <c r="G218" s="507" t="s">
        <v>39</v>
      </c>
      <c r="H218" s="507" t="s">
        <v>39</v>
      </c>
      <c r="I218" s="507" t="s">
        <v>1757</v>
      </c>
      <c r="J218" s="507" t="s">
        <v>39</v>
      </c>
      <c r="K218" s="507" t="s">
        <v>39</v>
      </c>
      <c r="L218" s="507" t="s">
        <v>1758</v>
      </c>
      <c r="M218" s="507" t="s">
        <v>79</v>
      </c>
      <c r="N218" s="507" t="s">
        <v>1757</v>
      </c>
      <c r="O218" s="57" t="s">
        <v>930</v>
      </c>
      <c r="P218" s="58" t="s">
        <v>846</v>
      </c>
      <c r="Q218" s="59" t="s">
        <v>931</v>
      </c>
      <c r="R218" s="60" t="s">
        <v>755</v>
      </c>
      <c r="S218" s="61">
        <v>6.56</v>
      </c>
      <c r="T218" s="62">
        <f>INDEX('BM MORRO DA CRUZ'!$P$6:$P$402,MATCH($O218,'BM MORRO DA CRUZ'!$K$6:$K$402,0))</f>
        <v>7.94</v>
      </c>
      <c r="U218" s="63">
        <f t="shared" si="111"/>
        <v>52.09</v>
      </c>
      <c r="V218" s="61">
        <f>IFERROR(SUMIFS('01ª MC'!$W$1:$W$1840,'01ª MC'!$C$1:$C$1840,$D218),0)</f>
        <v>0</v>
      </c>
      <c r="W218" s="63">
        <f t="shared" si="112"/>
        <v>0</v>
      </c>
      <c r="X218" s="61">
        <v>0</v>
      </c>
      <c r="Y218" s="63">
        <f t="shared" si="113"/>
        <v>0</v>
      </c>
      <c r="Z218" s="61">
        <v>0</v>
      </c>
      <c r="AA218" s="63">
        <f t="shared" si="114"/>
        <v>0</v>
      </c>
      <c r="AB218" s="61">
        <v>0</v>
      </c>
      <c r="AC218" s="63">
        <f t="shared" si="115"/>
        <v>0</v>
      </c>
      <c r="AD218" s="61">
        <v>0</v>
      </c>
      <c r="AE218" s="63">
        <f t="shared" si="116"/>
        <v>0</v>
      </c>
      <c r="AF218" s="61">
        <v>0</v>
      </c>
      <c r="AG218" s="63">
        <f t="shared" si="117"/>
        <v>0</v>
      </c>
      <c r="AH218" s="61">
        <v>0</v>
      </c>
      <c r="AI218" s="63">
        <f t="shared" si="118"/>
        <v>0</v>
      </c>
      <c r="AJ218" s="61">
        <v>0</v>
      </c>
      <c r="AK218" s="63">
        <f t="shared" si="119"/>
        <v>0</v>
      </c>
      <c r="AL218" s="61">
        <v>0</v>
      </c>
      <c r="AM218" s="63">
        <f t="shared" si="120"/>
        <v>0</v>
      </c>
      <c r="AN218" s="61">
        <v>0</v>
      </c>
      <c r="AO218" s="63">
        <f t="shared" si="121"/>
        <v>0</v>
      </c>
      <c r="AP218" s="61">
        <v>0</v>
      </c>
      <c r="AQ218" s="63">
        <f t="shared" si="122"/>
        <v>0</v>
      </c>
      <c r="AR218" s="61">
        <v>0</v>
      </c>
      <c r="AS218" s="63">
        <f t="shared" si="123"/>
        <v>0</v>
      </c>
      <c r="AT218" s="61">
        <v>0</v>
      </c>
      <c r="AU218" s="63">
        <f t="shared" si="124"/>
        <v>0</v>
      </c>
      <c r="AV218" s="61">
        <v>0</v>
      </c>
      <c r="AW218" s="63">
        <f t="shared" si="125"/>
        <v>0</v>
      </c>
      <c r="AX218" s="61">
        <v>0</v>
      </c>
      <c r="AY218" s="63">
        <f t="shared" si="126"/>
        <v>0</v>
      </c>
      <c r="AZ218" s="61">
        <v>0</v>
      </c>
      <c r="BA218" s="63">
        <f t="shared" si="127"/>
        <v>0</v>
      </c>
      <c r="BB218" s="61">
        <v>0</v>
      </c>
      <c r="BC218" s="63">
        <f t="shared" si="128"/>
        <v>0</v>
      </c>
      <c r="BD218" s="61">
        <v>0</v>
      </c>
      <c r="BE218" s="63">
        <f t="shared" si="129"/>
        <v>0</v>
      </c>
      <c r="BF218" s="61">
        <f t="shared" si="130"/>
        <v>0</v>
      </c>
      <c r="BG218" s="63">
        <f t="shared" si="131"/>
        <v>0</v>
      </c>
      <c r="BH218" s="45"/>
      <c r="BI218" s="144"/>
    </row>
    <row r="219" spans="1:61" ht="47.25" x14ac:dyDescent="0.45">
      <c r="A219" s="140">
        <v>3</v>
      </c>
      <c r="B219" s="141" t="s">
        <v>1477</v>
      </c>
      <c r="C219" s="142" t="s">
        <v>1478</v>
      </c>
      <c r="D219" s="143" t="str">
        <f t="shared" si="110"/>
        <v>3.2_5.4.14</v>
      </c>
      <c r="E219" s="56" t="s">
        <v>932</v>
      </c>
      <c r="F219" s="506" t="s">
        <v>1766</v>
      </c>
      <c r="G219" s="507" t="s">
        <v>39</v>
      </c>
      <c r="H219" s="507" t="s">
        <v>39</v>
      </c>
      <c r="I219" s="507" t="s">
        <v>1757</v>
      </c>
      <c r="J219" s="507" t="s">
        <v>39</v>
      </c>
      <c r="K219" s="507" t="s">
        <v>39</v>
      </c>
      <c r="L219" s="507" t="s">
        <v>1758</v>
      </c>
      <c r="M219" s="507" t="s">
        <v>79</v>
      </c>
      <c r="N219" s="507" t="s">
        <v>1757</v>
      </c>
      <c r="O219" s="57" t="s">
        <v>933</v>
      </c>
      <c r="P219" s="58" t="s">
        <v>846</v>
      </c>
      <c r="Q219" s="59" t="s">
        <v>934</v>
      </c>
      <c r="R219" s="60" t="s">
        <v>755</v>
      </c>
      <c r="S219" s="61">
        <v>146.99</v>
      </c>
      <c r="T219" s="62">
        <f>INDEX('BM MORRO DA CRUZ'!$P$6:$P$402,MATCH($O219,'BM MORRO DA CRUZ'!$K$6:$K$402,0))</f>
        <v>7.45</v>
      </c>
      <c r="U219" s="63">
        <f t="shared" si="111"/>
        <v>1095.08</v>
      </c>
      <c r="V219" s="61">
        <f>IFERROR(SUMIFS('01ª MC'!$W$1:$W$1840,'01ª MC'!$C$1:$C$1840,$D219),0)</f>
        <v>0</v>
      </c>
      <c r="W219" s="63">
        <f t="shared" si="112"/>
        <v>0</v>
      </c>
      <c r="X219" s="61">
        <v>0</v>
      </c>
      <c r="Y219" s="63">
        <f t="shared" si="113"/>
        <v>0</v>
      </c>
      <c r="Z219" s="61">
        <v>0</v>
      </c>
      <c r="AA219" s="63">
        <f t="shared" si="114"/>
        <v>0</v>
      </c>
      <c r="AB219" s="61">
        <v>0</v>
      </c>
      <c r="AC219" s="63">
        <f t="shared" si="115"/>
        <v>0</v>
      </c>
      <c r="AD219" s="61">
        <v>0</v>
      </c>
      <c r="AE219" s="63">
        <f t="shared" si="116"/>
        <v>0</v>
      </c>
      <c r="AF219" s="61">
        <v>0</v>
      </c>
      <c r="AG219" s="63">
        <f t="shared" si="117"/>
        <v>0</v>
      </c>
      <c r="AH219" s="61">
        <v>0</v>
      </c>
      <c r="AI219" s="63">
        <f t="shared" si="118"/>
        <v>0</v>
      </c>
      <c r="AJ219" s="61">
        <v>0</v>
      </c>
      <c r="AK219" s="63">
        <f t="shared" si="119"/>
        <v>0</v>
      </c>
      <c r="AL219" s="61">
        <v>0</v>
      </c>
      <c r="AM219" s="63">
        <f t="shared" si="120"/>
        <v>0</v>
      </c>
      <c r="AN219" s="61">
        <v>0</v>
      </c>
      <c r="AO219" s="63">
        <f t="shared" si="121"/>
        <v>0</v>
      </c>
      <c r="AP219" s="61">
        <v>0</v>
      </c>
      <c r="AQ219" s="63">
        <f t="shared" si="122"/>
        <v>0</v>
      </c>
      <c r="AR219" s="61">
        <v>0</v>
      </c>
      <c r="AS219" s="63">
        <f t="shared" si="123"/>
        <v>0</v>
      </c>
      <c r="AT219" s="61">
        <v>0</v>
      </c>
      <c r="AU219" s="63">
        <f t="shared" si="124"/>
        <v>0</v>
      </c>
      <c r="AV219" s="61">
        <v>0</v>
      </c>
      <c r="AW219" s="63">
        <f t="shared" si="125"/>
        <v>0</v>
      </c>
      <c r="AX219" s="61">
        <v>0</v>
      </c>
      <c r="AY219" s="63">
        <f t="shared" si="126"/>
        <v>0</v>
      </c>
      <c r="AZ219" s="61">
        <v>0</v>
      </c>
      <c r="BA219" s="63">
        <f t="shared" si="127"/>
        <v>0</v>
      </c>
      <c r="BB219" s="61">
        <v>0</v>
      </c>
      <c r="BC219" s="63">
        <f t="shared" si="128"/>
        <v>0</v>
      </c>
      <c r="BD219" s="61">
        <v>0</v>
      </c>
      <c r="BE219" s="63">
        <f t="shared" si="129"/>
        <v>0</v>
      </c>
      <c r="BF219" s="61">
        <f t="shared" si="130"/>
        <v>0</v>
      </c>
      <c r="BG219" s="63">
        <f t="shared" si="131"/>
        <v>0</v>
      </c>
      <c r="BH219" s="45"/>
      <c r="BI219" s="144"/>
    </row>
    <row r="220" spans="1:61" ht="47.25" x14ac:dyDescent="0.45">
      <c r="A220" s="140">
        <v>3</v>
      </c>
      <c r="B220" s="141" t="s">
        <v>1477</v>
      </c>
      <c r="C220" s="142" t="s">
        <v>1478</v>
      </c>
      <c r="D220" s="143" t="str">
        <f t="shared" si="110"/>
        <v>3.2_5.4.15</v>
      </c>
      <c r="E220" s="56" t="s">
        <v>935</v>
      </c>
      <c r="F220" s="506" t="s">
        <v>1767</v>
      </c>
      <c r="G220" s="507" t="s">
        <v>39</v>
      </c>
      <c r="H220" s="507" t="s">
        <v>39</v>
      </c>
      <c r="I220" s="507" t="s">
        <v>1757</v>
      </c>
      <c r="J220" s="507" t="s">
        <v>39</v>
      </c>
      <c r="K220" s="507" t="s">
        <v>39</v>
      </c>
      <c r="L220" s="507" t="s">
        <v>1762</v>
      </c>
      <c r="M220" s="507" t="s">
        <v>79</v>
      </c>
      <c r="N220" s="507" t="s">
        <v>1757</v>
      </c>
      <c r="O220" s="57" t="s">
        <v>936</v>
      </c>
      <c r="P220" s="58" t="s">
        <v>846</v>
      </c>
      <c r="Q220" s="59" t="s">
        <v>937</v>
      </c>
      <c r="R220" s="60" t="s">
        <v>755</v>
      </c>
      <c r="S220" s="61">
        <v>1935.4</v>
      </c>
      <c r="T220" s="62">
        <f>INDEX('BM MORRO DA CRUZ'!$P$6:$P$402,MATCH($O220,'BM MORRO DA CRUZ'!$K$6:$K$402,0))</f>
        <v>5.69</v>
      </c>
      <c r="U220" s="63">
        <f t="shared" si="111"/>
        <v>11012.43</v>
      </c>
      <c r="V220" s="61">
        <f>IFERROR(SUMIFS('01ª MC'!$W$1:$W$1840,'01ª MC'!$C$1:$C$1840,$D220),0)</f>
        <v>0</v>
      </c>
      <c r="W220" s="63">
        <f t="shared" si="112"/>
        <v>0</v>
      </c>
      <c r="X220" s="61">
        <v>0</v>
      </c>
      <c r="Y220" s="63">
        <f t="shared" si="113"/>
        <v>0</v>
      </c>
      <c r="Z220" s="61">
        <v>0</v>
      </c>
      <c r="AA220" s="63">
        <f t="shared" si="114"/>
        <v>0</v>
      </c>
      <c r="AB220" s="61">
        <v>0</v>
      </c>
      <c r="AC220" s="63">
        <f t="shared" si="115"/>
        <v>0</v>
      </c>
      <c r="AD220" s="61">
        <v>0</v>
      </c>
      <c r="AE220" s="63">
        <f t="shared" si="116"/>
        <v>0</v>
      </c>
      <c r="AF220" s="61">
        <v>0</v>
      </c>
      <c r="AG220" s="63">
        <f t="shared" si="117"/>
        <v>0</v>
      </c>
      <c r="AH220" s="61">
        <v>0</v>
      </c>
      <c r="AI220" s="63">
        <f t="shared" si="118"/>
        <v>0</v>
      </c>
      <c r="AJ220" s="61">
        <v>0</v>
      </c>
      <c r="AK220" s="63">
        <f t="shared" si="119"/>
        <v>0</v>
      </c>
      <c r="AL220" s="61">
        <v>0</v>
      </c>
      <c r="AM220" s="63">
        <f t="shared" si="120"/>
        <v>0</v>
      </c>
      <c r="AN220" s="61">
        <v>0</v>
      </c>
      <c r="AO220" s="63">
        <f t="shared" si="121"/>
        <v>0</v>
      </c>
      <c r="AP220" s="61">
        <v>0</v>
      </c>
      <c r="AQ220" s="63">
        <f t="shared" si="122"/>
        <v>0</v>
      </c>
      <c r="AR220" s="61">
        <v>0</v>
      </c>
      <c r="AS220" s="63">
        <f t="shared" si="123"/>
        <v>0</v>
      </c>
      <c r="AT220" s="61">
        <v>0</v>
      </c>
      <c r="AU220" s="63">
        <f t="shared" si="124"/>
        <v>0</v>
      </c>
      <c r="AV220" s="61">
        <v>0</v>
      </c>
      <c r="AW220" s="63">
        <f t="shared" si="125"/>
        <v>0</v>
      </c>
      <c r="AX220" s="61">
        <v>0</v>
      </c>
      <c r="AY220" s="63">
        <f t="shared" si="126"/>
        <v>0</v>
      </c>
      <c r="AZ220" s="61">
        <v>0</v>
      </c>
      <c r="BA220" s="63">
        <f t="shared" si="127"/>
        <v>0</v>
      </c>
      <c r="BB220" s="61">
        <v>0</v>
      </c>
      <c r="BC220" s="63">
        <f t="shared" si="128"/>
        <v>0</v>
      </c>
      <c r="BD220" s="61">
        <v>0</v>
      </c>
      <c r="BE220" s="63">
        <f t="shared" si="129"/>
        <v>0</v>
      </c>
      <c r="BF220" s="61">
        <f t="shared" si="130"/>
        <v>0</v>
      </c>
      <c r="BG220" s="63">
        <f t="shared" si="131"/>
        <v>0</v>
      </c>
      <c r="BH220" s="45"/>
      <c r="BI220" s="144"/>
    </row>
    <row r="221" spans="1:61" ht="47.25" x14ac:dyDescent="0.45">
      <c r="A221" s="140">
        <v>3</v>
      </c>
      <c r="B221" s="141" t="s">
        <v>1477</v>
      </c>
      <c r="C221" s="142" t="s">
        <v>1478</v>
      </c>
      <c r="D221" s="143" t="str">
        <f t="shared" si="110"/>
        <v>3.2_5.4.16</v>
      </c>
      <c r="E221" s="56" t="s">
        <v>938</v>
      </c>
      <c r="F221" s="506" t="s">
        <v>1768</v>
      </c>
      <c r="G221" s="507" t="s">
        <v>39</v>
      </c>
      <c r="H221" s="507" t="s">
        <v>39</v>
      </c>
      <c r="I221" s="507" t="s">
        <v>1757</v>
      </c>
      <c r="J221" s="507" t="s">
        <v>39</v>
      </c>
      <c r="K221" s="507" t="s">
        <v>39</v>
      </c>
      <c r="L221" s="507" t="s">
        <v>1764</v>
      </c>
      <c r="M221" s="507" t="s">
        <v>79</v>
      </c>
      <c r="N221" s="507" t="s">
        <v>1757</v>
      </c>
      <c r="O221" s="57" t="s">
        <v>939</v>
      </c>
      <c r="P221" s="58" t="s">
        <v>846</v>
      </c>
      <c r="Q221" s="59" t="s">
        <v>940</v>
      </c>
      <c r="R221" s="60" t="s">
        <v>755</v>
      </c>
      <c r="S221" s="61">
        <v>367.48</v>
      </c>
      <c r="T221" s="62">
        <f>INDEX('BM MORRO DA CRUZ'!$P$6:$P$402,MATCH($O221,'BM MORRO DA CRUZ'!$K$6:$K$402,0))</f>
        <v>7.12</v>
      </c>
      <c r="U221" s="63">
        <f t="shared" si="111"/>
        <v>2616.46</v>
      </c>
      <c r="V221" s="61">
        <f>IFERROR(SUMIFS('01ª MC'!$W$1:$W$1840,'01ª MC'!$C$1:$C$1840,$D221),0)</f>
        <v>0</v>
      </c>
      <c r="W221" s="63">
        <f t="shared" si="112"/>
        <v>0</v>
      </c>
      <c r="X221" s="61">
        <v>0</v>
      </c>
      <c r="Y221" s="63">
        <f t="shared" si="113"/>
        <v>0</v>
      </c>
      <c r="Z221" s="61">
        <v>0</v>
      </c>
      <c r="AA221" s="63">
        <f t="shared" si="114"/>
        <v>0</v>
      </c>
      <c r="AB221" s="61">
        <v>0</v>
      </c>
      <c r="AC221" s="63">
        <f t="shared" si="115"/>
        <v>0</v>
      </c>
      <c r="AD221" s="61">
        <v>0</v>
      </c>
      <c r="AE221" s="63">
        <f t="shared" si="116"/>
        <v>0</v>
      </c>
      <c r="AF221" s="61">
        <v>0</v>
      </c>
      <c r="AG221" s="63">
        <f t="shared" si="117"/>
        <v>0</v>
      </c>
      <c r="AH221" s="61">
        <v>0</v>
      </c>
      <c r="AI221" s="63">
        <f t="shared" si="118"/>
        <v>0</v>
      </c>
      <c r="AJ221" s="61">
        <v>0</v>
      </c>
      <c r="AK221" s="63">
        <f t="shared" si="119"/>
        <v>0</v>
      </c>
      <c r="AL221" s="61">
        <v>0</v>
      </c>
      <c r="AM221" s="63">
        <f t="shared" si="120"/>
        <v>0</v>
      </c>
      <c r="AN221" s="61">
        <v>0</v>
      </c>
      <c r="AO221" s="63">
        <f t="shared" si="121"/>
        <v>0</v>
      </c>
      <c r="AP221" s="61">
        <v>0</v>
      </c>
      <c r="AQ221" s="63">
        <f t="shared" si="122"/>
        <v>0</v>
      </c>
      <c r="AR221" s="61">
        <v>0</v>
      </c>
      <c r="AS221" s="63">
        <f t="shared" si="123"/>
        <v>0</v>
      </c>
      <c r="AT221" s="61">
        <v>0</v>
      </c>
      <c r="AU221" s="63">
        <f t="shared" si="124"/>
        <v>0</v>
      </c>
      <c r="AV221" s="61">
        <v>0</v>
      </c>
      <c r="AW221" s="63">
        <f t="shared" si="125"/>
        <v>0</v>
      </c>
      <c r="AX221" s="61">
        <v>0</v>
      </c>
      <c r="AY221" s="63">
        <f t="shared" si="126"/>
        <v>0</v>
      </c>
      <c r="AZ221" s="61">
        <v>0</v>
      </c>
      <c r="BA221" s="63">
        <f t="shared" si="127"/>
        <v>0</v>
      </c>
      <c r="BB221" s="61">
        <v>0</v>
      </c>
      <c r="BC221" s="63">
        <f t="shared" si="128"/>
        <v>0</v>
      </c>
      <c r="BD221" s="61">
        <v>0</v>
      </c>
      <c r="BE221" s="63">
        <f t="shared" si="129"/>
        <v>0</v>
      </c>
      <c r="BF221" s="61">
        <f t="shared" si="130"/>
        <v>0</v>
      </c>
      <c r="BG221" s="63">
        <f t="shared" si="131"/>
        <v>0</v>
      </c>
      <c r="BH221" s="45"/>
      <c r="BI221" s="144"/>
    </row>
    <row r="222" spans="1:61" ht="47.25" x14ac:dyDescent="0.45">
      <c r="A222" s="140">
        <v>3</v>
      </c>
      <c r="B222" s="141" t="s">
        <v>1477</v>
      </c>
      <c r="C222" s="142" t="s">
        <v>1478</v>
      </c>
      <c r="D222" s="143" t="str">
        <f t="shared" si="110"/>
        <v>3.2_5.4.18</v>
      </c>
      <c r="E222" s="56" t="s">
        <v>944</v>
      </c>
      <c r="F222" s="506" t="s">
        <v>1772</v>
      </c>
      <c r="G222" s="507" t="s">
        <v>39</v>
      </c>
      <c r="H222" s="507" t="s">
        <v>39</v>
      </c>
      <c r="I222" s="507" t="s">
        <v>1770</v>
      </c>
      <c r="J222" s="507" t="s">
        <v>39</v>
      </c>
      <c r="K222" s="507" t="s">
        <v>39</v>
      </c>
      <c r="L222" s="507" t="s">
        <v>1730</v>
      </c>
      <c r="M222" s="507" t="s">
        <v>79</v>
      </c>
      <c r="N222" s="507" t="s">
        <v>1770</v>
      </c>
      <c r="O222" s="57" t="s">
        <v>945</v>
      </c>
      <c r="P222" s="58" t="s">
        <v>846</v>
      </c>
      <c r="Q222" s="59" t="s">
        <v>946</v>
      </c>
      <c r="R222" s="60" t="s">
        <v>755</v>
      </c>
      <c r="S222" s="61">
        <v>1881.55</v>
      </c>
      <c r="T222" s="62">
        <f>INDEX('BM MORRO DA CRUZ'!$P$6:$P$402,MATCH($O222,'BM MORRO DA CRUZ'!$K$6:$K$402,0))</f>
        <v>20.12</v>
      </c>
      <c r="U222" s="63">
        <f t="shared" si="111"/>
        <v>37856.79</v>
      </c>
      <c r="V222" s="61">
        <f>IFERROR(SUMIFS('01ª MC'!$W$1:$W$1840,'01ª MC'!$C$1:$C$1840,$D222),0)</f>
        <v>0</v>
      </c>
      <c r="W222" s="63">
        <f t="shared" si="112"/>
        <v>0</v>
      </c>
      <c r="X222" s="61">
        <v>0</v>
      </c>
      <c r="Y222" s="63">
        <f t="shared" si="113"/>
        <v>0</v>
      </c>
      <c r="Z222" s="61">
        <v>0</v>
      </c>
      <c r="AA222" s="63">
        <f t="shared" si="114"/>
        <v>0</v>
      </c>
      <c r="AB222" s="61">
        <v>0</v>
      </c>
      <c r="AC222" s="63">
        <f t="shared" si="115"/>
        <v>0</v>
      </c>
      <c r="AD222" s="61">
        <v>0</v>
      </c>
      <c r="AE222" s="63">
        <f t="shared" si="116"/>
        <v>0</v>
      </c>
      <c r="AF222" s="61">
        <v>0</v>
      </c>
      <c r="AG222" s="63">
        <f t="shared" si="117"/>
        <v>0</v>
      </c>
      <c r="AH222" s="61">
        <v>0</v>
      </c>
      <c r="AI222" s="63">
        <f t="shared" si="118"/>
        <v>0</v>
      </c>
      <c r="AJ222" s="61">
        <v>0</v>
      </c>
      <c r="AK222" s="63">
        <f t="shared" si="119"/>
        <v>0</v>
      </c>
      <c r="AL222" s="61">
        <v>0</v>
      </c>
      <c r="AM222" s="63">
        <f t="shared" si="120"/>
        <v>0</v>
      </c>
      <c r="AN222" s="61">
        <v>0</v>
      </c>
      <c r="AO222" s="63">
        <f t="shared" si="121"/>
        <v>0</v>
      </c>
      <c r="AP222" s="61">
        <v>0</v>
      </c>
      <c r="AQ222" s="63">
        <f t="shared" si="122"/>
        <v>0</v>
      </c>
      <c r="AR222" s="61">
        <v>0</v>
      </c>
      <c r="AS222" s="63">
        <f t="shared" si="123"/>
        <v>0</v>
      </c>
      <c r="AT222" s="61">
        <v>0</v>
      </c>
      <c r="AU222" s="63">
        <f t="shared" si="124"/>
        <v>0</v>
      </c>
      <c r="AV222" s="61">
        <v>0</v>
      </c>
      <c r="AW222" s="63">
        <f t="shared" si="125"/>
        <v>0</v>
      </c>
      <c r="AX222" s="61">
        <v>0</v>
      </c>
      <c r="AY222" s="63">
        <f t="shared" si="126"/>
        <v>0</v>
      </c>
      <c r="AZ222" s="61">
        <v>0</v>
      </c>
      <c r="BA222" s="63">
        <f t="shared" si="127"/>
        <v>0</v>
      </c>
      <c r="BB222" s="61">
        <v>0</v>
      </c>
      <c r="BC222" s="63">
        <f t="shared" si="128"/>
        <v>0</v>
      </c>
      <c r="BD222" s="61">
        <v>0</v>
      </c>
      <c r="BE222" s="63">
        <f t="shared" si="129"/>
        <v>0</v>
      </c>
      <c r="BF222" s="61">
        <f t="shared" si="130"/>
        <v>0</v>
      </c>
      <c r="BG222" s="63">
        <f t="shared" si="131"/>
        <v>0</v>
      </c>
      <c r="BH222" s="45"/>
      <c r="BI222" s="144"/>
    </row>
    <row r="223" spans="1:61" ht="47.25" x14ac:dyDescent="0.45">
      <c r="A223" s="140">
        <v>3</v>
      </c>
      <c r="B223" s="141" t="s">
        <v>1477</v>
      </c>
      <c r="C223" s="142" t="s">
        <v>1478</v>
      </c>
      <c r="D223" s="143" t="str">
        <f t="shared" si="110"/>
        <v>3.2_5.4.19</v>
      </c>
      <c r="E223" s="56" t="s">
        <v>947</v>
      </c>
      <c r="F223" s="506" t="s">
        <v>1773</v>
      </c>
      <c r="G223" s="507" t="s">
        <v>39</v>
      </c>
      <c r="H223" s="507" t="s">
        <v>39</v>
      </c>
      <c r="I223" s="507" t="s">
        <v>1770</v>
      </c>
      <c r="J223" s="507" t="s">
        <v>39</v>
      </c>
      <c r="K223" s="507" t="s">
        <v>39</v>
      </c>
      <c r="L223" s="507" t="s">
        <v>1730</v>
      </c>
      <c r="M223" s="507" t="s">
        <v>79</v>
      </c>
      <c r="N223" s="507" t="s">
        <v>1770</v>
      </c>
      <c r="O223" s="57" t="s">
        <v>948</v>
      </c>
      <c r="P223" s="58" t="s">
        <v>846</v>
      </c>
      <c r="Q223" s="59" t="s">
        <v>949</v>
      </c>
      <c r="R223" s="60" t="s">
        <v>755</v>
      </c>
      <c r="S223" s="61">
        <v>600.29</v>
      </c>
      <c r="T223" s="62">
        <f>INDEX('BM MORRO DA CRUZ'!$P$6:$P$402,MATCH($O223,'BM MORRO DA CRUZ'!$K$6:$K$402,0))</f>
        <v>23.01</v>
      </c>
      <c r="U223" s="63">
        <f t="shared" si="111"/>
        <v>13812.67</v>
      </c>
      <c r="V223" s="61">
        <f>IFERROR(SUMIFS('01ª MC'!$W$1:$W$1840,'01ª MC'!$C$1:$C$1840,$D223),0)</f>
        <v>0</v>
      </c>
      <c r="W223" s="63">
        <f t="shared" si="112"/>
        <v>0</v>
      </c>
      <c r="X223" s="61">
        <v>0</v>
      </c>
      <c r="Y223" s="63">
        <f t="shared" si="113"/>
        <v>0</v>
      </c>
      <c r="Z223" s="61">
        <v>0</v>
      </c>
      <c r="AA223" s="63">
        <f t="shared" si="114"/>
        <v>0</v>
      </c>
      <c r="AB223" s="61">
        <v>0</v>
      </c>
      <c r="AC223" s="63">
        <f t="shared" si="115"/>
        <v>0</v>
      </c>
      <c r="AD223" s="61">
        <v>0</v>
      </c>
      <c r="AE223" s="63">
        <f t="shared" si="116"/>
        <v>0</v>
      </c>
      <c r="AF223" s="61">
        <v>0</v>
      </c>
      <c r="AG223" s="63">
        <f t="shared" si="117"/>
        <v>0</v>
      </c>
      <c r="AH223" s="61">
        <v>0</v>
      </c>
      <c r="AI223" s="63">
        <f t="shared" si="118"/>
        <v>0</v>
      </c>
      <c r="AJ223" s="61">
        <v>0</v>
      </c>
      <c r="AK223" s="63">
        <f t="shared" si="119"/>
        <v>0</v>
      </c>
      <c r="AL223" s="61">
        <v>0</v>
      </c>
      <c r="AM223" s="63">
        <f t="shared" si="120"/>
        <v>0</v>
      </c>
      <c r="AN223" s="61">
        <v>0</v>
      </c>
      <c r="AO223" s="63">
        <f t="shared" si="121"/>
        <v>0</v>
      </c>
      <c r="AP223" s="61">
        <v>0</v>
      </c>
      <c r="AQ223" s="63">
        <f t="shared" si="122"/>
        <v>0</v>
      </c>
      <c r="AR223" s="61">
        <v>0</v>
      </c>
      <c r="AS223" s="63">
        <f t="shared" si="123"/>
        <v>0</v>
      </c>
      <c r="AT223" s="61">
        <v>0</v>
      </c>
      <c r="AU223" s="63">
        <f t="shared" si="124"/>
        <v>0</v>
      </c>
      <c r="AV223" s="61">
        <v>0</v>
      </c>
      <c r="AW223" s="63">
        <f t="shared" si="125"/>
        <v>0</v>
      </c>
      <c r="AX223" s="61">
        <v>0</v>
      </c>
      <c r="AY223" s="63">
        <f t="shared" si="126"/>
        <v>0</v>
      </c>
      <c r="AZ223" s="61">
        <v>0</v>
      </c>
      <c r="BA223" s="63">
        <f t="shared" si="127"/>
        <v>0</v>
      </c>
      <c r="BB223" s="61">
        <v>0</v>
      </c>
      <c r="BC223" s="63">
        <f t="shared" si="128"/>
        <v>0</v>
      </c>
      <c r="BD223" s="61">
        <v>0</v>
      </c>
      <c r="BE223" s="63">
        <f t="shared" si="129"/>
        <v>0</v>
      </c>
      <c r="BF223" s="61">
        <f t="shared" si="130"/>
        <v>0</v>
      </c>
      <c r="BG223" s="63">
        <f t="shared" si="131"/>
        <v>0</v>
      </c>
      <c r="BH223" s="45"/>
      <c r="BI223" s="144"/>
    </row>
    <row r="224" spans="1:61" ht="26" customHeight="1" x14ac:dyDescent="0.45">
      <c r="A224" s="140">
        <v>3</v>
      </c>
      <c r="B224" s="141" t="s">
        <v>1477</v>
      </c>
      <c r="C224" s="142" t="s">
        <v>1478</v>
      </c>
      <c r="D224" s="143" t="str">
        <f t="shared" si="110"/>
        <v>3.2_5.4.22</v>
      </c>
      <c r="E224" s="56" t="s">
        <v>956</v>
      </c>
      <c r="F224" s="506" t="s">
        <v>1776</v>
      </c>
      <c r="G224" s="507" t="s">
        <v>39</v>
      </c>
      <c r="H224" s="507" t="s">
        <v>39</v>
      </c>
      <c r="I224" s="507" t="s">
        <v>1777</v>
      </c>
      <c r="J224" s="507" t="s">
        <v>39</v>
      </c>
      <c r="K224" s="507" t="s">
        <v>39</v>
      </c>
      <c r="L224" s="507" t="s">
        <v>39</v>
      </c>
      <c r="M224" s="507" t="s">
        <v>79</v>
      </c>
      <c r="N224" s="507" t="s">
        <v>1777</v>
      </c>
      <c r="O224" s="57" t="s">
        <v>957</v>
      </c>
      <c r="P224" s="58" t="s">
        <v>846</v>
      </c>
      <c r="Q224" s="59" t="s">
        <v>958</v>
      </c>
      <c r="R224" s="60" t="s">
        <v>959</v>
      </c>
      <c r="S224" s="61">
        <v>15004.44</v>
      </c>
      <c r="T224" s="62">
        <f>INDEX('BM MORRO DA CRUZ'!$P$6:$P$402,MATCH($O224,'BM MORRO DA CRUZ'!$K$6:$K$402,0))</f>
        <v>0.89</v>
      </c>
      <c r="U224" s="63">
        <f t="shared" si="111"/>
        <v>13353.95</v>
      </c>
      <c r="V224" s="61">
        <f>IFERROR(SUMIFS('01ª MC'!$W$1:$W$1840,'01ª MC'!$C$1:$C$1840,$D224),0)</f>
        <v>0</v>
      </c>
      <c r="W224" s="63">
        <f t="shared" si="112"/>
        <v>0</v>
      </c>
      <c r="X224" s="61">
        <v>0</v>
      </c>
      <c r="Y224" s="63">
        <f t="shared" si="113"/>
        <v>0</v>
      </c>
      <c r="Z224" s="61">
        <v>0</v>
      </c>
      <c r="AA224" s="63">
        <f t="shared" si="114"/>
        <v>0</v>
      </c>
      <c r="AB224" s="61">
        <v>0</v>
      </c>
      <c r="AC224" s="63">
        <f t="shared" si="115"/>
        <v>0</v>
      </c>
      <c r="AD224" s="61">
        <v>0</v>
      </c>
      <c r="AE224" s="63">
        <f t="shared" si="116"/>
        <v>0</v>
      </c>
      <c r="AF224" s="61">
        <v>0</v>
      </c>
      <c r="AG224" s="63">
        <f t="shared" si="117"/>
        <v>0</v>
      </c>
      <c r="AH224" s="61">
        <v>0</v>
      </c>
      <c r="AI224" s="63">
        <f t="shared" si="118"/>
        <v>0</v>
      </c>
      <c r="AJ224" s="61">
        <v>0</v>
      </c>
      <c r="AK224" s="63">
        <f t="shared" si="119"/>
        <v>0</v>
      </c>
      <c r="AL224" s="61">
        <v>0</v>
      </c>
      <c r="AM224" s="63">
        <f t="shared" si="120"/>
        <v>0</v>
      </c>
      <c r="AN224" s="61">
        <v>0</v>
      </c>
      <c r="AO224" s="63">
        <f t="shared" si="121"/>
        <v>0</v>
      </c>
      <c r="AP224" s="61">
        <v>0</v>
      </c>
      <c r="AQ224" s="63">
        <f t="shared" si="122"/>
        <v>0</v>
      </c>
      <c r="AR224" s="61">
        <v>0</v>
      </c>
      <c r="AS224" s="63">
        <f t="shared" si="123"/>
        <v>0</v>
      </c>
      <c r="AT224" s="61">
        <v>0</v>
      </c>
      <c r="AU224" s="63">
        <f t="shared" si="124"/>
        <v>0</v>
      </c>
      <c r="AV224" s="61">
        <v>0</v>
      </c>
      <c r="AW224" s="63">
        <f t="shared" si="125"/>
        <v>0</v>
      </c>
      <c r="AX224" s="61">
        <v>0</v>
      </c>
      <c r="AY224" s="63">
        <f t="shared" si="126"/>
        <v>0</v>
      </c>
      <c r="AZ224" s="61">
        <v>0</v>
      </c>
      <c r="BA224" s="63">
        <f t="shared" si="127"/>
        <v>0</v>
      </c>
      <c r="BB224" s="61">
        <v>0</v>
      </c>
      <c r="BC224" s="63">
        <f t="shared" si="128"/>
        <v>0</v>
      </c>
      <c r="BD224" s="61">
        <v>0</v>
      </c>
      <c r="BE224" s="63">
        <f t="shared" si="129"/>
        <v>0</v>
      </c>
      <c r="BF224" s="61">
        <f t="shared" si="130"/>
        <v>0</v>
      </c>
      <c r="BG224" s="63">
        <f t="shared" si="131"/>
        <v>0</v>
      </c>
      <c r="BH224" s="45"/>
      <c r="BI224" s="144"/>
    </row>
    <row r="225" spans="1:61" ht="26" customHeight="1" x14ac:dyDescent="0.45">
      <c r="A225" s="140">
        <v>3</v>
      </c>
      <c r="B225" s="141" t="s">
        <v>1477</v>
      </c>
      <c r="C225" s="142" t="s">
        <v>1478</v>
      </c>
      <c r="D225" s="143" t="str">
        <f t="shared" si="110"/>
        <v>3.2_5.4.23</v>
      </c>
      <c r="E225" s="56" t="s">
        <v>960</v>
      </c>
      <c r="F225" s="506" t="s">
        <v>1779</v>
      </c>
      <c r="G225" s="507" t="s">
        <v>39</v>
      </c>
      <c r="H225" s="507" t="s">
        <v>39</v>
      </c>
      <c r="I225" s="507" t="s">
        <v>1777</v>
      </c>
      <c r="J225" s="507" t="s">
        <v>39</v>
      </c>
      <c r="K225" s="507" t="s">
        <v>39</v>
      </c>
      <c r="L225" s="507" t="s">
        <v>39</v>
      </c>
      <c r="M225" s="507" t="s">
        <v>79</v>
      </c>
      <c r="N225" s="507" t="s">
        <v>1777</v>
      </c>
      <c r="O225" s="57" t="s">
        <v>961</v>
      </c>
      <c r="P225" s="58" t="s">
        <v>846</v>
      </c>
      <c r="Q225" s="59" t="s">
        <v>962</v>
      </c>
      <c r="R225" s="60" t="s">
        <v>959</v>
      </c>
      <c r="S225" s="61">
        <v>28854.7</v>
      </c>
      <c r="T225" s="62">
        <f>INDEX('BM MORRO DA CRUZ'!$P$6:$P$402,MATCH($O225,'BM MORRO DA CRUZ'!$K$6:$K$402,0))</f>
        <v>2.19</v>
      </c>
      <c r="U225" s="63">
        <f t="shared" si="111"/>
        <v>63191.79</v>
      </c>
      <c r="V225" s="61">
        <f>IFERROR(SUMIFS('01ª MC'!$W$1:$W$1840,'01ª MC'!$C$1:$C$1840,$D225),0)</f>
        <v>0</v>
      </c>
      <c r="W225" s="63">
        <f t="shared" si="112"/>
        <v>0</v>
      </c>
      <c r="X225" s="61">
        <v>0</v>
      </c>
      <c r="Y225" s="63">
        <f t="shared" si="113"/>
        <v>0</v>
      </c>
      <c r="Z225" s="61">
        <v>0</v>
      </c>
      <c r="AA225" s="63">
        <f t="shared" si="114"/>
        <v>0</v>
      </c>
      <c r="AB225" s="61">
        <v>0</v>
      </c>
      <c r="AC225" s="63">
        <f t="shared" si="115"/>
        <v>0</v>
      </c>
      <c r="AD225" s="61">
        <v>0</v>
      </c>
      <c r="AE225" s="63">
        <f t="shared" si="116"/>
        <v>0</v>
      </c>
      <c r="AF225" s="61">
        <v>0</v>
      </c>
      <c r="AG225" s="63">
        <f t="shared" si="117"/>
        <v>0</v>
      </c>
      <c r="AH225" s="61">
        <v>0</v>
      </c>
      <c r="AI225" s="63">
        <f t="shared" si="118"/>
        <v>0</v>
      </c>
      <c r="AJ225" s="61">
        <v>0</v>
      </c>
      <c r="AK225" s="63">
        <f t="shared" si="119"/>
        <v>0</v>
      </c>
      <c r="AL225" s="61">
        <v>0</v>
      </c>
      <c r="AM225" s="63">
        <f t="shared" si="120"/>
        <v>0</v>
      </c>
      <c r="AN225" s="61">
        <v>0</v>
      </c>
      <c r="AO225" s="63">
        <f t="shared" si="121"/>
        <v>0</v>
      </c>
      <c r="AP225" s="61">
        <v>0</v>
      </c>
      <c r="AQ225" s="63">
        <f t="shared" si="122"/>
        <v>0</v>
      </c>
      <c r="AR225" s="61">
        <v>0</v>
      </c>
      <c r="AS225" s="63">
        <f t="shared" si="123"/>
        <v>0</v>
      </c>
      <c r="AT225" s="61">
        <v>0</v>
      </c>
      <c r="AU225" s="63">
        <f t="shared" si="124"/>
        <v>0</v>
      </c>
      <c r="AV225" s="61">
        <v>0</v>
      </c>
      <c r="AW225" s="63">
        <f t="shared" si="125"/>
        <v>0</v>
      </c>
      <c r="AX225" s="61">
        <v>0</v>
      </c>
      <c r="AY225" s="63">
        <f t="shared" si="126"/>
        <v>0</v>
      </c>
      <c r="AZ225" s="61">
        <v>0</v>
      </c>
      <c r="BA225" s="63">
        <f t="shared" si="127"/>
        <v>0</v>
      </c>
      <c r="BB225" s="61">
        <v>0</v>
      </c>
      <c r="BC225" s="63">
        <f t="shared" si="128"/>
        <v>0</v>
      </c>
      <c r="BD225" s="61">
        <v>0</v>
      </c>
      <c r="BE225" s="63">
        <f t="shared" si="129"/>
        <v>0</v>
      </c>
      <c r="BF225" s="61">
        <f t="shared" si="130"/>
        <v>0</v>
      </c>
      <c r="BG225" s="63">
        <f t="shared" si="131"/>
        <v>0</v>
      </c>
      <c r="BH225" s="45"/>
      <c r="BI225" s="144"/>
    </row>
    <row r="226" spans="1:61" ht="19.5" customHeight="1" x14ac:dyDescent="0.45">
      <c r="A226" s="128">
        <v>3</v>
      </c>
      <c r="B226" s="129"/>
      <c r="C226" s="130"/>
      <c r="D226" s="131"/>
      <c r="E226" s="132" t="s">
        <v>973</v>
      </c>
      <c r="F226" s="515"/>
      <c r="G226" s="516"/>
      <c r="H226" s="516"/>
      <c r="I226" s="516"/>
      <c r="J226" s="516"/>
      <c r="K226" s="516"/>
      <c r="L226" s="516"/>
      <c r="M226" s="516"/>
      <c r="N226" s="516"/>
      <c r="O226" s="133" t="s">
        <v>974</v>
      </c>
      <c r="P226" s="134"/>
      <c r="Q226" s="135" t="s">
        <v>975</v>
      </c>
      <c r="R226" s="136"/>
      <c r="S226" s="137"/>
      <c r="T226" s="138"/>
      <c r="U226" s="139">
        <f>SUM(U227:U230)</f>
        <v>84517.66</v>
      </c>
      <c r="V226" s="137"/>
      <c r="W226" s="139">
        <f>SUM(W227:W230)</f>
        <v>0</v>
      </c>
      <c r="X226" s="137"/>
      <c r="Y226" s="139">
        <f>SUM(Y227:Y230)</f>
        <v>0</v>
      </c>
      <c r="Z226" s="137"/>
      <c r="AA226" s="139">
        <f>SUM(AA227:AA230)</f>
        <v>0</v>
      </c>
      <c r="AB226" s="137"/>
      <c r="AC226" s="139">
        <f>SUM(AC227:AC230)</f>
        <v>0</v>
      </c>
      <c r="AD226" s="137"/>
      <c r="AE226" s="139">
        <f>SUM(AE227:AE230)</f>
        <v>0</v>
      </c>
      <c r="AF226" s="137"/>
      <c r="AG226" s="139">
        <f>SUM(AG227:AG230)</f>
        <v>0</v>
      </c>
      <c r="AH226" s="137"/>
      <c r="AI226" s="139">
        <f>SUM(AI227:AI230)</f>
        <v>0</v>
      </c>
      <c r="AJ226" s="137"/>
      <c r="AK226" s="139">
        <f>SUM(AK227:AK230)</f>
        <v>0</v>
      </c>
      <c r="AL226" s="137"/>
      <c r="AM226" s="139">
        <f>SUM(AM227:AM230)</f>
        <v>0</v>
      </c>
      <c r="AN226" s="137"/>
      <c r="AO226" s="139">
        <f>SUM(AO227:AO230)</f>
        <v>0</v>
      </c>
      <c r="AP226" s="137"/>
      <c r="AQ226" s="139">
        <f>SUM(AQ227:AQ230)</f>
        <v>0</v>
      </c>
      <c r="AR226" s="137"/>
      <c r="AS226" s="139">
        <f>SUM(AS227:AS230)</f>
        <v>0</v>
      </c>
      <c r="AT226" s="137"/>
      <c r="AU226" s="139">
        <f>SUM(AU227:AU230)</f>
        <v>0</v>
      </c>
      <c r="AV226" s="137"/>
      <c r="AW226" s="139">
        <f>SUM(AW227:AW230)</f>
        <v>0</v>
      </c>
      <c r="AX226" s="137"/>
      <c r="AY226" s="139">
        <f>SUM(AY227:AY230)</f>
        <v>0</v>
      </c>
      <c r="AZ226" s="137"/>
      <c r="BA226" s="139">
        <f>SUM(BA227:BA230)</f>
        <v>0</v>
      </c>
      <c r="BB226" s="137"/>
      <c r="BC226" s="139">
        <f>SUM(BC227:BC230)</f>
        <v>0</v>
      </c>
      <c r="BD226" s="137"/>
      <c r="BE226" s="139">
        <f>SUM(BE227:BE230)</f>
        <v>0</v>
      </c>
      <c r="BF226" s="137"/>
      <c r="BG226" s="139">
        <f>SUM(BG227:BG230)</f>
        <v>0</v>
      </c>
      <c r="BH226" s="45"/>
    </row>
    <row r="227" spans="1:61" ht="26" customHeight="1" x14ac:dyDescent="0.45">
      <c r="A227" s="140">
        <v>3</v>
      </c>
      <c r="B227" s="141" t="s">
        <v>1477</v>
      </c>
      <c r="C227" s="142" t="s">
        <v>1478</v>
      </c>
      <c r="D227" s="143" t="str">
        <f>B227&amp;"_"&amp;E227</f>
        <v>3.2_5.5.1</v>
      </c>
      <c r="E227" s="56" t="s">
        <v>976</v>
      </c>
      <c r="F227" s="506" t="s">
        <v>1784</v>
      </c>
      <c r="G227" s="507" t="s">
        <v>39</v>
      </c>
      <c r="H227" s="507" t="s">
        <v>39</v>
      </c>
      <c r="I227" s="507" t="s">
        <v>1785</v>
      </c>
      <c r="J227" s="507" t="s">
        <v>39</v>
      </c>
      <c r="K227" s="507" t="s">
        <v>39</v>
      </c>
      <c r="L227" s="507" t="s">
        <v>1720</v>
      </c>
      <c r="M227" s="507" t="s">
        <v>79</v>
      </c>
      <c r="N227" s="507" t="s">
        <v>1786</v>
      </c>
      <c r="O227" s="57" t="s">
        <v>977</v>
      </c>
      <c r="P227" s="58" t="s">
        <v>846</v>
      </c>
      <c r="Q227" s="59" t="s">
        <v>978</v>
      </c>
      <c r="R227" s="60" t="s">
        <v>755</v>
      </c>
      <c r="S227" s="61">
        <v>2.14</v>
      </c>
      <c r="T227" s="62">
        <f>INDEX('BM MORRO DA CRUZ'!$P$6:$P$402,MATCH($O227,'BM MORRO DA CRUZ'!$K$6:$K$402,0))</f>
        <v>256.33999999999997</v>
      </c>
      <c r="U227" s="63">
        <f>ROUND(T227*$S227,2)</f>
        <v>548.57000000000005</v>
      </c>
      <c r="V227" s="61">
        <f>IFERROR(SUMIFS('01ª MC'!$W$1:$W$1840,'01ª MC'!$C$1:$C$1840,$D227),0)</f>
        <v>0</v>
      </c>
      <c r="W227" s="63">
        <f>ROUND(V227*$T227,2)</f>
        <v>0</v>
      </c>
      <c r="X227" s="61">
        <v>0</v>
      </c>
      <c r="Y227" s="63">
        <f>ROUND(X227*$T227,2)</f>
        <v>0</v>
      </c>
      <c r="Z227" s="61">
        <v>0</v>
      </c>
      <c r="AA227" s="63">
        <f>ROUND(Z227*$T227,2)</f>
        <v>0</v>
      </c>
      <c r="AB227" s="61">
        <v>0</v>
      </c>
      <c r="AC227" s="63">
        <f>ROUND(AB227*$T227,2)</f>
        <v>0</v>
      </c>
      <c r="AD227" s="61">
        <v>0</v>
      </c>
      <c r="AE227" s="63">
        <f>ROUND(AD227*$T227,2)</f>
        <v>0</v>
      </c>
      <c r="AF227" s="61">
        <v>0</v>
      </c>
      <c r="AG227" s="63">
        <f>ROUND(AF227*$T227,2)</f>
        <v>0</v>
      </c>
      <c r="AH227" s="61">
        <v>0</v>
      </c>
      <c r="AI227" s="63">
        <f>ROUND(AH227*$T227,2)</f>
        <v>0</v>
      </c>
      <c r="AJ227" s="61">
        <v>0</v>
      </c>
      <c r="AK227" s="63">
        <f>ROUND(AJ227*$T227,2)</f>
        <v>0</v>
      </c>
      <c r="AL227" s="61">
        <v>0</v>
      </c>
      <c r="AM227" s="63">
        <f>ROUND(AL227*$T227,2)</f>
        <v>0</v>
      </c>
      <c r="AN227" s="61">
        <v>0</v>
      </c>
      <c r="AO227" s="63">
        <f>ROUND(AN227*$T227,2)</f>
        <v>0</v>
      </c>
      <c r="AP227" s="61">
        <v>0</v>
      </c>
      <c r="AQ227" s="63">
        <f>ROUND(AP227*$T227,2)</f>
        <v>0</v>
      </c>
      <c r="AR227" s="61">
        <v>0</v>
      </c>
      <c r="AS227" s="63">
        <f>ROUND(AR227*$T227,2)</f>
        <v>0</v>
      </c>
      <c r="AT227" s="61">
        <v>0</v>
      </c>
      <c r="AU227" s="63">
        <f>ROUND(AT227*$T227,2)</f>
        <v>0</v>
      </c>
      <c r="AV227" s="61">
        <v>0</v>
      </c>
      <c r="AW227" s="63">
        <f>ROUND(AV227*$T227,2)</f>
        <v>0</v>
      </c>
      <c r="AX227" s="61">
        <v>0</v>
      </c>
      <c r="AY227" s="63">
        <f>ROUND(AX227*$T227,2)</f>
        <v>0</v>
      </c>
      <c r="AZ227" s="61">
        <v>0</v>
      </c>
      <c r="BA227" s="63">
        <f>ROUND(AZ227*$T227,2)</f>
        <v>0</v>
      </c>
      <c r="BB227" s="61">
        <v>0</v>
      </c>
      <c r="BC227" s="63">
        <f>ROUND(BB227*$T227,2)</f>
        <v>0</v>
      </c>
      <c r="BD227" s="61">
        <v>0</v>
      </c>
      <c r="BE227" s="63">
        <f>ROUND(BD227*$T227,2)</f>
        <v>0</v>
      </c>
      <c r="BF227" s="61">
        <f>IFERROR(SUMIFS($V227:$BE227,$V$5:$BE$5,$BF$5),0)</f>
        <v>0</v>
      </c>
      <c r="BG227" s="63">
        <f>SUMIFS($V227:$BE227,$V$5:$BE$5,$W$5)</f>
        <v>0</v>
      </c>
      <c r="BH227" s="45"/>
      <c r="BI227" s="144"/>
    </row>
    <row r="228" spans="1:61" ht="35.65" x14ac:dyDescent="0.45">
      <c r="A228" s="140">
        <v>3</v>
      </c>
      <c r="B228" s="141" t="s">
        <v>1477</v>
      </c>
      <c r="C228" s="142" t="s">
        <v>1478</v>
      </c>
      <c r="D228" s="143" t="str">
        <f>B228&amp;"_"&amp;E228</f>
        <v>3.2_5.5.2</v>
      </c>
      <c r="E228" s="56" t="s">
        <v>979</v>
      </c>
      <c r="F228" s="506" t="s">
        <v>1787</v>
      </c>
      <c r="G228" s="507" t="s">
        <v>39</v>
      </c>
      <c r="H228" s="507" t="s">
        <v>39</v>
      </c>
      <c r="I228" s="507" t="s">
        <v>1788</v>
      </c>
      <c r="J228" s="507" t="s">
        <v>39</v>
      </c>
      <c r="K228" s="507" t="s">
        <v>39</v>
      </c>
      <c r="L228" s="507" t="s">
        <v>39</v>
      </c>
      <c r="M228" s="507" t="s">
        <v>79</v>
      </c>
      <c r="N228" s="507" t="s">
        <v>1788</v>
      </c>
      <c r="O228" s="57" t="s">
        <v>980</v>
      </c>
      <c r="P228" s="58" t="s">
        <v>846</v>
      </c>
      <c r="Q228" s="59" t="s">
        <v>981</v>
      </c>
      <c r="R228" s="60" t="s">
        <v>792</v>
      </c>
      <c r="S228" s="61">
        <v>2762.08</v>
      </c>
      <c r="T228" s="62">
        <f>INDEX('BM MORRO DA CRUZ'!$P$6:$P$402,MATCH($O228,'BM MORRO DA CRUZ'!$K$6:$K$402,0))</f>
        <v>29.41</v>
      </c>
      <c r="U228" s="63">
        <f>ROUND(T228*$S228,2)</f>
        <v>81232.77</v>
      </c>
      <c r="V228" s="61">
        <f>IFERROR(SUMIFS('01ª MC'!$W$1:$W$1840,'01ª MC'!$C$1:$C$1840,$D228),0)</f>
        <v>0</v>
      </c>
      <c r="W228" s="63">
        <f>ROUND(V228*$T228,2)</f>
        <v>0</v>
      </c>
      <c r="X228" s="61">
        <v>0</v>
      </c>
      <c r="Y228" s="63">
        <f>ROUND(X228*$T228,2)</f>
        <v>0</v>
      </c>
      <c r="Z228" s="61">
        <v>0</v>
      </c>
      <c r="AA228" s="63">
        <f>ROUND(Z228*$T228,2)</f>
        <v>0</v>
      </c>
      <c r="AB228" s="61">
        <v>0</v>
      </c>
      <c r="AC228" s="63">
        <f>ROUND(AB228*$T228,2)</f>
        <v>0</v>
      </c>
      <c r="AD228" s="61">
        <v>0</v>
      </c>
      <c r="AE228" s="63">
        <f>ROUND(AD228*$T228,2)</f>
        <v>0</v>
      </c>
      <c r="AF228" s="61">
        <v>0</v>
      </c>
      <c r="AG228" s="63">
        <f>ROUND(AF228*$T228,2)</f>
        <v>0</v>
      </c>
      <c r="AH228" s="61">
        <v>0</v>
      </c>
      <c r="AI228" s="63">
        <f>ROUND(AH228*$T228,2)</f>
        <v>0</v>
      </c>
      <c r="AJ228" s="61">
        <v>0</v>
      </c>
      <c r="AK228" s="63">
        <f>ROUND(AJ228*$T228,2)</f>
        <v>0</v>
      </c>
      <c r="AL228" s="61">
        <v>0</v>
      </c>
      <c r="AM228" s="63">
        <f>ROUND(AL228*$T228,2)</f>
        <v>0</v>
      </c>
      <c r="AN228" s="61">
        <v>0</v>
      </c>
      <c r="AO228" s="63">
        <f>ROUND(AN228*$T228,2)</f>
        <v>0</v>
      </c>
      <c r="AP228" s="61">
        <v>0</v>
      </c>
      <c r="AQ228" s="63">
        <f>ROUND(AP228*$T228,2)</f>
        <v>0</v>
      </c>
      <c r="AR228" s="61">
        <v>0</v>
      </c>
      <c r="AS228" s="63">
        <f>ROUND(AR228*$T228,2)</f>
        <v>0</v>
      </c>
      <c r="AT228" s="61">
        <v>0</v>
      </c>
      <c r="AU228" s="63">
        <f>ROUND(AT228*$T228,2)</f>
        <v>0</v>
      </c>
      <c r="AV228" s="61">
        <v>0</v>
      </c>
      <c r="AW228" s="63">
        <f>ROUND(AV228*$T228,2)</f>
        <v>0</v>
      </c>
      <c r="AX228" s="61">
        <v>0</v>
      </c>
      <c r="AY228" s="63">
        <f>ROUND(AX228*$T228,2)</f>
        <v>0</v>
      </c>
      <c r="AZ228" s="61">
        <v>0</v>
      </c>
      <c r="BA228" s="63">
        <f>ROUND(AZ228*$T228,2)</f>
        <v>0</v>
      </c>
      <c r="BB228" s="61">
        <v>0</v>
      </c>
      <c r="BC228" s="63">
        <f>ROUND(BB228*$T228,2)</f>
        <v>0</v>
      </c>
      <c r="BD228" s="61">
        <v>0</v>
      </c>
      <c r="BE228" s="63">
        <f>ROUND(BD228*$T228,2)</f>
        <v>0</v>
      </c>
      <c r="BF228" s="61">
        <f>IFERROR(SUMIFS($V228:$BE228,$V$5:$BE$5,$BF$5),0)</f>
        <v>0</v>
      </c>
      <c r="BG228" s="63">
        <f>SUMIFS($V228:$BE228,$V$5:$BE$5,$W$5)</f>
        <v>0</v>
      </c>
      <c r="BH228" s="45"/>
      <c r="BI228" s="144"/>
    </row>
    <row r="229" spans="1:61" ht="26" customHeight="1" x14ac:dyDescent="0.45">
      <c r="A229" s="140">
        <v>3</v>
      </c>
      <c r="B229" s="141" t="s">
        <v>1477</v>
      </c>
      <c r="C229" s="142" t="s">
        <v>1478</v>
      </c>
      <c r="D229" s="143" t="str">
        <f>B229&amp;"_"&amp;E229</f>
        <v>3.2_5.5.5</v>
      </c>
      <c r="E229" s="56" t="s">
        <v>988</v>
      </c>
      <c r="F229" s="506" t="s">
        <v>1793</v>
      </c>
      <c r="G229" s="507" t="s">
        <v>39</v>
      </c>
      <c r="H229" s="507" t="s">
        <v>39</v>
      </c>
      <c r="I229" s="507" t="s">
        <v>1791</v>
      </c>
      <c r="J229" s="507" t="s">
        <v>39</v>
      </c>
      <c r="K229" s="507" t="s">
        <v>39</v>
      </c>
      <c r="L229" s="507" t="s">
        <v>1730</v>
      </c>
      <c r="M229" s="507" t="s">
        <v>79</v>
      </c>
      <c r="N229" s="507" t="s">
        <v>1792</v>
      </c>
      <c r="O229" s="57" t="s">
        <v>989</v>
      </c>
      <c r="P229" s="58" t="s">
        <v>846</v>
      </c>
      <c r="Q229" s="59" t="s">
        <v>990</v>
      </c>
      <c r="R229" s="60" t="s">
        <v>792</v>
      </c>
      <c r="S229" s="61">
        <v>379.9</v>
      </c>
      <c r="T229" s="62">
        <f>INDEX('BM MORRO DA CRUZ'!$P$6:$P$402,MATCH($O229,'BM MORRO DA CRUZ'!$K$6:$K$402,0))</f>
        <v>7.03</v>
      </c>
      <c r="U229" s="63">
        <f>ROUND(T229*$S229,2)</f>
        <v>2670.7</v>
      </c>
      <c r="V229" s="61">
        <f>IFERROR(SUMIFS('01ª MC'!$W$1:$W$1840,'01ª MC'!$C$1:$C$1840,$D229),0)</f>
        <v>0</v>
      </c>
      <c r="W229" s="63">
        <f>ROUND(V229*$T229,2)</f>
        <v>0</v>
      </c>
      <c r="X229" s="61">
        <v>0</v>
      </c>
      <c r="Y229" s="63">
        <f>ROUND(X229*$T229,2)</f>
        <v>0</v>
      </c>
      <c r="Z229" s="61">
        <v>0</v>
      </c>
      <c r="AA229" s="63">
        <f>ROUND(Z229*$T229,2)</f>
        <v>0</v>
      </c>
      <c r="AB229" s="61">
        <v>0</v>
      </c>
      <c r="AC229" s="63">
        <f>ROUND(AB229*$T229,2)</f>
        <v>0</v>
      </c>
      <c r="AD229" s="61">
        <v>0</v>
      </c>
      <c r="AE229" s="63">
        <f>ROUND(AD229*$T229,2)</f>
        <v>0</v>
      </c>
      <c r="AF229" s="61">
        <v>0</v>
      </c>
      <c r="AG229" s="63">
        <f>ROUND(AF229*$T229,2)</f>
        <v>0</v>
      </c>
      <c r="AH229" s="61">
        <v>0</v>
      </c>
      <c r="AI229" s="63">
        <f>ROUND(AH229*$T229,2)</f>
        <v>0</v>
      </c>
      <c r="AJ229" s="61">
        <v>0</v>
      </c>
      <c r="AK229" s="63">
        <f>ROUND(AJ229*$T229,2)</f>
        <v>0</v>
      </c>
      <c r="AL229" s="61">
        <v>0</v>
      </c>
      <c r="AM229" s="63">
        <f>ROUND(AL229*$T229,2)</f>
        <v>0</v>
      </c>
      <c r="AN229" s="61">
        <v>0</v>
      </c>
      <c r="AO229" s="63">
        <f>ROUND(AN229*$T229,2)</f>
        <v>0</v>
      </c>
      <c r="AP229" s="61">
        <v>0</v>
      </c>
      <c r="AQ229" s="63">
        <f>ROUND(AP229*$T229,2)</f>
        <v>0</v>
      </c>
      <c r="AR229" s="61">
        <v>0</v>
      </c>
      <c r="AS229" s="63">
        <f>ROUND(AR229*$T229,2)</f>
        <v>0</v>
      </c>
      <c r="AT229" s="61">
        <v>0</v>
      </c>
      <c r="AU229" s="63">
        <f>ROUND(AT229*$T229,2)</f>
        <v>0</v>
      </c>
      <c r="AV229" s="61">
        <v>0</v>
      </c>
      <c r="AW229" s="63">
        <f>ROUND(AV229*$T229,2)</f>
        <v>0</v>
      </c>
      <c r="AX229" s="61">
        <v>0</v>
      </c>
      <c r="AY229" s="63">
        <f>ROUND(AX229*$T229,2)</f>
        <v>0</v>
      </c>
      <c r="AZ229" s="61">
        <v>0</v>
      </c>
      <c r="BA229" s="63">
        <f>ROUND(AZ229*$T229,2)</f>
        <v>0</v>
      </c>
      <c r="BB229" s="61">
        <v>0</v>
      </c>
      <c r="BC229" s="63">
        <f>ROUND(BB229*$T229,2)</f>
        <v>0</v>
      </c>
      <c r="BD229" s="61">
        <v>0</v>
      </c>
      <c r="BE229" s="63">
        <f>ROUND(BD229*$T229,2)</f>
        <v>0</v>
      </c>
      <c r="BF229" s="61">
        <f>IFERROR(SUMIFS($V229:$BE229,$V$5:$BE$5,$BF$5),0)</f>
        <v>0</v>
      </c>
      <c r="BG229" s="63">
        <f>SUMIFS($V229:$BE229,$V$5:$BE$5,$W$5)</f>
        <v>0</v>
      </c>
      <c r="BH229" s="45"/>
      <c r="BI229" s="144"/>
    </row>
    <row r="230" spans="1:61" ht="26" customHeight="1" x14ac:dyDescent="0.45">
      <c r="A230" s="140">
        <v>3</v>
      </c>
      <c r="B230" s="141" t="s">
        <v>1477</v>
      </c>
      <c r="C230" s="142" t="s">
        <v>1478</v>
      </c>
      <c r="D230" s="143" t="str">
        <f>B230&amp;"_"&amp;E230</f>
        <v>3.2_5.5.6</v>
      </c>
      <c r="E230" s="56" t="s">
        <v>991</v>
      </c>
      <c r="F230" s="506" t="s">
        <v>1794</v>
      </c>
      <c r="G230" s="507" t="s">
        <v>1795</v>
      </c>
      <c r="H230" s="507" t="s">
        <v>39</v>
      </c>
      <c r="I230" s="507" t="s">
        <v>540</v>
      </c>
      <c r="J230" s="507" t="s">
        <v>39</v>
      </c>
      <c r="K230" s="507">
        <v>100</v>
      </c>
      <c r="L230" s="507" t="s">
        <v>257</v>
      </c>
      <c r="M230" s="507" t="s">
        <v>79</v>
      </c>
      <c r="N230" s="507" t="s">
        <v>540</v>
      </c>
      <c r="O230" s="57" t="s">
        <v>992</v>
      </c>
      <c r="P230" s="58" t="s">
        <v>846</v>
      </c>
      <c r="Q230" s="59" t="s">
        <v>993</v>
      </c>
      <c r="R230" s="60" t="s">
        <v>367</v>
      </c>
      <c r="S230" s="61">
        <v>1</v>
      </c>
      <c r="T230" s="62">
        <f>INDEX('BM MORRO DA CRUZ'!$P$6:$P$402,MATCH($O230,'BM MORRO DA CRUZ'!$K$6:$K$402,0))</f>
        <v>65.62</v>
      </c>
      <c r="U230" s="63">
        <f>ROUND(T230*$S230,2)</f>
        <v>65.62</v>
      </c>
      <c r="V230" s="61">
        <f>IFERROR(SUMIFS('01ª MC'!$W$1:$W$1840,'01ª MC'!$C$1:$C$1840,$D230),0)</f>
        <v>0</v>
      </c>
      <c r="W230" s="63">
        <f>ROUND(V230*$T230,2)</f>
        <v>0</v>
      </c>
      <c r="X230" s="61">
        <v>0</v>
      </c>
      <c r="Y230" s="63">
        <f>ROUND(X230*$T230,2)</f>
        <v>0</v>
      </c>
      <c r="Z230" s="61">
        <v>0</v>
      </c>
      <c r="AA230" s="63">
        <f>ROUND(Z230*$T230,2)</f>
        <v>0</v>
      </c>
      <c r="AB230" s="61">
        <v>0</v>
      </c>
      <c r="AC230" s="63">
        <f>ROUND(AB230*$T230,2)</f>
        <v>0</v>
      </c>
      <c r="AD230" s="61">
        <v>0</v>
      </c>
      <c r="AE230" s="63">
        <f>ROUND(AD230*$T230,2)</f>
        <v>0</v>
      </c>
      <c r="AF230" s="61">
        <v>0</v>
      </c>
      <c r="AG230" s="63">
        <f>ROUND(AF230*$T230,2)</f>
        <v>0</v>
      </c>
      <c r="AH230" s="61">
        <v>0</v>
      </c>
      <c r="AI230" s="63">
        <f>ROUND(AH230*$T230,2)</f>
        <v>0</v>
      </c>
      <c r="AJ230" s="61">
        <v>0</v>
      </c>
      <c r="AK230" s="63">
        <f>ROUND(AJ230*$T230,2)</f>
        <v>0</v>
      </c>
      <c r="AL230" s="61">
        <v>0</v>
      </c>
      <c r="AM230" s="63">
        <f>ROUND(AL230*$T230,2)</f>
        <v>0</v>
      </c>
      <c r="AN230" s="61">
        <v>0</v>
      </c>
      <c r="AO230" s="63">
        <f>ROUND(AN230*$T230,2)</f>
        <v>0</v>
      </c>
      <c r="AP230" s="61">
        <v>0</v>
      </c>
      <c r="AQ230" s="63">
        <f>ROUND(AP230*$T230,2)</f>
        <v>0</v>
      </c>
      <c r="AR230" s="61">
        <v>0</v>
      </c>
      <c r="AS230" s="63">
        <f>ROUND(AR230*$T230,2)</f>
        <v>0</v>
      </c>
      <c r="AT230" s="61">
        <v>0</v>
      </c>
      <c r="AU230" s="63">
        <f>ROUND(AT230*$T230,2)</f>
        <v>0</v>
      </c>
      <c r="AV230" s="61">
        <v>0</v>
      </c>
      <c r="AW230" s="63">
        <f>ROUND(AV230*$T230,2)</f>
        <v>0</v>
      </c>
      <c r="AX230" s="61">
        <v>0</v>
      </c>
      <c r="AY230" s="63">
        <f>ROUND(AX230*$T230,2)</f>
        <v>0</v>
      </c>
      <c r="AZ230" s="61">
        <v>0</v>
      </c>
      <c r="BA230" s="63">
        <f>ROUND(AZ230*$T230,2)</f>
        <v>0</v>
      </c>
      <c r="BB230" s="61">
        <v>0</v>
      </c>
      <c r="BC230" s="63">
        <f>ROUND(BB230*$T230,2)</f>
        <v>0</v>
      </c>
      <c r="BD230" s="61">
        <v>0</v>
      </c>
      <c r="BE230" s="63">
        <f>ROUND(BD230*$T230,2)</f>
        <v>0</v>
      </c>
      <c r="BF230" s="61">
        <f>IFERROR(SUMIFS($V230:$BE230,$V$5:$BE$5,$BF$5),0)</f>
        <v>0</v>
      </c>
      <c r="BG230" s="63">
        <f>SUMIFS($V230:$BE230,$V$5:$BE$5,$W$5)</f>
        <v>0</v>
      </c>
      <c r="BH230" s="45"/>
      <c r="BI230" s="144"/>
    </row>
    <row r="231" spans="1:61" ht="19.5" customHeight="1" x14ac:dyDescent="0.45">
      <c r="A231" s="128">
        <v>3</v>
      </c>
      <c r="B231" s="129"/>
      <c r="C231" s="130"/>
      <c r="D231" s="131"/>
      <c r="E231" s="132" t="s">
        <v>994</v>
      </c>
      <c r="F231" s="515"/>
      <c r="G231" s="516"/>
      <c r="H231" s="516"/>
      <c r="I231" s="516"/>
      <c r="J231" s="516"/>
      <c r="K231" s="516"/>
      <c r="L231" s="516"/>
      <c r="M231" s="516"/>
      <c r="N231" s="516"/>
      <c r="O231" s="133" t="s">
        <v>995</v>
      </c>
      <c r="P231" s="134"/>
      <c r="Q231" s="135" t="s">
        <v>996</v>
      </c>
      <c r="R231" s="136"/>
      <c r="S231" s="137"/>
      <c r="T231" s="138"/>
      <c r="U231" s="139">
        <f>SUM(U232:U232)</f>
        <v>465.77</v>
      </c>
      <c r="V231" s="137"/>
      <c r="W231" s="139">
        <f>SUM(W232:W232)</f>
        <v>0</v>
      </c>
      <c r="X231" s="137"/>
      <c r="Y231" s="139">
        <f>SUM(Y232:Y232)</f>
        <v>0</v>
      </c>
      <c r="Z231" s="137"/>
      <c r="AA231" s="139">
        <f>SUM(AA232:AA232)</f>
        <v>0</v>
      </c>
      <c r="AB231" s="137"/>
      <c r="AC231" s="139">
        <f>SUM(AC232:AC232)</f>
        <v>0</v>
      </c>
      <c r="AD231" s="137"/>
      <c r="AE231" s="139">
        <f>SUM(AE232:AE232)</f>
        <v>0</v>
      </c>
      <c r="AF231" s="137"/>
      <c r="AG231" s="139">
        <f>SUM(AG232:AG232)</f>
        <v>0</v>
      </c>
      <c r="AH231" s="137"/>
      <c r="AI231" s="139">
        <f>SUM(AI232:AI232)</f>
        <v>0</v>
      </c>
      <c r="AJ231" s="137"/>
      <c r="AK231" s="139">
        <f>SUM(AK232:AK232)</f>
        <v>0</v>
      </c>
      <c r="AL231" s="137"/>
      <c r="AM231" s="139">
        <f>SUM(AM232:AM232)</f>
        <v>0</v>
      </c>
      <c r="AN231" s="137"/>
      <c r="AO231" s="139">
        <f>SUM(AO232:AO232)</f>
        <v>0</v>
      </c>
      <c r="AP231" s="137"/>
      <c r="AQ231" s="139">
        <f>SUM(AQ232:AQ232)</f>
        <v>0</v>
      </c>
      <c r="AR231" s="137"/>
      <c r="AS231" s="139">
        <f>SUM(AS232:AS232)</f>
        <v>0</v>
      </c>
      <c r="AT231" s="137"/>
      <c r="AU231" s="139">
        <f>SUM(AU232:AU232)</f>
        <v>0</v>
      </c>
      <c r="AV231" s="137"/>
      <c r="AW231" s="139">
        <f>SUM(AW232:AW232)</f>
        <v>0</v>
      </c>
      <c r="AX231" s="137"/>
      <c r="AY231" s="139">
        <f>SUM(AY232:AY232)</f>
        <v>0</v>
      </c>
      <c r="AZ231" s="137"/>
      <c r="BA231" s="139">
        <f>SUM(BA232:BA232)</f>
        <v>0</v>
      </c>
      <c r="BB231" s="137"/>
      <c r="BC231" s="139">
        <f>SUM(BC232:BC232)</f>
        <v>0</v>
      </c>
      <c r="BD231" s="137"/>
      <c r="BE231" s="139">
        <f>SUM(BE232:BE232)</f>
        <v>0</v>
      </c>
      <c r="BF231" s="137"/>
      <c r="BG231" s="139">
        <f>SUM(BG232:BG232)</f>
        <v>0</v>
      </c>
      <c r="BH231" s="45"/>
    </row>
    <row r="232" spans="1:61" ht="26" customHeight="1" x14ac:dyDescent="0.45">
      <c r="A232" s="140">
        <v>3</v>
      </c>
      <c r="B232" s="141" t="s">
        <v>1477</v>
      </c>
      <c r="C232" s="142" t="s">
        <v>1478</v>
      </c>
      <c r="D232" s="143" t="str">
        <f>B232&amp;"_"&amp;E232</f>
        <v>3.2_5.6.1</v>
      </c>
      <c r="E232" s="56" t="s">
        <v>997</v>
      </c>
      <c r="F232" s="506" t="s">
        <v>1796</v>
      </c>
      <c r="G232" s="507" t="s">
        <v>39</v>
      </c>
      <c r="H232" s="507" t="s">
        <v>39</v>
      </c>
      <c r="I232" s="507" t="s">
        <v>1797</v>
      </c>
      <c r="J232" s="507" t="s">
        <v>39</v>
      </c>
      <c r="K232" s="507" t="s">
        <v>39</v>
      </c>
      <c r="L232" s="507" t="s">
        <v>39</v>
      </c>
      <c r="M232" s="507" t="s">
        <v>79</v>
      </c>
      <c r="N232" s="507" t="s">
        <v>1797</v>
      </c>
      <c r="O232" s="57" t="s">
        <v>998</v>
      </c>
      <c r="P232" s="58" t="s">
        <v>846</v>
      </c>
      <c r="Q232" s="59" t="s">
        <v>999</v>
      </c>
      <c r="R232" s="60" t="s">
        <v>1000</v>
      </c>
      <c r="S232" s="61">
        <v>14.27</v>
      </c>
      <c r="T232" s="62">
        <f>INDEX('BM MORRO DA CRUZ'!$P$6:$P$402,MATCH($O232,'BM MORRO DA CRUZ'!$K$6:$K$402,0))</f>
        <v>32.64</v>
      </c>
      <c r="U232" s="63">
        <f>ROUND(T232*$S232,2)</f>
        <v>465.77</v>
      </c>
      <c r="V232" s="61">
        <f>IFERROR(SUMIFS('01ª MC'!$W$1:$W$1840,'01ª MC'!$C$1:$C$1840,$D232),0)</f>
        <v>0</v>
      </c>
      <c r="W232" s="63">
        <f>ROUND(V232*$T232,2)</f>
        <v>0</v>
      </c>
      <c r="X232" s="61">
        <v>0</v>
      </c>
      <c r="Y232" s="63">
        <f>ROUND(X232*$T232,2)</f>
        <v>0</v>
      </c>
      <c r="Z232" s="61">
        <v>0</v>
      </c>
      <c r="AA232" s="63">
        <f>ROUND(Z232*$T232,2)</f>
        <v>0</v>
      </c>
      <c r="AB232" s="61">
        <v>0</v>
      </c>
      <c r="AC232" s="63">
        <f>ROUND(AB232*$T232,2)</f>
        <v>0</v>
      </c>
      <c r="AD232" s="61">
        <v>0</v>
      </c>
      <c r="AE232" s="63">
        <f>ROUND(AD232*$T232,2)</f>
        <v>0</v>
      </c>
      <c r="AF232" s="61">
        <v>0</v>
      </c>
      <c r="AG232" s="63">
        <f>ROUND(AF232*$T232,2)</f>
        <v>0</v>
      </c>
      <c r="AH232" s="61">
        <v>0</v>
      </c>
      <c r="AI232" s="63">
        <f>ROUND(AH232*$T232,2)</f>
        <v>0</v>
      </c>
      <c r="AJ232" s="61">
        <v>0</v>
      </c>
      <c r="AK232" s="63">
        <f>ROUND(AJ232*$T232,2)</f>
        <v>0</v>
      </c>
      <c r="AL232" s="61">
        <v>0</v>
      </c>
      <c r="AM232" s="63">
        <f>ROUND(AL232*$T232,2)</f>
        <v>0</v>
      </c>
      <c r="AN232" s="61">
        <v>0</v>
      </c>
      <c r="AO232" s="63">
        <f>ROUND(AN232*$T232,2)</f>
        <v>0</v>
      </c>
      <c r="AP232" s="61">
        <v>0</v>
      </c>
      <c r="AQ232" s="63">
        <f>ROUND(AP232*$T232,2)</f>
        <v>0</v>
      </c>
      <c r="AR232" s="61">
        <v>0</v>
      </c>
      <c r="AS232" s="63">
        <f>ROUND(AR232*$T232,2)</f>
        <v>0</v>
      </c>
      <c r="AT232" s="61">
        <v>0</v>
      </c>
      <c r="AU232" s="63">
        <f>ROUND(AT232*$T232,2)</f>
        <v>0</v>
      </c>
      <c r="AV232" s="61">
        <v>0</v>
      </c>
      <c r="AW232" s="63">
        <f>ROUND(AV232*$T232,2)</f>
        <v>0</v>
      </c>
      <c r="AX232" s="61">
        <v>0</v>
      </c>
      <c r="AY232" s="63">
        <f>ROUND(AX232*$T232,2)</f>
        <v>0</v>
      </c>
      <c r="AZ232" s="61">
        <v>0</v>
      </c>
      <c r="BA232" s="63">
        <f>ROUND(AZ232*$T232,2)</f>
        <v>0</v>
      </c>
      <c r="BB232" s="61">
        <v>0</v>
      </c>
      <c r="BC232" s="63">
        <f>ROUND(BB232*$T232,2)</f>
        <v>0</v>
      </c>
      <c r="BD232" s="61">
        <v>0</v>
      </c>
      <c r="BE232" s="63">
        <f>ROUND(BD232*$T232,2)</f>
        <v>0</v>
      </c>
      <c r="BF232" s="61">
        <f>IFERROR(SUMIFS($V232:$BE232,$V$5:$BE$5,$BF$5),0)</f>
        <v>0</v>
      </c>
      <c r="BG232" s="63">
        <f>SUMIFS($V232:$BE232,$V$5:$BE$5,$W$5)</f>
        <v>0</v>
      </c>
      <c r="BH232" s="45"/>
      <c r="BI232" s="144"/>
    </row>
    <row r="233" spans="1:61" ht="19.5" customHeight="1" x14ac:dyDescent="0.45">
      <c r="A233" s="128">
        <v>3</v>
      </c>
      <c r="B233" s="129"/>
      <c r="C233" s="130"/>
      <c r="D233" s="131"/>
      <c r="E233" s="132" t="s">
        <v>1001</v>
      </c>
      <c r="F233" s="515"/>
      <c r="G233" s="516"/>
      <c r="H233" s="516"/>
      <c r="I233" s="516"/>
      <c r="J233" s="516"/>
      <c r="K233" s="516"/>
      <c r="L233" s="516"/>
      <c r="M233" s="516"/>
      <c r="N233" s="516"/>
      <c r="O233" s="133" t="s">
        <v>1002</v>
      </c>
      <c r="P233" s="134"/>
      <c r="Q233" s="135" t="s">
        <v>1003</v>
      </c>
      <c r="R233" s="136"/>
      <c r="S233" s="137"/>
      <c r="T233" s="138"/>
      <c r="U233" s="139">
        <f>SUM(U234:U246)</f>
        <v>763039.33000000007</v>
      </c>
      <c r="V233" s="137"/>
      <c r="W233" s="139">
        <f>SUM(W234:W246)</f>
        <v>0</v>
      </c>
      <c r="X233" s="137"/>
      <c r="Y233" s="139">
        <f>SUM(Y234:Y246)</f>
        <v>0</v>
      </c>
      <c r="Z233" s="137"/>
      <c r="AA233" s="139">
        <f>SUM(AA234:AA246)</f>
        <v>0</v>
      </c>
      <c r="AB233" s="137"/>
      <c r="AC233" s="139">
        <f>SUM(AC234:AC246)</f>
        <v>0</v>
      </c>
      <c r="AD233" s="137"/>
      <c r="AE233" s="139">
        <f>SUM(AE234:AE246)</f>
        <v>0</v>
      </c>
      <c r="AF233" s="137"/>
      <c r="AG233" s="139">
        <f>SUM(AG234:AG246)</f>
        <v>0</v>
      </c>
      <c r="AH233" s="137"/>
      <c r="AI233" s="139">
        <f>SUM(AI234:AI246)</f>
        <v>0</v>
      </c>
      <c r="AJ233" s="137"/>
      <c r="AK233" s="139">
        <f>SUM(AK234:AK246)</f>
        <v>0</v>
      </c>
      <c r="AL233" s="137"/>
      <c r="AM233" s="139">
        <f>SUM(AM234:AM246)</f>
        <v>0</v>
      </c>
      <c r="AN233" s="137"/>
      <c r="AO233" s="139">
        <f>SUM(AO234:AO246)</f>
        <v>0</v>
      </c>
      <c r="AP233" s="137"/>
      <c r="AQ233" s="139">
        <f>SUM(AQ234:AQ246)</f>
        <v>0</v>
      </c>
      <c r="AR233" s="137"/>
      <c r="AS233" s="139">
        <f>SUM(AS234:AS246)</f>
        <v>0</v>
      </c>
      <c r="AT233" s="137"/>
      <c r="AU233" s="139">
        <f>SUM(AU234:AU246)</f>
        <v>0</v>
      </c>
      <c r="AV233" s="137"/>
      <c r="AW233" s="139">
        <f>SUM(AW234:AW246)</f>
        <v>0</v>
      </c>
      <c r="AX233" s="137"/>
      <c r="AY233" s="139">
        <f>SUM(AY234:AY246)</f>
        <v>0</v>
      </c>
      <c r="AZ233" s="137"/>
      <c r="BA233" s="139">
        <f>SUM(BA234:BA246)</f>
        <v>0</v>
      </c>
      <c r="BB233" s="137"/>
      <c r="BC233" s="139">
        <f>SUM(BC234:BC246)</f>
        <v>0</v>
      </c>
      <c r="BD233" s="137"/>
      <c r="BE233" s="139">
        <f>SUM(BE234:BE246)</f>
        <v>0</v>
      </c>
      <c r="BF233" s="137"/>
      <c r="BG233" s="139">
        <f>SUM(BG234:BG246)</f>
        <v>0</v>
      </c>
      <c r="BH233" s="45"/>
    </row>
    <row r="234" spans="1:61" ht="35.65" x14ac:dyDescent="0.45">
      <c r="A234" s="140">
        <v>3</v>
      </c>
      <c r="B234" s="141" t="s">
        <v>1477</v>
      </c>
      <c r="C234" s="142" t="s">
        <v>1478</v>
      </c>
      <c r="D234" s="143" t="str">
        <f t="shared" ref="D234:D246" si="132">B234&amp;"_"&amp;E234</f>
        <v>3.2_5.7.2</v>
      </c>
      <c r="E234" s="56" t="s">
        <v>1007</v>
      </c>
      <c r="F234" s="506" t="s">
        <v>1799</v>
      </c>
      <c r="G234" s="507" t="s">
        <v>39</v>
      </c>
      <c r="H234" s="507" t="s">
        <v>39</v>
      </c>
      <c r="I234" s="507" t="s">
        <v>78</v>
      </c>
      <c r="J234" s="507" t="s">
        <v>39</v>
      </c>
      <c r="K234" s="507" t="s">
        <v>39</v>
      </c>
      <c r="L234" s="507" t="s">
        <v>226</v>
      </c>
      <c r="M234" s="507" t="s">
        <v>79</v>
      </c>
      <c r="N234" s="507" t="s">
        <v>78</v>
      </c>
      <c r="O234" s="57" t="s">
        <v>1008</v>
      </c>
      <c r="P234" s="58" t="s">
        <v>846</v>
      </c>
      <c r="Q234" s="59" t="s">
        <v>1009</v>
      </c>
      <c r="R234" s="60" t="s">
        <v>1010</v>
      </c>
      <c r="S234" s="61">
        <v>3584.54</v>
      </c>
      <c r="T234" s="62">
        <f>INDEX('BM MORRO DA CRUZ'!$P$6:$P$402,MATCH($O234,'BM MORRO DA CRUZ'!$K$6:$K$402,0))</f>
        <v>13.03</v>
      </c>
      <c r="U234" s="63">
        <f t="shared" ref="U234:U246" si="133">ROUND(T234*$S234,2)</f>
        <v>46706.559999999998</v>
      </c>
      <c r="V234" s="61">
        <f>IFERROR(SUMIFS('01ª MC'!$W$1:$W$1840,'01ª MC'!$C$1:$C$1840,$D234),0)</f>
        <v>0</v>
      </c>
      <c r="W234" s="63">
        <f t="shared" ref="W234:W246" si="134">ROUND(V234*$T234,2)</f>
        <v>0</v>
      </c>
      <c r="X234" s="61">
        <v>0</v>
      </c>
      <c r="Y234" s="63">
        <f t="shared" ref="Y234:Y246" si="135">ROUND(X234*$T234,2)</f>
        <v>0</v>
      </c>
      <c r="Z234" s="61">
        <v>0</v>
      </c>
      <c r="AA234" s="63">
        <f t="shared" ref="AA234:AA246" si="136">ROUND(Z234*$T234,2)</f>
        <v>0</v>
      </c>
      <c r="AB234" s="61">
        <v>0</v>
      </c>
      <c r="AC234" s="63">
        <f t="shared" ref="AC234:AC246" si="137">ROUND(AB234*$T234,2)</f>
        <v>0</v>
      </c>
      <c r="AD234" s="61">
        <v>0</v>
      </c>
      <c r="AE234" s="63">
        <f t="shared" ref="AE234:AE246" si="138">ROUND(AD234*$T234,2)</f>
        <v>0</v>
      </c>
      <c r="AF234" s="61">
        <v>0</v>
      </c>
      <c r="AG234" s="63">
        <f t="shared" ref="AG234:AG246" si="139">ROUND(AF234*$T234,2)</f>
        <v>0</v>
      </c>
      <c r="AH234" s="61">
        <v>0</v>
      </c>
      <c r="AI234" s="63">
        <f t="shared" ref="AI234:AI246" si="140">ROUND(AH234*$T234,2)</f>
        <v>0</v>
      </c>
      <c r="AJ234" s="61">
        <v>0</v>
      </c>
      <c r="AK234" s="63">
        <f t="shared" ref="AK234:AK246" si="141">ROUND(AJ234*$T234,2)</f>
        <v>0</v>
      </c>
      <c r="AL234" s="61">
        <v>0</v>
      </c>
      <c r="AM234" s="63">
        <f t="shared" ref="AM234:AM246" si="142">ROUND(AL234*$T234,2)</f>
        <v>0</v>
      </c>
      <c r="AN234" s="61">
        <v>0</v>
      </c>
      <c r="AO234" s="63">
        <f t="shared" ref="AO234:AO246" si="143">ROUND(AN234*$T234,2)</f>
        <v>0</v>
      </c>
      <c r="AP234" s="61">
        <v>0</v>
      </c>
      <c r="AQ234" s="63">
        <f t="shared" ref="AQ234:AQ246" si="144">ROUND(AP234*$T234,2)</f>
        <v>0</v>
      </c>
      <c r="AR234" s="61">
        <v>0</v>
      </c>
      <c r="AS234" s="63">
        <f t="shared" ref="AS234:AS246" si="145">ROUND(AR234*$T234,2)</f>
        <v>0</v>
      </c>
      <c r="AT234" s="61">
        <v>0</v>
      </c>
      <c r="AU234" s="63">
        <f t="shared" ref="AU234:AU246" si="146">ROUND(AT234*$T234,2)</f>
        <v>0</v>
      </c>
      <c r="AV234" s="61">
        <v>0</v>
      </c>
      <c r="AW234" s="63">
        <f t="shared" ref="AW234:AW246" si="147">ROUND(AV234*$T234,2)</f>
        <v>0</v>
      </c>
      <c r="AX234" s="61">
        <v>0</v>
      </c>
      <c r="AY234" s="63">
        <f t="shared" ref="AY234:AY246" si="148">ROUND(AX234*$T234,2)</f>
        <v>0</v>
      </c>
      <c r="AZ234" s="61">
        <v>0</v>
      </c>
      <c r="BA234" s="63">
        <f t="shared" ref="BA234:BA246" si="149">ROUND(AZ234*$T234,2)</f>
        <v>0</v>
      </c>
      <c r="BB234" s="61">
        <v>0</v>
      </c>
      <c r="BC234" s="63">
        <f t="shared" ref="BC234:BC246" si="150">ROUND(BB234*$T234,2)</f>
        <v>0</v>
      </c>
      <c r="BD234" s="61">
        <v>0</v>
      </c>
      <c r="BE234" s="63">
        <f t="shared" ref="BE234:BE246" si="151">ROUND(BD234*$T234,2)</f>
        <v>0</v>
      </c>
      <c r="BF234" s="61">
        <f t="shared" ref="BF234:BF246" si="152">IFERROR(SUMIFS($V234:$BE234,$V$5:$BE$5,$BF$5),0)</f>
        <v>0</v>
      </c>
      <c r="BG234" s="63">
        <f t="shared" ref="BG234:BG246" si="153">SUMIFS($V234:$BE234,$V$5:$BE$5,$W$5)</f>
        <v>0</v>
      </c>
      <c r="BH234" s="45"/>
      <c r="BI234" s="144"/>
    </row>
    <row r="235" spans="1:61" ht="35.65" x14ac:dyDescent="0.45">
      <c r="A235" s="140">
        <v>3</v>
      </c>
      <c r="B235" s="141" t="s">
        <v>1477</v>
      </c>
      <c r="C235" s="142" t="s">
        <v>1478</v>
      </c>
      <c r="D235" s="143" t="str">
        <f t="shared" si="132"/>
        <v>3.2_5.7.3</v>
      </c>
      <c r="E235" s="56" t="s">
        <v>1011</v>
      </c>
      <c r="F235" s="506" t="s">
        <v>1800</v>
      </c>
      <c r="G235" s="507" t="s">
        <v>39</v>
      </c>
      <c r="H235" s="507" t="s">
        <v>39</v>
      </c>
      <c r="I235" s="507" t="s">
        <v>78</v>
      </c>
      <c r="J235" s="507" t="s">
        <v>39</v>
      </c>
      <c r="K235" s="507" t="s">
        <v>39</v>
      </c>
      <c r="L235" s="507" t="s">
        <v>226</v>
      </c>
      <c r="M235" s="507" t="s">
        <v>79</v>
      </c>
      <c r="N235" s="507" t="s">
        <v>78</v>
      </c>
      <c r="O235" s="57" t="s">
        <v>1012</v>
      </c>
      <c r="P235" s="58" t="s">
        <v>846</v>
      </c>
      <c r="Q235" s="59" t="s">
        <v>1013</v>
      </c>
      <c r="R235" s="60" t="s">
        <v>1010</v>
      </c>
      <c r="S235" s="61">
        <v>1173.68</v>
      </c>
      <c r="T235" s="62">
        <f>INDEX('BM MORRO DA CRUZ'!$P$6:$P$402,MATCH($O235,'BM MORRO DA CRUZ'!$K$6:$K$402,0))</f>
        <v>11.41</v>
      </c>
      <c r="U235" s="63">
        <f t="shared" si="133"/>
        <v>13391.69</v>
      </c>
      <c r="V235" s="61">
        <f>IFERROR(SUMIFS('01ª MC'!$W$1:$W$1840,'01ª MC'!$C$1:$C$1840,$D235),0)</f>
        <v>0</v>
      </c>
      <c r="W235" s="63">
        <f t="shared" si="134"/>
        <v>0</v>
      </c>
      <c r="X235" s="61">
        <v>0</v>
      </c>
      <c r="Y235" s="63">
        <f t="shared" si="135"/>
        <v>0</v>
      </c>
      <c r="Z235" s="61">
        <v>0</v>
      </c>
      <c r="AA235" s="63">
        <f t="shared" si="136"/>
        <v>0</v>
      </c>
      <c r="AB235" s="61">
        <v>0</v>
      </c>
      <c r="AC235" s="63">
        <f t="shared" si="137"/>
        <v>0</v>
      </c>
      <c r="AD235" s="61">
        <v>0</v>
      </c>
      <c r="AE235" s="63">
        <f t="shared" si="138"/>
        <v>0</v>
      </c>
      <c r="AF235" s="61">
        <v>0</v>
      </c>
      <c r="AG235" s="63">
        <f t="shared" si="139"/>
        <v>0</v>
      </c>
      <c r="AH235" s="61">
        <v>0</v>
      </c>
      <c r="AI235" s="63">
        <f t="shared" si="140"/>
        <v>0</v>
      </c>
      <c r="AJ235" s="61">
        <v>0</v>
      </c>
      <c r="AK235" s="63">
        <f t="shared" si="141"/>
        <v>0</v>
      </c>
      <c r="AL235" s="61">
        <v>0</v>
      </c>
      <c r="AM235" s="63">
        <f t="shared" si="142"/>
        <v>0</v>
      </c>
      <c r="AN235" s="61">
        <v>0</v>
      </c>
      <c r="AO235" s="63">
        <f t="shared" si="143"/>
        <v>0</v>
      </c>
      <c r="AP235" s="61">
        <v>0</v>
      </c>
      <c r="AQ235" s="63">
        <f t="shared" si="144"/>
        <v>0</v>
      </c>
      <c r="AR235" s="61">
        <v>0</v>
      </c>
      <c r="AS235" s="63">
        <f t="shared" si="145"/>
        <v>0</v>
      </c>
      <c r="AT235" s="61">
        <v>0</v>
      </c>
      <c r="AU235" s="63">
        <f t="shared" si="146"/>
        <v>0</v>
      </c>
      <c r="AV235" s="61">
        <v>0</v>
      </c>
      <c r="AW235" s="63">
        <f t="shared" si="147"/>
        <v>0</v>
      </c>
      <c r="AX235" s="61">
        <v>0</v>
      </c>
      <c r="AY235" s="63">
        <f t="shared" si="148"/>
        <v>0</v>
      </c>
      <c r="AZ235" s="61">
        <v>0</v>
      </c>
      <c r="BA235" s="63">
        <f t="shared" si="149"/>
        <v>0</v>
      </c>
      <c r="BB235" s="61">
        <v>0</v>
      </c>
      <c r="BC235" s="63">
        <f t="shared" si="150"/>
        <v>0</v>
      </c>
      <c r="BD235" s="61">
        <v>0</v>
      </c>
      <c r="BE235" s="63">
        <f t="shared" si="151"/>
        <v>0</v>
      </c>
      <c r="BF235" s="61">
        <f t="shared" si="152"/>
        <v>0</v>
      </c>
      <c r="BG235" s="63">
        <f t="shared" si="153"/>
        <v>0</v>
      </c>
      <c r="BH235" s="45"/>
      <c r="BI235" s="144"/>
    </row>
    <row r="236" spans="1:61" ht="35.65" x14ac:dyDescent="0.45">
      <c r="A236" s="140">
        <v>3</v>
      </c>
      <c r="B236" s="141" t="s">
        <v>1477</v>
      </c>
      <c r="C236" s="142" t="s">
        <v>1478</v>
      </c>
      <c r="D236" s="143" t="str">
        <f t="shared" si="132"/>
        <v>3.2_5.7.4</v>
      </c>
      <c r="E236" s="56" t="s">
        <v>1014</v>
      </c>
      <c r="F236" s="506" t="s">
        <v>1801</v>
      </c>
      <c r="G236" s="507" t="s">
        <v>39</v>
      </c>
      <c r="H236" s="507" t="s">
        <v>39</v>
      </c>
      <c r="I236" s="507" t="s">
        <v>78</v>
      </c>
      <c r="J236" s="507" t="s">
        <v>39</v>
      </c>
      <c r="K236" s="507" t="s">
        <v>39</v>
      </c>
      <c r="L236" s="507" t="s">
        <v>226</v>
      </c>
      <c r="M236" s="507" t="s">
        <v>79</v>
      </c>
      <c r="N236" s="507" t="s">
        <v>78</v>
      </c>
      <c r="O236" s="57" t="s">
        <v>1015</v>
      </c>
      <c r="P236" s="58" t="s">
        <v>846</v>
      </c>
      <c r="Q236" s="59" t="s">
        <v>1016</v>
      </c>
      <c r="R236" s="60" t="s">
        <v>1010</v>
      </c>
      <c r="S236" s="61">
        <v>1539.79</v>
      </c>
      <c r="T236" s="62">
        <f>INDEX('BM MORRO DA CRUZ'!$P$6:$P$402,MATCH($O236,'BM MORRO DA CRUZ'!$K$6:$K$402,0))</f>
        <v>16.61</v>
      </c>
      <c r="U236" s="63">
        <f t="shared" si="133"/>
        <v>25575.91</v>
      </c>
      <c r="V236" s="61">
        <f>IFERROR(SUMIFS('01ª MC'!$W$1:$W$1840,'01ª MC'!$C$1:$C$1840,$D236),0)</f>
        <v>0</v>
      </c>
      <c r="W236" s="63">
        <f t="shared" si="134"/>
        <v>0</v>
      </c>
      <c r="X236" s="61">
        <v>0</v>
      </c>
      <c r="Y236" s="63">
        <f t="shared" si="135"/>
        <v>0</v>
      </c>
      <c r="Z236" s="61">
        <v>0</v>
      </c>
      <c r="AA236" s="63">
        <f t="shared" si="136"/>
        <v>0</v>
      </c>
      <c r="AB236" s="61">
        <v>0</v>
      </c>
      <c r="AC236" s="63">
        <f t="shared" si="137"/>
        <v>0</v>
      </c>
      <c r="AD236" s="61">
        <v>0</v>
      </c>
      <c r="AE236" s="63">
        <f t="shared" si="138"/>
        <v>0</v>
      </c>
      <c r="AF236" s="61">
        <v>0</v>
      </c>
      <c r="AG236" s="63">
        <f t="shared" si="139"/>
        <v>0</v>
      </c>
      <c r="AH236" s="61">
        <v>0</v>
      </c>
      <c r="AI236" s="63">
        <f t="shared" si="140"/>
        <v>0</v>
      </c>
      <c r="AJ236" s="61">
        <v>0</v>
      </c>
      <c r="AK236" s="63">
        <f t="shared" si="141"/>
        <v>0</v>
      </c>
      <c r="AL236" s="61">
        <v>0</v>
      </c>
      <c r="AM236" s="63">
        <f t="shared" si="142"/>
        <v>0</v>
      </c>
      <c r="AN236" s="61">
        <v>0</v>
      </c>
      <c r="AO236" s="63">
        <f t="shared" si="143"/>
        <v>0</v>
      </c>
      <c r="AP236" s="61">
        <v>0</v>
      </c>
      <c r="AQ236" s="63">
        <f t="shared" si="144"/>
        <v>0</v>
      </c>
      <c r="AR236" s="61">
        <v>0</v>
      </c>
      <c r="AS236" s="63">
        <f t="shared" si="145"/>
        <v>0</v>
      </c>
      <c r="AT236" s="61">
        <v>0</v>
      </c>
      <c r="AU236" s="63">
        <f t="shared" si="146"/>
        <v>0</v>
      </c>
      <c r="AV236" s="61">
        <v>0</v>
      </c>
      <c r="AW236" s="63">
        <f t="shared" si="147"/>
        <v>0</v>
      </c>
      <c r="AX236" s="61">
        <v>0</v>
      </c>
      <c r="AY236" s="63">
        <f t="shared" si="148"/>
        <v>0</v>
      </c>
      <c r="AZ236" s="61">
        <v>0</v>
      </c>
      <c r="BA236" s="63">
        <f t="shared" si="149"/>
        <v>0</v>
      </c>
      <c r="BB236" s="61">
        <v>0</v>
      </c>
      <c r="BC236" s="63">
        <f t="shared" si="150"/>
        <v>0</v>
      </c>
      <c r="BD236" s="61">
        <v>0</v>
      </c>
      <c r="BE236" s="63">
        <f t="shared" si="151"/>
        <v>0</v>
      </c>
      <c r="BF236" s="61">
        <f t="shared" si="152"/>
        <v>0</v>
      </c>
      <c r="BG236" s="63">
        <f t="shared" si="153"/>
        <v>0</v>
      </c>
      <c r="BH236" s="45"/>
      <c r="BI236" s="144"/>
    </row>
    <row r="237" spans="1:61" ht="35.65" x14ac:dyDescent="0.45">
      <c r="A237" s="140">
        <v>3</v>
      </c>
      <c r="B237" s="141" t="s">
        <v>1477</v>
      </c>
      <c r="C237" s="142" t="s">
        <v>1478</v>
      </c>
      <c r="D237" s="143" t="str">
        <f t="shared" si="132"/>
        <v>3.2_5.7.5</v>
      </c>
      <c r="E237" s="56" t="s">
        <v>1017</v>
      </c>
      <c r="F237" s="506" t="s">
        <v>1802</v>
      </c>
      <c r="G237" s="507" t="s">
        <v>39</v>
      </c>
      <c r="H237" s="507" t="s">
        <v>39</v>
      </c>
      <c r="I237" s="507" t="s">
        <v>78</v>
      </c>
      <c r="J237" s="507" t="s">
        <v>39</v>
      </c>
      <c r="K237" s="507" t="s">
        <v>39</v>
      </c>
      <c r="L237" s="507" t="s">
        <v>226</v>
      </c>
      <c r="M237" s="507" t="s">
        <v>79</v>
      </c>
      <c r="N237" s="507" t="s">
        <v>78</v>
      </c>
      <c r="O237" s="57" t="s">
        <v>1018</v>
      </c>
      <c r="P237" s="58" t="s">
        <v>846</v>
      </c>
      <c r="Q237" s="59" t="s">
        <v>1019</v>
      </c>
      <c r="R237" s="60" t="s">
        <v>1010</v>
      </c>
      <c r="S237" s="61">
        <v>18192.060000000001</v>
      </c>
      <c r="T237" s="62">
        <f>INDEX('BM MORRO DA CRUZ'!$P$6:$P$402,MATCH($O237,'BM MORRO DA CRUZ'!$K$6:$K$402,0))</f>
        <v>15.01</v>
      </c>
      <c r="U237" s="63">
        <f t="shared" si="133"/>
        <v>273062.82</v>
      </c>
      <c r="V237" s="61">
        <f>IFERROR(SUMIFS('01ª MC'!$W$1:$W$1840,'01ª MC'!$C$1:$C$1840,$D237),0)</f>
        <v>0</v>
      </c>
      <c r="W237" s="63">
        <f t="shared" si="134"/>
        <v>0</v>
      </c>
      <c r="X237" s="61">
        <v>0</v>
      </c>
      <c r="Y237" s="63">
        <f t="shared" si="135"/>
        <v>0</v>
      </c>
      <c r="Z237" s="61">
        <v>0</v>
      </c>
      <c r="AA237" s="63">
        <f t="shared" si="136"/>
        <v>0</v>
      </c>
      <c r="AB237" s="61">
        <v>0</v>
      </c>
      <c r="AC237" s="63">
        <f t="shared" si="137"/>
        <v>0</v>
      </c>
      <c r="AD237" s="61">
        <v>0</v>
      </c>
      <c r="AE237" s="63">
        <f t="shared" si="138"/>
        <v>0</v>
      </c>
      <c r="AF237" s="61">
        <v>0</v>
      </c>
      <c r="AG237" s="63">
        <f t="shared" si="139"/>
        <v>0</v>
      </c>
      <c r="AH237" s="61">
        <v>0</v>
      </c>
      <c r="AI237" s="63">
        <f t="shared" si="140"/>
        <v>0</v>
      </c>
      <c r="AJ237" s="61">
        <v>0</v>
      </c>
      <c r="AK237" s="63">
        <f t="shared" si="141"/>
        <v>0</v>
      </c>
      <c r="AL237" s="61">
        <v>0</v>
      </c>
      <c r="AM237" s="63">
        <f t="shared" si="142"/>
        <v>0</v>
      </c>
      <c r="AN237" s="61">
        <v>0</v>
      </c>
      <c r="AO237" s="63">
        <f t="shared" si="143"/>
        <v>0</v>
      </c>
      <c r="AP237" s="61">
        <v>0</v>
      </c>
      <c r="AQ237" s="63">
        <f t="shared" si="144"/>
        <v>0</v>
      </c>
      <c r="AR237" s="61">
        <v>0</v>
      </c>
      <c r="AS237" s="63">
        <f t="shared" si="145"/>
        <v>0</v>
      </c>
      <c r="AT237" s="61">
        <v>0</v>
      </c>
      <c r="AU237" s="63">
        <f t="shared" si="146"/>
        <v>0</v>
      </c>
      <c r="AV237" s="61">
        <v>0</v>
      </c>
      <c r="AW237" s="63">
        <f t="shared" si="147"/>
        <v>0</v>
      </c>
      <c r="AX237" s="61">
        <v>0</v>
      </c>
      <c r="AY237" s="63">
        <f t="shared" si="148"/>
        <v>0</v>
      </c>
      <c r="AZ237" s="61">
        <v>0</v>
      </c>
      <c r="BA237" s="63">
        <f t="shared" si="149"/>
        <v>0</v>
      </c>
      <c r="BB237" s="61">
        <v>0</v>
      </c>
      <c r="BC237" s="63">
        <f t="shared" si="150"/>
        <v>0</v>
      </c>
      <c r="BD237" s="61">
        <v>0</v>
      </c>
      <c r="BE237" s="63">
        <f t="shared" si="151"/>
        <v>0</v>
      </c>
      <c r="BF237" s="61">
        <f t="shared" si="152"/>
        <v>0</v>
      </c>
      <c r="BG237" s="63">
        <f t="shared" si="153"/>
        <v>0</v>
      </c>
      <c r="BH237" s="45"/>
      <c r="BI237" s="144"/>
    </row>
    <row r="238" spans="1:61" ht="35.65" x14ac:dyDescent="0.45">
      <c r="A238" s="140">
        <v>3</v>
      </c>
      <c r="B238" s="141" t="s">
        <v>1477</v>
      </c>
      <c r="C238" s="142" t="s">
        <v>1478</v>
      </c>
      <c r="D238" s="143" t="str">
        <f t="shared" si="132"/>
        <v>3.2_5.7.6</v>
      </c>
      <c r="E238" s="56" t="s">
        <v>1020</v>
      </c>
      <c r="F238" s="506" t="s">
        <v>1803</v>
      </c>
      <c r="G238" s="507" t="s">
        <v>39</v>
      </c>
      <c r="H238" s="507" t="s">
        <v>39</v>
      </c>
      <c r="I238" s="507" t="s">
        <v>78</v>
      </c>
      <c r="J238" s="507" t="s">
        <v>39</v>
      </c>
      <c r="K238" s="507" t="s">
        <v>39</v>
      </c>
      <c r="L238" s="507" t="s">
        <v>226</v>
      </c>
      <c r="M238" s="507" t="s">
        <v>79</v>
      </c>
      <c r="N238" s="507" t="s">
        <v>78</v>
      </c>
      <c r="O238" s="57" t="s">
        <v>1021</v>
      </c>
      <c r="P238" s="58" t="s">
        <v>846</v>
      </c>
      <c r="Q238" s="59" t="s">
        <v>1022</v>
      </c>
      <c r="R238" s="60" t="s">
        <v>1010</v>
      </c>
      <c r="S238" s="61">
        <v>34</v>
      </c>
      <c r="T238" s="62">
        <f>INDEX('BM MORRO DA CRUZ'!$P$6:$P$402,MATCH($O238,'BM MORRO DA CRUZ'!$K$6:$K$402,0))</f>
        <v>18.37</v>
      </c>
      <c r="U238" s="63">
        <f t="shared" si="133"/>
        <v>624.58000000000004</v>
      </c>
      <c r="V238" s="61">
        <f>IFERROR(SUMIFS('01ª MC'!$W$1:$W$1840,'01ª MC'!$C$1:$C$1840,$D238),0)</f>
        <v>0</v>
      </c>
      <c r="W238" s="63">
        <f t="shared" si="134"/>
        <v>0</v>
      </c>
      <c r="X238" s="61">
        <v>0</v>
      </c>
      <c r="Y238" s="63">
        <f t="shared" si="135"/>
        <v>0</v>
      </c>
      <c r="Z238" s="61">
        <v>0</v>
      </c>
      <c r="AA238" s="63">
        <f t="shared" si="136"/>
        <v>0</v>
      </c>
      <c r="AB238" s="61">
        <v>0</v>
      </c>
      <c r="AC238" s="63">
        <f t="shared" si="137"/>
        <v>0</v>
      </c>
      <c r="AD238" s="61">
        <v>0</v>
      </c>
      <c r="AE238" s="63">
        <f t="shared" si="138"/>
        <v>0</v>
      </c>
      <c r="AF238" s="61">
        <v>0</v>
      </c>
      <c r="AG238" s="63">
        <f t="shared" si="139"/>
        <v>0</v>
      </c>
      <c r="AH238" s="61">
        <v>0</v>
      </c>
      <c r="AI238" s="63">
        <f t="shared" si="140"/>
        <v>0</v>
      </c>
      <c r="AJ238" s="61">
        <v>0</v>
      </c>
      <c r="AK238" s="63">
        <f t="shared" si="141"/>
        <v>0</v>
      </c>
      <c r="AL238" s="61">
        <v>0</v>
      </c>
      <c r="AM238" s="63">
        <f t="shared" si="142"/>
        <v>0</v>
      </c>
      <c r="AN238" s="61">
        <v>0</v>
      </c>
      <c r="AO238" s="63">
        <f t="shared" si="143"/>
        <v>0</v>
      </c>
      <c r="AP238" s="61">
        <v>0</v>
      </c>
      <c r="AQ238" s="63">
        <f t="shared" si="144"/>
        <v>0</v>
      </c>
      <c r="AR238" s="61">
        <v>0</v>
      </c>
      <c r="AS238" s="63">
        <f t="shared" si="145"/>
        <v>0</v>
      </c>
      <c r="AT238" s="61">
        <v>0</v>
      </c>
      <c r="AU238" s="63">
        <f t="shared" si="146"/>
        <v>0</v>
      </c>
      <c r="AV238" s="61">
        <v>0</v>
      </c>
      <c r="AW238" s="63">
        <f t="shared" si="147"/>
        <v>0</v>
      </c>
      <c r="AX238" s="61">
        <v>0</v>
      </c>
      <c r="AY238" s="63">
        <f t="shared" si="148"/>
        <v>0</v>
      </c>
      <c r="AZ238" s="61">
        <v>0</v>
      </c>
      <c r="BA238" s="63">
        <f t="shared" si="149"/>
        <v>0</v>
      </c>
      <c r="BB238" s="61">
        <v>0</v>
      </c>
      <c r="BC238" s="63">
        <f t="shared" si="150"/>
        <v>0</v>
      </c>
      <c r="BD238" s="61">
        <v>0</v>
      </c>
      <c r="BE238" s="63">
        <f t="shared" si="151"/>
        <v>0</v>
      </c>
      <c r="BF238" s="61">
        <f t="shared" si="152"/>
        <v>0</v>
      </c>
      <c r="BG238" s="63">
        <f t="shared" si="153"/>
        <v>0</v>
      </c>
      <c r="BH238" s="45"/>
      <c r="BI238" s="144"/>
    </row>
    <row r="239" spans="1:61" ht="26" customHeight="1" x14ac:dyDescent="0.45">
      <c r="A239" s="140">
        <v>3</v>
      </c>
      <c r="B239" s="141" t="s">
        <v>1477</v>
      </c>
      <c r="C239" s="142" t="s">
        <v>1478</v>
      </c>
      <c r="D239" s="143" t="str">
        <f t="shared" si="132"/>
        <v>3.2_5.7.7</v>
      </c>
      <c r="E239" s="56" t="s">
        <v>1023</v>
      </c>
      <c r="F239" s="506" t="s">
        <v>1804</v>
      </c>
      <c r="G239" s="507" t="s">
        <v>39</v>
      </c>
      <c r="H239" s="507" t="s">
        <v>39</v>
      </c>
      <c r="I239" s="507" t="s">
        <v>1805</v>
      </c>
      <c r="J239" s="507" t="s">
        <v>39</v>
      </c>
      <c r="K239" s="507" t="s">
        <v>39</v>
      </c>
      <c r="L239" s="507" t="s">
        <v>39</v>
      </c>
      <c r="M239" s="507" t="s">
        <v>79</v>
      </c>
      <c r="N239" s="507" t="s">
        <v>1806</v>
      </c>
      <c r="O239" s="57" t="s">
        <v>1024</v>
      </c>
      <c r="P239" s="58" t="s">
        <v>846</v>
      </c>
      <c r="Q239" s="59" t="s">
        <v>1025</v>
      </c>
      <c r="R239" s="60" t="s">
        <v>71</v>
      </c>
      <c r="S239" s="61">
        <v>6</v>
      </c>
      <c r="T239" s="62">
        <f>INDEX('BM MORRO DA CRUZ'!$P$6:$P$402,MATCH($O239,'BM MORRO DA CRUZ'!$K$6:$K$402,0))</f>
        <v>1064.92</v>
      </c>
      <c r="U239" s="63">
        <f t="shared" si="133"/>
        <v>6389.52</v>
      </c>
      <c r="V239" s="61">
        <f>IFERROR(SUMIFS('01ª MC'!$W$1:$W$1840,'01ª MC'!$C$1:$C$1840,$D239),0)</f>
        <v>0</v>
      </c>
      <c r="W239" s="63">
        <f t="shared" si="134"/>
        <v>0</v>
      </c>
      <c r="X239" s="61">
        <v>0</v>
      </c>
      <c r="Y239" s="63">
        <f t="shared" si="135"/>
        <v>0</v>
      </c>
      <c r="Z239" s="61">
        <v>0</v>
      </c>
      <c r="AA239" s="63">
        <f t="shared" si="136"/>
        <v>0</v>
      </c>
      <c r="AB239" s="61">
        <v>0</v>
      </c>
      <c r="AC239" s="63">
        <f t="shared" si="137"/>
        <v>0</v>
      </c>
      <c r="AD239" s="61">
        <v>0</v>
      </c>
      <c r="AE239" s="63">
        <f t="shared" si="138"/>
        <v>0</v>
      </c>
      <c r="AF239" s="61">
        <v>0</v>
      </c>
      <c r="AG239" s="63">
        <f t="shared" si="139"/>
        <v>0</v>
      </c>
      <c r="AH239" s="61">
        <v>0</v>
      </c>
      <c r="AI239" s="63">
        <f t="shared" si="140"/>
        <v>0</v>
      </c>
      <c r="AJ239" s="61">
        <v>0</v>
      </c>
      <c r="AK239" s="63">
        <f t="shared" si="141"/>
        <v>0</v>
      </c>
      <c r="AL239" s="61">
        <v>0</v>
      </c>
      <c r="AM239" s="63">
        <f t="shared" si="142"/>
        <v>0</v>
      </c>
      <c r="AN239" s="61">
        <v>0</v>
      </c>
      <c r="AO239" s="63">
        <f t="shared" si="143"/>
        <v>0</v>
      </c>
      <c r="AP239" s="61">
        <v>0</v>
      </c>
      <c r="AQ239" s="63">
        <f t="shared" si="144"/>
        <v>0</v>
      </c>
      <c r="AR239" s="61">
        <v>0</v>
      </c>
      <c r="AS239" s="63">
        <f t="shared" si="145"/>
        <v>0</v>
      </c>
      <c r="AT239" s="61">
        <v>0</v>
      </c>
      <c r="AU239" s="63">
        <f t="shared" si="146"/>
        <v>0</v>
      </c>
      <c r="AV239" s="61">
        <v>0</v>
      </c>
      <c r="AW239" s="63">
        <f t="shared" si="147"/>
        <v>0</v>
      </c>
      <c r="AX239" s="61">
        <v>0</v>
      </c>
      <c r="AY239" s="63">
        <f t="shared" si="148"/>
        <v>0</v>
      </c>
      <c r="AZ239" s="61">
        <v>0</v>
      </c>
      <c r="BA239" s="63">
        <f t="shared" si="149"/>
        <v>0</v>
      </c>
      <c r="BB239" s="61">
        <v>0</v>
      </c>
      <c r="BC239" s="63">
        <f t="shared" si="150"/>
        <v>0</v>
      </c>
      <c r="BD239" s="61">
        <v>0</v>
      </c>
      <c r="BE239" s="63">
        <f t="shared" si="151"/>
        <v>0</v>
      </c>
      <c r="BF239" s="61">
        <f t="shared" si="152"/>
        <v>0</v>
      </c>
      <c r="BG239" s="63">
        <f t="shared" si="153"/>
        <v>0</v>
      </c>
      <c r="BH239" s="45"/>
      <c r="BI239" s="144"/>
    </row>
    <row r="240" spans="1:61" ht="26" customHeight="1" x14ac:dyDescent="0.45">
      <c r="A240" s="140">
        <v>3</v>
      </c>
      <c r="B240" s="141" t="s">
        <v>1477</v>
      </c>
      <c r="C240" s="142" t="s">
        <v>1478</v>
      </c>
      <c r="D240" s="143" t="str">
        <f t="shared" si="132"/>
        <v>3.2_5.7.8</v>
      </c>
      <c r="E240" s="56" t="s">
        <v>1026</v>
      </c>
      <c r="F240" s="506" t="s">
        <v>1807</v>
      </c>
      <c r="G240" s="507" t="s">
        <v>39</v>
      </c>
      <c r="H240" s="507" t="s">
        <v>39</v>
      </c>
      <c r="I240" s="507" t="s">
        <v>126</v>
      </c>
      <c r="J240" s="507" t="s">
        <v>39</v>
      </c>
      <c r="K240" s="507" t="s">
        <v>39</v>
      </c>
      <c r="L240" s="507" t="s">
        <v>125</v>
      </c>
      <c r="M240" s="507" t="s">
        <v>79</v>
      </c>
      <c r="N240" s="507" t="s">
        <v>126</v>
      </c>
      <c r="O240" s="57" t="s">
        <v>1027</v>
      </c>
      <c r="P240" s="58" t="s">
        <v>846</v>
      </c>
      <c r="Q240" s="59" t="s">
        <v>1028</v>
      </c>
      <c r="R240" s="60" t="s">
        <v>71</v>
      </c>
      <c r="S240" s="61">
        <v>28</v>
      </c>
      <c r="T240" s="62">
        <f>INDEX('BM MORRO DA CRUZ'!$P$6:$P$402,MATCH($O240,'BM MORRO DA CRUZ'!$K$6:$K$402,0))</f>
        <v>115.9</v>
      </c>
      <c r="U240" s="63">
        <f t="shared" si="133"/>
        <v>3245.2</v>
      </c>
      <c r="V240" s="61">
        <f>IFERROR(SUMIFS('01ª MC'!$W$1:$W$1840,'01ª MC'!$C$1:$C$1840,$D240),0)</f>
        <v>0</v>
      </c>
      <c r="W240" s="63">
        <f t="shared" si="134"/>
        <v>0</v>
      </c>
      <c r="X240" s="61">
        <v>0</v>
      </c>
      <c r="Y240" s="63">
        <f t="shared" si="135"/>
        <v>0</v>
      </c>
      <c r="Z240" s="61">
        <v>0</v>
      </c>
      <c r="AA240" s="63">
        <f t="shared" si="136"/>
        <v>0</v>
      </c>
      <c r="AB240" s="61">
        <v>0</v>
      </c>
      <c r="AC240" s="63">
        <f t="shared" si="137"/>
        <v>0</v>
      </c>
      <c r="AD240" s="61">
        <v>0</v>
      </c>
      <c r="AE240" s="63">
        <f t="shared" si="138"/>
        <v>0</v>
      </c>
      <c r="AF240" s="61">
        <v>0</v>
      </c>
      <c r="AG240" s="63">
        <f t="shared" si="139"/>
        <v>0</v>
      </c>
      <c r="AH240" s="61">
        <v>0</v>
      </c>
      <c r="AI240" s="63">
        <f t="shared" si="140"/>
        <v>0</v>
      </c>
      <c r="AJ240" s="61">
        <v>0</v>
      </c>
      <c r="AK240" s="63">
        <f t="shared" si="141"/>
        <v>0</v>
      </c>
      <c r="AL240" s="61">
        <v>0</v>
      </c>
      <c r="AM240" s="63">
        <f t="shared" si="142"/>
        <v>0</v>
      </c>
      <c r="AN240" s="61">
        <v>0</v>
      </c>
      <c r="AO240" s="63">
        <f t="shared" si="143"/>
        <v>0</v>
      </c>
      <c r="AP240" s="61">
        <v>0</v>
      </c>
      <c r="AQ240" s="63">
        <f t="shared" si="144"/>
        <v>0</v>
      </c>
      <c r="AR240" s="61">
        <v>0</v>
      </c>
      <c r="AS240" s="63">
        <f t="shared" si="145"/>
        <v>0</v>
      </c>
      <c r="AT240" s="61">
        <v>0</v>
      </c>
      <c r="AU240" s="63">
        <f t="shared" si="146"/>
        <v>0</v>
      </c>
      <c r="AV240" s="61">
        <v>0</v>
      </c>
      <c r="AW240" s="63">
        <f t="shared" si="147"/>
        <v>0</v>
      </c>
      <c r="AX240" s="61">
        <v>0</v>
      </c>
      <c r="AY240" s="63">
        <f t="shared" si="148"/>
        <v>0</v>
      </c>
      <c r="AZ240" s="61">
        <v>0</v>
      </c>
      <c r="BA240" s="63">
        <f t="shared" si="149"/>
        <v>0</v>
      </c>
      <c r="BB240" s="61">
        <v>0</v>
      </c>
      <c r="BC240" s="63">
        <f t="shared" si="150"/>
        <v>0</v>
      </c>
      <c r="BD240" s="61">
        <v>0</v>
      </c>
      <c r="BE240" s="63">
        <f t="shared" si="151"/>
        <v>0</v>
      </c>
      <c r="BF240" s="61">
        <f t="shared" si="152"/>
        <v>0</v>
      </c>
      <c r="BG240" s="63">
        <f t="shared" si="153"/>
        <v>0</v>
      </c>
      <c r="BH240" s="45"/>
      <c r="BI240" s="144"/>
    </row>
    <row r="241" spans="1:61" ht="26" customHeight="1" x14ac:dyDescent="0.45">
      <c r="A241" s="140">
        <v>3</v>
      </c>
      <c r="B241" s="141" t="s">
        <v>1477</v>
      </c>
      <c r="C241" s="142" t="s">
        <v>1478</v>
      </c>
      <c r="D241" s="143" t="str">
        <f t="shared" si="132"/>
        <v>3.2_5.7.9</v>
      </c>
      <c r="E241" s="56" t="s">
        <v>1029</v>
      </c>
      <c r="F241" s="506" t="s">
        <v>1808</v>
      </c>
      <c r="G241" s="507" t="s">
        <v>39</v>
      </c>
      <c r="H241" s="507" t="s">
        <v>39</v>
      </c>
      <c r="I241" s="507" t="s">
        <v>126</v>
      </c>
      <c r="J241" s="507" t="s">
        <v>39</v>
      </c>
      <c r="K241" s="507" t="s">
        <v>39</v>
      </c>
      <c r="L241" s="507" t="s">
        <v>125</v>
      </c>
      <c r="M241" s="507" t="s">
        <v>79</v>
      </c>
      <c r="N241" s="507" t="s">
        <v>126</v>
      </c>
      <c r="O241" s="57" t="s">
        <v>1030</v>
      </c>
      <c r="P241" s="58" t="s">
        <v>846</v>
      </c>
      <c r="Q241" s="59" t="s">
        <v>1031</v>
      </c>
      <c r="R241" s="60" t="s">
        <v>71</v>
      </c>
      <c r="S241" s="61">
        <v>43</v>
      </c>
      <c r="T241" s="62">
        <f>INDEX('BM MORRO DA CRUZ'!$P$6:$P$402,MATCH($O241,'BM MORRO DA CRUZ'!$K$6:$K$402,0))</f>
        <v>73.13</v>
      </c>
      <c r="U241" s="63">
        <f t="shared" si="133"/>
        <v>3144.59</v>
      </c>
      <c r="V241" s="61">
        <f>IFERROR(SUMIFS('01ª MC'!$W$1:$W$1840,'01ª MC'!$C$1:$C$1840,$D241),0)</f>
        <v>0</v>
      </c>
      <c r="W241" s="63">
        <f t="shared" si="134"/>
        <v>0</v>
      </c>
      <c r="X241" s="61">
        <v>0</v>
      </c>
      <c r="Y241" s="63">
        <f t="shared" si="135"/>
        <v>0</v>
      </c>
      <c r="Z241" s="61">
        <v>0</v>
      </c>
      <c r="AA241" s="63">
        <f t="shared" si="136"/>
        <v>0</v>
      </c>
      <c r="AB241" s="61">
        <v>0</v>
      </c>
      <c r="AC241" s="63">
        <f t="shared" si="137"/>
        <v>0</v>
      </c>
      <c r="AD241" s="61">
        <v>0</v>
      </c>
      <c r="AE241" s="63">
        <f t="shared" si="138"/>
        <v>0</v>
      </c>
      <c r="AF241" s="61">
        <v>0</v>
      </c>
      <c r="AG241" s="63">
        <f t="shared" si="139"/>
        <v>0</v>
      </c>
      <c r="AH241" s="61">
        <v>0</v>
      </c>
      <c r="AI241" s="63">
        <f t="shared" si="140"/>
        <v>0</v>
      </c>
      <c r="AJ241" s="61">
        <v>0</v>
      </c>
      <c r="AK241" s="63">
        <f t="shared" si="141"/>
        <v>0</v>
      </c>
      <c r="AL241" s="61">
        <v>0</v>
      </c>
      <c r="AM241" s="63">
        <f t="shared" si="142"/>
        <v>0</v>
      </c>
      <c r="AN241" s="61">
        <v>0</v>
      </c>
      <c r="AO241" s="63">
        <f t="shared" si="143"/>
        <v>0</v>
      </c>
      <c r="AP241" s="61">
        <v>0</v>
      </c>
      <c r="AQ241" s="63">
        <f t="shared" si="144"/>
        <v>0</v>
      </c>
      <c r="AR241" s="61">
        <v>0</v>
      </c>
      <c r="AS241" s="63">
        <f t="shared" si="145"/>
        <v>0</v>
      </c>
      <c r="AT241" s="61">
        <v>0</v>
      </c>
      <c r="AU241" s="63">
        <f t="shared" si="146"/>
        <v>0</v>
      </c>
      <c r="AV241" s="61">
        <v>0</v>
      </c>
      <c r="AW241" s="63">
        <f t="shared" si="147"/>
        <v>0</v>
      </c>
      <c r="AX241" s="61">
        <v>0</v>
      </c>
      <c r="AY241" s="63">
        <f t="shared" si="148"/>
        <v>0</v>
      </c>
      <c r="AZ241" s="61">
        <v>0</v>
      </c>
      <c r="BA241" s="63">
        <f t="shared" si="149"/>
        <v>0</v>
      </c>
      <c r="BB241" s="61">
        <v>0</v>
      </c>
      <c r="BC241" s="63">
        <f t="shared" si="150"/>
        <v>0</v>
      </c>
      <c r="BD241" s="61">
        <v>0</v>
      </c>
      <c r="BE241" s="63">
        <f t="shared" si="151"/>
        <v>0</v>
      </c>
      <c r="BF241" s="61">
        <f t="shared" si="152"/>
        <v>0</v>
      </c>
      <c r="BG241" s="63">
        <f t="shared" si="153"/>
        <v>0</v>
      </c>
      <c r="BH241" s="45"/>
      <c r="BI241" s="144"/>
    </row>
    <row r="242" spans="1:61" ht="35.65" x14ac:dyDescent="0.45">
      <c r="A242" s="140">
        <v>3</v>
      </c>
      <c r="B242" s="141" t="s">
        <v>1477</v>
      </c>
      <c r="C242" s="142" t="s">
        <v>1478</v>
      </c>
      <c r="D242" s="143" t="str">
        <f t="shared" si="132"/>
        <v>3.2_5.7.11</v>
      </c>
      <c r="E242" s="56" t="s">
        <v>1035</v>
      </c>
      <c r="F242" s="506" t="s">
        <v>1037</v>
      </c>
      <c r="G242" s="507" t="s">
        <v>39</v>
      </c>
      <c r="H242" s="507" t="s">
        <v>39</v>
      </c>
      <c r="I242" s="507" t="s">
        <v>1810</v>
      </c>
      <c r="J242" s="507" t="s">
        <v>39</v>
      </c>
      <c r="K242" s="507" t="s">
        <v>39</v>
      </c>
      <c r="L242" s="507" t="s">
        <v>783</v>
      </c>
      <c r="M242" s="507" t="s">
        <v>79</v>
      </c>
      <c r="N242" s="507" t="s">
        <v>1811</v>
      </c>
      <c r="O242" s="57" t="s">
        <v>1036</v>
      </c>
      <c r="P242" s="58" t="s">
        <v>846</v>
      </c>
      <c r="Q242" s="59" t="s">
        <v>1037</v>
      </c>
      <c r="R242" s="60" t="s">
        <v>792</v>
      </c>
      <c r="S242" s="61">
        <v>2319</v>
      </c>
      <c r="T242" s="62">
        <f>INDEX('BM MORRO DA CRUZ'!$P$6:$P$402,MATCH($O242,'BM MORRO DA CRUZ'!$K$6:$K$402,0))</f>
        <v>149.69</v>
      </c>
      <c r="U242" s="63">
        <f t="shared" si="133"/>
        <v>347131.11</v>
      </c>
      <c r="V242" s="61">
        <f>IFERROR(SUMIFS('01ª MC'!$W$1:$W$1840,'01ª MC'!$C$1:$C$1840,$D242),0)</f>
        <v>0</v>
      </c>
      <c r="W242" s="63">
        <f t="shared" si="134"/>
        <v>0</v>
      </c>
      <c r="X242" s="61">
        <v>0</v>
      </c>
      <c r="Y242" s="63">
        <f t="shared" si="135"/>
        <v>0</v>
      </c>
      <c r="Z242" s="61">
        <v>0</v>
      </c>
      <c r="AA242" s="63">
        <f t="shared" si="136"/>
        <v>0</v>
      </c>
      <c r="AB242" s="61">
        <v>0</v>
      </c>
      <c r="AC242" s="63">
        <f t="shared" si="137"/>
        <v>0</v>
      </c>
      <c r="AD242" s="61">
        <v>0</v>
      </c>
      <c r="AE242" s="63">
        <f t="shared" si="138"/>
        <v>0</v>
      </c>
      <c r="AF242" s="61">
        <v>0</v>
      </c>
      <c r="AG242" s="63">
        <f t="shared" si="139"/>
        <v>0</v>
      </c>
      <c r="AH242" s="61">
        <v>0</v>
      </c>
      <c r="AI242" s="63">
        <f t="shared" si="140"/>
        <v>0</v>
      </c>
      <c r="AJ242" s="61">
        <v>0</v>
      </c>
      <c r="AK242" s="63">
        <f t="shared" si="141"/>
        <v>0</v>
      </c>
      <c r="AL242" s="61">
        <v>0</v>
      </c>
      <c r="AM242" s="63">
        <f t="shared" si="142"/>
        <v>0</v>
      </c>
      <c r="AN242" s="61">
        <v>0</v>
      </c>
      <c r="AO242" s="63">
        <f t="shared" si="143"/>
        <v>0</v>
      </c>
      <c r="AP242" s="61">
        <v>0</v>
      </c>
      <c r="AQ242" s="63">
        <f t="shared" si="144"/>
        <v>0</v>
      </c>
      <c r="AR242" s="61">
        <v>0</v>
      </c>
      <c r="AS242" s="63">
        <f t="shared" si="145"/>
        <v>0</v>
      </c>
      <c r="AT242" s="61">
        <v>0</v>
      </c>
      <c r="AU242" s="63">
        <f t="shared" si="146"/>
        <v>0</v>
      </c>
      <c r="AV242" s="61">
        <v>0</v>
      </c>
      <c r="AW242" s="63">
        <f t="shared" si="147"/>
        <v>0</v>
      </c>
      <c r="AX242" s="61">
        <v>0</v>
      </c>
      <c r="AY242" s="63">
        <f t="shared" si="148"/>
        <v>0</v>
      </c>
      <c r="AZ242" s="61">
        <v>0</v>
      </c>
      <c r="BA242" s="63">
        <f t="shared" si="149"/>
        <v>0</v>
      </c>
      <c r="BB242" s="61">
        <v>0</v>
      </c>
      <c r="BC242" s="63">
        <f t="shared" si="150"/>
        <v>0</v>
      </c>
      <c r="BD242" s="61">
        <v>0</v>
      </c>
      <c r="BE242" s="63">
        <f t="shared" si="151"/>
        <v>0</v>
      </c>
      <c r="BF242" s="61">
        <f t="shared" si="152"/>
        <v>0</v>
      </c>
      <c r="BG242" s="63">
        <f t="shared" si="153"/>
        <v>0</v>
      </c>
      <c r="BH242" s="45"/>
      <c r="BI242" s="144"/>
    </row>
    <row r="243" spans="1:61" ht="26" customHeight="1" x14ac:dyDescent="0.45">
      <c r="A243" s="140">
        <v>3</v>
      </c>
      <c r="B243" s="141" t="s">
        <v>1477</v>
      </c>
      <c r="C243" s="142" t="s">
        <v>1478</v>
      </c>
      <c r="D243" s="143" t="str">
        <f t="shared" si="132"/>
        <v>3.2_5.7.12</v>
      </c>
      <c r="E243" s="56" t="s">
        <v>1038</v>
      </c>
      <c r="F243" s="506" t="s">
        <v>1812</v>
      </c>
      <c r="G243" s="507" t="s">
        <v>39</v>
      </c>
      <c r="H243" s="507" t="s">
        <v>39</v>
      </c>
      <c r="I243" s="507" t="s">
        <v>78</v>
      </c>
      <c r="J243" s="507" t="s">
        <v>39</v>
      </c>
      <c r="K243" s="507" t="s">
        <v>39</v>
      </c>
      <c r="L243" s="507" t="s">
        <v>78</v>
      </c>
      <c r="M243" s="507" t="s">
        <v>79</v>
      </c>
      <c r="N243" s="507" t="s">
        <v>78</v>
      </c>
      <c r="O243" s="57" t="s">
        <v>1039</v>
      </c>
      <c r="P243" s="58" t="s">
        <v>846</v>
      </c>
      <c r="Q243" s="59" t="s">
        <v>1040</v>
      </c>
      <c r="R243" s="60" t="s">
        <v>755</v>
      </c>
      <c r="S243" s="61">
        <v>326</v>
      </c>
      <c r="T243" s="62">
        <f>INDEX('BM MORRO DA CRUZ'!$P$6:$P$402,MATCH($O243,'BM MORRO DA CRUZ'!$K$6:$K$402,0))</f>
        <v>46.05</v>
      </c>
      <c r="U243" s="63">
        <f t="shared" si="133"/>
        <v>15012.3</v>
      </c>
      <c r="V243" s="61">
        <f>IFERROR(SUMIFS('01ª MC'!$W$1:$W$1840,'01ª MC'!$C$1:$C$1840,$D243),0)</f>
        <v>0</v>
      </c>
      <c r="W243" s="63">
        <f t="shared" si="134"/>
        <v>0</v>
      </c>
      <c r="X243" s="61">
        <v>0</v>
      </c>
      <c r="Y243" s="63">
        <f t="shared" si="135"/>
        <v>0</v>
      </c>
      <c r="Z243" s="61">
        <v>0</v>
      </c>
      <c r="AA243" s="63">
        <f t="shared" si="136"/>
        <v>0</v>
      </c>
      <c r="AB243" s="61">
        <v>0</v>
      </c>
      <c r="AC243" s="63">
        <f t="shared" si="137"/>
        <v>0</v>
      </c>
      <c r="AD243" s="61">
        <v>0</v>
      </c>
      <c r="AE243" s="63">
        <f t="shared" si="138"/>
        <v>0</v>
      </c>
      <c r="AF243" s="61">
        <v>0</v>
      </c>
      <c r="AG243" s="63">
        <f t="shared" si="139"/>
        <v>0</v>
      </c>
      <c r="AH243" s="61">
        <v>0</v>
      </c>
      <c r="AI243" s="63">
        <f t="shared" si="140"/>
        <v>0</v>
      </c>
      <c r="AJ243" s="61">
        <v>0</v>
      </c>
      <c r="AK243" s="63">
        <f t="shared" si="141"/>
        <v>0</v>
      </c>
      <c r="AL243" s="61">
        <v>0</v>
      </c>
      <c r="AM243" s="63">
        <f t="shared" si="142"/>
        <v>0</v>
      </c>
      <c r="AN243" s="61">
        <v>0</v>
      </c>
      <c r="AO243" s="63">
        <f t="shared" si="143"/>
        <v>0</v>
      </c>
      <c r="AP243" s="61">
        <v>0</v>
      </c>
      <c r="AQ243" s="63">
        <f t="shared" si="144"/>
        <v>0</v>
      </c>
      <c r="AR243" s="61">
        <v>0</v>
      </c>
      <c r="AS243" s="63">
        <f t="shared" si="145"/>
        <v>0</v>
      </c>
      <c r="AT243" s="61">
        <v>0</v>
      </c>
      <c r="AU243" s="63">
        <f t="shared" si="146"/>
        <v>0</v>
      </c>
      <c r="AV243" s="61">
        <v>0</v>
      </c>
      <c r="AW243" s="63">
        <f t="shared" si="147"/>
        <v>0</v>
      </c>
      <c r="AX243" s="61">
        <v>0</v>
      </c>
      <c r="AY243" s="63">
        <f t="shared" si="148"/>
        <v>0</v>
      </c>
      <c r="AZ243" s="61">
        <v>0</v>
      </c>
      <c r="BA243" s="63">
        <f t="shared" si="149"/>
        <v>0</v>
      </c>
      <c r="BB243" s="61">
        <v>0</v>
      </c>
      <c r="BC243" s="63">
        <f t="shared" si="150"/>
        <v>0</v>
      </c>
      <c r="BD243" s="61">
        <v>0</v>
      </c>
      <c r="BE243" s="63">
        <f t="shared" si="151"/>
        <v>0</v>
      </c>
      <c r="BF243" s="61">
        <f t="shared" si="152"/>
        <v>0</v>
      </c>
      <c r="BG243" s="63">
        <f t="shared" si="153"/>
        <v>0</v>
      </c>
      <c r="BH243" s="45"/>
      <c r="BI243" s="144"/>
    </row>
    <row r="244" spans="1:61" ht="26" customHeight="1" x14ac:dyDescent="0.45">
      <c r="A244" s="140">
        <v>3</v>
      </c>
      <c r="B244" s="141" t="s">
        <v>1477</v>
      </c>
      <c r="C244" s="142" t="s">
        <v>1478</v>
      </c>
      <c r="D244" s="143" t="str">
        <f t="shared" si="132"/>
        <v>3.2_5.7.13</v>
      </c>
      <c r="E244" s="56" t="s">
        <v>1041</v>
      </c>
      <c r="F244" s="506" t="s">
        <v>1813</v>
      </c>
      <c r="G244" s="507" t="s">
        <v>39</v>
      </c>
      <c r="H244" s="507" t="s">
        <v>39</v>
      </c>
      <c r="I244" s="507" t="s">
        <v>1792</v>
      </c>
      <c r="J244" s="507" t="s">
        <v>39</v>
      </c>
      <c r="K244" s="507" t="s">
        <v>39</v>
      </c>
      <c r="L244" s="507" t="s">
        <v>1720</v>
      </c>
      <c r="M244" s="507" t="s">
        <v>79</v>
      </c>
      <c r="N244" s="507" t="s">
        <v>1792</v>
      </c>
      <c r="O244" s="57" t="s">
        <v>1042</v>
      </c>
      <c r="P244" s="58" t="s">
        <v>846</v>
      </c>
      <c r="Q244" s="59" t="s">
        <v>1043</v>
      </c>
      <c r="R244" s="60" t="s">
        <v>755</v>
      </c>
      <c r="S244" s="61">
        <v>32.4</v>
      </c>
      <c r="T244" s="62">
        <f>INDEX('BM MORRO DA CRUZ'!$P$6:$P$402,MATCH($O244,'BM MORRO DA CRUZ'!$K$6:$K$402,0))</f>
        <v>300.37</v>
      </c>
      <c r="U244" s="63">
        <f t="shared" si="133"/>
        <v>9731.99</v>
      </c>
      <c r="V244" s="61">
        <f>IFERROR(SUMIFS('01ª MC'!$W$1:$W$1840,'01ª MC'!$C$1:$C$1840,$D244),0)</f>
        <v>0</v>
      </c>
      <c r="W244" s="63">
        <f t="shared" si="134"/>
        <v>0</v>
      </c>
      <c r="X244" s="61">
        <v>0</v>
      </c>
      <c r="Y244" s="63">
        <f t="shared" si="135"/>
        <v>0</v>
      </c>
      <c r="Z244" s="61">
        <v>0</v>
      </c>
      <c r="AA244" s="63">
        <f t="shared" si="136"/>
        <v>0</v>
      </c>
      <c r="AB244" s="61">
        <v>0</v>
      </c>
      <c r="AC244" s="63">
        <f t="shared" si="137"/>
        <v>0</v>
      </c>
      <c r="AD244" s="61">
        <v>0</v>
      </c>
      <c r="AE244" s="63">
        <f t="shared" si="138"/>
        <v>0</v>
      </c>
      <c r="AF244" s="61">
        <v>0</v>
      </c>
      <c r="AG244" s="63">
        <f t="shared" si="139"/>
        <v>0</v>
      </c>
      <c r="AH244" s="61">
        <v>0</v>
      </c>
      <c r="AI244" s="63">
        <f t="shared" si="140"/>
        <v>0</v>
      </c>
      <c r="AJ244" s="61">
        <v>0</v>
      </c>
      <c r="AK244" s="63">
        <f t="shared" si="141"/>
        <v>0</v>
      </c>
      <c r="AL244" s="61">
        <v>0</v>
      </c>
      <c r="AM244" s="63">
        <f t="shared" si="142"/>
        <v>0</v>
      </c>
      <c r="AN244" s="61">
        <v>0</v>
      </c>
      <c r="AO244" s="63">
        <f t="shared" si="143"/>
        <v>0</v>
      </c>
      <c r="AP244" s="61">
        <v>0</v>
      </c>
      <c r="AQ244" s="63">
        <f t="shared" si="144"/>
        <v>0</v>
      </c>
      <c r="AR244" s="61">
        <v>0</v>
      </c>
      <c r="AS244" s="63">
        <f t="shared" si="145"/>
        <v>0</v>
      </c>
      <c r="AT244" s="61">
        <v>0</v>
      </c>
      <c r="AU244" s="63">
        <f t="shared" si="146"/>
        <v>0</v>
      </c>
      <c r="AV244" s="61">
        <v>0</v>
      </c>
      <c r="AW244" s="63">
        <f t="shared" si="147"/>
        <v>0</v>
      </c>
      <c r="AX244" s="61">
        <v>0</v>
      </c>
      <c r="AY244" s="63">
        <f t="shared" si="148"/>
        <v>0</v>
      </c>
      <c r="AZ244" s="61">
        <v>0</v>
      </c>
      <c r="BA244" s="63">
        <f t="shared" si="149"/>
        <v>0</v>
      </c>
      <c r="BB244" s="61">
        <v>0</v>
      </c>
      <c r="BC244" s="63">
        <f t="shared" si="150"/>
        <v>0</v>
      </c>
      <c r="BD244" s="61">
        <v>0</v>
      </c>
      <c r="BE244" s="63">
        <f t="shared" si="151"/>
        <v>0</v>
      </c>
      <c r="BF244" s="61">
        <f t="shared" si="152"/>
        <v>0</v>
      </c>
      <c r="BG244" s="63">
        <f t="shared" si="153"/>
        <v>0</v>
      </c>
      <c r="BH244" s="45"/>
      <c r="BI244" s="144"/>
    </row>
    <row r="245" spans="1:61" ht="26" customHeight="1" x14ac:dyDescent="0.45">
      <c r="A245" s="140">
        <v>3</v>
      </c>
      <c r="B245" s="141" t="s">
        <v>1477</v>
      </c>
      <c r="C245" s="142" t="s">
        <v>1478</v>
      </c>
      <c r="D245" s="143" t="str">
        <f t="shared" si="132"/>
        <v>3.2_5.7.14</v>
      </c>
      <c r="E245" s="56" t="s">
        <v>1044</v>
      </c>
      <c r="F245" s="506" t="s">
        <v>1813</v>
      </c>
      <c r="G245" s="507" t="s">
        <v>39</v>
      </c>
      <c r="H245" s="507" t="s">
        <v>39</v>
      </c>
      <c r="I245" s="507" t="s">
        <v>1792</v>
      </c>
      <c r="J245" s="507" t="s">
        <v>39</v>
      </c>
      <c r="K245" s="507" t="s">
        <v>39</v>
      </c>
      <c r="L245" s="507" t="s">
        <v>1720</v>
      </c>
      <c r="M245" s="507" t="s">
        <v>79</v>
      </c>
      <c r="N245" s="507" t="s">
        <v>1792</v>
      </c>
      <c r="O245" s="57" t="s">
        <v>1045</v>
      </c>
      <c r="P245" s="58" t="s">
        <v>846</v>
      </c>
      <c r="Q245" s="59" t="s">
        <v>1046</v>
      </c>
      <c r="R245" s="60" t="s">
        <v>755</v>
      </c>
      <c r="S245" s="61">
        <v>15.05</v>
      </c>
      <c r="T245" s="62">
        <f>INDEX('BM MORRO DA CRUZ'!$P$6:$P$402,MATCH($O245,'BM MORRO DA CRUZ'!$K$6:$K$402,0))</f>
        <v>301</v>
      </c>
      <c r="U245" s="63">
        <f t="shared" si="133"/>
        <v>4530.05</v>
      </c>
      <c r="V245" s="61">
        <f>IFERROR(SUMIFS('01ª MC'!$W$1:$W$1840,'01ª MC'!$C$1:$C$1840,$D245),0)</f>
        <v>0</v>
      </c>
      <c r="W245" s="63">
        <f t="shared" si="134"/>
        <v>0</v>
      </c>
      <c r="X245" s="61">
        <v>0</v>
      </c>
      <c r="Y245" s="63">
        <f t="shared" si="135"/>
        <v>0</v>
      </c>
      <c r="Z245" s="61">
        <v>0</v>
      </c>
      <c r="AA245" s="63">
        <f t="shared" si="136"/>
        <v>0</v>
      </c>
      <c r="AB245" s="61">
        <v>0</v>
      </c>
      <c r="AC245" s="63">
        <f t="shared" si="137"/>
        <v>0</v>
      </c>
      <c r="AD245" s="61">
        <v>0</v>
      </c>
      <c r="AE245" s="63">
        <f t="shared" si="138"/>
        <v>0</v>
      </c>
      <c r="AF245" s="61">
        <v>0</v>
      </c>
      <c r="AG245" s="63">
        <f t="shared" si="139"/>
        <v>0</v>
      </c>
      <c r="AH245" s="61">
        <v>0</v>
      </c>
      <c r="AI245" s="63">
        <f t="shared" si="140"/>
        <v>0</v>
      </c>
      <c r="AJ245" s="61">
        <v>0</v>
      </c>
      <c r="AK245" s="63">
        <f t="shared" si="141"/>
        <v>0</v>
      </c>
      <c r="AL245" s="61">
        <v>0</v>
      </c>
      <c r="AM245" s="63">
        <f t="shared" si="142"/>
        <v>0</v>
      </c>
      <c r="AN245" s="61">
        <v>0</v>
      </c>
      <c r="AO245" s="63">
        <f t="shared" si="143"/>
        <v>0</v>
      </c>
      <c r="AP245" s="61">
        <v>0</v>
      </c>
      <c r="AQ245" s="63">
        <f t="shared" si="144"/>
        <v>0</v>
      </c>
      <c r="AR245" s="61">
        <v>0</v>
      </c>
      <c r="AS245" s="63">
        <f t="shared" si="145"/>
        <v>0</v>
      </c>
      <c r="AT245" s="61">
        <v>0</v>
      </c>
      <c r="AU245" s="63">
        <f t="shared" si="146"/>
        <v>0</v>
      </c>
      <c r="AV245" s="61">
        <v>0</v>
      </c>
      <c r="AW245" s="63">
        <f t="shared" si="147"/>
        <v>0</v>
      </c>
      <c r="AX245" s="61">
        <v>0</v>
      </c>
      <c r="AY245" s="63">
        <f t="shared" si="148"/>
        <v>0</v>
      </c>
      <c r="AZ245" s="61">
        <v>0</v>
      </c>
      <c r="BA245" s="63">
        <f t="shared" si="149"/>
        <v>0</v>
      </c>
      <c r="BB245" s="61">
        <v>0</v>
      </c>
      <c r="BC245" s="63">
        <f t="shared" si="150"/>
        <v>0</v>
      </c>
      <c r="BD245" s="61">
        <v>0</v>
      </c>
      <c r="BE245" s="63">
        <f t="shared" si="151"/>
        <v>0</v>
      </c>
      <c r="BF245" s="61">
        <f t="shared" si="152"/>
        <v>0</v>
      </c>
      <c r="BG245" s="63">
        <f t="shared" si="153"/>
        <v>0</v>
      </c>
      <c r="BH245" s="45"/>
      <c r="BI245" s="144"/>
    </row>
    <row r="246" spans="1:61" ht="26" customHeight="1" x14ac:dyDescent="0.45">
      <c r="A246" s="140">
        <v>3</v>
      </c>
      <c r="B246" s="141" t="s">
        <v>1477</v>
      </c>
      <c r="C246" s="142" t="s">
        <v>1478</v>
      </c>
      <c r="D246" s="143" t="str">
        <f t="shared" si="132"/>
        <v>3.2_5.7.15</v>
      </c>
      <c r="E246" s="56" t="s">
        <v>1047</v>
      </c>
      <c r="F246" s="506" t="s">
        <v>1049</v>
      </c>
      <c r="G246" s="507" t="s">
        <v>39</v>
      </c>
      <c r="H246" s="507" t="s">
        <v>39</v>
      </c>
      <c r="I246" s="507" t="s">
        <v>1777</v>
      </c>
      <c r="J246" s="507" t="s">
        <v>39</v>
      </c>
      <c r="K246" s="507" t="s">
        <v>39</v>
      </c>
      <c r="L246" s="507" t="s">
        <v>1745</v>
      </c>
      <c r="M246" s="507" t="s">
        <v>79</v>
      </c>
      <c r="N246" s="507" t="s">
        <v>1777</v>
      </c>
      <c r="O246" s="57" t="s">
        <v>1048</v>
      </c>
      <c r="P246" s="58" t="s">
        <v>846</v>
      </c>
      <c r="Q246" s="59" t="s">
        <v>1049</v>
      </c>
      <c r="R246" s="60" t="s">
        <v>755</v>
      </c>
      <c r="S246" s="61">
        <v>48.6</v>
      </c>
      <c r="T246" s="62">
        <f>INDEX('BM MORRO DA CRUZ'!$P$6:$P$402,MATCH($O246,'BM MORRO DA CRUZ'!$K$6:$K$402,0))</f>
        <v>298.20999999999998</v>
      </c>
      <c r="U246" s="63">
        <f t="shared" si="133"/>
        <v>14493.01</v>
      </c>
      <c r="V246" s="61">
        <f>IFERROR(SUMIFS('01ª MC'!$W$1:$W$1840,'01ª MC'!$C$1:$C$1840,$D246),0)</f>
        <v>0</v>
      </c>
      <c r="W246" s="63">
        <f t="shared" si="134"/>
        <v>0</v>
      </c>
      <c r="X246" s="61">
        <v>0</v>
      </c>
      <c r="Y246" s="63">
        <f t="shared" si="135"/>
        <v>0</v>
      </c>
      <c r="Z246" s="61">
        <v>0</v>
      </c>
      <c r="AA246" s="63">
        <f t="shared" si="136"/>
        <v>0</v>
      </c>
      <c r="AB246" s="61">
        <v>0</v>
      </c>
      <c r="AC246" s="63">
        <f t="shared" si="137"/>
        <v>0</v>
      </c>
      <c r="AD246" s="61">
        <v>0</v>
      </c>
      <c r="AE246" s="63">
        <f t="shared" si="138"/>
        <v>0</v>
      </c>
      <c r="AF246" s="61">
        <v>0</v>
      </c>
      <c r="AG246" s="63">
        <f t="shared" si="139"/>
        <v>0</v>
      </c>
      <c r="AH246" s="61">
        <v>0</v>
      </c>
      <c r="AI246" s="63">
        <f t="shared" si="140"/>
        <v>0</v>
      </c>
      <c r="AJ246" s="61">
        <v>0</v>
      </c>
      <c r="AK246" s="63">
        <f t="shared" si="141"/>
        <v>0</v>
      </c>
      <c r="AL246" s="61">
        <v>0</v>
      </c>
      <c r="AM246" s="63">
        <f t="shared" si="142"/>
        <v>0</v>
      </c>
      <c r="AN246" s="61">
        <v>0</v>
      </c>
      <c r="AO246" s="63">
        <f t="shared" si="143"/>
        <v>0</v>
      </c>
      <c r="AP246" s="61">
        <v>0</v>
      </c>
      <c r="AQ246" s="63">
        <f t="shared" si="144"/>
        <v>0</v>
      </c>
      <c r="AR246" s="61">
        <v>0</v>
      </c>
      <c r="AS246" s="63">
        <f t="shared" si="145"/>
        <v>0</v>
      </c>
      <c r="AT246" s="61">
        <v>0</v>
      </c>
      <c r="AU246" s="63">
        <f t="shared" si="146"/>
        <v>0</v>
      </c>
      <c r="AV246" s="61">
        <v>0</v>
      </c>
      <c r="AW246" s="63">
        <f t="shared" si="147"/>
        <v>0</v>
      </c>
      <c r="AX246" s="61">
        <v>0</v>
      </c>
      <c r="AY246" s="63">
        <f t="shared" si="148"/>
        <v>0</v>
      </c>
      <c r="AZ246" s="61">
        <v>0</v>
      </c>
      <c r="BA246" s="63">
        <f t="shared" si="149"/>
        <v>0</v>
      </c>
      <c r="BB246" s="61">
        <v>0</v>
      </c>
      <c r="BC246" s="63">
        <f t="shared" si="150"/>
        <v>0</v>
      </c>
      <c r="BD246" s="61">
        <v>0</v>
      </c>
      <c r="BE246" s="63">
        <f t="shared" si="151"/>
        <v>0</v>
      </c>
      <c r="BF246" s="61">
        <f t="shared" si="152"/>
        <v>0</v>
      </c>
      <c r="BG246" s="63">
        <f t="shared" si="153"/>
        <v>0</v>
      </c>
      <c r="BH246" s="45"/>
      <c r="BI246" s="144"/>
    </row>
    <row r="247" spans="1:61" ht="19.5" customHeight="1" x14ac:dyDescent="0.45">
      <c r="A247" s="128">
        <v>3</v>
      </c>
      <c r="B247" s="129"/>
      <c r="C247" s="130"/>
      <c r="D247" s="131"/>
      <c r="E247" s="132" t="s">
        <v>1053</v>
      </c>
      <c r="F247" s="515"/>
      <c r="G247" s="516"/>
      <c r="H247" s="516"/>
      <c r="I247" s="516"/>
      <c r="J247" s="516"/>
      <c r="K247" s="516"/>
      <c r="L247" s="516"/>
      <c r="M247" s="516"/>
      <c r="N247" s="516"/>
      <c r="O247" s="133" t="s">
        <v>1054</v>
      </c>
      <c r="P247" s="134"/>
      <c r="Q247" s="135" t="s">
        <v>1055</v>
      </c>
      <c r="R247" s="136"/>
      <c r="S247" s="137"/>
      <c r="T247" s="138"/>
      <c r="U247" s="139">
        <f>SUM(U248:U276)</f>
        <v>31474.33</v>
      </c>
      <c r="V247" s="137"/>
      <c r="W247" s="139">
        <f>SUM(W248:W276)</f>
        <v>0</v>
      </c>
      <c r="X247" s="137"/>
      <c r="Y247" s="139">
        <f>SUM(Y248:Y276)</f>
        <v>0</v>
      </c>
      <c r="Z247" s="137"/>
      <c r="AA247" s="139">
        <f>SUM(AA248:AA276)</f>
        <v>0</v>
      </c>
      <c r="AB247" s="137"/>
      <c r="AC247" s="139">
        <f>SUM(AC248:AC276)</f>
        <v>0</v>
      </c>
      <c r="AD247" s="137"/>
      <c r="AE247" s="139">
        <f>SUM(AE248:AE276)</f>
        <v>0</v>
      </c>
      <c r="AF247" s="137"/>
      <c r="AG247" s="139">
        <f>SUM(AG248:AG276)</f>
        <v>0</v>
      </c>
      <c r="AH247" s="137"/>
      <c r="AI247" s="139">
        <f>SUM(AI248:AI276)</f>
        <v>0</v>
      </c>
      <c r="AJ247" s="137"/>
      <c r="AK247" s="139">
        <f>SUM(AK248:AK276)</f>
        <v>0</v>
      </c>
      <c r="AL247" s="137"/>
      <c r="AM247" s="139">
        <f>SUM(AM248:AM276)</f>
        <v>0</v>
      </c>
      <c r="AN247" s="137"/>
      <c r="AO247" s="139">
        <f>SUM(AO248:AO276)</f>
        <v>0</v>
      </c>
      <c r="AP247" s="137"/>
      <c r="AQ247" s="139">
        <f>SUM(AQ248:AQ276)</f>
        <v>0</v>
      </c>
      <c r="AR247" s="137"/>
      <c r="AS247" s="139">
        <f>SUM(AS248:AS276)</f>
        <v>0</v>
      </c>
      <c r="AT247" s="137"/>
      <c r="AU247" s="139">
        <f>SUM(AU248:AU276)</f>
        <v>0</v>
      </c>
      <c r="AV247" s="137"/>
      <c r="AW247" s="139">
        <f>SUM(AW248:AW276)</f>
        <v>0</v>
      </c>
      <c r="AX247" s="137"/>
      <c r="AY247" s="139">
        <f>SUM(AY248:AY276)</f>
        <v>0</v>
      </c>
      <c r="AZ247" s="137"/>
      <c r="BA247" s="139">
        <f>SUM(BA248:BA276)</f>
        <v>0</v>
      </c>
      <c r="BB247" s="137"/>
      <c r="BC247" s="139">
        <f>SUM(BC248:BC276)</f>
        <v>0</v>
      </c>
      <c r="BD247" s="137"/>
      <c r="BE247" s="139">
        <f>SUM(BE248:BE276)</f>
        <v>0</v>
      </c>
      <c r="BF247" s="137"/>
      <c r="BG247" s="139">
        <f>SUM(BG248:BG276)</f>
        <v>0</v>
      </c>
      <c r="BH247" s="45"/>
    </row>
    <row r="248" spans="1:61" ht="35.65" x14ac:dyDescent="0.45">
      <c r="A248" s="140">
        <v>3</v>
      </c>
      <c r="B248" s="141" t="s">
        <v>1477</v>
      </c>
      <c r="C248" s="142" t="s">
        <v>1478</v>
      </c>
      <c r="D248" s="143" t="str">
        <f t="shared" ref="D248:D276" si="154">B248&amp;"_"&amp;E248</f>
        <v>3.2_5.8.1</v>
      </c>
      <c r="E248" s="56" t="s">
        <v>1056</v>
      </c>
      <c r="F248" s="506" t="s">
        <v>1816</v>
      </c>
      <c r="G248" s="507" t="s">
        <v>1795</v>
      </c>
      <c r="H248" s="507" t="s">
        <v>1795</v>
      </c>
      <c r="I248" s="507" t="s">
        <v>1817</v>
      </c>
      <c r="J248" s="507" t="s">
        <v>1818</v>
      </c>
      <c r="K248" s="507">
        <v>110</v>
      </c>
      <c r="L248" s="507" t="s">
        <v>267</v>
      </c>
      <c r="M248" s="507" t="s">
        <v>79</v>
      </c>
      <c r="N248" s="507" t="s">
        <v>1055</v>
      </c>
      <c r="O248" s="57" t="s">
        <v>1057</v>
      </c>
      <c r="P248" s="58" t="s">
        <v>846</v>
      </c>
      <c r="Q248" s="59" t="s">
        <v>1058</v>
      </c>
      <c r="R248" s="60" t="s">
        <v>71</v>
      </c>
      <c r="S248" s="61">
        <v>4</v>
      </c>
      <c r="T248" s="62">
        <f>INDEX('BM MORRO DA CRUZ'!$P$6:$P$402,MATCH($O248,'BM MORRO DA CRUZ'!$K$6:$K$402,0))</f>
        <v>23.16</v>
      </c>
      <c r="U248" s="63">
        <f t="shared" ref="U248:U276" si="155">ROUND(T248*$S248,2)</f>
        <v>92.64</v>
      </c>
      <c r="V248" s="61">
        <f>IFERROR(SUMIFS('01ª MC'!$W$1:$W$1840,'01ª MC'!$C$1:$C$1840,$D248),0)</f>
        <v>0</v>
      </c>
      <c r="W248" s="63">
        <f t="shared" ref="W248:W276" si="156">ROUND(V248*$T248,2)</f>
        <v>0</v>
      </c>
      <c r="X248" s="61">
        <v>0</v>
      </c>
      <c r="Y248" s="63">
        <f t="shared" ref="Y248:Y276" si="157">ROUND(X248*$T248,2)</f>
        <v>0</v>
      </c>
      <c r="Z248" s="61">
        <v>0</v>
      </c>
      <c r="AA248" s="63">
        <f t="shared" ref="AA248:AA276" si="158">ROUND(Z248*$T248,2)</f>
        <v>0</v>
      </c>
      <c r="AB248" s="61">
        <v>0</v>
      </c>
      <c r="AC248" s="63">
        <f t="shared" ref="AC248:AC276" si="159">ROUND(AB248*$T248,2)</f>
        <v>0</v>
      </c>
      <c r="AD248" s="61">
        <v>0</v>
      </c>
      <c r="AE248" s="63">
        <f t="shared" ref="AE248:AE276" si="160">ROUND(AD248*$T248,2)</f>
        <v>0</v>
      </c>
      <c r="AF248" s="61">
        <v>0</v>
      </c>
      <c r="AG248" s="63">
        <f t="shared" ref="AG248:AG276" si="161">ROUND(AF248*$T248,2)</f>
        <v>0</v>
      </c>
      <c r="AH248" s="61">
        <v>0</v>
      </c>
      <c r="AI248" s="63">
        <f t="shared" ref="AI248:AI276" si="162">ROUND(AH248*$T248,2)</f>
        <v>0</v>
      </c>
      <c r="AJ248" s="61">
        <v>0</v>
      </c>
      <c r="AK248" s="63">
        <f t="shared" ref="AK248:AK276" si="163">ROUND(AJ248*$T248,2)</f>
        <v>0</v>
      </c>
      <c r="AL248" s="61">
        <v>0</v>
      </c>
      <c r="AM248" s="63">
        <f t="shared" ref="AM248:AM276" si="164">ROUND(AL248*$T248,2)</f>
        <v>0</v>
      </c>
      <c r="AN248" s="61">
        <v>0</v>
      </c>
      <c r="AO248" s="63">
        <f t="shared" ref="AO248:AO276" si="165">ROUND(AN248*$T248,2)</f>
        <v>0</v>
      </c>
      <c r="AP248" s="61">
        <v>0</v>
      </c>
      <c r="AQ248" s="63">
        <f t="shared" ref="AQ248:AQ276" si="166">ROUND(AP248*$T248,2)</f>
        <v>0</v>
      </c>
      <c r="AR248" s="61">
        <v>0</v>
      </c>
      <c r="AS248" s="63">
        <f t="shared" ref="AS248:AS276" si="167">ROUND(AR248*$T248,2)</f>
        <v>0</v>
      </c>
      <c r="AT248" s="61">
        <v>0</v>
      </c>
      <c r="AU248" s="63">
        <f t="shared" ref="AU248:AU276" si="168">ROUND(AT248*$T248,2)</f>
        <v>0</v>
      </c>
      <c r="AV248" s="61">
        <v>0</v>
      </c>
      <c r="AW248" s="63">
        <f t="shared" ref="AW248:AW276" si="169">ROUND(AV248*$T248,2)</f>
        <v>0</v>
      </c>
      <c r="AX248" s="61">
        <v>0</v>
      </c>
      <c r="AY248" s="63">
        <f t="shared" ref="AY248:AY276" si="170">ROUND(AX248*$T248,2)</f>
        <v>0</v>
      </c>
      <c r="AZ248" s="61">
        <v>0</v>
      </c>
      <c r="BA248" s="63">
        <f t="shared" ref="BA248:BA276" si="171">ROUND(AZ248*$T248,2)</f>
        <v>0</v>
      </c>
      <c r="BB248" s="61">
        <v>0</v>
      </c>
      <c r="BC248" s="63">
        <f t="shared" ref="BC248:BC276" si="172">ROUND(BB248*$T248,2)</f>
        <v>0</v>
      </c>
      <c r="BD248" s="61">
        <v>0</v>
      </c>
      <c r="BE248" s="63">
        <f t="shared" ref="BE248:BE276" si="173">ROUND(BD248*$T248,2)</f>
        <v>0</v>
      </c>
      <c r="BF248" s="61">
        <f t="shared" ref="BF248:BF276" si="174">IFERROR(SUMIFS($V248:$BE248,$V$5:$BE$5,$BF$5),0)</f>
        <v>0</v>
      </c>
      <c r="BG248" s="63">
        <f t="shared" ref="BG248:BG276" si="175">SUMIFS($V248:$BE248,$V$5:$BE$5,$W$5)</f>
        <v>0</v>
      </c>
      <c r="BH248" s="45"/>
      <c r="BI248" s="144"/>
    </row>
    <row r="249" spans="1:61" ht="35.65" x14ac:dyDescent="0.45">
      <c r="A249" s="140">
        <v>3</v>
      </c>
      <c r="B249" s="141" t="s">
        <v>1477</v>
      </c>
      <c r="C249" s="142" t="s">
        <v>1478</v>
      </c>
      <c r="D249" s="143" t="str">
        <f t="shared" si="154"/>
        <v>3.2_5.8.2</v>
      </c>
      <c r="E249" s="56" t="s">
        <v>1059</v>
      </c>
      <c r="F249" s="506" t="s">
        <v>1816</v>
      </c>
      <c r="G249" s="507" t="s">
        <v>1795</v>
      </c>
      <c r="H249" s="507" t="s">
        <v>1795</v>
      </c>
      <c r="I249" s="507" t="s">
        <v>1817</v>
      </c>
      <c r="J249" s="507" t="s">
        <v>1818</v>
      </c>
      <c r="K249" s="507">
        <v>160</v>
      </c>
      <c r="L249" s="507" t="s">
        <v>267</v>
      </c>
      <c r="M249" s="507" t="s">
        <v>79</v>
      </c>
      <c r="N249" s="507" t="s">
        <v>1055</v>
      </c>
      <c r="O249" s="57" t="s">
        <v>1060</v>
      </c>
      <c r="P249" s="58" t="s">
        <v>846</v>
      </c>
      <c r="Q249" s="59" t="s">
        <v>1061</v>
      </c>
      <c r="R249" s="60" t="s">
        <v>71</v>
      </c>
      <c r="S249" s="61">
        <v>130</v>
      </c>
      <c r="T249" s="62">
        <f>INDEX('BM MORRO DA CRUZ'!$P$6:$P$402,MATCH($O249,'BM MORRO DA CRUZ'!$K$6:$K$402,0))</f>
        <v>33.69</v>
      </c>
      <c r="U249" s="63">
        <f t="shared" si="155"/>
        <v>4379.7</v>
      </c>
      <c r="V249" s="61">
        <f>IFERROR(SUMIFS('01ª MC'!$W$1:$W$1840,'01ª MC'!$C$1:$C$1840,$D249),0)</f>
        <v>0</v>
      </c>
      <c r="W249" s="63">
        <f t="shared" si="156"/>
        <v>0</v>
      </c>
      <c r="X249" s="61">
        <v>0</v>
      </c>
      <c r="Y249" s="63">
        <f t="shared" si="157"/>
        <v>0</v>
      </c>
      <c r="Z249" s="61">
        <v>0</v>
      </c>
      <c r="AA249" s="63">
        <f t="shared" si="158"/>
        <v>0</v>
      </c>
      <c r="AB249" s="61">
        <v>0</v>
      </c>
      <c r="AC249" s="63">
        <f t="shared" si="159"/>
        <v>0</v>
      </c>
      <c r="AD249" s="61">
        <v>0</v>
      </c>
      <c r="AE249" s="63">
        <f t="shared" si="160"/>
        <v>0</v>
      </c>
      <c r="AF249" s="61">
        <v>0</v>
      </c>
      <c r="AG249" s="63">
        <f t="shared" si="161"/>
        <v>0</v>
      </c>
      <c r="AH249" s="61">
        <v>0</v>
      </c>
      <c r="AI249" s="63">
        <f t="shared" si="162"/>
        <v>0</v>
      </c>
      <c r="AJ249" s="61">
        <v>0</v>
      </c>
      <c r="AK249" s="63">
        <f t="shared" si="163"/>
        <v>0</v>
      </c>
      <c r="AL249" s="61">
        <v>0</v>
      </c>
      <c r="AM249" s="63">
        <f t="shared" si="164"/>
        <v>0</v>
      </c>
      <c r="AN249" s="61">
        <v>0</v>
      </c>
      <c r="AO249" s="63">
        <f t="shared" si="165"/>
        <v>0</v>
      </c>
      <c r="AP249" s="61">
        <v>0</v>
      </c>
      <c r="AQ249" s="63">
        <f t="shared" si="166"/>
        <v>0</v>
      </c>
      <c r="AR249" s="61">
        <v>0</v>
      </c>
      <c r="AS249" s="63">
        <f t="shared" si="167"/>
        <v>0</v>
      </c>
      <c r="AT249" s="61">
        <v>0</v>
      </c>
      <c r="AU249" s="63">
        <f t="shared" si="168"/>
        <v>0</v>
      </c>
      <c r="AV249" s="61">
        <v>0</v>
      </c>
      <c r="AW249" s="63">
        <f t="shared" si="169"/>
        <v>0</v>
      </c>
      <c r="AX249" s="61">
        <v>0</v>
      </c>
      <c r="AY249" s="63">
        <f t="shared" si="170"/>
        <v>0</v>
      </c>
      <c r="AZ249" s="61">
        <v>0</v>
      </c>
      <c r="BA249" s="63">
        <f t="shared" si="171"/>
        <v>0</v>
      </c>
      <c r="BB249" s="61">
        <v>0</v>
      </c>
      <c r="BC249" s="63">
        <f t="shared" si="172"/>
        <v>0</v>
      </c>
      <c r="BD249" s="61">
        <v>0</v>
      </c>
      <c r="BE249" s="63">
        <f t="shared" si="173"/>
        <v>0</v>
      </c>
      <c r="BF249" s="61">
        <f t="shared" si="174"/>
        <v>0</v>
      </c>
      <c r="BG249" s="63">
        <f t="shared" si="175"/>
        <v>0</v>
      </c>
      <c r="BH249" s="45"/>
      <c r="BI249" s="144"/>
    </row>
    <row r="250" spans="1:61" ht="35.65" x14ac:dyDescent="0.45">
      <c r="A250" s="140">
        <v>3</v>
      </c>
      <c r="B250" s="141" t="s">
        <v>1477</v>
      </c>
      <c r="C250" s="142" t="s">
        <v>1478</v>
      </c>
      <c r="D250" s="143" t="str">
        <f t="shared" si="154"/>
        <v>3.2_5.8.3</v>
      </c>
      <c r="E250" s="56" t="s">
        <v>1062</v>
      </c>
      <c r="F250" s="506" t="s">
        <v>1816</v>
      </c>
      <c r="G250" s="507" t="s">
        <v>1795</v>
      </c>
      <c r="H250" s="507" t="s">
        <v>1795</v>
      </c>
      <c r="I250" s="507" t="s">
        <v>1817</v>
      </c>
      <c r="J250" s="507" t="s">
        <v>1818</v>
      </c>
      <c r="K250" s="507">
        <v>200</v>
      </c>
      <c r="L250" s="507" t="s">
        <v>267</v>
      </c>
      <c r="M250" s="507" t="s">
        <v>79</v>
      </c>
      <c r="N250" s="507" t="s">
        <v>1055</v>
      </c>
      <c r="O250" s="57" t="s">
        <v>1063</v>
      </c>
      <c r="P250" s="58" t="s">
        <v>846</v>
      </c>
      <c r="Q250" s="59" t="s">
        <v>1064</v>
      </c>
      <c r="R250" s="60" t="s">
        <v>71</v>
      </c>
      <c r="S250" s="61">
        <v>16</v>
      </c>
      <c r="T250" s="62">
        <f>INDEX('BM MORRO DA CRUZ'!$P$6:$P$402,MATCH($O250,'BM MORRO DA CRUZ'!$K$6:$K$402,0))</f>
        <v>42.12</v>
      </c>
      <c r="U250" s="63">
        <f t="shared" si="155"/>
        <v>673.92</v>
      </c>
      <c r="V250" s="61">
        <f>IFERROR(SUMIFS('01ª MC'!$W$1:$W$1840,'01ª MC'!$C$1:$C$1840,$D250),0)</f>
        <v>0</v>
      </c>
      <c r="W250" s="63">
        <f t="shared" si="156"/>
        <v>0</v>
      </c>
      <c r="X250" s="61">
        <v>0</v>
      </c>
      <c r="Y250" s="63">
        <f t="shared" si="157"/>
        <v>0</v>
      </c>
      <c r="Z250" s="61">
        <v>0</v>
      </c>
      <c r="AA250" s="63">
        <f t="shared" si="158"/>
        <v>0</v>
      </c>
      <c r="AB250" s="61">
        <v>0</v>
      </c>
      <c r="AC250" s="63">
        <f t="shared" si="159"/>
        <v>0</v>
      </c>
      <c r="AD250" s="61">
        <v>0</v>
      </c>
      <c r="AE250" s="63">
        <f t="shared" si="160"/>
        <v>0</v>
      </c>
      <c r="AF250" s="61">
        <v>0</v>
      </c>
      <c r="AG250" s="63">
        <f t="shared" si="161"/>
        <v>0</v>
      </c>
      <c r="AH250" s="61">
        <v>0</v>
      </c>
      <c r="AI250" s="63">
        <f t="shared" si="162"/>
        <v>0</v>
      </c>
      <c r="AJ250" s="61">
        <v>0</v>
      </c>
      <c r="AK250" s="63">
        <f t="shared" si="163"/>
        <v>0</v>
      </c>
      <c r="AL250" s="61">
        <v>0</v>
      </c>
      <c r="AM250" s="63">
        <f t="shared" si="164"/>
        <v>0</v>
      </c>
      <c r="AN250" s="61">
        <v>0</v>
      </c>
      <c r="AO250" s="63">
        <f t="shared" si="165"/>
        <v>0</v>
      </c>
      <c r="AP250" s="61">
        <v>0</v>
      </c>
      <c r="AQ250" s="63">
        <f t="shared" si="166"/>
        <v>0</v>
      </c>
      <c r="AR250" s="61">
        <v>0</v>
      </c>
      <c r="AS250" s="63">
        <f t="shared" si="167"/>
        <v>0</v>
      </c>
      <c r="AT250" s="61">
        <v>0</v>
      </c>
      <c r="AU250" s="63">
        <f t="shared" si="168"/>
        <v>0</v>
      </c>
      <c r="AV250" s="61">
        <v>0</v>
      </c>
      <c r="AW250" s="63">
        <f t="shared" si="169"/>
        <v>0</v>
      </c>
      <c r="AX250" s="61">
        <v>0</v>
      </c>
      <c r="AY250" s="63">
        <f t="shared" si="170"/>
        <v>0</v>
      </c>
      <c r="AZ250" s="61">
        <v>0</v>
      </c>
      <c r="BA250" s="63">
        <f t="shared" si="171"/>
        <v>0</v>
      </c>
      <c r="BB250" s="61">
        <v>0</v>
      </c>
      <c r="BC250" s="63">
        <f t="shared" si="172"/>
        <v>0</v>
      </c>
      <c r="BD250" s="61">
        <v>0</v>
      </c>
      <c r="BE250" s="63">
        <f t="shared" si="173"/>
        <v>0</v>
      </c>
      <c r="BF250" s="61">
        <f t="shared" si="174"/>
        <v>0</v>
      </c>
      <c r="BG250" s="63">
        <f t="shared" si="175"/>
        <v>0</v>
      </c>
      <c r="BH250" s="45"/>
      <c r="BI250" s="144"/>
    </row>
    <row r="251" spans="1:61" ht="35.65" x14ac:dyDescent="0.45">
      <c r="A251" s="140">
        <v>3</v>
      </c>
      <c r="B251" s="141" t="s">
        <v>1477</v>
      </c>
      <c r="C251" s="142" t="s">
        <v>1478</v>
      </c>
      <c r="D251" s="143" t="str">
        <f t="shared" si="154"/>
        <v>3.2_5.8.4</v>
      </c>
      <c r="E251" s="56" t="s">
        <v>1065</v>
      </c>
      <c r="F251" s="506" t="s">
        <v>1816</v>
      </c>
      <c r="G251" s="507" t="s">
        <v>1795</v>
      </c>
      <c r="H251" s="507" t="s">
        <v>1795</v>
      </c>
      <c r="I251" s="507" t="s">
        <v>1817</v>
      </c>
      <c r="J251" s="507" t="s">
        <v>1818</v>
      </c>
      <c r="K251" s="507">
        <v>225</v>
      </c>
      <c r="L251" s="507" t="s">
        <v>267</v>
      </c>
      <c r="M251" s="507" t="s">
        <v>79</v>
      </c>
      <c r="N251" s="507" t="s">
        <v>1055</v>
      </c>
      <c r="O251" s="57" t="s">
        <v>1066</v>
      </c>
      <c r="P251" s="58" t="s">
        <v>846</v>
      </c>
      <c r="Q251" s="59" t="s">
        <v>1067</v>
      </c>
      <c r="R251" s="60" t="s">
        <v>71</v>
      </c>
      <c r="S251" s="61">
        <v>38</v>
      </c>
      <c r="T251" s="62">
        <f>INDEX('BM MORRO DA CRUZ'!$P$6:$P$402,MATCH($O251,'BM MORRO DA CRUZ'!$K$6:$K$402,0))</f>
        <v>47.38</v>
      </c>
      <c r="U251" s="63">
        <f t="shared" si="155"/>
        <v>1800.44</v>
      </c>
      <c r="V251" s="61">
        <f>IFERROR(SUMIFS('01ª MC'!$W$1:$W$1840,'01ª MC'!$C$1:$C$1840,$D251),0)</f>
        <v>0</v>
      </c>
      <c r="W251" s="63">
        <f t="shared" si="156"/>
        <v>0</v>
      </c>
      <c r="X251" s="61">
        <v>0</v>
      </c>
      <c r="Y251" s="63">
        <f t="shared" si="157"/>
        <v>0</v>
      </c>
      <c r="Z251" s="61">
        <v>0</v>
      </c>
      <c r="AA251" s="63">
        <f t="shared" si="158"/>
        <v>0</v>
      </c>
      <c r="AB251" s="61">
        <v>0</v>
      </c>
      <c r="AC251" s="63">
        <f t="shared" si="159"/>
        <v>0</v>
      </c>
      <c r="AD251" s="61">
        <v>0</v>
      </c>
      <c r="AE251" s="63">
        <f t="shared" si="160"/>
        <v>0</v>
      </c>
      <c r="AF251" s="61">
        <v>0</v>
      </c>
      <c r="AG251" s="63">
        <f t="shared" si="161"/>
        <v>0</v>
      </c>
      <c r="AH251" s="61">
        <v>0</v>
      </c>
      <c r="AI251" s="63">
        <f t="shared" si="162"/>
        <v>0</v>
      </c>
      <c r="AJ251" s="61">
        <v>0</v>
      </c>
      <c r="AK251" s="63">
        <f t="shared" si="163"/>
        <v>0</v>
      </c>
      <c r="AL251" s="61">
        <v>0</v>
      </c>
      <c r="AM251" s="63">
        <f t="shared" si="164"/>
        <v>0</v>
      </c>
      <c r="AN251" s="61">
        <v>0</v>
      </c>
      <c r="AO251" s="63">
        <f t="shared" si="165"/>
        <v>0</v>
      </c>
      <c r="AP251" s="61">
        <v>0</v>
      </c>
      <c r="AQ251" s="63">
        <f t="shared" si="166"/>
        <v>0</v>
      </c>
      <c r="AR251" s="61">
        <v>0</v>
      </c>
      <c r="AS251" s="63">
        <f t="shared" si="167"/>
        <v>0</v>
      </c>
      <c r="AT251" s="61">
        <v>0</v>
      </c>
      <c r="AU251" s="63">
        <f t="shared" si="168"/>
        <v>0</v>
      </c>
      <c r="AV251" s="61">
        <v>0</v>
      </c>
      <c r="AW251" s="63">
        <f t="shared" si="169"/>
        <v>0</v>
      </c>
      <c r="AX251" s="61">
        <v>0</v>
      </c>
      <c r="AY251" s="63">
        <f t="shared" si="170"/>
        <v>0</v>
      </c>
      <c r="AZ251" s="61">
        <v>0</v>
      </c>
      <c r="BA251" s="63">
        <f t="shared" si="171"/>
        <v>0</v>
      </c>
      <c r="BB251" s="61">
        <v>0</v>
      </c>
      <c r="BC251" s="63">
        <f t="shared" si="172"/>
        <v>0</v>
      </c>
      <c r="BD251" s="61">
        <v>0</v>
      </c>
      <c r="BE251" s="63">
        <f t="shared" si="173"/>
        <v>0</v>
      </c>
      <c r="BF251" s="61">
        <f t="shared" si="174"/>
        <v>0</v>
      </c>
      <c r="BG251" s="63">
        <f t="shared" si="175"/>
        <v>0</v>
      </c>
      <c r="BH251" s="45"/>
      <c r="BI251" s="144"/>
    </row>
    <row r="252" spans="1:61" ht="35.65" x14ac:dyDescent="0.45">
      <c r="A252" s="140">
        <v>3</v>
      </c>
      <c r="B252" s="141" t="s">
        <v>1477</v>
      </c>
      <c r="C252" s="142" t="s">
        <v>1478</v>
      </c>
      <c r="D252" s="143" t="str">
        <f t="shared" si="154"/>
        <v>3.2_5.8.5</v>
      </c>
      <c r="E252" s="56" t="s">
        <v>1068</v>
      </c>
      <c r="F252" s="506" t="s">
        <v>1816</v>
      </c>
      <c r="G252" s="507" t="s">
        <v>1795</v>
      </c>
      <c r="H252" s="507" t="s">
        <v>1795</v>
      </c>
      <c r="I252" s="507" t="s">
        <v>1817</v>
      </c>
      <c r="J252" s="507" t="s">
        <v>1818</v>
      </c>
      <c r="K252" s="507">
        <v>250</v>
      </c>
      <c r="L252" s="507" t="s">
        <v>267</v>
      </c>
      <c r="M252" s="507" t="s">
        <v>79</v>
      </c>
      <c r="N252" s="507" t="s">
        <v>1055</v>
      </c>
      <c r="O252" s="57" t="s">
        <v>1069</v>
      </c>
      <c r="P252" s="58" t="s">
        <v>846</v>
      </c>
      <c r="Q252" s="59" t="s">
        <v>1070</v>
      </c>
      <c r="R252" s="60" t="s">
        <v>71</v>
      </c>
      <c r="S252" s="61">
        <v>32</v>
      </c>
      <c r="T252" s="62">
        <f>INDEX('BM MORRO DA CRUZ'!$P$6:$P$402,MATCH($O252,'BM MORRO DA CRUZ'!$K$6:$K$402,0))</f>
        <v>52.65</v>
      </c>
      <c r="U252" s="63">
        <f t="shared" si="155"/>
        <v>1684.8</v>
      </c>
      <c r="V252" s="61">
        <f>IFERROR(SUMIFS('01ª MC'!$W$1:$W$1840,'01ª MC'!$C$1:$C$1840,$D252),0)</f>
        <v>0</v>
      </c>
      <c r="W252" s="63">
        <f t="shared" si="156"/>
        <v>0</v>
      </c>
      <c r="X252" s="61">
        <v>0</v>
      </c>
      <c r="Y252" s="63">
        <f t="shared" si="157"/>
        <v>0</v>
      </c>
      <c r="Z252" s="61">
        <v>0</v>
      </c>
      <c r="AA252" s="63">
        <f t="shared" si="158"/>
        <v>0</v>
      </c>
      <c r="AB252" s="61">
        <v>0</v>
      </c>
      <c r="AC252" s="63">
        <f t="shared" si="159"/>
        <v>0</v>
      </c>
      <c r="AD252" s="61">
        <v>0</v>
      </c>
      <c r="AE252" s="63">
        <f t="shared" si="160"/>
        <v>0</v>
      </c>
      <c r="AF252" s="61">
        <v>0</v>
      </c>
      <c r="AG252" s="63">
        <f t="shared" si="161"/>
        <v>0</v>
      </c>
      <c r="AH252" s="61">
        <v>0</v>
      </c>
      <c r="AI252" s="63">
        <f t="shared" si="162"/>
        <v>0</v>
      </c>
      <c r="AJ252" s="61">
        <v>0</v>
      </c>
      <c r="AK252" s="63">
        <f t="shared" si="163"/>
        <v>0</v>
      </c>
      <c r="AL252" s="61">
        <v>0</v>
      </c>
      <c r="AM252" s="63">
        <f t="shared" si="164"/>
        <v>0</v>
      </c>
      <c r="AN252" s="61">
        <v>0</v>
      </c>
      <c r="AO252" s="63">
        <f t="shared" si="165"/>
        <v>0</v>
      </c>
      <c r="AP252" s="61">
        <v>0</v>
      </c>
      <c r="AQ252" s="63">
        <f t="shared" si="166"/>
        <v>0</v>
      </c>
      <c r="AR252" s="61">
        <v>0</v>
      </c>
      <c r="AS252" s="63">
        <f t="shared" si="167"/>
        <v>0</v>
      </c>
      <c r="AT252" s="61">
        <v>0</v>
      </c>
      <c r="AU252" s="63">
        <f t="shared" si="168"/>
        <v>0</v>
      </c>
      <c r="AV252" s="61">
        <v>0</v>
      </c>
      <c r="AW252" s="63">
        <f t="shared" si="169"/>
        <v>0</v>
      </c>
      <c r="AX252" s="61">
        <v>0</v>
      </c>
      <c r="AY252" s="63">
        <f t="shared" si="170"/>
        <v>0</v>
      </c>
      <c r="AZ252" s="61">
        <v>0</v>
      </c>
      <c r="BA252" s="63">
        <f t="shared" si="171"/>
        <v>0</v>
      </c>
      <c r="BB252" s="61">
        <v>0</v>
      </c>
      <c r="BC252" s="63">
        <f t="shared" si="172"/>
        <v>0</v>
      </c>
      <c r="BD252" s="61">
        <v>0</v>
      </c>
      <c r="BE252" s="63">
        <f t="shared" si="173"/>
        <v>0</v>
      </c>
      <c r="BF252" s="61">
        <f t="shared" si="174"/>
        <v>0</v>
      </c>
      <c r="BG252" s="63">
        <f t="shared" si="175"/>
        <v>0</v>
      </c>
      <c r="BH252" s="45"/>
      <c r="BI252" s="144"/>
    </row>
    <row r="253" spans="1:61" ht="35.65" x14ac:dyDescent="0.45">
      <c r="A253" s="140">
        <v>3</v>
      </c>
      <c r="B253" s="141" t="s">
        <v>1477</v>
      </c>
      <c r="C253" s="142" t="s">
        <v>1478</v>
      </c>
      <c r="D253" s="143" t="str">
        <f t="shared" si="154"/>
        <v>3.2_5.8.10</v>
      </c>
      <c r="E253" s="56" t="s">
        <v>1083</v>
      </c>
      <c r="F253" s="506" t="s">
        <v>1816</v>
      </c>
      <c r="G253" s="507" t="s">
        <v>1795</v>
      </c>
      <c r="H253" s="507" t="s">
        <v>1795</v>
      </c>
      <c r="I253" s="507" t="s">
        <v>1817</v>
      </c>
      <c r="J253" s="507" t="s">
        <v>1818</v>
      </c>
      <c r="K253" s="507">
        <v>63</v>
      </c>
      <c r="L253" s="507" t="s">
        <v>267</v>
      </c>
      <c r="M253" s="507" t="s">
        <v>79</v>
      </c>
      <c r="N253" s="507" t="s">
        <v>1055</v>
      </c>
      <c r="O253" s="57" t="s">
        <v>1084</v>
      </c>
      <c r="P253" s="58" t="s">
        <v>846</v>
      </c>
      <c r="Q253" s="59" t="s">
        <v>1085</v>
      </c>
      <c r="R253" s="60" t="s">
        <v>71</v>
      </c>
      <c r="S253" s="61">
        <v>360</v>
      </c>
      <c r="T253" s="62">
        <f>INDEX('BM MORRO DA CRUZ'!$P$6:$P$402,MATCH($O253,'BM MORRO DA CRUZ'!$K$6:$K$402,0))</f>
        <v>13.26</v>
      </c>
      <c r="U253" s="63">
        <f t="shared" si="155"/>
        <v>4773.6000000000004</v>
      </c>
      <c r="V253" s="61">
        <f>IFERROR(SUMIFS('01ª MC'!$W$1:$W$1840,'01ª MC'!$C$1:$C$1840,$D253),0)</f>
        <v>0</v>
      </c>
      <c r="W253" s="63">
        <f t="shared" si="156"/>
        <v>0</v>
      </c>
      <c r="X253" s="61">
        <v>0</v>
      </c>
      <c r="Y253" s="63">
        <f t="shared" si="157"/>
        <v>0</v>
      </c>
      <c r="Z253" s="61">
        <v>0</v>
      </c>
      <c r="AA253" s="63">
        <f t="shared" si="158"/>
        <v>0</v>
      </c>
      <c r="AB253" s="61">
        <v>0</v>
      </c>
      <c r="AC253" s="63">
        <f t="shared" si="159"/>
        <v>0</v>
      </c>
      <c r="AD253" s="61">
        <v>0</v>
      </c>
      <c r="AE253" s="63">
        <f t="shared" si="160"/>
        <v>0</v>
      </c>
      <c r="AF253" s="61">
        <v>0</v>
      </c>
      <c r="AG253" s="63">
        <f t="shared" si="161"/>
        <v>0</v>
      </c>
      <c r="AH253" s="61">
        <v>0</v>
      </c>
      <c r="AI253" s="63">
        <f t="shared" si="162"/>
        <v>0</v>
      </c>
      <c r="AJ253" s="61">
        <v>0</v>
      </c>
      <c r="AK253" s="63">
        <f t="shared" si="163"/>
        <v>0</v>
      </c>
      <c r="AL253" s="61">
        <v>0</v>
      </c>
      <c r="AM253" s="63">
        <f t="shared" si="164"/>
        <v>0</v>
      </c>
      <c r="AN253" s="61">
        <v>0</v>
      </c>
      <c r="AO253" s="63">
        <f t="shared" si="165"/>
        <v>0</v>
      </c>
      <c r="AP253" s="61">
        <v>0</v>
      </c>
      <c r="AQ253" s="63">
        <f t="shared" si="166"/>
        <v>0</v>
      </c>
      <c r="AR253" s="61">
        <v>0</v>
      </c>
      <c r="AS253" s="63">
        <f t="shared" si="167"/>
        <v>0</v>
      </c>
      <c r="AT253" s="61">
        <v>0</v>
      </c>
      <c r="AU253" s="63">
        <f t="shared" si="168"/>
        <v>0</v>
      </c>
      <c r="AV253" s="61">
        <v>0</v>
      </c>
      <c r="AW253" s="63">
        <f t="shared" si="169"/>
        <v>0</v>
      </c>
      <c r="AX253" s="61">
        <v>0</v>
      </c>
      <c r="AY253" s="63">
        <f t="shared" si="170"/>
        <v>0</v>
      </c>
      <c r="AZ253" s="61">
        <v>0</v>
      </c>
      <c r="BA253" s="63">
        <f t="shared" si="171"/>
        <v>0</v>
      </c>
      <c r="BB253" s="61">
        <v>0</v>
      </c>
      <c r="BC253" s="63">
        <f t="shared" si="172"/>
        <v>0</v>
      </c>
      <c r="BD253" s="61">
        <v>0</v>
      </c>
      <c r="BE253" s="63">
        <f t="shared" si="173"/>
        <v>0</v>
      </c>
      <c r="BF253" s="61">
        <f t="shared" si="174"/>
        <v>0</v>
      </c>
      <c r="BG253" s="63">
        <f t="shared" si="175"/>
        <v>0</v>
      </c>
      <c r="BH253" s="45"/>
      <c r="BI253" s="144"/>
    </row>
    <row r="254" spans="1:61" ht="35.65" x14ac:dyDescent="0.45">
      <c r="A254" s="140">
        <v>3</v>
      </c>
      <c r="B254" s="141" t="s">
        <v>1477</v>
      </c>
      <c r="C254" s="142" t="s">
        <v>1478</v>
      </c>
      <c r="D254" s="143" t="str">
        <f t="shared" si="154"/>
        <v>3.2_5.8.11</v>
      </c>
      <c r="E254" s="56" t="s">
        <v>1086</v>
      </c>
      <c r="F254" s="506" t="s">
        <v>1816</v>
      </c>
      <c r="G254" s="507" t="s">
        <v>1795</v>
      </c>
      <c r="H254" s="507" t="s">
        <v>1795</v>
      </c>
      <c r="I254" s="507" t="s">
        <v>1817</v>
      </c>
      <c r="J254" s="507" t="s">
        <v>1818</v>
      </c>
      <c r="K254" s="507">
        <v>90</v>
      </c>
      <c r="L254" s="507" t="s">
        <v>267</v>
      </c>
      <c r="M254" s="507" t="s">
        <v>79</v>
      </c>
      <c r="N254" s="507" t="s">
        <v>1055</v>
      </c>
      <c r="O254" s="57" t="s">
        <v>1087</v>
      </c>
      <c r="P254" s="58" t="s">
        <v>846</v>
      </c>
      <c r="Q254" s="59" t="s">
        <v>1088</v>
      </c>
      <c r="R254" s="60" t="s">
        <v>71</v>
      </c>
      <c r="S254" s="61">
        <v>72</v>
      </c>
      <c r="T254" s="62">
        <f>INDEX('BM MORRO DA CRUZ'!$P$6:$P$402,MATCH($O254,'BM MORRO DA CRUZ'!$K$6:$K$402,0))</f>
        <v>18.95</v>
      </c>
      <c r="U254" s="63">
        <f t="shared" si="155"/>
        <v>1364.4</v>
      </c>
      <c r="V254" s="61">
        <f>IFERROR(SUMIFS('01ª MC'!$W$1:$W$1840,'01ª MC'!$C$1:$C$1840,$D254),0)</f>
        <v>0</v>
      </c>
      <c r="W254" s="63">
        <f t="shared" si="156"/>
        <v>0</v>
      </c>
      <c r="X254" s="61">
        <v>0</v>
      </c>
      <c r="Y254" s="63">
        <f t="shared" si="157"/>
        <v>0</v>
      </c>
      <c r="Z254" s="61">
        <v>0</v>
      </c>
      <c r="AA254" s="63">
        <f t="shared" si="158"/>
        <v>0</v>
      </c>
      <c r="AB254" s="61">
        <v>0</v>
      </c>
      <c r="AC254" s="63">
        <f t="shared" si="159"/>
        <v>0</v>
      </c>
      <c r="AD254" s="61">
        <v>0</v>
      </c>
      <c r="AE254" s="63">
        <f t="shared" si="160"/>
        <v>0</v>
      </c>
      <c r="AF254" s="61">
        <v>0</v>
      </c>
      <c r="AG254" s="63">
        <f t="shared" si="161"/>
        <v>0</v>
      </c>
      <c r="AH254" s="61">
        <v>0</v>
      </c>
      <c r="AI254" s="63">
        <f t="shared" si="162"/>
        <v>0</v>
      </c>
      <c r="AJ254" s="61">
        <v>0</v>
      </c>
      <c r="AK254" s="63">
        <f t="shared" si="163"/>
        <v>0</v>
      </c>
      <c r="AL254" s="61">
        <v>0</v>
      </c>
      <c r="AM254" s="63">
        <f t="shared" si="164"/>
        <v>0</v>
      </c>
      <c r="AN254" s="61">
        <v>0</v>
      </c>
      <c r="AO254" s="63">
        <f t="shared" si="165"/>
        <v>0</v>
      </c>
      <c r="AP254" s="61">
        <v>0</v>
      </c>
      <c r="AQ254" s="63">
        <f t="shared" si="166"/>
        <v>0</v>
      </c>
      <c r="AR254" s="61">
        <v>0</v>
      </c>
      <c r="AS254" s="63">
        <f t="shared" si="167"/>
        <v>0</v>
      </c>
      <c r="AT254" s="61">
        <v>0</v>
      </c>
      <c r="AU254" s="63">
        <f t="shared" si="168"/>
        <v>0</v>
      </c>
      <c r="AV254" s="61">
        <v>0</v>
      </c>
      <c r="AW254" s="63">
        <f t="shared" si="169"/>
        <v>0</v>
      </c>
      <c r="AX254" s="61">
        <v>0</v>
      </c>
      <c r="AY254" s="63">
        <f t="shared" si="170"/>
        <v>0</v>
      </c>
      <c r="AZ254" s="61">
        <v>0</v>
      </c>
      <c r="BA254" s="63">
        <f t="shared" si="171"/>
        <v>0</v>
      </c>
      <c r="BB254" s="61">
        <v>0</v>
      </c>
      <c r="BC254" s="63">
        <f t="shared" si="172"/>
        <v>0</v>
      </c>
      <c r="BD254" s="61">
        <v>0</v>
      </c>
      <c r="BE254" s="63">
        <f t="shared" si="173"/>
        <v>0</v>
      </c>
      <c r="BF254" s="61">
        <f t="shared" si="174"/>
        <v>0</v>
      </c>
      <c r="BG254" s="63">
        <f t="shared" si="175"/>
        <v>0</v>
      </c>
      <c r="BH254" s="45"/>
      <c r="BI254" s="144"/>
    </row>
    <row r="255" spans="1:61" ht="26" customHeight="1" x14ac:dyDescent="0.45">
      <c r="A255" s="140">
        <v>3</v>
      </c>
      <c r="B255" s="141" t="s">
        <v>1477</v>
      </c>
      <c r="C255" s="142" t="s">
        <v>1478</v>
      </c>
      <c r="D255" s="143" t="str">
        <f t="shared" si="154"/>
        <v>3.2_5.8.12</v>
      </c>
      <c r="E255" s="56" t="s">
        <v>1089</v>
      </c>
      <c r="F255" s="506" t="s">
        <v>1819</v>
      </c>
      <c r="G255" s="507" t="s">
        <v>1795</v>
      </c>
      <c r="H255" s="507" t="s">
        <v>39</v>
      </c>
      <c r="I255" s="507" t="s">
        <v>1817</v>
      </c>
      <c r="J255" s="507" t="s">
        <v>39</v>
      </c>
      <c r="K255" s="507">
        <v>100</v>
      </c>
      <c r="L255" s="507" t="s">
        <v>125</v>
      </c>
      <c r="M255" s="507" t="s">
        <v>79</v>
      </c>
      <c r="N255" s="507" t="s">
        <v>1055</v>
      </c>
      <c r="O255" s="57" t="s">
        <v>1090</v>
      </c>
      <c r="P255" s="58" t="s">
        <v>846</v>
      </c>
      <c r="Q255" s="59" t="s">
        <v>1091</v>
      </c>
      <c r="R255" s="60" t="s">
        <v>71</v>
      </c>
      <c r="S255" s="61">
        <v>20</v>
      </c>
      <c r="T255" s="62">
        <f>INDEX('BM MORRO DA CRUZ'!$P$6:$P$402,MATCH($O255,'BM MORRO DA CRUZ'!$K$6:$K$402,0))</f>
        <v>60.02</v>
      </c>
      <c r="U255" s="63">
        <f t="shared" si="155"/>
        <v>1200.4000000000001</v>
      </c>
      <c r="V255" s="61">
        <f>IFERROR(SUMIFS('01ª MC'!$W$1:$W$1840,'01ª MC'!$C$1:$C$1840,$D255),0)</f>
        <v>0</v>
      </c>
      <c r="W255" s="63">
        <f t="shared" si="156"/>
        <v>0</v>
      </c>
      <c r="X255" s="61">
        <v>0</v>
      </c>
      <c r="Y255" s="63">
        <f t="shared" si="157"/>
        <v>0</v>
      </c>
      <c r="Z255" s="61">
        <v>0</v>
      </c>
      <c r="AA255" s="63">
        <f t="shared" si="158"/>
        <v>0</v>
      </c>
      <c r="AB255" s="61">
        <v>0</v>
      </c>
      <c r="AC255" s="63">
        <f t="shared" si="159"/>
        <v>0</v>
      </c>
      <c r="AD255" s="61">
        <v>0</v>
      </c>
      <c r="AE255" s="63">
        <f t="shared" si="160"/>
        <v>0</v>
      </c>
      <c r="AF255" s="61">
        <v>0</v>
      </c>
      <c r="AG255" s="63">
        <f t="shared" si="161"/>
        <v>0</v>
      </c>
      <c r="AH255" s="61">
        <v>0</v>
      </c>
      <c r="AI255" s="63">
        <f t="shared" si="162"/>
        <v>0</v>
      </c>
      <c r="AJ255" s="61">
        <v>0</v>
      </c>
      <c r="AK255" s="63">
        <f t="shared" si="163"/>
        <v>0</v>
      </c>
      <c r="AL255" s="61">
        <v>0</v>
      </c>
      <c r="AM255" s="63">
        <f t="shared" si="164"/>
        <v>0</v>
      </c>
      <c r="AN255" s="61">
        <v>0</v>
      </c>
      <c r="AO255" s="63">
        <f t="shared" si="165"/>
        <v>0</v>
      </c>
      <c r="AP255" s="61">
        <v>0</v>
      </c>
      <c r="AQ255" s="63">
        <f t="shared" si="166"/>
        <v>0</v>
      </c>
      <c r="AR255" s="61">
        <v>0</v>
      </c>
      <c r="AS255" s="63">
        <f t="shared" si="167"/>
        <v>0</v>
      </c>
      <c r="AT255" s="61">
        <v>0</v>
      </c>
      <c r="AU255" s="63">
        <f t="shared" si="168"/>
        <v>0</v>
      </c>
      <c r="AV255" s="61">
        <v>0</v>
      </c>
      <c r="AW255" s="63">
        <f t="shared" si="169"/>
        <v>0</v>
      </c>
      <c r="AX255" s="61">
        <v>0</v>
      </c>
      <c r="AY255" s="63">
        <f t="shared" si="170"/>
        <v>0</v>
      </c>
      <c r="AZ255" s="61">
        <v>0</v>
      </c>
      <c r="BA255" s="63">
        <f t="shared" si="171"/>
        <v>0</v>
      </c>
      <c r="BB255" s="61">
        <v>0</v>
      </c>
      <c r="BC255" s="63">
        <f t="shared" si="172"/>
        <v>0</v>
      </c>
      <c r="BD255" s="61">
        <v>0</v>
      </c>
      <c r="BE255" s="63">
        <f t="shared" si="173"/>
        <v>0</v>
      </c>
      <c r="BF255" s="61">
        <f t="shared" si="174"/>
        <v>0</v>
      </c>
      <c r="BG255" s="63">
        <f t="shared" si="175"/>
        <v>0</v>
      </c>
      <c r="BH255" s="45"/>
      <c r="BI255" s="144"/>
    </row>
    <row r="256" spans="1:61" ht="26" customHeight="1" x14ac:dyDescent="0.45">
      <c r="A256" s="140">
        <v>3</v>
      </c>
      <c r="B256" s="141" t="s">
        <v>1477</v>
      </c>
      <c r="C256" s="142" t="s">
        <v>1478</v>
      </c>
      <c r="D256" s="143" t="str">
        <f t="shared" si="154"/>
        <v>3.2_5.8.13</v>
      </c>
      <c r="E256" s="56" t="s">
        <v>1092</v>
      </c>
      <c r="F256" s="506" t="s">
        <v>1819</v>
      </c>
      <c r="G256" s="507" t="s">
        <v>1795</v>
      </c>
      <c r="H256" s="507" t="s">
        <v>39</v>
      </c>
      <c r="I256" s="507" t="s">
        <v>1817</v>
      </c>
      <c r="J256" s="507" t="s">
        <v>39</v>
      </c>
      <c r="K256" s="507">
        <v>150</v>
      </c>
      <c r="L256" s="507" t="s">
        <v>125</v>
      </c>
      <c r="M256" s="507" t="s">
        <v>79</v>
      </c>
      <c r="N256" s="507" t="s">
        <v>1055</v>
      </c>
      <c r="O256" s="57" t="s">
        <v>1093</v>
      </c>
      <c r="P256" s="58" t="s">
        <v>846</v>
      </c>
      <c r="Q256" s="59" t="s">
        <v>1094</v>
      </c>
      <c r="R256" s="60" t="s">
        <v>71</v>
      </c>
      <c r="S256" s="61">
        <v>38</v>
      </c>
      <c r="T256" s="62">
        <f>INDEX('BM MORRO DA CRUZ'!$P$6:$P$402,MATCH($O256,'BM MORRO DA CRUZ'!$K$6:$K$402,0))</f>
        <v>84.67</v>
      </c>
      <c r="U256" s="63">
        <f t="shared" si="155"/>
        <v>3217.46</v>
      </c>
      <c r="V256" s="61">
        <f>IFERROR(SUMIFS('01ª MC'!$W$1:$W$1840,'01ª MC'!$C$1:$C$1840,$D256),0)</f>
        <v>0</v>
      </c>
      <c r="W256" s="63">
        <f t="shared" si="156"/>
        <v>0</v>
      </c>
      <c r="X256" s="61">
        <v>0</v>
      </c>
      <c r="Y256" s="63">
        <f t="shared" si="157"/>
        <v>0</v>
      </c>
      <c r="Z256" s="61">
        <v>0</v>
      </c>
      <c r="AA256" s="63">
        <f t="shared" si="158"/>
        <v>0</v>
      </c>
      <c r="AB256" s="61">
        <v>0</v>
      </c>
      <c r="AC256" s="63">
        <f t="shared" si="159"/>
        <v>0</v>
      </c>
      <c r="AD256" s="61">
        <v>0</v>
      </c>
      <c r="AE256" s="63">
        <f t="shared" si="160"/>
        <v>0</v>
      </c>
      <c r="AF256" s="61">
        <v>0</v>
      </c>
      <c r="AG256" s="63">
        <f t="shared" si="161"/>
        <v>0</v>
      </c>
      <c r="AH256" s="61">
        <v>0</v>
      </c>
      <c r="AI256" s="63">
        <f t="shared" si="162"/>
        <v>0</v>
      </c>
      <c r="AJ256" s="61">
        <v>0</v>
      </c>
      <c r="AK256" s="63">
        <f t="shared" si="163"/>
        <v>0</v>
      </c>
      <c r="AL256" s="61">
        <v>0</v>
      </c>
      <c r="AM256" s="63">
        <f t="shared" si="164"/>
        <v>0</v>
      </c>
      <c r="AN256" s="61">
        <v>0</v>
      </c>
      <c r="AO256" s="63">
        <f t="shared" si="165"/>
        <v>0</v>
      </c>
      <c r="AP256" s="61">
        <v>0</v>
      </c>
      <c r="AQ256" s="63">
        <f t="shared" si="166"/>
        <v>0</v>
      </c>
      <c r="AR256" s="61">
        <v>0</v>
      </c>
      <c r="AS256" s="63">
        <f t="shared" si="167"/>
        <v>0</v>
      </c>
      <c r="AT256" s="61">
        <v>0</v>
      </c>
      <c r="AU256" s="63">
        <f t="shared" si="168"/>
        <v>0</v>
      </c>
      <c r="AV256" s="61">
        <v>0</v>
      </c>
      <c r="AW256" s="63">
        <f t="shared" si="169"/>
        <v>0</v>
      </c>
      <c r="AX256" s="61">
        <v>0</v>
      </c>
      <c r="AY256" s="63">
        <f t="shared" si="170"/>
        <v>0</v>
      </c>
      <c r="AZ256" s="61">
        <v>0</v>
      </c>
      <c r="BA256" s="63">
        <f t="shared" si="171"/>
        <v>0</v>
      </c>
      <c r="BB256" s="61">
        <v>0</v>
      </c>
      <c r="BC256" s="63">
        <f t="shared" si="172"/>
        <v>0</v>
      </c>
      <c r="BD256" s="61">
        <v>0</v>
      </c>
      <c r="BE256" s="63">
        <f t="shared" si="173"/>
        <v>0</v>
      </c>
      <c r="BF256" s="61">
        <f t="shared" si="174"/>
        <v>0</v>
      </c>
      <c r="BG256" s="63">
        <f t="shared" si="175"/>
        <v>0</v>
      </c>
      <c r="BH256" s="45"/>
      <c r="BI256" s="144"/>
    </row>
    <row r="257" spans="1:61" ht="26" customHeight="1" x14ac:dyDescent="0.45">
      <c r="A257" s="140">
        <v>3</v>
      </c>
      <c r="B257" s="141" t="s">
        <v>1477</v>
      </c>
      <c r="C257" s="142" t="s">
        <v>1478</v>
      </c>
      <c r="D257" s="143" t="str">
        <f t="shared" si="154"/>
        <v>3.2_5.8.14</v>
      </c>
      <c r="E257" s="56" t="s">
        <v>1095</v>
      </c>
      <c r="F257" s="506" t="s">
        <v>1819</v>
      </c>
      <c r="G257" s="507" t="s">
        <v>1795</v>
      </c>
      <c r="H257" s="507" t="s">
        <v>39</v>
      </c>
      <c r="I257" s="507" t="s">
        <v>1817</v>
      </c>
      <c r="J257" s="507" t="s">
        <v>39</v>
      </c>
      <c r="K257" s="507">
        <v>200</v>
      </c>
      <c r="L257" s="507" t="s">
        <v>125</v>
      </c>
      <c r="M257" s="507" t="s">
        <v>79</v>
      </c>
      <c r="N257" s="507" t="s">
        <v>1055</v>
      </c>
      <c r="O257" s="57" t="s">
        <v>1096</v>
      </c>
      <c r="P257" s="58" t="s">
        <v>846</v>
      </c>
      <c r="Q257" s="59" t="s">
        <v>1097</v>
      </c>
      <c r="R257" s="60" t="s">
        <v>71</v>
      </c>
      <c r="S257" s="61">
        <v>21</v>
      </c>
      <c r="T257" s="62">
        <f>INDEX('BM MORRO DA CRUZ'!$P$6:$P$402,MATCH($O257,'BM MORRO DA CRUZ'!$K$6:$K$402,0))</f>
        <v>109.32</v>
      </c>
      <c r="U257" s="63">
        <f t="shared" si="155"/>
        <v>2295.7199999999998</v>
      </c>
      <c r="V257" s="61">
        <f>IFERROR(SUMIFS('01ª MC'!$W$1:$W$1840,'01ª MC'!$C$1:$C$1840,$D257),0)</f>
        <v>0</v>
      </c>
      <c r="W257" s="63">
        <f t="shared" si="156"/>
        <v>0</v>
      </c>
      <c r="X257" s="61">
        <v>0</v>
      </c>
      <c r="Y257" s="63">
        <f t="shared" si="157"/>
        <v>0</v>
      </c>
      <c r="Z257" s="61">
        <v>0</v>
      </c>
      <c r="AA257" s="63">
        <f t="shared" si="158"/>
        <v>0</v>
      </c>
      <c r="AB257" s="61">
        <v>0</v>
      </c>
      <c r="AC257" s="63">
        <f t="shared" si="159"/>
        <v>0</v>
      </c>
      <c r="AD257" s="61">
        <v>0</v>
      </c>
      <c r="AE257" s="63">
        <f t="shared" si="160"/>
        <v>0</v>
      </c>
      <c r="AF257" s="61">
        <v>0</v>
      </c>
      <c r="AG257" s="63">
        <f t="shared" si="161"/>
        <v>0</v>
      </c>
      <c r="AH257" s="61">
        <v>0</v>
      </c>
      <c r="AI257" s="63">
        <f t="shared" si="162"/>
        <v>0</v>
      </c>
      <c r="AJ257" s="61">
        <v>0</v>
      </c>
      <c r="AK257" s="63">
        <f t="shared" si="163"/>
        <v>0</v>
      </c>
      <c r="AL257" s="61">
        <v>0</v>
      </c>
      <c r="AM257" s="63">
        <f t="shared" si="164"/>
        <v>0</v>
      </c>
      <c r="AN257" s="61">
        <v>0</v>
      </c>
      <c r="AO257" s="63">
        <f t="shared" si="165"/>
        <v>0</v>
      </c>
      <c r="AP257" s="61">
        <v>0</v>
      </c>
      <c r="AQ257" s="63">
        <f t="shared" si="166"/>
        <v>0</v>
      </c>
      <c r="AR257" s="61">
        <v>0</v>
      </c>
      <c r="AS257" s="63">
        <f t="shared" si="167"/>
        <v>0</v>
      </c>
      <c r="AT257" s="61">
        <v>0</v>
      </c>
      <c r="AU257" s="63">
        <f t="shared" si="168"/>
        <v>0</v>
      </c>
      <c r="AV257" s="61">
        <v>0</v>
      </c>
      <c r="AW257" s="63">
        <f t="shared" si="169"/>
        <v>0</v>
      </c>
      <c r="AX257" s="61">
        <v>0</v>
      </c>
      <c r="AY257" s="63">
        <f t="shared" si="170"/>
        <v>0</v>
      </c>
      <c r="AZ257" s="61">
        <v>0</v>
      </c>
      <c r="BA257" s="63">
        <f t="shared" si="171"/>
        <v>0</v>
      </c>
      <c r="BB257" s="61">
        <v>0</v>
      </c>
      <c r="BC257" s="63">
        <f t="shared" si="172"/>
        <v>0</v>
      </c>
      <c r="BD257" s="61">
        <v>0</v>
      </c>
      <c r="BE257" s="63">
        <f t="shared" si="173"/>
        <v>0</v>
      </c>
      <c r="BF257" s="61">
        <f t="shared" si="174"/>
        <v>0</v>
      </c>
      <c r="BG257" s="63">
        <f t="shared" si="175"/>
        <v>0</v>
      </c>
      <c r="BH257" s="45"/>
      <c r="BI257" s="144"/>
    </row>
    <row r="258" spans="1:61" ht="26" customHeight="1" x14ac:dyDescent="0.45">
      <c r="A258" s="140">
        <v>3</v>
      </c>
      <c r="B258" s="141" t="s">
        <v>1477</v>
      </c>
      <c r="C258" s="142" t="s">
        <v>1478</v>
      </c>
      <c r="D258" s="143" t="str">
        <f t="shared" si="154"/>
        <v>3.2_5.8.15</v>
      </c>
      <c r="E258" s="56" t="s">
        <v>1098</v>
      </c>
      <c r="F258" s="506" t="s">
        <v>1819</v>
      </c>
      <c r="G258" s="507" t="s">
        <v>1795</v>
      </c>
      <c r="H258" s="507" t="s">
        <v>39</v>
      </c>
      <c r="I258" s="507" t="s">
        <v>1817</v>
      </c>
      <c r="J258" s="507" t="s">
        <v>39</v>
      </c>
      <c r="K258" s="507">
        <v>250</v>
      </c>
      <c r="L258" s="507" t="s">
        <v>125</v>
      </c>
      <c r="M258" s="507" t="s">
        <v>79</v>
      </c>
      <c r="N258" s="507" t="s">
        <v>1055</v>
      </c>
      <c r="O258" s="57" t="s">
        <v>1099</v>
      </c>
      <c r="P258" s="58" t="s">
        <v>846</v>
      </c>
      <c r="Q258" s="59" t="s">
        <v>1100</v>
      </c>
      <c r="R258" s="60" t="s">
        <v>71</v>
      </c>
      <c r="S258" s="61">
        <v>3</v>
      </c>
      <c r="T258" s="62">
        <f>INDEX('BM MORRO DA CRUZ'!$P$6:$P$402,MATCH($O258,'BM MORRO DA CRUZ'!$K$6:$K$402,0))</f>
        <v>180.27</v>
      </c>
      <c r="U258" s="63">
        <f t="shared" si="155"/>
        <v>540.80999999999995</v>
      </c>
      <c r="V258" s="61">
        <f>IFERROR(SUMIFS('01ª MC'!$W$1:$W$1840,'01ª MC'!$C$1:$C$1840,$D258),0)</f>
        <v>0</v>
      </c>
      <c r="W258" s="63">
        <f t="shared" si="156"/>
        <v>0</v>
      </c>
      <c r="X258" s="61">
        <v>0</v>
      </c>
      <c r="Y258" s="63">
        <f t="shared" si="157"/>
        <v>0</v>
      </c>
      <c r="Z258" s="61">
        <v>0</v>
      </c>
      <c r="AA258" s="63">
        <f t="shared" si="158"/>
        <v>0</v>
      </c>
      <c r="AB258" s="61">
        <v>0</v>
      </c>
      <c r="AC258" s="63">
        <f t="shared" si="159"/>
        <v>0</v>
      </c>
      <c r="AD258" s="61">
        <v>0</v>
      </c>
      <c r="AE258" s="63">
        <f t="shared" si="160"/>
        <v>0</v>
      </c>
      <c r="AF258" s="61">
        <v>0</v>
      </c>
      <c r="AG258" s="63">
        <f t="shared" si="161"/>
        <v>0</v>
      </c>
      <c r="AH258" s="61">
        <v>0</v>
      </c>
      <c r="AI258" s="63">
        <f t="shared" si="162"/>
        <v>0</v>
      </c>
      <c r="AJ258" s="61">
        <v>0</v>
      </c>
      <c r="AK258" s="63">
        <f t="shared" si="163"/>
        <v>0</v>
      </c>
      <c r="AL258" s="61">
        <v>0</v>
      </c>
      <c r="AM258" s="63">
        <f t="shared" si="164"/>
        <v>0</v>
      </c>
      <c r="AN258" s="61">
        <v>0</v>
      </c>
      <c r="AO258" s="63">
        <f t="shared" si="165"/>
        <v>0</v>
      </c>
      <c r="AP258" s="61">
        <v>0</v>
      </c>
      <c r="AQ258" s="63">
        <f t="shared" si="166"/>
        <v>0</v>
      </c>
      <c r="AR258" s="61">
        <v>0</v>
      </c>
      <c r="AS258" s="63">
        <f t="shared" si="167"/>
        <v>0</v>
      </c>
      <c r="AT258" s="61">
        <v>0</v>
      </c>
      <c r="AU258" s="63">
        <f t="shared" si="168"/>
        <v>0</v>
      </c>
      <c r="AV258" s="61">
        <v>0</v>
      </c>
      <c r="AW258" s="63">
        <f t="shared" si="169"/>
        <v>0</v>
      </c>
      <c r="AX258" s="61">
        <v>0</v>
      </c>
      <c r="AY258" s="63">
        <f t="shared" si="170"/>
        <v>0</v>
      </c>
      <c r="AZ258" s="61">
        <v>0</v>
      </c>
      <c r="BA258" s="63">
        <f t="shared" si="171"/>
        <v>0</v>
      </c>
      <c r="BB258" s="61">
        <v>0</v>
      </c>
      <c r="BC258" s="63">
        <f t="shared" si="172"/>
        <v>0</v>
      </c>
      <c r="BD258" s="61">
        <v>0</v>
      </c>
      <c r="BE258" s="63">
        <f t="shared" si="173"/>
        <v>0</v>
      </c>
      <c r="BF258" s="61">
        <f t="shared" si="174"/>
        <v>0</v>
      </c>
      <c r="BG258" s="63">
        <f t="shared" si="175"/>
        <v>0</v>
      </c>
      <c r="BH258" s="45"/>
      <c r="BI258" s="144"/>
    </row>
    <row r="259" spans="1:61" ht="26" customHeight="1" x14ac:dyDescent="0.45">
      <c r="A259" s="140">
        <v>3</v>
      </c>
      <c r="B259" s="141" t="s">
        <v>1477</v>
      </c>
      <c r="C259" s="142" t="s">
        <v>1478</v>
      </c>
      <c r="D259" s="143" t="str">
        <f t="shared" si="154"/>
        <v>3.2_5.8.16</v>
      </c>
      <c r="E259" s="56" t="s">
        <v>1101</v>
      </c>
      <c r="F259" s="506" t="s">
        <v>1819</v>
      </c>
      <c r="G259" s="507" t="s">
        <v>1795</v>
      </c>
      <c r="H259" s="507" t="s">
        <v>39</v>
      </c>
      <c r="I259" s="507" t="s">
        <v>1817</v>
      </c>
      <c r="J259" s="507" t="s">
        <v>39</v>
      </c>
      <c r="K259" s="507">
        <v>300</v>
      </c>
      <c r="L259" s="507" t="s">
        <v>125</v>
      </c>
      <c r="M259" s="507" t="s">
        <v>79</v>
      </c>
      <c r="N259" s="507" t="s">
        <v>1055</v>
      </c>
      <c r="O259" s="57" t="s">
        <v>1102</v>
      </c>
      <c r="P259" s="58" t="s">
        <v>846</v>
      </c>
      <c r="Q259" s="59" t="s">
        <v>1103</v>
      </c>
      <c r="R259" s="60" t="s">
        <v>71</v>
      </c>
      <c r="S259" s="61">
        <v>2</v>
      </c>
      <c r="T259" s="62">
        <f>INDEX('BM MORRO DA CRUZ'!$P$6:$P$402,MATCH($O259,'BM MORRO DA CRUZ'!$K$6:$K$402,0))</f>
        <v>204.91</v>
      </c>
      <c r="U259" s="63">
        <f t="shared" si="155"/>
        <v>409.82</v>
      </c>
      <c r="V259" s="61">
        <f>IFERROR(SUMIFS('01ª MC'!$W$1:$W$1840,'01ª MC'!$C$1:$C$1840,$D259),0)</f>
        <v>0</v>
      </c>
      <c r="W259" s="63">
        <f t="shared" si="156"/>
        <v>0</v>
      </c>
      <c r="X259" s="61">
        <v>0</v>
      </c>
      <c r="Y259" s="63">
        <f t="shared" si="157"/>
        <v>0</v>
      </c>
      <c r="Z259" s="61">
        <v>0</v>
      </c>
      <c r="AA259" s="63">
        <f t="shared" si="158"/>
        <v>0</v>
      </c>
      <c r="AB259" s="61">
        <v>0</v>
      </c>
      <c r="AC259" s="63">
        <f t="shared" si="159"/>
        <v>0</v>
      </c>
      <c r="AD259" s="61">
        <v>0</v>
      </c>
      <c r="AE259" s="63">
        <f t="shared" si="160"/>
        <v>0</v>
      </c>
      <c r="AF259" s="61">
        <v>0</v>
      </c>
      <c r="AG259" s="63">
        <f t="shared" si="161"/>
        <v>0</v>
      </c>
      <c r="AH259" s="61">
        <v>0</v>
      </c>
      <c r="AI259" s="63">
        <f t="shared" si="162"/>
        <v>0</v>
      </c>
      <c r="AJ259" s="61">
        <v>0</v>
      </c>
      <c r="AK259" s="63">
        <f t="shared" si="163"/>
        <v>0</v>
      </c>
      <c r="AL259" s="61">
        <v>0</v>
      </c>
      <c r="AM259" s="63">
        <f t="shared" si="164"/>
        <v>0</v>
      </c>
      <c r="AN259" s="61">
        <v>0</v>
      </c>
      <c r="AO259" s="63">
        <f t="shared" si="165"/>
        <v>0</v>
      </c>
      <c r="AP259" s="61">
        <v>0</v>
      </c>
      <c r="AQ259" s="63">
        <f t="shared" si="166"/>
        <v>0</v>
      </c>
      <c r="AR259" s="61">
        <v>0</v>
      </c>
      <c r="AS259" s="63">
        <f t="shared" si="167"/>
        <v>0</v>
      </c>
      <c r="AT259" s="61">
        <v>0</v>
      </c>
      <c r="AU259" s="63">
        <f t="shared" si="168"/>
        <v>0</v>
      </c>
      <c r="AV259" s="61">
        <v>0</v>
      </c>
      <c r="AW259" s="63">
        <f t="shared" si="169"/>
        <v>0</v>
      </c>
      <c r="AX259" s="61">
        <v>0</v>
      </c>
      <c r="AY259" s="63">
        <f t="shared" si="170"/>
        <v>0</v>
      </c>
      <c r="AZ259" s="61">
        <v>0</v>
      </c>
      <c r="BA259" s="63">
        <f t="shared" si="171"/>
        <v>0</v>
      </c>
      <c r="BB259" s="61">
        <v>0</v>
      </c>
      <c r="BC259" s="63">
        <f t="shared" si="172"/>
        <v>0</v>
      </c>
      <c r="BD259" s="61">
        <v>0</v>
      </c>
      <c r="BE259" s="63">
        <f t="shared" si="173"/>
        <v>0</v>
      </c>
      <c r="BF259" s="61">
        <f t="shared" si="174"/>
        <v>0</v>
      </c>
      <c r="BG259" s="63">
        <f t="shared" si="175"/>
        <v>0</v>
      </c>
      <c r="BH259" s="45"/>
      <c r="BI259" s="144"/>
    </row>
    <row r="260" spans="1:61" ht="26" customHeight="1" x14ac:dyDescent="0.45">
      <c r="A260" s="140">
        <v>3</v>
      </c>
      <c r="B260" s="141" t="s">
        <v>1477</v>
      </c>
      <c r="C260" s="142" t="s">
        <v>1478</v>
      </c>
      <c r="D260" s="143" t="str">
        <f t="shared" si="154"/>
        <v>3.2_5.8.17</v>
      </c>
      <c r="E260" s="56" t="s">
        <v>1104</v>
      </c>
      <c r="F260" s="506" t="s">
        <v>1819</v>
      </c>
      <c r="G260" s="507" t="s">
        <v>1795</v>
      </c>
      <c r="H260" s="507" t="s">
        <v>39</v>
      </c>
      <c r="I260" s="507" t="s">
        <v>1817</v>
      </c>
      <c r="J260" s="507" t="s">
        <v>39</v>
      </c>
      <c r="K260" s="507">
        <v>350</v>
      </c>
      <c r="L260" s="507" t="s">
        <v>125</v>
      </c>
      <c r="M260" s="507" t="s">
        <v>79</v>
      </c>
      <c r="N260" s="507" t="s">
        <v>1055</v>
      </c>
      <c r="O260" s="57" t="s">
        <v>1105</v>
      </c>
      <c r="P260" s="58" t="s">
        <v>846</v>
      </c>
      <c r="Q260" s="59" t="s">
        <v>1106</v>
      </c>
      <c r="R260" s="60" t="s">
        <v>71</v>
      </c>
      <c r="S260" s="61">
        <v>6</v>
      </c>
      <c r="T260" s="62">
        <f>INDEX('BM MORRO DA CRUZ'!$P$6:$P$402,MATCH($O260,'BM MORRO DA CRUZ'!$K$6:$K$402,0))</f>
        <v>275.88</v>
      </c>
      <c r="U260" s="63">
        <f t="shared" si="155"/>
        <v>1655.28</v>
      </c>
      <c r="V260" s="61">
        <f>IFERROR(SUMIFS('01ª MC'!$W$1:$W$1840,'01ª MC'!$C$1:$C$1840,$D260),0)</f>
        <v>0</v>
      </c>
      <c r="W260" s="63">
        <f t="shared" si="156"/>
        <v>0</v>
      </c>
      <c r="X260" s="61">
        <v>0</v>
      </c>
      <c r="Y260" s="63">
        <f t="shared" si="157"/>
        <v>0</v>
      </c>
      <c r="Z260" s="61">
        <v>0</v>
      </c>
      <c r="AA260" s="63">
        <f t="shared" si="158"/>
        <v>0</v>
      </c>
      <c r="AB260" s="61">
        <v>0</v>
      </c>
      <c r="AC260" s="63">
        <f t="shared" si="159"/>
        <v>0</v>
      </c>
      <c r="AD260" s="61">
        <v>0</v>
      </c>
      <c r="AE260" s="63">
        <f t="shared" si="160"/>
        <v>0</v>
      </c>
      <c r="AF260" s="61">
        <v>0</v>
      </c>
      <c r="AG260" s="63">
        <f t="shared" si="161"/>
        <v>0</v>
      </c>
      <c r="AH260" s="61">
        <v>0</v>
      </c>
      <c r="AI260" s="63">
        <f t="shared" si="162"/>
        <v>0</v>
      </c>
      <c r="AJ260" s="61">
        <v>0</v>
      </c>
      <c r="AK260" s="63">
        <f t="shared" si="163"/>
        <v>0</v>
      </c>
      <c r="AL260" s="61">
        <v>0</v>
      </c>
      <c r="AM260" s="63">
        <f t="shared" si="164"/>
        <v>0</v>
      </c>
      <c r="AN260" s="61">
        <v>0</v>
      </c>
      <c r="AO260" s="63">
        <f t="shared" si="165"/>
        <v>0</v>
      </c>
      <c r="AP260" s="61">
        <v>0</v>
      </c>
      <c r="AQ260" s="63">
        <f t="shared" si="166"/>
        <v>0</v>
      </c>
      <c r="AR260" s="61">
        <v>0</v>
      </c>
      <c r="AS260" s="63">
        <f t="shared" si="167"/>
        <v>0</v>
      </c>
      <c r="AT260" s="61">
        <v>0</v>
      </c>
      <c r="AU260" s="63">
        <f t="shared" si="168"/>
        <v>0</v>
      </c>
      <c r="AV260" s="61">
        <v>0</v>
      </c>
      <c r="AW260" s="63">
        <f t="shared" si="169"/>
        <v>0</v>
      </c>
      <c r="AX260" s="61">
        <v>0</v>
      </c>
      <c r="AY260" s="63">
        <f t="shared" si="170"/>
        <v>0</v>
      </c>
      <c r="AZ260" s="61">
        <v>0</v>
      </c>
      <c r="BA260" s="63">
        <f t="shared" si="171"/>
        <v>0</v>
      </c>
      <c r="BB260" s="61">
        <v>0</v>
      </c>
      <c r="BC260" s="63">
        <f t="shared" si="172"/>
        <v>0</v>
      </c>
      <c r="BD260" s="61">
        <v>0</v>
      </c>
      <c r="BE260" s="63">
        <f t="shared" si="173"/>
        <v>0</v>
      </c>
      <c r="BF260" s="61">
        <f t="shared" si="174"/>
        <v>0</v>
      </c>
      <c r="BG260" s="63">
        <f t="shared" si="175"/>
        <v>0</v>
      </c>
      <c r="BH260" s="45"/>
      <c r="BI260" s="144"/>
    </row>
    <row r="261" spans="1:61" ht="26" customHeight="1" x14ac:dyDescent="0.45">
      <c r="A261" s="140">
        <v>3</v>
      </c>
      <c r="B261" s="141" t="s">
        <v>1477</v>
      </c>
      <c r="C261" s="142" t="s">
        <v>1478</v>
      </c>
      <c r="D261" s="143" t="str">
        <f t="shared" si="154"/>
        <v>3.2_5.8.18</v>
      </c>
      <c r="E261" s="56" t="s">
        <v>1107</v>
      </c>
      <c r="F261" s="506" t="s">
        <v>1819</v>
      </c>
      <c r="G261" s="507" t="s">
        <v>1795</v>
      </c>
      <c r="H261" s="507" t="s">
        <v>39</v>
      </c>
      <c r="I261" s="507" t="s">
        <v>1817</v>
      </c>
      <c r="J261" s="507" t="s">
        <v>39</v>
      </c>
      <c r="K261" s="507">
        <v>80</v>
      </c>
      <c r="L261" s="507" t="s">
        <v>125</v>
      </c>
      <c r="M261" s="507" t="s">
        <v>79</v>
      </c>
      <c r="N261" s="507" t="s">
        <v>1055</v>
      </c>
      <c r="O261" s="57" t="s">
        <v>1108</v>
      </c>
      <c r="P261" s="58" t="s">
        <v>846</v>
      </c>
      <c r="Q261" s="59" t="s">
        <v>1109</v>
      </c>
      <c r="R261" s="60" t="s">
        <v>71</v>
      </c>
      <c r="S261" s="61">
        <v>85</v>
      </c>
      <c r="T261" s="62">
        <f>INDEX('BM MORRO DA CRUZ'!$P$6:$P$402,MATCH($O261,'BM MORRO DA CRUZ'!$K$6:$K$402,0))</f>
        <v>50.15</v>
      </c>
      <c r="U261" s="63">
        <f t="shared" si="155"/>
        <v>4262.75</v>
      </c>
      <c r="V261" s="61">
        <f>IFERROR(SUMIFS('01ª MC'!$W$1:$W$1840,'01ª MC'!$C$1:$C$1840,$D261),0)</f>
        <v>0</v>
      </c>
      <c r="W261" s="63">
        <f t="shared" si="156"/>
        <v>0</v>
      </c>
      <c r="X261" s="61">
        <v>0</v>
      </c>
      <c r="Y261" s="63">
        <f t="shared" si="157"/>
        <v>0</v>
      </c>
      <c r="Z261" s="61">
        <v>0</v>
      </c>
      <c r="AA261" s="63">
        <f t="shared" si="158"/>
        <v>0</v>
      </c>
      <c r="AB261" s="61">
        <v>0</v>
      </c>
      <c r="AC261" s="63">
        <f t="shared" si="159"/>
        <v>0</v>
      </c>
      <c r="AD261" s="61">
        <v>0</v>
      </c>
      <c r="AE261" s="63">
        <f t="shared" si="160"/>
        <v>0</v>
      </c>
      <c r="AF261" s="61">
        <v>0</v>
      </c>
      <c r="AG261" s="63">
        <f t="shared" si="161"/>
        <v>0</v>
      </c>
      <c r="AH261" s="61">
        <v>0</v>
      </c>
      <c r="AI261" s="63">
        <f t="shared" si="162"/>
        <v>0</v>
      </c>
      <c r="AJ261" s="61">
        <v>0</v>
      </c>
      <c r="AK261" s="63">
        <f t="shared" si="163"/>
        <v>0</v>
      </c>
      <c r="AL261" s="61">
        <v>0</v>
      </c>
      <c r="AM261" s="63">
        <f t="shared" si="164"/>
        <v>0</v>
      </c>
      <c r="AN261" s="61">
        <v>0</v>
      </c>
      <c r="AO261" s="63">
        <f t="shared" si="165"/>
        <v>0</v>
      </c>
      <c r="AP261" s="61">
        <v>0</v>
      </c>
      <c r="AQ261" s="63">
        <f t="shared" si="166"/>
        <v>0</v>
      </c>
      <c r="AR261" s="61">
        <v>0</v>
      </c>
      <c r="AS261" s="63">
        <f t="shared" si="167"/>
        <v>0</v>
      </c>
      <c r="AT261" s="61">
        <v>0</v>
      </c>
      <c r="AU261" s="63">
        <f t="shared" si="168"/>
        <v>0</v>
      </c>
      <c r="AV261" s="61">
        <v>0</v>
      </c>
      <c r="AW261" s="63">
        <f t="shared" si="169"/>
        <v>0</v>
      </c>
      <c r="AX261" s="61">
        <v>0</v>
      </c>
      <c r="AY261" s="63">
        <f t="shared" si="170"/>
        <v>0</v>
      </c>
      <c r="AZ261" s="61">
        <v>0</v>
      </c>
      <c r="BA261" s="63">
        <f t="shared" si="171"/>
        <v>0</v>
      </c>
      <c r="BB261" s="61">
        <v>0</v>
      </c>
      <c r="BC261" s="63">
        <f t="shared" si="172"/>
        <v>0</v>
      </c>
      <c r="BD261" s="61">
        <v>0</v>
      </c>
      <c r="BE261" s="63">
        <f t="shared" si="173"/>
        <v>0</v>
      </c>
      <c r="BF261" s="61">
        <f t="shared" si="174"/>
        <v>0</v>
      </c>
      <c r="BG261" s="63">
        <f t="shared" si="175"/>
        <v>0</v>
      </c>
      <c r="BH261" s="45"/>
      <c r="BI261" s="144"/>
    </row>
    <row r="262" spans="1:61" ht="35.65" x14ac:dyDescent="0.45">
      <c r="A262" s="140">
        <v>3</v>
      </c>
      <c r="B262" s="141" t="s">
        <v>1477</v>
      </c>
      <c r="C262" s="142" t="s">
        <v>1478</v>
      </c>
      <c r="D262" s="143" t="str">
        <f t="shared" si="154"/>
        <v>3.2_5.8.19</v>
      </c>
      <c r="E262" s="56" t="s">
        <v>1110</v>
      </c>
      <c r="F262" s="506" t="s">
        <v>1820</v>
      </c>
      <c r="G262" s="507" t="s">
        <v>1795</v>
      </c>
      <c r="H262" s="507" t="s">
        <v>1795</v>
      </c>
      <c r="I262" s="507" t="s">
        <v>1817</v>
      </c>
      <c r="J262" s="507" t="s">
        <v>1818</v>
      </c>
      <c r="K262" s="507">
        <v>110</v>
      </c>
      <c r="L262" s="507" t="s">
        <v>267</v>
      </c>
      <c r="M262" s="507" t="s">
        <v>79</v>
      </c>
      <c r="N262" s="507" t="s">
        <v>1055</v>
      </c>
      <c r="O262" s="57" t="s">
        <v>1111</v>
      </c>
      <c r="P262" s="58" t="s">
        <v>846</v>
      </c>
      <c r="Q262" s="59" t="s">
        <v>1112</v>
      </c>
      <c r="R262" s="60" t="s">
        <v>71</v>
      </c>
      <c r="S262" s="61">
        <v>1</v>
      </c>
      <c r="T262" s="62">
        <f>INDEX('BM MORRO DA CRUZ'!$P$6:$P$402,MATCH($O262,'BM MORRO DA CRUZ'!$K$6:$K$402,0))</f>
        <v>46.32</v>
      </c>
      <c r="U262" s="63">
        <f t="shared" si="155"/>
        <v>46.32</v>
      </c>
      <c r="V262" s="61">
        <f>IFERROR(SUMIFS('01ª MC'!$W$1:$W$1840,'01ª MC'!$C$1:$C$1840,$D262),0)</f>
        <v>0</v>
      </c>
      <c r="W262" s="63">
        <f t="shared" si="156"/>
        <v>0</v>
      </c>
      <c r="X262" s="61">
        <v>0</v>
      </c>
      <c r="Y262" s="63">
        <f t="shared" si="157"/>
        <v>0</v>
      </c>
      <c r="Z262" s="61">
        <v>0</v>
      </c>
      <c r="AA262" s="63">
        <f t="shared" si="158"/>
        <v>0</v>
      </c>
      <c r="AB262" s="61">
        <v>0</v>
      </c>
      <c r="AC262" s="63">
        <f t="shared" si="159"/>
        <v>0</v>
      </c>
      <c r="AD262" s="61">
        <v>0</v>
      </c>
      <c r="AE262" s="63">
        <f t="shared" si="160"/>
        <v>0</v>
      </c>
      <c r="AF262" s="61">
        <v>0</v>
      </c>
      <c r="AG262" s="63">
        <f t="shared" si="161"/>
        <v>0</v>
      </c>
      <c r="AH262" s="61">
        <v>0</v>
      </c>
      <c r="AI262" s="63">
        <f t="shared" si="162"/>
        <v>0</v>
      </c>
      <c r="AJ262" s="61">
        <v>0</v>
      </c>
      <c r="AK262" s="63">
        <f t="shared" si="163"/>
        <v>0</v>
      </c>
      <c r="AL262" s="61">
        <v>0</v>
      </c>
      <c r="AM262" s="63">
        <f t="shared" si="164"/>
        <v>0</v>
      </c>
      <c r="AN262" s="61">
        <v>0</v>
      </c>
      <c r="AO262" s="63">
        <f t="shared" si="165"/>
        <v>0</v>
      </c>
      <c r="AP262" s="61">
        <v>0</v>
      </c>
      <c r="AQ262" s="63">
        <f t="shared" si="166"/>
        <v>0</v>
      </c>
      <c r="AR262" s="61">
        <v>0</v>
      </c>
      <c r="AS262" s="63">
        <f t="shared" si="167"/>
        <v>0</v>
      </c>
      <c r="AT262" s="61">
        <v>0</v>
      </c>
      <c r="AU262" s="63">
        <f t="shared" si="168"/>
        <v>0</v>
      </c>
      <c r="AV262" s="61">
        <v>0</v>
      </c>
      <c r="AW262" s="63">
        <f t="shared" si="169"/>
        <v>0</v>
      </c>
      <c r="AX262" s="61">
        <v>0</v>
      </c>
      <c r="AY262" s="63">
        <f t="shared" si="170"/>
        <v>0</v>
      </c>
      <c r="AZ262" s="61">
        <v>0</v>
      </c>
      <c r="BA262" s="63">
        <f t="shared" si="171"/>
        <v>0</v>
      </c>
      <c r="BB262" s="61">
        <v>0</v>
      </c>
      <c r="BC262" s="63">
        <f t="shared" si="172"/>
        <v>0</v>
      </c>
      <c r="BD262" s="61">
        <v>0</v>
      </c>
      <c r="BE262" s="63">
        <f t="shared" si="173"/>
        <v>0</v>
      </c>
      <c r="BF262" s="61">
        <f t="shared" si="174"/>
        <v>0</v>
      </c>
      <c r="BG262" s="63">
        <f t="shared" si="175"/>
        <v>0</v>
      </c>
      <c r="BH262" s="45"/>
      <c r="BI262" s="144"/>
    </row>
    <row r="263" spans="1:61" ht="35.65" x14ac:dyDescent="0.45">
      <c r="A263" s="140">
        <v>3</v>
      </c>
      <c r="B263" s="141" t="s">
        <v>1477</v>
      </c>
      <c r="C263" s="142" t="s">
        <v>1478</v>
      </c>
      <c r="D263" s="143" t="str">
        <f t="shared" si="154"/>
        <v>3.2_5.8.20</v>
      </c>
      <c r="E263" s="56" t="s">
        <v>1113</v>
      </c>
      <c r="F263" s="506" t="s">
        <v>1820</v>
      </c>
      <c r="G263" s="507" t="s">
        <v>1795</v>
      </c>
      <c r="H263" s="507" t="s">
        <v>1795</v>
      </c>
      <c r="I263" s="507" t="s">
        <v>1817</v>
      </c>
      <c r="J263" s="507" t="s">
        <v>1818</v>
      </c>
      <c r="K263" s="507">
        <v>160</v>
      </c>
      <c r="L263" s="507" t="s">
        <v>267</v>
      </c>
      <c r="M263" s="507" t="s">
        <v>79</v>
      </c>
      <c r="N263" s="507" t="s">
        <v>1055</v>
      </c>
      <c r="O263" s="57" t="s">
        <v>1114</v>
      </c>
      <c r="P263" s="58" t="s">
        <v>846</v>
      </c>
      <c r="Q263" s="59" t="s">
        <v>1115</v>
      </c>
      <c r="R263" s="60" t="s">
        <v>71</v>
      </c>
      <c r="S263" s="61">
        <v>16</v>
      </c>
      <c r="T263" s="62">
        <f>INDEX('BM MORRO DA CRUZ'!$P$6:$P$402,MATCH($O263,'BM MORRO DA CRUZ'!$K$6:$K$402,0))</f>
        <v>67.39</v>
      </c>
      <c r="U263" s="63">
        <f t="shared" si="155"/>
        <v>1078.24</v>
      </c>
      <c r="V263" s="61">
        <f>IFERROR(SUMIFS('01ª MC'!$W$1:$W$1840,'01ª MC'!$C$1:$C$1840,$D263),0)</f>
        <v>0</v>
      </c>
      <c r="W263" s="63">
        <f t="shared" si="156"/>
        <v>0</v>
      </c>
      <c r="X263" s="61">
        <v>0</v>
      </c>
      <c r="Y263" s="63">
        <f t="shared" si="157"/>
        <v>0</v>
      </c>
      <c r="Z263" s="61">
        <v>0</v>
      </c>
      <c r="AA263" s="63">
        <f t="shared" si="158"/>
        <v>0</v>
      </c>
      <c r="AB263" s="61">
        <v>0</v>
      </c>
      <c r="AC263" s="63">
        <f t="shared" si="159"/>
        <v>0</v>
      </c>
      <c r="AD263" s="61">
        <v>0</v>
      </c>
      <c r="AE263" s="63">
        <f t="shared" si="160"/>
        <v>0</v>
      </c>
      <c r="AF263" s="61">
        <v>0</v>
      </c>
      <c r="AG263" s="63">
        <f t="shared" si="161"/>
        <v>0</v>
      </c>
      <c r="AH263" s="61">
        <v>0</v>
      </c>
      <c r="AI263" s="63">
        <f t="shared" si="162"/>
        <v>0</v>
      </c>
      <c r="AJ263" s="61">
        <v>0</v>
      </c>
      <c r="AK263" s="63">
        <f t="shared" si="163"/>
        <v>0</v>
      </c>
      <c r="AL263" s="61">
        <v>0</v>
      </c>
      <c r="AM263" s="63">
        <f t="shared" si="164"/>
        <v>0</v>
      </c>
      <c r="AN263" s="61">
        <v>0</v>
      </c>
      <c r="AO263" s="63">
        <f t="shared" si="165"/>
        <v>0</v>
      </c>
      <c r="AP263" s="61">
        <v>0</v>
      </c>
      <c r="AQ263" s="63">
        <f t="shared" si="166"/>
        <v>0</v>
      </c>
      <c r="AR263" s="61">
        <v>0</v>
      </c>
      <c r="AS263" s="63">
        <f t="shared" si="167"/>
        <v>0</v>
      </c>
      <c r="AT263" s="61">
        <v>0</v>
      </c>
      <c r="AU263" s="63">
        <f t="shared" si="168"/>
        <v>0</v>
      </c>
      <c r="AV263" s="61">
        <v>0</v>
      </c>
      <c r="AW263" s="63">
        <f t="shared" si="169"/>
        <v>0</v>
      </c>
      <c r="AX263" s="61">
        <v>0</v>
      </c>
      <c r="AY263" s="63">
        <f t="shared" si="170"/>
        <v>0</v>
      </c>
      <c r="AZ263" s="61">
        <v>0</v>
      </c>
      <c r="BA263" s="63">
        <f t="shared" si="171"/>
        <v>0</v>
      </c>
      <c r="BB263" s="61">
        <v>0</v>
      </c>
      <c r="BC263" s="63">
        <f t="shared" si="172"/>
        <v>0</v>
      </c>
      <c r="BD263" s="61">
        <v>0</v>
      </c>
      <c r="BE263" s="63">
        <f t="shared" si="173"/>
        <v>0</v>
      </c>
      <c r="BF263" s="61">
        <f t="shared" si="174"/>
        <v>0</v>
      </c>
      <c r="BG263" s="63">
        <f t="shared" si="175"/>
        <v>0</v>
      </c>
      <c r="BH263" s="45"/>
      <c r="BI263" s="144"/>
    </row>
    <row r="264" spans="1:61" ht="35.65" x14ac:dyDescent="0.45">
      <c r="A264" s="140">
        <v>3</v>
      </c>
      <c r="B264" s="141" t="s">
        <v>1477</v>
      </c>
      <c r="C264" s="142" t="s">
        <v>1478</v>
      </c>
      <c r="D264" s="143" t="str">
        <f t="shared" si="154"/>
        <v>3.2_5.8.21</v>
      </c>
      <c r="E264" s="56" t="s">
        <v>1116</v>
      </c>
      <c r="F264" s="506" t="s">
        <v>1820</v>
      </c>
      <c r="G264" s="507" t="s">
        <v>1795</v>
      </c>
      <c r="H264" s="507" t="s">
        <v>1795</v>
      </c>
      <c r="I264" s="507" t="s">
        <v>1817</v>
      </c>
      <c r="J264" s="507" t="s">
        <v>1818</v>
      </c>
      <c r="K264" s="507">
        <v>225</v>
      </c>
      <c r="L264" s="507" t="s">
        <v>267</v>
      </c>
      <c r="M264" s="507" t="s">
        <v>79</v>
      </c>
      <c r="N264" s="507" t="s">
        <v>1055</v>
      </c>
      <c r="O264" s="57" t="s">
        <v>1117</v>
      </c>
      <c r="P264" s="58" t="s">
        <v>846</v>
      </c>
      <c r="Q264" s="59" t="s">
        <v>1118</v>
      </c>
      <c r="R264" s="60" t="s">
        <v>71</v>
      </c>
      <c r="S264" s="61">
        <v>4</v>
      </c>
      <c r="T264" s="62">
        <f>INDEX('BM MORRO DA CRUZ'!$P$6:$P$402,MATCH($O264,'BM MORRO DA CRUZ'!$K$6:$K$402,0))</f>
        <v>94.77</v>
      </c>
      <c r="U264" s="63">
        <f t="shared" si="155"/>
        <v>379.08</v>
      </c>
      <c r="V264" s="61">
        <f>IFERROR(SUMIFS('01ª MC'!$W$1:$W$1840,'01ª MC'!$C$1:$C$1840,$D264),0)</f>
        <v>0</v>
      </c>
      <c r="W264" s="63">
        <f t="shared" si="156"/>
        <v>0</v>
      </c>
      <c r="X264" s="61">
        <v>0</v>
      </c>
      <c r="Y264" s="63">
        <f t="shared" si="157"/>
        <v>0</v>
      </c>
      <c r="Z264" s="61">
        <v>0</v>
      </c>
      <c r="AA264" s="63">
        <f t="shared" si="158"/>
        <v>0</v>
      </c>
      <c r="AB264" s="61">
        <v>0</v>
      </c>
      <c r="AC264" s="63">
        <f t="shared" si="159"/>
        <v>0</v>
      </c>
      <c r="AD264" s="61">
        <v>0</v>
      </c>
      <c r="AE264" s="63">
        <f t="shared" si="160"/>
        <v>0</v>
      </c>
      <c r="AF264" s="61">
        <v>0</v>
      </c>
      <c r="AG264" s="63">
        <f t="shared" si="161"/>
        <v>0</v>
      </c>
      <c r="AH264" s="61">
        <v>0</v>
      </c>
      <c r="AI264" s="63">
        <f t="shared" si="162"/>
        <v>0</v>
      </c>
      <c r="AJ264" s="61">
        <v>0</v>
      </c>
      <c r="AK264" s="63">
        <f t="shared" si="163"/>
        <v>0</v>
      </c>
      <c r="AL264" s="61">
        <v>0</v>
      </c>
      <c r="AM264" s="63">
        <f t="shared" si="164"/>
        <v>0</v>
      </c>
      <c r="AN264" s="61">
        <v>0</v>
      </c>
      <c r="AO264" s="63">
        <f t="shared" si="165"/>
        <v>0</v>
      </c>
      <c r="AP264" s="61">
        <v>0</v>
      </c>
      <c r="AQ264" s="63">
        <f t="shared" si="166"/>
        <v>0</v>
      </c>
      <c r="AR264" s="61">
        <v>0</v>
      </c>
      <c r="AS264" s="63">
        <f t="shared" si="167"/>
        <v>0</v>
      </c>
      <c r="AT264" s="61">
        <v>0</v>
      </c>
      <c r="AU264" s="63">
        <f t="shared" si="168"/>
        <v>0</v>
      </c>
      <c r="AV264" s="61">
        <v>0</v>
      </c>
      <c r="AW264" s="63">
        <f t="shared" si="169"/>
        <v>0</v>
      </c>
      <c r="AX264" s="61">
        <v>0</v>
      </c>
      <c r="AY264" s="63">
        <f t="shared" si="170"/>
        <v>0</v>
      </c>
      <c r="AZ264" s="61">
        <v>0</v>
      </c>
      <c r="BA264" s="63">
        <f t="shared" si="171"/>
        <v>0</v>
      </c>
      <c r="BB264" s="61">
        <v>0</v>
      </c>
      <c r="BC264" s="63">
        <f t="shared" si="172"/>
        <v>0</v>
      </c>
      <c r="BD264" s="61">
        <v>0</v>
      </c>
      <c r="BE264" s="63">
        <f t="shared" si="173"/>
        <v>0</v>
      </c>
      <c r="BF264" s="61">
        <f t="shared" si="174"/>
        <v>0</v>
      </c>
      <c r="BG264" s="63">
        <f t="shared" si="175"/>
        <v>0</v>
      </c>
      <c r="BH264" s="45"/>
      <c r="BI264" s="144"/>
    </row>
    <row r="265" spans="1:61" ht="35.65" x14ac:dyDescent="0.45">
      <c r="A265" s="140">
        <v>3</v>
      </c>
      <c r="B265" s="141" t="s">
        <v>1477</v>
      </c>
      <c r="C265" s="142" t="s">
        <v>1478</v>
      </c>
      <c r="D265" s="143" t="str">
        <f t="shared" si="154"/>
        <v>3.2_5.8.22</v>
      </c>
      <c r="E265" s="56" t="s">
        <v>1119</v>
      </c>
      <c r="F265" s="506" t="s">
        <v>1820</v>
      </c>
      <c r="G265" s="507" t="s">
        <v>1795</v>
      </c>
      <c r="H265" s="507" t="s">
        <v>1795</v>
      </c>
      <c r="I265" s="507" t="s">
        <v>1817</v>
      </c>
      <c r="J265" s="507" t="s">
        <v>1818</v>
      </c>
      <c r="K265" s="507">
        <v>250</v>
      </c>
      <c r="L265" s="507" t="s">
        <v>267</v>
      </c>
      <c r="M265" s="507" t="s">
        <v>79</v>
      </c>
      <c r="N265" s="507" t="s">
        <v>1055</v>
      </c>
      <c r="O265" s="57" t="s">
        <v>1120</v>
      </c>
      <c r="P265" s="58" t="s">
        <v>846</v>
      </c>
      <c r="Q265" s="59" t="s">
        <v>1121</v>
      </c>
      <c r="R265" s="60" t="s">
        <v>71</v>
      </c>
      <c r="S265" s="61">
        <v>1</v>
      </c>
      <c r="T265" s="62">
        <f>INDEX('BM MORRO DA CRUZ'!$P$6:$P$402,MATCH($O265,'BM MORRO DA CRUZ'!$K$6:$K$402,0))</f>
        <v>105.3</v>
      </c>
      <c r="U265" s="63">
        <f t="shared" si="155"/>
        <v>105.3</v>
      </c>
      <c r="V265" s="61">
        <f>IFERROR(SUMIFS('01ª MC'!$W$1:$W$1840,'01ª MC'!$C$1:$C$1840,$D265),0)</f>
        <v>0</v>
      </c>
      <c r="W265" s="63">
        <f t="shared" si="156"/>
        <v>0</v>
      </c>
      <c r="X265" s="61">
        <v>0</v>
      </c>
      <c r="Y265" s="63">
        <f t="shared" si="157"/>
        <v>0</v>
      </c>
      <c r="Z265" s="61">
        <v>0</v>
      </c>
      <c r="AA265" s="63">
        <f t="shared" si="158"/>
        <v>0</v>
      </c>
      <c r="AB265" s="61">
        <v>0</v>
      </c>
      <c r="AC265" s="63">
        <f t="shared" si="159"/>
        <v>0</v>
      </c>
      <c r="AD265" s="61">
        <v>0</v>
      </c>
      <c r="AE265" s="63">
        <f t="shared" si="160"/>
        <v>0</v>
      </c>
      <c r="AF265" s="61">
        <v>0</v>
      </c>
      <c r="AG265" s="63">
        <f t="shared" si="161"/>
        <v>0</v>
      </c>
      <c r="AH265" s="61">
        <v>0</v>
      </c>
      <c r="AI265" s="63">
        <f t="shared" si="162"/>
        <v>0</v>
      </c>
      <c r="AJ265" s="61">
        <v>0</v>
      </c>
      <c r="AK265" s="63">
        <f t="shared" si="163"/>
        <v>0</v>
      </c>
      <c r="AL265" s="61">
        <v>0</v>
      </c>
      <c r="AM265" s="63">
        <f t="shared" si="164"/>
        <v>0</v>
      </c>
      <c r="AN265" s="61">
        <v>0</v>
      </c>
      <c r="AO265" s="63">
        <f t="shared" si="165"/>
        <v>0</v>
      </c>
      <c r="AP265" s="61">
        <v>0</v>
      </c>
      <c r="AQ265" s="63">
        <f t="shared" si="166"/>
        <v>0</v>
      </c>
      <c r="AR265" s="61">
        <v>0</v>
      </c>
      <c r="AS265" s="63">
        <f t="shared" si="167"/>
        <v>0</v>
      </c>
      <c r="AT265" s="61">
        <v>0</v>
      </c>
      <c r="AU265" s="63">
        <f t="shared" si="168"/>
        <v>0</v>
      </c>
      <c r="AV265" s="61">
        <v>0</v>
      </c>
      <c r="AW265" s="63">
        <f t="shared" si="169"/>
        <v>0</v>
      </c>
      <c r="AX265" s="61">
        <v>0</v>
      </c>
      <c r="AY265" s="63">
        <f t="shared" si="170"/>
        <v>0</v>
      </c>
      <c r="AZ265" s="61">
        <v>0</v>
      </c>
      <c r="BA265" s="63">
        <f t="shared" si="171"/>
        <v>0</v>
      </c>
      <c r="BB265" s="61">
        <v>0</v>
      </c>
      <c r="BC265" s="63">
        <f t="shared" si="172"/>
        <v>0</v>
      </c>
      <c r="BD265" s="61">
        <v>0</v>
      </c>
      <c r="BE265" s="63">
        <f t="shared" si="173"/>
        <v>0</v>
      </c>
      <c r="BF265" s="61">
        <f t="shared" si="174"/>
        <v>0</v>
      </c>
      <c r="BG265" s="63">
        <f t="shared" si="175"/>
        <v>0</v>
      </c>
      <c r="BH265" s="45"/>
      <c r="BI265" s="144"/>
    </row>
    <row r="266" spans="1:61" ht="35.65" x14ac:dyDescent="0.45">
      <c r="A266" s="140">
        <v>3</v>
      </c>
      <c r="B266" s="141" t="s">
        <v>1477</v>
      </c>
      <c r="C266" s="142" t="s">
        <v>1478</v>
      </c>
      <c r="D266" s="143" t="str">
        <f t="shared" si="154"/>
        <v>3.2_5.8.23</v>
      </c>
      <c r="E266" s="56" t="s">
        <v>1122</v>
      </c>
      <c r="F266" s="506" t="s">
        <v>1820</v>
      </c>
      <c r="G266" s="507" t="s">
        <v>1795</v>
      </c>
      <c r="H266" s="507" t="s">
        <v>1795</v>
      </c>
      <c r="I266" s="507" t="s">
        <v>1817</v>
      </c>
      <c r="J266" s="507" t="s">
        <v>1818</v>
      </c>
      <c r="K266" s="507">
        <v>280</v>
      </c>
      <c r="L266" s="507" t="s">
        <v>267</v>
      </c>
      <c r="M266" s="507" t="s">
        <v>79</v>
      </c>
      <c r="N266" s="507" t="s">
        <v>1055</v>
      </c>
      <c r="O266" s="57" t="s">
        <v>1123</v>
      </c>
      <c r="P266" s="58" t="s">
        <v>846</v>
      </c>
      <c r="Q266" s="59" t="s">
        <v>1124</v>
      </c>
      <c r="R266" s="60" t="s">
        <v>71</v>
      </c>
      <c r="S266" s="61">
        <v>1</v>
      </c>
      <c r="T266" s="62">
        <f>INDEX('BM MORRO DA CRUZ'!$P$6:$P$402,MATCH($O266,'BM MORRO DA CRUZ'!$K$6:$K$402,0))</f>
        <v>117.94</v>
      </c>
      <c r="U266" s="63">
        <f t="shared" si="155"/>
        <v>117.94</v>
      </c>
      <c r="V266" s="61">
        <f>IFERROR(SUMIFS('01ª MC'!$W$1:$W$1840,'01ª MC'!$C$1:$C$1840,$D266),0)</f>
        <v>0</v>
      </c>
      <c r="W266" s="63">
        <f t="shared" si="156"/>
        <v>0</v>
      </c>
      <c r="X266" s="61">
        <v>0</v>
      </c>
      <c r="Y266" s="63">
        <f t="shared" si="157"/>
        <v>0</v>
      </c>
      <c r="Z266" s="61">
        <v>0</v>
      </c>
      <c r="AA266" s="63">
        <f t="shared" si="158"/>
        <v>0</v>
      </c>
      <c r="AB266" s="61">
        <v>0</v>
      </c>
      <c r="AC266" s="63">
        <f t="shared" si="159"/>
        <v>0</v>
      </c>
      <c r="AD266" s="61">
        <v>0</v>
      </c>
      <c r="AE266" s="63">
        <f t="shared" si="160"/>
        <v>0</v>
      </c>
      <c r="AF266" s="61">
        <v>0</v>
      </c>
      <c r="AG266" s="63">
        <f t="shared" si="161"/>
        <v>0</v>
      </c>
      <c r="AH266" s="61">
        <v>0</v>
      </c>
      <c r="AI266" s="63">
        <f t="shared" si="162"/>
        <v>0</v>
      </c>
      <c r="AJ266" s="61">
        <v>0</v>
      </c>
      <c r="AK266" s="63">
        <f t="shared" si="163"/>
        <v>0</v>
      </c>
      <c r="AL266" s="61">
        <v>0</v>
      </c>
      <c r="AM266" s="63">
        <f t="shared" si="164"/>
        <v>0</v>
      </c>
      <c r="AN266" s="61">
        <v>0</v>
      </c>
      <c r="AO266" s="63">
        <f t="shared" si="165"/>
        <v>0</v>
      </c>
      <c r="AP266" s="61">
        <v>0</v>
      </c>
      <c r="AQ266" s="63">
        <f t="shared" si="166"/>
        <v>0</v>
      </c>
      <c r="AR266" s="61">
        <v>0</v>
      </c>
      <c r="AS266" s="63">
        <f t="shared" si="167"/>
        <v>0</v>
      </c>
      <c r="AT266" s="61">
        <v>0</v>
      </c>
      <c r="AU266" s="63">
        <f t="shared" si="168"/>
        <v>0</v>
      </c>
      <c r="AV266" s="61">
        <v>0</v>
      </c>
      <c r="AW266" s="63">
        <f t="shared" si="169"/>
        <v>0</v>
      </c>
      <c r="AX266" s="61">
        <v>0</v>
      </c>
      <c r="AY266" s="63">
        <f t="shared" si="170"/>
        <v>0</v>
      </c>
      <c r="AZ266" s="61">
        <v>0</v>
      </c>
      <c r="BA266" s="63">
        <f t="shared" si="171"/>
        <v>0</v>
      </c>
      <c r="BB266" s="61">
        <v>0</v>
      </c>
      <c r="BC266" s="63">
        <f t="shared" si="172"/>
        <v>0</v>
      </c>
      <c r="BD266" s="61">
        <v>0</v>
      </c>
      <c r="BE266" s="63">
        <f t="shared" si="173"/>
        <v>0</v>
      </c>
      <c r="BF266" s="61">
        <f t="shared" si="174"/>
        <v>0</v>
      </c>
      <c r="BG266" s="63">
        <f t="shared" si="175"/>
        <v>0</v>
      </c>
      <c r="BH266" s="45"/>
      <c r="BI266" s="144"/>
    </row>
    <row r="267" spans="1:61" ht="35.65" x14ac:dyDescent="0.45">
      <c r="A267" s="140">
        <v>3</v>
      </c>
      <c r="B267" s="141" t="s">
        <v>1477</v>
      </c>
      <c r="C267" s="142" t="s">
        <v>1478</v>
      </c>
      <c r="D267" s="143" t="str">
        <f t="shared" si="154"/>
        <v>3.2_5.8.26</v>
      </c>
      <c r="E267" s="56" t="s">
        <v>1131</v>
      </c>
      <c r="F267" s="506" t="s">
        <v>1820</v>
      </c>
      <c r="G267" s="507" t="s">
        <v>1795</v>
      </c>
      <c r="H267" s="507" t="s">
        <v>1795</v>
      </c>
      <c r="I267" s="507" t="s">
        <v>1817</v>
      </c>
      <c r="J267" s="507" t="s">
        <v>1818</v>
      </c>
      <c r="K267" s="507">
        <v>63</v>
      </c>
      <c r="L267" s="507" t="s">
        <v>267</v>
      </c>
      <c r="M267" s="507" t="s">
        <v>79</v>
      </c>
      <c r="N267" s="507" t="s">
        <v>1055</v>
      </c>
      <c r="O267" s="57" t="s">
        <v>1132</v>
      </c>
      <c r="P267" s="58" t="s">
        <v>846</v>
      </c>
      <c r="Q267" s="59" t="s">
        <v>1133</v>
      </c>
      <c r="R267" s="60" t="s">
        <v>71</v>
      </c>
      <c r="S267" s="61">
        <v>2</v>
      </c>
      <c r="T267" s="62">
        <f>INDEX('BM MORRO DA CRUZ'!$P$6:$P$402,MATCH($O267,'BM MORRO DA CRUZ'!$K$6:$K$402,0))</f>
        <v>26.52</v>
      </c>
      <c r="U267" s="63">
        <f t="shared" si="155"/>
        <v>53.04</v>
      </c>
      <c r="V267" s="61">
        <f>IFERROR(SUMIFS('01ª MC'!$W$1:$W$1840,'01ª MC'!$C$1:$C$1840,$D267),0)</f>
        <v>0</v>
      </c>
      <c r="W267" s="63">
        <f t="shared" si="156"/>
        <v>0</v>
      </c>
      <c r="X267" s="61">
        <v>0</v>
      </c>
      <c r="Y267" s="63">
        <f t="shared" si="157"/>
        <v>0</v>
      </c>
      <c r="Z267" s="61">
        <v>0</v>
      </c>
      <c r="AA267" s="63">
        <f t="shared" si="158"/>
        <v>0</v>
      </c>
      <c r="AB267" s="61">
        <v>0</v>
      </c>
      <c r="AC267" s="63">
        <f t="shared" si="159"/>
        <v>0</v>
      </c>
      <c r="AD267" s="61">
        <v>0</v>
      </c>
      <c r="AE267" s="63">
        <f t="shared" si="160"/>
        <v>0</v>
      </c>
      <c r="AF267" s="61">
        <v>0</v>
      </c>
      <c r="AG267" s="63">
        <f t="shared" si="161"/>
        <v>0</v>
      </c>
      <c r="AH267" s="61">
        <v>0</v>
      </c>
      <c r="AI267" s="63">
        <f t="shared" si="162"/>
        <v>0</v>
      </c>
      <c r="AJ267" s="61">
        <v>0</v>
      </c>
      <c r="AK267" s="63">
        <f t="shared" si="163"/>
        <v>0</v>
      </c>
      <c r="AL267" s="61">
        <v>0</v>
      </c>
      <c r="AM267" s="63">
        <f t="shared" si="164"/>
        <v>0</v>
      </c>
      <c r="AN267" s="61">
        <v>0</v>
      </c>
      <c r="AO267" s="63">
        <f t="shared" si="165"/>
        <v>0</v>
      </c>
      <c r="AP267" s="61">
        <v>0</v>
      </c>
      <c r="AQ267" s="63">
        <f t="shared" si="166"/>
        <v>0</v>
      </c>
      <c r="AR267" s="61">
        <v>0</v>
      </c>
      <c r="AS267" s="63">
        <f t="shared" si="167"/>
        <v>0</v>
      </c>
      <c r="AT267" s="61">
        <v>0</v>
      </c>
      <c r="AU267" s="63">
        <f t="shared" si="168"/>
        <v>0</v>
      </c>
      <c r="AV267" s="61">
        <v>0</v>
      </c>
      <c r="AW267" s="63">
        <f t="shared" si="169"/>
        <v>0</v>
      </c>
      <c r="AX267" s="61">
        <v>0</v>
      </c>
      <c r="AY267" s="63">
        <f t="shared" si="170"/>
        <v>0</v>
      </c>
      <c r="AZ267" s="61">
        <v>0</v>
      </c>
      <c r="BA267" s="63">
        <f t="shared" si="171"/>
        <v>0</v>
      </c>
      <c r="BB267" s="61">
        <v>0</v>
      </c>
      <c r="BC267" s="63">
        <f t="shared" si="172"/>
        <v>0</v>
      </c>
      <c r="BD267" s="61">
        <v>0</v>
      </c>
      <c r="BE267" s="63">
        <f t="shared" si="173"/>
        <v>0</v>
      </c>
      <c r="BF267" s="61">
        <f t="shared" si="174"/>
        <v>0</v>
      </c>
      <c r="BG267" s="63">
        <f t="shared" si="175"/>
        <v>0</v>
      </c>
      <c r="BH267" s="45"/>
      <c r="BI267" s="144"/>
    </row>
    <row r="268" spans="1:61" ht="35.65" x14ac:dyDescent="0.45">
      <c r="A268" s="140">
        <v>3</v>
      </c>
      <c r="B268" s="141" t="s">
        <v>1477</v>
      </c>
      <c r="C268" s="142" t="s">
        <v>1478</v>
      </c>
      <c r="D268" s="143" t="str">
        <f t="shared" si="154"/>
        <v>3.2_5.8.27</v>
      </c>
      <c r="E268" s="56" t="s">
        <v>1134</v>
      </c>
      <c r="F268" s="506" t="s">
        <v>1820</v>
      </c>
      <c r="G268" s="507" t="s">
        <v>1795</v>
      </c>
      <c r="H268" s="507" t="s">
        <v>1795</v>
      </c>
      <c r="I268" s="507" t="s">
        <v>1817</v>
      </c>
      <c r="J268" s="507" t="s">
        <v>1818</v>
      </c>
      <c r="K268" s="507">
        <v>90</v>
      </c>
      <c r="L268" s="507" t="s">
        <v>267</v>
      </c>
      <c r="M268" s="507" t="s">
        <v>79</v>
      </c>
      <c r="N268" s="507" t="s">
        <v>1055</v>
      </c>
      <c r="O268" s="57" t="s">
        <v>1135</v>
      </c>
      <c r="P268" s="58" t="s">
        <v>846</v>
      </c>
      <c r="Q268" s="59" t="s">
        <v>1136</v>
      </c>
      <c r="R268" s="60" t="s">
        <v>71</v>
      </c>
      <c r="S268" s="61">
        <v>1</v>
      </c>
      <c r="T268" s="62">
        <f>INDEX('BM MORRO DA CRUZ'!$P$6:$P$402,MATCH($O268,'BM MORRO DA CRUZ'!$K$6:$K$402,0))</f>
        <v>37.9</v>
      </c>
      <c r="U268" s="63">
        <f t="shared" si="155"/>
        <v>37.9</v>
      </c>
      <c r="V268" s="61">
        <f>IFERROR(SUMIFS('01ª MC'!$W$1:$W$1840,'01ª MC'!$C$1:$C$1840,$D268),0)</f>
        <v>0</v>
      </c>
      <c r="W268" s="63">
        <f t="shared" si="156"/>
        <v>0</v>
      </c>
      <c r="X268" s="61">
        <v>0</v>
      </c>
      <c r="Y268" s="63">
        <f t="shared" si="157"/>
        <v>0</v>
      </c>
      <c r="Z268" s="61">
        <v>0</v>
      </c>
      <c r="AA268" s="63">
        <f t="shared" si="158"/>
        <v>0</v>
      </c>
      <c r="AB268" s="61">
        <v>0</v>
      </c>
      <c r="AC268" s="63">
        <f t="shared" si="159"/>
        <v>0</v>
      </c>
      <c r="AD268" s="61">
        <v>0</v>
      </c>
      <c r="AE268" s="63">
        <f t="shared" si="160"/>
        <v>0</v>
      </c>
      <c r="AF268" s="61">
        <v>0</v>
      </c>
      <c r="AG268" s="63">
        <f t="shared" si="161"/>
        <v>0</v>
      </c>
      <c r="AH268" s="61">
        <v>0</v>
      </c>
      <c r="AI268" s="63">
        <f t="shared" si="162"/>
        <v>0</v>
      </c>
      <c r="AJ268" s="61">
        <v>0</v>
      </c>
      <c r="AK268" s="63">
        <f t="shared" si="163"/>
        <v>0</v>
      </c>
      <c r="AL268" s="61">
        <v>0</v>
      </c>
      <c r="AM268" s="63">
        <f t="shared" si="164"/>
        <v>0</v>
      </c>
      <c r="AN268" s="61">
        <v>0</v>
      </c>
      <c r="AO268" s="63">
        <f t="shared" si="165"/>
        <v>0</v>
      </c>
      <c r="AP268" s="61">
        <v>0</v>
      </c>
      <c r="AQ268" s="63">
        <f t="shared" si="166"/>
        <v>0</v>
      </c>
      <c r="AR268" s="61">
        <v>0</v>
      </c>
      <c r="AS268" s="63">
        <f t="shared" si="167"/>
        <v>0</v>
      </c>
      <c r="AT268" s="61">
        <v>0</v>
      </c>
      <c r="AU268" s="63">
        <f t="shared" si="168"/>
        <v>0</v>
      </c>
      <c r="AV268" s="61">
        <v>0</v>
      </c>
      <c r="AW268" s="63">
        <f t="shared" si="169"/>
        <v>0</v>
      </c>
      <c r="AX268" s="61">
        <v>0</v>
      </c>
      <c r="AY268" s="63">
        <f t="shared" si="170"/>
        <v>0</v>
      </c>
      <c r="AZ268" s="61">
        <v>0</v>
      </c>
      <c r="BA268" s="63">
        <f t="shared" si="171"/>
        <v>0</v>
      </c>
      <c r="BB268" s="61">
        <v>0</v>
      </c>
      <c r="BC268" s="63">
        <f t="shared" si="172"/>
        <v>0</v>
      </c>
      <c r="BD268" s="61">
        <v>0</v>
      </c>
      <c r="BE268" s="63">
        <f t="shared" si="173"/>
        <v>0</v>
      </c>
      <c r="BF268" s="61">
        <f t="shared" si="174"/>
        <v>0</v>
      </c>
      <c r="BG268" s="63">
        <f t="shared" si="175"/>
        <v>0</v>
      </c>
      <c r="BH268" s="45"/>
      <c r="BI268" s="144"/>
    </row>
    <row r="269" spans="1:61" ht="26" customHeight="1" x14ac:dyDescent="0.45">
      <c r="A269" s="140">
        <v>3</v>
      </c>
      <c r="B269" s="141" t="s">
        <v>1477</v>
      </c>
      <c r="C269" s="142" t="s">
        <v>1478</v>
      </c>
      <c r="D269" s="143" t="str">
        <f t="shared" si="154"/>
        <v>3.2_5.8.29</v>
      </c>
      <c r="E269" s="56" t="s">
        <v>1140</v>
      </c>
      <c r="F269" s="506" t="s">
        <v>1822</v>
      </c>
      <c r="G269" s="507" t="s">
        <v>1795</v>
      </c>
      <c r="H269" s="507" t="s">
        <v>39</v>
      </c>
      <c r="I269" s="507" t="s">
        <v>1823</v>
      </c>
      <c r="J269" s="507" t="s">
        <v>39</v>
      </c>
      <c r="K269" s="507">
        <v>100</v>
      </c>
      <c r="L269" s="507" t="s">
        <v>125</v>
      </c>
      <c r="M269" s="507" t="s">
        <v>79</v>
      </c>
      <c r="N269" s="507" t="s">
        <v>1055</v>
      </c>
      <c r="O269" s="57" t="s">
        <v>1141</v>
      </c>
      <c r="P269" s="58" t="s">
        <v>846</v>
      </c>
      <c r="Q269" s="59" t="s">
        <v>1142</v>
      </c>
      <c r="R269" s="60" t="s">
        <v>367</v>
      </c>
      <c r="S269" s="61">
        <v>2.46</v>
      </c>
      <c r="T269" s="62">
        <f>INDEX('BM MORRO DA CRUZ'!$P$6:$P$402,MATCH($O269,'BM MORRO DA CRUZ'!$K$6:$K$402,0))</f>
        <v>14.47</v>
      </c>
      <c r="U269" s="63">
        <f t="shared" si="155"/>
        <v>35.6</v>
      </c>
      <c r="V269" s="61">
        <f>IFERROR(SUMIFS('01ª MC'!$W$1:$W$1840,'01ª MC'!$C$1:$C$1840,$D269),0)</f>
        <v>0</v>
      </c>
      <c r="W269" s="63">
        <f t="shared" si="156"/>
        <v>0</v>
      </c>
      <c r="X269" s="61">
        <v>0</v>
      </c>
      <c r="Y269" s="63">
        <f t="shared" si="157"/>
        <v>0</v>
      </c>
      <c r="Z269" s="61">
        <v>0</v>
      </c>
      <c r="AA269" s="63">
        <f t="shared" si="158"/>
        <v>0</v>
      </c>
      <c r="AB269" s="61">
        <v>0</v>
      </c>
      <c r="AC269" s="63">
        <f t="shared" si="159"/>
        <v>0</v>
      </c>
      <c r="AD269" s="61">
        <v>0</v>
      </c>
      <c r="AE269" s="63">
        <f t="shared" si="160"/>
        <v>0</v>
      </c>
      <c r="AF269" s="61">
        <v>0</v>
      </c>
      <c r="AG269" s="63">
        <f t="shared" si="161"/>
        <v>0</v>
      </c>
      <c r="AH269" s="61">
        <v>0</v>
      </c>
      <c r="AI269" s="63">
        <f t="shared" si="162"/>
        <v>0</v>
      </c>
      <c r="AJ269" s="61">
        <v>0</v>
      </c>
      <c r="AK269" s="63">
        <f t="shared" si="163"/>
        <v>0</v>
      </c>
      <c r="AL269" s="61">
        <v>0</v>
      </c>
      <c r="AM269" s="63">
        <f t="shared" si="164"/>
        <v>0</v>
      </c>
      <c r="AN269" s="61">
        <v>0</v>
      </c>
      <c r="AO269" s="63">
        <f t="shared" si="165"/>
        <v>0</v>
      </c>
      <c r="AP269" s="61">
        <v>0</v>
      </c>
      <c r="AQ269" s="63">
        <f t="shared" si="166"/>
        <v>0</v>
      </c>
      <c r="AR269" s="61">
        <v>0</v>
      </c>
      <c r="AS269" s="63">
        <f t="shared" si="167"/>
        <v>0</v>
      </c>
      <c r="AT269" s="61">
        <v>0</v>
      </c>
      <c r="AU269" s="63">
        <f t="shared" si="168"/>
        <v>0</v>
      </c>
      <c r="AV269" s="61">
        <v>0</v>
      </c>
      <c r="AW269" s="63">
        <f t="shared" si="169"/>
        <v>0</v>
      </c>
      <c r="AX269" s="61">
        <v>0</v>
      </c>
      <c r="AY269" s="63">
        <f t="shared" si="170"/>
        <v>0</v>
      </c>
      <c r="AZ269" s="61">
        <v>0</v>
      </c>
      <c r="BA269" s="63">
        <f t="shared" si="171"/>
        <v>0</v>
      </c>
      <c r="BB269" s="61">
        <v>0</v>
      </c>
      <c r="BC269" s="63">
        <f t="shared" si="172"/>
        <v>0</v>
      </c>
      <c r="BD269" s="61">
        <v>0</v>
      </c>
      <c r="BE269" s="63">
        <f t="shared" si="173"/>
        <v>0</v>
      </c>
      <c r="BF269" s="61">
        <f t="shared" si="174"/>
        <v>0</v>
      </c>
      <c r="BG269" s="63">
        <f t="shared" si="175"/>
        <v>0</v>
      </c>
      <c r="BH269" s="45"/>
      <c r="BI269" s="144"/>
    </row>
    <row r="270" spans="1:61" ht="26" customHeight="1" x14ac:dyDescent="0.45">
      <c r="A270" s="140">
        <v>3</v>
      </c>
      <c r="B270" s="141" t="s">
        <v>1477</v>
      </c>
      <c r="C270" s="142" t="s">
        <v>1478</v>
      </c>
      <c r="D270" s="143" t="str">
        <f t="shared" si="154"/>
        <v>3.2_5.8.30</v>
      </c>
      <c r="E270" s="56" t="s">
        <v>1143</v>
      </c>
      <c r="F270" s="506" t="s">
        <v>1822</v>
      </c>
      <c r="G270" s="507" t="s">
        <v>1795</v>
      </c>
      <c r="H270" s="507" t="s">
        <v>39</v>
      </c>
      <c r="I270" s="507" t="s">
        <v>1823</v>
      </c>
      <c r="J270" s="507" t="s">
        <v>39</v>
      </c>
      <c r="K270" s="507">
        <v>150</v>
      </c>
      <c r="L270" s="507" t="s">
        <v>125</v>
      </c>
      <c r="M270" s="507" t="s">
        <v>79</v>
      </c>
      <c r="N270" s="507" t="s">
        <v>1055</v>
      </c>
      <c r="O270" s="57" t="s">
        <v>1144</v>
      </c>
      <c r="P270" s="58" t="s">
        <v>846</v>
      </c>
      <c r="Q270" s="59" t="s">
        <v>1145</v>
      </c>
      <c r="R270" s="60" t="s">
        <v>367</v>
      </c>
      <c r="S270" s="61">
        <v>16.170000000000002</v>
      </c>
      <c r="T270" s="62">
        <f>INDEX('BM MORRO DA CRUZ'!$P$6:$P$402,MATCH($O270,'BM MORRO DA CRUZ'!$K$6:$K$402,0))</f>
        <v>20.37</v>
      </c>
      <c r="U270" s="63">
        <f t="shared" si="155"/>
        <v>329.38</v>
      </c>
      <c r="V270" s="61">
        <f>IFERROR(SUMIFS('01ª MC'!$W$1:$W$1840,'01ª MC'!$C$1:$C$1840,$D270),0)</f>
        <v>0</v>
      </c>
      <c r="W270" s="63">
        <f t="shared" si="156"/>
        <v>0</v>
      </c>
      <c r="X270" s="61">
        <v>0</v>
      </c>
      <c r="Y270" s="63">
        <f t="shared" si="157"/>
        <v>0</v>
      </c>
      <c r="Z270" s="61">
        <v>0</v>
      </c>
      <c r="AA270" s="63">
        <f t="shared" si="158"/>
        <v>0</v>
      </c>
      <c r="AB270" s="61">
        <v>0</v>
      </c>
      <c r="AC270" s="63">
        <f t="shared" si="159"/>
        <v>0</v>
      </c>
      <c r="AD270" s="61">
        <v>0</v>
      </c>
      <c r="AE270" s="63">
        <f t="shared" si="160"/>
        <v>0</v>
      </c>
      <c r="AF270" s="61">
        <v>0</v>
      </c>
      <c r="AG270" s="63">
        <f t="shared" si="161"/>
        <v>0</v>
      </c>
      <c r="AH270" s="61">
        <v>0</v>
      </c>
      <c r="AI270" s="63">
        <f t="shared" si="162"/>
        <v>0</v>
      </c>
      <c r="AJ270" s="61">
        <v>0</v>
      </c>
      <c r="AK270" s="63">
        <f t="shared" si="163"/>
        <v>0</v>
      </c>
      <c r="AL270" s="61">
        <v>0</v>
      </c>
      <c r="AM270" s="63">
        <f t="shared" si="164"/>
        <v>0</v>
      </c>
      <c r="AN270" s="61">
        <v>0</v>
      </c>
      <c r="AO270" s="63">
        <f t="shared" si="165"/>
        <v>0</v>
      </c>
      <c r="AP270" s="61">
        <v>0</v>
      </c>
      <c r="AQ270" s="63">
        <f t="shared" si="166"/>
        <v>0</v>
      </c>
      <c r="AR270" s="61">
        <v>0</v>
      </c>
      <c r="AS270" s="63">
        <f t="shared" si="167"/>
        <v>0</v>
      </c>
      <c r="AT270" s="61">
        <v>0</v>
      </c>
      <c r="AU270" s="63">
        <f t="shared" si="168"/>
        <v>0</v>
      </c>
      <c r="AV270" s="61">
        <v>0</v>
      </c>
      <c r="AW270" s="63">
        <f t="shared" si="169"/>
        <v>0</v>
      </c>
      <c r="AX270" s="61">
        <v>0</v>
      </c>
      <c r="AY270" s="63">
        <f t="shared" si="170"/>
        <v>0</v>
      </c>
      <c r="AZ270" s="61">
        <v>0</v>
      </c>
      <c r="BA270" s="63">
        <f t="shared" si="171"/>
        <v>0</v>
      </c>
      <c r="BB270" s="61">
        <v>0</v>
      </c>
      <c r="BC270" s="63">
        <f t="shared" si="172"/>
        <v>0</v>
      </c>
      <c r="BD270" s="61">
        <v>0</v>
      </c>
      <c r="BE270" s="63">
        <f t="shared" si="173"/>
        <v>0</v>
      </c>
      <c r="BF270" s="61">
        <f t="shared" si="174"/>
        <v>0</v>
      </c>
      <c r="BG270" s="63">
        <f t="shared" si="175"/>
        <v>0</v>
      </c>
      <c r="BH270" s="45"/>
      <c r="BI270" s="144"/>
    </row>
    <row r="271" spans="1:61" ht="26" customHeight="1" x14ac:dyDescent="0.45">
      <c r="A271" s="140">
        <v>3</v>
      </c>
      <c r="B271" s="141" t="s">
        <v>1477</v>
      </c>
      <c r="C271" s="142" t="s">
        <v>1478</v>
      </c>
      <c r="D271" s="143" t="str">
        <f t="shared" si="154"/>
        <v>3.2_5.8.31</v>
      </c>
      <c r="E271" s="56" t="s">
        <v>1146</v>
      </c>
      <c r="F271" s="506" t="s">
        <v>1822</v>
      </c>
      <c r="G271" s="507" t="s">
        <v>1795</v>
      </c>
      <c r="H271" s="507" t="s">
        <v>39</v>
      </c>
      <c r="I271" s="507" t="s">
        <v>1823</v>
      </c>
      <c r="J271" s="507" t="s">
        <v>39</v>
      </c>
      <c r="K271" s="507">
        <v>200</v>
      </c>
      <c r="L271" s="507" t="s">
        <v>125</v>
      </c>
      <c r="M271" s="507" t="s">
        <v>79</v>
      </c>
      <c r="N271" s="507" t="s">
        <v>1055</v>
      </c>
      <c r="O271" s="57" t="s">
        <v>1147</v>
      </c>
      <c r="P271" s="58" t="s">
        <v>846</v>
      </c>
      <c r="Q271" s="59" t="s">
        <v>1148</v>
      </c>
      <c r="R271" s="60" t="s">
        <v>367</v>
      </c>
      <c r="S271" s="61">
        <v>8.67</v>
      </c>
      <c r="T271" s="62">
        <f>INDEX('BM MORRO DA CRUZ'!$P$6:$P$402,MATCH($O271,'BM MORRO DA CRUZ'!$K$6:$K$402,0))</f>
        <v>26.28</v>
      </c>
      <c r="U271" s="63">
        <f t="shared" si="155"/>
        <v>227.85</v>
      </c>
      <c r="V271" s="61">
        <f>IFERROR(SUMIFS('01ª MC'!$W$1:$W$1840,'01ª MC'!$C$1:$C$1840,$D271),0)</f>
        <v>0</v>
      </c>
      <c r="W271" s="63">
        <f t="shared" si="156"/>
        <v>0</v>
      </c>
      <c r="X271" s="61">
        <v>0</v>
      </c>
      <c r="Y271" s="63">
        <f t="shared" si="157"/>
        <v>0</v>
      </c>
      <c r="Z271" s="61">
        <v>0</v>
      </c>
      <c r="AA271" s="63">
        <f t="shared" si="158"/>
        <v>0</v>
      </c>
      <c r="AB271" s="61">
        <v>0</v>
      </c>
      <c r="AC271" s="63">
        <f t="shared" si="159"/>
        <v>0</v>
      </c>
      <c r="AD271" s="61">
        <v>0</v>
      </c>
      <c r="AE271" s="63">
        <f t="shared" si="160"/>
        <v>0</v>
      </c>
      <c r="AF271" s="61">
        <v>0</v>
      </c>
      <c r="AG271" s="63">
        <f t="shared" si="161"/>
        <v>0</v>
      </c>
      <c r="AH271" s="61">
        <v>0</v>
      </c>
      <c r="AI271" s="63">
        <f t="shared" si="162"/>
        <v>0</v>
      </c>
      <c r="AJ271" s="61">
        <v>0</v>
      </c>
      <c r="AK271" s="63">
        <f t="shared" si="163"/>
        <v>0</v>
      </c>
      <c r="AL271" s="61">
        <v>0</v>
      </c>
      <c r="AM271" s="63">
        <f t="shared" si="164"/>
        <v>0</v>
      </c>
      <c r="AN271" s="61">
        <v>0</v>
      </c>
      <c r="AO271" s="63">
        <f t="shared" si="165"/>
        <v>0</v>
      </c>
      <c r="AP271" s="61">
        <v>0</v>
      </c>
      <c r="AQ271" s="63">
        <f t="shared" si="166"/>
        <v>0</v>
      </c>
      <c r="AR271" s="61">
        <v>0</v>
      </c>
      <c r="AS271" s="63">
        <f t="shared" si="167"/>
        <v>0</v>
      </c>
      <c r="AT271" s="61">
        <v>0</v>
      </c>
      <c r="AU271" s="63">
        <f t="shared" si="168"/>
        <v>0</v>
      </c>
      <c r="AV271" s="61">
        <v>0</v>
      </c>
      <c r="AW271" s="63">
        <f t="shared" si="169"/>
        <v>0</v>
      </c>
      <c r="AX271" s="61">
        <v>0</v>
      </c>
      <c r="AY271" s="63">
        <f t="shared" si="170"/>
        <v>0</v>
      </c>
      <c r="AZ271" s="61">
        <v>0</v>
      </c>
      <c r="BA271" s="63">
        <f t="shared" si="171"/>
        <v>0</v>
      </c>
      <c r="BB271" s="61">
        <v>0</v>
      </c>
      <c r="BC271" s="63">
        <f t="shared" si="172"/>
        <v>0</v>
      </c>
      <c r="BD271" s="61">
        <v>0</v>
      </c>
      <c r="BE271" s="63">
        <f t="shared" si="173"/>
        <v>0</v>
      </c>
      <c r="BF271" s="61">
        <f t="shared" si="174"/>
        <v>0</v>
      </c>
      <c r="BG271" s="63">
        <f t="shared" si="175"/>
        <v>0</v>
      </c>
      <c r="BH271" s="45"/>
      <c r="BI271" s="144"/>
    </row>
    <row r="272" spans="1:61" ht="26" customHeight="1" x14ac:dyDescent="0.45">
      <c r="A272" s="140">
        <v>3</v>
      </c>
      <c r="B272" s="141" t="s">
        <v>1477</v>
      </c>
      <c r="C272" s="142" t="s">
        <v>1478</v>
      </c>
      <c r="D272" s="143" t="str">
        <f t="shared" si="154"/>
        <v>3.2_5.8.32</v>
      </c>
      <c r="E272" s="56" t="s">
        <v>1149</v>
      </c>
      <c r="F272" s="506" t="s">
        <v>1822</v>
      </c>
      <c r="G272" s="507" t="s">
        <v>1795</v>
      </c>
      <c r="H272" s="507" t="s">
        <v>39</v>
      </c>
      <c r="I272" s="507" t="s">
        <v>1823</v>
      </c>
      <c r="J272" s="507" t="s">
        <v>39</v>
      </c>
      <c r="K272" s="507">
        <v>300</v>
      </c>
      <c r="L272" s="507" t="s">
        <v>125</v>
      </c>
      <c r="M272" s="507" t="s">
        <v>79</v>
      </c>
      <c r="N272" s="507" t="s">
        <v>1055</v>
      </c>
      <c r="O272" s="57" t="s">
        <v>1150</v>
      </c>
      <c r="P272" s="58" t="s">
        <v>846</v>
      </c>
      <c r="Q272" s="59" t="s">
        <v>1151</v>
      </c>
      <c r="R272" s="60" t="s">
        <v>367</v>
      </c>
      <c r="S272" s="61">
        <v>1.06</v>
      </c>
      <c r="T272" s="62">
        <f>INDEX('BM MORRO DA CRUZ'!$P$6:$P$402,MATCH($O272,'BM MORRO DA CRUZ'!$K$6:$K$402,0))</f>
        <v>46.12</v>
      </c>
      <c r="U272" s="63">
        <f t="shared" si="155"/>
        <v>48.89</v>
      </c>
      <c r="V272" s="61">
        <f>IFERROR(SUMIFS('01ª MC'!$W$1:$W$1840,'01ª MC'!$C$1:$C$1840,$D272),0)</f>
        <v>0</v>
      </c>
      <c r="W272" s="63">
        <f t="shared" si="156"/>
        <v>0</v>
      </c>
      <c r="X272" s="61">
        <v>0</v>
      </c>
      <c r="Y272" s="63">
        <f t="shared" si="157"/>
        <v>0</v>
      </c>
      <c r="Z272" s="61">
        <v>0</v>
      </c>
      <c r="AA272" s="63">
        <f t="shared" si="158"/>
        <v>0</v>
      </c>
      <c r="AB272" s="61">
        <v>0</v>
      </c>
      <c r="AC272" s="63">
        <f t="shared" si="159"/>
        <v>0</v>
      </c>
      <c r="AD272" s="61">
        <v>0</v>
      </c>
      <c r="AE272" s="63">
        <f t="shared" si="160"/>
        <v>0</v>
      </c>
      <c r="AF272" s="61">
        <v>0</v>
      </c>
      <c r="AG272" s="63">
        <f t="shared" si="161"/>
        <v>0</v>
      </c>
      <c r="AH272" s="61">
        <v>0</v>
      </c>
      <c r="AI272" s="63">
        <f t="shared" si="162"/>
        <v>0</v>
      </c>
      <c r="AJ272" s="61">
        <v>0</v>
      </c>
      <c r="AK272" s="63">
        <f t="shared" si="163"/>
        <v>0</v>
      </c>
      <c r="AL272" s="61">
        <v>0</v>
      </c>
      <c r="AM272" s="63">
        <f t="shared" si="164"/>
        <v>0</v>
      </c>
      <c r="AN272" s="61">
        <v>0</v>
      </c>
      <c r="AO272" s="63">
        <f t="shared" si="165"/>
        <v>0</v>
      </c>
      <c r="AP272" s="61">
        <v>0</v>
      </c>
      <c r="AQ272" s="63">
        <f t="shared" si="166"/>
        <v>0</v>
      </c>
      <c r="AR272" s="61">
        <v>0</v>
      </c>
      <c r="AS272" s="63">
        <f t="shared" si="167"/>
        <v>0</v>
      </c>
      <c r="AT272" s="61">
        <v>0</v>
      </c>
      <c r="AU272" s="63">
        <f t="shared" si="168"/>
        <v>0</v>
      </c>
      <c r="AV272" s="61">
        <v>0</v>
      </c>
      <c r="AW272" s="63">
        <f t="shared" si="169"/>
        <v>0</v>
      </c>
      <c r="AX272" s="61">
        <v>0</v>
      </c>
      <c r="AY272" s="63">
        <f t="shared" si="170"/>
        <v>0</v>
      </c>
      <c r="AZ272" s="61">
        <v>0</v>
      </c>
      <c r="BA272" s="63">
        <f t="shared" si="171"/>
        <v>0</v>
      </c>
      <c r="BB272" s="61">
        <v>0</v>
      </c>
      <c r="BC272" s="63">
        <f t="shared" si="172"/>
        <v>0</v>
      </c>
      <c r="BD272" s="61">
        <v>0</v>
      </c>
      <c r="BE272" s="63">
        <f t="shared" si="173"/>
        <v>0</v>
      </c>
      <c r="BF272" s="61">
        <f t="shared" si="174"/>
        <v>0</v>
      </c>
      <c r="BG272" s="63">
        <f t="shared" si="175"/>
        <v>0</v>
      </c>
      <c r="BH272" s="45"/>
      <c r="BI272" s="144"/>
    </row>
    <row r="273" spans="1:61" ht="26" customHeight="1" x14ac:dyDescent="0.45">
      <c r="A273" s="140">
        <v>3</v>
      </c>
      <c r="B273" s="141" t="s">
        <v>1477</v>
      </c>
      <c r="C273" s="142" t="s">
        <v>1478</v>
      </c>
      <c r="D273" s="143" t="str">
        <f t="shared" si="154"/>
        <v>3.2_5.8.33</v>
      </c>
      <c r="E273" s="56" t="s">
        <v>1152</v>
      </c>
      <c r="F273" s="506" t="s">
        <v>1822</v>
      </c>
      <c r="G273" s="507" t="s">
        <v>1795</v>
      </c>
      <c r="H273" s="507" t="s">
        <v>39</v>
      </c>
      <c r="I273" s="507" t="s">
        <v>1823</v>
      </c>
      <c r="J273" s="507" t="s">
        <v>39</v>
      </c>
      <c r="K273" s="507">
        <v>350</v>
      </c>
      <c r="L273" s="507" t="s">
        <v>125</v>
      </c>
      <c r="M273" s="507" t="s">
        <v>79</v>
      </c>
      <c r="N273" s="507" t="s">
        <v>1055</v>
      </c>
      <c r="O273" s="57" t="s">
        <v>1153</v>
      </c>
      <c r="P273" s="58" t="s">
        <v>846</v>
      </c>
      <c r="Q273" s="59" t="s">
        <v>1154</v>
      </c>
      <c r="R273" s="60" t="s">
        <v>367</v>
      </c>
      <c r="S273" s="61">
        <v>1.4</v>
      </c>
      <c r="T273" s="62">
        <f>INDEX('BM MORRO DA CRUZ'!$P$6:$P$402,MATCH($O273,'BM MORRO DA CRUZ'!$K$6:$K$402,0))</f>
        <v>60.01</v>
      </c>
      <c r="U273" s="63">
        <f t="shared" si="155"/>
        <v>84.01</v>
      </c>
      <c r="V273" s="61">
        <f>IFERROR(SUMIFS('01ª MC'!$W$1:$W$1840,'01ª MC'!$C$1:$C$1840,$D273),0)</f>
        <v>0</v>
      </c>
      <c r="W273" s="63">
        <f t="shared" si="156"/>
        <v>0</v>
      </c>
      <c r="X273" s="61">
        <v>0</v>
      </c>
      <c r="Y273" s="63">
        <f t="shared" si="157"/>
        <v>0</v>
      </c>
      <c r="Z273" s="61">
        <v>0</v>
      </c>
      <c r="AA273" s="63">
        <f t="shared" si="158"/>
        <v>0</v>
      </c>
      <c r="AB273" s="61">
        <v>0</v>
      </c>
      <c r="AC273" s="63">
        <f t="shared" si="159"/>
        <v>0</v>
      </c>
      <c r="AD273" s="61">
        <v>0</v>
      </c>
      <c r="AE273" s="63">
        <f t="shared" si="160"/>
        <v>0</v>
      </c>
      <c r="AF273" s="61">
        <v>0</v>
      </c>
      <c r="AG273" s="63">
        <f t="shared" si="161"/>
        <v>0</v>
      </c>
      <c r="AH273" s="61">
        <v>0</v>
      </c>
      <c r="AI273" s="63">
        <f t="shared" si="162"/>
        <v>0</v>
      </c>
      <c r="AJ273" s="61">
        <v>0</v>
      </c>
      <c r="AK273" s="63">
        <f t="shared" si="163"/>
        <v>0</v>
      </c>
      <c r="AL273" s="61">
        <v>0</v>
      </c>
      <c r="AM273" s="63">
        <f t="shared" si="164"/>
        <v>0</v>
      </c>
      <c r="AN273" s="61">
        <v>0</v>
      </c>
      <c r="AO273" s="63">
        <f t="shared" si="165"/>
        <v>0</v>
      </c>
      <c r="AP273" s="61">
        <v>0</v>
      </c>
      <c r="AQ273" s="63">
        <f t="shared" si="166"/>
        <v>0</v>
      </c>
      <c r="AR273" s="61">
        <v>0</v>
      </c>
      <c r="AS273" s="63">
        <f t="shared" si="167"/>
        <v>0</v>
      </c>
      <c r="AT273" s="61">
        <v>0</v>
      </c>
      <c r="AU273" s="63">
        <f t="shared" si="168"/>
        <v>0</v>
      </c>
      <c r="AV273" s="61">
        <v>0</v>
      </c>
      <c r="AW273" s="63">
        <f t="shared" si="169"/>
        <v>0</v>
      </c>
      <c r="AX273" s="61">
        <v>0</v>
      </c>
      <c r="AY273" s="63">
        <f t="shared" si="170"/>
        <v>0</v>
      </c>
      <c r="AZ273" s="61">
        <v>0</v>
      </c>
      <c r="BA273" s="63">
        <f t="shared" si="171"/>
        <v>0</v>
      </c>
      <c r="BB273" s="61">
        <v>0</v>
      </c>
      <c r="BC273" s="63">
        <f t="shared" si="172"/>
        <v>0</v>
      </c>
      <c r="BD273" s="61">
        <v>0</v>
      </c>
      <c r="BE273" s="63">
        <f t="shared" si="173"/>
        <v>0</v>
      </c>
      <c r="BF273" s="61">
        <f t="shared" si="174"/>
        <v>0</v>
      </c>
      <c r="BG273" s="63">
        <f t="shared" si="175"/>
        <v>0</v>
      </c>
      <c r="BH273" s="45"/>
      <c r="BI273" s="144"/>
    </row>
    <row r="274" spans="1:61" ht="26" customHeight="1" x14ac:dyDescent="0.45">
      <c r="A274" s="140">
        <v>3</v>
      </c>
      <c r="B274" s="141" t="s">
        <v>1477</v>
      </c>
      <c r="C274" s="142" t="s">
        <v>1478</v>
      </c>
      <c r="D274" s="143" t="str">
        <f t="shared" si="154"/>
        <v>3.2_5.8.34</v>
      </c>
      <c r="E274" s="56" t="s">
        <v>1155</v>
      </c>
      <c r="F274" s="506" t="s">
        <v>1822</v>
      </c>
      <c r="G274" s="507" t="s">
        <v>1795</v>
      </c>
      <c r="H274" s="507" t="s">
        <v>39</v>
      </c>
      <c r="I274" s="507" t="s">
        <v>1823</v>
      </c>
      <c r="J274" s="507" t="s">
        <v>39</v>
      </c>
      <c r="K274" s="507">
        <v>80</v>
      </c>
      <c r="L274" s="507" t="s">
        <v>125</v>
      </c>
      <c r="M274" s="507" t="s">
        <v>79</v>
      </c>
      <c r="N274" s="507" t="s">
        <v>1055</v>
      </c>
      <c r="O274" s="57" t="s">
        <v>1156</v>
      </c>
      <c r="P274" s="58" t="s">
        <v>846</v>
      </c>
      <c r="Q274" s="59" t="s">
        <v>1157</v>
      </c>
      <c r="R274" s="60" t="s">
        <v>367</v>
      </c>
      <c r="S274" s="61">
        <v>40.83</v>
      </c>
      <c r="T274" s="62">
        <f>INDEX('BM MORRO DA CRUZ'!$P$6:$P$402,MATCH($O274,'BM MORRO DA CRUZ'!$K$6:$K$402,0))</f>
        <v>12.09</v>
      </c>
      <c r="U274" s="63">
        <f t="shared" si="155"/>
        <v>493.63</v>
      </c>
      <c r="V274" s="61">
        <f>IFERROR(SUMIFS('01ª MC'!$W$1:$W$1840,'01ª MC'!$C$1:$C$1840,$D274),0)</f>
        <v>0</v>
      </c>
      <c r="W274" s="63">
        <f t="shared" si="156"/>
        <v>0</v>
      </c>
      <c r="X274" s="61">
        <v>0</v>
      </c>
      <c r="Y274" s="63">
        <f t="shared" si="157"/>
        <v>0</v>
      </c>
      <c r="Z274" s="61">
        <v>0</v>
      </c>
      <c r="AA274" s="63">
        <f t="shared" si="158"/>
        <v>0</v>
      </c>
      <c r="AB274" s="61">
        <v>0</v>
      </c>
      <c r="AC274" s="63">
        <f t="shared" si="159"/>
        <v>0</v>
      </c>
      <c r="AD274" s="61">
        <v>0</v>
      </c>
      <c r="AE274" s="63">
        <f t="shared" si="160"/>
        <v>0</v>
      </c>
      <c r="AF274" s="61">
        <v>0</v>
      </c>
      <c r="AG274" s="63">
        <f t="shared" si="161"/>
        <v>0</v>
      </c>
      <c r="AH274" s="61">
        <v>0</v>
      </c>
      <c r="AI274" s="63">
        <f t="shared" si="162"/>
        <v>0</v>
      </c>
      <c r="AJ274" s="61">
        <v>0</v>
      </c>
      <c r="AK274" s="63">
        <f t="shared" si="163"/>
        <v>0</v>
      </c>
      <c r="AL274" s="61">
        <v>0</v>
      </c>
      <c r="AM274" s="63">
        <f t="shared" si="164"/>
        <v>0</v>
      </c>
      <c r="AN274" s="61">
        <v>0</v>
      </c>
      <c r="AO274" s="63">
        <f t="shared" si="165"/>
        <v>0</v>
      </c>
      <c r="AP274" s="61">
        <v>0</v>
      </c>
      <c r="AQ274" s="63">
        <f t="shared" si="166"/>
        <v>0</v>
      </c>
      <c r="AR274" s="61">
        <v>0</v>
      </c>
      <c r="AS274" s="63">
        <f t="shared" si="167"/>
        <v>0</v>
      </c>
      <c r="AT274" s="61">
        <v>0</v>
      </c>
      <c r="AU274" s="63">
        <f t="shared" si="168"/>
        <v>0</v>
      </c>
      <c r="AV274" s="61">
        <v>0</v>
      </c>
      <c r="AW274" s="63">
        <f t="shared" si="169"/>
        <v>0</v>
      </c>
      <c r="AX274" s="61">
        <v>0</v>
      </c>
      <c r="AY274" s="63">
        <f t="shared" si="170"/>
        <v>0</v>
      </c>
      <c r="AZ274" s="61">
        <v>0</v>
      </c>
      <c r="BA274" s="63">
        <f t="shared" si="171"/>
        <v>0</v>
      </c>
      <c r="BB274" s="61">
        <v>0</v>
      </c>
      <c r="BC274" s="63">
        <f t="shared" si="172"/>
        <v>0</v>
      </c>
      <c r="BD274" s="61">
        <v>0</v>
      </c>
      <c r="BE274" s="63">
        <f t="shared" si="173"/>
        <v>0</v>
      </c>
      <c r="BF274" s="61">
        <f t="shared" si="174"/>
        <v>0</v>
      </c>
      <c r="BG274" s="63">
        <f t="shared" si="175"/>
        <v>0</v>
      </c>
      <c r="BH274" s="45"/>
      <c r="BI274" s="144"/>
    </row>
    <row r="275" spans="1:61" ht="35.65" x14ac:dyDescent="0.45">
      <c r="A275" s="140">
        <v>3</v>
      </c>
      <c r="B275" s="141" t="s">
        <v>1477</v>
      </c>
      <c r="C275" s="142" t="s">
        <v>1478</v>
      </c>
      <c r="D275" s="143" t="str">
        <f t="shared" si="154"/>
        <v>3.2_5.8.44</v>
      </c>
      <c r="E275" s="56" t="s">
        <v>1185</v>
      </c>
      <c r="F275" s="506" t="s">
        <v>1824</v>
      </c>
      <c r="G275" s="507" t="s">
        <v>1795</v>
      </c>
      <c r="H275" s="507" t="s">
        <v>1795</v>
      </c>
      <c r="I275" s="507" t="s">
        <v>1823</v>
      </c>
      <c r="J275" s="507" t="s">
        <v>1818</v>
      </c>
      <c r="K275" s="507">
        <v>63</v>
      </c>
      <c r="L275" s="507" t="s">
        <v>267</v>
      </c>
      <c r="M275" s="507" t="s">
        <v>79</v>
      </c>
      <c r="N275" s="507" t="s">
        <v>1055</v>
      </c>
      <c r="O275" s="57" t="s">
        <v>1186</v>
      </c>
      <c r="P275" s="58" t="s">
        <v>846</v>
      </c>
      <c r="Q275" s="59" t="s">
        <v>1187</v>
      </c>
      <c r="R275" s="60" t="s">
        <v>367</v>
      </c>
      <c r="S275" s="61">
        <v>31.5</v>
      </c>
      <c r="T275" s="62">
        <f>INDEX('BM MORRO DA CRUZ'!$P$6:$P$402,MATCH($O275,'BM MORRO DA CRUZ'!$K$6:$K$402,0))</f>
        <v>0.78</v>
      </c>
      <c r="U275" s="63">
        <f t="shared" si="155"/>
        <v>24.57</v>
      </c>
      <c r="V275" s="61">
        <f>IFERROR(SUMIFS('01ª MC'!$W$1:$W$1840,'01ª MC'!$C$1:$C$1840,$D275),0)</f>
        <v>0</v>
      </c>
      <c r="W275" s="63">
        <f t="shared" si="156"/>
        <v>0</v>
      </c>
      <c r="X275" s="61">
        <v>0</v>
      </c>
      <c r="Y275" s="63">
        <f t="shared" si="157"/>
        <v>0</v>
      </c>
      <c r="Z275" s="61">
        <v>0</v>
      </c>
      <c r="AA275" s="63">
        <f t="shared" si="158"/>
        <v>0</v>
      </c>
      <c r="AB275" s="61">
        <v>0</v>
      </c>
      <c r="AC275" s="63">
        <f t="shared" si="159"/>
        <v>0</v>
      </c>
      <c r="AD275" s="61">
        <v>0</v>
      </c>
      <c r="AE275" s="63">
        <f t="shared" si="160"/>
        <v>0</v>
      </c>
      <c r="AF275" s="61">
        <v>0</v>
      </c>
      <c r="AG275" s="63">
        <f t="shared" si="161"/>
        <v>0</v>
      </c>
      <c r="AH275" s="61">
        <v>0</v>
      </c>
      <c r="AI275" s="63">
        <f t="shared" si="162"/>
        <v>0</v>
      </c>
      <c r="AJ275" s="61">
        <v>0</v>
      </c>
      <c r="AK275" s="63">
        <f t="shared" si="163"/>
        <v>0</v>
      </c>
      <c r="AL275" s="61">
        <v>0</v>
      </c>
      <c r="AM275" s="63">
        <f t="shared" si="164"/>
        <v>0</v>
      </c>
      <c r="AN275" s="61">
        <v>0</v>
      </c>
      <c r="AO275" s="63">
        <f t="shared" si="165"/>
        <v>0</v>
      </c>
      <c r="AP275" s="61">
        <v>0</v>
      </c>
      <c r="AQ275" s="63">
        <f t="shared" si="166"/>
        <v>0</v>
      </c>
      <c r="AR275" s="61">
        <v>0</v>
      </c>
      <c r="AS275" s="63">
        <f t="shared" si="167"/>
        <v>0</v>
      </c>
      <c r="AT275" s="61">
        <v>0</v>
      </c>
      <c r="AU275" s="63">
        <f t="shared" si="168"/>
        <v>0</v>
      </c>
      <c r="AV275" s="61">
        <v>0</v>
      </c>
      <c r="AW275" s="63">
        <f t="shared" si="169"/>
        <v>0</v>
      </c>
      <c r="AX275" s="61">
        <v>0</v>
      </c>
      <c r="AY275" s="63">
        <f t="shared" si="170"/>
        <v>0</v>
      </c>
      <c r="AZ275" s="61">
        <v>0</v>
      </c>
      <c r="BA275" s="63">
        <f t="shared" si="171"/>
        <v>0</v>
      </c>
      <c r="BB275" s="61">
        <v>0</v>
      </c>
      <c r="BC275" s="63">
        <f t="shared" si="172"/>
        <v>0</v>
      </c>
      <c r="BD275" s="61">
        <v>0</v>
      </c>
      <c r="BE275" s="63">
        <f t="shared" si="173"/>
        <v>0</v>
      </c>
      <c r="BF275" s="61">
        <f t="shared" si="174"/>
        <v>0</v>
      </c>
      <c r="BG275" s="63">
        <f t="shared" si="175"/>
        <v>0</v>
      </c>
      <c r="BH275" s="45"/>
      <c r="BI275" s="144"/>
    </row>
    <row r="276" spans="1:61" ht="35.65" x14ac:dyDescent="0.45">
      <c r="A276" s="140">
        <v>3</v>
      </c>
      <c r="B276" s="141" t="s">
        <v>1477</v>
      </c>
      <c r="C276" s="142" t="s">
        <v>1478</v>
      </c>
      <c r="D276" s="143" t="str">
        <f t="shared" si="154"/>
        <v>3.2_5.8.47</v>
      </c>
      <c r="E276" s="56" t="s">
        <v>1194</v>
      </c>
      <c r="F276" s="506" t="s">
        <v>1827</v>
      </c>
      <c r="G276" s="507" t="s">
        <v>1795</v>
      </c>
      <c r="H276" s="507" t="s">
        <v>1795</v>
      </c>
      <c r="I276" s="507" t="s">
        <v>1828</v>
      </c>
      <c r="J276" s="507" t="s">
        <v>266</v>
      </c>
      <c r="K276" s="507">
        <v>63</v>
      </c>
      <c r="L276" s="507" t="s">
        <v>267</v>
      </c>
      <c r="M276" s="507" t="s">
        <v>79</v>
      </c>
      <c r="N276" s="507" t="s">
        <v>1829</v>
      </c>
      <c r="O276" s="57" t="s">
        <v>1195</v>
      </c>
      <c r="P276" s="58" t="s">
        <v>846</v>
      </c>
      <c r="Q276" s="59" t="s">
        <v>1196</v>
      </c>
      <c r="R276" s="60" t="s">
        <v>71</v>
      </c>
      <c r="S276" s="61">
        <v>6</v>
      </c>
      <c r="T276" s="62">
        <f>INDEX('BM MORRO DA CRUZ'!$P$6:$P$402,MATCH($O276,'BM MORRO DA CRUZ'!$K$6:$K$402,0))</f>
        <v>10.14</v>
      </c>
      <c r="U276" s="63">
        <f t="shared" si="155"/>
        <v>60.84</v>
      </c>
      <c r="V276" s="61">
        <f>IFERROR(SUMIFS('01ª MC'!$W$1:$W$1840,'01ª MC'!$C$1:$C$1840,$D276),0)</f>
        <v>0</v>
      </c>
      <c r="W276" s="63">
        <f t="shared" si="156"/>
        <v>0</v>
      </c>
      <c r="X276" s="61">
        <v>0</v>
      </c>
      <c r="Y276" s="63">
        <f t="shared" si="157"/>
        <v>0</v>
      </c>
      <c r="Z276" s="61">
        <v>0</v>
      </c>
      <c r="AA276" s="63">
        <f t="shared" si="158"/>
        <v>0</v>
      </c>
      <c r="AB276" s="61">
        <v>0</v>
      </c>
      <c r="AC276" s="63">
        <f t="shared" si="159"/>
        <v>0</v>
      </c>
      <c r="AD276" s="61">
        <v>0</v>
      </c>
      <c r="AE276" s="63">
        <f t="shared" si="160"/>
        <v>0</v>
      </c>
      <c r="AF276" s="61">
        <v>0</v>
      </c>
      <c r="AG276" s="63">
        <f t="shared" si="161"/>
        <v>0</v>
      </c>
      <c r="AH276" s="61">
        <v>0</v>
      </c>
      <c r="AI276" s="63">
        <f t="shared" si="162"/>
        <v>0</v>
      </c>
      <c r="AJ276" s="61">
        <v>0</v>
      </c>
      <c r="AK276" s="63">
        <f t="shared" si="163"/>
        <v>0</v>
      </c>
      <c r="AL276" s="61">
        <v>0</v>
      </c>
      <c r="AM276" s="63">
        <f t="shared" si="164"/>
        <v>0</v>
      </c>
      <c r="AN276" s="61">
        <v>0</v>
      </c>
      <c r="AO276" s="63">
        <f t="shared" si="165"/>
        <v>0</v>
      </c>
      <c r="AP276" s="61">
        <v>0</v>
      </c>
      <c r="AQ276" s="63">
        <f t="shared" si="166"/>
        <v>0</v>
      </c>
      <c r="AR276" s="61">
        <v>0</v>
      </c>
      <c r="AS276" s="63">
        <f t="shared" si="167"/>
        <v>0</v>
      </c>
      <c r="AT276" s="61">
        <v>0</v>
      </c>
      <c r="AU276" s="63">
        <f t="shared" si="168"/>
        <v>0</v>
      </c>
      <c r="AV276" s="61">
        <v>0</v>
      </c>
      <c r="AW276" s="63">
        <f t="shared" si="169"/>
        <v>0</v>
      </c>
      <c r="AX276" s="61">
        <v>0</v>
      </c>
      <c r="AY276" s="63">
        <f t="shared" si="170"/>
        <v>0</v>
      </c>
      <c r="AZ276" s="61">
        <v>0</v>
      </c>
      <c r="BA276" s="63">
        <f t="shared" si="171"/>
        <v>0</v>
      </c>
      <c r="BB276" s="61">
        <v>0</v>
      </c>
      <c r="BC276" s="63">
        <f t="shared" si="172"/>
        <v>0</v>
      </c>
      <c r="BD276" s="61">
        <v>0</v>
      </c>
      <c r="BE276" s="63">
        <f t="shared" si="173"/>
        <v>0</v>
      </c>
      <c r="BF276" s="61">
        <f t="shared" si="174"/>
        <v>0</v>
      </c>
      <c r="BG276" s="63">
        <f t="shared" si="175"/>
        <v>0</v>
      </c>
      <c r="BH276" s="45"/>
      <c r="BI276" s="144"/>
    </row>
    <row r="277" spans="1:61" ht="19.5" customHeight="1" x14ac:dyDescent="0.45">
      <c r="A277" s="128">
        <v>3</v>
      </c>
      <c r="B277" s="129"/>
      <c r="C277" s="130"/>
      <c r="D277" s="131"/>
      <c r="E277" s="132" t="s">
        <v>1278</v>
      </c>
      <c r="F277" s="515"/>
      <c r="G277" s="516"/>
      <c r="H277" s="516"/>
      <c r="I277" s="516"/>
      <c r="J277" s="516"/>
      <c r="K277" s="516"/>
      <c r="L277" s="516"/>
      <c r="M277" s="516"/>
      <c r="N277" s="516"/>
      <c r="O277" s="133" t="s">
        <v>1279</v>
      </c>
      <c r="P277" s="134"/>
      <c r="Q277" s="135" t="s">
        <v>1280</v>
      </c>
      <c r="R277" s="136"/>
      <c r="S277" s="137"/>
      <c r="T277" s="138"/>
      <c r="U277" s="139">
        <f>SUM(U278:U278)</f>
        <v>67910.039999999994</v>
      </c>
      <c r="V277" s="137"/>
      <c r="W277" s="139">
        <f>SUM(W278:W278)</f>
        <v>0</v>
      </c>
      <c r="X277" s="137"/>
      <c r="Y277" s="139">
        <f>SUM(Y278:Y278)</f>
        <v>0</v>
      </c>
      <c r="Z277" s="137"/>
      <c r="AA277" s="139">
        <f>SUM(AA278:AA278)</f>
        <v>0</v>
      </c>
      <c r="AB277" s="137"/>
      <c r="AC277" s="139">
        <f>SUM(AC278:AC278)</f>
        <v>0</v>
      </c>
      <c r="AD277" s="137"/>
      <c r="AE277" s="139">
        <f>SUM(AE278:AE278)</f>
        <v>0</v>
      </c>
      <c r="AF277" s="137"/>
      <c r="AG277" s="139">
        <f>SUM(AG278:AG278)</f>
        <v>0</v>
      </c>
      <c r="AH277" s="137"/>
      <c r="AI277" s="139">
        <f>SUM(AI278:AI278)</f>
        <v>0</v>
      </c>
      <c r="AJ277" s="137"/>
      <c r="AK277" s="139">
        <f>SUM(AK278:AK278)</f>
        <v>0</v>
      </c>
      <c r="AL277" s="137"/>
      <c r="AM277" s="139">
        <f>SUM(AM278:AM278)</f>
        <v>0</v>
      </c>
      <c r="AN277" s="137"/>
      <c r="AO277" s="139">
        <f>SUM(AO278:AO278)</f>
        <v>0</v>
      </c>
      <c r="AP277" s="137"/>
      <c r="AQ277" s="139">
        <f>SUM(AQ278:AQ278)</f>
        <v>0</v>
      </c>
      <c r="AR277" s="137"/>
      <c r="AS277" s="139">
        <f>SUM(AS278:AS278)</f>
        <v>0</v>
      </c>
      <c r="AT277" s="137"/>
      <c r="AU277" s="139">
        <f>SUM(AU278:AU278)</f>
        <v>0</v>
      </c>
      <c r="AV277" s="137"/>
      <c r="AW277" s="139">
        <f>SUM(AW278:AW278)</f>
        <v>0</v>
      </c>
      <c r="AX277" s="137"/>
      <c r="AY277" s="139">
        <f>SUM(AY278:AY278)</f>
        <v>0</v>
      </c>
      <c r="AZ277" s="137"/>
      <c r="BA277" s="139">
        <f>SUM(BA278:BA278)</f>
        <v>0</v>
      </c>
      <c r="BB277" s="137"/>
      <c r="BC277" s="139">
        <f>SUM(BC278:BC278)</f>
        <v>0</v>
      </c>
      <c r="BD277" s="137"/>
      <c r="BE277" s="139">
        <f>SUM(BE278:BE278)</f>
        <v>0</v>
      </c>
      <c r="BF277" s="137"/>
      <c r="BG277" s="139">
        <f>SUM(BG278:BG278)</f>
        <v>0</v>
      </c>
      <c r="BH277" s="45"/>
    </row>
    <row r="278" spans="1:61" ht="26" customHeight="1" x14ac:dyDescent="0.45">
      <c r="A278" s="140">
        <v>3</v>
      </c>
      <c r="B278" s="141" t="s">
        <v>1477</v>
      </c>
      <c r="C278" s="142" t="s">
        <v>1478</v>
      </c>
      <c r="D278" s="143" t="str">
        <f>B278&amp;"_"&amp;E278</f>
        <v>3.2_5.12.1</v>
      </c>
      <c r="E278" s="56" t="s">
        <v>1281</v>
      </c>
      <c r="F278" s="506" t="s">
        <v>1852</v>
      </c>
      <c r="G278" s="507" t="s">
        <v>39</v>
      </c>
      <c r="H278" s="507" t="s">
        <v>39</v>
      </c>
      <c r="I278" s="507" t="s">
        <v>1853</v>
      </c>
      <c r="J278" s="507" t="s">
        <v>39</v>
      </c>
      <c r="K278" s="507" t="s">
        <v>39</v>
      </c>
      <c r="L278" s="507" t="s">
        <v>1749</v>
      </c>
      <c r="M278" s="507" t="s">
        <v>79</v>
      </c>
      <c r="N278" s="507" t="s">
        <v>1853</v>
      </c>
      <c r="O278" s="57" t="s">
        <v>1282</v>
      </c>
      <c r="P278" s="58" t="s">
        <v>846</v>
      </c>
      <c r="Q278" s="59" t="s">
        <v>1283</v>
      </c>
      <c r="R278" s="60" t="s">
        <v>792</v>
      </c>
      <c r="S278" s="61">
        <v>1559</v>
      </c>
      <c r="T278" s="62">
        <f>INDEX('BM MORRO DA CRUZ'!$P$6:$P$402,MATCH($O278,'BM MORRO DA CRUZ'!$K$6:$K$402,0))</f>
        <v>43.56</v>
      </c>
      <c r="U278" s="63">
        <f>ROUND(T278*$S278,2)</f>
        <v>67910.039999999994</v>
      </c>
      <c r="V278" s="61">
        <f>IFERROR(SUMIFS('01ª MC'!$W$1:$W$1840,'01ª MC'!$C$1:$C$1840,$D278),0)</f>
        <v>0</v>
      </c>
      <c r="W278" s="63">
        <f>ROUND(V278*$T278,2)</f>
        <v>0</v>
      </c>
      <c r="X278" s="61">
        <v>0</v>
      </c>
      <c r="Y278" s="63">
        <f>ROUND(X278*$T278,2)</f>
        <v>0</v>
      </c>
      <c r="Z278" s="61">
        <v>0</v>
      </c>
      <c r="AA278" s="63">
        <f>ROUND(Z278*$T278,2)</f>
        <v>0</v>
      </c>
      <c r="AB278" s="61">
        <v>0</v>
      </c>
      <c r="AC278" s="63">
        <f>ROUND(AB278*$T278,2)</f>
        <v>0</v>
      </c>
      <c r="AD278" s="61">
        <v>0</v>
      </c>
      <c r="AE278" s="63">
        <f>ROUND(AD278*$T278,2)</f>
        <v>0</v>
      </c>
      <c r="AF278" s="61">
        <v>0</v>
      </c>
      <c r="AG278" s="63">
        <f>ROUND(AF278*$T278,2)</f>
        <v>0</v>
      </c>
      <c r="AH278" s="61">
        <v>0</v>
      </c>
      <c r="AI278" s="63">
        <f>ROUND(AH278*$T278,2)</f>
        <v>0</v>
      </c>
      <c r="AJ278" s="61">
        <v>0</v>
      </c>
      <c r="AK278" s="63">
        <f>ROUND(AJ278*$T278,2)</f>
        <v>0</v>
      </c>
      <c r="AL278" s="61">
        <v>0</v>
      </c>
      <c r="AM278" s="63">
        <f>ROUND(AL278*$T278,2)</f>
        <v>0</v>
      </c>
      <c r="AN278" s="61">
        <v>0</v>
      </c>
      <c r="AO278" s="63">
        <f>ROUND(AN278*$T278,2)</f>
        <v>0</v>
      </c>
      <c r="AP278" s="61">
        <v>0</v>
      </c>
      <c r="AQ278" s="63">
        <f>ROUND(AP278*$T278,2)</f>
        <v>0</v>
      </c>
      <c r="AR278" s="61">
        <v>0</v>
      </c>
      <c r="AS278" s="63">
        <f>ROUND(AR278*$T278,2)</f>
        <v>0</v>
      </c>
      <c r="AT278" s="61">
        <v>0</v>
      </c>
      <c r="AU278" s="63">
        <f>ROUND(AT278*$T278,2)</f>
        <v>0</v>
      </c>
      <c r="AV278" s="61">
        <v>0</v>
      </c>
      <c r="AW278" s="63">
        <f>ROUND(AV278*$T278,2)</f>
        <v>0</v>
      </c>
      <c r="AX278" s="61">
        <v>0</v>
      </c>
      <c r="AY278" s="63">
        <f>ROUND(AX278*$T278,2)</f>
        <v>0</v>
      </c>
      <c r="AZ278" s="61">
        <v>0</v>
      </c>
      <c r="BA278" s="63">
        <f>ROUND(AZ278*$T278,2)</f>
        <v>0</v>
      </c>
      <c r="BB278" s="61">
        <v>0</v>
      </c>
      <c r="BC278" s="63">
        <f>ROUND(BB278*$T278,2)</f>
        <v>0</v>
      </c>
      <c r="BD278" s="61">
        <v>0</v>
      </c>
      <c r="BE278" s="63">
        <f>ROUND(BD278*$T278,2)</f>
        <v>0</v>
      </c>
      <c r="BF278" s="61">
        <f>IFERROR(SUMIFS($V278:$BE278,$V$5:$BE$5,$BF$5),0)</f>
        <v>0</v>
      </c>
      <c r="BG278" s="63">
        <f>SUMIFS($V278:$BE278,$V$5:$BE$5,$W$5)</f>
        <v>0</v>
      </c>
      <c r="BH278" s="45"/>
      <c r="BI278" s="144"/>
    </row>
    <row r="279" spans="1:61" ht="19.5" customHeight="1" x14ac:dyDescent="0.45">
      <c r="A279" s="128">
        <v>3</v>
      </c>
      <c r="B279" s="129"/>
      <c r="C279" s="130"/>
      <c r="D279" s="131"/>
      <c r="E279" s="132" t="s">
        <v>1296</v>
      </c>
      <c r="F279" s="515"/>
      <c r="G279" s="516"/>
      <c r="H279" s="516"/>
      <c r="I279" s="516"/>
      <c r="J279" s="516"/>
      <c r="K279" s="516"/>
      <c r="L279" s="516"/>
      <c r="M279" s="516"/>
      <c r="N279" s="516"/>
      <c r="O279" s="133" t="s">
        <v>1297</v>
      </c>
      <c r="P279" s="134"/>
      <c r="Q279" s="135" t="s">
        <v>1298</v>
      </c>
      <c r="R279" s="136"/>
      <c r="S279" s="137"/>
      <c r="T279" s="138"/>
      <c r="U279" s="139">
        <f>SUM(U280:U281)</f>
        <v>2039.72</v>
      </c>
      <c r="V279" s="137"/>
      <c r="W279" s="139">
        <f>SUM(W280:W281)</f>
        <v>0</v>
      </c>
      <c r="X279" s="137"/>
      <c r="Y279" s="139">
        <f>SUM(Y280:Y281)</f>
        <v>0</v>
      </c>
      <c r="Z279" s="137"/>
      <c r="AA279" s="139">
        <f>SUM(AA280:AA281)</f>
        <v>0</v>
      </c>
      <c r="AB279" s="137"/>
      <c r="AC279" s="139">
        <f>SUM(AC280:AC281)</f>
        <v>0</v>
      </c>
      <c r="AD279" s="137"/>
      <c r="AE279" s="139">
        <f>SUM(AE280:AE281)</f>
        <v>0</v>
      </c>
      <c r="AF279" s="137"/>
      <c r="AG279" s="139">
        <f>SUM(AG280:AG281)</f>
        <v>0</v>
      </c>
      <c r="AH279" s="137"/>
      <c r="AI279" s="139">
        <f>SUM(AI280:AI281)</f>
        <v>0</v>
      </c>
      <c r="AJ279" s="137"/>
      <c r="AK279" s="139">
        <f>SUM(AK280:AK281)</f>
        <v>0</v>
      </c>
      <c r="AL279" s="137"/>
      <c r="AM279" s="139">
        <f>SUM(AM280:AM281)</f>
        <v>0</v>
      </c>
      <c r="AN279" s="137"/>
      <c r="AO279" s="139">
        <f>SUM(AO280:AO281)</f>
        <v>0</v>
      </c>
      <c r="AP279" s="137"/>
      <c r="AQ279" s="139">
        <f>SUM(AQ280:AQ281)</f>
        <v>0</v>
      </c>
      <c r="AR279" s="137"/>
      <c r="AS279" s="139">
        <f>SUM(AS280:AS281)</f>
        <v>0</v>
      </c>
      <c r="AT279" s="137"/>
      <c r="AU279" s="139">
        <f>SUM(AU280:AU281)</f>
        <v>0</v>
      </c>
      <c r="AV279" s="137"/>
      <c r="AW279" s="139">
        <f>SUM(AW280:AW281)</f>
        <v>0</v>
      </c>
      <c r="AX279" s="137"/>
      <c r="AY279" s="139">
        <f>SUM(AY280:AY281)</f>
        <v>0</v>
      </c>
      <c r="AZ279" s="137"/>
      <c r="BA279" s="139">
        <f>SUM(BA280:BA281)</f>
        <v>0</v>
      </c>
      <c r="BB279" s="137"/>
      <c r="BC279" s="139">
        <f>SUM(BC280:BC281)</f>
        <v>0</v>
      </c>
      <c r="BD279" s="137"/>
      <c r="BE279" s="139">
        <f>SUM(BE280:BE281)</f>
        <v>0</v>
      </c>
      <c r="BF279" s="137"/>
      <c r="BG279" s="139">
        <f>SUM(BG280:BG281)</f>
        <v>0</v>
      </c>
      <c r="BH279" s="45"/>
    </row>
    <row r="280" spans="1:61" ht="26" customHeight="1" x14ac:dyDescent="0.45">
      <c r="A280" s="140">
        <v>3</v>
      </c>
      <c r="B280" s="141" t="s">
        <v>1477</v>
      </c>
      <c r="C280" s="142" t="s">
        <v>1478</v>
      </c>
      <c r="D280" s="143" t="str">
        <f>B280&amp;"_"&amp;E280</f>
        <v>3.2_5.14.1</v>
      </c>
      <c r="E280" s="56" t="s">
        <v>1299</v>
      </c>
      <c r="F280" s="506" t="s">
        <v>1301</v>
      </c>
      <c r="G280" s="507" t="s">
        <v>39</v>
      </c>
      <c r="H280" s="507" t="s">
        <v>39</v>
      </c>
      <c r="I280" s="507" t="s">
        <v>1832</v>
      </c>
      <c r="J280" s="507" t="s">
        <v>39</v>
      </c>
      <c r="K280" s="507" t="s">
        <v>39</v>
      </c>
      <c r="L280" s="507" t="s">
        <v>39</v>
      </c>
      <c r="M280" s="507" t="s">
        <v>79</v>
      </c>
      <c r="N280" s="507" t="s">
        <v>1298</v>
      </c>
      <c r="O280" s="57" t="s">
        <v>1300</v>
      </c>
      <c r="P280" s="58" t="s">
        <v>846</v>
      </c>
      <c r="Q280" s="59" t="s">
        <v>1301</v>
      </c>
      <c r="R280" s="60" t="s">
        <v>755</v>
      </c>
      <c r="S280" s="61">
        <v>961.82</v>
      </c>
      <c r="T280" s="62">
        <f>INDEX('BM MORRO DA CRUZ'!$P$6:$P$402,MATCH($O280,'BM MORRO DA CRUZ'!$K$6:$K$402,0))</f>
        <v>1.86</v>
      </c>
      <c r="U280" s="63">
        <f>ROUND(T280*$S280,2)</f>
        <v>1788.99</v>
      </c>
      <c r="V280" s="61">
        <f>IFERROR(SUMIFS('01ª MC'!$W$1:$W$1840,'01ª MC'!$C$1:$C$1840,$D280),0)</f>
        <v>0</v>
      </c>
      <c r="W280" s="63">
        <f>ROUND(V280*$T280,2)</f>
        <v>0</v>
      </c>
      <c r="X280" s="61">
        <v>0</v>
      </c>
      <c r="Y280" s="63">
        <f>ROUND(X280*$T280,2)</f>
        <v>0</v>
      </c>
      <c r="Z280" s="61">
        <v>0</v>
      </c>
      <c r="AA280" s="63">
        <f>ROUND(Z280*$T280,2)</f>
        <v>0</v>
      </c>
      <c r="AB280" s="61">
        <v>0</v>
      </c>
      <c r="AC280" s="63">
        <f>ROUND(AB280*$T280,2)</f>
        <v>0</v>
      </c>
      <c r="AD280" s="61">
        <v>0</v>
      </c>
      <c r="AE280" s="63">
        <f>ROUND(AD280*$T280,2)</f>
        <v>0</v>
      </c>
      <c r="AF280" s="61">
        <v>0</v>
      </c>
      <c r="AG280" s="63">
        <f>ROUND(AF280*$T280,2)</f>
        <v>0</v>
      </c>
      <c r="AH280" s="61">
        <v>0</v>
      </c>
      <c r="AI280" s="63">
        <f>ROUND(AH280*$T280,2)</f>
        <v>0</v>
      </c>
      <c r="AJ280" s="61">
        <v>0</v>
      </c>
      <c r="AK280" s="63">
        <f>ROUND(AJ280*$T280,2)</f>
        <v>0</v>
      </c>
      <c r="AL280" s="61">
        <v>0</v>
      </c>
      <c r="AM280" s="63">
        <f>ROUND(AL280*$T280,2)</f>
        <v>0</v>
      </c>
      <c r="AN280" s="61">
        <v>0</v>
      </c>
      <c r="AO280" s="63">
        <f>ROUND(AN280*$T280,2)</f>
        <v>0</v>
      </c>
      <c r="AP280" s="61">
        <v>0</v>
      </c>
      <c r="AQ280" s="63">
        <f>ROUND(AP280*$T280,2)</f>
        <v>0</v>
      </c>
      <c r="AR280" s="61">
        <v>0</v>
      </c>
      <c r="AS280" s="63">
        <f>ROUND(AR280*$T280,2)</f>
        <v>0</v>
      </c>
      <c r="AT280" s="61">
        <v>0</v>
      </c>
      <c r="AU280" s="63">
        <f>ROUND(AT280*$T280,2)</f>
        <v>0</v>
      </c>
      <c r="AV280" s="61">
        <v>0</v>
      </c>
      <c r="AW280" s="63">
        <f>ROUND(AV280*$T280,2)</f>
        <v>0</v>
      </c>
      <c r="AX280" s="61">
        <v>0</v>
      </c>
      <c r="AY280" s="63">
        <f>ROUND(AX280*$T280,2)</f>
        <v>0</v>
      </c>
      <c r="AZ280" s="61">
        <v>0</v>
      </c>
      <c r="BA280" s="63">
        <f>ROUND(AZ280*$T280,2)</f>
        <v>0</v>
      </c>
      <c r="BB280" s="61">
        <v>0</v>
      </c>
      <c r="BC280" s="63">
        <f>ROUND(BB280*$T280,2)</f>
        <v>0</v>
      </c>
      <c r="BD280" s="61">
        <v>0</v>
      </c>
      <c r="BE280" s="63">
        <f>ROUND(BD280*$T280,2)</f>
        <v>0</v>
      </c>
      <c r="BF280" s="61">
        <f>IFERROR(SUMIFS($V280:$BE280,$V$5:$BE$5,$BF$5),0)</f>
        <v>0</v>
      </c>
      <c r="BG280" s="63">
        <f>SUMIFS($V280:$BE280,$V$5:$BE$5,$W$5)</f>
        <v>0</v>
      </c>
      <c r="BH280" s="45"/>
      <c r="BI280" s="144"/>
    </row>
    <row r="281" spans="1:61" ht="26" customHeight="1" x14ac:dyDescent="0.45">
      <c r="A281" s="140">
        <v>3</v>
      </c>
      <c r="B281" s="141" t="s">
        <v>1477</v>
      </c>
      <c r="C281" s="142" t="s">
        <v>1478</v>
      </c>
      <c r="D281" s="143" t="str">
        <f>B281&amp;"_"&amp;E281</f>
        <v>3.2_5.14.5</v>
      </c>
      <c r="E281" s="56" t="s">
        <v>1311</v>
      </c>
      <c r="F281" s="506" t="s">
        <v>1860</v>
      </c>
      <c r="G281" s="507" t="s">
        <v>39</v>
      </c>
      <c r="H281" s="507" t="s">
        <v>39</v>
      </c>
      <c r="I281" s="507" t="s">
        <v>1861</v>
      </c>
      <c r="J281" s="507" t="s">
        <v>39</v>
      </c>
      <c r="K281" s="507" t="s">
        <v>39</v>
      </c>
      <c r="L281" s="507" t="s">
        <v>39</v>
      </c>
      <c r="M281" s="507" t="s">
        <v>79</v>
      </c>
      <c r="N281" s="507" t="s">
        <v>1298</v>
      </c>
      <c r="O281" s="57" t="s">
        <v>1312</v>
      </c>
      <c r="P281" s="58" t="s">
        <v>846</v>
      </c>
      <c r="Q281" s="59" t="s">
        <v>1313</v>
      </c>
      <c r="R281" s="60" t="s">
        <v>792</v>
      </c>
      <c r="S281" s="61">
        <v>379.9</v>
      </c>
      <c r="T281" s="62">
        <f>INDEX('BM MORRO DA CRUZ'!$P$6:$P$402,MATCH($O281,'BM MORRO DA CRUZ'!$K$6:$K$402,0))</f>
        <v>0.66</v>
      </c>
      <c r="U281" s="63">
        <f>ROUND(T281*$S281,2)</f>
        <v>250.73</v>
      </c>
      <c r="V281" s="61">
        <f>IFERROR(SUMIFS('01ª MC'!$W$1:$W$1840,'01ª MC'!$C$1:$C$1840,$D281),0)</f>
        <v>0</v>
      </c>
      <c r="W281" s="63">
        <f>ROUND(V281*$T281,2)</f>
        <v>0</v>
      </c>
      <c r="X281" s="61">
        <v>0</v>
      </c>
      <c r="Y281" s="63">
        <f>ROUND(X281*$T281,2)</f>
        <v>0</v>
      </c>
      <c r="Z281" s="61">
        <v>0</v>
      </c>
      <c r="AA281" s="63">
        <f>ROUND(Z281*$T281,2)</f>
        <v>0</v>
      </c>
      <c r="AB281" s="61">
        <v>0</v>
      </c>
      <c r="AC281" s="63">
        <f>ROUND(AB281*$T281,2)</f>
        <v>0</v>
      </c>
      <c r="AD281" s="61">
        <v>0</v>
      </c>
      <c r="AE281" s="63">
        <f>ROUND(AD281*$T281,2)</f>
        <v>0</v>
      </c>
      <c r="AF281" s="61">
        <v>0</v>
      </c>
      <c r="AG281" s="63">
        <f>ROUND(AF281*$T281,2)</f>
        <v>0</v>
      </c>
      <c r="AH281" s="61">
        <v>0</v>
      </c>
      <c r="AI281" s="63">
        <f>ROUND(AH281*$T281,2)</f>
        <v>0</v>
      </c>
      <c r="AJ281" s="61">
        <v>0</v>
      </c>
      <c r="AK281" s="63">
        <f>ROUND(AJ281*$T281,2)</f>
        <v>0</v>
      </c>
      <c r="AL281" s="61">
        <v>0</v>
      </c>
      <c r="AM281" s="63">
        <f>ROUND(AL281*$T281,2)</f>
        <v>0</v>
      </c>
      <c r="AN281" s="61">
        <v>0</v>
      </c>
      <c r="AO281" s="63">
        <f>ROUND(AN281*$T281,2)</f>
        <v>0</v>
      </c>
      <c r="AP281" s="61">
        <v>0</v>
      </c>
      <c r="AQ281" s="63">
        <f>ROUND(AP281*$T281,2)</f>
        <v>0</v>
      </c>
      <c r="AR281" s="61">
        <v>0</v>
      </c>
      <c r="AS281" s="63">
        <f>ROUND(AR281*$T281,2)</f>
        <v>0</v>
      </c>
      <c r="AT281" s="61">
        <v>0</v>
      </c>
      <c r="AU281" s="63">
        <f>ROUND(AT281*$T281,2)</f>
        <v>0</v>
      </c>
      <c r="AV281" s="61">
        <v>0</v>
      </c>
      <c r="AW281" s="63">
        <f>ROUND(AV281*$T281,2)</f>
        <v>0</v>
      </c>
      <c r="AX281" s="61">
        <v>0</v>
      </c>
      <c r="AY281" s="63">
        <f>ROUND(AX281*$T281,2)</f>
        <v>0</v>
      </c>
      <c r="AZ281" s="61">
        <v>0</v>
      </c>
      <c r="BA281" s="63">
        <f>ROUND(AZ281*$T281,2)</f>
        <v>0</v>
      </c>
      <c r="BB281" s="61">
        <v>0</v>
      </c>
      <c r="BC281" s="63">
        <f>ROUND(BB281*$T281,2)</f>
        <v>0</v>
      </c>
      <c r="BD281" s="61">
        <v>0</v>
      </c>
      <c r="BE281" s="63">
        <f>ROUND(BD281*$T281,2)</f>
        <v>0</v>
      </c>
      <c r="BF281" s="61">
        <f>IFERROR(SUMIFS($V281:$BE281,$V$5:$BE$5,$BF$5),0)</f>
        <v>0</v>
      </c>
      <c r="BG281" s="63">
        <f>SUMIFS($V281:$BE281,$V$5:$BE$5,$W$5)</f>
        <v>0</v>
      </c>
      <c r="BH281" s="45"/>
      <c r="BI281" s="144"/>
    </row>
    <row r="282" spans="1:61" ht="19.5" customHeight="1" x14ac:dyDescent="0.45">
      <c r="A282" s="128">
        <v>3</v>
      </c>
      <c r="B282" s="129"/>
      <c r="C282" s="130"/>
      <c r="D282" s="131"/>
      <c r="E282" s="132" t="s">
        <v>1353</v>
      </c>
      <c r="F282" s="515"/>
      <c r="G282" s="516"/>
      <c r="H282" s="516"/>
      <c r="I282" s="516"/>
      <c r="J282" s="516"/>
      <c r="K282" s="516"/>
      <c r="L282" s="516"/>
      <c r="M282" s="516"/>
      <c r="N282" s="516"/>
      <c r="O282" s="133" t="s">
        <v>1354</v>
      </c>
      <c r="P282" s="134"/>
      <c r="Q282" s="135" t="s">
        <v>1355</v>
      </c>
      <c r="R282" s="136"/>
      <c r="S282" s="137"/>
      <c r="T282" s="138"/>
      <c r="U282" s="139">
        <f>SUM(U283:U286)</f>
        <v>17377.98</v>
      </c>
      <c r="V282" s="137"/>
      <c r="W282" s="139">
        <f>SUM(W283:W286)</f>
        <v>0</v>
      </c>
      <c r="X282" s="137"/>
      <c r="Y282" s="139">
        <f>SUM(Y283:Y286)</f>
        <v>0</v>
      </c>
      <c r="Z282" s="137"/>
      <c r="AA282" s="139">
        <f>SUM(AA283:AA286)</f>
        <v>0</v>
      </c>
      <c r="AB282" s="137"/>
      <c r="AC282" s="139">
        <f>SUM(AC283:AC286)</f>
        <v>0</v>
      </c>
      <c r="AD282" s="137"/>
      <c r="AE282" s="139">
        <f>SUM(AE283:AE286)</f>
        <v>0</v>
      </c>
      <c r="AF282" s="137"/>
      <c r="AG282" s="139">
        <f>SUM(AG283:AG286)</f>
        <v>0</v>
      </c>
      <c r="AH282" s="137"/>
      <c r="AI282" s="139">
        <f>SUM(AI283:AI286)</f>
        <v>0</v>
      </c>
      <c r="AJ282" s="137"/>
      <c r="AK282" s="139">
        <f>SUM(AK283:AK286)</f>
        <v>0</v>
      </c>
      <c r="AL282" s="137"/>
      <c r="AM282" s="139">
        <f>SUM(AM283:AM286)</f>
        <v>0</v>
      </c>
      <c r="AN282" s="137"/>
      <c r="AO282" s="139">
        <f>SUM(AO283:AO286)</f>
        <v>0</v>
      </c>
      <c r="AP282" s="137"/>
      <c r="AQ282" s="139">
        <f>SUM(AQ283:AQ286)</f>
        <v>0</v>
      </c>
      <c r="AR282" s="137"/>
      <c r="AS282" s="139">
        <f>SUM(AS283:AS286)</f>
        <v>0</v>
      </c>
      <c r="AT282" s="137"/>
      <c r="AU282" s="139">
        <f>SUM(AU283:AU286)</f>
        <v>0</v>
      </c>
      <c r="AV282" s="137"/>
      <c r="AW282" s="139">
        <f>SUM(AW283:AW286)</f>
        <v>0</v>
      </c>
      <c r="AX282" s="137"/>
      <c r="AY282" s="139">
        <f>SUM(AY283:AY286)</f>
        <v>0</v>
      </c>
      <c r="AZ282" s="137"/>
      <c r="BA282" s="139">
        <f>SUM(BA283:BA286)</f>
        <v>0</v>
      </c>
      <c r="BB282" s="137"/>
      <c r="BC282" s="139">
        <f>SUM(BC283:BC286)</f>
        <v>0</v>
      </c>
      <c r="BD282" s="137"/>
      <c r="BE282" s="139">
        <f>SUM(BE283:BE286)</f>
        <v>0</v>
      </c>
      <c r="BF282" s="137"/>
      <c r="BG282" s="139">
        <f>SUM(BG283:BG286)</f>
        <v>0</v>
      </c>
      <c r="BH282" s="45"/>
    </row>
    <row r="283" spans="1:61" ht="26" customHeight="1" x14ac:dyDescent="0.45">
      <c r="A283" s="140">
        <v>3</v>
      </c>
      <c r="B283" s="141" t="s">
        <v>1477</v>
      </c>
      <c r="C283" s="142" t="s">
        <v>1478</v>
      </c>
      <c r="D283" s="143" t="str">
        <f>B283&amp;"_"&amp;E283</f>
        <v>3.2_5.17.1</v>
      </c>
      <c r="E283" s="56" t="s">
        <v>1356</v>
      </c>
      <c r="F283" s="506" t="s">
        <v>1358</v>
      </c>
      <c r="G283" s="507" t="s">
        <v>39</v>
      </c>
      <c r="H283" s="507" t="s">
        <v>39</v>
      </c>
      <c r="I283" s="507" t="s">
        <v>1757</v>
      </c>
      <c r="J283" s="507" t="s">
        <v>39</v>
      </c>
      <c r="K283" s="507" t="s">
        <v>39</v>
      </c>
      <c r="L283" s="507" t="s">
        <v>39</v>
      </c>
      <c r="M283" s="507" t="s">
        <v>79</v>
      </c>
      <c r="N283" s="507" t="s">
        <v>1757</v>
      </c>
      <c r="O283" s="57" t="s">
        <v>1357</v>
      </c>
      <c r="P283" s="58" t="s">
        <v>846</v>
      </c>
      <c r="Q283" s="59" t="s">
        <v>1358</v>
      </c>
      <c r="R283" s="60" t="s">
        <v>755</v>
      </c>
      <c r="S283" s="61">
        <v>55.44</v>
      </c>
      <c r="T283" s="62">
        <f>INDEX('BM MORRO DA CRUZ'!$P$6:$P$402,MATCH($O283,'BM MORRO DA CRUZ'!$K$6:$K$402,0))</f>
        <v>59.37</v>
      </c>
      <c r="U283" s="63">
        <f>ROUND(T283*$S283,2)</f>
        <v>3291.47</v>
      </c>
      <c r="V283" s="61">
        <f>IFERROR(SUMIFS('01ª MC'!$W$1:$W$1840,'01ª MC'!$C$1:$C$1840,$D283),0)</f>
        <v>0</v>
      </c>
      <c r="W283" s="63">
        <f>ROUND(V283*$T283,2)</f>
        <v>0</v>
      </c>
      <c r="X283" s="61">
        <v>0</v>
      </c>
      <c r="Y283" s="63">
        <f>ROUND(X283*$T283,2)</f>
        <v>0</v>
      </c>
      <c r="Z283" s="61">
        <v>0</v>
      </c>
      <c r="AA283" s="63">
        <f>ROUND(Z283*$T283,2)</f>
        <v>0</v>
      </c>
      <c r="AB283" s="61">
        <v>0</v>
      </c>
      <c r="AC283" s="63">
        <f>ROUND(AB283*$T283,2)</f>
        <v>0</v>
      </c>
      <c r="AD283" s="61">
        <v>0</v>
      </c>
      <c r="AE283" s="63">
        <f>ROUND(AD283*$T283,2)</f>
        <v>0</v>
      </c>
      <c r="AF283" s="61">
        <v>0</v>
      </c>
      <c r="AG283" s="63">
        <f>ROUND(AF283*$T283,2)</f>
        <v>0</v>
      </c>
      <c r="AH283" s="61">
        <v>0</v>
      </c>
      <c r="AI283" s="63">
        <f>ROUND(AH283*$T283,2)</f>
        <v>0</v>
      </c>
      <c r="AJ283" s="61">
        <v>0</v>
      </c>
      <c r="AK283" s="63">
        <f>ROUND(AJ283*$T283,2)</f>
        <v>0</v>
      </c>
      <c r="AL283" s="61">
        <v>0</v>
      </c>
      <c r="AM283" s="63">
        <f>ROUND(AL283*$T283,2)</f>
        <v>0</v>
      </c>
      <c r="AN283" s="61">
        <v>0</v>
      </c>
      <c r="AO283" s="63">
        <f>ROUND(AN283*$T283,2)</f>
        <v>0</v>
      </c>
      <c r="AP283" s="61">
        <v>0</v>
      </c>
      <c r="AQ283" s="63">
        <f>ROUND(AP283*$T283,2)</f>
        <v>0</v>
      </c>
      <c r="AR283" s="61">
        <v>0</v>
      </c>
      <c r="AS283" s="63">
        <f>ROUND(AR283*$T283,2)</f>
        <v>0</v>
      </c>
      <c r="AT283" s="61">
        <v>0</v>
      </c>
      <c r="AU283" s="63">
        <f>ROUND(AT283*$T283,2)</f>
        <v>0</v>
      </c>
      <c r="AV283" s="61">
        <v>0</v>
      </c>
      <c r="AW283" s="63">
        <f>ROUND(AV283*$T283,2)</f>
        <v>0</v>
      </c>
      <c r="AX283" s="61">
        <v>0</v>
      </c>
      <c r="AY283" s="63">
        <f>ROUND(AX283*$T283,2)</f>
        <v>0</v>
      </c>
      <c r="AZ283" s="61">
        <v>0</v>
      </c>
      <c r="BA283" s="63">
        <f>ROUND(AZ283*$T283,2)</f>
        <v>0</v>
      </c>
      <c r="BB283" s="61">
        <v>0</v>
      </c>
      <c r="BC283" s="63">
        <f>ROUND(BB283*$T283,2)</f>
        <v>0</v>
      </c>
      <c r="BD283" s="61">
        <v>0</v>
      </c>
      <c r="BE283" s="63">
        <f>ROUND(BD283*$T283,2)</f>
        <v>0</v>
      </c>
      <c r="BF283" s="61">
        <f>IFERROR(SUMIFS($V283:$BE283,$V$5:$BE$5,$BF$5),0)</f>
        <v>0</v>
      </c>
      <c r="BG283" s="63">
        <f>SUMIFS($V283:$BE283,$V$5:$BE$5,$W$5)</f>
        <v>0</v>
      </c>
      <c r="BH283" s="45"/>
      <c r="BI283" s="144"/>
    </row>
    <row r="284" spans="1:61" ht="26" customHeight="1" x14ac:dyDescent="0.45">
      <c r="A284" s="140">
        <v>3</v>
      </c>
      <c r="B284" s="141" t="s">
        <v>1477</v>
      </c>
      <c r="C284" s="142" t="s">
        <v>1478</v>
      </c>
      <c r="D284" s="143" t="str">
        <f>B284&amp;"_"&amp;E284</f>
        <v>3.2_5.17.2</v>
      </c>
      <c r="E284" s="56" t="s">
        <v>1359</v>
      </c>
      <c r="F284" s="506" t="s">
        <v>1361</v>
      </c>
      <c r="G284" s="507" t="s">
        <v>39</v>
      </c>
      <c r="H284" s="507" t="s">
        <v>39</v>
      </c>
      <c r="I284" s="507" t="s">
        <v>1757</v>
      </c>
      <c r="J284" s="507" t="s">
        <v>39</v>
      </c>
      <c r="K284" s="507" t="s">
        <v>39</v>
      </c>
      <c r="L284" s="507" t="s">
        <v>39</v>
      </c>
      <c r="M284" s="507" t="s">
        <v>79</v>
      </c>
      <c r="N284" s="507" t="s">
        <v>1757</v>
      </c>
      <c r="O284" s="57" t="s">
        <v>1360</v>
      </c>
      <c r="P284" s="58" t="s">
        <v>846</v>
      </c>
      <c r="Q284" s="59" t="s">
        <v>1361</v>
      </c>
      <c r="R284" s="60" t="s">
        <v>755</v>
      </c>
      <c r="S284" s="61">
        <v>146.72999999999999</v>
      </c>
      <c r="T284" s="62">
        <f>INDEX('BM MORRO DA CRUZ'!$P$6:$P$402,MATCH($O284,'BM MORRO DA CRUZ'!$K$6:$K$402,0))</f>
        <v>71.25</v>
      </c>
      <c r="U284" s="63">
        <f>ROUND(T284*$S284,2)</f>
        <v>10454.51</v>
      </c>
      <c r="V284" s="61">
        <f>IFERROR(SUMIFS('01ª MC'!$W$1:$W$1840,'01ª MC'!$C$1:$C$1840,$D284),0)</f>
        <v>0</v>
      </c>
      <c r="W284" s="63">
        <f>ROUND(V284*$T284,2)</f>
        <v>0</v>
      </c>
      <c r="X284" s="61">
        <v>0</v>
      </c>
      <c r="Y284" s="63">
        <f>ROUND(X284*$T284,2)</f>
        <v>0</v>
      </c>
      <c r="Z284" s="61">
        <v>0</v>
      </c>
      <c r="AA284" s="63">
        <f>ROUND(Z284*$T284,2)</f>
        <v>0</v>
      </c>
      <c r="AB284" s="61">
        <v>0</v>
      </c>
      <c r="AC284" s="63">
        <f>ROUND(AB284*$T284,2)</f>
        <v>0</v>
      </c>
      <c r="AD284" s="61">
        <v>0</v>
      </c>
      <c r="AE284" s="63">
        <f>ROUND(AD284*$T284,2)</f>
        <v>0</v>
      </c>
      <c r="AF284" s="61">
        <v>0</v>
      </c>
      <c r="AG284" s="63">
        <f>ROUND(AF284*$T284,2)</f>
        <v>0</v>
      </c>
      <c r="AH284" s="61">
        <v>0</v>
      </c>
      <c r="AI284" s="63">
        <f>ROUND(AH284*$T284,2)</f>
        <v>0</v>
      </c>
      <c r="AJ284" s="61">
        <v>0</v>
      </c>
      <c r="AK284" s="63">
        <f>ROUND(AJ284*$T284,2)</f>
        <v>0</v>
      </c>
      <c r="AL284" s="61">
        <v>0</v>
      </c>
      <c r="AM284" s="63">
        <f>ROUND(AL284*$T284,2)</f>
        <v>0</v>
      </c>
      <c r="AN284" s="61">
        <v>0</v>
      </c>
      <c r="AO284" s="63">
        <f>ROUND(AN284*$T284,2)</f>
        <v>0</v>
      </c>
      <c r="AP284" s="61">
        <v>0</v>
      </c>
      <c r="AQ284" s="63">
        <f>ROUND(AP284*$T284,2)</f>
        <v>0</v>
      </c>
      <c r="AR284" s="61">
        <v>0</v>
      </c>
      <c r="AS284" s="63">
        <f>ROUND(AR284*$T284,2)</f>
        <v>0</v>
      </c>
      <c r="AT284" s="61">
        <v>0</v>
      </c>
      <c r="AU284" s="63">
        <f>ROUND(AT284*$T284,2)</f>
        <v>0</v>
      </c>
      <c r="AV284" s="61">
        <v>0</v>
      </c>
      <c r="AW284" s="63">
        <f>ROUND(AV284*$T284,2)</f>
        <v>0</v>
      </c>
      <c r="AX284" s="61">
        <v>0</v>
      </c>
      <c r="AY284" s="63">
        <f>ROUND(AX284*$T284,2)</f>
        <v>0</v>
      </c>
      <c r="AZ284" s="61">
        <v>0</v>
      </c>
      <c r="BA284" s="63">
        <f>ROUND(AZ284*$T284,2)</f>
        <v>0</v>
      </c>
      <c r="BB284" s="61">
        <v>0</v>
      </c>
      <c r="BC284" s="63">
        <f>ROUND(BB284*$T284,2)</f>
        <v>0</v>
      </c>
      <c r="BD284" s="61">
        <v>0</v>
      </c>
      <c r="BE284" s="63">
        <f>ROUND(BD284*$T284,2)</f>
        <v>0</v>
      </c>
      <c r="BF284" s="61">
        <f>IFERROR(SUMIFS($V284:$BE284,$V$5:$BE$5,$BF$5),0)</f>
        <v>0</v>
      </c>
      <c r="BG284" s="63">
        <f>SUMIFS($V284:$BE284,$V$5:$BE$5,$W$5)</f>
        <v>0</v>
      </c>
      <c r="BH284" s="45"/>
      <c r="BI284" s="144"/>
    </row>
    <row r="285" spans="1:61" ht="26" customHeight="1" x14ac:dyDescent="0.45">
      <c r="A285" s="140">
        <v>3</v>
      </c>
      <c r="B285" s="141" t="s">
        <v>1477</v>
      </c>
      <c r="C285" s="142" t="s">
        <v>1478</v>
      </c>
      <c r="D285" s="143" t="str">
        <f>B285&amp;"_"&amp;E285</f>
        <v>3.2_5.17.4</v>
      </c>
      <c r="E285" s="56" t="s">
        <v>1365</v>
      </c>
      <c r="F285" s="506" t="s">
        <v>1367</v>
      </c>
      <c r="G285" s="507" t="s">
        <v>39</v>
      </c>
      <c r="H285" s="507" t="s">
        <v>39</v>
      </c>
      <c r="I285" s="507" t="s">
        <v>1757</v>
      </c>
      <c r="J285" s="507" t="s">
        <v>39</v>
      </c>
      <c r="K285" s="507" t="s">
        <v>39</v>
      </c>
      <c r="L285" s="507" t="s">
        <v>39</v>
      </c>
      <c r="M285" s="507" t="s">
        <v>79</v>
      </c>
      <c r="N285" s="507" t="s">
        <v>1757</v>
      </c>
      <c r="O285" s="57" t="s">
        <v>1366</v>
      </c>
      <c r="P285" s="58" t="s">
        <v>846</v>
      </c>
      <c r="Q285" s="59" t="s">
        <v>1367</v>
      </c>
      <c r="R285" s="60" t="s">
        <v>755</v>
      </c>
      <c r="S285" s="61">
        <v>10.53</v>
      </c>
      <c r="T285" s="62">
        <f>INDEX('BM MORRO DA CRUZ'!$P$6:$P$402,MATCH($O285,'BM MORRO DA CRUZ'!$K$6:$K$402,0))</f>
        <v>83.12</v>
      </c>
      <c r="U285" s="63">
        <f>ROUND(T285*$S285,2)</f>
        <v>875.25</v>
      </c>
      <c r="V285" s="61">
        <f>IFERROR(SUMIFS('01ª MC'!$W$1:$W$1840,'01ª MC'!$C$1:$C$1840,$D285),0)</f>
        <v>0</v>
      </c>
      <c r="W285" s="63">
        <f>ROUND(V285*$T285,2)</f>
        <v>0</v>
      </c>
      <c r="X285" s="61">
        <v>0</v>
      </c>
      <c r="Y285" s="63">
        <f>ROUND(X285*$T285,2)</f>
        <v>0</v>
      </c>
      <c r="Z285" s="61">
        <v>0</v>
      </c>
      <c r="AA285" s="63">
        <f>ROUND(Z285*$T285,2)</f>
        <v>0</v>
      </c>
      <c r="AB285" s="61">
        <v>0</v>
      </c>
      <c r="AC285" s="63">
        <f>ROUND(AB285*$T285,2)</f>
        <v>0</v>
      </c>
      <c r="AD285" s="61">
        <v>0</v>
      </c>
      <c r="AE285" s="63">
        <f>ROUND(AD285*$T285,2)</f>
        <v>0</v>
      </c>
      <c r="AF285" s="61">
        <v>0</v>
      </c>
      <c r="AG285" s="63">
        <f>ROUND(AF285*$T285,2)</f>
        <v>0</v>
      </c>
      <c r="AH285" s="61">
        <v>0</v>
      </c>
      <c r="AI285" s="63">
        <f>ROUND(AH285*$T285,2)</f>
        <v>0</v>
      </c>
      <c r="AJ285" s="61">
        <v>0</v>
      </c>
      <c r="AK285" s="63">
        <f>ROUND(AJ285*$T285,2)</f>
        <v>0</v>
      </c>
      <c r="AL285" s="61">
        <v>0</v>
      </c>
      <c r="AM285" s="63">
        <f>ROUND(AL285*$T285,2)</f>
        <v>0</v>
      </c>
      <c r="AN285" s="61">
        <v>0</v>
      </c>
      <c r="AO285" s="63">
        <f>ROUND(AN285*$T285,2)</f>
        <v>0</v>
      </c>
      <c r="AP285" s="61">
        <v>0</v>
      </c>
      <c r="AQ285" s="63">
        <f>ROUND(AP285*$T285,2)</f>
        <v>0</v>
      </c>
      <c r="AR285" s="61">
        <v>0</v>
      </c>
      <c r="AS285" s="63">
        <f>ROUND(AR285*$T285,2)</f>
        <v>0</v>
      </c>
      <c r="AT285" s="61">
        <v>0</v>
      </c>
      <c r="AU285" s="63">
        <f>ROUND(AT285*$T285,2)</f>
        <v>0</v>
      </c>
      <c r="AV285" s="61">
        <v>0</v>
      </c>
      <c r="AW285" s="63">
        <f>ROUND(AV285*$T285,2)</f>
        <v>0</v>
      </c>
      <c r="AX285" s="61">
        <v>0</v>
      </c>
      <c r="AY285" s="63">
        <f>ROUND(AX285*$T285,2)</f>
        <v>0</v>
      </c>
      <c r="AZ285" s="61">
        <v>0</v>
      </c>
      <c r="BA285" s="63">
        <f>ROUND(AZ285*$T285,2)</f>
        <v>0</v>
      </c>
      <c r="BB285" s="61">
        <v>0</v>
      </c>
      <c r="BC285" s="63">
        <f>ROUND(BB285*$T285,2)</f>
        <v>0</v>
      </c>
      <c r="BD285" s="61">
        <v>0</v>
      </c>
      <c r="BE285" s="63">
        <f>ROUND(BD285*$T285,2)</f>
        <v>0</v>
      </c>
      <c r="BF285" s="61">
        <f>IFERROR(SUMIFS($V285:$BE285,$V$5:$BE$5,$BF$5),0)</f>
        <v>0</v>
      </c>
      <c r="BG285" s="63">
        <f>SUMIFS($V285:$BE285,$V$5:$BE$5,$W$5)</f>
        <v>0</v>
      </c>
      <c r="BH285" s="45"/>
      <c r="BI285" s="144"/>
    </row>
    <row r="286" spans="1:61" ht="26" customHeight="1" x14ac:dyDescent="0.45">
      <c r="A286" s="140">
        <v>3</v>
      </c>
      <c r="B286" s="141" t="s">
        <v>1477</v>
      </c>
      <c r="C286" s="142" t="s">
        <v>1478</v>
      </c>
      <c r="D286" s="143" t="str">
        <f>B286&amp;"_"&amp;E286</f>
        <v>3.2_5.17.5</v>
      </c>
      <c r="E286" s="56" t="s">
        <v>1368</v>
      </c>
      <c r="F286" s="506" t="s">
        <v>1370</v>
      </c>
      <c r="G286" s="507" t="s">
        <v>39</v>
      </c>
      <c r="H286" s="507" t="s">
        <v>39</v>
      </c>
      <c r="I286" s="507" t="s">
        <v>1757</v>
      </c>
      <c r="J286" s="507" t="s">
        <v>39</v>
      </c>
      <c r="K286" s="507" t="s">
        <v>39</v>
      </c>
      <c r="L286" s="507" t="s">
        <v>39</v>
      </c>
      <c r="M286" s="507" t="s">
        <v>79</v>
      </c>
      <c r="N286" s="507" t="s">
        <v>1757</v>
      </c>
      <c r="O286" s="57" t="s">
        <v>1369</v>
      </c>
      <c r="P286" s="58" t="s">
        <v>846</v>
      </c>
      <c r="Q286" s="59" t="s">
        <v>1370</v>
      </c>
      <c r="R286" s="60" t="s">
        <v>755</v>
      </c>
      <c r="S286" s="61">
        <v>27.86</v>
      </c>
      <c r="T286" s="62">
        <f>INDEX('BM MORRO DA CRUZ'!$P$6:$P$402,MATCH($O286,'BM MORRO DA CRUZ'!$K$6:$K$402,0))</f>
        <v>98.95</v>
      </c>
      <c r="U286" s="63">
        <f>ROUND(T286*$S286,2)</f>
        <v>2756.75</v>
      </c>
      <c r="V286" s="61">
        <f>IFERROR(SUMIFS('01ª MC'!$W$1:$W$1840,'01ª MC'!$C$1:$C$1840,$D286),0)</f>
        <v>0</v>
      </c>
      <c r="W286" s="63">
        <f>ROUND(V286*$T286,2)</f>
        <v>0</v>
      </c>
      <c r="X286" s="61">
        <v>0</v>
      </c>
      <c r="Y286" s="63">
        <f>ROUND(X286*$T286,2)</f>
        <v>0</v>
      </c>
      <c r="Z286" s="61">
        <v>0</v>
      </c>
      <c r="AA286" s="63">
        <f>ROUND(Z286*$T286,2)</f>
        <v>0</v>
      </c>
      <c r="AB286" s="61">
        <v>0</v>
      </c>
      <c r="AC286" s="63">
        <f>ROUND(AB286*$T286,2)</f>
        <v>0</v>
      </c>
      <c r="AD286" s="61">
        <v>0</v>
      </c>
      <c r="AE286" s="63">
        <f>ROUND(AD286*$T286,2)</f>
        <v>0</v>
      </c>
      <c r="AF286" s="61">
        <v>0</v>
      </c>
      <c r="AG286" s="63">
        <f>ROUND(AF286*$T286,2)</f>
        <v>0</v>
      </c>
      <c r="AH286" s="61">
        <v>0</v>
      </c>
      <c r="AI286" s="63">
        <f>ROUND(AH286*$T286,2)</f>
        <v>0</v>
      </c>
      <c r="AJ286" s="61">
        <v>0</v>
      </c>
      <c r="AK286" s="63">
        <f>ROUND(AJ286*$T286,2)</f>
        <v>0</v>
      </c>
      <c r="AL286" s="61">
        <v>0</v>
      </c>
      <c r="AM286" s="63">
        <f>ROUND(AL286*$T286,2)</f>
        <v>0</v>
      </c>
      <c r="AN286" s="61">
        <v>0</v>
      </c>
      <c r="AO286" s="63">
        <f>ROUND(AN286*$T286,2)</f>
        <v>0</v>
      </c>
      <c r="AP286" s="61">
        <v>0</v>
      </c>
      <c r="AQ286" s="63">
        <f>ROUND(AP286*$T286,2)</f>
        <v>0</v>
      </c>
      <c r="AR286" s="61">
        <v>0</v>
      </c>
      <c r="AS286" s="63">
        <f>ROUND(AR286*$T286,2)</f>
        <v>0</v>
      </c>
      <c r="AT286" s="61">
        <v>0</v>
      </c>
      <c r="AU286" s="63">
        <f>ROUND(AT286*$T286,2)</f>
        <v>0</v>
      </c>
      <c r="AV286" s="61">
        <v>0</v>
      </c>
      <c r="AW286" s="63">
        <f>ROUND(AV286*$T286,2)</f>
        <v>0</v>
      </c>
      <c r="AX286" s="61">
        <v>0</v>
      </c>
      <c r="AY286" s="63">
        <f>ROUND(AX286*$T286,2)</f>
        <v>0</v>
      </c>
      <c r="AZ286" s="61">
        <v>0</v>
      </c>
      <c r="BA286" s="63">
        <f>ROUND(AZ286*$T286,2)</f>
        <v>0</v>
      </c>
      <c r="BB286" s="61">
        <v>0</v>
      </c>
      <c r="BC286" s="63">
        <f>ROUND(BB286*$T286,2)</f>
        <v>0</v>
      </c>
      <c r="BD286" s="61">
        <v>0</v>
      </c>
      <c r="BE286" s="63">
        <f>ROUND(BD286*$T286,2)</f>
        <v>0</v>
      </c>
      <c r="BF286" s="61">
        <f>IFERROR(SUMIFS($V286:$BE286,$V$5:$BE$5,$BF$5),0)</f>
        <v>0</v>
      </c>
      <c r="BG286" s="63">
        <f>SUMIFS($V286:$BE286,$V$5:$BE$5,$W$5)</f>
        <v>0</v>
      </c>
      <c r="BH286" s="45"/>
      <c r="BI286" s="144"/>
    </row>
    <row r="287" spans="1:61" ht="19.5" customHeight="1" x14ac:dyDescent="0.45">
      <c r="A287" s="103">
        <v>4</v>
      </c>
      <c r="B287" s="104"/>
      <c r="C287" s="105" t="s">
        <v>1479</v>
      </c>
      <c r="D287" s="106"/>
      <c r="E287" s="107"/>
      <c r="F287" s="512"/>
      <c r="G287" s="108"/>
      <c r="H287" s="108"/>
      <c r="I287" s="108"/>
      <c r="J287" s="108"/>
      <c r="K287" s="108"/>
      <c r="L287" s="108"/>
      <c r="M287" s="108"/>
      <c r="N287" s="108"/>
      <c r="O287" s="109"/>
      <c r="P287" s="110"/>
      <c r="Q287" s="111" t="s">
        <v>1479</v>
      </c>
      <c r="R287" s="112"/>
      <c r="S287" s="113"/>
      <c r="T287" s="114"/>
      <c r="U287" s="115">
        <f>SUM(U288,U326)</f>
        <v>13120174.77</v>
      </c>
      <c r="V287" s="116"/>
      <c r="W287" s="115">
        <f>SUM(W288,W326)</f>
        <v>0</v>
      </c>
      <c r="X287" s="116"/>
      <c r="Y287" s="115">
        <f>SUM(Y288,Y326)</f>
        <v>0</v>
      </c>
      <c r="Z287" s="116"/>
      <c r="AA287" s="115">
        <f>SUM(AA288,AA326)</f>
        <v>0</v>
      </c>
      <c r="AB287" s="116"/>
      <c r="AC287" s="115">
        <f>SUM(AC288,AC326)</f>
        <v>0</v>
      </c>
      <c r="AD287" s="116"/>
      <c r="AE287" s="115">
        <f>SUM(AE288,AE326)</f>
        <v>0</v>
      </c>
      <c r="AF287" s="116"/>
      <c r="AG287" s="115">
        <f>SUM(AG288,AG326)</f>
        <v>0</v>
      </c>
      <c r="AH287" s="116"/>
      <c r="AI287" s="115">
        <f>SUM(AI288,AI326)</f>
        <v>0</v>
      </c>
      <c r="AJ287" s="116"/>
      <c r="AK287" s="115">
        <f>SUM(AK288,AK326)</f>
        <v>0</v>
      </c>
      <c r="AL287" s="116"/>
      <c r="AM287" s="115">
        <f>SUM(AM288,AM326)</f>
        <v>0</v>
      </c>
      <c r="AN287" s="116"/>
      <c r="AO287" s="115">
        <f>SUM(AO288,AO326)</f>
        <v>0</v>
      </c>
      <c r="AP287" s="116"/>
      <c r="AQ287" s="115">
        <f>SUM(AQ288,AQ326)</f>
        <v>0</v>
      </c>
      <c r="AR287" s="116"/>
      <c r="AS287" s="115">
        <f>SUM(AS288,AS326)</f>
        <v>0</v>
      </c>
      <c r="AT287" s="116"/>
      <c r="AU287" s="115">
        <f>SUM(AU288,AU326)</f>
        <v>0</v>
      </c>
      <c r="AV287" s="116"/>
      <c r="AW287" s="115">
        <f>SUM(AW288,AW326)</f>
        <v>0</v>
      </c>
      <c r="AX287" s="116"/>
      <c r="AY287" s="115">
        <f>SUM(AY288,AY326)</f>
        <v>0</v>
      </c>
      <c r="AZ287" s="116"/>
      <c r="BA287" s="115">
        <f>SUM(BA288,BA326)</f>
        <v>0</v>
      </c>
      <c r="BB287" s="116"/>
      <c r="BC287" s="115">
        <f>SUM(BC288,BC326)</f>
        <v>0</v>
      </c>
      <c r="BD287" s="116"/>
      <c r="BE287" s="115">
        <f>SUM(BE288,BE326)</f>
        <v>0</v>
      </c>
      <c r="BF287" s="116"/>
      <c r="BG287" s="115">
        <f>SUM(BG288,BG326)</f>
        <v>0</v>
      </c>
      <c r="BH287" s="102">
        <f>U287/$T$550</f>
        <v>0.27032784163209961</v>
      </c>
    </row>
    <row r="288" spans="1:61" ht="19.5" customHeight="1" x14ac:dyDescent="0.45">
      <c r="A288" s="103">
        <v>4</v>
      </c>
      <c r="B288" s="104"/>
      <c r="C288" s="105" t="s">
        <v>1480</v>
      </c>
      <c r="D288" s="106"/>
      <c r="E288" s="107"/>
      <c r="F288" s="512"/>
      <c r="G288" s="108"/>
      <c r="H288" s="108"/>
      <c r="I288" s="108"/>
      <c r="J288" s="108"/>
      <c r="K288" s="108"/>
      <c r="L288" s="108"/>
      <c r="M288" s="108"/>
      <c r="N288" s="108"/>
      <c r="O288" s="109"/>
      <c r="P288" s="110"/>
      <c r="Q288" s="111" t="s">
        <v>1480</v>
      </c>
      <c r="R288" s="112"/>
      <c r="S288" s="113"/>
      <c r="T288" s="114"/>
      <c r="U288" s="115">
        <f>SUM(U289,U303)</f>
        <v>13101567.619999999</v>
      </c>
      <c r="V288" s="116"/>
      <c r="W288" s="115">
        <f>SUM(W289,W303)</f>
        <v>0</v>
      </c>
      <c r="X288" s="116"/>
      <c r="Y288" s="115">
        <f>SUM(Y289,Y303)</f>
        <v>0</v>
      </c>
      <c r="Z288" s="116"/>
      <c r="AA288" s="115">
        <f>SUM(AA289,AA303)</f>
        <v>0</v>
      </c>
      <c r="AB288" s="116"/>
      <c r="AC288" s="115">
        <f>SUM(AC289,AC303)</f>
        <v>0</v>
      </c>
      <c r="AD288" s="116"/>
      <c r="AE288" s="115">
        <f>SUM(AE289,AE303)</f>
        <v>0</v>
      </c>
      <c r="AF288" s="116"/>
      <c r="AG288" s="115">
        <f>SUM(AG289,AG303)</f>
        <v>0</v>
      </c>
      <c r="AH288" s="116"/>
      <c r="AI288" s="115">
        <f>SUM(AI289,AI303)</f>
        <v>0</v>
      </c>
      <c r="AJ288" s="116"/>
      <c r="AK288" s="115">
        <f>SUM(AK289,AK303)</f>
        <v>0</v>
      </c>
      <c r="AL288" s="116"/>
      <c r="AM288" s="115">
        <f>SUM(AM289,AM303)</f>
        <v>0</v>
      </c>
      <c r="AN288" s="116"/>
      <c r="AO288" s="115">
        <f>SUM(AO289,AO303)</f>
        <v>0</v>
      </c>
      <c r="AP288" s="116"/>
      <c r="AQ288" s="115">
        <f>SUM(AQ289,AQ303)</f>
        <v>0</v>
      </c>
      <c r="AR288" s="116"/>
      <c r="AS288" s="115">
        <f>SUM(AS289,AS303)</f>
        <v>0</v>
      </c>
      <c r="AT288" s="116"/>
      <c r="AU288" s="115">
        <f>SUM(AU289,AU303)</f>
        <v>0</v>
      </c>
      <c r="AV288" s="116"/>
      <c r="AW288" s="115">
        <f>SUM(AW289,AW303)</f>
        <v>0</v>
      </c>
      <c r="AX288" s="116"/>
      <c r="AY288" s="115">
        <f>SUM(AY289,AY303)</f>
        <v>0</v>
      </c>
      <c r="AZ288" s="116"/>
      <c r="BA288" s="115">
        <f>SUM(BA289,BA303)</f>
        <v>0</v>
      </c>
      <c r="BB288" s="116"/>
      <c r="BC288" s="115">
        <f>SUM(BC289,BC303)</f>
        <v>0</v>
      </c>
      <c r="BD288" s="116"/>
      <c r="BE288" s="115">
        <f>SUM(BE289,BE303)</f>
        <v>0</v>
      </c>
      <c r="BF288" s="116"/>
      <c r="BG288" s="115">
        <f>SUM(BG289,BG303)</f>
        <v>0</v>
      </c>
      <c r="BH288" s="102">
        <f>U288/$T$550</f>
        <v>0.26994446025291813</v>
      </c>
    </row>
    <row r="289" spans="1:61" ht="19.5" customHeight="1" x14ac:dyDescent="0.45">
      <c r="A289" s="117">
        <v>4</v>
      </c>
      <c r="B289" s="118"/>
      <c r="C289" s="119"/>
      <c r="D289" s="120"/>
      <c r="E289" s="35" t="s">
        <v>1463</v>
      </c>
      <c r="F289" s="513"/>
      <c r="G289" s="514"/>
      <c r="H289" s="514"/>
      <c r="I289" s="514"/>
      <c r="J289" s="514"/>
      <c r="K289" s="514"/>
      <c r="L289" s="514"/>
      <c r="M289" s="514"/>
      <c r="N289" s="514"/>
      <c r="O289" s="121" t="s">
        <v>33</v>
      </c>
      <c r="P289" s="122"/>
      <c r="Q289" s="123" t="s">
        <v>21</v>
      </c>
      <c r="R289" s="124"/>
      <c r="S289" s="125"/>
      <c r="T289" s="126"/>
      <c r="U289" s="127">
        <f>SUM(U290,U292,U294,U296,U298)</f>
        <v>11040784.76</v>
      </c>
      <c r="V289" s="125"/>
      <c r="W289" s="127">
        <f>SUM(W290,W292,W294,W296,W298)</f>
        <v>0</v>
      </c>
      <c r="X289" s="125"/>
      <c r="Y289" s="127">
        <f>SUM(Y290,Y292,Y294,Y296,Y298)</f>
        <v>0</v>
      </c>
      <c r="Z289" s="125"/>
      <c r="AA289" s="127">
        <f>SUM(AA290,AA292,AA294,AA296,AA298)</f>
        <v>0</v>
      </c>
      <c r="AB289" s="125"/>
      <c r="AC289" s="127">
        <f>SUM(AC290,AC292,AC294,AC296,AC298)</f>
        <v>0</v>
      </c>
      <c r="AD289" s="125"/>
      <c r="AE289" s="127">
        <f>SUM(AE290,AE292,AE294,AE296,AE298)</f>
        <v>0</v>
      </c>
      <c r="AF289" s="125"/>
      <c r="AG289" s="127">
        <f>SUM(AG290,AG292,AG294,AG296,AG298)</f>
        <v>0</v>
      </c>
      <c r="AH289" s="125"/>
      <c r="AI289" s="127">
        <f>SUM(AI290,AI292,AI294,AI296,AI298)</f>
        <v>0</v>
      </c>
      <c r="AJ289" s="125"/>
      <c r="AK289" s="127">
        <f>SUM(AK290,AK292,AK294,AK296,AK298)</f>
        <v>0</v>
      </c>
      <c r="AL289" s="125"/>
      <c r="AM289" s="127">
        <f>SUM(AM290,AM292,AM294,AM296,AM298)</f>
        <v>0</v>
      </c>
      <c r="AN289" s="125"/>
      <c r="AO289" s="127">
        <f>SUM(AO290,AO292,AO294,AO296,AO298)</f>
        <v>0</v>
      </c>
      <c r="AP289" s="125"/>
      <c r="AQ289" s="127">
        <f>SUM(AQ290,AQ292,AQ294,AQ296,AQ298)</f>
        <v>0</v>
      </c>
      <c r="AR289" s="125"/>
      <c r="AS289" s="127">
        <f>SUM(AS290,AS292,AS294,AS296,AS298)</f>
        <v>0</v>
      </c>
      <c r="AT289" s="125"/>
      <c r="AU289" s="127">
        <f>SUM(AU290,AU292,AU294,AU296,AU298)</f>
        <v>0</v>
      </c>
      <c r="AV289" s="125"/>
      <c r="AW289" s="127">
        <f>SUM(AW290,AW292,AW294,AW296,AW298)</f>
        <v>0</v>
      </c>
      <c r="AX289" s="125"/>
      <c r="AY289" s="127">
        <f>SUM(AY290,AY292,AY294,AY296,AY298)</f>
        <v>0</v>
      </c>
      <c r="AZ289" s="125"/>
      <c r="BA289" s="127">
        <f>SUM(BA290,BA292,BA294,BA296,BA298)</f>
        <v>0</v>
      </c>
      <c r="BB289" s="125"/>
      <c r="BC289" s="127">
        <f>SUM(BC290,BC292,BC294,BC296,BC298)</f>
        <v>0</v>
      </c>
      <c r="BD289" s="125"/>
      <c r="BE289" s="127">
        <f>SUM(BE290,BE292,BE294,BE296,BE298)</f>
        <v>0</v>
      </c>
      <c r="BF289" s="125"/>
      <c r="BG289" s="127">
        <f>SUM(BG290,BG292,BG294,BG296,BG298)</f>
        <v>0</v>
      </c>
      <c r="BH289" s="45"/>
    </row>
    <row r="290" spans="1:61" ht="19.5" customHeight="1" x14ac:dyDescent="0.45">
      <c r="A290" s="128">
        <v>4</v>
      </c>
      <c r="B290" s="129"/>
      <c r="C290" s="130"/>
      <c r="D290" s="131"/>
      <c r="E290" s="132" t="s">
        <v>45</v>
      </c>
      <c r="F290" s="515"/>
      <c r="G290" s="516"/>
      <c r="H290" s="516"/>
      <c r="I290" s="516"/>
      <c r="J290" s="516"/>
      <c r="K290" s="516"/>
      <c r="L290" s="516"/>
      <c r="M290" s="516"/>
      <c r="N290" s="516"/>
      <c r="O290" s="133" t="s">
        <v>46</v>
      </c>
      <c r="P290" s="134"/>
      <c r="Q290" s="135" t="s">
        <v>47</v>
      </c>
      <c r="R290" s="136"/>
      <c r="S290" s="137"/>
      <c r="T290" s="138"/>
      <c r="U290" s="139">
        <f>SUM(U291:U291)</f>
        <v>3747.46</v>
      </c>
      <c r="V290" s="137"/>
      <c r="W290" s="139">
        <f>SUM(W291:W291)</f>
        <v>0</v>
      </c>
      <c r="X290" s="137"/>
      <c r="Y290" s="139">
        <f>SUM(Y291:Y291)</f>
        <v>0</v>
      </c>
      <c r="Z290" s="137"/>
      <c r="AA290" s="139">
        <f>SUM(AA291:AA291)</f>
        <v>0</v>
      </c>
      <c r="AB290" s="137"/>
      <c r="AC290" s="139">
        <f>SUM(AC291:AC291)</f>
        <v>0</v>
      </c>
      <c r="AD290" s="137"/>
      <c r="AE290" s="139">
        <f>SUM(AE291:AE291)</f>
        <v>0</v>
      </c>
      <c r="AF290" s="137"/>
      <c r="AG290" s="139">
        <f>SUM(AG291:AG291)</f>
        <v>0</v>
      </c>
      <c r="AH290" s="137"/>
      <c r="AI290" s="139">
        <f>SUM(AI291:AI291)</f>
        <v>0</v>
      </c>
      <c r="AJ290" s="137"/>
      <c r="AK290" s="139">
        <f>SUM(AK291:AK291)</f>
        <v>0</v>
      </c>
      <c r="AL290" s="137"/>
      <c r="AM290" s="139">
        <f>SUM(AM291:AM291)</f>
        <v>0</v>
      </c>
      <c r="AN290" s="137"/>
      <c r="AO290" s="139">
        <f>SUM(AO291:AO291)</f>
        <v>0</v>
      </c>
      <c r="AP290" s="137"/>
      <c r="AQ290" s="139">
        <f>SUM(AQ291:AQ291)</f>
        <v>0</v>
      </c>
      <c r="AR290" s="137"/>
      <c r="AS290" s="139">
        <f>SUM(AS291:AS291)</f>
        <v>0</v>
      </c>
      <c r="AT290" s="137"/>
      <c r="AU290" s="139">
        <f>SUM(AU291:AU291)</f>
        <v>0</v>
      </c>
      <c r="AV290" s="137"/>
      <c r="AW290" s="139">
        <f>SUM(AW291:AW291)</f>
        <v>0</v>
      </c>
      <c r="AX290" s="137"/>
      <c r="AY290" s="139">
        <f>SUM(AY291:AY291)</f>
        <v>0</v>
      </c>
      <c r="AZ290" s="137"/>
      <c r="BA290" s="139">
        <f>SUM(BA291:BA291)</f>
        <v>0</v>
      </c>
      <c r="BB290" s="137"/>
      <c r="BC290" s="139">
        <f>SUM(BC291:BC291)</f>
        <v>0</v>
      </c>
      <c r="BD290" s="137"/>
      <c r="BE290" s="139">
        <f>SUM(BE291:BE291)</f>
        <v>0</v>
      </c>
      <c r="BF290" s="137"/>
      <c r="BG290" s="139">
        <f>SUM(BG291:BG291)</f>
        <v>0</v>
      </c>
      <c r="BH290" s="45"/>
    </row>
    <row r="291" spans="1:61" ht="26.25" customHeight="1" x14ac:dyDescent="0.45">
      <c r="A291" s="140">
        <v>4</v>
      </c>
      <c r="B291" s="141" t="s">
        <v>843</v>
      </c>
      <c r="C291" s="142" t="s">
        <v>1481</v>
      </c>
      <c r="D291" s="143" t="str">
        <f>B291&amp;"_"&amp;E291</f>
        <v>4.1_1.2.1</v>
      </c>
      <c r="E291" s="56" t="s">
        <v>48</v>
      </c>
      <c r="F291" s="506" t="s">
        <v>49</v>
      </c>
      <c r="G291" s="507" t="s">
        <v>39</v>
      </c>
      <c r="H291" s="507" t="s">
        <v>39</v>
      </c>
      <c r="I291" s="507" t="s">
        <v>39</v>
      </c>
      <c r="J291" s="507" t="s">
        <v>39</v>
      </c>
      <c r="K291" s="507" t="s">
        <v>39</v>
      </c>
      <c r="L291" s="507" t="s">
        <v>39</v>
      </c>
      <c r="M291" s="507" t="s">
        <v>50</v>
      </c>
      <c r="N291" s="507" t="s">
        <v>51</v>
      </c>
      <c r="O291" s="57" t="s">
        <v>52</v>
      </c>
      <c r="P291" s="58" t="s">
        <v>21</v>
      </c>
      <c r="Q291" s="59" t="s">
        <v>53</v>
      </c>
      <c r="R291" s="60" t="s">
        <v>54</v>
      </c>
      <c r="S291" s="61">
        <v>131.86000000000001</v>
      </c>
      <c r="T291" s="62">
        <f>INDEX('BM MORRO DA CRUZ'!$P$6:$P$402,MATCH($O291,'BM MORRO DA CRUZ'!$K$6:$K$402,0))</f>
        <v>28.42</v>
      </c>
      <c r="U291" s="63">
        <f>ROUND(T291*$S291,2)</f>
        <v>3747.46</v>
      </c>
      <c r="V291" s="61">
        <f>IFERROR(SUMIFS('01ª MC'!$W$1:$W$1840,'01ª MC'!$C$1:$C$1840,$D291),0)</f>
        <v>0</v>
      </c>
      <c r="W291" s="63">
        <f>ROUND(V291*$T291,2)</f>
        <v>0</v>
      </c>
      <c r="X291" s="61">
        <v>0</v>
      </c>
      <c r="Y291" s="63">
        <f>ROUND(X291*$T291,2)</f>
        <v>0</v>
      </c>
      <c r="Z291" s="61">
        <v>0</v>
      </c>
      <c r="AA291" s="63">
        <f>ROUND(Z291*$T291,2)</f>
        <v>0</v>
      </c>
      <c r="AB291" s="61">
        <v>0</v>
      </c>
      <c r="AC291" s="63">
        <f>ROUND(AB291*$T291,2)</f>
        <v>0</v>
      </c>
      <c r="AD291" s="61">
        <v>0</v>
      </c>
      <c r="AE291" s="63">
        <f>ROUND(AD291*$T291,2)</f>
        <v>0</v>
      </c>
      <c r="AF291" s="61">
        <v>0</v>
      </c>
      <c r="AG291" s="63">
        <f>ROUND(AF291*$T291,2)</f>
        <v>0</v>
      </c>
      <c r="AH291" s="61">
        <v>0</v>
      </c>
      <c r="AI291" s="63">
        <f>ROUND(AH291*$T291,2)</f>
        <v>0</v>
      </c>
      <c r="AJ291" s="61">
        <v>0</v>
      </c>
      <c r="AK291" s="63">
        <f>ROUND(AJ291*$T291,2)</f>
        <v>0</v>
      </c>
      <c r="AL291" s="61">
        <v>0</v>
      </c>
      <c r="AM291" s="63">
        <f>ROUND(AL291*$T291,2)</f>
        <v>0</v>
      </c>
      <c r="AN291" s="61">
        <v>0</v>
      </c>
      <c r="AO291" s="63">
        <f>ROUND(AN291*$T291,2)</f>
        <v>0</v>
      </c>
      <c r="AP291" s="61">
        <v>0</v>
      </c>
      <c r="AQ291" s="63">
        <f>ROUND(AP291*$T291,2)</f>
        <v>0</v>
      </c>
      <c r="AR291" s="61">
        <v>0</v>
      </c>
      <c r="AS291" s="63">
        <f>ROUND(AR291*$T291,2)</f>
        <v>0</v>
      </c>
      <c r="AT291" s="61">
        <v>0</v>
      </c>
      <c r="AU291" s="63">
        <f>ROUND(AT291*$T291,2)</f>
        <v>0</v>
      </c>
      <c r="AV291" s="61">
        <v>0</v>
      </c>
      <c r="AW291" s="63">
        <f>ROUND(AV291*$T291,2)</f>
        <v>0</v>
      </c>
      <c r="AX291" s="61">
        <v>0</v>
      </c>
      <c r="AY291" s="63">
        <f>ROUND(AX291*$T291,2)</f>
        <v>0</v>
      </c>
      <c r="AZ291" s="61">
        <v>0</v>
      </c>
      <c r="BA291" s="63">
        <f>ROUND(AZ291*$T291,2)</f>
        <v>0</v>
      </c>
      <c r="BB291" s="61">
        <v>0</v>
      </c>
      <c r="BC291" s="63">
        <f>ROUND(BB291*$T291,2)</f>
        <v>0</v>
      </c>
      <c r="BD291" s="61">
        <v>0</v>
      </c>
      <c r="BE291" s="63">
        <f>ROUND(BD291*$T291,2)</f>
        <v>0</v>
      </c>
      <c r="BF291" s="61">
        <f>IFERROR(SUMIFS($V291:$BE291,$V$5:$BE$5,$BF$5),0)</f>
        <v>0</v>
      </c>
      <c r="BG291" s="63">
        <f>SUMIFS($V291:$BE291,$V$5:$BE$5,$W$5)</f>
        <v>0</v>
      </c>
      <c r="BH291" s="45"/>
      <c r="BI291" s="144"/>
    </row>
    <row r="292" spans="1:61" ht="19.5" customHeight="1" x14ac:dyDescent="0.45">
      <c r="A292" s="128">
        <v>4</v>
      </c>
      <c r="B292" s="129"/>
      <c r="C292" s="130"/>
      <c r="D292" s="131"/>
      <c r="E292" s="132" t="s">
        <v>60</v>
      </c>
      <c r="F292" s="515"/>
      <c r="G292" s="516"/>
      <c r="H292" s="516"/>
      <c r="I292" s="516"/>
      <c r="J292" s="516"/>
      <c r="K292" s="516"/>
      <c r="L292" s="516"/>
      <c r="M292" s="516"/>
      <c r="N292" s="516"/>
      <c r="O292" s="133" t="s">
        <v>61</v>
      </c>
      <c r="P292" s="134"/>
      <c r="Q292" s="135" t="s">
        <v>62</v>
      </c>
      <c r="R292" s="136"/>
      <c r="S292" s="137"/>
      <c r="T292" s="138"/>
      <c r="U292" s="139">
        <f>SUM(U293:U293)</f>
        <v>2080260.6</v>
      </c>
      <c r="V292" s="137"/>
      <c r="W292" s="139">
        <f>SUM(W293:W293)</f>
        <v>0</v>
      </c>
      <c r="X292" s="137"/>
      <c r="Y292" s="139">
        <f>SUM(Y293:Y293)</f>
        <v>0</v>
      </c>
      <c r="Z292" s="137"/>
      <c r="AA292" s="139">
        <f>SUM(AA293:AA293)</f>
        <v>0</v>
      </c>
      <c r="AB292" s="137"/>
      <c r="AC292" s="139">
        <f>SUM(AC293:AC293)</f>
        <v>0</v>
      </c>
      <c r="AD292" s="137"/>
      <c r="AE292" s="139">
        <f>SUM(AE293:AE293)</f>
        <v>0</v>
      </c>
      <c r="AF292" s="137"/>
      <c r="AG292" s="139">
        <f>SUM(AG293:AG293)</f>
        <v>0</v>
      </c>
      <c r="AH292" s="137"/>
      <c r="AI292" s="139">
        <f>SUM(AI293:AI293)</f>
        <v>0</v>
      </c>
      <c r="AJ292" s="137"/>
      <c r="AK292" s="139">
        <f>SUM(AK293:AK293)</f>
        <v>0</v>
      </c>
      <c r="AL292" s="137"/>
      <c r="AM292" s="139">
        <f>SUM(AM293:AM293)</f>
        <v>0</v>
      </c>
      <c r="AN292" s="137"/>
      <c r="AO292" s="139">
        <f>SUM(AO293:AO293)</f>
        <v>0</v>
      </c>
      <c r="AP292" s="137"/>
      <c r="AQ292" s="139">
        <f>SUM(AQ293:AQ293)</f>
        <v>0</v>
      </c>
      <c r="AR292" s="137"/>
      <c r="AS292" s="139">
        <f>SUM(AS293:AS293)</f>
        <v>0</v>
      </c>
      <c r="AT292" s="137"/>
      <c r="AU292" s="139">
        <f>SUM(AU293:AU293)</f>
        <v>0</v>
      </c>
      <c r="AV292" s="137"/>
      <c r="AW292" s="139">
        <f>SUM(AW293:AW293)</f>
        <v>0</v>
      </c>
      <c r="AX292" s="137"/>
      <c r="AY292" s="139">
        <f>SUM(AY293:AY293)</f>
        <v>0</v>
      </c>
      <c r="AZ292" s="137"/>
      <c r="BA292" s="139">
        <f>SUM(BA293:BA293)</f>
        <v>0</v>
      </c>
      <c r="BB292" s="137"/>
      <c r="BC292" s="139">
        <f>SUM(BC293:BC293)</f>
        <v>0</v>
      </c>
      <c r="BD292" s="137"/>
      <c r="BE292" s="139">
        <f>SUM(BE293:BE293)</f>
        <v>0</v>
      </c>
      <c r="BF292" s="137"/>
      <c r="BG292" s="139">
        <f>SUM(BG293:BG293)</f>
        <v>0</v>
      </c>
      <c r="BH292" s="45"/>
    </row>
    <row r="293" spans="1:61" ht="26.25" customHeight="1" x14ac:dyDescent="0.45">
      <c r="A293" s="140">
        <v>4</v>
      </c>
      <c r="B293" s="141" t="s">
        <v>843</v>
      </c>
      <c r="C293" s="142" t="s">
        <v>1481</v>
      </c>
      <c r="D293" s="143" t="str">
        <f>B293&amp;"_"&amp;E293</f>
        <v>4.1_1.3.1</v>
      </c>
      <c r="E293" s="56" t="s">
        <v>63</v>
      </c>
      <c r="F293" s="506" t="s">
        <v>64</v>
      </c>
      <c r="G293" s="507" t="s">
        <v>39</v>
      </c>
      <c r="H293" s="507" t="s">
        <v>39</v>
      </c>
      <c r="I293" s="507" t="s">
        <v>65</v>
      </c>
      <c r="J293" s="507" t="s">
        <v>39</v>
      </c>
      <c r="K293" s="507" t="s">
        <v>66</v>
      </c>
      <c r="L293" s="507" t="s">
        <v>67</v>
      </c>
      <c r="M293" s="507" t="s">
        <v>68</v>
      </c>
      <c r="N293" s="507" t="s">
        <v>41</v>
      </c>
      <c r="O293" s="57" t="s">
        <v>69</v>
      </c>
      <c r="P293" s="58" t="s">
        <v>21</v>
      </c>
      <c r="Q293" s="59" t="s">
        <v>70</v>
      </c>
      <c r="R293" s="60" t="s">
        <v>71</v>
      </c>
      <c r="S293" s="61">
        <v>11894</v>
      </c>
      <c r="T293" s="62">
        <f>INDEX('BM MORRO DA CRUZ'!$P$6:$P$402,MATCH($O293,'BM MORRO DA CRUZ'!$K$6:$K$402,0))</f>
        <v>174.9</v>
      </c>
      <c r="U293" s="63">
        <f>ROUND(T293*$S293,2)</f>
        <v>2080260.6</v>
      </c>
      <c r="V293" s="61">
        <f>IFERROR(SUMIFS('01ª MC'!$W$1:$W$1840,'01ª MC'!$C$1:$C$1840,$D293),0)</f>
        <v>0</v>
      </c>
      <c r="W293" s="63">
        <f>ROUND(V293*$T293,2)</f>
        <v>0</v>
      </c>
      <c r="X293" s="61">
        <v>0</v>
      </c>
      <c r="Y293" s="63">
        <f>ROUND(X293*$T293,2)</f>
        <v>0</v>
      </c>
      <c r="Z293" s="61">
        <v>0</v>
      </c>
      <c r="AA293" s="63">
        <f>ROUND(Z293*$T293,2)</f>
        <v>0</v>
      </c>
      <c r="AB293" s="61">
        <v>0</v>
      </c>
      <c r="AC293" s="63">
        <f>ROUND(AB293*$T293,2)</f>
        <v>0</v>
      </c>
      <c r="AD293" s="61">
        <v>0</v>
      </c>
      <c r="AE293" s="63">
        <f>ROUND(AD293*$T293,2)</f>
        <v>0</v>
      </c>
      <c r="AF293" s="61">
        <v>0</v>
      </c>
      <c r="AG293" s="63">
        <f>ROUND(AF293*$T293,2)</f>
        <v>0</v>
      </c>
      <c r="AH293" s="61">
        <v>0</v>
      </c>
      <c r="AI293" s="63">
        <f>ROUND(AH293*$T293,2)</f>
        <v>0</v>
      </c>
      <c r="AJ293" s="61">
        <v>0</v>
      </c>
      <c r="AK293" s="63">
        <f>ROUND(AJ293*$T293,2)</f>
        <v>0</v>
      </c>
      <c r="AL293" s="61">
        <v>0</v>
      </c>
      <c r="AM293" s="63">
        <f>ROUND(AL293*$T293,2)</f>
        <v>0</v>
      </c>
      <c r="AN293" s="61">
        <v>0</v>
      </c>
      <c r="AO293" s="63">
        <f>ROUND(AN293*$T293,2)</f>
        <v>0</v>
      </c>
      <c r="AP293" s="61">
        <v>0</v>
      </c>
      <c r="AQ293" s="63">
        <f>ROUND(AP293*$T293,2)</f>
        <v>0</v>
      </c>
      <c r="AR293" s="61">
        <v>0</v>
      </c>
      <c r="AS293" s="63">
        <f>ROUND(AR293*$T293,2)</f>
        <v>0</v>
      </c>
      <c r="AT293" s="61">
        <v>0</v>
      </c>
      <c r="AU293" s="63">
        <f>ROUND(AT293*$T293,2)</f>
        <v>0</v>
      </c>
      <c r="AV293" s="61">
        <v>0</v>
      </c>
      <c r="AW293" s="63">
        <f>ROUND(AV293*$T293,2)</f>
        <v>0</v>
      </c>
      <c r="AX293" s="61">
        <v>0</v>
      </c>
      <c r="AY293" s="63">
        <f>ROUND(AX293*$T293,2)</f>
        <v>0</v>
      </c>
      <c r="AZ293" s="61">
        <v>0</v>
      </c>
      <c r="BA293" s="63">
        <f>ROUND(AZ293*$T293,2)</f>
        <v>0</v>
      </c>
      <c r="BB293" s="61">
        <v>0</v>
      </c>
      <c r="BC293" s="63">
        <f>ROUND(BB293*$T293,2)</f>
        <v>0</v>
      </c>
      <c r="BD293" s="61">
        <v>0</v>
      </c>
      <c r="BE293" s="63">
        <f>ROUND(BD293*$T293,2)</f>
        <v>0</v>
      </c>
      <c r="BF293" s="61">
        <f>IFERROR(SUMIFS($V293:$BE293,$V$5:$BE$5,$BF$5),0)</f>
        <v>0</v>
      </c>
      <c r="BG293" s="63">
        <f>SUMIFS($V293:$BE293,$V$5:$BE$5,$W$5)</f>
        <v>0</v>
      </c>
      <c r="BH293" s="45"/>
      <c r="BI293" s="144"/>
    </row>
    <row r="294" spans="1:61" ht="19.5" customHeight="1" x14ac:dyDescent="0.45">
      <c r="A294" s="128">
        <v>4</v>
      </c>
      <c r="B294" s="129"/>
      <c r="C294" s="130"/>
      <c r="D294" s="131"/>
      <c r="E294" s="132" t="s">
        <v>82</v>
      </c>
      <c r="F294" s="515"/>
      <c r="G294" s="516"/>
      <c r="H294" s="516"/>
      <c r="I294" s="516"/>
      <c r="J294" s="516"/>
      <c r="K294" s="516"/>
      <c r="L294" s="516"/>
      <c r="M294" s="516"/>
      <c r="N294" s="516"/>
      <c r="O294" s="133" t="s">
        <v>83</v>
      </c>
      <c r="P294" s="134"/>
      <c r="Q294" s="135" t="s">
        <v>84</v>
      </c>
      <c r="R294" s="136"/>
      <c r="S294" s="137"/>
      <c r="T294" s="138"/>
      <c r="U294" s="139">
        <f>SUM(U295:U295)</f>
        <v>6211998.3200000003</v>
      </c>
      <c r="V294" s="137"/>
      <c r="W294" s="139">
        <f>SUM(W295:W295)</f>
        <v>0</v>
      </c>
      <c r="X294" s="137"/>
      <c r="Y294" s="139">
        <f>SUM(Y295:Y295)</f>
        <v>0</v>
      </c>
      <c r="Z294" s="137"/>
      <c r="AA294" s="139">
        <f>SUM(AA295:AA295)</f>
        <v>0</v>
      </c>
      <c r="AB294" s="137"/>
      <c r="AC294" s="139">
        <f>SUM(AC295:AC295)</f>
        <v>0</v>
      </c>
      <c r="AD294" s="137"/>
      <c r="AE294" s="139">
        <f>SUM(AE295:AE295)</f>
        <v>0</v>
      </c>
      <c r="AF294" s="137"/>
      <c r="AG294" s="139">
        <f>SUM(AG295:AG295)</f>
        <v>0</v>
      </c>
      <c r="AH294" s="137"/>
      <c r="AI294" s="139">
        <f>SUM(AI295:AI295)</f>
        <v>0</v>
      </c>
      <c r="AJ294" s="137"/>
      <c r="AK294" s="139">
        <f>SUM(AK295:AK295)</f>
        <v>0</v>
      </c>
      <c r="AL294" s="137"/>
      <c r="AM294" s="139">
        <f>SUM(AM295:AM295)</f>
        <v>0</v>
      </c>
      <c r="AN294" s="137"/>
      <c r="AO294" s="139">
        <f>SUM(AO295:AO295)</f>
        <v>0</v>
      </c>
      <c r="AP294" s="137"/>
      <c r="AQ294" s="139">
        <f>SUM(AQ295:AQ295)</f>
        <v>0</v>
      </c>
      <c r="AR294" s="137"/>
      <c r="AS294" s="139">
        <f>SUM(AS295:AS295)</f>
        <v>0</v>
      </c>
      <c r="AT294" s="137"/>
      <c r="AU294" s="139">
        <f>SUM(AU295:AU295)</f>
        <v>0</v>
      </c>
      <c r="AV294" s="137"/>
      <c r="AW294" s="139">
        <f>SUM(AW295:AW295)</f>
        <v>0</v>
      </c>
      <c r="AX294" s="137"/>
      <c r="AY294" s="139">
        <f>SUM(AY295:AY295)</f>
        <v>0</v>
      </c>
      <c r="AZ294" s="137"/>
      <c r="BA294" s="139">
        <f>SUM(BA295:BA295)</f>
        <v>0</v>
      </c>
      <c r="BB294" s="137"/>
      <c r="BC294" s="139">
        <f>SUM(BC295:BC295)</f>
        <v>0</v>
      </c>
      <c r="BD294" s="137"/>
      <c r="BE294" s="139">
        <f>SUM(BE295:BE295)</f>
        <v>0</v>
      </c>
      <c r="BF294" s="137"/>
      <c r="BG294" s="139">
        <f>SUM(BG295:BG295)</f>
        <v>0</v>
      </c>
      <c r="BH294" s="45"/>
    </row>
    <row r="295" spans="1:61" ht="70.5" x14ac:dyDescent="0.45">
      <c r="A295" s="140">
        <v>4</v>
      </c>
      <c r="B295" s="141" t="s">
        <v>843</v>
      </c>
      <c r="C295" s="142" t="s">
        <v>1481</v>
      </c>
      <c r="D295" s="143" t="str">
        <f>B295&amp;"_"&amp;E295</f>
        <v>4.1_1.5.1</v>
      </c>
      <c r="E295" s="56" t="s">
        <v>85</v>
      </c>
      <c r="F295" s="506" t="s">
        <v>86</v>
      </c>
      <c r="G295" s="507" t="s">
        <v>39</v>
      </c>
      <c r="H295" s="507" t="s">
        <v>39</v>
      </c>
      <c r="I295" s="507" t="s">
        <v>87</v>
      </c>
      <c r="J295" s="507" t="s">
        <v>39</v>
      </c>
      <c r="K295" s="507">
        <v>50</v>
      </c>
      <c r="L295" s="507" t="s">
        <v>257</v>
      </c>
      <c r="M295" s="507" t="s">
        <v>68</v>
      </c>
      <c r="N295" s="507" t="s">
        <v>78</v>
      </c>
      <c r="O295" s="57" t="s">
        <v>88</v>
      </c>
      <c r="P295" s="58" t="s">
        <v>21</v>
      </c>
      <c r="Q295" s="59" t="s">
        <v>89</v>
      </c>
      <c r="R295" s="60" t="s">
        <v>71</v>
      </c>
      <c r="S295" s="61">
        <v>11894</v>
      </c>
      <c r="T295" s="62">
        <f>INDEX('BM MORRO DA CRUZ'!$P$6:$P$402,MATCH($O295,'BM MORRO DA CRUZ'!$K$6:$K$402,0))</f>
        <v>522.28</v>
      </c>
      <c r="U295" s="63">
        <f>ROUND(T295*$S295,2)</f>
        <v>6211998.3200000003</v>
      </c>
      <c r="V295" s="61">
        <f>IFERROR(SUMIFS('01ª MC'!$W$1:$W$1840,'01ª MC'!$C$1:$C$1840,$D295),0)</f>
        <v>0</v>
      </c>
      <c r="W295" s="63">
        <f>ROUND(V295*$T295,2)</f>
        <v>0</v>
      </c>
      <c r="X295" s="61">
        <v>0</v>
      </c>
      <c r="Y295" s="63">
        <f>ROUND(X295*$T295,2)</f>
        <v>0</v>
      </c>
      <c r="Z295" s="61">
        <v>0</v>
      </c>
      <c r="AA295" s="63">
        <f>ROUND(Z295*$T295,2)</f>
        <v>0</v>
      </c>
      <c r="AB295" s="61">
        <v>0</v>
      </c>
      <c r="AC295" s="63">
        <f>ROUND(AB295*$T295,2)</f>
        <v>0</v>
      </c>
      <c r="AD295" s="61">
        <v>0</v>
      </c>
      <c r="AE295" s="63">
        <f>ROUND(AD295*$T295,2)</f>
        <v>0</v>
      </c>
      <c r="AF295" s="61">
        <v>0</v>
      </c>
      <c r="AG295" s="63">
        <f>ROUND(AF295*$T295,2)</f>
        <v>0</v>
      </c>
      <c r="AH295" s="61">
        <v>0</v>
      </c>
      <c r="AI295" s="63">
        <f>ROUND(AH295*$T295,2)</f>
        <v>0</v>
      </c>
      <c r="AJ295" s="61">
        <v>0</v>
      </c>
      <c r="AK295" s="63">
        <f>ROUND(AJ295*$T295,2)</f>
        <v>0</v>
      </c>
      <c r="AL295" s="61">
        <v>0</v>
      </c>
      <c r="AM295" s="63">
        <f>ROUND(AL295*$T295,2)</f>
        <v>0</v>
      </c>
      <c r="AN295" s="61">
        <v>0</v>
      </c>
      <c r="AO295" s="63">
        <f>ROUND(AN295*$T295,2)</f>
        <v>0</v>
      </c>
      <c r="AP295" s="61">
        <v>0</v>
      </c>
      <c r="AQ295" s="63">
        <f>ROUND(AP295*$T295,2)</f>
        <v>0</v>
      </c>
      <c r="AR295" s="61">
        <v>0</v>
      </c>
      <c r="AS295" s="63">
        <f>ROUND(AR295*$T295,2)</f>
        <v>0</v>
      </c>
      <c r="AT295" s="61">
        <v>0</v>
      </c>
      <c r="AU295" s="63">
        <f>ROUND(AT295*$T295,2)</f>
        <v>0</v>
      </c>
      <c r="AV295" s="61">
        <v>0</v>
      </c>
      <c r="AW295" s="63">
        <f>ROUND(AV295*$T295,2)</f>
        <v>0</v>
      </c>
      <c r="AX295" s="61">
        <v>0</v>
      </c>
      <c r="AY295" s="63">
        <f>ROUND(AX295*$T295,2)</f>
        <v>0</v>
      </c>
      <c r="AZ295" s="61">
        <v>0</v>
      </c>
      <c r="BA295" s="63">
        <f>ROUND(AZ295*$T295,2)</f>
        <v>0</v>
      </c>
      <c r="BB295" s="61">
        <v>0</v>
      </c>
      <c r="BC295" s="63">
        <f>ROUND(BB295*$T295,2)</f>
        <v>0</v>
      </c>
      <c r="BD295" s="61">
        <v>0</v>
      </c>
      <c r="BE295" s="63">
        <f>ROUND(BD295*$T295,2)</f>
        <v>0</v>
      </c>
      <c r="BF295" s="61">
        <f>IFERROR(SUMIFS($V295:$BE295,$V$5:$BE$5,$BF$5),0)</f>
        <v>0</v>
      </c>
      <c r="BG295" s="63">
        <f>SUMIFS($V295:$BE295,$V$5:$BE$5,$W$5)</f>
        <v>0</v>
      </c>
      <c r="BH295" s="45"/>
      <c r="BI295" s="144"/>
    </row>
    <row r="296" spans="1:61" ht="19.5" customHeight="1" x14ac:dyDescent="0.45">
      <c r="A296" s="128">
        <v>4</v>
      </c>
      <c r="B296" s="129"/>
      <c r="C296" s="130"/>
      <c r="D296" s="131"/>
      <c r="E296" s="132" t="s">
        <v>202</v>
      </c>
      <c r="F296" s="515"/>
      <c r="G296" s="516"/>
      <c r="H296" s="516"/>
      <c r="I296" s="516"/>
      <c r="J296" s="516"/>
      <c r="K296" s="516"/>
      <c r="L296" s="516"/>
      <c r="M296" s="516"/>
      <c r="N296" s="516"/>
      <c r="O296" s="133" t="s">
        <v>203</v>
      </c>
      <c r="P296" s="134"/>
      <c r="Q296" s="135" t="s">
        <v>204</v>
      </c>
      <c r="R296" s="136"/>
      <c r="S296" s="137"/>
      <c r="T296" s="138"/>
      <c r="U296" s="139">
        <f>SUM(U297:U297)</f>
        <v>1435486.86</v>
      </c>
      <c r="V296" s="137"/>
      <c r="W296" s="139">
        <f>SUM(W297:W297)</f>
        <v>0</v>
      </c>
      <c r="X296" s="137"/>
      <c r="Y296" s="139">
        <f>SUM(Y297:Y297)</f>
        <v>0</v>
      </c>
      <c r="Z296" s="137"/>
      <c r="AA296" s="139">
        <f>SUM(AA297:AA297)</f>
        <v>0</v>
      </c>
      <c r="AB296" s="137"/>
      <c r="AC296" s="139">
        <f>SUM(AC297:AC297)</f>
        <v>0</v>
      </c>
      <c r="AD296" s="137"/>
      <c r="AE296" s="139">
        <f>SUM(AE297:AE297)</f>
        <v>0</v>
      </c>
      <c r="AF296" s="137"/>
      <c r="AG296" s="139">
        <f>SUM(AG297:AG297)</f>
        <v>0</v>
      </c>
      <c r="AH296" s="137"/>
      <c r="AI296" s="139">
        <f>SUM(AI297:AI297)</f>
        <v>0</v>
      </c>
      <c r="AJ296" s="137"/>
      <c r="AK296" s="139">
        <f>SUM(AK297:AK297)</f>
        <v>0</v>
      </c>
      <c r="AL296" s="137"/>
      <c r="AM296" s="139">
        <f>SUM(AM297:AM297)</f>
        <v>0</v>
      </c>
      <c r="AN296" s="137"/>
      <c r="AO296" s="139">
        <f>SUM(AO297:AO297)</f>
        <v>0</v>
      </c>
      <c r="AP296" s="137"/>
      <c r="AQ296" s="139">
        <f>SUM(AQ297:AQ297)</f>
        <v>0</v>
      </c>
      <c r="AR296" s="137"/>
      <c r="AS296" s="139">
        <f>SUM(AS297:AS297)</f>
        <v>0</v>
      </c>
      <c r="AT296" s="137"/>
      <c r="AU296" s="139">
        <f>SUM(AU297:AU297)</f>
        <v>0</v>
      </c>
      <c r="AV296" s="137"/>
      <c r="AW296" s="139">
        <f>SUM(AW297:AW297)</f>
        <v>0</v>
      </c>
      <c r="AX296" s="137"/>
      <c r="AY296" s="139">
        <f>SUM(AY297:AY297)</f>
        <v>0</v>
      </c>
      <c r="AZ296" s="137"/>
      <c r="BA296" s="139">
        <f>SUM(BA297:BA297)</f>
        <v>0</v>
      </c>
      <c r="BB296" s="137"/>
      <c r="BC296" s="139">
        <f>SUM(BC297:BC297)</f>
        <v>0</v>
      </c>
      <c r="BD296" s="137"/>
      <c r="BE296" s="139">
        <f>SUM(BE297:BE297)</f>
        <v>0</v>
      </c>
      <c r="BF296" s="137"/>
      <c r="BG296" s="139">
        <f>SUM(BG297:BG297)</f>
        <v>0</v>
      </c>
      <c r="BH296" s="45"/>
    </row>
    <row r="297" spans="1:61" ht="26.25" customHeight="1" x14ac:dyDescent="0.45">
      <c r="A297" s="140">
        <v>4</v>
      </c>
      <c r="B297" s="141" t="s">
        <v>843</v>
      </c>
      <c r="C297" s="142" t="s">
        <v>1481</v>
      </c>
      <c r="D297" s="143" t="str">
        <f>B297&amp;"_"&amp;E297</f>
        <v>4.1_1.11.2</v>
      </c>
      <c r="E297" s="56" t="s">
        <v>212</v>
      </c>
      <c r="F297" s="506" t="s">
        <v>213</v>
      </c>
      <c r="G297" s="507" t="s">
        <v>39</v>
      </c>
      <c r="H297" s="507" t="s">
        <v>39</v>
      </c>
      <c r="I297" s="507" t="s">
        <v>214</v>
      </c>
      <c r="J297" s="507" t="s">
        <v>39</v>
      </c>
      <c r="K297" s="507" t="s">
        <v>66</v>
      </c>
      <c r="L297" s="507" t="s">
        <v>215</v>
      </c>
      <c r="M297" s="507" t="s">
        <v>216</v>
      </c>
      <c r="N297" s="507" t="s">
        <v>41</v>
      </c>
      <c r="O297" s="57" t="s">
        <v>217</v>
      </c>
      <c r="P297" s="58" t="s">
        <v>21</v>
      </c>
      <c r="Q297" s="59" t="s">
        <v>218</v>
      </c>
      <c r="R297" s="60" t="s">
        <v>71</v>
      </c>
      <c r="S297" s="61">
        <v>11894</v>
      </c>
      <c r="T297" s="62">
        <f>INDEX('BM MORRO DA CRUZ'!$P$6:$P$402,MATCH($O297,'BM MORRO DA CRUZ'!$K$6:$K$402,0))</f>
        <v>120.69</v>
      </c>
      <c r="U297" s="63">
        <f>ROUND(T297*$S297,2)</f>
        <v>1435486.86</v>
      </c>
      <c r="V297" s="61">
        <f>IFERROR(SUMIFS('01ª MC'!$W$1:$W$1840,'01ª MC'!$C$1:$C$1840,$D297),0)</f>
        <v>0</v>
      </c>
      <c r="W297" s="63">
        <f>ROUND(V297*$T297,2)</f>
        <v>0</v>
      </c>
      <c r="X297" s="61">
        <v>0</v>
      </c>
      <c r="Y297" s="63">
        <f>ROUND(X297*$T297,2)</f>
        <v>0</v>
      </c>
      <c r="Z297" s="61">
        <v>0</v>
      </c>
      <c r="AA297" s="63">
        <f>ROUND(Z297*$T297,2)</f>
        <v>0</v>
      </c>
      <c r="AB297" s="61">
        <v>0</v>
      </c>
      <c r="AC297" s="63">
        <f>ROUND(AB297*$T297,2)</f>
        <v>0</v>
      </c>
      <c r="AD297" s="61">
        <v>0</v>
      </c>
      <c r="AE297" s="63">
        <f>ROUND(AD297*$T297,2)</f>
        <v>0</v>
      </c>
      <c r="AF297" s="61">
        <v>0</v>
      </c>
      <c r="AG297" s="63">
        <f>ROUND(AF297*$T297,2)</f>
        <v>0</v>
      </c>
      <c r="AH297" s="61">
        <v>0</v>
      </c>
      <c r="AI297" s="63">
        <f>ROUND(AH297*$T297,2)</f>
        <v>0</v>
      </c>
      <c r="AJ297" s="61">
        <v>0</v>
      </c>
      <c r="AK297" s="63">
        <f>ROUND(AJ297*$T297,2)</f>
        <v>0</v>
      </c>
      <c r="AL297" s="61">
        <v>0</v>
      </c>
      <c r="AM297" s="63">
        <f>ROUND(AL297*$T297,2)</f>
        <v>0</v>
      </c>
      <c r="AN297" s="61">
        <v>0</v>
      </c>
      <c r="AO297" s="63">
        <f>ROUND(AN297*$T297,2)</f>
        <v>0</v>
      </c>
      <c r="AP297" s="61">
        <v>0</v>
      </c>
      <c r="AQ297" s="63">
        <f>ROUND(AP297*$T297,2)</f>
        <v>0</v>
      </c>
      <c r="AR297" s="61">
        <v>0</v>
      </c>
      <c r="AS297" s="63">
        <f>ROUND(AR297*$T297,2)</f>
        <v>0</v>
      </c>
      <c r="AT297" s="61">
        <v>0</v>
      </c>
      <c r="AU297" s="63">
        <f>ROUND(AT297*$T297,2)</f>
        <v>0</v>
      </c>
      <c r="AV297" s="61">
        <v>0</v>
      </c>
      <c r="AW297" s="63">
        <f>ROUND(AV297*$T297,2)</f>
        <v>0</v>
      </c>
      <c r="AX297" s="61">
        <v>0</v>
      </c>
      <c r="AY297" s="63">
        <f>ROUND(AX297*$T297,2)</f>
        <v>0</v>
      </c>
      <c r="AZ297" s="61">
        <v>0</v>
      </c>
      <c r="BA297" s="63">
        <f>ROUND(AZ297*$T297,2)</f>
        <v>0</v>
      </c>
      <c r="BB297" s="61">
        <v>0</v>
      </c>
      <c r="BC297" s="63">
        <f>ROUND(BB297*$T297,2)</f>
        <v>0</v>
      </c>
      <c r="BD297" s="61">
        <v>0</v>
      </c>
      <c r="BE297" s="63">
        <f>ROUND(BD297*$T297,2)</f>
        <v>0</v>
      </c>
      <c r="BF297" s="61">
        <f>IFERROR(SUMIFS($V297:$BE297,$V$5:$BE$5,$BF$5),0)</f>
        <v>0</v>
      </c>
      <c r="BG297" s="63">
        <f>SUMIFS($V297:$BE297,$V$5:$BE$5,$W$5)</f>
        <v>0</v>
      </c>
      <c r="BH297" s="45"/>
      <c r="BI297" s="144"/>
    </row>
    <row r="298" spans="1:61" ht="19.5" customHeight="1" x14ac:dyDescent="0.45">
      <c r="A298" s="128">
        <v>4</v>
      </c>
      <c r="B298" s="129"/>
      <c r="C298" s="130"/>
      <c r="D298" s="131"/>
      <c r="E298" s="132" t="s">
        <v>742</v>
      </c>
      <c r="F298" s="515"/>
      <c r="G298" s="516"/>
      <c r="H298" s="516"/>
      <c r="I298" s="516"/>
      <c r="J298" s="516"/>
      <c r="K298" s="516"/>
      <c r="L298" s="516"/>
      <c r="M298" s="516"/>
      <c r="N298" s="516"/>
      <c r="O298" s="133" t="s">
        <v>743</v>
      </c>
      <c r="P298" s="134"/>
      <c r="Q298" s="135" t="s">
        <v>744</v>
      </c>
      <c r="R298" s="136"/>
      <c r="S298" s="137"/>
      <c r="T298" s="138"/>
      <c r="U298" s="139">
        <f>SUM(U299:U302)</f>
        <v>1309291.52</v>
      </c>
      <c r="V298" s="137"/>
      <c r="W298" s="139">
        <f>SUM(W299:W302)</f>
        <v>0</v>
      </c>
      <c r="X298" s="137"/>
      <c r="Y298" s="139">
        <f>SUM(Y299:Y302)</f>
        <v>0</v>
      </c>
      <c r="Z298" s="137"/>
      <c r="AA298" s="139">
        <f>SUM(AA299:AA302)</f>
        <v>0</v>
      </c>
      <c r="AB298" s="137"/>
      <c r="AC298" s="139">
        <f>SUM(AC299:AC302)</f>
        <v>0</v>
      </c>
      <c r="AD298" s="137"/>
      <c r="AE298" s="139">
        <f>SUM(AE299:AE302)</f>
        <v>0</v>
      </c>
      <c r="AF298" s="137"/>
      <c r="AG298" s="139">
        <f>SUM(AG299:AG302)</f>
        <v>0</v>
      </c>
      <c r="AH298" s="137"/>
      <c r="AI298" s="139">
        <f>SUM(AI299:AI302)</f>
        <v>0</v>
      </c>
      <c r="AJ298" s="137"/>
      <c r="AK298" s="139">
        <f>SUM(AK299:AK302)</f>
        <v>0</v>
      </c>
      <c r="AL298" s="137"/>
      <c r="AM298" s="139">
        <f>SUM(AM299:AM302)</f>
        <v>0</v>
      </c>
      <c r="AN298" s="137"/>
      <c r="AO298" s="139">
        <f>SUM(AO299:AO302)</f>
        <v>0</v>
      </c>
      <c r="AP298" s="137"/>
      <c r="AQ298" s="139">
        <f>SUM(AQ299:AQ302)</f>
        <v>0</v>
      </c>
      <c r="AR298" s="137"/>
      <c r="AS298" s="139">
        <f>SUM(AS299:AS302)</f>
        <v>0</v>
      </c>
      <c r="AT298" s="137"/>
      <c r="AU298" s="139">
        <f>SUM(AU299:AU302)</f>
        <v>0</v>
      </c>
      <c r="AV298" s="137"/>
      <c r="AW298" s="139">
        <f>SUM(AW299:AW302)</f>
        <v>0</v>
      </c>
      <c r="AX298" s="137"/>
      <c r="AY298" s="139">
        <f>SUM(AY299:AY302)</f>
        <v>0</v>
      </c>
      <c r="AZ298" s="137"/>
      <c r="BA298" s="139">
        <f>SUM(BA299:BA302)</f>
        <v>0</v>
      </c>
      <c r="BB298" s="137"/>
      <c r="BC298" s="139">
        <f>SUM(BC299:BC302)</f>
        <v>0</v>
      </c>
      <c r="BD298" s="137"/>
      <c r="BE298" s="139">
        <f>SUM(BE299:BE302)</f>
        <v>0</v>
      </c>
      <c r="BF298" s="137"/>
      <c r="BG298" s="139">
        <f>SUM(BG299:BG302)</f>
        <v>0</v>
      </c>
      <c r="BH298" s="45"/>
    </row>
    <row r="299" spans="1:61" ht="19.5" customHeight="1" x14ac:dyDescent="0.45">
      <c r="A299" s="140">
        <v>4</v>
      </c>
      <c r="B299" s="141" t="s">
        <v>843</v>
      </c>
      <c r="C299" s="142" t="s">
        <v>1481</v>
      </c>
      <c r="D299" s="143" t="str">
        <f>B299&amp;"_"&amp;E299</f>
        <v>4.1_1.18.7</v>
      </c>
      <c r="E299" s="56" t="s">
        <v>776</v>
      </c>
      <c r="F299" s="506" t="s">
        <v>264</v>
      </c>
      <c r="G299" s="507" t="s">
        <v>39</v>
      </c>
      <c r="H299" s="507" t="s">
        <v>224</v>
      </c>
      <c r="I299" s="507" t="s">
        <v>265</v>
      </c>
      <c r="J299" s="507" t="s">
        <v>266</v>
      </c>
      <c r="K299" s="507">
        <v>20</v>
      </c>
      <c r="L299" s="507" t="s">
        <v>267</v>
      </c>
      <c r="M299" s="507" t="s">
        <v>68</v>
      </c>
      <c r="N299" s="507" t="s">
        <v>267</v>
      </c>
      <c r="O299" s="57" t="s">
        <v>777</v>
      </c>
      <c r="P299" s="58" t="s">
        <v>21</v>
      </c>
      <c r="Q299" s="59" t="s">
        <v>778</v>
      </c>
      <c r="R299" s="60" t="s">
        <v>71</v>
      </c>
      <c r="S299" s="61">
        <v>35682</v>
      </c>
      <c r="T299" s="62">
        <f>INDEX('BM MORRO DA CRUZ'!$P$6:$P$402,MATCH($O299,'BM MORRO DA CRUZ'!$K$6:$K$402,0))</f>
        <v>11.58</v>
      </c>
      <c r="U299" s="63">
        <f>ROUND(T299*$S299,2)</f>
        <v>413197.56</v>
      </c>
      <c r="V299" s="61">
        <f>IFERROR(SUMIFS('01ª MC'!$W$1:$W$1840,'01ª MC'!$C$1:$C$1840,$D299),0)</f>
        <v>0</v>
      </c>
      <c r="W299" s="63">
        <f>ROUND(V299*$T299,2)</f>
        <v>0</v>
      </c>
      <c r="X299" s="61">
        <v>0</v>
      </c>
      <c r="Y299" s="63">
        <f>ROUND(X299*$T299,2)</f>
        <v>0</v>
      </c>
      <c r="Z299" s="61">
        <v>0</v>
      </c>
      <c r="AA299" s="63">
        <f>ROUND(Z299*$T299,2)</f>
        <v>0</v>
      </c>
      <c r="AB299" s="61">
        <v>0</v>
      </c>
      <c r="AC299" s="63">
        <f>ROUND(AB299*$T299,2)</f>
        <v>0</v>
      </c>
      <c r="AD299" s="61">
        <v>0</v>
      </c>
      <c r="AE299" s="63">
        <f>ROUND(AD299*$T299,2)</f>
        <v>0</v>
      </c>
      <c r="AF299" s="61">
        <v>0</v>
      </c>
      <c r="AG299" s="63">
        <f>ROUND(AF299*$T299,2)</f>
        <v>0</v>
      </c>
      <c r="AH299" s="61">
        <v>0</v>
      </c>
      <c r="AI299" s="63">
        <f>ROUND(AH299*$T299,2)</f>
        <v>0</v>
      </c>
      <c r="AJ299" s="61">
        <v>0</v>
      </c>
      <c r="AK299" s="63">
        <f>ROUND(AJ299*$T299,2)</f>
        <v>0</v>
      </c>
      <c r="AL299" s="61">
        <v>0</v>
      </c>
      <c r="AM299" s="63">
        <f>ROUND(AL299*$T299,2)</f>
        <v>0</v>
      </c>
      <c r="AN299" s="61">
        <v>0</v>
      </c>
      <c r="AO299" s="63">
        <f>ROUND(AN299*$T299,2)</f>
        <v>0</v>
      </c>
      <c r="AP299" s="61">
        <v>0</v>
      </c>
      <c r="AQ299" s="63">
        <f>ROUND(AP299*$T299,2)</f>
        <v>0</v>
      </c>
      <c r="AR299" s="61">
        <v>0</v>
      </c>
      <c r="AS299" s="63">
        <f>ROUND(AR299*$T299,2)</f>
        <v>0</v>
      </c>
      <c r="AT299" s="61">
        <v>0</v>
      </c>
      <c r="AU299" s="63">
        <f>ROUND(AT299*$T299,2)</f>
        <v>0</v>
      </c>
      <c r="AV299" s="61">
        <v>0</v>
      </c>
      <c r="AW299" s="63">
        <f>ROUND(AV299*$T299,2)</f>
        <v>0</v>
      </c>
      <c r="AX299" s="61">
        <v>0</v>
      </c>
      <c r="AY299" s="63">
        <f>ROUND(AX299*$T299,2)</f>
        <v>0</v>
      </c>
      <c r="AZ299" s="61">
        <v>0</v>
      </c>
      <c r="BA299" s="63">
        <f>ROUND(AZ299*$T299,2)</f>
        <v>0</v>
      </c>
      <c r="BB299" s="61">
        <v>0</v>
      </c>
      <c r="BC299" s="63">
        <f>ROUND(BB299*$T299,2)</f>
        <v>0</v>
      </c>
      <c r="BD299" s="61">
        <v>0</v>
      </c>
      <c r="BE299" s="63">
        <f>ROUND(BD299*$T299,2)</f>
        <v>0</v>
      </c>
      <c r="BF299" s="61">
        <f>IFERROR(SUMIFS($V299:$BE299,$V$5:$BE$5,$BF$5),0)</f>
        <v>0</v>
      </c>
      <c r="BG299" s="63">
        <f>SUMIFS($V299:$BE299,$V$5:$BE$5,$W$5)</f>
        <v>0</v>
      </c>
      <c r="BH299" s="45"/>
      <c r="BI299" s="144"/>
    </row>
    <row r="300" spans="1:61" ht="26" customHeight="1" x14ac:dyDescent="0.45">
      <c r="A300" s="140">
        <v>4</v>
      </c>
      <c r="B300" s="141" t="s">
        <v>843</v>
      </c>
      <c r="C300" s="142" t="s">
        <v>1481</v>
      </c>
      <c r="D300" s="143" t="str">
        <f>B300&amp;"_"&amp;E300</f>
        <v>4.1_1.18.11</v>
      </c>
      <c r="E300" s="56" t="s">
        <v>799</v>
      </c>
      <c r="F300" s="506" t="s">
        <v>800</v>
      </c>
      <c r="G300" s="507" t="s">
        <v>39</v>
      </c>
      <c r="H300" s="507" t="s">
        <v>39</v>
      </c>
      <c r="I300" s="507" t="s">
        <v>801</v>
      </c>
      <c r="J300" s="507" t="s">
        <v>39</v>
      </c>
      <c r="K300" s="507" t="s">
        <v>802</v>
      </c>
      <c r="L300" s="507" t="s">
        <v>267</v>
      </c>
      <c r="M300" s="507" t="s">
        <v>68</v>
      </c>
      <c r="N300" s="507" t="s">
        <v>267</v>
      </c>
      <c r="O300" s="57" t="s">
        <v>804</v>
      </c>
      <c r="P300" s="58" t="s">
        <v>21</v>
      </c>
      <c r="Q300" s="59" t="s">
        <v>805</v>
      </c>
      <c r="R300" s="60" t="s">
        <v>71</v>
      </c>
      <c r="S300" s="61">
        <v>11894</v>
      </c>
      <c r="T300" s="62">
        <f>INDEX('BM MORRO DA CRUZ'!$P$6:$P$402,MATCH($O300,'BM MORRO DA CRUZ'!$K$6:$K$402,0))</f>
        <v>54.91</v>
      </c>
      <c r="U300" s="63">
        <f>ROUND(T300*$S300,2)</f>
        <v>653099.54</v>
      </c>
      <c r="V300" s="61">
        <f>IFERROR(SUMIFS('01ª MC'!$W$1:$W$1840,'01ª MC'!$C$1:$C$1840,$D300),0)</f>
        <v>0</v>
      </c>
      <c r="W300" s="63">
        <f>ROUND(V300*$T300,2)</f>
        <v>0</v>
      </c>
      <c r="X300" s="61">
        <v>0</v>
      </c>
      <c r="Y300" s="63">
        <f>ROUND(X300*$T300,2)</f>
        <v>0</v>
      </c>
      <c r="Z300" s="61">
        <v>0</v>
      </c>
      <c r="AA300" s="63">
        <f>ROUND(Z300*$T300,2)</f>
        <v>0</v>
      </c>
      <c r="AB300" s="61">
        <v>0</v>
      </c>
      <c r="AC300" s="63">
        <f>ROUND(AB300*$T300,2)</f>
        <v>0</v>
      </c>
      <c r="AD300" s="61">
        <v>0</v>
      </c>
      <c r="AE300" s="63">
        <f>ROUND(AD300*$T300,2)</f>
        <v>0</v>
      </c>
      <c r="AF300" s="61">
        <v>0</v>
      </c>
      <c r="AG300" s="63">
        <f>ROUND(AF300*$T300,2)</f>
        <v>0</v>
      </c>
      <c r="AH300" s="61">
        <v>0</v>
      </c>
      <c r="AI300" s="63">
        <f>ROUND(AH300*$T300,2)</f>
        <v>0</v>
      </c>
      <c r="AJ300" s="61">
        <v>0</v>
      </c>
      <c r="AK300" s="63">
        <f>ROUND(AJ300*$T300,2)</f>
        <v>0</v>
      </c>
      <c r="AL300" s="61">
        <v>0</v>
      </c>
      <c r="AM300" s="63">
        <f>ROUND(AL300*$T300,2)</f>
        <v>0</v>
      </c>
      <c r="AN300" s="61">
        <v>0</v>
      </c>
      <c r="AO300" s="63">
        <f>ROUND(AN300*$T300,2)</f>
        <v>0</v>
      </c>
      <c r="AP300" s="61">
        <v>0</v>
      </c>
      <c r="AQ300" s="63">
        <f>ROUND(AP300*$T300,2)</f>
        <v>0</v>
      </c>
      <c r="AR300" s="61">
        <v>0</v>
      </c>
      <c r="AS300" s="63">
        <f>ROUND(AR300*$T300,2)</f>
        <v>0</v>
      </c>
      <c r="AT300" s="61">
        <v>0</v>
      </c>
      <c r="AU300" s="63">
        <f>ROUND(AT300*$T300,2)</f>
        <v>0</v>
      </c>
      <c r="AV300" s="61">
        <v>0</v>
      </c>
      <c r="AW300" s="63">
        <f>ROUND(AV300*$T300,2)</f>
        <v>0</v>
      </c>
      <c r="AX300" s="61">
        <v>0</v>
      </c>
      <c r="AY300" s="63">
        <f>ROUND(AX300*$T300,2)</f>
        <v>0</v>
      </c>
      <c r="AZ300" s="61">
        <v>0</v>
      </c>
      <c r="BA300" s="63">
        <f>ROUND(AZ300*$T300,2)</f>
        <v>0</v>
      </c>
      <c r="BB300" s="61">
        <v>0</v>
      </c>
      <c r="BC300" s="63">
        <f>ROUND(BB300*$T300,2)</f>
        <v>0</v>
      </c>
      <c r="BD300" s="61">
        <v>0</v>
      </c>
      <c r="BE300" s="63">
        <f>ROUND(BD300*$T300,2)</f>
        <v>0</v>
      </c>
      <c r="BF300" s="61">
        <f>IFERROR(SUMIFS($V300:$BE300,$V$5:$BE$5,$BF$5),0)</f>
        <v>0</v>
      </c>
      <c r="BG300" s="63">
        <f>SUMIFS($V300:$BE300,$V$5:$BE$5,$W$5)</f>
        <v>0</v>
      </c>
      <c r="BH300" s="45"/>
      <c r="BI300" s="144"/>
    </row>
    <row r="301" spans="1:61" ht="26.25" customHeight="1" x14ac:dyDescent="0.45">
      <c r="A301" s="140">
        <v>4</v>
      </c>
      <c r="B301" s="141" t="s">
        <v>843</v>
      </c>
      <c r="C301" s="142" t="s">
        <v>1481</v>
      </c>
      <c r="D301" s="143" t="str">
        <f>B301&amp;"_"&amp;E301</f>
        <v>4.1_1.18.13</v>
      </c>
      <c r="E301" s="56" t="s">
        <v>813</v>
      </c>
      <c r="F301" s="506" t="s">
        <v>540</v>
      </c>
      <c r="G301" s="507" t="s">
        <v>39</v>
      </c>
      <c r="H301" s="507" t="s">
        <v>814</v>
      </c>
      <c r="I301" s="507" t="s">
        <v>540</v>
      </c>
      <c r="J301" s="507" t="s">
        <v>273</v>
      </c>
      <c r="K301" s="507">
        <v>20</v>
      </c>
      <c r="L301" s="507" t="s">
        <v>267</v>
      </c>
      <c r="M301" s="507" t="s">
        <v>68</v>
      </c>
      <c r="N301" s="507" t="s">
        <v>541</v>
      </c>
      <c r="O301" s="57" t="s">
        <v>815</v>
      </c>
      <c r="P301" s="58" t="s">
        <v>21</v>
      </c>
      <c r="Q301" s="59" t="s">
        <v>816</v>
      </c>
      <c r="R301" s="60" t="s">
        <v>367</v>
      </c>
      <c r="S301" s="61">
        <v>35682</v>
      </c>
      <c r="T301" s="62">
        <f>INDEX('BM MORRO DA CRUZ'!$P$6:$P$402,MATCH($O301,'BM MORRO DA CRUZ'!$K$6:$K$402,0))</f>
        <v>5.1100000000000003</v>
      </c>
      <c r="U301" s="63">
        <f>ROUND(T301*$S301,2)</f>
        <v>182335.02</v>
      </c>
      <c r="V301" s="61">
        <f>IFERROR(SUMIFS('01ª MC'!$W$1:$W$1840,'01ª MC'!$C$1:$C$1840,$D301),0)</f>
        <v>0</v>
      </c>
      <c r="W301" s="63">
        <f>ROUND(V301*$T301,2)</f>
        <v>0</v>
      </c>
      <c r="X301" s="61">
        <v>0</v>
      </c>
      <c r="Y301" s="63">
        <f>ROUND(X301*$T301,2)</f>
        <v>0</v>
      </c>
      <c r="Z301" s="61">
        <v>0</v>
      </c>
      <c r="AA301" s="63">
        <f>ROUND(Z301*$T301,2)</f>
        <v>0</v>
      </c>
      <c r="AB301" s="61">
        <v>0</v>
      </c>
      <c r="AC301" s="63">
        <f>ROUND(AB301*$T301,2)</f>
        <v>0</v>
      </c>
      <c r="AD301" s="61">
        <v>0</v>
      </c>
      <c r="AE301" s="63">
        <f>ROUND(AD301*$T301,2)</f>
        <v>0</v>
      </c>
      <c r="AF301" s="61">
        <v>0</v>
      </c>
      <c r="AG301" s="63">
        <f>ROUND(AF301*$T301,2)</f>
        <v>0</v>
      </c>
      <c r="AH301" s="61">
        <v>0</v>
      </c>
      <c r="AI301" s="63">
        <f>ROUND(AH301*$T301,2)</f>
        <v>0</v>
      </c>
      <c r="AJ301" s="61">
        <v>0</v>
      </c>
      <c r="AK301" s="63">
        <f>ROUND(AJ301*$T301,2)</f>
        <v>0</v>
      </c>
      <c r="AL301" s="61">
        <v>0</v>
      </c>
      <c r="AM301" s="63">
        <f>ROUND(AL301*$T301,2)</f>
        <v>0</v>
      </c>
      <c r="AN301" s="61">
        <v>0</v>
      </c>
      <c r="AO301" s="63">
        <f>ROUND(AN301*$T301,2)</f>
        <v>0</v>
      </c>
      <c r="AP301" s="61">
        <v>0</v>
      </c>
      <c r="AQ301" s="63">
        <f>ROUND(AP301*$T301,2)</f>
        <v>0</v>
      </c>
      <c r="AR301" s="61">
        <v>0</v>
      </c>
      <c r="AS301" s="63">
        <f>ROUND(AR301*$T301,2)</f>
        <v>0</v>
      </c>
      <c r="AT301" s="61">
        <v>0</v>
      </c>
      <c r="AU301" s="63">
        <f>ROUND(AT301*$T301,2)</f>
        <v>0</v>
      </c>
      <c r="AV301" s="61">
        <v>0</v>
      </c>
      <c r="AW301" s="63">
        <f>ROUND(AV301*$T301,2)</f>
        <v>0</v>
      </c>
      <c r="AX301" s="61">
        <v>0</v>
      </c>
      <c r="AY301" s="63">
        <f>ROUND(AX301*$T301,2)</f>
        <v>0</v>
      </c>
      <c r="AZ301" s="61">
        <v>0</v>
      </c>
      <c r="BA301" s="63">
        <f>ROUND(AZ301*$T301,2)</f>
        <v>0</v>
      </c>
      <c r="BB301" s="61">
        <v>0</v>
      </c>
      <c r="BC301" s="63">
        <f>ROUND(BB301*$T301,2)</f>
        <v>0</v>
      </c>
      <c r="BD301" s="61">
        <v>0</v>
      </c>
      <c r="BE301" s="63">
        <f>ROUND(BD301*$T301,2)</f>
        <v>0</v>
      </c>
      <c r="BF301" s="61">
        <f>IFERROR(SUMIFS($V301:$BE301,$V$5:$BE$5,$BF$5),0)</f>
        <v>0</v>
      </c>
      <c r="BG301" s="63">
        <f>SUMIFS($V301:$BE301,$V$5:$BE$5,$W$5)</f>
        <v>0</v>
      </c>
      <c r="BH301" s="45"/>
      <c r="BI301" s="144"/>
    </row>
    <row r="302" spans="1:61" ht="26" customHeight="1" x14ac:dyDescent="0.45">
      <c r="A302" s="140">
        <v>4</v>
      </c>
      <c r="B302" s="141" t="s">
        <v>843</v>
      </c>
      <c r="C302" s="142" t="s">
        <v>1481</v>
      </c>
      <c r="D302" s="143" t="str">
        <f>B302&amp;"_"&amp;E302</f>
        <v>4.1_1.18.14</v>
      </c>
      <c r="E302" s="56" t="s">
        <v>817</v>
      </c>
      <c r="F302" s="506" t="s">
        <v>818</v>
      </c>
      <c r="G302" s="507" t="s">
        <v>39</v>
      </c>
      <c r="H302" s="507" t="s">
        <v>39</v>
      </c>
      <c r="I302" s="507" t="s">
        <v>819</v>
      </c>
      <c r="J302" s="507" t="s">
        <v>39</v>
      </c>
      <c r="K302" s="507">
        <v>20</v>
      </c>
      <c r="L302" s="507" t="s">
        <v>267</v>
      </c>
      <c r="M302" s="507" t="s">
        <v>68</v>
      </c>
      <c r="N302" s="507" t="s">
        <v>267</v>
      </c>
      <c r="O302" s="57" t="s">
        <v>820</v>
      </c>
      <c r="P302" s="58" t="s">
        <v>21</v>
      </c>
      <c r="Q302" s="59" t="s">
        <v>821</v>
      </c>
      <c r="R302" s="60" t="s">
        <v>71</v>
      </c>
      <c r="S302" s="61">
        <v>11894</v>
      </c>
      <c r="T302" s="62">
        <f>INDEX('BM MORRO DA CRUZ'!$P$6:$P$402,MATCH($O302,'BM MORRO DA CRUZ'!$K$6:$K$402,0))</f>
        <v>5.0999999999999996</v>
      </c>
      <c r="U302" s="63">
        <f>ROUND(T302*$S302,2)</f>
        <v>60659.4</v>
      </c>
      <c r="V302" s="61">
        <f>IFERROR(SUMIFS('01ª MC'!$W$1:$W$1840,'01ª MC'!$C$1:$C$1840,$D302),0)</f>
        <v>0</v>
      </c>
      <c r="W302" s="63">
        <f>ROUND(V302*$T302,2)</f>
        <v>0</v>
      </c>
      <c r="X302" s="61">
        <v>0</v>
      </c>
      <c r="Y302" s="63">
        <f>ROUND(X302*$T302,2)</f>
        <v>0</v>
      </c>
      <c r="Z302" s="61">
        <v>0</v>
      </c>
      <c r="AA302" s="63">
        <f>ROUND(Z302*$T302,2)</f>
        <v>0</v>
      </c>
      <c r="AB302" s="61">
        <v>0</v>
      </c>
      <c r="AC302" s="63">
        <f>ROUND(AB302*$T302,2)</f>
        <v>0</v>
      </c>
      <c r="AD302" s="61">
        <v>0</v>
      </c>
      <c r="AE302" s="63">
        <f>ROUND(AD302*$T302,2)</f>
        <v>0</v>
      </c>
      <c r="AF302" s="61">
        <v>0</v>
      </c>
      <c r="AG302" s="63">
        <f>ROUND(AF302*$T302,2)</f>
        <v>0</v>
      </c>
      <c r="AH302" s="61">
        <v>0</v>
      </c>
      <c r="AI302" s="63">
        <f>ROUND(AH302*$T302,2)</f>
        <v>0</v>
      </c>
      <c r="AJ302" s="61">
        <v>0</v>
      </c>
      <c r="AK302" s="63">
        <f>ROUND(AJ302*$T302,2)</f>
        <v>0</v>
      </c>
      <c r="AL302" s="61">
        <v>0</v>
      </c>
      <c r="AM302" s="63">
        <f>ROUND(AL302*$T302,2)</f>
        <v>0</v>
      </c>
      <c r="AN302" s="61">
        <v>0</v>
      </c>
      <c r="AO302" s="63">
        <f>ROUND(AN302*$T302,2)</f>
        <v>0</v>
      </c>
      <c r="AP302" s="61">
        <v>0</v>
      </c>
      <c r="AQ302" s="63">
        <f>ROUND(AP302*$T302,2)</f>
        <v>0</v>
      </c>
      <c r="AR302" s="61">
        <v>0</v>
      </c>
      <c r="AS302" s="63">
        <f>ROUND(AR302*$T302,2)</f>
        <v>0</v>
      </c>
      <c r="AT302" s="61">
        <v>0</v>
      </c>
      <c r="AU302" s="63">
        <f>ROUND(AT302*$T302,2)</f>
        <v>0</v>
      </c>
      <c r="AV302" s="61">
        <v>0</v>
      </c>
      <c r="AW302" s="63">
        <f>ROUND(AV302*$T302,2)</f>
        <v>0</v>
      </c>
      <c r="AX302" s="61">
        <v>0</v>
      </c>
      <c r="AY302" s="63">
        <f>ROUND(AX302*$T302,2)</f>
        <v>0</v>
      </c>
      <c r="AZ302" s="61">
        <v>0</v>
      </c>
      <c r="BA302" s="63">
        <f>ROUND(AZ302*$T302,2)</f>
        <v>0</v>
      </c>
      <c r="BB302" s="61">
        <v>0</v>
      </c>
      <c r="BC302" s="63">
        <f>ROUND(BB302*$T302,2)</f>
        <v>0</v>
      </c>
      <c r="BD302" s="61">
        <v>0</v>
      </c>
      <c r="BE302" s="63">
        <f>ROUND(BD302*$T302,2)</f>
        <v>0</v>
      </c>
      <c r="BF302" s="61">
        <f>IFERROR(SUMIFS($V302:$BE302,$V$5:$BE$5,$BF$5),0)</f>
        <v>0</v>
      </c>
      <c r="BG302" s="63">
        <f>SUMIFS($V302:$BE302,$V$5:$BE$5,$W$5)</f>
        <v>0</v>
      </c>
      <c r="BH302" s="45"/>
      <c r="BI302" s="144"/>
    </row>
    <row r="303" spans="1:61" ht="19.5" customHeight="1" x14ac:dyDescent="0.45">
      <c r="A303" s="117">
        <v>4</v>
      </c>
      <c r="B303" s="118"/>
      <c r="C303" s="119"/>
      <c r="D303" s="120"/>
      <c r="E303" s="35" t="s">
        <v>1465</v>
      </c>
      <c r="F303" s="513"/>
      <c r="G303" s="514"/>
      <c r="H303" s="514"/>
      <c r="I303" s="514"/>
      <c r="J303" s="514"/>
      <c r="K303" s="514"/>
      <c r="L303" s="514"/>
      <c r="M303" s="514"/>
      <c r="N303" s="514"/>
      <c r="O303" s="121" t="s">
        <v>848</v>
      </c>
      <c r="P303" s="122"/>
      <c r="Q303" s="123" t="s">
        <v>849</v>
      </c>
      <c r="R303" s="124"/>
      <c r="S303" s="125"/>
      <c r="T303" s="126"/>
      <c r="U303" s="127">
        <f>SUM(U304,U306,U313,U318,U322,U324)</f>
        <v>2060782.8599999999</v>
      </c>
      <c r="V303" s="125"/>
      <c r="W303" s="127">
        <f>SUM(W304,W306,W313,W318,W322,W324)</f>
        <v>0</v>
      </c>
      <c r="X303" s="125"/>
      <c r="Y303" s="127">
        <f>SUM(Y304,Y306,Y313,Y318,Y322,Y324)</f>
        <v>0</v>
      </c>
      <c r="Z303" s="125"/>
      <c r="AA303" s="127">
        <f>SUM(AA304,AA306,AA313,AA318,AA322,AA324)</f>
        <v>0</v>
      </c>
      <c r="AB303" s="125"/>
      <c r="AC303" s="127">
        <f>SUM(AC304,AC306,AC313,AC318,AC322,AC324)</f>
        <v>0</v>
      </c>
      <c r="AD303" s="125"/>
      <c r="AE303" s="127">
        <f>SUM(AE304,AE306,AE313,AE318,AE322,AE324)</f>
        <v>0</v>
      </c>
      <c r="AF303" s="125"/>
      <c r="AG303" s="127">
        <f>SUM(AG304,AG306,AG313,AG318,AG322,AG324)</f>
        <v>0</v>
      </c>
      <c r="AH303" s="125"/>
      <c r="AI303" s="127">
        <f>SUM(AI304,AI306,AI313,AI318,AI322,AI324)</f>
        <v>0</v>
      </c>
      <c r="AJ303" s="125"/>
      <c r="AK303" s="127">
        <f>SUM(AK304,AK306,AK313,AK318,AK322,AK324)</f>
        <v>0</v>
      </c>
      <c r="AL303" s="125"/>
      <c r="AM303" s="127">
        <f>SUM(AM304,AM306,AM313,AM318,AM322,AM324)</f>
        <v>0</v>
      </c>
      <c r="AN303" s="125"/>
      <c r="AO303" s="127">
        <f>SUM(AO304,AO306,AO313,AO318,AO322,AO324)</f>
        <v>0</v>
      </c>
      <c r="AP303" s="125"/>
      <c r="AQ303" s="127">
        <f>SUM(AQ304,AQ306,AQ313,AQ318,AQ322,AQ324)</f>
        <v>0</v>
      </c>
      <c r="AR303" s="125"/>
      <c r="AS303" s="127">
        <f>SUM(AS304,AS306,AS313,AS318,AS322,AS324)</f>
        <v>0</v>
      </c>
      <c r="AT303" s="125"/>
      <c r="AU303" s="127">
        <f>SUM(AU304,AU306,AU313,AU318,AU322,AU324)</f>
        <v>0</v>
      </c>
      <c r="AV303" s="125"/>
      <c r="AW303" s="127">
        <f>SUM(AW304,AW306,AW313,AW318,AW322,AW324)</f>
        <v>0</v>
      </c>
      <c r="AX303" s="125"/>
      <c r="AY303" s="127">
        <f>SUM(AY304,AY306,AY313,AY318,AY322,AY324)</f>
        <v>0</v>
      </c>
      <c r="AZ303" s="125"/>
      <c r="BA303" s="127">
        <f>SUM(BA304,BA306,BA313,BA318,BA322,BA324)</f>
        <v>0</v>
      </c>
      <c r="BB303" s="125"/>
      <c r="BC303" s="127">
        <f>SUM(BC304,BC306,BC313,BC318,BC322,BC324)</f>
        <v>0</v>
      </c>
      <c r="BD303" s="125"/>
      <c r="BE303" s="127">
        <f>SUM(BE304,BE306,BE313,BE318,BE322,BE324)</f>
        <v>0</v>
      </c>
      <c r="BF303" s="125"/>
      <c r="BG303" s="127">
        <f>SUM(BG304,BG306,BG313,BG318,BG322,BG324)</f>
        <v>0</v>
      </c>
      <c r="BH303" s="45"/>
    </row>
    <row r="304" spans="1:61" ht="19.5" customHeight="1" x14ac:dyDescent="0.45">
      <c r="A304" s="128">
        <v>4</v>
      </c>
      <c r="B304" s="129"/>
      <c r="C304" s="130"/>
      <c r="D304" s="131"/>
      <c r="E304" s="132" t="s">
        <v>881</v>
      </c>
      <c r="F304" s="515"/>
      <c r="G304" s="516"/>
      <c r="H304" s="516"/>
      <c r="I304" s="516"/>
      <c r="J304" s="516"/>
      <c r="K304" s="516"/>
      <c r="L304" s="516"/>
      <c r="M304" s="516"/>
      <c r="N304" s="516"/>
      <c r="O304" s="133" t="s">
        <v>882</v>
      </c>
      <c r="P304" s="134"/>
      <c r="Q304" s="135" t="s">
        <v>883</v>
      </c>
      <c r="R304" s="136"/>
      <c r="S304" s="137"/>
      <c r="T304" s="138"/>
      <c r="U304" s="139">
        <f>SUM(U305:U305)</f>
        <v>3814.51</v>
      </c>
      <c r="V304" s="137"/>
      <c r="W304" s="139">
        <f>SUM(W305:W305)</f>
        <v>0</v>
      </c>
      <c r="X304" s="137"/>
      <c r="Y304" s="139">
        <f>SUM(Y305:Y305)</f>
        <v>0</v>
      </c>
      <c r="Z304" s="137"/>
      <c r="AA304" s="139">
        <f>SUM(AA305:AA305)</f>
        <v>0</v>
      </c>
      <c r="AB304" s="137"/>
      <c r="AC304" s="139">
        <f>SUM(AC305:AC305)</f>
        <v>0</v>
      </c>
      <c r="AD304" s="137"/>
      <c r="AE304" s="139">
        <f>SUM(AE305:AE305)</f>
        <v>0</v>
      </c>
      <c r="AF304" s="137"/>
      <c r="AG304" s="139">
        <f>SUM(AG305:AG305)</f>
        <v>0</v>
      </c>
      <c r="AH304" s="137"/>
      <c r="AI304" s="139">
        <f>SUM(AI305:AI305)</f>
        <v>0</v>
      </c>
      <c r="AJ304" s="137"/>
      <c r="AK304" s="139">
        <f>SUM(AK305:AK305)</f>
        <v>0</v>
      </c>
      <c r="AL304" s="137"/>
      <c r="AM304" s="139">
        <f>SUM(AM305:AM305)</f>
        <v>0</v>
      </c>
      <c r="AN304" s="137"/>
      <c r="AO304" s="139">
        <f>SUM(AO305:AO305)</f>
        <v>0</v>
      </c>
      <c r="AP304" s="137"/>
      <c r="AQ304" s="139">
        <f>SUM(AQ305:AQ305)</f>
        <v>0</v>
      </c>
      <c r="AR304" s="137"/>
      <c r="AS304" s="139">
        <f>SUM(AS305:AS305)</f>
        <v>0</v>
      </c>
      <c r="AT304" s="137"/>
      <c r="AU304" s="139">
        <f>SUM(AU305:AU305)</f>
        <v>0</v>
      </c>
      <c r="AV304" s="137"/>
      <c r="AW304" s="139">
        <f>SUM(AW305:AW305)</f>
        <v>0</v>
      </c>
      <c r="AX304" s="137"/>
      <c r="AY304" s="139">
        <f>SUM(AY305:AY305)</f>
        <v>0</v>
      </c>
      <c r="AZ304" s="137"/>
      <c r="BA304" s="139">
        <f>SUM(BA305:BA305)</f>
        <v>0</v>
      </c>
      <c r="BB304" s="137"/>
      <c r="BC304" s="139">
        <f>SUM(BC305:BC305)</f>
        <v>0</v>
      </c>
      <c r="BD304" s="137"/>
      <c r="BE304" s="139">
        <f>SUM(BE305:BE305)</f>
        <v>0</v>
      </c>
      <c r="BF304" s="137"/>
      <c r="BG304" s="139">
        <f>SUM(BG305:BG305)</f>
        <v>0</v>
      </c>
      <c r="BH304" s="45"/>
    </row>
    <row r="305" spans="1:61" ht="26" customHeight="1" x14ac:dyDescent="0.45">
      <c r="A305" s="140">
        <v>4</v>
      </c>
      <c r="B305" s="141" t="s">
        <v>1482</v>
      </c>
      <c r="C305" s="142" t="s">
        <v>1483</v>
      </c>
      <c r="D305" s="143" t="str">
        <f>B305&amp;"_"&amp;E305</f>
        <v>4.2_5.3.1</v>
      </c>
      <c r="E305" s="56" t="s">
        <v>884</v>
      </c>
      <c r="F305" s="506" t="s">
        <v>1737</v>
      </c>
      <c r="G305" s="507" t="s">
        <v>39</v>
      </c>
      <c r="H305" s="507" t="s">
        <v>39</v>
      </c>
      <c r="I305" s="507" t="s">
        <v>1738</v>
      </c>
      <c r="J305" s="507" t="s">
        <v>39</v>
      </c>
      <c r="K305" s="507" t="s">
        <v>39</v>
      </c>
      <c r="L305" s="507" t="s">
        <v>78</v>
      </c>
      <c r="M305" s="507" t="s">
        <v>68</v>
      </c>
      <c r="N305" s="507" t="s">
        <v>1738</v>
      </c>
      <c r="O305" s="57" t="s">
        <v>885</v>
      </c>
      <c r="P305" s="58" t="s">
        <v>846</v>
      </c>
      <c r="Q305" s="59" t="s">
        <v>886</v>
      </c>
      <c r="R305" s="60" t="s">
        <v>755</v>
      </c>
      <c r="S305" s="61">
        <v>17.14</v>
      </c>
      <c r="T305" s="62">
        <f>INDEX('BM MORRO DA CRUZ'!$P$6:$P$402,MATCH($O305,'BM MORRO DA CRUZ'!$K$6:$K$402,0))</f>
        <v>222.55</v>
      </c>
      <c r="U305" s="63">
        <f>ROUND(T305*$S305,2)</f>
        <v>3814.51</v>
      </c>
      <c r="V305" s="61">
        <f>IFERROR(SUMIFS('01ª MC'!$W$1:$W$1840,'01ª MC'!$C$1:$C$1840,$D305),0)</f>
        <v>0</v>
      </c>
      <c r="W305" s="63">
        <f>ROUND(V305*$T305,2)</f>
        <v>0</v>
      </c>
      <c r="X305" s="61">
        <v>0</v>
      </c>
      <c r="Y305" s="63">
        <f>ROUND(X305*$T305,2)</f>
        <v>0</v>
      </c>
      <c r="Z305" s="61">
        <v>0</v>
      </c>
      <c r="AA305" s="63">
        <f>ROUND(Z305*$T305,2)</f>
        <v>0</v>
      </c>
      <c r="AB305" s="61">
        <v>0</v>
      </c>
      <c r="AC305" s="63">
        <f>ROUND(AB305*$T305,2)</f>
        <v>0</v>
      </c>
      <c r="AD305" s="61">
        <v>0</v>
      </c>
      <c r="AE305" s="63">
        <f>ROUND(AD305*$T305,2)</f>
        <v>0</v>
      </c>
      <c r="AF305" s="61">
        <v>0</v>
      </c>
      <c r="AG305" s="63">
        <f>ROUND(AF305*$T305,2)</f>
        <v>0</v>
      </c>
      <c r="AH305" s="61">
        <v>0</v>
      </c>
      <c r="AI305" s="63">
        <f>ROUND(AH305*$T305,2)</f>
        <v>0</v>
      </c>
      <c r="AJ305" s="61">
        <v>0</v>
      </c>
      <c r="AK305" s="63">
        <f>ROUND(AJ305*$T305,2)</f>
        <v>0</v>
      </c>
      <c r="AL305" s="61">
        <v>0</v>
      </c>
      <c r="AM305" s="63">
        <f>ROUND(AL305*$T305,2)</f>
        <v>0</v>
      </c>
      <c r="AN305" s="61">
        <v>0</v>
      </c>
      <c r="AO305" s="63">
        <f>ROUND(AN305*$T305,2)</f>
        <v>0</v>
      </c>
      <c r="AP305" s="61">
        <v>0</v>
      </c>
      <c r="AQ305" s="63">
        <f>ROUND(AP305*$T305,2)</f>
        <v>0</v>
      </c>
      <c r="AR305" s="61">
        <v>0</v>
      </c>
      <c r="AS305" s="63">
        <f>ROUND(AR305*$T305,2)</f>
        <v>0</v>
      </c>
      <c r="AT305" s="61">
        <v>0</v>
      </c>
      <c r="AU305" s="63">
        <f>ROUND(AT305*$T305,2)</f>
        <v>0</v>
      </c>
      <c r="AV305" s="61">
        <v>0</v>
      </c>
      <c r="AW305" s="63">
        <f>ROUND(AV305*$T305,2)</f>
        <v>0</v>
      </c>
      <c r="AX305" s="61">
        <v>0</v>
      </c>
      <c r="AY305" s="63">
        <f>ROUND(AX305*$T305,2)</f>
        <v>0</v>
      </c>
      <c r="AZ305" s="61">
        <v>0</v>
      </c>
      <c r="BA305" s="63">
        <f>ROUND(AZ305*$T305,2)</f>
        <v>0</v>
      </c>
      <c r="BB305" s="61">
        <v>0</v>
      </c>
      <c r="BC305" s="63">
        <f>ROUND(BB305*$T305,2)</f>
        <v>0</v>
      </c>
      <c r="BD305" s="61">
        <v>0</v>
      </c>
      <c r="BE305" s="63">
        <f>ROUND(BD305*$T305,2)</f>
        <v>0</v>
      </c>
      <c r="BF305" s="61">
        <f>IFERROR(SUMIFS($V305:$BE305,$V$5:$BE$5,$BF$5),0)</f>
        <v>0</v>
      </c>
      <c r="BG305" s="63">
        <f>SUMIFS($V305:$BE305,$V$5:$BE$5,$W$5)</f>
        <v>0</v>
      </c>
      <c r="BH305" s="45"/>
      <c r="BI305" s="144"/>
    </row>
    <row r="306" spans="1:61" ht="19.5" customHeight="1" x14ac:dyDescent="0.45">
      <c r="A306" s="128">
        <v>4</v>
      </c>
      <c r="B306" s="129"/>
      <c r="C306" s="130"/>
      <c r="D306" s="131"/>
      <c r="E306" s="132" t="s">
        <v>890</v>
      </c>
      <c r="F306" s="515"/>
      <c r="G306" s="516"/>
      <c r="H306" s="516"/>
      <c r="I306" s="516"/>
      <c r="J306" s="516"/>
      <c r="K306" s="516"/>
      <c r="L306" s="516"/>
      <c r="M306" s="516"/>
      <c r="N306" s="516"/>
      <c r="O306" s="133" t="s">
        <v>891</v>
      </c>
      <c r="P306" s="134"/>
      <c r="Q306" s="135" t="s">
        <v>892</v>
      </c>
      <c r="R306" s="136"/>
      <c r="S306" s="137"/>
      <c r="T306" s="138"/>
      <c r="U306" s="139">
        <f>SUM(U307:U312)</f>
        <v>172913.80000000002</v>
      </c>
      <c r="V306" s="137"/>
      <c r="W306" s="139">
        <f>SUM(W307:W312)</f>
        <v>0</v>
      </c>
      <c r="X306" s="137"/>
      <c r="Y306" s="139">
        <f>SUM(Y307:Y312)</f>
        <v>0</v>
      </c>
      <c r="Z306" s="137"/>
      <c r="AA306" s="139">
        <f>SUM(AA307:AA312)</f>
        <v>0</v>
      </c>
      <c r="AB306" s="137"/>
      <c r="AC306" s="139">
        <f>SUM(AC307:AC312)</f>
        <v>0</v>
      </c>
      <c r="AD306" s="137"/>
      <c r="AE306" s="139">
        <f>SUM(AE307:AE312)</f>
        <v>0</v>
      </c>
      <c r="AF306" s="137"/>
      <c r="AG306" s="139">
        <f>SUM(AG307:AG312)</f>
        <v>0</v>
      </c>
      <c r="AH306" s="137"/>
      <c r="AI306" s="139">
        <f>SUM(AI307:AI312)</f>
        <v>0</v>
      </c>
      <c r="AJ306" s="137"/>
      <c r="AK306" s="139">
        <f>SUM(AK307:AK312)</f>
        <v>0</v>
      </c>
      <c r="AL306" s="137"/>
      <c r="AM306" s="139">
        <f>SUM(AM307:AM312)</f>
        <v>0</v>
      </c>
      <c r="AN306" s="137"/>
      <c r="AO306" s="139">
        <f>SUM(AO307:AO312)</f>
        <v>0</v>
      </c>
      <c r="AP306" s="137"/>
      <c r="AQ306" s="139">
        <f>SUM(AQ307:AQ312)</f>
        <v>0</v>
      </c>
      <c r="AR306" s="137"/>
      <c r="AS306" s="139">
        <f>SUM(AS307:AS312)</f>
        <v>0</v>
      </c>
      <c r="AT306" s="137"/>
      <c r="AU306" s="139">
        <f>SUM(AU307:AU312)</f>
        <v>0</v>
      </c>
      <c r="AV306" s="137"/>
      <c r="AW306" s="139">
        <f>SUM(AW307:AW312)</f>
        <v>0</v>
      </c>
      <c r="AX306" s="137"/>
      <c r="AY306" s="139">
        <f>SUM(AY307:AY312)</f>
        <v>0</v>
      </c>
      <c r="AZ306" s="137"/>
      <c r="BA306" s="139">
        <f>SUM(BA307:BA312)</f>
        <v>0</v>
      </c>
      <c r="BB306" s="137"/>
      <c r="BC306" s="139">
        <f>SUM(BC307:BC312)</f>
        <v>0</v>
      </c>
      <c r="BD306" s="137"/>
      <c r="BE306" s="139">
        <f>SUM(BE307:BE312)</f>
        <v>0</v>
      </c>
      <c r="BF306" s="137"/>
      <c r="BG306" s="139">
        <f>SUM(BG307:BG312)</f>
        <v>0</v>
      </c>
      <c r="BH306" s="45"/>
    </row>
    <row r="307" spans="1:61" ht="26" customHeight="1" x14ac:dyDescent="0.45">
      <c r="A307" s="140">
        <v>4</v>
      </c>
      <c r="B307" s="141" t="s">
        <v>1482</v>
      </c>
      <c r="C307" s="142" t="s">
        <v>1483</v>
      </c>
      <c r="D307" s="143" t="str">
        <f t="shared" ref="D307:D312" si="176">B307&amp;"_"&amp;E307</f>
        <v>4.2_5.4.3</v>
      </c>
      <c r="E307" s="56" t="s">
        <v>899</v>
      </c>
      <c r="F307" s="506" t="s">
        <v>1747</v>
      </c>
      <c r="G307" s="507" t="s">
        <v>39</v>
      </c>
      <c r="H307" s="507" t="s">
        <v>39</v>
      </c>
      <c r="I307" s="507" t="s">
        <v>1748</v>
      </c>
      <c r="J307" s="507" t="s">
        <v>39</v>
      </c>
      <c r="K307" s="507" t="s">
        <v>39</v>
      </c>
      <c r="L307" s="507" t="s">
        <v>1749</v>
      </c>
      <c r="M307" s="507" t="s">
        <v>68</v>
      </c>
      <c r="N307" s="507" t="s">
        <v>1750</v>
      </c>
      <c r="O307" s="57" t="s">
        <v>900</v>
      </c>
      <c r="P307" s="58" t="s">
        <v>846</v>
      </c>
      <c r="Q307" s="59" t="s">
        <v>901</v>
      </c>
      <c r="R307" s="60" t="s">
        <v>54</v>
      </c>
      <c r="S307" s="61">
        <v>65.12</v>
      </c>
      <c r="T307" s="62">
        <f>INDEX('BM MORRO DA CRUZ'!$P$6:$P$402,MATCH($O307,'BM MORRO DA CRUZ'!$K$6:$K$402,0))</f>
        <v>7.46</v>
      </c>
      <c r="U307" s="63">
        <f t="shared" ref="U307:U312" si="177">ROUND(T307*$S307,2)</f>
        <v>485.8</v>
      </c>
      <c r="V307" s="61">
        <f>IFERROR(SUMIFS('01ª MC'!$W$1:$W$1840,'01ª MC'!$C$1:$C$1840,$D307),0)</f>
        <v>0</v>
      </c>
      <c r="W307" s="63">
        <f t="shared" ref="W307:W312" si="178">ROUND(V307*$T307,2)</f>
        <v>0</v>
      </c>
      <c r="X307" s="61">
        <v>0</v>
      </c>
      <c r="Y307" s="63">
        <f t="shared" ref="Y307:Y312" si="179">ROUND(X307*$T307,2)</f>
        <v>0</v>
      </c>
      <c r="Z307" s="61">
        <v>0</v>
      </c>
      <c r="AA307" s="63">
        <f t="shared" ref="AA307:AA312" si="180">ROUND(Z307*$T307,2)</f>
        <v>0</v>
      </c>
      <c r="AB307" s="61">
        <v>0</v>
      </c>
      <c r="AC307" s="63">
        <f t="shared" ref="AC307:AC312" si="181">ROUND(AB307*$T307,2)</f>
        <v>0</v>
      </c>
      <c r="AD307" s="61">
        <v>0</v>
      </c>
      <c r="AE307" s="63">
        <f t="shared" ref="AE307:AE312" si="182">ROUND(AD307*$T307,2)</f>
        <v>0</v>
      </c>
      <c r="AF307" s="61">
        <v>0</v>
      </c>
      <c r="AG307" s="63">
        <f t="shared" ref="AG307:AG312" si="183">ROUND(AF307*$T307,2)</f>
        <v>0</v>
      </c>
      <c r="AH307" s="61">
        <v>0</v>
      </c>
      <c r="AI307" s="63">
        <f t="shared" ref="AI307:AI312" si="184">ROUND(AH307*$T307,2)</f>
        <v>0</v>
      </c>
      <c r="AJ307" s="61">
        <v>0</v>
      </c>
      <c r="AK307" s="63">
        <f t="shared" ref="AK307:AK312" si="185">ROUND(AJ307*$T307,2)</f>
        <v>0</v>
      </c>
      <c r="AL307" s="61">
        <v>0</v>
      </c>
      <c r="AM307" s="63">
        <f t="shared" ref="AM307:AM312" si="186">ROUND(AL307*$T307,2)</f>
        <v>0</v>
      </c>
      <c r="AN307" s="61">
        <v>0</v>
      </c>
      <c r="AO307" s="63">
        <f t="shared" ref="AO307:AO312" si="187">ROUND(AN307*$T307,2)</f>
        <v>0</v>
      </c>
      <c r="AP307" s="61">
        <v>0</v>
      </c>
      <c r="AQ307" s="63">
        <f t="shared" ref="AQ307:AQ312" si="188">ROUND(AP307*$T307,2)</f>
        <v>0</v>
      </c>
      <c r="AR307" s="61">
        <v>0</v>
      </c>
      <c r="AS307" s="63">
        <f t="shared" ref="AS307:AS312" si="189">ROUND(AR307*$T307,2)</f>
        <v>0</v>
      </c>
      <c r="AT307" s="61">
        <v>0</v>
      </c>
      <c r="AU307" s="63">
        <f t="shared" ref="AU307:AU312" si="190">ROUND(AT307*$T307,2)</f>
        <v>0</v>
      </c>
      <c r="AV307" s="61">
        <v>0</v>
      </c>
      <c r="AW307" s="63">
        <f t="shared" ref="AW307:AW312" si="191">ROUND(AV307*$T307,2)</f>
        <v>0</v>
      </c>
      <c r="AX307" s="61">
        <v>0</v>
      </c>
      <c r="AY307" s="63">
        <f t="shared" ref="AY307:AY312" si="192">ROUND(AX307*$T307,2)</f>
        <v>0</v>
      </c>
      <c r="AZ307" s="61">
        <v>0</v>
      </c>
      <c r="BA307" s="63">
        <f t="shared" ref="BA307:BA312" si="193">ROUND(AZ307*$T307,2)</f>
        <v>0</v>
      </c>
      <c r="BB307" s="61">
        <v>0</v>
      </c>
      <c r="BC307" s="63">
        <f t="shared" ref="BC307:BC312" si="194">ROUND(BB307*$T307,2)</f>
        <v>0</v>
      </c>
      <c r="BD307" s="61">
        <v>0</v>
      </c>
      <c r="BE307" s="63">
        <f t="shared" ref="BE307:BE312" si="195">ROUND(BD307*$T307,2)</f>
        <v>0</v>
      </c>
      <c r="BF307" s="61">
        <f t="shared" ref="BF307:BF312" si="196">IFERROR(SUMIFS($V307:$BE307,$V$5:$BE$5,$BF$5),0)</f>
        <v>0</v>
      </c>
      <c r="BG307" s="63">
        <f t="shared" ref="BG307:BG312" si="197">SUMIFS($V307:$BE307,$V$5:$BE$5,$W$5)</f>
        <v>0</v>
      </c>
      <c r="BH307" s="45"/>
      <c r="BI307" s="144"/>
    </row>
    <row r="308" spans="1:61" ht="35.65" x14ac:dyDescent="0.45">
      <c r="A308" s="140">
        <v>4</v>
      </c>
      <c r="B308" s="141" t="s">
        <v>1482</v>
      </c>
      <c r="C308" s="142" t="s">
        <v>1483</v>
      </c>
      <c r="D308" s="143" t="str">
        <f t="shared" si="176"/>
        <v>4.2_5.4.5</v>
      </c>
      <c r="E308" s="56" t="s">
        <v>905</v>
      </c>
      <c r="F308" s="506" t="s">
        <v>1752</v>
      </c>
      <c r="G308" s="507" t="s">
        <v>39</v>
      </c>
      <c r="H308" s="507" t="s">
        <v>39</v>
      </c>
      <c r="I308" s="507" t="s">
        <v>1748</v>
      </c>
      <c r="J308" s="507" t="s">
        <v>39</v>
      </c>
      <c r="K308" s="507" t="s">
        <v>39</v>
      </c>
      <c r="L308" s="507" t="s">
        <v>39</v>
      </c>
      <c r="M308" s="507" t="s">
        <v>68</v>
      </c>
      <c r="N308" s="507" t="s">
        <v>1750</v>
      </c>
      <c r="O308" s="57" t="s">
        <v>906</v>
      </c>
      <c r="P308" s="58" t="s">
        <v>846</v>
      </c>
      <c r="Q308" s="59" t="s">
        <v>907</v>
      </c>
      <c r="R308" s="60" t="s">
        <v>755</v>
      </c>
      <c r="S308" s="61">
        <v>69.400000000000006</v>
      </c>
      <c r="T308" s="62">
        <f>INDEX('BM MORRO DA CRUZ'!$P$6:$P$402,MATCH($O308,'BM MORRO DA CRUZ'!$K$6:$K$402,0))</f>
        <v>9.51</v>
      </c>
      <c r="U308" s="63">
        <f t="shared" si="177"/>
        <v>659.99</v>
      </c>
      <c r="V308" s="61">
        <f>IFERROR(SUMIFS('01ª MC'!$W$1:$W$1840,'01ª MC'!$C$1:$C$1840,$D308),0)</f>
        <v>0</v>
      </c>
      <c r="W308" s="63">
        <f t="shared" si="178"/>
        <v>0</v>
      </c>
      <c r="X308" s="61">
        <v>0</v>
      </c>
      <c r="Y308" s="63">
        <f t="shared" si="179"/>
        <v>0</v>
      </c>
      <c r="Z308" s="61">
        <v>0</v>
      </c>
      <c r="AA308" s="63">
        <f t="shared" si="180"/>
        <v>0</v>
      </c>
      <c r="AB308" s="61">
        <v>0</v>
      </c>
      <c r="AC308" s="63">
        <f t="shared" si="181"/>
        <v>0</v>
      </c>
      <c r="AD308" s="61">
        <v>0</v>
      </c>
      <c r="AE308" s="63">
        <f t="shared" si="182"/>
        <v>0</v>
      </c>
      <c r="AF308" s="61">
        <v>0</v>
      </c>
      <c r="AG308" s="63">
        <f t="shared" si="183"/>
        <v>0</v>
      </c>
      <c r="AH308" s="61">
        <v>0</v>
      </c>
      <c r="AI308" s="63">
        <f t="shared" si="184"/>
        <v>0</v>
      </c>
      <c r="AJ308" s="61">
        <v>0</v>
      </c>
      <c r="AK308" s="63">
        <f t="shared" si="185"/>
        <v>0</v>
      </c>
      <c r="AL308" s="61">
        <v>0</v>
      </c>
      <c r="AM308" s="63">
        <f t="shared" si="186"/>
        <v>0</v>
      </c>
      <c r="AN308" s="61">
        <v>0</v>
      </c>
      <c r="AO308" s="63">
        <f t="shared" si="187"/>
        <v>0</v>
      </c>
      <c r="AP308" s="61">
        <v>0</v>
      </c>
      <c r="AQ308" s="63">
        <f t="shared" si="188"/>
        <v>0</v>
      </c>
      <c r="AR308" s="61">
        <v>0</v>
      </c>
      <c r="AS308" s="63">
        <f t="shared" si="189"/>
        <v>0</v>
      </c>
      <c r="AT308" s="61">
        <v>0</v>
      </c>
      <c r="AU308" s="63">
        <f t="shared" si="190"/>
        <v>0</v>
      </c>
      <c r="AV308" s="61">
        <v>0</v>
      </c>
      <c r="AW308" s="63">
        <f t="shared" si="191"/>
        <v>0</v>
      </c>
      <c r="AX308" s="61">
        <v>0</v>
      </c>
      <c r="AY308" s="63">
        <f t="shared" si="192"/>
        <v>0</v>
      </c>
      <c r="AZ308" s="61">
        <v>0</v>
      </c>
      <c r="BA308" s="63">
        <f t="shared" si="193"/>
        <v>0</v>
      </c>
      <c r="BB308" s="61">
        <v>0</v>
      </c>
      <c r="BC308" s="63">
        <f t="shared" si="194"/>
        <v>0</v>
      </c>
      <c r="BD308" s="61">
        <v>0</v>
      </c>
      <c r="BE308" s="63">
        <f t="shared" si="195"/>
        <v>0</v>
      </c>
      <c r="BF308" s="61">
        <f t="shared" si="196"/>
        <v>0</v>
      </c>
      <c r="BG308" s="63">
        <f t="shared" si="197"/>
        <v>0</v>
      </c>
      <c r="BH308" s="45"/>
      <c r="BI308" s="144"/>
    </row>
    <row r="309" spans="1:61" ht="26" customHeight="1" x14ac:dyDescent="0.45">
      <c r="A309" s="140">
        <v>4</v>
      </c>
      <c r="B309" s="141" t="s">
        <v>1482</v>
      </c>
      <c r="C309" s="142" t="s">
        <v>1483</v>
      </c>
      <c r="D309" s="143" t="str">
        <f t="shared" si="176"/>
        <v>4.2_5.4.17</v>
      </c>
      <c r="E309" s="56" t="s">
        <v>941</v>
      </c>
      <c r="F309" s="506" t="s">
        <v>1769</v>
      </c>
      <c r="G309" s="507" t="s">
        <v>39</v>
      </c>
      <c r="H309" s="507" t="s">
        <v>39</v>
      </c>
      <c r="I309" s="507" t="s">
        <v>1770</v>
      </c>
      <c r="J309" s="507" t="s">
        <v>39</v>
      </c>
      <c r="K309" s="507" t="s">
        <v>39</v>
      </c>
      <c r="L309" s="507" t="s">
        <v>1730</v>
      </c>
      <c r="M309" s="507" t="s">
        <v>68</v>
      </c>
      <c r="N309" s="507" t="s">
        <v>1770</v>
      </c>
      <c r="O309" s="57" t="s">
        <v>942</v>
      </c>
      <c r="P309" s="58" t="s">
        <v>846</v>
      </c>
      <c r="Q309" s="59" t="s">
        <v>943</v>
      </c>
      <c r="R309" s="60" t="s">
        <v>755</v>
      </c>
      <c r="S309" s="61">
        <v>6026.69</v>
      </c>
      <c r="T309" s="62">
        <f>INDEX('BM MORRO DA CRUZ'!$P$6:$P$402,MATCH($O309,'BM MORRO DA CRUZ'!$K$6:$K$402,0))</f>
        <v>27.15</v>
      </c>
      <c r="U309" s="63">
        <f t="shared" si="177"/>
        <v>163624.63</v>
      </c>
      <c r="V309" s="61">
        <f>IFERROR(SUMIFS('01ª MC'!$W$1:$W$1840,'01ª MC'!$C$1:$C$1840,$D309),0)</f>
        <v>0</v>
      </c>
      <c r="W309" s="63">
        <f t="shared" si="178"/>
        <v>0</v>
      </c>
      <c r="X309" s="61">
        <v>0</v>
      </c>
      <c r="Y309" s="63">
        <f t="shared" si="179"/>
        <v>0</v>
      </c>
      <c r="Z309" s="61">
        <v>0</v>
      </c>
      <c r="AA309" s="63">
        <f t="shared" si="180"/>
        <v>0</v>
      </c>
      <c r="AB309" s="61">
        <v>0</v>
      </c>
      <c r="AC309" s="63">
        <f t="shared" si="181"/>
        <v>0</v>
      </c>
      <c r="AD309" s="61">
        <v>0</v>
      </c>
      <c r="AE309" s="63">
        <f t="shared" si="182"/>
        <v>0</v>
      </c>
      <c r="AF309" s="61">
        <v>0</v>
      </c>
      <c r="AG309" s="63">
        <f t="shared" si="183"/>
        <v>0</v>
      </c>
      <c r="AH309" s="61">
        <v>0</v>
      </c>
      <c r="AI309" s="63">
        <f t="shared" si="184"/>
        <v>0</v>
      </c>
      <c r="AJ309" s="61">
        <v>0</v>
      </c>
      <c r="AK309" s="63">
        <f t="shared" si="185"/>
        <v>0</v>
      </c>
      <c r="AL309" s="61">
        <v>0</v>
      </c>
      <c r="AM309" s="63">
        <f t="shared" si="186"/>
        <v>0</v>
      </c>
      <c r="AN309" s="61">
        <v>0</v>
      </c>
      <c r="AO309" s="63">
        <f t="shared" si="187"/>
        <v>0</v>
      </c>
      <c r="AP309" s="61">
        <v>0</v>
      </c>
      <c r="AQ309" s="63">
        <f t="shared" si="188"/>
        <v>0</v>
      </c>
      <c r="AR309" s="61">
        <v>0</v>
      </c>
      <c r="AS309" s="63">
        <f t="shared" si="189"/>
        <v>0</v>
      </c>
      <c r="AT309" s="61">
        <v>0</v>
      </c>
      <c r="AU309" s="63">
        <f t="shared" si="190"/>
        <v>0</v>
      </c>
      <c r="AV309" s="61">
        <v>0</v>
      </c>
      <c r="AW309" s="63">
        <f t="shared" si="191"/>
        <v>0</v>
      </c>
      <c r="AX309" s="61">
        <v>0</v>
      </c>
      <c r="AY309" s="63">
        <f t="shared" si="192"/>
        <v>0</v>
      </c>
      <c r="AZ309" s="61">
        <v>0</v>
      </c>
      <c r="BA309" s="63">
        <f t="shared" si="193"/>
        <v>0</v>
      </c>
      <c r="BB309" s="61">
        <v>0</v>
      </c>
      <c r="BC309" s="63">
        <f t="shared" si="194"/>
        <v>0</v>
      </c>
      <c r="BD309" s="61">
        <v>0</v>
      </c>
      <c r="BE309" s="63">
        <f t="shared" si="195"/>
        <v>0</v>
      </c>
      <c r="BF309" s="61">
        <f t="shared" si="196"/>
        <v>0</v>
      </c>
      <c r="BG309" s="63">
        <f t="shared" si="197"/>
        <v>0</v>
      </c>
      <c r="BH309" s="45"/>
      <c r="BI309" s="144"/>
    </row>
    <row r="310" spans="1:61" ht="26" customHeight="1" x14ac:dyDescent="0.45">
      <c r="A310" s="140">
        <v>4</v>
      </c>
      <c r="B310" s="141" t="s">
        <v>1482</v>
      </c>
      <c r="C310" s="142" t="s">
        <v>1483</v>
      </c>
      <c r="D310" s="143" t="str">
        <f t="shared" si="176"/>
        <v>4.2_5.4.24</v>
      </c>
      <c r="E310" s="56" t="s">
        <v>963</v>
      </c>
      <c r="F310" s="506" t="s">
        <v>1780</v>
      </c>
      <c r="G310" s="507" t="s">
        <v>39</v>
      </c>
      <c r="H310" s="507" t="s">
        <v>39</v>
      </c>
      <c r="I310" s="507" t="s">
        <v>1777</v>
      </c>
      <c r="J310" s="507" t="s">
        <v>39</v>
      </c>
      <c r="K310" s="507" t="s">
        <v>39</v>
      </c>
      <c r="L310" s="507" t="s">
        <v>39</v>
      </c>
      <c r="M310" s="507" t="s">
        <v>68</v>
      </c>
      <c r="N310" s="507" t="s">
        <v>1777</v>
      </c>
      <c r="O310" s="57" t="s">
        <v>964</v>
      </c>
      <c r="P310" s="58" t="s">
        <v>846</v>
      </c>
      <c r="Q310" s="59" t="s">
        <v>965</v>
      </c>
      <c r="R310" s="60" t="s">
        <v>959</v>
      </c>
      <c r="S310" s="61">
        <v>1082.6500000000001</v>
      </c>
      <c r="T310" s="62">
        <f>INDEX('BM MORRO DA CRUZ'!$P$6:$P$402,MATCH($O310,'BM MORRO DA CRUZ'!$K$6:$K$402,0))</f>
        <v>1.2</v>
      </c>
      <c r="U310" s="63">
        <f t="shared" si="177"/>
        <v>1299.18</v>
      </c>
      <c r="V310" s="61">
        <f>IFERROR(SUMIFS('01ª MC'!$W$1:$W$1840,'01ª MC'!$C$1:$C$1840,$D310),0)</f>
        <v>0</v>
      </c>
      <c r="W310" s="63">
        <f t="shared" si="178"/>
        <v>0</v>
      </c>
      <c r="X310" s="61">
        <v>0</v>
      </c>
      <c r="Y310" s="63">
        <f t="shared" si="179"/>
        <v>0</v>
      </c>
      <c r="Z310" s="61">
        <v>0</v>
      </c>
      <c r="AA310" s="63">
        <f t="shared" si="180"/>
        <v>0</v>
      </c>
      <c r="AB310" s="61">
        <v>0</v>
      </c>
      <c r="AC310" s="63">
        <f t="shared" si="181"/>
        <v>0</v>
      </c>
      <c r="AD310" s="61">
        <v>0</v>
      </c>
      <c r="AE310" s="63">
        <f t="shared" si="182"/>
        <v>0</v>
      </c>
      <c r="AF310" s="61">
        <v>0</v>
      </c>
      <c r="AG310" s="63">
        <f t="shared" si="183"/>
        <v>0</v>
      </c>
      <c r="AH310" s="61">
        <v>0</v>
      </c>
      <c r="AI310" s="63">
        <f t="shared" si="184"/>
        <v>0</v>
      </c>
      <c r="AJ310" s="61">
        <v>0</v>
      </c>
      <c r="AK310" s="63">
        <f t="shared" si="185"/>
        <v>0</v>
      </c>
      <c r="AL310" s="61">
        <v>0</v>
      </c>
      <c r="AM310" s="63">
        <f t="shared" si="186"/>
        <v>0</v>
      </c>
      <c r="AN310" s="61">
        <v>0</v>
      </c>
      <c r="AO310" s="63">
        <f t="shared" si="187"/>
        <v>0</v>
      </c>
      <c r="AP310" s="61">
        <v>0</v>
      </c>
      <c r="AQ310" s="63">
        <f t="shared" si="188"/>
        <v>0</v>
      </c>
      <c r="AR310" s="61">
        <v>0</v>
      </c>
      <c r="AS310" s="63">
        <f t="shared" si="189"/>
        <v>0</v>
      </c>
      <c r="AT310" s="61">
        <v>0</v>
      </c>
      <c r="AU310" s="63">
        <f t="shared" si="190"/>
        <v>0</v>
      </c>
      <c r="AV310" s="61">
        <v>0</v>
      </c>
      <c r="AW310" s="63">
        <f t="shared" si="191"/>
        <v>0</v>
      </c>
      <c r="AX310" s="61">
        <v>0</v>
      </c>
      <c r="AY310" s="63">
        <f t="shared" si="192"/>
        <v>0</v>
      </c>
      <c r="AZ310" s="61">
        <v>0</v>
      </c>
      <c r="BA310" s="63">
        <f t="shared" si="193"/>
        <v>0</v>
      </c>
      <c r="BB310" s="61">
        <v>0</v>
      </c>
      <c r="BC310" s="63">
        <f t="shared" si="194"/>
        <v>0</v>
      </c>
      <c r="BD310" s="61">
        <v>0</v>
      </c>
      <c r="BE310" s="63">
        <f t="shared" si="195"/>
        <v>0</v>
      </c>
      <c r="BF310" s="61">
        <f t="shared" si="196"/>
        <v>0</v>
      </c>
      <c r="BG310" s="63">
        <f t="shared" si="197"/>
        <v>0</v>
      </c>
      <c r="BH310" s="45"/>
      <c r="BI310" s="144"/>
    </row>
    <row r="311" spans="1:61" ht="26" customHeight="1" x14ac:dyDescent="0.45">
      <c r="A311" s="140">
        <v>4</v>
      </c>
      <c r="B311" s="141" t="s">
        <v>1482</v>
      </c>
      <c r="C311" s="142" t="s">
        <v>1483</v>
      </c>
      <c r="D311" s="143" t="str">
        <f t="shared" si="176"/>
        <v>4.2_5.4.25</v>
      </c>
      <c r="E311" s="56" t="s">
        <v>966</v>
      </c>
      <c r="F311" s="506" t="s">
        <v>1781</v>
      </c>
      <c r="G311" s="507" t="s">
        <v>39</v>
      </c>
      <c r="H311" s="507" t="s">
        <v>39</v>
      </c>
      <c r="I311" s="507" t="s">
        <v>1777</v>
      </c>
      <c r="J311" s="507" t="s">
        <v>39</v>
      </c>
      <c r="K311" s="507" t="s">
        <v>39</v>
      </c>
      <c r="L311" s="507" t="s">
        <v>39</v>
      </c>
      <c r="M311" s="507" t="s">
        <v>68</v>
      </c>
      <c r="N311" s="507" t="s">
        <v>1777</v>
      </c>
      <c r="O311" s="57" t="s">
        <v>967</v>
      </c>
      <c r="P311" s="58" t="s">
        <v>846</v>
      </c>
      <c r="Q311" s="59" t="s">
        <v>968</v>
      </c>
      <c r="R311" s="60" t="s">
        <v>959</v>
      </c>
      <c r="S311" s="61">
        <v>2082.02</v>
      </c>
      <c r="T311" s="62">
        <f>INDEX('BM MORRO DA CRUZ'!$P$6:$P$402,MATCH($O311,'BM MORRO DA CRUZ'!$K$6:$K$402,0))</f>
        <v>3.01</v>
      </c>
      <c r="U311" s="63">
        <f t="shared" si="177"/>
        <v>6266.88</v>
      </c>
      <c r="V311" s="61">
        <f>IFERROR(SUMIFS('01ª MC'!$W$1:$W$1840,'01ª MC'!$C$1:$C$1840,$D311),0)</f>
        <v>0</v>
      </c>
      <c r="W311" s="63">
        <f t="shared" si="178"/>
        <v>0</v>
      </c>
      <c r="X311" s="61">
        <v>0</v>
      </c>
      <c r="Y311" s="63">
        <f t="shared" si="179"/>
        <v>0</v>
      </c>
      <c r="Z311" s="61">
        <v>0</v>
      </c>
      <c r="AA311" s="63">
        <f t="shared" si="180"/>
        <v>0</v>
      </c>
      <c r="AB311" s="61">
        <v>0</v>
      </c>
      <c r="AC311" s="63">
        <f t="shared" si="181"/>
        <v>0</v>
      </c>
      <c r="AD311" s="61">
        <v>0</v>
      </c>
      <c r="AE311" s="63">
        <f t="shared" si="182"/>
        <v>0</v>
      </c>
      <c r="AF311" s="61">
        <v>0</v>
      </c>
      <c r="AG311" s="63">
        <f t="shared" si="183"/>
        <v>0</v>
      </c>
      <c r="AH311" s="61">
        <v>0</v>
      </c>
      <c r="AI311" s="63">
        <f t="shared" si="184"/>
        <v>0</v>
      </c>
      <c r="AJ311" s="61">
        <v>0</v>
      </c>
      <c r="AK311" s="63">
        <f t="shared" si="185"/>
        <v>0</v>
      </c>
      <c r="AL311" s="61">
        <v>0</v>
      </c>
      <c r="AM311" s="63">
        <f t="shared" si="186"/>
        <v>0</v>
      </c>
      <c r="AN311" s="61">
        <v>0</v>
      </c>
      <c r="AO311" s="63">
        <f t="shared" si="187"/>
        <v>0</v>
      </c>
      <c r="AP311" s="61">
        <v>0</v>
      </c>
      <c r="AQ311" s="63">
        <f t="shared" si="188"/>
        <v>0</v>
      </c>
      <c r="AR311" s="61">
        <v>0</v>
      </c>
      <c r="AS311" s="63">
        <f t="shared" si="189"/>
        <v>0</v>
      </c>
      <c r="AT311" s="61">
        <v>0</v>
      </c>
      <c r="AU311" s="63">
        <f t="shared" si="190"/>
        <v>0</v>
      </c>
      <c r="AV311" s="61">
        <v>0</v>
      </c>
      <c r="AW311" s="63">
        <f t="shared" si="191"/>
        <v>0</v>
      </c>
      <c r="AX311" s="61">
        <v>0</v>
      </c>
      <c r="AY311" s="63">
        <f t="shared" si="192"/>
        <v>0</v>
      </c>
      <c r="AZ311" s="61">
        <v>0</v>
      </c>
      <c r="BA311" s="63">
        <f t="shared" si="193"/>
        <v>0</v>
      </c>
      <c r="BB311" s="61">
        <v>0</v>
      </c>
      <c r="BC311" s="63">
        <f t="shared" si="194"/>
        <v>0</v>
      </c>
      <c r="BD311" s="61">
        <v>0</v>
      </c>
      <c r="BE311" s="63">
        <f t="shared" si="195"/>
        <v>0</v>
      </c>
      <c r="BF311" s="61">
        <f t="shared" si="196"/>
        <v>0</v>
      </c>
      <c r="BG311" s="63">
        <f t="shared" si="197"/>
        <v>0</v>
      </c>
      <c r="BH311" s="45"/>
      <c r="BI311" s="144"/>
    </row>
    <row r="312" spans="1:61" ht="35.65" x14ac:dyDescent="0.45">
      <c r="A312" s="140">
        <v>4</v>
      </c>
      <c r="B312" s="141" t="s">
        <v>1482</v>
      </c>
      <c r="C312" s="142" t="s">
        <v>1483</v>
      </c>
      <c r="D312" s="143" t="str">
        <f t="shared" si="176"/>
        <v>4.2_5.4.26</v>
      </c>
      <c r="E312" s="56" t="s">
        <v>969</v>
      </c>
      <c r="F312" s="506" t="s">
        <v>1783</v>
      </c>
      <c r="G312" s="507" t="s">
        <v>39</v>
      </c>
      <c r="H312" s="507" t="s">
        <v>39</v>
      </c>
      <c r="I312" s="507" t="s">
        <v>1777</v>
      </c>
      <c r="J312" s="507" t="s">
        <v>39</v>
      </c>
      <c r="K312" s="507" t="s">
        <v>39</v>
      </c>
      <c r="L312" s="507" t="s">
        <v>1749</v>
      </c>
      <c r="M312" s="507" t="s">
        <v>68</v>
      </c>
      <c r="N312" s="507" t="s">
        <v>1777</v>
      </c>
      <c r="O312" s="57" t="s">
        <v>970</v>
      </c>
      <c r="P312" s="58" t="s">
        <v>846</v>
      </c>
      <c r="Q312" s="59" t="s">
        <v>971</v>
      </c>
      <c r="R312" s="60" t="s">
        <v>972</v>
      </c>
      <c r="S312" s="61">
        <v>403.72</v>
      </c>
      <c r="T312" s="62">
        <f>INDEX('BM MORRO DA CRUZ'!$P$6:$P$402,MATCH($O312,'BM MORRO DA CRUZ'!$K$6:$K$402,0))</f>
        <v>1.43</v>
      </c>
      <c r="U312" s="63">
        <f t="shared" si="177"/>
        <v>577.32000000000005</v>
      </c>
      <c r="V312" s="61">
        <f>IFERROR(SUMIFS('01ª MC'!$W$1:$W$1840,'01ª MC'!$C$1:$C$1840,$D312),0)</f>
        <v>0</v>
      </c>
      <c r="W312" s="63">
        <f t="shared" si="178"/>
        <v>0</v>
      </c>
      <c r="X312" s="61">
        <v>0</v>
      </c>
      <c r="Y312" s="63">
        <f t="shared" si="179"/>
        <v>0</v>
      </c>
      <c r="Z312" s="61">
        <v>0</v>
      </c>
      <c r="AA312" s="63">
        <f t="shared" si="180"/>
        <v>0</v>
      </c>
      <c r="AB312" s="61">
        <v>0</v>
      </c>
      <c r="AC312" s="63">
        <f t="shared" si="181"/>
        <v>0</v>
      </c>
      <c r="AD312" s="61">
        <v>0</v>
      </c>
      <c r="AE312" s="63">
        <f t="shared" si="182"/>
        <v>0</v>
      </c>
      <c r="AF312" s="61">
        <v>0</v>
      </c>
      <c r="AG312" s="63">
        <f t="shared" si="183"/>
        <v>0</v>
      </c>
      <c r="AH312" s="61">
        <v>0</v>
      </c>
      <c r="AI312" s="63">
        <f t="shared" si="184"/>
        <v>0</v>
      </c>
      <c r="AJ312" s="61">
        <v>0</v>
      </c>
      <c r="AK312" s="63">
        <f t="shared" si="185"/>
        <v>0</v>
      </c>
      <c r="AL312" s="61">
        <v>0</v>
      </c>
      <c r="AM312" s="63">
        <f t="shared" si="186"/>
        <v>0</v>
      </c>
      <c r="AN312" s="61">
        <v>0</v>
      </c>
      <c r="AO312" s="63">
        <f t="shared" si="187"/>
        <v>0</v>
      </c>
      <c r="AP312" s="61">
        <v>0</v>
      </c>
      <c r="AQ312" s="63">
        <f t="shared" si="188"/>
        <v>0</v>
      </c>
      <c r="AR312" s="61">
        <v>0</v>
      </c>
      <c r="AS312" s="63">
        <f t="shared" si="189"/>
        <v>0</v>
      </c>
      <c r="AT312" s="61">
        <v>0</v>
      </c>
      <c r="AU312" s="63">
        <f t="shared" si="190"/>
        <v>0</v>
      </c>
      <c r="AV312" s="61">
        <v>0</v>
      </c>
      <c r="AW312" s="63">
        <f t="shared" si="191"/>
        <v>0</v>
      </c>
      <c r="AX312" s="61">
        <v>0</v>
      </c>
      <c r="AY312" s="63">
        <f t="shared" si="192"/>
        <v>0</v>
      </c>
      <c r="AZ312" s="61">
        <v>0</v>
      </c>
      <c r="BA312" s="63">
        <f t="shared" si="193"/>
        <v>0</v>
      </c>
      <c r="BB312" s="61">
        <v>0</v>
      </c>
      <c r="BC312" s="63">
        <f t="shared" si="194"/>
        <v>0</v>
      </c>
      <c r="BD312" s="61">
        <v>0</v>
      </c>
      <c r="BE312" s="63">
        <f t="shared" si="195"/>
        <v>0</v>
      </c>
      <c r="BF312" s="61">
        <f t="shared" si="196"/>
        <v>0</v>
      </c>
      <c r="BG312" s="63">
        <f t="shared" si="197"/>
        <v>0</v>
      </c>
      <c r="BH312" s="45"/>
      <c r="BI312" s="144"/>
    </row>
    <row r="313" spans="1:61" ht="19.5" customHeight="1" x14ac:dyDescent="0.45">
      <c r="A313" s="128">
        <v>4</v>
      </c>
      <c r="B313" s="129"/>
      <c r="C313" s="130"/>
      <c r="D313" s="131"/>
      <c r="E313" s="132" t="s">
        <v>1224</v>
      </c>
      <c r="F313" s="515"/>
      <c r="G313" s="516"/>
      <c r="H313" s="516"/>
      <c r="I313" s="516"/>
      <c r="J313" s="516"/>
      <c r="K313" s="516"/>
      <c r="L313" s="516"/>
      <c r="M313" s="516"/>
      <c r="N313" s="516"/>
      <c r="O313" s="133" t="s">
        <v>1225</v>
      </c>
      <c r="P313" s="134"/>
      <c r="Q313" s="135" t="s">
        <v>1226</v>
      </c>
      <c r="R313" s="136"/>
      <c r="S313" s="137"/>
      <c r="T313" s="138"/>
      <c r="U313" s="139">
        <f>SUM(U314:U317)</f>
        <v>107230.69</v>
      </c>
      <c r="V313" s="137"/>
      <c r="W313" s="139">
        <f>SUM(W314:W317)</f>
        <v>0</v>
      </c>
      <c r="X313" s="137"/>
      <c r="Y313" s="139">
        <f>SUM(Y314:Y317)</f>
        <v>0</v>
      </c>
      <c r="Z313" s="137"/>
      <c r="AA313" s="139">
        <f>SUM(AA314:AA317)</f>
        <v>0</v>
      </c>
      <c r="AB313" s="137"/>
      <c r="AC313" s="139">
        <f>SUM(AC314:AC317)</f>
        <v>0</v>
      </c>
      <c r="AD313" s="137"/>
      <c r="AE313" s="139">
        <f>SUM(AE314:AE317)</f>
        <v>0</v>
      </c>
      <c r="AF313" s="137"/>
      <c r="AG313" s="139">
        <f>SUM(AG314:AG317)</f>
        <v>0</v>
      </c>
      <c r="AH313" s="137"/>
      <c r="AI313" s="139">
        <f>SUM(AI314:AI317)</f>
        <v>0</v>
      </c>
      <c r="AJ313" s="137"/>
      <c r="AK313" s="139">
        <f>SUM(AK314:AK317)</f>
        <v>0</v>
      </c>
      <c r="AL313" s="137"/>
      <c r="AM313" s="139">
        <f>SUM(AM314:AM317)</f>
        <v>0</v>
      </c>
      <c r="AN313" s="137"/>
      <c r="AO313" s="139">
        <f>SUM(AO314:AO317)</f>
        <v>0</v>
      </c>
      <c r="AP313" s="137"/>
      <c r="AQ313" s="139">
        <f>SUM(AQ314:AQ317)</f>
        <v>0</v>
      </c>
      <c r="AR313" s="137"/>
      <c r="AS313" s="139">
        <f>SUM(AS314:AS317)</f>
        <v>0</v>
      </c>
      <c r="AT313" s="137"/>
      <c r="AU313" s="139">
        <f>SUM(AU314:AU317)</f>
        <v>0</v>
      </c>
      <c r="AV313" s="137"/>
      <c r="AW313" s="139">
        <f>SUM(AW314:AW317)</f>
        <v>0</v>
      </c>
      <c r="AX313" s="137"/>
      <c r="AY313" s="139">
        <f>SUM(AY314:AY317)</f>
        <v>0</v>
      </c>
      <c r="AZ313" s="137"/>
      <c r="BA313" s="139">
        <f>SUM(BA314:BA317)</f>
        <v>0</v>
      </c>
      <c r="BB313" s="137"/>
      <c r="BC313" s="139">
        <f>SUM(BC314:BC317)</f>
        <v>0</v>
      </c>
      <c r="BD313" s="137"/>
      <c r="BE313" s="139">
        <f>SUM(BE314:BE317)</f>
        <v>0</v>
      </c>
      <c r="BF313" s="137"/>
      <c r="BG313" s="139">
        <f>SUM(BG314:BG317)</f>
        <v>0</v>
      </c>
      <c r="BH313" s="45"/>
    </row>
    <row r="314" spans="1:61" ht="26" customHeight="1" x14ac:dyDescent="0.45">
      <c r="A314" s="140">
        <v>4</v>
      </c>
      <c r="B314" s="141" t="s">
        <v>1482</v>
      </c>
      <c r="C314" s="142" t="s">
        <v>1483</v>
      </c>
      <c r="D314" s="143" t="str">
        <f>B314&amp;"_"&amp;E314</f>
        <v>4.2_5.9.2</v>
      </c>
      <c r="E314" s="56" t="s">
        <v>1230</v>
      </c>
      <c r="F314" s="506" t="s">
        <v>1833</v>
      </c>
      <c r="G314" s="507" t="s">
        <v>39</v>
      </c>
      <c r="H314" s="507" t="s">
        <v>39</v>
      </c>
      <c r="I314" s="507" t="s">
        <v>1834</v>
      </c>
      <c r="J314" s="507" t="s">
        <v>39</v>
      </c>
      <c r="K314" s="507" t="s">
        <v>39</v>
      </c>
      <c r="L314" s="507" t="s">
        <v>1749</v>
      </c>
      <c r="M314" s="507" t="s">
        <v>68</v>
      </c>
      <c r="N314" s="507" t="s">
        <v>1226</v>
      </c>
      <c r="O314" s="57" t="s">
        <v>1231</v>
      </c>
      <c r="P314" s="58" t="s">
        <v>846</v>
      </c>
      <c r="Q314" s="59" t="s">
        <v>1232</v>
      </c>
      <c r="R314" s="60" t="s">
        <v>792</v>
      </c>
      <c r="S314" s="61">
        <v>428.4</v>
      </c>
      <c r="T314" s="62">
        <f>INDEX('BM MORRO DA CRUZ'!$P$6:$P$402,MATCH($O314,'BM MORRO DA CRUZ'!$K$6:$K$402,0))</f>
        <v>9.75</v>
      </c>
      <c r="U314" s="63">
        <f>ROUND(T314*$S314,2)</f>
        <v>4176.8999999999996</v>
      </c>
      <c r="V314" s="61">
        <f>IFERROR(SUMIFS('01ª MC'!$W$1:$W$1840,'01ª MC'!$C$1:$C$1840,$D314),0)</f>
        <v>0</v>
      </c>
      <c r="W314" s="63">
        <f>ROUND(V314*$T314,2)</f>
        <v>0</v>
      </c>
      <c r="X314" s="61">
        <v>0</v>
      </c>
      <c r="Y314" s="63">
        <f>ROUND(X314*$T314,2)</f>
        <v>0</v>
      </c>
      <c r="Z314" s="61">
        <v>0</v>
      </c>
      <c r="AA314" s="63">
        <f>ROUND(Z314*$T314,2)</f>
        <v>0</v>
      </c>
      <c r="AB314" s="61">
        <v>0</v>
      </c>
      <c r="AC314" s="63">
        <f>ROUND(AB314*$T314,2)</f>
        <v>0</v>
      </c>
      <c r="AD314" s="61">
        <v>0</v>
      </c>
      <c r="AE314" s="63">
        <f>ROUND(AD314*$T314,2)</f>
        <v>0</v>
      </c>
      <c r="AF314" s="61">
        <v>0</v>
      </c>
      <c r="AG314" s="63">
        <f>ROUND(AF314*$T314,2)</f>
        <v>0</v>
      </c>
      <c r="AH314" s="61">
        <v>0</v>
      </c>
      <c r="AI314" s="63">
        <f>ROUND(AH314*$T314,2)</f>
        <v>0</v>
      </c>
      <c r="AJ314" s="61">
        <v>0</v>
      </c>
      <c r="AK314" s="63">
        <f>ROUND(AJ314*$T314,2)</f>
        <v>0</v>
      </c>
      <c r="AL314" s="61">
        <v>0</v>
      </c>
      <c r="AM314" s="63">
        <f>ROUND(AL314*$T314,2)</f>
        <v>0</v>
      </c>
      <c r="AN314" s="61">
        <v>0</v>
      </c>
      <c r="AO314" s="63">
        <f>ROUND(AN314*$T314,2)</f>
        <v>0</v>
      </c>
      <c r="AP314" s="61">
        <v>0</v>
      </c>
      <c r="AQ314" s="63">
        <f>ROUND(AP314*$T314,2)</f>
        <v>0</v>
      </c>
      <c r="AR314" s="61">
        <v>0</v>
      </c>
      <c r="AS314" s="63">
        <f>ROUND(AR314*$T314,2)</f>
        <v>0</v>
      </c>
      <c r="AT314" s="61">
        <v>0</v>
      </c>
      <c r="AU314" s="63">
        <f>ROUND(AT314*$T314,2)</f>
        <v>0</v>
      </c>
      <c r="AV314" s="61">
        <v>0</v>
      </c>
      <c r="AW314" s="63">
        <f>ROUND(AV314*$T314,2)</f>
        <v>0</v>
      </c>
      <c r="AX314" s="61">
        <v>0</v>
      </c>
      <c r="AY314" s="63">
        <f>ROUND(AX314*$T314,2)</f>
        <v>0</v>
      </c>
      <c r="AZ314" s="61">
        <v>0</v>
      </c>
      <c r="BA314" s="63">
        <f>ROUND(AZ314*$T314,2)</f>
        <v>0</v>
      </c>
      <c r="BB314" s="61">
        <v>0</v>
      </c>
      <c r="BC314" s="63">
        <f>ROUND(BB314*$T314,2)</f>
        <v>0</v>
      </c>
      <c r="BD314" s="61">
        <v>0</v>
      </c>
      <c r="BE314" s="63">
        <f>ROUND(BD314*$T314,2)</f>
        <v>0</v>
      </c>
      <c r="BF314" s="61">
        <f>IFERROR(SUMIFS($V314:$BE314,$V$5:$BE$5,$BF$5),0)</f>
        <v>0</v>
      </c>
      <c r="BG314" s="63">
        <f>SUMIFS($V314:$BE314,$V$5:$BE$5,$W$5)</f>
        <v>0</v>
      </c>
      <c r="BH314" s="45"/>
      <c r="BI314" s="144"/>
    </row>
    <row r="315" spans="1:61" ht="35.65" x14ac:dyDescent="0.45">
      <c r="A315" s="140">
        <v>4</v>
      </c>
      <c r="B315" s="141" t="s">
        <v>1482</v>
      </c>
      <c r="C315" s="142" t="s">
        <v>1483</v>
      </c>
      <c r="D315" s="143" t="str">
        <f>B315&amp;"_"&amp;E315</f>
        <v>4.2_5.9.3</v>
      </c>
      <c r="E315" s="56" t="s">
        <v>1233</v>
      </c>
      <c r="F315" s="506" t="s">
        <v>1835</v>
      </c>
      <c r="G315" s="507" t="s">
        <v>39</v>
      </c>
      <c r="H315" s="507" t="s">
        <v>39</v>
      </c>
      <c r="I315" s="507" t="s">
        <v>78</v>
      </c>
      <c r="J315" s="507" t="s">
        <v>39</v>
      </c>
      <c r="K315" s="507" t="s">
        <v>39</v>
      </c>
      <c r="L315" s="507" t="s">
        <v>78</v>
      </c>
      <c r="M315" s="507" t="s">
        <v>68</v>
      </c>
      <c r="N315" s="507" t="s">
        <v>78</v>
      </c>
      <c r="O315" s="57" t="s">
        <v>1234</v>
      </c>
      <c r="P315" s="58" t="s">
        <v>846</v>
      </c>
      <c r="Q315" s="59" t="s">
        <v>1235</v>
      </c>
      <c r="R315" s="60" t="s">
        <v>792</v>
      </c>
      <c r="S315" s="61">
        <v>214.2</v>
      </c>
      <c r="T315" s="62">
        <f>INDEX('BM MORRO DA CRUZ'!$P$6:$P$402,MATCH($O315,'BM MORRO DA CRUZ'!$K$6:$K$402,0))</f>
        <v>106.91</v>
      </c>
      <c r="U315" s="63">
        <f>ROUND(T315*$S315,2)</f>
        <v>22900.12</v>
      </c>
      <c r="V315" s="61">
        <f>IFERROR(SUMIFS('01ª MC'!$W$1:$W$1840,'01ª MC'!$C$1:$C$1840,$D315),0)</f>
        <v>0</v>
      </c>
      <c r="W315" s="63">
        <f>ROUND(V315*$T315,2)</f>
        <v>0</v>
      </c>
      <c r="X315" s="61">
        <v>0</v>
      </c>
      <c r="Y315" s="63">
        <f>ROUND(X315*$T315,2)</f>
        <v>0</v>
      </c>
      <c r="Z315" s="61">
        <v>0</v>
      </c>
      <c r="AA315" s="63">
        <f>ROUND(Z315*$T315,2)</f>
        <v>0</v>
      </c>
      <c r="AB315" s="61">
        <v>0</v>
      </c>
      <c r="AC315" s="63">
        <f>ROUND(AB315*$T315,2)</f>
        <v>0</v>
      </c>
      <c r="AD315" s="61">
        <v>0</v>
      </c>
      <c r="AE315" s="63">
        <f>ROUND(AD315*$T315,2)</f>
        <v>0</v>
      </c>
      <c r="AF315" s="61">
        <v>0</v>
      </c>
      <c r="AG315" s="63">
        <f>ROUND(AF315*$T315,2)</f>
        <v>0</v>
      </c>
      <c r="AH315" s="61">
        <v>0</v>
      </c>
      <c r="AI315" s="63">
        <f>ROUND(AH315*$T315,2)</f>
        <v>0</v>
      </c>
      <c r="AJ315" s="61">
        <v>0</v>
      </c>
      <c r="AK315" s="63">
        <f>ROUND(AJ315*$T315,2)</f>
        <v>0</v>
      </c>
      <c r="AL315" s="61">
        <v>0</v>
      </c>
      <c r="AM315" s="63">
        <f>ROUND(AL315*$T315,2)</f>
        <v>0</v>
      </c>
      <c r="AN315" s="61">
        <v>0</v>
      </c>
      <c r="AO315" s="63">
        <f>ROUND(AN315*$T315,2)</f>
        <v>0</v>
      </c>
      <c r="AP315" s="61">
        <v>0</v>
      </c>
      <c r="AQ315" s="63">
        <f>ROUND(AP315*$T315,2)</f>
        <v>0</v>
      </c>
      <c r="AR315" s="61">
        <v>0</v>
      </c>
      <c r="AS315" s="63">
        <f>ROUND(AR315*$T315,2)</f>
        <v>0</v>
      </c>
      <c r="AT315" s="61">
        <v>0</v>
      </c>
      <c r="AU315" s="63">
        <f>ROUND(AT315*$T315,2)</f>
        <v>0</v>
      </c>
      <c r="AV315" s="61">
        <v>0</v>
      </c>
      <c r="AW315" s="63">
        <f>ROUND(AV315*$T315,2)</f>
        <v>0</v>
      </c>
      <c r="AX315" s="61">
        <v>0</v>
      </c>
      <c r="AY315" s="63">
        <f>ROUND(AX315*$T315,2)</f>
        <v>0</v>
      </c>
      <c r="AZ315" s="61">
        <v>0</v>
      </c>
      <c r="BA315" s="63">
        <f>ROUND(AZ315*$T315,2)</f>
        <v>0</v>
      </c>
      <c r="BB315" s="61">
        <v>0</v>
      </c>
      <c r="BC315" s="63">
        <f>ROUND(BB315*$T315,2)</f>
        <v>0</v>
      </c>
      <c r="BD315" s="61">
        <v>0</v>
      </c>
      <c r="BE315" s="63">
        <f>ROUND(BD315*$T315,2)</f>
        <v>0</v>
      </c>
      <c r="BF315" s="61">
        <f>IFERROR(SUMIFS($V315:$BE315,$V$5:$BE$5,$BF$5),0)</f>
        <v>0</v>
      </c>
      <c r="BG315" s="63">
        <f>SUMIFS($V315:$BE315,$V$5:$BE$5,$W$5)</f>
        <v>0</v>
      </c>
      <c r="BH315" s="45"/>
      <c r="BI315" s="144"/>
    </row>
    <row r="316" spans="1:61" ht="26" customHeight="1" x14ac:dyDescent="0.45">
      <c r="A316" s="140">
        <v>4</v>
      </c>
      <c r="B316" s="141" t="s">
        <v>1482</v>
      </c>
      <c r="C316" s="142" t="s">
        <v>1483</v>
      </c>
      <c r="D316" s="143" t="str">
        <f>B316&amp;"_"&amp;E316</f>
        <v>4.2_5.9.4</v>
      </c>
      <c r="E316" s="56" t="s">
        <v>1236</v>
      </c>
      <c r="F316" s="506" t="s">
        <v>1836</v>
      </c>
      <c r="G316" s="507" t="s">
        <v>39</v>
      </c>
      <c r="H316" s="507" t="s">
        <v>39</v>
      </c>
      <c r="I316" s="507" t="s">
        <v>1837</v>
      </c>
      <c r="J316" s="507" t="s">
        <v>39</v>
      </c>
      <c r="K316" s="507" t="s">
        <v>39</v>
      </c>
      <c r="L316" s="507" t="s">
        <v>1749</v>
      </c>
      <c r="M316" s="507" t="s">
        <v>68</v>
      </c>
      <c r="N316" s="507" t="s">
        <v>1226</v>
      </c>
      <c r="O316" s="57" t="s">
        <v>1237</v>
      </c>
      <c r="P316" s="58" t="s">
        <v>846</v>
      </c>
      <c r="Q316" s="59" t="s">
        <v>1238</v>
      </c>
      <c r="R316" s="60" t="s">
        <v>792</v>
      </c>
      <c r="S316" s="61">
        <v>428.4</v>
      </c>
      <c r="T316" s="62">
        <f>INDEX('BM MORRO DA CRUZ'!$P$6:$P$402,MATCH($O316,'BM MORRO DA CRUZ'!$K$6:$K$402,0))</f>
        <v>3.17</v>
      </c>
      <c r="U316" s="63">
        <f>ROUND(T316*$S316,2)</f>
        <v>1358.03</v>
      </c>
      <c r="V316" s="61">
        <f>IFERROR(SUMIFS('01ª MC'!$W$1:$W$1840,'01ª MC'!$C$1:$C$1840,$D316),0)</f>
        <v>0</v>
      </c>
      <c r="W316" s="63">
        <f>ROUND(V316*$T316,2)</f>
        <v>0</v>
      </c>
      <c r="X316" s="61">
        <v>0</v>
      </c>
      <c r="Y316" s="63">
        <f>ROUND(X316*$T316,2)</f>
        <v>0</v>
      </c>
      <c r="Z316" s="61">
        <v>0</v>
      </c>
      <c r="AA316" s="63">
        <f>ROUND(Z316*$T316,2)</f>
        <v>0</v>
      </c>
      <c r="AB316" s="61">
        <v>0</v>
      </c>
      <c r="AC316" s="63">
        <f>ROUND(AB316*$T316,2)</f>
        <v>0</v>
      </c>
      <c r="AD316" s="61">
        <v>0</v>
      </c>
      <c r="AE316" s="63">
        <f>ROUND(AD316*$T316,2)</f>
        <v>0</v>
      </c>
      <c r="AF316" s="61">
        <v>0</v>
      </c>
      <c r="AG316" s="63">
        <f>ROUND(AF316*$T316,2)</f>
        <v>0</v>
      </c>
      <c r="AH316" s="61">
        <v>0</v>
      </c>
      <c r="AI316" s="63">
        <f>ROUND(AH316*$T316,2)</f>
        <v>0</v>
      </c>
      <c r="AJ316" s="61">
        <v>0</v>
      </c>
      <c r="AK316" s="63">
        <f>ROUND(AJ316*$T316,2)</f>
        <v>0</v>
      </c>
      <c r="AL316" s="61">
        <v>0</v>
      </c>
      <c r="AM316" s="63">
        <f>ROUND(AL316*$T316,2)</f>
        <v>0</v>
      </c>
      <c r="AN316" s="61">
        <v>0</v>
      </c>
      <c r="AO316" s="63">
        <f>ROUND(AN316*$T316,2)</f>
        <v>0</v>
      </c>
      <c r="AP316" s="61">
        <v>0</v>
      </c>
      <c r="AQ316" s="63">
        <f>ROUND(AP316*$T316,2)</f>
        <v>0</v>
      </c>
      <c r="AR316" s="61">
        <v>0</v>
      </c>
      <c r="AS316" s="63">
        <f>ROUND(AR316*$T316,2)</f>
        <v>0</v>
      </c>
      <c r="AT316" s="61">
        <v>0</v>
      </c>
      <c r="AU316" s="63">
        <f>ROUND(AT316*$T316,2)</f>
        <v>0</v>
      </c>
      <c r="AV316" s="61">
        <v>0</v>
      </c>
      <c r="AW316" s="63">
        <f>ROUND(AV316*$T316,2)</f>
        <v>0</v>
      </c>
      <c r="AX316" s="61">
        <v>0</v>
      </c>
      <c r="AY316" s="63">
        <f>ROUND(AX316*$T316,2)</f>
        <v>0</v>
      </c>
      <c r="AZ316" s="61">
        <v>0</v>
      </c>
      <c r="BA316" s="63">
        <f>ROUND(AZ316*$T316,2)</f>
        <v>0</v>
      </c>
      <c r="BB316" s="61">
        <v>0</v>
      </c>
      <c r="BC316" s="63">
        <f>ROUND(BB316*$T316,2)</f>
        <v>0</v>
      </c>
      <c r="BD316" s="61">
        <v>0</v>
      </c>
      <c r="BE316" s="63">
        <f>ROUND(BD316*$T316,2)</f>
        <v>0</v>
      </c>
      <c r="BF316" s="61">
        <f>IFERROR(SUMIFS($V316:$BE316,$V$5:$BE$5,$BF$5),0)</f>
        <v>0</v>
      </c>
      <c r="BG316" s="63">
        <f>SUMIFS($V316:$BE316,$V$5:$BE$5,$W$5)</f>
        <v>0</v>
      </c>
      <c r="BH316" s="45"/>
      <c r="BI316" s="144"/>
    </row>
    <row r="317" spans="1:61" ht="35.65" x14ac:dyDescent="0.45">
      <c r="A317" s="140">
        <v>4</v>
      </c>
      <c r="B317" s="141" t="s">
        <v>1482</v>
      </c>
      <c r="C317" s="142" t="s">
        <v>1483</v>
      </c>
      <c r="D317" s="143" t="str">
        <f>B317&amp;"_"&amp;E317</f>
        <v>4.2_5.9.5</v>
      </c>
      <c r="E317" s="56" t="s">
        <v>1239</v>
      </c>
      <c r="F317" s="506" t="s">
        <v>1838</v>
      </c>
      <c r="G317" s="507" t="s">
        <v>39</v>
      </c>
      <c r="H317" s="507" t="s">
        <v>39</v>
      </c>
      <c r="I317" s="507" t="s">
        <v>1738</v>
      </c>
      <c r="J317" s="507" t="s">
        <v>39</v>
      </c>
      <c r="K317" s="507" t="s">
        <v>39</v>
      </c>
      <c r="L317" s="507" t="s">
        <v>78</v>
      </c>
      <c r="M317" s="507" t="s">
        <v>68</v>
      </c>
      <c r="N317" s="507" t="s">
        <v>1738</v>
      </c>
      <c r="O317" s="57" t="s">
        <v>1240</v>
      </c>
      <c r="P317" s="58" t="s">
        <v>846</v>
      </c>
      <c r="Q317" s="59" t="s">
        <v>1241</v>
      </c>
      <c r="R317" s="60" t="s">
        <v>755</v>
      </c>
      <c r="S317" s="61">
        <v>34.270000000000003</v>
      </c>
      <c r="T317" s="62">
        <f>INDEX('BM MORRO DA CRUZ'!$P$6:$P$402,MATCH($O317,'BM MORRO DA CRUZ'!$K$6:$K$402,0))</f>
        <v>2299.2600000000002</v>
      </c>
      <c r="U317" s="63">
        <f>ROUND(T317*$S317,2)</f>
        <v>78795.64</v>
      </c>
      <c r="V317" s="61">
        <f>IFERROR(SUMIFS('01ª MC'!$W$1:$W$1840,'01ª MC'!$C$1:$C$1840,$D317),0)</f>
        <v>0</v>
      </c>
      <c r="W317" s="63">
        <f>ROUND(V317*$T317,2)</f>
        <v>0</v>
      </c>
      <c r="X317" s="61">
        <v>0</v>
      </c>
      <c r="Y317" s="63">
        <f>ROUND(X317*$T317,2)</f>
        <v>0</v>
      </c>
      <c r="Z317" s="61">
        <v>0</v>
      </c>
      <c r="AA317" s="63">
        <f>ROUND(Z317*$T317,2)</f>
        <v>0</v>
      </c>
      <c r="AB317" s="61">
        <v>0</v>
      </c>
      <c r="AC317" s="63">
        <f>ROUND(AB317*$T317,2)</f>
        <v>0</v>
      </c>
      <c r="AD317" s="61">
        <v>0</v>
      </c>
      <c r="AE317" s="63">
        <f>ROUND(AD317*$T317,2)</f>
        <v>0</v>
      </c>
      <c r="AF317" s="61">
        <v>0</v>
      </c>
      <c r="AG317" s="63">
        <f>ROUND(AF317*$T317,2)</f>
        <v>0</v>
      </c>
      <c r="AH317" s="61">
        <v>0</v>
      </c>
      <c r="AI317" s="63">
        <f>ROUND(AH317*$T317,2)</f>
        <v>0</v>
      </c>
      <c r="AJ317" s="61">
        <v>0</v>
      </c>
      <c r="AK317" s="63">
        <f>ROUND(AJ317*$T317,2)</f>
        <v>0</v>
      </c>
      <c r="AL317" s="61">
        <v>0</v>
      </c>
      <c r="AM317" s="63">
        <f>ROUND(AL317*$T317,2)</f>
        <v>0</v>
      </c>
      <c r="AN317" s="61">
        <v>0</v>
      </c>
      <c r="AO317" s="63">
        <f>ROUND(AN317*$T317,2)</f>
        <v>0</v>
      </c>
      <c r="AP317" s="61">
        <v>0</v>
      </c>
      <c r="AQ317" s="63">
        <f>ROUND(AP317*$T317,2)</f>
        <v>0</v>
      </c>
      <c r="AR317" s="61">
        <v>0</v>
      </c>
      <c r="AS317" s="63">
        <f>ROUND(AR317*$T317,2)</f>
        <v>0</v>
      </c>
      <c r="AT317" s="61">
        <v>0</v>
      </c>
      <c r="AU317" s="63">
        <f>ROUND(AT317*$T317,2)</f>
        <v>0</v>
      </c>
      <c r="AV317" s="61">
        <v>0</v>
      </c>
      <c r="AW317" s="63">
        <f>ROUND(AV317*$T317,2)</f>
        <v>0</v>
      </c>
      <c r="AX317" s="61">
        <v>0</v>
      </c>
      <c r="AY317" s="63">
        <f>ROUND(AX317*$T317,2)</f>
        <v>0</v>
      </c>
      <c r="AZ317" s="61">
        <v>0</v>
      </c>
      <c r="BA317" s="63">
        <f>ROUND(AZ317*$T317,2)</f>
        <v>0</v>
      </c>
      <c r="BB317" s="61">
        <v>0</v>
      </c>
      <c r="BC317" s="63">
        <f>ROUND(BB317*$T317,2)</f>
        <v>0</v>
      </c>
      <c r="BD317" s="61">
        <v>0</v>
      </c>
      <c r="BE317" s="63">
        <f>ROUND(BD317*$T317,2)</f>
        <v>0</v>
      </c>
      <c r="BF317" s="61">
        <f>IFERROR(SUMIFS($V317:$BE317,$V$5:$BE$5,$BF$5),0)</f>
        <v>0</v>
      </c>
      <c r="BG317" s="63">
        <f>SUMIFS($V317:$BE317,$V$5:$BE$5,$W$5)</f>
        <v>0</v>
      </c>
      <c r="BH317" s="45"/>
      <c r="BI317" s="144"/>
    </row>
    <row r="318" spans="1:61" ht="19.5" customHeight="1" x14ac:dyDescent="0.45">
      <c r="A318" s="128">
        <v>4</v>
      </c>
      <c r="B318" s="129"/>
      <c r="C318" s="130"/>
      <c r="D318" s="131"/>
      <c r="E318" s="132" t="s">
        <v>1245</v>
      </c>
      <c r="F318" s="515"/>
      <c r="G318" s="516"/>
      <c r="H318" s="516"/>
      <c r="I318" s="516"/>
      <c r="J318" s="516"/>
      <c r="K318" s="516"/>
      <c r="L318" s="516"/>
      <c r="M318" s="516"/>
      <c r="N318" s="516"/>
      <c r="O318" s="133" t="s">
        <v>1246</v>
      </c>
      <c r="P318" s="134"/>
      <c r="Q318" s="135" t="s">
        <v>1247</v>
      </c>
      <c r="R318" s="136"/>
      <c r="S318" s="137"/>
      <c r="T318" s="138"/>
      <c r="U318" s="139">
        <f>SUM(U319:U321)</f>
        <v>1325467.3599999999</v>
      </c>
      <c r="V318" s="137"/>
      <c r="W318" s="139">
        <f>SUM(W319:W321)</f>
        <v>0</v>
      </c>
      <c r="X318" s="137"/>
      <c r="Y318" s="139">
        <f>SUM(Y319:Y321)</f>
        <v>0</v>
      </c>
      <c r="Z318" s="137"/>
      <c r="AA318" s="139">
        <f>SUM(AA319:AA321)</f>
        <v>0</v>
      </c>
      <c r="AB318" s="137"/>
      <c r="AC318" s="139">
        <f>SUM(AC319:AC321)</f>
        <v>0</v>
      </c>
      <c r="AD318" s="137"/>
      <c r="AE318" s="139">
        <f>SUM(AE319:AE321)</f>
        <v>0</v>
      </c>
      <c r="AF318" s="137"/>
      <c r="AG318" s="139">
        <f>SUM(AG319:AG321)</f>
        <v>0</v>
      </c>
      <c r="AH318" s="137"/>
      <c r="AI318" s="139">
        <f>SUM(AI319:AI321)</f>
        <v>0</v>
      </c>
      <c r="AJ318" s="137"/>
      <c r="AK318" s="139">
        <f>SUM(AK319:AK321)</f>
        <v>0</v>
      </c>
      <c r="AL318" s="137"/>
      <c r="AM318" s="139">
        <f>SUM(AM319:AM321)</f>
        <v>0</v>
      </c>
      <c r="AN318" s="137"/>
      <c r="AO318" s="139">
        <f>SUM(AO319:AO321)</f>
        <v>0</v>
      </c>
      <c r="AP318" s="137"/>
      <c r="AQ318" s="139">
        <f>SUM(AQ319:AQ321)</f>
        <v>0</v>
      </c>
      <c r="AR318" s="137"/>
      <c r="AS318" s="139">
        <f>SUM(AS319:AS321)</f>
        <v>0</v>
      </c>
      <c r="AT318" s="137"/>
      <c r="AU318" s="139">
        <f>SUM(AU319:AU321)</f>
        <v>0</v>
      </c>
      <c r="AV318" s="137"/>
      <c r="AW318" s="139">
        <f>SUM(AW319:AW321)</f>
        <v>0</v>
      </c>
      <c r="AX318" s="137"/>
      <c r="AY318" s="139">
        <f>SUM(AY319:AY321)</f>
        <v>0</v>
      </c>
      <c r="AZ318" s="137"/>
      <c r="BA318" s="139">
        <f>SUM(BA319:BA321)</f>
        <v>0</v>
      </c>
      <c r="BB318" s="137"/>
      <c r="BC318" s="139">
        <f>SUM(BC319:BC321)</f>
        <v>0</v>
      </c>
      <c r="BD318" s="137"/>
      <c r="BE318" s="139">
        <f>SUM(BE319:BE321)</f>
        <v>0</v>
      </c>
      <c r="BF318" s="137"/>
      <c r="BG318" s="139">
        <f>SUM(BG319:BG321)</f>
        <v>0</v>
      </c>
      <c r="BH318" s="45"/>
    </row>
    <row r="319" spans="1:61" ht="26" customHeight="1" x14ac:dyDescent="0.45">
      <c r="A319" s="140">
        <v>4</v>
      </c>
      <c r="B319" s="141" t="s">
        <v>1482</v>
      </c>
      <c r="C319" s="142" t="s">
        <v>1483</v>
      </c>
      <c r="D319" s="143" t="str">
        <f>B319&amp;"_"&amp;E319</f>
        <v>4.2_5.10.2</v>
      </c>
      <c r="E319" s="56" t="s">
        <v>1251</v>
      </c>
      <c r="F319" s="506" t="s">
        <v>1843</v>
      </c>
      <c r="G319" s="507" t="s">
        <v>39</v>
      </c>
      <c r="H319" s="507" t="s">
        <v>39</v>
      </c>
      <c r="I319" s="507" t="s">
        <v>214</v>
      </c>
      <c r="J319" s="507" t="s">
        <v>39</v>
      </c>
      <c r="K319" s="507" t="s">
        <v>39</v>
      </c>
      <c r="L319" s="507" t="s">
        <v>78</v>
      </c>
      <c r="M319" s="507" t="s">
        <v>68</v>
      </c>
      <c r="N319" s="507" t="s">
        <v>214</v>
      </c>
      <c r="O319" s="57" t="s">
        <v>1252</v>
      </c>
      <c r="P319" s="58" t="s">
        <v>846</v>
      </c>
      <c r="Q319" s="59" t="s">
        <v>1253</v>
      </c>
      <c r="R319" s="60" t="s">
        <v>71</v>
      </c>
      <c r="S319" s="61">
        <v>11894</v>
      </c>
      <c r="T319" s="62">
        <f>INDEX('BM MORRO DA CRUZ'!$P$6:$P$402,MATCH($O319,'BM MORRO DA CRUZ'!$K$6:$K$402,0))</f>
        <v>61.57</v>
      </c>
      <c r="U319" s="63">
        <f>ROUND(T319*$S319,2)</f>
        <v>732313.58</v>
      </c>
      <c r="V319" s="61">
        <f>IFERROR(SUMIFS('01ª MC'!$W$1:$W$1840,'01ª MC'!$C$1:$C$1840,$D319),0)</f>
        <v>0</v>
      </c>
      <c r="W319" s="63">
        <f>ROUND(V319*$T319,2)</f>
        <v>0</v>
      </c>
      <c r="X319" s="61">
        <v>0</v>
      </c>
      <c r="Y319" s="63">
        <f>ROUND(X319*$T319,2)</f>
        <v>0</v>
      </c>
      <c r="Z319" s="61">
        <v>0</v>
      </c>
      <c r="AA319" s="63">
        <f>ROUND(Z319*$T319,2)</f>
        <v>0</v>
      </c>
      <c r="AB319" s="61">
        <v>0</v>
      </c>
      <c r="AC319" s="63">
        <f>ROUND(AB319*$T319,2)</f>
        <v>0</v>
      </c>
      <c r="AD319" s="61">
        <v>0</v>
      </c>
      <c r="AE319" s="63">
        <f>ROUND(AD319*$T319,2)</f>
        <v>0</v>
      </c>
      <c r="AF319" s="61">
        <v>0</v>
      </c>
      <c r="AG319" s="63">
        <f>ROUND(AF319*$T319,2)</f>
        <v>0</v>
      </c>
      <c r="AH319" s="61">
        <v>0</v>
      </c>
      <c r="AI319" s="63">
        <f>ROUND(AH319*$T319,2)</f>
        <v>0</v>
      </c>
      <c r="AJ319" s="61">
        <v>0</v>
      </c>
      <c r="AK319" s="63">
        <f>ROUND(AJ319*$T319,2)</f>
        <v>0</v>
      </c>
      <c r="AL319" s="61">
        <v>0</v>
      </c>
      <c r="AM319" s="63">
        <f>ROUND(AL319*$T319,2)</f>
        <v>0</v>
      </c>
      <c r="AN319" s="61">
        <v>0</v>
      </c>
      <c r="AO319" s="63">
        <f>ROUND(AN319*$T319,2)</f>
        <v>0</v>
      </c>
      <c r="AP319" s="61">
        <v>0</v>
      </c>
      <c r="AQ319" s="63">
        <f>ROUND(AP319*$T319,2)</f>
        <v>0</v>
      </c>
      <c r="AR319" s="61">
        <v>0</v>
      </c>
      <c r="AS319" s="63">
        <f>ROUND(AR319*$T319,2)</f>
        <v>0</v>
      </c>
      <c r="AT319" s="61">
        <v>0</v>
      </c>
      <c r="AU319" s="63">
        <f>ROUND(AT319*$T319,2)</f>
        <v>0</v>
      </c>
      <c r="AV319" s="61">
        <v>0</v>
      </c>
      <c r="AW319" s="63">
        <f>ROUND(AV319*$T319,2)</f>
        <v>0</v>
      </c>
      <c r="AX319" s="61">
        <v>0</v>
      </c>
      <c r="AY319" s="63">
        <f>ROUND(AX319*$T319,2)</f>
        <v>0</v>
      </c>
      <c r="AZ319" s="61">
        <v>0</v>
      </c>
      <c r="BA319" s="63">
        <f>ROUND(AZ319*$T319,2)</f>
        <v>0</v>
      </c>
      <c r="BB319" s="61">
        <v>0</v>
      </c>
      <c r="BC319" s="63">
        <f>ROUND(BB319*$T319,2)</f>
        <v>0</v>
      </c>
      <c r="BD319" s="61">
        <v>0</v>
      </c>
      <c r="BE319" s="63">
        <f>ROUND(BD319*$T319,2)</f>
        <v>0</v>
      </c>
      <c r="BF319" s="61">
        <f>IFERROR(SUMIFS($V319:$BE319,$V$5:$BE$5,$BF$5),0)</f>
        <v>0</v>
      </c>
      <c r="BG319" s="63">
        <f>SUMIFS($V319:$BE319,$V$5:$BE$5,$W$5)</f>
        <v>0</v>
      </c>
      <c r="BH319" s="45"/>
      <c r="BI319" s="144"/>
    </row>
    <row r="320" spans="1:61" ht="35.65" x14ac:dyDescent="0.45">
      <c r="A320" s="140">
        <v>4</v>
      </c>
      <c r="B320" s="141" t="s">
        <v>1482</v>
      </c>
      <c r="C320" s="142" t="s">
        <v>1483</v>
      </c>
      <c r="D320" s="143" t="str">
        <f>B320&amp;"_"&amp;E320</f>
        <v>4.2_5.10.5</v>
      </c>
      <c r="E320" s="56" t="s">
        <v>1260</v>
      </c>
      <c r="F320" s="506" t="s">
        <v>1846</v>
      </c>
      <c r="G320" s="507" t="s">
        <v>1795</v>
      </c>
      <c r="H320" s="507" t="s">
        <v>1795</v>
      </c>
      <c r="I320" s="507" t="s">
        <v>1823</v>
      </c>
      <c r="J320" s="507" t="s">
        <v>266</v>
      </c>
      <c r="K320" s="507" t="s">
        <v>1795</v>
      </c>
      <c r="L320" s="507" t="s">
        <v>267</v>
      </c>
      <c r="M320" s="507" t="s">
        <v>68</v>
      </c>
      <c r="N320" s="507" t="s">
        <v>1055</v>
      </c>
      <c r="O320" s="57" t="s">
        <v>1261</v>
      </c>
      <c r="P320" s="58" t="s">
        <v>846</v>
      </c>
      <c r="Q320" s="59" t="s">
        <v>1262</v>
      </c>
      <c r="R320" s="60" t="s">
        <v>367</v>
      </c>
      <c r="S320" s="61">
        <v>35682</v>
      </c>
      <c r="T320" s="62">
        <f>INDEX('BM MORRO DA CRUZ'!$P$6:$P$402,MATCH($O320,'BM MORRO DA CRUZ'!$K$6:$K$402,0))</f>
        <v>7.08</v>
      </c>
      <c r="U320" s="63">
        <f>ROUND(T320*$S320,2)</f>
        <v>252628.56</v>
      </c>
      <c r="V320" s="61">
        <f>IFERROR(SUMIFS('01ª MC'!$W$1:$W$1840,'01ª MC'!$C$1:$C$1840,$D320),0)</f>
        <v>0</v>
      </c>
      <c r="W320" s="63">
        <f>ROUND(V320*$T320,2)</f>
        <v>0</v>
      </c>
      <c r="X320" s="61">
        <v>0</v>
      </c>
      <c r="Y320" s="63">
        <f>ROUND(X320*$T320,2)</f>
        <v>0</v>
      </c>
      <c r="Z320" s="61">
        <v>0</v>
      </c>
      <c r="AA320" s="63">
        <f>ROUND(Z320*$T320,2)</f>
        <v>0</v>
      </c>
      <c r="AB320" s="61">
        <v>0</v>
      </c>
      <c r="AC320" s="63">
        <f>ROUND(AB320*$T320,2)</f>
        <v>0</v>
      </c>
      <c r="AD320" s="61">
        <v>0</v>
      </c>
      <c r="AE320" s="63">
        <f>ROUND(AD320*$T320,2)</f>
        <v>0</v>
      </c>
      <c r="AF320" s="61">
        <v>0</v>
      </c>
      <c r="AG320" s="63">
        <f>ROUND(AF320*$T320,2)</f>
        <v>0</v>
      </c>
      <c r="AH320" s="61">
        <v>0</v>
      </c>
      <c r="AI320" s="63">
        <f>ROUND(AH320*$T320,2)</f>
        <v>0</v>
      </c>
      <c r="AJ320" s="61">
        <v>0</v>
      </c>
      <c r="AK320" s="63">
        <f>ROUND(AJ320*$T320,2)</f>
        <v>0</v>
      </c>
      <c r="AL320" s="61">
        <v>0</v>
      </c>
      <c r="AM320" s="63">
        <f>ROUND(AL320*$T320,2)</f>
        <v>0</v>
      </c>
      <c r="AN320" s="61">
        <v>0</v>
      </c>
      <c r="AO320" s="63">
        <f>ROUND(AN320*$T320,2)</f>
        <v>0</v>
      </c>
      <c r="AP320" s="61">
        <v>0</v>
      </c>
      <c r="AQ320" s="63">
        <f>ROUND(AP320*$T320,2)</f>
        <v>0</v>
      </c>
      <c r="AR320" s="61">
        <v>0</v>
      </c>
      <c r="AS320" s="63">
        <f>ROUND(AR320*$T320,2)</f>
        <v>0</v>
      </c>
      <c r="AT320" s="61">
        <v>0</v>
      </c>
      <c r="AU320" s="63">
        <f>ROUND(AT320*$T320,2)</f>
        <v>0</v>
      </c>
      <c r="AV320" s="61">
        <v>0</v>
      </c>
      <c r="AW320" s="63">
        <f>ROUND(AV320*$T320,2)</f>
        <v>0</v>
      </c>
      <c r="AX320" s="61">
        <v>0</v>
      </c>
      <c r="AY320" s="63">
        <f>ROUND(AX320*$T320,2)</f>
        <v>0</v>
      </c>
      <c r="AZ320" s="61">
        <v>0</v>
      </c>
      <c r="BA320" s="63">
        <f>ROUND(AZ320*$T320,2)</f>
        <v>0</v>
      </c>
      <c r="BB320" s="61">
        <v>0</v>
      </c>
      <c r="BC320" s="63">
        <f>ROUND(BB320*$T320,2)</f>
        <v>0</v>
      </c>
      <c r="BD320" s="61">
        <v>0</v>
      </c>
      <c r="BE320" s="63">
        <f>ROUND(BD320*$T320,2)</f>
        <v>0</v>
      </c>
      <c r="BF320" s="61">
        <f>IFERROR(SUMIFS($V320:$BE320,$V$5:$BE$5,$BF$5),0)</f>
        <v>0</v>
      </c>
      <c r="BG320" s="63">
        <f>SUMIFS($V320:$BE320,$V$5:$BE$5,$W$5)</f>
        <v>0</v>
      </c>
      <c r="BH320" s="45"/>
      <c r="BI320" s="144"/>
    </row>
    <row r="321" spans="1:61" ht="35.65" x14ac:dyDescent="0.45">
      <c r="A321" s="140">
        <v>4</v>
      </c>
      <c r="B321" s="141" t="s">
        <v>1482</v>
      </c>
      <c r="C321" s="142" t="s">
        <v>1483</v>
      </c>
      <c r="D321" s="143" t="str">
        <f>B321&amp;"_"&amp;E321</f>
        <v>4.2_5.10.6</v>
      </c>
      <c r="E321" s="56" t="s">
        <v>1263</v>
      </c>
      <c r="F321" s="506" t="s">
        <v>1265</v>
      </c>
      <c r="G321" s="507" t="s">
        <v>39</v>
      </c>
      <c r="H321" s="507" t="s">
        <v>1795</v>
      </c>
      <c r="I321" s="507" t="s">
        <v>1847</v>
      </c>
      <c r="J321" s="507" t="s">
        <v>266</v>
      </c>
      <c r="K321" s="507" t="s">
        <v>39</v>
      </c>
      <c r="L321" s="507" t="s">
        <v>267</v>
      </c>
      <c r="M321" s="507" t="s">
        <v>68</v>
      </c>
      <c r="N321" s="507" t="s">
        <v>68</v>
      </c>
      <c r="O321" s="57" t="s">
        <v>1264</v>
      </c>
      <c r="P321" s="58" t="s">
        <v>846</v>
      </c>
      <c r="Q321" s="59" t="s">
        <v>1265</v>
      </c>
      <c r="R321" s="60" t="s">
        <v>71</v>
      </c>
      <c r="S321" s="61">
        <v>11894</v>
      </c>
      <c r="T321" s="62">
        <f>INDEX('BM MORRO DA CRUZ'!$P$6:$P$402,MATCH($O321,'BM MORRO DA CRUZ'!$K$6:$K$402,0))</f>
        <v>28.63</v>
      </c>
      <c r="U321" s="63">
        <f>ROUND(T321*$S321,2)</f>
        <v>340525.22</v>
      </c>
      <c r="V321" s="61">
        <f>IFERROR(SUMIFS('01ª MC'!$W$1:$W$1840,'01ª MC'!$C$1:$C$1840,$D321),0)</f>
        <v>0</v>
      </c>
      <c r="W321" s="63">
        <f>ROUND(V321*$T321,2)</f>
        <v>0</v>
      </c>
      <c r="X321" s="61">
        <v>0</v>
      </c>
      <c r="Y321" s="63">
        <f>ROUND(X321*$T321,2)</f>
        <v>0</v>
      </c>
      <c r="Z321" s="61">
        <v>0</v>
      </c>
      <c r="AA321" s="63">
        <f>ROUND(Z321*$T321,2)</f>
        <v>0</v>
      </c>
      <c r="AB321" s="61">
        <v>0</v>
      </c>
      <c r="AC321" s="63">
        <f>ROUND(AB321*$T321,2)</f>
        <v>0</v>
      </c>
      <c r="AD321" s="61">
        <v>0</v>
      </c>
      <c r="AE321" s="63">
        <f>ROUND(AD321*$T321,2)</f>
        <v>0</v>
      </c>
      <c r="AF321" s="61">
        <v>0</v>
      </c>
      <c r="AG321" s="63">
        <f>ROUND(AF321*$T321,2)</f>
        <v>0</v>
      </c>
      <c r="AH321" s="61">
        <v>0</v>
      </c>
      <c r="AI321" s="63">
        <f>ROUND(AH321*$T321,2)</f>
        <v>0</v>
      </c>
      <c r="AJ321" s="61">
        <v>0</v>
      </c>
      <c r="AK321" s="63">
        <f>ROUND(AJ321*$T321,2)</f>
        <v>0</v>
      </c>
      <c r="AL321" s="61">
        <v>0</v>
      </c>
      <c r="AM321" s="63">
        <f>ROUND(AL321*$T321,2)</f>
        <v>0</v>
      </c>
      <c r="AN321" s="61">
        <v>0</v>
      </c>
      <c r="AO321" s="63">
        <f>ROUND(AN321*$T321,2)</f>
        <v>0</v>
      </c>
      <c r="AP321" s="61">
        <v>0</v>
      </c>
      <c r="AQ321" s="63">
        <f>ROUND(AP321*$T321,2)</f>
        <v>0</v>
      </c>
      <c r="AR321" s="61">
        <v>0</v>
      </c>
      <c r="AS321" s="63">
        <f>ROUND(AR321*$T321,2)</f>
        <v>0</v>
      </c>
      <c r="AT321" s="61">
        <v>0</v>
      </c>
      <c r="AU321" s="63">
        <f>ROUND(AT321*$T321,2)</f>
        <v>0</v>
      </c>
      <c r="AV321" s="61">
        <v>0</v>
      </c>
      <c r="AW321" s="63">
        <f>ROUND(AV321*$T321,2)</f>
        <v>0</v>
      </c>
      <c r="AX321" s="61">
        <v>0</v>
      </c>
      <c r="AY321" s="63">
        <f>ROUND(AX321*$T321,2)</f>
        <v>0</v>
      </c>
      <c r="AZ321" s="61">
        <v>0</v>
      </c>
      <c r="BA321" s="63">
        <f>ROUND(AZ321*$T321,2)</f>
        <v>0</v>
      </c>
      <c r="BB321" s="61">
        <v>0</v>
      </c>
      <c r="BC321" s="63">
        <f>ROUND(BB321*$T321,2)</f>
        <v>0</v>
      </c>
      <c r="BD321" s="61">
        <v>0</v>
      </c>
      <c r="BE321" s="63">
        <f>ROUND(BD321*$T321,2)</f>
        <v>0</v>
      </c>
      <c r="BF321" s="61">
        <f>IFERROR(SUMIFS($V321:$BE321,$V$5:$BE$5,$BF$5),0)</f>
        <v>0</v>
      </c>
      <c r="BG321" s="63">
        <f>SUMIFS($V321:$BE321,$V$5:$BE$5,$W$5)</f>
        <v>0</v>
      </c>
      <c r="BH321" s="45"/>
      <c r="BI321" s="144"/>
    </row>
    <row r="322" spans="1:61" ht="19.5" customHeight="1" x14ac:dyDescent="0.45">
      <c r="A322" s="128">
        <v>4</v>
      </c>
      <c r="B322" s="129"/>
      <c r="C322" s="130"/>
      <c r="D322" s="131"/>
      <c r="E322" s="132" t="s">
        <v>1353</v>
      </c>
      <c r="F322" s="515"/>
      <c r="G322" s="516"/>
      <c r="H322" s="516"/>
      <c r="I322" s="516"/>
      <c r="J322" s="516"/>
      <c r="K322" s="516"/>
      <c r="L322" s="516"/>
      <c r="M322" s="516"/>
      <c r="N322" s="516"/>
      <c r="O322" s="133" t="s">
        <v>1354</v>
      </c>
      <c r="P322" s="134"/>
      <c r="Q322" s="135" t="s">
        <v>1355</v>
      </c>
      <c r="R322" s="136"/>
      <c r="S322" s="137"/>
      <c r="T322" s="138"/>
      <c r="U322" s="139">
        <f>SUM(U323:U323)</f>
        <v>286267.78000000003</v>
      </c>
      <c r="V322" s="137"/>
      <c r="W322" s="139">
        <f>SUM(W323:W323)</f>
        <v>0</v>
      </c>
      <c r="X322" s="137"/>
      <c r="Y322" s="139">
        <f>SUM(Y323:Y323)</f>
        <v>0</v>
      </c>
      <c r="Z322" s="137"/>
      <c r="AA322" s="139">
        <f>SUM(AA323:AA323)</f>
        <v>0</v>
      </c>
      <c r="AB322" s="137"/>
      <c r="AC322" s="139">
        <f>SUM(AC323:AC323)</f>
        <v>0</v>
      </c>
      <c r="AD322" s="137"/>
      <c r="AE322" s="139">
        <f>SUM(AE323:AE323)</f>
        <v>0</v>
      </c>
      <c r="AF322" s="137"/>
      <c r="AG322" s="139">
        <f>SUM(AG323:AG323)</f>
        <v>0</v>
      </c>
      <c r="AH322" s="137"/>
      <c r="AI322" s="139">
        <f>SUM(AI323:AI323)</f>
        <v>0</v>
      </c>
      <c r="AJ322" s="137"/>
      <c r="AK322" s="139">
        <f>SUM(AK323:AK323)</f>
        <v>0</v>
      </c>
      <c r="AL322" s="137"/>
      <c r="AM322" s="139">
        <f>SUM(AM323:AM323)</f>
        <v>0</v>
      </c>
      <c r="AN322" s="137"/>
      <c r="AO322" s="139">
        <f>SUM(AO323:AO323)</f>
        <v>0</v>
      </c>
      <c r="AP322" s="137"/>
      <c r="AQ322" s="139">
        <f>SUM(AQ323:AQ323)</f>
        <v>0</v>
      </c>
      <c r="AR322" s="137"/>
      <c r="AS322" s="139">
        <f>SUM(AS323:AS323)</f>
        <v>0</v>
      </c>
      <c r="AT322" s="137"/>
      <c r="AU322" s="139">
        <f>SUM(AU323:AU323)</f>
        <v>0</v>
      </c>
      <c r="AV322" s="137"/>
      <c r="AW322" s="139">
        <f>SUM(AW323:AW323)</f>
        <v>0</v>
      </c>
      <c r="AX322" s="137"/>
      <c r="AY322" s="139">
        <f>SUM(AY323:AY323)</f>
        <v>0</v>
      </c>
      <c r="AZ322" s="137"/>
      <c r="BA322" s="139">
        <f>SUM(BA323:BA323)</f>
        <v>0</v>
      </c>
      <c r="BB322" s="137"/>
      <c r="BC322" s="139">
        <f>SUM(BC323:BC323)</f>
        <v>0</v>
      </c>
      <c r="BD322" s="137"/>
      <c r="BE322" s="139">
        <f>SUM(BE323:BE323)</f>
        <v>0</v>
      </c>
      <c r="BF322" s="137"/>
      <c r="BG322" s="139">
        <f>SUM(BG323:BG323)</f>
        <v>0</v>
      </c>
      <c r="BH322" s="45"/>
    </row>
    <row r="323" spans="1:61" ht="26" customHeight="1" x14ac:dyDescent="0.45">
      <c r="A323" s="140">
        <v>4</v>
      </c>
      <c r="B323" s="141" t="s">
        <v>1482</v>
      </c>
      <c r="C323" s="142" t="s">
        <v>1483</v>
      </c>
      <c r="D323" s="143" t="str">
        <f>B323&amp;"_"&amp;E323</f>
        <v>4.2_5.17.3</v>
      </c>
      <c r="E323" s="56" t="s">
        <v>1362</v>
      </c>
      <c r="F323" s="506" t="s">
        <v>1364</v>
      </c>
      <c r="G323" s="507" t="s">
        <v>39</v>
      </c>
      <c r="H323" s="507" t="s">
        <v>39</v>
      </c>
      <c r="I323" s="507" t="s">
        <v>1757</v>
      </c>
      <c r="J323" s="507" t="s">
        <v>39</v>
      </c>
      <c r="K323" s="507" t="s">
        <v>39</v>
      </c>
      <c r="L323" s="507" t="s">
        <v>39</v>
      </c>
      <c r="M323" s="507" t="s">
        <v>68</v>
      </c>
      <c r="N323" s="507" t="s">
        <v>1757</v>
      </c>
      <c r="O323" s="57" t="s">
        <v>1363</v>
      </c>
      <c r="P323" s="58" t="s">
        <v>846</v>
      </c>
      <c r="Q323" s="59" t="s">
        <v>1364</v>
      </c>
      <c r="R323" s="60" t="s">
        <v>755</v>
      </c>
      <c r="S323" s="61">
        <v>6026.69</v>
      </c>
      <c r="T323" s="62">
        <f>INDEX('BM MORRO DA CRUZ'!$P$6:$P$402,MATCH($O323,'BM MORRO DA CRUZ'!$K$6:$K$402,0))</f>
        <v>47.5</v>
      </c>
      <c r="U323" s="63">
        <f>ROUND(T323*$S323,2)</f>
        <v>286267.78000000003</v>
      </c>
      <c r="V323" s="61">
        <f>IFERROR(SUMIFS('01ª MC'!$W$1:$W$1840,'01ª MC'!$C$1:$C$1840,$D323),0)</f>
        <v>0</v>
      </c>
      <c r="W323" s="63">
        <f>ROUND(V323*$T323,2)</f>
        <v>0</v>
      </c>
      <c r="X323" s="61">
        <v>0</v>
      </c>
      <c r="Y323" s="63">
        <f>ROUND(X323*$T323,2)</f>
        <v>0</v>
      </c>
      <c r="Z323" s="61">
        <v>0</v>
      </c>
      <c r="AA323" s="63">
        <f>ROUND(Z323*$T323,2)</f>
        <v>0</v>
      </c>
      <c r="AB323" s="61">
        <v>0</v>
      </c>
      <c r="AC323" s="63">
        <f>ROUND(AB323*$T323,2)</f>
        <v>0</v>
      </c>
      <c r="AD323" s="61">
        <v>0</v>
      </c>
      <c r="AE323" s="63">
        <f>ROUND(AD323*$T323,2)</f>
        <v>0</v>
      </c>
      <c r="AF323" s="61">
        <v>0</v>
      </c>
      <c r="AG323" s="63">
        <f>ROUND(AF323*$T323,2)</f>
        <v>0</v>
      </c>
      <c r="AH323" s="61">
        <v>0</v>
      </c>
      <c r="AI323" s="63">
        <f>ROUND(AH323*$T323,2)</f>
        <v>0</v>
      </c>
      <c r="AJ323" s="61">
        <v>0</v>
      </c>
      <c r="AK323" s="63">
        <f>ROUND(AJ323*$T323,2)</f>
        <v>0</v>
      </c>
      <c r="AL323" s="61">
        <v>0</v>
      </c>
      <c r="AM323" s="63">
        <f>ROUND(AL323*$T323,2)</f>
        <v>0</v>
      </c>
      <c r="AN323" s="61">
        <v>0</v>
      </c>
      <c r="AO323" s="63">
        <f>ROUND(AN323*$T323,2)</f>
        <v>0</v>
      </c>
      <c r="AP323" s="61">
        <v>0</v>
      </c>
      <c r="AQ323" s="63">
        <f>ROUND(AP323*$T323,2)</f>
        <v>0</v>
      </c>
      <c r="AR323" s="61">
        <v>0</v>
      </c>
      <c r="AS323" s="63">
        <f>ROUND(AR323*$T323,2)</f>
        <v>0</v>
      </c>
      <c r="AT323" s="61">
        <v>0</v>
      </c>
      <c r="AU323" s="63">
        <f>ROUND(AT323*$T323,2)</f>
        <v>0</v>
      </c>
      <c r="AV323" s="61">
        <v>0</v>
      </c>
      <c r="AW323" s="63">
        <f>ROUND(AV323*$T323,2)</f>
        <v>0</v>
      </c>
      <c r="AX323" s="61">
        <v>0</v>
      </c>
      <c r="AY323" s="63">
        <f>ROUND(AX323*$T323,2)</f>
        <v>0</v>
      </c>
      <c r="AZ323" s="61">
        <v>0</v>
      </c>
      <c r="BA323" s="63">
        <f>ROUND(AZ323*$T323,2)</f>
        <v>0</v>
      </c>
      <c r="BB323" s="61">
        <v>0</v>
      </c>
      <c r="BC323" s="63">
        <f>ROUND(BB323*$T323,2)</f>
        <v>0</v>
      </c>
      <c r="BD323" s="61">
        <v>0</v>
      </c>
      <c r="BE323" s="63">
        <f>ROUND(BD323*$T323,2)</f>
        <v>0</v>
      </c>
      <c r="BF323" s="61">
        <f>IFERROR(SUMIFS($V323:$BE323,$V$5:$BE$5,$BF$5),0)</f>
        <v>0</v>
      </c>
      <c r="BG323" s="63">
        <f>SUMIFS($V323:$BE323,$V$5:$BE$5,$W$5)</f>
        <v>0</v>
      </c>
      <c r="BH323" s="45"/>
      <c r="BI323" s="144"/>
    </row>
    <row r="324" spans="1:61" ht="19.5" customHeight="1" x14ac:dyDescent="0.45">
      <c r="A324" s="128">
        <v>4</v>
      </c>
      <c r="B324" s="129"/>
      <c r="C324" s="130"/>
      <c r="D324" s="131"/>
      <c r="E324" s="132" t="s">
        <v>1371</v>
      </c>
      <c r="F324" s="515"/>
      <c r="G324" s="516"/>
      <c r="H324" s="516"/>
      <c r="I324" s="516"/>
      <c r="J324" s="516"/>
      <c r="K324" s="516"/>
      <c r="L324" s="516"/>
      <c r="M324" s="516"/>
      <c r="N324" s="516"/>
      <c r="O324" s="133" t="s">
        <v>1372</v>
      </c>
      <c r="P324" s="134"/>
      <c r="Q324" s="135" t="s">
        <v>1247</v>
      </c>
      <c r="R324" s="136"/>
      <c r="S324" s="137"/>
      <c r="T324" s="138"/>
      <c r="U324" s="139">
        <f>SUM(U325:U325)</f>
        <v>165088.72</v>
      </c>
      <c r="V324" s="137"/>
      <c r="W324" s="139">
        <f>SUM(W325:W325)</f>
        <v>0</v>
      </c>
      <c r="X324" s="137"/>
      <c r="Y324" s="139">
        <f>SUM(Y325:Y325)</f>
        <v>0</v>
      </c>
      <c r="Z324" s="137"/>
      <c r="AA324" s="139">
        <f>SUM(AA325:AA325)</f>
        <v>0</v>
      </c>
      <c r="AB324" s="137"/>
      <c r="AC324" s="139">
        <f>SUM(AC325:AC325)</f>
        <v>0</v>
      </c>
      <c r="AD324" s="137"/>
      <c r="AE324" s="139">
        <f>SUM(AE325:AE325)</f>
        <v>0</v>
      </c>
      <c r="AF324" s="137"/>
      <c r="AG324" s="139">
        <f>SUM(AG325:AG325)</f>
        <v>0</v>
      </c>
      <c r="AH324" s="137"/>
      <c r="AI324" s="139">
        <f>SUM(AI325:AI325)</f>
        <v>0</v>
      </c>
      <c r="AJ324" s="137"/>
      <c r="AK324" s="139">
        <f>SUM(AK325:AK325)</f>
        <v>0</v>
      </c>
      <c r="AL324" s="137"/>
      <c r="AM324" s="139">
        <f>SUM(AM325:AM325)</f>
        <v>0</v>
      </c>
      <c r="AN324" s="137"/>
      <c r="AO324" s="139">
        <f>SUM(AO325:AO325)</f>
        <v>0</v>
      </c>
      <c r="AP324" s="137"/>
      <c r="AQ324" s="139">
        <f>SUM(AQ325:AQ325)</f>
        <v>0</v>
      </c>
      <c r="AR324" s="137"/>
      <c r="AS324" s="139">
        <f>SUM(AS325:AS325)</f>
        <v>0</v>
      </c>
      <c r="AT324" s="137"/>
      <c r="AU324" s="139">
        <f>SUM(AU325:AU325)</f>
        <v>0</v>
      </c>
      <c r="AV324" s="137"/>
      <c r="AW324" s="139">
        <f>SUM(AW325:AW325)</f>
        <v>0</v>
      </c>
      <c r="AX324" s="137"/>
      <c r="AY324" s="139">
        <f>SUM(AY325:AY325)</f>
        <v>0</v>
      </c>
      <c r="AZ324" s="137"/>
      <c r="BA324" s="139">
        <f>SUM(BA325:BA325)</f>
        <v>0</v>
      </c>
      <c r="BB324" s="137"/>
      <c r="BC324" s="139">
        <f>SUM(BC325:BC325)</f>
        <v>0</v>
      </c>
      <c r="BD324" s="137"/>
      <c r="BE324" s="139">
        <f>SUM(BE325:BE325)</f>
        <v>0</v>
      </c>
      <c r="BF324" s="137"/>
      <c r="BG324" s="139">
        <f>SUM(BG325:BG325)</f>
        <v>0</v>
      </c>
      <c r="BH324" s="45"/>
    </row>
    <row r="325" spans="1:61" ht="26" customHeight="1" x14ac:dyDescent="0.45">
      <c r="A325" s="140">
        <v>4</v>
      </c>
      <c r="B325" s="141" t="s">
        <v>1482</v>
      </c>
      <c r="C325" s="142" t="s">
        <v>1483</v>
      </c>
      <c r="D325" s="143" t="str">
        <f>B325&amp;"_"&amp;E325</f>
        <v>4.2_5.18.1</v>
      </c>
      <c r="E325" s="56" t="s">
        <v>1373</v>
      </c>
      <c r="F325" s="506" t="s">
        <v>1842</v>
      </c>
      <c r="G325" s="507" t="s">
        <v>39</v>
      </c>
      <c r="H325" s="507" t="s">
        <v>39</v>
      </c>
      <c r="I325" s="507" t="s">
        <v>214</v>
      </c>
      <c r="J325" s="507" t="s">
        <v>39</v>
      </c>
      <c r="K325" s="507" t="s">
        <v>39</v>
      </c>
      <c r="L325" s="507" t="s">
        <v>39</v>
      </c>
      <c r="M325" s="507" t="s">
        <v>68</v>
      </c>
      <c r="N325" s="507" t="s">
        <v>214</v>
      </c>
      <c r="O325" s="57" t="s">
        <v>1374</v>
      </c>
      <c r="P325" s="58" t="s">
        <v>846</v>
      </c>
      <c r="Q325" s="59" t="s">
        <v>1375</v>
      </c>
      <c r="R325" s="60" t="s">
        <v>71</v>
      </c>
      <c r="S325" s="61">
        <v>11894</v>
      </c>
      <c r="T325" s="62">
        <f>INDEX('BM MORRO DA CRUZ'!$P$6:$P$402,MATCH($O325,'BM MORRO DA CRUZ'!$K$6:$K$402,0))</f>
        <v>13.88</v>
      </c>
      <c r="U325" s="63">
        <f>ROUND(T325*$S325,2)</f>
        <v>165088.72</v>
      </c>
      <c r="V325" s="61">
        <f>IFERROR(SUMIFS('01ª MC'!$W$1:$W$1840,'01ª MC'!$C$1:$C$1840,$D325),0)</f>
        <v>0</v>
      </c>
      <c r="W325" s="63">
        <f>ROUND(V325*$T325,2)</f>
        <v>0</v>
      </c>
      <c r="X325" s="61">
        <v>0</v>
      </c>
      <c r="Y325" s="63">
        <f>ROUND(X325*$T325,2)</f>
        <v>0</v>
      </c>
      <c r="Z325" s="61">
        <v>0</v>
      </c>
      <c r="AA325" s="63">
        <f>ROUND(Z325*$T325,2)</f>
        <v>0</v>
      </c>
      <c r="AB325" s="61">
        <v>0</v>
      </c>
      <c r="AC325" s="63">
        <f>ROUND(AB325*$T325,2)</f>
        <v>0</v>
      </c>
      <c r="AD325" s="61">
        <v>0</v>
      </c>
      <c r="AE325" s="63">
        <f>ROUND(AD325*$T325,2)</f>
        <v>0</v>
      </c>
      <c r="AF325" s="61">
        <v>0</v>
      </c>
      <c r="AG325" s="63">
        <f>ROUND(AF325*$T325,2)</f>
        <v>0</v>
      </c>
      <c r="AH325" s="61">
        <v>0</v>
      </c>
      <c r="AI325" s="63">
        <f>ROUND(AH325*$T325,2)</f>
        <v>0</v>
      </c>
      <c r="AJ325" s="61">
        <v>0</v>
      </c>
      <c r="AK325" s="63">
        <f>ROUND(AJ325*$T325,2)</f>
        <v>0</v>
      </c>
      <c r="AL325" s="61">
        <v>0</v>
      </c>
      <c r="AM325" s="63">
        <f>ROUND(AL325*$T325,2)</f>
        <v>0</v>
      </c>
      <c r="AN325" s="61">
        <v>0</v>
      </c>
      <c r="AO325" s="63">
        <f>ROUND(AN325*$T325,2)</f>
        <v>0</v>
      </c>
      <c r="AP325" s="61">
        <v>0</v>
      </c>
      <c r="AQ325" s="63">
        <f>ROUND(AP325*$T325,2)</f>
        <v>0</v>
      </c>
      <c r="AR325" s="61">
        <v>0</v>
      </c>
      <c r="AS325" s="63">
        <f>ROUND(AR325*$T325,2)</f>
        <v>0</v>
      </c>
      <c r="AT325" s="61">
        <v>0</v>
      </c>
      <c r="AU325" s="63">
        <f>ROUND(AT325*$T325,2)</f>
        <v>0</v>
      </c>
      <c r="AV325" s="61">
        <v>0</v>
      </c>
      <c r="AW325" s="63">
        <f>ROUND(AV325*$T325,2)</f>
        <v>0</v>
      </c>
      <c r="AX325" s="61">
        <v>0</v>
      </c>
      <c r="AY325" s="63">
        <f>ROUND(AX325*$T325,2)</f>
        <v>0</v>
      </c>
      <c r="AZ325" s="61">
        <v>0</v>
      </c>
      <c r="BA325" s="63">
        <f>ROUND(AZ325*$T325,2)</f>
        <v>0</v>
      </c>
      <c r="BB325" s="61">
        <v>0</v>
      </c>
      <c r="BC325" s="63">
        <f>ROUND(BB325*$T325,2)</f>
        <v>0</v>
      </c>
      <c r="BD325" s="61">
        <v>0</v>
      </c>
      <c r="BE325" s="63">
        <f>ROUND(BD325*$T325,2)</f>
        <v>0</v>
      </c>
      <c r="BF325" s="61">
        <f>IFERROR(SUMIFS($V325:$BE325,$V$5:$BE$5,$BF$5),0)</f>
        <v>0</v>
      </c>
      <c r="BG325" s="63">
        <f>SUMIFS($V325:$BE325,$V$5:$BE$5,$W$5)</f>
        <v>0</v>
      </c>
      <c r="BH325" s="45"/>
      <c r="BI325" s="144"/>
    </row>
    <row r="326" spans="1:61" ht="19.5" customHeight="1" x14ac:dyDescent="0.45">
      <c r="A326" s="103">
        <v>4</v>
      </c>
      <c r="B326" s="104"/>
      <c r="C326" s="105" t="s">
        <v>1484</v>
      </c>
      <c r="D326" s="106"/>
      <c r="E326" s="107"/>
      <c r="F326" s="512"/>
      <c r="G326" s="108"/>
      <c r="H326" s="108"/>
      <c r="I326" s="108"/>
      <c r="J326" s="108"/>
      <c r="K326" s="108"/>
      <c r="L326" s="108"/>
      <c r="M326" s="108"/>
      <c r="N326" s="108"/>
      <c r="O326" s="109"/>
      <c r="P326" s="110"/>
      <c r="Q326" s="111" t="s">
        <v>1484</v>
      </c>
      <c r="R326" s="112"/>
      <c r="S326" s="113"/>
      <c r="T326" s="114"/>
      <c r="U326" s="115">
        <f>SUM(U327,U332)</f>
        <v>18607.149999999998</v>
      </c>
      <c r="V326" s="116"/>
      <c r="W326" s="115">
        <f>SUM(W327,W332)</f>
        <v>0</v>
      </c>
      <c r="X326" s="116"/>
      <c r="Y326" s="115">
        <f>SUM(Y327,Y332)</f>
        <v>0</v>
      </c>
      <c r="Z326" s="116"/>
      <c r="AA326" s="115">
        <f>SUM(AA327,AA332)</f>
        <v>0</v>
      </c>
      <c r="AB326" s="116"/>
      <c r="AC326" s="115">
        <f>SUM(AC327,AC332)</f>
        <v>0</v>
      </c>
      <c r="AD326" s="116"/>
      <c r="AE326" s="115">
        <f>SUM(AE327,AE332)</f>
        <v>0</v>
      </c>
      <c r="AF326" s="116"/>
      <c r="AG326" s="115">
        <f>SUM(AG327,AG332)</f>
        <v>0</v>
      </c>
      <c r="AH326" s="116"/>
      <c r="AI326" s="115">
        <f>SUM(AI327,AI332)</f>
        <v>0</v>
      </c>
      <c r="AJ326" s="116"/>
      <c r="AK326" s="115">
        <f>SUM(AK327,AK332)</f>
        <v>0</v>
      </c>
      <c r="AL326" s="116"/>
      <c r="AM326" s="115">
        <f>SUM(AM327,AM332)</f>
        <v>0</v>
      </c>
      <c r="AN326" s="116"/>
      <c r="AO326" s="115">
        <f>SUM(AO327,AO332)</f>
        <v>0</v>
      </c>
      <c r="AP326" s="116"/>
      <c r="AQ326" s="115">
        <f>SUM(AQ327,AQ332)</f>
        <v>0</v>
      </c>
      <c r="AR326" s="116"/>
      <c r="AS326" s="115">
        <f>SUM(AS327,AS332)</f>
        <v>0</v>
      </c>
      <c r="AT326" s="116"/>
      <c r="AU326" s="115">
        <f>SUM(AU327,AU332)</f>
        <v>0</v>
      </c>
      <c r="AV326" s="116"/>
      <c r="AW326" s="115">
        <f>SUM(AW327,AW332)</f>
        <v>0</v>
      </c>
      <c r="AX326" s="116"/>
      <c r="AY326" s="115">
        <f>SUM(AY327,AY332)</f>
        <v>0</v>
      </c>
      <c r="AZ326" s="116"/>
      <c r="BA326" s="115">
        <f>SUM(BA327,BA332)</f>
        <v>0</v>
      </c>
      <c r="BB326" s="116"/>
      <c r="BC326" s="115">
        <f>SUM(BC327,BC332)</f>
        <v>0</v>
      </c>
      <c r="BD326" s="116"/>
      <c r="BE326" s="115">
        <f>SUM(BE327,BE332)</f>
        <v>0</v>
      </c>
      <c r="BF326" s="116"/>
      <c r="BG326" s="115">
        <f>SUM(BG327,BG332)</f>
        <v>0</v>
      </c>
      <c r="BH326" s="102">
        <f>U326/$T$550</f>
        <v>3.8338137918148495E-4</v>
      </c>
    </row>
    <row r="327" spans="1:61" ht="19.5" customHeight="1" x14ac:dyDescent="0.45">
      <c r="A327" s="117">
        <v>4</v>
      </c>
      <c r="B327" s="118"/>
      <c r="C327" s="119"/>
      <c r="D327" s="120"/>
      <c r="E327" s="35" t="s">
        <v>1463</v>
      </c>
      <c r="F327" s="513"/>
      <c r="G327" s="514"/>
      <c r="H327" s="514"/>
      <c r="I327" s="514"/>
      <c r="J327" s="514"/>
      <c r="K327" s="514"/>
      <c r="L327" s="514"/>
      <c r="M327" s="514"/>
      <c r="N327" s="514"/>
      <c r="O327" s="121" t="s">
        <v>33</v>
      </c>
      <c r="P327" s="122"/>
      <c r="Q327" s="123" t="s">
        <v>21</v>
      </c>
      <c r="R327" s="124"/>
      <c r="S327" s="125"/>
      <c r="T327" s="126"/>
      <c r="U327" s="127">
        <f>SUM(U328,U330)</f>
        <v>2596.81</v>
      </c>
      <c r="V327" s="125"/>
      <c r="W327" s="127">
        <f>SUM(W328,W330)</f>
        <v>0</v>
      </c>
      <c r="X327" s="125"/>
      <c r="Y327" s="127">
        <f>SUM(Y328,Y330)</f>
        <v>0</v>
      </c>
      <c r="Z327" s="125"/>
      <c r="AA327" s="127">
        <f>SUM(AA328,AA330)</f>
        <v>0</v>
      </c>
      <c r="AB327" s="125"/>
      <c r="AC327" s="127">
        <f>SUM(AC328,AC330)</f>
        <v>0</v>
      </c>
      <c r="AD327" s="125"/>
      <c r="AE327" s="127">
        <f>SUM(AE328,AE330)</f>
        <v>0</v>
      </c>
      <c r="AF327" s="125"/>
      <c r="AG327" s="127">
        <f>SUM(AG328,AG330)</f>
        <v>0</v>
      </c>
      <c r="AH327" s="125"/>
      <c r="AI327" s="127">
        <f>SUM(AI328,AI330)</f>
        <v>0</v>
      </c>
      <c r="AJ327" s="125"/>
      <c r="AK327" s="127">
        <f>SUM(AK328,AK330)</f>
        <v>0</v>
      </c>
      <c r="AL327" s="125"/>
      <c r="AM327" s="127">
        <f>SUM(AM328,AM330)</f>
        <v>0</v>
      </c>
      <c r="AN327" s="125"/>
      <c r="AO327" s="127">
        <f>SUM(AO328,AO330)</f>
        <v>0</v>
      </c>
      <c r="AP327" s="125"/>
      <c r="AQ327" s="127">
        <f>SUM(AQ328,AQ330)</f>
        <v>0</v>
      </c>
      <c r="AR327" s="125"/>
      <c r="AS327" s="127">
        <f>SUM(AS328,AS330)</f>
        <v>0</v>
      </c>
      <c r="AT327" s="125"/>
      <c r="AU327" s="127">
        <f>SUM(AU328,AU330)</f>
        <v>0</v>
      </c>
      <c r="AV327" s="125"/>
      <c r="AW327" s="127">
        <f>SUM(AW328,AW330)</f>
        <v>0</v>
      </c>
      <c r="AX327" s="125"/>
      <c r="AY327" s="127">
        <f>SUM(AY328,AY330)</f>
        <v>0</v>
      </c>
      <c r="AZ327" s="125"/>
      <c r="BA327" s="127">
        <f>SUM(BA328,BA330)</f>
        <v>0</v>
      </c>
      <c r="BB327" s="125"/>
      <c r="BC327" s="127">
        <f>SUM(BC328,BC330)</f>
        <v>0</v>
      </c>
      <c r="BD327" s="125"/>
      <c r="BE327" s="127">
        <f>SUM(BE328,BE330)</f>
        <v>0</v>
      </c>
      <c r="BF327" s="125"/>
      <c r="BG327" s="127">
        <f>SUM(BG328,BG330)</f>
        <v>0</v>
      </c>
      <c r="BH327" s="45"/>
    </row>
    <row r="328" spans="1:61" ht="19.5" customHeight="1" x14ac:dyDescent="0.45">
      <c r="A328" s="128">
        <v>4</v>
      </c>
      <c r="B328" s="129"/>
      <c r="C328" s="130"/>
      <c r="D328" s="131"/>
      <c r="E328" s="132" t="s">
        <v>45</v>
      </c>
      <c r="F328" s="515"/>
      <c r="G328" s="516"/>
      <c r="H328" s="516"/>
      <c r="I328" s="516"/>
      <c r="J328" s="516"/>
      <c r="K328" s="516"/>
      <c r="L328" s="516"/>
      <c r="M328" s="516"/>
      <c r="N328" s="516"/>
      <c r="O328" s="133" t="s">
        <v>46</v>
      </c>
      <c r="P328" s="134"/>
      <c r="Q328" s="135" t="s">
        <v>47</v>
      </c>
      <c r="R328" s="136"/>
      <c r="S328" s="137"/>
      <c r="T328" s="138"/>
      <c r="U328" s="139">
        <f>SUM(U329:U329)</f>
        <v>163.25</v>
      </c>
      <c r="V328" s="137"/>
      <c r="W328" s="139">
        <f>SUM(W329:W329)</f>
        <v>0</v>
      </c>
      <c r="X328" s="137"/>
      <c r="Y328" s="139">
        <f>SUM(Y329:Y329)</f>
        <v>0</v>
      </c>
      <c r="Z328" s="137"/>
      <c r="AA328" s="139">
        <f>SUM(AA329:AA329)</f>
        <v>0</v>
      </c>
      <c r="AB328" s="137"/>
      <c r="AC328" s="139">
        <f>SUM(AC329:AC329)</f>
        <v>0</v>
      </c>
      <c r="AD328" s="137"/>
      <c r="AE328" s="139">
        <f>SUM(AE329:AE329)</f>
        <v>0</v>
      </c>
      <c r="AF328" s="137"/>
      <c r="AG328" s="139">
        <f>SUM(AG329:AG329)</f>
        <v>0</v>
      </c>
      <c r="AH328" s="137"/>
      <c r="AI328" s="139">
        <f>SUM(AI329:AI329)</f>
        <v>0</v>
      </c>
      <c r="AJ328" s="137"/>
      <c r="AK328" s="139">
        <f>SUM(AK329:AK329)</f>
        <v>0</v>
      </c>
      <c r="AL328" s="137"/>
      <c r="AM328" s="139">
        <f>SUM(AM329:AM329)</f>
        <v>0</v>
      </c>
      <c r="AN328" s="137"/>
      <c r="AO328" s="139">
        <f>SUM(AO329:AO329)</f>
        <v>0</v>
      </c>
      <c r="AP328" s="137"/>
      <c r="AQ328" s="139">
        <f>SUM(AQ329:AQ329)</f>
        <v>0</v>
      </c>
      <c r="AR328" s="137"/>
      <c r="AS328" s="139">
        <f>SUM(AS329:AS329)</f>
        <v>0</v>
      </c>
      <c r="AT328" s="137"/>
      <c r="AU328" s="139">
        <f>SUM(AU329:AU329)</f>
        <v>0</v>
      </c>
      <c r="AV328" s="137"/>
      <c r="AW328" s="139">
        <f>SUM(AW329:AW329)</f>
        <v>0</v>
      </c>
      <c r="AX328" s="137"/>
      <c r="AY328" s="139">
        <f>SUM(AY329:AY329)</f>
        <v>0</v>
      </c>
      <c r="AZ328" s="137"/>
      <c r="BA328" s="139">
        <f>SUM(BA329:BA329)</f>
        <v>0</v>
      </c>
      <c r="BB328" s="137"/>
      <c r="BC328" s="139">
        <f>SUM(BC329:BC329)</f>
        <v>0</v>
      </c>
      <c r="BD328" s="137"/>
      <c r="BE328" s="139">
        <f>SUM(BE329:BE329)</f>
        <v>0</v>
      </c>
      <c r="BF328" s="137"/>
      <c r="BG328" s="139">
        <f>SUM(BG329:BG329)</f>
        <v>0</v>
      </c>
      <c r="BH328" s="45"/>
    </row>
    <row r="329" spans="1:61" ht="26.25" customHeight="1" x14ac:dyDescent="0.45">
      <c r="A329" s="140">
        <v>4</v>
      </c>
      <c r="B329" s="141" t="s">
        <v>843</v>
      </c>
      <c r="C329" s="142" t="s">
        <v>1485</v>
      </c>
      <c r="D329" s="143" t="str">
        <f>B329&amp;"_"&amp;E329</f>
        <v>4.1_1.2.2</v>
      </c>
      <c r="E329" s="56" t="s">
        <v>55</v>
      </c>
      <c r="F329" s="506" t="s">
        <v>56</v>
      </c>
      <c r="G329" s="507" t="s">
        <v>39</v>
      </c>
      <c r="H329" s="507" t="s">
        <v>39</v>
      </c>
      <c r="I329" s="507" t="s">
        <v>39</v>
      </c>
      <c r="J329" s="507" t="s">
        <v>39</v>
      </c>
      <c r="K329" s="507" t="s">
        <v>39</v>
      </c>
      <c r="L329" s="507" t="s">
        <v>39</v>
      </c>
      <c r="M329" s="507" t="s">
        <v>57</v>
      </c>
      <c r="N329" s="507" t="s">
        <v>51</v>
      </c>
      <c r="O329" s="57" t="s">
        <v>58</v>
      </c>
      <c r="P329" s="58" t="s">
        <v>21</v>
      </c>
      <c r="Q329" s="59" t="s">
        <v>59</v>
      </c>
      <c r="R329" s="60" t="s">
        <v>54</v>
      </c>
      <c r="S329" s="61">
        <v>9.5299999999999994</v>
      </c>
      <c r="T329" s="62">
        <f>INDEX('BM MORRO DA CRUZ'!$P$6:$P$402,MATCH($O329,'BM MORRO DA CRUZ'!$K$6:$K$402,0))</f>
        <v>17.13</v>
      </c>
      <c r="U329" s="63">
        <f>ROUND(T329*$S329,2)</f>
        <v>163.25</v>
      </c>
      <c r="V329" s="61">
        <f>IFERROR(SUMIFS('01ª MC'!$W$1:$W$1840,'01ª MC'!$C$1:$C$1840,$D329),0)</f>
        <v>0</v>
      </c>
      <c r="W329" s="63">
        <f>ROUND(V329*$T329,2)</f>
        <v>0</v>
      </c>
      <c r="X329" s="61">
        <v>0</v>
      </c>
      <c r="Y329" s="63">
        <f>ROUND(X329*$T329,2)</f>
        <v>0</v>
      </c>
      <c r="Z329" s="61">
        <v>0</v>
      </c>
      <c r="AA329" s="63">
        <f>ROUND(Z329*$T329,2)</f>
        <v>0</v>
      </c>
      <c r="AB329" s="61">
        <v>0</v>
      </c>
      <c r="AC329" s="63">
        <f>ROUND(AB329*$T329,2)</f>
        <v>0</v>
      </c>
      <c r="AD329" s="61">
        <v>0</v>
      </c>
      <c r="AE329" s="63">
        <f>ROUND(AD329*$T329,2)</f>
        <v>0</v>
      </c>
      <c r="AF329" s="61">
        <v>0</v>
      </c>
      <c r="AG329" s="63">
        <f>ROUND(AF329*$T329,2)</f>
        <v>0</v>
      </c>
      <c r="AH329" s="61">
        <v>0</v>
      </c>
      <c r="AI329" s="63">
        <f>ROUND(AH329*$T329,2)</f>
        <v>0</v>
      </c>
      <c r="AJ329" s="61">
        <v>0</v>
      </c>
      <c r="AK329" s="63">
        <f>ROUND(AJ329*$T329,2)</f>
        <v>0</v>
      </c>
      <c r="AL329" s="61">
        <v>0</v>
      </c>
      <c r="AM329" s="63">
        <f>ROUND(AL329*$T329,2)</f>
        <v>0</v>
      </c>
      <c r="AN329" s="61">
        <v>0</v>
      </c>
      <c r="AO329" s="63">
        <f>ROUND(AN329*$T329,2)</f>
        <v>0</v>
      </c>
      <c r="AP329" s="61">
        <v>0</v>
      </c>
      <c r="AQ329" s="63">
        <f>ROUND(AP329*$T329,2)</f>
        <v>0</v>
      </c>
      <c r="AR329" s="61">
        <v>0</v>
      </c>
      <c r="AS329" s="63">
        <f>ROUND(AR329*$T329,2)</f>
        <v>0</v>
      </c>
      <c r="AT329" s="61">
        <v>0</v>
      </c>
      <c r="AU329" s="63">
        <f>ROUND(AT329*$T329,2)</f>
        <v>0</v>
      </c>
      <c r="AV329" s="61">
        <v>0</v>
      </c>
      <c r="AW329" s="63">
        <f>ROUND(AV329*$T329,2)</f>
        <v>0</v>
      </c>
      <c r="AX329" s="61">
        <v>0</v>
      </c>
      <c r="AY329" s="63">
        <f>ROUND(AX329*$T329,2)</f>
        <v>0</v>
      </c>
      <c r="AZ329" s="61">
        <v>0</v>
      </c>
      <c r="BA329" s="63">
        <f>ROUND(AZ329*$T329,2)</f>
        <v>0</v>
      </c>
      <c r="BB329" s="61">
        <v>0</v>
      </c>
      <c r="BC329" s="63">
        <f>ROUND(BB329*$T329,2)</f>
        <v>0</v>
      </c>
      <c r="BD329" s="61">
        <v>0</v>
      </c>
      <c r="BE329" s="63">
        <f>ROUND(BD329*$T329,2)</f>
        <v>0</v>
      </c>
      <c r="BF329" s="61">
        <f>IFERROR(SUMIFS($V329:$BE329,$V$5:$BE$5,$BF$5),0)</f>
        <v>0</v>
      </c>
      <c r="BG329" s="63">
        <f>SUMIFS($V329:$BE329,$V$5:$BE$5,$W$5)</f>
        <v>0</v>
      </c>
      <c r="BH329" s="45"/>
      <c r="BI329" s="144"/>
    </row>
    <row r="330" spans="1:61" ht="19.5" customHeight="1" x14ac:dyDescent="0.45">
      <c r="A330" s="128">
        <v>4</v>
      </c>
      <c r="B330" s="129"/>
      <c r="C330" s="130"/>
      <c r="D330" s="131"/>
      <c r="E330" s="132" t="s">
        <v>742</v>
      </c>
      <c r="F330" s="515"/>
      <c r="G330" s="516"/>
      <c r="H330" s="516"/>
      <c r="I330" s="516"/>
      <c r="J330" s="516"/>
      <c r="K330" s="516"/>
      <c r="L330" s="516"/>
      <c r="M330" s="516"/>
      <c r="N330" s="516"/>
      <c r="O330" s="133" t="s">
        <v>743</v>
      </c>
      <c r="P330" s="134"/>
      <c r="Q330" s="135" t="s">
        <v>744</v>
      </c>
      <c r="R330" s="136"/>
      <c r="S330" s="137"/>
      <c r="T330" s="138"/>
      <c r="U330" s="139">
        <f>SUM(U331:U331)</f>
        <v>2433.56</v>
      </c>
      <c r="V330" s="137"/>
      <c r="W330" s="139">
        <f>SUM(W331:W331)</f>
        <v>0</v>
      </c>
      <c r="X330" s="137"/>
      <c r="Y330" s="139">
        <f>SUM(Y331:Y331)</f>
        <v>0</v>
      </c>
      <c r="Z330" s="137"/>
      <c r="AA330" s="139">
        <f>SUM(AA331:AA331)</f>
        <v>0</v>
      </c>
      <c r="AB330" s="137"/>
      <c r="AC330" s="139">
        <f>SUM(AC331:AC331)</f>
        <v>0</v>
      </c>
      <c r="AD330" s="137"/>
      <c r="AE330" s="139">
        <f>SUM(AE331:AE331)</f>
        <v>0</v>
      </c>
      <c r="AF330" s="137"/>
      <c r="AG330" s="139">
        <f>SUM(AG331:AG331)</f>
        <v>0</v>
      </c>
      <c r="AH330" s="137"/>
      <c r="AI330" s="139">
        <f>SUM(AI331:AI331)</f>
        <v>0</v>
      </c>
      <c r="AJ330" s="137"/>
      <c r="AK330" s="139">
        <f>SUM(AK331:AK331)</f>
        <v>0</v>
      </c>
      <c r="AL330" s="137"/>
      <c r="AM330" s="139">
        <f>SUM(AM331:AM331)</f>
        <v>0</v>
      </c>
      <c r="AN330" s="137"/>
      <c r="AO330" s="139">
        <f>SUM(AO331:AO331)</f>
        <v>0</v>
      </c>
      <c r="AP330" s="137"/>
      <c r="AQ330" s="139">
        <f>SUM(AQ331:AQ331)</f>
        <v>0</v>
      </c>
      <c r="AR330" s="137"/>
      <c r="AS330" s="139">
        <f>SUM(AS331:AS331)</f>
        <v>0</v>
      </c>
      <c r="AT330" s="137"/>
      <c r="AU330" s="139">
        <f>SUM(AU331:AU331)</f>
        <v>0</v>
      </c>
      <c r="AV330" s="137"/>
      <c r="AW330" s="139">
        <f>SUM(AW331:AW331)</f>
        <v>0</v>
      </c>
      <c r="AX330" s="137"/>
      <c r="AY330" s="139">
        <f>SUM(AY331:AY331)</f>
        <v>0</v>
      </c>
      <c r="AZ330" s="137"/>
      <c r="BA330" s="139">
        <f>SUM(BA331:BA331)</f>
        <v>0</v>
      </c>
      <c r="BB330" s="137"/>
      <c r="BC330" s="139">
        <f>SUM(BC331:BC331)</f>
        <v>0</v>
      </c>
      <c r="BD330" s="137"/>
      <c r="BE330" s="139">
        <f>SUM(BE331:BE331)</f>
        <v>0</v>
      </c>
      <c r="BF330" s="137"/>
      <c r="BG330" s="139">
        <f>SUM(BG331:BG331)</f>
        <v>0</v>
      </c>
      <c r="BH330" s="45"/>
    </row>
    <row r="331" spans="1:61" ht="38.25" customHeight="1" x14ac:dyDescent="0.45">
      <c r="A331" s="140">
        <v>4</v>
      </c>
      <c r="B331" s="141" t="s">
        <v>843</v>
      </c>
      <c r="C331" s="142" t="s">
        <v>1485</v>
      </c>
      <c r="D331" s="143" t="str">
        <f>B331&amp;"_"&amp;E331</f>
        <v>4.1_1.18.1</v>
      </c>
      <c r="E331" s="56" t="s">
        <v>745</v>
      </c>
      <c r="F331" s="506" t="s">
        <v>746</v>
      </c>
      <c r="G331" s="507" t="s">
        <v>39</v>
      </c>
      <c r="H331" s="507" t="s">
        <v>39</v>
      </c>
      <c r="I331" s="507" t="s">
        <v>747</v>
      </c>
      <c r="J331" s="507" t="s">
        <v>39</v>
      </c>
      <c r="K331" s="507">
        <v>1500</v>
      </c>
      <c r="L331" s="507" t="s">
        <v>78</v>
      </c>
      <c r="M331" s="507" t="s">
        <v>748</v>
      </c>
      <c r="N331" s="507" t="s">
        <v>78</v>
      </c>
      <c r="O331" s="57" t="s">
        <v>749</v>
      </c>
      <c r="P331" s="58" t="s">
        <v>21</v>
      </c>
      <c r="Q331" s="59" t="s">
        <v>750</v>
      </c>
      <c r="R331" s="60" t="s">
        <v>71</v>
      </c>
      <c r="S331" s="61">
        <v>4</v>
      </c>
      <c r="T331" s="62">
        <f>INDEX('BM MORRO DA CRUZ'!$P$6:$P$402,MATCH($O331,'BM MORRO DA CRUZ'!$K$6:$K$402,0))</f>
        <v>608.39</v>
      </c>
      <c r="U331" s="63">
        <f>ROUND(T331*$S331,2)</f>
        <v>2433.56</v>
      </c>
      <c r="V331" s="61">
        <f>IFERROR(SUMIFS('01ª MC'!$W$1:$W$1840,'01ª MC'!$C$1:$C$1840,$D331),0)</f>
        <v>0</v>
      </c>
      <c r="W331" s="63">
        <f>ROUND(V331*$T331,2)</f>
        <v>0</v>
      </c>
      <c r="X331" s="61">
        <v>0</v>
      </c>
      <c r="Y331" s="63">
        <f>ROUND(X331*$T331,2)</f>
        <v>0</v>
      </c>
      <c r="Z331" s="61">
        <v>0</v>
      </c>
      <c r="AA331" s="63">
        <f>ROUND(Z331*$T331,2)</f>
        <v>0</v>
      </c>
      <c r="AB331" s="61">
        <v>0</v>
      </c>
      <c r="AC331" s="63">
        <f>ROUND(AB331*$T331,2)</f>
        <v>0</v>
      </c>
      <c r="AD331" s="61">
        <v>0</v>
      </c>
      <c r="AE331" s="63">
        <f>ROUND(AD331*$T331,2)</f>
        <v>0</v>
      </c>
      <c r="AF331" s="61">
        <v>0</v>
      </c>
      <c r="AG331" s="63">
        <f>ROUND(AF331*$T331,2)</f>
        <v>0</v>
      </c>
      <c r="AH331" s="61">
        <v>0</v>
      </c>
      <c r="AI331" s="63">
        <f>ROUND(AH331*$T331,2)</f>
        <v>0</v>
      </c>
      <c r="AJ331" s="61">
        <v>0</v>
      </c>
      <c r="AK331" s="63">
        <f>ROUND(AJ331*$T331,2)</f>
        <v>0</v>
      </c>
      <c r="AL331" s="61">
        <v>0</v>
      </c>
      <c r="AM331" s="63">
        <f>ROUND(AL331*$T331,2)</f>
        <v>0</v>
      </c>
      <c r="AN331" s="61">
        <v>0</v>
      </c>
      <c r="AO331" s="63">
        <f>ROUND(AN331*$T331,2)</f>
        <v>0</v>
      </c>
      <c r="AP331" s="61">
        <v>0</v>
      </c>
      <c r="AQ331" s="63">
        <f>ROUND(AP331*$T331,2)</f>
        <v>0</v>
      </c>
      <c r="AR331" s="61">
        <v>0</v>
      </c>
      <c r="AS331" s="63">
        <f>ROUND(AR331*$T331,2)</f>
        <v>0</v>
      </c>
      <c r="AT331" s="61">
        <v>0</v>
      </c>
      <c r="AU331" s="63">
        <f>ROUND(AT331*$T331,2)</f>
        <v>0</v>
      </c>
      <c r="AV331" s="61">
        <v>0</v>
      </c>
      <c r="AW331" s="63">
        <f>ROUND(AV331*$T331,2)</f>
        <v>0</v>
      </c>
      <c r="AX331" s="61">
        <v>0</v>
      </c>
      <c r="AY331" s="63">
        <f>ROUND(AX331*$T331,2)</f>
        <v>0</v>
      </c>
      <c r="AZ331" s="61">
        <v>0</v>
      </c>
      <c r="BA331" s="63">
        <f>ROUND(AZ331*$T331,2)</f>
        <v>0</v>
      </c>
      <c r="BB331" s="61">
        <v>0</v>
      </c>
      <c r="BC331" s="63">
        <f>ROUND(BB331*$T331,2)</f>
        <v>0</v>
      </c>
      <c r="BD331" s="61">
        <v>0</v>
      </c>
      <c r="BE331" s="63">
        <f>ROUND(BD331*$T331,2)</f>
        <v>0</v>
      </c>
      <c r="BF331" s="61">
        <f>IFERROR(SUMIFS($V331:$BE331,$V$5:$BE$5,$BF$5),0)</f>
        <v>0</v>
      </c>
      <c r="BG331" s="63">
        <f>SUMIFS($V331:$BE331,$V$5:$BE$5,$W$5)</f>
        <v>0</v>
      </c>
      <c r="BH331" s="45"/>
      <c r="BI331" s="144"/>
    </row>
    <row r="332" spans="1:61" ht="19.5" customHeight="1" x14ac:dyDescent="0.45">
      <c r="A332" s="117">
        <v>4</v>
      </c>
      <c r="B332" s="118"/>
      <c r="C332" s="119"/>
      <c r="D332" s="120"/>
      <c r="E332" s="35" t="s">
        <v>1465</v>
      </c>
      <c r="F332" s="513"/>
      <c r="G332" s="514"/>
      <c r="H332" s="514"/>
      <c r="I332" s="514"/>
      <c r="J332" s="514"/>
      <c r="K332" s="514"/>
      <c r="L332" s="514"/>
      <c r="M332" s="514"/>
      <c r="N332" s="514"/>
      <c r="O332" s="121" t="s">
        <v>848</v>
      </c>
      <c r="P332" s="122"/>
      <c r="Q332" s="123" t="s">
        <v>849</v>
      </c>
      <c r="R332" s="124"/>
      <c r="S332" s="125"/>
      <c r="T332" s="126"/>
      <c r="U332" s="127">
        <f>SUM(U333,U335,U337,U346,U350,U352,U356,U363,U366,U368)</f>
        <v>16010.339999999998</v>
      </c>
      <c r="V332" s="125"/>
      <c r="W332" s="127">
        <f>SUM(W333,W335,W337,W346,W350,W352,W356,W363,W366,W368)</f>
        <v>0</v>
      </c>
      <c r="X332" s="125"/>
      <c r="Y332" s="127">
        <f>SUM(Y333,Y335,Y337,Y346,Y350,Y352,Y356,Y363,Y366,Y368)</f>
        <v>0</v>
      </c>
      <c r="Z332" s="125"/>
      <c r="AA332" s="127">
        <f>SUM(AA333,AA335,AA337,AA346,AA350,AA352,AA356,AA363,AA366,AA368)</f>
        <v>0</v>
      </c>
      <c r="AB332" s="125"/>
      <c r="AC332" s="127">
        <f>SUM(AC333,AC335,AC337,AC346,AC350,AC352,AC356,AC363,AC366,AC368)</f>
        <v>0</v>
      </c>
      <c r="AD332" s="125"/>
      <c r="AE332" s="127">
        <f>SUM(AE333,AE335,AE337,AE346,AE350,AE352,AE356,AE363,AE366,AE368)</f>
        <v>0</v>
      </c>
      <c r="AF332" s="125"/>
      <c r="AG332" s="127">
        <f>SUM(AG333,AG335,AG337,AG346,AG350,AG352,AG356,AG363,AG366,AG368)</f>
        <v>0</v>
      </c>
      <c r="AH332" s="125"/>
      <c r="AI332" s="127">
        <f>SUM(AI333,AI335,AI337,AI346,AI350,AI352,AI356,AI363,AI366,AI368)</f>
        <v>0</v>
      </c>
      <c r="AJ332" s="125"/>
      <c r="AK332" s="127">
        <f>SUM(AK333,AK335,AK337,AK346,AK350,AK352,AK356,AK363,AK366,AK368)</f>
        <v>0</v>
      </c>
      <c r="AL332" s="125"/>
      <c r="AM332" s="127">
        <f>SUM(AM333,AM335,AM337,AM346,AM350,AM352,AM356,AM363,AM366,AM368)</f>
        <v>0</v>
      </c>
      <c r="AN332" s="125"/>
      <c r="AO332" s="127">
        <f>SUM(AO333,AO335,AO337,AO346,AO350,AO352,AO356,AO363,AO366,AO368)</f>
        <v>0</v>
      </c>
      <c r="AP332" s="125"/>
      <c r="AQ332" s="127">
        <f>SUM(AQ333,AQ335,AQ337,AQ346,AQ350,AQ352,AQ356,AQ363,AQ366,AQ368)</f>
        <v>0</v>
      </c>
      <c r="AR332" s="125"/>
      <c r="AS332" s="127">
        <f>SUM(AS333,AS335,AS337,AS346,AS350,AS352,AS356,AS363,AS366,AS368)</f>
        <v>0</v>
      </c>
      <c r="AT332" s="125"/>
      <c r="AU332" s="127">
        <f>SUM(AU333,AU335,AU337,AU346,AU350,AU352,AU356,AU363,AU366,AU368)</f>
        <v>0</v>
      </c>
      <c r="AV332" s="125"/>
      <c r="AW332" s="127">
        <f>SUM(AW333,AW335,AW337,AW346,AW350,AW352,AW356,AW363,AW366,AW368)</f>
        <v>0</v>
      </c>
      <c r="AX332" s="125"/>
      <c r="AY332" s="127">
        <f>SUM(AY333,AY335,AY337,AY346,AY350,AY352,AY356,AY363,AY366,AY368)</f>
        <v>0</v>
      </c>
      <c r="AZ332" s="125"/>
      <c r="BA332" s="127">
        <f>SUM(BA333,BA335,BA337,BA346,BA350,BA352,BA356,BA363,BA366,BA368)</f>
        <v>0</v>
      </c>
      <c r="BB332" s="125"/>
      <c r="BC332" s="127">
        <f>SUM(BC333,BC335,BC337,BC346,BC350,BC352,BC356,BC363,BC366,BC368)</f>
        <v>0</v>
      </c>
      <c r="BD332" s="125"/>
      <c r="BE332" s="127">
        <f>SUM(BE333,BE335,BE337,BE346,BE350,BE352,BE356,BE363,BE366,BE368)</f>
        <v>0</v>
      </c>
      <c r="BF332" s="125"/>
      <c r="BG332" s="127">
        <f>SUM(BG333,BG335,BG337,BG346,BG350,BG352,BG356,BG363,BG366,BG368)</f>
        <v>0</v>
      </c>
      <c r="BH332" s="45"/>
    </row>
    <row r="333" spans="1:61" ht="19.5" customHeight="1" x14ac:dyDescent="0.45">
      <c r="A333" s="128">
        <v>4</v>
      </c>
      <c r="B333" s="129"/>
      <c r="C333" s="130"/>
      <c r="D333" s="131"/>
      <c r="E333" s="132" t="s">
        <v>859</v>
      </c>
      <c r="F333" s="515"/>
      <c r="G333" s="516"/>
      <c r="H333" s="516"/>
      <c r="I333" s="516"/>
      <c r="J333" s="516"/>
      <c r="K333" s="516"/>
      <c r="L333" s="516"/>
      <c r="M333" s="516"/>
      <c r="N333" s="516"/>
      <c r="O333" s="133" t="s">
        <v>825</v>
      </c>
      <c r="P333" s="134"/>
      <c r="Q333" s="135" t="s">
        <v>826</v>
      </c>
      <c r="R333" s="136"/>
      <c r="S333" s="137"/>
      <c r="T333" s="138"/>
      <c r="U333" s="139">
        <f>SUM(U334:U334)</f>
        <v>303.14</v>
      </c>
      <c r="V333" s="137"/>
      <c r="W333" s="139">
        <f>SUM(W334:W334)</f>
        <v>0</v>
      </c>
      <c r="X333" s="137"/>
      <c r="Y333" s="139">
        <f>SUM(Y334:Y334)</f>
        <v>0</v>
      </c>
      <c r="Z333" s="137"/>
      <c r="AA333" s="139">
        <f>SUM(AA334:AA334)</f>
        <v>0</v>
      </c>
      <c r="AB333" s="137"/>
      <c r="AC333" s="139">
        <f>SUM(AC334:AC334)</f>
        <v>0</v>
      </c>
      <c r="AD333" s="137"/>
      <c r="AE333" s="139">
        <f>SUM(AE334:AE334)</f>
        <v>0</v>
      </c>
      <c r="AF333" s="137"/>
      <c r="AG333" s="139">
        <f>SUM(AG334:AG334)</f>
        <v>0</v>
      </c>
      <c r="AH333" s="137"/>
      <c r="AI333" s="139">
        <f>SUM(AI334:AI334)</f>
        <v>0</v>
      </c>
      <c r="AJ333" s="137"/>
      <c r="AK333" s="139">
        <f>SUM(AK334:AK334)</f>
        <v>0</v>
      </c>
      <c r="AL333" s="137"/>
      <c r="AM333" s="139">
        <f>SUM(AM334:AM334)</f>
        <v>0</v>
      </c>
      <c r="AN333" s="137"/>
      <c r="AO333" s="139">
        <f>SUM(AO334:AO334)</f>
        <v>0</v>
      </c>
      <c r="AP333" s="137"/>
      <c r="AQ333" s="139">
        <f>SUM(AQ334:AQ334)</f>
        <v>0</v>
      </c>
      <c r="AR333" s="137"/>
      <c r="AS333" s="139">
        <f>SUM(AS334:AS334)</f>
        <v>0</v>
      </c>
      <c r="AT333" s="137"/>
      <c r="AU333" s="139">
        <f>SUM(AU334:AU334)</f>
        <v>0</v>
      </c>
      <c r="AV333" s="137"/>
      <c r="AW333" s="139">
        <f>SUM(AW334:AW334)</f>
        <v>0</v>
      </c>
      <c r="AX333" s="137"/>
      <c r="AY333" s="139">
        <f>SUM(AY334:AY334)</f>
        <v>0</v>
      </c>
      <c r="AZ333" s="137"/>
      <c r="BA333" s="139">
        <f>SUM(BA334:BA334)</f>
        <v>0</v>
      </c>
      <c r="BB333" s="137"/>
      <c r="BC333" s="139">
        <f>SUM(BC334:BC334)</f>
        <v>0</v>
      </c>
      <c r="BD333" s="137"/>
      <c r="BE333" s="139">
        <f>SUM(BE334:BE334)</f>
        <v>0</v>
      </c>
      <c r="BF333" s="137"/>
      <c r="BG333" s="139">
        <f>SUM(BG334:BG334)</f>
        <v>0</v>
      </c>
      <c r="BH333" s="45"/>
    </row>
    <row r="334" spans="1:61" ht="26" customHeight="1" x14ac:dyDescent="0.45">
      <c r="A334" s="140">
        <v>4</v>
      </c>
      <c r="B334" s="141" t="s">
        <v>1482</v>
      </c>
      <c r="C334" s="142" t="s">
        <v>1486</v>
      </c>
      <c r="D334" s="143" t="str">
        <f>B334&amp;"_"&amp;E334</f>
        <v>4.2_5.2.6</v>
      </c>
      <c r="E334" s="56" t="s">
        <v>875</v>
      </c>
      <c r="F334" s="506" t="s">
        <v>1735</v>
      </c>
      <c r="G334" s="507" t="s">
        <v>39</v>
      </c>
      <c r="H334" s="507" t="s">
        <v>39</v>
      </c>
      <c r="I334" s="507" t="s">
        <v>1383</v>
      </c>
      <c r="J334" s="507" t="s">
        <v>39</v>
      </c>
      <c r="K334" s="507" t="s">
        <v>39</v>
      </c>
      <c r="L334" s="507" t="s">
        <v>783</v>
      </c>
      <c r="M334" s="507" t="s">
        <v>748</v>
      </c>
      <c r="N334" s="507" t="s">
        <v>1383</v>
      </c>
      <c r="O334" s="57" t="s">
        <v>876</v>
      </c>
      <c r="P334" s="58" t="s">
        <v>846</v>
      </c>
      <c r="Q334" s="59" t="s">
        <v>877</v>
      </c>
      <c r="R334" s="60" t="s">
        <v>367</v>
      </c>
      <c r="S334" s="61">
        <v>4.54</v>
      </c>
      <c r="T334" s="62">
        <f>INDEX('BM MORRO DA CRUZ'!$P$6:$P$402,MATCH($O334,'BM MORRO DA CRUZ'!$K$6:$K$402,0))</f>
        <v>66.77</v>
      </c>
      <c r="U334" s="63">
        <f>ROUND(T334*$S334,2)</f>
        <v>303.14</v>
      </c>
      <c r="V334" s="61">
        <f>IFERROR(SUMIFS('01ª MC'!$W$1:$W$1840,'01ª MC'!$C$1:$C$1840,$D334),0)</f>
        <v>0</v>
      </c>
      <c r="W334" s="63">
        <f>ROUND(V334*$T334,2)</f>
        <v>0</v>
      </c>
      <c r="X334" s="61">
        <v>0</v>
      </c>
      <c r="Y334" s="63">
        <f>ROUND(X334*$T334,2)</f>
        <v>0</v>
      </c>
      <c r="Z334" s="61">
        <v>0</v>
      </c>
      <c r="AA334" s="63">
        <f>ROUND(Z334*$T334,2)</f>
        <v>0</v>
      </c>
      <c r="AB334" s="61">
        <v>0</v>
      </c>
      <c r="AC334" s="63">
        <f>ROUND(AB334*$T334,2)</f>
        <v>0</v>
      </c>
      <c r="AD334" s="61">
        <v>0</v>
      </c>
      <c r="AE334" s="63">
        <f>ROUND(AD334*$T334,2)</f>
        <v>0</v>
      </c>
      <c r="AF334" s="61">
        <v>0</v>
      </c>
      <c r="AG334" s="63">
        <f>ROUND(AF334*$T334,2)</f>
        <v>0</v>
      </c>
      <c r="AH334" s="61">
        <v>0</v>
      </c>
      <c r="AI334" s="63">
        <f>ROUND(AH334*$T334,2)</f>
        <v>0</v>
      </c>
      <c r="AJ334" s="61">
        <v>0</v>
      </c>
      <c r="AK334" s="63">
        <f>ROUND(AJ334*$T334,2)</f>
        <v>0</v>
      </c>
      <c r="AL334" s="61">
        <v>0</v>
      </c>
      <c r="AM334" s="63">
        <f>ROUND(AL334*$T334,2)</f>
        <v>0</v>
      </c>
      <c r="AN334" s="61">
        <v>0</v>
      </c>
      <c r="AO334" s="63">
        <f>ROUND(AN334*$T334,2)</f>
        <v>0</v>
      </c>
      <c r="AP334" s="61">
        <v>0</v>
      </c>
      <c r="AQ334" s="63">
        <f>ROUND(AP334*$T334,2)</f>
        <v>0</v>
      </c>
      <c r="AR334" s="61">
        <v>0</v>
      </c>
      <c r="AS334" s="63">
        <f>ROUND(AR334*$T334,2)</f>
        <v>0</v>
      </c>
      <c r="AT334" s="61">
        <v>0</v>
      </c>
      <c r="AU334" s="63">
        <f>ROUND(AT334*$T334,2)</f>
        <v>0</v>
      </c>
      <c r="AV334" s="61">
        <v>0</v>
      </c>
      <c r="AW334" s="63">
        <f>ROUND(AV334*$T334,2)</f>
        <v>0</v>
      </c>
      <c r="AX334" s="61">
        <v>0</v>
      </c>
      <c r="AY334" s="63">
        <f>ROUND(AX334*$T334,2)</f>
        <v>0</v>
      </c>
      <c r="AZ334" s="61">
        <v>0</v>
      </c>
      <c r="BA334" s="63">
        <f>ROUND(AZ334*$T334,2)</f>
        <v>0</v>
      </c>
      <c r="BB334" s="61">
        <v>0</v>
      </c>
      <c r="BC334" s="63">
        <f>ROUND(BB334*$T334,2)</f>
        <v>0</v>
      </c>
      <c r="BD334" s="61">
        <v>0</v>
      </c>
      <c r="BE334" s="63">
        <f>ROUND(BD334*$T334,2)</f>
        <v>0</v>
      </c>
      <c r="BF334" s="61">
        <f>IFERROR(SUMIFS($V334:$BE334,$V$5:$BE$5,$BF$5),0)</f>
        <v>0</v>
      </c>
      <c r="BG334" s="63">
        <f>SUMIFS($V334:$BE334,$V$5:$BE$5,$W$5)</f>
        <v>0</v>
      </c>
      <c r="BH334" s="45"/>
      <c r="BI334" s="144"/>
    </row>
    <row r="335" spans="1:61" ht="19.5" customHeight="1" x14ac:dyDescent="0.45">
      <c r="A335" s="128">
        <v>4</v>
      </c>
      <c r="B335" s="129"/>
      <c r="C335" s="130"/>
      <c r="D335" s="131"/>
      <c r="E335" s="132" t="s">
        <v>881</v>
      </c>
      <c r="F335" s="515"/>
      <c r="G335" s="516"/>
      <c r="H335" s="516"/>
      <c r="I335" s="516"/>
      <c r="J335" s="516"/>
      <c r="K335" s="516"/>
      <c r="L335" s="516"/>
      <c r="M335" s="516"/>
      <c r="N335" s="516"/>
      <c r="O335" s="133" t="s">
        <v>882</v>
      </c>
      <c r="P335" s="134"/>
      <c r="Q335" s="135" t="s">
        <v>883</v>
      </c>
      <c r="R335" s="136"/>
      <c r="S335" s="137"/>
      <c r="T335" s="138"/>
      <c r="U335" s="139">
        <f>SUM(U336:U336)</f>
        <v>131.99</v>
      </c>
      <c r="V335" s="137"/>
      <c r="W335" s="139">
        <f>SUM(W336:W336)</f>
        <v>0</v>
      </c>
      <c r="X335" s="137"/>
      <c r="Y335" s="139">
        <f>SUM(Y336:Y336)</f>
        <v>0</v>
      </c>
      <c r="Z335" s="137"/>
      <c r="AA335" s="139">
        <f>SUM(AA336:AA336)</f>
        <v>0</v>
      </c>
      <c r="AB335" s="137"/>
      <c r="AC335" s="139">
        <f>SUM(AC336:AC336)</f>
        <v>0</v>
      </c>
      <c r="AD335" s="137"/>
      <c r="AE335" s="139">
        <f>SUM(AE336:AE336)</f>
        <v>0</v>
      </c>
      <c r="AF335" s="137"/>
      <c r="AG335" s="139">
        <f>SUM(AG336:AG336)</f>
        <v>0</v>
      </c>
      <c r="AH335" s="137"/>
      <c r="AI335" s="139">
        <f>SUM(AI336:AI336)</f>
        <v>0</v>
      </c>
      <c r="AJ335" s="137"/>
      <c r="AK335" s="139">
        <f>SUM(AK336:AK336)</f>
        <v>0</v>
      </c>
      <c r="AL335" s="137"/>
      <c r="AM335" s="139">
        <f>SUM(AM336:AM336)</f>
        <v>0</v>
      </c>
      <c r="AN335" s="137"/>
      <c r="AO335" s="139">
        <f>SUM(AO336:AO336)</f>
        <v>0</v>
      </c>
      <c r="AP335" s="137"/>
      <c r="AQ335" s="139">
        <f>SUM(AQ336:AQ336)</f>
        <v>0</v>
      </c>
      <c r="AR335" s="137"/>
      <c r="AS335" s="139">
        <f>SUM(AS336:AS336)</f>
        <v>0</v>
      </c>
      <c r="AT335" s="137"/>
      <c r="AU335" s="139">
        <f>SUM(AU336:AU336)</f>
        <v>0</v>
      </c>
      <c r="AV335" s="137"/>
      <c r="AW335" s="139">
        <f>SUM(AW336:AW336)</f>
        <v>0</v>
      </c>
      <c r="AX335" s="137"/>
      <c r="AY335" s="139">
        <f>SUM(AY336:AY336)</f>
        <v>0</v>
      </c>
      <c r="AZ335" s="137"/>
      <c r="BA335" s="139">
        <f>SUM(BA336:BA336)</f>
        <v>0</v>
      </c>
      <c r="BB335" s="137"/>
      <c r="BC335" s="139">
        <f>SUM(BC336:BC336)</f>
        <v>0</v>
      </c>
      <c r="BD335" s="137"/>
      <c r="BE335" s="139">
        <f>SUM(BE336:BE336)</f>
        <v>0</v>
      </c>
      <c r="BF335" s="137"/>
      <c r="BG335" s="139">
        <f>SUM(BG336:BG336)</f>
        <v>0</v>
      </c>
      <c r="BH335" s="45"/>
    </row>
    <row r="336" spans="1:61" ht="47.25" x14ac:dyDescent="0.45">
      <c r="A336" s="140">
        <v>4</v>
      </c>
      <c r="B336" s="141" t="s">
        <v>1482</v>
      </c>
      <c r="C336" s="142" t="s">
        <v>1486</v>
      </c>
      <c r="D336" s="143" t="str">
        <f>B336&amp;"_"&amp;E336</f>
        <v>4.2_5.3.2</v>
      </c>
      <c r="E336" s="56" t="s">
        <v>887</v>
      </c>
      <c r="F336" s="506" t="s">
        <v>1740</v>
      </c>
      <c r="G336" s="507" t="s">
        <v>39</v>
      </c>
      <c r="H336" s="507" t="s">
        <v>39</v>
      </c>
      <c r="I336" s="507" t="s">
        <v>1741</v>
      </c>
      <c r="J336" s="507" t="s">
        <v>39</v>
      </c>
      <c r="K336" s="507" t="s">
        <v>39</v>
      </c>
      <c r="L336" s="507" t="s">
        <v>783</v>
      </c>
      <c r="M336" s="507" t="s">
        <v>748</v>
      </c>
      <c r="N336" s="507" t="s">
        <v>1726</v>
      </c>
      <c r="O336" s="57" t="s">
        <v>888</v>
      </c>
      <c r="P336" s="58" t="s">
        <v>846</v>
      </c>
      <c r="Q336" s="59" t="s">
        <v>889</v>
      </c>
      <c r="R336" s="60" t="s">
        <v>792</v>
      </c>
      <c r="S336" s="61">
        <v>4.2699999999999996</v>
      </c>
      <c r="T336" s="62">
        <f>INDEX('BM MORRO DA CRUZ'!$P$6:$P$402,MATCH($O336,'BM MORRO DA CRUZ'!$K$6:$K$402,0))</f>
        <v>30.91</v>
      </c>
      <c r="U336" s="63">
        <f>ROUND(T336*$S336,2)</f>
        <v>131.99</v>
      </c>
      <c r="V336" s="61">
        <f>IFERROR(SUMIFS('01ª MC'!$W$1:$W$1840,'01ª MC'!$C$1:$C$1840,$D336),0)</f>
        <v>0</v>
      </c>
      <c r="W336" s="63">
        <f>ROUND(V336*$T336,2)</f>
        <v>0</v>
      </c>
      <c r="X336" s="61">
        <v>0</v>
      </c>
      <c r="Y336" s="63">
        <f>ROUND(X336*$T336,2)</f>
        <v>0</v>
      </c>
      <c r="Z336" s="61">
        <v>0</v>
      </c>
      <c r="AA336" s="63">
        <f>ROUND(Z336*$T336,2)</f>
        <v>0</v>
      </c>
      <c r="AB336" s="61">
        <v>0</v>
      </c>
      <c r="AC336" s="63">
        <f>ROUND(AB336*$T336,2)</f>
        <v>0</v>
      </c>
      <c r="AD336" s="61">
        <v>0</v>
      </c>
      <c r="AE336" s="63">
        <f>ROUND(AD336*$T336,2)</f>
        <v>0</v>
      </c>
      <c r="AF336" s="61">
        <v>0</v>
      </c>
      <c r="AG336" s="63">
        <f>ROUND(AF336*$T336,2)</f>
        <v>0</v>
      </c>
      <c r="AH336" s="61">
        <v>0</v>
      </c>
      <c r="AI336" s="63">
        <f>ROUND(AH336*$T336,2)</f>
        <v>0</v>
      </c>
      <c r="AJ336" s="61">
        <v>0</v>
      </c>
      <c r="AK336" s="63">
        <f>ROUND(AJ336*$T336,2)</f>
        <v>0</v>
      </c>
      <c r="AL336" s="61">
        <v>0</v>
      </c>
      <c r="AM336" s="63">
        <f>ROUND(AL336*$T336,2)</f>
        <v>0</v>
      </c>
      <c r="AN336" s="61">
        <v>0</v>
      </c>
      <c r="AO336" s="63">
        <f>ROUND(AN336*$T336,2)</f>
        <v>0</v>
      </c>
      <c r="AP336" s="61">
        <v>0</v>
      </c>
      <c r="AQ336" s="63">
        <f>ROUND(AP336*$T336,2)</f>
        <v>0</v>
      </c>
      <c r="AR336" s="61">
        <v>0</v>
      </c>
      <c r="AS336" s="63">
        <f>ROUND(AR336*$T336,2)</f>
        <v>0</v>
      </c>
      <c r="AT336" s="61">
        <v>0</v>
      </c>
      <c r="AU336" s="63">
        <f>ROUND(AT336*$T336,2)</f>
        <v>0</v>
      </c>
      <c r="AV336" s="61">
        <v>0</v>
      </c>
      <c r="AW336" s="63">
        <f>ROUND(AV336*$T336,2)</f>
        <v>0</v>
      </c>
      <c r="AX336" s="61">
        <v>0</v>
      </c>
      <c r="AY336" s="63">
        <f>ROUND(AX336*$T336,2)</f>
        <v>0</v>
      </c>
      <c r="AZ336" s="61">
        <v>0</v>
      </c>
      <c r="BA336" s="63">
        <f>ROUND(AZ336*$T336,2)</f>
        <v>0</v>
      </c>
      <c r="BB336" s="61">
        <v>0</v>
      </c>
      <c r="BC336" s="63">
        <f>ROUND(BB336*$T336,2)</f>
        <v>0</v>
      </c>
      <c r="BD336" s="61">
        <v>0</v>
      </c>
      <c r="BE336" s="63">
        <f>ROUND(BD336*$T336,2)</f>
        <v>0</v>
      </c>
      <c r="BF336" s="61">
        <f>IFERROR(SUMIFS($V336:$BE336,$V$5:$BE$5,$BF$5),0)</f>
        <v>0</v>
      </c>
      <c r="BG336" s="63">
        <f>SUMIFS($V336:$BE336,$V$5:$BE$5,$W$5)</f>
        <v>0</v>
      </c>
      <c r="BH336" s="45"/>
      <c r="BI336" s="144"/>
    </row>
    <row r="337" spans="1:61" ht="19.5" customHeight="1" x14ac:dyDescent="0.45">
      <c r="A337" s="128">
        <v>4</v>
      </c>
      <c r="B337" s="129"/>
      <c r="C337" s="130"/>
      <c r="D337" s="131"/>
      <c r="E337" s="132" t="s">
        <v>890</v>
      </c>
      <c r="F337" s="515"/>
      <c r="G337" s="516"/>
      <c r="H337" s="516"/>
      <c r="I337" s="516"/>
      <c r="J337" s="516"/>
      <c r="K337" s="516"/>
      <c r="L337" s="516"/>
      <c r="M337" s="516"/>
      <c r="N337" s="516"/>
      <c r="O337" s="133" t="s">
        <v>891</v>
      </c>
      <c r="P337" s="134"/>
      <c r="Q337" s="135" t="s">
        <v>892</v>
      </c>
      <c r="R337" s="136"/>
      <c r="S337" s="137"/>
      <c r="T337" s="138"/>
      <c r="U337" s="139">
        <f>SUM(U338:U345)</f>
        <v>630.04999999999995</v>
      </c>
      <c r="V337" s="137"/>
      <c r="W337" s="139">
        <f>SUM(W338:W345)</f>
        <v>0</v>
      </c>
      <c r="X337" s="137"/>
      <c r="Y337" s="139">
        <f>SUM(Y338:Y345)</f>
        <v>0</v>
      </c>
      <c r="Z337" s="137"/>
      <c r="AA337" s="139">
        <f>SUM(AA338:AA345)</f>
        <v>0</v>
      </c>
      <c r="AB337" s="137"/>
      <c r="AC337" s="139">
        <f>SUM(AC338:AC345)</f>
        <v>0</v>
      </c>
      <c r="AD337" s="137"/>
      <c r="AE337" s="139">
        <f>SUM(AE338:AE345)</f>
        <v>0</v>
      </c>
      <c r="AF337" s="137"/>
      <c r="AG337" s="139">
        <f>SUM(AG338:AG345)</f>
        <v>0</v>
      </c>
      <c r="AH337" s="137"/>
      <c r="AI337" s="139">
        <f>SUM(AI338:AI345)</f>
        <v>0</v>
      </c>
      <c r="AJ337" s="137"/>
      <c r="AK337" s="139">
        <f>SUM(AK338:AK345)</f>
        <v>0</v>
      </c>
      <c r="AL337" s="137"/>
      <c r="AM337" s="139">
        <f>SUM(AM338:AM345)</f>
        <v>0</v>
      </c>
      <c r="AN337" s="137"/>
      <c r="AO337" s="139">
        <f>SUM(AO338:AO345)</f>
        <v>0</v>
      </c>
      <c r="AP337" s="137"/>
      <c r="AQ337" s="139">
        <f>SUM(AQ338:AQ345)</f>
        <v>0</v>
      </c>
      <c r="AR337" s="137"/>
      <c r="AS337" s="139">
        <f>SUM(AS338:AS345)</f>
        <v>0</v>
      </c>
      <c r="AT337" s="137"/>
      <c r="AU337" s="139">
        <f>SUM(AU338:AU345)</f>
        <v>0</v>
      </c>
      <c r="AV337" s="137"/>
      <c r="AW337" s="139">
        <f>SUM(AW338:AW345)</f>
        <v>0</v>
      </c>
      <c r="AX337" s="137"/>
      <c r="AY337" s="139">
        <f>SUM(AY338:AY345)</f>
        <v>0</v>
      </c>
      <c r="AZ337" s="137"/>
      <c r="BA337" s="139">
        <f>SUM(BA338:BA345)</f>
        <v>0</v>
      </c>
      <c r="BB337" s="137"/>
      <c r="BC337" s="139">
        <f>SUM(BC338:BC345)</f>
        <v>0</v>
      </c>
      <c r="BD337" s="137"/>
      <c r="BE337" s="139">
        <f>SUM(BE338:BE345)</f>
        <v>0</v>
      </c>
      <c r="BF337" s="137"/>
      <c r="BG337" s="139">
        <f>SUM(BG338:BG345)</f>
        <v>0</v>
      </c>
      <c r="BH337" s="45"/>
    </row>
    <row r="338" spans="1:61" ht="35.65" x14ac:dyDescent="0.45">
      <c r="A338" s="140">
        <v>4</v>
      </c>
      <c r="B338" s="141" t="s">
        <v>1482</v>
      </c>
      <c r="C338" s="142" t="s">
        <v>1486</v>
      </c>
      <c r="D338" s="143" t="str">
        <f t="shared" ref="D338:D345" si="198">B338&amp;"_"&amp;E338</f>
        <v>4.2_5.4.7</v>
      </c>
      <c r="E338" s="56" t="s">
        <v>911</v>
      </c>
      <c r="F338" s="506" t="s">
        <v>1753</v>
      </c>
      <c r="G338" s="507" t="s">
        <v>39</v>
      </c>
      <c r="H338" s="507" t="s">
        <v>39</v>
      </c>
      <c r="I338" s="507" t="s">
        <v>1748</v>
      </c>
      <c r="J338" s="507" t="s">
        <v>39</v>
      </c>
      <c r="K338" s="507" t="s">
        <v>39</v>
      </c>
      <c r="L338" s="507" t="s">
        <v>1730</v>
      </c>
      <c r="M338" s="507" t="s">
        <v>748</v>
      </c>
      <c r="N338" s="507" t="s">
        <v>1750</v>
      </c>
      <c r="O338" s="57" t="s">
        <v>912</v>
      </c>
      <c r="P338" s="58" t="s">
        <v>846</v>
      </c>
      <c r="Q338" s="59" t="s">
        <v>913</v>
      </c>
      <c r="R338" s="60" t="s">
        <v>755</v>
      </c>
      <c r="S338" s="61">
        <v>6.81</v>
      </c>
      <c r="T338" s="62">
        <f>INDEX('BM MORRO DA CRUZ'!$P$6:$P$402,MATCH($O338,'BM MORRO DA CRUZ'!$K$6:$K$402,0))</f>
        <v>6.79</v>
      </c>
      <c r="U338" s="63">
        <f t="shared" ref="U338:U345" si="199">ROUND(T338*$S338,2)</f>
        <v>46.24</v>
      </c>
      <c r="V338" s="61">
        <f>IFERROR(SUMIFS('01ª MC'!$W$1:$W$1840,'01ª MC'!$C$1:$C$1840,$D338),0)</f>
        <v>0</v>
      </c>
      <c r="W338" s="63">
        <f t="shared" ref="W338:W345" si="200">ROUND(V338*$T338,2)</f>
        <v>0</v>
      </c>
      <c r="X338" s="61">
        <v>0</v>
      </c>
      <c r="Y338" s="63">
        <f t="shared" ref="Y338:Y345" si="201">ROUND(X338*$T338,2)</f>
        <v>0</v>
      </c>
      <c r="Z338" s="61">
        <v>0</v>
      </c>
      <c r="AA338" s="63">
        <f t="shared" ref="AA338:AA345" si="202">ROUND(Z338*$T338,2)</f>
        <v>0</v>
      </c>
      <c r="AB338" s="61">
        <v>0</v>
      </c>
      <c r="AC338" s="63">
        <f t="shared" ref="AC338:AC345" si="203">ROUND(AB338*$T338,2)</f>
        <v>0</v>
      </c>
      <c r="AD338" s="61">
        <v>0</v>
      </c>
      <c r="AE338" s="63">
        <f t="shared" ref="AE338:AE345" si="204">ROUND(AD338*$T338,2)</f>
        <v>0</v>
      </c>
      <c r="AF338" s="61">
        <v>0</v>
      </c>
      <c r="AG338" s="63">
        <f t="shared" ref="AG338:AG345" si="205">ROUND(AF338*$T338,2)</f>
        <v>0</v>
      </c>
      <c r="AH338" s="61">
        <v>0</v>
      </c>
      <c r="AI338" s="63">
        <f t="shared" ref="AI338:AI345" si="206">ROUND(AH338*$T338,2)</f>
        <v>0</v>
      </c>
      <c r="AJ338" s="61">
        <v>0</v>
      </c>
      <c r="AK338" s="63">
        <f t="shared" ref="AK338:AK345" si="207">ROUND(AJ338*$T338,2)</f>
        <v>0</v>
      </c>
      <c r="AL338" s="61">
        <v>0</v>
      </c>
      <c r="AM338" s="63">
        <f t="shared" ref="AM338:AM345" si="208">ROUND(AL338*$T338,2)</f>
        <v>0</v>
      </c>
      <c r="AN338" s="61">
        <v>0</v>
      </c>
      <c r="AO338" s="63">
        <f t="shared" ref="AO338:AO345" si="209">ROUND(AN338*$T338,2)</f>
        <v>0</v>
      </c>
      <c r="AP338" s="61">
        <v>0</v>
      </c>
      <c r="AQ338" s="63">
        <f t="shared" ref="AQ338:AQ345" si="210">ROUND(AP338*$T338,2)</f>
        <v>0</v>
      </c>
      <c r="AR338" s="61">
        <v>0</v>
      </c>
      <c r="AS338" s="63">
        <f t="shared" ref="AS338:AS345" si="211">ROUND(AR338*$T338,2)</f>
        <v>0</v>
      </c>
      <c r="AT338" s="61">
        <v>0</v>
      </c>
      <c r="AU338" s="63">
        <f t="shared" ref="AU338:AU345" si="212">ROUND(AT338*$T338,2)</f>
        <v>0</v>
      </c>
      <c r="AV338" s="61">
        <v>0</v>
      </c>
      <c r="AW338" s="63">
        <f t="shared" ref="AW338:AW345" si="213">ROUND(AV338*$T338,2)</f>
        <v>0</v>
      </c>
      <c r="AX338" s="61">
        <v>0</v>
      </c>
      <c r="AY338" s="63">
        <f t="shared" ref="AY338:AY345" si="214">ROUND(AX338*$T338,2)</f>
        <v>0</v>
      </c>
      <c r="AZ338" s="61">
        <v>0</v>
      </c>
      <c r="BA338" s="63">
        <f t="shared" ref="BA338:BA345" si="215">ROUND(AZ338*$T338,2)</f>
        <v>0</v>
      </c>
      <c r="BB338" s="61">
        <v>0</v>
      </c>
      <c r="BC338" s="63">
        <f t="shared" ref="BC338:BC345" si="216">ROUND(BB338*$T338,2)</f>
        <v>0</v>
      </c>
      <c r="BD338" s="61">
        <v>0</v>
      </c>
      <c r="BE338" s="63">
        <f t="shared" ref="BE338:BE345" si="217">ROUND(BD338*$T338,2)</f>
        <v>0</v>
      </c>
      <c r="BF338" s="61">
        <f t="shared" ref="BF338:BF345" si="218">IFERROR(SUMIFS($V338:$BE338,$V$5:$BE$5,$BF$5),0)</f>
        <v>0</v>
      </c>
      <c r="BG338" s="63">
        <f t="shared" ref="BG338:BG345" si="219">SUMIFS($V338:$BE338,$V$5:$BE$5,$W$5)</f>
        <v>0</v>
      </c>
      <c r="BH338" s="45"/>
      <c r="BI338" s="144"/>
    </row>
    <row r="339" spans="1:61" ht="26" customHeight="1" x14ac:dyDescent="0.45">
      <c r="A339" s="140">
        <v>4</v>
      </c>
      <c r="B339" s="141" t="s">
        <v>1482</v>
      </c>
      <c r="C339" s="142" t="s">
        <v>1486</v>
      </c>
      <c r="D339" s="143" t="str">
        <f t="shared" si="198"/>
        <v>4.2_5.4.8</v>
      </c>
      <c r="E339" s="56" t="s">
        <v>914</v>
      </c>
      <c r="F339" s="506" t="s">
        <v>1754</v>
      </c>
      <c r="G339" s="507" t="s">
        <v>39</v>
      </c>
      <c r="H339" s="507" t="s">
        <v>39</v>
      </c>
      <c r="I339" s="507" t="s">
        <v>1755</v>
      </c>
      <c r="J339" s="507" t="s">
        <v>39</v>
      </c>
      <c r="K339" s="507" t="s">
        <v>39</v>
      </c>
      <c r="L339" s="507" t="s">
        <v>1756</v>
      </c>
      <c r="M339" s="507" t="s">
        <v>748</v>
      </c>
      <c r="N339" s="507" t="s">
        <v>1757</v>
      </c>
      <c r="O339" s="57" t="s">
        <v>915</v>
      </c>
      <c r="P339" s="58" t="s">
        <v>846</v>
      </c>
      <c r="Q339" s="59" t="s">
        <v>916</v>
      </c>
      <c r="R339" s="60" t="s">
        <v>755</v>
      </c>
      <c r="S339" s="61">
        <v>0.05</v>
      </c>
      <c r="T339" s="62">
        <f>INDEX('BM MORRO DA CRUZ'!$P$6:$P$402,MATCH($O339,'BM MORRO DA CRUZ'!$K$6:$K$402,0))</f>
        <v>161.05000000000001</v>
      </c>
      <c r="U339" s="63">
        <f t="shared" si="199"/>
        <v>8.0500000000000007</v>
      </c>
      <c r="V339" s="61">
        <f>IFERROR(SUMIFS('01ª MC'!$W$1:$W$1840,'01ª MC'!$C$1:$C$1840,$D339),0)</f>
        <v>0</v>
      </c>
      <c r="W339" s="63">
        <f t="shared" si="200"/>
        <v>0</v>
      </c>
      <c r="X339" s="61">
        <v>0</v>
      </c>
      <c r="Y339" s="63">
        <f t="shared" si="201"/>
        <v>0</v>
      </c>
      <c r="Z339" s="61">
        <v>0</v>
      </c>
      <c r="AA339" s="63">
        <f t="shared" si="202"/>
        <v>0</v>
      </c>
      <c r="AB339" s="61">
        <v>0</v>
      </c>
      <c r="AC339" s="63">
        <f t="shared" si="203"/>
        <v>0</v>
      </c>
      <c r="AD339" s="61">
        <v>0</v>
      </c>
      <c r="AE339" s="63">
        <f t="shared" si="204"/>
        <v>0</v>
      </c>
      <c r="AF339" s="61">
        <v>0</v>
      </c>
      <c r="AG339" s="63">
        <f t="shared" si="205"/>
        <v>0</v>
      </c>
      <c r="AH339" s="61">
        <v>0</v>
      </c>
      <c r="AI339" s="63">
        <f t="shared" si="206"/>
        <v>0</v>
      </c>
      <c r="AJ339" s="61">
        <v>0</v>
      </c>
      <c r="AK339" s="63">
        <f t="shared" si="207"/>
        <v>0</v>
      </c>
      <c r="AL339" s="61">
        <v>0</v>
      </c>
      <c r="AM339" s="63">
        <f t="shared" si="208"/>
        <v>0</v>
      </c>
      <c r="AN339" s="61">
        <v>0</v>
      </c>
      <c r="AO339" s="63">
        <f t="shared" si="209"/>
        <v>0</v>
      </c>
      <c r="AP339" s="61">
        <v>0</v>
      </c>
      <c r="AQ339" s="63">
        <f t="shared" si="210"/>
        <v>0</v>
      </c>
      <c r="AR339" s="61">
        <v>0</v>
      </c>
      <c r="AS339" s="63">
        <f t="shared" si="211"/>
        <v>0</v>
      </c>
      <c r="AT339" s="61">
        <v>0</v>
      </c>
      <c r="AU339" s="63">
        <f t="shared" si="212"/>
        <v>0</v>
      </c>
      <c r="AV339" s="61">
        <v>0</v>
      </c>
      <c r="AW339" s="63">
        <f t="shared" si="213"/>
        <v>0</v>
      </c>
      <c r="AX339" s="61">
        <v>0</v>
      </c>
      <c r="AY339" s="63">
        <f t="shared" si="214"/>
        <v>0</v>
      </c>
      <c r="AZ339" s="61">
        <v>0</v>
      </c>
      <c r="BA339" s="63">
        <f t="shared" si="215"/>
        <v>0</v>
      </c>
      <c r="BB339" s="61">
        <v>0</v>
      </c>
      <c r="BC339" s="63">
        <f t="shared" si="216"/>
        <v>0</v>
      </c>
      <c r="BD339" s="61">
        <v>0</v>
      </c>
      <c r="BE339" s="63">
        <f t="shared" si="217"/>
        <v>0</v>
      </c>
      <c r="BF339" s="61">
        <f t="shared" si="218"/>
        <v>0</v>
      </c>
      <c r="BG339" s="63">
        <f t="shared" si="219"/>
        <v>0</v>
      </c>
      <c r="BH339" s="45"/>
      <c r="BI339" s="144"/>
    </row>
    <row r="340" spans="1:61" ht="26" customHeight="1" x14ac:dyDescent="0.45">
      <c r="A340" s="140">
        <v>4</v>
      </c>
      <c r="B340" s="141" t="s">
        <v>1482</v>
      </c>
      <c r="C340" s="142" t="s">
        <v>1486</v>
      </c>
      <c r="D340" s="143" t="str">
        <f t="shared" si="198"/>
        <v>4.2_5.4.9</v>
      </c>
      <c r="E340" s="56" t="s">
        <v>917</v>
      </c>
      <c r="F340" s="506" t="s">
        <v>919</v>
      </c>
      <c r="G340" s="507" t="s">
        <v>39</v>
      </c>
      <c r="H340" s="507" t="s">
        <v>39</v>
      </c>
      <c r="I340" s="507" t="s">
        <v>1757</v>
      </c>
      <c r="J340" s="507" t="s">
        <v>39</v>
      </c>
      <c r="K340" s="507" t="s">
        <v>39</v>
      </c>
      <c r="L340" s="507" t="s">
        <v>1758</v>
      </c>
      <c r="M340" s="507" t="s">
        <v>748</v>
      </c>
      <c r="N340" s="507" t="s">
        <v>1757</v>
      </c>
      <c r="O340" s="57" t="s">
        <v>918</v>
      </c>
      <c r="P340" s="58" t="s">
        <v>846</v>
      </c>
      <c r="Q340" s="59" t="s">
        <v>919</v>
      </c>
      <c r="R340" s="60" t="s">
        <v>755</v>
      </c>
      <c r="S340" s="61">
        <v>0.03</v>
      </c>
      <c r="T340" s="62">
        <f>INDEX('BM MORRO DA CRUZ'!$P$6:$P$402,MATCH($O340,'BM MORRO DA CRUZ'!$K$6:$K$402,0))</f>
        <v>89.06</v>
      </c>
      <c r="U340" s="63">
        <f t="shared" si="199"/>
        <v>2.67</v>
      </c>
      <c r="V340" s="61">
        <f>IFERROR(SUMIFS('01ª MC'!$W$1:$W$1840,'01ª MC'!$C$1:$C$1840,$D340),0)</f>
        <v>0</v>
      </c>
      <c r="W340" s="63">
        <f t="shared" si="200"/>
        <v>0</v>
      </c>
      <c r="X340" s="61">
        <v>0</v>
      </c>
      <c r="Y340" s="63">
        <f t="shared" si="201"/>
        <v>0</v>
      </c>
      <c r="Z340" s="61">
        <v>0</v>
      </c>
      <c r="AA340" s="63">
        <f t="shared" si="202"/>
        <v>0</v>
      </c>
      <c r="AB340" s="61">
        <v>0</v>
      </c>
      <c r="AC340" s="63">
        <f t="shared" si="203"/>
        <v>0</v>
      </c>
      <c r="AD340" s="61">
        <v>0</v>
      </c>
      <c r="AE340" s="63">
        <f t="shared" si="204"/>
        <v>0</v>
      </c>
      <c r="AF340" s="61">
        <v>0</v>
      </c>
      <c r="AG340" s="63">
        <f t="shared" si="205"/>
        <v>0</v>
      </c>
      <c r="AH340" s="61">
        <v>0</v>
      </c>
      <c r="AI340" s="63">
        <f t="shared" si="206"/>
        <v>0</v>
      </c>
      <c r="AJ340" s="61">
        <v>0</v>
      </c>
      <c r="AK340" s="63">
        <f t="shared" si="207"/>
        <v>0</v>
      </c>
      <c r="AL340" s="61">
        <v>0</v>
      </c>
      <c r="AM340" s="63">
        <f t="shared" si="208"/>
        <v>0</v>
      </c>
      <c r="AN340" s="61">
        <v>0</v>
      </c>
      <c r="AO340" s="63">
        <f t="shared" si="209"/>
        <v>0</v>
      </c>
      <c r="AP340" s="61">
        <v>0</v>
      </c>
      <c r="AQ340" s="63">
        <f t="shared" si="210"/>
        <v>0</v>
      </c>
      <c r="AR340" s="61">
        <v>0</v>
      </c>
      <c r="AS340" s="63">
        <f t="shared" si="211"/>
        <v>0</v>
      </c>
      <c r="AT340" s="61">
        <v>0</v>
      </c>
      <c r="AU340" s="63">
        <f t="shared" si="212"/>
        <v>0</v>
      </c>
      <c r="AV340" s="61">
        <v>0</v>
      </c>
      <c r="AW340" s="63">
        <f t="shared" si="213"/>
        <v>0</v>
      </c>
      <c r="AX340" s="61">
        <v>0</v>
      </c>
      <c r="AY340" s="63">
        <f t="shared" si="214"/>
        <v>0</v>
      </c>
      <c r="AZ340" s="61">
        <v>0</v>
      </c>
      <c r="BA340" s="63">
        <f t="shared" si="215"/>
        <v>0</v>
      </c>
      <c r="BB340" s="61">
        <v>0</v>
      </c>
      <c r="BC340" s="63">
        <f t="shared" si="216"/>
        <v>0</v>
      </c>
      <c r="BD340" s="61">
        <v>0</v>
      </c>
      <c r="BE340" s="63">
        <f t="shared" si="217"/>
        <v>0</v>
      </c>
      <c r="BF340" s="61">
        <f t="shared" si="218"/>
        <v>0</v>
      </c>
      <c r="BG340" s="63">
        <f t="shared" si="219"/>
        <v>0</v>
      </c>
      <c r="BH340" s="45"/>
      <c r="BI340" s="144"/>
    </row>
    <row r="341" spans="1:61" ht="47.25" x14ac:dyDescent="0.45">
      <c r="A341" s="140">
        <v>4</v>
      </c>
      <c r="B341" s="141" t="s">
        <v>1482</v>
      </c>
      <c r="C341" s="142" t="s">
        <v>1486</v>
      </c>
      <c r="D341" s="143" t="str">
        <f t="shared" si="198"/>
        <v>4.2_5.4.11</v>
      </c>
      <c r="E341" s="56" t="s">
        <v>923</v>
      </c>
      <c r="F341" s="506" t="s">
        <v>1761</v>
      </c>
      <c r="G341" s="507" t="s">
        <v>39</v>
      </c>
      <c r="H341" s="507" t="s">
        <v>39</v>
      </c>
      <c r="I341" s="507" t="s">
        <v>1757</v>
      </c>
      <c r="J341" s="507" t="s">
        <v>39</v>
      </c>
      <c r="K341" s="507" t="s">
        <v>39</v>
      </c>
      <c r="L341" s="507" t="s">
        <v>1762</v>
      </c>
      <c r="M341" s="507" t="s">
        <v>748</v>
      </c>
      <c r="N341" s="507" t="s">
        <v>1757</v>
      </c>
      <c r="O341" s="57" t="s">
        <v>924</v>
      </c>
      <c r="P341" s="58" t="s">
        <v>846</v>
      </c>
      <c r="Q341" s="59" t="s">
        <v>925</v>
      </c>
      <c r="R341" s="60" t="s">
        <v>755</v>
      </c>
      <c r="S341" s="61">
        <v>3.87</v>
      </c>
      <c r="T341" s="62">
        <f>INDEX('BM MORRO DA CRUZ'!$P$6:$P$402,MATCH($O341,'BM MORRO DA CRUZ'!$K$6:$K$402,0))</f>
        <v>6.08</v>
      </c>
      <c r="U341" s="63">
        <f t="shared" si="199"/>
        <v>23.53</v>
      </c>
      <c r="V341" s="61">
        <f>IFERROR(SUMIFS('01ª MC'!$W$1:$W$1840,'01ª MC'!$C$1:$C$1840,$D341),0)</f>
        <v>0</v>
      </c>
      <c r="W341" s="63">
        <f t="shared" si="200"/>
        <v>0</v>
      </c>
      <c r="X341" s="61">
        <v>0</v>
      </c>
      <c r="Y341" s="63">
        <f t="shared" si="201"/>
        <v>0</v>
      </c>
      <c r="Z341" s="61">
        <v>0</v>
      </c>
      <c r="AA341" s="63">
        <f t="shared" si="202"/>
        <v>0</v>
      </c>
      <c r="AB341" s="61">
        <v>0</v>
      </c>
      <c r="AC341" s="63">
        <f t="shared" si="203"/>
        <v>0</v>
      </c>
      <c r="AD341" s="61">
        <v>0</v>
      </c>
      <c r="AE341" s="63">
        <f t="shared" si="204"/>
        <v>0</v>
      </c>
      <c r="AF341" s="61">
        <v>0</v>
      </c>
      <c r="AG341" s="63">
        <f t="shared" si="205"/>
        <v>0</v>
      </c>
      <c r="AH341" s="61">
        <v>0</v>
      </c>
      <c r="AI341" s="63">
        <f t="shared" si="206"/>
        <v>0</v>
      </c>
      <c r="AJ341" s="61">
        <v>0</v>
      </c>
      <c r="AK341" s="63">
        <f t="shared" si="207"/>
        <v>0</v>
      </c>
      <c r="AL341" s="61">
        <v>0</v>
      </c>
      <c r="AM341" s="63">
        <f t="shared" si="208"/>
        <v>0</v>
      </c>
      <c r="AN341" s="61">
        <v>0</v>
      </c>
      <c r="AO341" s="63">
        <f t="shared" si="209"/>
        <v>0</v>
      </c>
      <c r="AP341" s="61">
        <v>0</v>
      </c>
      <c r="AQ341" s="63">
        <f t="shared" si="210"/>
        <v>0</v>
      </c>
      <c r="AR341" s="61">
        <v>0</v>
      </c>
      <c r="AS341" s="63">
        <f t="shared" si="211"/>
        <v>0</v>
      </c>
      <c r="AT341" s="61">
        <v>0</v>
      </c>
      <c r="AU341" s="63">
        <f t="shared" si="212"/>
        <v>0</v>
      </c>
      <c r="AV341" s="61">
        <v>0</v>
      </c>
      <c r="AW341" s="63">
        <f t="shared" si="213"/>
        <v>0</v>
      </c>
      <c r="AX341" s="61">
        <v>0</v>
      </c>
      <c r="AY341" s="63">
        <f t="shared" si="214"/>
        <v>0</v>
      </c>
      <c r="AZ341" s="61">
        <v>0</v>
      </c>
      <c r="BA341" s="63">
        <f t="shared" si="215"/>
        <v>0</v>
      </c>
      <c r="BB341" s="61">
        <v>0</v>
      </c>
      <c r="BC341" s="63">
        <f t="shared" si="216"/>
        <v>0</v>
      </c>
      <c r="BD341" s="61">
        <v>0</v>
      </c>
      <c r="BE341" s="63">
        <f t="shared" si="217"/>
        <v>0</v>
      </c>
      <c r="BF341" s="61">
        <f t="shared" si="218"/>
        <v>0</v>
      </c>
      <c r="BG341" s="63">
        <f t="shared" si="219"/>
        <v>0</v>
      </c>
      <c r="BH341" s="45"/>
      <c r="BI341" s="144"/>
    </row>
    <row r="342" spans="1:61" ht="47.25" x14ac:dyDescent="0.45">
      <c r="A342" s="140">
        <v>4</v>
      </c>
      <c r="B342" s="141" t="s">
        <v>1482</v>
      </c>
      <c r="C342" s="142" t="s">
        <v>1486</v>
      </c>
      <c r="D342" s="143" t="str">
        <f t="shared" si="198"/>
        <v>4.2_5.4.12</v>
      </c>
      <c r="E342" s="56" t="s">
        <v>926</v>
      </c>
      <c r="F342" s="506" t="s">
        <v>1763</v>
      </c>
      <c r="G342" s="507" t="s">
        <v>39</v>
      </c>
      <c r="H342" s="507" t="s">
        <v>39</v>
      </c>
      <c r="I342" s="507" t="s">
        <v>1757</v>
      </c>
      <c r="J342" s="507" t="s">
        <v>39</v>
      </c>
      <c r="K342" s="507" t="s">
        <v>39</v>
      </c>
      <c r="L342" s="507" t="s">
        <v>1764</v>
      </c>
      <c r="M342" s="507" t="s">
        <v>748</v>
      </c>
      <c r="N342" s="507" t="s">
        <v>1757</v>
      </c>
      <c r="O342" s="57" t="s">
        <v>927</v>
      </c>
      <c r="P342" s="58" t="s">
        <v>846</v>
      </c>
      <c r="Q342" s="59" t="s">
        <v>928</v>
      </c>
      <c r="R342" s="60" t="s">
        <v>755</v>
      </c>
      <c r="S342" s="61">
        <v>0.74</v>
      </c>
      <c r="T342" s="62">
        <f>INDEX('BM MORRO DA CRUZ'!$P$6:$P$402,MATCH($O342,'BM MORRO DA CRUZ'!$K$6:$K$402,0))</f>
        <v>7.59</v>
      </c>
      <c r="U342" s="63">
        <f t="shared" si="199"/>
        <v>5.62</v>
      </c>
      <c r="V342" s="61">
        <f>IFERROR(SUMIFS('01ª MC'!$W$1:$W$1840,'01ª MC'!$C$1:$C$1840,$D342),0)</f>
        <v>0</v>
      </c>
      <c r="W342" s="63">
        <f t="shared" si="200"/>
        <v>0</v>
      </c>
      <c r="X342" s="61">
        <v>0</v>
      </c>
      <c r="Y342" s="63">
        <f t="shared" si="201"/>
        <v>0</v>
      </c>
      <c r="Z342" s="61">
        <v>0</v>
      </c>
      <c r="AA342" s="63">
        <f t="shared" si="202"/>
        <v>0</v>
      </c>
      <c r="AB342" s="61">
        <v>0</v>
      </c>
      <c r="AC342" s="63">
        <f t="shared" si="203"/>
        <v>0</v>
      </c>
      <c r="AD342" s="61">
        <v>0</v>
      </c>
      <c r="AE342" s="63">
        <f t="shared" si="204"/>
        <v>0</v>
      </c>
      <c r="AF342" s="61">
        <v>0</v>
      </c>
      <c r="AG342" s="63">
        <f t="shared" si="205"/>
        <v>0</v>
      </c>
      <c r="AH342" s="61">
        <v>0</v>
      </c>
      <c r="AI342" s="63">
        <f t="shared" si="206"/>
        <v>0</v>
      </c>
      <c r="AJ342" s="61">
        <v>0</v>
      </c>
      <c r="AK342" s="63">
        <f t="shared" si="207"/>
        <v>0</v>
      </c>
      <c r="AL342" s="61">
        <v>0</v>
      </c>
      <c r="AM342" s="63">
        <f t="shared" si="208"/>
        <v>0</v>
      </c>
      <c r="AN342" s="61">
        <v>0</v>
      </c>
      <c r="AO342" s="63">
        <f t="shared" si="209"/>
        <v>0</v>
      </c>
      <c r="AP342" s="61">
        <v>0</v>
      </c>
      <c r="AQ342" s="63">
        <f t="shared" si="210"/>
        <v>0</v>
      </c>
      <c r="AR342" s="61">
        <v>0</v>
      </c>
      <c r="AS342" s="63">
        <f t="shared" si="211"/>
        <v>0</v>
      </c>
      <c r="AT342" s="61">
        <v>0</v>
      </c>
      <c r="AU342" s="63">
        <f t="shared" si="212"/>
        <v>0</v>
      </c>
      <c r="AV342" s="61">
        <v>0</v>
      </c>
      <c r="AW342" s="63">
        <f t="shared" si="213"/>
        <v>0</v>
      </c>
      <c r="AX342" s="61">
        <v>0</v>
      </c>
      <c r="AY342" s="63">
        <f t="shared" si="214"/>
        <v>0</v>
      </c>
      <c r="AZ342" s="61">
        <v>0</v>
      </c>
      <c r="BA342" s="63">
        <f t="shared" si="215"/>
        <v>0</v>
      </c>
      <c r="BB342" s="61">
        <v>0</v>
      </c>
      <c r="BC342" s="63">
        <f t="shared" si="216"/>
        <v>0</v>
      </c>
      <c r="BD342" s="61">
        <v>0</v>
      </c>
      <c r="BE342" s="63">
        <f t="shared" si="217"/>
        <v>0</v>
      </c>
      <c r="BF342" s="61">
        <f t="shared" si="218"/>
        <v>0</v>
      </c>
      <c r="BG342" s="63">
        <f t="shared" si="219"/>
        <v>0</v>
      </c>
      <c r="BH342" s="45"/>
      <c r="BI342" s="144"/>
    </row>
    <row r="343" spans="1:61" ht="35.65" x14ac:dyDescent="0.45">
      <c r="A343" s="140">
        <v>4</v>
      </c>
      <c r="B343" s="141" t="s">
        <v>1482</v>
      </c>
      <c r="C343" s="142" t="s">
        <v>1486</v>
      </c>
      <c r="D343" s="143" t="str">
        <f t="shared" si="198"/>
        <v>4.2_5.4.13</v>
      </c>
      <c r="E343" s="56" t="s">
        <v>929</v>
      </c>
      <c r="F343" s="506" t="s">
        <v>1765</v>
      </c>
      <c r="G343" s="507" t="s">
        <v>39</v>
      </c>
      <c r="H343" s="507" t="s">
        <v>39</v>
      </c>
      <c r="I343" s="507" t="s">
        <v>1757</v>
      </c>
      <c r="J343" s="507" t="s">
        <v>39</v>
      </c>
      <c r="K343" s="507" t="s">
        <v>39</v>
      </c>
      <c r="L343" s="507" t="s">
        <v>1758</v>
      </c>
      <c r="M343" s="507" t="s">
        <v>748</v>
      </c>
      <c r="N343" s="507" t="s">
        <v>1757</v>
      </c>
      <c r="O343" s="57" t="s">
        <v>930</v>
      </c>
      <c r="P343" s="58" t="s">
        <v>846</v>
      </c>
      <c r="Q343" s="59" t="s">
        <v>931</v>
      </c>
      <c r="R343" s="60" t="s">
        <v>755</v>
      </c>
      <c r="S343" s="61">
        <v>0.28999999999999998</v>
      </c>
      <c r="T343" s="62">
        <f>INDEX('BM MORRO DA CRUZ'!$P$6:$P$402,MATCH($O343,'BM MORRO DA CRUZ'!$K$6:$K$402,0))</f>
        <v>7.94</v>
      </c>
      <c r="U343" s="63">
        <f t="shared" si="199"/>
        <v>2.2999999999999998</v>
      </c>
      <c r="V343" s="61">
        <f>IFERROR(SUMIFS('01ª MC'!$W$1:$W$1840,'01ª MC'!$C$1:$C$1840,$D343),0)</f>
        <v>0</v>
      </c>
      <c r="W343" s="63">
        <f t="shared" si="200"/>
        <v>0</v>
      </c>
      <c r="X343" s="61">
        <v>0</v>
      </c>
      <c r="Y343" s="63">
        <f t="shared" si="201"/>
        <v>0</v>
      </c>
      <c r="Z343" s="61">
        <v>0</v>
      </c>
      <c r="AA343" s="63">
        <f t="shared" si="202"/>
        <v>0</v>
      </c>
      <c r="AB343" s="61">
        <v>0</v>
      </c>
      <c r="AC343" s="63">
        <f t="shared" si="203"/>
        <v>0</v>
      </c>
      <c r="AD343" s="61">
        <v>0</v>
      </c>
      <c r="AE343" s="63">
        <f t="shared" si="204"/>
        <v>0</v>
      </c>
      <c r="AF343" s="61">
        <v>0</v>
      </c>
      <c r="AG343" s="63">
        <f t="shared" si="205"/>
        <v>0</v>
      </c>
      <c r="AH343" s="61">
        <v>0</v>
      </c>
      <c r="AI343" s="63">
        <f t="shared" si="206"/>
        <v>0</v>
      </c>
      <c r="AJ343" s="61">
        <v>0</v>
      </c>
      <c r="AK343" s="63">
        <f t="shared" si="207"/>
        <v>0</v>
      </c>
      <c r="AL343" s="61">
        <v>0</v>
      </c>
      <c r="AM343" s="63">
        <f t="shared" si="208"/>
        <v>0</v>
      </c>
      <c r="AN343" s="61">
        <v>0</v>
      </c>
      <c r="AO343" s="63">
        <f t="shared" si="209"/>
        <v>0</v>
      </c>
      <c r="AP343" s="61">
        <v>0</v>
      </c>
      <c r="AQ343" s="63">
        <f t="shared" si="210"/>
        <v>0</v>
      </c>
      <c r="AR343" s="61">
        <v>0</v>
      </c>
      <c r="AS343" s="63">
        <f t="shared" si="211"/>
        <v>0</v>
      </c>
      <c r="AT343" s="61">
        <v>0</v>
      </c>
      <c r="AU343" s="63">
        <f t="shared" si="212"/>
        <v>0</v>
      </c>
      <c r="AV343" s="61">
        <v>0</v>
      </c>
      <c r="AW343" s="63">
        <f t="shared" si="213"/>
        <v>0</v>
      </c>
      <c r="AX343" s="61">
        <v>0</v>
      </c>
      <c r="AY343" s="63">
        <f t="shared" si="214"/>
        <v>0</v>
      </c>
      <c r="AZ343" s="61">
        <v>0</v>
      </c>
      <c r="BA343" s="63">
        <f t="shared" si="215"/>
        <v>0</v>
      </c>
      <c r="BB343" s="61">
        <v>0</v>
      </c>
      <c r="BC343" s="63">
        <f t="shared" si="216"/>
        <v>0</v>
      </c>
      <c r="BD343" s="61">
        <v>0</v>
      </c>
      <c r="BE343" s="63">
        <f t="shared" si="217"/>
        <v>0</v>
      </c>
      <c r="BF343" s="61">
        <f t="shared" si="218"/>
        <v>0</v>
      </c>
      <c r="BG343" s="63">
        <f t="shared" si="219"/>
        <v>0</v>
      </c>
      <c r="BH343" s="45"/>
      <c r="BI343" s="144"/>
    </row>
    <row r="344" spans="1:61" ht="26" customHeight="1" x14ac:dyDescent="0.45">
      <c r="A344" s="140">
        <v>4</v>
      </c>
      <c r="B344" s="141" t="s">
        <v>1482</v>
      </c>
      <c r="C344" s="142" t="s">
        <v>1486</v>
      </c>
      <c r="D344" s="143" t="str">
        <f t="shared" si="198"/>
        <v>4.2_5.4.22</v>
      </c>
      <c r="E344" s="56" t="s">
        <v>956</v>
      </c>
      <c r="F344" s="506" t="s">
        <v>1776</v>
      </c>
      <c r="G344" s="507" t="s">
        <v>39</v>
      </c>
      <c r="H344" s="507" t="s">
        <v>39</v>
      </c>
      <c r="I344" s="507" t="s">
        <v>1777</v>
      </c>
      <c r="J344" s="507" t="s">
        <v>39</v>
      </c>
      <c r="K344" s="507" t="s">
        <v>39</v>
      </c>
      <c r="L344" s="507" t="s">
        <v>39</v>
      </c>
      <c r="M344" s="507" t="s">
        <v>748</v>
      </c>
      <c r="N344" s="507" t="s">
        <v>1777</v>
      </c>
      <c r="O344" s="57" t="s">
        <v>957</v>
      </c>
      <c r="P344" s="58" t="s">
        <v>846</v>
      </c>
      <c r="Q344" s="59" t="s">
        <v>958</v>
      </c>
      <c r="R344" s="60" t="s">
        <v>959</v>
      </c>
      <c r="S344" s="61">
        <v>106.17</v>
      </c>
      <c r="T344" s="62">
        <f>INDEX('BM MORRO DA CRUZ'!$P$6:$P$402,MATCH($O344,'BM MORRO DA CRUZ'!$K$6:$K$402,0))</f>
        <v>0.89</v>
      </c>
      <c r="U344" s="63">
        <f t="shared" si="199"/>
        <v>94.49</v>
      </c>
      <c r="V344" s="61">
        <f>IFERROR(SUMIFS('01ª MC'!$W$1:$W$1840,'01ª MC'!$C$1:$C$1840,$D344),0)</f>
        <v>0</v>
      </c>
      <c r="W344" s="63">
        <f t="shared" si="200"/>
        <v>0</v>
      </c>
      <c r="X344" s="61">
        <v>0</v>
      </c>
      <c r="Y344" s="63">
        <f t="shared" si="201"/>
        <v>0</v>
      </c>
      <c r="Z344" s="61">
        <v>0</v>
      </c>
      <c r="AA344" s="63">
        <f t="shared" si="202"/>
        <v>0</v>
      </c>
      <c r="AB344" s="61">
        <v>0</v>
      </c>
      <c r="AC344" s="63">
        <f t="shared" si="203"/>
        <v>0</v>
      </c>
      <c r="AD344" s="61">
        <v>0</v>
      </c>
      <c r="AE344" s="63">
        <f t="shared" si="204"/>
        <v>0</v>
      </c>
      <c r="AF344" s="61">
        <v>0</v>
      </c>
      <c r="AG344" s="63">
        <f t="shared" si="205"/>
        <v>0</v>
      </c>
      <c r="AH344" s="61">
        <v>0</v>
      </c>
      <c r="AI344" s="63">
        <f t="shared" si="206"/>
        <v>0</v>
      </c>
      <c r="AJ344" s="61">
        <v>0</v>
      </c>
      <c r="AK344" s="63">
        <f t="shared" si="207"/>
        <v>0</v>
      </c>
      <c r="AL344" s="61">
        <v>0</v>
      </c>
      <c r="AM344" s="63">
        <f t="shared" si="208"/>
        <v>0</v>
      </c>
      <c r="AN344" s="61">
        <v>0</v>
      </c>
      <c r="AO344" s="63">
        <f t="shared" si="209"/>
        <v>0</v>
      </c>
      <c r="AP344" s="61">
        <v>0</v>
      </c>
      <c r="AQ344" s="63">
        <f t="shared" si="210"/>
        <v>0</v>
      </c>
      <c r="AR344" s="61">
        <v>0</v>
      </c>
      <c r="AS344" s="63">
        <f t="shared" si="211"/>
        <v>0</v>
      </c>
      <c r="AT344" s="61">
        <v>0</v>
      </c>
      <c r="AU344" s="63">
        <f t="shared" si="212"/>
        <v>0</v>
      </c>
      <c r="AV344" s="61">
        <v>0</v>
      </c>
      <c r="AW344" s="63">
        <f t="shared" si="213"/>
        <v>0</v>
      </c>
      <c r="AX344" s="61">
        <v>0</v>
      </c>
      <c r="AY344" s="63">
        <f t="shared" si="214"/>
        <v>0</v>
      </c>
      <c r="AZ344" s="61">
        <v>0</v>
      </c>
      <c r="BA344" s="63">
        <f t="shared" si="215"/>
        <v>0</v>
      </c>
      <c r="BB344" s="61">
        <v>0</v>
      </c>
      <c r="BC344" s="63">
        <f t="shared" si="216"/>
        <v>0</v>
      </c>
      <c r="BD344" s="61">
        <v>0</v>
      </c>
      <c r="BE344" s="63">
        <f t="shared" si="217"/>
        <v>0</v>
      </c>
      <c r="BF344" s="61">
        <f t="shared" si="218"/>
        <v>0</v>
      </c>
      <c r="BG344" s="63">
        <f t="shared" si="219"/>
        <v>0</v>
      </c>
      <c r="BH344" s="45"/>
      <c r="BI344" s="144"/>
    </row>
    <row r="345" spans="1:61" ht="26" customHeight="1" x14ac:dyDescent="0.45">
      <c r="A345" s="140">
        <v>4</v>
      </c>
      <c r="B345" s="141" t="s">
        <v>1482</v>
      </c>
      <c r="C345" s="142" t="s">
        <v>1486</v>
      </c>
      <c r="D345" s="143" t="str">
        <f t="shared" si="198"/>
        <v>4.2_5.4.23</v>
      </c>
      <c r="E345" s="56" t="s">
        <v>960</v>
      </c>
      <c r="F345" s="506" t="s">
        <v>1779</v>
      </c>
      <c r="G345" s="507" t="s">
        <v>39</v>
      </c>
      <c r="H345" s="507" t="s">
        <v>39</v>
      </c>
      <c r="I345" s="507" t="s">
        <v>1777</v>
      </c>
      <c r="J345" s="507" t="s">
        <v>39</v>
      </c>
      <c r="K345" s="507" t="s">
        <v>39</v>
      </c>
      <c r="L345" s="507" t="s">
        <v>39</v>
      </c>
      <c r="M345" s="507" t="s">
        <v>748</v>
      </c>
      <c r="N345" s="507" t="s">
        <v>1777</v>
      </c>
      <c r="O345" s="57" t="s">
        <v>961</v>
      </c>
      <c r="P345" s="58" t="s">
        <v>846</v>
      </c>
      <c r="Q345" s="59" t="s">
        <v>962</v>
      </c>
      <c r="R345" s="60" t="s">
        <v>959</v>
      </c>
      <c r="S345" s="61">
        <v>204.18</v>
      </c>
      <c r="T345" s="62">
        <f>INDEX('BM MORRO DA CRUZ'!$P$6:$P$402,MATCH($O345,'BM MORRO DA CRUZ'!$K$6:$K$402,0))</f>
        <v>2.19</v>
      </c>
      <c r="U345" s="63">
        <f t="shared" si="199"/>
        <v>447.15</v>
      </c>
      <c r="V345" s="61">
        <f>IFERROR(SUMIFS('01ª MC'!$W$1:$W$1840,'01ª MC'!$C$1:$C$1840,$D345),0)</f>
        <v>0</v>
      </c>
      <c r="W345" s="63">
        <f t="shared" si="200"/>
        <v>0</v>
      </c>
      <c r="X345" s="61">
        <v>0</v>
      </c>
      <c r="Y345" s="63">
        <f t="shared" si="201"/>
        <v>0</v>
      </c>
      <c r="Z345" s="61">
        <v>0</v>
      </c>
      <c r="AA345" s="63">
        <f t="shared" si="202"/>
        <v>0</v>
      </c>
      <c r="AB345" s="61">
        <v>0</v>
      </c>
      <c r="AC345" s="63">
        <f t="shared" si="203"/>
        <v>0</v>
      </c>
      <c r="AD345" s="61">
        <v>0</v>
      </c>
      <c r="AE345" s="63">
        <f t="shared" si="204"/>
        <v>0</v>
      </c>
      <c r="AF345" s="61">
        <v>0</v>
      </c>
      <c r="AG345" s="63">
        <f t="shared" si="205"/>
        <v>0</v>
      </c>
      <c r="AH345" s="61">
        <v>0</v>
      </c>
      <c r="AI345" s="63">
        <f t="shared" si="206"/>
        <v>0</v>
      </c>
      <c r="AJ345" s="61">
        <v>0</v>
      </c>
      <c r="AK345" s="63">
        <f t="shared" si="207"/>
        <v>0</v>
      </c>
      <c r="AL345" s="61">
        <v>0</v>
      </c>
      <c r="AM345" s="63">
        <f t="shared" si="208"/>
        <v>0</v>
      </c>
      <c r="AN345" s="61">
        <v>0</v>
      </c>
      <c r="AO345" s="63">
        <f t="shared" si="209"/>
        <v>0</v>
      </c>
      <c r="AP345" s="61">
        <v>0</v>
      </c>
      <c r="AQ345" s="63">
        <f t="shared" si="210"/>
        <v>0</v>
      </c>
      <c r="AR345" s="61">
        <v>0</v>
      </c>
      <c r="AS345" s="63">
        <f t="shared" si="211"/>
        <v>0</v>
      </c>
      <c r="AT345" s="61">
        <v>0</v>
      </c>
      <c r="AU345" s="63">
        <f t="shared" si="212"/>
        <v>0</v>
      </c>
      <c r="AV345" s="61">
        <v>0</v>
      </c>
      <c r="AW345" s="63">
        <f t="shared" si="213"/>
        <v>0</v>
      </c>
      <c r="AX345" s="61">
        <v>0</v>
      </c>
      <c r="AY345" s="63">
        <f t="shared" si="214"/>
        <v>0</v>
      </c>
      <c r="AZ345" s="61">
        <v>0</v>
      </c>
      <c r="BA345" s="63">
        <f t="shared" si="215"/>
        <v>0</v>
      </c>
      <c r="BB345" s="61">
        <v>0</v>
      </c>
      <c r="BC345" s="63">
        <f t="shared" si="216"/>
        <v>0</v>
      </c>
      <c r="BD345" s="61">
        <v>0</v>
      </c>
      <c r="BE345" s="63">
        <f t="shared" si="217"/>
        <v>0</v>
      </c>
      <c r="BF345" s="61">
        <f t="shared" si="218"/>
        <v>0</v>
      </c>
      <c r="BG345" s="63">
        <f t="shared" si="219"/>
        <v>0</v>
      </c>
      <c r="BH345" s="45"/>
      <c r="BI345" s="144"/>
    </row>
    <row r="346" spans="1:61" ht="19.5" customHeight="1" x14ac:dyDescent="0.45">
      <c r="A346" s="128">
        <v>4</v>
      </c>
      <c r="B346" s="129"/>
      <c r="C346" s="130"/>
      <c r="D346" s="131"/>
      <c r="E346" s="132" t="s">
        <v>973</v>
      </c>
      <c r="F346" s="515"/>
      <c r="G346" s="516"/>
      <c r="H346" s="516"/>
      <c r="I346" s="516"/>
      <c r="J346" s="516"/>
      <c r="K346" s="516"/>
      <c r="L346" s="516"/>
      <c r="M346" s="516"/>
      <c r="N346" s="516"/>
      <c r="O346" s="133" t="s">
        <v>974</v>
      </c>
      <c r="P346" s="134"/>
      <c r="Q346" s="135" t="s">
        <v>975</v>
      </c>
      <c r="R346" s="136"/>
      <c r="S346" s="137"/>
      <c r="T346" s="138"/>
      <c r="U346" s="139">
        <f>SUM(U347:U349)</f>
        <v>105.23</v>
      </c>
      <c r="V346" s="137"/>
      <c r="W346" s="139">
        <f>SUM(W347:W349)</f>
        <v>0</v>
      </c>
      <c r="X346" s="137"/>
      <c r="Y346" s="139">
        <f>SUM(Y347:Y349)</f>
        <v>0</v>
      </c>
      <c r="Z346" s="137"/>
      <c r="AA346" s="139">
        <f>SUM(AA347:AA349)</f>
        <v>0</v>
      </c>
      <c r="AB346" s="137"/>
      <c r="AC346" s="139">
        <f>SUM(AC347:AC349)</f>
        <v>0</v>
      </c>
      <c r="AD346" s="137"/>
      <c r="AE346" s="139">
        <f>SUM(AE347:AE349)</f>
        <v>0</v>
      </c>
      <c r="AF346" s="137"/>
      <c r="AG346" s="139">
        <f>SUM(AG347:AG349)</f>
        <v>0</v>
      </c>
      <c r="AH346" s="137"/>
      <c r="AI346" s="139">
        <f>SUM(AI347:AI349)</f>
        <v>0</v>
      </c>
      <c r="AJ346" s="137"/>
      <c r="AK346" s="139">
        <f>SUM(AK347:AK349)</f>
        <v>0</v>
      </c>
      <c r="AL346" s="137"/>
      <c r="AM346" s="139">
        <f>SUM(AM347:AM349)</f>
        <v>0</v>
      </c>
      <c r="AN346" s="137"/>
      <c r="AO346" s="139">
        <f>SUM(AO347:AO349)</f>
        <v>0</v>
      </c>
      <c r="AP346" s="137"/>
      <c r="AQ346" s="139">
        <f>SUM(AQ347:AQ349)</f>
        <v>0</v>
      </c>
      <c r="AR346" s="137"/>
      <c r="AS346" s="139">
        <f>SUM(AS347:AS349)</f>
        <v>0</v>
      </c>
      <c r="AT346" s="137"/>
      <c r="AU346" s="139">
        <f>SUM(AU347:AU349)</f>
        <v>0</v>
      </c>
      <c r="AV346" s="137"/>
      <c r="AW346" s="139">
        <f>SUM(AW347:AW349)</f>
        <v>0</v>
      </c>
      <c r="AX346" s="137"/>
      <c r="AY346" s="139">
        <f>SUM(AY347:AY349)</f>
        <v>0</v>
      </c>
      <c r="AZ346" s="137"/>
      <c r="BA346" s="139">
        <f>SUM(BA347:BA349)</f>
        <v>0</v>
      </c>
      <c r="BB346" s="137"/>
      <c r="BC346" s="139">
        <f>SUM(BC347:BC349)</f>
        <v>0</v>
      </c>
      <c r="BD346" s="137"/>
      <c r="BE346" s="139">
        <f>SUM(BE347:BE349)</f>
        <v>0</v>
      </c>
      <c r="BF346" s="137"/>
      <c r="BG346" s="139">
        <f>SUM(BG347:BG349)</f>
        <v>0</v>
      </c>
      <c r="BH346" s="45"/>
    </row>
    <row r="347" spans="1:61" ht="26" customHeight="1" x14ac:dyDescent="0.45">
      <c r="A347" s="140">
        <v>4</v>
      </c>
      <c r="B347" s="141" t="s">
        <v>1482</v>
      </c>
      <c r="C347" s="142" t="s">
        <v>1486</v>
      </c>
      <c r="D347" s="143" t="str">
        <f>B347&amp;"_"&amp;E347</f>
        <v>4.2_5.5.1</v>
      </c>
      <c r="E347" s="56" t="s">
        <v>976</v>
      </c>
      <c r="F347" s="506" t="s">
        <v>1784</v>
      </c>
      <c r="G347" s="507" t="s">
        <v>39</v>
      </c>
      <c r="H347" s="507" t="s">
        <v>39</v>
      </c>
      <c r="I347" s="507" t="s">
        <v>1785</v>
      </c>
      <c r="J347" s="507" t="s">
        <v>39</v>
      </c>
      <c r="K347" s="507" t="s">
        <v>39</v>
      </c>
      <c r="L347" s="507" t="s">
        <v>1720</v>
      </c>
      <c r="M347" s="507" t="s">
        <v>748</v>
      </c>
      <c r="N347" s="507" t="s">
        <v>1786</v>
      </c>
      <c r="O347" s="57" t="s">
        <v>977</v>
      </c>
      <c r="P347" s="58" t="s">
        <v>846</v>
      </c>
      <c r="Q347" s="59" t="s">
        <v>978</v>
      </c>
      <c r="R347" s="60" t="s">
        <v>755</v>
      </c>
      <c r="S347" s="61">
        <v>0.03</v>
      </c>
      <c r="T347" s="62">
        <f>INDEX('BM MORRO DA CRUZ'!$P$6:$P$402,MATCH($O347,'BM MORRO DA CRUZ'!$K$6:$K$402,0))</f>
        <v>256.33999999999997</v>
      </c>
      <c r="U347" s="63">
        <f>ROUND(T347*$S347,2)</f>
        <v>7.69</v>
      </c>
      <c r="V347" s="61">
        <f>IFERROR(SUMIFS('01ª MC'!$W$1:$W$1840,'01ª MC'!$C$1:$C$1840,$D347),0)</f>
        <v>0</v>
      </c>
      <c r="W347" s="63">
        <f>ROUND(V347*$T347,2)</f>
        <v>0</v>
      </c>
      <c r="X347" s="61">
        <v>0</v>
      </c>
      <c r="Y347" s="63">
        <f>ROUND(X347*$T347,2)</f>
        <v>0</v>
      </c>
      <c r="Z347" s="61">
        <v>0</v>
      </c>
      <c r="AA347" s="63">
        <f>ROUND(Z347*$T347,2)</f>
        <v>0</v>
      </c>
      <c r="AB347" s="61">
        <v>0</v>
      </c>
      <c r="AC347" s="63">
        <f>ROUND(AB347*$T347,2)</f>
        <v>0</v>
      </c>
      <c r="AD347" s="61">
        <v>0</v>
      </c>
      <c r="AE347" s="63">
        <f>ROUND(AD347*$T347,2)</f>
        <v>0</v>
      </c>
      <c r="AF347" s="61">
        <v>0</v>
      </c>
      <c r="AG347" s="63">
        <f>ROUND(AF347*$T347,2)</f>
        <v>0</v>
      </c>
      <c r="AH347" s="61">
        <v>0</v>
      </c>
      <c r="AI347" s="63">
        <f>ROUND(AH347*$T347,2)</f>
        <v>0</v>
      </c>
      <c r="AJ347" s="61">
        <v>0</v>
      </c>
      <c r="AK347" s="63">
        <f>ROUND(AJ347*$T347,2)</f>
        <v>0</v>
      </c>
      <c r="AL347" s="61">
        <v>0</v>
      </c>
      <c r="AM347" s="63">
        <f>ROUND(AL347*$T347,2)</f>
        <v>0</v>
      </c>
      <c r="AN347" s="61">
        <v>0</v>
      </c>
      <c r="AO347" s="63">
        <f>ROUND(AN347*$T347,2)</f>
        <v>0</v>
      </c>
      <c r="AP347" s="61">
        <v>0</v>
      </c>
      <c r="AQ347" s="63">
        <f>ROUND(AP347*$T347,2)</f>
        <v>0</v>
      </c>
      <c r="AR347" s="61">
        <v>0</v>
      </c>
      <c r="AS347" s="63">
        <f>ROUND(AR347*$T347,2)</f>
        <v>0</v>
      </c>
      <c r="AT347" s="61">
        <v>0</v>
      </c>
      <c r="AU347" s="63">
        <f>ROUND(AT347*$T347,2)</f>
        <v>0</v>
      </c>
      <c r="AV347" s="61">
        <v>0</v>
      </c>
      <c r="AW347" s="63">
        <f>ROUND(AV347*$T347,2)</f>
        <v>0</v>
      </c>
      <c r="AX347" s="61">
        <v>0</v>
      </c>
      <c r="AY347" s="63">
        <f>ROUND(AX347*$T347,2)</f>
        <v>0</v>
      </c>
      <c r="AZ347" s="61">
        <v>0</v>
      </c>
      <c r="BA347" s="63">
        <f>ROUND(AZ347*$T347,2)</f>
        <v>0</v>
      </c>
      <c r="BB347" s="61">
        <v>0</v>
      </c>
      <c r="BC347" s="63">
        <f>ROUND(BB347*$T347,2)</f>
        <v>0</v>
      </c>
      <c r="BD347" s="61">
        <v>0</v>
      </c>
      <c r="BE347" s="63">
        <f>ROUND(BD347*$T347,2)</f>
        <v>0</v>
      </c>
      <c r="BF347" s="61">
        <f>IFERROR(SUMIFS($V347:$BE347,$V$5:$BE$5,$BF$5),0)</f>
        <v>0</v>
      </c>
      <c r="BG347" s="63">
        <f>SUMIFS($V347:$BE347,$V$5:$BE$5,$W$5)</f>
        <v>0</v>
      </c>
      <c r="BH347" s="45"/>
      <c r="BI347" s="144"/>
    </row>
    <row r="348" spans="1:61" ht="26" customHeight="1" x14ac:dyDescent="0.45">
      <c r="A348" s="140">
        <v>4</v>
      </c>
      <c r="B348" s="141" t="s">
        <v>1482</v>
      </c>
      <c r="C348" s="142" t="s">
        <v>1486</v>
      </c>
      <c r="D348" s="143" t="str">
        <f>B348&amp;"_"&amp;E348</f>
        <v>4.2_5.5.5</v>
      </c>
      <c r="E348" s="56" t="s">
        <v>988</v>
      </c>
      <c r="F348" s="506" t="s">
        <v>1793</v>
      </c>
      <c r="G348" s="507" t="s">
        <v>39</v>
      </c>
      <c r="H348" s="507" t="s">
        <v>39</v>
      </c>
      <c r="I348" s="507" t="s">
        <v>1791</v>
      </c>
      <c r="J348" s="507" t="s">
        <v>39</v>
      </c>
      <c r="K348" s="507" t="s">
        <v>39</v>
      </c>
      <c r="L348" s="507" t="s">
        <v>1730</v>
      </c>
      <c r="M348" s="507" t="s">
        <v>748</v>
      </c>
      <c r="N348" s="507" t="s">
        <v>1792</v>
      </c>
      <c r="O348" s="57" t="s">
        <v>989</v>
      </c>
      <c r="P348" s="58" t="s">
        <v>846</v>
      </c>
      <c r="Q348" s="59" t="s">
        <v>990</v>
      </c>
      <c r="R348" s="60" t="s">
        <v>792</v>
      </c>
      <c r="S348" s="61">
        <v>4.54</v>
      </c>
      <c r="T348" s="62">
        <f>INDEX('BM MORRO DA CRUZ'!$P$6:$P$402,MATCH($O348,'BM MORRO DA CRUZ'!$K$6:$K$402,0))</f>
        <v>7.03</v>
      </c>
      <c r="U348" s="63">
        <f>ROUND(T348*$S348,2)</f>
        <v>31.92</v>
      </c>
      <c r="V348" s="61">
        <f>IFERROR(SUMIFS('01ª MC'!$W$1:$W$1840,'01ª MC'!$C$1:$C$1840,$D348),0)</f>
        <v>0</v>
      </c>
      <c r="W348" s="63">
        <f>ROUND(V348*$T348,2)</f>
        <v>0</v>
      </c>
      <c r="X348" s="61">
        <v>0</v>
      </c>
      <c r="Y348" s="63">
        <f>ROUND(X348*$T348,2)</f>
        <v>0</v>
      </c>
      <c r="Z348" s="61">
        <v>0</v>
      </c>
      <c r="AA348" s="63">
        <f>ROUND(Z348*$T348,2)</f>
        <v>0</v>
      </c>
      <c r="AB348" s="61">
        <v>0</v>
      </c>
      <c r="AC348" s="63">
        <f>ROUND(AB348*$T348,2)</f>
        <v>0</v>
      </c>
      <c r="AD348" s="61">
        <v>0</v>
      </c>
      <c r="AE348" s="63">
        <f>ROUND(AD348*$T348,2)</f>
        <v>0</v>
      </c>
      <c r="AF348" s="61">
        <v>0</v>
      </c>
      <c r="AG348" s="63">
        <f>ROUND(AF348*$T348,2)</f>
        <v>0</v>
      </c>
      <c r="AH348" s="61">
        <v>0</v>
      </c>
      <c r="AI348" s="63">
        <f>ROUND(AH348*$T348,2)</f>
        <v>0</v>
      </c>
      <c r="AJ348" s="61">
        <v>0</v>
      </c>
      <c r="AK348" s="63">
        <f>ROUND(AJ348*$T348,2)</f>
        <v>0</v>
      </c>
      <c r="AL348" s="61">
        <v>0</v>
      </c>
      <c r="AM348" s="63">
        <f>ROUND(AL348*$T348,2)</f>
        <v>0</v>
      </c>
      <c r="AN348" s="61">
        <v>0</v>
      </c>
      <c r="AO348" s="63">
        <f>ROUND(AN348*$T348,2)</f>
        <v>0</v>
      </c>
      <c r="AP348" s="61">
        <v>0</v>
      </c>
      <c r="AQ348" s="63">
        <f>ROUND(AP348*$T348,2)</f>
        <v>0</v>
      </c>
      <c r="AR348" s="61">
        <v>0</v>
      </c>
      <c r="AS348" s="63">
        <f>ROUND(AR348*$T348,2)</f>
        <v>0</v>
      </c>
      <c r="AT348" s="61">
        <v>0</v>
      </c>
      <c r="AU348" s="63">
        <f>ROUND(AT348*$T348,2)</f>
        <v>0</v>
      </c>
      <c r="AV348" s="61">
        <v>0</v>
      </c>
      <c r="AW348" s="63">
        <f>ROUND(AV348*$T348,2)</f>
        <v>0</v>
      </c>
      <c r="AX348" s="61">
        <v>0</v>
      </c>
      <c r="AY348" s="63">
        <f>ROUND(AX348*$T348,2)</f>
        <v>0</v>
      </c>
      <c r="AZ348" s="61">
        <v>0</v>
      </c>
      <c r="BA348" s="63">
        <f>ROUND(AZ348*$T348,2)</f>
        <v>0</v>
      </c>
      <c r="BB348" s="61">
        <v>0</v>
      </c>
      <c r="BC348" s="63">
        <f>ROUND(BB348*$T348,2)</f>
        <v>0</v>
      </c>
      <c r="BD348" s="61">
        <v>0</v>
      </c>
      <c r="BE348" s="63">
        <f>ROUND(BD348*$T348,2)</f>
        <v>0</v>
      </c>
      <c r="BF348" s="61">
        <f>IFERROR(SUMIFS($V348:$BE348,$V$5:$BE$5,$BF$5),0)</f>
        <v>0</v>
      </c>
      <c r="BG348" s="63">
        <f>SUMIFS($V348:$BE348,$V$5:$BE$5,$W$5)</f>
        <v>0</v>
      </c>
      <c r="BH348" s="45"/>
      <c r="BI348" s="144"/>
    </row>
    <row r="349" spans="1:61" ht="26" customHeight="1" x14ac:dyDescent="0.45">
      <c r="A349" s="140">
        <v>4</v>
      </c>
      <c r="B349" s="141" t="s">
        <v>1482</v>
      </c>
      <c r="C349" s="142" t="s">
        <v>1486</v>
      </c>
      <c r="D349" s="143" t="str">
        <f>B349&amp;"_"&amp;E349</f>
        <v>4.2_5.5.6</v>
      </c>
      <c r="E349" s="56" t="s">
        <v>991</v>
      </c>
      <c r="F349" s="506" t="s">
        <v>1794</v>
      </c>
      <c r="G349" s="507" t="s">
        <v>1795</v>
      </c>
      <c r="H349" s="507" t="s">
        <v>39</v>
      </c>
      <c r="I349" s="507" t="s">
        <v>540</v>
      </c>
      <c r="J349" s="507" t="s">
        <v>39</v>
      </c>
      <c r="K349" s="507">
        <v>100</v>
      </c>
      <c r="L349" s="507" t="s">
        <v>257</v>
      </c>
      <c r="M349" s="507" t="s">
        <v>748</v>
      </c>
      <c r="N349" s="507" t="s">
        <v>540</v>
      </c>
      <c r="O349" s="57" t="s">
        <v>992</v>
      </c>
      <c r="P349" s="58" t="s">
        <v>846</v>
      </c>
      <c r="Q349" s="59" t="s">
        <v>993</v>
      </c>
      <c r="R349" s="60" t="s">
        <v>367</v>
      </c>
      <c r="S349" s="61">
        <v>1</v>
      </c>
      <c r="T349" s="62">
        <f>INDEX('BM MORRO DA CRUZ'!$P$6:$P$402,MATCH($O349,'BM MORRO DA CRUZ'!$K$6:$K$402,0))</f>
        <v>65.62</v>
      </c>
      <c r="U349" s="63">
        <f>ROUND(T349*$S349,2)</f>
        <v>65.62</v>
      </c>
      <c r="V349" s="61">
        <f>IFERROR(SUMIFS('01ª MC'!$W$1:$W$1840,'01ª MC'!$C$1:$C$1840,$D349),0)</f>
        <v>0</v>
      </c>
      <c r="W349" s="63">
        <f>ROUND(V349*$T349,2)</f>
        <v>0</v>
      </c>
      <c r="X349" s="61">
        <v>0</v>
      </c>
      <c r="Y349" s="63">
        <f>ROUND(X349*$T349,2)</f>
        <v>0</v>
      </c>
      <c r="Z349" s="61">
        <v>0</v>
      </c>
      <c r="AA349" s="63">
        <f>ROUND(Z349*$T349,2)</f>
        <v>0</v>
      </c>
      <c r="AB349" s="61">
        <v>0</v>
      </c>
      <c r="AC349" s="63">
        <f>ROUND(AB349*$T349,2)</f>
        <v>0</v>
      </c>
      <c r="AD349" s="61">
        <v>0</v>
      </c>
      <c r="AE349" s="63">
        <f>ROUND(AD349*$T349,2)</f>
        <v>0</v>
      </c>
      <c r="AF349" s="61">
        <v>0</v>
      </c>
      <c r="AG349" s="63">
        <f>ROUND(AF349*$T349,2)</f>
        <v>0</v>
      </c>
      <c r="AH349" s="61">
        <v>0</v>
      </c>
      <c r="AI349" s="63">
        <f>ROUND(AH349*$T349,2)</f>
        <v>0</v>
      </c>
      <c r="AJ349" s="61">
        <v>0</v>
      </c>
      <c r="AK349" s="63">
        <f>ROUND(AJ349*$T349,2)</f>
        <v>0</v>
      </c>
      <c r="AL349" s="61">
        <v>0</v>
      </c>
      <c r="AM349" s="63">
        <f>ROUND(AL349*$T349,2)</f>
        <v>0</v>
      </c>
      <c r="AN349" s="61">
        <v>0</v>
      </c>
      <c r="AO349" s="63">
        <f>ROUND(AN349*$T349,2)</f>
        <v>0</v>
      </c>
      <c r="AP349" s="61">
        <v>0</v>
      </c>
      <c r="AQ349" s="63">
        <f>ROUND(AP349*$T349,2)</f>
        <v>0</v>
      </c>
      <c r="AR349" s="61">
        <v>0</v>
      </c>
      <c r="AS349" s="63">
        <f>ROUND(AR349*$T349,2)</f>
        <v>0</v>
      </c>
      <c r="AT349" s="61">
        <v>0</v>
      </c>
      <c r="AU349" s="63">
        <f>ROUND(AT349*$T349,2)</f>
        <v>0</v>
      </c>
      <c r="AV349" s="61">
        <v>0</v>
      </c>
      <c r="AW349" s="63">
        <f>ROUND(AV349*$T349,2)</f>
        <v>0</v>
      </c>
      <c r="AX349" s="61">
        <v>0</v>
      </c>
      <c r="AY349" s="63">
        <f>ROUND(AX349*$T349,2)</f>
        <v>0</v>
      </c>
      <c r="AZ349" s="61">
        <v>0</v>
      </c>
      <c r="BA349" s="63">
        <f>ROUND(AZ349*$T349,2)</f>
        <v>0</v>
      </c>
      <c r="BB349" s="61">
        <v>0</v>
      </c>
      <c r="BC349" s="63">
        <f>ROUND(BB349*$T349,2)</f>
        <v>0</v>
      </c>
      <c r="BD349" s="61">
        <v>0</v>
      </c>
      <c r="BE349" s="63">
        <f>ROUND(BD349*$T349,2)</f>
        <v>0</v>
      </c>
      <c r="BF349" s="61">
        <f>IFERROR(SUMIFS($V349:$BE349,$V$5:$BE$5,$BF$5),0)</f>
        <v>0</v>
      </c>
      <c r="BG349" s="63">
        <f>SUMIFS($V349:$BE349,$V$5:$BE$5,$W$5)</f>
        <v>0</v>
      </c>
      <c r="BH349" s="45"/>
      <c r="BI349" s="144"/>
    </row>
    <row r="350" spans="1:61" ht="19.5" customHeight="1" x14ac:dyDescent="0.45">
      <c r="A350" s="128">
        <v>4</v>
      </c>
      <c r="B350" s="129"/>
      <c r="C350" s="130"/>
      <c r="D350" s="131"/>
      <c r="E350" s="132" t="s">
        <v>994</v>
      </c>
      <c r="F350" s="515"/>
      <c r="G350" s="516"/>
      <c r="H350" s="516"/>
      <c r="I350" s="516"/>
      <c r="J350" s="516"/>
      <c r="K350" s="516"/>
      <c r="L350" s="516"/>
      <c r="M350" s="516"/>
      <c r="N350" s="516"/>
      <c r="O350" s="133" t="s">
        <v>995</v>
      </c>
      <c r="P350" s="134"/>
      <c r="Q350" s="135" t="s">
        <v>996</v>
      </c>
      <c r="R350" s="136"/>
      <c r="S350" s="137"/>
      <c r="T350" s="138"/>
      <c r="U350" s="139">
        <f>SUM(U351:U351)</f>
        <v>7.18</v>
      </c>
      <c r="V350" s="137"/>
      <c r="W350" s="139">
        <f>SUM(W351:W351)</f>
        <v>0</v>
      </c>
      <c r="X350" s="137"/>
      <c r="Y350" s="139">
        <f>SUM(Y351:Y351)</f>
        <v>0</v>
      </c>
      <c r="Z350" s="137"/>
      <c r="AA350" s="139">
        <f>SUM(AA351:AA351)</f>
        <v>0</v>
      </c>
      <c r="AB350" s="137"/>
      <c r="AC350" s="139">
        <f>SUM(AC351:AC351)</f>
        <v>0</v>
      </c>
      <c r="AD350" s="137"/>
      <c r="AE350" s="139">
        <f>SUM(AE351:AE351)</f>
        <v>0</v>
      </c>
      <c r="AF350" s="137"/>
      <c r="AG350" s="139">
        <f>SUM(AG351:AG351)</f>
        <v>0</v>
      </c>
      <c r="AH350" s="137"/>
      <c r="AI350" s="139">
        <f>SUM(AI351:AI351)</f>
        <v>0</v>
      </c>
      <c r="AJ350" s="137"/>
      <c r="AK350" s="139">
        <f>SUM(AK351:AK351)</f>
        <v>0</v>
      </c>
      <c r="AL350" s="137"/>
      <c r="AM350" s="139">
        <f>SUM(AM351:AM351)</f>
        <v>0</v>
      </c>
      <c r="AN350" s="137"/>
      <c r="AO350" s="139">
        <f>SUM(AO351:AO351)</f>
        <v>0</v>
      </c>
      <c r="AP350" s="137"/>
      <c r="AQ350" s="139">
        <f>SUM(AQ351:AQ351)</f>
        <v>0</v>
      </c>
      <c r="AR350" s="137"/>
      <c r="AS350" s="139">
        <f>SUM(AS351:AS351)</f>
        <v>0</v>
      </c>
      <c r="AT350" s="137"/>
      <c r="AU350" s="139">
        <f>SUM(AU351:AU351)</f>
        <v>0</v>
      </c>
      <c r="AV350" s="137"/>
      <c r="AW350" s="139">
        <f>SUM(AW351:AW351)</f>
        <v>0</v>
      </c>
      <c r="AX350" s="137"/>
      <c r="AY350" s="139">
        <f>SUM(AY351:AY351)</f>
        <v>0</v>
      </c>
      <c r="AZ350" s="137"/>
      <c r="BA350" s="139">
        <f>SUM(BA351:BA351)</f>
        <v>0</v>
      </c>
      <c r="BB350" s="137"/>
      <c r="BC350" s="139">
        <f>SUM(BC351:BC351)</f>
        <v>0</v>
      </c>
      <c r="BD350" s="137"/>
      <c r="BE350" s="139">
        <f>SUM(BE351:BE351)</f>
        <v>0</v>
      </c>
      <c r="BF350" s="137"/>
      <c r="BG350" s="139">
        <f>SUM(BG351:BG351)</f>
        <v>0</v>
      </c>
      <c r="BH350" s="45"/>
    </row>
    <row r="351" spans="1:61" ht="26" customHeight="1" x14ac:dyDescent="0.45">
      <c r="A351" s="140">
        <v>4</v>
      </c>
      <c r="B351" s="141" t="s">
        <v>1482</v>
      </c>
      <c r="C351" s="142" t="s">
        <v>1486</v>
      </c>
      <c r="D351" s="143" t="str">
        <f>B351&amp;"_"&amp;E351</f>
        <v>4.2_5.6.1</v>
      </c>
      <c r="E351" s="56" t="s">
        <v>997</v>
      </c>
      <c r="F351" s="506" t="s">
        <v>1796</v>
      </c>
      <c r="G351" s="507" t="s">
        <v>39</v>
      </c>
      <c r="H351" s="507" t="s">
        <v>39</v>
      </c>
      <c r="I351" s="507" t="s">
        <v>1797</v>
      </c>
      <c r="J351" s="507" t="s">
        <v>39</v>
      </c>
      <c r="K351" s="507" t="s">
        <v>39</v>
      </c>
      <c r="L351" s="507" t="s">
        <v>39</v>
      </c>
      <c r="M351" s="507" t="s">
        <v>748</v>
      </c>
      <c r="N351" s="507" t="s">
        <v>1797</v>
      </c>
      <c r="O351" s="57" t="s">
        <v>998</v>
      </c>
      <c r="P351" s="58" t="s">
        <v>846</v>
      </c>
      <c r="Q351" s="59" t="s">
        <v>999</v>
      </c>
      <c r="R351" s="60" t="s">
        <v>1000</v>
      </c>
      <c r="S351" s="61">
        <v>0.22</v>
      </c>
      <c r="T351" s="62">
        <f>INDEX('BM MORRO DA CRUZ'!$P$6:$P$402,MATCH($O351,'BM MORRO DA CRUZ'!$K$6:$K$402,0))</f>
        <v>32.64</v>
      </c>
      <c r="U351" s="63">
        <f>ROUND(T351*$S351,2)</f>
        <v>7.18</v>
      </c>
      <c r="V351" s="61">
        <f>IFERROR(SUMIFS('01ª MC'!$W$1:$W$1840,'01ª MC'!$C$1:$C$1840,$D351),0)</f>
        <v>0</v>
      </c>
      <c r="W351" s="63">
        <f>ROUND(V351*$T351,2)</f>
        <v>0</v>
      </c>
      <c r="X351" s="61">
        <v>0</v>
      </c>
      <c r="Y351" s="63">
        <f>ROUND(X351*$T351,2)</f>
        <v>0</v>
      </c>
      <c r="Z351" s="61">
        <v>0</v>
      </c>
      <c r="AA351" s="63">
        <f>ROUND(Z351*$T351,2)</f>
        <v>0</v>
      </c>
      <c r="AB351" s="61">
        <v>0</v>
      </c>
      <c r="AC351" s="63">
        <f>ROUND(AB351*$T351,2)</f>
        <v>0</v>
      </c>
      <c r="AD351" s="61">
        <v>0</v>
      </c>
      <c r="AE351" s="63">
        <f>ROUND(AD351*$T351,2)</f>
        <v>0</v>
      </c>
      <c r="AF351" s="61">
        <v>0</v>
      </c>
      <c r="AG351" s="63">
        <f>ROUND(AF351*$T351,2)</f>
        <v>0</v>
      </c>
      <c r="AH351" s="61">
        <v>0</v>
      </c>
      <c r="AI351" s="63">
        <f>ROUND(AH351*$T351,2)</f>
        <v>0</v>
      </c>
      <c r="AJ351" s="61">
        <v>0</v>
      </c>
      <c r="AK351" s="63">
        <f>ROUND(AJ351*$T351,2)</f>
        <v>0</v>
      </c>
      <c r="AL351" s="61">
        <v>0</v>
      </c>
      <c r="AM351" s="63">
        <f>ROUND(AL351*$T351,2)</f>
        <v>0</v>
      </c>
      <c r="AN351" s="61">
        <v>0</v>
      </c>
      <c r="AO351" s="63">
        <f>ROUND(AN351*$T351,2)</f>
        <v>0</v>
      </c>
      <c r="AP351" s="61">
        <v>0</v>
      </c>
      <c r="AQ351" s="63">
        <f>ROUND(AP351*$T351,2)</f>
        <v>0</v>
      </c>
      <c r="AR351" s="61">
        <v>0</v>
      </c>
      <c r="AS351" s="63">
        <f>ROUND(AR351*$T351,2)</f>
        <v>0</v>
      </c>
      <c r="AT351" s="61">
        <v>0</v>
      </c>
      <c r="AU351" s="63">
        <f>ROUND(AT351*$T351,2)</f>
        <v>0</v>
      </c>
      <c r="AV351" s="61">
        <v>0</v>
      </c>
      <c r="AW351" s="63">
        <f>ROUND(AV351*$T351,2)</f>
        <v>0</v>
      </c>
      <c r="AX351" s="61">
        <v>0</v>
      </c>
      <c r="AY351" s="63">
        <f>ROUND(AX351*$T351,2)</f>
        <v>0</v>
      </c>
      <c r="AZ351" s="61">
        <v>0</v>
      </c>
      <c r="BA351" s="63">
        <f>ROUND(AZ351*$T351,2)</f>
        <v>0</v>
      </c>
      <c r="BB351" s="61">
        <v>0</v>
      </c>
      <c r="BC351" s="63">
        <f>ROUND(BB351*$T351,2)</f>
        <v>0</v>
      </c>
      <c r="BD351" s="61">
        <v>0</v>
      </c>
      <c r="BE351" s="63">
        <f>ROUND(BD351*$T351,2)</f>
        <v>0</v>
      </c>
      <c r="BF351" s="61">
        <f>IFERROR(SUMIFS($V351:$BE351,$V$5:$BE$5,$BF$5),0)</f>
        <v>0</v>
      </c>
      <c r="BG351" s="63">
        <f>SUMIFS($V351:$BE351,$V$5:$BE$5,$W$5)</f>
        <v>0</v>
      </c>
      <c r="BH351" s="45"/>
      <c r="BI351" s="144"/>
    </row>
    <row r="352" spans="1:61" ht="19.5" customHeight="1" x14ac:dyDescent="0.45">
      <c r="A352" s="128">
        <v>4</v>
      </c>
      <c r="B352" s="129"/>
      <c r="C352" s="130"/>
      <c r="D352" s="131"/>
      <c r="E352" s="132" t="s">
        <v>1001</v>
      </c>
      <c r="F352" s="515"/>
      <c r="G352" s="516"/>
      <c r="H352" s="516"/>
      <c r="I352" s="516"/>
      <c r="J352" s="516"/>
      <c r="K352" s="516"/>
      <c r="L352" s="516"/>
      <c r="M352" s="516"/>
      <c r="N352" s="516"/>
      <c r="O352" s="133" t="s">
        <v>1002</v>
      </c>
      <c r="P352" s="134"/>
      <c r="Q352" s="135" t="s">
        <v>1003</v>
      </c>
      <c r="R352" s="136"/>
      <c r="S352" s="137"/>
      <c r="T352" s="138"/>
      <c r="U352" s="139">
        <f>SUM(U353:U355)</f>
        <v>2780.8</v>
      </c>
      <c r="V352" s="137"/>
      <c r="W352" s="139">
        <f>SUM(W353:W355)</f>
        <v>0</v>
      </c>
      <c r="X352" s="137"/>
      <c r="Y352" s="139">
        <f>SUM(Y353:Y355)</f>
        <v>0</v>
      </c>
      <c r="Z352" s="137"/>
      <c r="AA352" s="139">
        <f>SUM(AA353:AA355)</f>
        <v>0</v>
      </c>
      <c r="AB352" s="137"/>
      <c r="AC352" s="139">
        <f>SUM(AC353:AC355)</f>
        <v>0</v>
      </c>
      <c r="AD352" s="137"/>
      <c r="AE352" s="139">
        <f>SUM(AE353:AE355)</f>
        <v>0</v>
      </c>
      <c r="AF352" s="137"/>
      <c r="AG352" s="139">
        <f>SUM(AG353:AG355)</f>
        <v>0</v>
      </c>
      <c r="AH352" s="137"/>
      <c r="AI352" s="139">
        <f>SUM(AI353:AI355)</f>
        <v>0</v>
      </c>
      <c r="AJ352" s="137"/>
      <c r="AK352" s="139">
        <f>SUM(AK353:AK355)</f>
        <v>0</v>
      </c>
      <c r="AL352" s="137"/>
      <c r="AM352" s="139">
        <f>SUM(AM353:AM355)</f>
        <v>0</v>
      </c>
      <c r="AN352" s="137"/>
      <c r="AO352" s="139">
        <f>SUM(AO353:AO355)</f>
        <v>0</v>
      </c>
      <c r="AP352" s="137"/>
      <c r="AQ352" s="139">
        <f>SUM(AQ353:AQ355)</f>
        <v>0</v>
      </c>
      <c r="AR352" s="137"/>
      <c r="AS352" s="139">
        <f>SUM(AS353:AS355)</f>
        <v>0</v>
      </c>
      <c r="AT352" s="137"/>
      <c r="AU352" s="139">
        <f>SUM(AU353:AU355)</f>
        <v>0</v>
      </c>
      <c r="AV352" s="137"/>
      <c r="AW352" s="139">
        <f>SUM(AW353:AW355)</f>
        <v>0</v>
      </c>
      <c r="AX352" s="137"/>
      <c r="AY352" s="139">
        <f>SUM(AY353:AY355)</f>
        <v>0</v>
      </c>
      <c r="AZ352" s="137"/>
      <c r="BA352" s="139">
        <f>SUM(BA353:BA355)</f>
        <v>0</v>
      </c>
      <c r="BB352" s="137"/>
      <c r="BC352" s="139">
        <f>SUM(BC353:BC355)</f>
        <v>0</v>
      </c>
      <c r="BD352" s="137"/>
      <c r="BE352" s="139">
        <f>SUM(BE353:BE355)</f>
        <v>0</v>
      </c>
      <c r="BF352" s="137"/>
      <c r="BG352" s="139">
        <f>SUM(BG353:BG355)</f>
        <v>0</v>
      </c>
      <c r="BH352" s="45"/>
    </row>
    <row r="353" spans="1:61" ht="26" customHeight="1" x14ac:dyDescent="0.45">
      <c r="A353" s="140">
        <v>4</v>
      </c>
      <c r="B353" s="141" t="s">
        <v>1482</v>
      </c>
      <c r="C353" s="142" t="s">
        <v>1486</v>
      </c>
      <c r="D353" s="143" t="str">
        <f>B353&amp;"_"&amp;E353</f>
        <v>4.2_5.7.9</v>
      </c>
      <c r="E353" s="56" t="s">
        <v>1029</v>
      </c>
      <c r="F353" s="506" t="s">
        <v>1808</v>
      </c>
      <c r="G353" s="507" t="s">
        <v>39</v>
      </c>
      <c r="H353" s="507" t="s">
        <v>39</v>
      </c>
      <c r="I353" s="507" t="s">
        <v>126</v>
      </c>
      <c r="J353" s="507" t="s">
        <v>39</v>
      </c>
      <c r="K353" s="507" t="s">
        <v>39</v>
      </c>
      <c r="L353" s="507" t="s">
        <v>125</v>
      </c>
      <c r="M353" s="507" t="s">
        <v>748</v>
      </c>
      <c r="N353" s="507" t="s">
        <v>126</v>
      </c>
      <c r="O353" s="57" t="s">
        <v>1030</v>
      </c>
      <c r="P353" s="58" t="s">
        <v>846</v>
      </c>
      <c r="Q353" s="59" t="s">
        <v>1031</v>
      </c>
      <c r="R353" s="60" t="s">
        <v>71</v>
      </c>
      <c r="S353" s="61">
        <v>2</v>
      </c>
      <c r="T353" s="62">
        <f>INDEX('BM MORRO DA CRUZ'!$P$6:$P$402,MATCH($O353,'BM MORRO DA CRUZ'!$K$6:$K$402,0))</f>
        <v>73.13</v>
      </c>
      <c r="U353" s="63">
        <f>ROUND(T353*$S353,2)</f>
        <v>146.26</v>
      </c>
      <c r="V353" s="61">
        <f>IFERROR(SUMIFS('01ª MC'!$W$1:$W$1840,'01ª MC'!$C$1:$C$1840,$D353),0)</f>
        <v>0</v>
      </c>
      <c r="W353" s="63">
        <f>ROUND(V353*$T353,2)</f>
        <v>0</v>
      </c>
      <c r="X353" s="61">
        <v>0</v>
      </c>
      <c r="Y353" s="63">
        <f>ROUND(X353*$T353,2)</f>
        <v>0</v>
      </c>
      <c r="Z353" s="61">
        <v>0</v>
      </c>
      <c r="AA353" s="63">
        <f>ROUND(Z353*$T353,2)</f>
        <v>0</v>
      </c>
      <c r="AB353" s="61">
        <v>0</v>
      </c>
      <c r="AC353" s="63">
        <f>ROUND(AB353*$T353,2)</f>
        <v>0</v>
      </c>
      <c r="AD353" s="61">
        <v>0</v>
      </c>
      <c r="AE353" s="63">
        <f>ROUND(AD353*$T353,2)</f>
        <v>0</v>
      </c>
      <c r="AF353" s="61">
        <v>0</v>
      </c>
      <c r="AG353" s="63">
        <f>ROUND(AF353*$T353,2)</f>
        <v>0</v>
      </c>
      <c r="AH353" s="61">
        <v>0</v>
      </c>
      <c r="AI353" s="63">
        <f>ROUND(AH353*$T353,2)</f>
        <v>0</v>
      </c>
      <c r="AJ353" s="61">
        <v>0</v>
      </c>
      <c r="AK353" s="63">
        <f>ROUND(AJ353*$T353,2)</f>
        <v>0</v>
      </c>
      <c r="AL353" s="61">
        <v>0</v>
      </c>
      <c r="AM353" s="63">
        <f>ROUND(AL353*$T353,2)</f>
        <v>0</v>
      </c>
      <c r="AN353" s="61">
        <v>0</v>
      </c>
      <c r="AO353" s="63">
        <f>ROUND(AN353*$T353,2)</f>
        <v>0</v>
      </c>
      <c r="AP353" s="61">
        <v>0</v>
      </c>
      <c r="AQ353" s="63">
        <f>ROUND(AP353*$T353,2)</f>
        <v>0</v>
      </c>
      <c r="AR353" s="61">
        <v>0</v>
      </c>
      <c r="AS353" s="63">
        <f>ROUND(AR353*$T353,2)</f>
        <v>0</v>
      </c>
      <c r="AT353" s="61">
        <v>0</v>
      </c>
      <c r="AU353" s="63">
        <f>ROUND(AT353*$T353,2)</f>
        <v>0</v>
      </c>
      <c r="AV353" s="61">
        <v>0</v>
      </c>
      <c r="AW353" s="63">
        <f>ROUND(AV353*$T353,2)</f>
        <v>0</v>
      </c>
      <c r="AX353" s="61">
        <v>0</v>
      </c>
      <c r="AY353" s="63">
        <f>ROUND(AX353*$T353,2)</f>
        <v>0</v>
      </c>
      <c r="AZ353" s="61">
        <v>0</v>
      </c>
      <c r="BA353" s="63">
        <f>ROUND(AZ353*$T353,2)</f>
        <v>0</v>
      </c>
      <c r="BB353" s="61">
        <v>0</v>
      </c>
      <c r="BC353" s="63">
        <f>ROUND(BB353*$T353,2)</f>
        <v>0</v>
      </c>
      <c r="BD353" s="61">
        <v>0</v>
      </c>
      <c r="BE353" s="63">
        <f>ROUND(BD353*$T353,2)</f>
        <v>0</v>
      </c>
      <c r="BF353" s="61">
        <f>IFERROR(SUMIFS($V353:$BE353,$V$5:$BE$5,$BF$5),0)</f>
        <v>0</v>
      </c>
      <c r="BG353" s="63">
        <f>SUMIFS($V353:$BE353,$V$5:$BE$5,$W$5)</f>
        <v>0</v>
      </c>
      <c r="BH353" s="45"/>
      <c r="BI353" s="144"/>
    </row>
    <row r="354" spans="1:61" ht="26" customHeight="1" x14ac:dyDescent="0.45">
      <c r="A354" s="140">
        <v>4</v>
      </c>
      <c r="B354" s="141" t="s">
        <v>1482</v>
      </c>
      <c r="C354" s="142" t="s">
        <v>1486</v>
      </c>
      <c r="D354" s="143" t="str">
        <f>B354&amp;"_"&amp;E354</f>
        <v>4.2_5.7.14</v>
      </c>
      <c r="E354" s="56" t="s">
        <v>1044</v>
      </c>
      <c r="F354" s="506" t="s">
        <v>1813</v>
      </c>
      <c r="G354" s="507" t="s">
        <v>39</v>
      </c>
      <c r="H354" s="507" t="s">
        <v>39</v>
      </c>
      <c r="I354" s="507" t="s">
        <v>1792</v>
      </c>
      <c r="J354" s="507" t="s">
        <v>39</v>
      </c>
      <c r="K354" s="507" t="s">
        <v>39</v>
      </c>
      <c r="L354" s="507" t="s">
        <v>1720</v>
      </c>
      <c r="M354" s="507" t="s">
        <v>748</v>
      </c>
      <c r="N354" s="507" t="s">
        <v>1792</v>
      </c>
      <c r="O354" s="57" t="s">
        <v>1045</v>
      </c>
      <c r="P354" s="58" t="s">
        <v>846</v>
      </c>
      <c r="Q354" s="59" t="s">
        <v>1046</v>
      </c>
      <c r="R354" s="60" t="s">
        <v>755</v>
      </c>
      <c r="S354" s="61">
        <v>0.68</v>
      </c>
      <c r="T354" s="62">
        <f>INDEX('BM MORRO DA CRUZ'!$P$6:$P$402,MATCH($O354,'BM MORRO DA CRUZ'!$K$6:$K$402,0))</f>
        <v>301</v>
      </c>
      <c r="U354" s="63">
        <f>ROUND(T354*$S354,2)</f>
        <v>204.68</v>
      </c>
      <c r="V354" s="61">
        <f>IFERROR(SUMIFS('01ª MC'!$W$1:$W$1840,'01ª MC'!$C$1:$C$1840,$D354),0)</f>
        <v>0</v>
      </c>
      <c r="W354" s="63">
        <f>ROUND(V354*$T354,2)</f>
        <v>0</v>
      </c>
      <c r="X354" s="61">
        <v>0</v>
      </c>
      <c r="Y354" s="63">
        <f>ROUND(X354*$T354,2)</f>
        <v>0</v>
      </c>
      <c r="Z354" s="61">
        <v>0</v>
      </c>
      <c r="AA354" s="63">
        <f>ROUND(Z354*$T354,2)</f>
        <v>0</v>
      </c>
      <c r="AB354" s="61">
        <v>0</v>
      </c>
      <c r="AC354" s="63">
        <f>ROUND(AB354*$T354,2)</f>
        <v>0</v>
      </c>
      <c r="AD354" s="61">
        <v>0</v>
      </c>
      <c r="AE354" s="63">
        <f>ROUND(AD354*$T354,2)</f>
        <v>0</v>
      </c>
      <c r="AF354" s="61">
        <v>0</v>
      </c>
      <c r="AG354" s="63">
        <f>ROUND(AF354*$T354,2)</f>
        <v>0</v>
      </c>
      <c r="AH354" s="61">
        <v>0</v>
      </c>
      <c r="AI354" s="63">
        <f>ROUND(AH354*$T354,2)</f>
        <v>0</v>
      </c>
      <c r="AJ354" s="61">
        <v>0</v>
      </c>
      <c r="AK354" s="63">
        <f>ROUND(AJ354*$T354,2)</f>
        <v>0</v>
      </c>
      <c r="AL354" s="61">
        <v>0</v>
      </c>
      <c r="AM354" s="63">
        <f>ROUND(AL354*$T354,2)</f>
        <v>0</v>
      </c>
      <c r="AN354" s="61">
        <v>0</v>
      </c>
      <c r="AO354" s="63">
        <f>ROUND(AN354*$T354,2)</f>
        <v>0</v>
      </c>
      <c r="AP354" s="61">
        <v>0</v>
      </c>
      <c r="AQ354" s="63">
        <f>ROUND(AP354*$T354,2)</f>
        <v>0</v>
      </c>
      <c r="AR354" s="61">
        <v>0</v>
      </c>
      <c r="AS354" s="63">
        <f>ROUND(AR354*$T354,2)</f>
        <v>0</v>
      </c>
      <c r="AT354" s="61">
        <v>0</v>
      </c>
      <c r="AU354" s="63">
        <f>ROUND(AT354*$T354,2)</f>
        <v>0</v>
      </c>
      <c r="AV354" s="61">
        <v>0</v>
      </c>
      <c r="AW354" s="63">
        <f>ROUND(AV354*$T354,2)</f>
        <v>0</v>
      </c>
      <c r="AX354" s="61">
        <v>0</v>
      </c>
      <c r="AY354" s="63">
        <f>ROUND(AX354*$T354,2)</f>
        <v>0</v>
      </c>
      <c r="AZ354" s="61">
        <v>0</v>
      </c>
      <c r="BA354" s="63">
        <f>ROUND(AZ354*$T354,2)</f>
        <v>0</v>
      </c>
      <c r="BB354" s="61">
        <v>0</v>
      </c>
      <c r="BC354" s="63">
        <f>ROUND(BB354*$T354,2)</f>
        <v>0</v>
      </c>
      <c r="BD354" s="61">
        <v>0</v>
      </c>
      <c r="BE354" s="63">
        <f>ROUND(BD354*$T354,2)</f>
        <v>0</v>
      </c>
      <c r="BF354" s="61">
        <f>IFERROR(SUMIFS($V354:$BE354,$V$5:$BE$5,$BF$5),0)</f>
        <v>0</v>
      </c>
      <c r="BG354" s="63">
        <f>SUMIFS($V354:$BE354,$V$5:$BE$5,$W$5)</f>
        <v>0</v>
      </c>
      <c r="BH354" s="45"/>
      <c r="BI354" s="144"/>
    </row>
    <row r="355" spans="1:61" ht="35.65" x14ac:dyDescent="0.45">
      <c r="A355" s="140">
        <v>4</v>
      </c>
      <c r="B355" s="141" t="s">
        <v>1482</v>
      </c>
      <c r="C355" s="142" t="s">
        <v>1486</v>
      </c>
      <c r="D355" s="143" t="str">
        <f>B355&amp;"_"&amp;E355</f>
        <v>4.2_5.7.16</v>
      </c>
      <c r="E355" s="56" t="s">
        <v>1050</v>
      </c>
      <c r="F355" s="506" t="s">
        <v>1815</v>
      </c>
      <c r="G355" s="507" t="s">
        <v>39</v>
      </c>
      <c r="H355" s="507" t="s">
        <v>39</v>
      </c>
      <c r="I355" s="507" t="s">
        <v>78</v>
      </c>
      <c r="J355" s="507" t="s">
        <v>39</v>
      </c>
      <c r="K355" s="507" t="s">
        <v>39</v>
      </c>
      <c r="L355" s="507" t="s">
        <v>803</v>
      </c>
      <c r="M355" s="507" t="s">
        <v>748</v>
      </c>
      <c r="N355" s="507" t="s">
        <v>78</v>
      </c>
      <c r="O355" s="57" t="s">
        <v>1051</v>
      </c>
      <c r="P355" s="58" t="s">
        <v>846</v>
      </c>
      <c r="Q355" s="59" t="s">
        <v>1052</v>
      </c>
      <c r="R355" s="60" t="s">
        <v>755</v>
      </c>
      <c r="S355" s="61">
        <v>0.6</v>
      </c>
      <c r="T355" s="62">
        <f>INDEX('BM MORRO DA CRUZ'!$P$6:$P$402,MATCH($O355,'BM MORRO DA CRUZ'!$K$6:$K$402,0))</f>
        <v>4049.77</v>
      </c>
      <c r="U355" s="63">
        <f>ROUND(T355*$S355,2)</f>
        <v>2429.86</v>
      </c>
      <c r="V355" s="61">
        <f>IFERROR(SUMIFS('01ª MC'!$W$1:$W$1840,'01ª MC'!$C$1:$C$1840,$D355),0)</f>
        <v>0</v>
      </c>
      <c r="W355" s="63">
        <f>ROUND(V355*$T355,2)</f>
        <v>0</v>
      </c>
      <c r="X355" s="61">
        <v>0</v>
      </c>
      <c r="Y355" s="63">
        <f>ROUND(X355*$T355,2)</f>
        <v>0</v>
      </c>
      <c r="Z355" s="61">
        <v>0</v>
      </c>
      <c r="AA355" s="63">
        <f>ROUND(Z355*$T355,2)</f>
        <v>0</v>
      </c>
      <c r="AB355" s="61">
        <v>0</v>
      </c>
      <c r="AC355" s="63">
        <f>ROUND(AB355*$T355,2)</f>
        <v>0</v>
      </c>
      <c r="AD355" s="61">
        <v>0</v>
      </c>
      <c r="AE355" s="63">
        <f>ROUND(AD355*$T355,2)</f>
        <v>0</v>
      </c>
      <c r="AF355" s="61">
        <v>0</v>
      </c>
      <c r="AG355" s="63">
        <f>ROUND(AF355*$T355,2)</f>
        <v>0</v>
      </c>
      <c r="AH355" s="61">
        <v>0</v>
      </c>
      <c r="AI355" s="63">
        <f>ROUND(AH355*$T355,2)</f>
        <v>0</v>
      </c>
      <c r="AJ355" s="61">
        <v>0</v>
      </c>
      <c r="AK355" s="63">
        <f>ROUND(AJ355*$T355,2)</f>
        <v>0</v>
      </c>
      <c r="AL355" s="61">
        <v>0</v>
      </c>
      <c r="AM355" s="63">
        <f>ROUND(AL355*$T355,2)</f>
        <v>0</v>
      </c>
      <c r="AN355" s="61">
        <v>0</v>
      </c>
      <c r="AO355" s="63">
        <f>ROUND(AN355*$T355,2)</f>
        <v>0</v>
      </c>
      <c r="AP355" s="61">
        <v>0</v>
      </c>
      <c r="AQ355" s="63">
        <f>ROUND(AP355*$T355,2)</f>
        <v>0</v>
      </c>
      <c r="AR355" s="61">
        <v>0</v>
      </c>
      <c r="AS355" s="63">
        <f>ROUND(AR355*$T355,2)</f>
        <v>0</v>
      </c>
      <c r="AT355" s="61">
        <v>0</v>
      </c>
      <c r="AU355" s="63">
        <f>ROUND(AT355*$T355,2)</f>
        <v>0</v>
      </c>
      <c r="AV355" s="61">
        <v>0</v>
      </c>
      <c r="AW355" s="63">
        <f>ROUND(AV355*$T355,2)</f>
        <v>0</v>
      </c>
      <c r="AX355" s="61">
        <v>0</v>
      </c>
      <c r="AY355" s="63">
        <f>ROUND(AX355*$T355,2)</f>
        <v>0</v>
      </c>
      <c r="AZ355" s="61">
        <v>0</v>
      </c>
      <c r="BA355" s="63">
        <f>ROUND(AZ355*$T355,2)</f>
        <v>0</v>
      </c>
      <c r="BB355" s="61">
        <v>0</v>
      </c>
      <c r="BC355" s="63">
        <f>ROUND(BB355*$T355,2)</f>
        <v>0</v>
      </c>
      <c r="BD355" s="61">
        <v>0</v>
      </c>
      <c r="BE355" s="63">
        <f>ROUND(BD355*$T355,2)</f>
        <v>0</v>
      </c>
      <c r="BF355" s="61">
        <f>IFERROR(SUMIFS($V355:$BE355,$V$5:$BE$5,$BF$5),0)</f>
        <v>0</v>
      </c>
      <c r="BG355" s="63">
        <f>SUMIFS($V355:$BE355,$V$5:$BE$5,$W$5)</f>
        <v>0</v>
      </c>
      <c r="BH355" s="45"/>
      <c r="BI355" s="144"/>
    </row>
    <row r="356" spans="1:61" ht="19.5" customHeight="1" x14ac:dyDescent="0.45">
      <c r="A356" s="128">
        <v>4</v>
      </c>
      <c r="B356" s="129"/>
      <c r="C356" s="130"/>
      <c r="D356" s="131"/>
      <c r="E356" s="132" t="s">
        <v>1053</v>
      </c>
      <c r="F356" s="515"/>
      <c r="G356" s="516"/>
      <c r="H356" s="516"/>
      <c r="I356" s="516"/>
      <c r="J356" s="516"/>
      <c r="K356" s="516"/>
      <c r="L356" s="516"/>
      <c r="M356" s="516"/>
      <c r="N356" s="516"/>
      <c r="O356" s="133" t="s">
        <v>1054</v>
      </c>
      <c r="P356" s="134"/>
      <c r="Q356" s="135" t="s">
        <v>1055</v>
      </c>
      <c r="R356" s="136"/>
      <c r="S356" s="137"/>
      <c r="T356" s="138"/>
      <c r="U356" s="139">
        <f>SUM(U357:U362)</f>
        <v>4148.1499999999996</v>
      </c>
      <c r="V356" s="137"/>
      <c r="W356" s="139">
        <f>SUM(W357:W362)</f>
        <v>0</v>
      </c>
      <c r="X356" s="137"/>
      <c r="Y356" s="139">
        <f>SUM(Y357:Y362)</f>
        <v>0</v>
      </c>
      <c r="Z356" s="137"/>
      <c r="AA356" s="139">
        <f>SUM(AA357:AA362)</f>
        <v>0</v>
      </c>
      <c r="AB356" s="137"/>
      <c r="AC356" s="139">
        <f>SUM(AC357:AC362)</f>
        <v>0</v>
      </c>
      <c r="AD356" s="137"/>
      <c r="AE356" s="139">
        <f>SUM(AE357:AE362)</f>
        <v>0</v>
      </c>
      <c r="AF356" s="137"/>
      <c r="AG356" s="139">
        <f>SUM(AG357:AG362)</f>
        <v>0</v>
      </c>
      <c r="AH356" s="137"/>
      <c r="AI356" s="139">
        <f>SUM(AI357:AI362)</f>
        <v>0</v>
      </c>
      <c r="AJ356" s="137"/>
      <c r="AK356" s="139">
        <f>SUM(AK357:AK362)</f>
        <v>0</v>
      </c>
      <c r="AL356" s="137"/>
      <c r="AM356" s="139">
        <f>SUM(AM357:AM362)</f>
        <v>0</v>
      </c>
      <c r="AN356" s="137"/>
      <c r="AO356" s="139">
        <f>SUM(AO357:AO362)</f>
        <v>0</v>
      </c>
      <c r="AP356" s="137"/>
      <c r="AQ356" s="139">
        <f>SUM(AQ357:AQ362)</f>
        <v>0</v>
      </c>
      <c r="AR356" s="137"/>
      <c r="AS356" s="139">
        <f>SUM(AS357:AS362)</f>
        <v>0</v>
      </c>
      <c r="AT356" s="137"/>
      <c r="AU356" s="139">
        <f>SUM(AU357:AU362)</f>
        <v>0</v>
      </c>
      <c r="AV356" s="137"/>
      <c r="AW356" s="139">
        <f>SUM(AW357:AW362)</f>
        <v>0</v>
      </c>
      <c r="AX356" s="137"/>
      <c r="AY356" s="139">
        <f>SUM(AY357:AY362)</f>
        <v>0</v>
      </c>
      <c r="AZ356" s="137"/>
      <c r="BA356" s="139">
        <f>SUM(BA357:BA362)</f>
        <v>0</v>
      </c>
      <c r="BB356" s="137"/>
      <c r="BC356" s="139">
        <f>SUM(BC357:BC362)</f>
        <v>0</v>
      </c>
      <c r="BD356" s="137"/>
      <c r="BE356" s="139">
        <f>SUM(BE357:BE362)</f>
        <v>0</v>
      </c>
      <c r="BF356" s="137"/>
      <c r="BG356" s="139">
        <f>SUM(BG357:BG362)</f>
        <v>0</v>
      </c>
      <c r="BH356" s="45"/>
    </row>
    <row r="357" spans="1:61" ht="35.65" x14ac:dyDescent="0.45">
      <c r="A357" s="140">
        <v>4</v>
      </c>
      <c r="B357" s="141" t="s">
        <v>1482</v>
      </c>
      <c r="C357" s="142" t="s">
        <v>1486</v>
      </c>
      <c r="D357" s="143" t="str">
        <f t="shared" ref="D357:D362" si="220">B357&amp;"_"&amp;E357</f>
        <v>4.2_5.8.4</v>
      </c>
      <c r="E357" s="56" t="s">
        <v>1065</v>
      </c>
      <c r="F357" s="506" t="s">
        <v>1816</v>
      </c>
      <c r="G357" s="507" t="s">
        <v>1795</v>
      </c>
      <c r="H357" s="507" t="s">
        <v>1795</v>
      </c>
      <c r="I357" s="507" t="s">
        <v>1817</v>
      </c>
      <c r="J357" s="507" t="s">
        <v>1818</v>
      </c>
      <c r="K357" s="507">
        <v>225</v>
      </c>
      <c r="L357" s="507" t="s">
        <v>267</v>
      </c>
      <c r="M357" s="507" t="s">
        <v>748</v>
      </c>
      <c r="N357" s="507" t="s">
        <v>1055</v>
      </c>
      <c r="O357" s="57" t="s">
        <v>1066</v>
      </c>
      <c r="P357" s="58" t="s">
        <v>846</v>
      </c>
      <c r="Q357" s="59" t="s">
        <v>1067</v>
      </c>
      <c r="R357" s="60" t="s">
        <v>71</v>
      </c>
      <c r="S357" s="61">
        <v>9</v>
      </c>
      <c r="T357" s="62">
        <f>INDEX('BM MORRO DA CRUZ'!$P$6:$P$402,MATCH($O357,'BM MORRO DA CRUZ'!$K$6:$K$402,0))</f>
        <v>47.38</v>
      </c>
      <c r="U357" s="63">
        <f t="shared" ref="U357:U362" si="221">ROUND(T357*$S357,2)</f>
        <v>426.42</v>
      </c>
      <c r="V357" s="61">
        <f>IFERROR(SUMIFS('01ª MC'!$W$1:$W$1840,'01ª MC'!$C$1:$C$1840,$D357),0)</f>
        <v>0</v>
      </c>
      <c r="W357" s="63">
        <f t="shared" ref="W357:W362" si="222">ROUND(V357*$T357,2)</f>
        <v>0</v>
      </c>
      <c r="X357" s="61">
        <v>0</v>
      </c>
      <c r="Y357" s="63">
        <f t="shared" ref="Y357:Y362" si="223">ROUND(X357*$T357,2)</f>
        <v>0</v>
      </c>
      <c r="Z357" s="61">
        <v>0</v>
      </c>
      <c r="AA357" s="63">
        <f t="shared" ref="AA357:AA362" si="224">ROUND(Z357*$T357,2)</f>
        <v>0</v>
      </c>
      <c r="AB357" s="61">
        <v>0</v>
      </c>
      <c r="AC357" s="63">
        <f t="shared" ref="AC357:AC362" si="225">ROUND(AB357*$T357,2)</f>
        <v>0</v>
      </c>
      <c r="AD357" s="61">
        <v>0</v>
      </c>
      <c r="AE357" s="63">
        <f t="shared" ref="AE357:AE362" si="226">ROUND(AD357*$T357,2)</f>
        <v>0</v>
      </c>
      <c r="AF357" s="61">
        <v>0</v>
      </c>
      <c r="AG357" s="63">
        <f t="shared" ref="AG357:AG362" si="227">ROUND(AF357*$T357,2)</f>
        <v>0</v>
      </c>
      <c r="AH357" s="61">
        <v>0</v>
      </c>
      <c r="AI357" s="63">
        <f t="shared" ref="AI357:AI362" si="228">ROUND(AH357*$T357,2)</f>
        <v>0</v>
      </c>
      <c r="AJ357" s="61">
        <v>0</v>
      </c>
      <c r="AK357" s="63">
        <f t="shared" ref="AK357:AK362" si="229">ROUND(AJ357*$T357,2)</f>
        <v>0</v>
      </c>
      <c r="AL357" s="61">
        <v>0</v>
      </c>
      <c r="AM357" s="63">
        <f t="shared" ref="AM357:AM362" si="230">ROUND(AL357*$T357,2)</f>
        <v>0</v>
      </c>
      <c r="AN357" s="61">
        <v>0</v>
      </c>
      <c r="AO357" s="63">
        <f t="shared" ref="AO357:AO362" si="231">ROUND(AN357*$T357,2)</f>
        <v>0</v>
      </c>
      <c r="AP357" s="61">
        <v>0</v>
      </c>
      <c r="AQ357" s="63">
        <f t="shared" ref="AQ357:AQ362" si="232">ROUND(AP357*$T357,2)</f>
        <v>0</v>
      </c>
      <c r="AR357" s="61">
        <v>0</v>
      </c>
      <c r="AS357" s="63">
        <f t="shared" ref="AS357:AS362" si="233">ROUND(AR357*$T357,2)</f>
        <v>0</v>
      </c>
      <c r="AT357" s="61">
        <v>0</v>
      </c>
      <c r="AU357" s="63">
        <f t="shared" ref="AU357:AU362" si="234">ROUND(AT357*$T357,2)</f>
        <v>0</v>
      </c>
      <c r="AV357" s="61">
        <v>0</v>
      </c>
      <c r="AW357" s="63">
        <f t="shared" ref="AW357:AW362" si="235">ROUND(AV357*$T357,2)</f>
        <v>0</v>
      </c>
      <c r="AX357" s="61">
        <v>0</v>
      </c>
      <c r="AY357" s="63">
        <f t="shared" ref="AY357:AY362" si="236">ROUND(AX357*$T357,2)</f>
        <v>0</v>
      </c>
      <c r="AZ357" s="61">
        <v>0</v>
      </c>
      <c r="BA357" s="63">
        <f t="shared" ref="BA357:BA362" si="237">ROUND(AZ357*$T357,2)</f>
        <v>0</v>
      </c>
      <c r="BB357" s="61">
        <v>0</v>
      </c>
      <c r="BC357" s="63">
        <f t="shared" ref="BC357:BC362" si="238">ROUND(BB357*$T357,2)</f>
        <v>0</v>
      </c>
      <c r="BD357" s="61">
        <v>0</v>
      </c>
      <c r="BE357" s="63">
        <f t="shared" ref="BE357:BE362" si="239">ROUND(BD357*$T357,2)</f>
        <v>0</v>
      </c>
      <c r="BF357" s="61">
        <f t="shared" ref="BF357:BF362" si="240">IFERROR(SUMIFS($V357:$BE357,$V$5:$BE$5,$BF$5),0)</f>
        <v>0</v>
      </c>
      <c r="BG357" s="63">
        <f t="shared" ref="BG357:BG362" si="241">SUMIFS($V357:$BE357,$V$5:$BE$5,$W$5)</f>
        <v>0</v>
      </c>
      <c r="BH357" s="45"/>
      <c r="BI357" s="144"/>
    </row>
    <row r="358" spans="1:61" ht="26" customHeight="1" x14ac:dyDescent="0.45">
      <c r="A358" s="140">
        <v>4</v>
      </c>
      <c r="B358" s="141" t="s">
        <v>1482</v>
      </c>
      <c r="C358" s="142" t="s">
        <v>1486</v>
      </c>
      <c r="D358" s="143" t="str">
        <f t="shared" si="220"/>
        <v>4.2_5.8.14</v>
      </c>
      <c r="E358" s="56" t="s">
        <v>1095</v>
      </c>
      <c r="F358" s="506" t="s">
        <v>1819</v>
      </c>
      <c r="G358" s="507" t="s">
        <v>1795</v>
      </c>
      <c r="H358" s="507" t="s">
        <v>39</v>
      </c>
      <c r="I358" s="507" t="s">
        <v>1817</v>
      </c>
      <c r="J358" s="507" t="s">
        <v>39</v>
      </c>
      <c r="K358" s="507">
        <v>200</v>
      </c>
      <c r="L358" s="507" t="s">
        <v>125</v>
      </c>
      <c r="M358" s="507" t="s">
        <v>748</v>
      </c>
      <c r="N358" s="507" t="s">
        <v>1055</v>
      </c>
      <c r="O358" s="57" t="s">
        <v>1096</v>
      </c>
      <c r="P358" s="58" t="s">
        <v>846</v>
      </c>
      <c r="Q358" s="59" t="s">
        <v>1097</v>
      </c>
      <c r="R358" s="60" t="s">
        <v>71</v>
      </c>
      <c r="S358" s="61">
        <v>8</v>
      </c>
      <c r="T358" s="62">
        <f>INDEX('BM MORRO DA CRUZ'!$P$6:$P$402,MATCH($O358,'BM MORRO DA CRUZ'!$K$6:$K$402,0))</f>
        <v>109.32</v>
      </c>
      <c r="U358" s="63">
        <f t="shared" si="221"/>
        <v>874.56</v>
      </c>
      <c r="V358" s="61">
        <f>IFERROR(SUMIFS('01ª MC'!$W$1:$W$1840,'01ª MC'!$C$1:$C$1840,$D358),0)</f>
        <v>0</v>
      </c>
      <c r="W358" s="63">
        <f t="shared" si="222"/>
        <v>0</v>
      </c>
      <c r="X358" s="61">
        <v>0</v>
      </c>
      <c r="Y358" s="63">
        <f t="shared" si="223"/>
        <v>0</v>
      </c>
      <c r="Z358" s="61">
        <v>0</v>
      </c>
      <c r="AA358" s="63">
        <f t="shared" si="224"/>
        <v>0</v>
      </c>
      <c r="AB358" s="61">
        <v>0</v>
      </c>
      <c r="AC358" s="63">
        <f t="shared" si="225"/>
        <v>0</v>
      </c>
      <c r="AD358" s="61">
        <v>0</v>
      </c>
      <c r="AE358" s="63">
        <f t="shared" si="226"/>
        <v>0</v>
      </c>
      <c r="AF358" s="61">
        <v>0</v>
      </c>
      <c r="AG358" s="63">
        <f t="shared" si="227"/>
        <v>0</v>
      </c>
      <c r="AH358" s="61">
        <v>0</v>
      </c>
      <c r="AI358" s="63">
        <f t="shared" si="228"/>
        <v>0</v>
      </c>
      <c r="AJ358" s="61">
        <v>0</v>
      </c>
      <c r="AK358" s="63">
        <f t="shared" si="229"/>
        <v>0</v>
      </c>
      <c r="AL358" s="61">
        <v>0</v>
      </c>
      <c r="AM358" s="63">
        <f t="shared" si="230"/>
        <v>0</v>
      </c>
      <c r="AN358" s="61">
        <v>0</v>
      </c>
      <c r="AO358" s="63">
        <f t="shared" si="231"/>
        <v>0</v>
      </c>
      <c r="AP358" s="61">
        <v>0</v>
      </c>
      <c r="AQ358" s="63">
        <f t="shared" si="232"/>
        <v>0</v>
      </c>
      <c r="AR358" s="61">
        <v>0</v>
      </c>
      <c r="AS358" s="63">
        <f t="shared" si="233"/>
        <v>0</v>
      </c>
      <c r="AT358" s="61">
        <v>0</v>
      </c>
      <c r="AU358" s="63">
        <f t="shared" si="234"/>
        <v>0</v>
      </c>
      <c r="AV358" s="61">
        <v>0</v>
      </c>
      <c r="AW358" s="63">
        <f t="shared" si="235"/>
        <v>0</v>
      </c>
      <c r="AX358" s="61">
        <v>0</v>
      </c>
      <c r="AY358" s="63">
        <f t="shared" si="236"/>
        <v>0</v>
      </c>
      <c r="AZ358" s="61">
        <v>0</v>
      </c>
      <c r="BA358" s="63">
        <f t="shared" si="237"/>
        <v>0</v>
      </c>
      <c r="BB358" s="61">
        <v>0</v>
      </c>
      <c r="BC358" s="63">
        <f t="shared" si="238"/>
        <v>0</v>
      </c>
      <c r="BD358" s="61">
        <v>0</v>
      </c>
      <c r="BE358" s="63">
        <f t="shared" si="239"/>
        <v>0</v>
      </c>
      <c r="BF358" s="61">
        <f t="shared" si="240"/>
        <v>0</v>
      </c>
      <c r="BG358" s="63">
        <f t="shared" si="241"/>
        <v>0</v>
      </c>
      <c r="BH358" s="45"/>
      <c r="BI358" s="144"/>
    </row>
    <row r="359" spans="1:61" ht="26" customHeight="1" x14ac:dyDescent="0.45">
      <c r="A359" s="140">
        <v>4</v>
      </c>
      <c r="B359" s="141" t="s">
        <v>1482</v>
      </c>
      <c r="C359" s="142" t="s">
        <v>1486</v>
      </c>
      <c r="D359" s="143" t="str">
        <f t="shared" si="220"/>
        <v>4.2_5.8.28</v>
      </c>
      <c r="E359" s="56" t="s">
        <v>1137</v>
      </c>
      <c r="F359" s="506" t="s">
        <v>1821</v>
      </c>
      <c r="G359" s="507" t="s">
        <v>1795</v>
      </c>
      <c r="H359" s="507" t="s">
        <v>39</v>
      </c>
      <c r="I359" s="507" t="s">
        <v>1817</v>
      </c>
      <c r="J359" s="507" t="s">
        <v>39</v>
      </c>
      <c r="K359" s="507">
        <v>200</v>
      </c>
      <c r="L359" s="507" t="s">
        <v>125</v>
      </c>
      <c r="M359" s="507" t="s">
        <v>748</v>
      </c>
      <c r="N359" s="507" t="s">
        <v>1055</v>
      </c>
      <c r="O359" s="57" t="s">
        <v>1138</v>
      </c>
      <c r="P359" s="58" t="s">
        <v>846</v>
      </c>
      <c r="Q359" s="59" t="s">
        <v>1139</v>
      </c>
      <c r="R359" s="60" t="s">
        <v>71</v>
      </c>
      <c r="S359" s="61">
        <v>2</v>
      </c>
      <c r="T359" s="62">
        <f>INDEX('BM MORRO DA CRUZ'!$P$6:$P$402,MATCH($O359,'BM MORRO DA CRUZ'!$K$6:$K$402,0))</f>
        <v>154.84</v>
      </c>
      <c r="U359" s="63">
        <f t="shared" si="221"/>
        <v>309.68</v>
      </c>
      <c r="V359" s="61">
        <f>IFERROR(SUMIFS('01ª MC'!$W$1:$W$1840,'01ª MC'!$C$1:$C$1840,$D359),0)</f>
        <v>0</v>
      </c>
      <c r="W359" s="63">
        <f t="shared" si="222"/>
        <v>0</v>
      </c>
      <c r="X359" s="61">
        <v>0</v>
      </c>
      <c r="Y359" s="63">
        <f t="shared" si="223"/>
        <v>0</v>
      </c>
      <c r="Z359" s="61">
        <v>0</v>
      </c>
      <c r="AA359" s="63">
        <f t="shared" si="224"/>
        <v>0</v>
      </c>
      <c r="AB359" s="61">
        <v>0</v>
      </c>
      <c r="AC359" s="63">
        <f t="shared" si="225"/>
        <v>0</v>
      </c>
      <c r="AD359" s="61">
        <v>0</v>
      </c>
      <c r="AE359" s="63">
        <f t="shared" si="226"/>
        <v>0</v>
      </c>
      <c r="AF359" s="61">
        <v>0</v>
      </c>
      <c r="AG359" s="63">
        <f t="shared" si="227"/>
        <v>0</v>
      </c>
      <c r="AH359" s="61">
        <v>0</v>
      </c>
      <c r="AI359" s="63">
        <f t="shared" si="228"/>
        <v>0</v>
      </c>
      <c r="AJ359" s="61">
        <v>0</v>
      </c>
      <c r="AK359" s="63">
        <f t="shared" si="229"/>
        <v>0</v>
      </c>
      <c r="AL359" s="61">
        <v>0</v>
      </c>
      <c r="AM359" s="63">
        <f t="shared" si="230"/>
        <v>0</v>
      </c>
      <c r="AN359" s="61">
        <v>0</v>
      </c>
      <c r="AO359" s="63">
        <f t="shared" si="231"/>
        <v>0</v>
      </c>
      <c r="AP359" s="61">
        <v>0</v>
      </c>
      <c r="AQ359" s="63">
        <f t="shared" si="232"/>
        <v>0</v>
      </c>
      <c r="AR359" s="61">
        <v>0</v>
      </c>
      <c r="AS359" s="63">
        <f t="shared" si="233"/>
        <v>0</v>
      </c>
      <c r="AT359" s="61">
        <v>0</v>
      </c>
      <c r="AU359" s="63">
        <f t="shared" si="234"/>
        <v>0</v>
      </c>
      <c r="AV359" s="61">
        <v>0</v>
      </c>
      <c r="AW359" s="63">
        <f t="shared" si="235"/>
        <v>0</v>
      </c>
      <c r="AX359" s="61">
        <v>0</v>
      </c>
      <c r="AY359" s="63">
        <f t="shared" si="236"/>
        <v>0</v>
      </c>
      <c r="AZ359" s="61">
        <v>0</v>
      </c>
      <c r="BA359" s="63">
        <f t="shared" si="237"/>
        <v>0</v>
      </c>
      <c r="BB359" s="61">
        <v>0</v>
      </c>
      <c r="BC359" s="63">
        <f t="shared" si="238"/>
        <v>0</v>
      </c>
      <c r="BD359" s="61">
        <v>0</v>
      </c>
      <c r="BE359" s="63">
        <f t="shared" si="239"/>
        <v>0</v>
      </c>
      <c r="BF359" s="61">
        <f t="shared" si="240"/>
        <v>0</v>
      </c>
      <c r="BG359" s="63">
        <f t="shared" si="241"/>
        <v>0</v>
      </c>
      <c r="BH359" s="45"/>
      <c r="BI359" s="144"/>
    </row>
    <row r="360" spans="1:61" ht="26" customHeight="1" x14ac:dyDescent="0.45">
      <c r="A360" s="140">
        <v>4</v>
      </c>
      <c r="B360" s="141" t="s">
        <v>1482</v>
      </c>
      <c r="C360" s="142" t="s">
        <v>1486</v>
      </c>
      <c r="D360" s="143" t="str">
        <f t="shared" si="220"/>
        <v>4.2_5.8.31</v>
      </c>
      <c r="E360" s="56" t="s">
        <v>1146</v>
      </c>
      <c r="F360" s="506" t="s">
        <v>1822</v>
      </c>
      <c r="G360" s="507" t="s">
        <v>1795</v>
      </c>
      <c r="H360" s="507" t="s">
        <v>39</v>
      </c>
      <c r="I360" s="507" t="s">
        <v>1823</v>
      </c>
      <c r="J360" s="507" t="s">
        <v>39</v>
      </c>
      <c r="K360" s="507">
        <v>200</v>
      </c>
      <c r="L360" s="507" t="s">
        <v>125</v>
      </c>
      <c r="M360" s="507" t="s">
        <v>748</v>
      </c>
      <c r="N360" s="507" t="s">
        <v>1055</v>
      </c>
      <c r="O360" s="57" t="s">
        <v>1147</v>
      </c>
      <c r="P360" s="58" t="s">
        <v>846</v>
      </c>
      <c r="Q360" s="59" t="s">
        <v>1148</v>
      </c>
      <c r="R360" s="60" t="s">
        <v>367</v>
      </c>
      <c r="S360" s="61">
        <v>40.200000000000003</v>
      </c>
      <c r="T360" s="62">
        <f>INDEX('BM MORRO DA CRUZ'!$P$6:$P$402,MATCH($O360,'BM MORRO DA CRUZ'!$K$6:$K$402,0))</f>
        <v>26.28</v>
      </c>
      <c r="U360" s="63">
        <f t="shared" si="221"/>
        <v>1056.46</v>
      </c>
      <c r="V360" s="61">
        <f>IFERROR(SUMIFS('01ª MC'!$W$1:$W$1840,'01ª MC'!$C$1:$C$1840,$D360),0)</f>
        <v>0</v>
      </c>
      <c r="W360" s="63">
        <f t="shared" si="222"/>
        <v>0</v>
      </c>
      <c r="X360" s="61">
        <v>0</v>
      </c>
      <c r="Y360" s="63">
        <f t="shared" si="223"/>
        <v>0</v>
      </c>
      <c r="Z360" s="61">
        <v>0</v>
      </c>
      <c r="AA360" s="63">
        <f t="shared" si="224"/>
        <v>0</v>
      </c>
      <c r="AB360" s="61">
        <v>0</v>
      </c>
      <c r="AC360" s="63">
        <f t="shared" si="225"/>
        <v>0</v>
      </c>
      <c r="AD360" s="61">
        <v>0</v>
      </c>
      <c r="AE360" s="63">
        <f t="shared" si="226"/>
        <v>0</v>
      </c>
      <c r="AF360" s="61">
        <v>0</v>
      </c>
      <c r="AG360" s="63">
        <f t="shared" si="227"/>
        <v>0</v>
      </c>
      <c r="AH360" s="61">
        <v>0</v>
      </c>
      <c r="AI360" s="63">
        <f t="shared" si="228"/>
        <v>0</v>
      </c>
      <c r="AJ360" s="61">
        <v>0</v>
      </c>
      <c r="AK360" s="63">
        <f t="shared" si="229"/>
        <v>0</v>
      </c>
      <c r="AL360" s="61">
        <v>0</v>
      </c>
      <c r="AM360" s="63">
        <f t="shared" si="230"/>
        <v>0</v>
      </c>
      <c r="AN360" s="61">
        <v>0</v>
      </c>
      <c r="AO360" s="63">
        <f t="shared" si="231"/>
        <v>0</v>
      </c>
      <c r="AP360" s="61">
        <v>0</v>
      </c>
      <c r="AQ360" s="63">
        <f t="shared" si="232"/>
        <v>0</v>
      </c>
      <c r="AR360" s="61">
        <v>0</v>
      </c>
      <c r="AS360" s="63">
        <f t="shared" si="233"/>
        <v>0</v>
      </c>
      <c r="AT360" s="61">
        <v>0</v>
      </c>
      <c r="AU360" s="63">
        <f t="shared" si="234"/>
        <v>0</v>
      </c>
      <c r="AV360" s="61">
        <v>0</v>
      </c>
      <c r="AW360" s="63">
        <f t="shared" si="235"/>
        <v>0</v>
      </c>
      <c r="AX360" s="61">
        <v>0</v>
      </c>
      <c r="AY360" s="63">
        <f t="shared" si="236"/>
        <v>0</v>
      </c>
      <c r="AZ360" s="61">
        <v>0</v>
      </c>
      <c r="BA360" s="63">
        <f t="shared" si="237"/>
        <v>0</v>
      </c>
      <c r="BB360" s="61">
        <v>0</v>
      </c>
      <c r="BC360" s="63">
        <f t="shared" si="238"/>
        <v>0</v>
      </c>
      <c r="BD360" s="61">
        <v>0</v>
      </c>
      <c r="BE360" s="63">
        <f t="shared" si="239"/>
        <v>0</v>
      </c>
      <c r="BF360" s="61">
        <f t="shared" si="240"/>
        <v>0</v>
      </c>
      <c r="BG360" s="63">
        <f t="shared" si="241"/>
        <v>0</v>
      </c>
      <c r="BH360" s="45"/>
      <c r="BI360" s="144"/>
    </row>
    <row r="361" spans="1:61" ht="35.65" x14ac:dyDescent="0.45">
      <c r="A361" s="140">
        <v>4</v>
      </c>
      <c r="B361" s="141" t="s">
        <v>1482</v>
      </c>
      <c r="C361" s="142" t="s">
        <v>1486</v>
      </c>
      <c r="D361" s="143" t="str">
        <f t="shared" si="220"/>
        <v>4.2_5.8.38</v>
      </c>
      <c r="E361" s="56" t="s">
        <v>1167</v>
      </c>
      <c r="F361" s="506" t="s">
        <v>1824</v>
      </c>
      <c r="G361" s="507" t="s">
        <v>1795</v>
      </c>
      <c r="H361" s="507" t="s">
        <v>1795</v>
      </c>
      <c r="I361" s="507" t="s">
        <v>1823</v>
      </c>
      <c r="J361" s="507" t="s">
        <v>1818</v>
      </c>
      <c r="K361" s="507">
        <v>225</v>
      </c>
      <c r="L361" s="507" t="s">
        <v>267</v>
      </c>
      <c r="M361" s="507" t="s">
        <v>748</v>
      </c>
      <c r="N361" s="507" t="s">
        <v>1055</v>
      </c>
      <c r="O361" s="57" t="s">
        <v>1168</v>
      </c>
      <c r="P361" s="58" t="s">
        <v>846</v>
      </c>
      <c r="Q361" s="59" t="s">
        <v>1169</v>
      </c>
      <c r="R361" s="60" t="s">
        <v>367</v>
      </c>
      <c r="S361" s="61">
        <v>47.91</v>
      </c>
      <c r="T361" s="62">
        <f>INDEX('BM MORRO DA CRUZ'!$P$6:$P$402,MATCH($O361,'BM MORRO DA CRUZ'!$K$6:$K$402,0))</f>
        <v>2.77</v>
      </c>
      <c r="U361" s="63">
        <f t="shared" si="221"/>
        <v>132.71</v>
      </c>
      <c r="V361" s="61">
        <f>IFERROR(SUMIFS('01ª MC'!$W$1:$W$1840,'01ª MC'!$C$1:$C$1840,$D361),0)</f>
        <v>0</v>
      </c>
      <c r="W361" s="63">
        <f t="shared" si="222"/>
        <v>0</v>
      </c>
      <c r="X361" s="61">
        <v>0</v>
      </c>
      <c r="Y361" s="63">
        <f t="shared" si="223"/>
        <v>0</v>
      </c>
      <c r="Z361" s="61">
        <v>0</v>
      </c>
      <c r="AA361" s="63">
        <f t="shared" si="224"/>
        <v>0</v>
      </c>
      <c r="AB361" s="61">
        <v>0</v>
      </c>
      <c r="AC361" s="63">
        <f t="shared" si="225"/>
        <v>0</v>
      </c>
      <c r="AD361" s="61">
        <v>0</v>
      </c>
      <c r="AE361" s="63">
        <f t="shared" si="226"/>
        <v>0</v>
      </c>
      <c r="AF361" s="61">
        <v>0</v>
      </c>
      <c r="AG361" s="63">
        <f t="shared" si="227"/>
        <v>0</v>
      </c>
      <c r="AH361" s="61">
        <v>0</v>
      </c>
      <c r="AI361" s="63">
        <f t="shared" si="228"/>
        <v>0</v>
      </c>
      <c r="AJ361" s="61">
        <v>0</v>
      </c>
      <c r="AK361" s="63">
        <f t="shared" si="229"/>
        <v>0</v>
      </c>
      <c r="AL361" s="61">
        <v>0</v>
      </c>
      <c r="AM361" s="63">
        <f t="shared" si="230"/>
        <v>0</v>
      </c>
      <c r="AN361" s="61">
        <v>0</v>
      </c>
      <c r="AO361" s="63">
        <f t="shared" si="231"/>
        <v>0</v>
      </c>
      <c r="AP361" s="61">
        <v>0</v>
      </c>
      <c r="AQ361" s="63">
        <f t="shared" si="232"/>
        <v>0</v>
      </c>
      <c r="AR361" s="61">
        <v>0</v>
      </c>
      <c r="AS361" s="63">
        <f t="shared" si="233"/>
        <v>0</v>
      </c>
      <c r="AT361" s="61">
        <v>0</v>
      </c>
      <c r="AU361" s="63">
        <f t="shared" si="234"/>
        <v>0</v>
      </c>
      <c r="AV361" s="61">
        <v>0</v>
      </c>
      <c r="AW361" s="63">
        <f t="shared" si="235"/>
        <v>0</v>
      </c>
      <c r="AX361" s="61">
        <v>0</v>
      </c>
      <c r="AY361" s="63">
        <f t="shared" si="236"/>
        <v>0</v>
      </c>
      <c r="AZ361" s="61">
        <v>0</v>
      </c>
      <c r="BA361" s="63">
        <f t="shared" si="237"/>
        <v>0</v>
      </c>
      <c r="BB361" s="61">
        <v>0</v>
      </c>
      <c r="BC361" s="63">
        <f t="shared" si="238"/>
        <v>0</v>
      </c>
      <c r="BD361" s="61">
        <v>0</v>
      </c>
      <c r="BE361" s="63">
        <f t="shared" si="239"/>
        <v>0</v>
      </c>
      <c r="BF361" s="61">
        <f t="shared" si="240"/>
        <v>0</v>
      </c>
      <c r="BG361" s="63">
        <f t="shared" si="241"/>
        <v>0</v>
      </c>
      <c r="BH361" s="45"/>
      <c r="BI361" s="144"/>
    </row>
    <row r="362" spans="1:61" ht="35.65" x14ac:dyDescent="0.45">
      <c r="A362" s="140">
        <v>4</v>
      </c>
      <c r="B362" s="141" t="s">
        <v>1482</v>
      </c>
      <c r="C362" s="142" t="s">
        <v>1486</v>
      </c>
      <c r="D362" s="143" t="str">
        <f t="shared" si="220"/>
        <v>4.2_5.8.50</v>
      </c>
      <c r="E362" s="56" t="s">
        <v>1203</v>
      </c>
      <c r="F362" s="506" t="s">
        <v>1830</v>
      </c>
      <c r="G362" s="507" t="s">
        <v>1795</v>
      </c>
      <c r="H362" s="507" t="s">
        <v>1795</v>
      </c>
      <c r="I362" s="507" t="s">
        <v>1828</v>
      </c>
      <c r="J362" s="507" t="s">
        <v>273</v>
      </c>
      <c r="K362" s="507">
        <v>225</v>
      </c>
      <c r="L362" s="507" t="s">
        <v>267</v>
      </c>
      <c r="M362" s="507" t="s">
        <v>748</v>
      </c>
      <c r="N362" s="507" t="s">
        <v>1829</v>
      </c>
      <c r="O362" s="57" t="s">
        <v>1204</v>
      </c>
      <c r="P362" s="58" t="s">
        <v>846</v>
      </c>
      <c r="Q362" s="59" t="s">
        <v>1205</v>
      </c>
      <c r="R362" s="60" t="s">
        <v>71</v>
      </c>
      <c r="S362" s="61">
        <v>8</v>
      </c>
      <c r="T362" s="62">
        <f>INDEX('BM MORRO DA CRUZ'!$P$6:$P$402,MATCH($O362,'BM MORRO DA CRUZ'!$K$6:$K$402,0))</f>
        <v>168.54</v>
      </c>
      <c r="U362" s="63">
        <f t="shared" si="221"/>
        <v>1348.32</v>
      </c>
      <c r="V362" s="61">
        <f>IFERROR(SUMIFS('01ª MC'!$W$1:$W$1840,'01ª MC'!$C$1:$C$1840,$D362),0)</f>
        <v>0</v>
      </c>
      <c r="W362" s="63">
        <f t="shared" si="222"/>
        <v>0</v>
      </c>
      <c r="X362" s="61">
        <v>0</v>
      </c>
      <c r="Y362" s="63">
        <f t="shared" si="223"/>
        <v>0</v>
      </c>
      <c r="Z362" s="61">
        <v>0</v>
      </c>
      <c r="AA362" s="63">
        <f t="shared" si="224"/>
        <v>0</v>
      </c>
      <c r="AB362" s="61">
        <v>0</v>
      </c>
      <c r="AC362" s="63">
        <f t="shared" si="225"/>
        <v>0</v>
      </c>
      <c r="AD362" s="61">
        <v>0</v>
      </c>
      <c r="AE362" s="63">
        <f t="shared" si="226"/>
        <v>0</v>
      </c>
      <c r="AF362" s="61">
        <v>0</v>
      </c>
      <c r="AG362" s="63">
        <f t="shared" si="227"/>
        <v>0</v>
      </c>
      <c r="AH362" s="61">
        <v>0</v>
      </c>
      <c r="AI362" s="63">
        <f t="shared" si="228"/>
        <v>0</v>
      </c>
      <c r="AJ362" s="61">
        <v>0</v>
      </c>
      <c r="AK362" s="63">
        <f t="shared" si="229"/>
        <v>0</v>
      </c>
      <c r="AL362" s="61">
        <v>0</v>
      </c>
      <c r="AM362" s="63">
        <f t="shared" si="230"/>
        <v>0</v>
      </c>
      <c r="AN362" s="61">
        <v>0</v>
      </c>
      <c r="AO362" s="63">
        <f t="shared" si="231"/>
        <v>0</v>
      </c>
      <c r="AP362" s="61">
        <v>0</v>
      </c>
      <c r="AQ362" s="63">
        <f t="shared" si="232"/>
        <v>0</v>
      </c>
      <c r="AR362" s="61">
        <v>0</v>
      </c>
      <c r="AS362" s="63">
        <f t="shared" si="233"/>
        <v>0</v>
      </c>
      <c r="AT362" s="61">
        <v>0</v>
      </c>
      <c r="AU362" s="63">
        <f t="shared" si="234"/>
        <v>0</v>
      </c>
      <c r="AV362" s="61">
        <v>0</v>
      </c>
      <c r="AW362" s="63">
        <f t="shared" si="235"/>
        <v>0</v>
      </c>
      <c r="AX362" s="61">
        <v>0</v>
      </c>
      <c r="AY362" s="63">
        <f t="shared" si="236"/>
        <v>0</v>
      </c>
      <c r="AZ362" s="61">
        <v>0</v>
      </c>
      <c r="BA362" s="63">
        <f t="shared" si="237"/>
        <v>0</v>
      </c>
      <c r="BB362" s="61">
        <v>0</v>
      </c>
      <c r="BC362" s="63">
        <f t="shared" si="238"/>
        <v>0</v>
      </c>
      <c r="BD362" s="61">
        <v>0</v>
      </c>
      <c r="BE362" s="63">
        <f t="shared" si="239"/>
        <v>0</v>
      </c>
      <c r="BF362" s="61">
        <f t="shared" si="240"/>
        <v>0</v>
      </c>
      <c r="BG362" s="63">
        <f t="shared" si="241"/>
        <v>0</v>
      </c>
      <c r="BH362" s="45"/>
      <c r="BI362" s="144"/>
    </row>
    <row r="363" spans="1:61" ht="19.5" customHeight="1" x14ac:dyDescent="0.45">
      <c r="A363" s="128">
        <v>4</v>
      </c>
      <c r="B363" s="129"/>
      <c r="C363" s="130"/>
      <c r="D363" s="131"/>
      <c r="E363" s="132" t="s">
        <v>1296</v>
      </c>
      <c r="F363" s="515"/>
      <c r="G363" s="516"/>
      <c r="H363" s="516"/>
      <c r="I363" s="516"/>
      <c r="J363" s="516"/>
      <c r="K363" s="516"/>
      <c r="L363" s="516"/>
      <c r="M363" s="516"/>
      <c r="N363" s="516"/>
      <c r="O363" s="133" t="s">
        <v>1297</v>
      </c>
      <c r="P363" s="134"/>
      <c r="Q363" s="135" t="s">
        <v>1298</v>
      </c>
      <c r="R363" s="136"/>
      <c r="S363" s="137"/>
      <c r="T363" s="138"/>
      <c r="U363" s="139">
        <f>SUM(U364:U365)</f>
        <v>15.67</v>
      </c>
      <c r="V363" s="137"/>
      <c r="W363" s="139">
        <f>SUM(W364:W365)</f>
        <v>0</v>
      </c>
      <c r="X363" s="137"/>
      <c r="Y363" s="139">
        <f>SUM(Y364:Y365)</f>
        <v>0</v>
      </c>
      <c r="Z363" s="137"/>
      <c r="AA363" s="139">
        <f>SUM(AA364:AA365)</f>
        <v>0</v>
      </c>
      <c r="AB363" s="137"/>
      <c r="AC363" s="139">
        <f>SUM(AC364:AC365)</f>
        <v>0</v>
      </c>
      <c r="AD363" s="137"/>
      <c r="AE363" s="139">
        <f>SUM(AE364:AE365)</f>
        <v>0</v>
      </c>
      <c r="AF363" s="137"/>
      <c r="AG363" s="139">
        <f>SUM(AG364:AG365)</f>
        <v>0</v>
      </c>
      <c r="AH363" s="137"/>
      <c r="AI363" s="139">
        <f>SUM(AI364:AI365)</f>
        <v>0</v>
      </c>
      <c r="AJ363" s="137"/>
      <c r="AK363" s="139">
        <f>SUM(AK364:AK365)</f>
        <v>0</v>
      </c>
      <c r="AL363" s="137"/>
      <c r="AM363" s="139">
        <f>SUM(AM364:AM365)</f>
        <v>0</v>
      </c>
      <c r="AN363" s="137"/>
      <c r="AO363" s="139">
        <f>SUM(AO364:AO365)</f>
        <v>0</v>
      </c>
      <c r="AP363" s="137"/>
      <c r="AQ363" s="139">
        <f>SUM(AQ364:AQ365)</f>
        <v>0</v>
      </c>
      <c r="AR363" s="137"/>
      <c r="AS363" s="139">
        <f>SUM(AS364:AS365)</f>
        <v>0</v>
      </c>
      <c r="AT363" s="137"/>
      <c r="AU363" s="139">
        <f>SUM(AU364:AU365)</f>
        <v>0</v>
      </c>
      <c r="AV363" s="137"/>
      <c r="AW363" s="139">
        <f>SUM(AW364:AW365)</f>
        <v>0</v>
      </c>
      <c r="AX363" s="137"/>
      <c r="AY363" s="139">
        <f>SUM(AY364:AY365)</f>
        <v>0</v>
      </c>
      <c r="AZ363" s="137"/>
      <c r="BA363" s="139">
        <f>SUM(BA364:BA365)</f>
        <v>0</v>
      </c>
      <c r="BB363" s="137"/>
      <c r="BC363" s="139">
        <f>SUM(BC364:BC365)</f>
        <v>0</v>
      </c>
      <c r="BD363" s="137"/>
      <c r="BE363" s="139">
        <f>SUM(BE364:BE365)</f>
        <v>0</v>
      </c>
      <c r="BF363" s="137"/>
      <c r="BG363" s="139">
        <f>SUM(BG364:BG365)</f>
        <v>0</v>
      </c>
      <c r="BH363" s="45"/>
    </row>
    <row r="364" spans="1:61" ht="26" customHeight="1" x14ac:dyDescent="0.45">
      <c r="A364" s="140">
        <v>4</v>
      </c>
      <c r="B364" s="141" t="s">
        <v>1482</v>
      </c>
      <c r="C364" s="142" t="s">
        <v>1486</v>
      </c>
      <c r="D364" s="143" t="str">
        <f>B364&amp;"_"&amp;E364</f>
        <v>4.2_5.14.1</v>
      </c>
      <c r="E364" s="56" t="s">
        <v>1299</v>
      </c>
      <c r="F364" s="506" t="s">
        <v>1301</v>
      </c>
      <c r="G364" s="507" t="s">
        <v>39</v>
      </c>
      <c r="H364" s="507" t="s">
        <v>39</v>
      </c>
      <c r="I364" s="507" t="s">
        <v>1832</v>
      </c>
      <c r="J364" s="507" t="s">
        <v>39</v>
      </c>
      <c r="K364" s="507" t="s">
        <v>39</v>
      </c>
      <c r="L364" s="507" t="s">
        <v>39</v>
      </c>
      <c r="M364" s="507" t="s">
        <v>748</v>
      </c>
      <c r="N364" s="507" t="s">
        <v>1298</v>
      </c>
      <c r="O364" s="57" t="s">
        <v>1300</v>
      </c>
      <c r="P364" s="58" t="s">
        <v>846</v>
      </c>
      <c r="Q364" s="59" t="s">
        <v>1301</v>
      </c>
      <c r="R364" s="60" t="s">
        <v>755</v>
      </c>
      <c r="S364" s="61">
        <v>6.81</v>
      </c>
      <c r="T364" s="62">
        <f>INDEX('BM MORRO DA CRUZ'!$P$6:$P$402,MATCH($O364,'BM MORRO DA CRUZ'!$K$6:$K$402,0))</f>
        <v>1.86</v>
      </c>
      <c r="U364" s="63">
        <f>ROUND(T364*$S364,2)</f>
        <v>12.67</v>
      </c>
      <c r="V364" s="61">
        <f>IFERROR(SUMIFS('01ª MC'!$W$1:$W$1840,'01ª MC'!$C$1:$C$1840,$D364),0)</f>
        <v>0</v>
      </c>
      <c r="W364" s="63">
        <f>ROUND(V364*$T364,2)</f>
        <v>0</v>
      </c>
      <c r="X364" s="61">
        <v>0</v>
      </c>
      <c r="Y364" s="63">
        <f>ROUND(X364*$T364,2)</f>
        <v>0</v>
      </c>
      <c r="Z364" s="61">
        <v>0</v>
      </c>
      <c r="AA364" s="63">
        <f>ROUND(Z364*$T364,2)</f>
        <v>0</v>
      </c>
      <c r="AB364" s="61">
        <v>0</v>
      </c>
      <c r="AC364" s="63">
        <f>ROUND(AB364*$T364,2)</f>
        <v>0</v>
      </c>
      <c r="AD364" s="61">
        <v>0</v>
      </c>
      <c r="AE364" s="63">
        <f>ROUND(AD364*$T364,2)</f>
        <v>0</v>
      </c>
      <c r="AF364" s="61">
        <v>0</v>
      </c>
      <c r="AG364" s="63">
        <f>ROUND(AF364*$T364,2)</f>
        <v>0</v>
      </c>
      <c r="AH364" s="61">
        <v>0</v>
      </c>
      <c r="AI364" s="63">
        <f>ROUND(AH364*$T364,2)</f>
        <v>0</v>
      </c>
      <c r="AJ364" s="61">
        <v>0</v>
      </c>
      <c r="AK364" s="63">
        <f>ROUND(AJ364*$T364,2)</f>
        <v>0</v>
      </c>
      <c r="AL364" s="61">
        <v>0</v>
      </c>
      <c r="AM364" s="63">
        <f>ROUND(AL364*$T364,2)</f>
        <v>0</v>
      </c>
      <c r="AN364" s="61">
        <v>0</v>
      </c>
      <c r="AO364" s="63">
        <f>ROUND(AN364*$T364,2)</f>
        <v>0</v>
      </c>
      <c r="AP364" s="61">
        <v>0</v>
      </c>
      <c r="AQ364" s="63">
        <f>ROUND(AP364*$T364,2)</f>
        <v>0</v>
      </c>
      <c r="AR364" s="61">
        <v>0</v>
      </c>
      <c r="AS364" s="63">
        <f>ROUND(AR364*$T364,2)</f>
        <v>0</v>
      </c>
      <c r="AT364" s="61">
        <v>0</v>
      </c>
      <c r="AU364" s="63">
        <f>ROUND(AT364*$T364,2)</f>
        <v>0</v>
      </c>
      <c r="AV364" s="61">
        <v>0</v>
      </c>
      <c r="AW364" s="63">
        <f>ROUND(AV364*$T364,2)</f>
        <v>0</v>
      </c>
      <c r="AX364" s="61">
        <v>0</v>
      </c>
      <c r="AY364" s="63">
        <f>ROUND(AX364*$T364,2)</f>
        <v>0</v>
      </c>
      <c r="AZ364" s="61">
        <v>0</v>
      </c>
      <c r="BA364" s="63">
        <f>ROUND(AZ364*$T364,2)</f>
        <v>0</v>
      </c>
      <c r="BB364" s="61">
        <v>0</v>
      </c>
      <c r="BC364" s="63">
        <f>ROUND(BB364*$T364,2)</f>
        <v>0</v>
      </c>
      <c r="BD364" s="61">
        <v>0</v>
      </c>
      <c r="BE364" s="63">
        <f>ROUND(BD364*$T364,2)</f>
        <v>0</v>
      </c>
      <c r="BF364" s="61">
        <f>IFERROR(SUMIFS($V364:$BE364,$V$5:$BE$5,$BF$5),0)</f>
        <v>0</v>
      </c>
      <c r="BG364" s="63">
        <f>SUMIFS($V364:$BE364,$V$5:$BE$5,$W$5)</f>
        <v>0</v>
      </c>
      <c r="BH364" s="45"/>
      <c r="BI364" s="144"/>
    </row>
    <row r="365" spans="1:61" ht="26" customHeight="1" x14ac:dyDescent="0.45">
      <c r="A365" s="140">
        <v>4</v>
      </c>
      <c r="B365" s="141" t="s">
        <v>1482</v>
      </c>
      <c r="C365" s="142" t="s">
        <v>1486</v>
      </c>
      <c r="D365" s="143" t="str">
        <f>B365&amp;"_"&amp;E365</f>
        <v>4.2_5.14.5</v>
      </c>
      <c r="E365" s="56" t="s">
        <v>1311</v>
      </c>
      <c r="F365" s="506" t="s">
        <v>1860</v>
      </c>
      <c r="G365" s="507" t="s">
        <v>39</v>
      </c>
      <c r="H365" s="507" t="s">
        <v>39</v>
      </c>
      <c r="I365" s="507" t="s">
        <v>1861</v>
      </c>
      <c r="J365" s="507" t="s">
        <v>39</v>
      </c>
      <c r="K365" s="507" t="s">
        <v>39</v>
      </c>
      <c r="L365" s="507" t="s">
        <v>39</v>
      </c>
      <c r="M365" s="507" t="s">
        <v>748</v>
      </c>
      <c r="N365" s="507" t="s">
        <v>1298</v>
      </c>
      <c r="O365" s="57" t="s">
        <v>1312</v>
      </c>
      <c r="P365" s="58" t="s">
        <v>846</v>
      </c>
      <c r="Q365" s="59" t="s">
        <v>1313</v>
      </c>
      <c r="R365" s="60" t="s">
        <v>792</v>
      </c>
      <c r="S365" s="61">
        <v>4.54</v>
      </c>
      <c r="T365" s="62">
        <f>INDEX('BM MORRO DA CRUZ'!$P$6:$P$402,MATCH($O365,'BM MORRO DA CRUZ'!$K$6:$K$402,0))</f>
        <v>0.66</v>
      </c>
      <c r="U365" s="63">
        <f>ROUND(T365*$S365,2)</f>
        <v>3</v>
      </c>
      <c r="V365" s="61">
        <f>IFERROR(SUMIFS('01ª MC'!$W$1:$W$1840,'01ª MC'!$C$1:$C$1840,$D365),0)</f>
        <v>0</v>
      </c>
      <c r="W365" s="63">
        <f>ROUND(V365*$T365,2)</f>
        <v>0</v>
      </c>
      <c r="X365" s="61">
        <v>0</v>
      </c>
      <c r="Y365" s="63">
        <f>ROUND(X365*$T365,2)</f>
        <v>0</v>
      </c>
      <c r="Z365" s="61">
        <v>0</v>
      </c>
      <c r="AA365" s="63">
        <f>ROUND(Z365*$T365,2)</f>
        <v>0</v>
      </c>
      <c r="AB365" s="61">
        <v>0</v>
      </c>
      <c r="AC365" s="63">
        <f>ROUND(AB365*$T365,2)</f>
        <v>0</v>
      </c>
      <c r="AD365" s="61">
        <v>0</v>
      </c>
      <c r="AE365" s="63">
        <f>ROUND(AD365*$T365,2)</f>
        <v>0</v>
      </c>
      <c r="AF365" s="61">
        <v>0</v>
      </c>
      <c r="AG365" s="63">
        <f>ROUND(AF365*$T365,2)</f>
        <v>0</v>
      </c>
      <c r="AH365" s="61">
        <v>0</v>
      </c>
      <c r="AI365" s="63">
        <f>ROUND(AH365*$T365,2)</f>
        <v>0</v>
      </c>
      <c r="AJ365" s="61">
        <v>0</v>
      </c>
      <c r="AK365" s="63">
        <f>ROUND(AJ365*$T365,2)</f>
        <v>0</v>
      </c>
      <c r="AL365" s="61">
        <v>0</v>
      </c>
      <c r="AM365" s="63">
        <f>ROUND(AL365*$T365,2)</f>
        <v>0</v>
      </c>
      <c r="AN365" s="61">
        <v>0</v>
      </c>
      <c r="AO365" s="63">
        <f>ROUND(AN365*$T365,2)</f>
        <v>0</v>
      </c>
      <c r="AP365" s="61">
        <v>0</v>
      </c>
      <c r="AQ365" s="63">
        <f>ROUND(AP365*$T365,2)</f>
        <v>0</v>
      </c>
      <c r="AR365" s="61">
        <v>0</v>
      </c>
      <c r="AS365" s="63">
        <f>ROUND(AR365*$T365,2)</f>
        <v>0</v>
      </c>
      <c r="AT365" s="61">
        <v>0</v>
      </c>
      <c r="AU365" s="63">
        <f>ROUND(AT365*$T365,2)</f>
        <v>0</v>
      </c>
      <c r="AV365" s="61">
        <v>0</v>
      </c>
      <c r="AW365" s="63">
        <f>ROUND(AV365*$T365,2)</f>
        <v>0</v>
      </c>
      <c r="AX365" s="61">
        <v>0</v>
      </c>
      <c r="AY365" s="63">
        <f>ROUND(AX365*$T365,2)</f>
        <v>0</v>
      </c>
      <c r="AZ365" s="61">
        <v>0</v>
      </c>
      <c r="BA365" s="63">
        <f>ROUND(AZ365*$T365,2)</f>
        <v>0</v>
      </c>
      <c r="BB365" s="61">
        <v>0</v>
      </c>
      <c r="BC365" s="63">
        <f>ROUND(BB365*$T365,2)</f>
        <v>0</v>
      </c>
      <c r="BD365" s="61">
        <v>0</v>
      </c>
      <c r="BE365" s="63">
        <f>ROUND(BD365*$T365,2)</f>
        <v>0</v>
      </c>
      <c r="BF365" s="61">
        <f>IFERROR(SUMIFS($V365:$BE365,$V$5:$BE$5,$BF$5),0)</f>
        <v>0</v>
      </c>
      <c r="BG365" s="63">
        <f>SUMIFS($V365:$BE365,$V$5:$BE$5,$W$5)</f>
        <v>0</v>
      </c>
      <c r="BH365" s="45"/>
      <c r="BI365" s="144"/>
    </row>
    <row r="366" spans="1:61" ht="19.5" customHeight="1" x14ac:dyDescent="0.45">
      <c r="A366" s="128">
        <v>4</v>
      </c>
      <c r="B366" s="129"/>
      <c r="C366" s="130"/>
      <c r="D366" s="131"/>
      <c r="E366" s="132" t="s">
        <v>1329</v>
      </c>
      <c r="F366" s="515"/>
      <c r="G366" s="516"/>
      <c r="H366" s="516"/>
      <c r="I366" s="516"/>
      <c r="J366" s="516"/>
      <c r="K366" s="516"/>
      <c r="L366" s="516"/>
      <c r="M366" s="516"/>
      <c r="N366" s="516"/>
      <c r="O366" s="133" t="s">
        <v>1330</v>
      </c>
      <c r="P366" s="134"/>
      <c r="Q366" s="135" t="s">
        <v>1331</v>
      </c>
      <c r="R366" s="136"/>
      <c r="S366" s="137"/>
      <c r="T366" s="138"/>
      <c r="U366" s="139">
        <f>SUM(U367:U367)</f>
        <v>7859.16</v>
      </c>
      <c r="V366" s="137"/>
      <c r="W366" s="139">
        <f>SUM(W367:W367)</f>
        <v>0</v>
      </c>
      <c r="X366" s="137"/>
      <c r="Y366" s="139">
        <f>SUM(Y367:Y367)</f>
        <v>0</v>
      </c>
      <c r="Z366" s="137"/>
      <c r="AA366" s="139">
        <f>SUM(AA367:AA367)</f>
        <v>0</v>
      </c>
      <c r="AB366" s="137"/>
      <c r="AC366" s="139">
        <f>SUM(AC367:AC367)</f>
        <v>0</v>
      </c>
      <c r="AD366" s="137"/>
      <c r="AE366" s="139">
        <f>SUM(AE367:AE367)</f>
        <v>0</v>
      </c>
      <c r="AF366" s="137"/>
      <c r="AG366" s="139">
        <f>SUM(AG367:AG367)</f>
        <v>0</v>
      </c>
      <c r="AH366" s="137"/>
      <c r="AI366" s="139">
        <f>SUM(AI367:AI367)</f>
        <v>0</v>
      </c>
      <c r="AJ366" s="137"/>
      <c r="AK366" s="139">
        <f>SUM(AK367:AK367)</f>
        <v>0</v>
      </c>
      <c r="AL366" s="137"/>
      <c r="AM366" s="139">
        <f>SUM(AM367:AM367)</f>
        <v>0</v>
      </c>
      <c r="AN366" s="137"/>
      <c r="AO366" s="139">
        <f>SUM(AO367:AO367)</f>
        <v>0</v>
      </c>
      <c r="AP366" s="137"/>
      <c r="AQ366" s="139">
        <f>SUM(AQ367:AQ367)</f>
        <v>0</v>
      </c>
      <c r="AR366" s="137"/>
      <c r="AS366" s="139">
        <f>SUM(AS367:AS367)</f>
        <v>0</v>
      </c>
      <c r="AT366" s="137"/>
      <c r="AU366" s="139">
        <f>SUM(AU367:AU367)</f>
        <v>0</v>
      </c>
      <c r="AV366" s="137"/>
      <c r="AW366" s="139">
        <f>SUM(AW367:AW367)</f>
        <v>0</v>
      </c>
      <c r="AX366" s="137"/>
      <c r="AY366" s="139">
        <f>SUM(AY367:AY367)</f>
        <v>0</v>
      </c>
      <c r="AZ366" s="137"/>
      <c r="BA366" s="139">
        <f>SUM(BA367:BA367)</f>
        <v>0</v>
      </c>
      <c r="BB366" s="137"/>
      <c r="BC366" s="139">
        <f>SUM(BC367:BC367)</f>
        <v>0</v>
      </c>
      <c r="BD366" s="137"/>
      <c r="BE366" s="139">
        <f>SUM(BE367:BE367)</f>
        <v>0</v>
      </c>
      <c r="BF366" s="137"/>
      <c r="BG366" s="139">
        <f>SUM(BG367:BG367)</f>
        <v>0</v>
      </c>
      <c r="BH366" s="45"/>
    </row>
    <row r="367" spans="1:61" ht="26" customHeight="1" x14ac:dyDescent="0.45">
      <c r="A367" s="140">
        <v>4</v>
      </c>
      <c r="B367" s="141" t="s">
        <v>1482</v>
      </c>
      <c r="C367" s="142" t="s">
        <v>1486</v>
      </c>
      <c r="D367" s="143" t="str">
        <f>B367&amp;"_"&amp;E367</f>
        <v>4.2_5.16.3</v>
      </c>
      <c r="E367" s="56" t="s">
        <v>1338</v>
      </c>
      <c r="F367" s="506" t="s">
        <v>1871</v>
      </c>
      <c r="G367" s="507" t="s">
        <v>39</v>
      </c>
      <c r="H367" s="507" t="s">
        <v>1795</v>
      </c>
      <c r="I367" s="507" t="s">
        <v>1869</v>
      </c>
      <c r="J367" s="507" t="s">
        <v>39</v>
      </c>
      <c r="K367" s="507">
        <v>225</v>
      </c>
      <c r="L367" s="507" t="s">
        <v>267</v>
      </c>
      <c r="M367" s="507" t="s">
        <v>748</v>
      </c>
      <c r="N367" s="507" t="s">
        <v>1869</v>
      </c>
      <c r="O367" s="57" t="s">
        <v>1339</v>
      </c>
      <c r="P367" s="58" t="s">
        <v>846</v>
      </c>
      <c r="Q367" s="59" t="s">
        <v>1340</v>
      </c>
      <c r="R367" s="60" t="s">
        <v>367</v>
      </c>
      <c r="S367" s="61">
        <v>47.91</v>
      </c>
      <c r="T367" s="62">
        <f>INDEX('BM MORRO DA CRUZ'!$P$6:$P$402,MATCH($O367,'BM MORRO DA CRUZ'!$K$6:$K$402,0))</f>
        <v>164.04</v>
      </c>
      <c r="U367" s="63">
        <f>ROUND(T367*$S367,2)</f>
        <v>7859.16</v>
      </c>
      <c r="V367" s="61">
        <f>IFERROR(SUMIFS('01ª MC'!$W$1:$W$1840,'01ª MC'!$C$1:$C$1840,$D367),0)</f>
        <v>0</v>
      </c>
      <c r="W367" s="63">
        <f>ROUND(V367*$T367,2)</f>
        <v>0</v>
      </c>
      <c r="X367" s="61">
        <v>0</v>
      </c>
      <c r="Y367" s="63">
        <f>ROUND(X367*$T367,2)</f>
        <v>0</v>
      </c>
      <c r="Z367" s="61">
        <v>0</v>
      </c>
      <c r="AA367" s="63">
        <f>ROUND(Z367*$T367,2)</f>
        <v>0</v>
      </c>
      <c r="AB367" s="61">
        <v>0</v>
      </c>
      <c r="AC367" s="63">
        <f>ROUND(AB367*$T367,2)</f>
        <v>0</v>
      </c>
      <c r="AD367" s="61">
        <v>0</v>
      </c>
      <c r="AE367" s="63">
        <f>ROUND(AD367*$T367,2)</f>
        <v>0</v>
      </c>
      <c r="AF367" s="61">
        <v>0</v>
      </c>
      <c r="AG367" s="63">
        <f>ROUND(AF367*$T367,2)</f>
        <v>0</v>
      </c>
      <c r="AH367" s="61">
        <v>0</v>
      </c>
      <c r="AI367" s="63">
        <f>ROUND(AH367*$T367,2)</f>
        <v>0</v>
      </c>
      <c r="AJ367" s="61">
        <v>0</v>
      </c>
      <c r="AK367" s="63">
        <f>ROUND(AJ367*$T367,2)</f>
        <v>0</v>
      </c>
      <c r="AL367" s="61">
        <v>0</v>
      </c>
      <c r="AM367" s="63">
        <f>ROUND(AL367*$T367,2)</f>
        <v>0</v>
      </c>
      <c r="AN367" s="61">
        <v>0</v>
      </c>
      <c r="AO367" s="63">
        <f>ROUND(AN367*$T367,2)</f>
        <v>0</v>
      </c>
      <c r="AP367" s="61">
        <v>0</v>
      </c>
      <c r="AQ367" s="63">
        <f>ROUND(AP367*$T367,2)</f>
        <v>0</v>
      </c>
      <c r="AR367" s="61">
        <v>0</v>
      </c>
      <c r="AS367" s="63">
        <f>ROUND(AR367*$T367,2)</f>
        <v>0</v>
      </c>
      <c r="AT367" s="61">
        <v>0</v>
      </c>
      <c r="AU367" s="63">
        <f>ROUND(AT367*$T367,2)</f>
        <v>0</v>
      </c>
      <c r="AV367" s="61">
        <v>0</v>
      </c>
      <c r="AW367" s="63">
        <f>ROUND(AV367*$T367,2)</f>
        <v>0</v>
      </c>
      <c r="AX367" s="61">
        <v>0</v>
      </c>
      <c r="AY367" s="63">
        <f>ROUND(AX367*$T367,2)</f>
        <v>0</v>
      </c>
      <c r="AZ367" s="61">
        <v>0</v>
      </c>
      <c r="BA367" s="63">
        <f>ROUND(AZ367*$T367,2)</f>
        <v>0</v>
      </c>
      <c r="BB367" s="61">
        <v>0</v>
      </c>
      <c r="BC367" s="63">
        <f>ROUND(BB367*$T367,2)</f>
        <v>0</v>
      </c>
      <c r="BD367" s="61">
        <v>0</v>
      </c>
      <c r="BE367" s="63">
        <f>ROUND(BD367*$T367,2)</f>
        <v>0</v>
      </c>
      <c r="BF367" s="61">
        <f>IFERROR(SUMIFS($V367:$BE367,$V$5:$BE$5,$BF$5),0)</f>
        <v>0</v>
      </c>
      <c r="BG367" s="63">
        <f>SUMIFS($V367:$BE367,$V$5:$BE$5,$W$5)</f>
        <v>0</v>
      </c>
      <c r="BH367" s="45"/>
      <c r="BI367" s="144"/>
    </row>
    <row r="368" spans="1:61" ht="19.5" customHeight="1" x14ac:dyDescent="0.45">
      <c r="A368" s="128">
        <v>4</v>
      </c>
      <c r="B368" s="129"/>
      <c r="C368" s="130"/>
      <c r="D368" s="131"/>
      <c r="E368" s="132" t="s">
        <v>1353</v>
      </c>
      <c r="F368" s="515"/>
      <c r="G368" s="516"/>
      <c r="H368" s="516"/>
      <c r="I368" s="516"/>
      <c r="J368" s="516"/>
      <c r="K368" s="516"/>
      <c r="L368" s="516"/>
      <c r="M368" s="516"/>
      <c r="N368" s="516"/>
      <c r="O368" s="133" t="s">
        <v>1354</v>
      </c>
      <c r="P368" s="134"/>
      <c r="Q368" s="135" t="s">
        <v>1355</v>
      </c>
      <c r="R368" s="136"/>
      <c r="S368" s="137"/>
      <c r="T368" s="138"/>
      <c r="U368" s="139">
        <f>SUM(U369:U370)</f>
        <v>28.97</v>
      </c>
      <c r="V368" s="137"/>
      <c r="W368" s="139">
        <f>SUM(W369:W370)</f>
        <v>0</v>
      </c>
      <c r="X368" s="137"/>
      <c r="Y368" s="139">
        <f>SUM(Y369:Y370)</f>
        <v>0</v>
      </c>
      <c r="Z368" s="137"/>
      <c r="AA368" s="139">
        <f>SUM(AA369:AA370)</f>
        <v>0</v>
      </c>
      <c r="AB368" s="137"/>
      <c r="AC368" s="139">
        <f>SUM(AC369:AC370)</f>
        <v>0</v>
      </c>
      <c r="AD368" s="137"/>
      <c r="AE368" s="139">
        <f>SUM(AE369:AE370)</f>
        <v>0</v>
      </c>
      <c r="AF368" s="137"/>
      <c r="AG368" s="139">
        <f>SUM(AG369:AG370)</f>
        <v>0</v>
      </c>
      <c r="AH368" s="137"/>
      <c r="AI368" s="139">
        <f>SUM(AI369:AI370)</f>
        <v>0</v>
      </c>
      <c r="AJ368" s="137"/>
      <c r="AK368" s="139">
        <f>SUM(AK369:AK370)</f>
        <v>0</v>
      </c>
      <c r="AL368" s="137"/>
      <c r="AM368" s="139">
        <f>SUM(AM369:AM370)</f>
        <v>0</v>
      </c>
      <c r="AN368" s="137"/>
      <c r="AO368" s="139">
        <f>SUM(AO369:AO370)</f>
        <v>0</v>
      </c>
      <c r="AP368" s="137"/>
      <c r="AQ368" s="139">
        <f>SUM(AQ369:AQ370)</f>
        <v>0</v>
      </c>
      <c r="AR368" s="137"/>
      <c r="AS368" s="139">
        <f>SUM(AS369:AS370)</f>
        <v>0</v>
      </c>
      <c r="AT368" s="137"/>
      <c r="AU368" s="139">
        <f>SUM(AU369:AU370)</f>
        <v>0</v>
      </c>
      <c r="AV368" s="137"/>
      <c r="AW368" s="139">
        <f>SUM(AW369:AW370)</f>
        <v>0</v>
      </c>
      <c r="AX368" s="137"/>
      <c r="AY368" s="139">
        <f>SUM(AY369:AY370)</f>
        <v>0</v>
      </c>
      <c r="AZ368" s="137"/>
      <c r="BA368" s="139">
        <f>SUM(BA369:BA370)</f>
        <v>0</v>
      </c>
      <c r="BB368" s="137"/>
      <c r="BC368" s="139">
        <f>SUM(BC369:BC370)</f>
        <v>0</v>
      </c>
      <c r="BD368" s="137"/>
      <c r="BE368" s="139">
        <f>SUM(BE369:BE370)</f>
        <v>0</v>
      </c>
      <c r="BF368" s="137"/>
      <c r="BG368" s="139">
        <f>SUM(BG369:BG370)</f>
        <v>0</v>
      </c>
      <c r="BH368" s="45"/>
    </row>
    <row r="369" spans="1:61" ht="26" customHeight="1" x14ac:dyDescent="0.45">
      <c r="A369" s="140">
        <v>4</v>
      </c>
      <c r="B369" s="141" t="s">
        <v>1482</v>
      </c>
      <c r="C369" s="142" t="s">
        <v>1486</v>
      </c>
      <c r="D369" s="143" t="str">
        <f>B369&amp;"_"&amp;E369</f>
        <v>4.2_5.17.1</v>
      </c>
      <c r="E369" s="56" t="s">
        <v>1356</v>
      </c>
      <c r="F369" s="506" t="s">
        <v>1358</v>
      </c>
      <c r="G369" s="507" t="s">
        <v>39</v>
      </c>
      <c r="H369" s="507" t="s">
        <v>39</v>
      </c>
      <c r="I369" s="507" t="s">
        <v>1757</v>
      </c>
      <c r="J369" s="507" t="s">
        <v>39</v>
      </c>
      <c r="K369" s="507" t="s">
        <v>39</v>
      </c>
      <c r="L369" s="507" t="s">
        <v>39</v>
      </c>
      <c r="M369" s="507" t="s">
        <v>748</v>
      </c>
      <c r="N369" s="507" t="s">
        <v>1757</v>
      </c>
      <c r="O369" s="57" t="s">
        <v>1357</v>
      </c>
      <c r="P369" s="58" t="s">
        <v>846</v>
      </c>
      <c r="Q369" s="59" t="s">
        <v>1358</v>
      </c>
      <c r="R369" s="60" t="s">
        <v>755</v>
      </c>
      <c r="S369" s="61">
        <v>0.39</v>
      </c>
      <c r="T369" s="62">
        <f>INDEX('BM MORRO DA CRUZ'!$P$6:$P$402,MATCH($O369,'BM MORRO DA CRUZ'!$K$6:$K$402,0))</f>
        <v>59.37</v>
      </c>
      <c r="U369" s="63">
        <f>ROUND(T369*$S369,2)</f>
        <v>23.15</v>
      </c>
      <c r="V369" s="61">
        <f>IFERROR(SUMIFS('01ª MC'!$W$1:$W$1840,'01ª MC'!$C$1:$C$1840,$D369),0)</f>
        <v>0</v>
      </c>
      <c r="W369" s="63">
        <f>ROUND(V369*$T369,2)</f>
        <v>0</v>
      </c>
      <c r="X369" s="61">
        <v>0</v>
      </c>
      <c r="Y369" s="63">
        <f>ROUND(X369*$T369,2)</f>
        <v>0</v>
      </c>
      <c r="Z369" s="61">
        <v>0</v>
      </c>
      <c r="AA369" s="63">
        <f>ROUND(Z369*$T369,2)</f>
        <v>0</v>
      </c>
      <c r="AB369" s="61">
        <v>0</v>
      </c>
      <c r="AC369" s="63">
        <f>ROUND(AB369*$T369,2)</f>
        <v>0</v>
      </c>
      <c r="AD369" s="61">
        <v>0</v>
      </c>
      <c r="AE369" s="63">
        <f>ROUND(AD369*$T369,2)</f>
        <v>0</v>
      </c>
      <c r="AF369" s="61">
        <v>0</v>
      </c>
      <c r="AG369" s="63">
        <f>ROUND(AF369*$T369,2)</f>
        <v>0</v>
      </c>
      <c r="AH369" s="61">
        <v>0</v>
      </c>
      <c r="AI369" s="63">
        <f>ROUND(AH369*$T369,2)</f>
        <v>0</v>
      </c>
      <c r="AJ369" s="61">
        <v>0</v>
      </c>
      <c r="AK369" s="63">
        <f>ROUND(AJ369*$T369,2)</f>
        <v>0</v>
      </c>
      <c r="AL369" s="61">
        <v>0</v>
      </c>
      <c r="AM369" s="63">
        <f>ROUND(AL369*$T369,2)</f>
        <v>0</v>
      </c>
      <c r="AN369" s="61">
        <v>0</v>
      </c>
      <c r="AO369" s="63">
        <f>ROUND(AN369*$T369,2)</f>
        <v>0</v>
      </c>
      <c r="AP369" s="61">
        <v>0</v>
      </c>
      <c r="AQ369" s="63">
        <f>ROUND(AP369*$T369,2)</f>
        <v>0</v>
      </c>
      <c r="AR369" s="61">
        <v>0</v>
      </c>
      <c r="AS369" s="63">
        <f>ROUND(AR369*$T369,2)</f>
        <v>0</v>
      </c>
      <c r="AT369" s="61">
        <v>0</v>
      </c>
      <c r="AU369" s="63">
        <f>ROUND(AT369*$T369,2)</f>
        <v>0</v>
      </c>
      <c r="AV369" s="61">
        <v>0</v>
      </c>
      <c r="AW369" s="63">
        <f>ROUND(AV369*$T369,2)</f>
        <v>0</v>
      </c>
      <c r="AX369" s="61">
        <v>0</v>
      </c>
      <c r="AY369" s="63">
        <f>ROUND(AX369*$T369,2)</f>
        <v>0</v>
      </c>
      <c r="AZ369" s="61">
        <v>0</v>
      </c>
      <c r="BA369" s="63">
        <f>ROUND(AZ369*$T369,2)</f>
        <v>0</v>
      </c>
      <c r="BB369" s="61">
        <v>0</v>
      </c>
      <c r="BC369" s="63">
        <f>ROUND(BB369*$T369,2)</f>
        <v>0</v>
      </c>
      <c r="BD369" s="61">
        <v>0</v>
      </c>
      <c r="BE369" s="63">
        <f>ROUND(BD369*$T369,2)</f>
        <v>0</v>
      </c>
      <c r="BF369" s="61">
        <f>IFERROR(SUMIFS($V369:$BE369,$V$5:$BE$5,$BF$5),0)</f>
        <v>0</v>
      </c>
      <c r="BG369" s="63">
        <f>SUMIFS($V369:$BE369,$V$5:$BE$5,$W$5)</f>
        <v>0</v>
      </c>
      <c r="BH369" s="45"/>
      <c r="BI369" s="144"/>
    </row>
    <row r="370" spans="1:61" ht="26" customHeight="1" x14ac:dyDescent="0.45">
      <c r="A370" s="140">
        <v>4</v>
      </c>
      <c r="B370" s="141" t="s">
        <v>1482</v>
      </c>
      <c r="C370" s="142" t="s">
        <v>1486</v>
      </c>
      <c r="D370" s="143" t="str">
        <f>B370&amp;"_"&amp;E370</f>
        <v>4.2_5.17.4</v>
      </c>
      <c r="E370" s="56" t="s">
        <v>1365</v>
      </c>
      <c r="F370" s="506" t="s">
        <v>1367</v>
      </c>
      <c r="G370" s="507" t="s">
        <v>39</v>
      </c>
      <c r="H370" s="507" t="s">
        <v>39</v>
      </c>
      <c r="I370" s="507" t="s">
        <v>1757</v>
      </c>
      <c r="J370" s="507" t="s">
        <v>39</v>
      </c>
      <c r="K370" s="507" t="s">
        <v>39</v>
      </c>
      <c r="L370" s="507" t="s">
        <v>39</v>
      </c>
      <c r="M370" s="507" t="s">
        <v>748</v>
      </c>
      <c r="N370" s="507" t="s">
        <v>1757</v>
      </c>
      <c r="O370" s="57" t="s">
        <v>1366</v>
      </c>
      <c r="P370" s="58" t="s">
        <v>846</v>
      </c>
      <c r="Q370" s="59" t="s">
        <v>1367</v>
      </c>
      <c r="R370" s="60" t="s">
        <v>755</v>
      </c>
      <c r="S370" s="61">
        <v>7.0000000000000007E-2</v>
      </c>
      <c r="T370" s="62">
        <f>INDEX('BM MORRO DA CRUZ'!$P$6:$P$402,MATCH($O370,'BM MORRO DA CRUZ'!$K$6:$K$402,0))</f>
        <v>83.12</v>
      </c>
      <c r="U370" s="63">
        <f>ROUND(T370*$S370,2)</f>
        <v>5.82</v>
      </c>
      <c r="V370" s="61">
        <f>IFERROR(SUMIFS('01ª MC'!$W$1:$W$1840,'01ª MC'!$C$1:$C$1840,$D370),0)</f>
        <v>0</v>
      </c>
      <c r="W370" s="63">
        <f>ROUND(V370*$T370,2)</f>
        <v>0</v>
      </c>
      <c r="X370" s="61">
        <v>0</v>
      </c>
      <c r="Y370" s="63">
        <f>ROUND(X370*$T370,2)</f>
        <v>0</v>
      </c>
      <c r="Z370" s="61">
        <v>0</v>
      </c>
      <c r="AA370" s="63">
        <f>ROUND(Z370*$T370,2)</f>
        <v>0</v>
      </c>
      <c r="AB370" s="61">
        <v>0</v>
      </c>
      <c r="AC370" s="63">
        <f>ROUND(AB370*$T370,2)</f>
        <v>0</v>
      </c>
      <c r="AD370" s="61">
        <v>0</v>
      </c>
      <c r="AE370" s="63">
        <f>ROUND(AD370*$T370,2)</f>
        <v>0</v>
      </c>
      <c r="AF370" s="61">
        <v>0</v>
      </c>
      <c r="AG370" s="63">
        <f>ROUND(AF370*$T370,2)</f>
        <v>0</v>
      </c>
      <c r="AH370" s="61">
        <v>0</v>
      </c>
      <c r="AI370" s="63">
        <f>ROUND(AH370*$T370,2)</f>
        <v>0</v>
      </c>
      <c r="AJ370" s="61">
        <v>0</v>
      </c>
      <c r="AK370" s="63">
        <f>ROUND(AJ370*$T370,2)</f>
        <v>0</v>
      </c>
      <c r="AL370" s="61">
        <v>0</v>
      </c>
      <c r="AM370" s="63">
        <f>ROUND(AL370*$T370,2)</f>
        <v>0</v>
      </c>
      <c r="AN370" s="61">
        <v>0</v>
      </c>
      <c r="AO370" s="63">
        <f>ROUND(AN370*$T370,2)</f>
        <v>0</v>
      </c>
      <c r="AP370" s="61">
        <v>0</v>
      </c>
      <c r="AQ370" s="63">
        <f>ROUND(AP370*$T370,2)</f>
        <v>0</v>
      </c>
      <c r="AR370" s="61">
        <v>0</v>
      </c>
      <c r="AS370" s="63">
        <f>ROUND(AR370*$T370,2)</f>
        <v>0</v>
      </c>
      <c r="AT370" s="61">
        <v>0</v>
      </c>
      <c r="AU370" s="63">
        <f>ROUND(AT370*$T370,2)</f>
        <v>0</v>
      </c>
      <c r="AV370" s="61">
        <v>0</v>
      </c>
      <c r="AW370" s="63">
        <f>ROUND(AV370*$T370,2)</f>
        <v>0</v>
      </c>
      <c r="AX370" s="61">
        <v>0</v>
      </c>
      <c r="AY370" s="63">
        <f>ROUND(AX370*$T370,2)</f>
        <v>0</v>
      </c>
      <c r="AZ370" s="61">
        <v>0</v>
      </c>
      <c r="BA370" s="63">
        <f>ROUND(AZ370*$T370,2)</f>
        <v>0</v>
      </c>
      <c r="BB370" s="61">
        <v>0</v>
      </c>
      <c r="BC370" s="63">
        <f>ROUND(BB370*$T370,2)</f>
        <v>0</v>
      </c>
      <c r="BD370" s="61">
        <v>0</v>
      </c>
      <c r="BE370" s="63">
        <f>ROUND(BD370*$T370,2)</f>
        <v>0</v>
      </c>
      <c r="BF370" s="61">
        <f>IFERROR(SUMIFS($V370:$BE370,$V$5:$BE$5,$BF$5),0)</f>
        <v>0</v>
      </c>
      <c r="BG370" s="63">
        <f>SUMIFS($V370:$BE370,$V$5:$BE$5,$W$5)</f>
        <v>0</v>
      </c>
      <c r="BH370" s="45"/>
      <c r="BI370" s="144"/>
    </row>
    <row r="371" spans="1:61" ht="19.5" customHeight="1" x14ac:dyDescent="0.45">
      <c r="A371" s="103">
        <v>5</v>
      </c>
      <c r="B371" s="104"/>
      <c r="C371" s="105" t="s">
        <v>1487</v>
      </c>
      <c r="D371" s="106"/>
      <c r="E371" s="107"/>
      <c r="F371" s="512"/>
      <c r="G371" s="108"/>
      <c r="H371" s="108"/>
      <c r="I371" s="108"/>
      <c r="J371" s="108"/>
      <c r="K371" s="108"/>
      <c r="L371" s="108"/>
      <c r="M371" s="108"/>
      <c r="N371" s="108"/>
      <c r="O371" s="109"/>
      <c r="P371" s="110"/>
      <c r="Q371" s="111" t="s">
        <v>1487</v>
      </c>
      <c r="R371" s="112"/>
      <c r="S371" s="113"/>
      <c r="T371" s="114"/>
      <c r="U371" s="115">
        <f>SUM(U372,U536,U540)</f>
        <v>2020143.3199999998</v>
      </c>
      <c r="V371" s="116"/>
      <c r="W371" s="115">
        <f>SUM(W372,W536,W540)</f>
        <v>0</v>
      </c>
      <c r="X371" s="116"/>
      <c r="Y371" s="115">
        <f>SUM(Y372,Y536,Y540)</f>
        <v>0</v>
      </c>
      <c r="Z371" s="116"/>
      <c r="AA371" s="115">
        <f>SUM(AA372,AA536,AA540)</f>
        <v>0</v>
      </c>
      <c r="AB371" s="116"/>
      <c r="AC371" s="115">
        <f>SUM(AC372,AC536,AC540)</f>
        <v>0</v>
      </c>
      <c r="AD371" s="116"/>
      <c r="AE371" s="115">
        <f>SUM(AE372,AE536,AE540)</f>
        <v>0</v>
      </c>
      <c r="AF371" s="116"/>
      <c r="AG371" s="115">
        <f>SUM(AG372,AG536,AG540)</f>
        <v>0</v>
      </c>
      <c r="AH371" s="116"/>
      <c r="AI371" s="115">
        <f>SUM(AI372,AI536,AI540)</f>
        <v>0</v>
      </c>
      <c r="AJ371" s="116"/>
      <c r="AK371" s="115">
        <f>SUM(AK372,AK536,AK540)</f>
        <v>0</v>
      </c>
      <c r="AL371" s="116"/>
      <c r="AM371" s="115">
        <f>SUM(AM372,AM536,AM540)</f>
        <v>0</v>
      </c>
      <c r="AN371" s="116"/>
      <c r="AO371" s="115">
        <f>SUM(AO372,AO536,AO540)</f>
        <v>0</v>
      </c>
      <c r="AP371" s="116"/>
      <c r="AQ371" s="115">
        <f>SUM(AQ372,AQ536,AQ540)</f>
        <v>0</v>
      </c>
      <c r="AR371" s="116"/>
      <c r="AS371" s="115">
        <f>SUM(AS372,AS536,AS540)</f>
        <v>0</v>
      </c>
      <c r="AT371" s="116"/>
      <c r="AU371" s="115">
        <f>SUM(AU372,AU536,AU540)</f>
        <v>0</v>
      </c>
      <c r="AV371" s="116"/>
      <c r="AW371" s="115">
        <f>SUM(AW372,AW536,AW540)</f>
        <v>0</v>
      </c>
      <c r="AX371" s="116"/>
      <c r="AY371" s="115">
        <f>SUM(AY372,AY536,AY540)</f>
        <v>0</v>
      </c>
      <c r="AZ371" s="116"/>
      <c r="BA371" s="115">
        <f>SUM(BA372,BA536,BA540)</f>
        <v>0</v>
      </c>
      <c r="BB371" s="116"/>
      <c r="BC371" s="115">
        <f>SUM(BC372,BC536,BC540)</f>
        <v>0</v>
      </c>
      <c r="BD371" s="116"/>
      <c r="BE371" s="115">
        <f>SUM(BE372,BE536,BE540)</f>
        <v>0</v>
      </c>
      <c r="BF371" s="116"/>
      <c r="BG371" s="115">
        <f>SUM(BG372,BG536,BG540)</f>
        <v>0</v>
      </c>
      <c r="BH371" s="102">
        <f>U371/$T$550</f>
        <v>4.1622996115249458E-2</v>
      </c>
    </row>
    <row r="372" spans="1:61" ht="19.5" customHeight="1" x14ac:dyDescent="0.45">
      <c r="A372" s="117">
        <v>5</v>
      </c>
      <c r="B372" s="118"/>
      <c r="C372" s="119"/>
      <c r="D372" s="120"/>
      <c r="E372" s="35" t="s">
        <v>1463</v>
      </c>
      <c r="F372" s="513"/>
      <c r="G372" s="514"/>
      <c r="H372" s="514"/>
      <c r="I372" s="514"/>
      <c r="J372" s="514"/>
      <c r="K372" s="514"/>
      <c r="L372" s="514"/>
      <c r="M372" s="514"/>
      <c r="N372" s="514"/>
      <c r="O372" s="121" t="s">
        <v>33</v>
      </c>
      <c r="P372" s="122"/>
      <c r="Q372" s="123" t="s">
        <v>21</v>
      </c>
      <c r="R372" s="124"/>
      <c r="S372" s="125"/>
      <c r="T372" s="126"/>
      <c r="U372" s="127">
        <f>SUM(U373,U375,U377,U396,U405,U483,U530,U532)</f>
        <v>1922259.21</v>
      </c>
      <c r="V372" s="125"/>
      <c r="W372" s="127">
        <f>SUM(W373,W375,W377,W396,W405,W483,W530,W532)</f>
        <v>0</v>
      </c>
      <c r="X372" s="125"/>
      <c r="Y372" s="127">
        <f>SUM(Y373,Y375,Y377,Y396,Y405,Y483,Y530,Y532)</f>
        <v>0</v>
      </c>
      <c r="Z372" s="125"/>
      <c r="AA372" s="127">
        <f>SUM(AA373,AA375,AA377,AA396,AA405,AA483,AA530,AA532)</f>
        <v>0</v>
      </c>
      <c r="AB372" s="125"/>
      <c r="AC372" s="127">
        <f>SUM(AC373,AC375,AC377,AC396,AC405,AC483,AC530,AC532)</f>
        <v>0</v>
      </c>
      <c r="AD372" s="125"/>
      <c r="AE372" s="127">
        <f>SUM(AE373,AE375,AE377,AE396,AE405,AE483,AE530,AE532)</f>
        <v>0</v>
      </c>
      <c r="AF372" s="125"/>
      <c r="AG372" s="127">
        <f>SUM(AG373,AG375,AG377,AG396,AG405,AG483,AG530,AG532)</f>
        <v>0</v>
      </c>
      <c r="AH372" s="125"/>
      <c r="AI372" s="127">
        <f>SUM(AI373,AI375,AI377,AI396,AI405,AI483,AI530,AI532)</f>
        <v>0</v>
      </c>
      <c r="AJ372" s="125"/>
      <c r="AK372" s="127">
        <f>SUM(AK373,AK375,AK377,AK396,AK405,AK483,AK530,AK532)</f>
        <v>0</v>
      </c>
      <c r="AL372" s="125"/>
      <c r="AM372" s="127">
        <f>SUM(AM373,AM375,AM377,AM396,AM405,AM483,AM530,AM532)</f>
        <v>0</v>
      </c>
      <c r="AN372" s="125"/>
      <c r="AO372" s="127">
        <f>SUM(AO373,AO375,AO377,AO396,AO405,AO483,AO530,AO532)</f>
        <v>0</v>
      </c>
      <c r="AP372" s="125"/>
      <c r="AQ372" s="127">
        <f>SUM(AQ373,AQ375,AQ377,AQ396,AQ405,AQ483,AQ530,AQ532)</f>
        <v>0</v>
      </c>
      <c r="AR372" s="125"/>
      <c r="AS372" s="127">
        <f>SUM(AS373,AS375,AS377,AS396,AS405,AS483,AS530,AS532)</f>
        <v>0</v>
      </c>
      <c r="AT372" s="125"/>
      <c r="AU372" s="127">
        <f>SUM(AU373,AU375,AU377,AU396,AU405,AU483,AU530,AU532)</f>
        <v>0</v>
      </c>
      <c r="AV372" s="125"/>
      <c r="AW372" s="127">
        <f>SUM(AW373,AW375,AW377,AW396,AW405,AW483,AW530,AW532)</f>
        <v>0</v>
      </c>
      <c r="AX372" s="125"/>
      <c r="AY372" s="127">
        <f>SUM(AY373,AY375,AY377,AY396,AY405,AY483,AY530,AY532)</f>
        <v>0</v>
      </c>
      <c r="AZ372" s="125"/>
      <c r="BA372" s="127">
        <f>SUM(BA373,BA375,BA377,BA396,BA405,BA483,BA530,BA532)</f>
        <v>0</v>
      </c>
      <c r="BB372" s="125"/>
      <c r="BC372" s="127">
        <f>SUM(BC373,BC375,BC377,BC396,BC405,BC483,BC530,BC532)</f>
        <v>0</v>
      </c>
      <c r="BD372" s="125"/>
      <c r="BE372" s="127">
        <f>SUM(BE373,BE375,BE377,BE396,BE405,BE483,BE530,BE532)</f>
        <v>0</v>
      </c>
      <c r="BF372" s="125"/>
      <c r="BG372" s="127">
        <f>SUM(BG373,BG375,BG377,BG396,BG405,BG483,BG530,BG532)</f>
        <v>0</v>
      </c>
      <c r="BH372" s="45"/>
    </row>
    <row r="373" spans="1:61" ht="19.5" customHeight="1" x14ac:dyDescent="0.45">
      <c r="A373" s="128">
        <v>5</v>
      </c>
      <c r="B373" s="129"/>
      <c r="C373" s="130"/>
      <c r="D373" s="131"/>
      <c r="E373" s="132" t="s">
        <v>106</v>
      </c>
      <c r="F373" s="515"/>
      <c r="G373" s="516"/>
      <c r="H373" s="516"/>
      <c r="I373" s="516"/>
      <c r="J373" s="516"/>
      <c r="K373" s="516"/>
      <c r="L373" s="516"/>
      <c r="M373" s="516"/>
      <c r="N373" s="516"/>
      <c r="O373" s="133" t="s">
        <v>107</v>
      </c>
      <c r="P373" s="134"/>
      <c r="Q373" s="135" t="s">
        <v>108</v>
      </c>
      <c r="R373" s="136"/>
      <c r="S373" s="137"/>
      <c r="T373" s="138"/>
      <c r="U373" s="139">
        <f>SUM(U374:U374)</f>
        <v>147.30000000000001</v>
      </c>
      <c r="V373" s="137"/>
      <c r="W373" s="139">
        <f>SUM(W374:W374)</f>
        <v>0</v>
      </c>
      <c r="X373" s="137"/>
      <c r="Y373" s="139">
        <f>SUM(Y374:Y374)</f>
        <v>0</v>
      </c>
      <c r="Z373" s="137"/>
      <c r="AA373" s="139">
        <f>SUM(AA374:AA374)</f>
        <v>0</v>
      </c>
      <c r="AB373" s="137"/>
      <c r="AC373" s="139">
        <f>SUM(AC374:AC374)</f>
        <v>0</v>
      </c>
      <c r="AD373" s="137"/>
      <c r="AE373" s="139">
        <f>SUM(AE374:AE374)</f>
        <v>0</v>
      </c>
      <c r="AF373" s="137"/>
      <c r="AG373" s="139">
        <f>SUM(AG374:AG374)</f>
        <v>0</v>
      </c>
      <c r="AH373" s="137"/>
      <c r="AI373" s="139">
        <f>SUM(AI374:AI374)</f>
        <v>0</v>
      </c>
      <c r="AJ373" s="137"/>
      <c r="AK373" s="139">
        <f>SUM(AK374:AK374)</f>
        <v>0</v>
      </c>
      <c r="AL373" s="137"/>
      <c r="AM373" s="139">
        <f>SUM(AM374:AM374)</f>
        <v>0</v>
      </c>
      <c r="AN373" s="137"/>
      <c r="AO373" s="139">
        <f>SUM(AO374:AO374)</f>
        <v>0</v>
      </c>
      <c r="AP373" s="137"/>
      <c r="AQ373" s="139">
        <f>SUM(AQ374:AQ374)</f>
        <v>0</v>
      </c>
      <c r="AR373" s="137"/>
      <c r="AS373" s="139">
        <f>SUM(AS374:AS374)</f>
        <v>0</v>
      </c>
      <c r="AT373" s="137"/>
      <c r="AU373" s="139">
        <f>SUM(AU374:AU374)</f>
        <v>0</v>
      </c>
      <c r="AV373" s="137"/>
      <c r="AW373" s="139">
        <f>SUM(AW374:AW374)</f>
        <v>0</v>
      </c>
      <c r="AX373" s="137"/>
      <c r="AY373" s="139">
        <f>SUM(AY374:AY374)</f>
        <v>0</v>
      </c>
      <c r="AZ373" s="137"/>
      <c r="BA373" s="139">
        <f>SUM(BA374:BA374)</f>
        <v>0</v>
      </c>
      <c r="BB373" s="137"/>
      <c r="BC373" s="139">
        <f>SUM(BC374:BC374)</f>
        <v>0</v>
      </c>
      <c r="BD373" s="137"/>
      <c r="BE373" s="139">
        <f>SUM(BE374:BE374)</f>
        <v>0</v>
      </c>
      <c r="BF373" s="137"/>
      <c r="BG373" s="139">
        <f>SUM(BG374:BG374)</f>
        <v>0</v>
      </c>
      <c r="BH373" s="45"/>
    </row>
    <row r="374" spans="1:61" ht="38.25" customHeight="1" x14ac:dyDescent="0.45">
      <c r="A374" s="140">
        <v>5</v>
      </c>
      <c r="B374" s="141" t="s">
        <v>850</v>
      </c>
      <c r="C374" s="142" t="s">
        <v>1488</v>
      </c>
      <c r="D374" s="143" t="str">
        <f>B374&amp;"_"&amp;E374</f>
        <v>5.1_1.8.1</v>
      </c>
      <c r="E374" s="56" t="s">
        <v>109</v>
      </c>
      <c r="F374" s="506" t="s">
        <v>110</v>
      </c>
      <c r="G374" s="507" t="s">
        <v>111</v>
      </c>
      <c r="H374" s="507" t="s">
        <v>39</v>
      </c>
      <c r="I374" s="507" t="s">
        <v>112</v>
      </c>
      <c r="J374" s="507" t="s">
        <v>39</v>
      </c>
      <c r="K374" s="507">
        <v>200</v>
      </c>
      <c r="L374" s="507" t="s">
        <v>113</v>
      </c>
      <c r="M374" s="507" t="s">
        <v>114</v>
      </c>
      <c r="N374" s="507" t="s">
        <v>115</v>
      </c>
      <c r="O374" s="57" t="s">
        <v>116</v>
      </c>
      <c r="P374" s="58" t="s">
        <v>21</v>
      </c>
      <c r="Q374" s="59" t="s">
        <v>117</v>
      </c>
      <c r="R374" s="60" t="s">
        <v>71</v>
      </c>
      <c r="S374" s="61">
        <v>15</v>
      </c>
      <c r="T374" s="62">
        <f>INDEX('BM MORRO DA CRUZ'!$P$6:$P$402,MATCH($O374,'BM MORRO DA CRUZ'!$K$6:$K$402,0))</f>
        <v>9.82</v>
      </c>
      <c r="U374" s="63">
        <f>ROUND(T374*$S374,2)</f>
        <v>147.30000000000001</v>
      </c>
      <c r="V374" s="61">
        <f>IFERROR(SUMIFS('01ª MC'!$W$1:$W$1840,'01ª MC'!$C$1:$C$1840,$D374),0)</f>
        <v>0</v>
      </c>
      <c r="W374" s="63">
        <f>ROUND(V374*$T374,2)</f>
        <v>0</v>
      </c>
      <c r="X374" s="61">
        <v>0</v>
      </c>
      <c r="Y374" s="63">
        <f>ROUND(X374*$T374,2)</f>
        <v>0</v>
      </c>
      <c r="Z374" s="61">
        <v>0</v>
      </c>
      <c r="AA374" s="63">
        <f>ROUND(Z374*$T374,2)</f>
        <v>0</v>
      </c>
      <c r="AB374" s="61">
        <v>0</v>
      </c>
      <c r="AC374" s="63">
        <f>ROUND(AB374*$T374,2)</f>
        <v>0</v>
      </c>
      <c r="AD374" s="61">
        <v>0</v>
      </c>
      <c r="AE374" s="63">
        <f>ROUND(AD374*$T374,2)</f>
        <v>0</v>
      </c>
      <c r="AF374" s="61">
        <v>0</v>
      </c>
      <c r="AG374" s="63">
        <f>ROUND(AF374*$T374,2)</f>
        <v>0</v>
      </c>
      <c r="AH374" s="61">
        <v>0</v>
      </c>
      <c r="AI374" s="63">
        <f>ROUND(AH374*$T374,2)</f>
        <v>0</v>
      </c>
      <c r="AJ374" s="61">
        <v>0</v>
      </c>
      <c r="AK374" s="63">
        <f>ROUND(AJ374*$T374,2)</f>
        <v>0</v>
      </c>
      <c r="AL374" s="61">
        <v>0</v>
      </c>
      <c r="AM374" s="63">
        <f>ROUND(AL374*$T374,2)</f>
        <v>0</v>
      </c>
      <c r="AN374" s="61">
        <v>0</v>
      </c>
      <c r="AO374" s="63">
        <f>ROUND(AN374*$T374,2)</f>
        <v>0</v>
      </c>
      <c r="AP374" s="61">
        <v>0</v>
      </c>
      <c r="AQ374" s="63">
        <f>ROUND(AP374*$T374,2)</f>
        <v>0</v>
      </c>
      <c r="AR374" s="61">
        <v>0</v>
      </c>
      <c r="AS374" s="63">
        <f>ROUND(AR374*$T374,2)</f>
        <v>0</v>
      </c>
      <c r="AT374" s="61">
        <v>0</v>
      </c>
      <c r="AU374" s="63">
        <f>ROUND(AT374*$T374,2)</f>
        <v>0</v>
      </c>
      <c r="AV374" s="61">
        <v>0</v>
      </c>
      <c r="AW374" s="63">
        <f>ROUND(AV374*$T374,2)</f>
        <v>0</v>
      </c>
      <c r="AX374" s="61">
        <v>0</v>
      </c>
      <c r="AY374" s="63">
        <f>ROUND(AX374*$T374,2)</f>
        <v>0</v>
      </c>
      <c r="AZ374" s="61">
        <v>0</v>
      </c>
      <c r="BA374" s="63">
        <f>ROUND(AZ374*$T374,2)</f>
        <v>0</v>
      </c>
      <c r="BB374" s="61">
        <v>0</v>
      </c>
      <c r="BC374" s="63">
        <f>ROUND(BB374*$T374,2)</f>
        <v>0</v>
      </c>
      <c r="BD374" s="61">
        <v>0</v>
      </c>
      <c r="BE374" s="63">
        <f>ROUND(BD374*$T374,2)</f>
        <v>0</v>
      </c>
      <c r="BF374" s="61">
        <f>IFERROR(SUMIFS($V374:$BE374,$V$5:$BE$5,$BF$5),0)</f>
        <v>0</v>
      </c>
      <c r="BG374" s="63">
        <f>SUMIFS($V374:$BE374,$V$5:$BE$5,$W$5)</f>
        <v>0</v>
      </c>
      <c r="BH374" s="45"/>
      <c r="BI374" s="144"/>
    </row>
    <row r="375" spans="1:61" ht="19.5" customHeight="1" x14ac:dyDescent="0.45">
      <c r="A375" s="128">
        <v>5</v>
      </c>
      <c r="B375" s="129"/>
      <c r="C375" s="130"/>
      <c r="D375" s="131"/>
      <c r="E375" s="132" t="s">
        <v>118</v>
      </c>
      <c r="F375" s="515"/>
      <c r="G375" s="516"/>
      <c r="H375" s="516"/>
      <c r="I375" s="516"/>
      <c r="J375" s="516"/>
      <c r="K375" s="516"/>
      <c r="L375" s="516"/>
      <c r="M375" s="516"/>
      <c r="N375" s="516"/>
      <c r="O375" s="133" t="s">
        <v>119</v>
      </c>
      <c r="P375" s="134"/>
      <c r="Q375" s="135" t="s">
        <v>120</v>
      </c>
      <c r="R375" s="136"/>
      <c r="S375" s="137"/>
      <c r="T375" s="138"/>
      <c r="U375" s="139">
        <f>SUM(U376:U376)</f>
        <v>53243.68</v>
      </c>
      <c r="V375" s="137"/>
      <c r="W375" s="139">
        <f>SUM(W376:W376)</f>
        <v>0</v>
      </c>
      <c r="X375" s="137"/>
      <c r="Y375" s="139">
        <f>SUM(Y376:Y376)</f>
        <v>0</v>
      </c>
      <c r="Z375" s="137"/>
      <c r="AA375" s="139">
        <f>SUM(AA376:AA376)</f>
        <v>0</v>
      </c>
      <c r="AB375" s="137"/>
      <c r="AC375" s="139">
        <f>SUM(AC376:AC376)</f>
        <v>0</v>
      </c>
      <c r="AD375" s="137"/>
      <c r="AE375" s="139">
        <f>SUM(AE376:AE376)</f>
        <v>0</v>
      </c>
      <c r="AF375" s="137"/>
      <c r="AG375" s="139">
        <f>SUM(AG376:AG376)</f>
        <v>0</v>
      </c>
      <c r="AH375" s="137"/>
      <c r="AI375" s="139">
        <f>SUM(AI376:AI376)</f>
        <v>0</v>
      </c>
      <c r="AJ375" s="137"/>
      <c r="AK375" s="139">
        <f>SUM(AK376:AK376)</f>
        <v>0</v>
      </c>
      <c r="AL375" s="137"/>
      <c r="AM375" s="139">
        <f>SUM(AM376:AM376)</f>
        <v>0</v>
      </c>
      <c r="AN375" s="137"/>
      <c r="AO375" s="139">
        <f>SUM(AO376:AO376)</f>
        <v>0</v>
      </c>
      <c r="AP375" s="137"/>
      <c r="AQ375" s="139">
        <f>SUM(AQ376:AQ376)</f>
        <v>0</v>
      </c>
      <c r="AR375" s="137"/>
      <c r="AS375" s="139">
        <f>SUM(AS376:AS376)</f>
        <v>0</v>
      </c>
      <c r="AT375" s="137"/>
      <c r="AU375" s="139">
        <f>SUM(AU376:AU376)</f>
        <v>0</v>
      </c>
      <c r="AV375" s="137"/>
      <c r="AW375" s="139">
        <f>SUM(AW376:AW376)</f>
        <v>0</v>
      </c>
      <c r="AX375" s="137"/>
      <c r="AY375" s="139">
        <f>SUM(AY376:AY376)</f>
        <v>0</v>
      </c>
      <c r="AZ375" s="137"/>
      <c r="BA375" s="139">
        <f>SUM(BA376:BA376)</f>
        <v>0</v>
      </c>
      <c r="BB375" s="137"/>
      <c r="BC375" s="139">
        <f>SUM(BC376:BC376)</f>
        <v>0</v>
      </c>
      <c r="BD375" s="137"/>
      <c r="BE375" s="139">
        <f>SUM(BE376:BE376)</f>
        <v>0</v>
      </c>
      <c r="BF375" s="137"/>
      <c r="BG375" s="139">
        <f>SUM(BG376:BG376)</f>
        <v>0</v>
      </c>
      <c r="BH375" s="45"/>
    </row>
    <row r="376" spans="1:61" ht="19.5" customHeight="1" x14ac:dyDescent="0.45">
      <c r="A376" s="140">
        <v>5</v>
      </c>
      <c r="B376" s="141" t="s">
        <v>850</v>
      </c>
      <c r="C376" s="142" t="s">
        <v>1488</v>
      </c>
      <c r="D376" s="143" t="str">
        <f>B376&amp;"_"&amp;E376</f>
        <v>5.1_1.9.1</v>
      </c>
      <c r="E376" s="56" t="s">
        <v>121</v>
      </c>
      <c r="F376" s="506" t="s">
        <v>122</v>
      </c>
      <c r="G376" s="507" t="s">
        <v>39</v>
      </c>
      <c r="H376" s="507" t="s">
        <v>39</v>
      </c>
      <c r="I376" s="507" t="s">
        <v>123</v>
      </c>
      <c r="J376" s="507" t="s">
        <v>39</v>
      </c>
      <c r="K376" s="507" t="s">
        <v>124</v>
      </c>
      <c r="L376" s="507" t="s">
        <v>125</v>
      </c>
      <c r="M376" s="507" t="s">
        <v>114</v>
      </c>
      <c r="N376" s="507" t="s">
        <v>126</v>
      </c>
      <c r="O376" s="57" t="s">
        <v>127</v>
      </c>
      <c r="P376" s="58" t="s">
        <v>21</v>
      </c>
      <c r="Q376" s="59" t="s">
        <v>128</v>
      </c>
      <c r="R376" s="60" t="s">
        <v>71</v>
      </c>
      <c r="S376" s="61">
        <v>28</v>
      </c>
      <c r="T376" s="62">
        <f>INDEX('BM MORRO DA CRUZ'!$P$6:$P$402,MATCH($O376,'BM MORRO DA CRUZ'!$K$6:$K$402,0))</f>
        <v>1901.56</v>
      </c>
      <c r="U376" s="63">
        <f>ROUND(T376*$S376,2)</f>
        <v>53243.68</v>
      </c>
      <c r="V376" s="61">
        <f>IFERROR(SUMIFS('01ª MC'!$W$1:$W$1840,'01ª MC'!$C$1:$C$1840,$D376),0)</f>
        <v>0</v>
      </c>
      <c r="W376" s="63">
        <f>ROUND(V376*$T376,2)</f>
        <v>0</v>
      </c>
      <c r="X376" s="61">
        <v>0</v>
      </c>
      <c r="Y376" s="63">
        <f>ROUND(X376*$T376,2)</f>
        <v>0</v>
      </c>
      <c r="Z376" s="61">
        <v>0</v>
      </c>
      <c r="AA376" s="63">
        <f>ROUND(Z376*$T376,2)</f>
        <v>0</v>
      </c>
      <c r="AB376" s="61">
        <v>0</v>
      </c>
      <c r="AC376" s="63">
        <f>ROUND(AB376*$T376,2)</f>
        <v>0</v>
      </c>
      <c r="AD376" s="61">
        <v>0</v>
      </c>
      <c r="AE376" s="63">
        <f>ROUND(AD376*$T376,2)</f>
        <v>0</v>
      </c>
      <c r="AF376" s="61">
        <v>0</v>
      </c>
      <c r="AG376" s="63">
        <f>ROUND(AF376*$T376,2)</f>
        <v>0</v>
      </c>
      <c r="AH376" s="61">
        <v>0</v>
      </c>
      <c r="AI376" s="63">
        <f>ROUND(AH376*$T376,2)</f>
        <v>0</v>
      </c>
      <c r="AJ376" s="61">
        <v>0</v>
      </c>
      <c r="AK376" s="63">
        <f>ROUND(AJ376*$T376,2)</f>
        <v>0</v>
      </c>
      <c r="AL376" s="61">
        <v>0</v>
      </c>
      <c r="AM376" s="63">
        <f>ROUND(AL376*$T376,2)</f>
        <v>0</v>
      </c>
      <c r="AN376" s="61">
        <v>0</v>
      </c>
      <c r="AO376" s="63">
        <f>ROUND(AN376*$T376,2)</f>
        <v>0</v>
      </c>
      <c r="AP376" s="61">
        <v>0</v>
      </c>
      <c r="AQ376" s="63">
        <f>ROUND(AP376*$T376,2)</f>
        <v>0</v>
      </c>
      <c r="AR376" s="61">
        <v>0</v>
      </c>
      <c r="AS376" s="63">
        <f>ROUND(AR376*$T376,2)</f>
        <v>0</v>
      </c>
      <c r="AT376" s="61">
        <v>0</v>
      </c>
      <c r="AU376" s="63">
        <f>ROUND(AT376*$T376,2)</f>
        <v>0</v>
      </c>
      <c r="AV376" s="61">
        <v>0</v>
      </c>
      <c r="AW376" s="63">
        <f>ROUND(AV376*$T376,2)</f>
        <v>0</v>
      </c>
      <c r="AX376" s="61">
        <v>0</v>
      </c>
      <c r="AY376" s="63">
        <f>ROUND(AX376*$T376,2)</f>
        <v>0</v>
      </c>
      <c r="AZ376" s="61">
        <v>0</v>
      </c>
      <c r="BA376" s="63">
        <f>ROUND(AZ376*$T376,2)</f>
        <v>0</v>
      </c>
      <c r="BB376" s="61">
        <v>0</v>
      </c>
      <c r="BC376" s="63">
        <f>ROUND(BB376*$T376,2)</f>
        <v>0</v>
      </c>
      <c r="BD376" s="61">
        <v>0</v>
      </c>
      <c r="BE376" s="63">
        <f>ROUND(BD376*$T376,2)</f>
        <v>0</v>
      </c>
      <c r="BF376" s="61">
        <f>IFERROR(SUMIFS($V376:$BE376,$V$5:$BE$5,$BF$5),0)</f>
        <v>0</v>
      </c>
      <c r="BG376" s="63">
        <f>SUMIFS($V376:$BE376,$V$5:$BE$5,$W$5)</f>
        <v>0</v>
      </c>
      <c r="BH376" s="45"/>
      <c r="BI376" s="144"/>
    </row>
    <row r="377" spans="1:61" ht="19.5" customHeight="1" x14ac:dyDescent="0.45">
      <c r="A377" s="128">
        <v>5</v>
      </c>
      <c r="B377" s="129"/>
      <c r="C377" s="130"/>
      <c r="D377" s="131"/>
      <c r="E377" s="132" t="s">
        <v>129</v>
      </c>
      <c r="F377" s="515"/>
      <c r="G377" s="516"/>
      <c r="H377" s="516"/>
      <c r="I377" s="516"/>
      <c r="J377" s="516"/>
      <c r="K377" s="516"/>
      <c r="L377" s="516"/>
      <c r="M377" s="516"/>
      <c r="N377" s="516"/>
      <c r="O377" s="133" t="s">
        <v>130</v>
      </c>
      <c r="P377" s="134"/>
      <c r="Q377" s="135" t="s">
        <v>131</v>
      </c>
      <c r="R377" s="136"/>
      <c r="S377" s="137"/>
      <c r="T377" s="138"/>
      <c r="U377" s="139">
        <f>SUM(U378:U395)</f>
        <v>446602.52000000008</v>
      </c>
      <c r="V377" s="137"/>
      <c r="W377" s="139">
        <f>SUM(W378:W395)</f>
        <v>0</v>
      </c>
      <c r="X377" s="137"/>
      <c r="Y377" s="139">
        <f>SUM(Y378:Y395)</f>
        <v>0</v>
      </c>
      <c r="Z377" s="137"/>
      <c r="AA377" s="139">
        <f>SUM(AA378:AA395)</f>
        <v>0</v>
      </c>
      <c r="AB377" s="137"/>
      <c r="AC377" s="139">
        <f>SUM(AC378:AC395)</f>
        <v>0</v>
      </c>
      <c r="AD377" s="137"/>
      <c r="AE377" s="139">
        <f>SUM(AE378:AE395)</f>
        <v>0</v>
      </c>
      <c r="AF377" s="137"/>
      <c r="AG377" s="139">
        <f>SUM(AG378:AG395)</f>
        <v>0</v>
      </c>
      <c r="AH377" s="137"/>
      <c r="AI377" s="139">
        <f>SUM(AI378:AI395)</f>
        <v>0</v>
      </c>
      <c r="AJ377" s="137"/>
      <c r="AK377" s="139">
        <f>SUM(AK378:AK395)</f>
        <v>0</v>
      </c>
      <c r="AL377" s="137"/>
      <c r="AM377" s="139">
        <f>SUM(AM378:AM395)</f>
        <v>0</v>
      </c>
      <c r="AN377" s="137"/>
      <c r="AO377" s="139">
        <f>SUM(AO378:AO395)</f>
        <v>0</v>
      </c>
      <c r="AP377" s="137"/>
      <c r="AQ377" s="139">
        <f>SUM(AQ378:AQ395)</f>
        <v>0</v>
      </c>
      <c r="AR377" s="137"/>
      <c r="AS377" s="139">
        <f>SUM(AS378:AS395)</f>
        <v>0</v>
      </c>
      <c r="AT377" s="137"/>
      <c r="AU377" s="139">
        <f>SUM(AU378:AU395)</f>
        <v>0</v>
      </c>
      <c r="AV377" s="137"/>
      <c r="AW377" s="139">
        <f>SUM(AW378:AW395)</f>
        <v>0</v>
      </c>
      <c r="AX377" s="137"/>
      <c r="AY377" s="139">
        <f>SUM(AY378:AY395)</f>
        <v>0</v>
      </c>
      <c r="AZ377" s="137"/>
      <c r="BA377" s="139">
        <f>SUM(BA378:BA395)</f>
        <v>0</v>
      </c>
      <c r="BB377" s="137"/>
      <c r="BC377" s="139">
        <f>SUM(BC378:BC395)</f>
        <v>0</v>
      </c>
      <c r="BD377" s="137"/>
      <c r="BE377" s="139">
        <f>SUM(BE378:BE395)</f>
        <v>0</v>
      </c>
      <c r="BF377" s="137"/>
      <c r="BG377" s="139">
        <f>SUM(BG378:BG395)</f>
        <v>0</v>
      </c>
      <c r="BH377" s="45"/>
    </row>
    <row r="378" spans="1:61" ht="19.5" customHeight="1" x14ac:dyDescent="0.45">
      <c r="A378" s="140">
        <v>5</v>
      </c>
      <c r="B378" s="141" t="s">
        <v>850</v>
      </c>
      <c r="C378" s="142" t="s">
        <v>1488</v>
      </c>
      <c r="D378" s="143" t="str">
        <f t="shared" ref="D378:D395" si="242">B378&amp;"_"&amp;E378</f>
        <v>5.1_1.10.1</v>
      </c>
      <c r="E378" s="56" t="s">
        <v>132</v>
      </c>
      <c r="F378" s="506" t="s">
        <v>133</v>
      </c>
      <c r="G378" s="507" t="s">
        <v>39</v>
      </c>
      <c r="H378" s="507" t="s">
        <v>39</v>
      </c>
      <c r="I378" s="507" t="s">
        <v>134</v>
      </c>
      <c r="J378" s="507" t="s">
        <v>39</v>
      </c>
      <c r="K378" s="507">
        <v>100</v>
      </c>
      <c r="L378" s="507" t="s">
        <v>125</v>
      </c>
      <c r="M378" s="507" t="s">
        <v>114</v>
      </c>
      <c r="N378" s="507" t="s">
        <v>126</v>
      </c>
      <c r="O378" s="57" t="s">
        <v>135</v>
      </c>
      <c r="P378" s="58" t="s">
        <v>21</v>
      </c>
      <c r="Q378" s="59" t="s">
        <v>136</v>
      </c>
      <c r="R378" s="60" t="s">
        <v>71</v>
      </c>
      <c r="S378" s="61">
        <v>6</v>
      </c>
      <c r="T378" s="62">
        <f>INDEX('BM MORRO DA CRUZ'!$P$6:$P$402,MATCH($O378,'BM MORRO DA CRUZ'!$K$6:$K$402,0))</f>
        <v>189.06</v>
      </c>
      <c r="U378" s="63">
        <f t="shared" ref="U378:U395" si="243">ROUND(T378*$S378,2)</f>
        <v>1134.3599999999999</v>
      </c>
      <c r="V378" s="61">
        <f>IFERROR(SUMIFS('01ª MC'!$W$1:$W$1840,'01ª MC'!$C$1:$C$1840,$D378),0)</f>
        <v>0</v>
      </c>
      <c r="W378" s="63">
        <f t="shared" ref="W378:W395" si="244">ROUND(V378*$T378,2)</f>
        <v>0</v>
      </c>
      <c r="X378" s="61">
        <v>0</v>
      </c>
      <c r="Y378" s="63">
        <f t="shared" ref="Y378:Y395" si="245">ROUND(X378*$T378,2)</f>
        <v>0</v>
      </c>
      <c r="Z378" s="61">
        <v>0</v>
      </c>
      <c r="AA378" s="63">
        <f t="shared" ref="AA378:AA395" si="246">ROUND(Z378*$T378,2)</f>
        <v>0</v>
      </c>
      <c r="AB378" s="61">
        <v>0</v>
      </c>
      <c r="AC378" s="63">
        <f t="shared" ref="AC378:AC395" si="247">ROUND(AB378*$T378,2)</f>
        <v>0</v>
      </c>
      <c r="AD378" s="61">
        <v>0</v>
      </c>
      <c r="AE378" s="63">
        <f t="shared" ref="AE378:AE395" si="248">ROUND(AD378*$T378,2)</f>
        <v>0</v>
      </c>
      <c r="AF378" s="61">
        <v>0</v>
      </c>
      <c r="AG378" s="63">
        <f t="shared" ref="AG378:AG395" si="249">ROUND(AF378*$T378,2)</f>
        <v>0</v>
      </c>
      <c r="AH378" s="61">
        <v>0</v>
      </c>
      <c r="AI378" s="63">
        <f t="shared" ref="AI378:AI395" si="250">ROUND(AH378*$T378,2)</f>
        <v>0</v>
      </c>
      <c r="AJ378" s="61">
        <v>0</v>
      </c>
      <c r="AK378" s="63">
        <f t="shared" ref="AK378:AK395" si="251">ROUND(AJ378*$T378,2)</f>
        <v>0</v>
      </c>
      <c r="AL378" s="61">
        <v>0</v>
      </c>
      <c r="AM378" s="63">
        <f t="shared" ref="AM378:AM395" si="252">ROUND(AL378*$T378,2)</f>
        <v>0</v>
      </c>
      <c r="AN378" s="61">
        <v>0</v>
      </c>
      <c r="AO378" s="63">
        <f t="shared" ref="AO378:AO395" si="253">ROUND(AN378*$T378,2)</f>
        <v>0</v>
      </c>
      <c r="AP378" s="61">
        <v>0</v>
      </c>
      <c r="AQ378" s="63">
        <f t="shared" ref="AQ378:AQ395" si="254">ROUND(AP378*$T378,2)</f>
        <v>0</v>
      </c>
      <c r="AR378" s="61">
        <v>0</v>
      </c>
      <c r="AS378" s="63">
        <f t="shared" ref="AS378:AS395" si="255">ROUND(AR378*$T378,2)</f>
        <v>0</v>
      </c>
      <c r="AT378" s="61">
        <v>0</v>
      </c>
      <c r="AU378" s="63">
        <f t="shared" ref="AU378:AU395" si="256">ROUND(AT378*$T378,2)</f>
        <v>0</v>
      </c>
      <c r="AV378" s="61">
        <v>0</v>
      </c>
      <c r="AW378" s="63">
        <f t="shared" ref="AW378:AW395" si="257">ROUND(AV378*$T378,2)</f>
        <v>0</v>
      </c>
      <c r="AX378" s="61">
        <v>0</v>
      </c>
      <c r="AY378" s="63">
        <f t="shared" ref="AY378:AY395" si="258">ROUND(AX378*$T378,2)</f>
        <v>0</v>
      </c>
      <c r="AZ378" s="61">
        <v>0</v>
      </c>
      <c r="BA378" s="63">
        <f t="shared" ref="BA378:BA395" si="259">ROUND(AZ378*$T378,2)</f>
        <v>0</v>
      </c>
      <c r="BB378" s="61">
        <v>0</v>
      </c>
      <c r="BC378" s="63">
        <f t="shared" ref="BC378:BC395" si="260">ROUND(BB378*$T378,2)</f>
        <v>0</v>
      </c>
      <c r="BD378" s="61">
        <v>0</v>
      </c>
      <c r="BE378" s="63">
        <f t="shared" ref="BE378:BE395" si="261">ROUND(BD378*$T378,2)</f>
        <v>0</v>
      </c>
      <c r="BF378" s="61">
        <f t="shared" ref="BF378:BF395" si="262">IFERROR(SUMIFS($V378:$BE378,$V$5:$BE$5,$BF$5),0)</f>
        <v>0</v>
      </c>
      <c r="BG378" s="63">
        <f t="shared" ref="BG378:BG395" si="263">SUMIFS($V378:$BE378,$V$5:$BE$5,$W$5)</f>
        <v>0</v>
      </c>
      <c r="BH378" s="45"/>
      <c r="BI378" s="144"/>
    </row>
    <row r="379" spans="1:61" ht="38.25" customHeight="1" x14ac:dyDescent="0.45">
      <c r="A379" s="140">
        <v>5</v>
      </c>
      <c r="B379" s="141" t="s">
        <v>850</v>
      </c>
      <c r="C379" s="142" t="s">
        <v>1488</v>
      </c>
      <c r="D379" s="143" t="str">
        <f t="shared" si="242"/>
        <v>5.1_1.10.2</v>
      </c>
      <c r="E379" s="56" t="s">
        <v>137</v>
      </c>
      <c r="F379" s="506" t="s">
        <v>138</v>
      </c>
      <c r="G379" s="507" t="s">
        <v>111</v>
      </c>
      <c r="H379" s="507" t="s">
        <v>39</v>
      </c>
      <c r="I379" s="507" t="s">
        <v>139</v>
      </c>
      <c r="J379" s="507" t="s">
        <v>39</v>
      </c>
      <c r="K379" s="507">
        <v>200</v>
      </c>
      <c r="L379" s="507" t="s">
        <v>125</v>
      </c>
      <c r="M379" s="507" t="s">
        <v>114</v>
      </c>
      <c r="N379" s="507" t="s">
        <v>140</v>
      </c>
      <c r="O379" s="57" t="s">
        <v>141</v>
      </c>
      <c r="P379" s="58" t="s">
        <v>21</v>
      </c>
      <c r="Q379" s="59" t="s">
        <v>142</v>
      </c>
      <c r="R379" s="60" t="s">
        <v>71</v>
      </c>
      <c r="S379" s="61">
        <v>4</v>
      </c>
      <c r="T379" s="62">
        <f>INDEX('BM MORRO DA CRUZ'!$P$6:$P$402,MATCH($O379,'BM MORRO DA CRUZ'!$K$6:$K$402,0))</f>
        <v>17589.88</v>
      </c>
      <c r="U379" s="63">
        <f t="shared" si="243"/>
        <v>70359.520000000004</v>
      </c>
      <c r="V379" s="61">
        <f>IFERROR(SUMIFS('01ª MC'!$W$1:$W$1840,'01ª MC'!$C$1:$C$1840,$D379),0)</f>
        <v>0</v>
      </c>
      <c r="W379" s="63">
        <f t="shared" si="244"/>
        <v>0</v>
      </c>
      <c r="X379" s="61">
        <v>0</v>
      </c>
      <c r="Y379" s="63">
        <f t="shared" si="245"/>
        <v>0</v>
      </c>
      <c r="Z379" s="61">
        <v>0</v>
      </c>
      <c r="AA379" s="63">
        <f t="shared" si="246"/>
        <v>0</v>
      </c>
      <c r="AB379" s="61">
        <v>0</v>
      </c>
      <c r="AC379" s="63">
        <f t="shared" si="247"/>
        <v>0</v>
      </c>
      <c r="AD379" s="61">
        <v>0</v>
      </c>
      <c r="AE379" s="63">
        <f t="shared" si="248"/>
        <v>0</v>
      </c>
      <c r="AF379" s="61">
        <v>0</v>
      </c>
      <c r="AG379" s="63">
        <f t="shared" si="249"/>
        <v>0</v>
      </c>
      <c r="AH379" s="61">
        <v>0</v>
      </c>
      <c r="AI379" s="63">
        <f t="shared" si="250"/>
        <v>0</v>
      </c>
      <c r="AJ379" s="61">
        <v>0</v>
      </c>
      <c r="AK379" s="63">
        <f t="shared" si="251"/>
        <v>0</v>
      </c>
      <c r="AL379" s="61">
        <v>0</v>
      </c>
      <c r="AM379" s="63">
        <f t="shared" si="252"/>
        <v>0</v>
      </c>
      <c r="AN379" s="61">
        <v>0</v>
      </c>
      <c r="AO379" s="63">
        <f t="shared" si="253"/>
        <v>0</v>
      </c>
      <c r="AP379" s="61">
        <v>0</v>
      </c>
      <c r="AQ379" s="63">
        <f t="shared" si="254"/>
        <v>0</v>
      </c>
      <c r="AR379" s="61">
        <v>0</v>
      </c>
      <c r="AS379" s="63">
        <f t="shared" si="255"/>
        <v>0</v>
      </c>
      <c r="AT379" s="61">
        <v>0</v>
      </c>
      <c r="AU379" s="63">
        <f t="shared" si="256"/>
        <v>0</v>
      </c>
      <c r="AV379" s="61">
        <v>0</v>
      </c>
      <c r="AW379" s="63">
        <f t="shared" si="257"/>
        <v>0</v>
      </c>
      <c r="AX379" s="61">
        <v>0</v>
      </c>
      <c r="AY379" s="63">
        <f t="shared" si="258"/>
        <v>0</v>
      </c>
      <c r="AZ379" s="61">
        <v>0</v>
      </c>
      <c r="BA379" s="63">
        <f t="shared" si="259"/>
        <v>0</v>
      </c>
      <c r="BB379" s="61">
        <v>0</v>
      </c>
      <c r="BC379" s="63">
        <f t="shared" si="260"/>
        <v>0</v>
      </c>
      <c r="BD379" s="61">
        <v>0</v>
      </c>
      <c r="BE379" s="63">
        <f t="shared" si="261"/>
        <v>0</v>
      </c>
      <c r="BF379" s="61">
        <f t="shared" si="262"/>
        <v>0</v>
      </c>
      <c r="BG379" s="63">
        <f t="shared" si="263"/>
        <v>0</v>
      </c>
      <c r="BH379" s="45"/>
      <c r="BI379" s="144"/>
    </row>
    <row r="380" spans="1:61" ht="38.25" customHeight="1" x14ac:dyDescent="0.45">
      <c r="A380" s="140">
        <v>5</v>
      </c>
      <c r="B380" s="141" t="s">
        <v>850</v>
      </c>
      <c r="C380" s="142" t="s">
        <v>1488</v>
      </c>
      <c r="D380" s="143" t="str">
        <f t="shared" si="242"/>
        <v>5.1_1.10.3</v>
      </c>
      <c r="E380" s="56" t="s">
        <v>143</v>
      </c>
      <c r="F380" s="506" t="s">
        <v>138</v>
      </c>
      <c r="G380" s="507" t="s">
        <v>111</v>
      </c>
      <c r="H380" s="507" t="s">
        <v>39</v>
      </c>
      <c r="I380" s="507" t="s">
        <v>139</v>
      </c>
      <c r="J380" s="507" t="s">
        <v>39</v>
      </c>
      <c r="K380" s="507">
        <v>350</v>
      </c>
      <c r="L380" s="507" t="s">
        <v>125</v>
      </c>
      <c r="M380" s="507" t="s">
        <v>114</v>
      </c>
      <c r="N380" s="507" t="s">
        <v>140</v>
      </c>
      <c r="O380" s="57" t="s">
        <v>144</v>
      </c>
      <c r="P380" s="58" t="s">
        <v>21</v>
      </c>
      <c r="Q380" s="59" t="s">
        <v>145</v>
      </c>
      <c r="R380" s="60" t="s">
        <v>71</v>
      </c>
      <c r="S380" s="61">
        <v>2</v>
      </c>
      <c r="T380" s="62">
        <f>INDEX('BM MORRO DA CRUZ'!$P$6:$P$402,MATCH($O380,'BM MORRO DA CRUZ'!$K$6:$K$402,0))</f>
        <v>23595.41</v>
      </c>
      <c r="U380" s="63">
        <f t="shared" si="243"/>
        <v>47190.82</v>
      </c>
      <c r="V380" s="61">
        <f>IFERROR(SUMIFS('01ª MC'!$W$1:$W$1840,'01ª MC'!$C$1:$C$1840,$D380),0)</f>
        <v>0</v>
      </c>
      <c r="W380" s="63">
        <f t="shared" si="244"/>
        <v>0</v>
      </c>
      <c r="X380" s="61">
        <v>0</v>
      </c>
      <c r="Y380" s="63">
        <f t="shared" si="245"/>
        <v>0</v>
      </c>
      <c r="Z380" s="61">
        <v>0</v>
      </c>
      <c r="AA380" s="63">
        <f t="shared" si="246"/>
        <v>0</v>
      </c>
      <c r="AB380" s="61">
        <v>0</v>
      </c>
      <c r="AC380" s="63">
        <f t="shared" si="247"/>
        <v>0</v>
      </c>
      <c r="AD380" s="61">
        <v>0</v>
      </c>
      <c r="AE380" s="63">
        <f t="shared" si="248"/>
        <v>0</v>
      </c>
      <c r="AF380" s="61">
        <v>0</v>
      </c>
      <c r="AG380" s="63">
        <f t="shared" si="249"/>
        <v>0</v>
      </c>
      <c r="AH380" s="61">
        <v>0</v>
      </c>
      <c r="AI380" s="63">
        <f t="shared" si="250"/>
        <v>0</v>
      </c>
      <c r="AJ380" s="61">
        <v>0</v>
      </c>
      <c r="AK380" s="63">
        <f t="shared" si="251"/>
        <v>0</v>
      </c>
      <c r="AL380" s="61">
        <v>0</v>
      </c>
      <c r="AM380" s="63">
        <f t="shared" si="252"/>
        <v>0</v>
      </c>
      <c r="AN380" s="61">
        <v>0</v>
      </c>
      <c r="AO380" s="63">
        <f t="shared" si="253"/>
        <v>0</v>
      </c>
      <c r="AP380" s="61">
        <v>0</v>
      </c>
      <c r="AQ380" s="63">
        <f t="shared" si="254"/>
        <v>0</v>
      </c>
      <c r="AR380" s="61">
        <v>0</v>
      </c>
      <c r="AS380" s="63">
        <f t="shared" si="255"/>
        <v>0</v>
      </c>
      <c r="AT380" s="61">
        <v>0</v>
      </c>
      <c r="AU380" s="63">
        <f t="shared" si="256"/>
        <v>0</v>
      </c>
      <c r="AV380" s="61">
        <v>0</v>
      </c>
      <c r="AW380" s="63">
        <f t="shared" si="257"/>
        <v>0</v>
      </c>
      <c r="AX380" s="61">
        <v>0</v>
      </c>
      <c r="AY380" s="63">
        <f t="shared" si="258"/>
        <v>0</v>
      </c>
      <c r="AZ380" s="61">
        <v>0</v>
      </c>
      <c r="BA380" s="63">
        <f t="shared" si="259"/>
        <v>0</v>
      </c>
      <c r="BB380" s="61">
        <v>0</v>
      </c>
      <c r="BC380" s="63">
        <f t="shared" si="260"/>
        <v>0</v>
      </c>
      <c r="BD380" s="61">
        <v>0</v>
      </c>
      <c r="BE380" s="63">
        <f t="shared" si="261"/>
        <v>0</v>
      </c>
      <c r="BF380" s="61">
        <f t="shared" si="262"/>
        <v>0</v>
      </c>
      <c r="BG380" s="63">
        <f t="shared" si="263"/>
        <v>0</v>
      </c>
      <c r="BH380" s="45"/>
      <c r="BI380" s="144"/>
    </row>
    <row r="381" spans="1:61" ht="38.25" customHeight="1" x14ac:dyDescent="0.45">
      <c r="A381" s="140">
        <v>5</v>
      </c>
      <c r="B381" s="141" t="s">
        <v>850</v>
      </c>
      <c r="C381" s="142" t="s">
        <v>1488</v>
      </c>
      <c r="D381" s="143" t="str">
        <f t="shared" si="242"/>
        <v>5.1_1.10.4</v>
      </c>
      <c r="E381" s="56" t="s">
        <v>146</v>
      </c>
      <c r="F381" s="506" t="s">
        <v>138</v>
      </c>
      <c r="G381" s="507" t="s">
        <v>147</v>
      </c>
      <c r="H381" s="507" t="s">
        <v>39</v>
      </c>
      <c r="I381" s="507" t="s">
        <v>139</v>
      </c>
      <c r="J381" s="507" t="s">
        <v>39</v>
      </c>
      <c r="K381" s="507">
        <v>100</v>
      </c>
      <c r="L381" s="507" t="s">
        <v>125</v>
      </c>
      <c r="M381" s="507" t="s">
        <v>114</v>
      </c>
      <c r="N381" s="507" t="s">
        <v>140</v>
      </c>
      <c r="O381" s="57" t="s">
        <v>148</v>
      </c>
      <c r="P381" s="58" t="s">
        <v>21</v>
      </c>
      <c r="Q381" s="59" t="s">
        <v>149</v>
      </c>
      <c r="R381" s="60" t="s">
        <v>71</v>
      </c>
      <c r="S381" s="61">
        <v>2</v>
      </c>
      <c r="T381" s="62">
        <f>INDEX('BM MORRO DA CRUZ'!$P$6:$P$402,MATCH($O381,'BM MORRO DA CRUZ'!$K$6:$K$402,0))</f>
        <v>15871.73</v>
      </c>
      <c r="U381" s="63">
        <f t="shared" si="243"/>
        <v>31743.46</v>
      </c>
      <c r="V381" s="61">
        <f>IFERROR(SUMIFS('01ª MC'!$W$1:$W$1840,'01ª MC'!$C$1:$C$1840,$D381),0)</f>
        <v>0</v>
      </c>
      <c r="W381" s="63">
        <f t="shared" si="244"/>
        <v>0</v>
      </c>
      <c r="X381" s="61">
        <v>0</v>
      </c>
      <c r="Y381" s="63">
        <f t="shared" si="245"/>
        <v>0</v>
      </c>
      <c r="Z381" s="61">
        <v>0</v>
      </c>
      <c r="AA381" s="63">
        <f t="shared" si="246"/>
        <v>0</v>
      </c>
      <c r="AB381" s="61">
        <v>0</v>
      </c>
      <c r="AC381" s="63">
        <f t="shared" si="247"/>
        <v>0</v>
      </c>
      <c r="AD381" s="61">
        <v>0</v>
      </c>
      <c r="AE381" s="63">
        <f t="shared" si="248"/>
        <v>0</v>
      </c>
      <c r="AF381" s="61">
        <v>0</v>
      </c>
      <c r="AG381" s="63">
        <f t="shared" si="249"/>
        <v>0</v>
      </c>
      <c r="AH381" s="61">
        <v>0</v>
      </c>
      <c r="AI381" s="63">
        <f t="shared" si="250"/>
        <v>0</v>
      </c>
      <c r="AJ381" s="61">
        <v>0</v>
      </c>
      <c r="AK381" s="63">
        <f t="shared" si="251"/>
        <v>0</v>
      </c>
      <c r="AL381" s="61">
        <v>0</v>
      </c>
      <c r="AM381" s="63">
        <f t="shared" si="252"/>
        <v>0</v>
      </c>
      <c r="AN381" s="61">
        <v>0</v>
      </c>
      <c r="AO381" s="63">
        <f t="shared" si="253"/>
        <v>0</v>
      </c>
      <c r="AP381" s="61">
        <v>0</v>
      </c>
      <c r="AQ381" s="63">
        <f t="shared" si="254"/>
        <v>0</v>
      </c>
      <c r="AR381" s="61">
        <v>0</v>
      </c>
      <c r="AS381" s="63">
        <f t="shared" si="255"/>
        <v>0</v>
      </c>
      <c r="AT381" s="61">
        <v>0</v>
      </c>
      <c r="AU381" s="63">
        <f t="shared" si="256"/>
        <v>0</v>
      </c>
      <c r="AV381" s="61">
        <v>0</v>
      </c>
      <c r="AW381" s="63">
        <f t="shared" si="257"/>
        <v>0</v>
      </c>
      <c r="AX381" s="61">
        <v>0</v>
      </c>
      <c r="AY381" s="63">
        <f t="shared" si="258"/>
        <v>0</v>
      </c>
      <c r="AZ381" s="61">
        <v>0</v>
      </c>
      <c r="BA381" s="63">
        <f t="shared" si="259"/>
        <v>0</v>
      </c>
      <c r="BB381" s="61">
        <v>0</v>
      </c>
      <c r="BC381" s="63">
        <f t="shared" si="260"/>
        <v>0</v>
      </c>
      <c r="BD381" s="61">
        <v>0</v>
      </c>
      <c r="BE381" s="63">
        <f t="shared" si="261"/>
        <v>0</v>
      </c>
      <c r="BF381" s="61">
        <f t="shared" si="262"/>
        <v>0</v>
      </c>
      <c r="BG381" s="63">
        <f t="shared" si="263"/>
        <v>0</v>
      </c>
      <c r="BH381" s="45"/>
      <c r="BI381" s="144"/>
    </row>
    <row r="382" spans="1:61" ht="38.25" customHeight="1" x14ac:dyDescent="0.45">
      <c r="A382" s="140">
        <v>5</v>
      </c>
      <c r="B382" s="141" t="s">
        <v>850</v>
      </c>
      <c r="C382" s="142" t="s">
        <v>1488</v>
      </c>
      <c r="D382" s="143" t="str">
        <f t="shared" si="242"/>
        <v>5.1_1.10.5</v>
      </c>
      <c r="E382" s="56" t="s">
        <v>150</v>
      </c>
      <c r="F382" s="506" t="s">
        <v>138</v>
      </c>
      <c r="G382" s="507" t="s">
        <v>147</v>
      </c>
      <c r="H382" s="507" t="s">
        <v>39</v>
      </c>
      <c r="I382" s="507" t="s">
        <v>139</v>
      </c>
      <c r="J382" s="507" t="s">
        <v>39</v>
      </c>
      <c r="K382" s="507">
        <v>150</v>
      </c>
      <c r="L382" s="507" t="s">
        <v>125</v>
      </c>
      <c r="M382" s="507" t="s">
        <v>114</v>
      </c>
      <c r="N382" s="507" t="s">
        <v>140</v>
      </c>
      <c r="O382" s="57" t="s">
        <v>151</v>
      </c>
      <c r="P382" s="58" t="s">
        <v>21</v>
      </c>
      <c r="Q382" s="59" t="s">
        <v>152</v>
      </c>
      <c r="R382" s="60" t="s">
        <v>71</v>
      </c>
      <c r="S382" s="61">
        <v>4</v>
      </c>
      <c r="T382" s="62">
        <f>INDEX('BM MORRO DA CRUZ'!$P$6:$P$402,MATCH($O382,'BM MORRO DA CRUZ'!$K$6:$K$402,0))</f>
        <v>16664.810000000001</v>
      </c>
      <c r="U382" s="63">
        <f t="shared" si="243"/>
        <v>66659.240000000005</v>
      </c>
      <c r="V382" s="61">
        <f>IFERROR(SUMIFS('01ª MC'!$W$1:$W$1840,'01ª MC'!$C$1:$C$1840,$D382),0)</f>
        <v>0</v>
      </c>
      <c r="W382" s="63">
        <f t="shared" si="244"/>
        <v>0</v>
      </c>
      <c r="X382" s="61">
        <v>0</v>
      </c>
      <c r="Y382" s="63">
        <f t="shared" si="245"/>
        <v>0</v>
      </c>
      <c r="Z382" s="61">
        <v>0</v>
      </c>
      <c r="AA382" s="63">
        <f t="shared" si="246"/>
        <v>0</v>
      </c>
      <c r="AB382" s="61">
        <v>0</v>
      </c>
      <c r="AC382" s="63">
        <f t="shared" si="247"/>
        <v>0</v>
      </c>
      <c r="AD382" s="61">
        <v>0</v>
      </c>
      <c r="AE382" s="63">
        <f t="shared" si="248"/>
        <v>0</v>
      </c>
      <c r="AF382" s="61">
        <v>0</v>
      </c>
      <c r="AG382" s="63">
        <f t="shared" si="249"/>
        <v>0</v>
      </c>
      <c r="AH382" s="61">
        <v>0</v>
      </c>
      <c r="AI382" s="63">
        <f t="shared" si="250"/>
        <v>0</v>
      </c>
      <c r="AJ382" s="61">
        <v>0</v>
      </c>
      <c r="AK382" s="63">
        <f t="shared" si="251"/>
        <v>0</v>
      </c>
      <c r="AL382" s="61">
        <v>0</v>
      </c>
      <c r="AM382" s="63">
        <f t="shared" si="252"/>
        <v>0</v>
      </c>
      <c r="AN382" s="61">
        <v>0</v>
      </c>
      <c r="AO382" s="63">
        <f t="shared" si="253"/>
        <v>0</v>
      </c>
      <c r="AP382" s="61">
        <v>0</v>
      </c>
      <c r="AQ382" s="63">
        <f t="shared" si="254"/>
        <v>0</v>
      </c>
      <c r="AR382" s="61">
        <v>0</v>
      </c>
      <c r="AS382" s="63">
        <f t="shared" si="255"/>
        <v>0</v>
      </c>
      <c r="AT382" s="61">
        <v>0</v>
      </c>
      <c r="AU382" s="63">
        <f t="shared" si="256"/>
        <v>0</v>
      </c>
      <c r="AV382" s="61">
        <v>0</v>
      </c>
      <c r="AW382" s="63">
        <f t="shared" si="257"/>
        <v>0</v>
      </c>
      <c r="AX382" s="61">
        <v>0</v>
      </c>
      <c r="AY382" s="63">
        <f t="shared" si="258"/>
        <v>0</v>
      </c>
      <c r="AZ382" s="61">
        <v>0</v>
      </c>
      <c r="BA382" s="63">
        <f t="shared" si="259"/>
        <v>0</v>
      </c>
      <c r="BB382" s="61">
        <v>0</v>
      </c>
      <c r="BC382" s="63">
        <f t="shared" si="260"/>
        <v>0</v>
      </c>
      <c r="BD382" s="61">
        <v>0</v>
      </c>
      <c r="BE382" s="63">
        <f t="shared" si="261"/>
        <v>0</v>
      </c>
      <c r="BF382" s="61">
        <f t="shared" si="262"/>
        <v>0</v>
      </c>
      <c r="BG382" s="63">
        <f t="shared" si="263"/>
        <v>0</v>
      </c>
      <c r="BH382" s="45"/>
      <c r="BI382" s="144"/>
    </row>
    <row r="383" spans="1:61" ht="26.25" customHeight="1" x14ac:dyDescent="0.45">
      <c r="A383" s="140">
        <v>5</v>
      </c>
      <c r="B383" s="141" t="s">
        <v>850</v>
      </c>
      <c r="C383" s="142" t="s">
        <v>1488</v>
      </c>
      <c r="D383" s="143" t="str">
        <f t="shared" si="242"/>
        <v>5.1_1.10.6</v>
      </c>
      <c r="E383" s="56" t="s">
        <v>153</v>
      </c>
      <c r="F383" s="506" t="s">
        <v>154</v>
      </c>
      <c r="G383" s="507" t="s">
        <v>111</v>
      </c>
      <c r="H383" s="507" t="s">
        <v>39</v>
      </c>
      <c r="I383" s="507" t="s">
        <v>155</v>
      </c>
      <c r="J383" s="507" t="s">
        <v>39</v>
      </c>
      <c r="K383" s="507" t="s">
        <v>156</v>
      </c>
      <c r="L383" s="507" t="s">
        <v>125</v>
      </c>
      <c r="M383" s="507" t="s">
        <v>114</v>
      </c>
      <c r="N383" s="507" t="s">
        <v>140</v>
      </c>
      <c r="O383" s="57" t="s">
        <v>157</v>
      </c>
      <c r="P383" s="58" t="s">
        <v>21</v>
      </c>
      <c r="Q383" s="59" t="s">
        <v>158</v>
      </c>
      <c r="R383" s="60" t="s">
        <v>71</v>
      </c>
      <c r="S383" s="61">
        <v>8</v>
      </c>
      <c r="T383" s="62">
        <f>INDEX('BM MORRO DA CRUZ'!$P$6:$P$402,MATCH($O383,'BM MORRO DA CRUZ'!$K$6:$K$402,0))</f>
        <v>3351.67</v>
      </c>
      <c r="U383" s="63">
        <f t="shared" si="243"/>
        <v>26813.360000000001</v>
      </c>
      <c r="V383" s="61">
        <f>IFERROR(SUMIFS('01ª MC'!$W$1:$W$1840,'01ª MC'!$C$1:$C$1840,$D383),0)</f>
        <v>0</v>
      </c>
      <c r="W383" s="63">
        <f t="shared" si="244"/>
        <v>0</v>
      </c>
      <c r="X383" s="61">
        <v>0</v>
      </c>
      <c r="Y383" s="63">
        <f t="shared" si="245"/>
        <v>0</v>
      </c>
      <c r="Z383" s="61">
        <v>0</v>
      </c>
      <c r="AA383" s="63">
        <f t="shared" si="246"/>
        <v>0</v>
      </c>
      <c r="AB383" s="61">
        <v>0</v>
      </c>
      <c r="AC383" s="63">
        <f t="shared" si="247"/>
        <v>0</v>
      </c>
      <c r="AD383" s="61">
        <v>0</v>
      </c>
      <c r="AE383" s="63">
        <f t="shared" si="248"/>
        <v>0</v>
      </c>
      <c r="AF383" s="61">
        <v>0</v>
      </c>
      <c r="AG383" s="63">
        <f t="shared" si="249"/>
        <v>0</v>
      </c>
      <c r="AH383" s="61">
        <v>0</v>
      </c>
      <c r="AI383" s="63">
        <f t="shared" si="250"/>
        <v>0</v>
      </c>
      <c r="AJ383" s="61">
        <v>0</v>
      </c>
      <c r="AK383" s="63">
        <f t="shared" si="251"/>
        <v>0</v>
      </c>
      <c r="AL383" s="61">
        <v>0</v>
      </c>
      <c r="AM383" s="63">
        <f t="shared" si="252"/>
        <v>0</v>
      </c>
      <c r="AN383" s="61">
        <v>0</v>
      </c>
      <c r="AO383" s="63">
        <f t="shared" si="253"/>
        <v>0</v>
      </c>
      <c r="AP383" s="61">
        <v>0</v>
      </c>
      <c r="AQ383" s="63">
        <f t="shared" si="254"/>
        <v>0</v>
      </c>
      <c r="AR383" s="61">
        <v>0</v>
      </c>
      <c r="AS383" s="63">
        <f t="shared" si="255"/>
        <v>0</v>
      </c>
      <c r="AT383" s="61">
        <v>0</v>
      </c>
      <c r="AU383" s="63">
        <f t="shared" si="256"/>
        <v>0</v>
      </c>
      <c r="AV383" s="61">
        <v>0</v>
      </c>
      <c r="AW383" s="63">
        <f t="shared" si="257"/>
        <v>0</v>
      </c>
      <c r="AX383" s="61">
        <v>0</v>
      </c>
      <c r="AY383" s="63">
        <f t="shared" si="258"/>
        <v>0</v>
      </c>
      <c r="AZ383" s="61">
        <v>0</v>
      </c>
      <c r="BA383" s="63">
        <f t="shared" si="259"/>
        <v>0</v>
      </c>
      <c r="BB383" s="61">
        <v>0</v>
      </c>
      <c r="BC383" s="63">
        <f t="shared" si="260"/>
        <v>0</v>
      </c>
      <c r="BD383" s="61">
        <v>0</v>
      </c>
      <c r="BE383" s="63">
        <f t="shared" si="261"/>
        <v>0</v>
      </c>
      <c r="BF383" s="61">
        <f t="shared" si="262"/>
        <v>0</v>
      </c>
      <c r="BG383" s="63">
        <f t="shared" si="263"/>
        <v>0</v>
      </c>
      <c r="BH383" s="45"/>
      <c r="BI383" s="144"/>
    </row>
    <row r="384" spans="1:61" ht="26.25" customHeight="1" x14ac:dyDescent="0.45">
      <c r="A384" s="140">
        <v>5</v>
      </c>
      <c r="B384" s="141" t="s">
        <v>850</v>
      </c>
      <c r="C384" s="142" t="s">
        <v>1488</v>
      </c>
      <c r="D384" s="143" t="str">
        <f t="shared" si="242"/>
        <v>5.1_1.10.7</v>
      </c>
      <c r="E384" s="56" t="s">
        <v>159</v>
      </c>
      <c r="F384" s="506" t="s">
        <v>160</v>
      </c>
      <c r="G384" s="507" t="s">
        <v>111</v>
      </c>
      <c r="H384" s="507" t="s">
        <v>39</v>
      </c>
      <c r="I384" s="507" t="s">
        <v>155</v>
      </c>
      <c r="J384" s="507" t="s">
        <v>39</v>
      </c>
      <c r="K384" s="507">
        <v>80</v>
      </c>
      <c r="L384" s="507" t="s">
        <v>125</v>
      </c>
      <c r="M384" s="507" t="s">
        <v>114</v>
      </c>
      <c r="N384" s="507" t="s">
        <v>140</v>
      </c>
      <c r="O384" s="57" t="s">
        <v>161</v>
      </c>
      <c r="P384" s="58" t="s">
        <v>21</v>
      </c>
      <c r="Q384" s="59" t="s">
        <v>162</v>
      </c>
      <c r="R384" s="60" t="s">
        <v>71</v>
      </c>
      <c r="S384" s="61">
        <v>3</v>
      </c>
      <c r="T384" s="62">
        <f>INDEX('BM MORRO DA CRUZ'!$P$6:$P$402,MATCH($O384,'BM MORRO DA CRUZ'!$K$6:$K$402,0))</f>
        <v>1568.14</v>
      </c>
      <c r="U384" s="63">
        <f t="shared" si="243"/>
        <v>4704.42</v>
      </c>
      <c r="V384" s="61">
        <f>IFERROR(SUMIFS('01ª MC'!$W$1:$W$1840,'01ª MC'!$C$1:$C$1840,$D384),0)</f>
        <v>0</v>
      </c>
      <c r="W384" s="63">
        <f t="shared" si="244"/>
        <v>0</v>
      </c>
      <c r="X384" s="61">
        <v>0</v>
      </c>
      <c r="Y384" s="63">
        <f t="shared" si="245"/>
        <v>0</v>
      </c>
      <c r="Z384" s="61">
        <v>0</v>
      </c>
      <c r="AA384" s="63">
        <f t="shared" si="246"/>
        <v>0</v>
      </c>
      <c r="AB384" s="61">
        <v>0</v>
      </c>
      <c r="AC384" s="63">
        <f t="shared" si="247"/>
        <v>0</v>
      </c>
      <c r="AD384" s="61">
        <v>0</v>
      </c>
      <c r="AE384" s="63">
        <f t="shared" si="248"/>
        <v>0</v>
      </c>
      <c r="AF384" s="61">
        <v>0</v>
      </c>
      <c r="AG384" s="63">
        <f t="shared" si="249"/>
        <v>0</v>
      </c>
      <c r="AH384" s="61">
        <v>0</v>
      </c>
      <c r="AI384" s="63">
        <f t="shared" si="250"/>
        <v>0</v>
      </c>
      <c r="AJ384" s="61">
        <v>0</v>
      </c>
      <c r="AK384" s="63">
        <f t="shared" si="251"/>
        <v>0</v>
      </c>
      <c r="AL384" s="61">
        <v>0</v>
      </c>
      <c r="AM384" s="63">
        <f t="shared" si="252"/>
        <v>0</v>
      </c>
      <c r="AN384" s="61">
        <v>0</v>
      </c>
      <c r="AO384" s="63">
        <f t="shared" si="253"/>
        <v>0</v>
      </c>
      <c r="AP384" s="61">
        <v>0</v>
      </c>
      <c r="AQ384" s="63">
        <f t="shared" si="254"/>
        <v>0</v>
      </c>
      <c r="AR384" s="61">
        <v>0</v>
      </c>
      <c r="AS384" s="63">
        <f t="shared" si="255"/>
        <v>0</v>
      </c>
      <c r="AT384" s="61">
        <v>0</v>
      </c>
      <c r="AU384" s="63">
        <f t="shared" si="256"/>
        <v>0</v>
      </c>
      <c r="AV384" s="61">
        <v>0</v>
      </c>
      <c r="AW384" s="63">
        <f t="shared" si="257"/>
        <v>0</v>
      </c>
      <c r="AX384" s="61">
        <v>0</v>
      </c>
      <c r="AY384" s="63">
        <f t="shared" si="258"/>
        <v>0</v>
      </c>
      <c r="AZ384" s="61">
        <v>0</v>
      </c>
      <c r="BA384" s="63">
        <f t="shared" si="259"/>
        <v>0</v>
      </c>
      <c r="BB384" s="61">
        <v>0</v>
      </c>
      <c r="BC384" s="63">
        <f t="shared" si="260"/>
        <v>0</v>
      </c>
      <c r="BD384" s="61">
        <v>0</v>
      </c>
      <c r="BE384" s="63">
        <f t="shared" si="261"/>
        <v>0</v>
      </c>
      <c r="BF384" s="61">
        <f t="shared" si="262"/>
        <v>0</v>
      </c>
      <c r="BG384" s="63">
        <f t="shared" si="263"/>
        <v>0</v>
      </c>
      <c r="BH384" s="45"/>
      <c r="BI384" s="144"/>
    </row>
    <row r="385" spans="1:61" ht="38.25" customHeight="1" x14ac:dyDescent="0.45">
      <c r="A385" s="140">
        <v>5</v>
      </c>
      <c r="B385" s="141" t="s">
        <v>850</v>
      </c>
      <c r="C385" s="142" t="s">
        <v>1488</v>
      </c>
      <c r="D385" s="143" t="str">
        <f t="shared" si="242"/>
        <v>5.1_1.10.8</v>
      </c>
      <c r="E385" s="56" t="s">
        <v>163</v>
      </c>
      <c r="F385" s="506" t="s">
        <v>164</v>
      </c>
      <c r="G385" s="507" t="s">
        <v>111</v>
      </c>
      <c r="H385" s="507" t="s">
        <v>39</v>
      </c>
      <c r="I385" s="507" t="s">
        <v>155</v>
      </c>
      <c r="J385" s="507" t="s">
        <v>39</v>
      </c>
      <c r="K385" s="507">
        <v>100</v>
      </c>
      <c r="L385" s="507" t="s">
        <v>125</v>
      </c>
      <c r="M385" s="507" t="s">
        <v>114</v>
      </c>
      <c r="N385" s="507" t="s">
        <v>140</v>
      </c>
      <c r="O385" s="57" t="s">
        <v>165</v>
      </c>
      <c r="P385" s="58" t="s">
        <v>21</v>
      </c>
      <c r="Q385" s="59" t="s">
        <v>166</v>
      </c>
      <c r="R385" s="60" t="s">
        <v>71</v>
      </c>
      <c r="S385" s="61">
        <v>1</v>
      </c>
      <c r="T385" s="62">
        <f>INDEX('BM MORRO DA CRUZ'!$P$6:$P$402,MATCH($O385,'BM MORRO DA CRUZ'!$K$6:$K$402,0))</f>
        <v>2010.82</v>
      </c>
      <c r="U385" s="63">
        <f t="shared" si="243"/>
        <v>2010.82</v>
      </c>
      <c r="V385" s="61">
        <f>IFERROR(SUMIFS('01ª MC'!$W$1:$W$1840,'01ª MC'!$C$1:$C$1840,$D385),0)</f>
        <v>0</v>
      </c>
      <c r="W385" s="63">
        <f t="shared" si="244"/>
        <v>0</v>
      </c>
      <c r="X385" s="61">
        <v>0</v>
      </c>
      <c r="Y385" s="63">
        <f t="shared" si="245"/>
        <v>0</v>
      </c>
      <c r="Z385" s="61">
        <v>0</v>
      </c>
      <c r="AA385" s="63">
        <f t="shared" si="246"/>
        <v>0</v>
      </c>
      <c r="AB385" s="61">
        <v>0</v>
      </c>
      <c r="AC385" s="63">
        <f t="shared" si="247"/>
        <v>0</v>
      </c>
      <c r="AD385" s="61">
        <v>0</v>
      </c>
      <c r="AE385" s="63">
        <f t="shared" si="248"/>
        <v>0</v>
      </c>
      <c r="AF385" s="61">
        <v>0</v>
      </c>
      <c r="AG385" s="63">
        <f t="shared" si="249"/>
        <v>0</v>
      </c>
      <c r="AH385" s="61">
        <v>0</v>
      </c>
      <c r="AI385" s="63">
        <f t="shared" si="250"/>
        <v>0</v>
      </c>
      <c r="AJ385" s="61">
        <v>0</v>
      </c>
      <c r="AK385" s="63">
        <f t="shared" si="251"/>
        <v>0</v>
      </c>
      <c r="AL385" s="61">
        <v>0</v>
      </c>
      <c r="AM385" s="63">
        <f t="shared" si="252"/>
        <v>0</v>
      </c>
      <c r="AN385" s="61">
        <v>0</v>
      </c>
      <c r="AO385" s="63">
        <f t="shared" si="253"/>
        <v>0</v>
      </c>
      <c r="AP385" s="61">
        <v>0</v>
      </c>
      <c r="AQ385" s="63">
        <f t="shared" si="254"/>
        <v>0</v>
      </c>
      <c r="AR385" s="61">
        <v>0</v>
      </c>
      <c r="AS385" s="63">
        <f t="shared" si="255"/>
        <v>0</v>
      </c>
      <c r="AT385" s="61">
        <v>0</v>
      </c>
      <c r="AU385" s="63">
        <f t="shared" si="256"/>
        <v>0</v>
      </c>
      <c r="AV385" s="61">
        <v>0</v>
      </c>
      <c r="AW385" s="63">
        <f t="shared" si="257"/>
        <v>0</v>
      </c>
      <c r="AX385" s="61">
        <v>0</v>
      </c>
      <c r="AY385" s="63">
        <f t="shared" si="258"/>
        <v>0</v>
      </c>
      <c r="AZ385" s="61">
        <v>0</v>
      </c>
      <c r="BA385" s="63">
        <f t="shared" si="259"/>
        <v>0</v>
      </c>
      <c r="BB385" s="61">
        <v>0</v>
      </c>
      <c r="BC385" s="63">
        <f t="shared" si="260"/>
        <v>0</v>
      </c>
      <c r="BD385" s="61">
        <v>0</v>
      </c>
      <c r="BE385" s="63">
        <f t="shared" si="261"/>
        <v>0</v>
      </c>
      <c r="BF385" s="61">
        <f t="shared" si="262"/>
        <v>0</v>
      </c>
      <c r="BG385" s="63">
        <f t="shared" si="263"/>
        <v>0</v>
      </c>
      <c r="BH385" s="45"/>
      <c r="BI385" s="144"/>
    </row>
    <row r="386" spans="1:61" ht="38.25" customHeight="1" x14ac:dyDescent="0.45">
      <c r="A386" s="140">
        <v>5</v>
      </c>
      <c r="B386" s="141" t="s">
        <v>850</v>
      </c>
      <c r="C386" s="142" t="s">
        <v>1488</v>
      </c>
      <c r="D386" s="143" t="str">
        <f t="shared" si="242"/>
        <v>5.1_1.10.9</v>
      </c>
      <c r="E386" s="56" t="s">
        <v>167</v>
      </c>
      <c r="F386" s="506" t="s">
        <v>164</v>
      </c>
      <c r="G386" s="507" t="s">
        <v>111</v>
      </c>
      <c r="H386" s="507" t="s">
        <v>39</v>
      </c>
      <c r="I386" s="507" t="s">
        <v>155</v>
      </c>
      <c r="J386" s="507" t="s">
        <v>39</v>
      </c>
      <c r="K386" s="507">
        <v>150</v>
      </c>
      <c r="L386" s="507" t="s">
        <v>125</v>
      </c>
      <c r="M386" s="507" t="s">
        <v>114</v>
      </c>
      <c r="N386" s="507" t="s">
        <v>140</v>
      </c>
      <c r="O386" s="57" t="s">
        <v>168</v>
      </c>
      <c r="P386" s="58" t="s">
        <v>21</v>
      </c>
      <c r="Q386" s="59" t="s">
        <v>169</v>
      </c>
      <c r="R386" s="60" t="s">
        <v>71</v>
      </c>
      <c r="S386" s="61">
        <v>2</v>
      </c>
      <c r="T386" s="62">
        <f>INDEX('BM MORRO DA CRUZ'!$P$6:$P$402,MATCH($O386,'BM MORRO DA CRUZ'!$K$6:$K$402,0))</f>
        <v>2343.08</v>
      </c>
      <c r="U386" s="63">
        <f t="shared" si="243"/>
        <v>4686.16</v>
      </c>
      <c r="V386" s="61">
        <f>IFERROR(SUMIFS('01ª MC'!$W$1:$W$1840,'01ª MC'!$C$1:$C$1840,$D386),0)</f>
        <v>0</v>
      </c>
      <c r="W386" s="63">
        <f t="shared" si="244"/>
        <v>0</v>
      </c>
      <c r="X386" s="61">
        <v>0</v>
      </c>
      <c r="Y386" s="63">
        <f t="shared" si="245"/>
        <v>0</v>
      </c>
      <c r="Z386" s="61">
        <v>0</v>
      </c>
      <c r="AA386" s="63">
        <f t="shared" si="246"/>
        <v>0</v>
      </c>
      <c r="AB386" s="61">
        <v>0</v>
      </c>
      <c r="AC386" s="63">
        <f t="shared" si="247"/>
        <v>0</v>
      </c>
      <c r="AD386" s="61">
        <v>0</v>
      </c>
      <c r="AE386" s="63">
        <f t="shared" si="248"/>
        <v>0</v>
      </c>
      <c r="AF386" s="61">
        <v>0</v>
      </c>
      <c r="AG386" s="63">
        <f t="shared" si="249"/>
        <v>0</v>
      </c>
      <c r="AH386" s="61">
        <v>0</v>
      </c>
      <c r="AI386" s="63">
        <f t="shared" si="250"/>
        <v>0</v>
      </c>
      <c r="AJ386" s="61">
        <v>0</v>
      </c>
      <c r="AK386" s="63">
        <f t="shared" si="251"/>
        <v>0</v>
      </c>
      <c r="AL386" s="61">
        <v>0</v>
      </c>
      <c r="AM386" s="63">
        <f t="shared" si="252"/>
        <v>0</v>
      </c>
      <c r="AN386" s="61">
        <v>0</v>
      </c>
      <c r="AO386" s="63">
        <f t="shared" si="253"/>
        <v>0</v>
      </c>
      <c r="AP386" s="61">
        <v>0</v>
      </c>
      <c r="AQ386" s="63">
        <f t="shared" si="254"/>
        <v>0</v>
      </c>
      <c r="AR386" s="61">
        <v>0</v>
      </c>
      <c r="AS386" s="63">
        <f t="shared" si="255"/>
        <v>0</v>
      </c>
      <c r="AT386" s="61">
        <v>0</v>
      </c>
      <c r="AU386" s="63">
        <f t="shared" si="256"/>
        <v>0</v>
      </c>
      <c r="AV386" s="61">
        <v>0</v>
      </c>
      <c r="AW386" s="63">
        <f t="shared" si="257"/>
        <v>0</v>
      </c>
      <c r="AX386" s="61">
        <v>0</v>
      </c>
      <c r="AY386" s="63">
        <f t="shared" si="258"/>
        <v>0</v>
      </c>
      <c r="AZ386" s="61">
        <v>0</v>
      </c>
      <c r="BA386" s="63">
        <f t="shared" si="259"/>
        <v>0</v>
      </c>
      <c r="BB386" s="61">
        <v>0</v>
      </c>
      <c r="BC386" s="63">
        <f t="shared" si="260"/>
        <v>0</v>
      </c>
      <c r="BD386" s="61">
        <v>0</v>
      </c>
      <c r="BE386" s="63">
        <f t="shared" si="261"/>
        <v>0</v>
      </c>
      <c r="BF386" s="61">
        <f t="shared" si="262"/>
        <v>0</v>
      </c>
      <c r="BG386" s="63">
        <f t="shared" si="263"/>
        <v>0</v>
      </c>
      <c r="BH386" s="45"/>
      <c r="BI386" s="144"/>
    </row>
    <row r="387" spans="1:61" ht="38.25" customHeight="1" x14ac:dyDescent="0.45">
      <c r="A387" s="140">
        <v>5</v>
      </c>
      <c r="B387" s="141" t="s">
        <v>850</v>
      </c>
      <c r="C387" s="142" t="s">
        <v>1488</v>
      </c>
      <c r="D387" s="143" t="str">
        <f t="shared" si="242"/>
        <v>5.1_1.10.10</v>
      </c>
      <c r="E387" s="56" t="s">
        <v>170</v>
      </c>
      <c r="F387" s="506" t="s">
        <v>164</v>
      </c>
      <c r="G387" s="507" t="s">
        <v>111</v>
      </c>
      <c r="H387" s="507" t="s">
        <v>39</v>
      </c>
      <c r="I387" s="507" t="s">
        <v>155</v>
      </c>
      <c r="J387" s="507" t="s">
        <v>39</v>
      </c>
      <c r="K387" s="507">
        <v>200</v>
      </c>
      <c r="L387" s="507" t="s">
        <v>125</v>
      </c>
      <c r="M387" s="507" t="s">
        <v>114</v>
      </c>
      <c r="N387" s="507" t="s">
        <v>140</v>
      </c>
      <c r="O387" s="57" t="s">
        <v>171</v>
      </c>
      <c r="P387" s="58" t="s">
        <v>21</v>
      </c>
      <c r="Q387" s="59" t="s">
        <v>172</v>
      </c>
      <c r="R387" s="60" t="s">
        <v>71</v>
      </c>
      <c r="S387" s="61">
        <v>2</v>
      </c>
      <c r="T387" s="62">
        <f>INDEX('BM MORRO DA CRUZ'!$P$6:$P$402,MATCH($O387,'BM MORRO DA CRUZ'!$K$6:$K$402,0))</f>
        <v>5060.67</v>
      </c>
      <c r="U387" s="63">
        <f t="shared" si="243"/>
        <v>10121.34</v>
      </c>
      <c r="V387" s="61">
        <f>IFERROR(SUMIFS('01ª MC'!$W$1:$W$1840,'01ª MC'!$C$1:$C$1840,$D387),0)</f>
        <v>0</v>
      </c>
      <c r="W387" s="63">
        <f t="shared" si="244"/>
        <v>0</v>
      </c>
      <c r="X387" s="61">
        <v>0</v>
      </c>
      <c r="Y387" s="63">
        <f t="shared" si="245"/>
        <v>0</v>
      </c>
      <c r="Z387" s="61">
        <v>0</v>
      </c>
      <c r="AA387" s="63">
        <f t="shared" si="246"/>
        <v>0</v>
      </c>
      <c r="AB387" s="61">
        <v>0</v>
      </c>
      <c r="AC387" s="63">
        <f t="shared" si="247"/>
        <v>0</v>
      </c>
      <c r="AD387" s="61">
        <v>0</v>
      </c>
      <c r="AE387" s="63">
        <f t="shared" si="248"/>
        <v>0</v>
      </c>
      <c r="AF387" s="61">
        <v>0</v>
      </c>
      <c r="AG387" s="63">
        <f t="shared" si="249"/>
        <v>0</v>
      </c>
      <c r="AH387" s="61">
        <v>0</v>
      </c>
      <c r="AI387" s="63">
        <f t="shared" si="250"/>
        <v>0</v>
      </c>
      <c r="AJ387" s="61">
        <v>0</v>
      </c>
      <c r="AK387" s="63">
        <f t="shared" si="251"/>
        <v>0</v>
      </c>
      <c r="AL387" s="61">
        <v>0</v>
      </c>
      <c r="AM387" s="63">
        <f t="shared" si="252"/>
        <v>0</v>
      </c>
      <c r="AN387" s="61">
        <v>0</v>
      </c>
      <c r="AO387" s="63">
        <f t="shared" si="253"/>
        <v>0</v>
      </c>
      <c r="AP387" s="61">
        <v>0</v>
      </c>
      <c r="AQ387" s="63">
        <f t="shared" si="254"/>
        <v>0</v>
      </c>
      <c r="AR387" s="61">
        <v>0</v>
      </c>
      <c r="AS387" s="63">
        <f t="shared" si="255"/>
        <v>0</v>
      </c>
      <c r="AT387" s="61">
        <v>0</v>
      </c>
      <c r="AU387" s="63">
        <f t="shared" si="256"/>
        <v>0</v>
      </c>
      <c r="AV387" s="61">
        <v>0</v>
      </c>
      <c r="AW387" s="63">
        <f t="shared" si="257"/>
        <v>0</v>
      </c>
      <c r="AX387" s="61">
        <v>0</v>
      </c>
      <c r="AY387" s="63">
        <f t="shared" si="258"/>
        <v>0</v>
      </c>
      <c r="AZ387" s="61">
        <v>0</v>
      </c>
      <c r="BA387" s="63">
        <f t="shared" si="259"/>
        <v>0</v>
      </c>
      <c r="BB387" s="61">
        <v>0</v>
      </c>
      <c r="BC387" s="63">
        <f t="shared" si="260"/>
        <v>0</v>
      </c>
      <c r="BD387" s="61">
        <v>0</v>
      </c>
      <c r="BE387" s="63">
        <f t="shared" si="261"/>
        <v>0</v>
      </c>
      <c r="BF387" s="61">
        <f t="shared" si="262"/>
        <v>0</v>
      </c>
      <c r="BG387" s="63">
        <f t="shared" si="263"/>
        <v>0</v>
      </c>
      <c r="BH387" s="45"/>
      <c r="BI387" s="144"/>
    </row>
    <row r="388" spans="1:61" ht="38.25" customHeight="1" x14ac:dyDescent="0.45">
      <c r="A388" s="140">
        <v>5</v>
      </c>
      <c r="B388" s="141" t="s">
        <v>850</v>
      </c>
      <c r="C388" s="142" t="s">
        <v>1488</v>
      </c>
      <c r="D388" s="143" t="str">
        <f t="shared" si="242"/>
        <v>5.1_1.10.11</v>
      </c>
      <c r="E388" s="56" t="s">
        <v>173</v>
      </c>
      <c r="F388" s="506" t="s">
        <v>174</v>
      </c>
      <c r="G388" s="507" t="s">
        <v>147</v>
      </c>
      <c r="H388" s="507" t="s">
        <v>39</v>
      </c>
      <c r="I388" s="507" t="s">
        <v>175</v>
      </c>
      <c r="J388" s="507" t="s">
        <v>39</v>
      </c>
      <c r="K388" s="507">
        <v>100</v>
      </c>
      <c r="L388" s="507" t="s">
        <v>125</v>
      </c>
      <c r="M388" s="507" t="s">
        <v>114</v>
      </c>
      <c r="N388" s="507" t="s">
        <v>140</v>
      </c>
      <c r="O388" s="57" t="s">
        <v>176</v>
      </c>
      <c r="P388" s="58" t="s">
        <v>21</v>
      </c>
      <c r="Q388" s="59" t="s">
        <v>177</v>
      </c>
      <c r="R388" s="60" t="s">
        <v>71</v>
      </c>
      <c r="S388" s="61">
        <v>2</v>
      </c>
      <c r="T388" s="62">
        <f>INDEX('BM MORRO DA CRUZ'!$P$6:$P$402,MATCH($O388,'BM MORRO DA CRUZ'!$K$6:$K$402,0))</f>
        <v>893.5</v>
      </c>
      <c r="U388" s="63">
        <f t="shared" si="243"/>
        <v>1787</v>
      </c>
      <c r="V388" s="61">
        <f>IFERROR(SUMIFS('01ª MC'!$W$1:$W$1840,'01ª MC'!$C$1:$C$1840,$D388),0)</f>
        <v>0</v>
      </c>
      <c r="W388" s="63">
        <f t="shared" si="244"/>
        <v>0</v>
      </c>
      <c r="X388" s="61">
        <v>0</v>
      </c>
      <c r="Y388" s="63">
        <f t="shared" si="245"/>
        <v>0</v>
      </c>
      <c r="Z388" s="61">
        <v>0</v>
      </c>
      <c r="AA388" s="63">
        <f t="shared" si="246"/>
        <v>0</v>
      </c>
      <c r="AB388" s="61">
        <v>0</v>
      </c>
      <c r="AC388" s="63">
        <f t="shared" si="247"/>
        <v>0</v>
      </c>
      <c r="AD388" s="61">
        <v>0</v>
      </c>
      <c r="AE388" s="63">
        <f t="shared" si="248"/>
        <v>0</v>
      </c>
      <c r="AF388" s="61">
        <v>0</v>
      </c>
      <c r="AG388" s="63">
        <f t="shared" si="249"/>
        <v>0</v>
      </c>
      <c r="AH388" s="61">
        <v>0</v>
      </c>
      <c r="AI388" s="63">
        <f t="shared" si="250"/>
        <v>0</v>
      </c>
      <c r="AJ388" s="61">
        <v>0</v>
      </c>
      <c r="AK388" s="63">
        <f t="shared" si="251"/>
        <v>0</v>
      </c>
      <c r="AL388" s="61">
        <v>0</v>
      </c>
      <c r="AM388" s="63">
        <f t="shared" si="252"/>
        <v>0</v>
      </c>
      <c r="AN388" s="61">
        <v>0</v>
      </c>
      <c r="AO388" s="63">
        <f t="shared" si="253"/>
        <v>0</v>
      </c>
      <c r="AP388" s="61">
        <v>0</v>
      </c>
      <c r="AQ388" s="63">
        <f t="shared" si="254"/>
        <v>0</v>
      </c>
      <c r="AR388" s="61">
        <v>0</v>
      </c>
      <c r="AS388" s="63">
        <f t="shared" si="255"/>
        <v>0</v>
      </c>
      <c r="AT388" s="61">
        <v>0</v>
      </c>
      <c r="AU388" s="63">
        <f t="shared" si="256"/>
        <v>0</v>
      </c>
      <c r="AV388" s="61">
        <v>0</v>
      </c>
      <c r="AW388" s="63">
        <f t="shared" si="257"/>
        <v>0</v>
      </c>
      <c r="AX388" s="61">
        <v>0</v>
      </c>
      <c r="AY388" s="63">
        <f t="shared" si="258"/>
        <v>0</v>
      </c>
      <c r="AZ388" s="61">
        <v>0</v>
      </c>
      <c r="BA388" s="63">
        <f t="shared" si="259"/>
        <v>0</v>
      </c>
      <c r="BB388" s="61">
        <v>0</v>
      </c>
      <c r="BC388" s="63">
        <f t="shared" si="260"/>
        <v>0</v>
      </c>
      <c r="BD388" s="61">
        <v>0</v>
      </c>
      <c r="BE388" s="63">
        <f t="shared" si="261"/>
        <v>0</v>
      </c>
      <c r="BF388" s="61">
        <f t="shared" si="262"/>
        <v>0</v>
      </c>
      <c r="BG388" s="63">
        <f t="shared" si="263"/>
        <v>0</v>
      </c>
      <c r="BH388" s="45"/>
      <c r="BI388" s="144"/>
    </row>
    <row r="389" spans="1:61" ht="38.25" customHeight="1" x14ac:dyDescent="0.45">
      <c r="A389" s="140">
        <v>5</v>
      </c>
      <c r="B389" s="141" t="s">
        <v>850</v>
      </c>
      <c r="C389" s="142" t="s">
        <v>1488</v>
      </c>
      <c r="D389" s="143" t="str">
        <f t="shared" si="242"/>
        <v>5.1_1.10.12</v>
      </c>
      <c r="E389" s="56" t="s">
        <v>178</v>
      </c>
      <c r="F389" s="506" t="s">
        <v>174</v>
      </c>
      <c r="G389" s="507" t="s">
        <v>147</v>
      </c>
      <c r="H389" s="507" t="s">
        <v>39</v>
      </c>
      <c r="I389" s="507" t="s">
        <v>175</v>
      </c>
      <c r="J389" s="507" t="s">
        <v>39</v>
      </c>
      <c r="K389" s="507">
        <v>150</v>
      </c>
      <c r="L389" s="507" t="s">
        <v>125</v>
      </c>
      <c r="M389" s="507" t="s">
        <v>114</v>
      </c>
      <c r="N389" s="507" t="s">
        <v>140</v>
      </c>
      <c r="O389" s="57" t="s">
        <v>179</v>
      </c>
      <c r="P389" s="58" t="s">
        <v>21</v>
      </c>
      <c r="Q389" s="59" t="s">
        <v>180</v>
      </c>
      <c r="R389" s="60" t="s">
        <v>71</v>
      </c>
      <c r="S389" s="61">
        <v>20</v>
      </c>
      <c r="T389" s="62">
        <f>INDEX('BM MORRO DA CRUZ'!$P$6:$P$402,MATCH($O389,'BM MORRO DA CRUZ'!$K$6:$K$402,0))</f>
        <v>1436.8</v>
      </c>
      <c r="U389" s="63">
        <f t="shared" si="243"/>
        <v>28736</v>
      </c>
      <c r="V389" s="61">
        <f>IFERROR(SUMIFS('01ª MC'!$W$1:$W$1840,'01ª MC'!$C$1:$C$1840,$D389),0)</f>
        <v>0</v>
      </c>
      <c r="W389" s="63">
        <f t="shared" si="244"/>
        <v>0</v>
      </c>
      <c r="X389" s="61">
        <v>0</v>
      </c>
      <c r="Y389" s="63">
        <f t="shared" si="245"/>
        <v>0</v>
      </c>
      <c r="Z389" s="61">
        <v>0</v>
      </c>
      <c r="AA389" s="63">
        <f t="shared" si="246"/>
        <v>0</v>
      </c>
      <c r="AB389" s="61">
        <v>0</v>
      </c>
      <c r="AC389" s="63">
        <f t="shared" si="247"/>
        <v>0</v>
      </c>
      <c r="AD389" s="61">
        <v>0</v>
      </c>
      <c r="AE389" s="63">
        <f t="shared" si="248"/>
        <v>0</v>
      </c>
      <c r="AF389" s="61">
        <v>0</v>
      </c>
      <c r="AG389" s="63">
        <f t="shared" si="249"/>
        <v>0</v>
      </c>
      <c r="AH389" s="61">
        <v>0</v>
      </c>
      <c r="AI389" s="63">
        <f t="shared" si="250"/>
        <v>0</v>
      </c>
      <c r="AJ389" s="61">
        <v>0</v>
      </c>
      <c r="AK389" s="63">
        <f t="shared" si="251"/>
        <v>0</v>
      </c>
      <c r="AL389" s="61">
        <v>0</v>
      </c>
      <c r="AM389" s="63">
        <f t="shared" si="252"/>
        <v>0</v>
      </c>
      <c r="AN389" s="61">
        <v>0</v>
      </c>
      <c r="AO389" s="63">
        <f t="shared" si="253"/>
        <v>0</v>
      </c>
      <c r="AP389" s="61">
        <v>0</v>
      </c>
      <c r="AQ389" s="63">
        <f t="shared" si="254"/>
        <v>0</v>
      </c>
      <c r="AR389" s="61">
        <v>0</v>
      </c>
      <c r="AS389" s="63">
        <f t="shared" si="255"/>
        <v>0</v>
      </c>
      <c r="AT389" s="61">
        <v>0</v>
      </c>
      <c r="AU389" s="63">
        <f t="shared" si="256"/>
        <v>0</v>
      </c>
      <c r="AV389" s="61">
        <v>0</v>
      </c>
      <c r="AW389" s="63">
        <f t="shared" si="257"/>
        <v>0</v>
      </c>
      <c r="AX389" s="61">
        <v>0</v>
      </c>
      <c r="AY389" s="63">
        <f t="shared" si="258"/>
        <v>0</v>
      </c>
      <c r="AZ389" s="61">
        <v>0</v>
      </c>
      <c r="BA389" s="63">
        <f t="shared" si="259"/>
        <v>0</v>
      </c>
      <c r="BB389" s="61">
        <v>0</v>
      </c>
      <c r="BC389" s="63">
        <f t="shared" si="260"/>
        <v>0</v>
      </c>
      <c r="BD389" s="61">
        <v>0</v>
      </c>
      <c r="BE389" s="63">
        <f t="shared" si="261"/>
        <v>0</v>
      </c>
      <c r="BF389" s="61">
        <f t="shared" si="262"/>
        <v>0</v>
      </c>
      <c r="BG389" s="63">
        <f t="shared" si="263"/>
        <v>0</v>
      </c>
      <c r="BH389" s="45"/>
      <c r="BI389" s="144"/>
    </row>
    <row r="390" spans="1:61" ht="38.25" customHeight="1" x14ac:dyDescent="0.45">
      <c r="A390" s="140">
        <v>5</v>
      </c>
      <c r="B390" s="141" t="s">
        <v>850</v>
      </c>
      <c r="C390" s="142" t="s">
        <v>1488</v>
      </c>
      <c r="D390" s="143" t="str">
        <f t="shared" si="242"/>
        <v>5.1_1.10.13</v>
      </c>
      <c r="E390" s="56" t="s">
        <v>181</v>
      </c>
      <c r="F390" s="506" t="s">
        <v>174</v>
      </c>
      <c r="G390" s="507" t="s">
        <v>147</v>
      </c>
      <c r="H390" s="507" t="s">
        <v>39</v>
      </c>
      <c r="I390" s="507" t="s">
        <v>175</v>
      </c>
      <c r="J390" s="507" t="s">
        <v>39</v>
      </c>
      <c r="K390" s="507">
        <v>200</v>
      </c>
      <c r="L390" s="507" t="s">
        <v>125</v>
      </c>
      <c r="M390" s="507" t="s">
        <v>114</v>
      </c>
      <c r="N390" s="507" t="s">
        <v>140</v>
      </c>
      <c r="O390" s="57" t="s">
        <v>182</v>
      </c>
      <c r="P390" s="58" t="s">
        <v>21</v>
      </c>
      <c r="Q390" s="59" t="s">
        <v>183</v>
      </c>
      <c r="R390" s="60" t="s">
        <v>71</v>
      </c>
      <c r="S390" s="61">
        <v>9</v>
      </c>
      <c r="T390" s="62">
        <f>INDEX('BM MORRO DA CRUZ'!$P$6:$P$402,MATCH($O390,'BM MORRO DA CRUZ'!$K$6:$K$402,0))</f>
        <v>2692.06</v>
      </c>
      <c r="U390" s="63">
        <f t="shared" si="243"/>
        <v>24228.54</v>
      </c>
      <c r="V390" s="61">
        <f>IFERROR(SUMIFS('01ª MC'!$W$1:$W$1840,'01ª MC'!$C$1:$C$1840,$D390),0)</f>
        <v>0</v>
      </c>
      <c r="W390" s="63">
        <f t="shared" si="244"/>
        <v>0</v>
      </c>
      <c r="X390" s="61">
        <v>0</v>
      </c>
      <c r="Y390" s="63">
        <f t="shared" si="245"/>
        <v>0</v>
      </c>
      <c r="Z390" s="61">
        <v>0</v>
      </c>
      <c r="AA390" s="63">
        <f t="shared" si="246"/>
        <v>0</v>
      </c>
      <c r="AB390" s="61">
        <v>0</v>
      </c>
      <c r="AC390" s="63">
        <f t="shared" si="247"/>
        <v>0</v>
      </c>
      <c r="AD390" s="61">
        <v>0</v>
      </c>
      <c r="AE390" s="63">
        <f t="shared" si="248"/>
        <v>0</v>
      </c>
      <c r="AF390" s="61">
        <v>0</v>
      </c>
      <c r="AG390" s="63">
        <f t="shared" si="249"/>
        <v>0</v>
      </c>
      <c r="AH390" s="61">
        <v>0</v>
      </c>
      <c r="AI390" s="63">
        <f t="shared" si="250"/>
        <v>0</v>
      </c>
      <c r="AJ390" s="61">
        <v>0</v>
      </c>
      <c r="AK390" s="63">
        <f t="shared" si="251"/>
        <v>0</v>
      </c>
      <c r="AL390" s="61">
        <v>0</v>
      </c>
      <c r="AM390" s="63">
        <f t="shared" si="252"/>
        <v>0</v>
      </c>
      <c r="AN390" s="61">
        <v>0</v>
      </c>
      <c r="AO390" s="63">
        <f t="shared" si="253"/>
        <v>0</v>
      </c>
      <c r="AP390" s="61">
        <v>0</v>
      </c>
      <c r="AQ390" s="63">
        <f t="shared" si="254"/>
        <v>0</v>
      </c>
      <c r="AR390" s="61">
        <v>0</v>
      </c>
      <c r="AS390" s="63">
        <f t="shared" si="255"/>
        <v>0</v>
      </c>
      <c r="AT390" s="61">
        <v>0</v>
      </c>
      <c r="AU390" s="63">
        <f t="shared" si="256"/>
        <v>0</v>
      </c>
      <c r="AV390" s="61">
        <v>0</v>
      </c>
      <c r="AW390" s="63">
        <f t="shared" si="257"/>
        <v>0</v>
      </c>
      <c r="AX390" s="61">
        <v>0</v>
      </c>
      <c r="AY390" s="63">
        <f t="shared" si="258"/>
        <v>0</v>
      </c>
      <c r="AZ390" s="61">
        <v>0</v>
      </c>
      <c r="BA390" s="63">
        <f t="shared" si="259"/>
        <v>0</v>
      </c>
      <c r="BB390" s="61">
        <v>0</v>
      </c>
      <c r="BC390" s="63">
        <f t="shared" si="260"/>
        <v>0</v>
      </c>
      <c r="BD390" s="61">
        <v>0</v>
      </c>
      <c r="BE390" s="63">
        <f t="shared" si="261"/>
        <v>0</v>
      </c>
      <c r="BF390" s="61">
        <f t="shared" si="262"/>
        <v>0</v>
      </c>
      <c r="BG390" s="63">
        <f t="shared" si="263"/>
        <v>0</v>
      </c>
      <c r="BH390" s="45"/>
      <c r="BI390" s="144"/>
    </row>
    <row r="391" spans="1:61" ht="38.25" customHeight="1" x14ac:dyDescent="0.45">
      <c r="A391" s="140">
        <v>5</v>
      </c>
      <c r="B391" s="141" t="s">
        <v>850</v>
      </c>
      <c r="C391" s="142" t="s">
        <v>1488</v>
      </c>
      <c r="D391" s="143" t="str">
        <f t="shared" si="242"/>
        <v>5.1_1.10.14</v>
      </c>
      <c r="E391" s="56" t="s">
        <v>184</v>
      </c>
      <c r="F391" s="506" t="s">
        <v>174</v>
      </c>
      <c r="G391" s="507" t="s">
        <v>147</v>
      </c>
      <c r="H391" s="507" t="s">
        <v>39</v>
      </c>
      <c r="I391" s="507" t="s">
        <v>175</v>
      </c>
      <c r="J391" s="507" t="s">
        <v>39</v>
      </c>
      <c r="K391" s="507">
        <v>250</v>
      </c>
      <c r="L391" s="507" t="s">
        <v>125</v>
      </c>
      <c r="M391" s="507" t="s">
        <v>114</v>
      </c>
      <c r="N391" s="507" t="s">
        <v>140</v>
      </c>
      <c r="O391" s="57" t="s">
        <v>185</v>
      </c>
      <c r="P391" s="58" t="s">
        <v>21</v>
      </c>
      <c r="Q391" s="59" t="s">
        <v>186</v>
      </c>
      <c r="R391" s="60" t="s">
        <v>71</v>
      </c>
      <c r="S391" s="61">
        <v>3</v>
      </c>
      <c r="T391" s="62">
        <f>INDEX('BM MORRO DA CRUZ'!$P$6:$P$402,MATCH($O391,'BM MORRO DA CRUZ'!$K$6:$K$402,0))</f>
        <v>3538.73</v>
      </c>
      <c r="U391" s="63">
        <f t="shared" si="243"/>
        <v>10616.19</v>
      </c>
      <c r="V391" s="61">
        <f>IFERROR(SUMIFS('01ª MC'!$W$1:$W$1840,'01ª MC'!$C$1:$C$1840,$D391),0)</f>
        <v>0</v>
      </c>
      <c r="W391" s="63">
        <f t="shared" si="244"/>
        <v>0</v>
      </c>
      <c r="X391" s="61">
        <v>0</v>
      </c>
      <c r="Y391" s="63">
        <f t="shared" si="245"/>
        <v>0</v>
      </c>
      <c r="Z391" s="61">
        <v>0</v>
      </c>
      <c r="AA391" s="63">
        <f t="shared" si="246"/>
        <v>0</v>
      </c>
      <c r="AB391" s="61">
        <v>0</v>
      </c>
      <c r="AC391" s="63">
        <f t="shared" si="247"/>
        <v>0</v>
      </c>
      <c r="AD391" s="61">
        <v>0</v>
      </c>
      <c r="AE391" s="63">
        <f t="shared" si="248"/>
        <v>0</v>
      </c>
      <c r="AF391" s="61">
        <v>0</v>
      </c>
      <c r="AG391" s="63">
        <f t="shared" si="249"/>
        <v>0</v>
      </c>
      <c r="AH391" s="61">
        <v>0</v>
      </c>
      <c r="AI391" s="63">
        <f t="shared" si="250"/>
        <v>0</v>
      </c>
      <c r="AJ391" s="61">
        <v>0</v>
      </c>
      <c r="AK391" s="63">
        <f t="shared" si="251"/>
        <v>0</v>
      </c>
      <c r="AL391" s="61">
        <v>0</v>
      </c>
      <c r="AM391" s="63">
        <f t="shared" si="252"/>
        <v>0</v>
      </c>
      <c r="AN391" s="61">
        <v>0</v>
      </c>
      <c r="AO391" s="63">
        <f t="shared" si="253"/>
        <v>0</v>
      </c>
      <c r="AP391" s="61">
        <v>0</v>
      </c>
      <c r="AQ391" s="63">
        <f t="shared" si="254"/>
        <v>0</v>
      </c>
      <c r="AR391" s="61">
        <v>0</v>
      </c>
      <c r="AS391" s="63">
        <f t="shared" si="255"/>
        <v>0</v>
      </c>
      <c r="AT391" s="61">
        <v>0</v>
      </c>
      <c r="AU391" s="63">
        <f t="shared" si="256"/>
        <v>0</v>
      </c>
      <c r="AV391" s="61">
        <v>0</v>
      </c>
      <c r="AW391" s="63">
        <f t="shared" si="257"/>
        <v>0</v>
      </c>
      <c r="AX391" s="61">
        <v>0</v>
      </c>
      <c r="AY391" s="63">
        <f t="shared" si="258"/>
        <v>0</v>
      </c>
      <c r="AZ391" s="61">
        <v>0</v>
      </c>
      <c r="BA391" s="63">
        <f t="shared" si="259"/>
        <v>0</v>
      </c>
      <c r="BB391" s="61">
        <v>0</v>
      </c>
      <c r="BC391" s="63">
        <f t="shared" si="260"/>
        <v>0</v>
      </c>
      <c r="BD391" s="61">
        <v>0</v>
      </c>
      <c r="BE391" s="63">
        <f t="shared" si="261"/>
        <v>0</v>
      </c>
      <c r="BF391" s="61">
        <f t="shared" si="262"/>
        <v>0</v>
      </c>
      <c r="BG391" s="63">
        <f t="shared" si="263"/>
        <v>0</v>
      </c>
      <c r="BH391" s="45"/>
      <c r="BI391" s="144"/>
    </row>
    <row r="392" spans="1:61" ht="38.25" customHeight="1" x14ac:dyDescent="0.45">
      <c r="A392" s="140">
        <v>5</v>
      </c>
      <c r="B392" s="141" t="s">
        <v>850</v>
      </c>
      <c r="C392" s="142" t="s">
        <v>1488</v>
      </c>
      <c r="D392" s="143" t="str">
        <f t="shared" si="242"/>
        <v>5.1_1.10.15</v>
      </c>
      <c r="E392" s="56" t="s">
        <v>187</v>
      </c>
      <c r="F392" s="506" t="s">
        <v>174</v>
      </c>
      <c r="G392" s="507" t="s">
        <v>147</v>
      </c>
      <c r="H392" s="507" t="s">
        <v>39</v>
      </c>
      <c r="I392" s="507" t="s">
        <v>175</v>
      </c>
      <c r="J392" s="507" t="s">
        <v>39</v>
      </c>
      <c r="K392" s="507">
        <v>50</v>
      </c>
      <c r="L392" s="507" t="s">
        <v>125</v>
      </c>
      <c r="M392" s="507" t="s">
        <v>114</v>
      </c>
      <c r="N392" s="507" t="s">
        <v>140</v>
      </c>
      <c r="O392" s="57" t="s">
        <v>188</v>
      </c>
      <c r="P392" s="58" t="s">
        <v>21</v>
      </c>
      <c r="Q392" s="59" t="s">
        <v>189</v>
      </c>
      <c r="R392" s="60" t="s">
        <v>71</v>
      </c>
      <c r="S392" s="61">
        <v>81</v>
      </c>
      <c r="T392" s="62">
        <f>INDEX('BM MORRO DA CRUZ'!$P$6:$P$402,MATCH($O392,'BM MORRO DA CRUZ'!$K$6:$K$402,0))</f>
        <v>551.46</v>
      </c>
      <c r="U392" s="63">
        <f t="shared" si="243"/>
        <v>44668.26</v>
      </c>
      <c r="V392" s="61">
        <f>IFERROR(SUMIFS('01ª MC'!$W$1:$W$1840,'01ª MC'!$C$1:$C$1840,$D392),0)</f>
        <v>0</v>
      </c>
      <c r="W392" s="63">
        <f t="shared" si="244"/>
        <v>0</v>
      </c>
      <c r="X392" s="61">
        <v>0</v>
      </c>
      <c r="Y392" s="63">
        <f t="shared" si="245"/>
        <v>0</v>
      </c>
      <c r="Z392" s="61">
        <v>0</v>
      </c>
      <c r="AA392" s="63">
        <f t="shared" si="246"/>
        <v>0</v>
      </c>
      <c r="AB392" s="61">
        <v>0</v>
      </c>
      <c r="AC392" s="63">
        <f t="shared" si="247"/>
        <v>0</v>
      </c>
      <c r="AD392" s="61">
        <v>0</v>
      </c>
      <c r="AE392" s="63">
        <f t="shared" si="248"/>
        <v>0</v>
      </c>
      <c r="AF392" s="61">
        <v>0</v>
      </c>
      <c r="AG392" s="63">
        <f t="shared" si="249"/>
        <v>0</v>
      </c>
      <c r="AH392" s="61">
        <v>0</v>
      </c>
      <c r="AI392" s="63">
        <f t="shared" si="250"/>
        <v>0</v>
      </c>
      <c r="AJ392" s="61">
        <v>0</v>
      </c>
      <c r="AK392" s="63">
        <f t="shared" si="251"/>
        <v>0</v>
      </c>
      <c r="AL392" s="61">
        <v>0</v>
      </c>
      <c r="AM392" s="63">
        <f t="shared" si="252"/>
        <v>0</v>
      </c>
      <c r="AN392" s="61">
        <v>0</v>
      </c>
      <c r="AO392" s="63">
        <f t="shared" si="253"/>
        <v>0</v>
      </c>
      <c r="AP392" s="61">
        <v>0</v>
      </c>
      <c r="AQ392" s="63">
        <f t="shared" si="254"/>
        <v>0</v>
      </c>
      <c r="AR392" s="61">
        <v>0</v>
      </c>
      <c r="AS392" s="63">
        <f t="shared" si="255"/>
        <v>0</v>
      </c>
      <c r="AT392" s="61">
        <v>0</v>
      </c>
      <c r="AU392" s="63">
        <f t="shared" si="256"/>
        <v>0</v>
      </c>
      <c r="AV392" s="61">
        <v>0</v>
      </c>
      <c r="AW392" s="63">
        <f t="shared" si="257"/>
        <v>0</v>
      </c>
      <c r="AX392" s="61">
        <v>0</v>
      </c>
      <c r="AY392" s="63">
        <f t="shared" si="258"/>
        <v>0</v>
      </c>
      <c r="AZ392" s="61">
        <v>0</v>
      </c>
      <c r="BA392" s="63">
        <f t="shared" si="259"/>
        <v>0</v>
      </c>
      <c r="BB392" s="61">
        <v>0</v>
      </c>
      <c r="BC392" s="63">
        <f t="shared" si="260"/>
        <v>0</v>
      </c>
      <c r="BD392" s="61">
        <v>0</v>
      </c>
      <c r="BE392" s="63">
        <f t="shared" si="261"/>
        <v>0</v>
      </c>
      <c r="BF392" s="61">
        <f t="shared" si="262"/>
        <v>0</v>
      </c>
      <c r="BG392" s="63">
        <f t="shared" si="263"/>
        <v>0</v>
      </c>
      <c r="BH392" s="45"/>
      <c r="BI392" s="144"/>
    </row>
    <row r="393" spans="1:61" ht="38.25" customHeight="1" x14ac:dyDescent="0.45">
      <c r="A393" s="140">
        <v>5</v>
      </c>
      <c r="B393" s="141" t="s">
        <v>850</v>
      </c>
      <c r="C393" s="142" t="s">
        <v>1488</v>
      </c>
      <c r="D393" s="143" t="str">
        <f t="shared" si="242"/>
        <v>5.1_1.10.16</v>
      </c>
      <c r="E393" s="56" t="s">
        <v>190</v>
      </c>
      <c r="F393" s="506" t="s">
        <v>174</v>
      </c>
      <c r="G393" s="507" t="s">
        <v>147</v>
      </c>
      <c r="H393" s="507" t="s">
        <v>39</v>
      </c>
      <c r="I393" s="507" t="s">
        <v>175</v>
      </c>
      <c r="J393" s="507" t="s">
        <v>39</v>
      </c>
      <c r="K393" s="507">
        <v>80</v>
      </c>
      <c r="L393" s="507" t="s">
        <v>125</v>
      </c>
      <c r="M393" s="507" t="s">
        <v>114</v>
      </c>
      <c r="N393" s="507" t="s">
        <v>140</v>
      </c>
      <c r="O393" s="57" t="s">
        <v>191</v>
      </c>
      <c r="P393" s="58" t="s">
        <v>21</v>
      </c>
      <c r="Q393" s="59" t="s">
        <v>192</v>
      </c>
      <c r="R393" s="60" t="s">
        <v>71</v>
      </c>
      <c r="S393" s="61">
        <v>35</v>
      </c>
      <c r="T393" s="62">
        <f>INDEX('BM MORRO DA CRUZ'!$P$6:$P$402,MATCH($O393,'BM MORRO DA CRUZ'!$K$6:$K$402,0))</f>
        <v>745.07</v>
      </c>
      <c r="U393" s="63">
        <f t="shared" si="243"/>
        <v>26077.45</v>
      </c>
      <c r="V393" s="61">
        <f>IFERROR(SUMIFS('01ª MC'!$W$1:$W$1840,'01ª MC'!$C$1:$C$1840,$D393),0)</f>
        <v>0</v>
      </c>
      <c r="W393" s="63">
        <f t="shared" si="244"/>
        <v>0</v>
      </c>
      <c r="X393" s="61">
        <v>0</v>
      </c>
      <c r="Y393" s="63">
        <f t="shared" si="245"/>
        <v>0</v>
      </c>
      <c r="Z393" s="61">
        <v>0</v>
      </c>
      <c r="AA393" s="63">
        <f t="shared" si="246"/>
        <v>0</v>
      </c>
      <c r="AB393" s="61">
        <v>0</v>
      </c>
      <c r="AC393" s="63">
        <f t="shared" si="247"/>
        <v>0</v>
      </c>
      <c r="AD393" s="61">
        <v>0</v>
      </c>
      <c r="AE393" s="63">
        <f t="shared" si="248"/>
        <v>0</v>
      </c>
      <c r="AF393" s="61">
        <v>0</v>
      </c>
      <c r="AG393" s="63">
        <f t="shared" si="249"/>
        <v>0</v>
      </c>
      <c r="AH393" s="61">
        <v>0</v>
      </c>
      <c r="AI393" s="63">
        <f t="shared" si="250"/>
        <v>0</v>
      </c>
      <c r="AJ393" s="61">
        <v>0</v>
      </c>
      <c r="AK393" s="63">
        <f t="shared" si="251"/>
        <v>0</v>
      </c>
      <c r="AL393" s="61">
        <v>0</v>
      </c>
      <c r="AM393" s="63">
        <f t="shared" si="252"/>
        <v>0</v>
      </c>
      <c r="AN393" s="61">
        <v>0</v>
      </c>
      <c r="AO393" s="63">
        <f t="shared" si="253"/>
        <v>0</v>
      </c>
      <c r="AP393" s="61">
        <v>0</v>
      </c>
      <c r="AQ393" s="63">
        <f t="shared" si="254"/>
        <v>0</v>
      </c>
      <c r="AR393" s="61">
        <v>0</v>
      </c>
      <c r="AS393" s="63">
        <f t="shared" si="255"/>
        <v>0</v>
      </c>
      <c r="AT393" s="61">
        <v>0</v>
      </c>
      <c r="AU393" s="63">
        <f t="shared" si="256"/>
        <v>0</v>
      </c>
      <c r="AV393" s="61">
        <v>0</v>
      </c>
      <c r="AW393" s="63">
        <f t="shared" si="257"/>
        <v>0</v>
      </c>
      <c r="AX393" s="61">
        <v>0</v>
      </c>
      <c r="AY393" s="63">
        <f t="shared" si="258"/>
        <v>0</v>
      </c>
      <c r="AZ393" s="61">
        <v>0</v>
      </c>
      <c r="BA393" s="63">
        <f t="shared" si="259"/>
        <v>0</v>
      </c>
      <c r="BB393" s="61">
        <v>0</v>
      </c>
      <c r="BC393" s="63">
        <f t="shared" si="260"/>
        <v>0</v>
      </c>
      <c r="BD393" s="61">
        <v>0</v>
      </c>
      <c r="BE393" s="63">
        <f t="shared" si="261"/>
        <v>0</v>
      </c>
      <c r="BF393" s="61">
        <f t="shared" si="262"/>
        <v>0</v>
      </c>
      <c r="BG393" s="63">
        <f t="shared" si="263"/>
        <v>0</v>
      </c>
      <c r="BH393" s="45"/>
      <c r="BI393" s="144"/>
    </row>
    <row r="394" spans="1:61" ht="50.25" customHeight="1" x14ac:dyDescent="0.45">
      <c r="A394" s="140">
        <v>5</v>
      </c>
      <c r="B394" s="141" t="s">
        <v>850</v>
      </c>
      <c r="C394" s="142" t="s">
        <v>1488</v>
      </c>
      <c r="D394" s="143" t="str">
        <f t="shared" si="242"/>
        <v>5.1_1.10.17</v>
      </c>
      <c r="E394" s="56" t="s">
        <v>193</v>
      </c>
      <c r="F394" s="506" t="s">
        <v>194</v>
      </c>
      <c r="G394" s="507" t="s">
        <v>111</v>
      </c>
      <c r="H394" s="507" t="s">
        <v>39</v>
      </c>
      <c r="I394" s="507" t="s">
        <v>155</v>
      </c>
      <c r="J394" s="507" t="s">
        <v>39</v>
      </c>
      <c r="K394" s="507">
        <v>300</v>
      </c>
      <c r="L394" s="507" t="s">
        <v>125</v>
      </c>
      <c r="M394" s="507" t="s">
        <v>114</v>
      </c>
      <c r="N394" s="507" t="s">
        <v>140</v>
      </c>
      <c r="O394" s="57" t="s">
        <v>195</v>
      </c>
      <c r="P394" s="58" t="s">
        <v>21</v>
      </c>
      <c r="Q394" s="59" t="s">
        <v>196</v>
      </c>
      <c r="R394" s="60" t="s">
        <v>71</v>
      </c>
      <c r="S394" s="61">
        <v>1</v>
      </c>
      <c r="T394" s="62">
        <f>INDEX('BM MORRO DA CRUZ'!$P$6:$P$402,MATCH($O394,'BM MORRO DA CRUZ'!$K$6:$K$402,0))</f>
        <v>29340</v>
      </c>
      <c r="U394" s="63">
        <f t="shared" si="243"/>
        <v>29340</v>
      </c>
      <c r="V394" s="61">
        <f>IFERROR(SUMIFS('01ª MC'!$W$1:$W$1840,'01ª MC'!$C$1:$C$1840,$D394),0)</f>
        <v>0</v>
      </c>
      <c r="W394" s="63">
        <f t="shared" si="244"/>
        <v>0</v>
      </c>
      <c r="X394" s="61">
        <v>0</v>
      </c>
      <c r="Y394" s="63">
        <f t="shared" si="245"/>
        <v>0</v>
      </c>
      <c r="Z394" s="61">
        <v>0</v>
      </c>
      <c r="AA394" s="63">
        <f t="shared" si="246"/>
        <v>0</v>
      </c>
      <c r="AB394" s="61">
        <v>0</v>
      </c>
      <c r="AC394" s="63">
        <f t="shared" si="247"/>
        <v>0</v>
      </c>
      <c r="AD394" s="61">
        <v>0</v>
      </c>
      <c r="AE394" s="63">
        <f t="shared" si="248"/>
        <v>0</v>
      </c>
      <c r="AF394" s="61">
        <v>0</v>
      </c>
      <c r="AG394" s="63">
        <f t="shared" si="249"/>
        <v>0</v>
      </c>
      <c r="AH394" s="61">
        <v>0</v>
      </c>
      <c r="AI394" s="63">
        <f t="shared" si="250"/>
        <v>0</v>
      </c>
      <c r="AJ394" s="61">
        <v>0</v>
      </c>
      <c r="AK394" s="63">
        <f t="shared" si="251"/>
        <v>0</v>
      </c>
      <c r="AL394" s="61">
        <v>0</v>
      </c>
      <c r="AM394" s="63">
        <f t="shared" si="252"/>
        <v>0</v>
      </c>
      <c r="AN394" s="61">
        <v>0</v>
      </c>
      <c r="AO394" s="63">
        <f t="shared" si="253"/>
        <v>0</v>
      </c>
      <c r="AP394" s="61">
        <v>0</v>
      </c>
      <c r="AQ394" s="63">
        <f t="shared" si="254"/>
        <v>0</v>
      </c>
      <c r="AR394" s="61">
        <v>0</v>
      </c>
      <c r="AS394" s="63">
        <f t="shared" si="255"/>
        <v>0</v>
      </c>
      <c r="AT394" s="61">
        <v>0</v>
      </c>
      <c r="AU394" s="63">
        <f t="shared" si="256"/>
        <v>0</v>
      </c>
      <c r="AV394" s="61">
        <v>0</v>
      </c>
      <c r="AW394" s="63">
        <f t="shared" si="257"/>
        <v>0</v>
      </c>
      <c r="AX394" s="61">
        <v>0</v>
      </c>
      <c r="AY394" s="63">
        <f t="shared" si="258"/>
        <v>0</v>
      </c>
      <c r="AZ394" s="61">
        <v>0</v>
      </c>
      <c r="BA394" s="63">
        <f t="shared" si="259"/>
        <v>0</v>
      </c>
      <c r="BB394" s="61">
        <v>0</v>
      </c>
      <c r="BC394" s="63">
        <f t="shared" si="260"/>
        <v>0</v>
      </c>
      <c r="BD394" s="61">
        <v>0</v>
      </c>
      <c r="BE394" s="63">
        <f t="shared" si="261"/>
        <v>0</v>
      </c>
      <c r="BF394" s="61">
        <f t="shared" si="262"/>
        <v>0</v>
      </c>
      <c r="BG394" s="63">
        <f t="shared" si="263"/>
        <v>0</v>
      </c>
      <c r="BH394" s="45"/>
      <c r="BI394" s="144"/>
    </row>
    <row r="395" spans="1:61" ht="26.25" customHeight="1" x14ac:dyDescent="0.45">
      <c r="A395" s="140">
        <v>5</v>
      </c>
      <c r="B395" s="141" t="s">
        <v>850</v>
      </c>
      <c r="C395" s="142" t="s">
        <v>1488</v>
      </c>
      <c r="D395" s="143" t="str">
        <f t="shared" si="242"/>
        <v>5.1_1.10.18</v>
      </c>
      <c r="E395" s="56" t="s">
        <v>197</v>
      </c>
      <c r="F395" s="506" t="s">
        <v>198</v>
      </c>
      <c r="G395" s="507" t="s">
        <v>111</v>
      </c>
      <c r="H395" s="507" t="s">
        <v>39</v>
      </c>
      <c r="I395" s="507" t="s">
        <v>199</v>
      </c>
      <c r="J395" s="507" t="s">
        <v>39</v>
      </c>
      <c r="K395" s="507">
        <v>50</v>
      </c>
      <c r="L395" s="507" t="s">
        <v>125</v>
      </c>
      <c r="M395" s="507" t="s">
        <v>114</v>
      </c>
      <c r="N395" s="507" t="s">
        <v>140</v>
      </c>
      <c r="O395" s="57" t="s">
        <v>200</v>
      </c>
      <c r="P395" s="58" t="s">
        <v>21</v>
      </c>
      <c r="Q395" s="59" t="s">
        <v>201</v>
      </c>
      <c r="R395" s="60" t="s">
        <v>71</v>
      </c>
      <c r="S395" s="61">
        <v>26</v>
      </c>
      <c r="T395" s="62">
        <f>INDEX('BM MORRO DA CRUZ'!$P$6:$P$402,MATCH($O395,'BM MORRO DA CRUZ'!$K$6:$K$402,0))</f>
        <v>604.83000000000004</v>
      </c>
      <c r="U395" s="63">
        <f t="shared" si="243"/>
        <v>15725.58</v>
      </c>
      <c r="V395" s="61">
        <f>IFERROR(SUMIFS('01ª MC'!$W$1:$W$1840,'01ª MC'!$C$1:$C$1840,$D395),0)</f>
        <v>0</v>
      </c>
      <c r="W395" s="63">
        <f t="shared" si="244"/>
        <v>0</v>
      </c>
      <c r="X395" s="61">
        <v>0</v>
      </c>
      <c r="Y395" s="63">
        <f t="shared" si="245"/>
        <v>0</v>
      </c>
      <c r="Z395" s="61">
        <v>0</v>
      </c>
      <c r="AA395" s="63">
        <f t="shared" si="246"/>
        <v>0</v>
      </c>
      <c r="AB395" s="61">
        <v>0</v>
      </c>
      <c r="AC395" s="63">
        <f t="shared" si="247"/>
        <v>0</v>
      </c>
      <c r="AD395" s="61">
        <v>0</v>
      </c>
      <c r="AE395" s="63">
        <f t="shared" si="248"/>
        <v>0</v>
      </c>
      <c r="AF395" s="61">
        <v>0</v>
      </c>
      <c r="AG395" s="63">
        <f t="shared" si="249"/>
        <v>0</v>
      </c>
      <c r="AH395" s="61">
        <v>0</v>
      </c>
      <c r="AI395" s="63">
        <f t="shared" si="250"/>
        <v>0</v>
      </c>
      <c r="AJ395" s="61">
        <v>0</v>
      </c>
      <c r="AK395" s="63">
        <f t="shared" si="251"/>
        <v>0</v>
      </c>
      <c r="AL395" s="61">
        <v>0</v>
      </c>
      <c r="AM395" s="63">
        <f t="shared" si="252"/>
        <v>0</v>
      </c>
      <c r="AN395" s="61">
        <v>0</v>
      </c>
      <c r="AO395" s="63">
        <f t="shared" si="253"/>
        <v>0</v>
      </c>
      <c r="AP395" s="61">
        <v>0</v>
      </c>
      <c r="AQ395" s="63">
        <f t="shared" si="254"/>
        <v>0</v>
      </c>
      <c r="AR395" s="61">
        <v>0</v>
      </c>
      <c r="AS395" s="63">
        <f t="shared" si="255"/>
        <v>0</v>
      </c>
      <c r="AT395" s="61">
        <v>0</v>
      </c>
      <c r="AU395" s="63">
        <f t="shared" si="256"/>
        <v>0</v>
      </c>
      <c r="AV395" s="61">
        <v>0</v>
      </c>
      <c r="AW395" s="63">
        <f t="shared" si="257"/>
        <v>0</v>
      </c>
      <c r="AX395" s="61">
        <v>0</v>
      </c>
      <c r="AY395" s="63">
        <f t="shared" si="258"/>
        <v>0</v>
      </c>
      <c r="AZ395" s="61">
        <v>0</v>
      </c>
      <c r="BA395" s="63">
        <f t="shared" si="259"/>
        <v>0</v>
      </c>
      <c r="BB395" s="61">
        <v>0</v>
      </c>
      <c r="BC395" s="63">
        <f t="shared" si="260"/>
        <v>0</v>
      </c>
      <c r="BD395" s="61">
        <v>0</v>
      </c>
      <c r="BE395" s="63">
        <f t="shared" si="261"/>
        <v>0</v>
      </c>
      <c r="BF395" s="61">
        <f t="shared" si="262"/>
        <v>0</v>
      </c>
      <c r="BG395" s="63">
        <f t="shared" si="263"/>
        <v>0</v>
      </c>
      <c r="BH395" s="45"/>
      <c r="BI395" s="144"/>
    </row>
    <row r="396" spans="1:61" ht="19.5" customHeight="1" x14ac:dyDescent="0.45">
      <c r="A396" s="128">
        <v>5</v>
      </c>
      <c r="B396" s="129"/>
      <c r="C396" s="130"/>
      <c r="D396" s="131"/>
      <c r="E396" s="132" t="s">
        <v>219</v>
      </c>
      <c r="F396" s="515"/>
      <c r="G396" s="516"/>
      <c r="H396" s="516"/>
      <c r="I396" s="516"/>
      <c r="J396" s="516"/>
      <c r="K396" s="516"/>
      <c r="L396" s="516"/>
      <c r="M396" s="516"/>
      <c r="N396" s="516"/>
      <c r="O396" s="133" t="s">
        <v>220</v>
      </c>
      <c r="P396" s="134"/>
      <c r="Q396" s="135" t="s">
        <v>221</v>
      </c>
      <c r="R396" s="136"/>
      <c r="S396" s="137"/>
      <c r="T396" s="138"/>
      <c r="U396" s="139">
        <f>SUM(U397:U404)</f>
        <v>40620.110000000008</v>
      </c>
      <c r="V396" s="137"/>
      <c r="W396" s="139">
        <f>SUM(W397:W404)</f>
        <v>0</v>
      </c>
      <c r="X396" s="137"/>
      <c r="Y396" s="139">
        <f>SUM(Y397:Y404)</f>
        <v>0</v>
      </c>
      <c r="Z396" s="137"/>
      <c r="AA396" s="139">
        <f>SUM(AA397:AA404)</f>
        <v>0</v>
      </c>
      <c r="AB396" s="137"/>
      <c r="AC396" s="139">
        <f>SUM(AC397:AC404)</f>
        <v>0</v>
      </c>
      <c r="AD396" s="137"/>
      <c r="AE396" s="139">
        <f>SUM(AE397:AE404)</f>
        <v>0</v>
      </c>
      <c r="AF396" s="137"/>
      <c r="AG396" s="139">
        <f>SUM(AG397:AG404)</f>
        <v>0</v>
      </c>
      <c r="AH396" s="137"/>
      <c r="AI396" s="139">
        <f>SUM(AI397:AI404)</f>
        <v>0</v>
      </c>
      <c r="AJ396" s="137"/>
      <c r="AK396" s="139">
        <f>SUM(AK397:AK404)</f>
        <v>0</v>
      </c>
      <c r="AL396" s="137"/>
      <c r="AM396" s="139">
        <f>SUM(AM397:AM404)</f>
        <v>0</v>
      </c>
      <c r="AN396" s="137"/>
      <c r="AO396" s="139">
        <f>SUM(AO397:AO404)</f>
        <v>0</v>
      </c>
      <c r="AP396" s="137"/>
      <c r="AQ396" s="139">
        <f>SUM(AQ397:AQ404)</f>
        <v>0</v>
      </c>
      <c r="AR396" s="137"/>
      <c r="AS396" s="139">
        <f>SUM(AS397:AS404)</f>
        <v>0</v>
      </c>
      <c r="AT396" s="137"/>
      <c r="AU396" s="139">
        <f>SUM(AU397:AU404)</f>
        <v>0</v>
      </c>
      <c r="AV396" s="137"/>
      <c r="AW396" s="139">
        <f>SUM(AW397:AW404)</f>
        <v>0</v>
      </c>
      <c r="AX396" s="137"/>
      <c r="AY396" s="139">
        <f>SUM(AY397:AY404)</f>
        <v>0</v>
      </c>
      <c r="AZ396" s="137"/>
      <c r="BA396" s="139">
        <f>SUM(BA397:BA404)</f>
        <v>0</v>
      </c>
      <c r="BB396" s="137"/>
      <c r="BC396" s="139">
        <f>SUM(BC397:BC404)</f>
        <v>0</v>
      </c>
      <c r="BD396" s="137"/>
      <c r="BE396" s="139">
        <f>SUM(BE397:BE404)</f>
        <v>0</v>
      </c>
      <c r="BF396" s="137"/>
      <c r="BG396" s="139">
        <f>SUM(BG397:BG404)</f>
        <v>0</v>
      </c>
      <c r="BH396" s="45"/>
    </row>
    <row r="397" spans="1:61" ht="26" customHeight="1" x14ac:dyDescent="0.45">
      <c r="A397" s="140">
        <v>5</v>
      </c>
      <c r="B397" s="141" t="s">
        <v>850</v>
      </c>
      <c r="C397" s="142" t="s">
        <v>1488</v>
      </c>
      <c r="D397" s="143" t="str">
        <f t="shared" ref="D397:D404" si="264">B397&amp;"_"&amp;E397</f>
        <v>5.1_1.12.1</v>
      </c>
      <c r="E397" s="56" t="s">
        <v>222</v>
      </c>
      <c r="F397" s="506" t="s">
        <v>223</v>
      </c>
      <c r="G397" s="507" t="s">
        <v>111</v>
      </c>
      <c r="H397" s="507" t="s">
        <v>224</v>
      </c>
      <c r="I397" s="507" t="s">
        <v>225</v>
      </c>
      <c r="J397" s="507" t="s">
        <v>39</v>
      </c>
      <c r="K397" s="507">
        <v>110</v>
      </c>
      <c r="L397" s="507" t="s">
        <v>267</v>
      </c>
      <c r="M397" s="507" t="s">
        <v>114</v>
      </c>
      <c r="N397" s="507" t="s">
        <v>41</v>
      </c>
      <c r="O397" s="57" t="s">
        <v>227</v>
      </c>
      <c r="P397" s="58" t="s">
        <v>21</v>
      </c>
      <c r="Q397" s="59" t="s">
        <v>228</v>
      </c>
      <c r="R397" s="60" t="s">
        <v>71</v>
      </c>
      <c r="S397" s="61">
        <v>6</v>
      </c>
      <c r="T397" s="62">
        <f>INDEX('BM MORRO DA CRUZ'!$P$6:$P$402,MATCH($O397,'BM MORRO DA CRUZ'!$K$6:$K$402,0))</f>
        <v>154.77000000000001</v>
      </c>
      <c r="U397" s="63">
        <f t="shared" ref="U397:U404" si="265">ROUND(T397*$S397,2)</f>
        <v>928.62</v>
      </c>
      <c r="V397" s="61">
        <f>IFERROR(SUMIFS('01ª MC'!$W$1:$W$1840,'01ª MC'!$C$1:$C$1840,$D397),0)</f>
        <v>0</v>
      </c>
      <c r="W397" s="63">
        <f t="shared" ref="W397:W404" si="266">ROUND(V397*$T397,2)</f>
        <v>0</v>
      </c>
      <c r="X397" s="61">
        <v>0</v>
      </c>
      <c r="Y397" s="63">
        <f t="shared" ref="Y397:Y404" si="267">ROUND(X397*$T397,2)</f>
        <v>0</v>
      </c>
      <c r="Z397" s="61">
        <v>0</v>
      </c>
      <c r="AA397" s="63">
        <f t="shared" ref="AA397:AA404" si="268">ROUND(Z397*$T397,2)</f>
        <v>0</v>
      </c>
      <c r="AB397" s="61">
        <v>0</v>
      </c>
      <c r="AC397" s="63">
        <f t="shared" ref="AC397:AC404" si="269">ROUND(AB397*$T397,2)</f>
        <v>0</v>
      </c>
      <c r="AD397" s="61">
        <v>0</v>
      </c>
      <c r="AE397" s="63">
        <f t="shared" ref="AE397:AE404" si="270">ROUND(AD397*$T397,2)</f>
        <v>0</v>
      </c>
      <c r="AF397" s="61">
        <v>0</v>
      </c>
      <c r="AG397" s="63">
        <f t="shared" ref="AG397:AG404" si="271">ROUND(AF397*$T397,2)</f>
        <v>0</v>
      </c>
      <c r="AH397" s="61">
        <v>0</v>
      </c>
      <c r="AI397" s="63">
        <f t="shared" ref="AI397:AI404" si="272">ROUND(AH397*$T397,2)</f>
        <v>0</v>
      </c>
      <c r="AJ397" s="61">
        <v>0</v>
      </c>
      <c r="AK397" s="63">
        <f t="shared" ref="AK397:AK404" si="273">ROUND(AJ397*$T397,2)</f>
        <v>0</v>
      </c>
      <c r="AL397" s="61">
        <v>0</v>
      </c>
      <c r="AM397" s="63">
        <f t="shared" ref="AM397:AM404" si="274">ROUND(AL397*$T397,2)</f>
        <v>0</v>
      </c>
      <c r="AN397" s="61">
        <v>0</v>
      </c>
      <c r="AO397" s="63">
        <f t="shared" ref="AO397:AO404" si="275">ROUND(AN397*$T397,2)</f>
        <v>0</v>
      </c>
      <c r="AP397" s="61">
        <v>0</v>
      </c>
      <c r="AQ397" s="63">
        <f t="shared" ref="AQ397:AQ404" si="276">ROUND(AP397*$T397,2)</f>
        <v>0</v>
      </c>
      <c r="AR397" s="61">
        <v>0</v>
      </c>
      <c r="AS397" s="63">
        <f t="shared" ref="AS397:AS404" si="277">ROUND(AR397*$T397,2)</f>
        <v>0</v>
      </c>
      <c r="AT397" s="61">
        <v>0</v>
      </c>
      <c r="AU397" s="63">
        <f t="shared" ref="AU397:AU404" si="278">ROUND(AT397*$T397,2)</f>
        <v>0</v>
      </c>
      <c r="AV397" s="61">
        <v>0</v>
      </c>
      <c r="AW397" s="63">
        <f t="shared" ref="AW397:AW404" si="279">ROUND(AV397*$T397,2)</f>
        <v>0</v>
      </c>
      <c r="AX397" s="61">
        <v>0</v>
      </c>
      <c r="AY397" s="63">
        <f t="shared" ref="AY397:AY404" si="280">ROUND(AX397*$T397,2)</f>
        <v>0</v>
      </c>
      <c r="AZ397" s="61">
        <v>0</v>
      </c>
      <c r="BA397" s="63">
        <f t="shared" ref="BA397:BA404" si="281">ROUND(AZ397*$T397,2)</f>
        <v>0</v>
      </c>
      <c r="BB397" s="61">
        <v>0</v>
      </c>
      <c r="BC397" s="63">
        <f t="shared" ref="BC397:BC404" si="282">ROUND(BB397*$T397,2)</f>
        <v>0</v>
      </c>
      <c r="BD397" s="61">
        <v>0</v>
      </c>
      <c r="BE397" s="63">
        <f t="shared" ref="BE397:BE404" si="283">ROUND(BD397*$T397,2)</f>
        <v>0</v>
      </c>
      <c r="BF397" s="61">
        <f t="shared" ref="BF397:BF404" si="284">IFERROR(SUMIFS($V397:$BE397,$V$5:$BE$5,$BF$5),0)</f>
        <v>0</v>
      </c>
      <c r="BG397" s="63">
        <f t="shared" ref="BG397:BG404" si="285">SUMIFS($V397:$BE397,$V$5:$BE$5,$W$5)</f>
        <v>0</v>
      </c>
      <c r="BH397" s="45"/>
      <c r="BI397" s="144"/>
    </row>
    <row r="398" spans="1:61" ht="26" customHeight="1" x14ac:dyDescent="0.45">
      <c r="A398" s="140">
        <v>5</v>
      </c>
      <c r="B398" s="141" t="s">
        <v>850</v>
      </c>
      <c r="C398" s="142" t="s">
        <v>1488</v>
      </c>
      <c r="D398" s="143" t="str">
        <f t="shared" si="264"/>
        <v>5.1_1.12.2</v>
      </c>
      <c r="E398" s="56" t="s">
        <v>229</v>
      </c>
      <c r="F398" s="506" t="s">
        <v>223</v>
      </c>
      <c r="G398" s="507" t="s">
        <v>111</v>
      </c>
      <c r="H398" s="507" t="s">
        <v>224</v>
      </c>
      <c r="I398" s="507" t="s">
        <v>225</v>
      </c>
      <c r="J398" s="507" t="s">
        <v>39</v>
      </c>
      <c r="K398" s="507">
        <v>160</v>
      </c>
      <c r="L398" s="507" t="s">
        <v>267</v>
      </c>
      <c r="M398" s="507" t="s">
        <v>114</v>
      </c>
      <c r="N398" s="507" t="s">
        <v>41</v>
      </c>
      <c r="O398" s="57" t="s">
        <v>230</v>
      </c>
      <c r="P398" s="58" t="s">
        <v>21</v>
      </c>
      <c r="Q398" s="59" t="s">
        <v>231</v>
      </c>
      <c r="R398" s="60" t="s">
        <v>71</v>
      </c>
      <c r="S398" s="61">
        <v>48</v>
      </c>
      <c r="T398" s="62">
        <f>INDEX('BM MORRO DA CRUZ'!$P$6:$P$402,MATCH($O398,'BM MORRO DA CRUZ'!$K$6:$K$402,0))</f>
        <v>237.19</v>
      </c>
      <c r="U398" s="63">
        <f t="shared" si="265"/>
        <v>11385.12</v>
      </c>
      <c r="V398" s="61">
        <f>IFERROR(SUMIFS('01ª MC'!$W$1:$W$1840,'01ª MC'!$C$1:$C$1840,$D398),0)</f>
        <v>0</v>
      </c>
      <c r="W398" s="63">
        <f t="shared" si="266"/>
        <v>0</v>
      </c>
      <c r="X398" s="61">
        <v>0</v>
      </c>
      <c r="Y398" s="63">
        <f t="shared" si="267"/>
        <v>0</v>
      </c>
      <c r="Z398" s="61">
        <v>0</v>
      </c>
      <c r="AA398" s="63">
        <f t="shared" si="268"/>
        <v>0</v>
      </c>
      <c r="AB398" s="61">
        <v>0</v>
      </c>
      <c r="AC398" s="63">
        <f t="shared" si="269"/>
        <v>0</v>
      </c>
      <c r="AD398" s="61">
        <v>0</v>
      </c>
      <c r="AE398" s="63">
        <f t="shared" si="270"/>
        <v>0</v>
      </c>
      <c r="AF398" s="61">
        <v>0</v>
      </c>
      <c r="AG398" s="63">
        <f t="shared" si="271"/>
        <v>0</v>
      </c>
      <c r="AH398" s="61">
        <v>0</v>
      </c>
      <c r="AI398" s="63">
        <f t="shared" si="272"/>
        <v>0</v>
      </c>
      <c r="AJ398" s="61">
        <v>0</v>
      </c>
      <c r="AK398" s="63">
        <f t="shared" si="273"/>
        <v>0</v>
      </c>
      <c r="AL398" s="61">
        <v>0</v>
      </c>
      <c r="AM398" s="63">
        <f t="shared" si="274"/>
        <v>0</v>
      </c>
      <c r="AN398" s="61">
        <v>0</v>
      </c>
      <c r="AO398" s="63">
        <f t="shared" si="275"/>
        <v>0</v>
      </c>
      <c r="AP398" s="61">
        <v>0</v>
      </c>
      <c r="AQ398" s="63">
        <f t="shared" si="276"/>
        <v>0</v>
      </c>
      <c r="AR398" s="61">
        <v>0</v>
      </c>
      <c r="AS398" s="63">
        <f t="shared" si="277"/>
        <v>0</v>
      </c>
      <c r="AT398" s="61">
        <v>0</v>
      </c>
      <c r="AU398" s="63">
        <f t="shared" si="278"/>
        <v>0</v>
      </c>
      <c r="AV398" s="61">
        <v>0</v>
      </c>
      <c r="AW398" s="63">
        <f t="shared" si="279"/>
        <v>0</v>
      </c>
      <c r="AX398" s="61">
        <v>0</v>
      </c>
      <c r="AY398" s="63">
        <f t="shared" si="280"/>
        <v>0</v>
      </c>
      <c r="AZ398" s="61">
        <v>0</v>
      </c>
      <c r="BA398" s="63">
        <f t="shared" si="281"/>
        <v>0</v>
      </c>
      <c r="BB398" s="61">
        <v>0</v>
      </c>
      <c r="BC398" s="63">
        <f t="shared" si="282"/>
        <v>0</v>
      </c>
      <c r="BD398" s="61">
        <v>0</v>
      </c>
      <c r="BE398" s="63">
        <f t="shared" si="283"/>
        <v>0</v>
      </c>
      <c r="BF398" s="61">
        <f t="shared" si="284"/>
        <v>0</v>
      </c>
      <c r="BG398" s="63">
        <f t="shared" si="285"/>
        <v>0</v>
      </c>
      <c r="BH398" s="45"/>
      <c r="BI398" s="144"/>
    </row>
    <row r="399" spans="1:61" ht="26" customHeight="1" x14ac:dyDescent="0.45">
      <c r="A399" s="140">
        <v>5</v>
      </c>
      <c r="B399" s="141" t="s">
        <v>850</v>
      </c>
      <c r="C399" s="142" t="s">
        <v>1488</v>
      </c>
      <c r="D399" s="143" t="str">
        <f t="shared" si="264"/>
        <v>5.1_1.12.3</v>
      </c>
      <c r="E399" s="56" t="s">
        <v>232</v>
      </c>
      <c r="F399" s="506" t="s">
        <v>223</v>
      </c>
      <c r="G399" s="507" t="s">
        <v>111</v>
      </c>
      <c r="H399" s="507" t="s">
        <v>224</v>
      </c>
      <c r="I399" s="507" t="s">
        <v>225</v>
      </c>
      <c r="J399" s="507" t="s">
        <v>39</v>
      </c>
      <c r="K399" s="507">
        <v>200</v>
      </c>
      <c r="L399" s="507" t="s">
        <v>267</v>
      </c>
      <c r="M399" s="507" t="s">
        <v>114</v>
      </c>
      <c r="N399" s="507" t="s">
        <v>41</v>
      </c>
      <c r="O399" s="57" t="s">
        <v>233</v>
      </c>
      <c r="P399" s="58" t="s">
        <v>21</v>
      </c>
      <c r="Q399" s="59" t="s">
        <v>234</v>
      </c>
      <c r="R399" s="60" t="s">
        <v>71</v>
      </c>
      <c r="S399" s="61">
        <v>12</v>
      </c>
      <c r="T399" s="62">
        <f>INDEX('BM MORRO DA CRUZ'!$P$6:$P$402,MATCH($O399,'BM MORRO DA CRUZ'!$K$6:$K$402,0))</f>
        <v>343.59</v>
      </c>
      <c r="U399" s="63">
        <f t="shared" si="265"/>
        <v>4123.08</v>
      </c>
      <c r="V399" s="61">
        <f>IFERROR(SUMIFS('01ª MC'!$W$1:$W$1840,'01ª MC'!$C$1:$C$1840,$D399),0)</f>
        <v>0</v>
      </c>
      <c r="W399" s="63">
        <f t="shared" si="266"/>
        <v>0</v>
      </c>
      <c r="X399" s="61">
        <v>0</v>
      </c>
      <c r="Y399" s="63">
        <f t="shared" si="267"/>
        <v>0</v>
      </c>
      <c r="Z399" s="61">
        <v>0</v>
      </c>
      <c r="AA399" s="63">
        <f t="shared" si="268"/>
        <v>0</v>
      </c>
      <c r="AB399" s="61">
        <v>0</v>
      </c>
      <c r="AC399" s="63">
        <f t="shared" si="269"/>
        <v>0</v>
      </c>
      <c r="AD399" s="61">
        <v>0</v>
      </c>
      <c r="AE399" s="63">
        <f t="shared" si="270"/>
        <v>0</v>
      </c>
      <c r="AF399" s="61">
        <v>0</v>
      </c>
      <c r="AG399" s="63">
        <f t="shared" si="271"/>
        <v>0</v>
      </c>
      <c r="AH399" s="61">
        <v>0</v>
      </c>
      <c r="AI399" s="63">
        <f t="shared" si="272"/>
        <v>0</v>
      </c>
      <c r="AJ399" s="61">
        <v>0</v>
      </c>
      <c r="AK399" s="63">
        <f t="shared" si="273"/>
        <v>0</v>
      </c>
      <c r="AL399" s="61">
        <v>0</v>
      </c>
      <c r="AM399" s="63">
        <f t="shared" si="274"/>
        <v>0</v>
      </c>
      <c r="AN399" s="61">
        <v>0</v>
      </c>
      <c r="AO399" s="63">
        <f t="shared" si="275"/>
        <v>0</v>
      </c>
      <c r="AP399" s="61">
        <v>0</v>
      </c>
      <c r="AQ399" s="63">
        <f t="shared" si="276"/>
        <v>0</v>
      </c>
      <c r="AR399" s="61">
        <v>0</v>
      </c>
      <c r="AS399" s="63">
        <f t="shared" si="277"/>
        <v>0</v>
      </c>
      <c r="AT399" s="61">
        <v>0</v>
      </c>
      <c r="AU399" s="63">
        <f t="shared" si="278"/>
        <v>0</v>
      </c>
      <c r="AV399" s="61">
        <v>0</v>
      </c>
      <c r="AW399" s="63">
        <f t="shared" si="279"/>
        <v>0</v>
      </c>
      <c r="AX399" s="61">
        <v>0</v>
      </c>
      <c r="AY399" s="63">
        <f t="shared" si="280"/>
        <v>0</v>
      </c>
      <c r="AZ399" s="61">
        <v>0</v>
      </c>
      <c r="BA399" s="63">
        <f t="shared" si="281"/>
        <v>0</v>
      </c>
      <c r="BB399" s="61">
        <v>0</v>
      </c>
      <c r="BC399" s="63">
        <f t="shared" si="282"/>
        <v>0</v>
      </c>
      <c r="BD399" s="61">
        <v>0</v>
      </c>
      <c r="BE399" s="63">
        <f t="shared" si="283"/>
        <v>0</v>
      </c>
      <c r="BF399" s="61">
        <f t="shared" si="284"/>
        <v>0</v>
      </c>
      <c r="BG399" s="63">
        <f t="shared" si="285"/>
        <v>0</v>
      </c>
      <c r="BH399" s="45"/>
      <c r="BI399" s="144"/>
    </row>
    <row r="400" spans="1:61" ht="26" customHeight="1" x14ac:dyDescent="0.45">
      <c r="A400" s="140">
        <v>5</v>
      </c>
      <c r="B400" s="141" t="s">
        <v>850</v>
      </c>
      <c r="C400" s="142" t="s">
        <v>1488</v>
      </c>
      <c r="D400" s="143" t="str">
        <f t="shared" si="264"/>
        <v>5.1_1.12.4</v>
      </c>
      <c r="E400" s="56" t="s">
        <v>235</v>
      </c>
      <c r="F400" s="506" t="s">
        <v>223</v>
      </c>
      <c r="G400" s="507" t="s">
        <v>111</v>
      </c>
      <c r="H400" s="507" t="s">
        <v>224</v>
      </c>
      <c r="I400" s="507" t="s">
        <v>225</v>
      </c>
      <c r="J400" s="507" t="s">
        <v>39</v>
      </c>
      <c r="K400" s="507">
        <v>225</v>
      </c>
      <c r="L400" s="507" t="s">
        <v>267</v>
      </c>
      <c r="M400" s="507" t="s">
        <v>114</v>
      </c>
      <c r="N400" s="507" t="s">
        <v>41</v>
      </c>
      <c r="O400" s="57" t="s">
        <v>236</v>
      </c>
      <c r="P400" s="58" t="s">
        <v>21</v>
      </c>
      <c r="Q400" s="59" t="s">
        <v>237</v>
      </c>
      <c r="R400" s="60" t="s">
        <v>71</v>
      </c>
      <c r="S400" s="61">
        <v>7</v>
      </c>
      <c r="T400" s="62">
        <f>INDEX('BM MORRO DA CRUZ'!$P$6:$P$402,MATCH($O400,'BM MORRO DA CRUZ'!$K$6:$K$402,0))</f>
        <v>343.59</v>
      </c>
      <c r="U400" s="63">
        <f t="shared" si="265"/>
        <v>2405.13</v>
      </c>
      <c r="V400" s="61">
        <f>IFERROR(SUMIFS('01ª MC'!$W$1:$W$1840,'01ª MC'!$C$1:$C$1840,$D400),0)</f>
        <v>0</v>
      </c>
      <c r="W400" s="63">
        <f t="shared" si="266"/>
        <v>0</v>
      </c>
      <c r="X400" s="61">
        <v>0</v>
      </c>
      <c r="Y400" s="63">
        <f t="shared" si="267"/>
        <v>0</v>
      </c>
      <c r="Z400" s="61">
        <v>0</v>
      </c>
      <c r="AA400" s="63">
        <f t="shared" si="268"/>
        <v>0</v>
      </c>
      <c r="AB400" s="61">
        <v>0</v>
      </c>
      <c r="AC400" s="63">
        <f t="shared" si="269"/>
        <v>0</v>
      </c>
      <c r="AD400" s="61">
        <v>0</v>
      </c>
      <c r="AE400" s="63">
        <f t="shared" si="270"/>
        <v>0</v>
      </c>
      <c r="AF400" s="61">
        <v>0</v>
      </c>
      <c r="AG400" s="63">
        <f t="shared" si="271"/>
        <v>0</v>
      </c>
      <c r="AH400" s="61">
        <v>0</v>
      </c>
      <c r="AI400" s="63">
        <f t="shared" si="272"/>
        <v>0</v>
      </c>
      <c r="AJ400" s="61">
        <v>0</v>
      </c>
      <c r="AK400" s="63">
        <f t="shared" si="273"/>
        <v>0</v>
      </c>
      <c r="AL400" s="61">
        <v>0</v>
      </c>
      <c r="AM400" s="63">
        <f t="shared" si="274"/>
        <v>0</v>
      </c>
      <c r="AN400" s="61">
        <v>0</v>
      </c>
      <c r="AO400" s="63">
        <f t="shared" si="275"/>
        <v>0</v>
      </c>
      <c r="AP400" s="61">
        <v>0</v>
      </c>
      <c r="AQ400" s="63">
        <f t="shared" si="276"/>
        <v>0</v>
      </c>
      <c r="AR400" s="61">
        <v>0</v>
      </c>
      <c r="AS400" s="63">
        <f t="shared" si="277"/>
        <v>0</v>
      </c>
      <c r="AT400" s="61">
        <v>0</v>
      </c>
      <c r="AU400" s="63">
        <f t="shared" si="278"/>
        <v>0</v>
      </c>
      <c r="AV400" s="61">
        <v>0</v>
      </c>
      <c r="AW400" s="63">
        <f t="shared" si="279"/>
        <v>0</v>
      </c>
      <c r="AX400" s="61">
        <v>0</v>
      </c>
      <c r="AY400" s="63">
        <f t="shared" si="280"/>
        <v>0</v>
      </c>
      <c r="AZ400" s="61">
        <v>0</v>
      </c>
      <c r="BA400" s="63">
        <f t="shared" si="281"/>
        <v>0</v>
      </c>
      <c r="BB400" s="61">
        <v>0</v>
      </c>
      <c r="BC400" s="63">
        <f t="shared" si="282"/>
        <v>0</v>
      </c>
      <c r="BD400" s="61">
        <v>0</v>
      </c>
      <c r="BE400" s="63">
        <f t="shared" si="283"/>
        <v>0</v>
      </c>
      <c r="BF400" s="61">
        <f t="shared" si="284"/>
        <v>0</v>
      </c>
      <c r="BG400" s="63">
        <f t="shared" si="285"/>
        <v>0</v>
      </c>
      <c r="BH400" s="45"/>
      <c r="BI400" s="144"/>
    </row>
    <row r="401" spans="1:61" ht="26" customHeight="1" x14ac:dyDescent="0.45">
      <c r="A401" s="140">
        <v>5</v>
      </c>
      <c r="B401" s="141" t="s">
        <v>850</v>
      </c>
      <c r="C401" s="142" t="s">
        <v>1488</v>
      </c>
      <c r="D401" s="143" t="str">
        <f t="shared" si="264"/>
        <v>5.1_1.12.5</v>
      </c>
      <c r="E401" s="56" t="s">
        <v>238</v>
      </c>
      <c r="F401" s="506" t="s">
        <v>223</v>
      </c>
      <c r="G401" s="507" t="s">
        <v>111</v>
      </c>
      <c r="H401" s="507" t="s">
        <v>224</v>
      </c>
      <c r="I401" s="507" t="s">
        <v>225</v>
      </c>
      <c r="J401" s="507" t="s">
        <v>39</v>
      </c>
      <c r="K401" s="507">
        <v>250</v>
      </c>
      <c r="L401" s="507" t="s">
        <v>267</v>
      </c>
      <c r="M401" s="507" t="s">
        <v>114</v>
      </c>
      <c r="N401" s="507" t="s">
        <v>41</v>
      </c>
      <c r="O401" s="57" t="s">
        <v>239</v>
      </c>
      <c r="P401" s="58" t="s">
        <v>21</v>
      </c>
      <c r="Q401" s="59" t="s">
        <v>240</v>
      </c>
      <c r="R401" s="60" t="s">
        <v>71</v>
      </c>
      <c r="S401" s="61">
        <v>10</v>
      </c>
      <c r="T401" s="62">
        <f>INDEX('BM MORRO DA CRUZ'!$P$6:$P$402,MATCH($O401,'BM MORRO DA CRUZ'!$K$6:$K$402,0))</f>
        <v>444.96</v>
      </c>
      <c r="U401" s="63">
        <f t="shared" si="265"/>
        <v>4449.6000000000004</v>
      </c>
      <c r="V401" s="61">
        <f>IFERROR(SUMIFS('01ª MC'!$W$1:$W$1840,'01ª MC'!$C$1:$C$1840,$D401),0)</f>
        <v>0</v>
      </c>
      <c r="W401" s="63">
        <f t="shared" si="266"/>
        <v>0</v>
      </c>
      <c r="X401" s="61">
        <v>0</v>
      </c>
      <c r="Y401" s="63">
        <f t="shared" si="267"/>
        <v>0</v>
      </c>
      <c r="Z401" s="61">
        <v>0</v>
      </c>
      <c r="AA401" s="63">
        <f t="shared" si="268"/>
        <v>0</v>
      </c>
      <c r="AB401" s="61">
        <v>0</v>
      </c>
      <c r="AC401" s="63">
        <f t="shared" si="269"/>
        <v>0</v>
      </c>
      <c r="AD401" s="61">
        <v>0</v>
      </c>
      <c r="AE401" s="63">
        <f t="shared" si="270"/>
        <v>0</v>
      </c>
      <c r="AF401" s="61">
        <v>0</v>
      </c>
      <c r="AG401" s="63">
        <f t="shared" si="271"/>
        <v>0</v>
      </c>
      <c r="AH401" s="61">
        <v>0</v>
      </c>
      <c r="AI401" s="63">
        <f t="shared" si="272"/>
        <v>0</v>
      </c>
      <c r="AJ401" s="61">
        <v>0</v>
      </c>
      <c r="AK401" s="63">
        <f t="shared" si="273"/>
        <v>0</v>
      </c>
      <c r="AL401" s="61">
        <v>0</v>
      </c>
      <c r="AM401" s="63">
        <f t="shared" si="274"/>
        <v>0</v>
      </c>
      <c r="AN401" s="61">
        <v>0</v>
      </c>
      <c r="AO401" s="63">
        <f t="shared" si="275"/>
        <v>0</v>
      </c>
      <c r="AP401" s="61">
        <v>0</v>
      </c>
      <c r="AQ401" s="63">
        <f t="shared" si="276"/>
        <v>0</v>
      </c>
      <c r="AR401" s="61">
        <v>0</v>
      </c>
      <c r="AS401" s="63">
        <f t="shared" si="277"/>
        <v>0</v>
      </c>
      <c r="AT401" s="61">
        <v>0</v>
      </c>
      <c r="AU401" s="63">
        <f t="shared" si="278"/>
        <v>0</v>
      </c>
      <c r="AV401" s="61">
        <v>0</v>
      </c>
      <c r="AW401" s="63">
        <f t="shared" si="279"/>
        <v>0</v>
      </c>
      <c r="AX401" s="61">
        <v>0</v>
      </c>
      <c r="AY401" s="63">
        <f t="shared" si="280"/>
        <v>0</v>
      </c>
      <c r="AZ401" s="61">
        <v>0</v>
      </c>
      <c r="BA401" s="63">
        <f t="shared" si="281"/>
        <v>0</v>
      </c>
      <c r="BB401" s="61">
        <v>0</v>
      </c>
      <c r="BC401" s="63">
        <f t="shared" si="282"/>
        <v>0</v>
      </c>
      <c r="BD401" s="61">
        <v>0</v>
      </c>
      <c r="BE401" s="63">
        <f t="shared" si="283"/>
        <v>0</v>
      </c>
      <c r="BF401" s="61">
        <f t="shared" si="284"/>
        <v>0</v>
      </c>
      <c r="BG401" s="63">
        <f t="shared" si="285"/>
        <v>0</v>
      </c>
      <c r="BH401" s="45"/>
      <c r="BI401" s="144"/>
    </row>
    <row r="402" spans="1:61" ht="26" customHeight="1" x14ac:dyDescent="0.45">
      <c r="A402" s="140">
        <v>5</v>
      </c>
      <c r="B402" s="141" t="s">
        <v>850</v>
      </c>
      <c r="C402" s="142" t="s">
        <v>1488</v>
      </c>
      <c r="D402" s="143" t="str">
        <f t="shared" si="264"/>
        <v>5.1_1.12.6</v>
      </c>
      <c r="E402" s="56" t="s">
        <v>241</v>
      </c>
      <c r="F402" s="506" t="s">
        <v>223</v>
      </c>
      <c r="G402" s="507" t="s">
        <v>111</v>
      </c>
      <c r="H402" s="507" t="s">
        <v>224</v>
      </c>
      <c r="I402" s="507" t="s">
        <v>225</v>
      </c>
      <c r="J402" s="507" t="s">
        <v>39</v>
      </c>
      <c r="K402" s="507">
        <v>500</v>
      </c>
      <c r="L402" s="507" t="s">
        <v>267</v>
      </c>
      <c r="M402" s="507" t="s">
        <v>114</v>
      </c>
      <c r="N402" s="507" t="s">
        <v>41</v>
      </c>
      <c r="O402" s="57" t="s">
        <v>242</v>
      </c>
      <c r="P402" s="58" t="s">
        <v>21</v>
      </c>
      <c r="Q402" s="59" t="s">
        <v>243</v>
      </c>
      <c r="R402" s="60" t="s">
        <v>71</v>
      </c>
      <c r="S402" s="61">
        <v>2</v>
      </c>
      <c r="T402" s="62">
        <f>INDEX('BM MORRO DA CRUZ'!$P$6:$P$402,MATCH($O402,'BM MORRO DA CRUZ'!$K$6:$K$402,0))</f>
        <v>1281.8800000000001</v>
      </c>
      <c r="U402" s="63">
        <f t="shared" si="265"/>
        <v>2563.7600000000002</v>
      </c>
      <c r="V402" s="61">
        <f>IFERROR(SUMIFS('01ª MC'!$W$1:$W$1840,'01ª MC'!$C$1:$C$1840,$D402),0)</f>
        <v>0</v>
      </c>
      <c r="W402" s="63">
        <f t="shared" si="266"/>
        <v>0</v>
      </c>
      <c r="X402" s="61">
        <v>0</v>
      </c>
      <c r="Y402" s="63">
        <f t="shared" si="267"/>
        <v>0</v>
      </c>
      <c r="Z402" s="61">
        <v>0</v>
      </c>
      <c r="AA402" s="63">
        <f t="shared" si="268"/>
        <v>0</v>
      </c>
      <c r="AB402" s="61">
        <v>0</v>
      </c>
      <c r="AC402" s="63">
        <f t="shared" si="269"/>
        <v>0</v>
      </c>
      <c r="AD402" s="61">
        <v>0</v>
      </c>
      <c r="AE402" s="63">
        <f t="shared" si="270"/>
        <v>0</v>
      </c>
      <c r="AF402" s="61">
        <v>0</v>
      </c>
      <c r="AG402" s="63">
        <f t="shared" si="271"/>
        <v>0</v>
      </c>
      <c r="AH402" s="61">
        <v>0</v>
      </c>
      <c r="AI402" s="63">
        <f t="shared" si="272"/>
        <v>0</v>
      </c>
      <c r="AJ402" s="61">
        <v>0</v>
      </c>
      <c r="AK402" s="63">
        <f t="shared" si="273"/>
        <v>0</v>
      </c>
      <c r="AL402" s="61">
        <v>0</v>
      </c>
      <c r="AM402" s="63">
        <f t="shared" si="274"/>
        <v>0</v>
      </c>
      <c r="AN402" s="61">
        <v>0</v>
      </c>
      <c r="AO402" s="63">
        <f t="shared" si="275"/>
        <v>0</v>
      </c>
      <c r="AP402" s="61">
        <v>0</v>
      </c>
      <c r="AQ402" s="63">
        <f t="shared" si="276"/>
        <v>0</v>
      </c>
      <c r="AR402" s="61">
        <v>0</v>
      </c>
      <c r="AS402" s="63">
        <f t="shared" si="277"/>
        <v>0</v>
      </c>
      <c r="AT402" s="61">
        <v>0</v>
      </c>
      <c r="AU402" s="63">
        <f t="shared" si="278"/>
        <v>0</v>
      </c>
      <c r="AV402" s="61">
        <v>0</v>
      </c>
      <c r="AW402" s="63">
        <f t="shared" si="279"/>
        <v>0</v>
      </c>
      <c r="AX402" s="61">
        <v>0</v>
      </c>
      <c r="AY402" s="63">
        <f t="shared" si="280"/>
        <v>0</v>
      </c>
      <c r="AZ402" s="61">
        <v>0</v>
      </c>
      <c r="BA402" s="63">
        <f t="shared" si="281"/>
        <v>0</v>
      </c>
      <c r="BB402" s="61">
        <v>0</v>
      </c>
      <c r="BC402" s="63">
        <f t="shared" si="282"/>
        <v>0</v>
      </c>
      <c r="BD402" s="61">
        <v>0</v>
      </c>
      <c r="BE402" s="63">
        <f t="shared" si="283"/>
        <v>0</v>
      </c>
      <c r="BF402" s="61">
        <f t="shared" si="284"/>
        <v>0</v>
      </c>
      <c r="BG402" s="63">
        <f t="shared" si="285"/>
        <v>0</v>
      </c>
      <c r="BH402" s="45"/>
      <c r="BI402" s="144"/>
    </row>
    <row r="403" spans="1:61" ht="26" customHeight="1" x14ac:dyDescent="0.45">
      <c r="A403" s="140">
        <v>5</v>
      </c>
      <c r="B403" s="141" t="s">
        <v>850</v>
      </c>
      <c r="C403" s="142" t="s">
        <v>1488</v>
      </c>
      <c r="D403" s="143" t="str">
        <f t="shared" si="264"/>
        <v>5.1_1.12.7</v>
      </c>
      <c r="E403" s="56" t="s">
        <v>244</v>
      </c>
      <c r="F403" s="506" t="s">
        <v>223</v>
      </c>
      <c r="G403" s="507" t="s">
        <v>111</v>
      </c>
      <c r="H403" s="507" t="s">
        <v>224</v>
      </c>
      <c r="I403" s="507" t="s">
        <v>225</v>
      </c>
      <c r="J403" s="507" t="s">
        <v>39</v>
      </c>
      <c r="K403" s="507">
        <v>63</v>
      </c>
      <c r="L403" s="507" t="s">
        <v>267</v>
      </c>
      <c r="M403" s="507" t="s">
        <v>114</v>
      </c>
      <c r="N403" s="507" t="s">
        <v>41</v>
      </c>
      <c r="O403" s="57" t="s">
        <v>245</v>
      </c>
      <c r="P403" s="58" t="s">
        <v>21</v>
      </c>
      <c r="Q403" s="59" t="s">
        <v>246</v>
      </c>
      <c r="R403" s="60" t="s">
        <v>71</v>
      </c>
      <c r="S403" s="61">
        <v>120</v>
      </c>
      <c r="T403" s="62">
        <f>INDEX('BM MORRO DA CRUZ'!$P$6:$P$402,MATCH($O403,'BM MORRO DA CRUZ'!$K$6:$K$402,0))</f>
        <v>94.02</v>
      </c>
      <c r="U403" s="63">
        <f t="shared" si="265"/>
        <v>11282.4</v>
      </c>
      <c r="V403" s="61">
        <f>IFERROR(SUMIFS('01ª MC'!$W$1:$W$1840,'01ª MC'!$C$1:$C$1840,$D403),0)</f>
        <v>0</v>
      </c>
      <c r="W403" s="63">
        <f t="shared" si="266"/>
        <v>0</v>
      </c>
      <c r="X403" s="61">
        <v>0</v>
      </c>
      <c r="Y403" s="63">
        <f t="shared" si="267"/>
        <v>0</v>
      </c>
      <c r="Z403" s="61">
        <v>0</v>
      </c>
      <c r="AA403" s="63">
        <f t="shared" si="268"/>
        <v>0</v>
      </c>
      <c r="AB403" s="61">
        <v>0</v>
      </c>
      <c r="AC403" s="63">
        <f t="shared" si="269"/>
        <v>0</v>
      </c>
      <c r="AD403" s="61">
        <v>0</v>
      </c>
      <c r="AE403" s="63">
        <f t="shared" si="270"/>
        <v>0</v>
      </c>
      <c r="AF403" s="61">
        <v>0</v>
      </c>
      <c r="AG403" s="63">
        <f t="shared" si="271"/>
        <v>0</v>
      </c>
      <c r="AH403" s="61">
        <v>0</v>
      </c>
      <c r="AI403" s="63">
        <f t="shared" si="272"/>
        <v>0</v>
      </c>
      <c r="AJ403" s="61">
        <v>0</v>
      </c>
      <c r="AK403" s="63">
        <f t="shared" si="273"/>
        <v>0</v>
      </c>
      <c r="AL403" s="61">
        <v>0</v>
      </c>
      <c r="AM403" s="63">
        <f t="shared" si="274"/>
        <v>0</v>
      </c>
      <c r="AN403" s="61">
        <v>0</v>
      </c>
      <c r="AO403" s="63">
        <f t="shared" si="275"/>
        <v>0</v>
      </c>
      <c r="AP403" s="61">
        <v>0</v>
      </c>
      <c r="AQ403" s="63">
        <f t="shared" si="276"/>
        <v>0</v>
      </c>
      <c r="AR403" s="61">
        <v>0</v>
      </c>
      <c r="AS403" s="63">
        <f t="shared" si="277"/>
        <v>0</v>
      </c>
      <c r="AT403" s="61">
        <v>0</v>
      </c>
      <c r="AU403" s="63">
        <f t="shared" si="278"/>
        <v>0</v>
      </c>
      <c r="AV403" s="61">
        <v>0</v>
      </c>
      <c r="AW403" s="63">
        <f t="shared" si="279"/>
        <v>0</v>
      </c>
      <c r="AX403" s="61">
        <v>0</v>
      </c>
      <c r="AY403" s="63">
        <f t="shared" si="280"/>
        <v>0</v>
      </c>
      <c r="AZ403" s="61">
        <v>0</v>
      </c>
      <c r="BA403" s="63">
        <f t="shared" si="281"/>
        <v>0</v>
      </c>
      <c r="BB403" s="61">
        <v>0</v>
      </c>
      <c r="BC403" s="63">
        <f t="shared" si="282"/>
        <v>0</v>
      </c>
      <c r="BD403" s="61">
        <v>0</v>
      </c>
      <c r="BE403" s="63">
        <f t="shared" si="283"/>
        <v>0</v>
      </c>
      <c r="BF403" s="61">
        <f t="shared" si="284"/>
        <v>0</v>
      </c>
      <c r="BG403" s="63">
        <f t="shared" si="285"/>
        <v>0</v>
      </c>
      <c r="BH403" s="45"/>
      <c r="BI403" s="144"/>
    </row>
    <row r="404" spans="1:61" ht="26" customHeight="1" x14ac:dyDescent="0.45">
      <c r="A404" s="140">
        <v>5</v>
      </c>
      <c r="B404" s="141" t="s">
        <v>850</v>
      </c>
      <c r="C404" s="142" t="s">
        <v>1488</v>
      </c>
      <c r="D404" s="143" t="str">
        <f t="shared" si="264"/>
        <v>5.1_1.12.8</v>
      </c>
      <c r="E404" s="56" t="s">
        <v>247</v>
      </c>
      <c r="F404" s="506" t="s">
        <v>223</v>
      </c>
      <c r="G404" s="507" t="s">
        <v>111</v>
      </c>
      <c r="H404" s="507" t="s">
        <v>224</v>
      </c>
      <c r="I404" s="507" t="s">
        <v>225</v>
      </c>
      <c r="J404" s="507" t="s">
        <v>39</v>
      </c>
      <c r="K404" s="507">
        <v>90</v>
      </c>
      <c r="L404" s="507" t="s">
        <v>267</v>
      </c>
      <c r="M404" s="507" t="s">
        <v>114</v>
      </c>
      <c r="N404" s="507" t="s">
        <v>41</v>
      </c>
      <c r="O404" s="57" t="s">
        <v>248</v>
      </c>
      <c r="P404" s="58" t="s">
        <v>21</v>
      </c>
      <c r="Q404" s="59" t="s">
        <v>249</v>
      </c>
      <c r="R404" s="60" t="s">
        <v>71</v>
      </c>
      <c r="S404" s="61">
        <v>30</v>
      </c>
      <c r="T404" s="62">
        <f>INDEX('BM MORRO DA CRUZ'!$P$6:$P$402,MATCH($O404,'BM MORRO DA CRUZ'!$K$6:$K$402,0))</f>
        <v>116.08</v>
      </c>
      <c r="U404" s="63">
        <f t="shared" si="265"/>
        <v>3482.4</v>
      </c>
      <c r="V404" s="61">
        <f>IFERROR(SUMIFS('01ª MC'!$W$1:$W$1840,'01ª MC'!$C$1:$C$1840,$D404),0)</f>
        <v>0</v>
      </c>
      <c r="W404" s="63">
        <f t="shared" si="266"/>
        <v>0</v>
      </c>
      <c r="X404" s="61">
        <v>0</v>
      </c>
      <c r="Y404" s="63">
        <f t="shared" si="267"/>
        <v>0</v>
      </c>
      <c r="Z404" s="61">
        <v>0</v>
      </c>
      <c r="AA404" s="63">
        <f t="shared" si="268"/>
        <v>0</v>
      </c>
      <c r="AB404" s="61">
        <v>0</v>
      </c>
      <c r="AC404" s="63">
        <f t="shared" si="269"/>
        <v>0</v>
      </c>
      <c r="AD404" s="61">
        <v>0</v>
      </c>
      <c r="AE404" s="63">
        <f t="shared" si="270"/>
        <v>0</v>
      </c>
      <c r="AF404" s="61">
        <v>0</v>
      </c>
      <c r="AG404" s="63">
        <f t="shared" si="271"/>
        <v>0</v>
      </c>
      <c r="AH404" s="61">
        <v>0</v>
      </c>
      <c r="AI404" s="63">
        <f t="shared" si="272"/>
        <v>0</v>
      </c>
      <c r="AJ404" s="61">
        <v>0</v>
      </c>
      <c r="AK404" s="63">
        <f t="shared" si="273"/>
        <v>0</v>
      </c>
      <c r="AL404" s="61">
        <v>0</v>
      </c>
      <c r="AM404" s="63">
        <f t="shared" si="274"/>
        <v>0</v>
      </c>
      <c r="AN404" s="61">
        <v>0</v>
      </c>
      <c r="AO404" s="63">
        <f t="shared" si="275"/>
        <v>0</v>
      </c>
      <c r="AP404" s="61">
        <v>0</v>
      </c>
      <c r="AQ404" s="63">
        <f t="shared" si="276"/>
        <v>0</v>
      </c>
      <c r="AR404" s="61">
        <v>0</v>
      </c>
      <c r="AS404" s="63">
        <f t="shared" si="277"/>
        <v>0</v>
      </c>
      <c r="AT404" s="61">
        <v>0</v>
      </c>
      <c r="AU404" s="63">
        <f t="shared" si="278"/>
        <v>0</v>
      </c>
      <c r="AV404" s="61">
        <v>0</v>
      </c>
      <c r="AW404" s="63">
        <f t="shared" si="279"/>
        <v>0</v>
      </c>
      <c r="AX404" s="61">
        <v>0</v>
      </c>
      <c r="AY404" s="63">
        <f t="shared" si="280"/>
        <v>0</v>
      </c>
      <c r="AZ404" s="61">
        <v>0</v>
      </c>
      <c r="BA404" s="63">
        <f t="shared" si="281"/>
        <v>0</v>
      </c>
      <c r="BB404" s="61">
        <v>0</v>
      </c>
      <c r="BC404" s="63">
        <f t="shared" si="282"/>
        <v>0</v>
      </c>
      <c r="BD404" s="61">
        <v>0</v>
      </c>
      <c r="BE404" s="63">
        <f t="shared" si="283"/>
        <v>0</v>
      </c>
      <c r="BF404" s="61">
        <f t="shared" si="284"/>
        <v>0</v>
      </c>
      <c r="BG404" s="63">
        <f t="shared" si="285"/>
        <v>0</v>
      </c>
      <c r="BH404" s="45"/>
      <c r="BI404" s="144"/>
    </row>
    <row r="405" spans="1:61" ht="19.5" customHeight="1" x14ac:dyDescent="0.45">
      <c r="A405" s="128">
        <v>5</v>
      </c>
      <c r="B405" s="129"/>
      <c r="C405" s="130"/>
      <c r="D405" s="131"/>
      <c r="E405" s="132" t="s">
        <v>260</v>
      </c>
      <c r="F405" s="515"/>
      <c r="G405" s="516"/>
      <c r="H405" s="516"/>
      <c r="I405" s="516"/>
      <c r="J405" s="516"/>
      <c r="K405" s="516"/>
      <c r="L405" s="516"/>
      <c r="M405" s="516"/>
      <c r="N405" s="516"/>
      <c r="O405" s="133" t="s">
        <v>261</v>
      </c>
      <c r="P405" s="134"/>
      <c r="Q405" s="135" t="s">
        <v>262</v>
      </c>
      <c r="R405" s="136"/>
      <c r="S405" s="137"/>
      <c r="T405" s="138"/>
      <c r="U405" s="139">
        <f>SUM(U406:U482)</f>
        <v>1006343.85</v>
      </c>
      <c r="V405" s="137"/>
      <c r="W405" s="139">
        <f>SUM(W406:W482)</f>
        <v>0</v>
      </c>
      <c r="X405" s="137"/>
      <c r="Y405" s="139">
        <f>SUM(Y406:Y482)</f>
        <v>0</v>
      </c>
      <c r="Z405" s="137"/>
      <c r="AA405" s="139">
        <f>SUM(AA406:AA482)</f>
        <v>0</v>
      </c>
      <c r="AB405" s="137"/>
      <c r="AC405" s="139">
        <f>SUM(AC406:AC482)</f>
        <v>0</v>
      </c>
      <c r="AD405" s="137"/>
      <c r="AE405" s="139">
        <f>SUM(AE406:AE482)</f>
        <v>0</v>
      </c>
      <c r="AF405" s="137"/>
      <c r="AG405" s="139">
        <f>SUM(AG406:AG482)</f>
        <v>0</v>
      </c>
      <c r="AH405" s="137"/>
      <c r="AI405" s="139">
        <f>SUM(AI406:AI482)</f>
        <v>0</v>
      </c>
      <c r="AJ405" s="137"/>
      <c r="AK405" s="139">
        <f>SUM(AK406:AK482)</f>
        <v>0</v>
      </c>
      <c r="AL405" s="137"/>
      <c r="AM405" s="139">
        <f>SUM(AM406:AM482)</f>
        <v>0</v>
      </c>
      <c r="AN405" s="137"/>
      <c r="AO405" s="139">
        <f>SUM(AO406:AO482)</f>
        <v>0</v>
      </c>
      <c r="AP405" s="137"/>
      <c r="AQ405" s="139">
        <f>SUM(AQ406:AQ482)</f>
        <v>0</v>
      </c>
      <c r="AR405" s="137"/>
      <c r="AS405" s="139">
        <f>SUM(AS406:AS482)</f>
        <v>0</v>
      </c>
      <c r="AT405" s="137"/>
      <c r="AU405" s="139">
        <f>SUM(AU406:AU482)</f>
        <v>0</v>
      </c>
      <c r="AV405" s="137"/>
      <c r="AW405" s="139">
        <f>SUM(AW406:AW482)</f>
        <v>0</v>
      </c>
      <c r="AX405" s="137"/>
      <c r="AY405" s="139">
        <f>SUM(AY406:AY482)</f>
        <v>0</v>
      </c>
      <c r="AZ405" s="137"/>
      <c r="BA405" s="139">
        <f>SUM(BA406:BA482)</f>
        <v>0</v>
      </c>
      <c r="BB405" s="137"/>
      <c r="BC405" s="139">
        <f>SUM(BC406:BC482)</f>
        <v>0</v>
      </c>
      <c r="BD405" s="137"/>
      <c r="BE405" s="139">
        <f>SUM(BE406:BE482)</f>
        <v>0</v>
      </c>
      <c r="BF405" s="137"/>
      <c r="BG405" s="139">
        <f>SUM(BG406:BG482)</f>
        <v>0</v>
      </c>
      <c r="BH405" s="45"/>
    </row>
    <row r="406" spans="1:61" ht="26.25" customHeight="1" x14ac:dyDescent="0.45">
      <c r="A406" s="140">
        <v>5</v>
      </c>
      <c r="B406" s="141" t="s">
        <v>850</v>
      </c>
      <c r="C406" s="142" t="s">
        <v>1488</v>
      </c>
      <c r="D406" s="143" t="str">
        <f t="shared" ref="D406:D437" si="286">B406&amp;"_"&amp;E406</f>
        <v>5.1_1.14.1</v>
      </c>
      <c r="E406" s="56" t="s">
        <v>263</v>
      </c>
      <c r="F406" s="506" t="s">
        <v>264</v>
      </c>
      <c r="G406" s="507" t="s">
        <v>147</v>
      </c>
      <c r="H406" s="507" t="s">
        <v>224</v>
      </c>
      <c r="I406" s="507" t="s">
        <v>265</v>
      </c>
      <c r="J406" s="507" t="s">
        <v>266</v>
      </c>
      <c r="K406" s="507">
        <v>250</v>
      </c>
      <c r="L406" s="507" t="s">
        <v>267</v>
      </c>
      <c r="M406" s="507" t="s">
        <v>114</v>
      </c>
      <c r="N406" s="507" t="s">
        <v>267</v>
      </c>
      <c r="O406" s="57" t="s">
        <v>268</v>
      </c>
      <c r="P406" s="58" t="s">
        <v>21</v>
      </c>
      <c r="Q406" s="59" t="s">
        <v>269</v>
      </c>
      <c r="R406" s="60" t="s">
        <v>71</v>
      </c>
      <c r="S406" s="61">
        <v>25</v>
      </c>
      <c r="T406" s="62">
        <f>INDEX('BM MORRO DA CRUZ'!$P$6:$P$402,MATCH($O406,'BM MORRO DA CRUZ'!$K$6:$K$402,0))</f>
        <v>426.08</v>
      </c>
      <c r="U406" s="63">
        <f t="shared" ref="U406:U437" si="287">ROUND(T406*$S406,2)</f>
        <v>10652</v>
      </c>
      <c r="V406" s="61">
        <f>IFERROR(SUMIFS('01ª MC'!$W$1:$W$1840,'01ª MC'!$C$1:$C$1840,$D406),0)</f>
        <v>0</v>
      </c>
      <c r="W406" s="63">
        <f t="shared" ref="W406:W437" si="288">ROUND(V406*$T406,2)</f>
        <v>0</v>
      </c>
      <c r="X406" s="61">
        <v>0</v>
      </c>
      <c r="Y406" s="63">
        <f t="shared" ref="Y406:Y437" si="289">ROUND(X406*$T406,2)</f>
        <v>0</v>
      </c>
      <c r="Z406" s="61">
        <v>0</v>
      </c>
      <c r="AA406" s="63">
        <f t="shared" ref="AA406:AA437" si="290">ROUND(Z406*$T406,2)</f>
        <v>0</v>
      </c>
      <c r="AB406" s="61">
        <v>0</v>
      </c>
      <c r="AC406" s="63">
        <f t="shared" ref="AC406:AC437" si="291">ROUND(AB406*$T406,2)</f>
        <v>0</v>
      </c>
      <c r="AD406" s="61">
        <v>0</v>
      </c>
      <c r="AE406" s="63">
        <f t="shared" ref="AE406:AE437" si="292">ROUND(AD406*$T406,2)</f>
        <v>0</v>
      </c>
      <c r="AF406" s="61">
        <v>0</v>
      </c>
      <c r="AG406" s="63">
        <f t="shared" ref="AG406:AG437" si="293">ROUND(AF406*$T406,2)</f>
        <v>0</v>
      </c>
      <c r="AH406" s="61">
        <v>0</v>
      </c>
      <c r="AI406" s="63">
        <f t="shared" ref="AI406:AI437" si="294">ROUND(AH406*$T406,2)</f>
        <v>0</v>
      </c>
      <c r="AJ406" s="61">
        <v>0</v>
      </c>
      <c r="AK406" s="63">
        <f t="shared" ref="AK406:AK437" si="295">ROUND(AJ406*$T406,2)</f>
        <v>0</v>
      </c>
      <c r="AL406" s="61">
        <v>0</v>
      </c>
      <c r="AM406" s="63">
        <f t="shared" ref="AM406:AM437" si="296">ROUND(AL406*$T406,2)</f>
        <v>0</v>
      </c>
      <c r="AN406" s="61">
        <v>0</v>
      </c>
      <c r="AO406" s="63">
        <f t="shared" ref="AO406:AO437" si="297">ROUND(AN406*$T406,2)</f>
        <v>0</v>
      </c>
      <c r="AP406" s="61">
        <v>0</v>
      </c>
      <c r="AQ406" s="63">
        <f t="shared" ref="AQ406:AQ437" si="298">ROUND(AP406*$T406,2)</f>
        <v>0</v>
      </c>
      <c r="AR406" s="61">
        <v>0</v>
      </c>
      <c r="AS406" s="63">
        <f t="shared" ref="AS406:AS437" si="299">ROUND(AR406*$T406,2)</f>
        <v>0</v>
      </c>
      <c r="AT406" s="61">
        <v>0</v>
      </c>
      <c r="AU406" s="63">
        <f t="shared" ref="AU406:AU437" si="300">ROUND(AT406*$T406,2)</f>
        <v>0</v>
      </c>
      <c r="AV406" s="61">
        <v>0</v>
      </c>
      <c r="AW406" s="63">
        <f t="shared" ref="AW406:AW437" si="301">ROUND(AV406*$T406,2)</f>
        <v>0</v>
      </c>
      <c r="AX406" s="61">
        <v>0</v>
      </c>
      <c r="AY406" s="63">
        <f t="shared" ref="AY406:AY437" si="302">ROUND(AX406*$T406,2)</f>
        <v>0</v>
      </c>
      <c r="AZ406" s="61">
        <v>0</v>
      </c>
      <c r="BA406" s="63">
        <f t="shared" ref="BA406:BA437" si="303">ROUND(AZ406*$T406,2)</f>
        <v>0</v>
      </c>
      <c r="BB406" s="61">
        <v>0</v>
      </c>
      <c r="BC406" s="63">
        <f t="shared" ref="BC406:BC437" si="304">ROUND(BB406*$T406,2)</f>
        <v>0</v>
      </c>
      <c r="BD406" s="61">
        <v>0</v>
      </c>
      <c r="BE406" s="63">
        <f t="shared" ref="BE406:BE437" si="305">ROUND(BD406*$T406,2)</f>
        <v>0</v>
      </c>
      <c r="BF406" s="61">
        <f t="shared" ref="BF406:BF437" si="306">IFERROR(SUMIFS($V406:$BE406,$V$5:$BE$5,$BF$5),0)</f>
        <v>0</v>
      </c>
      <c r="BG406" s="63">
        <f t="shared" ref="BG406:BG437" si="307">SUMIFS($V406:$BE406,$V$5:$BE$5,$W$5)</f>
        <v>0</v>
      </c>
      <c r="BH406" s="45"/>
      <c r="BI406" s="144"/>
    </row>
    <row r="407" spans="1:61" ht="26" customHeight="1" x14ac:dyDescent="0.45">
      <c r="A407" s="140">
        <v>5</v>
      </c>
      <c r="B407" s="141" t="s">
        <v>850</v>
      </c>
      <c r="C407" s="142" t="s">
        <v>1488</v>
      </c>
      <c r="D407" s="143" t="str">
        <f t="shared" si="286"/>
        <v>5.1_1.14.2</v>
      </c>
      <c r="E407" s="56" t="s">
        <v>270</v>
      </c>
      <c r="F407" s="506" t="s">
        <v>271</v>
      </c>
      <c r="G407" s="507" t="s">
        <v>111</v>
      </c>
      <c r="H407" s="507" t="s">
        <v>224</v>
      </c>
      <c r="I407" s="507" t="s">
        <v>272</v>
      </c>
      <c r="J407" s="507" t="s">
        <v>273</v>
      </c>
      <c r="K407" s="507">
        <v>110</v>
      </c>
      <c r="L407" s="507" t="s">
        <v>267</v>
      </c>
      <c r="M407" s="507" t="s">
        <v>114</v>
      </c>
      <c r="N407" s="507" t="s">
        <v>267</v>
      </c>
      <c r="O407" s="57" t="s">
        <v>274</v>
      </c>
      <c r="P407" s="58" t="s">
        <v>21</v>
      </c>
      <c r="Q407" s="59" t="s">
        <v>275</v>
      </c>
      <c r="R407" s="60" t="s">
        <v>71</v>
      </c>
      <c r="S407" s="61">
        <v>2</v>
      </c>
      <c r="T407" s="62">
        <f>INDEX('BM MORRO DA CRUZ'!$P$6:$P$402,MATCH($O407,'BM MORRO DA CRUZ'!$K$6:$K$402,0))</f>
        <v>75.569999999999993</v>
      </c>
      <c r="U407" s="63">
        <f t="shared" si="287"/>
        <v>151.13999999999999</v>
      </c>
      <c r="V407" s="61">
        <f>IFERROR(SUMIFS('01ª MC'!$W$1:$W$1840,'01ª MC'!$C$1:$C$1840,$D407),0)</f>
        <v>0</v>
      </c>
      <c r="W407" s="63">
        <f t="shared" si="288"/>
        <v>0</v>
      </c>
      <c r="X407" s="61">
        <v>0</v>
      </c>
      <c r="Y407" s="63">
        <f t="shared" si="289"/>
        <v>0</v>
      </c>
      <c r="Z407" s="61">
        <v>0</v>
      </c>
      <c r="AA407" s="63">
        <f t="shared" si="290"/>
        <v>0</v>
      </c>
      <c r="AB407" s="61">
        <v>0</v>
      </c>
      <c r="AC407" s="63">
        <f t="shared" si="291"/>
        <v>0</v>
      </c>
      <c r="AD407" s="61">
        <v>0</v>
      </c>
      <c r="AE407" s="63">
        <f t="shared" si="292"/>
        <v>0</v>
      </c>
      <c r="AF407" s="61">
        <v>0</v>
      </c>
      <c r="AG407" s="63">
        <f t="shared" si="293"/>
        <v>0</v>
      </c>
      <c r="AH407" s="61">
        <v>0</v>
      </c>
      <c r="AI407" s="63">
        <f t="shared" si="294"/>
        <v>0</v>
      </c>
      <c r="AJ407" s="61">
        <v>0</v>
      </c>
      <c r="AK407" s="63">
        <f t="shared" si="295"/>
        <v>0</v>
      </c>
      <c r="AL407" s="61">
        <v>0</v>
      </c>
      <c r="AM407" s="63">
        <f t="shared" si="296"/>
        <v>0</v>
      </c>
      <c r="AN407" s="61">
        <v>0</v>
      </c>
      <c r="AO407" s="63">
        <f t="shared" si="297"/>
        <v>0</v>
      </c>
      <c r="AP407" s="61">
        <v>0</v>
      </c>
      <c r="AQ407" s="63">
        <f t="shared" si="298"/>
        <v>0</v>
      </c>
      <c r="AR407" s="61">
        <v>0</v>
      </c>
      <c r="AS407" s="63">
        <f t="shared" si="299"/>
        <v>0</v>
      </c>
      <c r="AT407" s="61">
        <v>0</v>
      </c>
      <c r="AU407" s="63">
        <f t="shared" si="300"/>
        <v>0</v>
      </c>
      <c r="AV407" s="61">
        <v>0</v>
      </c>
      <c r="AW407" s="63">
        <f t="shared" si="301"/>
        <v>0</v>
      </c>
      <c r="AX407" s="61">
        <v>0</v>
      </c>
      <c r="AY407" s="63">
        <f t="shared" si="302"/>
        <v>0</v>
      </c>
      <c r="AZ407" s="61">
        <v>0</v>
      </c>
      <c r="BA407" s="63">
        <f t="shared" si="303"/>
        <v>0</v>
      </c>
      <c r="BB407" s="61">
        <v>0</v>
      </c>
      <c r="BC407" s="63">
        <f t="shared" si="304"/>
        <v>0</v>
      </c>
      <c r="BD407" s="61">
        <v>0</v>
      </c>
      <c r="BE407" s="63">
        <f t="shared" si="305"/>
        <v>0</v>
      </c>
      <c r="BF407" s="61">
        <f t="shared" si="306"/>
        <v>0</v>
      </c>
      <c r="BG407" s="63">
        <f t="shared" si="307"/>
        <v>0</v>
      </c>
      <c r="BH407" s="45"/>
      <c r="BI407" s="144"/>
    </row>
    <row r="408" spans="1:61" ht="26" customHeight="1" x14ac:dyDescent="0.45">
      <c r="A408" s="140">
        <v>5</v>
      </c>
      <c r="B408" s="141" t="s">
        <v>850</v>
      </c>
      <c r="C408" s="142" t="s">
        <v>1488</v>
      </c>
      <c r="D408" s="143" t="str">
        <f t="shared" si="286"/>
        <v>5.1_1.14.3</v>
      </c>
      <c r="E408" s="56" t="s">
        <v>276</v>
      </c>
      <c r="F408" s="506" t="s">
        <v>271</v>
      </c>
      <c r="G408" s="507" t="s">
        <v>111</v>
      </c>
      <c r="H408" s="507" t="s">
        <v>224</v>
      </c>
      <c r="I408" s="507" t="s">
        <v>272</v>
      </c>
      <c r="J408" s="507" t="s">
        <v>273</v>
      </c>
      <c r="K408" s="507">
        <v>125</v>
      </c>
      <c r="L408" s="507" t="s">
        <v>267</v>
      </c>
      <c r="M408" s="507" t="s">
        <v>114</v>
      </c>
      <c r="N408" s="507" t="s">
        <v>267</v>
      </c>
      <c r="O408" s="57" t="s">
        <v>277</v>
      </c>
      <c r="P408" s="58" t="s">
        <v>21</v>
      </c>
      <c r="Q408" s="59" t="s">
        <v>278</v>
      </c>
      <c r="R408" s="60" t="s">
        <v>71</v>
      </c>
      <c r="S408" s="61">
        <v>4</v>
      </c>
      <c r="T408" s="62">
        <f>INDEX('BM MORRO DA CRUZ'!$P$6:$P$402,MATCH($O408,'BM MORRO DA CRUZ'!$K$6:$K$402,0))</f>
        <v>92.19</v>
      </c>
      <c r="U408" s="63">
        <f t="shared" si="287"/>
        <v>368.76</v>
      </c>
      <c r="V408" s="61">
        <f>IFERROR(SUMIFS('01ª MC'!$W$1:$W$1840,'01ª MC'!$C$1:$C$1840,$D408),0)</f>
        <v>0</v>
      </c>
      <c r="W408" s="63">
        <f t="shared" si="288"/>
        <v>0</v>
      </c>
      <c r="X408" s="61">
        <v>0</v>
      </c>
      <c r="Y408" s="63">
        <f t="shared" si="289"/>
        <v>0</v>
      </c>
      <c r="Z408" s="61">
        <v>0</v>
      </c>
      <c r="AA408" s="63">
        <f t="shared" si="290"/>
        <v>0</v>
      </c>
      <c r="AB408" s="61">
        <v>0</v>
      </c>
      <c r="AC408" s="63">
        <f t="shared" si="291"/>
        <v>0</v>
      </c>
      <c r="AD408" s="61">
        <v>0</v>
      </c>
      <c r="AE408" s="63">
        <f t="shared" si="292"/>
        <v>0</v>
      </c>
      <c r="AF408" s="61">
        <v>0</v>
      </c>
      <c r="AG408" s="63">
        <f t="shared" si="293"/>
        <v>0</v>
      </c>
      <c r="AH408" s="61">
        <v>0</v>
      </c>
      <c r="AI408" s="63">
        <f t="shared" si="294"/>
        <v>0</v>
      </c>
      <c r="AJ408" s="61">
        <v>0</v>
      </c>
      <c r="AK408" s="63">
        <f t="shared" si="295"/>
        <v>0</v>
      </c>
      <c r="AL408" s="61">
        <v>0</v>
      </c>
      <c r="AM408" s="63">
        <f t="shared" si="296"/>
        <v>0</v>
      </c>
      <c r="AN408" s="61">
        <v>0</v>
      </c>
      <c r="AO408" s="63">
        <f t="shared" si="297"/>
        <v>0</v>
      </c>
      <c r="AP408" s="61">
        <v>0</v>
      </c>
      <c r="AQ408" s="63">
        <f t="shared" si="298"/>
        <v>0</v>
      </c>
      <c r="AR408" s="61">
        <v>0</v>
      </c>
      <c r="AS408" s="63">
        <f t="shared" si="299"/>
        <v>0</v>
      </c>
      <c r="AT408" s="61">
        <v>0</v>
      </c>
      <c r="AU408" s="63">
        <f t="shared" si="300"/>
        <v>0</v>
      </c>
      <c r="AV408" s="61">
        <v>0</v>
      </c>
      <c r="AW408" s="63">
        <f t="shared" si="301"/>
        <v>0</v>
      </c>
      <c r="AX408" s="61">
        <v>0</v>
      </c>
      <c r="AY408" s="63">
        <f t="shared" si="302"/>
        <v>0</v>
      </c>
      <c r="AZ408" s="61">
        <v>0</v>
      </c>
      <c r="BA408" s="63">
        <f t="shared" si="303"/>
        <v>0</v>
      </c>
      <c r="BB408" s="61">
        <v>0</v>
      </c>
      <c r="BC408" s="63">
        <f t="shared" si="304"/>
        <v>0</v>
      </c>
      <c r="BD408" s="61">
        <v>0</v>
      </c>
      <c r="BE408" s="63">
        <f t="shared" si="305"/>
        <v>0</v>
      </c>
      <c r="BF408" s="61">
        <f t="shared" si="306"/>
        <v>0</v>
      </c>
      <c r="BG408" s="63">
        <f t="shared" si="307"/>
        <v>0</v>
      </c>
      <c r="BH408" s="45"/>
      <c r="BI408" s="144"/>
    </row>
    <row r="409" spans="1:61" ht="26" customHeight="1" x14ac:dyDescent="0.45">
      <c r="A409" s="140">
        <v>5</v>
      </c>
      <c r="B409" s="141" t="s">
        <v>850</v>
      </c>
      <c r="C409" s="142" t="s">
        <v>1488</v>
      </c>
      <c r="D409" s="143" t="str">
        <f t="shared" si="286"/>
        <v>5.1_1.14.4</v>
      </c>
      <c r="E409" s="56" t="s">
        <v>279</v>
      </c>
      <c r="F409" s="506" t="s">
        <v>271</v>
      </c>
      <c r="G409" s="507" t="s">
        <v>111</v>
      </c>
      <c r="H409" s="507" t="s">
        <v>224</v>
      </c>
      <c r="I409" s="507" t="s">
        <v>272</v>
      </c>
      <c r="J409" s="507" t="s">
        <v>273</v>
      </c>
      <c r="K409" s="507">
        <v>160</v>
      </c>
      <c r="L409" s="507" t="s">
        <v>267</v>
      </c>
      <c r="M409" s="507" t="s">
        <v>114</v>
      </c>
      <c r="N409" s="507" t="s">
        <v>267</v>
      </c>
      <c r="O409" s="57" t="s">
        <v>280</v>
      </c>
      <c r="P409" s="58" t="s">
        <v>21</v>
      </c>
      <c r="Q409" s="59" t="s">
        <v>281</v>
      </c>
      <c r="R409" s="60" t="s">
        <v>71</v>
      </c>
      <c r="S409" s="61">
        <v>48</v>
      </c>
      <c r="T409" s="62">
        <f>INDEX('BM MORRO DA CRUZ'!$P$6:$P$402,MATCH($O409,'BM MORRO DA CRUZ'!$K$6:$K$402,0))</f>
        <v>149.07</v>
      </c>
      <c r="U409" s="63">
        <f t="shared" si="287"/>
        <v>7155.36</v>
      </c>
      <c r="V409" s="61">
        <f>IFERROR(SUMIFS('01ª MC'!$W$1:$W$1840,'01ª MC'!$C$1:$C$1840,$D409),0)</f>
        <v>0</v>
      </c>
      <c r="W409" s="63">
        <f t="shared" si="288"/>
        <v>0</v>
      </c>
      <c r="X409" s="61">
        <v>0</v>
      </c>
      <c r="Y409" s="63">
        <f t="shared" si="289"/>
        <v>0</v>
      </c>
      <c r="Z409" s="61">
        <v>0</v>
      </c>
      <c r="AA409" s="63">
        <f t="shared" si="290"/>
        <v>0</v>
      </c>
      <c r="AB409" s="61">
        <v>0</v>
      </c>
      <c r="AC409" s="63">
        <f t="shared" si="291"/>
        <v>0</v>
      </c>
      <c r="AD409" s="61">
        <v>0</v>
      </c>
      <c r="AE409" s="63">
        <f t="shared" si="292"/>
        <v>0</v>
      </c>
      <c r="AF409" s="61">
        <v>0</v>
      </c>
      <c r="AG409" s="63">
        <f t="shared" si="293"/>
        <v>0</v>
      </c>
      <c r="AH409" s="61">
        <v>0</v>
      </c>
      <c r="AI409" s="63">
        <f t="shared" si="294"/>
        <v>0</v>
      </c>
      <c r="AJ409" s="61">
        <v>0</v>
      </c>
      <c r="AK409" s="63">
        <f t="shared" si="295"/>
        <v>0</v>
      </c>
      <c r="AL409" s="61">
        <v>0</v>
      </c>
      <c r="AM409" s="63">
        <f t="shared" si="296"/>
        <v>0</v>
      </c>
      <c r="AN409" s="61">
        <v>0</v>
      </c>
      <c r="AO409" s="63">
        <f t="shared" si="297"/>
        <v>0</v>
      </c>
      <c r="AP409" s="61">
        <v>0</v>
      </c>
      <c r="AQ409" s="63">
        <f t="shared" si="298"/>
        <v>0</v>
      </c>
      <c r="AR409" s="61">
        <v>0</v>
      </c>
      <c r="AS409" s="63">
        <f t="shared" si="299"/>
        <v>0</v>
      </c>
      <c r="AT409" s="61">
        <v>0</v>
      </c>
      <c r="AU409" s="63">
        <f t="shared" si="300"/>
        <v>0</v>
      </c>
      <c r="AV409" s="61">
        <v>0</v>
      </c>
      <c r="AW409" s="63">
        <f t="shared" si="301"/>
        <v>0</v>
      </c>
      <c r="AX409" s="61">
        <v>0</v>
      </c>
      <c r="AY409" s="63">
        <f t="shared" si="302"/>
        <v>0</v>
      </c>
      <c r="AZ409" s="61">
        <v>0</v>
      </c>
      <c r="BA409" s="63">
        <f t="shared" si="303"/>
        <v>0</v>
      </c>
      <c r="BB409" s="61">
        <v>0</v>
      </c>
      <c r="BC409" s="63">
        <f t="shared" si="304"/>
        <v>0</v>
      </c>
      <c r="BD409" s="61">
        <v>0</v>
      </c>
      <c r="BE409" s="63">
        <f t="shared" si="305"/>
        <v>0</v>
      </c>
      <c r="BF409" s="61">
        <f t="shared" si="306"/>
        <v>0</v>
      </c>
      <c r="BG409" s="63">
        <f t="shared" si="307"/>
        <v>0</v>
      </c>
      <c r="BH409" s="45"/>
      <c r="BI409" s="144"/>
    </row>
    <row r="410" spans="1:61" ht="35.65" x14ac:dyDescent="0.45">
      <c r="A410" s="140">
        <v>5</v>
      </c>
      <c r="B410" s="141" t="s">
        <v>850</v>
      </c>
      <c r="C410" s="142" t="s">
        <v>1488</v>
      </c>
      <c r="D410" s="143" t="str">
        <f t="shared" si="286"/>
        <v>5.1_1.14.5</v>
      </c>
      <c r="E410" s="56" t="s">
        <v>282</v>
      </c>
      <c r="F410" s="506" t="s">
        <v>271</v>
      </c>
      <c r="G410" s="507" t="s">
        <v>111</v>
      </c>
      <c r="H410" s="507" t="s">
        <v>224</v>
      </c>
      <c r="I410" s="507" t="s">
        <v>272</v>
      </c>
      <c r="J410" s="507" t="s">
        <v>273</v>
      </c>
      <c r="K410" s="507">
        <v>200</v>
      </c>
      <c r="L410" s="507" t="s">
        <v>267</v>
      </c>
      <c r="M410" s="507" t="s">
        <v>114</v>
      </c>
      <c r="N410" s="507" t="s">
        <v>267</v>
      </c>
      <c r="O410" s="57" t="s">
        <v>283</v>
      </c>
      <c r="P410" s="58" t="s">
        <v>21</v>
      </c>
      <c r="Q410" s="59" t="s">
        <v>284</v>
      </c>
      <c r="R410" s="60" t="s">
        <v>71</v>
      </c>
      <c r="S410" s="61">
        <v>2</v>
      </c>
      <c r="T410" s="62">
        <f>INDEX('BM MORRO DA CRUZ'!$P$6:$P$402,MATCH($O410,'BM MORRO DA CRUZ'!$K$6:$K$402,0))</f>
        <v>262.24</v>
      </c>
      <c r="U410" s="63">
        <f t="shared" si="287"/>
        <v>524.48</v>
      </c>
      <c r="V410" s="61">
        <f>IFERROR(SUMIFS('01ª MC'!$W$1:$W$1840,'01ª MC'!$C$1:$C$1840,$D410),0)</f>
        <v>0</v>
      </c>
      <c r="W410" s="63">
        <f t="shared" si="288"/>
        <v>0</v>
      </c>
      <c r="X410" s="61">
        <v>0</v>
      </c>
      <c r="Y410" s="63">
        <f t="shared" si="289"/>
        <v>0</v>
      </c>
      <c r="Z410" s="61">
        <v>0</v>
      </c>
      <c r="AA410" s="63">
        <f t="shared" si="290"/>
        <v>0</v>
      </c>
      <c r="AB410" s="61">
        <v>0</v>
      </c>
      <c r="AC410" s="63">
        <f t="shared" si="291"/>
        <v>0</v>
      </c>
      <c r="AD410" s="61">
        <v>0</v>
      </c>
      <c r="AE410" s="63">
        <f t="shared" si="292"/>
        <v>0</v>
      </c>
      <c r="AF410" s="61">
        <v>0</v>
      </c>
      <c r="AG410" s="63">
        <f t="shared" si="293"/>
        <v>0</v>
      </c>
      <c r="AH410" s="61">
        <v>0</v>
      </c>
      <c r="AI410" s="63">
        <f t="shared" si="294"/>
        <v>0</v>
      </c>
      <c r="AJ410" s="61">
        <v>0</v>
      </c>
      <c r="AK410" s="63">
        <f t="shared" si="295"/>
        <v>0</v>
      </c>
      <c r="AL410" s="61">
        <v>0</v>
      </c>
      <c r="AM410" s="63">
        <f t="shared" si="296"/>
        <v>0</v>
      </c>
      <c r="AN410" s="61">
        <v>0</v>
      </c>
      <c r="AO410" s="63">
        <f t="shared" si="297"/>
        <v>0</v>
      </c>
      <c r="AP410" s="61">
        <v>0</v>
      </c>
      <c r="AQ410" s="63">
        <f t="shared" si="298"/>
        <v>0</v>
      </c>
      <c r="AR410" s="61">
        <v>0</v>
      </c>
      <c r="AS410" s="63">
        <f t="shared" si="299"/>
        <v>0</v>
      </c>
      <c r="AT410" s="61">
        <v>0</v>
      </c>
      <c r="AU410" s="63">
        <f t="shared" si="300"/>
        <v>0</v>
      </c>
      <c r="AV410" s="61">
        <v>0</v>
      </c>
      <c r="AW410" s="63">
        <f t="shared" si="301"/>
        <v>0</v>
      </c>
      <c r="AX410" s="61">
        <v>0</v>
      </c>
      <c r="AY410" s="63">
        <f t="shared" si="302"/>
        <v>0</v>
      </c>
      <c r="AZ410" s="61">
        <v>0</v>
      </c>
      <c r="BA410" s="63">
        <f t="shared" si="303"/>
        <v>0</v>
      </c>
      <c r="BB410" s="61">
        <v>0</v>
      </c>
      <c r="BC410" s="63">
        <f t="shared" si="304"/>
        <v>0</v>
      </c>
      <c r="BD410" s="61">
        <v>0</v>
      </c>
      <c r="BE410" s="63">
        <f t="shared" si="305"/>
        <v>0</v>
      </c>
      <c r="BF410" s="61">
        <f t="shared" si="306"/>
        <v>0</v>
      </c>
      <c r="BG410" s="63">
        <f t="shared" si="307"/>
        <v>0</v>
      </c>
      <c r="BH410" s="45"/>
      <c r="BI410" s="144"/>
    </row>
    <row r="411" spans="1:61" ht="26" customHeight="1" x14ac:dyDescent="0.45">
      <c r="A411" s="140">
        <v>5</v>
      </c>
      <c r="B411" s="141" t="s">
        <v>850</v>
      </c>
      <c r="C411" s="142" t="s">
        <v>1488</v>
      </c>
      <c r="D411" s="143" t="str">
        <f t="shared" si="286"/>
        <v>5.1_1.14.6</v>
      </c>
      <c r="E411" s="56" t="s">
        <v>285</v>
      </c>
      <c r="F411" s="506" t="s">
        <v>271</v>
      </c>
      <c r="G411" s="507" t="s">
        <v>111</v>
      </c>
      <c r="H411" s="507" t="s">
        <v>224</v>
      </c>
      <c r="I411" s="507" t="s">
        <v>272</v>
      </c>
      <c r="J411" s="507" t="s">
        <v>273</v>
      </c>
      <c r="K411" s="507">
        <v>225</v>
      </c>
      <c r="L411" s="507" t="s">
        <v>267</v>
      </c>
      <c r="M411" s="507" t="s">
        <v>114</v>
      </c>
      <c r="N411" s="507" t="s">
        <v>267</v>
      </c>
      <c r="O411" s="57" t="s">
        <v>286</v>
      </c>
      <c r="P411" s="58" t="s">
        <v>21</v>
      </c>
      <c r="Q411" s="59" t="s">
        <v>287</v>
      </c>
      <c r="R411" s="60" t="s">
        <v>71</v>
      </c>
      <c r="S411" s="61">
        <v>17</v>
      </c>
      <c r="T411" s="62">
        <f>INDEX('BM MORRO DA CRUZ'!$P$6:$P$402,MATCH($O411,'BM MORRO DA CRUZ'!$K$6:$K$402,0))</f>
        <v>282.82</v>
      </c>
      <c r="U411" s="63">
        <f t="shared" si="287"/>
        <v>4807.9399999999996</v>
      </c>
      <c r="V411" s="61">
        <f>IFERROR(SUMIFS('01ª MC'!$W$1:$W$1840,'01ª MC'!$C$1:$C$1840,$D411),0)</f>
        <v>0</v>
      </c>
      <c r="W411" s="63">
        <f t="shared" si="288"/>
        <v>0</v>
      </c>
      <c r="X411" s="61">
        <v>0</v>
      </c>
      <c r="Y411" s="63">
        <f t="shared" si="289"/>
        <v>0</v>
      </c>
      <c r="Z411" s="61">
        <v>0</v>
      </c>
      <c r="AA411" s="63">
        <f t="shared" si="290"/>
        <v>0</v>
      </c>
      <c r="AB411" s="61">
        <v>0</v>
      </c>
      <c r="AC411" s="63">
        <f t="shared" si="291"/>
        <v>0</v>
      </c>
      <c r="AD411" s="61">
        <v>0</v>
      </c>
      <c r="AE411" s="63">
        <f t="shared" si="292"/>
        <v>0</v>
      </c>
      <c r="AF411" s="61">
        <v>0</v>
      </c>
      <c r="AG411" s="63">
        <f t="shared" si="293"/>
        <v>0</v>
      </c>
      <c r="AH411" s="61">
        <v>0</v>
      </c>
      <c r="AI411" s="63">
        <f t="shared" si="294"/>
        <v>0</v>
      </c>
      <c r="AJ411" s="61">
        <v>0</v>
      </c>
      <c r="AK411" s="63">
        <f t="shared" si="295"/>
        <v>0</v>
      </c>
      <c r="AL411" s="61">
        <v>0</v>
      </c>
      <c r="AM411" s="63">
        <f t="shared" si="296"/>
        <v>0</v>
      </c>
      <c r="AN411" s="61">
        <v>0</v>
      </c>
      <c r="AO411" s="63">
        <f t="shared" si="297"/>
        <v>0</v>
      </c>
      <c r="AP411" s="61">
        <v>0</v>
      </c>
      <c r="AQ411" s="63">
        <f t="shared" si="298"/>
        <v>0</v>
      </c>
      <c r="AR411" s="61">
        <v>0</v>
      </c>
      <c r="AS411" s="63">
        <f t="shared" si="299"/>
        <v>0</v>
      </c>
      <c r="AT411" s="61">
        <v>0</v>
      </c>
      <c r="AU411" s="63">
        <f t="shared" si="300"/>
        <v>0</v>
      </c>
      <c r="AV411" s="61">
        <v>0</v>
      </c>
      <c r="AW411" s="63">
        <f t="shared" si="301"/>
        <v>0</v>
      </c>
      <c r="AX411" s="61">
        <v>0</v>
      </c>
      <c r="AY411" s="63">
        <f t="shared" si="302"/>
        <v>0</v>
      </c>
      <c r="AZ411" s="61">
        <v>0</v>
      </c>
      <c r="BA411" s="63">
        <f t="shared" si="303"/>
        <v>0</v>
      </c>
      <c r="BB411" s="61">
        <v>0</v>
      </c>
      <c r="BC411" s="63">
        <f t="shared" si="304"/>
        <v>0</v>
      </c>
      <c r="BD411" s="61">
        <v>0</v>
      </c>
      <c r="BE411" s="63">
        <f t="shared" si="305"/>
        <v>0</v>
      </c>
      <c r="BF411" s="61">
        <f t="shared" si="306"/>
        <v>0</v>
      </c>
      <c r="BG411" s="63">
        <f t="shared" si="307"/>
        <v>0</v>
      </c>
      <c r="BH411" s="45"/>
      <c r="BI411" s="144"/>
    </row>
    <row r="412" spans="1:61" ht="26" customHeight="1" x14ac:dyDescent="0.45">
      <c r="A412" s="140">
        <v>5</v>
      </c>
      <c r="B412" s="141" t="s">
        <v>850</v>
      </c>
      <c r="C412" s="142" t="s">
        <v>1488</v>
      </c>
      <c r="D412" s="143" t="str">
        <f t="shared" si="286"/>
        <v>5.1_1.14.7</v>
      </c>
      <c r="E412" s="56" t="s">
        <v>288</v>
      </c>
      <c r="F412" s="506" t="s">
        <v>271</v>
      </c>
      <c r="G412" s="507" t="s">
        <v>111</v>
      </c>
      <c r="H412" s="507" t="s">
        <v>224</v>
      </c>
      <c r="I412" s="507" t="s">
        <v>272</v>
      </c>
      <c r="J412" s="507" t="s">
        <v>273</v>
      </c>
      <c r="K412" s="507">
        <v>250</v>
      </c>
      <c r="L412" s="507" t="s">
        <v>267</v>
      </c>
      <c r="M412" s="507" t="s">
        <v>114</v>
      </c>
      <c r="N412" s="507" t="s">
        <v>267</v>
      </c>
      <c r="O412" s="57" t="s">
        <v>289</v>
      </c>
      <c r="P412" s="58" t="s">
        <v>21</v>
      </c>
      <c r="Q412" s="59" t="s">
        <v>290</v>
      </c>
      <c r="R412" s="60" t="s">
        <v>71</v>
      </c>
      <c r="S412" s="61">
        <v>10</v>
      </c>
      <c r="T412" s="62">
        <f>INDEX('BM MORRO DA CRUZ'!$P$6:$P$402,MATCH($O412,'BM MORRO DA CRUZ'!$K$6:$K$402,0))</f>
        <v>459.3</v>
      </c>
      <c r="U412" s="63">
        <f t="shared" si="287"/>
        <v>4593</v>
      </c>
      <c r="V412" s="61">
        <f>IFERROR(SUMIFS('01ª MC'!$W$1:$W$1840,'01ª MC'!$C$1:$C$1840,$D412),0)</f>
        <v>0</v>
      </c>
      <c r="W412" s="63">
        <f t="shared" si="288"/>
        <v>0</v>
      </c>
      <c r="X412" s="61">
        <v>0</v>
      </c>
      <c r="Y412" s="63">
        <f t="shared" si="289"/>
        <v>0</v>
      </c>
      <c r="Z412" s="61">
        <v>0</v>
      </c>
      <c r="AA412" s="63">
        <f t="shared" si="290"/>
        <v>0</v>
      </c>
      <c r="AB412" s="61">
        <v>0</v>
      </c>
      <c r="AC412" s="63">
        <f t="shared" si="291"/>
        <v>0</v>
      </c>
      <c r="AD412" s="61">
        <v>0</v>
      </c>
      <c r="AE412" s="63">
        <f t="shared" si="292"/>
        <v>0</v>
      </c>
      <c r="AF412" s="61">
        <v>0</v>
      </c>
      <c r="AG412" s="63">
        <f t="shared" si="293"/>
        <v>0</v>
      </c>
      <c r="AH412" s="61">
        <v>0</v>
      </c>
      <c r="AI412" s="63">
        <f t="shared" si="294"/>
        <v>0</v>
      </c>
      <c r="AJ412" s="61">
        <v>0</v>
      </c>
      <c r="AK412" s="63">
        <f t="shared" si="295"/>
        <v>0</v>
      </c>
      <c r="AL412" s="61">
        <v>0</v>
      </c>
      <c r="AM412" s="63">
        <f t="shared" si="296"/>
        <v>0</v>
      </c>
      <c r="AN412" s="61">
        <v>0</v>
      </c>
      <c r="AO412" s="63">
        <f t="shared" si="297"/>
        <v>0</v>
      </c>
      <c r="AP412" s="61">
        <v>0</v>
      </c>
      <c r="AQ412" s="63">
        <f t="shared" si="298"/>
        <v>0</v>
      </c>
      <c r="AR412" s="61">
        <v>0</v>
      </c>
      <c r="AS412" s="63">
        <f t="shared" si="299"/>
        <v>0</v>
      </c>
      <c r="AT412" s="61">
        <v>0</v>
      </c>
      <c r="AU412" s="63">
        <f t="shared" si="300"/>
        <v>0</v>
      </c>
      <c r="AV412" s="61">
        <v>0</v>
      </c>
      <c r="AW412" s="63">
        <f t="shared" si="301"/>
        <v>0</v>
      </c>
      <c r="AX412" s="61">
        <v>0</v>
      </c>
      <c r="AY412" s="63">
        <f t="shared" si="302"/>
        <v>0</v>
      </c>
      <c r="AZ412" s="61">
        <v>0</v>
      </c>
      <c r="BA412" s="63">
        <f t="shared" si="303"/>
        <v>0</v>
      </c>
      <c r="BB412" s="61">
        <v>0</v>
      </c>
      <c r="BC412" s="63">
        <f t="shared" si="304"/>
        <v>0</v>
      </c>
      <c r="BD412" s="61">
        <v>0</v>
      </c>
      <c r="BE412" s="63">
        <f t="shared" si="305"/>
        <v>0</v>
      </c>
      <c r="BF412" s="61">
        <f t="shared" si="306"/>
        <v>0</v>
      </c>
      <c r="BG412" s="63">
        <f t="shared" si="307"/>
        <v>0</v>
      </c>
      <c r="BH412" s="45"/>
      <c r="BI412" s="144"/>
    </row>
    <row r="413" spans="1:61" ht="26" customHeight="1" x14ac:dyDescent="0.45">
      <c r="A413" s="140">
        <v>5</v>
      </c>
      <c r="B413" s="141" t="s">
        <v>850</v>
      </c>
      <c r="C413" s="142" t="s">
        <v>1488</v>
      </c>
      <c r="D413" s="143" t="str">
        <f t="shared" si="286"/>
        <v>5.1_1.14.8</v>
      </c>
      <c r="E413" s="56" t="s">
        <v>291</v>
      </c>
      <c r="F413" s="506" t="s">
        <v>271</v>
      </c>
      <c r="G413" s="507" t="s">
        <v>111</v>
      </c>
      <c r="H413" s="507" t="s">
        <v>224</v>
      </c>
      <c r="I413" s="507" t="s">
        <v>272</v>
      </c>
      <c r="J413" s="507" t="s">
        <v>273</v>
      </c>
      <c r="K413" s="507">
        <v>500</v>
      </c>
      <c r="L413" s="507" t="s">
        <v>267</v>
      </c>
      <c r="M413" s="507" t="s">
        <v>114</v>
      </c>
      <c r="N413" s="507" t="s">
        <v>267</v>
      </c>
      <c r="O413" s="57" t="s">
        <v>292</v>
      </c>
      <c r="P413" s="58" t="s">
        <v>21</v>
      </c>
      <c r="Q413" s="59" t="s">
        <v>293</v>
      </c>
      <c r="R413" s="60" t="s">
        <v>71</v>
      </c>
      <c r="S413" s="61">
        <v>2</v>
      </c>
      <c r="T413" s="62">
        <f>INDEX('BM MORRO DA CRUZ'!$P$6:$P$402,MATCH($O413,'BM MORRO DA CRUZ'!$K$6:$K$402,0))</f>
        <v>2629.23</v>
      </c>
      <c r="U413" s="63">
        <f t="shared" si="287"/>
        <v>5258.46</v>
      </c>
      <c r="V413" s="61">
        <f>IFERROR(SUMIFS('01ª MC'!$W$1:$W$1840,'01ª MC'!$C$1:$C$1840,$D413),0)</f>
        <v>0</v>
      </c>
      <c r="W413" s="63">
        <f t="shared" si="288"/>
        <v>0</v>
      </c>
      <c r="X413" s="61">
        <v>0</v>
      </c>
      <c r="Y413" s="63">
        <f t="shared" si="289"/>
        <v>0</v>
      </c>
      <c r="Z413" s="61">
        <v>0</v>
      </c>
      <c r="AA413" s="63">
        <f t="shared" si="290"/>
        <v>0</v>
      </c>
      <c r="AB413" s="61">
        <v>0</v>
      </c>
      <c r="AC413" s="63">
        <f t="shared" si="291"/>
        <v>0</v>
      </c>
      <c r="AD413" s="61">
        <v>0</v>
      </c>
      <c r="AE413" s="63">
        <f t="shared" si="292"/>
        <v>0</v>
      </c>
      <c r="AF413" s="61">
        <v>0</v>
      </c>
      <c r="AG413" s="63">
        <f t="shared" si="293"/>
        <v>0</v>
      </c>
      <c r="AH413" s="61">
        <v>0</v>
      </c>
      <c r="AI413" s="63">
        <f t="shared" si="294"/>
        <v>0</v>
      </c>
      <c r="AJ413" s="61">
        <v>0</v>
      </c>
      <c r="AK413" s="63">
        <f t="shared" si="295"/>
        <v>0</v>
      </c>
      <c r="AL413" s="61">
        <v>0</v>
      </c>
      <c r="AM413" s="63">
        <f t="shared" si="296"/>
        <v>0</v>
      </c>
      <c r="AN413" s="61">
        <v>0</v>
      </c>
      <c r="AO413" s="63">
        <f t="shared" si="297"/>
        <v>0</v>
      </c>
      <c r="AP413" s="61">
        <v>0</v>
      </c>
      <c r="AQ413" s="63">
        <f t="shared" si="298"/>
        <v>0</v>
      </c>
      <c r="AR413" s="61">
        <v>0</v>
      </c>
      <c r="AS413" s="63">
        <f t="shared" si="299"/>
        <v>0</v>
      </c>
      <c r="AT413" s="61">
        <v>0</v>
      </c>
      <c r="AU413" s="63">
        <f t="shared" si="300"/>
        <v>0</v>
      </c>
      <c r="AV413" s="61">
        <v>0</v>
      </c>
      <c r="AW413" s="63">
        <f t="shared" si="301"/>
        <v>0</v>
      </c>
      <c r="AX413" s="61">
        <v>0</v>
      </c>
      <c r="AY413" s="63">
        <f t="shared" si="302"/>
        <v>0</v>
      </c>
      <c r="AZ413" s="61">
        <v>0</v>
      </c>
      <c r="BA413" s="63">
        <f t="shared" si="303"/>
        <v>0</v>
      </c>
      <c r="BB413" s="61">
        <v>0</v>
      </c>
      <c r="BC413" s="63">
        <f t="shared" si="304"/>
        <v>0</v>
      </c>
      <c r="BD413" s="61">
        <v>0</v>
      </c>
      <c r="BE413" s="63">
        <f t="shared" si="305"/>
        <v>0</v>
      </c>
      <c r="BF413" s="61">
        <f t="shared" si="306"/>
        <v>0</v>
      </c>
      <c r="BG413" s="63">
        <f t="shared" si="307"/>
        <v>0</v>
      </c>
      <c r="BH413" s="45"/>
      <c r="BI413" s="144"/>
    </row>
    <row r="414" spans="1:61" ht="26" customHeight="1" x14ac:dyDescent="0.45">
      <c r="A414" s="140">
        <v>5</v>
      </c>
      <c r="B414" s="141" t="s">
        <v>850</v>
      </c>
      <c r="C414" s="142" t="s">
        <v>1488</v>
      </c>
      <c r="D414" s="143" t="str">
        <f t="shared" si="286"/>
        <v>5.1_1.14.9</v>
      </c>
      <c r="E414" s="56" t="s">
        <v>294</v>
      </c>
      <c r="F414" s="506" t="s">
        <v>271</v>
      </c>
      <c r="G414" s="507" t="s">
        <v>111</v>
      </c>
      <c r="H414" s="507" t="s">
        <v>224</v>
      </c>
      <c r="I414" s="507" t="s">
        <v>272</v>
      </c>
      <c r="J414" s="507" t="s">
        <v>273</v>
      </c>
      <c r="K414" s="507">
        <v>63</v>
      </c>
      <c r="L414" s="507" t="s">
        <v>267</v>
      </c>
      <c r="M414" s="507" t="s">
        <v>114</v>
      </c>
      <c r="N414" s="507" t="s">
        <v>267</v>
      </c>
      <c r="O414" s="57" t="s">
        <v>295</v>
      </c>
      <c r="P414" s="58" t="s">
        <v>21</v>
      </c>
      <c r="Q414" s="59" t="s">
        <v>296</v>
      </c>
      <c r="R414" s="60" t="s">
        <v>71</v>
      </c>
      <c r="S414" s="61">
        <v>120</v>
      </c>
      <c r="T414" s="62">
        <f>INDEX('BM MORRO DA CRUZ'!$P$6:$P$402,MATCH($O414,'BM MORRO DA CRUZ'!$K$6:$K$402,0))</f>
        <v>35.14</v>
      </c>
      <c r="U414" s="63">
        <f t="shared" si="287"/>
        <v>4216.8</v>
      </c>
      <c r="V414" s="61">
        <f>IFERROR(SUMIFS('01ª MC'!$W$1:$W$1840,'01ª MC'!$C$1:$C$1840,$D414),0)</f>
        <v>0</v>
      </c>
      <c r="W414" s="63">
        <f t="shared" si="288"/>
        <v>0</v>
      </c>
      <c r="X414" s="61">
        <v>0</v>
      </c>
      <c r="Y414" s="63">
        <f t="shared" si="289"/>
        <v>0</v>
      </c>
      <c r="Z414" s="61">
        <v>0</v>
      </c>
      <c r="AA414" s="63">
        <f t="shared" si="290"/>
        <v>0</v>
      </c>
      <c r="AB414" s="61">
        <v>0</v>
      </c>
      <c r="AC414" s="63">
        <f t="shared" si="291"/>
        <v>0</v>
      </c>
      <c r="AD414" s="61">
        <v>0</v>
      </c>
      <c r="AE414" s="63">
        <f t="shared" si="292"/>
        <v>0</v>
      </c>
      <c r="AF414" s="61">
        <v>0</v>
      </c>
      <c r="AG414" s="63">
        <f t="shared" si="293"/>
        <v>0</v>
      </c>
      <c r="AH414" s="61">
        <v>0</v>
      </c>
      <c r="AI414" s="63">
        <f t="shared" si="294"/>
        <v>0</v>
      </c>
      <c r="AJ414" s="61">
        <v>0</v>
      </c>
      <c r="AK414" s="63">
        <f t="shared" si="295"/>
        <v>0</v>
      </c>
      <c r="AL414" s="61">
        <v>0</v>
      </c>
      <c r="AM414" s="63">
        <f t="shared" si="296"/>
        <v>0</v>
      </c>
      <c r="AN414" s="61">
        <v>0</v>
      </c>
      <c r="AO414" s="63">
        <f t="shared" si="297"/>
        <v>0</v>
      </c>
      <c r="AP414" s="61">
        <v>0</v>
      </c>
      <c r="AQ414" s="63">
        <f t="shared" si="298"/>
        <v>0</v>
      </c>
      <c r="AR414" s="61">
        <v>0</v>
      </c>
      <c r="AS414" s="63">
        <f t="shared" si="299"/>
        <v>0</v>
      </c>
      <c r="AT414" s="61">
        <v>0</v>
      </c>
      <c r="AU414" s="63">
        <f t="shared" si="300"/>
        <v>0</v>
      </c>
      <c r="AV414" s="61">
        <v>0</v>
      </c>
      <c r="AW414" s="63">
        <f t="shared" si="301"/>
        <v>0</v>
      </c>
      <c r="AX414" s="61">
        <v>0</v>
      </c>
      <c r="AY414" s="63">
        <f t="shared" si="302"/>
        <v>0</v>
      </c>
      <c r="AZ414" s="61">
        <v>0</v>
      </c>
      <c r="BA414" s="63">
        <f t="shared" si="303"/>
        <v>0</v>
      </c>
      <c r="BB414" s="61">
        <v>0</v>
      </c>
      <c r="BC414" s="63">
        <f t="shared" si="304"/>
        <v>0</v>
      </c>
      <c r="BD414" s="61">
        <v>0</v>
      </c>
      <c r="BE414" s="63">
        <f t="shared" si="305"/>
        <v>0</v>
      </c>
      <c r="BF414" s="61">
        <f t="shared" si="306"/>
        <v>0</v>
      </c>
      <c r="BG414" s="63">
        <f t="shared" si="307"/>
        <v>0</v>
      </c>
      <c r="BH414" s="45"/>
      <c r="BI414" s="144"/>
    </row>
    <row r="415" spans="1:61" ht="26" customHeight="1" x14ac:dyDescent="0.45">
      <c r="A415" s="140">
        <v>5</v>
      </c>
      <c r="B415" s="141" t="s">
        <v>850</v>
      </c>
      <c r="C415" s="142" t="s">
        <v>1488</v>
      </c>
      <c r="D415" s="143" t="str">
        <f t="shared" si="286"/>
        <v>5.1_1.14.10</v>
      </c>
      <c r="E415" s="56" t="s">
        <v>297</v>
      </c>
      <c r="F415" s="506" t="s">
        <v>271</v>
      </c>
      <c r="G415" s="507" t="s">
        <v>111</v>
      </c>
      <c r="H415" s="507" t="s">
        <v>224</v>
      </c>
      <c r="I415" s="507" t="s">
        <v>272</v>
      </c>
      <c r="J415" s="507" t="s">
        <v>273</v>
      </c>
      <c r="K415" s="507">
        <v>90</v>
      </c>
      <c r="L415" s="507" t="s">
        <v>267</v>
      </c>
      <c r="M415" s="507" t="s">
        <v>114</v>
      </c>
      <c r="N415" s="507" t="s">
        <v>267</v>
      </c>
      <c r="O415" s="57" t="s">
        <v>298</v>
      </c>
      <c r="P415" s="58" t="s">
        <v>21</v>
      </c>
      <c r="Q415" s="59" t="s">
        <v>299</v>
      </c>
      <c r="R415" s="60" t="s">
        <v>71</v>
      </c>
      <c r="S415" s="61">
        <v>30</v>
      </c>
      <c r="T415" s="62">
        <f>INDEX('BM MORRO DA CRUZ'!$P$6:$P$402,MATCH($O415,'BM MORRO DA CRUZ'!$K$6:$K$402,0))</f>
        <v>59.13</v>
      </c>
      <c r="U415" s="63">
        <f t="shared" si="287"/>
        <v>1773.9</v>
      </c>
      <c r="V415" s="61">
        <f>IFERROR(SUMIFS('01ª MC'!$W$1:$W$1840,'01ª MC'!$C$1:$C$1840,$D415),0)</f>
        <v>0</v>
      </c>
      <c r="W415" s="63">
        <f t="shared" si="288"/>
        <v>0</v>
      </c>
      <c r="X415" s="61">
        <v>0</v>
      </c>
      <c r="Y415" s="63">
        <f t="shared" si="289"/>
        <v>0</v>
      </c>
      <c r="Z415" s="61">
        <v>0</v>
      </c>
      <c r="AA415" s="63">
        <f t="shared" si="290"/>
        <v>0</v>
      </c>
      <c r="AB415" s="61">
        <v>0</v>
      </c>
      <c r="AC415" s="63">
        <f t="shared" si="291"/>
        <v>0</v>
      </c>
      <c r="AD415" s="61">
        <v>0</v>
      </c>
      <c r="AE415" s="63">
        <f t="shared" si="292"/>
        <v>0</v>
      </c>
      <c r="AF415" s="61">
        <v>0</v>
      </c>
      <c r="AG415" s="63">
        <f t="shared" si="293"/>
        <v>0</v>
      </c>
      <c r="AH415" s="61">
        <v>0</v>
      </c>
      <c r="AI415" s="63">
        <f t="shared" si="294"/>
        <v>0</v>
      </c>
      <c r="AJ415" s="61">
        <v>0</v>
      </c>
      <c r="AK415" s="63">
        <f t="shared" si="295"/>
        <v>0</v>
      </c>
      <c r="AL415" s="61">
        <v>0</v>
      </c>
      <c r="AM415" s="63">
        <f t="shared" si="296"/>
        <v>0</v>
      </c>
      <c r="AN415" s="61">
        <v>0</v>
      </c>
      <c r="AO415" s="63">
        <f t="shared" si="297"/>
        <v>0</v>
      </c>
      <c r="AP415" s="61">
        <v>0</v>
      </c>
      <c r="AQ415" s="63">
        <f t="shared" si="298"/>
        <v>0</v>
      </c>
      <c r="AR415" s="61">
        <v>0</v>
      </c>
      <c r="AS415" s="63">
        <f t="shared" si="299"/>
        <v>0</v>
      </c>
      <c r="AT415" s="61">
        <v>0</v>
      </c>
      <c r="AU415" s="63">
        <f t="shared" si="300"/>
        <v>0</v>
      </c>
      <c r="AV415" s="61">
        <v>0</v>
      </c>
      <c r="AW415" s="63">
        <f t="shared" si="301"/>
        <v>0</v>
      </c>
      <c r="AX415" s="61">
        <v>0</v>
      </c>
      <c r="AY415" s="63">
        <f t="shared" si="302"/>
        <v>0</v>
      </c>
      <c r="AZ415" s="61">
        <v>0</v>
      </c>
      <c r="BA415" s="63">
        <f t="shared" si="303"/>
        <v>0</v>
      </c>
      <c r="BB415" s="61">
        <v>0</v>
      </c>
      <c r="BC415" s="63">
        <f t="shared" si="304"/>
        <v>0</v>
      </c>
      <c r="BD415" s="61">
        <v>0</v>
      </c>
      <c r="BE415" s="63">
        <f t="shared" si="305"/>
        <v>0</v>
      </c>
      <c r="BF415" s="61">
        <f t="shared" si="306"/>
        <v>0</v>
      </c>
      <c r="BG415" s="63">
        <f t="shared" si="307"/>
        <v>0</v>
      </c>
      <c r="BH415" s="45"/>
      <c r="BI415" s="144"/>
    </row>
    <row r="416" spans="1:61" ht="38.25" customHeight="1" x14ac:dyDescent="0.45">
      <c r="A416" s="140">
        <v>5</v>
      </c>
      <c r="B416" s="141" t="s">
        <v>850</v>
      </c>
      <c r="C416" s="142" t="s">
        <v>1488</v>
      </c>
      <c r="D416" s="143" t="str">
        <f t="shared" si="286"/>
        <v>5.1_1.14.11</v>
      </c>
      <c r="E416" s="56" t="s">
        <v>300</v>
      </c>
      <c r="F416" s="506" t="s">
        <v>301</v>
      </c>
      <c r="G416" s="507" t="s">
        <v>147</v>
      </c>
      <c r="H416" s="507" t="s">
        <v>224</v>
      </c>
      <c r="I416" s="507" t="s">
        <v>302</v>
      </c>
      <c r="J416" s="507" t="s">
        <v>266</v>
      </c>
      <c r="K416" s="507">
        <v>225</v>
      </c>
      <c r="L416" s="507" t="s">
        <v>267</v>
      </c>
      <c r="M416" s="507" t="s">
        <v>114</v>
      </c>
      <c r="N416" s="507" t="s">
        <v>267</v>
      </c>
      <c r="O416" s="57" t="s">
        <v>303</v>
      </c>
      <c r="P416" s="58" t="s">
        <v>21</v>
      </c>
      <c r="Q416" s="59" t="s">
        <v>304</v>
      </c>
      <c r="R416" s="60" t="s">
        <v>71</v>
      </c>
      <c r="S416" s="61">
        <v>10</v>
      </c>
      <c r="T416" s="62">
        <f>INDEX('BM MORRO DA CRUZ'!$P$6:$P$402,MATCH($O416,'BM MORRO DA CRUZ'!$K$6:$K$402,0))</f>
        <v>4855.3</v>
      </c>
      <c r="U416" s="63">
        <f t="shared" si="287"/>
        <v>48553</v>
      </c>
      <c r="V416" s="61">
        <f>IFERROR(SUMIFS('01ª MC'!$W$1:$W$1840,'01ª MC'!$C$1:$C$1840,$D416),0)</f>
        <v>0</v>
      </c>
      <c r="W416" s="63">
        <f t="shared" si="288"/>
        <v>0</v>
      </c>
      <c r="X416" s="61">
        <v>0</v>
      </c>
      <c r="Y416" s="63">
        <f t="shared" si="289"/>
        <v>0</v>
      </c>
      <c r="Z416" s="61">
        <v>0</v>
      </c>
      <c r="AA416" s="63">
        <f t="shared" si="290"/>
        <v>0</v>
      </c>
      <c r="AB416" s="61">
        <v>0</v>
      </c>
      <c r="AC416" s="63">
        <f t="shared" si="291"/>
        <v>0</v>
      </c>
      <c r="AD416" s="61">
        <v>0</v>
      </c>
      <c r="AE416" s="63">
        <f t="shared" si="292"/>
        <v>0</v>
      </c>
      <c r="AF416" s="61">
        <v>0</v>
      </c>
      <c r="AG416" s="63">
        <f t="shared" si="293"/>
        <v>0</v>
      </c>
      <c r="AH416" s="61">
        <v>0</v>
      </c>
      <c r="AI416" s="63">
        <f t="shared" si="294"/>
        <v>0</v>
      </c>
      <c r="AJ416" s="61">
        <v>0</v>
      </c>
      <c r="AK416" s="63">
        <f t="shared" si="295"/>
        <v>0</v>
      </c>
      <c r="AL416" s="61">
        <v>0</v>
      </c>
      <c r="AM416" s="63">
        <f t="shared" si="296"/>
        <v>0</v>
      </c>
      <c r="AN416" s="61">
        <v>0</v>
      </c>
      <c r="AO416" s="63">
        <f t="shared" si="297"/>
        <v>0</v>
      </c>
      <c r="AP416" s="61">
        <v>0</v>
      </c>
      <c r="AQ416" s="63">
        <f t="shared" si="298"/>
        <v>0</v>
      </c>
      <c r="AR416" s="61">
        <v>0</v>
      </c>
      <c r="AS416" s="63">
        <f t="shared" si="299"/>
        <v>0</v>
      </c>
      <c r="AT416" s="61">
        <v>0</v>
      </c>
      <c r="AU416" s="63">
        <f t="shared" si="300"/>
        <v>0</v>
      </c>
      <c r="AV416" s="61">
        <v>0</v>
      </c>
      <c r="AW416" s="63">
        <f t="shared" si="301"/>
        <v>0</v>
      </c>
      <c r="AX416" s="61">
        <v>0</v>
      </c>
      <c r="AY416" s="63">
        <f t="shared" si="302"/>
        <v>0</v>
      </c>
      <c r="AZ416" s="61">
        <v>0</v>
      </c>
      <c r="BA416" s="63">
        <f t="shared" si="303"/>
        <v>0</v>
      </c>
      <c r="BB416" s="61">
        <v>0</v>
      </c>
      <c r="BC416" s="63">
        <f t="shared" si="304"/>
        <v>0</v>
      </c>
      <c r="BD416" s="61">
        <v>0</v>
      </c>
      <c r="BE416" s="63">
        <f t="shared" si="305"/>
        <v>0</v>
      </c>
      <c r="BF416" s="61">
        <f t="shared" si="306"/>
        <v>0</v>
      </c>
      <c r="BG416" s="63">
        <f t="shared" si="307"/>
        <v>0</v>
      </c>
      <c r="BH416" s="45"/>
      <c r="BI416" s="144"/>
    </row>
    <row r="417" spans="1:61" ht="38.25" customHeight="1" x14ac:dyDescent="0.45">
      <c r="A417" s="140">
        <v>5</v>
      </c>
      <c r="B417" s="141" t="s">
        <v>850</v>
      </c>
      <c r="C417" s="142" t="s">
        <v>1488</v>
      </c>
      <c r="D417" s="143" t="str">
        <f t="shared" si="286"/>
        <v>5.1_1.14.12</v>
      </c>
      <c r="E417" s="56" t="s">
        <v>305</v>
      </c>
      <c r="F417" s="506" t="s">
        <v>301</v>
      </c>
      <c r="G417" s="507" t="s">
        <v>147</v>
      </c>
      <c r="H417" s="507" t="s">
        <v>224</v>
      </c>
      <c r="I417" s="507" t="s">
        <v>302</v>
      </c>
      <c r="J417" s="507" t="s">
        <v>266</v>
      </c>
      <c r="K417" s="507">
        <v>250</v>
      </c>
      <c r="L417" s="507" t="s">
        <v>267</v>
      </c>
      <c r="M417" s="507" t="s">
        <v>114</v>
      </c>
      <c r="N417" s="507" t="s">
        <v>267</v>
      </c>
      <c r="O417" s="57" t="s">
        <v>306</v>
      </c>
      <c r="P417" s="58" t="s">
        <v>21</v>
      </c>
      <c r="Q417" s="59" t="s">
        <v>307</v>
      </c>
      <c r="R417" s="60" t="s">
        <v>71</v>
      </c>
      <c r="S417" s="61">
        <v>7</v>
      </c>
      <c r="T417" s="62">
        <f>INDEX('BM MORRO DA CRUZ'!$P$6:$P$402,MATCH($O417,'BM MORRO DA CRUZ'!$K$6:$K$402,0))</f>
        <v>4423.03</v>
      </c>
      <c r="U417" s="63">
        <f t="shared" si="287"/>
        <v>30961.21</v>
      </c>
      <c r="V417" s="61">
        <f>IFERROR(SUMIFS('01ª MC'!$W$1:$W$1840,'01ª MC'!$C$1:$C$1840,$D417),0)</f>
        <v>0</v>
      </c>
      <c r="W417" s="63">
        <f t="shared" si="288"/>
        <v>0</v>
      </c>
      <c r="X417" s="61">
        <v>0</v>
      </c>
      <c r="Y417" s="63">
        <f t="shared" si="289"/>
        <v>0</v>
      </c>
      <c r="Z417" s="61">
        <v>0</v>
      </c>
      <c r="AA417" s="63">
        <f t="shared" si="290"/>
        <v>0</v>
      </c>
      <c r="AB417" s="61">
        <v>0</v>
      </c>
      <c r="AC417" s="63">
        <f t="shared" si="291"/>
        <v>0</v>
      </c>
      <c r="AD417" s="61">
        <v>0</v>
      </c>
      <c r="AE417" s="63">
        <f t="shared" si="292"/>
        <v>0</v>
      </c>
      <c r="AF417" s="61">
        <v>0</v>
      </c>
      <c r="AG417" s="63">
        <f t="shared" si="293"/>
        <v>0</v>
      </c>
      <c r="AH417" s="61">
        <v>0</v>
      </c>
      <c r="AI417" s="63">
        <f t="shared" si="294"/>
        <v>0</v>
      </c>
      <c r="AJ417" s="61">
        <v>0</v>
      </c>
      <c r="AK417" s="63">
        <f t="shared" si="295"/>
        <v>0</v>
      </c>
      <c r="AL417" s="61">
        <v>0</v>
      </c>
      <c r="AM417" s="63">
        <f t="shared" si="296"/>
        <v>0</v>
      </c>
      <c r="AN417" s="61">
        <v>0</v>
      </c>
      <c r="AO417" s="63">
        <f t="shared" si="297"/>
        <v>0</v>
      </c>
      <c r="AP417" s="61">
        <v>0</v>
      </c>
      <c r="AQ417" s="63">
        <f t="shared" si="298"/>
        <v>0</v>
      </c>
      <c r="AR417" s="61">
        <v>0</v>
      </c>
      <c r="AS417" s="63">
        <f t="shared" si="299"/>
        <v>0</v>
      </c>
      <c r="AT417" s="61">
        <v>0</v>
      </c>
      <c r="AU417" s="63">
        <f t="shared" si="300"/>
        <v>0</v>
      </c>
      <c r="AV417" s="61">
        <v>0</v>
      </c>
      <c r="AW417" s="63">
        <f t="shared" si="301"/>
        <v>0</v>
      </c>
      <c r="AX417" s="61">
        <v>0</v>
      </c>
      <c r="AY417" s="63">
        <f t="shared" si="302"/>
        <v>0</v>
      </c>
      <c r="AZ417" s="61">
        <v>0</v>
      </c>
      <c r="BA417" s="63">
        <f t="shared" si="303"/>
        <v>0</v>
      </c>
      <c r="BB417" s="61">
        <v>0</v>
      </c>
      <c r="BC417" s="63">
        <f t="shared" si="304"/>
        <v>0</v>
      </c>
      <c r="BD417" s="61">
        <v>0</v>
      </c>
      <c r="BE417" s="63">
        <f t="shared" si="305"/>
        <v>0</v>
      </c>
      <c r="BF417" s="61">
        <f t="shared" si="306"/>
        <v>0</v>
      </c>
      <c r="BG417" s="63">
        <f t="shared" si="307"/>
        <v>0</v>
      </c>
      <c r="BH417" s="45"/>
      <c r="BI417" s="144"/>
    </row>
    <row r="418" spans="1:61" ht="38.25" customHeight="1" x14ac:dyDescent="0.45">
      <c r="A418" s="140">
        <v>5</v>
      </c>
      <c r="B418" s="141" t="s">
        <v>850</v>
      </c>
      <c r="C418" s="142" t="s">
        <v>1488</v>
      </c>
      <c r="D418" s="143" t="str">
        <f t="shared" si="286"/>
        <v>5.1_1.14.13</v>
      </c>
      <c r="E418" s="56" t="s">
        <v>308</v>
      </c>
      <c r="F418" s="506" t="s">
        <v>301</v>
      </c>
      <c r="G418" s="507" t="s">
        <v>147</v>
      </c>
      <c r="H418" s="507" t="s">
        <v>224</v>
      </c>
      <c r="I418" s="507" t="s">
        <v>302</v>
      </c>
      <c r="J418" s="507" t="s">
        <v>266</v>
      </c>
      <c r="K418" s="507">
        <v>110</v>
      </c>
      <c r="L418" s="507" t="s">
        <v>267</v>
      </c>
      <c r="M418" s="507" t="s">
        <v>114</v>
      </c>
      <c r="N418" s="507" t="s">
        <v>267</v>
      </c>
      <c r="O418" s="57" t="s">
        <v>309</v>
      </c>
      <c r="P418" s="58" t="s">
        <v>21</v>
      </c>
      <c r="Q418" s="59" t="s">
        <v>310</v>
      </c>
      <c r="R418" s="60" t="s">
        <v>71</v>
      </c>
      <c r="S418" s="61">
        <v>7</v>
      </c>
      <c r="T418" s="62">
        <f>INDEX('BM MORRO DA CRUZ'!$P$6:$P$402,MATCH($O418,'BM MORRO DA CRUZ'!$K$6:$K$402,0))</f>
        <v>286.45999999999998</v>
      </c>
      <c r="U418" s="63">
        <f t="shared" si="287"/>
        <v>2005.22</v>
      </c>
      <c r="V418" s="61">
        <f>IFERROR(SUMIFS('01ª MC'!$W$1:$W$1840,'01ª MC'!$C$1:$C$1840,$D418),0)</f>
        <v>0</v>
      </c>
      <c r="W418" s="63">
        <f t="shared" si="288"/>
        <v>0</v>
      </c>
      <c r="X418" s="61">
        <v>0</v>
      </c>
      <c r="Y418" s="63">
        <f t="shared" si="289"/>
        <v>0</v>
      </c>
      <c r="Z418" s="61">
        <v>0</v>
      </c>
      <c r="AA418" s="63">
        <f t="shared" si="290"/>
        <v>0</v>
      </c>
      <c r="AB418" s="61">
        <v>0</v>
      </c>
      <c r="AC418" s="63">
        <f t="shared" si="291"/>
        <v>0</v>
      </c>
      <c r="AD418" s="61">
        <v>0</v>
      </c>
      <c r="AE418" s="63">
        <f t="shared" si="292"/>
        <v>0</v>
      </c>
      <c r="AF418" s="61">
        <v>0</v>
      </c>
      <c r="AG418" s="63">
        <f t="shared" si="293"/>
        <v>0</v>
      </c>
      <c r="AH418" s="61">
        <v>0</v>
      </c>
      <c r="AI418" s="63">
        <f t="shared" si="294"/>
        <v>0</v>
      </c>
      <c r="AJ418" s="61">
        <v>0</v>
      </c>
      <c r="AK418" s="63">
        <f t="shared" si="295"/>
        <v>0</v>
      </c>
      <c r="AL418" s="61">
        <v>0</v>
      </c>
      <c r="AM418" s="63">
        <f t="shared" si="296"/>
        <v>0</v>
      </c>
      <c r="AN418" s="61">
        <v>0</v>
      </c>
      <c r="AO418" s="63">
        <f t="shared" si="297"/>
        <v>0</v>
      </c>
      <c r="AP418" s="61">
        <v>0</v>
      </c>
      <c r="AQ418" s="63">
        <f t="shared" si="298"/>
        <v>0</v>
      </c>
      <c r="AR418" s="61">
        <v>0</v>
      </c>
      <c r="AS418" s="63">
        <f t="shared" si="299"/>
        <v>0</v>
      </c>
      <c r="AT418" s="61">
        <v>0</v>
      </c>
      <c r="AU418" s="63">
        <f t="shared" si="300"/>
        <v>0</v>
      </c>
      <c r="AV418" s="61">
        <v>0</v>
      </c>
      <c r="AW418" s="63">
        <f t="shared" si="301"/>
        <v>0</v>
      </c>
      <c r="AX418" s="61">
        <v>0</v>
      </c>
      <c r="AY418" s="63">
        <f t="shared" si="302"/>
        <v>0</v>
      </c>
      <c r="AZ418" s="61">
        <v>0</v>
      </c>
      <c r="BA418" s="63">
        <f t="shared" si="303"/>
        <v>0</v>
      </c>
      <c r="BB418" s="61">
        <v>0</v>
      </c>
      <c r="BC418" s="63">
        <f t="shared" si="304"/>
        <v>0</v>
      </c>
      <c r="BD418" s="61">
        <v>0</v>
      </c>
      <c r="BE418" s="63">
        <f t="shared" si="305"/>
        <v>0</v>
      </c>
      <c r="BF418" s="61">
        <f t="shared" si="306"/>
        <v>0</v>
      </c>
      <c r="BG418" s="63">
        <f t="shared" si="307"/>
        <v>0</v>
      </c>
      <c r="BH418" s="45"/>
      <c r="BI418" s="144"/>
    </row>
    <row r="419" spans="1:61" ht="38.25" customHeight="1" x14ac:dyDescent="0.45">
      <c r="A419" s="140">
        <v>5</v>
      </c>
      <c r="B419" s="141" t="s">
        <v>850</v>
      </c>
      <c r="C419" s="142" t="s">
        <v>1488</v>
      </c>
      <c r="D419" s="143" t="str">
        <f t="shared" si="286"/>
        <v>5.1_1.14.14</v>
      </c>
      <c r="E419" s="56" t="s">
        <v>311</v>
      </c>
      <c r="F419" s="506" t="s">
        <v>301</v>
      </c>
      <c r="G419" s="507" t="s">
        <v>147</v>
      </c>
      <c r="H419" s="507" t="s">
        <v>224</v>
      </c>
      <c r="I419" s="507" t="s">
        <v>302</v>
      </c>
      <c r="J419" s="507" t="s">
        <v>266</v>
      </c>
      <c r="K419" s="507">
        <v>160</v>
      </c>
      <c r="L419" s="507" t="s">
        <v>267</v>
      </c>
      <c r="M419" s="507" t="s">
        <v>114</v>
      </c>
      <c r="N419" s="507" t="s">
        <v>267</v>
      </c>
      <c r="O419" s="57" t="s">
        <v>312</v>
      </c>
      <c r="P419" s="58" t="s">
        <v>21</v>
      </c>
      <c r="Q419" s="59" t="s">
        <v>313</v>
      </c>
      <c r="R419" s="60" t="s">
        <v>71</v>
      </c>
      <c r="S419" s="61">
        <v>34</v>
      </c>
      <c r="T419" s="62">
        <f>INDEX('BM MORRO DA CRUZ'!$P$6:$P$402,MATCH($O419,'BM MORRO DA CRUZ'!$K$6:$K$402,0))</f>
        <v>1112.5999999999999</v>
      </c>
      <c r="U419" s="63">
        <f t="shared" si="287"/>
        <v>37828.400000000001</v>
      </c>
      <c r="V419" s="61">
        <f>IFERROR(SUMIFS('01ª MC'!$W$1:$W$1840,'01ª MC'!$C$1:$C$1840,$D419),0)</f>
        <v>0</v>
      </c>
      <c r="W419" s="63">
        <f t="shared" si="288"/>
        <v>0</v>
      </c>
      <c r="X419" s="61">
        <v>0</v>
      </c>
      <c r="Y419" s="63">
        <f t="shared" si="289"/>
        <v>0</v>
      </c>
      <c r="Z419" s="61">
        <v>0</v>
      </c>
      <c r="AA419" s="63">
        <f t="shared" si="290"/>
        <v>0</v>
      </c>
      <c r="AB419" s="61">
        <v>0</v>
      </c>
      <c r="AC419" s="63">
        <f t="shared" si="291"/>
        <v>0</v>
      </c>
      <c r="AD419" s="61">
        <v>0</v>
      </c>
      <c r="AE419" s="63">
        <f t="shared" si="292"/>
        <v>0</v>
      </c>
      <c r="AF419" s="61">
        <v>0</v>
      </c>
      <c r="AG419" s="63">
        <f t="shared" si="293"/>
        <v>0</v>
      </c>
      <c r="AH419" s="61">
        <v>0</v>
      </c>
      <c r="AI419" s="63">
        <f t="shared" si="294"/>
        <v>0</v>
      </c>
      <c r="AJ419" s="61">
        <v>0</v>
      </c>
      <c r="AK419" s="63">
        <f t="shared" si="295"/>
        <v>0</v>
      </c>
      <c r="AL419" s="61">
        <v>0</v>
      </c>
      <c r="AM419" s="63">
        <f t="shared" si="296"/>
        <v>0</v>
      </c>
      <c r="AN419" s="61">
        <v>0</v>
      </c>
      <c r="AO419" s="63">
        <f t="shared" si="297"/>
        <v>0</v>
      </c>
      <c r="AP419" s="61">
        <v>0</v>
      </c>
      <c r="AQ419" s="63">
        <f t="shared" si="298"/>
        <v>0</v>
      </c>
      <c r="AR419" s="61">
        <v>0</v>
      </c>
      <c r="AS419" s="63">
        <f t="shared" si="299"/>
        <v>0</v>
      </c>
      <c r="AT419" s="61">
        <v>0</v>
      </c>
      <c r="AU419" s="63">
        <f t="shared" si="300"/>
        <v>0</v>
      </c>
      <c r="AV419" s="61">
        <v>0</v>
      </c>
      <c r="AW419" s="63">
        <f t="shared" si="301"/>
        <v>0</v>
      </c>
      <c r="AX419" s="61">
        <v>0</v>
      </c>
      <c r="AY419" s="63">
        <f t="shared" si="302"/>
        <v>0</v>
      </c>
      <c r="AZ419" s="61">
        <v>0</v>
      </c>
      <c r="BA419" s="63">
        <f t="shared" si="303"/>
        <v>0</v>
      </c>
      <c r="BB419" s="61">
        <v>0</v>
      </c>
      <c r="BC419" s="63">
        <f t="shared" si="304"/>
        <v>0</v>
      </c>
      <c r="BD419" s="61">
        <v>0</v>
      </c>
      <c r="BE419" s="63">
        <f t="shared" si="305"/>
        <v>0</v>
      </c>
      <c r="BF419" s="61">
        <f t="shared" si="306"/>
        <v>0</v>
      </c>
      <c r="BG419" s="63">
        <f t="shared" si="307"/>
        <v>0</v>
      </c>
      <c r="BH419" s="45"/>
      <c r="BI419" s="144"/>
    </row>
    <row r="420" spans="1:61" ht="38.25" customHeight="1" x14ac:dyDescent="0.45">
      <c r="A420" s="140">
        <v>5</v>
      </c>
      <c r="B420" s="141" t="s">
        <v>850</v>
      </c>
      <c r="C420" s="142" t="s">
        <v>1488</v>
      </c>
      <c r="D420" s="143" t="str">
        <f t="shared" si="286"/>
        <v>5.1_1.14.15</v>
      </c>
      <c r="E420" s="56" t="s">
        <v>314</v>
      </c>
      <c r="F420" s="506" t="s">
        <v>301</v>
      </c>
      <c r="G420" s="507" t="s">
        <v>147</v>
      </c>
      <c r="H420" s="507" t="s">
        <v>224</v>
      </c>
      <c r="I420" s="507" t="s">
        <v>302</v>
      </c>
      <c r="J420" s="507" t="s">
        <v>266</v>
      </c>
      <c r="K420" s="507">
        <v>63</v>
      </c>
      <c r="L420" s="507" t="s">
        <v>267</v>
      </c>
      <c r="M420" s="507" t="s">
        <v>114</v>
      </c>
      <c r="N420" s="507" t="s">
        <v>267</v>
      </c>
      <c r="O420" s="57" t="s">
        <v>315</v>
      </c>
      <c r="P420" s="58" t="s">
        <v>21</v>
      </c>
      <c r="Q420" s="59" t="s">
        <v>316</v>
      </c>
      <c r="R420" s="60" t="s">
        <v>71</v>
      </c>
      <c r="S420" s="61">
        <v>740</v>
      </c>
      <c r="T420" s="62">
        <f>INDEX('BM MORRO DA CRUZ'!$P$6:$P$402,MATCH($O420,'BM MORRO DA CRUZ'!$K$6:$K$402,0))</f>
        <v>158.28</v>
      </c>
      <c r="U420" s="63">
        <f t="shared" si="287"/>
        <v>117127.2</v>
      </c>
      <c r="V420" s="61">
        <f>IFERROR(SUMIFS('01ª MC'!$W$1:$W$1840,'01ª MC'!$C$1:$C$1840,$D420),0)</f>
        <v>0</v>
      </c>
      <c r="W420" s="63">
        <f t="shared" si="288"/>
        <v>0</v>
      </c>
      <c r="X420" s="61">
        <v>0</v>
      </c>
      <c r="Y420" s="63">
        <f t="shared" si="289"/>
        <v>0</v>
      </c>
      <c r="Z420" s="61">
        <v>0</v>
      </c>
      <c r="AA420" s="63">
        <f t="shared" si="290"/>
        <v>0</v>
      </c>
      <c r="AB420" s="61">
        <v>0</v>
      </c>
      <c r="AC420" s="63">
        <f t="shared" si="291"/>
        <v>0</v>
      </c>
      <c r="AD420" s="61">
        <v>0</v>
      </c>
      <c r="AE420" s="63">
        <f t="shared" si="292"/>
        <v>0</v>
      </c>
      <c r="AF420" s="61">
        <v>0</v>
      </c>
      <c r="AG420" s="63">
        <f t="shared" si="293"/>
        <v>0</v>
      </c>
      <c r="AH420" s="61">
        <v>0</v>
      </c>
      <c r="AI420" s="63">
        <f t="shared" si="294"/>
        <v>0</v>
      </c>
      <c r="AJ420" s="61">
        <v>0</v>
      </c>
      <c r="AK420" s="63">
        <f t="shared" si="295"/>
        <v>0</v>
      </c>
      <c r="AL420" s="61">
        <v>0</v>
      </c>
      <c r="AM420" s="63">
        <f t="shared" si="296"/>
        <v>0</v>
      </c>
      <c r="AN420" s="61">
        <v>0</v>
      </c>
      <c r="AO420" s="63">
        <f t="shared" si="297"/>
        <v>0</v>
      </c>
      <c r="AP420" s="61">
        <v>0</v>
      </c>
      <c r="AQ420" s="63">
        <f t="shared" si="298"/>
        <v>0</v>
      </c>
      <c r="AR420" s="61">
        <v>0</v>
      </c>
      <c r="AS420" s="63">
        <f t="shared" si="299"/>
        <v>0</v>
      </c>
      <c r="AT420" s="61">
        <v>0</v>
      </c>
      <c r="AU420" s="63">
        <f t="shared" si="300"/>
        <v>0</v>
      </c>
      <c r="AV420" s="61">
        <v>0</v>
      </c>
      <c r="AW420" s="63">
        <f t="shared" si="301"/>
        <v>0</v>
      </c>
      <c r="AX420" s="61">
        <v>0</v>
      </c>
      <c r="AY420" s="63">
        <f t="shared" si="302"/>
        <v>0</v>
      </c>
      <c r="AZ420" s="61">
        <v>0</v>
      </c>
      <c r="BA420" s="63">
        <f t="shared" si="303"/>
        <v>0</v>
      </c>
      <c r="BB420" s="61">
        <v>0</v>
      </c>
      <c r="BC420" s="63">
        <f t="shared" si="304"/>
        <v>0</v>
      </c>
      <c r="BD420" s="61">
        <v>0</v>
      </c>
      <c r="BE420" s="63">
        <f t="shared" si="305"/>
        <v>0</v>
      </c>
      <c r="BF420" s="61">
        <f t="shared" si="306"/>
        <v>0</v>
      </c>
      <c r="BG420" s="63">
        <f t="shared" si="307"/>
        <v>0</v>
      </c>
      <c r="BH420" s="45"/>
      <c r="BI420" s="144"/>
    </row>
    <row r="421" spans="1:61" ht="26.25" customHeight="1" x14ac:dyDescent="0.45">
      <c r="A421" s="140">
        <v>5</v>
      </c>
      <c r="B421" s="141" t="s">
        <v>850</v>
      </c>
      <c r="C421" s="142" t="s">
        <v>1488</v>
      </c>
      <c r="D421" s="143" t="str">
        <f t="shared" si="286"/>
        <v>5.1_1.14.16</v>
      </c>
      <c r="E421" s="56" t="s">
        <v>317</v>
      </c>
      <c r="F421" s="506" t="s">
        <v>318</v>
      </c>
      <c r="G421" s="507" t="s">
        <v>111</v>
      </c>
      <c r="H421" s="507" t="s">
        <v>224</v>
      </c>
      <c r="I421" s="507" t="s">
        <v>302</v>
      </c>
      <c r="J421" s="507" t="s">
        <v>266</v>
      </c>
      <c r="K421" s="507">
        <v>90</v>
      </c>
      <c r="L421" s="507" t="s">
        <v>267</v>
      </c>
      <c r="M421" s="507" t="s">
        <v>114</v>
      </c>
      <c r="N421" s="507" t="s">
        <v>267</v>
      </c>
      <c r="O421" s="57" t="s">
        <v>319</v>
      </c>
      <c r="P421" s="58" t="s">
        <v>21</v>
      </c>
      <c r="Q421" s="59" t="s">
        <v>320</v>
      </c>
      <c r="R421" s="60" t="s">
        <v>71</v>
      </c>
      <c r="S421" s="61">
        <v>12</v>
      </c>
      <c r="T421" s="62">
        <f>INDEX('BM MORRO DA CRUZ'!$P$6:$P$402,MATCH($O421,'BM MORRO DA CRUZ'!$K$6:$K$402,0))</f>
        <v>197.77</v>
      </c>
      <c r="U421" s="63">
        <f t="shared" si="287"/>
        <v>2373.2399999999998</v>
      </c>
      <c r="V421" s="61">
        <f>IFERROR(SUMIFS('01ª MC'!$W$1:$W$1840,'01ª MC'!$C$1:$C$1840,$D421),0)</f>
        <v>0</v>
      </c>
      <c r="W421" s="63">
        <f t="shared" si="288"/>
        <v>0</v>
      </c>
      <c r="X421" s="61">
        <v>0</v>
      </c>
      <c r="Y421" s="63">
        <f t="shared" si="289"/>
        <v>0</v>
      </c>
      <c r="Z421" s="61">
        <v>0</v>
      </c>
      <c r="AA421" s="63">
        <f t="shared" si="290"/>
        <v>0</v>
      </c>
      <c r="AB421" s="61">
        <v>0</v>
      </c>
      <c r="AC421" s="63">
        <f t="shared" si="291"/>
        <v>0</v>
      </c>
      <c r="AD421" s="61">
        <v>0</v>
      </c>
      <c r="AE421" s="63">
        <f t="shared" si="292"/>
        <v>0</v>
      </c>
      <c r="AF421" s="61">
        <v>0</v>
      </c>
      <c r="AG421" s="63">
        <f t="shared" si="293"/>
        <v>0</v>
      </c>
      <c r="AH421" s="61">
        <v>0</v>
      </c>
      <c r="AI421" s="63">
        <f t="shared" si="294"/>
        <v>0</v>
      </c>
      <c r="AJ421" s="61">
        <v>0</v>
      </c>
      <c r="AK421" s="63">
        <f t="shared" si="295"/>
        <v>0</v>
      </c>
      <c r="AL421" s="61">
        <v>0</v>
      </c>
      <c r="AM421" s="63">
        <f t="shared" si="296"/>
        <v>0</v>
      </c>
      <c r="AN421" s="61">
        <v>0</v>
      </c>
      <c r="AO421" s="63">
        <f t="shared" si="297"/>
        <v>0</v>
      </c>
      <c r="AP421" s="61">
        <v>0</v>
      </c>
      <c r="AQ421" s="63">
        <f t="shared" si="298"/>
        <v>0</v>
      </c>
      <c r="AR421" s="61">
        <v>0</v>
      </c>
      <c r="AS421" s="63">
        <f t="shared" si="299"/>
        <v>0</v>
      </c>
      <c r="AT421" s="61">
        <v>0</v>
      </c>
      <c r="AU421" s="63">
        <f t="shared" si="300"/>
        <v>0</v>
      </c>
      <c r="AV421" s="61">
        <v>0</v>
      </c>
      <c r="AW421" s="63">
        <f t="shared" si="301"/>
        <v>0</v>
      </c>
      <c r="AX421" s="61">
        <v>0</v>
      </c>
      <c r="AY421" s="63">
        <f t="shared" si="302"/>
        <v>0</v>
      </c>
      <c r="AZ421" s="61">
        <v>0</v>
      </c>
      <c r="BA421" s="63">
        <f t="shared" si="303"/>
        <v>0</v>
      </c>
      <c r="BB421" s="61">
        <v>0</v>
      </c>
      <c r="BC421" s="63">
        <f t="shared" si="304"/>
        <v>0</v>
      </c>
      <c r="BD421" s="61">
        <v>0</v>
      </c>
      <c r="BE421" s="63">
        <f t="shared" si="305"/>
        <v>0</v>
      </c>
      <c r="BF421" s="61">
        <f t="shared" si="306"/>
        <v>0</v>
      </c>
      <c r="BG421" s="63">
        <f t="shared" si="307"/>
        <v>0</v>
      </c>
      <c r="BH421" s="45"/>
      <c r="BI421" s="144"/>
    </row>
    <row r="422" spans="1:61" ht="26.25" customHeight="1" x14ac:dyDescent="0.45">
      <c r="A422" s="140">
        <v>5</v>
      </c>
      <c r="B422" s="141" t="s">
        <v>850</v>
      </c>
      <c r="C422" s="142" t="s">
        <v>1488</v>
      </c>
      <c r="D422" s="143" t="str">
        <f t="shared" si="286"/>
        <v>5.1_1.14.17</v>
      </c>
      <c r="E422" s="56" t="s">
        <v>321</v>
      </c>
      <c r="F422" s="506" t="s">
        <v>322</v>
      </c>
      <c r="G422" s="507" t="s">
        <v>111</v>
      </c>
      <c r="H422" s="507" t="s">
        <v>224</v>
      </c>
      <c r="I422" s="507" t="s">
        <v>302</v>
      </c>
      <c r="J422" s="507" t="s">
        <v>273</v>
      </c>
      <c r="K422" s="507">
        <v>355</v>
      </c>
      <c r="L422" s="507" t="s">
        <v>267</v>
      </c>
      <c r="M422" s="507" t="s">
        <v>114</v>
      </c>
      <c r="N422" s="507" t="s">
        <v>267</v>
      </c>
      <c r="O422" s="57" t="s">
        <v>323</v>
      </c>
      <c r="P422" s="58" t="s">
        <v>21</v>
      </c>
      <c r="Q422" s="59" t="s">
        <v>324</v>
      </c>
      <c r="R422" s="60" t="s">
        <v>71</v>
      </c>
      <c r="S422" s="61">
        <v>1</v>
      </c>
      <c r="T422" s="62">
        <f>INDEX('BM MORRO DA CRUZ'!$P$6:$P$402,MATCH($O422,'BM MORRO DA CRUZ'!$K$6:$K$402,0))</f>
        <v>5717.2</v>
      </c>
      <c r="U422" s="63">
        <f t="shared" si="287"/>
        <v>5717.2</v>
      </c>
      <c r="V422" s="61">
        <f>IFERROR(SUMIFS('01ª MC'!$W$1:$W$1840,'01ª MC'!$C$1:$C$1840,$D422),0)</f>
        <v>0</v>
      </c>
      <c r="W422" s="63">
        <f t="shared" si="288"/>
        <v>0</v>
      </c>
      <c r="X422" s="61">
        <v>0</v>
      </c>
      <c r="Y422" s="63">
        <f t="shared" si="289"/>
        <v>0</v>
      </c>
      <c r="Z422" s="61">
        <v>0</v>
      </c>
      <c r="AA422" s="63">
        <f t="shared" si="290"/>
        <v>0</v>
      </c>
      <c r="AB422" s="61">
        <v>0</v>
      </c>
      <c r="AC422" s="63">
        <f t="shared" si="291"/>
        <v>0</v>
      </c>
      <c r="AD422" s="61">
        <v>0</v>
      </c>
      <c r="AE422" s="63">
        <f t="shared" si="292"/>
        <v>0</v>
      </c>
      <c r="AF422" s="61">
        <v>0</v>
      </c>
      <c r="AG422" s="63">
        <f t="shared" si="293"/>
        <v>0</v>
      </c>
      <c r="AH422" s="61">
        <v>0</v>
      </c>
      <c r="AI422" s="63">
        <f t="shared" si="294"/>
        <v>0</v>
      </c>
      <c r="AJ422" s="61">
        <v>0</v>
      </c>
      <c r="AK422" s="63">
        <f t="shared" si="295"/>
        <v>0</v>
      </c>
      <c r="AL422" s="61">
        <v>0</v>
      </c>
      <c r="AM422" s="63">
        <f t="shared" si="296"/>
        <v>0</v>
      </c>
      <c r="AN422" s="61">
        <v>0</v>
      </c>
      <c r="AO422" s="63">
        <f t="shared" si="297"/>
        <v>0</v>
      </c>
      <c r="AP422" s="61">
        <v>0</v>
      </c>
      <c r="AQ422" s="63">
        <f t="shared" si="298"/>
        <v>0</v>
      </c>
      <c r="AR422" s="61">
        <v>0</v>
      </c>
      <c r="AS422" s="63">
        <f t="shared" si="299"/>
        <v>0</v>
      </c>
      <c r="AT422" s="61">
        <v>0</v>
      </c>
      <c r="AU422" s="63">
        <f t="shared" si="300"/>
        <v>0</v>
      </c>
      <c r="AV422" s="61">
        <v>0</v>
      </c>
      <c r="AW422" s="63">
        <f t="shared" si="301"/>
        <v>0</v>
      </c>
      <c r="AX422" s="61">
        <v>0</v>
      </c>
      <c r="AY422" s="63">
        <f t="shared" si="302"/>
        <v>0</v>
      </c>
      <c r="AZ422" s="61">
        <v>0</v>
      </c>
      <c r="BA422" s="63">
        <f t="shared" si="303"/>
        <v>0</v>
      </c>
      <c r="BB422" s="61">
        <v>0</v>
      </c>
      <c r="BC422" s="63">
        <f t="shared" si="304"/>
        <v>0</v>
      </c>
      <c r="BD422" s="61">
        <v>0</v>
      </c>
      <c r="BE422" s="63">
        <f t="shared" si="305"/>
        <v>0</v>
      </c>
      <c r="BF422" s="61">
        <f t="shared" si="306"/>
        <v>0</v>
      </c>
      <c r="BG422" s="63">
        <f t="shared" si="307"/>
        <v>0</v>
      </c>
      <c r="BH422" s="45"/>
      <c r="BI422" s="144"/>
    </row>
    <row r="423" spans="1:61" ht="26.25" customHeight="1" x14ac:dyDescent="0.45">
      <c r="A423" s="140">
        <v>5</v>
      </c>
      <c r="B423" s="141" t="s">
        <v>850</v>
      </c>
      <c r="C423" s="142" t="s">
        <v>1488</v>
      </c>
      <c r="D423" s="143" t="str">
        <f t="shared" si="286"/>
        <v>5.1_1.14.18</v>
      </c>
      <c r="E423" s="56" t="s">
        <v>325</v>
      </c>
      <c r="F423" s="506" t="s">
        <v>322</v>
      </c>
      <c r="G423" s="507" t="s">
        <v>111</v>
      </c>
      <c r="H423" s="507" t="s">
        <v>224</v>
      </c>
      <c r="I423" s="507" t="s">
        <v>302</v>
      </c>
      <c r="J423" s="507" t="s">
        <v>273</v>
      </c>
      <c r="K423" s="507">
        <v>500</v>
      </c>
      <c r="L423" s="507" t="s">
        <v>267</v>
      </c>
      <c r="M423" s="507" t="s">
        <v>114</v>
      </c>
      <c r="N423" s="507" t="s">
        <v>267</v>
      </c>
      <c r="O423" s="57" t="s">
        <v>326</v>
      </c>
      <c r="P423" s="58" t="s">
        <v>21</v>
      </c>
      <c r="Q423" s="59" t="s">
        <v>327</v>
      </c>
      <c r="R423" s="60" t="s">
        <v>71</v>
      </c>
      <c r="S423" s="61">
        <v>5</v>
      </c>
      <c r="T423" s="62">
        <f>INDEX('BM MORRO DA CRUZ'!$P$6:$P$402,MATCH($O423,'BM MORRO DA CRUZ'!$K$6:$K$402,0))</f>
        <v>9877.82</v>
      </c>
      <c r="U423" s="63">
        <f t="shared" si="287"/>
        <v>49389.1</v>
      </c>
      <c r="V423" s="61">
        <f>IFERROR(SUMIFS('01ª MC'!$W$1:$W$1840,'01ª MC'!$C$1:$C$1840,$D423),0)</f>
        <v>0</v>
      </c>
      <c r="W423" s="63">
        <f t="shared" si="288"/>
        <v>0</v>
      </c>
      <c r="X423" s="61">
        <v>0</v>
      </c>
      <c r="Y423" s="63">
        <f t="shared" si="289"/>
        <v>0</v>
      </c>
      <c r="Z423" s="61">
        <v>0</v>
      </c>
      <c r="AA423" s="63">
        <f t="shared" si="290"/>
        <v>0</v>
      </c>
      <c r="AB423" s="61">
        <v>0</v>
      </c>
      <c r="AC423" s="63">
        <f t="shared" si="291"/>
        <v>0</v>
      </c>
      <c r="AD423" s="61">
        <v>0</v>
      </c>
      <c r="AE423" s="63">
        <f t="shared" si="292"/>
        <v>0</v>
      </c>
      <c r="AF423" s="61">
        <v>0</v>
      </c>
      <c r="AG423" s="63">
        <f t="shared" si="293"/>
        <v>0</v>
      </c>
      <c r="AH423" s="61">
        <v>0</v>
      </c>
      <c r="AI423" s="63">
        <f t="shared" si="294"/>
        <v>0</v>
      </c>
      <c r="AJ423" s="61">
        <v>0</v>
      </c>
      <c r="AK423" s="63">
        <f t="shared" si="295"/>
        <v>0</v>
      </c>
      <c r="AL423" s="61">
        <v>0</v>
      </c>
      <c r="AM423" s="63">
        <f t="shared" si="296"/>
        <v>0</v>
      </c>
      <c r="AN423" s="61">
        <v>0</v>
      </c>
      <c r="AO423" s="63">
        <f t="shared" si="297"/>
        <v>0</v>
      </c>
      <c r="AP423" s="61">
        <v>0</v>
      </c>
      <c r="AQ423" s="63">
        <f t="shared" si="298"/>
        <v>0</v>
      </c>
      <c r="AR423" s="61">
        <v>0</v>
      </c>
      <c r="AS423" s="63">
        <f t="shared" si="299"/>
        <v>0</v>
      </c>
      <c r="AT423" s="61">
        <v>0</v>
      </c>
      <c r="AU423" s="63">
        <f t="shared" si="300"/>
        <v>0</v>
      </c>
      <c r="AV423" s="61">
        <v>0</v>
      </c>
      <c r="AW423" s="63">
        <f t="shared" si="301"/>
        <v>0</v>
      </c>
      <c r="AX423" s="61">
        <v>0</v>
      </c>
      <c r="AY423" s="63">
        <f t="shared" si="302"/>
        <v>0</v>
      </c>
      <c r="AZ423" s="61">
        <v>0</v>
      </c>
      <c r="BA423" s="63">
        <f t="shared" si="303"/>
        <v>0</v>
      </c>
      <c r="BB423" s="61">
        <v>0</v>
      </c>
      <c r="BC423" s="63">
        <f t="shared" si="304"/>
        <v>0</v>
      </c>
      <c r="BD423" s="61">
        <v>0</v>
      </c>
      <c r="BE423" s="63">
        <f t="shared" si="305"/>
        <v>0</v>
      </c>
      <c r="BF423" s="61">
        <f t="shared" si="306"/>
        <v>0</v>
      </c>
      <c r="BG423" s="63">
        <f t="shared" si="307"/>
        <v>0</v>
      </c>
      <c r="BH423" s="45"/>
      <c r="BI423" s="144"/>
    </row>
    <row r="424" spans="1:61" ht="26.25" customHeight="1" x14ac:dyDescent="0.45">
      <c r="A424" s="140">
        <v>5</v>
      </c>
      <c r="B424" s="141" t="s">
        <v>850</v>
      </c>
      <c r="C424" s="142" t="s">
        <v>1488</v>
      </c>
      <c r="D424" s="143" t="str">
        <f t="shared" si="286"/>
        <v>5.1_1.14.19</v>
      </c>
      <c r="E424" s="56" t="s">
        <v>328</v>
      </c>
      <c r="F424" s="506" t="s">
        <v>322</v>
      </c>
      <c r="G424" s="507" t="s">
        <v>111</v>
      </c>
      <c r="H424" s="507" t="s">
        <v>224</v>
      </c>
      <c r="I424" s="507" t="s">
        <v>302</v>
      </c>
      <c r="J424" s="507" t="s">
        <v>273</v>
      </c>
      <c r="K424" s="507">
        <v>280</v>
      </c>
      <c r="L424" s="507" t="s">
        <v>267</v>
      </c>
      <c r="M424" s="507" t="s">
        <v>114</v>
      </c>
      <c r="N424" s="507" t="s">
        <v>267</v>
      </c>
      <c r="O424" s="57" t="s">
        <v>329</v>
      </c>
      <c r="P424" s="58" t="s">
        <v>21</v>
      </c>
      <c r="Q424" s="59" t="s">
        <v>330</v>
      </c>
      <c r="R424" s="60" t="s">
        <v>71</v>
      </c>
      <c r="S424" s="61">
        <v>1</v>
      </c>
      <c r="T424" s="62">
        <f>INDEX('BM MORRO DA CRUZ'!$P$6:$P$402,MATCH($O424,'BM MORRO DA CRUZ'!$K$6:$K$402,0))</f>
        <v>3807.31</v>
      </c>
      <c r="U424" s="63">
        <f t="shared" si="287"/>
        <v>3807.31</v>
      </c>
      <c r="V424" s="61">
        <f>IFERROR(SUMIFS('01ª MC'!$W$1:$W$1840,'01ª MC'!$C$1:$C$1840,$D424),0)</f>
        <v>0</v>
      </c>
      <c r="W424" s="63">
        <f t="shared" si="288"/>
        <v>0</v>
      </c>
      <c r="X424" s="61">
        <v>0</v>
      </c>
      <c r="Y424" s="63">
        <f t="shared" si="289"/>
        <v>0</v>
      </c>
      <c r="Z424" s="61">
        <v>0</v>
      </c>
      <c r="AA424" s="63">
        <f t="shared" si="290"/>
        <v>0</v>
      </c>
      <c r="AB424" s="61">
        <v>0</v>
      </c>
      <c r="AC424" s="63">
        <f t="shared" si="291"/>
        <v>0</v>
      </c>
      <c r="AD424" s="61">
        <v>0</v>
      </c>
      <c r="AE424" s="63">
        <f t="shared" si="292"/>
        <v>0</v>
      </c>
      <c r="AF424" s="61">
        <v>0</v>
      </c>
      <c r="AG424" s="63">
        <f t="shared" si="293"/>
        <v>0</v>
      </c>
      <c r="AH424" s="61">
        <v>0</v>
      </c>
      <c r="AI424" s="63">
        <f t="shared" si="294"/>
        <v>0</v>
      </c>
      <c r="AJ424" s="61">
        <v>0</v>
      </c>
      <c r="AK424" s="63">
        <f t="shared" si="295"/>
        <v>0</v>
      </c>
      <c r="AL424" s="61">
        <v>0</v>
      </c>
      <c r="AM424" s="63">
        <f t="shared" si="296"/>
        <v>0</v>
      </c>
      <c r="AN424" s="61">
        <v>0</v>
      </c>
      <c r="AO424" s="63">
        <f t="shared" si="297"/>
        <v>0</v>
      </c>
      <c r="AP424" s="61">
        <v>0</v>
      </c>
      <c r="AQ424" s="63">
        <f t="shared" si="298"/>
        <v>0</v>
      </c>
      <c r="AR424" s="61">
        <v>0</v>
      </c>
      <c r="AS424" s="63">
        <f t="shared" si="299"/>
        <v>0</v>
      </c>
      <c r="AT424" s="61">
        <v>0</v>
      </c>
      <c r="AU424" s="63">
        <f t="shared" si="300"/>
        <v>0</v>
      </c>
      <c r="AV424" s="61">
        <v>0</v>
      </c>
      <c r="AW424" s="63">
        <f t="shared" si="301"/>
        <v>0</v>
      </c>
      <c r="AX424" s="61">
        <v>0</v>
      </c>
      <c r="AY424" s="63">
        <f t="shared" si="302"/>
        <v>0</v>
      </c>
      <c r="AZ424" s="61">
        <v>0</v>
      </c>
      <c r="BA424" s="63">
        <f t="shared" si="303"/>
        <v>0</v>
      </c>
      <c r="BB424" s="61">
        <v>0</v>
      </c>
      <c r="BC424" s="63">
        <f t="shared" si="304"/>
        <v>0</v>
      </c>
      <c r="BD424" s="61">
        <v>0</v>
      </c>
      <c r="BE424" s="63">
        <f t="shared" si="305"/>
        <v>0</v>
      </c>
      <c r="BF424" s="61">
        <f t="shared" si="306"/>
        <v>0</v>
      </c>
      <c r="BG424" s="63">
        <f t="shared" si="307"/>
        <v>0</v>
      </c>
      <c r="BH424" s="45"/>
      <c r="BI424" s="144"/>
    </row>
    <row r="425" spans="1:61" ht="26.25" customHeight="1" x14ac:dyDescent="0.45">
      <c r="A425" s="140">
        <v>5</v>
      </c>
      <c r="B425" s="141" t="s">
        <v>850</v>
      </c>
      <c r="C425" s="142" t="s">
        <v>1488</v>
      </c>
      <c r="D425" s="143" t="str">
        <f t="shared" si="286"/>
        <v>5.1_1.14.20</v>
      </c>
      <c r="E425" s="56" t="s">
        <v>331</v>
      </c>
      <c r="F425" s="506" t="s">
        <v>322</v>
      </c>
      <c r="G425" s="507" t="s">
        <v>111</v>
      </c>
      <c r="H425" s="507" t="s">
        <v>224</v>
      </c>
      <c r="I425" s="507" t="s">
        <v>302</v>
      </c>
      <c r="J425" s="507" t="s">
        <v>273</v>
      </c>
      <c r="K425" s="507">
        <v>315</v>
      </c>
      <c r="L425" s="507" t="s">
        <v>267</v>
      </c>
      <c r="M425" s="507" t="s">
        <v>114</v>
      </c>
      <c r="N425" s="507" t="s">
        <v>267</v>
      </c>
      <c r="O425" s="57" t="s">
        <v>332</v>
      </c>
      <c r="P425" s="58" t="s">
        <v>21</v>
      </c>
      <c r="Q425" s="59" t="s">
        <v>333</v>
      </c>
      <c r="R425" s="60" t="s">
        <v>71</v>
      </c>
      <c r="S425" s="61">
        <v>9</v>
      </c>
      <c r="T425" s="62">
        <f>INDEX('BM MORRO DA CRUZ'!$P$6:$P$402,MATCH($O425,'BM MORRO DA CRUZ'!$K$6:$K$402,0))</f>
        <v>4860.5</v>
      </c>
      <c r="U425" s="63">
        <f t="shared" si="287"/>
        <v>43744.5</v>
      </c>
      <c r="V425" s="61">
        <f>IFERROR(SUMIFS('01ª MC'!$W$1:$W$1840,'01ª MC'!$C$1:$C$1840,$D425),0)</f>
        <v>0</v>
      </c>
      <c r="W425" s="63">
        <f t="shared" si="288"/>
        <v>0</v>
      </c>
      <c r="X425" s="61">
        <v>0</v>
      </c>
      <c r="Y425" s="63">
        <f t="shared" si="289"/>
        <v>0</v>
      </c>
      <c r="Z425" s="61">
        <v>0</v>
      </c>
      <c r="AA425" s="63">
        <f t="shared" si="290"/>
        <v>0</v>
      </c>
      <c r="AB425" s="61">
        <v>0</v>
      </c>
      <c r="AC425" s="63">
        <f t="shared" si="291"/>
        <v>0</v>
      </c>
      <c r="AD425" s="61">
        <v>0</v>
      </c>
      <c r="AE425" s="63">
        <f t="shared" si="292"/>
        <v>0</v>
      </c>
      <c r="AF425" s="61">
        <v>0</v>
      </c>
      <c r="AG425" s="63">
        <f t="shared" si="293"/>
        <v>0</v>
      </c>
      <c r="AH425" s="61">
        <v>0</v>
      </c>
      <c r="AI425" s="63">
        <f t="shared" si="294"/>
        <v>0</v>
      </c>
      <c r="AJ425" s="61">
        <v>0</v>
      </c>
      <c r="AK425" s="63">
        <f t="shared" si="295"/>
        <v>0</v>
      </c>
      <c r="AL425" s="61">
        <v>0</v>
      </c>
      <c r="AM425" s="63">
        <f t="shared" si="296"/>
        <v>0</v>
      </c>
      <c r="AN425" s="61">
        <v>0</v>
      </c>
      <c r="AO425" s="63">
        <f t="shared" si="297"/>
        <v>0</v>
      </c>
      <c r="AP425" s="61">
        <v>0</v>
      </c>
      <c r="AQ425" s="63">
        <f t="shared" si="298"/>
        <v>0</v>
      </c>
      <c r="AR425" s="61">
        <v>0</v>
      </c>
      <c r="AS425" s="63">
        <f t="shared" si="299"/>
        <v>0</v>
      </c>
      <c r="AT425" s="61">
        <v>0</v>
      </c>
      <c r="AU425" s="63">
        <f t="shared" si="300"/>
        <v>0</v>
      </c>
      <c r="AV425" s="61">
        <v>0</v>
      </c>
      <c r="AW425" s="63">
        <f t="shared" si="301"/>
        <v>0</v>
      </c>
      <c r="AX425" s="61">
        <v>0</v>
      </c>
      <c r="AY425" s="63">
        <f t="shared" si="302"/>
        <v>0</v>
      </c>
      <c r="AZ425" s="61">
        <v>0</v>
      </c>
      <c r="BA425" s="63">
        <f t="shared" si="303"/>
        <v>0</v>
      </c>
      <c r="BB425" s="61">
        <v>0</v>
      </c>
      <c r="BC425" s="63">
        <f t="shared" si="304"/>
        <v>0</v>
      </c>
      <c r="BD425" s="61">
        <v>0</v>
      </c>
      <c r="BE425" s="63">
        <f t="shared" si="305"/>
        <v>0</v>
      </c>
      <c r="BF425" s="61">
        <f t="shared" si="306"/>
        <v>0</v>
      </c>
      <c r="BG425" s="63">
        <f t="shared" si="307"/>
        <v>0</v>
      </c>
      <c r="BH425" s="45"/>
      <c r="BI425" s="144"/>
    </row>
    <row r="426" spans="1:61" ht="26.25" customHeight="1" x14ac:dyDescent="0.45">
      <c r="A426" s="140">
        <v>5</v>
      </c>
      <c r="B426" s="141" t="s">
        <v>850</v>
      </c>
      <c r="C426" s="142" t="s">
        <v>1488</v>
      </c>
      <c r="D426" s="143" t="str">
        <f t="shared" si="286"/>
        <v>5.1_1.14.21</v>
      </c>
      <c r="E426" s="56" t="s">
        <v>334</v>
      </c>
      <c r="F426" s="506" t="s">
        <v>264</v>
      </c>
      <c r="G426" s="507" t="s">
        <v>147</v>
      </c>
      <c r="H426" s="507" t="s">
        <v>224</v>
      </c>
      <c r="I426" s="507" t="s">
        <v>265</v>
      </c>
      <c r="J426" s="507" t="s">
        <v>266</v>
      </c>
      <c r="K426" s="507">
        <v>160</v>
      </c>
      <c r="L426" s="507" t="s">
        <v>267</v>
      </c>
      <c r="M426" s="507" t="s">
        <v>114</v>
      </c>
      <c r="N426" s="507" t="s">
        <v>267</v>
      </c>
      <c r="O426" s="57" t="s">
        <v>335</v>
      </c>
      <c r="P426" s="58" t="s">
        <v>21</v>
      </c>
      <c r="Q426" s="59" t="s">
        <v>336</v>
      </c>
      <c r="R426" s="60" t="s">
        <v>71</v>
      </c>
      <c r="S426" s="61">
        <v>284</v>
      </c>
      <c r="T426" s="62">
        <f>INDEX('BM MORRO DA CRUZ'!$P$6:$P$402,MATCH($O426,'BM MORRO DA CRUZ'!$K$6:$K$402,0))</f>
        <v>132.44999999999999</v>
      </c>
      <c r="U426" s="63">
        <f t="shared" si="287"/>
        <v>37615.800000000003</v>
      </c>
      <c r="V426" s="61">
        <f>IFERROR(SUMIFS('01ª MC'!$W$1:$W$1840,'01ª MC'!$C$1:$C$1840,$D426),0)</f>
        <v>0</v>
      </c>
      <c r="W426" s="63">
        <f t="shared" si="288"/>
        <v>0</v>
      </c>
      <c r="X426" s="61">
        <v>0</v>
      </c>
      <c r="Y426" s="63">
        <f t="shared" si="289"/>
        <v>0</v>
      </c>
      <c r="Z426" s="61">
        <v>0</v>
      </c>
      <c r="AA426" s="63">
        <f t="shared" si="290"/>
        <v>0</v>
      </c>
      <c r="AB426" s="61">
        <v>0</v>
      </c>
      <c r="AC426" s="63">
        <f t="shared" si="291"/>
        <v>0</v>
      </c>
      <c r="AD426" s="61">
        <v>0</v>
      </c>
      <c r="AE426" s="63">
        <f t="shared" si="292"/>
        <v>0</v>
      </c>
      <c r="AF426" s="61">
        <v>0</v>
      </c>
      <c r="AG426" s="63">
        <f t="shared" si="293"/>
        <v>0</v>
      </c>
      <c r="AH426" s="61">
        <v>0</v>
      </c>
      <c r="AI426" s="63">
        <f t="shared" si="294"/>
        <v>0</v>
      </c>
      <c r="AJ426" s="61">
        <v>0</v>
      </c>
      <c r="AK426" s="63">
        <f t="shared" si="295"/>
        <v>0</v>
      </c>
      <c r="AL426" s="61">
        <v>0</v>
      </c>
      <c r="AM426" s="63">
        <f t="shared" si="296"/>
        <v>0</v>
      </c>
      <c r="AN426" s="61">
        <v>0</v>
      </c>
      <c r="AO426" s="63">
        <f t="shared" si="297"/>
        <v>0</v>
      </c>
      <c r="AP426" s="61">
        <v>0</v>
      </c>
      <c r="AQ426" s="63">
        <f t="shared" si="298"/>
        <v>0</v>
      </c>
      <c r="AR426" s="61">
        <v>0</v>
      </c>
      <c r="AS426" s="63">
        <f t="shared" si="299"/>
        <v>0</v>
      </c>
      <c r="AT426" s="61">
        <v>0</v>
      </c>
      <c r="AU426" s="63">
        <f t="shared" si="300"/>
        <v>0</v>
      </c>
      <c r="AV426" s="61">
        <v>0</v>
      </c>
      <c r="AW426" s="63">
        <f t="shared" si="301"/>
        <v>0</v>
      </c>
      <c r="AX426" s="61">
        <v>0</v>
      </c>
      <c r="AY426" s="63">
        <f t="shared" si="302"/>
        <v>0</v>
      </c>
      <c r="AZ426" s="61">
        <v>0</v>
      </c>
      <c r="BA426" s="63">
        <f t="shared" si="303"/>
        <v>0</v>
      </c>
      <c r="BB426" s="61">
        <v>0</v>
      </c>
      <c r="BC426" s="63">
        <f t="shared" si="304"/>
        <v>0</v>
      </c>
      <c r="BD426" s="61">
        <v>0</v>
      </c>
      <c r="BE426" s="63">
        <f t="shared" si="305"/>
        <v>0</v>
      </c>
      <c r="BF426" s="61">
        <f t="shared" si="306"/>
        <v>0</v>
      </c>
      <c r="BG426" s="63">
        <f t="shared" si="307"/>
        <v>0</v>
      </c>
      <c r="BH426" s="45"/>
      <c r="BI426" s="144"/>
    </row>
    <row r="427" spans="1:61" ht="26.25" customHeight="1" x14ac:dyDescent="0.45">
      <c r="A427" s="140">
        <v>5</v>
      </c>
      <c r="B427" s="141" t="s">
        <v>850</v>
      </c>
      <c r="C427" s="142" t="s">
        <v>1488</v>
      </c>
      <c r="D427" s="143" t="str">
        <f t="shared" si="286"/>
        <v>5.1_1.14.22</v>
      </c>
      <c r="E427" s="56" t="s">
        <v>337</v>
      </c>
      <c r="F427" s="506" t="s">
        <v>264</v>
      </c>
      <c r="G427" s="507" t="s">
        <v>147</v>
      </c>
      <c r="H427" s="507" t="s">
        <v>224</v>
      </c>
      <c r="I427" s="507" t="s">
        <v>265</v>
      </c>
      <c r="J427" s="507" t="s">
        <v>266</v>
      </c>
      <c r="K427" s="507">
        <v>200</v>
      </c>
      <c r="L427" s="507" t="s">
        <v>267</v>
      </c>
      <c r="M427" s="507" t="s">
        <v>114</v>
      </c>
      <c r="N427" s="507" t="s">
        <v>267</v>
      </c>
      <c r="O427" s="57" t="s">
        <v>338</v>
      </c>
      <c r="P427" s="58" t="s">
        <v>21</v>
      </c>
      <c r="Q427" s="59" t="s">
        <v>339</v>
      </c>
      <c r="R427" s="60" t="s">
        <v>71</v>
      </c>
      <c r="S427" s="61">
        <v>2</v>
      </c>
      <c r="T427" s="62">
        <f>INDEX('BM MORRO DA CRUZ'!$P$6:$P$402,MATCH($O427,'BM MORRO DA CRUZ'!$K$6:$K$402,0))</f>
        <v>224.47</v>
      </c>
      <c r="U427" s="63">
        <f t="shared" si="287"/>
        <v>448.94</v>
      </c>
      <c r="V427" s="61">
        <f>IFERROR(SUMIFS('01ª MC'!$W$1:$W$1840,'01ª MC'!$C$1:$C$1840,$D427),0)</f>
        <v>0</v>
      </c>
      <c r="W427" s="63">
        <f t="shared" si="288"/>
        <v>0</v>
      </c>
      <c r="X427" s="61">
        <v>0</v>
      </c>
      <c r="Y427" s="63">
        <f t="shared" si="289"/>
        <v>0</v>
      </c>
      <c r="Z427" s="61">
        <v>0</v>
      </c>
      <c r="AA427" s="63">
        <f t="shared" si="290"/>
        <v>0</v>
      </c>
      <c r="AB427" s="61">
        <v>0</v>
      </c>
      <c r="AC427" s="63">
        <f t="shared" si="291"/>
        <v>0</v>
      </c>
      <c r="AD427" s="61">
        <v>0</v>
      </c>
      <c r="AE427" s="63">
        <f t="shared" si="292"/>
        <v>0</v>
      </c>
      <c r="AF427" s="61">
        <v>0</v>
      </c>
      <c r="AG427" s="63">
        <f t="shared" si="293"/>
        <v>0</v>
      </c>
      <c r="AH427" s="61">
        <v>0</v>
      </c>
      <c r="AI427" s="63">
        <f t="shared" si="294"/>
        <v>0</v>
      </c>
      <c r="AJ427" s="61">
        <v>0</v>
      </c>
      <c r="AK427" s="63">
        <f t="shared" si="295"/>
        <v>0</v>
      </c>
      <c r="AL427" s="61">
        <v>0</v>
      </c>
      <c r="AM427" s="63">
        <f t="shared" si="296"/>
        <v>0</v>
      </c>
      <c r="AN427" s="61">
        <v>0</v>
      </c>
      <c r="AO427" s="63">
        <f t="shared" si="297"/>
        <v>0</v>
      </c>
      <c r="AP427" s="61">
        <v>0</v>
      </c>
      <c r="AQ427" s="63">
        <f t="shared" si="298"/>
        <v>0</v>
      </c>
      <c r="AR427" s="61">
        <v>0</v>
      </c>
      <c r="AS427" s="63">
        <f t="shared" si="299"/>
        <v>0</v>
      </c>
      <c r="AT427" s="61">
        <v>0</v>
      </c>
      <c r="AU427" s="63">
        <f t="shared" si="300"/>
        <v>0</v>
      </c>
      <c r="AV427" s="61">
        <v>0</v>
      </c>
      <c r="AW427" s="63">
        <f t="shared" si="301"/>
        <v>0</v>
      </c>
      <c r="AX427" s="61">
        <v>0</v>
      </c>
      <c r="AY427" s="63">
        <f t="shared" si="302"/>
        <v>0</v>
      </c>
      <c r="AZ427" s="61">
        <v>0</v>
      </c>
      <c r="BA427" s="63">
        <f t="shared" si="303"/>
        <v>0</v>
      </c>
      <c r="BB427" s="61">
        <v>0</v>
      </c>
      <c r="BC427" s="63">
        <f t="shared" si="304"/>
        <v>0</v>
      </c>
      <c r="BD427" s="61">
        <v>0</v>
      </c>
      <c r="BE427" s="63">
        <f t="shared" si="305"/>
        <v>0</v>
      </c>
      <c r="BF427" s="61">
        <f t="shared" si="306"/>
        <v>0</v>
      </c>
      <c r="BG427" s="63">
        <f t="shared" si="307"/>
        <v>0</v>
      </c>
      <c r="BH427" s="45"/>
      <c r="BI427" s="144"/>
    </row>
    <row r="428" spans="1:61" ht="26.25" customHeight="1" x14ac:dyDescent="0.45">
      <c r="A428" s="140">
        <v>5</v>
      </c>
      <c r="B428" s="141" t="s">
        <v>850</v>
      </c>
      <c r="C428" s="142" t="s">
        <v>1488</v>
      </c>
      <c r="D428" s="143" t="str">
        <f t="shared" si="286"/>
        <v>5.1_1.14.23</v>
      </c>
      <c r="E428" s="56" t="s">
        <v>340</v>
      </c>
      <c r="F428" s="506" t="s">
        <v>264</v>
      </c>
      <c r="G428" s="507" t="s">
        <v>147</v>
      </c>
      <c r="H428" s="507" t="s">
        <v>224</v>
      </c>
      <c r="I428" s="507" t="s">
        <v>265</v>
      </c>
      <c r="J428" s="507" t="s">
        <v>266</v>
      </c>
      <c r="K428" s="507">
        <v>225</v>
      </c>
      <c r="L428" s="507" t="s">
        <v>267</v>
      </c>
      <c r="M428" s="507" t="s">
        <v>114</v>
      </c>
      <c r="N428" s="507" t="s">
        <v>267</v>
      </c>
      <c r="O428" s="57" t="s">
        <v>341</v>
      </c>
      <c r="P428" s="58" t="s">
        <v>21</v>
      </c>
      <c r="Q428" s="59" t="s">
        <v>342</v>
      </c>
      <c r="R428" s="60" t="s">
        <v>71</v>
      </c>
      <c r="S428" s="61">
        <v>102</v>
      </c>
      <c r="T428" s="62">
        <f>INDEX('BM MORRO DA CRUZ'!$P$6:$P$402,MATCH($O428,'BM MORRO DA CRUZ'!$K$6:$K$402,0))</f>
        <v>289.27</v>
      </c>
      <c r="U428" s="63">
        <f t="shared" si="287"/>
        <v>29505.54</v>
      </c>
      <c r="V428" s="61">
        <f>IFERROR(SUMIFS('01ª MC'!$W$1:$W$1840,'01ª MC'!$C$1:$C$1840,$D428),0)</f>
        <v>0</v>
      </c>
      <c r="W428" s="63">
        <f t="shared" si="288"/>
        <v>0</v>
      </c>
      <c r="X428" s="61">
        <v>0</v>
      </c>
      <c r="Y428" s="63">
        <f t="shared" si="289"/>
        <v>0</v>
      </c>
      <c r="Z428" s="61">
        <v>0</v>
      </c>
      <c r="AA428" s="63">
        <f t="shared" si="290"/>
        <v>0</v>
      </c>
      <c r="AB428" s="61">
        <v>0</v>
      </c>
      <c r="AC428" s="63">
        <f t="shared" si="291"/>
        <v>0</v>
      </c>
      <c r="AD428" s="61">
        <v>0</v>
      </c>
      <c r="AE428" s="63">
        <f t="shared" si="292"/>
        <v>0</v>
      </c>
      <c r="AF428" s="61">
        <v>0</v>
      </c>
      <c r="AG428" s="63">
        <f t="shared" si="293"/>
        <v>0</v>
      </c>
      <c r="AH428" s="61">
        <v>0</v>
      </c>
      <c r="AI428" s="63">
        <f t="shared" si="294"/>
        <v>0</v>
      </c>
      <c r="AJ428" s="61">
        <v>0</v>
      </c>
      <c r="AK428" s="63">
        <f t="shared" si="295"/>
        <v>0</v>
      </c>
      <c r="AL428" s="61">
        <v>0</v>
      </c>
      <c r="AM428" s="63">
        <f t="shared" si="296"/>
        <v>0</v>
      </c>
      <c r="AN428" s="61">
        <v>0</v>
      </c>
      <c r="AO428" s="63">
        <f t="shared" si="297"/>
        <v>0</v>
      </c>
      <c r="AP428" s="61">
        <v>0</v>
      </c>
      <c r="AQ428" s="63">
        <f t="shared" si="298"/>
        <v>0</v>
      </c>
      <c r="AR428" s="61">
        <v>0</v>
      </c>
      <c r="AS428" s="63">
        <f t="shared" si="299"/>
        <v>0</v>
      </c>
      <c r="AT428" s="61">
        <v>0</v>
      </c>
      <c r="AU428" s="63">
        <f t="shared" si="300"/>
        <v>0</v>
      </c>
      <c r="AV428" s="61">
        <v>0</v>
      </c>
      <c r="AW428" s="63">
        <f t="shared" si="301"/>
        <v>0</v>
      </c>
      <c r="AX428" s="61">
        <v>0</v>
      </c>
      <c r="AY428" s="63">
        <f t="shared" si="302"/>
        <v>0</v>
      </c>
      <c r="AZ428" s="61">
        <v>0</v>
      </c>
      <c r="BA428" s="63">
        <f t="shared" si="303"/>
        <v>0</v>
      </c>
      <c r="BB428" s="61">
        <v>0</v>
      </c>
      <c r="BC428" s="63">
        <f t="shared" si="304"/>
        <v>0</v>
      </c>
      <c r="BD428" s="61">
        <v>0</v>
      </c>
      <c r="BE428" s="63">
        <f t="shared" si="305"/>
        <v>0</v>
      </c>
      <c r="BF428" s="61">
        <f t="shared" si="306"/>
        <v>0</v>
      </c>
      <c r="BG428" s="63">
        <f t="shared" si="307"/>
        <v>0</v>
      </c>
      <c r="BH428" s="45"/>
      <c r="BI428" s="144"/>
    </row>
    <row r="429" spans="1:61" ht="26.25" customHeight="1" x14ac:dyDescent="0.45">
      <c r="A429" s="140">
        <v>5</v>
      </c>
      <c r="B429" s="141" t="s">
        <v>850</v>
      </c>
      <c r="C429" s="142" t="s">
        <v>1488</v>
      </c>
      <c r="D429" s="143" t="str">
        <f t="shared" si="286"/>
        <v>5.1_1.14.24</v>
      </c>
      <c r="E429" s="56" t="s">
        <v>343</v>
      </c>
      <c r="F429" s="506" t="s">
        <v>264</v>
      </c>
      <c r="G429" s="507" t="s">
        <v>147</v>
      </c>
      <c r="H429" s="507" t="s">
        <v>224</v>
      </c>
      <c r="I429" s="507" t="s">
        <v>265</v>
      </c>
      <c r="J429" s="507" t="s">
        <v>266</v>
      </c>
      <c r="K429" s="507">
        <v>315</v>
      </c>
      <c r="L429" s="507" t="s">
        <v>267</v>
      </c>
      <c r="M429" s="507" t="s">
        <v>114</v>
      </c>
      <c r="N429" s="507" t="s">
        <v>267</v>
      </c>
      <c r="O429" s="57" t="s">
        <v>344</v>
      </c>
      <c r="P429" s="58" t="s">
        <v>21</v>
      </c>
      <c r="Q429" s="59" t="s">
        <v>345</v>
      </c>
      <c r="R429" s="60" t="s">
        <v>71</v>
      </c>
      <c r="S429" s="61">
        <v>30</v>
      </c>
      <c r="T429" s="62">
        <f>INDEX('BM MORRO DA CRUZ'!$P$6:$P$402,MATCH($O429,'BM MORRO DA CRUZ'!$K$6:$K$402,0))</f>
        <v>694.6</v>
      </c>
      <c r="U429" s="63">
        <f t="shared" si="287"/>
        <v>20838</v>
      </c>
      <c r="V429" s="61">
        <f>IFERROR(SUMIFS('01ª MC'!$W$1:$W$1840,'01ª MC'!$C$1:$C$1840,$D429),0)</f>
        <v>0</v>
      </c>
      <c r="W429" s="63">
        <f t="shared" si="288"/>
        <v>0</v>
      </c>
      <c r="X429" s="61">
        <v>0</v>
      </c>
      <c r="Y429" s="63">
        <f t="shared" si="289"/>
        <v>0</v>
      </c>
      <c r="Z429" s="61">
        <v>0</v>
      </c>
      <c r="AA429" s="63">
        <f t="shared" si="290"/>
        <v>0</v>
      </c>
      <c r="AB429" s="61">
        <v>0</v>
      </c>
      <c r="AC429" s="63">
        <f t="shared" si="291"/>
        <v>0</v>
      </c>
      <c r="AD429" s="61">
        <v>0</v>
      </c>
      <c r="AE429" s="63">
        <f t="shared" si="292"/>
        <v>0</v>
      </c>
      <c r="AF429" s="61">
        <v>0</v>
      </c>
      <c r="AG429" s="63">
        <f t="shared" si="293"/>
        <v>0</v>
      </c>
      <c r="AH429" s="61">
        <v>0</v>
      </c>
      <c r="AI429" s="63">
        <f t="shared" si="294"/>
        <v>0</v>
      </c>
      <c r="AJ429" s="61">
        <v>0</v>
      </c>
      <c r="AK429" s="63">
        <f t="shared" si="295"/>
        <v>0</v>
      </c>
      <c r="AL429" s="61">
        <v>0</v>
      </c>
      <c r="AM429" s="63">
        <f t="shared" si="296"/>
        <v>0</v>
      </c>
      <c r="AN429" s="61">
        <v>0</v>
      </c>
      <c r="AO429" s="63">
        <f t="shared" si="297"/>
        <v>0</v>
      </c>
      <c r="AP429" s="61">
        <v>0</v>
      </c>
      <c r="AQ429" s="63">
        <f t="shared" si="298"/>
        <v>0</v>
      </c>
      <c r="AR429" s="61">
        <v>0</v>
      </c>
      <c r="AS429" s="63">
        <f t="shared" si="299"/>
        <v>0</v>
      </c>
      <c r="AT429" s="61">
        <v>0</v>
      </c>
      <c r="AU429" s="63">
        <f t="shared" si="300"/>
        <v>0</v>
      </c>
      <c r="AV429" s="61">
        <v>0</v>
      </c>
      <c r="AW429" s="63">
        <f t="shared" si="301"/>
        <v>0</v>
      </c>
      <c r="AX429" s="61">
        <v>0</v>
      </c>
      <c r="AY429" s="63">
        <f t="shared" si="302"/>
        <v>0</v>
      </c>
      <c r="AZ429" s="61">
        <v>0</v>
      </c>
      <c r="BA429" s="63">
        <f t="shared" si="303"/>
        <v>0</v>
      </c>
      <c r="BB429" s="61">
        <v>0</v>
      </c>
      <c r="BC429" s="63">
        <f t="shared" si="304"/>
        <v>0</v>
      </c>
      <c r="BD429" s="61">
        <v>0</v>
      </c>
      <c r="BE429" s="63">
        <f t="shared" si="305"/>
        <v>0</v>
      </c>
      <c r="BF429" s="61">
        <f t="shared" si="306"/>
        <v>0</v>
      </c>
      <c r="BG429" s="63">
        <f t="shared" si="307"/>
        <v>0</v>
      </c>
      <c r="BH429" s="45"/>
      <c r="BI429" s="144"/>
    </row>
    <row r="430" spans="1:61" ht="26.25" customHeight="1" x14ac:dyDescent="0.45">
      <c r="A430" s="140">
        <v>5</v>
      </c>
      <c r="B430" s="141" t="s">
        <v>850</v>
      </c>
      <c r="C430" s="142" t="s">
        <v>1488</v>
      </c>
      <c r="D430" s="143" t="str">
        <f t="shared" si="286"/>
        <v>5.1_1.14.25</v>
      </c>
      <c r="E430" s="56" t="s">
        <v>346</v>
      </c>
      <c r="F430" s="506" t="s">
        <v>264</v>
      </c>
      <c r="G430" s="507" t="s">
        <v>147</v>
      </c>
      <c r="H430" s="507" t="s">
        <v>224</v>
      </c>
      <c r="I430" s="507" t="s">
        <v>265</v>
      </c>
      <c r="J430" s="507" t="s">
        <v>266</v>
      </c>
      <c r="K430" s="507">
        <v>400</v>
      </c>
      <c r="L430" s="507" t="s">
        <v>267</v>
      </c>
      <c r="M430" s="507" t="s">
        <v>114</v>
      </c>
      <c r="N430" s="507" t="s">
        <v>267</v>
      </c>
      <c r="O430" s="57" t="s">
        <v>347</v>
      </c>
      <c r="P430" s="58" t="s">
        <v>21</v>
      </c>
      <c r="Q430" s="59" t="s">
        <v>348</v>
      </c>
      <c r="R430" s="60" t="s">
        <v>71</v>
      </c>
      <c r="S430" s="61">
        <v>7</v>
      </c>
      <c r="T430" s="62">
        <f>INDEX('BM MORRO DA CRUZ'!$P$6:$P$402,MATCH($O430,'BM MORRO DA CRUZ'!$K$6:$K$402,0))</f>
        <v>1595.04</v>
      </c>
      <c r="U430" s="63">
        <f t="shared" si="287"/>
        <v>11165.28</v>
      </c>
      <c r="V430" s="61">
        <f>IFERROR(SUMIFS('01ª MC'!$W$1:$W$1840,'01ª MC'!$C$1:$C$1840,$D430),0)</f>
        <v>0</v>
      </c>
      <c r="W430" s="63">
        <f t="shared" si="288"/>
        <v>0</v>
      </c>
      <c r="X430" s="61">
        <v>0</v>
      </c>
      <c r="Y430" s="63">
        <f t="shared" si="289"/>
        <v>0</v>
      </c>
      <c r="Z430" s="61">
        <v>0</v>
      </c>
      <c r="AA430" s="63">
        <f t="shared" si="290"/>
        <v>0</v>
      </c>
      <c r="AB430" s="61">
        <v>0</v>
      </c>
      <c r="AC430" s="63">
        <f t="shared" si="291"/>
        <v>0</v>
      </c>
      <c r="AD430" s="61">
        <v>0</v>
      </c>
      <c r="AE430" s="63">
        <f t="shared" si="292"/>
        <v>0</v>
      </c>
      <c r="AF430" s="61">
        <v>0</v>
      </c>
      <c r="AG430" s="63">
        <f t="shared" si="293"/>
        <v>0</v>
      </c>
      <c r="AH430" s="61">
        <v>0</v>
      </c>
      <c r="AI430" s="63">
        <f t="shared" si="294"/>
        <v>0</v>
      </c>
      <c r="AJ430" s="61">
        <v>0</v>
      </c>
      <c r="AK430" s="63">
        <f t="shared" si="295"/>
        <v>0</v>
      </c>
      <c r="AL430" s="61">
        <v>0</v>
      </c>
      <c r="AM430" s="63">
        <f t="shared" si="296"/>
        <v>0</v>
      </c>
      <c r="AN430" s="61">
        <v>0</v>
      </c>
      <c r="AO430" s="63">
        <f t="shared" si="297"/>
        <v>0</v>
      </c>
      <c r="AP430" s="61">
        <v>0</v>
      </c>
      <c r="AQ430" s="63">
        <f t="shared" si="298"/>
        <v>0</v>
      </c>
      <c r="AR430" s="61">
        <v>0</v>
      </c>
      <c r="AS430" s="63">
        <f t="shared" si="299"/>
        <v>0</v>
      </c>
      <c r="AT430" s="61">
        <v>0</v>
      </c>
      <c r="AU430" s="63">
        <f t="shared" si="300"/>
        <v>0</v>
      </c>
      <c r="AV430" s="61">
        <v>0</v>
      </c>
      <c r="AW430" s="63">
        <f t="shared" si="301"/>
        <v>0</v>
      </c>
      <c r="AX430" s="61">
        <v>0</v>
      </c>
      <c r="AY430" s="63">
        <f t="shared" si="302"/>
        <v>0</v>
      </c>
      <c r="AZ430" s="61">
        <v>0</v>
      </c>
      <c r="BA430" s="63">
        <f t="shared" si="303"/>
        <v>0</v>
      </c>
      <c r="BB430" s="61">
        <v>0</v>
      </c>
      <c r="BC430" s="63">
        <f t="shared" si="304"/>
        <v>0</v>
      </c>
      <c r="BD430" s="61">
        <v>0</v>
      </c>
      <c r="BE430" s="63">
        <f t="shared" si="305"/>
        <v>0</v>
      </c>
      <c r="BF430" s="61">
        <f t="shared" si="306"/>
        <v>0</v>
      </c>
      <c r="BG430" s="63">
        <f t="shared" si="307"/>
        <v>0</v>
      </c>
      <c r="BH430" s="45"/>
      <c r="BI430" s="144"/>
    </row>
    <row r="431" spans="1:61" ht="26.25" customHeight="1" x14ac:dyDescent="0.45">
      <c r="A431" s="140">
        <v>5</v>
      </c>
      <c r="B431" s="141" t="s">
        <v>850</v>
      </c>
      <c r="C431" s="142" t="s">
        <v>1488</v>
      </c>
      <c r="D431" s="143" t="str">
        <f t="shared" si="286"/>
        <v>5.1_1.14.26</v>
      </c>
      <c r="E431" s="56" t="s">
        <v>349</v>
      </c>
      <c r="F431" s="506" t="s">
        <v>264</v>
      </c>
      <c r="G431" s="507" t="s">
        <v>147</v>
      </c>
      <c r="H431" s="507" t="s">
        <v>224</v>
      </c>
      <c r="I431" s="507" t="s">
        <v>265</v>
      </c>
      <c r="J431" s="507" t="s">
        <v>266</v>
      </c>
      <c r="K431" s="507">
        <v>500</v>
      </c>
      <c r="L431" s="507" t="s">
        <v>267</v>
      </c>
      <c r="M431" s="507" t="s">
        <v>114</v>
      </c>
      <c r="N431" s="507" t="s">
        <v>267</v>
      </c>
      <c r="O431" s="57" t="s">
        <v>350</v>
      </c>
      <c r="P431" s="58" t="s">
        <v>21</v>
      </c>
      <c r="Q431" s="59" t="s">
        <v>351</v>
      </c>
      <c r="R431" s="60" t="s">
        <v>71</v>
      </c>
      <c r="S431" s="61">
        <v>18</v>
      </c>
      <c r="T431" s="62">
        <f>INDEX('BM MORRO DA CRUZ'!$P$6:$P$402,MATCH($O431,'BM MORRO DA CRUZ'!$K$6:$K$402,0))</f>
        <v>2365.2800000000002</v>
      </c>
      <c r="U431" s="63">
        <f t="shared" si="287"/>
        <v>42575.040000000001</v>
      </c>
      <c r="V431" s="61">
        <f>IFERROR(SUMIFS('01ª MC'!$W$1:$W$1840,'01ª MC'!$C$1:$C$1840,$D431),0)</f>
        <v>0</v>
      </c>
      <c r="W431" s="63">
        <f t="shared" si="288"/>
        <v>0</v>
      </c>
      <c r="X431" s="61">
        <v>0</v>
      </c>
      <c r="Y431" s="63">
        <f t="shared" si="289"/>
        <v>0</v>
      </c>
      <c r="Z431" s="61">
        <v>0</v>
      </c>
      <c r="AA431" s="63">
        <f t="shared" si="290"/>
        <v>0</v>
      </c>
      <c r="AB431" s="61">
        <v>0</v>
      </c>
      <c r="AC431" s="63">
        <f t="shared" si="291"/>
        <v>0</v>
      </c>
      <c r="AD431" s="61">
        <v>0</v>
      </c>
      <c r="AE431" s="63">
        <f t="shared" si="292"/>
        <v>0</v>
      </c>
      <c r="AF431" s="61">
        <v>0</v>
      </c>
      <c r="AG431" s="63">
        <f t="shared" si="293"/>
        <v>0</v>
      </c>
      <c r="AH431" s="61">
        <v>0</v>
      </c>
      <c r="AI431" s="63">
        <f t="shared" si="294"/>
        <v>0</v>
      </c>
      <c r="AJ431" s="61">
        <v>0</v>
      </c>
      <c r="AK431" s="63">
        <f t="shared" si="295"/>
        <v>0</v>
      </c>
      <c r="AL431" s="61">
        <v>0</v>
      </c>
      <c r="AM431" s="63">
        <f t="shared" si="296"/>
        <v>0</v>
      </c>
      <c r="AN431" s="61">
        <v>0</v>
      </c>
      <c r="AO431" s="63">
        <f t="shared" si="297"/>
        <v>0</v>
      </c>
      <c r="AP431" s="61">
        <v>0</v>
      </c>
      <c r="AQ431" s="63">
        <f t="shared" si="298"/>
        <v>0</v>
      </c>
      <c r="AR431" s="61">
        <v>0</v>
      </c>
      <c r="AS431" s="63">
        <f t="shared" si="299"/>
        <v>0</v>
      </c>
      <c r="AT431" s="61">
        <v>0</v>
      </c>
      <c r="AU431" s="63">
        <f t="shared" si="300"/>
        <v>0</v>
      </c>
      <c r="AV431" s="61">
        <v>0</v>
      </c>
      <c r="AW431" s="63">
        <f t="shared" si="301"/>
        <v>0</v>
      </c>
      <c r="AX431" s="61">
        <v>0</v>
      </c>
      <c r="AY431" s="63">
        <f t="shared" si="302"/>
        <v>0</v>
      </c>
      <c r="AZ431" s="61">
        <v>0</v>
      </c>
      <c r="BA431" s="63">
        <f t="shared" si="303"/>
        <v>0</v>
      </c>
      <c r="BB431" s="61">
        <v>0</v>
      </c>
      <c r="BC431" s="63">
        <f t="shared" si="304"/>
        <v>0</v>
      </c>
      <c r="BD431" s="61">
        <v>0</v>
      </c>
      <c r="BE431" s="63">
        <f t="shared" si="305"/>
        <v>0</v>
      </c>
      <c r="BF431" s="61">
        <f t="shared" si="306"/>
        <v>0</v>
      </c>
      <c r="BG431" s="63">
        <f t="shared" si="307"/>
        <v>0</v>
      </c>
      <c r="BH431" s="45"/>
      <c r="BI431" s="144"/>
    </row>
    <row r="432" spans="1:61" ht="26.25" customHeight="1" x14ac:dyDescent="0.45">
      <c r="A432" s="140">
        <v>5</v>
      </c>
      <c r="B432" s="141" t="s">
        <v>850</v>
      </c>
      <c r="C432" s="142" t="s">
        <v>1488</v>
      </c>
      <c r="D432" s="143" t="str">
        <f t="shared" si="286"/>
        <v>5.1_1.14.27</v>
      </c>
      <c r="E432" s="56" t="s">
        <v>352</v>
      </c>
      <c r="F432" s="506" t="s">
        <v>264</v>
      </c>
      <c r="G432" s="507" t="s">
        <v>147</v>
      </c>
      <c r="H432" s="507" t="s">
        <v>224</v>
      </c>
      <c r="I432" s="507" t="s">
        <v>265</v>
      </c>
      <c r="J432" s="507" t="s">
        <v>266</v>
      </c>
      <c r="K432" s="507">
        <v>63</v>
      </c>
      <c r="L432" s="507" t="s">
        <v>267</v>
      </c>
      <c r="M432" s="507" t="s">
        <v>114</v>
      </c>
      <c r="N432" s="507" t="s">
        <v>267</v>
      </c>
      <c r="O432" s="57" t="s">
        <v>353</v>
      </c>
      <c r="P432" s="58" t="s">
        <v>21</v>
      </c>
      <c r="Q432" s="59" t="s">
        <v>354</v>
      </c>
      <c r="R432" s="60" t="s">
        <v>71</v>
      </c>
      <c r="S432" s="61">
        <v>1313</v>
      </c>
      <c r="T432" s="62">
        <f>INDEX('BM MORRO DA CRUZ'!$P$6:$P$402,MATCH($O432,'BM MORRO DA CRUZ'!$K$6:$K$402,0))</f>
        <v>29.91</v>
      </c>
      <c r="U432" s="63">
        <f t="shared" si="287"/>
        <v>39271.83</v>
      </c>
      <c r="V432" s="61">
        <f>IFERROR(SUMIFS('01ª MC'!$W$1:$W$1840,'01ª MC'!$C$1:$C$1840,$D432),0)</f>
        <v>0</v>
      </c>
      <c r="W432" s="63">
        <f t="shared" si="288"/>
        <v>0</v>
      </c>
      <c r="X432" s="61">
        <v>0</v>
      </c>
      <c r="Y432" s="63">
        <f t="shared" si="289"/>
        <v>0</v>
      </c>
      <c r="Z432" s="61">
        <v>0</v>
      </c>
      <c r="AA432" s="63">
        <f t="shared" si="290"/>
        <v>0</v>
      </c>
      <c r="AB432" s="61">
        <v>0</v>
      </c>
      <c r="AC432" s="63">
        <f t="shared" si="291"/>
        <v>0</v>
      </c>
      <c r="AD432" s="61">
        <v>0</v>
      </c>
      <c r="AE432" s="63">
        <f t="shared" si="292"/>
        <v>0</v>
      </c>
      <c r="AF432" s="61">
        <v>0</v>
      </c>
      <c r="AG432" s="63">
        <f t="shared" si="293"/>
        <v>0</v>
      </c>
      <c r="AH432" s="61">
        <v>0</v>
      </c>
      <c r="AI432" s="63">
        <f t="shared" si="294"/>
        <v>0</v>
      </c>
      <c r="AJ432" s="61">
        <v>0</v>
      </c>
      <c r="AK432" s="63">
        <f t="shared" si="295"/>
        <v>0</v>
      </c>
      <c r="AL432" s="61">
        <v>0</v>
      </c>
      <c r="AM432" s="63">
        <f t="shared" si="296"/>
        <v>0</v>
      </c>
      <c r="AN432" s="61">
        <v>0</v>
      </c>
      <c r="AO432" s="63">
        <f t="shared" si="297"/>
        <v>0</v>
      </c>
      <c r="AP432" s="61">
        <v>0</v>
      </c>
      <c r="AQ432" s="63">
        <f t="shared" si="298"/>
        <v>0</v>
      </c>
      <c r="AR432" s="61">
        <v>0</v>
      </c>
      <c r="AS432" s="63">
        <f t="shared" si="299"/>
        <v>0</v>
      </c>
      <c r="AT432" s="61">
        <v>0</v>
      </c>
      <c r="AU432" s="63">
        <f t="shared" si="300"/>
        <v>0</v>
      </c>
      <c r="AV432" s="61">
        <v>0</v>
      </c>
      <c r="AW432" s="63">
        <f t="shared" si="301"/>
        <v>0</v>
      </c>
      <c r="AX432" s="61">
        <v>0</v>
      </c>
      <c r="AY432" s="63">
        <f t="shared" si="302"/>
        <v>0</v>
      </c>
      <c r="AZ432" s="61">
        <v>0</v>
      </c>
      <c r="BA432" s="63">
        <f t="shared" si="303"/>
        <v>0</v>
      </c>
      <c r="BB432" s="61">
        <v>0</v>
      </c>
      <c r="BC432" s="63">
        <f t="shared" si="304"/>
        <v>0</v>
      </c>
      <c r="BD432" s="61">
        <v>0</v>
      </c>
      <c r="BE432" s="63">
        <f t="shared" si="305"/>
        <v>0</v>
      </c>
      <c r="BF432" s="61">
        <f t="shared" si="306"/>
        <v>0</v>
      </c>
      <c r="BG432" s="63">
        <f t="shared" si="307"/>
        <v>0</v>
      </c>
      <c r="BH432" s="45"/>
      <c r="BI432" s="144"/>
    </row>
    <row r="433" spans="1:61" ht="26.25" customHeight="1" x14ac:dyDescent="0.45">
      <c r="A433" s="140">
        <v>5</v>
      </c>
      <c r="B433" s="141" t="s">
        <v>850</v>
      </c>
      <c r="C433" s="142" t="s">
        <v>1488</v>
      </c>
      <c r="D433" s="143" t="str">
        <f t="shared" si="286"/>
        <v>5.1_1.14.28</v>
      </c>
      <c r="E433" s="56" t="s">
        <v>355</v>
      </c>
      <c r="F433" s="506" t="s">
        <v>264</v>
      </c>
      <c r="G433" s="507" t="s">
        <v>147</v>
      </c>
      <c r="H433" s="507" t="s">
        <v>224</v>
      </c>
      <c r="I433" s="507" t="s">
        <v>265</v>
      </c>
      <c r="J433" s="507" t="s">
        <v>266</v>
      </c>
      <c r="K433" s="507">
        <v>110</v>
      </c>
      <c r="L433" s="507" t="s">
        <v>267</v>
      </c>
      <c r="M433" s="507" t="s">
        <v>114</v>
      </c>
      <c r="N433" s="507" t="s">
        <v>267</v>
      </c>
      <c r="O433" s="57" t="s">
        <v>356</v>
      </c>
      <c r="P433" s="58" t="s">
        <v>21</v>
      </c>
      <c r="Q433" s="59" t="s">
        <v>357</v>
      </c>
      <c r="R433" s="60" t="s">
        <v>71</v>
      </c>
      <c r="S433" s="61">
        <v>178</v>
      </c>
      <c r="T433" s="62">
        <f>INDEX('BM MORRO DA CRUZ'!$P$6:$P$402,MATCH($O433,'BM MORRO DA CRUZ'!$K$6:$K$402,0))</f>
        <v>68.25</v>
      </c>
      <c r="U433" s="63">
        <f t="shared" si="287"/>
        <v>12148.5</v>
      </c>
      <c r="V433" s="61">
        <f>IFERROR(SUMIFS('01ª MC'!$W$1:$W$1840,'01ª MC'!$C$1:$C$1840,$D433),0)</f>
        <v>0</v>
      </c>
      <c r="W433" s="63">
        <f t="shared" si="288"/>
        <v>0</v>
      </c>
      <c r="X433" s="61">
        <v>0</v>
      </c>
      <c r="Y433" s="63">
        <f t="shared" si="289"/>
        <v>0</v>
      </c>
      <c r="Z433" s="61">
        <v>0</v>
      </c>
      <c r="AA433" s="63">
        <f t="shared" si="290"/>
        <v>0</v>
      </c>
      <c r="AB433" s="61">
        <v>0</v>
      </c>
      <c r="AC433" s="63">
        <f t="shared" si="291"/>
        <v>0</v>
      </c>
      <c r="AD433" s="61">
        <v>0</v>
      </c>
      <c r="AE433" s="63">
        <f t="shared" si="292"/>
        <v>0</v>
      </c>
      <c r="AF433" s="61">
        <v>0</v>
      </c>
      <c r="AG433" s="63">
        <f t="shared" si="293"/>
        <v>0</v>
      </c>
      <c r="AH433" s="61">
        <v>0</v>
      </c>
      <c r="AI433" s="63">
        <f t="shared" si="294"/>
        <v>0</v>
      </c>
      <c r="AJ433" s="61">
        <v>0</v>
      </c>
      <c r="AK433" s="63">
        <f t="shared" si="295"/>
        <v>0</v>
      </c>
      <c r="AL433" s="61">
        <v>0</v>
      </c>
      <c r="AM433" s="63">
        <f t="shared" si="296"/>
        <v>0</v>
      </c>
      <c r="AN433" s="61">
        <v>0</v>
      </c>
      <c r="AO433" s="63">
        <f t="shared" si="297"/>
        <v>0</v>
      </c>
      <c r="AP433" s="61">
        <v>0</v>
      </c>
      <c r="AQ433" s="63">
        <f t="shared" si="298"/>
        <v>0</v>
      </c>
      <c r="AR433" s="61">
        <v>0</v>
      </c>
      <c r="AS433" s="63">
        <f t="shared" si="299"/>
        <v>0</v>
      </c>
      <c r="AT433" s="61">
        <v>0</v>
      </c>
      <c r="AU433" s="63">
        <f t="shared" si="300"/>
        <v>0</v>
      </c>
      <c r="AV433" s="61">
        <v>0</v>
      </c>
      <c r="AW433" s="63">
        <f t="shared" si="301"/>
        <v>0</v>
      </c>
      <c r="AX433" s="61">
        <v>0</v>
      </c>
      <c r="AY433" s="63">
        <f t="shared" si="302"/>
        <v>0</v>
      </c>
      <c r="AZ433" s="61">
        <v>0</v>
      </c>
      <c r="BA433" s="63">
        <f t="shared" si="303"/>
        <v>0</v>
      </c>
      <c r="BB433" s="61">
        <v>0</v>
      </c>
      <c r="BC433" s="63">
        <f t="shared" si="304"/>
        <v>0</v>
      </c>
      <c r="BD433" s="61">
        <v>0</v>
      </c>
      <c r="BE433" s="63">
        <f t="shared" si="305"/>
        <v>0</v>
      </c>
      <c r="BF433" s="61">
        <f t="shared" si="306"/>
        <v>0</v>
      </c>
      <c r="BG433" s="63">
        <f t="shared" si="307"/>
        <v>0</v>
      </c>
      <c r="BH433" s="45"/>
      <c r="BI433" s="144"/>
    </row>
    <row r="434" spans="1:61" ht="26.25" customHeight="1" x14ac:dyDescent="0.45">
      <c r="A434" s="140">
        <v>5</v>
      </c>
      <c r="B434" s="141" t="s">
        <v>850</v>
      </c>
      <c r="C434" s="142" t="s">
        <v>1488</v>
      </c>
      <c r="D434" s="143" t="str">
        <f t="shared" si="286"/>
        <v>5.1_1.14.29</v>
      </c>
      <c r="E434" s="56" t="s">
        <v>358</v>
      </c>
      <c r="F434" s="506" t="s">
        <v>264</v>
      </c>
      <c r="G434" s="507" t="s">
        <v>147</v>
      </c>
      <c r="H434" s="507" t="s">
        <v>224</v>
      </c>
      <c r="I434" s="507" t="s">
        <v>265</v>
      </c>
      <c r="J434" s="507" t="s">
        <v>266</v>
      </c>
      <c r="K434" s="507">
        <v>125</v>
      </c>
      <c r="L434" s="507" t="s">
        <v>267</v>
      </c>
      <c r="M434" s="507" t="s">
        <v>114</v>
      </c>
      <c r="N434" s="507" t="s">
        <v>267</v>
      </c>
      <c r="O434" s="57" t="s">
        <v>359</v>
      </c>
      <c r="P434" s="58" t="s">
        <v>21</v>
      </c>
      <c r="Q434" s="59" t="s">
        <v>360</v>
      </c>
      <c r="R434" s="60" t="s">
        <v>71</v>
      </c>
      <c r="S434" s="61">
        <v>25</v>
      </c>
      <c r="T434" s="62">
        <f>INDEX('BM MORRO DA CRUZ'!$P$6:$P$402,MATCH($O434,'BM MORRO DA CRUZ'!$K$6:$K$402,0))</f>
        <v>96.06</v>
      </c>
      <c r="U434" s="63">
        <f t="shared" si="287"/>
        <v>2401.5</v>
      </c>
      <c r="V434" s="61">
        <f>IFERROR(SUMIFS('01ª MC'!$W$1:$W$1840,'01ª MC'!$C$1:$C$1840,$D434),0)</f>
        <v>0</v>
      </c>
      <c r="W434" s="63">
        <f t="shared" si="288"/>
        <v>0</v>
      </c>
      <c r="X434" s="61">
        <v>0</v>
      </c>
      <c r="Y434" s="63">
        <f t="shared" si="289"/>
        <v>0</v>
      </c>
      <c r="Z434" s="61">
        <v>0</v>
      </c>
      <c r="AA434" s="63">
        <f t="shared" si="290"/>
        <v>0</v>
      </c>
      <c r="AB434" s="61">
        <v>0</v>
      </c>
      <c r="AC434" s="63">
        <f t="shared" si="291"/>
        <v>0</v>
      </c>
      <c r="AD434" s="61">
        <v>0</v>
      </c>
      <c r="AE434" s="63">
        <f t="shared" si="292"/>
        <v>0</v>
      </c>
      <c r="AF434" s="61">
        <v>0</v>
      </c>
      <c r="AG434" s="63">
        <f t="shared" si="293"/>
        <v>0</v>
      </c>
      <c r="AH434" s="61">
        <v>0</v>
      </c>
      <c r="AI434" s="63">
        <f t="shared" si="294"/>
        <v>0</v>
      </c>
      <c r="AJ434" s="61">
        <v>0</v>
      </c>
      <c r="AK434" s="63">
        <f t="shared" si="295"/>
        <v>0</v>
      </c>
      <c r="AL434" s="61">
        <v>0</v>
      </c>
      <c r="AM434" s="63">
        <f t="shared" si="296"/>
        <v>0</v>
      </c>
      <c r="AN434" s="61">
        <v>0</v>
      </c>
      <c r="AO434" s="63">
        <f t="shared" si="297"/>
        <v>0</v>
      </c>
      <c r="AP434" s="61">
        <v>0</v>
      </c>
      <c r="AQ434" s="63">
        <f t="shared" si="298"/>
        <v>0</v>
      </c>
      <c r="AR434" s="61">
        <v>0</v>
      </c>
      <c r="AS434" s="63">
        <f t="shared" si="299"/>
        <v>0</v>
      </c>
      <c r="AT434" s="61">
        <v>0</v>
      </c>
      <c r="AU434" s="63">
        <f t="shared" si="300"/>
        <v>0</v>
      </c>
      <c r="AV434" s="61">
        <v>0</v>
      </c>
      <c r="AW434" s="63">
        <f t="shared" si="301"/>
        <v>0</v>
      </c>
      <c r="AX434" s="61">
        <v>0</v>
      </c>
      <c r="AY434" s="63">
        <f t="shared" si="302"/>
        <v>0</v>
      </c>
      <c r="AZ434" s="61">
        <v>0</v>
      </c>
      <c r="BA434" s="63">
        <f t="shared" si="303"/>
        <v>0</v>
      </c>
      <c r="BB434" s="61">
        <v>0</v>
      </c>
      <c r="BC434" s="63">
        <f t="shared" si="304"/>
        <v>0</v>
      </c>
      <c r="BD434" s="61">
        <v>0</v>
      </c>
      <c r="BE434" s="63">
        <f t="shared" si="305"/>
        <v>0</v>
      </c>
      <c r="BF434" s="61">
        <f t="shared" si="306"/>
        <v>0</v>
      </c>
      <c r="BG434" s="63">
        <f t="shared" si="307"/>
        <v>0</v>
      </c>
      <c r="BH434" s="45"/>
      <c r="BI434" s="144"/>
    </row>
    <row r="435" spans="1:61" ht="26.25" customHeight="1" x14ac:dyDescent="0.45">
      <c r="A435" s="140">
        <v>5</v>
      </c>
      <c r="B435" s="141" t="s">
        <v>850</v>
      </c>
      <c r="C435" s="142" t="s">
        <v>1488</v>
      </c>
      <c r="D435" s="143" t="str">
        <f t="shared" si="286"/>
        <v>5.1_1.14.30</v>
      </c>
      <c r="E435" s="56" t="s">
        <v>361</v>
      </c>
      <c r="F435" s="506" t="s">
        <v>264</v>
      </c>
      <c r="G435" s="507" t="s">
        <v>147</v>
      </c>
      <c r="H435" s="507" t="s">
        <v>224</v>
      </c>
      <c r="I435" s="507" t="s">
        <v>265</v>
      </c>
      <c r="J435" s="507" t="s">
        <v>266</v>
      </c>
      <c r="K435" s="507">
        <v>280</v>
      </c>
      <c r="L435" s="507" t="s">
        <v>267</v>
      </c>
      <c r="M435" s="507" t="s">
        <v>114</v>
      </c>
      <c r="N435" s="507" t="s">
        <v>267</v>
      </c>
      <c r="O435" s="57" t="s">
        <v>362</v>
      </c>
      <c r="P435" s="58" t="s">
        <v>21</v>
      </c>
      <c r="Q435" s="59" t="s">
        <v>363</v>
      </c>
      <c r="R435" s="60" t="s">
        <v>71</v>
      </c>
      <c r="S435" s="61">
        <v>6</v>
      </c>
      <c r="T435" s="62">
        <f>INDEX('BM MORRO DA CRUZ'!$P$6:$P$402,MATCH($O435,'BM MORRO DA CRUZ'!$K$6:$K$402,0))</f>
        <v>577.49</v>
      </c>
      <c r="U435" s="63">
        <f t="shared" si="287"/>
        <v>3464.94</v>
      </c>
      <c r="V435" s="61">
        <f>IFERROR(SUMIFS('01ª MC'!$W$1:$W$1840,'01ª MC'!$C$1:$C$1840,$D435),0)</f>
        <v>0</v>
      </c>
      <c r="W435" s="63">
        <f t="shared" si="288"/>
        <v>0</v>
      </c>
      <c r="X435" s="61">
        <v>0</v>
      </c>
      <c r="Y435" s="63">
        <f t="shared" si="289"/>
        <v>0</v>
      </c>
      <c r="Z435" s="61">
        <v>0</v>
      </c>
      <c r="AA435" s="63">
        <f t="shared" si="290"/>
        <v>0</v>
      </c>
      <c r="AB435" s="61">
        <v>0</v>
      </c>
      <c r="AC435" s="63">
        <f t="shared" si="291"/>
        <v>0</v>
      </c>
      <c r="AD435" s="61">
        <v>0</v>
      </c>
      <c r="AE435" s="63">
        <f t="shared" si="292"/>
        <v>0</v>
      </c>
      <c r="AF435" s="61">
        <v>0</v>
      </c>
      <c r="AG435" s="63">
        <f t="shared" si="293"/>
        <v>0</v>
      </c>
      <c r="AH435" s="61">
        <v>0</v>
      </c>
      <c r="AI435" s="63">
        <f t="shared" si="294"/>
        <v>0</v>
      </c>
      <c r="AJ435" s="61">
        <v>0</v>
      </c>
      <c r="AK435" s="63">
        <f t="shared" si="295"/>
        <v>0</v>
      </c>
      <c r="AL435" s="61">
        <v>0</v>
      </c>
      <c r="AM435" s="63">
        <f t="shared" si="296"/>
        <v>0</v>
      </c>
      <c r="AN435" s="61">
        <v>0</v>
      </c>
      <c r="AO435" s="63">
        <f t="shared" si="297"/>
        <v>0</v>
      </c>
      <c r="AP435" s="61">
        <v>0</v>
      </c>
      <c r="AQ435" s="63">
        <f t="shared" si="298"/>
        <v>0</v>
      </c>
      <c r="AR435" s="61">
        <v>0</v>
      </c>
      <c r="AS435" s="63">
        <f t="shared" si="299"/>
        <v>0</v>
      </c>
      <c r="AT435" s="61">
        <v>0</v>
      </c>
      <c r="AU435" s="63">
        <f t="shared" si="300"/>
        <v>0</v>
      </c>
      <c r="AV435" s="61">
        <v>0</v>
      </c>
      <c r="AW435" s="63">
        <f t="shared" si="301"/>
        <v>0</v>
      </c>
      <c r="AX435" s="61">
        <v>0</v>
      </c>
      <c r="AY435" s="63">
        <f t="shared" si="302"/>
        <v>0</v>
      </c>
      <c r="AZ435" s="61">
        <v>0</v>
      </c>
      <c r="BA435" s="63">
        <f t="shared" si="303"/>
        <v>0</v>
      </c>
      <c r="BB435" s="61">
        <v>0</v>
      </c>
      <c r="BC435" s="63">
        <f t="shared" si="304"/>
        <v>0</v>
      </c>
      <c r="BD435" s="61">
        <v>0</v>
      </c>
      <c r="BE435" s="63">
        <f t="shared" si="305"/>
        <v>0</v>
      </c>
      <c r="BF435" s="61">
        <f t="shared" si="306"/>
        <v>0</v>
      </c>
      <c r="BG435" s="63">
        <f t="shared" si="307"/>
        <v>0</v>
      </c>
      <c r="BH435" s="45"/>
      <c r="BI435" s="144"/>
    </row>
    <row r="436" spans="1:61" ht="26.25" customHeight="1" x14ac:dyDescent="0.45">
      <c r="A436" s="140">
        <v>5</v>
      </c>
      <c r="B436" s="141" t="s">
        <v>850</v>
      </c>
      <c r="C436" s="142" t="s">
        <v>1488</v>
      </c>
      <c r="D436" s="143" t="str">
        <f t="shared" si="286"/>
        <v>5.1_1.14.31</v>
      </c>
      <c r="E436" s="56" t="s">
        <v>364</v>
      </c>
      <c r="F436" s="506" t="s">
        <v>264</v>
      </c>
      <c r="G436" s="507" t="s">
        <v>147</v>
      </c>
      <c r="H436" s="507" t="s">
        <v>224</v>
      </c>
      <c r="I436" s="507" t="s">
        <v>265</v>
      </c>
      <c r="J436" s="507" t="s">
        <v>266</v>
      </c>
      <c r="K436" s="507">
        <v>355</v>
      </c>
      <c r="L436" s="507" t="s">
        <v>267</v>
      </c>
      <c r="M436" s="507" t="s">
        <v>114</v>
      </c>
      <c r="N436" s="507" t="s">
        <v>267</v>
      </c>
      <c r="O436" s="57" t="s">
        <v>365</v>
      </c>
      <c r="P436" s="58" t="s">
        <v>21</v>
      </c>
      <c r="Q436" s="59" t="s">
        <v>366</v>
      </c>
      <c r="R436" s="60" t="s">
        <v>367</v>
      </c>
      <c r="S436" s="61">
        <v>9</v>
      </c>
      <c r="T436" s="62">
        <f>INDEX('BM MORRO DA CRUZ'!$P$6:$P$402,MATCH($O436,'BM MORRO DA CRUZ'!$K$6:$K$402,0))</f>
        <v>1272.0999999999999</v>
      </c>
      <c r="U436" s="63">
        <f t="shared" si="287"/>
        <v>11448.9</v>
      </c>
      <c r="V436" s="61">
        <f>IFERROR(SUMIFS('01ª MC'!$W$1:$W$1840,'01ª MC'!$C$1:$C$1840,$D436),0)</f>
        <v>0</v>
      </c>
      <c r="W436" s="63">
        <f t="shared" si="288"/>
        <v>0</v>
      </c>
      <c r="X436" s="61">
        <v>0</v>
      </c>
      <c r="Y436" s="63">
        <f t="shared" si="289"/>
        <v>0</v>
      </c>
      <c r="Z436" s="61">
        <v>0</v>
      </c>
      <c r="AA436" s="63">
        <f t="shared" si="290"/>
        <v>0</v>
      </c>
      <c r="AB436" s="61">
        <v>0</v>
      </c>
      <c r="AC436" s="63">
        <f t="shared" si="291"/>
        <v>0</v>
      </c>
      <c r="AD436" s="61">
        <v>0</v>
      </c>
      <c r="AE436" s="63">
        <f t="shared" si="292"/>
        <v>0</v>
      </c>
      <c r="AF436" s="61">
        <v>0</v>
      </c>
      <c r="AG436" s="63">
        <f t="shared" si="293"/>
        <v>0</v>
      </c>
      <c r="AH436" s="61">
        <v>0</v>
      </c>
      <c r="AI436" s="63">
        <f t="shared" si="294"/>
        <v>0</v>
      </c>
      <c r="AJ436" s="61">
        <v>0</v>
      </c>
      <c r="AK436" s="63">
        <f t="shared" si="295"/>
        <v>0</v>
      </c>
      <c r="AL436" s="61">
        <v>0</v>
      </c>
      <c r="AM436" s="63">
        <f t="shared" si="296"/>
        <v>0</v>
      </c>
      <c r="AN436" s="61">
        <v>0</v>
      </c>
      <c r="AO436" s="63">
        <f t="shared" si="297"/>
        <v>0</v>
      </c>
      <c r="AP436" s="61">
        <v>0</v>
      </c>
      <c r="AQ436" s="63">
        <f t="shared" si="298"/>
        <v>0</v>
      </c>
      <c r="AR436" s="61">
        <v>0</v>
      </c>
      <c r="AS436" s="63">
        <f t="shared" si="299"/>
        <v>0</v>
      </c>
      <c r="AT436" s="61">
        <v>0</v>
      </c>
      <c r="AU436" s="63">
        <f t="shared" si="300"/>
        <v>0</v>
      </c>
      <c r="AV436" s="61">
        <v>0</v>
      </c>
      <c r="AW436" s="63">
        <f t="shared" si="301"/>
        <v>0</v>
      </c>
      <c r="AX436" s="61">
        <v>0</v>
      </c>
      <c r="AY436" s="63">
        <f t="shared" si="302"/>
        <v>0</v>
      </c>
      <c r="AZ436" s="61">
        <v>0</v>
      </c>
      <c r="BA436" s="63">
        <f t="shared" si="303"/>
        <v>0</v>
      </c>
      <c r="BB436" s="61">
        <v>0</v>
      </c>
      <c r="BC436" s="63">
        <f t="shared" si="304"/>
        <v>0</v>
      </c>
      <c r="BD436" s="61">
        <v>0</v>
      </c>
      <c r="BE436" s="63">
        <f t="shared" si="305"/>
        <v>0</v>
      </c>
      <c r="BF436" s="61">
        <f t="shared" si="306"/>
        <v>0</v>
      </c>
      <c r="BG436" s="63">
        <f t="shared" si="307"/>
        <v>0</v>
      </c>
      <c r="BH436" s="45"/>
      <c r="BI436" s="144"/>
    </row>
    <row r="437" spans="1:61" ht="26.25" customHeight="1" x14ac:dyDescent="0.45">
      <c r="A437" s="140">
        <v>5</v>
      </c>
      <c r="B437" s="141" t="s">
        <v>850</v>
      </c>
      <c r="C437" s="142" t="s">
        <v>1488</v>
      </c>
      <c r="D437" s="143" t="str">
        <f t="shared" si="286"/>
        <v>5.1_1.14.32</v>
      </c>
      <c r="E437" s="56" t="s">
        <v>368</v>
      </c>
      <c r="F437" s="506" t="s">
        <v>369</v>
      </c>
      <c r="G437" s="507" t="s">
        <v>111</v>
      </c>
      <c r="H437" s="507" t="s">
        <v>224</v>
      </c>
      <c r="I437" s="507" t="s">
        <v>265</v>
      </c>
      <c r="J437" s="507" t="s">
        <v>266</v>
      </c>
      <c r="K437" s="507">
        <v>90</v>
      </c>
      <c r="L437" s="507" t="s">
        <v>267</v>
      </c>
      <c r="M437" s="507" t="s">
        <v>114</v>
      </c>
      <c r="N437" s="507" t="s">
        <v>267</v>
      </c>
      <c r="O437" s="57" t="s">
        <v>370</v>
      </c>
      <c r="P437" s="58" t="s">
        <v>21</v>
      </c>
      <c r="Q437" s="59" t="s">
        <v>371</v>
      </c>
      <c r="R437" s="60" t="s">
        <v>71</v>
      </c>
      <c r="S437" s="61">
        <v>175</v>
      </c>
      <c r="T437" s="62">
        <f>INDEX('BM MORRO DA CRUZ'!$P$6:$P$402,MATCH($O437,'BM MORRO DA CRUZ'!$K$6:$K$402,0))</f>
        <v>56.83</v>
      </c>
      <c r="U437" s="63">
        <f t="shared" si="287"/>
        <v>9945.25</v>
      </c>
      <c r="V437" s="61">
        <f>IFERROR(SUMIFS('01ª MC'!$W$1:$W$1840,'01ª MC'!$C$1:$C$1840,$D437),0)</f>
        <v>0</v>
      </c>
      <c r="W437" s="63">
        <f t="shared" si="288"/>
        <v>0</v>
      </c>
      <c r="X437" s="61">
        <v>0</v>
      </c>
      <c r="Y437" s="63">
        <f t="shared" si="289"/>
        <v>0</v>
      </c>
      <c r="Z437" s="61">
        <v>0</v>
      </c>
      <c r="AA437" s="63">
        <f t="shared" si="290"/>
        <v>0</v>
      </c>
      <c r="AB437" s="61">
        <v>0</v>
      </c>
      <c r="AC437" s="63">
        <f t="shared" si="291"/>
        <v>0</v>
      </c>
      <c r="AD437" s="61">
        <v>0</v>
      </c>
      <c r="AE437" s="63">
        <f t="shared" si="292"/>
        <v>0</v>
      </c>
      <c r="AF437" s="61">
        <v>0</v>
      </c>
      <c r="AG437" s="63">
        <f t="shared" si="293"/>
        <v>0</v>
      </c>
      <c r="AH437" s="61">
        <v>0</v>
      </c>
      <c r="AI437" s="63">
        <f t="shared" si="294"/>
        <v>0</v>
      </c>
      <c r="AJ437" s="61">
        <v>0</v>
      </c>
      <c r="AK437" s="63">
        <f t="shared" si="295"/>
        <v>0</v>
      </c>
      <c r="AL437" s="61">
        <v>0</v>
      </c>
      <c r="AM437" s="63">
        <f t="shared" si="296"/>
        <v>0</v>
      </c>
      <c r="AN437" s="61">
        <v>0</v>
      </c>
      <c r="AO437" s="63">
        <f t="shared" si="297"/>
        <v>0</v>
      </c>
      <c r="AP437" s="61">
        <v>0</v>
      </c>
      <c r="AQ437" s="63">
        <f t="shared" si="298"/>
        <v>0</v>
      </c>
      <c r="AR437" s="61">
        <v>0</v>
      </c>
      <c r="AS437" s="63">
        <f t="shared" si="299"/>
        <v>0</v>
      </c>
      <c r="AT437" s="61">
        <v>0</v>
      </c>
      <c r="AU437" s="63">
        <f t="shared" si="300"/>
        <v>0</v>
      </c>
      <c r="AV437" s="61">
        <v>0</v>
      </c>
      <c r="AW437" s="63">
        <f t="shared" si="301"/>
        <v>0</v>
      </c>
      <c r="AX437" s="61">
        <v>0</v>
      </c>
      <c r="AY437" s="63">
        <f t="shared" si="302"/>
        <v>0</v>
      </c>
      <c r="AZ437" s="61">
        <v>0</v>
      </c>
      <c r="BA437" s="63">
        <f t="shared" si="303"/>
        <v>0</v>
      </c>
      <c r="BB437" s="61">
        <v>0</v>
      </c>
      <c r="BC437" s="63">
        <f t="shared" si="304"/>
        <v>0</v>
      </c>
      <c r="BD437" s="61">
        <v>0</v>
      </c>
      <c r="BE437" s="63">
        <f t="shared" si="305"/>
        <v>0</v>
      </c>
      <c r="BF437" s="61">
        <f t="shared" si="306"/>
        <v>0</v>
      </c>
      <c r="BG437" s="63">
        <f t="shared" si="307"/>
        <v>0</v>
      </c>
      <c r="BH437" s="45"/>
      <c r="BI437" s="144"/>
    </row>
    <row r="438" spans="1:61" ht="35.65" x14ac:dyDescent="0.45">
      <c r="A438" s="140">
        <v>5</v>
      </c>
      <c r="B438" s="141" t="s">
        <v>850</v>
      </c>
      <c r="C438" s="142" t="s">
        <v>1488</v>
      </c>
      <c r="D438" s="143" t="str">
        <f t="shared" ref="D438:D469" si="308">B438&amp;"_"&amp;E438</f>
        <v>5.1_1.14.33</v>
      </c>
      <c r="E438" s="56" t="s">
        <v>372</v>
      </c>
      <c r="F438" s="506" t="s">
        <v>373</v>
      </c>
      <c r="G438" s="507" t="s">
        <v>111</v>
      </c>
      <c r="H438" s="507" t="s">
        <v>224</v>
      </c>
      <c r="I438" s="507" t="s">
        <v>374</v>
      </c>
      <c r="J438" s="507" t="s">
        <v>273</v>
      </c>
      <c r="K438" s="507" t="s">
        <v>375</v>
      </c>
      <c r="L438" s="507" t="s">
        <v>267</v>
      </c>
      <c r="M438" s="507" t="s">
        <v>114</v>
      </c>
      <c r="N438" s="507" t="s">
        <v>267</v>
      </c>
      <c r="O438" s="57" t="s">
        <v>376</v>
      </c>
      <c r="P438" s="58" t="s">
        <v>21</v>
      </c>
      <c r="Q438" s="59" t="s">
        <v>377</v>
      </c>
      <c r="R438" s="60" t="s">
        <v>71</v>
      </c>
      <c r="S438" s="61">
        <v>92</v>
      </c>
      <c r="T438" s="62">
        <f>INDEX('BM MORRO DA CRUZ'!$P$6:$P$402,MATCH($O438,'BM MORRO DA CRUZ'!$K$6:$K$402,0))</f>
        <v>98.58</v>
      </c>
      <c r="U438" s="63">
        <f t="shared" ref="U438:U469" si="309">ROUND(T438*$S438,2)</f>
        <v>9069.36</v>
      </c>
      <c r="V438" s="61">
        <f>IFERROR(SUMIFS('01ª MC'!$W$1:$W$1840,'01ª MC'!$C$1:$C$1840,$D438),0)</f>
        <v>0</v>
      </c>
      <c r="W438" s="63">
        <f t="shared" ref="W438:W469" si="310">ROUND(V438*$T438,2)</f>
        <v>0</v>
      </c>
      <c r="X438" s="61">
        <v>0</v>
      </c>
      <c r="Y438" s="63">
        <f t="shared" ref="Y438:Y469" si="311">ROUND(X438*$T438,2)</f>
        <v>0</v>
      </c>
      <c r="Z438" s="61">
        <v>0</v>
      </c>
      <c r="AA438" s="63">
        <f t="shared" ref="AA438:AA469" si="312">ROUND(Z438*$T438,2)</f>
        <v>0</v>
      </c>
      <c r="AB438" s="61">
        <v>0</v>
      </c>
      <c r="AC438" s="63">
        <f t="shared" ref="AC438:AC469" si="313">ROUND(AB438*$T438,2)</f>
        <v>0</v>
      </c>
      <c r="AD438" s="61">
        <v>0</v>
      </c>
      <c r="AE438" s="63">
        <f t="shared" ref="AE438:AE469" si="314">ROUND(AD438*$T438,2)</f>
        <v>0</v>
      </c>
      <c r="AF438" s="61">
        <v>0</v>
      </c>
      <c r="AG438" s="63">
        <f t="shared" ref="AG438:AG469" si="315">ROUND(AF438*$T438,2)</f>
        <v>0</v>
      </c>
      <c r="AH438" s="61">
        <v>0</v>
      </c>
      <c r="AI438" s="63">
        <f t="shared" ref="AI438:AI469" si="316">ROUND(AH438*$T438,2)</f>
        <v>0</v>
      </c>
      <c r="AJ438" s="61">
        <v>0</v>
      </c>
      <c r="AK438" s="63">
        <f t="shared" ref="AK438:AK469" si="317">ROUND(AJ438*$T438,2)</f>
        <v>0</v>
      </c>
      <c r="AL438" s="61">
        <v>0</v>
      </c>
      <c r="AM438" s="63">
        <f t="shared" ref="AM438:AM469" si="318">ROUND(AL438*$T438,2)</f>
        <v>0</v>
      </c>
      <c r="AN438" s="61">
        <v>0</v>
      </c>
      <c r="AO438" s="63">
        <f t="shared" ref="AO438:AO469" si="319">ROUND(AN438*$T438,2)</f>
        <v>0</v>
      </c>
      <c r="AP438" s="61">
        <v>0</v>
      </c>
      <c r="AQ438" s="63">
        <f t="shared" ref="AQ438:AQ469" si="320">ROUND(AP438*$T438,2)</f>
        <v>0</v>
      </c>
      <c r="AR438" s="61">
        <v>0</v>
      </c>
      <c r="AS438" s="63">
        <f t="shared" ref="AS438:AS469" si="321">ROUND(AR438*$T438,2)</f>
        <v>0</v>
      </c>
      <c r="AT438" s="61">
        <v>0</v>
      </c>
      <c r="AU438" s="63">
        <f t="shared" ref="AU438:AU469" si="322">ROUND(AT438*$T438,2)</f>
        <v>0</v>
      </c>
      <c r="AV438" s="61">
        <v>0</v>
      </c>
      <c r="AW438" s="63">
        <f t="shared" ref="AW438:AW469" si="323">ROUND(AV438*$T438,2)</f>
        <v>0</v>
      </c>
      <c r="AX438" s="61">
        <v>0</v>
      </c>
      <c r="AY438" s="63">
        <f t="shared" ref="AY438:AY469" si="324">ROUND(AX438*$T438,2)</f>
        <v>0</v>
      </c>
      <c r="AZ438" s="61">
        <v>0</v>
      </c>
      <c r="BA438" s="63">
        <f t="shared" ref="BA438:BA469" si="325">ROUND(AZ438*$T438,2)</f>
        <v>0</v>
      </c>
      <c r="BB438" s="61">
        <v>0</v>
      </c>
      <c r="BC438" s="63">
        <f t="shared" ref="BC438:BC469" si="326">ROUND(BB438*$T438,2)</f>
        <v>0</v>
      </c>
      <c r="BD438" s="61">
        <v>0</v>
      </c>
      <c r="BE438" s="63">
        <f t="shared" ref="BE438:BE469" si="327">ROUND(BD438*$T438,2)</f>
        <v>0</v>
      </c>
      <c r="BF438" s="61">
        <f t="shared" ref="BF438:BF469" si="328">IFERROR(SUMIFS($V438:$BE438,$V$5:$BE$5,$BF$5),0)</f>
        <v>0</v>
      </c>
      <c r="BG438" s="63">
        <f t="shared" ref="BG438:BG469" si="329">SUMIFS($V438:$BE438,$V$5:$BE$5,$W$5)</f>
        <v>0</v>
      </c>
      <c r="BH438" s="45"/>
      <c r="BI438" s="144"/>
    </row>
    <row r="439" spans="1:61" ht="35.65" x14ac:dyDescent="0.45">
      <c r="A439" s="140">
        <v>5</v>
      </c>
      <c r="B439" s="141" t="s">
        <v>850</v>
      </c>
      <c r="C439" s="142" t="s">
        <v>1488</v>
      </c>
      <c r="D439" s="143" t="str">
        <f t="shared" si="308"/>
        <v>5.1_1.14.34</v>
      </c>
      <c r="E439" s="56" t="s">
        <v>378</v>
      </c>
      <c r="F439" s="506" t="s">
        <v>373</v>
      </c>
      <c r="G439" s="507" t="s">
        <v>111</v>
      </c>
      <c r="H439" s="507" t="s">
        <v>224</v>
      </c>
      <c r="I439" s="507" t="s">
        <v>374</v>
      </c>
      <c r="J439" s="507" t="s">
        <v>273</v>
      </c>
      <c r="K439" s="507" t="s">
        <v>379</v>
      </c>
      <c r="L439" s="507" t="s">
        <v>267</v>
      </c>
      <c r="M439" s="507" t="s">
        <v>114</v>
      </c>
      <c r="N439" s="507" t="s">
        <v>267</v>
      </c>
      <c r="O439" s="57" t="s">
        <v>380</v>
      </c>
      <c r="P439" s="58" t="s">
        <v>21</v>
      </c>
      <c r="Q439" s="59" t="s">
        <v>381</v>
      </c>
      <c r="R439" s="60" t="s">
        <v>71</v>
      </c>
      <c r="S439" s="61">
        <v>7</v>
      </c>
      <c r="T439" s="62">
        <f>INDEX('BM MORRO DA CRUZ'!$P$6:$P$402,MATCH($O439,'BM MORRO DA CRUZ'!$K$6:$K$402,0))</f>
        <v>98.58</v>
      </c>
      <c r="U439" s="63">
        <f t="shared" si="309"/>
        <v>690.06</v>
      </c>
      <c r="V439" s="61">
        <f>IFERROR(SUMIFS('01ª MC'!$W$1:$W$1840,'01ª MC'!$C$1:$C$1840,$D439),0)</f>
        <v>0</v>
      </c>
      <c r="W439" s="63">
        <f t="shared" si="310"/>
        <v>0</v>
      </c>
      <c r="X439" s="61">
        <v>0</v>
      </c>
      <c r="Y439" s="63">
        <f t="shared" si="311"/>
        <v>0</v>
      </c>
      <c r="Z439" s="61">
        <v>0</v>
      </c>
      <c r="AA439" s="63">
        <f t="shared" si="312"/>
        <v>0</v>
      </c>
      <c r="AB439" s="61">
        <v>0</v>
      </c>
      <c r="AC439" s="63">
        <f t="shared" si="313"/>
        <v>0</v>
      </c>
      <c r="AD439" s="61">
        <v>0</v>
      </c>
      <c r="AE439" s="63">
        <f t="shared" si="314"/>
        <v>0</v>
      </c>
      <c r="AF439" s="61">
        <v>0</v>
      </c>
      <c r="AG439" s="63">
        <f t="shared" si="315"/>
        <v>0</v>
      </c>
      <c r="AH439" s="61">
        <v>0</v>
      </c>
      <c r="AI439" s="63">
        <f t="shared" si="316"/>
        <v>0</v>
      </c>
      <c r="AJ439" s="61">
        <v>0</v>
      </c>
      <c r="AK439" s="63">
        <f t="shared" si="317"/>
        <v>0</v>
      </c>
      <c r="AL439" s="61">
        <v>0</v>
      </c>
      <c r="AM439" s="63">
        <f t="shared" si="318"/>
        <v>0</v>
      </c>
      <c r="AN439" s="61">
        <v>0</v>
      </c>
      <c r="AO439" s="63">
        <f t="shared" si="319"/>
        <v>0</v>
      </c>
      <c r="AP439" s="61">
        <v>0</v>
      </c>
      <c r="AQ439" s="63">
        <f t="shared" si="320"/>
        <v>0</v>
      </c>
      <c r="AR439" s="61">
        <v>0</v>
      </c>
      <c r="AS439" s="63">
        <f t="shared" si="321"/>
        <v>0</v>
      </c>
      <c r="AT439" s="61">
        <v>0</v>
      </c>
      <c r="AU439" s="63">
        <f t="shared" si="322"/>
        <v>0</v>
      </c>
      <c r="AV439" s="61">
        <v>0</v>
      </c>
      <c r="AW439" s="63">
        <f t="shared" si="323"/>
        <v>0</v>
      </c>
      <c r="AX439" s="61">
        <v>0</v>
      </c>
      <c r="AY439" s="63">
        <f t="shared" si="324"/>
        <v>0</v>
      </c>
      <c r="AZ439" s="61">
        <v>0</v>
      </c>
      <c r="BA439" s="63">
        <f t="shared" si="325"/>
        <v>0</v>
      </c>
      <c r="BB439" s="61">
        <v>0</v>
      </c>
      <c r="BC439" s="63">
        <f t="shared" si="326"/>
        <v>0</v>
      </c>
      <c r="BD439" s="61">
        <v>0</v>
      </c>
      <c r="BE439" s="63">
        <f t="shared" si="327"/>
        <v>0</v>
      </c>
      <c r="BF439" s="61">
        <f t="shared" si="328"/>
        <v>0</v>
      </c>
      <c r="BG439" s="63">
        <f t="shared" si="329"/>
        <v>0</v>
      </c>
      <c r="BH439" s="45"/>
      <c r="BI439" s="144"/>
    </row>
    <row r="440" spans="1:61" ht="35.65" x14ac:dyDescent="0.45">
      <c r="A440" s="140">
        <v>5</v>
      </c>
      <c r="B440" s="141" t="s">
        <v>850</v>
      </c>
      <c r="C440" s="142" t="s">
        <v>1488</v>
      </c>
      <c r="D440" s="143" t="str">
        <f t="shared" si="308"/>
        <v>5.1_1.14.35</v>
      </c>
      <c r="E440" s="56" t="s">
        <v>382</v>
      </c>
      <c r="F440" s="506" t="s">
        <v>373</v>
      </c>
      <c r="G440" s="507" t="s">
        <v>111</v>
      </c>
      <c r="H440" s="507" t="s">
        <v>224</v>
      </c>
      <c r="I440" s="507" t="s">
        <v>374</v>
      </c>
      <c r="J440" s="507" t="s">
        <v>273</v>
      </c>
      <c r="K440" s="507" t="s">
        <v>383</v>
      </c>
      <c r="L440" s="507" t="s">
        <v>267</v>
      </c>
      <c r="M440" s="507" t="s">
        <v>114</v>
      </c>
      <c r="N440" s="507" t="s">
        <v>267</v>
      </c>
      <c r="O440" s="57" t="s">
        <v>384</v>
      </c>
      <c r="P440" s="58" t="s">
        <v>21</v>
      </c>
      <c r="Q440" s="59" t="s">
        <v>385</v>
      </c>
      <c r="R440" s="60" t="s">
        <v>71</v>
      </c>
      <c r="S440" s="61">
        <v>22</v>
      </c>
      <c r="T440" s="62">
        <f>INDEX('BM MORRO DA CRUZ'!$P$6:$P$402,MATCH($O440,'BM MORRO DA CRUZ'!$K$6:$K$402,0))</f>
        <v>228.24</v>
      </c>
      <c r="U440" s="63">
        <f t="shared" si="309"/>
        <v>5021.28</v>
      </c>
      <c r="V440" s="61">
        <f>IFERROR(SUMIFS('01ª MC'!$W$1:$W$1840,'01ª MC'!$C$1:$C$1840,$D440),0)</f>
        <v>0</v>
      </c>
      <c r="W440" s="63">
        <f t="shared" si="310"/>
        <v>0</v>
      </c>
      <c r="X440" s="61">
        <v>0</v>
      </c>
      <c r="Y440" s="63">
        <f t="shared" si="311"/>
        <v>0</v>
      </c>
      <c r="Z440" s="61">
        <v>0</v>
      </c>
      <c r="AA440" s="63">
        <f t="shared" si="312"/>
        <v>0</v>
      </c>
      <c r="AB440" s="61">
        <v>0</v>
      </c>
      <c r="AC440" s="63">
        <f t="shared" si="313"/>
        <v>0</v>
      </c>
      <c r="AD440" s="61">
        <v>0</v>
      </c>
      <c r="AE440" s="63">
        <f t="shared" si="314"/>
        <v>0</v>
      </c>
      <c r="AF440" s="61">
        <v>0</v>
      </c>
      <c r="AG440" s="63">
        <f t="shared" si="315"/>
        <v>0</v>
      </c>
      <c r="AH440" s="61">
        <v>0</v>
      </c>
      <c r="AI440" s="63">
        <f t="shared" si="316"/>
        <v>0</v>
      </c>
      <c r="AJ440" s="61">
        <v>0</v>
      </c>
      <c r="AK440" s="63">
        <f t="shared" si="317"/>
        <v>0</v>
      </c>
      <c r="AL440" s="61">
        <v>0</v>
      </c>
      <c r="AM440" s="63">
        <f t="shared" si="318"/>
        <v>0</v>
      </c>
      <c r="AN440" s="61">
        <v>0</v>
      </c>
      <c r="AO440" s="63">
        <f t="shared" si="319"/>
        <v>0</v>
      </c>
      <c r="AP440" s="61">
        <v>0</v>
      </c>
      <c r="AQ440" s="63">
        <f t="shared" si="320"/>
        <v>0</v>
      </c>
      <c r="AR440" s="61">
        <v>0</v>
      </c>
      <c r="AS440" s="63">
        <f t="shared" si="321"/>
        <v>0</v>
      </c>
      <c r="AT440" s="61">
        <v>0</v>
      </c>
      <c r="AU440" s="63">
        <f t="shared" si="322"/>
        <v>0</v>
      </c>
      <c r="AV440" s="61">
        <v>0</v>
      </c>
      <c r="AW440" s="63">
        <f t="shared" si="323"/>
        <v>0</v>
      </c>
      <c r="AX440" s="61">
        <v>0</v>
      </c>
      <c r="AY440" s="63">
        <f t="shared" si="324"/>
        <v>0</v>
      </c>
      <c r="AZ440" s="61">
        <v>0</v>
      </c>
      <c r="BA440" s="63">
        <f t="shared" si="325"/>
        <v>0</v>
      </c>
      <c r="BB440" s="61">
        <v>0</v>
      </c>
      <c r="BC440" s="63">
        <f t="shared" si="326"/>
        <v>0</v>
      </c>
      <c r="BD440" s="61">
        <v>0</v>
      </c>
      <c r="BE440" s="63">
        <f t="shared" si="327"/>
        <v>0</v>
      </c>
      <c r="BF440" s="61">
        <f t="shared" si="328"/>
        <v>0</v>
      </c>
      <c r="BG440" s="63">
        <f t="shared" si="329"/>
        <v>0</v>
      </c>
      <c r="BH440" s="45"/>
      <c r="BI440" s="144"/>
    </row>
    <row r="441" spans="1:61" ht="35.65" x14ac:dyDescent="0.45">
      <c r="A441" s="140">
        <v>5</v>
      </c>
      <c r="B441" s="141" t="s">
        <v>850</v>
      </c>
      <c r="C441" s="142" t="s">
        <v>1488</v>
      </c>
      <c r="D441" s="143" t="str">
        <f t="shared" si="308"/>
        <v>5.1_1.14.36</v>
      </c>
      <c r="E441" s="56" t="s">
        <v>386</v>
      </c>
      <c r="F441" s="506" t="s">
        <v>373</v>
      </c>
      <c r="G441" s="507" t="s">
        <v>111</v>
      </c>
      <c r="H441" s="507" t="s">
        <v>224</v>
      </c>
      <c r="I441" s="507" t="s">
        <v>374</v>
      </c>
      <c r="J441" s="507" t="s">
        <v>273</v>
      </c>
      <c r="K441" s="507" t="s">
        <v>387</v>
      </c>
      <c r="L441" s="507" t="s">
        <v>267</v>
      </c>
      <c r="M441" s="507" t="s">
        <v>114</v>
      </c>
      <c r="N441" s="507" t="s">
        <v>267</v>
      </c>
      <c r="O441" s="57" t="s">
        <v>388</v>
      </c>
      <c r="P441" s="58" t="s">
        <v>21</v>
      </c>
      <c r="Q441" s="59" t="s">
        <v>389</v>
      </c>
      <c r="R441" s="60" t="s">
        <v>71</v>
      </c>
      <c r="S441" s="61">
        <v>152</v>
      </c>
      <c r="T441" s="62">
        <f>INDEX('BM MORRO DA CRUZ'!$P$6:$P$402,MATCH($O441,'BM MORRO DA CRUZ'!$K$6:$K$402,0))</f>
        <v>227.51</v>
      </c>
      <c r="U441" s="63">
        <f t="shared" si="309"/>
        <v>34581.519999999997</v>
      </c>
      <c r="V441" s="61">
        <f>IFERROR(SUMIFS('01ª MC'!$W$1:$W$1840,'01ª MC'!$C$1:$C$1840,$D441),0)</f>
        <v>0</v>
      </c>
      <c r="W441" s="63">
        <f t="shared" si="310"/>
        <v>0</v>
      </c>
      <c r="X441" s="61">
        <v>0</v>
      </c>
      <c r="Y441" s="63">
        <f t="shared" si="311"/>
        <v>0</v>
      </c>
      <c r="Z441" s="61">
        <v>0</v>
      </c>
      <c r="AA441" s="63">
        <f t="shared" si="312"/>
        <v>0</v>
      </c>
      <c r="AB441" s="61">
        <v>0</v>
      </c>
      <c r="AC441" s="63">
        <f t="shared" si="313"/>
        <v>0</v>
      </c>
      <c r="AD441" s="61">
        <v>0</v>
      </c>
      <c r="AE441" s="63">
        <f t="shared" si="314"/>
        <v>0</v>
      </c>
      <c r="AF441" s="61">
        <v>0</v>
      </c>
      <c r="AG441" s="63">
        <f t="shared" si="315"/>
        <v>0</v>
      </c>
      <c r="AH441" s="61">
        <v>0</v>
      </c>
      <c r="AI441" s="63">
        <f t="shared" si="316"/>
        <v>0</v>
      </c>
      <c r="AJ441" s="61">
        <v>0</v>
      </c>
      <c r="AK441" s="63">
        <f t="shared" si="317"/>
        <v>0</v>
      </c>
      <c r="AL441" s="61">
        <v>0</v>
      </c>
      <c r="AM441" s="63">
        <f t="shared" si="318"/>
        <v>0</v>
      </c>
      <c r="AN441" s="61">
        <v>0</v>
      </c>
      <c r="AO441" s="63">
        <f t="shared" si="319"/>
        <v>0</v>
      </c>
      <c r="AP441" s="61">
        <v>0</v>
      </c>
      <c r="AQ441" s="63">
        <f t="shared" si="320"/>
        <v>0</v>
      </c>
      <c r="AR441" s="61">
        <v>0</v>
      </c>
      <c r="AS441" s="63">
        <f t="shared" si="321"/>
        <v>0</v>
      </c>
      <c r="AT441" s="61">
        <v>0</v>
      </c>
      <c r="AU441" s="63">
        <f t="shared" si="322"/>
        <v>0</v>
      </c>
      <c r="AV441" s="61">
        <v>0</v>
      </c>
      <c r="AW441" s="63">
        <f t="shared" si="323"/>
        <v>0</v>
      </c>
      <c r="AX441" s="61">
        <v>0</v>
      </c>
      <c r="AY441" s="63">
        <f t="shared" si="324"/>
        <v>0</v>
      </c>
      <c r="AZ441" s="61">
        <v>0</v>
      </c>
      <c r="BA441" s="63">
        <f t="shared" si="325"/>
        <v>0</v>
      </c>
      <c r="BB441" s="61">
        <v>0</v>
      </c>
      <c r="BC441" s="63">
        <f t="shared" si="326"/>
        <v>0</v>
      </c>
      <c r="BD441" s="61">
        <v>0</v>
      </c>
      <c r="BE441" s="63">
        <f t="shared" si="327"/>
        <v>0</v>
      </c>
      <c r="BF441" s="61">
        <f t="shared" si="328"/>
        <v>0</v>
      </c>
      <c r="BG441" s="63">
        <f t="shared" si="329"/>
        <v>0</v>
      </c>
      <c r="BH441" s="45"/>
      <c r="BI441" s="144"/>
    </row>
    <row r="442" spans="1:61" ht="35.65" x14ac:dyDescent="0.45">
      <c r="A442" s="140">
        <v>5</v>
      </c>
      <c r="B442" s="141" t="s">
        <v>850</v>
      </c>
      <c r="C442" s="142" t="s">
        <v>1488</v>
      </c>
      <c r="D442" s="143" t="str">
        <f t="shared" si="308"/>
        <v>5.1_1.14.37</v>
      </c>
      <c r="E442" s="56" t="s">
        <v>390</v>
      </c>
      <c r="F442" s="506" t="s">
        <v>373</v>
      </c>
      <c r="G442" s="507" t="s">
        <v>111</v>
      </c>
      <c r="H442" s="507" t="s">
        <v>224</v>
      </c>
      <c r="I442" s="507" t="s">
        <v>374</v>
      </c>
      <c r="J442" s="507" t="s">
        <v>273</v>
      </c>
      <c r="K442" s="507" t="s">
        <v>391</v>
      </c>
      <c r="L442" s="507" t="s">
        <v>267</v>
      </c>
      <c r="M442" s="507" t="s">
        <v>114</v>
      </c>
      <c r="N442" s="507" t="s">
        <v>267</v>
      </c>
      <c r="O442" s="57" t="s">
        <v>392</v>
      </c>
      <c r="P442" s="58" t="s">
        <v>21</v>
      </c>
      <c r="Q442" s="59" t="s">
        <v>393</v>
      </c>
      <c r="R442" s="60" t="s">
        <v>71</v>
      </c>
      <c r="S442" s="61">
        <v>2</v>
      </c>
      <c r="T442" s="62">
        <f>INDEX('BM MORRO DA CRUZ'!$P$6:$P$402,MATCH($O442,'BM MORRO DA CRUZ'!$K$6:$K$402,0))</f>
        <v>982.79</v>
      </c>
      <c r="U442" s="63">
        <f t="shared" si="309"/>
        <v>1965.58</v>
      </c>
      <c r="V442" s="61">
        <f>IFERROR(SUMIFS('01ª MC'!$W$1:$W$1840,'01ª MC'!$C$1:$C$1840,$D442),0)</f>
        <v>0</v>
      </c>
      <c r="W442" s="63">
        <f t="shared" si="310"/>
        <v>0</v>
      </c>
      <c r="X442" s="61">
        <v>0</v>
      </c>
      <c r="Y442" s="63">
        <f t="shared" si="311"/>
        <v>0</v>
      </c>
      <c r="Z442" s="61">
        <v>0</v>
      </c>
      <c r="AA442" s="63">
        <f t="shared" si="312"/>
        <v>0</v>
      </c>
      <c r="AB442" s="61">
        <v>0</v>
      </c>
      <c r="AC442" s="63">
        <f t="shared" si="313"/>
        <v>0</v>
      </c>
      <c r="AD442" s="61">
        <v>0</v>
      </c>
      <c r="AE442" s="63">
        <f t="shared" si="314"/>
        <v>0</v>
      </c>
      <c r="AF442" s="61">
        <v>0</v>
      </c>
      <c r="AG442" s="63">
        <f t="shared" si="315"/>
        <v>0</v>
      </c>
      <c r="AH442" s="61">
        <v>0</v>
      </c>
      <c r="AI442" s="63">
        <f t="shared" si="316"/>
        <v>0</v>
      </c>
      <c r="AJ442" s="61">
        <v>0</v>
      </c>
      <c r="AK442" s="63">
        <f t="shared" si="317"/>
        <v>0</v>
      </c>
      <c r="AL442" s="61">
        <v>0</v>
      </c>
      <c r="AM442" s="63">
        <f t="shared" si="318"/>
        <v>0</v>
      </c>
      <c r="AN442" s="61">
        <v>0</v>
      </c>
      <c r="AO442" s="63">
        <f t="shared" si="319"/>
        <v>0</v>
      </c>
      <c r="AP442" s="61">
        <v>0</v>
      </c>
      <c r="AQ442" s="63">
        <f t="shared" si="320"/>
        <v>0</v>
      </c>
      <c r="AR442" s="61">
        <v>0</v>
      </c>
      <c r="AS442" s="63">
        <f t="shared" si="321"/>
        <v>0</v>
      </c>
      <c r="AT442" s="61">
        <v>0</v>
      </c>
      <c r="AU442" s="63">
        <f t="shared" si="322"/>
        <v>0</v>
      </c>
      <c r="AV442" s="61">
        <v>0</v>
      </c>
      <c r="AW442" s="63">
        <f t="shared" si="323"/>
        <v>0</v>
      </c>
      <c r="AX442" s="61">
        <v>0</v>
      </c>
      <c r="AY442" s="63">
        <f t="shared" si="324"/>
        <v>0</v>
      </c>
      <c r="AZ442" s="61">
        <v>0</v>
      </c>
      <c r="BA442" s="63">
        <f t="shared" si="325"/>
        <v>0</v>
      </c>
      <c r="BB442" s="61">
        <v>0</v>
      </c>
      <c r="BC442" s="63">
        <f t="shared" si="326"/>
        <v>0</v>
      </c>
      <c r="BD442" s="61">
        <v>0</v>
      </c>
      <c r="BE442" s="63">
        <f t="shared" si="327"/>
        <v>0</v>
      </c>
      <c r="BF442" s="61">
        <f t="shared" si="328"/>
        <v>0</v>
      </c>
      <c r="BG442" s="63">
        <f t="shared" si="329"/>
        <v>0</v>
      </c>
      <c r="BH442" s="45"/>
      <c r="BI442" s="144"/>
    </row>
    <row r="443" spans="1:61" ht="35.65" x14ac:dyDescent="0.45">
      <c r="A443" s="140">
        <v>5</v>
      </c>
      <c r="B443" s="141" t="s">
        <v>850</v>
      </c>
      <c r="C443" s="142" t="s">
        <v>1488</v>
      </c>
      <c r="D443" s="143" t="str">
        <f t="shared" si="308"/>
        <v>5.1_1.14.38</v>
      </c>
      <c r="E443" s="56" t="s">
        <v>394</v>
      </c>
      <c r="F443" s="506" t="s">
        <v>373</v>
      </c>
      <c r="G443" s="507" t="s">
        <v>111</v>
      </c>
      <c r="H443" s="507" t="s">
        <v>224</v>
      </c>
      <c r="I443" s="507" t="s">
        <v>374</v>
      </c>
      <c r="J443" s="507" t="s">
        <v>273</v>
      </c>
      <c r="K443" s="507" t="s">
        <v>395</v>
      </c>
      <c r="L443" s="507" t="s">
        <v>267</v>
      </c>
      <c r="M443" s="507" t="s">
        <v>114</v>
      </c>
      <c r="N443" s="507" t="s">
        <v>267</v>
      </c>
      <c r="O443" s="57" t="s">
        <v>396</v>
      </c>
      <c r="P443" s="58" t="s">
        <v>21</v>
      </c>
      <c r="Q443" s="59" t="s">
        <v>397</v>
      </c>
      <c r="R443" s="60" t="s">
        <v>71</v>
      </c>
      <c r="S443" s="61">
        <v>4</v>
      </c>
      <c r="T443" s="62">
        <f>INDEX('BM MORRO DA CRUZ'!$P$6:$P$402,MATCH($O443,'BM MORRO DA CRUZ'!$K$6:$K$402,0))</f>
        <v>1302.5899999999999</v>
      </c>
      <c r="U443" s="63">
        <f t="shared" si="309"/>
        <v>5210.3599999999997</v>
      </c>
      <c r="V443" s="61">
        <f>IFERROR(SUMIFS('01ª MC'!$W$1:$W$1840,'01ª MC'!$C$1:$C$1840,$D443),0)</f>
        <v>0</v>
      </c>
      <c r="W443" s="63">
        <f t="shared" si="310"/>
        <v>0</v>
      </c>
      <c r="X443" s="61">
        <v>0</v>
      </c>
      <c r="Y443" s="63">
        <f t="shared" si="311"/>
        <v>0</v>
      </c>
      <c r="Z443" s="61">
        <v>0</v>
      </c>
      <c r="AA443" s="63">
        <f t="shared" si="312"/>
        <v>0</v>
      </c>
      <c r="AB443" s="61">
        <v>0</v>
      </c>
      <c r="AC443" s="63">
        <f t="shared" si="313"/>
        <v>0</v>
      </c>
      <c r="AD443" s="61">
        <v>0</v>
      </c>
      <c r="AE443" s="63">
        <f t="shared" si="314"/>
        <v>0</v>
      </c>
      <c r="AF443" s="61">
        <v>0</v>
      </c>
      <c r="AG443" s="63">
        <f t="shared" si="315"/>
        <v>0</v>
      </c>
      <c r="AH443" s="61">
        <v>0</v>
      </c>
      <c r="AI443" s="63">
        <f t="shared" si="316"/>
        <v>0</v>
      </c>
      <c r="AJ443" s="61">
        <v>0</v>
      </c>
      <c r="AK443" s="63">
        <f t="shared" si="317"/>
        <v>0</v>
      </c>
      <c r="AL443" s="61">
        <v>0</v>
      </c>
      <c r="AM443" s="63">
        <f t="shared" si="318"/>
        <v>0</v>
      </c>
      <c r="AN443" s="61">
        <v>0</v>
      </c>
      <c r="AO443" s="63">
        <f t="shared" si="319"/>
        <v>0</v>
      </c>
      <c r="AP443" s="61">
        <v>0</v>
      </c>
      <c r="AQ443" s="63">
        <f t="shared" si="320"/>
        <v>0</v>
      </c>
      <c r="AR443" s="61">
        <v>0</v>
      </c>
      <c r="AS443" s="63">
        <f t="shared" si="321"/>
        <v>0</v>
      </c>
      <c r="AT443" s="61">
        <v>0</v>
      </c>
      <c r="AU443" s="63">
        <f t="shared" si="322"/>
        <v>0</v>
      </c>
      <c r="AV443" s="61">
        <v>0</v>
      </c>
      <c r="AW443" s="63">
        <f t="shared" si="323"/>
        <v>0</v>
      </c>
      <c r="AX443" s="61">
        <v>0</v>
      </c>
      <c r="AY443" s="63">
        <f t="shared" si="324"/>
        <v>0</v>
      </c>
      <c r="AZ443" s="61">
        <v>0</v>
      </c>
      <c r="BA443" s="63">
        <f t="shared" si="325"/>
        <v>0</v>
      </c>
      <c r="BB443" s="61">
        <v>0</v>
      </c>
      <c r="BC443" s="63">
        <f t="shared" si="326"/>
        <v>0</v>
      </c>
      <c r="BD443" s="61">
        <v>0</v>
      </c>
      <c r="BE443" s="63">
        <f t="shared" si="327"/>
        <v>0</v>
      </c>
      <c r="BF443" s="61">
        <f t="shared" si="328"/>
        <v>0</v>
      </c>
      <c r="BG443" s="63">
        <f t="shared" si="329"/>
        <v>0</v>
      </c>
      <c r="BH443" s="45"/>
      <c r="BI443" s="144"/>
    </row>
    <row r="444" spans="1:61" ht="35.65" x14ac:dyDescent="0.45">
      <c r="A444" s="140">
        <v>5</v>
      </c>
      <c r="B444" s="141" t="s">
        <v>850</v>
      </c>
      <c r="C444" s="142" t="s">
        <v>1488</v>
      </c>
      <c r="D444" s="143" t="str">
        <f t="shared" si="308"/>
        <v>5.1_1.14.39</v>
      </c>
      <c r="E444" s="56" t="s">
        <v>398</v>
      </c>
      <c r="F444" s="506" t="s">
        <v>373</v>
      </c>
      <c r="G444" s="507" t="s">
        <v>111</v>
      </c>
      <c r="H444" s="507" t="s">
        <v>224</v>
      </c>
      <c r="I444" s="507" t="s">
        <v>374</v>
      </c>
      <c r="J444" s="507" t="s">
        <v>273</v>
      </c>
      <c r="K444" s="507" t="s">
        <v>399</v>
      </c>
      <c r="L444" s="507" t="s">
        <v>267</v>
      </c>
      <c r="M444" s="507" t="s">
        <v>114</v>
      </c>
      <c r="N444" s="507" t="s">
        <v>267</v>
      </c>
      <c r="O444" s="57" t="s">
        <v>400</v>
      </c>
      <c r="P444" s="58" t="s">
        <v>21</v>
      </c>
      <c r="Q444" s="59" t="s">
        <v>401</v>
      </c>
      <c r="R444" s="60" t="s">
        <v>71</v>
      </c>
      <c r="S444" s="61">
        <v>90</v>
      </c>
      <c r="T444" s="62">
        <f>INDEX('BM MORRO DA CRUZ'!$P$6:$P$402,MATCH($O444,'BM MORRO DA CRUZ'!$K$6:$K$402,0))</f>
        <v>73.260000000000005</v>
      </c>
      <c r="U444" s="63">
        <f t="shared" si="309"/>
        <v>6593.4</v>
      </c>
      <c r="V444" s="61">
        <f>IFERROR(SUMIFS('01ª MC'!$W$1:$W$1840,'01ª MC'!$C$1:$C$1840,$D444),0)</f>
        <v>0</v>
      </c>
      <c r="W444" s="63">
        <f t="shared" si="310"/>
        <v>0</v>
      </c>
      <c r="X444" s="61">
        <v>0</v>
      </c>
      <c r="Y444" s="63">
        <f t="shared" si="311"/>
        <v>0</v>
      </c>
      <c r="Z444" s="61">
        <v>0</v>
      </c>
      <c r="AA444" s="63">
        <f t="shared" si="312"/>
        <v>0</v>
      </c>
      <c r="AB444" s="61">
        <v>0</v>
      </c>
      <c r="AC444" s="63">
        <f t="shared" si="313"/>
        <v>0</v>
      </c>
      <c r="AD444" s="61">
        <v>0</v>
      </c>
      <c r="AE444" s="63">
        <f t="shared" si="314"/>
        <v>0</v>
      </c>
      <c r="AF444" s="61">
        <v>0</v>
      </c>
      <c r="AG444" s="63">
        <f t="shared" si="315"/>
        <v>0</v>
      </c>
      <c r="AH444" s="61">
        <v>0</v>
      </c>
      <c r="AI444" s="63">
        <f t="shared" si="316"/>
        <v>0</v>
      </c>
      <c r="AJ444" s="61">
        <v>0</v>
      </c>
      <c r="AK444" s="63">
        <f t="shared" si="317"/>
        <v>0</v>
      </c>
      <c r="AL444" s="61">
        <v>0</v>
      </c>
      <c r="AM444" s="63">
        <f t="shared" si="318"/>
        <v>0</v>
      </c>
      <c r="AN444" s="61">
        <v>0</v>
      </c>
      <c r="AO444" s="63">
        <f t="shared" si="319"/>
        <v>0</v>
      </c>
      <c r="AP444" s="61">
        <v>0</v>
      </c>
      <c r="AQ444" s="63">
        <f t="shared" si="320"/>
        <v>0</v>
      </c>
      <c r="AR444" s="61">
        <v>0</v>
      </c>
      <c r="AS444" s="63">
        <f t="shared" si="321"/>
        <v>0</v>
      </c>
      <c r="AT444" s="61">
        <v>0</v>
      </c>
      <c r="AU444" s="63">
        <f t="shared" si="322"/>
        <v>0</v>
      </c>
      <c r="AV444" s="61">
        <v>0</v>
      </c>
      <c r="AW444" s="63">
        <f t="shared" si="323"/>
        <v>0</v>
      </c>
      <c r="AX444" s="61">
        <v>0</v>
      </c>
      <c r="AY444" s="63">
        <f t="shared" si="324"/>
        <v>0</v>
      </c>
      <c r="AZ444" s="61">
        <v>0</v>
      </c>
      <c r="BA444" s="63">
        <f t="shared" si="325"/>
        <v>0</v>
      </c>
      <c r="BB444" s="61">
        <v>0</v>
      </c>
      <c r="BC444" s="63">
        <f t="shared" si="326"/>
        <v>0</v>
      </c>
      <c r="BD444" s="61">
        <v>0</v>
      </c>
      <c r="BE444" s="63">
        <f t="shared" si="327"/>
        <v>0</v>
      </c>
      <c r="BF444" s="61">
        <f t="shared" si="328"/>
        <v>0</v>
      </c>
      <c r="BG444" s="63">
        <f t="shared" si="329"/>
        <v>0</v>
      </c>
      <c r="BH444" s="45"/>
      <c r="BI444" s="144"/>
    </row>
    <row r="445" spans="1:61" ht="38.25" customHeight="1" x14ac:dyDescent="0.45">
      <c r="A445" s="140">
        <v>5</v>
      </c>
      <c r="B445" s="141" t="s">
        <v>850</v>
      </c>
      <c r="C445" s="142" t="s">
        <v>1488</v>
      </c>
      <c r="D445" s="143" t="str">
        <f t="shared" si="308"/>
        <v>5.1_1.14.40</v>
      </c>
      <c r="E445" s="56" t="s">
        <v>402</v>
      </c>
      <c r="F445" s="506" t="s">
        <v>403</v>
      </c>
      <c r="G445" s="507" t="s">
        <v>404</v>
      </c>
      <c r="H445" s="507" t="s">
        <v>224</v>
      </c>
      <c r="I445" s="507" t="s">
        <v>374</v>
      </c>
      <c r="J445" s="507" t="s">
        <v>266</v>
      </c>
      <c r="K445" s="507" t="s">
        <v>405</v>
      </c>
      <c r="L445" s="507" t="s">
        <v>267</v>
      </c>
      <c r="M445" s="507" t="s">
        <v>114</v>
      </c>
      <c r="N445" s="507" t="s">
        <v>267</v>
      </c>
      <c r="O445" s="57" t="s">
        <v>406</v>
      </c>
      <c r="P445" s="58" t="s">
        <v>21</v>
      </c>
      <c r="Q445" s="59" t="s">
        <v>407</v>
      </c>
      <c r="R445" s="60" t="s">
        <v>71</v>
      </c>
      <c r="S445" s="61">
        <v>1</v>
      </c>
      <c r="T445" s="62">
        <f>INDEX('BM MORRO DA CRUZ'!$P$6:$P$402,MATCH($O445,'BM MORRO DA CRUZ'!$K$6:$K$402,0))</f>
        <v>153.03</v>
      </c>
      <c r="U445" s="63">
        <f t="shared" si="309"/>
        <v>153.03</v>
      </c>
      <c r="V445" s="61">
        <f>IFERROR(SUMIFS('01ª MC'!$W$1:$W$1840,'01ª MC'!$C$1:$C$1840,$D445),0)</f>
        <v>0</v>
      </c>
      <c r="W445" s="63">
        <f t="shared" si="310"/>
        <v>0</v>
      </c>
      <c r="X445" s="61">
        <v>0</v>
      </c>
      <c r="Y445" s="63">
        <f t="shared" si="311"/>
        <v>0</v>
      </c>
      <c r="Z445" s="61">
        <v>0</v>
      </c>
      <c r="AA445" s="63">
        <f t="shared" si="312"/>
        <v>0</v>
      </c>
      <c r="AB445" s="61">
        <v>0</v>
      </c>
      <c r="AC445" s="63">
        <f t="shared" si="313"/>
        <v>0</v>
      </c>
      <c r="AD445" s="61">
        <v>0</v>
      </c>
      <c r="AE445" s="63">
        <f t="shared" si="314"/>
        <v>0</v>
      </c>
      <c r="AF445" s="61">
        <v>0</v>
      </c>
      <c r="AG445" s="63">
        <f t="shared" si="315"/>
        <v>0</v>
      </c>
      <c r="AH445" s="61">
        <v>0</v>
      </c>
      <c r="AI445" s="63">
        <f t="shared" si="316"/>
        <v>0</v>
      </c>
      <c r="AJ445" s="61">
        <v>0</v>
      </c>
      <c r="AK445" s="63">
        <f t="shared" si="317"/>
        <v>0</v>
      </c>
      <c r="AL445" s="61">
        <v>0</v>
      </c>
      <c r="AM445" s="63">
        <f t="shared" si="318"/>
        <v>0</v>
      </c>
      <c r="AN445" s="61">
        <v>0</v>
      </c>
      <c r="AO445" s="63">
        <f t="shared" si="319"/>
        <v>0</v>
      </c>
      <c r="AP445" s="61">
        <v>0</v>
      </c>
      <c r="AQ445" s="63">
        <f t="shared" si="320"/>
        <v>0</v>
      </c>
      <c r="AR445" s="61">
        <v>0</v>
      </c>
      <c r="AS445" s="63">
        <f t="shared" si="321"/>
        <v>0</v>
      </c>
      <c r="AT445" s="61">
        <v>0</v>
      </c>
      <c r="AU445" s="63">
        <f t="shared" si="322"/>
        <v>0</v>
      </c>
      <c r="AV445" s="61">
        <v>0</v>
      </c>
      <c r="AW445" s="63">
        <f t="shared" si="323"/>
        <v>0</v>
      </c>
      <c r="AX445" s="61">
        <v>0</v>
      </c>
      <c r="AY445" s="63">
        <f t="shared" si="324"/>
        <v>0</v>
      </c>
      <c r="AZ445" s="61">
        <v>0</v>
      </c>
      <c r="BA445" s="63">
        <f t="shared" si="325"/>
        <v>0</v>
      </c>
      <c r="BB445" s="61">
        <v>0</v>
      </c>
      <c r="BC445" s="63">
        <f t="shared" si="326"/>
        <v>0</v>
      </c>
      <c r="BD445" s="61">
        <v>0</v>
      </c>
      <c r="BE445" s="63">
        <f t="shared" si="327"/>
        <v>0</v>
      </c>
      <c r="BF445" s="61">
        <f t="shared" si="328"/>
        <v>0</v>
      </c>
      <c r="BG445" s="63">
        <f t="shared" si="329"/>
        <v>0</v>
      </c>
      <c r="BH445" s="45"/>
      <c r="BI445" s="144"/>
    </row>
    <row r="446" spans="1:61" ht="38.25" customHeight="1" x14ac:dyDescent="0.45">
      <c r="A446" s="140">
        <v>5</v>
      </c>
      <c r="B446" s="141" t="s">
        <v>850</v>
      </c>
      <c r="C446" s="142" t="s">
        <v>1488</v>
      </c>
      <c r="D446" s="143" t="str">
        <f t="shared" si="308"/>
        <v>5.1_1.14.41</v>
      </c>
      <c r="E446" s="56" t="s">
        <v>408</v>
      </c>
      <c r="F446" s="506" t="s">
        <v>403</v>
      </c>
      <c r="G446" s="507" t="s">
        <v>111</v>
      </c>
      <c r="H446" s="507" t="s">
        <v>224</v>
      </c>
      <c r="I446" s="507" t="s">
        <v>374</v>
      </c>
      <c r="J446" s="507" t="s">
        <v>266</v>
      </c>
      <c r="K446" s="507" t="s">
        <v>409</v>
      </c>
      <c r="L446" s="507" t="s">
        <v>267</v>
      </c>
      <c r="M446" s="507" t="s">
        <v>114</v>
      </c>
      <c r="N446" s="507" t="s">
        <v>267</v>
      </c>
      <c r="O446" s="57" t="s">
        <v>410</v>
      </c>
      <c r="P446" s="58" t="s">
        <v>21</v>
      </c>
      <c r="Q446" s="59" t="s">
        <v>411</v>
      </c>
      <c r="R446" s="60" t="s">
        <v>71</v>
      </c>
      <c r="S446" s="61">
        <v>1</v>
      </c>
      <c r="T446" s="62">
        <f>INDEX('BM MORRO DA CRUZ'!$P$6:$P$402,MATCH($O446,'BM MORRO DA CRUZ'!$K$6:$K$402,0))</f>
        <v>8539.7199999999993</v>
      </c>
      <c r="U446" s="63">
        <f t="shared" si="309"/>
        <v>8539.7199999999993</v>
      </c>
      <c r="V446" s="61">
        <f>IFERROR(SUMIFS('01ª MC'!$W$1:$W$1840,'01ª MC'!$C$1:$C$1840,$D446),0)</f>
        <v>0</v>
      </c>
      <c r="W446" s="63">
        <f t="shared" si="310"/>
        <v>0</v>
      </c>
      <c r="X446" s="61">
        <v>0</v>
      </c>
      <c r="Y446" s="63">
        <f t="shared" si="311"/>
        <v>0</v>
      </c>
      <c r="Z446" s="61">
        <v>0</v>
      </c>
      <c r="AA446" s="63">
        <f t="shared" si="312"/>
        <v>0</v>
      </c>
      <c r="AB446" s="61">
        <v>0</v>
      </c>
      <c r="AC446" s="63">
        <f t="shared" si="313"/>
        <v>0</v>
      </c>
      <c r="AD446" s="61">
        <v>0</v>
      </c>
      <c r="AE446" s="63">
        <f t="shared" si="314"/>
        <v>0</v>
      </c>
      <c r="AF446" s="61">
        <v>0</v>
      </c>
      <c r="AG446" s="63">
        <f t="shared" si="315"/>
        <v>0</v>
      </c>
      <c r="AH446" s="61">
        <v>0</v>
      </c>
      <c r="AI446" s="63">
        <f t="shared" si="316"/>
        <v>0</v>
      </c>
      <c r="AJ446" s="61">
        <v>0</v>
      </c>
      <c r="AK446" s="63">
        <f t="shared" si="317"/>
        <v>0</v>
      </c>
      <c r="AL446" s="61">
        <v>0</v>
      </c>
      <c r="AM446" s="63">
        <f t="shared" si="318"/>
        <v>0</v>
      </c>
      <c r="AN446" s="61">
        <v>0</v>
      </c>
      <c r="AO446" s="63">
        <f t="shared" si="319"/>
        <v>0</v>
      </c>
      <c r="AP446" s="61">
        <v>0</v>
      </c>
      <c r="AQ446" s="63">
        <f t="shared" si="320"/>
        <v>0</v>
      </c>
      <c r="AR446" s="61">
        <v>0</v>
      </c>
      <c r="AS446" s="63">
        <f t="shared" si="321"/>
        <v>0</v>
      </c>
      <c r="AT446" s="61">
        <v>0</v>
      </c>
      <c r="AU446" s="63">
        <f t="shared" si="322"/>
        <v>0</v>
      </c>
      <c r="AV446" s="61">
        <v>0</v>
      </c>
      <c r="AW446" s="63">
        <f t="shared" si="323"/>
        <v>0</v>
      </c>
      <c r="AX446" s="61">
        <v>0</v>
      </c>
      <c r="AY446" s="63">
        <f t="shared" si="324"/>
        <v>0</v>
      </c>
      <c r="AZ446" s="61">
        <v>0</v>
      </c>
      <c r="BA446" s="63">
        <f t="shared" si="325"/>
        <v>0</v>
      </c>
      <c r="BB446" s="61">
        <v>0</v>
      </c>
      <c r="BC446" s="63">
        <f t="shared" si="326"/>
        <v>0</v>
      </c>
      <c r="BD446" s="61">
        <v>0</v>
      </c>
      <c r="BE446" s="63">
        <f t="shared" si="327"/>
        <v>0</v>
      </c>
      <c r="BF446" s="61">
        <f t="shared" si="328"/>
        <v>0</v>
      </c>
      <c r="BG446" s="63">
        <f t="shared" si="329"/>
        <v>0</v>
      </c>
      <c r="BH446" s="45"/>
      <c r="BI446" s="144"/>
    </row>
    <row r="447" spans="1:61" ht="38.25" customHeight="1" x14ac:dyDescent="0.45">
      <c r="A447" s="140">
        <v>5</v>
      </c>
      <c r="B447" s="141" t="s">
        <v>850</v>
      </c>
      <c r="C447" s="142" t="s">
        <v>1488</v>
      </c>
      <c r="D447" s="143" t="str">
        <f t="shared" si="308"/>
        <v>5.1_1.14.42</v>
      </c>
      <c r="E447" s="56" t="s">
        <v>412</v>
      </c>
      <c r="F447" s="506" t="s">
        <v>373</v>
      </c>
      <c r="G447" s="507" t="s">
        <v>111</v>
      </c>
      <c r="H447" s="507" t="s">
        <v>224</v>
      </c>
      <c r="I447" s="507" t="s">
        <v>374</v>
      </c>
      <c r="J447" s="507" t="s">
        <v>273</v>
      </c>
      <c r="K447" s="507" t="s">
        <v>413</v>
      </c>
      <c r="L447" s="507" t="s">
        <v>267</v>
      </c>
      <c r="M447" s="507" t="s">
        <v>114</v>
      </c>
      <c r="N447" s="507" t="s">
        <v>267</v>
      </c>
      <c r="O447" s="57" t="s">
        <v>414</v>
      </c>
      <c r="P447" s="58" t="s">
        <v>21</v>
      </c>
      <c r="Q447" s="59" t="s">
        <v>415</v>
      </c>
      <c r="R447" s="60" t="s">
        <v>71</v>
      </c>
      <c r="S447" s="61">
        <v>51</v>
      </c>
      <c r="T447" s="62">
        <f>INDEX('BM MORRO DA CRUZ'!$P$6:$P$402,MATCH($O447,'BM MORRO DA CRUZ'!$K$6:$K$402,0))</f>
        <v>506.6</v>
      </c>
      <c r="U447" s="63">
        <f t="shared" si="309"/>
        <v>25836.6</v>
      </c>
      <c r="V447" s="61">
        <f>IFERROR(SUMIFS('01ª MC'!$W$1:$W$1840,'01ª MC'!$C$1:$C$1840,$D447),0)</f>
        <v>0</v>
      </c>
      <c r="W447" s="63">
        <f t="shared" si="310"/>
        <v>0</v>
      </c>
      <c r="X447" s="61">
        <v>0</v>
      </c>
      <c r="Y447" s="63">
        <f t="shared" si="311"/>
        <v>0</v>
      </c>
      <c r="Z447" s="61">
        <v>0</v>
      </c>
      <c r="AA447" s="63">
        <f t="shared" si="312"/>
        <v>0</v>
      </c>
      <c r="AB447" s="61">
        <v>0</v>
      </c>
      <c r="AC447" s="63">
        <f t="shared" si="313"/>
        <v>0</v>
      </c>
      <c r="AD447" s="61">
        <v>0</v>
      </c>
      <c r="AE447" s="63">
        <f t="shared" si="314"/>
        <v>0</v>
      </c>
      <c r="AF447" s="61">
        <v>0</v>
      </c>
      <c r="AG447" s="63">
        <f t="shared" si="315"/>
        <v>0</v>
      </c>
      <c r="AH447" s="61">
        <v>0</v>
      </c>
      <c r="AI447" s="63">
        <f t="shared" si="316"/>
        <v>0</v>
      </c>
      <c r="AJ447" s="61">
        <v>0</v>
      </c>
      <c r="AK447" s="63">
        <f t="shared" si="317"/>
        <v>0</v>
      </c>
      <c r="AL447" s="61">
        <v>0</v>
      </c>
      <c r="AM447" s="63">
        <f t="shared" si="318"/>
        <v>0</v>
      </c>
      <c r="AN447" s="61">
        <v>0</v>
      </c>
      <c r="AO447" s="63">
        <f t="shared" si="319"/>
        <v>0</v>
      </c>
      <c r="AP447" s="61">
        <v>0</v>
      </c>
      <c r="AQ447" s="63">
        <f t="shared" si="320"/>
        <v>0</v>
      </c>
      <c r="AR447" s="61">
        <v>0</v>
      </c>
      <c r="AS447" s="63">
        <f t="shared" si="321"/>
        <v>0</v>
      </c>
      <c r="AT447" s="61">
        <v>0</v>
      </c>
      <c r="AU447" s="63">
        <f t="shared" si="322"/>
        <v>0</v>
      </c>
      <c r="AV447" s="61">
        <v>0</v>
      </c>
      <c r="AW447" s="63">
        <f t="shared" si="323"/>
        <v>0</v>
      </c>
      <c r="AX447" s="61">
        <v>0</v>
      </c>
      <c r="AY447" s="63">
        <f t="shared" si="324"/>
        <v>0</v>
      </c>
      <c r="AZ447" s="61">
        <v>0</v>
      </c>
      <c r="BA447" s="63">
        <f t="shared" si="325"/>
        <v>0</v>
      </c>
      <c r="BB447" s="61">
        <v>0</v>
      </c>
      <c r="BC447" s="63">
        <f t="shared" si="326"/>
        <v>0</v>
      </c>
      <c r="BD447" s="61">
        <v>0</v>
      </c>
      <c r="BE447" s="63">
        <f t="shared" si="327"/>
        <v>0</v>
      </c>
      <c r="BF447" s="61">
        <f t="shared" si="328"/>
        <v>0</v>
      </c>
      <c r="BG447" s="63">
        <f t="shared" si="329"/>
        <v>0</v>
      </c>
      <c r="BH447" s="45"/>
      <c r="BI447" s="144"/>
    </row>
    <row r="448" spans="1:61" ht="38.25" customHeight="1" x14ac:dyDescent="0.45">
      <c r="A448" s="140">
        <v>5</v>
      </c>
      <c r="B448" s="141" t="s">
        <v>850</v>
      </c>
      <c r="C448" s="142" t="s">
        <v>1488</v>
      </c>
      <c r="D448" s="143" t="str">
        <f t="shared" si="308"/>
        <v>5.1_1.14.43</v>
      </c>
      <c r="E448" s="56" t="s">
        <v>416</v>
      </c>
      <c r="F448" s="506" t="s">
        <v>373</v>
      </c>
      <c r="G448" s="507" t="s">
        <v>111</v>
      </c>
      <c r="H448" s="507" t="s">
        <v>224</v>
      </c>
      <c r="I448" s="507" t="s">
        <v>374</v>
      </c>
      <c r="J448" s="507" t="s">
        <v>273</v>
      </c>
      <c r="K448" s="507" t="s">
        <v>417</v>
      </c>
      <c r="L448" s="507" t="s">
        <v>267</v>
      </c>
      <c r="M448" s="507" t="s">
        <v>114</v>
      </c>
      <c r="N448" s="507" t="s">
        <v>267</v>
      </c>
      <c r="O448" s="57" t="s">
        <v>418</v>
      </c>
      <c r="P448" s="58" t="s">
        <v>21</v>
      </c>
      <c r="Q448" s="59" t="s">
        <v>419</v>
      </c>
      <c r="R448" s="60" t="s">
        <v>71</v>
      </c>
      <c r="S448" s="61">
        <v>6</v>
      </c>
      <c r="T448" s="62">
        <f>INDEX('BM MORRO DA CRUZ'!$P$6:$P$402,MATCH($O448,'BM MORRO DA CRUZ'!$K$6:$K$402,0))</f>
        <v>801.07</v>
      </c>
      <c r="U448" s="63">
        <f t="shared" si="309"/>
        <v>4806.42</v>
      </c>
      <c r="V448" s="61">
        <f>IFERROR(SUMIFS('01ª MC'!$W$1:$W$1840,'01ª MC'!$C$1:$C$1840,$D448),0)</f>
        <v>0</v>
      </c>
      <c r="W448" s="63">
        <f t="shared" si="310"/>
        <v>0</v>
      </c>
      <c r="X448" s="61">
        <v>0</v>
      </c>
      <c r="Y448" s="63">
        <f t="shared" si="311"/>
        <v>0</v>
      </c>
      <c r="Z448" s="61">
        <v>0</v>
      </c>
      <c r="AA448" s="63">
        <f t="shared" si="312"/>
        <v>0</v>
      </c>
      <c r="AB448" s="61">
        <v>0</v>
      </c>
      <c r="AC448" s="63">
        <f t="shared" si="313"/>
        <v>0</v>
      </c>
      <c r="AD448" s="61">
        <v>0</v>
      </c>
      <c r="AE448" s="63">
        <f t="shared" si="314"/>
        <v>0</v>
      </c>
      <c r="AF448" s="61">
        <v>0</v>
      </c>
      <c r="AG448" s="63">
        <f t="shared" si="315"/>
        <v>0</v>
      </c>
      <c r="AH448" s="61">
        <v>0</v>
      </c>
      <c r="AI448" s="63">
        <f t="shared" si="316"/>
        <v>0</v>
      </c>
      <c r="AJ448" s="61">
        <v>0</v>
      </c>
      <c r="AK448" s="63">
        <f t="shared" si="317"/>
        <v>0</v>
      </c>
      <c r="AL448" s="61">
        <v>0</v>
      </c>
      <c r="AM448" s="63">
        <f t="shared" si="318"/>
        <v>0</v>
      </c>
      <c r="AN448" s="61">
        <v>0</v>
      </c>
      <c r="AO448" s="63">
        <f t="shared" si="319"/>
        <v>0</v>
      </c>
      <c r="AP448" s="61">
        <v>0</v>
      </c>
      <c r="AQ448" s="63">
        <f t="shared" si="320"/>
        <v>0</v>
      </c>
      <c r="AR448" s="61">
        <v>0</v>
      </c>
      <c r="AS448" s="63">
        <f t="shared" si="321"/>
        <v>0</v>
      </c>
      <c r="AT448" s="61">
        <v>0</v>
      </c>
      <c r="AU448" s="63">
        <f t="shared" si="322"/>
        <v>0</v>
      </c>
      <c r="AV448" s="61">
        <v>0</v>
      </c>
      <c r="AW448" s="63">
        <f t="shared" si="323"/>
        <v>0</v>
      </c>
      <c r="AX448" s="61">
        <v>0</v>
      </c>
      <c r="AY448" s="63">
        <f t="shared" si="324"/>
        <v>0</v>
      </c>
      <c r="AZ448" s="61">
        <v>0</v>
      </c>
      <c r="BA448" s="63">
        <f t="shared" si="325"/>
        <v>0</v>
      </c>
      <c r="BB448" s="61">
        <v>0</v>
      </c>
      <c r="BC448" s="63">
        <f t="shared" si="326"/>
        <v>0</v>
      </c>
      <c r="BD448" s="61">
        <v>0</v>
      </c>
      <c r="BE448" s="63">
        <f t="shared" si="327"/>
        <v>0</v>
      </c>
      <c r="BF448" s="61">
        <f t="shared" si="328"/>
        <v>0</v>
      </c>
      <c r="BG448" s="63">
        <f t="shared" si="329"/>
        <v>0</v>
      </c>
      <c r="BH448" s="45"/>
      <c r="BI448" s="144"/>
    </row>
    <row r="449" spans="1:61" ht="38.25" customHeight="1" x14ac:dyDescent="0.45">
      <c r="A449" s="140">
        <v>5</v>
      </c>
      <c r="B449" s="141" t="s">
        <v>850</v>
      </c>
      <c r="C449" s="142" t="s">
        <v>1488</v>
      </c>
      <c r="D449" s="143" t="str">
        <f t="shared" si="308"/>
        <v>5.1_1.14.44</v>
      </c>
      <c r="E449" s="56" t="s">
        <v>420</v>
      </c>
      <c r="F449" s="506" t="s">
        <v>373</v>
      </c>
      <c r="G449" s="507" t="s">
        <v>111</v>
      </c>
      <c r="H449" s="507" t="s">
        <v>224</v>
      </c>
      <c r="I449" s="507" t="s">
        <v>374</v>
      </c>
      <c r="J449" s="507" t="s">
        <v>273</v>
      </c>
      <c r="K449" s="507" t="s">
        <v>421</v>
      </c>
      <c r="L449" s="507" t="s">
        <v>267</v>
      </c>
      <c r="M449" s="507" t="s">
        <v>114</v>
      </c>
      <c r="N449" s="507" t="s">
        <v>267</v>
      </c>
      <c r="O449" s="57" t="s">
        <v>422</v>
      </c>
      <c r="P449" s="58" t="s">
        <v>21</v>
      </c>
      <c r="Q449" s="59" t="s">
        <v>423</v>
      </c>
      <c r="R449" s="60" t="s">
        <v>71</v>
      </c>
      <c r="S449" s="61">
        <v>2</v>
      </c>
      <c r="T449" s="62">
        <f>INDEX('BM MORRO DA CRUZ'!$P$6:$P$402,MATCH($O449,'BM MORRO DA CRUZ'!$K$6:$K$402,0))</f>
        <v>897.11</v>
      </c>
      <c r="U449" s="63">
        <f t="shared" si="309"/>
        <v>1794.22</v>
      </c>
      <c r="V449" s="61">
        <f>IFERROR(SUMIFS('01ª MC'!$W$1:$W$1840,'01ª MC'!$C$1:$C$1840,$D449),0)</f>
        <v>0</v>
      </c>
      <c r="W449" s="63">
        <f t="shared" si="310"/>
        <v>0</v>
      </c>
      <c r="X449" s="61">
        <v>0</v>
      </c>
      <c r="Y449" s="63">
        <f t="shared" si="311"/>
        <v>0</v>
      </c>
      <c r="Z449" s="61">
        <v>0</v>
      </c>
      <c r="AA449" s="63">
        <f t="shared" si="312"/>
        <v>0</v>
      </c>
      <c r="AB449" s="61">
        <v>0</v>
      </c>
      <c r="AC449" s="63">
        <f t="shared" si="313"/>
        <v>0</v>
      </c>
      <c r="AD449" s="61">
        <v>0</v>
      </c>
      <c r="AE449" s="63">
        <f t="shared" si="314"/>
        <v>0</v>
      </c>
      <c r="AF449" s="61">
        <v>0</v>
      </c>
      <c r="AG449" s="63">
        <f t="shared" si="315"/>
        <v>0</v>
      </c>
      <c r="AH449" s="61">
        <v>0</v>
      </c>
      <c r="AI449" s="63">
        <f t="shared" si="316"/>
        <v>0</v>
      </c>
      <c r="AJ449" s="61">
        <v>0</v>
      </c>
      <c r="AK449" s="63">
        <f t="shared" si="317"/>
        <v>0</v>
      </c>
      <c r="AL449" s="61">
        <v>0</v>
      </c>
      <c r="AM449" s="63">
        <f t="shared" si="318"/>
        <v>0</v>
      </c>
      <c r="AN449" s="61">
        <v>0</v>
      </c>
      <c r="AO449" s="63">
        <f t="shared" si="319"/>
        <v>0</v>
      </c>
      <c r="AP449" s="61">
        <v>0</v>
      </c>
      <c r="AQ449" s="63">
        <f t="shared" si="320"/>
        <v>0</v>
      </c>
      <c r="AR449" s="61">
        <v>0</v>
      </c>
      <c r="AS449" s="63">
        <f t="shared" si="321"/>
        <v>0</v>
      </c>
      <c r="AT449" s="61">
        <v>0</v>
      </c>
      <c r="AU449" s="63">
        <f t="shared" si="322"/>
        <v>0</v>
      </c>
      <c r="AV449" s="61">
        <v>0</v>
      </c>
      <c r="AW449" s="63">
        <f t="shared" si="323"/>
        <v>0</v>
      </c>
      <c r="AX449" s="61">
        <v>0</v>
      </c>
      <c r="AY449" s="63">
        <f t="shared" si="324"/>
        <v>0</v>
      </c>
      <c r="AZ449" s="61">
        <v>0</v>
      </c>
      <c r="BA449" s="63">
        <f t="shared" si="325"/>
        <v>0</v>
      </c>
      <c r="BB449" s="61">
        <v>0</v>
      </c>
      <c r="BC449" s="63">
        <f t="shared" si="326"/>
        <v>0</v>
      </c>
      <c r="BD449" s="61">
        <v>0</v>
      </c>
      <c r="BE449" s="63">
        <f t="shared" si="327"/>
        <v>0</v>
      </c>
      <c r="BF449" s="61">
        <f t="shared" si="328"/>
        <v>0</v>
      </c>
      <c r="BG449" s="63">
        <f t="shared" si="329"/>
        <v>0</v>
      </c>
      <c r="BH449" s="45"/>
      <c r="BI449" s="144"/>
    </row>
    <row r="450" spans="1:61" ht="38.25" customHeight="1" x14ac:dyDescent="0.45">
      <c r="A450" s="140">
        <v>5</v>
      </c>
      <c r="B450" s="141" t="s">
        <v>850</v>
      </c>
      <c r="C450" s="142" t="s">
        <v>1488</v>
      </c>
      <c r="D450" s="143" t="str">
        <f t="shared" si="308"/>
        <v>5.1_1.14.45</v>
      </c>
      <c r="E450" s="56" t="s">
        <v>424</v>
      </c>
      <c r="F450" s="506" t="s">
        <v>373</v>
      </c>
      <c r="G450" s="507" t="s">
        <v>111</v>
      </c>
      <c r="H450" s="507" t="s">
        <v>224</v>
      </c>
      <c r="I450" s="507" t="s">
        <v>374</v>
      </c>
      <c r="J450" s="507" t="s">
        <v>273</v>
      </c>
      <c r="K450" s="507" t="s">
        <v>425</v>
      </c>
      <c r="L450" s="507" t="s">
        <v>267</v>
      </c>
      <c r="M450" s="507" t="s">
        <v>114</v>
      </c>
      <c r="N450" s="507" t="s">
        <v>267</v>
      </c>
      <c r="O450" s="57" t="s">
        <v>426</v>
      </c>
      <c r="P450" s="58" t="s">
        <v>21</v>
      </c>
      <c r="Q450" s="59" t="s">
        <v>427</v>
      </c>
      <c r="R450" s="60" t="s">
        <v>71</v>
      </c>
      <c r="S450" s="61">
        <v>1</v>
      </c>
      <c r="T450" s="62">
        <f>INDEX('BM MORRO DA CRUZ'!$P$6:$P$402,MATCH($O450,'BM MORRO DA CRUZ'!$K$6:$K$402,0))</f>
        <v>748.14</v>
      </c>
      <c r="U450" s="63">
        <f t="shared" si="309"/>
        <v>748.14</v>
      </c>
      <c r="V450" s="61">
        <f>IFERROR(SUMIFS('01ª MC'!$W$1:$W$1840,'01ª MC'!$C$1:$C$1840,$D450),0)</f>
        <v>0</v>
      </c>
      <c r="W450" s="63">
        <f t="shared" si="310"/>
        <v>0</v>
      </c>
      <c r="X450" s="61">
        <v>0</v>
      </c>
      <c r="Y450" s="63">
        <f t="shared" si="311"/>
        <v>0</v>
      </c>
      <c r="Z450" s="61">
        <v>0</v>
      </c>
      <c r="AA450" s="63">
        <f t="shared" si="312"/>
        <v>0</v>
      </c>
      <c r="AB450" s="61">
        <v>0</v>
      </c>
      <c r="AC450" s="63">
        <f t="shared" si="313"/>
        <v>0</v>
      </c>
      <c r="AD450" s="61">
        <v>0</v>
      </c>
      <c r="AE450" s="63">
        <f t="shared" si="314"/>
        <v>0</v>
      </c>
      <c r="AF450" s="61">
        <v>0</v>
      </c>
      <c r="AG450" s="63">
        <f t="shared" si="315"/>
        <v>0</v>
      </c>
      <c r="AH450" s="61">
        <v>0</v>
      </c>
      <c r="AI450" s="63">
        <f t="shared" si="316"/>
        <v>0</v>
      </c>
      <c r="AJ450" s="61">
        <v>0</v>
      </c>
      <c r="AK450" s="63">
        <f t="shared" si="317"/>
        <v>0</v>
      </c>
      <c r="AL450" s="61">
        <v>0</v>
      </c>
      <c r="AM450" s="63">
        <f t="shared" si="318"/>
        <v>0</v>
      </c>
      <c r="AN450" s="61">
        <v>0</v>
      </c>
      <c r="AO450" s="63">
        <f t="shared" si="319"/>
        <v>0</v>
      </c>
      <c r="AP450" s="61">
        <v>0</v>
      </c>
      <c r="AQ450" s="63">
        <f t="shared" si="320"/>
        <v>0</v>
      </c>
      <c r="AR450" s="61">
        <v>0</v>
      </c>
      <c r="AS450" s="63">
        <f t="shared" si="321"/>
        <v>0</v>
      </c>
      <c r="AT450" s="61">
        <v>0</v>
      </c>
      <c r="AU450" s="63">
        <f t="shared" si="322"/>
        <v>0</v>
      </c>
      <c r="AV450" s="61">
        <v>0</v>
      </c>
      <c r="AW450" s="63">
        <f t="shared" si="323"/>
        <v>0</v>
      </c>
      <c r="AX450" s="61">
        <v>0</v>
      </c>
      <c r="AY450" s="63">
        <f t="shared" si="324"/>
        <v>0</v>
      </c>
      <c r="AZ450" s="61">
        <v>0</v>
      </c>
      <c r="BA450" s="63">
        <f t="shared" si="325"/>
        <v>0</v>
      </c>
      <c r="BB450" s="61">
        <v>0</v>
      </c>
      <c r="BC450" s="63">
        <f t="shared" si="326"/>
        <v>0</v>
      </c>
      <c r="BD450" s="61">
        <v>0</v>
      </c>
      <c r="BE450" s="63">
        <f t="shared" si="327"/>
        <v>0</v>
      </c>
      <c r="BF450" s="61">
        <f t="shared" si="328"/>
        <v>0</v>
      </c>
      <c r="BG450" s="63">
        <f t="shared" si="329"/>
        <v>0</v>
      </c>
      <c r="BH450" s="45"/>
      <c r="BI450" s="144"/>
    </row>
    <row r="451" spans="1:61" ht="38.25" customHeight="1" x14ac:dyDescent="0.45">
      <c r="A451" s="140">
        <v>5</v>
      </c>
      <c r="B451" s="141" t="s">
        <v>850</v>
      </c>
      <c r="C451" s="142" t="s">
        <v>1488</v>
      </c>
      <c r="D451" s="143" t="str">
        <f t="shared" si="308"/>
        <v>5.1_1.14.46</v>
      </c>
      <c r="E451" s="56" t="s">
        <v>428</v>
      </c>
      <c r="F451" s="506" t="s">
        <v>373</v>
      </c>
      <c r="G451" s="507" t="s">
        <v>111</v>
      </c>
      <c r="H451" s="507" t="s">
        <v>224</v>
      </c>
      <c r="I451" s="507" t="s">
        <v>374</v>
      </c>
      <c r="J451" s="507" t="s">
        <v>273</v>
      </c>
      <c r="K451" s="507" t="s">
        <v>429</v>
      </c>
      <c r="L451" s="507" t="s">
        <v>267</v>
      </c>
      <c r="M451" s="507" t="s">
        <v>114</v>
      </c>
      <c r="N451" s="507" t="s">
        <v>267</v>
      </c>
      <c r="O451" s="57" t="s">
        <v>430</v>
      </c>
      <c r="P451" s="58" t="s">
        <v>21</v>
      </c>
      <c r="Q451" s="59" t="s">
        <v>431</v>
      </c>
      <c r="R451" s="60" t="s">
        <v>71</v>
      </c>
      <c r="S451" s="61">
        <v>2</v>
      </c>
      <c r="T451" s="62">
        <f>INDEX('BM MORRO DA CRUZ'!$P$6:$P$402,MATCH($O451,'BM MORRO DA CRUZ'!$K$6:$K$402,0))</f>
        <v>3246.84</v>
      </c>
      <c r="U451" s="63">
        <f t="shared" si="309"/>
        <v>6493.68</v>
      </c>
      <c r="V451" s="61">
        <f>IFERROR(SUMIFS('01ª MC'!$W$1:$W$1840,'01ª MC'!$C$1:$C$1840,$D451),0)</f>
        <v>0</v>
      </c>
      <c r="W451" s="63">
        <f t="shared" si="310"/>
        <v>0</v>
      </c>
      <c r="X451" s="61">
        <v>0</v>
      </c>
      <c r="Y451" s="63">
        <f t="shared" si="311"/>
        <v>0</v>
      </c>
      <c r="Z451" s="61">
        <v>0</v>
      </c>
      <c r="AA451" s="63">
        <f t="shared" si="312"/>
        <v>0</v>
      </c>
      <c r="AB451" s="61">
        <v>0</v>
      </c>
      <c r="AC451" s="63">
        <f t="shared" si="313"/>
        <v>0</v>
      </c>
      <c r="AD451" s="61">
        <v>0</v>
      </c>
      <c r="AE451" s="63">
        <f t="shared" si="314"/>
        <v>0</v>
      </c>
      <c r="AF451" s="61">
        <v>0</v>
      </c>
      <c r="AG451" s="63">
        <f t="shared" si="315"/>
        <v>0</v>
      </c>
      <c r="AH451" s="61">
        <v>0</v>
      </c>
      <c r="AI451" s="63">
        <f t="shared" si="316"/>
        <v>0</v>
      </c>
      <c r="AJ451" s="61">
        <v>0</v>
      </c>
      <c r="AK451" s="63">
        <f t="shared" si="317"/>
        <v>0</v>
      </c>
      <c r="AL451" s="61">
        <v>0</v>
      </c>
      <c r="AM451" s="63">
        <f t="shared" si="318"/>
        <v>0</v>
      </c>
      <c r="AN451" s="61">
        <v>0</v>
      </c>
      <c r="AO451" s="63">
        <f t="shared" si="319"/>
        <v>0</v>
      </c>
      <c r="AP451" s="61">
        <v>0</v>
      </c>
      <c r="AQ451" s="63">
        <f t="shared" si="320"/>
        <v>0</v>
      </c>
      <c r="AR451" s="61">
        <v>0</v>
      </c>
      <c r="AS451" s="63">
        <f t="shared" si="321"/>
        <v>0</v>
      </c>
      <c r="AT451" s="61">
        <v>0</v>
      </c>
      <c r="AU451" s="63">
        <f t="shared" si="322"/>
        <v>0</v>
      </c>
      <c r="AV451" s="61">
        <v>0</v>
      </c>
      <c r="AW451" s="63">
        <f t="shared" si="323"/>
        <v>0</v>
      </c>
      <c r="AX451" s="61">
        <v>0</v>
      </c>
      <c r="AY451" s="63">
        <f t="shared" si="324"/>
        <v>0</v>
      </c>
      <c r="AZ451" s="61">
        <v>0</v>
      </c>
      <c r="BA451" s="63">
        <f t="shared" si="325"/>
        <v>0</v>
      </c>
      <c r="BB451" s="61">
        <v>0</v>
      </c>
      <c r="BC451" s="63">
        <f t="shared" si="326"/>
        <v>0</v>
      </c>
      <c r="BD451" s="61">
        <v>0</v>
      </c>
      <c r="BE451" s="63">
        <f t="shared" si="327"/>
        <v>0</v>
      </c>
      <c r="BF451" s="61">
        <f t="shared" si="328"/>
        <v>0</v>
      </c>
      <c r="BG451" s="63">
        <f t="shared" si="329"/>
        <v>0</v>
      </c>
      <c r="BH451" s="45"/>
      <c r="BI451" s="144"/>
    </row>
    <row r="452" spans="1:61" ht="38.25" customHeight="1" x14ac:dyDescent="0.45">
      <c r="A452" s="140">
        <v>5</v>
      </c>
      <c r="B452" s="141" t="s">
        <v>850</v>
      </c>
      <c r="C452" s="142" t="s">
        <v>1488</v>
      </c>
      <c r="D452" s="143" t="str">
        <f t="shared" si="308"/>
        <v>5.1_1.14.47</v>
      </c>
      <c r="E452" s="56" t="s">
        <v>432</v>
      </c>
      <c r="F452" s="506" t="s">
        <v>373</v>
      </c>
      <c r="G452" s="507" t="s">
        <v>111</v>
      </c>
      <c r="H452" s="507" t="s">
        <v>224</v>
      </c>
      <c r="I452" s="507" t="s">
        <v>374</v>
      </c>
      <c r="J452" s="507" t="s">
        <v>273</v>
      </c>
      <c r="K452" s="507" t="s">
        <v>433</v>
      </c>
      <c r="L452" s="507" t="s">
        <v>267</v>
      </c>
      <c r="M452" s="507" t="s">
        <v>114</v>
      </c>
      <c r="N452" s="507" t="s">
        <v>267</v>
      </c>
      <c r="O452" s="57" t="s">
        <v>434</v>
      </c>
      <c r="P452" s="58" t="s">
        <v>21</v>
      </c>
      <c r="Q452" s="59" t="s">
        <v>435</v>
      </c>
      <c r="R452" s="60" t="s">
        <v>71</v>
      </c>
      <c r="S452" s="61">
        <v>2</v>
      </c>
      <c r="T452" s="62">
        <f>INDEX('BM MORRO DA CRUZ'!$P$6:$P$402,MATCH($O452,'BM MORRO DA CRUZ'!$K$6:$K$402,0))</f>
        <v>2767.87</v>
      </c>
      <c r="U452" s="63">
        <f t="shared" si="309"/>
        <v>5535.74</v>
      </c>
      <c r="V452" s="61">
        <f>IFERROR(SUMIFS('01ª MC'!$W$1:$W$1840,'01ª MC'!$C$1:$C$1840,$D452),0)</f>
        <v>0</v>
      </c>
      <c r="W452" s="63">
        <f t="shared" si="310"/>
        <v>0</v>
      </c>
      <c r="X452" s="61">
        <v>0</v>
      </c>
      <c r="Y452" s="63">
        <f t="shared" si="311"/>
        <v>0</v>
      </c>
      <c r="Z452" s="61">
        <v>0</v>
      </c>
      <c r="AA452" s="63">
        <f t="shared" si="312"/>
        <v>0</v>
      </c>
      <c r="AB452" s="61">
        <v>0</v>
      </c>
      <c r="AC452" s="63">
        <f t="shared" si="313"/>
        <v>0</v>
      </c>
      <c r="AD452" s="61">
        <v>0</v>
      </c>
      <c r="AE452" s="63">
        <f t="shared" si="314"/>
        <v>0</v>
      </c>
      <c r="AF452" s="61">
        <v>0</v>
      </c>
      <c r="AG452" s="63">
        <f t="shared" si="315"/>
        <v>0</v>
      </c>
      <c r="AH452" s="61">
        <v>0</v>
      </c>
      <c r="AI452" s="63">
        <f t="shared" si="316"/>
        <v>0</v>
      </c>
      <c r="AJ452" s="61">
        <v>0</v>
      </c>
      <c r="AK452" s="63">
        <f t="shared" si="317"/>
        <v>0</v>
      </c>
      <c r="AL452" s="61">
        <v>0</v>
      </c>
      <c r="AM452" s="63">
        <f t="shared" si="318"/>
        <v>0</v>
      </c>
      <c r="AN452" s="61">
        <v>0</v>
      </c>
      <c r="AO452" s="63">
        <f t="shared" si="319"/>
        <v>0</v>
      </c>
      <c r="AP452" s="61">
        <v>0</v>
      </c>
      <c r="AQ452" s="63">
        <f t="shared" si="320"/>
        <v>0</v>
      </c>
      <c r="AR452" s="61">
        <v>0</v>
      </c>
      <c r="AS452" s="63">
        <f t="shared" si="321"/>
        <v>0</v>
      </c>
      <c r="AT452" s="61">
        <v>0</v>
      </c>
      <c r="AU452" s="63">
        <f t="shared" si="322"/>
        <v>0</v>
      </c>
      <c r="AV452" s="61">
        <v>0</v>
      </c>
      <c r="AW452" s="63">
        <f t="shared" si="323"/>
        <v>0</v>
      </c>
      <c r="AX452" s="61">
        <v>0</v>
      </c>
      <c r="AY452" s="63">
        <f t="shared" si="324"/>
        <v>0</v>
      </c>
      <c r="AZ452" s="61">
        <v>0</v>
      </c>
      <c r="BA452" s="63">
        <f t="shared" si="325"/>
        <v>0</v>
      </c>
      <c r="BB452" s="61">
        <v>0</v>
      </c>
      <c r="BC452" s="63">
        <f t="shared" si="326"/>
        <v>0</v>
      </c>
      <c r="BD452" s="61">
        <v>0</v>
      </c>
      <c r="BE452" s="63">
        <f t="shared" si="327"/>
        <v>0</v>
      </c>
      <c r="BF452" s="61">
        <f t="shared" si="328"/>
        <v>0</v>
      </c>
      <c r="BG452" s="63">
        <f t="shared" si="329"/>
        <v>0</v>
      </c>
      <c r="BH452" s="45"/>
      <c r="BI452" s="144"/>
    </row>
    <row r="453" spans="1:61" ht="38.25" customHeight="1" x14ac:dyDescent="0.45">
      <c r="A453" s="140">
        <v>5</v>
      </c>
      <c r="B453" s="141" t="s">
        <v>850</v>
      </c>
      <c r="C453" s="142" t="s">
        <v>1488</v>
      </c>
      <c r="D453" s="143" t="str">
        <f t="shared" si="308"/>
        <v>5.1_1.14.48</v>
      </c>
      <c r="E453" s="56" t="s">
        <v>436</v>
      </c>
      <c r="F453" s="506" t="s">
        <v>373</v>
      </c>
      <c r="G453" s="507" t="s">
        <v>111</v>
      </c>
      <c r="H453" s="507" t="s">
        <v>224</v>
      </c>
      <c r="I453" s="507" t="s">
        <v>374</v>
      </c>
      <c r="J453" s="507" t="s">
        <v>273</v>
      </c>
      <c r="K453" s="507" t="s">
        <v>437</v>
      </c>
      <c r="L453" s="507" t="s">
        <v>267</v>
      </c>
      <c r="M453" s="507" t="s">
        <v>114</v>
      </c>
      <c r="N453" s="507" t="s">
        <v>267</v>
      </c>
      <c r="O453" s="57" t="s">
        <v>438</v>
      </c>
      <c r="P453" s="58" t="s">
        <v>21</v>
      </c>
      <c r="Q453" s="59" t="s">
        <v>439</v>
      </c>
      <c r="R453" s="60" t="s">
        <v>71</v>
      </c>
      <c r="S453" s="61">
        <v>1</v>
      </c>
      <c r="T453" s="62">
        <f>INDEX('BM MORRO DA CRUZ'!$P$6:$P$402,MATCH($O453,'BM MORRO DA CRUZ'!$K$6:$K$402,0))</f>
        <v>3980.49</v>
      </c>
      <c r="U453" s="63">
        <f t="shared" si="309"/>
        <v>3980.49</v>
      </c>
      <c r="V453" s="61">
        <f>IFERROR(SUMIFS('01ª MC'!$W$1:$W$1840,'01ª MC'!$C$1:$C$1840,$D453),0)</f>
        <v>0</v>
      </c>
      <c r="W453" s="63">
        <f t="shared" si="310"/>
        <v>0</v>
      </c>
      <c r="X453" s="61">
        <v>0</v>
      </c>
      <c r="Y453" s="63">
        <f t="shared" si="311"/>
        <v>0</v>
      </c>
      <c r="Z453" s="61">
        <v>0</v>
      </c>
      <c r="AA453" s="63">
        <f t="shared" si="312"/>
        <v>0</v>
      </c>
      <c r="AB453" s="61">
        <v>0</v>
      </c>
      <c r="AC453" s="63">
        <f t="shared" si="313"/>
        <v>0</v>
      </c>
      <c r="AD453" s="61">
        <v>0</v>
      </c>
      <c r="AE453" s="63">
        <f t="shared" si="314"/>
        <v>0</v>
      </c>
      <c r="AF453" s="61">
        <v>0</v>
      </c>
      <c r="AG453" s="63">
        <f t="shared" si="315"/>
        <v>0</v>
      </c>
      <c r="AH453" s="61">
        <v>0</v>
      </c>
      <c r="AI453" s="63">
        <f t="shared" si="316"/>
        <v>0</v>
      </c>
      <c r="AJ453" s="61">
        <v>0</v>
      </c>
      <c r="AK453" s="63">
        <f t="shared" si="317"/>
        <v>0</v>
      </c>
      <c r="AL453" s="61">
        <v>0</v>
      </c>
      <c r="AM453" s="63">
        <f t="shared" si="318"/>
        <v>0</v>
      </c>
      <c r="AN453" s="61">
        <v>0</v>
      </c>
      <c r="AO453" s="63">
        <f t="shared" si="319"/>
        <v>0</v>
      </c>
      <c r="AP453" s="61">
        <v>0</v>
      </c>
      <c r="AQ453" s="63">
        <f t="shared" si="320"/>
        <v>0</v>
      </c>
      <c r="AR453" s="61">
        <v>0</v>
      </c>
      <c r="AS453" s="63">
        <f t="shared" si="321"/>
        <v>0</v>
      </c>
      <c r="AT453" s="61">
        <v>0</v>
      </c>
      <c r="AU453" s="63">
        <f t="shared" si="322"/>
        <v>0</v>
      </c>
      <c r="AV453" s="61">
        <v>0</v>
      </c>
      <c r="AW453" s="63">
        <f t="shared" si="323"/>
        <v>0</v>
      </c>
      <c r="AX453" s="61">
        <v>0</v>
      </c>
      <c r="AY453" s="63">
        <f t="shared" si="324"/>
        <v>0</v>
      </c>
      <c r="AZ453" s="61">
        <v>0</v>
      </c>
      <c r="BA453" s="63">
        <f t="shared" si="325"/>
        <v>0</v>
      </c>
      <c r="BB453" s="61">
        <v>0</v>
      </c>
      <c r="BC453" s="63">
        <f t="shared" si="326"/>
        <v>0</v>
      </c>
      <c r="BD453" s="61">
        <v>0</v>
      </c>
      <c r="BE453" s="63">
        <f t="shared" si="327"/>
        <v>0</v>
      </c>
      <c r="BF453" s="61">
        <f t="shared" si="328"/>
        <v>0</v>
      </c>
      <c r="BG453" s="63">
        <f t="shared" si="329"/>
        <v>0</v>
      </c>
      <c r="BH453" s="45"/>
      <c r="BI453" s="144"/>
    </row>
    <row r="454" spans="1:61" ht="38.25" customHeight="1" x14ac:dyDescent="0.45">
      <c r="A454" s="140">
        <v>5</v>
      </c>
      <c r="B454" s="141" t="s">
        <v>850</v>
      </c>
      <c r="C454" s="142" t="s">
        <v>1488</v>
      </c>
      <c r="D454" s="143" t="str">
        <f t="shared" si="308"/>
        <v>5.1_1.14.49</v>
      </c>
      <c r="E454" s="56" t="s">
        <v>440</v>
      </c>
      <c r="F454" s="506" t="s">
        <v>373</v>
      </c>
      <c r="G454" s="507" t="s">
        <v>111</v>
      </c>
      <c r="H454" s="507" t="s">
        <v>224</v>
      </c>
      <c r="I454" s="507" t="s">
        <v>374</v>
      </c>
      <c r="J454" s="507" t="s">
        <v>273</v>
      </c>
      <c r="K454" s="507" t="s">
        <v>441</v>
      </c>
      <c r="L454" s="507" t="s">
        <v>267</v>
      </c>
      <c r="M454" s="507" t="s">
        <v>114</v>
      </c>
      <c r="N454" s="507" t="s">
        <v>267</v>
      </c>
      <c r="O454" s="57" t="s">
        <v>442</v>
      </c>
      <c r="P454" s="58" t="s">
        <v>21</v>
      </c>
      <c r="Q454" s="59" t="s">
        <v>443</v>
      </c>
      <c r="R454" s="60" t="s">
        <v>71</v>
      </c>
      <c r="S454" s="61">
        <v>6</v>
      </c>
      <c r="T454" s="62">
        <f>INDEX('BM MORRO DA CRUZ'!$P$6:$P$402,MATCH($O454,'BM MORRO DA CRUZ'!$K$6:$K$402,0))</f>
        <v>496.22</v>
      </c>
      <c r="U454" s="63">
        <f t="shared" si="309"/>
        <v>2977.32</v>
      </c>
      <c r="V454" s="61">
        <f>IFERROR(SUMIFS('01ª MC'!$W$1:$W$1840,'01ª MC'!$C$1:$C$1840,$D454),0)</f>
        <v>0</v>
      </c>
      <c r="W454" s="63">
        <f t="shared" si="310"/>
        <v>0</v>
      </c>
      <c r="X454" s="61">
        <v>0</v>
      </c>
      <c r="Y454" s="63">
        <f t="shared" si="311"/>
        <v>0</v>
      </c>
      <c r="Z454" s="61">
        <v>0</v>
      </c>
      <c r="AA454" s="63">
        <f t="shared" si="312"/>
        <v>0</v>
      </c>
      <c r="AB454" s="61">
        <v>0</v>
      </c>
      <c r="AC454" s="63">
        <f t="shared" si="313"/>
        <v>0</v>
      </c>
      <c r="AD454" s="61">
        <v>0</v>
      </c>
      <c r="AE454" s="63">
        <f t="shared" si="314"/>
        <v>0</v>
      </c>
      <c r="AF454" s="61">
        <v>0</v>
      </c>
      <c r="AG454" s="63">
        <f t="shared" si="315"/>
        <v>0</v>
      </c>
      <c r="AH454" s="61">
        <v>0</v>
      </c>
      <c r="AI454" s="63">
        <f t="shared" si="316"/>
        <v>0</v>
      </c>
      <c r="AJ454" s="61">
        <v>0</v>
      </c>
      <c r="AK454" s="63">
        <f t="shared" si="317"/>
        <v>0</v>
      </c>
      <c r="AL454" s="61">
        <v>0</v>
      </c>
      <c r="AM454" s="63">
        <f t="shared" si="318"/>
        <v>0</v>
      </c>
      <c r="AN454" s="61">
        <v>0</v>
      </c>
      <c r="AO454" s="63">
        <f t="shared" si="319"/>
        <v>0</v>
      </c>
      <c r="AP454" s="61">
        <v>0</v>
      </c>
      <c r="AQ454" s="63">
        <f t="shared" si="320"/>
        <v>0</v>
      </c>
      <c r="AR454" s="61">
        <v>0</v>
      </c>
      <c r="AS454" s="63">
        <f t="shared" si="321"/>
        <v>0</v>
      </c>
      <c r="AT454" s="61">
        <v>0</v>
      </c>
      <c r="AU454" s="63">
        <f t="shared" si="322"/>
        <v>0</v>
      </c>
      <c r="AV454" s="61">
        <v>0</v>
      </c>
      <c r="AW454" s="63">
        <f t="shared" si="323"/>
        <v>0</v>
      </c>
      <c r="AX454" s="61">
        <v>0</v>
      </c>
      <c r="AY454" s="63">
        <f t="shared" si="324"/>
        <v>0</v>
      </c>
      <c r="AZ454" s="61">
        <v>0</v>
      </c>
      <c r="BA454" s="63">
        <f t="shared" si="325"/>
        <v>0</v>
      </c>
      <c r="BB454" s="61">
        <v>0</v>
      </c>
      <c r="BC454" s="63">
        <f t="shared" si="326"/>
        <v>0</v>
      </c>
      <c r="BD454" s="61">
        <v>0</v>
      </c>
      <c r="BE454" s="63">
        <f t="shared" si="327"/>
        <v>0</v>
      </c>
      <c r="BF454" s="61">
        <f t="shared" si="328"/>
        <v>0</v>
      </c>
      <c r="BG454" s="63">
        <f t="shared" si="329"/>
        <v>0</v>
      </c>
      <c r="BH454" s="45"/>
      <c r="BI454" s="144"/>
    </row>
    <row r="455" spans="1:61" ht="38.25" customHeight="1" x14ac:dyDescent="0.45">
      <c r="A455" s="140">
        <v>5</v>
      </c>
      <c r="B455" s="141" t="s">
        <v>850</v>
      </c>
      <c r="C455" s="142" t="s">
        <v>1488</v>
      </c>
      <c r="D455" s="143" t="str">
        <f t="shared" si="308"/>
        <v>5.1_1.14.50</v>
      </c>
      <c r="E455" s="56" t="s">
        <v>444</v>
      </c>
      <c r="F455" s="506" t="s">
        <v>373</v>
      </c>
      <c r="G455" s="507" t="s">
        <v>111</v>
      </c>
      <c r="H455" s="507" t="s">
        <v>224</v>
      </c>
      <c r="I455" s="507" t="s">
        <v>374</v>
      </c>
      <c r="J455" s="507" t="s">
        <v>273</v>
      </c>
      <c r="K455" s="507" t="s">
        <v>445</v>
      </c>
      <c r="L455" s="507" t="s">
        <v>267</v>
      </c>
      <c r="M455" s="507" t="s">
        <v>114</v>
      </c>
      <c r="N455" s="507" t="s">
        <v>267</v>
      </c>
      <c r="O455" s="57" t="s">
        <v>446</v>
      </c>
      <c r="P455" s="58" t="s">
        <v>21</v>
      </c>
      <c r="Q455" s="59" t="s">
        <v>447</v>
      </c>
      <c r="R455" s="60" t="s">
        <v>71</v>
      </c>
      <c r="S455" s="61">
        <v>2</v>
      </c>
      <c r="T455" s="62">
        <f>INDEX('BM MORRO DA CRUZ'!$P$6:$P$402,MATCH($O455,'BM MORRO DA CRUZ'!$K$6:$K$402,0))</f>
        <v>637.5</v>
      </c>
      <c r="U455" s="63">
        <f t="shared" si="309"/>
        <v>1275</v>
      </c>
      <c r="V455" s="61">
        <f>IFERROR(SUMIFS('01ª MC'!$W$1:$W$1840,'01ª MC'!$C$1:$C$1840,$D455),0)</f>
        <v>0</v>
      </c>
      <c r="W455" s="63">
        <f t="shared" si="310"/>
        <v>0</v>
      </c>
      <c r="X455" s="61">
        <v>0</v>
      </c>
      <c r="Y455" s="63">
        <f t="shared" si="311"/>
        <v>0</v>
      </c>
      <c r="Z455" s="61">
        <v>0</v>
      </c>
      <c r="AA455" s="63">
        <f t="shared" si="312"/>
        <v>0</v>
      </c>
      <c r="AB455" s="61">
        <v>0</v>
      </c>
      <c r="AC455" s="63">
        <f t="shared" si="313"/>
        <v>0</v>
      </c>
      <c r="AD455" s="61">
        <v>0</v>
      </c>
      <c r="AE455" s="63">
        <f t="shared" si="314"/>
        <v>0</v>
      </c>
      <c r="AF455" s="61">
        <v>0</v>
      </c>
      <c r="AG455" s="63">
        <f t="shared" si="315"/>
        <v>0</v>
      </c>
      <c r="AH455" s="61">
        <v>0</v>
      </c>
      <c r="AI455" s="63">
        <f t="shared" si="316"/>
        <v>0</v>
      </c>
      <c r="AJ455" s="61">
        <v>0</v>
      </c>
      <c r="AK455" s="63">
        <f t="shared" si="317"/>
        <v>0</v>
      </c>
      <c r="AL455" s="61">
        <v>0</v>
      </c>
      <c r="AM455" s="63">
        <f t="shared" si="318"/>
        <v>0</v>
      </c>
      <c r="AN455" s="61">
        <v>0</v>
      </c>
      <c r="AO455" s="63">
        <f t="shared" si="319"/>
        <v>0</v>
      </c>
      <c r="AP455" s="61">
        <v>0</v>
      </c>
      <c r="AQ455" s="63">
        <f t="shared" si="320"/>
        <v>0</v>
      </c>
      <c r="AR455" s="61">
        <v>0</v>
      </c>
      <c r="AS455" s="63">
        <f t="shared" si="321"/>
        <v>0</v>
      </c>
      <c r="AT455" s="61">
        <v>0</v>
      </c>
      <c r="AU455" s="63">
        <f t="shared" si="322"/>
        <v>0</v>
      </c>
      <c r="AV455" s="61">
        <v>0</v>
      </c>
      <c r="AW455" s="63">
        <f t="shared" si="323"/>
        <v>0</v>
      </c>
      <c r="AX455" s="61">
        <v>0</v>
      </c>
      <c r="AY455" s="63">
        <f t="shared" si="324"/>
        <v>0</v>
      </c>
      <c r="AZ455" s="61">
        <v>0</v>
      </c>
      <c r="BA455" s="63">
        <f t="shared" si="325"/>
        <v>0</v>
      </c>
      <c r="BB455" s="61">
        <v>0</v>
      </c>
      <c r="BC455" s="63">
        <f t="shared" si="326"/>
        <v>0</v>
      </c>
      <c r="BD455" s="61">
        <v>0</v>
      </c>
      <c r="BE455" s="63">
        <f t="shared" si="327"/>
        <v>0</v>
      </c>
      <c r="BF455" s="61">
        <f t="shared" si="328"/>
        <v>0</v>
      </c>
      <c r="BG455" s="63">
        <f t="shared" si="329"/>
        <v>0</v>
      </c>
      <c r="BH455" s="45"/>
      <c r="BI455" s="144"/>
    </row>
    <row r="456" spans="1:61" ht="38.25" customHeight="1" x14ac:dyDescent="0.45">
      <c r="A456" s="140">
        <v>5</v>
      </c>
      <c r="B456" s="141" t="s">
        <v>850</v>
      </c>
      <c r="C456" s="142" t="s">
        <v>1488</v>
      </c>
      <c r="D456" s="143" t="str">
        <f t="shared" si="308"/>
        <v>5.1_1.14.51</v>
      </c>
      <c r="E456" s="56" t="s">
        <v>448</v>
      </c>
      <c r="F456" s="506" t="s">
        <v>373</v>
      </c>
      <c r="G456" s="507" t="s">
        <v>111</v>
      </c>
      <c r="H456" s="507" t="s">
        <v>224</v>
      </c>
      <c r="I456" s="507" t="s">
        <v>374</v>
      </c>
      <c r="J456" s="507" t="s">
        <v>273</v>
      </c>
      <c r="K456" s="507" t="s">
        <v>449</v>
      </c>
      <c r="L456" s="507" t="s">
        <v>267</v>
      </c>
      <c r="M456" s="507" t="s">
        <v>114</v>
      </c>
      <c r="N456" s="507" t="s">
        <v>267</v>
      </c>
      <c r="O456" s="57" t="s">
        <v>450</v>
      </c>
      <c r="P456" s="58" t="s">
        <v>21</v>
      </c>
      <c r="Q456" s="59" t="s">
        <v>451</v>
      </c>
      <c r="R456" s="60" t="s">
        <v>71</v>
      </c>
      <c r="S456" s="61">
        <v>2</v>
      </c>
      <c r="T456" s="62">
        <f>INDEX('BM MORRO DA CRUZ'!$P$6:$P$402,MATCH($O456,'BM MORRO DA CRUZ'!$K$6:$K$402,0))</f>
        <v>7577.95</v>
      </c>
      <c r="U456" s="63">
        <f t="shared" si="309"/>
        <v>15155.9</v>
      </c>
      <c r="V456" s="61">
        <f>IFERROR(SUMIFS('01ª MC'!$W$1:$W$1840,'01ª MC'!$C$1:$C$1840,$D456),0)</f>
        <v>0</v>
      </c>
      <c r="W456" s="63">
        <f t="shared" si="310"/>
        <v>0</v>
      </c>
      <c r="X456" s="61">
        <v>0</v>
      </c>
      <c r="Y456" s="63">
        <f t="shared" si="311"/>
        <v>0</v>
      </c>
      <c r="Z456" s="61">
        <v>0</v>
      </c>
      <c r="AA456" s="63">
        <f t="shared" si="312"/>
        <v>0</v>
      </c>
      <c r="AB456" s="61">
        <v>0</v>
      </c>
      <c r="AC456" s="63">
        <f t="shared" si="313"/>
        <v>0</v>
      </c>
      <c r="AD456" s="61">
        <v>0</v>
      </c>
      <c r="AE456" s="63">
        <f t="shared" si="314"/>
        <v>0</v>
      </c>
      <c r="AF456" s="61">
        <v>0</v>
      </c>
      <c r="AG456" s="63">
        <f t="shared" si="315"/>
        <v>0</v>
      </c>
      <c r="AH456" s="61">
        <v>0</v>
      </c>
      <c r="AI456" s="63">
        <f t="shared" si="316"/>
        <v>0</v>
      </c>
      <c r="AJ456" s="61">
        <v>0</v>
      </c>
      <c r="AK456" s="63">
        <f t="shared" si="317"/>
        <v>0</v>
      </c>
      <c r="AL456" s="61">
        <v>0</v>
      </c>
      <c r="AM456" s="63">
        <f t="shared" si="318"/>
        <v>0</v>
      </c>
      <c r="AN456" s="61">
        <v>0</v>
      </c>
      <c r="AO456" s="63">
        <f t="shared" si="319"/>
        <v>0</v>
      </c>
      <c r="AP456" s="61">
        <v>0</v>
      </c>
      <c r="AQ456" s="63">
        <f t="shared" si="320"/>
        <v>0</v>
      </c>
      <c r="AR456" s="61">
        <v>0</v>
      </c>
      <c r="AS456" s="63">
        <f t="shared" si="321"/>
        <v>0</v>
      </c>
      <c r="AT456" s="61">
        <v>0</v>
      </c>
      <c r="AU456" s="63">
        <f t="shared" si="322"/>
        <v>0</v>
      </c>
      <c r="AV456" s="61">
        <v>0</v>
      </c>
      <c r="AW456" s="63">
        <f t="shared" si="323"/>
        <v>0</v>
      </c>
      <c r="AX456" s="61">
        <v>0</v>
      </c>
      <c r="AY456" s="63">
        <f t="shared" si="324"/>
        <v>0</v>
      </c>
      <c r="AZ456" s="61">
        <v>0</v>
      </c>
      <c r="BA456" s="63">
        <f t="shared" si="325"/>
        <v>0</v>
      </c>
      <c r="BB456" s="61">
        <v>0</v>
      </c>
      <c r="BC456" s="63">
        <f t="shared" si="326"/>
        <v>0</v>
      </c>
      <c r="BD456" s="61">
        <v>0</v>
      </c>
      <c r="BE456" s="63">
        <f t="shared" si="327"/>
        <v>0</v>
      </c>
      <c r="BF456" s="61">
        <f t="shared" si="328"/>
        <v>0</v>
      </c>
      <c r="BG456" s="63">
        <f t="shared" si="329"/>
        <v>0</v>
      </c>
      <c r="BH456" s="45"/>
      <c r="BI456" s="144"/>
    </row>
    <row r="457" spans="1:61" ht="38.25" customHeight="1" x14ac:dyDescent="0.45">
      <c r="A457" s="140">
        <v>5</v>
      </c>
      <c r="B457" s="141" t="s">
        <v>850</v>
      </c>
      <c r="C457" s="142" t="s">
        <v>1488</v>
      </c>
      <c r="D457" s="143" t="str">
        <f t="shared" si="308"/>
        <v>5.1_1.14.52</v>
      </c>
      <c r="E457" s="56" t="s">
        <v>452</v>
      </c>
      <c r="F457" s="506" t="s">
        <v>373</v>
      </c>
      <c r="G457" s="507" t="s">
        <v>404</v>
      </c>
      <c r="H457" s="507" t="s">
        <v>224</v>
      </c>
      <c r="I457" s="507" t="s">
        <v>374</v>
      </c>
      <c r="J457" s="507" t="s">
        <v>273</v>
      </c>
      <c r="K457" s="507" t="s">
        <v>453</v>
      </c>
      <c r="L457" s="507" t="s">
        <v>267</v>
      </c>
      <c r="M457" s="507" t="s">
        <v>114</v>
      </c>
      <c r="N457" s="507" t="s">
        <v>267</v>
      </c>
      <c r="O457" s="57" t="s">
        <v>454</v>
      </c>
      <c r="P457" s="58" t="s">
        <v>21</v>
      </c>
      <c r="Q457" s="59" t="s">
        <v>455</v>
      </c>
      <c r="R457" s="60" t="s">
        <v>71</v>
      </c>
      <c r="S457" s="61">
        <v>14</v>
      </c>
      <c r="T457" s="62">
        <f>INDEX('BM MORRO DA CRUZ'!$P$6:$P$402,MATCH($O457,'BM MORRO DA CRUZ'!$K$6:$K$402,0))</f>
        <v>148.36000000000001</v>
      </c>
      <c r="U457" s="63">
        <f t="shared" si="309"/>
        <v>2077.04</v>
      </c>
      <c r="V457" s="61">
        <f>IFERROR(SUMIFS('01ª MC'!$W$1:$W$1840,'01ª MC'!$C$1:$C$1840,$D457),0)</f>
        <v>0</v>
      </c>
      <c r="W457" s="63">
        <f t="shared" si="310"/>
        <v>0</v>
      </c>
      <c r="X457" s="61">
        <v>0</v>
      </c>
      <c r="Y457" s="63">
        <f t="shared" si="311"/>
        <v>0</v>
      </c>
      <c r="Z457" s="61">
        <v>0</v>
      </c>
      <c r="AA457" s="63">
        <f t="shared" si="312"/>
        <v>0</v>
      </c>
      <c r="AB457" s="61">
        <v>0</v>
      </c>
      <c r="AC457" s="63">
        <f t="shared" si="313"/>
        <v>0</v>
      </c>
      <c r="AD457" s="61">
        <v>0</v>
      </c>
      <c r="AE457" s="63">
        <f t="shared" si="314"/>
        <v>0</v>
      </c>
      <c r="AF457" s="61">
        <v>0</v>
      </c>
      <c r="AG457" s="63">
        <f t="shared" si="315"/>
        <v>0</v>
      </c>
      <c r="AH457" s="61">
        <v>0</v>
      </c>
      <c r="AI457" s="63">
        <f t="shared" si="316"/>
        <v>0</v>
      </c>
      <c r="AJ457" s="61">
        <v>0</v>
      </c>
      <c r="AK457" s="63">
        <f t="shared" si="317"/>
        <v>0</v>
      </c>
      <c r="AL457" s="61">
        <v>0</v>
      </c>
      <c r="AM457" s="63">
        <f t="shared" si="318"/>
        <v>0</v>
      </c>
      <c r="AN457" s="61">
        <v>0</v>
      </c>
      <c r="AO457" s="63">
        <f t="shared" si="319"/>
        <v>0</v>
      </c>
      <c r="AP457" s="61">
        <v>0</v>
      </c>
      <c r="AQ457" s="63">
        <f t="shared" si="320"/>
        <v>0</v>
      </c>
      <c r="AR457" s="61">
        <v>0</v>
      </c>
      <c r="AS457" s="63">
        <f t="shared" si="321"/>
        <v>0</v>
      </c>
      <c r="AT457" s="61">
        <v>0</v>
      </c>
      <c r="AU457" s="63">
        <f t="shared" si="322"/>
        <v>0</v>
      </c>
      <c r="AV457" s="61">
        <v>0</v>
      </c>
      <c r="AW457" s="63">
        <f t="shared" si="323"/>
        <v>0</v>
      </c>
      <c r="AX457" s="61">
        <v>0</v>
      </c>
      <c r="AY457" s="63">
        <f t="shared" si="324"/>
        <v>0</v>
      </c>
      <c r="AZ457" s="61">
        <v>0</v>
      </c>
      <c r="BA457" s="63">
        <f t="shared" si="325"/>
        <v>0</v>
      </c>
      <c r="BB457" s="61">
        <v>0</v>
      </c>
      <c r="BC457" s="63">
        <f t="shared" si="326"/>
        <v>0</v>
      </c>
      <c r="BD457" s="61">
        <v>0</v>
      </c>
      <c r="BE457" s="63">
        <f t="shared" si="327"/>
        <v>0</v>
      </c>
      <c r="BF457" s="61">
        <f t="shared" si="328"/>
        <v>0</v>
      </c>
      <c r="BG457" s="63">
        <f t="shared" si="329"/>
        <v>0</v>
      </c>
      <c r="BH457" s="45"/>
      <c r="BI457" s="144"/>
    </row>
    <row r="458" spans="1:61" ht="26.25" customHeight="1" x14ac:dyDescent="0.45">
      <c r="A458" s="140">
        <v>5</v>
      </c>
      <c r="B458" s="141" t="s">
        <v>850</v>
      </c>
      <c r="C458" s="142" t="s">
        <v>1488</v>
      </c>
      <c r="D458" s="143" t="str">
        <f t="shared" si="308"/>
        <v>5.1_1.14.53</v>
      </c>
      <c r="E458" s="56" t="s">
        <v>456</v>
      </c>
      <c r="F458" s="506" t="s">
        <v>457</v>
      </c>
      <c r="G458" s="507" t="s">
        <v>111</v>
      </c>
      <c r="H458" s="507" t="s">
        <v>224</v>
      </c>
      <c r="I458" s="507" t="s">
        <v>458</v>
      </c>
      <c r="J458" s="507" t="s">
        <v>266</v>
      </c>
      <c r="K458" s="507">
        <v>63</v>
      </c>
      <c r="L458" s="507" t="s">
        <v>267</v>
      </c>
      <c r="M458" s="507" t="s">
        <v>114</v>
      </c>
      <c r="N458" s="507" t="s">
        <v>267</v>
      </c>
      <c r="O458" s="57" t="s">
        <v>459</v>
      </c>
      <c r="P458" s="58" t="s">
        <v>21</v>
      </c>
      <c r="Q458" s="59" t="s">
        <v>460</v>
      </c>
      <c r="R458" s="60" t="s">
        <v>71</v>
      </c>
      <c r="S458" s="61">
        <v>488</v>
      </c>
      <c r="T458" s="62">
        <f>INDEX('BM MORRO DA CRUZ'!$P$6:$P$402,MATCH($O458,'BM MORRO DA CRUZ'!$K$6:$K$402,0))</f>
        <v>94.97</v>
      </c>
      <c r="U458" s="63">
        <f t="shared" si="309"/>
        <v>46345.36</v>
      </c>
      <c r="V458" s="61">
        <f>IFERROR(SUMIFS('01ª MC'!$W$1:$W$1840,'01ª MC'!$C$1:$C$1840,$D458),0)</f>
        <v>0</v>
      </c>
      <c r="W458" s="63">
        <f t="shared" si="310"/>
        <v>0</v>
      </c>
      <c r="X458" s="61">
        <v>0</v>
      </c>
      <c r="Y458" s="63">
        <f t="shared" si="311"/>
        <v>0</v>
      </c>
      <c r="Z458" s="61">
        <v>0</v>
      </c>
      <c r="AA458" s="63">
        <f t="shared" si="312"/>
        <v>0</v>
      </c>
      <c r="AB458" s="61">
        <v>0</v>
      </c>
      <c r="AC458" s="63">
        <f t="shared" si="313"/>
        <v>0</v>
      </c>
      <c r="AD458" s="61">
        <v>0</v>
      </c>
      <c r="AE458" s="63">
        <f t="shared" si="314"/>
        <v>0</v>
      </c>
      <c r="AF458" s="61">
        <v>0</v>
      </c>
      <c r="AG458" s="63">
        <f t="shared" si="315"/>
        <v>0</v>
      </c>
      <c r="AH458" s="61">
        <v>0</v>
      </c>
      <c r="AI458" s="63">
        <f t="shared" si="316"/>
        <v>0</v>
      </c>
      <c r="AJ458" s="61">
        <v>0</v>
      </c>
      <c r="AK458" s="63">
        <f t="shared" si="317"/>
        <v>0</v>
      </c>
      <c r="AL458" s="61">
        <v>0</v>
      </c>
      <c r="AM458" s="63">
        <f t="shared" si="318"/>
        <v>0</v>
      </c>
      <c r="AN458" s="61">
        <v>0</v>
      </c>
      <c r="AO458" s="63">
        <f t="shared" si="319"/>
        <v>0</v>
      </c>
      <c r="AP458" s="61">
        <v>0</v>
      </c>
      <c r="AQ458" s="63">
        <f t="shared" si="320"/>
        <v>0</v>
      </c>
      <c r="AR458" s="61">
        <v>0</v>
      </c>
      <c r="AS458" s="63">
        <f t="shared" si="321"/>
        <v>0</v>
      </c>
      <c r="AT458" s="61">
        <v>0</v>
      </c>
      <c r="AU458" s="63">
        <f t="shared" si="322"/>
        <v>0</v>
      </c>
      <c r="AV458" s="61">
        <v>0</v>
      </c>
      <c r="AW458" s="63">
        <f t="shared" si="323"/>
        <v>0</v>
      </c>
      <c r="AX458" s="61">
        <v>0</v>
      </c>
      <c r="AY458" s="63">
        <f t="shared" si="324"/>
        <v>0</v>
      </c>
      <c r="AZ458" s="61">
        <v>0</v>
      </c>
      <c r="BA458" s="63">
        <f t="shared" si="325"/>
        <v>0</v>
      </c>
      <c r="BB458" s="61">
        <v>0</v>
      </c>
      <c r="BC458" s="63">
        <f t="shared" si="326"/>
        <v>0</v>
      </c>
      <c r="BD458" s="61">
        <v>0</v>
      </c>
      <c r="BE458" s="63">
        <f t="shared" si="327"/>
        <v>0</v>
      </c>
      <c r="BF458" s="61">
        <f t="shared" si="328"/>
        <v>0</v>
      </c>
      <c r="BG458" s="63">
        <f t="shared" si="329"/>
        <v>0</v>
      </c>
      <c r="BH458" s="45"/>
      <c r="BI458" s="144"/>
    </row>
    <row r="459" spans="1:61" ht="26.25" customHeight="1" x14ac:dyDescent="0.45">
      <c r="A459" s="140">
        <v>5</v>
      </c>
      <c r="B459" s="141" t="s">
        <v>850</v>
      </c>
      <c r="C459" s="142" t="s">
        <v>1488</v>
      </c>
      <c r="D459" s="143" t="str">
        <f t="shared" si="308"/>
        <v>5.1_1.14.54</v>
      </c>
      <c r="E459" s="56" t="s">
        <v>461</v>
      </c>
      <c r="F459" s="506" t="s">
        <v>457</v>
      </c>
      <c r="G459" s="507" t="s">
        <v>111</v>
      </c>
      <c r="H459" s="507" t="s">
        <v>224</v>
      </c>
      <c r="I459" s="507" t="s">
        <v>458</v>
      </c>
      <c r="J459" s="507" t="s">
        <v>266</v>
      </c>
      <c r="K459" s="507">
        <v>90</v>
      </c>
      <c r="L459" s="507" t="s">
        <v>267</v>
      </c>
      <c r="M459" s="507" t="s">
        <v>114</v>
      </c>
      <c r="N459" s="507" t="s">
        <v>267</v>
      </c>
      <c r="O459" s="57" t="s">
        <v>462</v>
      </c>
      <c r="P459" s="58" t="s">
        <v>21</v>
      </c>
      <c r="Q459" s="59" t="s">
        <v>463</v>
      </c>
      <c r="R459" s="60" t="s">
        <v>71</v>
      </c>
      <c r="S459" s="61">
        <v>54</v>
      </c>
      <c r="T459" s="62">
        <f>INDEX('BM MORRO DA CRUZ'!$P$6:$P$402,MATCH($O459,'BM MORRO DA CRUZ'!$K$6:$K$402,0))</f>
        <v>176.07</v>
      </c>
      <c r="U459" s="63">
        <f t="shared" si="309"/>
        <v>9507.7800000000007</v>
      </c>
      <c r="V459" s="61">
        <f>IFERROR(SUMIFS('01ª MC'!$W$1:$W$1840,'01ª MC'!$C$1:$C$1840,$D459),0)</f>
        <v>0</v>
      </c>
      <c r="W459" s="63">
        <f t="shared" si="310"/>
        <v>0</v>
      </c>
      <c r="X459" s="61">
        <v>0</v>
      </c>
      <c r="Y459" s="63">
        <f t="shared" si="311"/>
        <v>0</v>
      </c>
      <c r="Z459" s="61">
        <v>0</v>
      </c>
      <c r="AA459" s="63">
        <f t="shared" si="312"/>
        <v>0</v>
      </c>
      <c r="AB459" s="61">
        <v>0</v>
      </c>
      <c r="AC459" s="63">
        <f t="shared" si="313"/>
        <v>0</v>
      </c>
      <c r="AD459" s="61">
        <v>0</v>
      </c>
      <c r="AE459" s="63">
        <f t="shared" si="314"/>
        <v>0</v>
      </c>
      <c r="AF459" s="61">
        <v>0</v>
      </c>
      <c r="AG459" s="63">
        <f t="shared" si="315"/>
        <v>0</v>
      </c>
      <c r="AH459" s="61">
        <v>0</v>
      </c>
      <c r="AI459" s="63">
        <f t="shared" si="316"/>
        <v>0</v>
      </c>
      <c r="AJ459" s="61">
        <v>0</v>
      </c>
      <c r="AK459" s="63">
        <f t="shared" si="317"/>
        <v>0</v>
      </c>
      <c r="AL459" s="61">
        <v>0</v>
      </c>
      <c r="AM459" s="63">
        <f t="shared" si="318"/>
        <v>0</v>
      </c>
      <c r="AN459" s="61">
        <v>0</v>
      </c>
      <c r="AO459" s="63">
        <f t="shared" si="319"/>
        <v>0</v>
      </c>
      <c r="AP459" s="61">
        <v>0</v>
      </c>
      <c r="AQ459" s="63">
        <f t="shared" si="320"/>
        <v>0</v>
      </c>
      <c r="AR459" s="61">
        <v>0</v>
      </c>
      <c r="AS459" s="63">
        <f t="shared" si="321"/>
        <v>0</v>
      </c>
      <c r="AT459" s="61">
        <v>0</v>
      </c>
      <c r="AU459" s="63">
        <f t="shared" si="322"/>
        <v>0</v>
      </c>
      <c r="AV459" s="61">
        <v>0</v>
      </c>
      <c r="AW459" s="63">
        <f t="shared" si="323"/>
        <v>0</v>
      </c>
      <c r="AX459" s="61">
        <v>0</v>
      </c>
      <c r="AY459" s="63">
        <f t="shared" si="324"/>
        <v>0</v>
      </c>
      <c r="AZ459" s="61">
        <v>0</v>
      </c>
      <c r="BA459" s="63">
        <f t="shared" si="325"/>
        <v>0</v>
      </c>
      <c r="BB459" s="61">
        <v>0</v>
      </c>
      <c r="BC459" s="63">
        <f t="shared" si="326"/>
        <v>0</v>
      </c>
      <c r="BD459" s="61">
        <v>0</v>
      </c>
      <c r="BE459" s="63">
        <f t="shared" si="327"/>
        <v>0</v>
      </c>
      <c r="BF459" s="61">
        <f t="shared" si="328"/>
        <v>0</v>
      </c>
      <c r="BG459" s="63">
        <f t="shared" si="329"/>
        <v>0</v>
      </c>
      <c r="BH459" s="45"/>
      <c r="BI459" s="144"/>
    </row>
    <row r="460" spans="1:61" ht="26.25" customHeight="1" x14ac:dyDescent="0.45">
      <c r="A460" s="140">
        <v>5</v>
      </c>
      <c r="B460" s="141" t="s">
        <v>850</v>
      </c>
      <c r="C460" s="142" t="s">
        <v>1488</v>
      </c>
      <c r="D460" s="143" t="str">
        <f t="shared" si="308"/>
        <v>5.1_1.14.55</v>
      </c>
      <c r="E460" s="56" t="s">
        <v>464</v>
      </c>
      <c r="F460" s="506" t="s">
        <v>457</v>
      </c>
      <c r="G460" s="507" t="s">
        <v>404</v>
      </c>
      <c r="H460" s="507" t="s">
        <v>224</v>
      </c>
      <c r="I460" s="507" t="s">
        <v>458</v>
      </c>
      <c r="J460" s="507" t="s">
        <v>266</v>
      </c>
      <c r="K460" s="507">
        <v>110</v>
      </c>
      <c r="L460" s="507" t="s">
        <v>267</v>
      </c>
      <c r="M460" s="507" t="s">
        <v>114</v>
      </c>
      <c r="N460" s="507" t="s">
        <v>267</v>
      </c>
      <c r="O460" s="57" t="s">
        <v>465</v>
      </c>
      <c r="P460" s="58" t="s">
        <v>21</v>
      </c>
      <c r="Q460" s="59" t="s">
        <v>466</v>
      </c>
      <c r="R460" s="60" t="s">
        <v>71</v>
      </c>
      <c r="S460" s="61">
        <v>90</v>
      </c>
      <c r="T460" s="62">
        <f>INDEX('BM MORRO DA CRUZ'!$P$6:$P$402,MATCH($O460,'BM MORRO DA CRUZ'!$K$6:$K$402,0))</f>
        <v>278.35000000000002</v>
      </c>
      <c r="U460" s="63">
        <f t="shared" si="309"/>
        <v>25051.5</v>
      </c>
      <c r="V460" s="61">
        <f>IFERROR(SUMIFS('01ª MC'!$W$1:$W$1840,'01ª MC'!$C$1:$C$1840,$D460),0)</f>
        <v>0</v>
      </c>
      <c r="W460" s="63">
        <f t="shared" si="310"/>
        <v>0</v>
      </c>
      <c r="X460" s="61">
        <v>0</v>
      </c>
      <c r="Y460" s="63">
        <f t="shared" si="311"/>
        <v>0</v>
      </c>
      <c r="Z460" s="61">
        <v>0</v>
      </c>
      <c r="AA460" s="63">
        <f t="shared" si="312"/>
        <v>0</v>
      </c>
      <c r="AB460" s="61">
        <v>0</v>
      </c>
      <c r="AC460" s="63">
        <f t="shared" si="313"/>
        <v>0</v>
      </c>
      <c r="AD460" s="61">
        <v>0</v>
      </c>
      <c r="AE460" s="63">
        <f t="shared" si="314"/>
        <v>0</v>
      </c>
      <c r="AF460" s="61">
        <v>0</v>
      </c>
      <c r="AG460" s="63">
        <f t="shared" si="315"/>
        <v>0</v>
      </c>
      <c r="AH460" s="61">
        <v>0</v>
      </c>
      <c r="AI460" s="63">
        <f t="shared" si="316"/>
        <v>0</v>
      </c>
      <c r="AJ460" s="61">
        <v>0</v>
      </c>
      <c r="AK460" s="63">
        <f t="shared" si="317"/>
        <v>0</v>
      </c>
      <c r="AL460" s="61">
        <v>0</v>
      </c>
      <c r="AM460" s="63">
        <f t="shared" si="318"/>
        <v>0</v>
      </c>
      <c r="AN460" s="61">
        <v>0</v>
      </c>
      <c r="AO460" s="63">
        <f t="shared" si="319"/>
        <v>0</v>
      </c>
      <c r="AP460" s="61">
        <v>0</v>
      </c>
      <c r="AQ460" s="63">
        <f t="shared" si="320"/>
        <v>0</v>
      </c>
      <c r="AR460" s="61">
        <v>0</v>
      </c>
      <c r="AS460" s="63">
        <f t="shared" si="321"/>
        <v>0</v>
      </c>
      <c r="AT460" s="61">
        <v>0</v>
      </c>
      <c r="AU460" s="63">
        <f t="shared" si="322"/>
        <v>0</v>
      </c>
      <c r="AV460" s="61">
        <v>0</v>
      </c>
      <c r="AW460" s="63">
        <f t="shared" si="323"/>
        <v>0</v>
      </c>
      <c r="AX460" s="61">
        <v>0</v>
      </c>
      <c r="AY460" s="63">
        <f t="shared" si="324"/>
        <v>0</v>
      </c>
      <c r="AZ460" s="61">
        <v>0</v>
      </c>
      <c r="BA460" s="63">
        <f t="shared" si="325"/>
        <v>0</v>
      </c>
      <c r="BB460" s="61">
        <v>0</v>
      </c>
      <c r="BC460" s="63">
        <f t="shared" si="326"/>
        <v>0</v>
      </c>
      <c r="BD460" s="61">
        <v>0</v>
      </c>
      <c r="BE460" s="63">
        <f t="shared" si="327"/>
        <v>0</v>
      </c>
      <c r="BF460" s="61">
        <f t="shared" si="328"/>
        <v>0</v>
      </c>
      <c r="BG460" s="63">
        <f t="shared" si="329"/>
        <v>0</v>
      </c>
      <c r="BH460" s="45"/>
      <c r="BI460" s="144"/>
    </row>
    <row r="461" spans="1:61" ht="26.25" customHeight="1" x14ac:dyDescent="0.45">
      <c r="A461" s="140">
        <v>5</v>
      </c>
      <c r="B461" s="141" t="s">
        <v>850</v>
      </c>
      <c r="C461" s="142" t="s">
        <v>1488</v>
      </c>
      <c r="D461" s="143" t="str">
        <f t="shared" si="308"/>
        <v>5.1_1.14.56</v>
      </c>
      <c r="E461" s="56" t="s">
        <v>467</v>
      </c>
      <c r="F461" s="506" t="s">
        <v>457</v>
      </c>
      <c r="G461" s="507" t="s">
        <v>404</v>
      </c>
      <c r="H461" s="507" t="s">
        <v>224</v>
      </c>
      <c r="I461" s="507" t="s">
        <v>458</v>
      </c>
      <c r="J461" s="507" t="s">
        <v>266</v>
      </c>
      <c r="K461" s="507">
        <v>125</v>
      </c>
      <c r="L461" s="507" t="s">
        <v>267</v>
      </c>
      <c r="M461" s="507" t="s">
        <v>114</v>
      </c>
      <c r="N461" s="507" t="s">
        <v>267</v>
      </c>
      <c r="O461" s="57" t="s">
        <v>468</v>
      </c>
      <c r="P461" s="58" t="s">
        <v>21</v>
      </c>
      <c r="Q461" s="59" t="s">
        <v>469</v>
      </c>
      <c r="R461" s="60" t="s">
        <v>71</v>
      </c>
      <c r="S461" s="61">
        <v>12</v>
      </c>
      <c r="T461" s="62">
        <f>INDEX('BM MORRO DA CRUZ'!$P$6:$P$402,MATCH($O461,'BM MORRO DA CRUZ'!$K$6:$K$402,0))</f>
        <v>300</v>
      </c>
      <c r="U461" s="63">
        <f t="shared" si="309"/>
        <v>3600</v>
      </c>
      <c r="V461" s="61">
        <f>IFERROR(SUMIFS('01ª MC'!$W$1:$W$1840,'01ª MC'!$C$1:$C$1840,$D461),0)</f>
        <v>0</v>
      </c>
      <c r="W461" s="63">
        <f t="shared" si="310"/>
        <v>0</v>
      </c>
      <c r="X461" s="61">
        <v>0</v>
      </c>
      <c r="Y461" s="63">
        <f t="shared" si="311"/>
        <v>0</v>
      </c>
      <c r="Z461" s="61">
        <v>0</v>
      </c>
      <c r="AA461" s="63">
        <f t="shared" si="312"/>
        <v>0</v>
      </c>
      <c r="AB461" s="61">
        <v>0</v>
      </c>
      <c r="AC461" s="63">
        <f t="shared" si="313"/>
        <v>0</v>
      </c>
      <c r="AD461" s="61">
        <v>0</v>
      </c>
      <c r="AE461" s="63">
        <f t="shared" si="314"/>
        <v>0</v>
      </c>
      <c r="AF461" s="61">
        <v>0</v>
      </c>
      <c r="AG461" s="63">
        <f t="shared" si="315"/>
        <v>0</v>
      </c>
      <c r="AH461" s="61">
        <v>0</v>
      </c>
      <c r="AI461" s="63">
        <f t="shared" si="316"/>
        <v>0</v>
      </c>
      <c r="AJ461" s="61">
        <v>0</v>
      </c>
      <c r="AK461" s="63">
        <f t="shared" si="317"/>
        <v>0</v>
      </c>
      <c r="AL461" s="61">
        <v>0</v>
      </c>
      <c r="AM461" s="63">
        <f t="shared" si="318"/>
        <v>0</v>
      </c>
      <c r="AN461" s="61">
        <v>0</v>
      </c>
      <c r="AO461" s="63">
        <f t="shared" si="319"/>
        <v>0</v>
      </c>
      <c r="AP461" s="61">
        <v>0</v>
      </c>
      <c r="AQ461" s="63">
        <f t="shared" si="320"/>
        <v>0</v>
      </c>
      <c r="AR461" s="61">
        <v>0</v>
      </c>
      <c r="AS461" s="63">
        <f t="shared" si="321"/>
        <v>0</v>
      </c>
      <c r="AT461" s="61">
        <v>0</v>
      </c>
      <c r="AU461" s="63">
        <f t="shared" si="322"/>
        <v>0</v>
      </c>
      <c r="AV461" s="61">
        <v>0</v>
      </c>
      <c r="AW461" s="63">
        <f t="shared" si="323"/>
        <v>0</v>
      </c>
      <c r="AX461" s="61">
        <v>0</v>
      </c>
      <c r="AY461" s="63">
        <f t="shared" si="324"/>
        <v>0</v>
      </c>
      <c r="AZ461" s="61">
        <v>0</v>
      </c>
      <c r="BA461" s="63">
        <f t="shared" si="325"/>
        <v>0</v>
      </c>
      <c r="BB461" s="61">
        <v>0</v>
      </c>
      <c r="BC461" s="63">
        <f t="shared" si="326"/>
        <v>0</v>
      </c>
      <c r="BD461" s="61">
        <v>0</v>
      </c>
      <c r="BE461" s="63">
        <f t="shared" si="327"/>
        <v>0</v>
      </c>
      <c r="BF461" s="61">
        <f t="shared" si="328"/>
        <v>0</v>
      </c>
      <c r="BG461" s="63">
        <f t="shared" si="329"/>
        <v>0</v>
      </c>
      <c r="BH461" s="45"/>
      <c r="BI461" s="144"/>
    </row>
    <row r="462" spans="1:61" ht="26.25" customHeight="1" x14ac:dyDescent="0.45">
      <c r="A462" s="140">
        <v>5</v>
      </c>
      <c r="B462" s="141" t="s">
        <v>850</v>
      </c>
      <c r="C462" s="142" t="s">
        <v>1488</v>
      </c>
      <c r="D462" s="143" t="str">
        <f t="shared" si="308"/>
        <v>5.1_1.14.57</v>
      </c>
      <c r="E462" s="56" t="s">
        <v>470</v>
      </c>
      <c r="F462" s="506" t="s">
        <v>471</v>
      </c>
      <c r="G462" s="507" t="s">
        <v>404</v>
      </c>
      <c r="H462" s="507" t="s">
        <v>224</v>
      </c>
      <c r="I462" s="507" t="s">
        <v>458</v>
      </c>
      <c r="J462" s="507" t="s">
        <v>273</v>
      </c>
      <c r="K462" s="507">
        <v>90</v>
      </c>
      <c r="L462" s="507" t="s">
        <v>267</v>
      </c>
      <c r="M462" s="507" t="s">
        <v>114</v>
      </c>
      <c r="N462" s="507" t="s">
        <v>267</v>
      </c>
      <c r="O462" s="57" t="s">
        <v>472</v>
      </c>
      <c r="P462" s="58" t="s">
        <v>21</v>
      </c>
      <c r="Q462" s="59" t="s">
        <v>473</v>
      </c>
      <c r="R462" s="60" t="s">
        <v>474</v>
      </c>
      <c r="S462" s="61">
        <v>12</v>
      </c>
      <c r="T462" s="62">
        <f>INDEX('BM MORRO DA CRUZ'!$P$6:$P$402,MATCH($O462,'BM MORRO DA CRUZ'!$K$6:$K$402,0))</f>
        <v>197.62</v>
      </c>
      <c r="U462" s="63">
        <f t="shared" si="309"/>
        <v>2371.44</v>
      </c>
      <c r="V462" s="61">
        <f>IFERROR(SUMIFS('01ª MC'!$W$1:$W$1840,'01ª MC'!$C$1:$C$1840,$D462),0)</f>
        <v>0</v>
      </c>
      <c r="W462" s="63">
        <f t="shared" si="310"/>
        <v>0</v>
      </c>
      <c r="X462" s="61">
        <v>0</v>
      </c>
      <c r="Y462" s="63">
        <f t="shared" si="311"/>
        <v>0</v>
      </c>
      <c r="Z462" s="61">
        <v>0</v>
      </c>
      <c r="AA462" s="63">
        <f t="shared" si="312"/>
        <v>0</v>
      </c>
      <c r="AB462" s="61">
        <v>0</v>
      </c>
      <c r="AC462" s="63">
        <f t="shared" si="313"/>
        <v>0</v>
      </c>
      <c r="AD462" s="61">
        <v>0</v>
      </c>
      <c r="AE462" s="63">
        <f t="shared" si="314"/>
        <v>0</v>
      </c>
      <c r="AF462" s="61">
        <v>0</v>
      </c>
      <c r="AG462" s="63">
        <f t="shared" si="315"/>
        <v>0</v>
      </c>
      <c r="AH462" s="61">
        <v>0</v>
      </c>
      <c r="AI462" s="63">
        <f t="shared" si="316"/>
        <v>0</v>
      </c>
      <c r="AJ462" s="61">
        <v>0</v>
      </c>
      <c r="AK462" s="63">
        <f t="shared" si="317"/>
        <v>0</v>
      </c>
      <c r="AL462" s="61">
        <v>0</v>
      </c>
      <c r="AM462" s="63">
        <f t="shared" si="318"/>
        <v>0</v>
      </c>
      <c r="AN462" s="61">
        <v>0</v>
      </c>
      <c r="AO462" s="63">
        <f t="shared" si="319"/>
        <v>0</v>
      </c>
      <c r="AP462" s="61">
        <v>0</v>
      </c>
      <c r="AQ462" s="63">
        <f t="shared" si="320"/>
        <v>0</v>
      </c>
      <c r="AR462" s="61">
        <v>0</v>
      </c>
      <c r="AS462" s="63">
        <f t="shared" si="321"/>
        <v>0</v>
      </c>
      <c r="AT462" s="61">
        <v>0</v>
      </c>
      <c r="AU462" s="63">
        <f t="shared" si="322"/>
        <v>0</v>
      </c>
      <c r="AV462" s="61">
        <v>0</v>
      </c>
      <c r="AW462" s="63">
        <f t="shared" si="323"/>
        <v>0</v>
      </c>
      <c r="AX462" s="61">
        <v>0</v>
      </c>
      <c r="AY462" s="63">
        <f t="shared" si="324"/>
        <v>0</v>
      </c>
      <c r="AZ462" s="61">
        <v>0</v>
      </c>
      <c r="BA462" s="63">
        <f t="shared" si="325"/>
        <v>0</v>
      </c>
      <c r="BB462" s="61">
        <v>0</v>
      </c>
      <c r="BC462" s="63">
        <f t="shared" si="326"/>
        <v>0</v>
      </c>
      <c r="BD462" s="61">
        <v>0</v>
      </c>
      <c r="BE462" s="63">
        <f t="shared" si="327"/>
        <v>0</v>
      </c>
      <c r="BF462" s="61">
        <f t="shared" si="328"/>
        <v>0</v>
      </c>
      <c r="BG462" s="63">
        <f t="shared" si="329"/>
        <v>0</v>
      </c>
      <c r="BH462" s="45"/>
      <c r="BI462" s="144"/>
    </row>
    <row r="463" spans="1:61" ht="26.25" customHeight="1" x14ac:dyDescent="0.45">
      <c r="A463" s="140">
        <v>5</v>
      </c>
      <c r="B463" s="141" t="s">
        <v>850</v>
      </c>
      <c r="C463" s="142" t="s">
        <v>1488</v>
      </c>
      <c r="D463" s="143" t="str">
        <f t="shared" si="308"/>
        <v>5.1_1.14.58</v>
      </c>
      <c r="E463" s="56" t="s">
        <v>475</v>
      </c>
      <c r="F463" s="506" t="s">
        <v>471</v>
      </c>
      <c r="G463" s="507" t="s">
        <v>111</v>
      </c>
      <c r="H463" s="507" t="s">
        <v>224</v>
      </c>
      <c r="I463" s="507" t="s">
        <v>458</v>
      </c>
      <c r="J463" s="507" t="s">
        <v>273</v>
      </c>
      <c r="K463" s="507">
        <v>225</v>
      </c>
      <c r="L463" s="507" t="s">
        <v>267</v>
      </c>
      <c r="M463" s="507" t="s">
        <v>114</v>
      </c>
      <c r="N463" s="507" t="s">
        <v>267</v>
      </c>
      <c r="O463" s="57" t="s">
        <v>476</v>
      </c>
      <c r="P463" s="58" t="s">
        <v>21</v>
      </c>
      <c r="Q463" s="59" t="s">
        <v>477</v>
      </c>
      <c r="R463" s="60" t="s">
        <v>71</v>
      </c>
      <c r="S463" s="61">
        <v>44</v>
      </c>
      <c r="T463" s="62">
        <f>INDEX('BM MORRO DA CRUZ'!$P$6:$P$402,MATCH($O463,'BM MORRO DA CRUZ'!$K$6:$K$402,0))</f>
        <v>1065.68</v>
      </c>
      <c r="U463" s="63">
        <f t="shared" si="309"/>
        <v>46889.919999999998</v>
      </c>
      <c r="V463" s="61">
        <f>IFERROR(SUMIFS('01ª MC'!$W$1:$W$1840,'01ª MC'!$C$1:$C$1840,$D463),0)</f>
        <v>0</v>
      </c>
      <c r="W463" s="63">
        <f t="shared" si="310"/>
        <v>0</v>
      </c>
      <c r="X463" s="61">
        <v>0</v>
      </c>
      <c r="Y463" s="63">
        <f t="shared" si="311"/>
        <v>0</v>
      </c>
      <c r="Z463" s="61">
        <v>0</v>
      </c>
      <c r="AA463" s="63">
        <f t="shared" si="312"/>
        <v>0</v>
      </c>
      <c r="AB463" s="61">
        <v>0</v>
      </c>
      <c r="AC463" s="63">
        <f t="shared" si="313"/>
        <v>0</v>
      </c>
      <c r="AD463" s="61">
        <v>0</v>
      </c>
      <c r="AE463" s="63">
        <f t="shared" si="314"/>
        <v>0</v>
      </c>
      <c r="AF463" s="61">
        <v>0</v>
      </c>
      <c r="AG463" s="63">
        <f t="shared" si="315"/>
        <v>0</v>
      </c>
      <c r="AH463" s="61">
        <v>0</v>
      </c>
      <c r="AI463" s="63">
        <f t="shared" si="316"/>
        <v>0</v>
      </c>
      <c r="AJ463" s="61">
        <v>0</v>
      </c>
      <c r="AK463" s="63">
        <f t="shared" si="317"/>
        <v>0</v>
      </c>
      <c r="AL463" s="61">
        <v>0</v>
      </c>
      <c r="AM463" s="63">
        <f t="shared" si="318"/>
        <v>0</v>
      </c>
      <c r="AN463" s="61">
        <v>0</v>
      </c>
      <c r="AO463" s="63">
        <f t="shared" si="319"/>
        <v>0</v>
      </c>
      <c r="AP463" s="61">
        <v>0</v>
      </c>
      <c r="AQ463" s="63">
        <f t="shared" si="320"/>
        <v>0</v>
      </c>
      <c r="AR463" s="61">
        <v>0</v>
      </c>
      <c r="AS463" s="63">
        <f t="shared" si="321"/>
        <v>0</v>
      </c>
      <c r="AT463" s="61">
        <v>0</v>
      </c>
      <c r="AU463" s="63">
        <f t="shared" si="322"/>
        <v>0</v>
      </c>
      <c r="AV463" s="61">
        <v>0</v>
      </c>
      <c r="AW463" s="63">
        <f t="shared" si="323"/>
        <v>0</v>
      </c>
      <c r="AX463" s="61">
        <v>0</v>
      </c>
      <c r="AY463" s="63">
        <f t="shared" si="324"/>
        <v>0</v>
      </c>
      <c r="AZ463" s="61">
        <v>0</v>
      </c>
      <c r="BA463" s="63">
        <f t="shared" si="325"/>
        <v>0</v>
      </c>
      <c r="BB463" s="61">
        <v>0</v>
      </c>
      <c r="BC463" s="63">
        <f t="shared" si="326"/>
        <v>0</v>
      </c>
      <c r="BD463" s="61">
        <v>0</v>
      </c>
      <c r="BE463" s="63">
        <f t="shared" si="327"/>
        <v>0</v>
      </c>
      <c r="BF463" s="61">
        <f t="shared" si="328"/>
        <v>0</v>
      </c>
      <c r="BG463" s="63">
        <f t="shared" si="329"/>
        <v>0</v>
      </c>
      <c r="BH463" s="45"/>
      <c r="BI463" s="144"/>
    </row>
    <row r="464" spans="1:61" ht="26.25" customHeight="1" x14ac:dyDescent="0.45">
      <c r="A464" s="140">
        <v>5</v>
      </c>
      <c r="B464" s="141" t="s">
        <v>850</v>
      </c>
      <c r="C464" s="142" t="s">
        <v>1488</v>
      </c>
      <c r="D464" s="143" t="str">
        <f t="shared" si="308"/>
        <v>5.1_1.14.59</v>
      </c>
      <c r="E464" s="56" t="s">
        <v>478</v>
      </c>
      <c r="F464" s="506" t="s">
        <v>471</v>
      </c>
      <c r="G464" s="507" t="s">
        <v>111</v>
      </c>
      <c r="H464" s="507" t="s">
        <v>224</v>
      </c>
      <c r="I464" s="507" t="s">
        <v>458</v>
      </c>
      <c r="J464" s="507" t="s">
        <v>273</v>
      </c>
      <c r="K464" s="507">
        <v>250</v>
      </c>
      <c r="L464" s="507" t="s">
        <v>267</v>
      </c>
      <c r="M464" s="507" t="s">
        <v>114</v>
      </c>
      <c r="N464" s="507" t="s">
        <v>267</v>
      </c>
      <c r="O464" s="57" t="s">
        <v>479</v>
      </c>
      <c r="P464" s="58" t="s">
        <v>21</v>
      </c>
      <c r="Q464" s="59" t="s">
        <v>480</v>
      </c>
      <c r="R464" s="60" t="s">
        <v>71</v>
      </c>
      <c r="S464" s="61">
        <v>4</v>
      </c>
      <c r="T464" s="62">
        <f>INDEX('BM MORRO DA CRUZ'!$P$6:$P$402,MATCH($O464,'BM MORRO DA CRUZ'!$K$6:$K$402,0))</f>
        <v>1375.07</v>
      </c>
      <c r="U464" s="63">
        <f t="shared" si="309"/>
        <v>5500.28</v>
      </c>
      <c r="V464" s="61">
        <f>IFERROR(SUMIFS('01ª MC'!$W$1:$W$1840,'01ª MC'!$C$1:$C$1840,$D464),0)</f>
        <v>0</v>
      </c>
      <c r="W464" s="63">
        <f t="shared" si="310"/>
        <v>0</v>
      </c>
      <c r="X464" s="61">
        <v>0</v>
      </c>
      <c r="Y464" s="63">
        <f t="shared" si="311"/>
        <v>0</v>
      </c>
      <c r="Z464" s="61">
        <v>0</v>
      </c>
      <c r="AA464" s="63">
        <f t="shared" si="312"/>
        <v>0</v>
      </c>
      <c r="AB464" s="61">
        <v>0</v>
      </c>
      <c r="AC464" s="63">
        <f t="shared" si="313"/>
        <v>0</v>
      </c>
      <c r="AD464" s="61">
        <v>0</v>
      </c>
      <c r="AE464" s="63">
        <f t="shared" si="314"/>
        <v>0</v>
      </c>
      <c r="AF464" s="61">
        <v>0</v>
      </c>
      <c r="AG464" s="63">
        <f t="shared" si="315"/>
        <v>0</v>
      </c>
      <c r="AH464" s="61">
        <v>0</v>
      </c>
      <c r="AI464" s="63">
        <f t="shared" si="316"/>
        <v>0</v>
      </c>
      <c r="AJ464" s="61">
        <v>0</v>
      </c>
      <c r="AK464" s="63">
        <f t="shared" si="317"/>
        <v>0</v>
      </c>
      <c r="AL464" s="61">
        <v>0</v>
      </c>
      <c r="AM464" s="63">
        <f t="shared" si="318"/>
        <v>0</v>
      </c>
      <c r="AN464" s="61">
        <v>0</v>
      </c>
      <c r="AO464" s="63">
        <f t="shared" si="319"/>
        <v>0</v>
      </c>
      <c r="AP464" s="61">
        <v>0</v>
      </c>
      <c r="AQ464" s="63">
        <f t="shared" si="320"/>
        <v>0</v>
      </c>
      <c r="AR464" s="61">
        <v>0</v>
      </c>
      <c r="AS464" s="63">
        <f t="shared" si="321"/>
        <v>0</v>
      </c>
      <c r="AT464" s="61">
        <v>0</v>
      </c>
      <c r="AU464" s="63">
        <f t="shared" si="322"/>
        <v>0</v>
      </c>
      <c r="AV464" s="61">
        <v>0</v>
      </c>
      <c r="AW464" s="63">
        <f t="shared" si="323"/>
        <v>0</v>
      </c>
      <c r="AX464" s="61">
        <v>0</v>
      </c>
      <c r="AY464" s="63">
        <f t="shared" si="324"/>
        <v>0</v>
      </c>
      <c r="AZ464" s="61">
        <v>0</v>
      </c>
      <c r="BA464" s="63">
        <f t="shared" si="325"/>
        <v>0</v>
      </c>
      <c r="BB464" s="61">
        <v>0</v>
      </c>
      <c r="BC464" s="63">
        <f t="shared" si="326"/>
        <v>0</v>
      </c>
      <c r="BD464" s="61">
        <v>0</v>
      </c>
      <c r="BE464" s="63">
        <f t="shared" si="327"/>
        <v>0</v>
      </c>
      <c r="BF464" s="61">
        <f t="shared" si="328"/>
        <v>0</v>
      </c>
      <c r="BG464" s="63">
        <f t="shared" si="329"/>
        <v>0</v>
      </c>
      <c r="BH464" s="45"/>
      <c r="BI464" s="144"/>
    </row>
    <row r="465" spans="1:61" ht="26.25" customHeight="1" x14ac:dyDescent="0.45">
      <c r="A465" s="140">
        <v>5</v>
      </c>
      <c r="B465" s="141" t="s">
        <v>850</v>
      </c>
      <c r="C465" s="142" t="s">
        <v>1488</v>
      </c>
      <c r="D465" s="143" t="str">
        <f t="shared" si="308"/>
        <v>5.1_1.14.60</v>
      </c>
      <c r="E465" s="56" t="s">
        <v>481</v>
      </c>
      <c r="F465" s="506" t="s">
        <v>471</v>
      </c>
      <c r="G465" s="507" t="s">
        <v>111</v>
      </c>
      <c r="H465" s="507" t="s">
        <v>224</v>
      </c>
      <c r="I465" s="507" t="s">
        <v>458</v>
      </c>
      <c r="J465" s="507" t="s">
        <v>273</v>
      </c>
      <c r="K465" s="507">
        <v>280</v>
      </c>
      <c r="L465" s="507" t="s">
        <v>267</v>
      </c>
      <c r="M465" s="507" t="s">
        <v>114</v>
      </c>
      <c r="N465" s="507" t="s">
        <v>267</v>
      </c>
      <c r="O465" s="57" t="s">
        <v>482</v>
      </c>
      <c r="P465" s="58" t="s">
        <v>21</v>
      </c>
      <c r="Q465" s="59" t="s">
        <v>483</v>
      </c>
      <c r="R465" s="60" t="s">
        <v>71</v>
      </c>
      <c r="S465" s="61">
        <v>1</v>
      </c>
      <c r="T465" s="62">
        <f>INDEX('BM MORRO DA CRUZ'!$P$6:$P$402,MATCH($O465,'BM MORRO DA CRUZ'!$K$6:$K$402,0))</f>
        <v>1668.07</v>
      </c>
      <c r="U465" s="63">
        <f t="shared" si="309"/>
        <v>1668.07</v>
      </c>
      <c r="V465" s="61">
        <f>IFERROR(SUMIFS('01ª MC'!$W$1:$W$1840,'01ª MC'!$C$1:$C$1840,$D465),0)</f>
        <v>0</v>
      </c>
      <c r="W465" s="63">
        <f t="shared" si="310"/>
        <v>0</v>
      </c>
      <c r="X465" s="61">
        <v>0</v>
      </c>
      <c r="Y465" s="63">
        <f t="shared" si="311"/>
        <v>0</v>
      </c>
      <c r="Z465" s="61">
        <v>0</v>
      </c>
      <c r="AA465" s="63">
        <f t="shared" si="312"/>
        <v>0</v>
      </c>
      <c r="AB465" s="61">
        <v>0</v>
      </c>
      <c r="AC465" s="63">
        <f t="shared" si="313"/>
        <v>0</v>
      </c>
      <c r="AD465" s="61">
        <v>0</v>
      </c>
      <c r="AE465" s="63">
        <f t="shared" si="314"/>
        <v>0</v>
      </c>
      <c r="AF465" s="61">
        <v>0</v>
      </c>
      <c r="AG465" s="63">
        <f t="shared" si="315"/>
        <v>0</v>
      </c>
      <c r="AH465" s="61">
        <v>0</v>
      </c>
      <c r="AI465" s="63">
        <f t="shared" si="316"/>
        <v>0</v>
      </c>
      <c r="AJ465" s="61">
        <v>0</v>
      </c>
      <c r="AK465" s="63">
        <f t="shared" si="317"/>
        <v>0</v>
      </c>
      <c r="AL465" s="61">
        <v>0</v>
      </c>
      <c r="AM465" s="63">
        <f t="shared" si="318"/>
        <v>0</v>
      </c>
      <c r="AN465" s="61">
        <v>0</v>
      </c>
      <c r="AO465" s="63">
        <f t="shared" si="319"/>
        <v>0</v>
      </c>
      <c r="AP465" s="61">
        <v>0</v>
      </c>
      <c r="AQ465" s="63">
        <f t="shared" si="320"/>
        <v>0</v>
      </c>
      <c r="AR465" s="61">
        <v>0</v>
      </c>
      <c r="AS465" s="63">
        <f t="shared" si="321"/>
        <v>0</v>
      </c>
      <c r="AT465" s="61">
        <v>0</v>
      </c>
      <c r="AU465" s="63">
        <f t="shared" si="322"/>
        <v>0</v>
      </c>
      <c r="AV465" s="61">
        <v>0</v>
      </c>
      <c r="AW465" s="63">
        <f t="shared" si="323"/>
        <v>0</v>
      </c>
      <c r="AX465" s="61">
        <v>0</v>
      </c>
      <c r="AY465" s="63">
        <f t="shared" si="324"/>
        <v>0</v>
      </c>
      <c r="AZ465" s="61">
        <v>0</v>
      </c>
      <c r="BA465" s="63">
        <f t="shared" si="325"/>
        <v>0</v>
      </c>
      <c r="BB465" s="61">
        <v>0</v>
      </c>
      <c r="BC465" s="63">
        <f t="shared" si="326"/>
        <v>0</v>
      </c>
      <c r="BD465" s="61">
        <v>0</v>
      </c>
      <c r="BE465" s="63">
        <f t="shared" si="327"/>
        <v>0</v>
      </c>
      <c r="BF465" s="61">
        <f t="shared" si="328"/>
        <v>0</v>
      </c>
      <c r="BG465" s="63">
        <f t="shared" si="329"/>
        <v>0</v>
      </c>
      <c r="BH465" s="45"/>
      <c r="BI465" s="144"/>
    </row>
    <row r="466" spans="1:61" ht="26.25" customHeight="1" x14ac:dyDescent="0.45">
      <c r="A466" s="140">
        <v>5</v>
      </c>
      <c r="B466" s="141" t="s">
        <v>850</v>
      </c>
      <c r="C466" s="142" t="s">
        <v>1488</v>
      </c>
      <c r="D466" s="143" t="str">
        <f t="shared" si="308"/>
        <v>5.1_1.14.61</v>
      </c>
      <c r="E466" s="56" t="s">
        <v>484</v>
      </c>
      <c r="F466" s="506" t="s">
        <v>471</v>
      </c>
      <c r="G466" s="507" t="s">
        <v>111</v>
      </c>
      <c r="H466" s="507" t="s">
        <v>224</v>
      </c>
      <c r="I466" s="507" t="s">
        <v>458</v>
      </c>
      <c r="J466" s="507" t="s">
        <v>273</v>
      </c>
      <c r="K466" s="507">
        <v>315</v>
      </c>
      <c r="L466" s="507" t="s">
        <v>267</v>
      </c>
      <c r="M466" s="507" t="s">
        <v>114</v>
      </c>
      <c r="N466" s="507" t="s">
        <v>267</v>
      </c>
      <c r="O466" s="57" t="s">
        <v>485</v>
      </c>
      <c r="P466" s="58" t="s">
        <v>21</v>
      </c>
      <c r="Q466" s="59" t="s">
        <v>486</v>
      </c>
      <c r="R466" s="60" t="s">
        <v>71</v>
      </c>
      <c r="S466" s="61">
        <v>5</v>
      </c>
      <c r="T466" s="62">
        <f>INDEX('BM MORRO DA CRUZ'!$P$6:$P$402,MATCH($O466,'BM MORRO DA CRUZ'!$K$6:$K$402,0))</f>
        <v>2529.9299999999998</v>
      </c>
      <c r="U466" s="63">
        <f t="shared" si="309"/>
        <v>12649.65</v>
      </c>
      <c r="V466" s="61">
        <f>IFERROR(SUMIFS('01ª MC'!$W$1:$W$1840,'01ª MC'!$C$1:$C$1840,$D466),0)</f>
        <v>0</v>
      </c>
      <c r="W466" s="63">
        <f t="shared" si="310"/>
        <v>0</v>
      </c>
      <c r="X466" s="61">
        <v>0</v>
      </c>
      <c r="Y466" s="63">
        <f t="shared" si="311"/>
        <v>0</v>
      </c>
      <c r="Z466" s="61">
        <v>0</v>
      </c>
      <c r="AA466" s="63">
        <f t="shared" si="312"/>
        <v>0</v>
      </c>
      <c r="AB466" s="61">
        <v>0</v>
      </c>
      <c r="AC466" s="63">
        <f t="shared" si="313"/>
        <v>0</v>
      </c>
      <c r="AD466" s="61">
        <v>0</v>
      </c>
      <c r="AE466" s="63">
        <f t="shared" si="314"/>
        <v>0</v>
      </c>
      <c r="AF466" s="61">
        <v>0</v>
      </c>
      <c r="AG466" s="63">
        <f t="shared" si="315"/>
        <v>0</v>
      </c>
      <c r="AH466" s="61">
        <v>0</v>
      </c>
      <c r="AI466" s="63">
        <f t="shared" si="316"/>
        <v>0</v>
      </c>
      <c r="AJ466" s="61">
        <v>0</v>
      </c>
      <c r="AK466" s="63">
        <f t="shared" si="317"/>
        <v>0</v>
      </c>
      <c r="AL466" s="61">
        <v>0</v>
      </c>
      <c r="AM466" s="63">
        <f t="shared" si="318"/>
        <v>0</v>
      </c>
      <c r="AN466" s="61">
        <v>0</v>
      </c>
      <c r="AO466" s="63">
        <f t="shared" si="319"/>
        <v>0</v>
      </c>
      <c r="AP466" s="61">
        <v>0</v>
      </c>
      <c r="AQ466" s="63">
        <f t="shared" si="320"/>
        <v>0</v>
      </c>
      <c r="AR466" s="61">
        <v>0</v>
      </c>
      <c r="AS466" s="63">
        <f t="shared" si="321"/>
        <v>0</v>
      </c>
      <c r="AT466" s="61">
        <v>0</v>
      </c>
      <c r="AU466" s="63">
        <f t="shared" si="322"/>
        <v>0</v>
      </c>
      <c r="AV466" s="61">
        <v>0</v>
      </c>
      <c r="AW466" s="63">
        <f t="shared" si="323"/>
        <v>0</v>
      </c>
      <c r="AX466" s="61">
        <v>0</v>
      </c>
      <c r="AY466" s="63">
        <f t="shared" si="324"/>
        <v>0</v>
      </c>
      <c r="AZ466" s="61">
        <v>0</v>
      </c>
      <c r="BA466" s="63">
        <f t="shared" si="325"/>
        <v>0</v>
      </c>
      <c r="BB466" s="61">
        <v>0</v>
      </c>
      <c r="BC466" s="63">
        <f t="shared" si="326"/>
        <v>0</v>
      </c>
      <c r="BD466" s="61">
        <v>0</v>
      </c>
      <c r="BE466" s="63">
        <f t="shared" si="327"/>
        <v>0</v>
      </c>
      <c r="BF466" s="61">
        <f t="shared" si="328"/>
        <v>0</v>
      </c>
      <c r="BG466" s="63">
        <f t="shared" si="329"/>
        <v>0</v>
      </c>
      <c r="BH466" s="45"/>
      <c r="BI466" s="144"/>
    </row>
    <row r="467" spans="1:61" ht="26.25" customHeight="1" x14ac:dyDescent="0.45">
      <c r="A467" s="140">
        <v>5</v>
      </c>
      <c r="B467" s="141" t="s">
        <v>850</v>
      </c>
      <c r="C467" s="142" t="s">
        <v>1488</v>
      </c>
      <c r="D467" s="143" t="str">
        <f t="shared" si="308"/>
        <v>5.1_1.14.62</v>
      </c>
      <c r="E467" s="56" t="s">
        <v>487</v>
      </c>
      <c r="F467" s="506" t="s">
        <v>471</v>
      </c>
      <c r="G467" s="507" t="s">
        <v>111</v>
      </c>
      <c r="H467" s="507" t="s">
        <v>224</v>
      </c>
      <c r="I467" s="507" t="s">
        <v>458</v>
      </c>
      <c r="J467" s="507" t="s">
        <v>273</v>
      </c>
      <c r="K467" s="507">
        <v>355</v>
      </c>
      <c r="L467" s="507" t="s">
        <v>267</v>
      </c>
      <c r="M467" s="507" t="s">
        <v>114</v>
      </c>
      <c r="N467" s="507" t="s">
        <v>267</v>
      </c>
      <c r="O467" s="57" t="s">
        <v>488</v>
      </c>
      <c r="P467" s="58" t="s">
        <v>21</v>
      </c>
      <c r="Q467" s="59" t="s">
        <v>489</v>
      </c>
      <c r="R467" s="60" t="s">
        <v>71</v>
      </c>
      <c r="S467" s="61">
        <v>2</v>
      </c>
      <c r="T467" s="62">
        <f>INDEX('BM MORRO DA CRUZ'!$P$6:$P$402,MATCH($O467,'BM MORRO DA CRUZ'!$K$6:$K$402,0))</f>
        <v>2904.73</v>
      </c>
      <c r="U467" s="63">
        <f t="shared" si="309"/>
        <v>5809.46</v>
      </c>
      <c r="V467" s="61">
        <f>IFERROR(SUMIFS('01ª MC'!$W$1:$W$1840,'01ª MC'!$C$1:$C$1840,$D467),0)</f>
        <v>0</v>
      </c>
      <c r="W467" s="63">
        <f t="shared" si="310"/>
        <v>0</v>
      </c>
      <c r="X467" s="61">
        <v>0</v>
      </c>
      <c r="Y467" s="63">
        <f t="shared" si="311"/>
        <v>0</v>
      </c>
      <c r="Z467" s="61">
        <v>0</v>
      </c>
      <c r="AA467" s="63">
        <f t="shared" si="312"/>
        <v>0</v>
      </c>
      <c r="AB467" s="61">
        <v>0</v>
      </c>
      <c r="AC467" s="63">
        <f t="shared" si="313"/>
        <v>0</v>
      </c>
      <c r="AD467" s="61">
        <v>0</v>
      </c>
      <c r="AE467" s="63">
        <f t="shared" si="314"/>
        <v>0</v>
      </c>
      <c r="AF467" s="61">
        <v>0</v>
      </c>
      <c r="AG467" s="63">
        <f t="shared" si="315"/>
        <v>0</v>
      </c>
      <c r="AH467" s="61">
        <v>0</v>
      </c>
      <c r="AI467" s="63">
        <f t="shared" si="316"/>
        <v>0</v>
      </c>
      <c r="AJ467" s="61">
        <v>0</v>
      </c>
      <c r="AK467" s="63">
        <f t="shared" si="317"/>
        <v>0</v>
      </c>
      <c r="AL467" s="61">
        <v>0</v>
      </c>
      <c r="AM467" s="63">
        <f t="shared" si="318"/>
        <v>0</v>
      </c>
      <c r="AN467" s="61">
        <v>0</v>
      </c>
      <c r="AO467" s="63">
        <f t="shared" si="319"/>
        <v>0</v>
      </c>
      <c r="AP467" s="61">
        <v>0</v>
      </c>
      <c r="AQ467" s="63">
        <f t="shared" si="320"/>
        <v>0</v>
      </c>
      <c r="AR467" s="61">
        <v>0</v>
      </c>
      <c r="AS467" s="63">
        <f t="shared" si="321"/>
        <v>0</v>
      </c>
      <c r="AT467" s="61">
        <v>0</v>
      </c>
      <c r="AU467" s="63">
        <f t="shared" si="322"/>
        <v>0</v>
      </c>
      <c r="AV467" s="61">
        <v>0</v>
      </c>
      <c r="AW467" s="63">
        <f t="shared" si="323"/>
        <v>0</v>
      </c>
      <c r="AX467" s="61">
        <v>0</v>
      </c>
      <c r="AY467" s="63">
        <f t="shared" si="324"/>
        <v>0</v>
      </c>
      <c r="AZ467" s="61">
        <v>0</v>
      </c>
      <c r="BA467" s="63">
        <f t="shared" si="325"/>
        <v>0</v>
      </c>
      <c r="BB467" s="61">
        <v>0</v>
      </c>
      <c r="BC467" s="63">
        <f t="shared" si="326"/>
        <v>0</v>
      </c>
      <c r="BD467" s="61">
        <v>0</v>
      </c>
      <c r="BE467" s="63">
        <f t="shared" si="327"/>
        <v>0</v>
      </c>
      <c r="BF467" s="61">
        <f t="shared" si="328"/>
        <v>0</v>
      </c>
      <c r="BG467" s="63">
        <f t="shared" si="329"/>
        <v>0</v>
      </c>
      <c r="BH467" s="45"/>
      <c r="BI467" s="144"/>
    </row>
    <row r="468" spans="1:61" ht="26.25" customHeight="1" x14ac:dyDescent="0.45">
      <c r="A468" s="140">
        <v>5</v>
      </c>
      <c r="B468" s="141" t="s">
        <v>850</v>
      </c>
      <c r="C468" s="142" t="s">
        <v>1488</v>
      </c>
      <c r="D468" s="143" t="str">
        <f t="shared" si="308"/>
        <v>5.1_1.14.63</v>
      </c>
      <c r="E468" s="56" t="s">
        <v>490</v>
      </c>
      <c r="F468" s="506" t="s">
        <v>471</v>
      </c>
      <c r="G468" s="507" t="s">
        <v>111</v>
      </c>
      <c r="H468" s="507" t="s">
        <v>224</v>
      </c>
      <c r="I468" s="507" t="s">
        <v>458</v>
      </c>
      <c r="J468" s="507" t="s">
        <v>273</v>
      </c>
      <c r="K468" s="507">
        <v>500</v>
      </c>
      <c r="L468" s="507" t="s">
        <v>267</v>
      </c>
      <c r="M468" s="507" t="s">
        <v>114</v>
      </c>
      <c r="N468" s="507" t="s">
        <v>267</v>
      </c>
      <c r="O468" s="57" t="s">
        <v>491</v>
      </c>
      <c r="P468" s="58" t="s">
        <v>21</v>
      </c>
      <c r="Q468" s="59" t="s">
        <v>492</v>
      </c>
      <c r="R468" s="60" t="s">
        <v>71</v>
      </c>
      <c r="S468" s="61">
        <v>2</v>
      </c>
      <c r="T468" s="62">
        <f>INDEX('BM MORRO DA CRUZ'!$P$6:$P$402,MATCH($O468,'BM MORRO DA CRUZ'!$K$6:$K$402,0))</f>
        <v>5875.06</v>
      </c>
      <c r="U468" s="63">
        <f t="shared" si="309"/>
        <v>11750.12</v>
      </c>
      <c r="V468" s="61">
        <f>IFERROR(SUMIFS('01ª MC'!$W$1:$W$1840,'01ª MC'!$C$1:$C$1840,$D468),0)</f>
        <v>0</v>
      </c>
      <c r="W468" s="63">
        <f t="shared" si="310"/>
        <v>0</v>
      </c>
      <c r="X468" s="61">
        <v>0</v>
      </c>
      <c r="Y468" s="63">
        <f t="shared" si="311"/>
        <v>0</v>
      </c>
      <c r="Z468" s="61">
        <v>0</v>
      </c>
      <c r="AA468" s="63">
        <f t="shared" si="312"/>
        <v>0</v>
      </c>
      <c r="AB468" s="61">
        <v>0</v>
      </c>
      <c r="AC468" s="63">
        <f t="shared" si="313"/>
        <v>0</v>
      </c>
      <c r="AD468" s="61">
        <v>0</v>
      </c>
      <c r="AE468" s="63">
        <f t="shared" si="314"/>
        <v>0</v>
      </c>
      <c r="AF468" s="61">
        <v>0</v>
      </c>
      <c r="AG468" s="63">
        <f t="shared" si="315"/>
        <v>0</v>
      </c>
      <c r="AH468" s="61">
        <v>0</v>
      </c>
      <c r="AI468" s="63">
        <f t="shared" si="316"/>
        <v>0</v>
      </c>
      <c r="AJ468" s="61">
        <v>0</v>
      </c>
      <c r="AK468" s="63">
        <f t="shared" si="317"/>
        <v>0</v>
      </c>
      <c r="AL468" s="61">
        <v>0</v>
      </c>
      <c r="AM468" s="63">
        <f t="shared" si="318"/>
        <v>0</v>
      </c>
      <c r="AN468" s="61">
        <v>0</v>
      </c>
      <c r="AO468" s="63">
        <f t="shared" si="319"/>
        <v>0</v>
      </c>
      <c r="AP468" s="61">
        <v>0</v>
      </c>
      <c r="AQ468" s="63">
        <f t="shared" si="320"/>
        <v>0</v>
      </c>
      <c r="AR468" s="61">
        <v>0</v>
      </c>
      <c r="AS468" s="63">
        <f t="shared" si="321"/>
        <v>0</v>
      </c>
      <c r="AT468" s="61">
        <v>0</v>
      </c>
      <c r="AU468" s="63">
        <f t="shared" si="322"/>
        <v>0</v>
      </c>
      <c r="AV468" s="61">
        <v>0</v>
      </c>
      <c r="AW468" s="63">
        <f t="shared" si="323"/>
        <v>0</v>
      </c>
      <c r="AX468" s="61">
        <v>0</v>
      </c>
      <c r="AY468" s="63">
        <f t="shared" si="324"/>
        <v>0</v>
      </c>
      <c r="AZ468" s="61">
        <v>0</v>
      </c>
      <c r="BA468" s="63">
        <f t="shared" si="325"/>
        <v>0</v>
      </c>
      <c r="BB468" s="61">
        <v>0</v>
      </c>
      <c r="BC468" s="63">
        <f t="shared" si="326"/>
        <v>0</v>
      </c>
      <c r="BD468" s="61">
        <v>0</v>
      </c>
      <c r="BE468" s="63">
        <f t="shared" si="327"/>
        <v>0</v>
      </c>
      <c r="BF468" s="61">
        <f t="shared" si="328"/>
        <v>0</v>
      </c>
      <c r="BG468" s="63">
        <f t="shared" si="329"/>
        <v>0</v>
      </c>
      <c r="BH468" s="45"/>
      <c r="BI468" s="144"/>
    </row>
    <row r="469" spans="1:61" ht="26.25" customHeight="1" x14ac:dyDescent="0.45">
      <c r="A469" s="140">
        <v>5</v>
      </c>
      <c r="B469" s="141" t="s">
        <v>850</v>
      </c>
      <c r="C469" s="142" t="s">
        <v>1488</v>
      </c>
      <c r="D469" s="143" t="str">
        <f t="shared" si="308"/>
        <v>5.1_1.14.64</v>
      </c>
      <c r="E469" s="56" t="s">
        <v>493</v>
      </c>
      <c r="F469" s="506" t="s">
        <v>471</v>
      </c>
      <c r="G469" s="507" t="s">
        <v>111</v>
      </c>
      <c r="H469" s="507" t="s">
        <v>224</v>
      </c>
      <c r="I469" s="507" t="s">
        <v>458</v>
      </c>
      <c r="J469" s="507" t="s">
        <v>273</v>
      </c>
      <c r="K469" s="507">
        <v>160</v>
      </c>
      <c r="L469" s="507" t="s">
        <v>267</v>
      </c>
      <c r="M469" s="507" t="s">
        <v>114</v>
      </c>
      <c r="N469" s="507" t="s">
        <v>267</v>
      </c>
      <c r="O469" s="57" t="s">
        <v>494</v>
      </c>
      <c r="P469" s="58" t="s">
        <v>21</v>
      </c>
      <c r="Q469" s="59" t="s">
        <v>495</v>
      </c>
      <c r="R469" s="60" t="s">
        <v>71</v>
      </c>
      <c r="S469" s="61">
        <v>110</v>
      </c>
      <c r="T469" s="62">
        <f>INDEX('BM MORRO DA CRUZ'!$P$6:$P$402,MATCH($O469,'BM MORRO DA CRUZ'!$K$6:$K$402,0))</f>
        <v>515.65</v>
      </c>
      <c r="U469" s="63">
        <f t="shared" si="309"/>
        <v>56721.5</v>
      </c>
      <c r="V469" s="61">
        <f>IFERROR(SUMIFS('01ª MC'!$W$1:$W$1840,'01ª MC'!$C$1:$C$1840,$D469),0)</f>
        <v>0</v>
      </c>
      <c r="W469" s="63">
        <f t="shared" si="310"/>
        <v>0</v>
      </c>
      <c r="X469" s="61">
        <v>0</v>
      </c>
      <c r="Y469" s="63">
        <f t="shared" si="311"/>
        <v>0</v>
      </c>
      <c r="Z469" s="61">
        <v>0</v>
      </c>
      <c r="AA469" s="63">
        <f t="shared" si="312"/>
        <v>0</v>
      </c>
      <c r="AB469" s="61">
        <v>0</v>
      </c>
      <c r="AC469" s="63">
        <f t="shared" si="313"/>
        <v>0</v>
      </c>
      <c r="AD469" s="61">
        <v>0</v>
      </c>
      <c r="AE469" s="63">
        <f t="shared" si="314"/>
        <v>0</v>
      </c>
      <c r="AF469" s="61">
        <v>0</v>
      </c>
      <c r="AG469" s="63">
        <f t="shared" si="315"/>
        <v>0</v>
      </c>
      <c r="AH469" s="61">
        <v>0</v>
      </c>
      <c r="AI469" s="63">
        <f t="shared" si="316"/>
        <v>0</v>
      </c>
      <c r="AJ469" s="61">
        <v>0</v>
      </c>
      <c r="AK469" s="63">
        <f t="shared" si="317"/>
        <v>0</v>
      </c>
      <c r="AL469" s="61">
        <v>0</v>
      </c>
      <c r="AM469" s="63">
        <f t="shared" si="318"/>
        <v>0</v>
      </c>
      <c r="AN469" s="61">
        <v>0</v>
      </c>
      <c r="AO469" s="63">
        <f t="shared" si="319"/>
        <v>0</v>
      </c>
      <c r="AP469" s="61">
        <v>0</v>
      </c>
      <c r="AQ469" s="63">
        <f t="shared" si="320"/>
        <v>0</v>
      </c>
      <c r="AR469" s="61">
        <v>0</v>
      </c>
      <c r="AS469" s="63">
        <f t="shared" si="321"/>
        <v>0</v>
      </c>
      <c r="AT469" s="61">
        <v>0</v>
      </c>
      <c r="AU469" s="63">
        <f t="shared" si="322"/>
        <v>0</v>
      </c>
      <c r="AV469" s="61">
        <v>0</v>
      </c>
      <c r="AW469" s="63">
        <f t="shared" si="323"/>
        <v>0</v>
      </c>
      <c r="AX469" s="61">
        <v>0</v>
      </c>
      <c r="AY469" s="63">
        <f t="shared" si="324"/>
        <v>0</v>
      </c>
      <c r="AZ469" s="61">
        <v>0</v>
      </c>
      <c r="BA469" s="63">
        <f t="shared" si="325"/>
        <v>0</v>
      </c>
      <c r="BB469" s="61">
        <v>0</v>
      </c>
      <c r="BC469" s="63">
        <f t="shared" si="326"/>
        <v>0</v>
      </c>
      <c r="BD469" s="61">
        <v>0</v>
      </c>
      <c r="BE469" s="63">
        <f t="shared" si="327"/>
        <v>0</v>
      </c>
      <c r="BF469" s="61">
        <f t="shared" si="328"/>
        <v>0</v>
      </c>
      <c r="BG469" s="63">
        <f t="shared" si="329"/>
        <v>0</v>
      </c>
      <c r="BH469" s="45"/>
      <c r="BI469" s="144"/>
    </row>
    <row r="470" spans="1:61" ht="38.25" customHeight="1" x14ac:dyDescent="0.45">
      <c r="A470" s="140">
        <v>5</v>
      </c>
      <c r="B470" s="141" t="s">
        <v>850</v>
      </c>
      <c r="C470" s="142" t="s">
        <v>1488</v>
      </c>
      <c r="D470" s="143" t="str">
        <f t="shared" ref="D470:D482" si="330">B470&amp;"_"&amp;E470</f>
        <v>5.1_1.14.65</v>
      </c>
      <c r="E470" s="56" t="s">
        <v>496</v>
      </c>
      <c r="F470" s="506" t="s">
        <v>497</v>
      </c>
      <c r="G470" s="507" t="s">
        <v>111</v>
      </c>
      <c r="H470" s="507" t="s">
        <v>224</v>
      </c>
      <c r="I470" s="507" t="s">
        <v>498</v>
      </c>
      <c r="J470" s="507" t="s">
        <v>273</v>
      </c>
      <c r="K470" s="507" t="s">
        <v>441</v>
      </c>
      <c r="L470" s="507" t="s">
        <v>267</v>
      </c>
      <c r="M470" s="507" t="s">
        <v>114</v>
      </c>
      <c r="N470" s="507" t="s">
        <v>267</v>
      </c>
      <c r="O470" s="57" t="s">
        <v>499</v>
      </c>
      <c r="P470" s="58" t="s">
        <v>21</v>
      </c>
      <c r="Q470" s="59" t="s">
        <v>500</v>
      </c>
      <c r="R470" s="60" t="s">
        <v>71</v>
      </c>
      <c r="S470" s="61">
        <v>2</v>
      </c>
      <c r="T470" s="62">
        <f>INDEX('BM MORRO DA CRUZ'!$P$6:$P$402,MATCH($O470,'BM MORRO DA CRUZ'!$K$6:$K$402,0))</f>
        <v>1342.67</v>
      </c>
      <c r="U470" s="63">
        <f t="shared" ref="U470:U482" si="331">ROUND(T470*$S470,2)</f>
        <v>2685.34</v>
      </c>
      <c r="V470" s="61">
        <f>IFERROR(SUMIFS('01ª MC'!$W$1:$W$1840,'01ª MC'!$C$1:$C$1840,$D470),0)</f>
        <v>0</v>
      </c>
      <c r="W470" s="63">
        <f t="shared" ref="W470:W482" si="332">ROUND(V470*$T470,2)</f>
        <v>0</v>
      </c>
      <c r="X470" s="61">
        <v>0</v>
      </c>
      <c r="Y470" s="63">
        <f t="shared" ref="Y470:Y482" si="333">ROUND(X470*$T470,2)</f>
        <v>0</v>
      </c>
      <c r="Z470" s="61">
        <v>0</v>
      </c>
      <c r="AA470" s="63">
        <f t="shared" ref="AA470:AA482" si="334">ROUND(Z470*$T470,2)</f>
        <v>0</v>
      </c>
      <c r="AB470" s="61">
        <v>0</v>
      </c>
      <c r="AC470" s="63">
        <f t="shared" ref="AC470:AC482" si="335">ROUND(AB470*$T470,2)</f>
        <v>0</v>
      </c>
      <c r="AD470" s="61">
        <v>0</v>
      </c>
      <c r="AE470" s="63">
        <f t="shared" ref="AE470:AE482" si="336">ROUND(AD470*$T470,2)</f>
        <v>0</v>
      </c>
      <c r="AF470" s="61">
        <v>0</v>
      </c>
      <c r="AG470" s="63">
        <f t="shared" ref="AG470:AG482" si="337">ROUND(AF470*$T470,2)</f>
        <v>0</v>
      </c>
      <c r="AH470" s="61">
        <v>0</v>
      </c>
      <c r="AI470" s="63">
        <f t="shared" ref="AI470:AI482" si="338">ROUND(AH470*$T470,2)</f>
        <v>0</v>
      </c>
      <c r="AJ470" s="61">
        <v>0</v>
      </c>
      <c r="AK470" s="63">
        <f t="shared" ref="AK470:AK482" si="339">ROUND(AJ470*$T470,2)</f>
        <v>0</v>
      </c>
      <c r="AL470" s="61">
        <v>0</v>
      </c>
      <c r="AM470" s="63">
        <f t="shared" ref="AM470:AM482" si="340">ROUND(AL470*$T470,2)</f>
        <v>0</v>
      </c>
      <c r="AN470" s="61">
        <v>0</v>
      </c>
      <c r="AO470" s="63">
        <f t="shared" ref="AO470:AO482" si="341">ROUND(AN470*$T470,2)</f>
        <v>0</v>
      </c>
      <c r="AP470" s="61">
        <v>0</v>
      </c>
      <c r="AQ470" s="63">
        <f t="shared" ref="AQ470:AQ482" si="342">ROUND(AP470*$T470,2)</f>
        <v>0</v>
      </c>
      <c r="AR470" s="61">
        <v>0</v>
      </c>
      <c r="AS470" s="63">
        <f t="shared" ref="AS470:AS482" si="343">ROUND(AR470*$T470,2)</f>
        <v>0</v>
      </c>
      <c r="AT470" s="61">
        <v>0</v>
      </c>
      <c r="AU470" s="63">
        <f t="shared" ref="AU470:AU482" si="344">ROUND(AT470*$T470,2)</f>
        <v>0</v>
      </c>
      <c r="AV470" s="61">
        <v>0</v>
      </c>
      <c r="AW470" s="63">
        <f t="shared" ref="AW470:AW482" si="345">ROUND(AV470*$T470,2)</f>
        <v>0</v>
      </c>
      <c r="AX470" s="61">
        <v>0</v>
      </c>
      <c r="AY470" s="63">
        <f t="shared" ref="AY470:AY482" si="346">ROUND(AX470*$T470,2)</f>
        <v>0</v>
      </c>
      <c r="AZ470" s="61">
        <v>0</v>
      </c>
      <c r="BA470" s="63">
        <f t="shared" ref="BA470:BA482" si="347">ROUND(AZ470*$T470,2)</f>
        <v>0</v>
      </c>
      <c r="BB470" s="61">
        <v>0</v>
      </c>
      <c r="BC470" s="63">
        <f t="shared" ref="BC470:BC482" si="348">ROUND(BB470*$T470,2)</f>
        <v>0</v>
      </c>
      <c r="BD470" s="61">
        <v>0</v>
      </c>
      <c r="BE470" s="63">
        <f t="shared" ref="BE470:BE482" si="349">ROUND(BD470*$T470,2)</f>
        <v>0</v>
      </c>
      <c r="BF470" s="61">
        <f t="shared" ref="BF470:BF482" si="350">IFERROR(SUMIFS($V470:$BE470,$V$5:$BE$5,$BF$5),0)</f>
        <v>0</v>
      </c>
      <c r="BG470" s="63">
        <f t="shared" ref="BG470:BG482" si="351">SUMIFS($V470:$BE470,$V$5:$BE$5,$W$5)</f>
        <v>0</v>
      </c>
      <c r="BH470" s="45"/>
      <c r="BI470" s="144"/>
    </row>
    <row r="471" spans="1:61" ht="38.25" customHeight="1" x14ac:dyDescent="0.45">
      <c r="A471" s="140">
        <v>5</v>
      </c>
      <c r="B471" s="141" t="s">
        <v>850</v>
      </c>
      <c r="C471" s="142" t="s">
        <v>1488</v>
      </c>
      <c r="D471" s="143" t="str">
        <f t="shared" si="330"/>
        <v>5.1_1.14.66</v>
      </c>
      <c r="E471" s="56" t="s">
        <v>501</v>
      </c>
      <c r="F471" s="506" t="s">
        <v>497</v>
      </c>
      <c r="G471" s="507" t="s">
        <v>111</v>
      </c>
      <c r="H471" s="507" t="s">
        <v>224</v>
      </c>
      <c r="I471" s="507" t="s">
        <v>498</v>
      </c>
      <c r="J471" s="507" t="s">
        <v>273</v>
      </c>
      <c r="K471" s="507" t="s">
        <v>445</v>
      </c>
      <c r="L471" s="507" t="s">
        <v>267</v>
      </c>
      <c r="M471" s="507" t="s">
        <v>114</v>
      </c>
      <c r="N471" s="507" t="s">
        <v>267</v>
      </c>
      <c r="O471" s="57" t="s">
        <v>502</v>
      </c>
      <c r="P471" s="58" t="s">
        <v>21</v>
      </c>
      <c r="Q471" s="59" t="s">
        <v>503</v>
      </c>
      <c r="R471" s="60" t="s">
        <v>71</v>
      </c>
      <c r="S471" s="61">
        <v>2</v>
      </c>
      <c r="T471" s="62">
        <f>INDEX('BM MORRO DA CRUZ'!$P$6:$P$402,MATCH($O471,'BM MORRO DA CRUZ'!$K$6:$K$402,0))</f>
        <v>1249.53</v>
      </c>
      <c r="U471" s="63">
        <f t="shared" si="331"/>
        <v>2499.06</v>
      </c>
      <c r="V471" s="61">
        <f>IFERROR(SUMIFS('01ª MC'!$W$1:$W$1840,'01ª MC'!$C$1:$C$1840,$D471),0)</f>
        <v>0</v>
      </c>
      <c r="W471" s="63">
        <f t="shared" si="332"/>
        <v>0</v>
      </c>
      <c r="X471" s="61">
        <v>0</v>
      </c>
      <c r="Y471" s="63">
        <f t="shared" si="333"/>
        <v>0</v>
      </c>
      <c r="Z471" s="61">
        <v>0</v>
      </c>
      <c r="AA471" s="63">
        <f t="shared" si="334"/>
        <v>0</v>
      </c>
      <c r="AB471" s="61">
        <v>0</v>
      </c>
      <c r="AC471" s="63">
        <f t="shared" si="335"/>
        <v>0</v>
      </c>
      <c r="AD471" s="61">
        <v>0</v>
      </c>
      <c r="AE471" s="63">
        <f t="shared" si="336"/>
        <v>0</v>
      </c>
      <c r="AF471" s="61">
        <v>0</v>
      </c>
      <c r="AG471" s="63">
        <f t="shared" si="337"/>
        <v>0</v>
      </c>
      <c r="AH471" s="61">
        <v>0</v>
      </c>
      <c r="AI471" s="63">
        <f t="shared" si="338"/>
        <v>0</v>
      </c>
      <c r="AJ471" s="61">
        <v>0</v>
      </c>
      <c r="AK471" s="63">
        <f t="shared" si="339"/>
        <v>0</v>
      </c>
      <c r="AL471" s="61">
        <v>0</v>
      </c>
      <c r="AM471" s="63">
        <f t="shared" si="340"/>
        <v>0</v>
      </c>
      <c r="AN471" s="61">
        <v>0</v>
      </c>
      <c r="AO471" s="63">
        <f t="shared" si="341"/>
        <v>0</v>
      </c>
      <c r="AP471" s="61">
        <v>0</v>
      </c>
      <c r="AQ471" s="63">
        <f t="shared" si="342"/>
        <v>0</v>
      </c>
      <c r="AR471" s="61">
        <v>0</v>
      </c>
      <c r="AS471" s="63">
        <f t="shared" si="343"/>
        <v>0</v>
      </c>
      <c r="AT471" s="61">
        <v>0</v>
      </c>
      <c r="AU471" s="63">
        <f t="shared" si="344"/>
        <v>0</v>
      </c>
      <c r="AV471" s="61">
        <v>0</v>
      </c>
      <c r="AW471" s="63">
        <f t="shared" si="345"/>
        <v>0</v>
      </c>
      <c r="AX471" s="61">
        <v>0</v>
      </c>
      <c r="AY471" s="63">
        <f t="shared" si="346"/>
        <v>0</v>
      </c>
      <c r="AZ471" s="61">
        <v>0</v>
      </c>
      <c r="BA471" s="63">
        <f t="shared" si="347"/>
        <v>0</v>
      </c>
      <c r="BB471" s="61">
        <v>0</v>
      </c>
      <c r="BC471" s="63">
        <f t="shared" si="348"/>
        <v>0</v>
      </c>
      <c r="BD471" s="61">
        <v>0</v>
      </c>
      <c r="BE471" s="63">
        <f t="shared" si="349"/>
        <v>0</v>
      </c>
      <c r="BF471" s="61">
        <f t="shared" si="350"/>
        <v>0</v>
      </c>
      <c r="BG471" s="63">
        <f t="shared" si="351"/>
        <v>0</v>
      </c>
      <c r="BH471" s="45"/>
      <c r="BI471" s="144"/>
    </row>
    <row r="472" spans="1:61" ht="38.25" customHeight="1" x14ac:dyDescent="0.45">
      <c r="A472" s="140">
        <v>5</v>
      </c>
      <c r="B472" s="141" t="s">
        <v>850</v>
      </c>
      <c r="C472" s="142" t="s">
        <v>1488</v>
      </c>
      <c r="D472" s="143" t="str">
        <f t="shared" si="330"/>
        <v>5.1_1.14.67</v>
      </c>
      <c r="E472" s="56" t="s">
        <v>504</v>
      </c>
      <c r="F472" s="506" t="s">
        <v>497</v>
      </c>
      <c r="G472" s="507" t="s">
        <v>111</v>
      </c>
      <c r="H472" s="507" t="s">
        <v>224</v>
      </c>
      <c r="I472" s="507" t="s">
        <v>498</v>
      </c>
      <c r="J472" s="507" t="s">
        <v>273</v>
      </c>
      <c r="K472" s="507" t="s">
        <v>505</v>
      </c>
      <c r="L472" s="507" t="s">
        <v>267</v>
      </c>
      <c r="M472" s="507" t="s">
        <v>114</v>
      </c>
      <c r="N472" s="507" t="s">
        <v>267</v>
      </c>
      <c r="O472" s="57" t="s">
        <v>506</v>
      </c>
      <c r="P472" s="58" t="s">
        <v>21</v>
      </c>
      <c r="Q472" s="59" t="s">
        <v>507</v>
      </c>
      <c r="R472" s="60" t="s">
        <v>71</v>
      </c>
      <c r="S472" s="61">
        <v>1</v>
      </c>
      <c r="T472" s="62">
        <f>INDEX('BM MORRO DA CRUZ'!$P$6:$P$402,MATCH($O472,'BM MORRO DA CRUZ'!$K$6:$K$402,0))</f>
        <v>4704.9799999999996</v>
      </c>
      <c r="U472" s="63">
        <f t="shared" si="331"/>
        <v>4704.9799999999996</v>
      </c>
      <c r="V472" s="61">
        <f>IFERROR(SUMIFS('01ª MC'!$W$1:$W$1840,'01ª MC'!$C$1:$C$1840,$D472),0)</f>
        <v>0</v>
      </c>
      <c r="W472" s="63">
        <f t="shared" si="332"/>
        <v>0</v>
      </c>
      <c r="X472" s="61">
        <v>0</v>
      </c>
      <c r="Y472" s="63">
        <f t="shared" si="333"/>
        <v>0</v>
      </c>
      <c r="Z472" s="61">
        <v>0</v>
      </c>
      <c r="AA472" s="63">
        <f t="shared" si="334"/>
        <v>0</v>
      </c>
      <c r="AB472" s="61">
        <v>0</v>
      </c>
      <c r="AC472" s="63">
        <f t="shared" si="335"/>
        <v>0</v>
      </c>
      <c r="AD472" s="61">
        <v>0</v>
      </c>
      <c r="AE472" s="63">
        <f t="shared" si="336"/>
        <v>0</v>
      </c>
      <c r="AF472" s="61">
        <v>0</v>
      </c>
      <c r="AG472" s="63">
        <f t="shared" si="337"/>
        <v>0</v>
      </c>
      <c r="AH472" s="61">
        <v>0</v>
      </c>
      <c r="AI472" s="63">
        <f t="shared" si="338"/>
        <v>0</v>
      </c>
      <c r="AJ472" s="61">
        <v>0</v>
      </c>
      <c r="AK472" s="63">
        <f t="shared" si="339"/>
        <v>0</v>
      </c>
      <c r="AL472" s="61">
        <v>0</v>
      </c>
      <c r="AM472" s="63">
        <f t="shared" si="340"/>
        <v>0</v>
      </c>
      <c r="AN472" s="61">
        <v>0</v>
      </c>
      <c r="AO472" s="63">
        <f t="shared" si="341"/>
        <v>0</v>
      </c>
      <c r="AP472" s="61">
        <v>0</v>
      </c>
      <c r="AQ472" s="63">
        <f t="shared" si="342"/>
        <v>0</v>
      </c>
      <c r="AR472" s="61">
        <v>0</v>
      </c>
      <c r="AS472" s="63">
        <f t="shared" si="343"/>
        <v>0</v>
      </c>
      <c r="AT472" s="61">
        <v>0</v>
      </c>
      <c r="AU472" s="63">
        <f t="shared" si="344"/>
        <v>0</v>
      </c>
      <c r="AV472" s="61">
        <v>0</v>
      </c>
      <c r="AW472" s="63">
        <f t="shared" si="345"/>
        <v>0</v>
      </c>
      <c r="AX472" s="61">
        <v>0</v>
      </c>
      <c r="AY472" s="63">
        <f t="shared" si="346"/>
        <v>0</v>
      </c>
      <c r="AZ472" s="61">
        <v>0</v>
      </c>
      <c r="BA472" s="63">
        <f t="shared" si="347"/>
        <v>0</v>
      </c>
      <c r="BB472" s="61">
        <v>0</v>
      </c>
      <c r="BC472" s="63">
        <f t="shared" si="348"/>
        <v>0</v>
      </c>
      <c r="BD472" s="61">
        <v>0</v>
      </c>
      <c r="BE472" s="63">
        <f t="shared" si="349"/>
        <v>0</v>
      </c>
      <c r="BF472" s="61">
        <f t="shared" si="350"/>
        <v>0</v>
      </c>
      <c r="BG472" s="63">
        <f t="shared" si="351"/>
        <v>0</v>
      </c>
      <c r="BH472" s="45"/>
      <c r="BI472" s="144"/>
    </row>
    <row r="473" spans="1:61" ht="38.25" customHeight="1" x14ac:dyDescent="0.45">
      <c r="A473" s="140">
        <v>5</v>
      </c>
      <c r="B473" s="141" t="s">
        <v>850</v>
      </c>
      <c r="C473" s="142" t="s">
        <v>1488</v>
      </c>
      <c r="D473" s="143" t="str">
        <f t="shared" si="330"/>
        <v>5.1_1.14.68</v>
      </c>
      <c r="E473" s="56" t="s">
        <v>508</v>
      </c>
      <c r="F473" s="506" t="s">
        <v>497</v>
      </c>
      <c r="G473" s="507" t="s">
        <v>404</v>
      </c>
      <c r="H473" s="507" t="s">
        <v>224</v>
      </c>
      <c r="I473" s="507" t="s">
        <v>498</v>
      </c>
      <c r="J473" s="507" t="s">
        <v>273</v>
      </c>
      <c r="K473" s="507" t="s">
        <v>387</v>
      </c>
      <c r="L473" s="507" t="s">
        <v>267</v>
      </c>
      <c r="M473" s="507" t="s">
        <v>114</v>
      </c>
      <c r="N473" s="507" t="s">
        <v>267</v>
      </c>
      <c r="O473" s="57" t="s">
        <v>509</v>
      </c>
      <c r="P473" s="58" t="s">
        <v>21</v>
      </c>
      <c r="Q473" s="59" t="s">
        <v>510</v>
      </c>
      <c r="R473" s="60" t="s">
        <v>71</v>
      </c>
      <c r="S473" s="61">
        <v>3</v>
      </c>
      <c r="T473" s="62">
        <f>INDEX('BM MORRO DA CRUZ'!$P$6:$P$402,MATCH($O473,'BM MORRO DA CRUZ'!$K$6:$K$402,0))</f>
        <v>491.51</v>
      </c>
      <c r="U473" s="63">
        <f t="shared" si="331"/>
        <v>1474.53</v>
      </c>
      <c r="V473" s="61">
        <f>IFERROR(SUMIFS('01ª MC'!$W$1:$W$1840,'01ª MC'!$C$1:$C$1840,$D473),0)</f>
        <v>0</v>
      </c>
      <c r="W473" s="63">
        <f t="shared" si="332"/>
        <v>0</v>
      </c>
      <c r="X473" s="61">
        <v>0</v>
      </c>
      <c r="Y473" s="63">
        <f t="shared" si="333"/>
        <v>0</v>
      </c>
      <c r="Z473" s="61">
        <v>0</v>
      </c>
      <c r="AA473" s="63">
        <f t="shared" si="334"/>
        <v>0</v>
      </c>
      <c r="AB473" s="61">
        <v>0</v>
      </c>
      <c r="AC473" s="63">
        <f t="shared" si="335"/>
        <v>0</v>
      </c>
      <c r="AD473" s="61">
        <v>0</v>
      </c>
      <c r="AE473" s="63">
        <f t="shared" si="336"/>
        <v>0</v>
      </c>
      <c r="AF473" s="61">
        <v>0</v>
      </c>
      <c r="AG473" s="63">
        <f t="shared" si="337"/>
        <v>0</v>
      </c>
      <c r="AH473" s="61">
        <v>0</v>
      </c>
      <c r="AI473" s="63">
        <f t="shared" si="338"/>
        <v>0</v>
      </c>
      <c r="AJ473" s="61">
        <v>0</v>
      </c>
      <c r="AK473" s="63">
        <f t="shared" si="339"/>
        <v>0</v>
      </c>
      <c r="AL473" s="61">
        <v>0</v>
      </c>
      <c r="AM473" s="63">
        <f t="shared" si="340"/>
        <v>0</v>
      </c>
      <c r="AN473" s="61">
        <v>0</v>
      </c>
      <c r="AO473" s="63">
        <f t="shared" si="341"/>
        <v>0</v>
      </c>
      <c r="AP473" s="61">
        <v>0</v>
      </c>
      <c r="AQ473" s="63">
        <f t="shared" si="342"/>
        <v>0</v>
      </c>
      <c r="AR473" s="61">
        <v>0</v>
      </c>
      <c r="AS473" s="63">
        <f t="shared" si="343"/>
        <v>0</v>
      </c>
      <c r="AT473" s="61">
        <v>0</v>
      </c>
      <c r="AU473" s="63">
        <f t="shared" si="344"/>
        <v>0</v>
      </c>
      <c r="AV473" s="61">
        <v>0</v>
      </c>
      <c r="AW473" s="63">
        <f t="shared" si="345"/>
        <v>0</v>
      </c>
      <c r="AX473" s="61">
        <v>0</v>
      </c>
      <c r="AY473" s="63">
        <f t="shared" si="346"/>
        <v>0</v>
      </c>
      <c r="AZ473" s="61">
        <v>0</v>
      </c>
      <c r="BA473" s="63">
        <f t="shared" si="347"/>
        <v>0</v>
      </c>
      <c r="BB473" s="61">
        <v>0</v>
      </c>
      <c r="BC473" s="63">
        <f t="shared" si="348"/>
        <v>0</v>
      </c>
      <c r="BD473" s="61">
        <v>0</v>
      </c>
      <c r="BE473" s="63">
        <f t="shared" si="349"/>
        <v>0</v>
      </c>
      <c r="BF473" s="61">
        <f t="shared" si="350"/>
        <v>0</v>
      </c>
      <c r="BG473" s="63">
        <f t="shared" si="351"/>
        <v>0</v>
      </c>
      <c r="BH473" s="45"/>
      <c r="BI473" s="144"/>
    </row>
    <row r="474" spans="1:61" ht="38.25" customHeight="1" x14ac:dyDescent="0.45">
      <c r="A474" s="140">
        <v>5</v>
      </c>
      <c r="B474" s="141" t="s">
        <v>850</v>
      </c>
      <c r="C474" s="142" t="s">
        <v>1488</v>
      </c>
      <c r="D474" s="143" t="str">
        <f t="shared" si="330"/>
        <v>5.1_1.14.69</v>
      </c>
      <c r="E474" s="56" t="s">
        <v>511</v>
      </c>
      <c r="F474" s="506" t="s">
        <v>512</v>
      </c>
      <c r="G474" s="507" t="s">
        <v>404</v>
      </c>
      <c r="H474" s="507" t="s">
        <v>224</v>
      </c>
      <c r="I474" s="507" t="s">
        <v>513</v>
      </c>
      <c r="J474" s="507" t="s">
        <v>266</v>
      </c>
      <c r="K474" s="507" t="s">
        <v>375</v>
      </c>
      <c r="L474" s="507" t="s">
        <v>267</v>
      </c>
      <c r="M474" s="507" t="s">
        <v>114</v>
      </c>
      <c r="N474" s="507" t="s">
        <v>267</v>
      </c>
      <c r="O474" s="57" t="s">
        <v>514</v>
      </c>
      <c r="P474" s="58" t="s">
        <v>21</v>
      </c>
      <c r="Q474" s="59" t="s">
        <v>515</v>
      </c>
      <c r="R474" s="60" t="s">
        <v>71</v>
      </c>
      <c r="S474" s="61">
        <v>1</v>
      </c>
      <c r="T474" s="62">
        <f>INDEX('BM MORRO DA CRUZ'!$P$6:$P$402,MATCH($O474,'BM MORRO DA CRUZ'!$K$6:$K$402,0))</f>
        <v>238.04</v>
      </c>
      <c r="U474" s="63">
        <f t="shared" si="331"/>
        <v>238.04</v>
      </c>
      <c r="V474" s="61">
        <f>IFERROR(SUMIFS('01ª MC'!$W$1:$W$1840,'01ª MC'!$C$1:$C$1840,$D474),0)</f>
        <v>0</v>
      </c>
      <c r="W474" s="63">
        <f t="shared" si="332"/>
        <v>0</v>
      </c>
      <c r="X474" s="61">
        <v>0</v>
      </c>
      <c r="Y474" s="63">
        <f t="shared" si="333"/>
        <v>0</v>
      </c>
      <c r="Z474" s="61">
        <v>0</v>
      </c>
      <c r="AA474" s="63">
        <f t="shared" si="334"/>
        <v>0</v>
      </c>
      <c r="AB474" s="61">
        <v>0</v>
      </c>
      <c r="AC474" s="63">
        <f t="shared" si="335"/>
        <v>0</v>
      </c>
      <c r="AD474" s="61">
        <v>0</v>
      </c>
      <c r="AE474" s="63">
        <f t="shared" si="336"/>
        <v>0</v>
      </c>
      <c r="AF474" s="61">
        <v>0</v>
      </c>
      <c r="AG474" s="63">
        <f t="shared" si="337"/>
        <v>0</v>
      </c>
      <c r="AH474" s="61">
        <v>0</v>
      </c>
      <c r="AI474" s="63">
        <f t="shared" si="338"/>
        <v>0</v>
      </c>
      <c r="AJ474" s="61">
        <v>0</v>
      </c>
      <c r="AK474" s="63">
        <f t="shared" si="339"/>
        <v>0</v>
      </c>
      <c r="AL474" s="61">
        <v>0</v>
      </c>
      <c r="AM474" s="63">
        <f t="shared" si="340"/>
        <v>0</v>
      </c>
      <c r="AN474" s="61">
        <v>0</v>
      </c>
      <c r="AO474" s="63">
        <f t="shared" si="341"/>
        <v>0</v>
      </c>
      <c r="AP474" s="61">
        <v>0</v>
      </c>
      <c r="AQ474" s="63">
        <f t="shared" si="342"/>
        <v>0</v>
      </c>
      <c r="AR474" s="61">
        <v>0</v>
      </c>
      <c r="AS474" s="63">
        <f t="shared" si="343"/>
        <v>0</v>
      </c>
      <c r="AT474" s="61">
        <v>0</v>
      </c>
      <c r="AU474" s="63">
        <f t="shared" si="344"/>
        <v>0</v>
      </c>
      <c r="AV474" s="61">
        <v>0</v>
      </c>
      <c r="AW474" s="63">
        <f t="shared" si="345"/>
        <v>0</v>
      </c>
      <c r="AX474" s="61">
        <v>0</v>
      </c>
      <c r="AY474" s="63">
        <f t="shared" si="346"/>
        <v>0</v>
      </c>
      <c r="AZ474" s="61">
        <v>0</v>
      </c>
      <c r="BA474" s="63">
        <f t="shared" si="347"/>
        <v>0</v>
      </c>
      <c r="BB474" s="61">
        <v>0</v>
      </c>
      <c r="BC474" s="63">
        <f t="shared" si="348"/>
        <v>0</v>
      </c>
      <c r="BD474" s="61">
        <v>0</v>
      </c>
      <c r="BE474" s="63">
        <f t="shared" si="349"/>
        <v>0</v>
      </c>
      <c r="BF474" s="61">
        <f t="shared" si="350"/>
        <v>0</v>
      </c>
      <c r="BG474" s="63">
        <f t="shared" si="351"/>
        <v>0</v>
      </c>
      <c r="BH474" s="45"/>
      <c r="BI474" s="144"/>
    </row>
    <row r="475" spans="1:61" ht="38.25" customHeight="1" x14ac:dyDescent="0.45">
      <c r="A475" s="140">
        <v>5</v>
      </c>
      <c r="B475" s="141" t="s">
        <v>850</v>
      </c>
      <c r="C475" s="142" t="s">
        <v>1488</v>
      </c>
      <c r="D475" s="143" t="str">
        <f t="shared" si="330"/>
        <v>5.1_1.14.70</v>
      </c>
      <c r="E475" s="56" t="s">
        <v>516</v>
      </c>
      <c r="F475" s="506" t="s">
        <v>512</v>
      </c>
      <c r="G475" s="507" t="s">
        <v>404</v>
      </c>
      <c r="H475" s="507" t="s">
        <v>224</v>
      </c>
      <c r="I475" s="507" t="s">
        <v>513</v>
      </c>
      <c r="J475" s="507" t="s">
        <v>266</v>
      </c>
      <c r="K475" s="507" t="s">
        <v>517</v>
      </c>
      <c r="L475" s="507" t="s">
        <v>267</v>
      </c>
      <c r="M475" s="507" t="s">
        <v>114</v>
      </c>
      <c r="N475" s="507" t="s">
        <v>267</v>
      </c>
      <c r="O475" s="57" t="s">
        <v>518</v>
      </c>
      <c r="P475" s="58" t="s">
        <v>21</v>
      </c>
      <c r="Q475" s="59" t="s">
        <v>519</v>
      </c>
      <c r="R475" s="60" t="s">
        <v>71</v>
      </c>
      <c r="S475" s="61">
        <v>16</v>
      </c>
      <c r="T475" s="62">
        <f>INDEX('BM MORRO DA CRUZ'!$P$6:$P$402,MATCH($O475,'BM MORRO DA CRUZ'!$K$6:$K$402,0))</f>
        <v>479.97</v>
      </c>
      <c r="U475" s="63">
        <f t="shared" si="331"/>
        <v>7679.52</v>
      </c>
      <c r="V475" s="61">
        <f>IFERROR(SUMIFS('01ª MC'!$W$1:$W$1840,'01ª MC'!$C$1:$C$1840,$D475),0)</f>
        <v>0</v>
      </c>
      <c r="W475" s="63">
        <f t="shared" si="332"/>
        <v>0</v>
      </c>
      <c r="X475" s="61">
        <v>0</v>
      </c>
      <c r="Y475" s="63">
        <f t="shared" si="333"/>
        <v>0</v>
      </c>
      <c r="Z475" s="61">
        <v>0</v>
      </c>
      <c r="AA475" s="63">
        <f t="shared" si="334"/>
        <v>0</v>
      </c>
      <c r="AB475" s="61">
        <v>0</v>
      </c>
      <c r="AC475" s="63">
        <f t="shared" si="335"/>
        <v>0</v>
      </c>
      <c r="AD475" s="61">
        <v>0</v>
      </c>
      <c r="AE475" s="63">
        <f t="shared" si="336"/>
        <v>0</v>
      </c>
      <c r="AF475" s="61">
        <v>0</v>
      </c>
      <c r="AG475" s="63">
        <f t="shared" si="337"/>
        <v>0</v>
      </c>
      <c r="AH475" s="61">
        <v>0</v>
      </c>
      <c r="AI475" s="63">
        <f t="shared" si="338"/>
        <v>0</v>
      </c>
      <c r="AJ475" s="61">
        <v>0</v>
      </c>
      <c r="AK475" s="63">
        <f t="shared" si="339"/>
        <v>0</v>
      </c>
      <c r="AL475" s="61">
        <v>0</v>
      </c>
      <c r="AM475" s="63">
        <f t="shared" si="340"/>
        <v>0</v>
      </c>
      <c r="AN475" s="61">
        <v>0</v>
      </c>
      <c r="AO475" s="63">
        <f t="shared" si="341"/>
        <v>0</v>
      </c>
      <c r="AP475" s="61">
        <v>0</v>
      </c>
      <c r="AQ475" s="63">
        <f t="shared" si="342"/>
        <v>0</v>
      </c>
      <c r="AR475" s="61">
        <v>0</v>
      </c>
      <c r="AS475" s="63">
        <f t="shared" si="343"/>
        <v>0</v>
      </c>
      <c r="AT475" s="61">
        <v>0</v>
      </c>
      <c r="AU475" s="63">
        <f t="shared" si="344"/>
        <v>0</v>
      </c>
      <c r="AV475" s="61">
        <v>0</v>
      </c>
      <c r="AW475" s="63">
        <f t="shared" si="345"/>
        <v>0</v>
      </c>
      <c r="AX475" s="61">
        <v>0</v>
      </c>
      <c r="AY475" s="63">
        <f t="shared" si="346"/>
        <v>0</v>
      </c>
      <c r="AZ475" s="61">
        <v>0</v>
      </c>
      <c r="BA475" s="63">
        <f t="shared" si="347"/>
        <v>0</v>
      </c>
      <c r="BB475" s="61">
        <v>0</v>
      </c>
      <c r="BC475" s="63">
        <f t="shared" si="348"/>
        <v>0</v>
      </c>
      <c r="BD475" s="61">
        <v>0</v>
      </c>
      <c r="BE475" s="63">
        <f t="shared" si="349"/>
        <v>0</v>
      </c>
      <c r="BF475" s="61">
        <f t="shared" si="350"/>
        <v>0</v>
      </c>
      <c r="BG475" s="63">
        <f t="shared" si="351"/>
        <v>0</v>
      </c>
      <c r="BH475" s="45"/>
      <c r="BI475" s="144"/>
    </row>
    <row r="476" spans="1:61" ht="38.25" customHeight="1" x14ac:dyDescent="0.45">
      <c r="A476" s="140">
        <v>5</v>
      </c>
      <c r="B476" s="141" t="s">
        <v>850</v>
      </c>
      <c r="C476" s="142" t="s">
        <v>1488</v>
      </c>
      <c r="D476" s="143" t="str">
        <f t="shared" si="330"/>
        <v>5.1_1.14.71</v>
      </c>
      <c r="E476" s="56" t="s">
        <v>520</v>
      </c>
      <c r="F476" s="506" t="s">
        <v>512</v>
      </c>
      <c r="G476" s="507" t="s">
        <v>404</v>
      </c>
      <c r="H476" s="507" t="s">
        <v>224</v>
      </c>
      <c r="I476" s="507" t="s">
        <v>513</v>
      </c>
      <c r="J476" s="507" t="s">
        <v>266</v>
      </c>
      <c r="K476" s="507" t="s">
        <v>521</v>
      </c>
      <c r="L476" s="507" t="s">
        <v>267</v>
      </c>
      <c r="M476" s="507" t="s">
        <v>114</v>
      </c>
      <c r="N476" s="507" t="s">
        <v>267</v>
      </c>
      <c r="O476" s="57" t="s">
        <v>522</v>
      </c>
      <c r="P476" s="58" t="s">
        <v>21</v>
      </c>
      <c r="Q476" s="59" t="s">
        <v>523</v>
      </c>
      <c r="R476" s="60" t="s">
        <v>71</v>
      </c>
      <c r="S476" s="61">
        <v>4</v>
      </c>
      <c r="T476" s="62">
        <f>INDEX('BM MORRO DA CRUZ'!$P$6:$P$402,MATCH($O476,'BM MORRO DA CRUZ'!$K$6:$K$402,0))</f>
        <v>626.02</v>
      </c>
      <c r="U476" s="63">
        <f t="shared" si="331"/>
        <v>2504.08</v>
      </c>
      <c r="V476" s="61">
        <f>IFERROR(SUMIFS('01ª MC'!$W$1:$W$1840,'01ª MC'!$C$1:$C$1840,$D476),0)</f>
        <v>0</v>
      </c>
      <c r="W476" s="63">
        <f t="shared" si="332"/>
        <v>0</v>
      </c>
      <c r="X476" s="61">
        <v>0</v>
      </c>
      <c r="Y476" s="63">
        <f t="shared" si="333"/>
        <v>0</v>
      </c>
      <c r="Z476" s="61">
        <v>0</v>
      </c>
      <c r="AA476" s="63">
        <f t="shared" si="334"/>
        <v>0</v>
      </c>
      <c r="AB476" s="61">
        <v>0</v>
      </c>
      <c r="AC476" s="63">
        <f t="shared" si="335"/>
        <v>0</v>
      </c>
      <c r="AD476" s="61">
        <v>0</v>
      </c>
      <c r="AE476" s="63">
        <f t="shared" si="336"/>
        <v>0</v>
      </c>
      <c r="AF476" s="61">
        <v>0</v>
      </c>
      <c r="AG476" s="63">
        <f t="shared" si="337"/>
        <v>0</v>
      </c>
      <c r="AH476" s="61">
        <v>0</v>
      </c>
      <c r="AI476" s="63">
        <f t="shared" si="338"/>
        <v>0</v>
      </c>
      <c r="AJ476" s="61">
        <v>0</v>
      </c>
      <c r="AK476" s="63">
        <f t="shared" si="339"/>
        <v>0</v>
      </c>
      <c r="AL476" s="61">
        <v>0</v>
      </c>
      <c r="AM476" s="63">
        <f t="shared" si="340"/>
        <v>0</v>
      </c>
      <c r="AN476" s="61">
        <v>0</v>
      </c>
      <c r="AO476" s="63">
        <f t="shared" si="341"/>
        <v>0</v>
      </c>
      <c r="AP476" s="61">
        <v>0</v>
      </c>
      <c r="AQ476" s="63">
        <f t="shared" si="342"/>
        <v>0</v>
      </c>
      <c r="AR476" s="61">
        <v>0</v>
      </c>
      <c r="AS476" s="63">
        <f t="shared" si="343"/>
        <v>0</v>
      </c>
      <c r="AT476" s="61">
        <v>0</v>
      </c>
      <c r="AU476" s="63">
        <f t="shared" si="344"/>
        <v>0</v>
      </c>
      <c r="AV476" s="61">
        <v>0</v>
      </c>
      <c r="AW476" s="63">
        <f t="shared" si="345"/>
        <v>0</v>
      </c>
      <c r="AX476" s="61">
        <v>0</v>
      </c>
      <c r="AY476" s="63">
        <f t="shared" si="346"/>
        <v>0</v>
      </c>
      <c r="AZ476" s="61">
        <v>0</v>
      </c>
      <c r="BA476" s="63">
        <f t="shared" si="347"/>
        <v>0</v>
      </c>
      <c r="BB476" s="61">
        <v>0</v>
      </c>
      <c r="BC476" s="63">
        <f t="shared" si="348"/>
        <v>0</v>
      </c>
      <c r="BD476" s="61">
        <v>0</v>
      </c>
      <c r="BE476" s="63">
        <f t="shared" si="349"/>
        <v>0</v>
      </c>
      <c r="BF476" s="61">
        <f t="shared" si="350"/>
        <v>0</v>
      </c>
      <c r="BG476" s="63">
        <f t="shared" si="351"/>
        <v>0</v>
      </c>
      <c r="BH476" s="45"/>
      <c r="BI476" s="144"/>
    </row>
    <row r="477" spans="1:61" ht="38.25" customHeight="1" x14ac:dyDescent="0.45">
      <c r="A477" s="140">
        <v>5</v>
      </c>
      <c r="B477" s="141" t="s">
        <v>850</v>
      </c>
      <c r="C477" s="142" t="s">
        <v>1488</v>
      </c>
      <c r="D477" s="143" t="str">
        <f t="shared" si="330"/>
        <v>5.1_1.14.72</v>
      </c>
      <c r="E477" s="56" t="s">
        <v>524</v>
      </c>
      <c r="F477" s="506" t="s">
        <v>512</v>
      </c>
      <c r="G477" s="507" t="s">
        <v>404</v>
      </c>
      <c r="H477" s="507" t="s">
        <v>224</v>
      </c>
      <c r="I477" s="507" t="s">
        <v>513</v>
      </c>
      <c r="J477" s="507" t="s">
        <v>266</v>
      </c>
      <c r="K477" s="507" t="s">
        <v>525</v>
      </c>
      <c r="L477" s="507" t="s">
        <v>267</v>
      </c>
      <c r="M477" s="507" t="s">
        <v>114</v>
      </c>
      <c r="N477" s="507" t="s">
        <v>267</v>
      </c>
      <c r="O477" s="57" t="s">
        <v>526</v>
      </c>
      <c r="P477" s="58" t="s">
        <v>21</v>
      </c>
      <c r="Q477" s="59" t="s">
        <v>527</v>
      </c>
      <c r="R477" s="60" t="s">
        <v>71</v>
      </c>
      <c r="S477" s="61">
        <v>1</v>
      </c>
      <c r="T477" s="62">
        <f>INDEX('BM MORRO DA CRUZ'!$P$6:$P$402,MATCH($O477,'BM MORRO DA CRUZ'!$K$6:$K$402,0))</f>
        <v>703</v>
      </c>
      <c r="U477" s="63">
        <f t="shared" si="331"/>
        <v>703</v>
      </c>
      <c r="V477" s="61">
        <f>IFERROR(SUMIFS('01ª MC'!$W$1:$W$1840,'01ª MC'!$C$1:$C$1840,$D477),0)</f>
        <v>0</v>
      </c>
      <c r="W477" s="63">
        <f t="shared" si="332"/>
        <v>0</v>
      </c>
      <c r="X477" s="61">
        <v>0</v>
      </c>
      <c r="Y477" s="63">
        <f t="shared" si="333"/>
        <v>0</v>
      </c>
      <c r="Z477" s="61">
        <v>0</v>
      </c>
      <c r="AA477" s="63">
        <f t="shared" si="334"/>
        <v>0</v>
      </c>
      <c r="AB477" s="61">
        <v>0</v>
      </c>
      <c r="AC477" s="63">
        <f t="shared" si="335"/>
        <v>0</v>
      </c>
      <c r="AD477" s="61">
        <v>0</v>
      </c>
      <c r="AE477" s="63">
        <f t="shared" si="336"/>
        <v>0</v>
      </c>
      <c r="AF477" s="61">
        <v>0</v>
      </c>
      <c r="AG477" s="63">
        <f t="shared" si="337"/>
        <v>0</v>
      </c>
      <c r="AH477" s="61">
        <v>0</v>
      </c>
      <c r="AI477" s="63">
        <f t="shared" si="338"/>
        <v>0</v>
      </c>
      <c r="AJ477" s="61">
        <v>0</v>
      </c>
      <c r="AK477" s="63">
        <f t="shared" si="339"/>
        <v>0</v>
      </c>
      <c r="AL477" s="61">
        <v>0</v>
      </c>
      <c r="AM477" s="63">
        <f t="shared" si="340"/>
        <v>0</v>
      </c>
      <c r="AN477" s="61">
        <v>0</v>
      </c>
      <c r="AO477" s="63">
        <f t="shared" si="341"/>
        <v>0</v>
      </c>
      <c r="AP477" s="61">
        <v>0</v>
      </c>
      <c r="AQ477" s="63">
        <f t="shared" si="342"/>
        <v>0</v>
      </c>
      <c r="AR477" s="61">
        <v>0</v>
      </c>
      <c r="AS477" s="63">
        <f t="shared" si="343"/>
        <v>0</v>
      </c>
      <c r="AT477" s="61">
        <v>0</v>
      </c>
      <c r="AU477" s="63">
        <f t="shared" si="344"/>
        <v>0</v>
      </c>
      <c r="AV477" s="61">
        <v>0</v>
      </c>
      <c r="AW477" s="63">
        <f t="shared" si="345"/>
        <v>0</v>
      </c>
      <c r="AX477" s="61">
        <v>0</v>
      </c>
      <c r="AY477" s="63">
        <f t="shared" si="346"/>
        <v>0</v>
      </c>
      <c r="AZ477" s="61">
        <v>0</v>
      </c>
      <c r="BA477" s="63">
        <f t="shared" si="347"/>
        <v>0</v>
      </c>
      <c r="BB477" s="61">
        <v>0</v>
      </c>
      <c r="BC477" s="63">
        <f t="shared" si="348"/>
        <v>0</v>
      </c>
      <c r="BD477" s="61">
        <v>0</v>
      </c>
      <c r="BE477" s="63">
        <f t="shared" si="349"/>
        <v>0</v>
      </c>
      <c r="BF477" s="61">
        <f t="shared" si="350"/>
        <v>0</v>
      </c>
      <c r="BG477" s="63">
        <f t="shared" si="351"/>
        <v>0</v>
      </c>
      <c r="BH477" s="45"/>
      <c r="BI477" s="144"/>
    </row>
    <row r="478" spans="1:61" ht="38.25" customHeight="1" x14ac:dyDescent="0.45">
      <c r="A478" s="140">
        <v>5</v>
      </c>
      <c r="B478" s="141" t="s">
        <v>850</v>
      </c>
      <c r="C478" s="142" t="s">
        <v>1488</v>
      </c>
      <c r="D478" s="143" t="str">
        <f t="shared" si="330"/>
        <v>5.1_1.14.73</v>
      </c>
      <c r="E478" s="56" t="s">
        <v>528</v>
      </c>
      <c r="F478" s="506" t="s">
        <v>512</v>
      </c>
      <c r="G478" s="507" t="s">
        <v>404</v>
      </c>
      <c r="H478" s="507" t="s">
        <v>224</v>
      </c>
      <c r="I478" s="507" t="s">
        <v>513</v>
      </c>
      <c r="J478" s="507" t="s">
        <v>266</v>
      </c>
      <c r="K478" s="507" t="s">
        <v>529</v>
      </c>
      <c r="L478" s="507" t="s">
        <v>267</v>
      </c>
      <c r="M478" s="507" t="s">
        <v>114</v>
      </c>
      <c r="N478" s="507" t="s">
        <v>267</v>
      </c>
      <c r="O478" s="57" t="s">
        <v>530</v>
      </c>
      <c r="P478" s="58" t="s">
        <v>21</v>
      </c>
      <c r="Q478" s="59" t="s">
        <v>531</v>
      </c>
      <c r="R478" s="60" t="s">
        <v>71</v>
      </c>
      <c r="S478" s="61">
        <v>1</v>
      </c>
      <c r="T478" s="62">
        <f>INDEX('BM MORRO DA CRUZ'!$P$6:$P$402,MATCH($O478,'BM MORRO DA CRUZ'!$K$6:$K$402,0))</f>
        <v>677.14</v>
      </c>
      <c r="U478" s="63">
        <f t="shared" si="331"/>
        <v>677.14</v>
      </c>
      <c r="V478" s="61">
        <f>IFERROR(SUMIFS('01ª MC'!$W$1:$W$1840,'01ª MC'!$C$1:$C$1840,$D478),0)</f>
        <v>0</v>
      </c>
      <c r="W478" s="63">
        <f t="shared" si="332"/>
        <v>0</v>
      </c>
      <c r="X478" s="61">
        <v>0</v>
      </c>
      <c r="Y478" s="63">
        <f t="shared" si="333"/>
        <v>0</v>
      </c>
      <c r="Z478" s="61">
        <v>0</v>
      </c>
      <c r="AA478" s="63">
        <f t="shared" si="334"/>
        <v>0</v>
      </c>
      <c r="AB478" s="61">
        <v>0</v>
      </c>
      <c r="AC478" s="63">
        <f t="shared" si="335"/>
        <v>0</v>
      </c>
      <c r="AD478" s="61">
        <v>0</v>
      </c>
      <c r="AE478" s="63">
        <f t="shared" si="336"/>
        <v>0</v>
      </c>
      <c r="AF478" s="61">
        <v>0</v>
      </c>
      <c r="AG478" s="63">
        <f t="shared" si="337"/>
        <v>0</v>
      </c>
      <c r="AH478" s="61">
        <v>0</v>
      </c>
      <c r="AI478" s="63">
        <f t="shared" si="338"/>
        <v>0</v>
      </c>
      <c r="AJ478" s="61">
        <v>0</v>
      </c>
      <c r="AK478" s="63">
        <f t="shared" si="339"/>
        <v>0</v>
      </c>
      <c r="AL478" s="61">
        <v>0</v>
      </c>
      <c r="AM478" s="63">
        <f t="shared" si="340"/>
        <v>0</v>
      </c>
      <c r="AN478" s="61">
        <v>0</v>
      </c>
      <c r="AO478" s="63">
        <f t="shared" si="341"/>
        <v>0</v>
      </c>
      <c r="AP478" s="61">
        <v>0</v>
      </c>
      <c r="AQ478" s="63">
        <f t="shared" si="342"/>
        <v>0</v>
      </c>
      <c r="AR478" s="61">
        <v>0</v>
      </c>
      <c r="AS478" s="63">
        <f t="shared" si="343"/>
        <v>0</v>
      </c>
      <c r="AT478" s="61">
        <v>0</v>
      </c>
      <c r="AU478" s="63">
        <f t="shared" si="344"/>
        <v>0</v>
      </c>
      <c r="AV478" s="61">
        <v>0</v>
      </c>
      <c r="AW478" s="63">
        <f t="shared" si="345"/>
        <v>0</v>
      </c>
      <c r="AX478" s="61">
        <v>0</v>
      </c>
      <c r="AY478" s="63">
        <f t="shared" si="346"/>
        <v>0</v>
      </c>
      <c r="AZ478" s="61">
        <v>0</v>
      </c>
      <c r="BA478" s="63">
        <f t="shared" si="347"/>
        <v>0</v>
      </c>
      <c r="BB478" s="61">
        <v>0</v>
      </c>
      <c r="BC478" s="63">
        <f t="shared" si="348"/>
        <v>0</v>
      </c>
      <c r="BD478" s="61">
        <v>0</v>
      </c>
      <c r="BE478" s="63">
        <f t="shared" si="349"/>
        <v>0</v>
      </c>
      <c r="BF478" s="61">
        <f t="shared" si="350"/>
        <v>0</v>
      </c>
      <c r="BG478" s="63">
        <f t="shared" si="351"/>
        <v>0</v>
      </c>
      <c r="BH478" s="45"/>
      <c r="BI478" s="144"/>
    </row>
    <row r="479" spans="1:61" ht="38.25" customHeight="1" x14ac:dyDescent="0.45">
      <c r="A479" s="140">
        <v>5</v>
      </c>
      <c r="B479" s="141" t="s">
        <v>850</v>
      </c>
      <c r="C479" s="142" t="s">
        <v>1488</v>
      </c>
      <c r="D479" s="143" t="str">
        <f t="shared" si="330"/>
        <v>5.1_1.14.74</v>
      </c>
      <c r="E479" s="56" t="s">
        <v>532</v>
      </c>
      <c r="F479" s="506" t="s">
        <v>512</v>
      </c>
      <c r="G479" s="507" t="s">
        <v>404</v>
      </c>
      <c r="H479" s="507" t="s">
        <v>224</v>
      </c>
      <c r="I479" s="507" t="s">
        <v>513</v>
      </c>
      <c r="J479" s="507" t="s">
        <v>266</v>
      </c>
      <c r="K479" s="507" t="s">
        <v>533</v>
      </c>
      <c r="L479" s="507" t="s">
        <v>267</v>
      </c>
      <c r="M479" s="507" t="s">
        <v>114</v>
      </c>
      <c r="N479" s="507" t="s">
        <v>267</v>
      </c>
      <c r="O479" s="57" t="s">
        <v>534</v>
      </c>
      <c r="P479" s="58" t="s">
        <v>21</v>
      </c>
      <c r="Q479" s="59" t="s">
        <v>535</v>
      </c>
      <c r="R479" s="60" t="s">
        <v>71</v>
      </c>
      <c r="S479" s="61">
        <v>2</v>
      </c>
      <c r="T479" s="62">
        <f>INDEX('BM MORRO DA CRUZ'!$P$6:$P$402,MATCH($O479,'BM MORRO DA CRUZ'!$K$6:$K$402,0))</f>
        <v>264.24</v>
      </c>
      <c r="U479" s="63">
        <f t="shared" si="331"/>
        <v>528.48</v>
      </c>
      <c r="V479" s="61">
        <f>IFERROR(SUMIFS('01ª MC'!$W$1:$W$1840,'01ª MC'!$C$1:$C$1840,$D479),0)</f>
        <v>0</v>
      </c>
      <c r="W479" s="63">
        <f t="shared" si="332"/>
        <v>0</v>
      </c>
      <c r="X479" s="61">
        <v>0</v>
      </c>
      <c r="Y479" s="63">
        <f t="shared" si="333"/>
        <v>0</v>
      </c>
      <c r="Z479" s="61">
        <v>0</v>
      </c>
      <c r="AA479" s="63">
        <f t="shared" si="334"/>
        <v>0</v>
      </c>
      <c r="AB479" s="61">
        <v>0</v>
      </c>
      <c r="AC479" s="63">
        <f t="shared" si="335"/>
        <v>0</v>
      </c>
      <c r="AD479" s="61">
        <v>0</v>
      </c>
      <c r="AE479" s="63">
        <f t="shared" si="336"/>
        <v>0</v>
      </c>
      <c r="AF479" s="61">
        <v>0</v>
      </c>
      <c r="AG479" s="63">
        <f t="shared" si="337"/>
        <v>0</v>
      </c>
      <c r="AH479" s="61">
        <v>0</v>
      </c>
      <c r="AI479" s="63">
        <f t="shared" si="338"/>
        <v>0</v>
      </c>
      <c r="AJ479" s="61">
        <v>0</v>
      </c>
      <c r="AK479" s="63">
        <f t="shared" si="339"/>
        <v>0</v>
      </c>
      <c r="AL479" s="61">
        <v>0</v>
      </c>
      <c r="AM479" s="63">
        <f t="shared" si="340"/>
        <v>0</v>
      </c>
      <c r="AN479" s="61">
        <v>0</v>
      </c>
      <c r="AO479" s="63">
        <f t="shared" si="341"/>
        <v>0</v>
      </c>
      <c r="AP479" s="61">
        <v>0</v>
      </c>
      <c r="AQ479" s="63">
        <f t="shared" si="342"/>
        <v>0</v>
      </c>
      <c r="AR479" s="61">
        <v>0</v>
      </c>
      <c r="AS479" s="63">
        <f t="shared" si="343"/>
        <v>0</v>
      </c>
      <c r="AT479" s="61">
        <v>0</v>
      </c>
      <c r="AU479" s="63">
        <f t="shared" si="344"/>
        <v>0</v>
      </c>
      <c r="AV479" s="61">
        <v>0</v>
      </c>
      <c r="AW479" s="63">
        <f t="shared" si="345"/>
        <v>0</v>
      </c>
      <c r="AX479" s="61">
        <v>0</v>
      </c>
      <c r="AY479" s="63">
        <f t="shared" si="346"/>
        <v>0</v>
      </c>
      <c r="AZ479" s="61">
        <v>0</v>
      </c>
      <c r="BA479" s="63">
        <f t="shared" si="347"/>
        <v>0</v>
      </c>
      <c r="BB479" s="61">
        <v>0</v>
      </c>
      <c r="BC479" s="63">
        <f t="shared" si="348"/>
        <v>0</v>
      </c>
      <c r="BD479" s="61">
        <v>0</v>
      </c>
      <c r="BE479" s="63">
        <f t="shared" si="349"/>
        <v>0</v>
      </c>
      <c r="BF479" s="61">
        <f t="shared" si="350"/>
        <v>0</v>
      </c>
      <c r="BG479" s="63">
        <f t="shared" si="351"/>
        <v>0</v>
      </c>
      <c r="BH479" s="45"/>
      <c r="BI479" s="144"/>
    </row>
    <row r="480" spans="1:61" ht="38.25" customHeight="1" x14ac:dyDescent="0.45">
      <c r="A480" s="140">
        <v>5</v>
      </c>
      <c r="B480" s="141" t="s">
        <v>850</v>
      </c>
      <c r="C480" s="142" t="s">
        <v>1488</v>
      </c>
      <c r="D480" s="143" t="str">
        <f t="shared" si="330"/>
        <v>5.1_1.14.75</v>
      </c>
      <c r="E480" s="56" t="s">
        <v>536</v>
      </c>
      <c r="F480" s="506" t="s">
        <v>512</v>
      </c>
      <c r="G480" s="507" t="s">
        <v>404</v>
      </c>
      <c r="H480" s="507" t="s">
        <v>224</v>
      </c>
      <c r="I480" s="507" t="s">
        <v>513</v>
      </c>
      <c r="J480" s="507" t="s">
        <v>266</v>
      </c>
      <c r="K480" s="507" t="s">
        <v>399</v>
      </c>
      <c r="L480" s="507" t="s">
        <v>267</v>
      </c>
      <c r="M480" s="507" t="s">
        <v>114</v>
      </c>
      <c r="N480" s="507" t="s">
        <v>267</v>
      </c>
      <c r="O480" s="57" t="s">
        <v>537</v>
      </c>
      <c r="P480" s="58" t="s">
        <v>21</v>
      </c>
      <c r="Q480" s="59" t="s">
        <v>538</v>
      </c>
      <c r="R480" s="60" t="s">
        <v>71</v>
      </c>
      <c r="S480" s="61">
        <v>1</v>
      </c>
      <c r="T480" s="62">
        <f>INDEX('BM MORRO DA CRUZ'!$P$6:$P$402,MATCH($O480,'BM MORRO DA CRUZ'!$K$6:$K$402,0))</f>
        <v>354.71</v>
      </c>
      <c r="U480" s="63">
        <f t="shared" si="331"/>
        <v>354.71</v>
      </c>
      <c r="V480" s="61">
        <f>IFERROR(SUMIFS('01ª MC'!$W$1:$W$1840,'01ª MC'!$C$1:$C$1840,$D480),0)</f>
        <v>0</v>
      </c>
      <c r="W480" s="63">
        <f t="shared" si="332"/>
        <v>0</v>
      </c>
      <c r="X480" s="61">
        <v>0</v>
      </c>
      <c r="Y480" s="63">
        <f t="shared" si="333"/>
        <v>0</v>
      </c>
      <c r="Z480" s="61">
        <v>0</v>
      </c>
      <c r="AA480" s="63">
        <f t="shared" si="334"/>
        <v>0</v>
      </c>
      <c r="AB480" s="61">
        <v>0</v>
      </c>
      <c r="AC480" s="63">
        <f t="shared" si="335"/>
        <v>0</v>
      </c>
      <c r="AD480" s="61">
        <v>0</v>
      </c>
      <c r="AE480" s="63">
        <f t="shared" si="336"/>
        <v>0</v>
      </c>
      <c r="AF480" s="61">
        <v>0</v>
      </c>
      <c r="AG480" s="63">
        <f t="shared" si="337"/>
        <v>0</v>
      </c>
      <c r="AH480" s="61">
        <v>0</v>
      </c>
      <c r="AI480" s="63">
        <f t="shared" si="338"/>
        <v>0</v>
      </c>
      <c r="AJ480" s="61">
        <v>0</v>
      </c>
      <c r="AK480" s="63">
        <f t="shared" si="339"/>
        <v>0</v>
      </c>
      <c r="AL480" s="61">
        <v>0</v>
      </c>
      <c r="AM480" s="63">
        <f t="shared" si="340"/>
        <v>0</v>
      </c>
      <c r="AN480" s="61">
        <v>0</v>
      </c>
      <c r="AO480" s="63">
        <f t="shared" si="341"/>
        <v>0</v>
      </c>
      <c r="AP480" s="61">
        <v>0</v>
      </c>
      <c r="AQ480" s="63">
        <f t="shared" si="342"/>
        <v>0</v>
      </c>
      <c r="AR480" s="61">
        <v>0</v>
      </c>
      <c r="AS480" s="63">
        <f t="shared" si="343"/>
        <v>0</v>
      </c>
      <c r="AT480" s="61">
        <v>0</v>
      </c>
      <c r="AU480" s="63">
        <f t="shared" si="344"/>
        <v>0</v>
      </c>
      <c r="AV480" s="61">
        <v>0</v>
      </c>
      <c r="AW480" s="63">
        <f t="shared" si="345"/>
        <v>0</v>
      </c>
      <c r="AX480" s="61">
        <v>0</v>
      </c>
      <c r="AY480" s="63">
        <f t="shared" si="346"/>
        <v>0</v>
      </c>
      <c r="AZ480" s="61">
        <v>0</v>
      </c>
      <c r="BA480" s="63">
        <f t="shared" si="347"/>
        <v>0</v>
      </c>
      <c r="BB480" s="61">
        <v>0</v>
      </c>
      <c r="BC480" s="63">
        <f t="shared" si="348"/>
        <v>0</v>
      </c>
      <c r="BD480" s="61">
        <v>0</v>
      </c>
      <c r="BE480" s="63">
        <f t="shared" si="349"/>
        <v>0</v>
      </c>
      <c r="BF480" s="61">
        <f t="shared" si="350"/>
        <v>0</v>
      </c>
      <c r="BG480" s="63">
        <f t="shared" si="351"/>
        <v>0</v>
      </c>
      <c r="BH480" s="45"/>
      <c r="BI480" s="144"/>
    </row>
    <row r="481" spans="1:61" ht="26.25" customHeight="1" x14ac:dyDescent="0.45">
      <c r="A481" s="140">
        <v>5</v>
      </c>
      <c r="B481" s="141" t="s">
        <v>850</v>
      </c>
      <c r="C481" s="142" t="s">
        <v>1488</v>
      </c>
      <c r="D481" s="143" t="str">
        <f t="shared" si="330"/>
        <v>5.1_1.14.76</v>
      </c>
      <c r="E481" s="56" t="s">
        <v>539</v>
      </c>
      <c r="F481" s="506" t="s">
        <v>540</v>
      </c>
      <c r="G481" s="507" t="s">
        <v>111</v>
      </c>
      <c r="H481" s="507" t="s">
        <v>224</v>
      </c>
      <c r="I481" s="507" t="s">
        <v>540</v>
      </c>
      <c r="J481" s="507" t="s">
        <v>273</v>
      </c>
      <c r="K481" s="507">
        <v>225</v>
      </c>
      <c r="L481" s="507" t="s">
        <v>267</v>
      </c>
      <c r="M481" s="507" t="s">
        <v>114</v>
      </c>
      <c r="N481" s="507" t="s">
        <v>541</v>
      </c>
      <c r="O481" s="57" t="s">
        <v>542</v>
      </c>
      <c r="P481" s="58" t="s">
        <v>21</v>
      </c>
      <c r="Q481" s="59" t="s">
        <v>543</v>
      </c>
      <c r="R481" s="60" t="s">
        <v>367</v>
      </c>
      <c r="S481" s="61">
        <v>47.91</v>
      </c>
      <c r="T481" s="62">
        <f>INDEX('BM MORRO DA CRUZ'!$P$6:$P$402,MATCH($O481,'BM MORRO DA CRUZ'!$K$6:$K$402,0))</f>
        <v>199.33</v>
      </c>
      <c r="U481" s="63">
        <f t="shared" si="331"/>
        <v>9549.9</v>
      </c>
      <c r="V481" s="61">
        <f>IFERROR(SUMIFS('01ª MC'!$W$1:$W$1840,'01ª MC'!$C$1:$C$1840,$D481),0)</f>
        <v>0</v>
      </c>
      <c r="W481" s="63">
        <f t="shared" si="332"/>
        <v>0</v>
      </c>
      <c r="X481" s="61">
        <v>0</v>
      </c>
      <c r="Y481" s="63">
        <f t="shared" si="333"/>
        <v>0</v>
      </c>
      <c r="Z481" s="61">
        <v>0</v>
      </c>
      <c r="AA481" s="63">
        <f t="shared" si="334"/>
        <v>0</v>
      </c>
      <c r="AB481" s="61">
        <v>0</v>
      </c>
      <c r="AC481" s="63">
        <f t="shared" si="335"/>
        <v>0</v>
      </c>
      <c r="AD481" s="61">
        <v>0</v>
      </c>
      <c r="AE481" s="63">
        <f t="shared" si="336"/>
        <v>0</v>
      </c>
      <c r="AF481" s="61">
        <v>0</v>
      </c>
      <c r="AG481" s="63">
        <f t="shared" si="337"/>
        <v>0</v>
      </c>
      <c r="AH481" s="61">
        <v>0</v>
      </c>
      <c r="AI481" s="63">
        <f t="shared" si="338"/>
        <v>0</v>
      </c>
      <c r="AJ481" s="61">
        <v>0</v>
      </c>
      <c r="AK481" s="63">
        <f t="shared" si="339"/>
        <v>0</v>
      </c>
      <c r="AL481" s="61">
        <v>0</v>
      </c>
      <c r="AM481" s="63">
        <f t="shared" si="340"/>
        <v>0</v>
      </c>
      <c r="AN481" s="61">
        <v>0</v>
      </c>
      <c r="AO481" s="63">
        <f t="shared" si="341"/>
        <v>0</v>
      </c>
      <c r="AP481" s="61">
        <v>0</v>
      </c>
      <c r="AQ481" s="63">
        <f t="shared" si="342"/>
        <v>0</v>
      </c>
      <c r="AR481" s="61">
        <v>0</v>
      </c>
      <c r="AS481" s="63">
        <f t="shared" si="343"/>
        <v>0</v>
      </c>
      <c r="AT481" s="61">
        <v>0</v>
      </c>
      <c r="AU481" s="63">
        <f t="shared" si="344"/>
        <v>0</v>
      </c>
      <c r="AV481" s="61">
        <v>0</v>
      </c>
      <c r="AW481" s="63">
        <f t="shared" si="345"/>
        <v>0</v>
      </c>
      <c r="AX481" s="61">
        <v>0</v>
      </c>
      <c r="AY481" s="63">
        <f t="shared" si="346"/>
        <v>0</v>
      </c>
      <c r="AZ481" s="61">
        <v>0</v>
      </c>
      <c r="BA481" s="63">
        <f t="shared" si="347"/>
        <v>0</v>
      </c>
      <c r="BB481" s="61">
        <v>0</v>
      </c>
      <c r="BC481" s="63">
        <f t="shared" si="348"/>
        <v>0</v>
      </c>
      <c r="BD481" s="61">
        <v>0</v>
      </c>
      <c r="BE481" s="63">
        <f t="shared" si="349"/>
        <v>0</v>
      </c>
      <c r="BF481" s="61">
        <f t="shared" si="350"/>
        <v>0</v>
      </c>
      <c r="BG481" s="63">
        <f t="shared" si="351"/>
        <v>0</v>
      </c>
      <c r="BH481" s="45"/>
      <c r="BI481" s="144"/>
    </row>
    <row r="482" spans="1:61" ht="26.25" customHeight="1" x14ac:dyDescent="0.45">
      <c r="A482" s="140">
        <v>5</v>
      </c>
      <c r="B482" s="141" t="s">
        <v>850</v>
      </c>
      <c r="C482" s="142" t="s">
        <v>1488</v>
      </c>
      <c r="D482" s="143" t="str">
        <f t="shared" si="330"/>
        <v>5.1_1.14.77</v>
      </c>
      <c r="E482" s="56" t="s">
        <v>544</v>
      </c>
      <c r="F482" s="506" t="s">
        <v>540</v>
      </c>
      <c r="G482" s="507" t="s">
        <v>111</v>
      </c>
      <c r="H482" s="507" t="s">
        <v>224</v>
      </c>
      <c r="I482" s="507" t="s">
        <v>540</v>
      </c>
      <c r="J482" s="507" t="s">
        <v>273</v>
      </c>
      <c r="K482" s="507">
        <v>63</v>
      </c>
      <c r="L482" s="507" t="s">
        <v>267</v>
      </c>
      <c r="M482" s="507" t="s">
        <v>545</v>
      </c>
      <c r="N482" s="507" t="s">
        <v>541</v>
      </c>
      <c r="O482" s="57" t="s">
        <v>546</v>
      </c>
      <c r="P482" s="58" t="s">
        <v>21</v>
      </c>
      <c r="Q482" s="59" t="s">
        <v>547</v>
      </c>
      <c r="R482" s="60" t="s">
        <v>367</v>
      </c>
      <c r="S482" s="61">
        <v>31.5</v>
      </c>
      <c r="T482" s="62">
        <f>INDEX('BM MORRO DA CRUZ'!$P$6:$P$402,MATCH($O482,'BM MORRO DA CRUZ'!$K$6:$K$402,0))</f>
        <v>17.059999999999999</v>
      </c>
      <c r="U482" s="63">
        <f t="shared" si="331"/>
        <v>537.39</v>
      </c>
      <c r="V482" s="61">
        <f>IFERROR(SUMIFS('01ª MC'!$W$1:$W$1840,'01ª MC'!$C$1:$C$1840,$D482),0)</f>
        <v>0</v>
      </c>
      <c r="W482" s="63">
        <f t="shared" si="332"/>
        <v>0</v>
      </c>
      <c r="X482" s="61">
        <v>0</v>
      </c>
      <c r="Y482" s="63">
        <f t="shared" si="333"/>
        <v>0</v>
      </c>
      <c r="Z482" s="61">
        <v>0</v>
      </c>
      <c r="AA482" s="63">
        <f t="shared" si="334"/>
        <v>0</v>
      </c>
      <c r="AB482" s="61">
        <v>0</v>
      </c>
      <c r="AC482" s="63">
        <f t="shared" si="335"/>
        <v>0</v>
      </c>
      <c r="AD482" s="61">
        <v>0</v>
      </c>
      <c r="AE482" s="63">
        <f t="shared" si="336"/>
        <v>0</v>
      </c>
      <c r="AF482" s="61">
        <v>0</v>
      </c>
      <c r="AG482" s="63">
        <f t="shared" si="337"/>
        <v>0</v>
      </c>
      <c r="AH482" s="61">
        <v>0</v>
      </c>
      <c r="AI482" s="63">
        <f t="shared" si="338"/>
        <v>0</v>
      </c>
      <c r="AJ482" s="61">
        <v>0</v>
      </c>
      <c r="AK482" s="63">
        <f t="shared" si="339"/>
        <v>0</v>
      </c>
      <c r="AL482" s="61">
        <v>0</v>
      </c>
      <c r="AM482" s="63">
        <f t="shared" si="340"/>
        <v>0</v>
      </c>
      <c r="AN482" s="61">
        <v>0</v>
      </c>
      <c r="AO482" s="63">
        <f t="shared" si="341"/>
        <v>0</v>
      </c>
      <c r="AP482" s="61">
        <v>0</v>
      </c>
      <c r="AQ482" s="63">
        <f t="shared" si="342"/>
        <v>0</v>
      </c>
      <c r="AR482" s="61">
        <v>0</v>
      </c>
      <c r="AS482" s="63">
        <f t="shared" si="343"/>
        <v>0</v>
      </c>
      <c r="AT482" s="61">
        <v>0</v>
      </c>
      <c r="AU482" s="63">
        <f t="shared" si="344"/>
        <v>0</v>
      </c>
      <c r="AV482" s="61">
        <v>0</v>
      </c>
      <c r="AW482" s="63">
        <f t="shared" si="345"/>
        <v>0</v>
      </c>
      <c r="AX482" s="61">
        <v>0</v>
      </c>
      <c r="AY482" s="63">
        <f t="shared" si="346"/>
        <v>0</v>
      </c>
      <c r="AZ482" s="61">
        <v>0</v>
      </c>
      <c r="BA482" s="63">
        <f t="shared" si="347"/>
        <v>0</v>
      </c>
      <c r="BB482" s="61">
        <v>0</v>
      </c>
      <c r="BC482" s="63">
        <f t="shared" si="348"/>
        <v>0</v>
      </c>
      <c r="BD482" s="61">
        <v>0</v>
      </c>
      <c r="BE482" s="63">
        <f t="shared" si="349"/>
        <v>0</v>
      </c>
      <c r="BF482" s="61">
        <f t="shared" si="350"/>
        <v>0</v>
      </c>
      <c r="BG482" s="63">
        <f t="shared" si="351"/>
        <v>0</v>
      </c>
      <c r="BH482" s="45"/>
      <c r="BI482" s="144"/>
    </row>
    <row r="483" spans="1:61" ht="19.5" customHeight="1" x14ac:dyDescent="0.45">
      <c r="A483" s="128">
        <v>5</v>
      </c>
      <c r="B483" s="129"/>
      <c r="C483" s="130"/>
      <c r="D483" s="131"/>
      <c r="E483" s="132" t="s">
        <v>548</v>
      </c>
      <c r="F483" s="515"/>
      <c r="G483" s="516"/>
      <c r="H483" s="516"/>
      <c r="I483" s="516"/>
      <c r="J483" s="516"/>
      <c r="K483" s="516"/>
      <c r="L483" s="516"/>
      <c r="M483" s="516"/>
      <c r="N483" s="516"/>
      <c r="O483" s="133" t="s">
        <v>549</v>
      </c>
      <c r="P483" s="134"/>
      <c r="Q483" s="135" t="s">
        <v>550</v>
      </c>
      <c r="R483" s="136"/>
      <c r="S483" s="137"/>
      <c r="T483" s="138"/>
      <c r="U483" s="139">
        <f>SUM(U484:U529)</f>
        <v>309983.48</v>
      </c>
      <c r="V483" s="137"/>
      <c r="W483" s="139">
        <f>SUM(W484:W529)</f>
        <v>0</v>
      </c>
      <c r="X483" s="137"/>
      <c r="Y483" s="139">
        <f>SUM(Y484:Y529)</f>
        <v>0</v>
      </c>
      <c r="Z483" s="137"/>
      <c r="AA483" s="139">
        <f>SUM(AA484:AA529)</f>
        <v>0</v>
      </c>
      <c r="AB483" s="137"/>
      <c r="AC483" s="139">
        <f>SUM(AC484:AC529)</f>
        <v>0</v>
      </c>
      <c r="AD483" s="137"/>
      <c r="AE483" s="139">
        <f>SUM(AE484:AE529)</f>
        <v>0</v>
      </c>
      <c r="AF483" s="137"/>
      <c r="AG483" s="139">
        <f>SUM(AG484:AG529)</f>
        <v>0</v>
      </c>
      <c r="AH483" s="137"/>
      <c r="AI483" s="139">
        <f>SUM(AI484:AI529)</f>
        <v>0</v>
      </c>
      <c r="AJ483" s="137"/>
      <c r="AK483" s="139">
        <f>SUM(AK484:AK529)</f>
        <v>0</v>
      </c>
      <c r="AL483" s="137"/>
      <c r="AM483" s="139">
        <f>SUM(AM484:AM529)</f>
        <v>0</v>
      </c>
      <c r="AN483" s="137"/>
      <c r="AO483" s="139">
        <f>SUM(AO484:AO529)</f>
        <v>0</v>
      </c>
      <c r="AP483" s="137"/>
      <c r="AQ483" s="139">
        <f>SUM(AQ484:AQ529)</f>
        <v>0</v>
      </c>
      <c r="AR483" s="137"/>
      <c r="AS483" s="139">
        <f>SUM(AS484:AS529)</f>
        <v>0</v>
      </c>
      <c r="AT483" s="137"/>
      <c r="AU483" s="139">
        <f>SUM(AU484:AU529)</f>
        <v>0</v>
      </c>
      <c r="AV483" s="137"/>
      <c r="AW483" s="139">
        <f>SUM(AW484:AW529)</f>
        <v>0</v>
      </c>
      <c r="AX483" s="137"/>
      <c r="AY483" s="139">
        <f>SUM(AY484:AY529)</f>
        <v>0</v>
      </c>
      <c r="AZ483" s="137"/>
      <c r="BA483" s="139">
        <f>SUM(BA484:BA529)</f>
        <v>0</v>
      </c>
      <c r="BB483" s="137"/>
      <c r="BC483" s="139">
        <f>SUM(BC484:BC529)</f>
        <v>0</v>
      </c>
      <c r="BD483" s="137"/>
      <c r="BE483" s="139">
        <f>SUM(BE484:BE529)</f>
        <v>0</v>
      </c>
      <c r="BF483" s="137"/>
      <c r="BG483" s="139">
        <f>SUM(BG484:BG529)</f>
        <v>0</v>
      </c>
      <c r="BH483" s="45"/>
    </row>
    <row r="484" spans="1:61" ht="26.25" customHeight="1" x14ac:dyDescent="0.45">
      <c r="A484" s="140">
        <v>5</v>
      </c>
      <c r="B484" s="141" t="s">
        <v>850</v>
      </c>
      <c r="C484" s="142" t="s">
        <v>1488</v>
      </c>
      <c r="D484" s="143" t="str">
        <f t="shared" ref="D484:D529" si="352">B484&amp;"_"&amp;E484</f>
        <v>5.1_1.15.1</v>
      </c>
      <c r="E484" s="56" t="s">
        <v>551</v>
      </c>
      <c r="F484" s="506" t="s">
        <v>552</v>
      </c>
      <c r="G484" s="507" t="s">
        <v>553</v>
      </c>
      <c r="H484" s="507" t="s">
        <v>39</v>
      </c>
      <c r="I484" s="507" t="s">
        <v>112</v>
      </c>
      <c r="J484" s="507" t="s">
        <v>39</v>
      </c>
      <c r="K484" s="507">
        <v>100</v>
      </c>
      <c r="L484" s="507" t="s">
        <v>113</v>
      </c>
      <c r="M484" s="507" t="s">
        <v>114</v>
      </c>
      <c r="N484" s="507" t="s">
        <v>115</v>
      </c>
      <c r="O484" s="57" t="s">
        <v>554</v>
      </c>
      <c r="P484" s="58" t="s">
        <v>21</v>
      </c>
      <c r="Q484" s="59" t="s">
        <v>555</v>
      </c>
      <c r="R484" s="60" t="s">
        <v>71</v>
      </c>
      <c r="S484" s="61">
        <v>26</v>
      </c>
      <c r="T484" s="62">
        <f>INDEX('BM MORRO DA CRUZ'!$P$6:$P$402,MATCH($O484,'BM MORRO DA CRUZ'!$K$6:$K$402,0))</f>
        <v>83.24</v>
      </c>
      <c r="U484" s="63">
        <f t="shared" ref="U484:U529" si="353">ROUND(T484*$S484,2)</f>
        <v>2164.2399999999998</v>
      </c>
      <c r="V484" s="61">
        <f>IFERROR(SUMIFS('01ª MC'!$W$1:$W$1840,'01ª MC'!$C$1:$C$1840,$D484),0)</f>
        <v>0</v>
      </c>
      <c r="W484" s="63">
        <f t="shared" ref="W484:W529" si="354">ROUND(V484*$T484,2)</f>
        <v>0</v>
      </c>
      <c r="X484" s="61">
        <v>0</v>
      </c>
      <c r="Y484" s="63">
        <f t="shared" ref="Y484:Y529" si="355">ROUND(X484*$T484,2)</f>
        <v>0</v>
      </c>
      <c r="Z484" s="61">
        <v>0</v>
      </c>
      <c r="AA484" s="63">
        <f t="shared" ref="AA484:AA529" si="356">ROUND(Z484*$T484,2)</f>
        <v>0</v>
      </c>
      <c r="AB484" s="61">
        <v>0</v>
      </c>
      <c r="AC484" s="63">
        <f t="shared" ref="AC484:AC529" si="357">ROUND(AB484*$T484,2)</f>
        <v>0</v>
      </c>
      <c r="AD484" s="61">
        <v>0</v>
      </c>
      <c r="AE484" s="63">
        <f t="shared" ref="AE484:AE529" si="358">ROUND(AD484*$T484,2)</f>
        <v>0</v>
      </c>
      <c r="AF484" s="61">
        <v>0</v>
      </c>
      <c r="AG484" s="63">
        <f t="shared" ref="AG484:AG529" si="359">ROUND(AF484*$T484,2)</f>
        <v>0</v>
      </c>
      <c r="AH484" s="61">
        <v>0</v>
      </c>
      <c r="AI484" s="63">
        <f t="shared" ref="AI484:AI529" si="360">ROUND(AH484*$T484,2)</f>
        <v>0</v>
      </c>
      <c r="AJ484" s="61">
        <v>0</v>
      </c>
      <c r="AK484" s="63">
        <f t="shared" ref="AK484:AK529" si="361">ROUND(AJ484*$T484,2)</f>
        <v>0</v>
      </c>
      <c r="AL484" s="61">
        <v>0</v>
      </c>
      <c r="AM484" s="63">
        <f t="shared" ref="AM484:AM529" si="362">ROUND(AL484*$T484,2)</f>
        <v>0</v>
      </c>
      <c r="AN484" s="61">
        <v>0</v>
      </c>
      <c r="AO484" s="63">
        <f t="shared" ref="AO484:AO529" si="363">ROUND(AN484*$T484,2)</f>
        <v>0</v>
      </c>
      <c r="AP484" s="61">
        <v>0</v>
      </c>
      <c r="AQ484" s="63">
        <f t="shared" ref="AQ484:AQ529" si="364">ROUND(AP484*$T484,2)</f>
        <v>0</v>
      </c>
      <c r="AR484" s="61">
        <v>0</v>
      </c>
      <c r="AS484" s="63">
        <f t="shared" ref="AS484:AS529" si="365">ROUND(AR484*$T484,2)</f>
        <v>0</v>
      </c>
      <c r="AT484" s="61">
        <v>0</v>
      </c>
      <c r="AU484" s="63">
        <f t="shared" ref="AU484:AU529" si="366">ROUND(AT484*$T484,2)</f>
        <v>0</v>
      </c>
      <c r="AV484" s="61">
        <v>0</v>
      </c>
      <c r="AW484" s="63">
        <f t="shared" ref="AW484:AW529" si="367">ROUND(AV484*$T484,2)</f>
        <v>0</v>
      </c>
      <c r="AX484" s="61">
        <v>0</v>
      </c>
      <c r="AY484" s="63">
        <f t="shared" ref="AY484:AY529" si="368">ROUND(AX484*$T484,2)</f>
        <v>0</v>
      </c>
      <c r="AZ484" s="61">
        <v>0</v>
      </c>
      <c r="BA484" s="63">
        <f t="shared" ref="BA484:BA529" si="369">ROUND(AZ484*$T484,2)</f>
        <v>0</v>
      </c>
      <c r="BB484" s="61">
        <v>0</v>
      </c>
      <c r="BC484" s="63">
        <f t="shared" ref="BC484:BC529" si="370">ROUND(BB484*$T484,2)</f>
        <v>0</v>
      </c>
      <c r="BD484" s="61">
        <v>0</v>
      </c>
      <c r="BE484" s="63">
        <f t="shared" ref="BE484:BE529" si="371">ROUND(BD484*$T484,2)</f>
        <v>0</v>
      </c>
      <c r="BF484" s="61">
        <f t="shared" ref="BF484:BF529" si="372">IFERROR(SUMIFS($V484:$BE484,$V$5:$BE$5,$BF$5),0)</f>
        <v>0</v>
      </c>
      <c r="BG484" s="63">
        <f t="shared" ref="BG484:BG529" si="373">SUMIFS($V484:$BE484,$V$5:$BE$5,$W$5)</f>
        <v>0</v>
      </c>
      <c r="BH484" s="45"/>
      <c r="BI484" s="144"/>
    </row>
    <row r="485" spans="1:61" ht="26.25" customHeight="1" x14ac:dyDescent="0.45">
      <c r="A485" s="140">
        <v>5</v>
      </c>
      <c r="B485" s="141" t="s">
        <v>850</v>
      </c>
      <c r="C485" s="142" t="s">
        <v>1488</v>
      </c>
      <c r="D485" s="143" t="str">
        <f t="shared" si="352"/>
        <v>5.1_1.15.2</v>
      </c>
      <c r="E485" s="56" t="s">
        <v>556</v>
      </c>
      <c r="F485" s="506" t="s">
        <v>552</v>
      </c>
      <c r="G485" s="507" t="s">
        <v>553</v>
      </c>
      <c r="H485" s="507" t="s">
        <v>39</v>
      </c>
      <c r="I485" s="507" t="s">
        <v>112</v>
      </c>
      <c r="J485" s="507" t="s">
        <v>39</v>
      </c>
      <c r="K485" s="507">
        <v>150</v>
      </c>
      <c r="L485" s="507" t="s">
        <v>113</v>
      </c>
      <c r="M485" s="507" t="s">
        <v>114</v>
      </c>
      <c r="N485" s="507" t="s">
        <v>115</v>
      </c>
      <c r="O485" s="57" t="s">
        <v>557</v>
      </c>
      <c r="P485" s="58" t="s">
        <v>21</v>
      </c>
      <c r="Q485" s="59" t="s">
        <v>558</v>
      </c>
      <c r="R485" s="60" t="s">
        <v>71</v>
      </c>
      <c r="S485" s="61">
        <v>37</v>
      </c>
      <c r="T485" s="62">
        <f>INDEX('BM MORRO DA CRUZ'!$P$6:$P$402,MATCH($O485,'BM MORRO DA CRUZ'!$K$6:$K$402,0))</f>
        <v>95.81</v>
      </c>
      <c r="U485" s="63">
        <f t="shared" si="353"/>
        <v>3544.97</v>
      </c>
      <c r="V485" s="61">
        <f>IFERROR(SUMIFS('01ª MC'!$W$1:$W$1840,'01ª MC'!$C$1:$C$1840,$D485),0)</f>
        <v>0</v>
      </c>
      <c r="W485" s="63">
        <f t="shared" si="354"/>
        <v>0</v>
      </c>
      <c r="X485" s="61">
        <v>0</v>
      </c>
      <c r="Y485" s="63">
        <f t="shared" si="355"/>
        <v>0</v>
      </c>
      <c r="Z485" s="61">
        <v>0</v>
      </c>
      <c r="AA485" s="63">
        <f t="shared" si="356"/>
        <v>0</v>
      </c>
      <c r="AB485" s="61">
        <v>0</v>
      </c>
      <c r="AC485" s="63">
        <f t="shared" si="357"/>
        <v>0</v>
      </c>
      <c r="AD485" s="61">
        <v>0</v>
      </c>
      <c r="AE485" s="63">
        <f t="shared" si="358"/>
        <v>0</v>
      </c>
      <c r="AF485" s="61">
        <v>0</v>
      </c>
      <c r="AG485" s="63">
        <f t="shared" si="359"/>
        <v>0</v>
      </c>
      <c r="AH485" s="61">
        <v>0</v>
      </c>
      <c r="AI485" s="63">
        <f t="shared" si="360"/>
        <v>0</v>
      </c>
      <c r="AJ485" s="61">
        <v>0</v>
      </c>
      <c r="AK485" s="63">
        <f t="shared" si="361"/>
        <v>0</v>
      </c>
      <c r="AL485" s="61">
        <v>0</v>
      </c>
      <c r="AM485" s="63">
        <f t="shared" si="362"/>
        <v>0</v>
      </c>
      <c r="AN485" s="61">
        <v>0</v>
      </c>
      <c r="AO485" s="63">
        <f t="shared" si="363"/>
        <v>0</v>
      </c>
      <c r="AP485" s="61">
        <v>0</v>
      </c>
      <c r="AQ485" s="63">
        <f t="shared" si="364"/>
        <v>0</v>
      </c>
      <c r="AR485" s="61">
        <v>0</v>
      </c>
      <c r="AS485" s="63">
        <f t="shared" si="365"/>
        <v>0</v>
      </c>
      <c r="AT485" s="61">
        <v>0</v>
      </c>
      <c r="AU485" s="63">
        <f t="shared" si="366"/>
        <v>0</v>
      </c>
      <c r="AV485" s="61">
        <v>0</v>
      </c>
      <c r="AW485" s="63">
        <f t="shared" si="367"/>
        <v>0</v>
      </c>
      <c r="AX485" s="61">
        <v>0</v>
      </c>
      <c r="AY485" s="63">
        <f t="shared" si="368"/>
        <v>0</v>
      </c>
      <c r="AZ485" s="61">
        <v>0</v>
      </c>
      <c r="BA485" s="63">
        <f t="shared" si="369"/>
        <v>0</v>
      </c>
      <c r="BB485" s="61">
        <v>0</v>
      </c>
      <c r="BC485" s="63">
        <f t="shared" si="370"/>
        <v>0</v>
      </c>
      <c r="BD485" s="61">
        <v>0</v>
      </c>
      <c r="BE485" s="63">
        <f t="shared" si="371"/>
        <v>0</v>
      </c>
      <c r="BF485" s="61">
        <f t="shared" si="372"/>
        <v>0</v>
      </c>
      <c r="BG485" s="63">
        <f t="shared" si="373"/>
        <v>0</v>
      </c>
      <c r="BH485" s="45"/>
      <c r="BI485" s="144"/>
    </row>
    <row r="486" spans="1:61" ht="26.25" customHeight="1" x14ac:dyDescent="0.45">
      <c r="A486" s="140">
        <v>5</v>
      </c>
      <c r="B486" s="141" t="s">
        <v>850</v>
      </c>
      <c r="C486" s="142" t="s">
        <v>1488</v>
      </c>
      <c r="D486" s="143" t="str">
        <f t="shared" si="352"/>
        <v>5.1_1.15.3</v>
      </c>
      <c r="E486" s="56" t="s">
        <v>559</v>
      </c>
      <c r="F486" s="506" t="s">
        <v>552</v>
      </c>
      <c r="G486" s="507" t="s">
        <v>553</v>
      </c>
      <c r="H486" s="507" t="s">
        <v>39</v>
      </c>
      <c r="I486" s="507" t="s">
        <v>112</v>
      </c>
      <c r="J486" s="507" t="s">
        <v>39</v>
      </c>
      <c r="K486" s="507">
        <v>200</v>
      </c>
      <c r="L486" s="507" t="s">
        <v>113</v>
      </c>
      <c r="M486" s="507" t="s">
        <v>114</v>
      </c>
      <c r="N486" s="507" t="s">
        <v>115</v>
      </c>
      <c r="O486" s="57" t="s">
        <v>560</v>
      </c>
      <c r="P486" s="58" t="s">
        <v>21</v>
      </c>
      <c r="Q486" s="59" t="s">
        <v>561</v>
      </c>
      <c r="R486" s="60" t="s">
        <v>71</v>
      </c>
      <c r="S486" s="61">
        <v>50</v>
      </c>
      <c r="T486" s="62">
        <f>INDEX('BM MORRO DA CRUZ'!$P$6:$P$402,MATCH($O486,'BM MORRO DA CRUZ'!$K$6:$K$402,0))</f>
        <v>112.58</v>
      </c>
      <c r="U486" s="63">
        <f t="shared" si="353"/>
        <v>5629</v>
      </c>
      <c r="V486" s="61">
        <f>IFERROR(SUMIFS('01ª MC'!$W$1:$W$1840,'01ª MC'!$C$1:$C$1840,$D486),0)</f>
        <v>0</v>
      </c>
      <c r="W486" s="63">
        <f t="shared" si="354"/>
        <v>0</v>
      </c>
      <c r="X486" s="61">
        <v>0</v>
      </c>
      <c r="Y486" s="63">
        <f t="shared" si="355"/>
        <v>0</v>
      </c>
      <c r="Z486" s="61">
        <v>0</v>
      </c>
      <c r="AA486" s="63">
        <f t="shared" si="356"/>
        <v>0</v>
      </c>
      <c r="AB486" s="61">
        <v>0</v>
      </c>
      <c r="AC486" s="63">
        <f t="shared" si="357"/>
        <v>0</v>
      </c>
      <c r="AD486" s="61">
        <v>0</v>
      </c>
      <c r="AE486" s="63">
        <f t="shared" si="358"/>
        <v>0</v>
      </c>
      <c r="AF486" s="61">
        <v>0</v>
      </c>
      <c r="AG486" s="63">
        <f t="shared" si="359"/>
        <v>0</v>
      </c>
      <c r="AH486" s="61">
        <v>0</v>
      </c>
      <c r="AI486" s="63">
        <f t="shared" si="360"/>
        <v>0</v>
      </c>
      <c r="AJ486" s="61">
        <v>0</v>
      </c>
      <c r="AK486" s="63">
        <f t="shared" si="361"/>
        <v>0</v>
      </c>
      <c r="AL486" s="61">
        <v>0</v>
      </c>
      <c r="AM486" s="63">
        <f t="shared" si="362"/>
        <v>0</v>
      </c>
      <c r="AN486" s="61">
        <v>0</v>
      </c>
      <c r="AO486" s="63">
        <f t="shared" si="363"/>
        <v>0</v>
      </c>
      <c r="AP486" s="61">
        <v>0</v>
      </c>
      <c r="AQ486" s="63">
        <f t="shared" si="364"/>
        <v>0</v>
      </c>
      <c r="AR486" s="61">
        <v>0</v>
      </c>
      <c r="AS486" s="63">
        <f t="shared" si="365"/>
        <v>0</v>
      </c>
      <c r="AT486" s="61">
        <v>0</v>
      </c>
      <c r="AU486" s="63">
        <f t="shared" si="366"/>
        <v>0</v>
      </c>
      <c r="AV486" s="61">
        <v>0</v>
      </c>
      <c r="AW486" s="63">
        <f t="shared" si="367"/>
        <v>0</v>
      </c>
      <c r="AX486" s="61">
        <v>0</v>
      </c>
      <c r="AY486" s="63">
        <f t="shared" si="368"/>
        <v>0</v>
      </c>
      <c r="AZ486" s="61">
        <v>0</v>
      </c>
      <c r="BA486" s="63">
        <f t="shared" si="369"/>
        <v>0</v>
      </c>
      <c r="BB486" s="61">
        <v>0</v>
      </c>
      <c r="BC486" s="63">
        <f t="shared" si="370"/>
        <v>0</v>
      </c>
      <c r="BD486" s="61">
        <v>0</v>
      </c>
      <c r="BE486" s="63">
        <f t="shared" si="371"/>
        <v>0</v>
      </c>
      <c r="BF486" s="61">
        <f t="shared" si="372"/>
        <v>0</v>
      </c>
      <c r="BG486" s="63">
        <f t="shared" si="373"/>
        <v>0</v>
      </c>
      <c r="BH486" s="45"/>
      <c r="BI486" s="144"/>
    </row>
    <row r="487" spans="1:61" ht="26.25" customHeight="1" x14ac:dyDescent="0.45">
      <c r="A487" s="140">
        <v>5</v>
      </c>
      <c r="B487" s="141" t="s">
        <v>850</v>
      </c>
      <c r="C487" s="142" t="s">
        <v>1488</v>
      </c>
      <c r="D487" s="143" t="str">
        <f t="shared" si="352"/>
        <v>5.1_1.15.4</v>
      </c>
      <c r="E487" s="56" t="s">
        <v>562</v>
      </c>
      <c r="F487" s="506" t="s">
        <v>552</v>
      </c>
      <c r="G487" s="507" t="s">
        <v>553</v>
      </c>
      <c r="H487" s="507" t="s">
        <v>39</v>
      </c>
      <c r="I487" s="507" t="s">
        <v>112</v>
      </c>
      <c r="J487" s="507" t="s">
        <v>39</v>
      </c>
      <c r="K487" s="507">
        <v>250</v>
      </c>
      <c r="L487" s="507" t="s">
        <v>113</v>
      </c>
      <c r="M487" s="507" t="s">
        <v>114</v>
      </c>
      <c r="N487" s="507" t="s">
        <v>115</v>
      </c>
      <c r="O487" s="57" t="s">
        <v>563</v>
      </c>
      <c r="P487" s="58" t="s">
        <v>21</v>
      </c>
      <c r="Q487" s="59" t="s">
        <v>564</v>
      </c>
      <c r="R487" s="60" t="s">
        <v>71</v>
      </c>
      <c r="S487" s="61">
        <v>6</v>
      </c>
      <c r="T487" s="62">
        <f>INDEX('BM MORRO DA CRUZ'!$P$6:$P$402,MATCH($O487,'BM MORRO DA CRUZ'!$K$6:$K$402,0))</f>
        <v>161.09</v>
      </c>
      <c r="U487" s="63">
        <f t="shared" si="353"/>
        <v>966.54</v>
      </c>
      <c r="V487" s="61">
        <f>IFERROR(SUMIFS('01ª MC'!$W$1:$W$1840,'01ª MC'!$C$1:$C$1840,$D487),0)</f>
        <v>0</v>
      </c>
      <c r="W487" s="63">
        <f t="shared" si="354"/>
        <v>0</v>
      </c>
      <c r="X487" s="61">
        <v>0</v>
      </c>
      <c r="Y487" s="63">
        <f t="shared" si="355"/>
        <v>0</v>
      </c>
      <c r="Z487" s="61">
        <v>0</v>
      </c>
      <c r="AA487" s="63">
        <f t="shared" si="356"/>
        <v>0</v>
      </c>
      <c r="AB487" s="61">
        <v>0</v>
      </c>
      <c r="AC487" s="63">
        <f t="shared" si="357"/>
        <v>0</v>
      </c>
      <c r="AD487" s="61">
        <v>0</v>
      </c>
      <c r="AE487" s="63">
        <f t="shared" si="358"/>
        <v>0</v>
      </c>
      <c r="AF487" s="61">
        <v>0</v>
      </c>
      <c r="AG487" s="63">
        <f t="shared" si="359"/>
        <v>0</v>
      </c>
      <c r="AH487" s="61">
        <v>0</v>
      </c>
      <c r="AI487" s="63">
        <f t="shared" si="360"/>
        <v>0</v>
      </c>
      <c r="AJ487" s="61">
        <v>0</v>
      </c>
      <c r="AK487" s="63">
        <f t="shared" si="361"/>
        <v>0</v>
      </c>
      <c r="AL487" s="61">
        <v>0</v>
      </c>
      <c r="AM487" s="63">
        <f t="shared" si="362"/>
        <v>0</v>
      </c>
      <c r="AN487" s="61">
        <v>0</v>
      </c>
      <c r="AO487" s="63">
        <f t="shared" si="363"/>
        <v>0</v>
      </c>
      <c r="AP487" s="61">
        <v>0</v>
      </c>
      <c r="AQ487" s="63">
        <f t="shared" si="364"/>
        <v>0</v>
      </c>
      <c r="AR487" s="61">
        <v>0</v>
      </c>
      <c r="AS487" s="63">
        <f t="shared" si="365"/>
        <v>0</v>
      </c>
      <c r="AT487" s="61">
        <v>0</v>
      </c>
      <c r="AU487" s="63">
        <f t="shared" si="366"/>
        <v>0</v>
      </c>
      <c r="AV487" s="61">
        <v>0</v>
      </c>
      <c r="AW487" s="63">
        <f t="shared" si="367"/>
        <v>0</v>
      </c>
      <c r="AX487" s="61">
        <v>0</v>
      </c>
      <c r="AY487" s="63">
        <f t="shared" si="368"/>
        <v>0</v>
      </c>
      <c r="AZ487" s="61">
        <v>0</v>
      </c>
      <c r="BA487" s="63">
        <f t="shared" si="369"/>
        <v>0</v>
      </c>
      <c r="BB487" s="61">
        <v>0</v>
      </c>
      <c r="BC487" s="63">
        <f t="shared" si="370"/>
        <v>0</v>
      </c>
      <c r="BD487" s="61">
        <v>0</v>
      </c>
      <c r="BE487" s="63">
        <f t="shared" si="371"/>
        <v>0</v>
      </c>
      <c r="BF487" s="61">
        <f t="shared" si="372"/>
        <v>0</v>
      </c>
      <c r="BG487" s="63">
        <f t="shared" si="373"/>
        <v>0</v>
      </c>
      <c r="BH487" s="45"/>
      <c r="BI487" s="144"/>
    </row>
    <row r="488" spans="1:61" ht="26.25" customHeight="1" x14ac:dyDescent="0.45">
      <c r="A488" s="140">
        <v>5</v>
      </c>
      <c r="B488" s="141" t="s">
        <v>850</v>
      </c>
      <c r="C488" s="142" t="s">
        <v>1488</v>
      </c>
      <c r="D488" s="143" t="str">
        <f t="shared" si="352"/>
        <v>5.1_1.15.5</v>
      </c>
      <c r="E488" s="56" t="s">
        <v>565</v>
      </c>
      <c r="F488" s="506" t="s">
        <v>552</v>
      </c>
      <c r="G488" s="507" t="s">
        <v>553</v>
      </c>
      <c r="H488" s="507" t="s">
        <v>39</v>
      </c>
      <c r="I488" s="507" t="s">
        <v>112</v>
      </c>
      <c r="J488" s="507" t="s">
        <v>39</v>
      </c>
      <c r="K488" s="507">
        <v>300</v>
      </c>
      <c r="L488" s="507" t="s">
        <v>113</v>
      </c>
      <c r="M488" s="507" t="s">
        <v>114</v>
      </c>
      <c r="N488" s="507" t="s">
        <v>115</v>
      </c>
      <c r="O488" s="57" t="s">
        <v>566</v>
      </c>
      <c r="P488" s="58" t="s">
        <v>21</v>
      </c>
      <c r="Q488" s="59" t="s">
        <v>567</v>
      </c>
      <c r="R488" s="60" t="s">
        <v>71</v>
      </c>
      <c r="S488" s="61">
        <v>14</v>
      </c>
      <c r="T488" s="62">
        <f>INDEX('BM MORRO DA CRUZ'!$P$6:$P$402,MATCH($O488,'BM MORRO DA CRUZ'!$K$6:$K$402,0))</f>
        <v>186.83</v>
      </c>
      <c r="U488" s="63">
        <f t="shared" si="353"/>
        <v>2615.62</v>
      </c>
      <c r="V488" s="61">
        <f>IFERROR(SUMIFS('01ª MC'!$W$1:$W$1840,'01ª MC'!$C$1:$C$1840,$D488),0)</f>
        <v>0</v>
      </c>
      <c r="W488" s="63">
        <f t="shared" si="354"/>
        <v>0</v>
      </c>
      <c r="X488" s="61">
        <v>0</v>
      </c>
      <c r="Y488" s="63">
        <f t="shared" si="355"/>
        <v>0</v>
      </c>
      <c r="Z488" s="61">
        <v>0</v>
      </c>
      <c r="AA488" s="63">
        <f t="shared" si="356"/>
        <v>0</v>
      </c>
      <c r="AB488" s="61">
        <v>0</v>
      </c>
      <c r="AC488" s="63">
        <f t="shared" si="357"/>
        <v>0</v>
      </c>
      <c r="AD488" s="61">
        <v>0</v>
      </c>
      <c r="AE488" s="63">
        <f t="shared" si="358"/>
        <v>0</v>
      </c>
      <c r="AF488" s="61">
        <v>0</v>
      </c>
      <c r="AG488" s="63">
        <f t="shared" si="359"/>
        <v>0</v>
      </c>
      <c r="AH488" s="61">
        <v>0</v>
      </c>
      <c r="AI488" s="63">
        <f t="shared" si="360"/>
        <v>0</v>
      </c>
      <c r="AJ488" s="61">
        <v>0</v>
      </c>
      <c r="AK488" s="63">
        <f t="shared" si="361"/>
        <v>0</v>
      </c>
      <c r="AL488" s="61">
        <v>0</v>
      </c>
      <c r="AM488" s="63">
        <f t="shared" si="362"/>
        <v>0</v>
      </c>
      <c r="AN488" s="61">
        <v>0</v>
      </c>
      <c r="AO488" s="63">
        <f t="shared" si="363"/>
        <v>0</v>
      </c>
      <c r="AP488" s="61">
        <v>0</v>
      </c>
      <c r="AQ488" s="63">
        <f t="shared" si="364"/>
        <v>0</v>
      </c>
      <c r="AR488" s="61">
        <v>0</v>
      </c>
      <c r="AS488" s="63">
        <f t="shared" si="365"/>
        <v>0</v>
      </c>
      <c r="AT488" s="61">
        <v>0</v>
      </c>
      <c r="AU488" s="63">
        <f t="shared" si="366"/>
        <v>0</v>
      </c>
      <c r="AV488" s="61">
        <v>0</v>
      </c>
      <c r="AW488" s="63">
        <f t="shared" si="367"/>
        <v>0</v>
      </c>
      <c r="AX488" s="61">
        <v>0</v>
      </c>
      <c r="AY488" s="63">
        <f t="shared" si="368"/>
        <v>0</v>
      </c>
      <c r="AZ488" s="61">
        <v>0</v>
      </c>
      <c r="BA488" s="63">
        <f t="shared" si="369"/>
        <v>0</v>
      </c>
      <c r="BB488" s="61">
        <v>0</v>
      </c>
      <c r="BC488" s="63">
        <f t="shared" si="370"/>
        <v>0</v>
      </c>
      <c r="BD488" s="61">
        <v>0</v>
      </c>
      <c r="BE488" s="63">
        <f t="shared" si="371"/>
        <v>0</v>
      </c>
      <c r="BF488" s="61">
        <f t="shared" si="372"/>
        <v>0</v>
      </c>
      <c r="BG488" s="63">
        <f t="shared" si="373"/>
        <v>0</v>
      </c>
      <c r="BH488" s="45"/>
      <c r="BI488" s="144"/>
    </row>
    <row r="489" spans="1:61" ht="26.25" customHeight="1" x14ac:dyDescent="0.45">
      <c r="A489" s="140">
        <v>5</v>
      </c>
      <c r="B489" s="141" t="s">
        <v>850</v>
      </c>
      <c r="C489" s="142" t="s">
        <v>1488</v>
      </c>
      <c r="D489" s="143" t="str">
        <f t="shared" si="352"/>
        <v>5.1_1.15.6</v>
      </c>
      <c r="E489" s="56" t="s">
        <v>568</v>
      </c>
      <c r="F489" s="506" t="s">
        <v>552</v>
      </c>
      <c r="G489" s="507" t="s">
        <v>553</v>
      </c>
      <c r="H489" s="507" t="s">
        <v>39</v>
      </c>
      <c r="I489" s="507" t="s">
        <v>112</v>
      </c>
      <c r="J489" s="507" t="s">
        <v>39</v>
      </c>
      <c r="K489" s="507">
        <v>50</v>
      </c>
      <c r="L489" s="507" t="s">
        <v>113</v>
      </c>
      <c r="M489" s="507" t="s">
        <v>114</v>
      </c>
      <c r="N489" s="507" t="s">
        <v>115</v>
      </c>
      <c r="O489" s="57" t="s">
        <v>569</v>
      </c>
      <c r="P489" s="58" t="s">
        <v>21</v>
      </c>
      <c r="Q489" s="59" t="s">
        <v>570</v>
      </c>
      <c r="R489" s="60" t="s">
        <v>71</v>
      </c>
      <c r="S489" s="61">
        <v>206</v>
      </c>
      <c r="T489" s="62">
        <f>INDEX('BM MORRO DA CRUZ'!$P$6:$P$402,MATCH($O489,'BM MORRO DA CRUZ'!$K$6:$K$402,0))</f>
        <v>56.89</v>
      </c>
      <c r="U489" s="63">
        <f t="shared" si="353"/>
        <v>11719.34</v>
      </c>
      <c r="V489" s="61">
        <f>IFERROR(SUMIFS('01ª MC'!$W$1:$W$1840,'01ª MC'!$C$1:$C$1840,$D489),0)</f>
        <v>0</v>
      </c>
      <c r="W489" s="63">
        <f t="shared" si="354"/>
        <v>0</v>
      </c>
      <c r="X489" s="61">
        <v>0</v>
      </c>
      <c r="Y489" s="63">
        <f t="shared" si="355"/>
        <v>0</v>
      </c>
      <c r="Z489" s="61">
        <v>0</v>
      </c>
      <c r="AA489" s="63">
        <f t="shared" si="356"/>
        <v>0</v>
      </c>
      <c r="AB489" s="61">
        <v>0</v>
      </c>
      <c r="AC489" s="63">
        <f t="shared" si="357"/>
        <v>0</v>
      </c>
      <c r="AD489" s="61">
        <v>0</v>
      </c>
      <c r="AE489" s="63">
        <f t="shared" si="358"/>
        <v>0</v>
      </c>
      <c r="AF489" s="61">
        <v>0</v>
      </c>
      <c r="AG489" s="63">
        <f t="shared" si="359"/>
        <v>0</v>
      </c>
      <c r="AH489" s="61">
        <v>0</v>
      </c>
      <c r="AI489" s="63">
        <f t="shared" si="360"/>
        <v>0</v>
      </c>
      <c r="AJ489" s="61">
        <v>0</v>
      </c>
      <c r="AK489" s="63">
        <f t="shared" si="361"/>
        <v>0</v>
      </c>
      <c r="AL489" s="61">
        <v>0</v>
      </c>
      <c r="AM489" s="63">
        <f t="shared" si="362"/>
        <v>0</v>
      </c>
      <c r="AN489" s="61">
        <v>0</v>
      </c>
      <c r="AO489" s="63">
        <f t="shared" si="363"/>
        <v>0</v>
      </c>
      <c r="AP489" s="61">
        <v>0</v>
      </c>
      <c r="AQ489" s="63">
        <f t="shared" si="364"/>
        <v>0</v>
      </c>
      <c r="AR489" s="61">
        <v>0</v>
      </c>
      <c r="AS489" s="63">
        <f t="shared" si="365"/>
        <v>0</v>
      </c>
      <c r="AT489" s="61">
        <v>0</v>
      </c>
      <c r="AU489" s="63">
        <f t="shared" si="366"/>
        <v>0</v>
      </c>
      <c r="AV489" s="61">
        <v>0</v>
      </c>
      <c r="AW489" s="63">
        <f t="shared" si="367"/>
        <v>0</v>
      </c>
      <c r="AX489" s="61">
        <v>0</v>
      </c>
      <c r="AY489" s="63">
        <f t="shared" si="368"/>
        <v>0</v>
      </c>
      <c r="AZ489" s="61">
        <v>0</v>
      </c>
      <c r="BA489" s="63">
        <f t="shared" si="369"/>
        <v>0</v>
      </c>
      <c r="BB489" s="61">
        <v>0</v>
      </c>
      <c r="BC489" s="63">
        <f t="shared" si="370"/>
        <v>0</v>
      </c>
      <c r="BD489" s="61">
        <v>0</v>
      </c>
      <c r="BE489" s="63">
        <f t="shared" si="371"/>
        <v>0</v>
      </c>
      <c r="BF489" s="61">
        <f t="shared" si="372"/>
        <v>0</v>
      </c>
      <c r="BG489" s="63">
        <f t="shared" si="373"/>
        <v>0</v>
      </c>
      <c r="BH489" s="45"/>
      <c r="BI489" s="144"/>
    </row>
    <row r="490" spans="1:61" ht="26.25" customHeight="1" x14ac:dyDescent="0.45">
      <c r="A490" s="140">
        <v>5</v>
      </c>
      <c r="B490" s="141" t="s">
        <v>850</v>
      </c>
      <c r="C490" s="142" t="s">
        <v>1488</v>
      </c>
      <c r="D490" s="143" t="str">
        <f t="shared" si="352"/>
        <v>5.1_1.15.7</v>
      </c>
      <c r="E490" s="56" t="s">
        <v>571</v>
      </c>
      <c r="F490" s="506" t="s">
        <v>552</v>
      </c>
      <c r="G490" s="507" t="s">
        <v>553</v>
      </c>
      <c r="H490" s="507" t="s">
        <v>39</v>
      </c>
      <c r="I490" s="507" t="s">
        <v>112</v>
      </c>
      <c r="J490" s="507" t="s">
        <v>39</v>
      </c>
      <c r="K490" s="507">
        <v>80</v>
      </c>
      <c r="L490" s="507" t="s">
        <v>113</v>
      </c>
      <c r="M490" s="507" t="s">
        <v>114</v>
      </c>
      <c r="N490" s="507" t="s">
        <v>115</v>
      </c>
      <c r="O490" s="57" t="s">
        <v>572</v>
      </c>
      <c r="P490" s="58" t="s">
        <v>21</v>
      </c>
      <c r="Q490" s="59" t="s">
        <v>573</v>
      </c>
      <c r="R490" s="60" t="s">
        <v>71</v>
      </c>
      <c r="S490" s="61">
        <v>18</v>
      </c>
      <c r="T490" s="62">
        <f>INDEX('BM MORRO DA CRUZ'!$P$6:$P$402,MATCH($O490,'BM MORRO DA CRUZ'!$K$6:$K$402,0))</f>
        <v>75.45</v>
      </c>
      <c r="U490" s="63">
        <f t="shared" si="353"/>
        <v>1358.1</v>
      </c>
      <c r="V490" s="61">
        <f>IFERROR(SUMIFS('01ª MC'!$W$1:$W$1840,'01ª MC'!$C$1:$C$1840,$D490),0)</f>
        <v>0</v>
      </c>
      <c r="W490" s="63">
        <f t="shared" si="354"/>
        <v>0</v>
      </c>
      <c r="X490" s="61">
        <v>0</v>
      </c>
      <c r="Y490" s="63">
        <f t="shared" si="355"/>
        <v>0</v>
      </c>
      <c r="Z490" s="61">
        <v>0</v>
      </c>
      <c r="AA490" s="63">
        <f t="shared" si="356"/>
        <v>0</v>
      </c>
      <c r="AB490" s="61">
        <v>0</v>
      </c>
      <c r="AC490" s="63">
        <f t="shared" si="357"/>
        <v>0</v>
      </c>
      <c r="AD490" s="61">
        <v>0</v>
      </c>
      <c r="AE490" s="63">
        <f t="shared" si="358"/>
        <v>0</v>
      </c>
      <c r="AF490" s="61">
        <v>0</v>
      </c>
      <c r="AG490" s="63">
        <f t="shared" si="359"/>
        <v>0</v>
      </c>
      <c r="AH490" s="61">
        <v>0</v>
      </c>
      <c r="AI490" s="63">
        <f t="shared" si="360"/>
        <v>0</v>
      </c>
      <c r="AJ490" s="61">
        <v>0</v>
      </c>
      <c r="AK490" s="63">
        <f t="shared" si="361"/>
        <v>0</v>
      </c>
      <c r="AL490" s="61">
        <v>0</v>
      </c>
      <c r="AM490" s="63">
        <f t="shared" si="362"/>
        <v>0</v>
      </c>
      <c r="AN490" s="61">
        <v>0</v>
      </c>
      <c r="AO490" s="63">
        <f t="shared" si="363"/>
        <v>0</v>
      </c>
      <c r="AP490" s="61">
        <v>0</v>
      </c>
      <c r="AQ490" s="63">
        <f t="shared" si="364"/>
        <v>0</v>
      </c>
      <c r="AR490" s="61">
        <v>0</v>
      </c>
      <c r="AS490" s="63">
        <f t="shared" si="365"/>
        <v>0</v>
      </c>
      <c r="AT490" s="61">
        <v>0</v>
      </c>
      <c r="AU490" s="63">
        <f t="shared" si="366"/>
        <v>0</v>
      </c>
      <c r="AV490" s="61">
        <v>0</v>
      </c>
      <c r="AW490" s="63">
        <f t="shared" si="367"/>
        <v>0</v>
      </c>
      <c r="AX490" s="61">
        <v>0</v>
      </c>
      <c r="AY490" s="63">
        <f t="shared" si="368"/>
        <v>0</v>
      </c>
      <c r="AZ490" s="61">
        <v>0</v>
      </c>
      <c r="BA490" s="63">
        <f t="shared" si="369"/>
        <v>0</v>
      </c>
      <c r="BB490" s="61">
        <v>0</v>
      </c>
      <c r="BC490" s="63">
        <f t="shared" si="370"/>
        <v>0</v>
      </c>
      <c r="BD490" s="61">
        <v>0</v>
      </c>
      <c r="BE490" s="63">
        <f t="shared" si="371"/>
        <v>0</v>
      </c>
      <c r="BF490" s="61">
        <f t="shared" si="372"/>
        <v>0</v>
      </c>
      <c r="BG490" s="63">
        <f t="shared" si="373"/>
        <v>0</v>
      </c>
      <c r="BH490" s="45"/>
      <c r="BI490" s="144"/>
    </row>
    <row r="491" spans="1:61" ht="47.25" x14ac:dyDescent="0.45">
      <c r="A491" s="140">
        <v>5</v>
      </c>
      <c r="B491" s="141" t="s">
        <v>850</v>
      </c>
      <c r="C491" s="142" t="s">
        <v>1488</v>
      </c>
      <c r="D491" s="143" t="str">
        <f t="shared" si="352"/>
        <v>5.1_1.15.8</v>
      </c>
      <c r="E491" s="56" t="s">
        <v>574</v>
      </c>
      <c r="F491" s="506" t="s">
        <v>575</v>
      </c>
      <c r="G491" s="507" t="s">
        <v>111</v>
      </c>
      <c r="H491" s="507" t="s">
        <v>39</v>
      </c>
      <c r="I491" s="507" t="s">
        <v>577</v>
      </c>
      <c r="J491" s="507" t="s">
        <v>39</v>
      </c>
      <c r="K491" s="507" t="s">
        <v>578</v>
      </c>
      <c r="L491" s="507" t="s">
        <v>1719</v>
      </c>
      <c r="M491" s="507" t="s">
        <v>114</v>
      </c>
      <c r="N491" s="507" t="s">
        <v>115</v>
      </c>
      <c r="O491" s="57" t="s">
        <v>579</v>
      </c>
      <c r="P491" s="58" t="s">
        <v>21</v>
      </c>
      <c r="Q491" s="59" t="s">
        <v>580</v>
      </c>
      <c r="R491" s="60" t="s">
        <v>71</v>
      </c>
      <c r="S491" s="61">
        <v>1040</v>
      </c>
      <c r="T491" s="62">
        <f>INDEX('BM MORRO DA CRUZ'!$P$6:$P$402,MATCH($O491,'BM MORRO DA CRUZ'!$K$6:$K$402,0))</f>
        <v>7.14</v>
      </c>
      <c r="U491" s="63">
        <f t="shared" si="353"/>
        <v>7425.6</v>
      </c>
      <c r="V491" s="61">
        <f>IFERROR(SUMIFS('01ª MC'!$W$1:$W$1840,'01ª MC'!$C$1:$C$1840,$D491),0)</f>
        <v>0</v>
      </c>
      <c r="W491" s="63">
        <f t="shared" si="354"/>
        <v>0</v>
      </c>
      <c r="X491" s="61">
        <v>0</v>
      </c>
      <c r="Y491" s="63">
        <f t="shared" si="355"/>
        <v>0</v>
      </c>
      <c r="Z491" s="61">
        <v>0</v>
      </c>
      <c r="AA491" s="63">
        <f t="shared" si="356"/>
        <v>0</v>
      </c>
      <c r="AB491" s="61">
        <v>0</v>
      </c>
      <c r="AC491" s="63">
        <f t="shared" si="357"/>
        <v>0</v>
      </c>
      <c r="AD491" s="61">
        <v>0</v>
      </c>
      <c r="AE491" s="63">
        <f t="shared" si="358"/>
        <v>0</v>
      </c>
      <c r="AF491" s="61">
        <v>0</v>
      </c>
      <c r="AG491" s="63">
        <f t="shared" si="359"/>
        <v>0</v>
      </c>
      <c r="AH491" s="61">
        <v>0</v>
      </c>
      <c r="AI491" s="63">
        <f t="shared" si="360"/>
        <v>0</v>
      </c>
      <c r="AJ491" s="61">
        <v>0</v>
      </c>
      <c r="AK491" s="63">
        <f t="shared" si="361"/>
        <v>0</v>
      </c>
      <c r="AL491" s="61">
        <v>0</v>
      </c>
      <c r="AM491" s="63">
        <f t="shared" si="362"/>
        <v>0</v>
      </c>
      <c r="AN491" s="61">
        <v>0</v>
      </c>
      <c r="AO491" s="63">
        <f t="shared" si="363"/>
        <v>0</v>
      </c>
      <c r="AP491" s="61">
        <v>0</v>
      </c>
      <c r="AQ491" s="63">
        <f t="shared" si="364"/>
        <v>0</v>
      </c>
      <c r="AR491" s="61">
        <v>0</v>
      </c>
      <c r="AS491" s="63">
        <f t="shared" si="365"/>
        <v>0</v>
      </c>
      <c r="AT491" s="61">
        <v>0</v>
      </c>
      <c r="AU491" s="63">
        <f t="shared" si="366"/>
        <v>0</v>
      </c>
      <c r="AV491" s="61">
        <v>0</v>
      </c>
      <c r="AW491" s="63">
        <f t="shared" si="367"/>
        <v>0</v>
      </c>
      <c r="AX491" s="61">
        <v>0</v>
      </c>
      <c r="AY491" s="63">
        <f t="shared" si="368"/>
        <v>0</v>
      </c>
      <c r="AZ491" s="61">
        <v>0</v>
      </c>
      <c r="BA491" s="63">
        <f t="shared" si="369"/>
        <v>0</v>
      </c>
      <c r="BB491" s="61">
        <v>0</v>
      </c>
      <c r="BC491" s="63">
        <f t="shared" si="370"/>
        <v>0</v>
      </c>
      <c r="BD491" s="61">
        <v>0</v>
      </c>
      <c r="BE491" s="63">
        <f t="shared" si="371"/>
        <v>0</v>
      </c>
      <c r="BF491" s="61">
        <f t="shared" si="372"/>
        <v>0</v>
      </c>
      <c r="BG491" s="63">
        <f t="shared" si="373"/>
        <v>0</v>
      </c>
      <c r="BH491" s="45"/>
      <c r="BI491" s="144"/>
    </row>
    <row r="492" spans="1:61" ht="47.25" x14ac:dyDescent="0.45">
      <c r="A492" s="140">
        <v>5</v>
      </c>
      <c r="B492" s="141" t="s">
        <v>850</v>
      </c>
      <c r="C492" s="142" t="s">
        <v>1488</v>
      </c>
      <c r="D492" s="143" t="str">
        <f t="shared" si="352"/>
        <v>5.1_1.15.9</v>
      </c>
      <c r="E492" s="56" t="s">
        <v>581</v>
      </c>
      <c r="F492" s="506" t="s">
        <v>575</v>
      </c>
      <c r="G492" s="507" t="s">
        <v>111</v>
      </c>
      <c r="H492" s="507" t="s">
        <v>39</v>
      </c>
      <c r="I492" s="507" t="s">
        <v>577</v>
      </c>
      <c r="J492" s="507" t="s">
        <v>39</v>
      </c>
      <c r="K492" s="507" t="s">
        <v>582</v>
      </c>
      <c r="L492" s="507" t="s">
        <v>1719</v>
      </c>
      <c r="M492" s="507" t="s">
        <v>114</v>
      </c>
      <c r="N492" s="507" t="s">
        <v>115</v>
      </c>
      <c r="O492" s="57" t="s">
        <v>583</v>
      </c>
      <c r="P492" s="58" t="s">
        <v>21</v>
      </c>
      <c r="Q492" s="59" t="s">
        <v>584</v>
      </c>
      <c r="R492" s="60" t="s">
        <v>71</v>
      </c>
      <c r="S492" s="61">
        <v>132</v>
      </c>
      <c r="T492" s="62">
        <f>INDEX('BM MORRO DA CRUZ'!$P$6:$P$402,MATCH($O492,'BM MORRO DA CRUZ'!$K$6:$K$402,0))</f>
        <v>15.71</v>
      </c>
      <c r="U492" s="63">
        <f t="shared" si="353"/>
        <v>2073.7199999999998</v>
      </c>
      <c r="V492" s="61">
        <f>IFERROR(SUMIFS('01ª MC'!$W$1:$W$1840,'01ª MC'!$C$1:$C$1840,$D492),0)</f>
        <v>0</v>
      </c>
      <c r="W492" s="63">
        <f t="shared" si="354"/>
        <v>0</v>
      </c>
      <c r="X492" s="61">
        <v>0</v>
      </c>
      <c r="Y492" s="63">
        <f t="shared" si="355"/>
        <v>0</v>
      </c>
      <c r="Z492" s="61">
        <v>0</v>
      </c>
      <c r="AA492" s="63">
        <f t="shared" si="356"/>
        <v>0</v>
      </c>
      <c r="AB492" s="61">
        <v>0</v>
      </c>
      <c r="AC492" s="63">
        <f t="shared" si="357"/>
        <v>0</v>
      </c>
      <c r="AD492" s="61">
        <v>0</v>
      </c>
      <c r="AE492" s="63">
        <f t="shared" si="358"/>
        <v>0</v>
      </c>
      <c r="AF492" s="61">
        <v>0</v>
      </c>
      <c r="AG492" s="63">
        <f t="shared" si="359"/>
        <v>0</v>
      </c>
      <c r="AH492" s="61">
        <v>0</v>
      </c>
      <c r="AI492" s="63">
        <f t="shared" si="360"/>
        <v>0</v>
      </c>
      <c r="AJ492" s="61">
        <v>0</v>
      </c>
      <c r="AK492" s="63">
        <f t="shared" si="361"/>
        <v>0</v>
      </c>
      <c r="AL492" s="61">
        <v>0</v>
      </c>
      <c r="AM492" s="63">
        <f t="shared" si="362"/>
        <v>0</v>
      </c>
      <c r="AN492" s="61">
        <v>0</v>
      </c>
      <c r="AO492" s="63">
        <f t="shared" si="363"/>
        <v>0</v>
      </c>
      <c r="AP492" s="61">
        <v>0</v>
      </c>
      <c r="AQ492" s="63">
        <f t="shared" si="364"/>
        <v>0</v>
      </c>
      <c r="AR492" s="61">
        <v>0</v>
      </c>
      <c r="AS492" s="63">
        <f t="shared" si="365"/>
        <v>0</v>
      </c>
      <c r="AT492" s="61">
        <v>0</v>
      </c>
      <c r="AU492" s="63">
        <f t="shared" si="366"/>
        <v>0</v>
      </c>
      <c r="AV492" s="61">
        <v>0</v>
      </c>
      <c r="AW492" s="63">
        <f t="shared" si="367"/>
        <v>0</v>
      </c>
      <c r="AX492" s="61">
        <v>0</v>
      </c>
      <c r="AY492" s="63">
        <f t="shared" si="368"/>
        <v>0</v>
      </c>
      <c r="AZ492" s="61">
        <v>0</v>
      </c>
      <c r="BA492" s="63">
        <f t="shared" si="369"/>
        <v>0</v>
      </c>
      <c r="BB492" s="61">
        <v>0</v>
      </c>
      <c r="BC492" s="63">
        <f t="shared" si="370"/>
        <v>0</v>
      </c>
      <c r="BD492" s="61">
        <v>0</v>
      </c>
      <c r="BE492" s="63">
        <f t="shared" si="371"/>
        <v>0</v>
      </c>
      <c r="BF492" s="61">
        <f t="shared" si="372"/>
        <v>0</v>
      </c>
      <c r="BG492" s="63">
        <f t="shared" si="373"/>
        <v>0</v>
      </c>
      <c r="BH492" s="45"/>
      <c r="BI492" s="144"/>
    </row>
    <row r="493" spans="1:61" ht="58.9" x14ac:dyDescent="0.45">
      <c r="A493" s="140">
        <v>5</v>
      </c>
      <c r="B493" s="141" t="s">
        <v>850</v>
      </c>
      <c r="C493" s="142" t="s">
        <v>1488</v>
      </c>
      <c r="D493" s="143" t="str">
        <f t="shared" si="352"/>
        <v>5.1_1.15.10</v>
      </c>
      <c r="E493" s="56" t="s">
        <v>585</v>
      </c>
      <c r="F493" s="506" t="s">
        <v>575</v>
      </c>
      <c r="G493" s="507" t="s">
        <v>111</v>
      </c>
      <c r="H493" s="507" t="s">
        <v>39</v>
      </c>
      <c r="I493" s="507" t="s">
        <v>577</v>
      </c>
      <c r="J493" s="507" t="s">
        <v>39</v>
      </c>
      <c r="K493" s="507" t="s">
        <v>586</v>
      </c>
      <c r="L493" s="507" t="s">
        <v>1719</v>
      </c>
      <c r="M493" s="507" t="s">
        <v>114</v>
      </c>
      <c r="N493" s="507" t="s">
        <v>115</v>
      </c>
      <c r="O493" s="57" t="s">
        <v>587</v>
      </c>
      <c r="P493" s="58" t="s">
        <v>21</v>
      </c>
      <c r="Q493" s="59" t="s">
        <v>588</v>
      </c>
      <c r="R493" s="60" t="s">
        <v>71</v>
      </c>
      <c r="S493" s="61">
        <v>761</v>
      </c>
      <c r="T493" s="62">
        <f>INDEX('BM MORRO DA CRUZ'!$P$6:$P$402,MATCH($O493,'BM MORRO DA CRUZ'!$K$6:$K$402,0))</f>
        <v>14.28</v>
      </c>
      <c r="U493" s="63">
        <f t="shared" si="353"/>
        <v>10867.08</v>
      </c>
      <c r="V493" s="61">
        <f>IFERROR(SUMIFS('01ª MC'!$W$1:$W$1840,'01ª MC'!$C$1:$C$1840,$D493),0)</f>
        <v>0</v>
      </c>
      <c r="W493" s="63">
        <f t="shared" si="354"/>
        <v>0</v>
      </c>
      <c r="X493" s="61">
        <v>0</v>
      </c>
      <c r="Y493" s="63">
        <f t="shared" si="355"/>
        <v>0</v>
      </c>
      <c r="Z493" s="61">
        <v>0</v>
      </c>
      <c r="AA493" s="63">
        <f t="shared" si="356"/>
        <v>0</v>
      </c>
      <c r="AB493" s="61">
        <v>0</v>
      </c>
      <c r="AC493" s="63">
        <f t="shared" si="357"/>
        <v>0</v>
      </c>
      <c r="AD493" s="61">
        <v>0</v>
      </c>
      <c r="AE493" s="63">
        <f t="shared" si="358"/>
        <v>0</v>
      </c>
      <c r="AF493" s="61">
        <v>0</v>
      </c>
      <c r="AG493" s="63">
        <f t="shared" si="359"/>
        <v>0</v>
      </c>
      <c r="AH493" s="61">
        <v>0</v>
      </c>
      <c r="AI493" s="63">
        <f t="shared" si="360"/>
        <v>0</v>
      </c>
      <c r="AJ493" s="61">
        <v>0</v>
      </c>
      <c r="AK493" s="63">
        <f t="shared" si="361"/>
        <v>0</v>
      </c>
      <c r="AL493" s="61">
        <v>0</v>
      </c>
      <c r="AM493" s="63">
        <f t="shared" si="362"/>
        <v>0</v>
      </c>
      <c r="AN493" s="61">
        <v>0</v>
      </c>
      <c r="AO493" s="63">
        <f t="shared" si="363"/>
        <v>0</v>
      </c>
      <c r="AP493" s="61">
        <v>0</v>
      </c>
      <c r="AQ493" s="63">
        <f t="shared" si="364"/>
        <v>0</v>
      </c>
      <c r="AR493" s="61">
        <v>0</v>
      </c>
      <c r="AS493" s="63">
        <f t="shared" si="365"/>
        <v>0</v>
      </c>
      <c r="AT493" s="61">
        <v>0</v>
      </c>
      <c r="AU493" s="63">
        <f t="shared" si="366"/>
        <v>0</v>
      </c>
      <c r="AV493" s="61">
        <v>0</v>
      </c>
      <c r="AW493" s="63">
        <f t="shared" si="367"/>
        <v>0</v>
      </c>
      <c r="AX493" s="61">
        <v>0</v>
      </c>
      <c r="AY493" s="63">
        <f t="shared" si="368"/>
        <v>0</v>
      </c>
      <c r="AZ493" s="61">
        <v>0</v>
      </c>
      <c r="BA493" s="63">
        <f t="shared" si="369"/>
        <v>0</v>
      </c>
      <c r="BB493" s="61">
        <v>0</v>
      </c>
      <c r="BC493" s="63">
        <f t="shared" si="370"/>
        <v>0</v>
      </c>
      <c r="BD493" s="61">
        <v>0</v>
      </c>
      <c r="BE493" s="63">
        <f t="shared" si="371"/>
        <v>0</v>
      </c>
      <c r="BF493" s="61">
        <f t="shared" si="372"/>
        <v>0</v>
      </c>
      <c r="BG493" s="63">
        <f t="shared" si="373"/>
        <v>0</v>
      </c>
      <c r="BH493" s="45"/>
      <c r="BI493" s="144"/>
    </row>
    <row r="494" spans="1:61" ht="47.25" x14ac:dyDescent="0.45">
      <c r="A494" s="140">
        <v>5</v>
      </c>
      <c r="B494" s="141" t="s">
        <v>850</v>
      </c>
      <c r="C494" s="142" t="s">
        <v>1488</v>
      </c>
      <c r="D494" s="143" t="str">
        <f t="shared" si="352"/>
        <v>5.1_1.15.11</v>
      </c>
      <c r="E494" s="56" t="s">
        <v>589</v>
      </c>
      <c r="F494" s="506" t="s">
        <v>575</v>
      </c>
      <c r="G494" s="507" t="s">
        <v>111</v>
      </c>
      <c r="H494" s="507" t="s">
        <v>39</v>
      </c>
      <c r="I494" s="507" t="s">
        <v>577</v>
      </c>
      <c r="J494" s="507" t="s">
        <v>39</v>
      </c>
      <c r="K494" s="507" t="s">
        <v>590</v>
      </c>
      <c r="L494" s="507" t="s">
        <v>1719</v>
      </c>
      <c r="M494" s="507" t="s">
        <v>114</v>
      </c>
      <c r="N494" s="507" t="s">
        <v>115</v>
      </c>
      <c r="O494" s="57" t="s">
        <v>591</v>
      </c>
      <c r="P494" s="58" t="s">
        <v>21</v>
      </c>
      <c r="Q494" s="59" t="s">
        <v>592</v>
      </c>
      <c r="R494" s="60" t="s">
        <v>71</v>
      </c>
      <c r="S494" s="61">
        <v>40</v>
      </c>
      <c r="T494" s="62">
        <f>INDEX('BM MORRO DA CRUZ'!$P$6:$P$402,MATCH($O494,'BM MORRO DA CRUZ'!$K$6:$K$402,0))</f>
        <v>25.7</v>
      </c>
      <c r="U494" s="63">
        <f t="shared" si="353"/>
        <v>1028</v>
      </c>
      <c r="V494" s="61">
        <f>IFERROR(SUMIFS('01ª MC'!$W$1:$W$1840,'01ª MC'!$C$1:$C$1840,$D494),0)</f>
        <v>0</v>
      </c>
      <c r="W494" s="63">
        <f t="shared" si="354"/>
        <v>0</v>
      </c>
      <c r="X494" s="61">
        <v>0</v>
      </c>
      <c r="Y494" s="63">
        <f t="shared" si="355"/>
        <v>0</v>
      </c>
      <c r="Z494" s="61">
        <v>0</v>
      </c>
      <c r="AA494" s="63">
        <f t="shared" si="356"/>
        <v>0</v>
      </c>
      <c r="AB494" s="61">
        <v>0</v>
      </c>
      <c r="AC494" s="63">
        <f t="shared" si="357"/>
        <v>0</v>
      </c>
      <c r="AD494" s="61">
        <v>0</v>
      </c>
      <c r="AE494" s="63">
        <f t="shared" si="358"/>
        <v>0</v>
      </c>
      <c r="AF494" s="61">
        <v>0</v>
      </c>
      <c r="AG494" s="63">
        <f t="shared" si="359"/>
        <v>0</v>
      </c>
      <c r="AH494" s="61">
        <v>0</v>
      </c>
      <c r="AI494" s="63">
        <f t="shared" si="360"/>
        <v>0</v>
      </c>
      <c r="AJ494" s="61">
        <v>0</v>
      </c>
      <c r="AK494" s="63">
        <f t="shared" si="361"/>
        <v>0</v>
      </c>
      <c r="AL494" s="61">
        <v>0</v>
      </c>
      <c r="AM494" s="63">
        <f t="shared" si="362"/>
        <v>0</v>
      </c>
      <c r="AN494" s="61">
        <v>0</v>
      </c>
      <c r="AO494" s="63">
        <f t="shared" si="363"/>
        <v>0</v>
      </c>
      <c r="AP494" s="61">
        <v>0</v>
      </c>
      <c r="AQ494" s="63">
        <f t="shared" si="364"/>
        <v>0</v>
      </c>
      <c r="AR494" s="61">
        <v>0</v>
      </c>
      <c r="AS494" s="63">
        <f t="shared" si="365"/>
        <v>0</v>
      </c>
      <c r="AT494" s="61">
        <v>0</v>
      </c>
      <c r="AU494" s="63">
        <f t="shared" si="366"/>
        <v>0</v>
      </c>
      <c r="AV494" s="61">
        <v>0</v>
      </c>
      <c r="AW494" s="63">
        <f t="shared" si="367"/>
        <v>0</v>
      </c>
      <c r="AX494" s="61">
        <v>0</v>
      </c>
      <c r="AY494" s="63">
        <f t="shared" si="368"/>
        <v>0</v>
      </c>
      <c r="AZ494" s="61">
        <v>0</v>
      </c>
      <c r="BA494" s="63">
        <f t="shared" si="369"/>
        <v>0</v>
      </c>
      <c r="BB494" s="61">
        <v>0</v>
      </c>
      <c r="BC494" s="63">
        <f t="shared" si="370"/>
        <v>0</v>
      </c>
      <c r="BD494" s="61">
        <v>0</v>
      </c>
      <c r="BE494" s="63">
        <f t="shared" si="371"/>
        <v>0</v>
      </c>
      <c r="BF494" s="61">
        <f t="shared" si="372"/>
        <v>0</v>
      </c>
      <c r="BG494" s="63">
        <f t="shared" si="373"/>
        <v>0</v>
      </c>
      <c r="BH494" s="45"/>
      <c r="BI494" s="144"/>
    </row>
    <row r="495" spans="1:61" ht="26.25" customHeight="1" x14ac:dyDescent="0.45">
      <c r="A495" s="140">
        <v>5</v>
      </c>
      <c r="B495" s="141" t="s">
        <v>850</v>
      </c>
      <c r="C495" s="142" t="s">
        <v>1488</v>
      </c>
      <c r="D495" s="143" t="str">
        <f t="shared" si="352"/>
        <v>5.1_1.15.12</v>
      </c>
      <c r="E495" s="56" t="s">
        <v>593</v>
      </c>
      <c r="F495" s="506" t="s">
        <v>594</v>
      </c>
      <c r="G495" s="507" t="s">
        <v>111</v>
      </c>
      <c r="H495" s="507" t="s">
        <v>39</v>
      </c>
      <c r="I495" s="507" t="s">
        <v>302</v>
      </c>
      <c r="J495" s="507" t="s">
        <v>39</v>
      </c>
      <c r="K495" s="507">
        <v>200</v>
      </c>
      <c r="L495" s="507" t="s">
        <v>125</v>
      </c>
      <c r="M495" s="507" t="s">
        <v>114</v>
      </c>
      <c r="N495" s="507" t="s">
        <v>115</v>
      </c>
      <c r="O495" s="57" t="s">
        <v>595</v>
      </c>
      <c r="P495" s="58" t="s">
        <v>21</v>
      </c>
      <c r="Q495" s="59" t="s">
        <v>596</v>
      </c>
      <c r="R495" s="60" t="s">
        <v>71</v>
      </c>
      <c r="S495" s="61">
        <v>3</v>
      </c>
      <c r="T495" s="62">
        <f>INDEX('BM MORRO DA CRUZ'!$P$6:$P$402,MATCH($O495,'BM MORRO DA CRUZ'!$K$6:$K$402,0))</f>
        <v>1014.15</v>
      </c>
      <c r="U495" s="63">
        <f t="shared" si="353"/>
        <v>3042.45</v>
      </c>
      <c r="V495" s="61">
        <f>IFERROR(SUMIFS('01ª MC'!$W$1:$W$1840,'01ª MC'!$C$1:$C$1840,$D495),0)</f>
        <v>0</v>
      </c>
      <c r="W495" s="63">
        <f t="shared" si="354"/>
        <v>0</v>
      </c>
      <c r="X495" s="61">
        <v>0</v>
      </c>
      <c r="Y495" s="63">
        <f t="shared" si="355"/>
        <v>0</v>
      </c>
      <c r="Z495" s="61">
        <v>0</v>
      </c>
      <c r="AA495" s="63">
        <f t="shared" si="356"/>
        <v>0</v>
      </c>
      <c r="AB495" s="61">
        <v>0</v>
      </c>
      <c r="AC495" s="63">
        <f t="shared" si="357"/>
        <v>0</v>
      </c>
      <c r="AD495" s="61">
        <v>0</v>
      </c>
      <c r="AE495" s="63">
        <f t="shared" si="358"/>
        <v>0</v>
      </c>
      <c r="AF495" s="61">
        <v>0</v>
      </c>
      <c r="AG495" s="63">
        <f t="shared" si="359"/>
        <v>0</v>
      </c>
      <c r="AH495" s="61">
        <v>0</v>
      </c>
      <c r="AI495" s="63">
        <f t="shared" si="360"/>
        <v>0</v>
      </c>
      <c r="AJ495" s="61">
        <v>0</v>
      </c>
      <c r="AK495" s="63">
        <f t="shared" si="361"/>
        <v>0</v>
      </c>
      <c r="AL495" s="61">
        <v>0</v>
      </c>
      <c r="AM495" s="63">
        <f t="shared" si="362"/>
        <v>0</v>
      </c>
      <c r="AN495" s="61">
        <v>0</v>
      </c>
      <c r="AO495" s="63">
        <f t="shared" si="363"/>
        <v>0</v>
      </c>
      <c r="AP495" s="61">
        <v>0</v>
      </c>
      <c r="AQ495" s="63">
        <f t="shared" si="364"/>
        <v>0</v>
      </c>
      <c r="AR495" s="61">
        <v>0</v>
      </c>
      <c r="AS495" s="63">
        <f t="shared" si="365"/>
        <v>0</v>
      </c>
      <c r="AT495" s="61">
        <v>0</v>
      </c>
      <c r="AU495" s="63">
        <f t="shared" si="366"/>
        <v>0</v>
      </c>
      <c r="AV495" s="61">
        <v>0</v>
      </c>
      <c r="AW495" s="63">
        <f t="shared" si="367"/>
        <v>0</v>
      </c>
      <c r="AX495" s="61">
        <v>0</v>
      </c>
      <c r="AY495" s="63">
        <f t="shared" si="368"/>
        <v>0</v>
      </c>
      <c r="AZ495" s="61">
        <v>0</v>
      </c>
      <c r="BA495" s="63">
        <f t="shared" si="369"/>
        <v>0</v>
      </c>
      <c r="BB495" s="61">
        <v>0</v>
      </c>
      <c r="BC495" s="63">
        <f t="shared" si="370"/>
        <v>0</v>
      </c>
      <c r="BD495" s="61">
        <v>0</v>
      </c>
      <c r="BE495" s="63">
        <f t="shared" si="371"/>
        <v>0</v>
      </c>
      <c r="BF495" s="61">
        <f t="shared" si="372"/>
        <v>0</v>
      </c>
      <c r="BG495" s="63">
        <f t="shared" si="373"/>
        <v>0</v>
      </c>
      <c r="BH495" s="45"/>
      <c r="BI495" s="144"/>
    </row>
    <row r="496" spans="1:61" ht="38.25" customHeight="1" x14ac:dyDescent="0.45">
      <c r="A496" s="140">
        <v>5</v>
      </c>
      <c r="B496" s="141" t="s">
        <v>850</v>
      </c>
      <c r="C496" s="142" t="s">
        <v>1488</v>
      </c>
      <c r="D496" s="143" t="str">
        <f t="shared" si="352"/>
        <v>5.1_1.15.13</v>
      </c>
      <c r="E496" s="56" t="s">
        <v>597</v>
      </c>
      <c r="F496" s="506" t="s">
        <v>598</v>
      </c>
      <c r="G496" s="507" t="s">
        <v>111</v>
      </c>
      <c r="H496" s="507" t="s">
        <v>39</v>
      </c>
      <c r="I496" s="507" t="s">
        <v>302</v>
      </c>
      <c r="J496" s="507" t="s">
        <v>39</v>
      </c>
      <c r="K496" s="507" t="s">
        <v>599</v>
      </c>
      <c r="L496" s="507" t="s">
        <v>125</v>
      </c>
      <c r="M496" s="507" t="s">
        <v>114</v>
      </c>
      <c r="N496" s="507" t="s">
        <v>115</v>
      </c>
      <c r="O496" s="57" t="s">
        <v>600</v>
      </c>
      <c r="P496" s="58" t="s">
        <v>21</v>
      </c>
      <c r="Q496" s="59" t="s">
        <v>601</v>
      </c>
      <c r="R496" s="60" t="s">
        <v>71</v>
      </c>
      <c r="S496" s="61">
        <v>6</v>
      </c>
      <c r="T496" s="62">
        <f>INDEX('BM MORRO DA CRUZ'!$P$6:$P$402,MATCH($O496,'BM MORRO DA CRUZ'!$K$6:$K$402,0))</f>
        <v>896.5</v>
      </c>
      <c r="U496" s="63">
        <f t="shared" si="353"/>
        <v>5379</v>
      </c>
      <c r="V496" s="61">
        <f>IFERROR(SUMIFS('01ª MC'!$W$1:$W$1840,'01ª MC'!$C$1:$C$1840,$D496),0)</f>
        <v>0</v>
      </c>
      <c r="W496" s="63">
        <f t="shared" si="354"/>
        <v>0</v>
      </c>
      <c r="X496" s="61">
        <v>0</v>
      </c>
      <c r="Y496" s="63">
        <f t="shared" si="355"/>
        <v>0</v>
      </c>
      <c r="Z496" s="61">
        <v>0</v>
      </c>
      <c r="AA496" s="63">
        <f t="shared" si="356"/>
        <v>0</v>
      </c>
      <c r="AB496" s="61">
        <v>0</v>
      </c>
      <c r="AC496" s="63">
        <f t="shared" si="357"/>
        <v>0</v>
      </c>
      <c r="AD496" s="61">
        <v>0</v>
      </c>
      <c r="AE496" s="63">
        <f t="shared" si="358"/>
        <v>0</v>
      </c>
      <c r="AF496" s="61">
        <v>0</v>
      </c>
      <c r="AG496" s="63">
        <f t="shared" si="359"/>
        <v>0</v>
      </c>
      <c r="AH496" s="61">
        <v>0</v>
      </c>
      <c r="AI496" s="63">
        <f t="shared" si="360"/>
        <v>0</v>
      </c>
      <c r="AJ496" s="61">
        <v>0</v>
      </c>
      <c r="AK496" s="63">
        <f t="shared" si="361"/>
        <v>0</v>
      </c>
      <c r="AL496" s="61">
        <v>0</v>
      </c>
      <c r="AM496" s="63">
        <f t="shared" si="362"/>
        <v>0</v>
      </c>
      <c r="AN496" s="61">
        <v>0</v>
      </c>
      <c r="AO496" s="63">
        <f t="shared" si="363"/>
        <v>0</v>
      </c>
      <c r="AP496" s="61">
        <v>0</v>
      </c>
      <c r="AQ496" s="63">
        <f t="shared" si="364"/>
        <v>0</v>
      </c>
      <c r="AR496" s="61">
        <v>0</v>
      </c>
      <c r="AS496" s="63">
        <f t="shared" si="365"/>
        <v>0</v>
      </c>
      <c r="AT496" s="61">
        <v>0</v>
      </c>
      <c r="AU496" s="63">
        <f t="shared" si="366"/>
        <v>0</v>
      </c>
      <c r="AV496" s="61">
        <v>0</v>
      </c>
      <c r="AW496" s="63">
        <f t="shared" si="367"/>
        <v>0</v>
      </c>
      <c r="AX496" s="61">
        <v>0</v>
      </c>
      <c r="AY496" s="63">
        <f t="shared" si="368"/>
        <v>0</v>
      </c>
      <c r="AZ496" s="61">
        <v>0</v>
      </c>
      <c r="BA496" s="63">
        <f t="shared" si="369"/>
        <v>0</v>
      </c>
      <c r="BB496" s="61">
        <v>0</v>
      </c>
      <c r="BC496" s="63">
        <f t="shared" si="370"/>
        <v>0</v>
      </c>
      <c r="BD496" s="61">
        <v>0</v>
      </c>
      <c r="BE496" s="63">
        <f t="shared" si="371"/>
        <v>0</v>
      </c>
      <c r="BF496" s="61">
        <f t="shared" si="372"/>
        <v>0</v>
      </c>
      <c r="BG496" s="63">
        <f t="shared" si="373"/>
        <v>0</v>
      </c>
      <c r="BH496" s="45"/>
      <c r="BI496" s="144"/>
    </row>
    <row r="497" spans="1:61" ht="26.25" customHeight="1" x14ac:dyDescent="0.45">
      <c r="A497" s="140">
        <v>5</v>
      </c>
      <c r="B497" s="141" t="s">
        <v>850</v>
      </c>
      <c r="C497" s="142" t="s">
        <v>1488</v>
      </c>
      <c r="D497" s="143" t="str">
        <f t="shared" si="352"/>
        <v>5.1_1.15.14</v>
      </c>
      <c r="E497" s="56" t="s">
        <v>602</v>
      </c>
      <c r="F497" s="506" t="s">
        <v>603</v>
      </c>
      <c r="G497" s="507" t="s">
        <v>111</v>
      </c>
      <c r="H497" s="507" t="s">
        <v>39</v>
      </c>
      <c r="I497" s="507" t="s">
        <v>604</v>
      </c>
      <c r="J497" s="507" t="s">
        <v>39</v>
      </c>
      <c r="K497" s="507">
        <v>200</v>
      </c>
      <c r="L497" s="507" t="s">
        <v>125</v>
      </c>
      <c r="M497" s="507" t="s">
        <v>114</v>
      </c>
      <c r="N497" s="507" t="s">
        <v>115</v>
      </c>
      <c r="O497" s="57" t="s">
        <v>605</v>
      </c>
      <c r="P497" s="58" t="s">
        <v>21</v>
      </c>
      <c r="Q497" s="59" t="s">
        <v>606</v>
      </c>
      <c r="R497" s="60" t="s">
        <v>71</v>
      </c>
      <c r="S497" s="61">
        <v>2</v>
      </c>
      <c r="T497" s="62">
        <f>INDEX('BM MORRO DA CRUZ'!$P$6:$P$402,MATCH($O497,'BM MORRO DA CRUZ'!$K$6:$K$402,0))</f>
        <v>917.66</v>
      </c>
      <c r="U497" s="63">
        <f t="shared" si="353"/>
        <v>1835.32</v>
      </c>
      <c r="V497" s="61">
        <f>IFERROR(SUMIFS('01ª MC'!$W$1:$W$1840,'01ª MC'!$C$1:$C$1840,$D497),0)</f>
        <v>0</v>
      </c>
      <c r="W497" s="63">
        <f t="shared" si="354"/>
        <v>0</v>
      </c>
      <c r="X497" s="61">
        <v>0</v>
      </c>
      <c r="Y497" s="63">
        <f t="shared" si="355"/>
        <v>0</v>
      </c>
      <c r="Z497" s="61">
        <v>0</v>
      </c>
      <c r="AA497" s="63">
        <f t="shared" si="356"/>
        <v>0</v>
      </c>
      <c r="AB497" s="61">
        <v>0</v>
      </c>
      <c r="AC497" s="63">
        <f t="shared" si="357"/>
        <v>0</v>
      </c>
      <c r="AD497" s="61">
        <v>0</v>
      </c>
      <c r="AE497" s="63">
        <f t="shared" si="358"/>
        <v>0</v>
      </c>
      <c r="AF497" s="61">
        <v>0</v>
      </c>
      <c r="AG497" s="63">
        <f t="shared" si="359"/>
        <v>0</v>
      </c>
      <c r="AH497" s="61">
        <v>0</v>
      </c>
      <c r="AI497" s="63">
        <f t="shared" si="360"/>
        <v>0</v>
      </c>
      <c r="AJ497" s="61">
        <v>0</v>
      </c>
      <c r="AK497" s="63">
        <f t="shared" si="361"/>
        <v>0</v>
      </c>
      <c r="AL497" s="61">
        <v>0</v>
      </c>
      <c r="AM497" s="63">
        <f t="shared" si="362"/>
        <v>0</v>
      </c>
      <c r="AN497" s="61">
        <v>0</v>
      </c>
      <c r="AO497" s="63">
        <f t="shared" si="363"/>
        <v>0</v>
      </c>
      <c r="AP497" s="61">
        <v>0</v>
      </c>
      <c r="AQ497" s="63">
        <f t="shared" si="364"/>
        <v>0</v>
      </c>
      <c r="AR497" s="61">
        <v>0</v>
      </c>
      <c r="AS497" s="63">
        <f t="shared" si="365"/>
        <v>0</v>
      </c>
      <c r="AT497" s="61">
        <v>0</v>
      </c>
      <c r="AU497" s="63">
        <f t="shared" si="366"/>
        <v>0</v>
      </c>
      <c r="AV497" s="61">
        <v>0</v>
      </c>
      <c r="AW497" s="63">
        <f t="shared" si="367"/>
        <v>0</v>
      </c>
      <c r="AX497" s="61">
        <v>0</v>
      </c>
      <c r="AY497" s="63">
        <f t="shared" si="368"/>
        <v>0</v>
      </c>
      <c r="AZ497" s="61">
        <v>0</v>
      </c>
      <c r="BA497" s="63">
        <f t="shared" si="369"/>
        <v>0</v>
      </c>
      <c r="BB497" s="61">
        <v>0</v>
      </c>
      <c r="BC497" s="63">
        <f t="shared" si="370"/>
        <v>0</v>
      </c>
      <c r="BD497" s="61">
        <v>0</v>
      </c>
      <c r="BE497" s="63">
        <f t="shared" si="371"/>
        <v>0</v>
      </c>
      <c r="BF497" s="61">
        <f t="shared" si="372"/>
        <v>0</v>
      </c>
      <c r="BG497" s="63">
        <f t="shared" si="373"/>
        <v>0</v>
      </c>
      <c r="BH497" s="45"/>
      <c r="BI497" s="144"/>
    </row>
    <row r="498" spans="1:61" ht="26.25" customHeight="1" x14ac:dyDescent="0.45">
      <c r="A498" s="140">
        <v>5</v>
      </c>
      <c r="B498" s="141" t="s">
        <v>850</v>
      </c>
      <c r="C498" s="142" t="s">
        <v>1488</v>
      </c>
      <c r="D498" s="143" t="str">
        <f t="shared" si="352"/>
        <v>5.1_1.15.15</v>
      </c>
      <c r="E498" s="56" t="s">
        <v>607</v>
      </c>
      <c r="F498" s="506" t="s">
        <v>608</v>
      </c>
      <c r="G498" s="507" t="s">
        <v>39</v>
      </c>
      <c r="H498" s="507" t="s">
        <v>39</v>
      </c>
      <c r="I498" s="507" t="s">
        <v>609</v>
      </c>
      <c r="J498" s="507" t="s">
        <v>39</v>
      </c>
      <c r="K498" s="507">
        <v>100</v>
      </c>
      <c r="L498" s="507" t="s">
        <v>125</v>
      </c>
      <c r="M498" s="507" t="s">
        <v>114</v>
      </c>
      <c r="N498" s="507" t="s">
        <v>115</v>
      </c>
      <c r="O498" s="57" t="s">
        <v>610</v>
      </c>
      <c r="P498" s="58" t="s">
        <v>21</v>
      </c>
      <c r="Q498" s="59" t="s">
        <v>611</v>
      </c>
      <c r="R498" s="60" t="s">
        <v>71</v>
      </c>
      <c r="S498" s="61">
        <v>1</v>
      </c>
      <c r="T498" s="62">
        <f>INDEX('BM MORRO DA CRUZ'!$P$6:$P$402,MATCH($O498,'BM MORRO DA CRUZ'!$K$6:$K$402,0))</f>
        <v>627.82000000000005</v>
      </c>
      <c r="U498" s="63">
        <f t="shared" si="353"/>
        <v>627.82000000000005</v>
      </c>
      <c r="V498" s="61">
        <f>IFERROR(SUMIFS('01ª MC'!$W$1:$W$1840,'01ª MC'!$C$1:$C$1840,$D498),0)</f>
        <v>0</v>
      </c>
      <c r="W498" s="63">
        <f t="shared" si="354"/>
        <v>0</v>
      </c>
      <c r="X498" s="61">
        <v>0</v>
      </c>
      <c r="Y498" s="63">
        <f t="shared" si="355"/>
        <v>0</v>
      </c>
      <c r="Z498" s="61">
        <v>0</v>
      </c>
      <c r="AA498" s="63">
        <f t="shared" si="356"/>
        <v>0</v>
      </c>
      <c r="AB498" s="61">
        <v>0</v>
      </c>
      <c r="AC498" s="63">
        <f t="shared" si="357"/>
        <v>0</v>
      </c>
      <c r="AD498" s="61">
        <v>0</v>
      </c>
      <c r="AE498" s="63">
        <f t="shared" si="358"/>
        <v>0</v>
      </c>
      <c r="AF498" s="61">
        <v>0</v>
      </c>
      <c r="AG498" s="63">
        <f t="shared" si="359"/>
        <v>0</v>
      </c>
      <c r="AH498" s="61">
        <v>0</v>
      </c>
      <c r="AI498" s="63">
        <f t="shared" si="360"/>
        <v>0</v>
      </c>
      <c r="AJ498" s="61">
        <v>0</v>
      </c>
      <c r="AK498" s="63">
        <f t="shared" si="361"/>
        <v>0</v>
      </c>
      <c r="AL498" s="61">
        <v>0</v>
      </c>
      <c r="AM498" s="63">
        <f t="shared" si="362"/>
        <v>0</v>
      </c>
      <c r="AN498" s="61">
        <v>0</v>
      </c>
      <c r="AO498" s="63">
        <f t="shared" si="363"/>
        <v>0</v>
      </c>
      <c r="AP498" s="61">
        <v>0</v>
      </c>
      <c r="AQ498" s="63">
        <f t="shared" si="364"/>
        <v>0</v>
      </c>
      <c r="AR498" s="61">
        <v>0</v>
      </c>
      <c r="AS498" s="63">
        <f t="shared" si="365"/>
        <v>0</v>
      </c>
      <c r="AT498" s="61">
        <v>0</v>
      </c>
      <c r="AU498" s="63">
        <f t="shared" si="366"/>
        <v>0</v>
      </c>
      <c r="AV498" s="61">
        <v>0</v>
      </c>
      <c r="AW498" s="63">
        <f t="shared" si="367"/>
        <v>0</v>
      </c>
      <c r="AX498" s="61">
        <v>0</v>
      </c>
      <c r="AY498" s="63">
        <f t="shared" si="368"/>
        <v>0</v>
      </c>
      <c r="AZ498" s="61">
        <v>0</v>
      </c>
      <c r="BA498" s="63">
        <f t="shared" si="369"/>
        <v>0</v>
      </c>
      <c r="BB498" s="61">
        <v>0</v>
      </c>
      <c r="BC498" s="63">
        <f t="shared" si="370"/>
        <v>0</v>
      </c>
      <c r="BD498" s="61">
        <v>0</v>
      </c>
      <c r="BE498" s="63">
        <f t="shared" si="371"/>
        <v>0</v>
      </c>
      <c r="BF498" s="61">
        <f t="shared" si="372"/>
        <v>0</v>
      </c>
      <c r="BG498" s="63">
        <f t="shared" si="373"/>
        <v>0</v>
      </c>
      <c r="BH498" s="45"/>
      <c r="BI498" s="144"/>
    </row>
    <row r="499" spans="1:61" ht="26.25" customHeight="1" x14ac:dyDescent="0.45">
      <c r="A499" s="140">
        <v>5</v>
      </c>
      <c r="B499" s="141" t="s">
        <v>850</v>
      </c>
      <c r="C499" s="142" t="s">
        <v>1488</v>
      </c>
      <c r="D499" s="143" t="str">
        <f t="shared" si="352"/>
        <v>5.1_1.15.16</v>
      </c>
      <c r="E499" s="56" t="s">
        <v>612</v>
      </c>
      <c r="F499" s="506" t="s">
        <v>608</v>
      </c>
      <c r="G499" s="507" t="s">
        <v>39</v>
      </c>
      <c r="H499" s="507" t="s">
        <v>39</v>
      </c>
      <c r="I499" s="507" t="s">
        <v>609</v>
      </c>
      <c r="J499" s="507" t="s">
        <v>39</v>
      </c>
      <c r="K499" s="507">
        <v>150</v>
      </c>
      <c r="L499" s="507" t="s">
        <v>125</v>
      </c>
      <c r="M499" s="507" t="s">
        <v>114</v>
      </c>
      <c r="N499" s="507" t="s">
        <v>115</v>
      </c>
      <c r="O499" s="57" t="s">
        <v>613</v>
      </c>
      <c r="P499" s="58" t="s">
        <v>21</v>
      </c>
      <c r="Q499" s="59" t="s">
        <v>614</v>
      </c>
      <c r="R499" s="60" t="s">
        <v>71</v>
      </c>
      <c r="S499" s="61">
        <v>5</v>
      </c>
      <c r="T499" s="62">
        <f>INDEX('BM MORRO DA CRUZ'!$P$6:$P$402,MATCH($O499,'BM MORRO DA CRUZ'!$K$6:$K$402,0))</f>
        <v>902.61</v>
      </c>
      <c r="U499" s="63">
        <f t="shared" si="353"/>
        <v>4513.05</v>
      </c>
      <c r="V499" s="61">
        <f>IFERROR(SUMIFS('01ª MC'!$W$1:$W$1840,'01ª MC'!$C$1:$C$1840,$D499),0)</f>
        <v>0</v>
      </c>
      <c r="W499" s="63">
        <f t="shared" si="354"/>
        <v>0</v>
      </c>
      <c r="X499" s="61">
        <v>0</v>
      </c>
      <c r="Y499" s="63">
        <f t="shared" si="355"/>
        <v>0</v>
      </c>
      <c r="Z499" s="61">
        <v>0</v>
      </c>
      <c r="AA499" s="63">
        <f t="shared" si="356"/>
        <v>0</v>
      </c>
      <c r="AB499" s="61">
        <v>0</v>
      </c>
      <c r="AC499" s="63">
        <f t="shared" si="357"/>
        <v>0</v>
      </c>
      <c r="AD499" s="61">
        <v>0</v>
      </c>
      <c r="AE499" s="63">
        <f t="shared" si="358"/>
        <v>0</v>
      </c>
      <c r="AF499" s="61">
        <v>0</v>
      </c>
      <c r="AG499" s="63">
        <f t="shared" si="359"/>
        <v>0</v>
      </c>
      <c r="AH499" s="61">
        <v>0</v>
      </c>
      <c r="AI499" s="63">
        <f t="shared" si="360"/>
        <v>0</v>
      </c>
      <c r="AJ499" s="61">
        <v>0</v>
      </c>
      <c r="AK499" s="63">
        <f t="shared" si="361"/>
        <v>0</v>
      </c>
      <c r="AL499" s="61">
        <v>0</v>
      </c>
      <c r="AM499" s="63">
        <f t="shared" si="362"/>
        <v>0</v>
      </c>
      <c r="AN499" s="61">
        <v>0</v>
      </c>
      <c r="AO499" s="63">
        <f t="shared" si="363"/>
        <v>0</v>
      </c>
      <c r="AP499" s="61">
        <v>0</v>
      </c>
      <c r="AQ499" s="63">
        <f t="shared" si="364"/>
        <v>0</v>
      </c>
      <c r="AR499" s="61">
        <v>0</v>
      </c>
      <c r="AS499" s="63">
        <f t="shared" si="365"/>
        <v>0</v>
      </c>
      <c r="AT499" s="61">
        <v>0</v>
      </c>
      <c r="AU499" s="63">
        <f t="shared" si="366"/>
        <v>0</v>
      </c>
      <c r="AV499" s="61">
        <v>0</v>
      </c>
      <c r="AW499" s="63">
        <f t="shared" si="367"/>
        <v>0</v>
      </c>
      <c r="AX499" s="61">
        <v>0</v>
      </c>
      <c r="AY499" s="63">
        <f t="shared" si="368"/>
        <v>0</v>
      </c>
      <c r="AZ499" s="61">
        <v>0</v>
      </c>
      <c r="BA499" s="63">
        <f t="shared" si="369"/>
        <v>0</v>
      </c>
      <c r="BB499" s="61">
        <v>0</v>
      </c>
      <c r="BC499" s="63">
        <f t="shared" si="370"/>
        <v>0</v>
      </c>
      <c r="BD499" s="61">
        <v>0</v>
      </c>
      <c r="BE499" s="63">
        <f t="shared" si="371"/>
        <v>0</v>
      </c>
      <c r="BF499" s="61">
        <f t="shared" si="372"/>
        <v>0</v>
      </c>
      <c r="BG499" s="63">
        <f t="shared" si="373"/>
        <v>0</v>
      </c>
      <c r="BH499" s="45"/>
      <c r="BI499" s="144"/>
    </row>
    <row r="500" spans="1:61" ht="26.25" customHeight="1" x14ac:dyDescent="0.45">
      <c r="A500" s="140">
        <v>5</v>
      </c>
      <c r="B500" s="141" t="s">
        <v>850</v>
      </c>
      <c r="C500" s="142" t="s">
        <v>1488</v>
      </c>
      <c r="D500" s="143" t="str">
        <f t="shared" si="352"/>
        <v>5.1_1.15.17</v>
      </c>
      <c r="E500" s="56" t="s">
        <v>615</v>
      </c>
      <c r="F500" s="506" t="s">
        <v>608</v>
      </c>
      <c r="G500" s="507" t="s">
        <v>39</v>
      </c>
      <c r="H500" s="507" t="s">
        <v>39</v>
      </c>
      <c r="I500" s="507" t="s">
        <v>609</v>
      </c>
      <c r="J500" s="507" t="s">
        <v>39</v>
      </c>
      <c r="K500" s="507">
        <v>200</v>
      </c>
      <c r="L500" s="507" t="s">
        <v>125</v>
      </c>
      <c r="M500" s="507" t="s">
        <v>114</v>
      </c>
      <c r="N500" s="507" t="s">
        <v>115</v>
      </c>
      <c r="O500" s="57" t="s">
        <v>616</v>
      </c>
      <c r="P500" s="58" t="s">
        <v>21</v>
      </c>
      <c r="Q500" s="59" t="s">
        <v>617</v>
      </c>
      <c r="R500" s="60" t="s">
        <v>71</v>
      </c>
      <c r="S500" s="61">
        <v>5</v>
      </c>
      <c r="T500" s="62">
        <f>INDEX('BM MORRO DA CRUZ'!$P$6:$P$402,MATCH($O500,'BM MORRO DA CRUZ'!$K$6:$K$402,0))</f>
        <v>1150.8399999999999</v>
      </c>
      <c r="U500" s="63">
        <f t="shared" si="353"/>
        <v>5754.2</v>
      </c>
      <c r="V500" s="61">
        <f>IFERROR(SUMIFS('01ª MC'!$W$1:$W$1840,'01ª MC'!$C$1:$C$1840,$D500),0)</f>
        <v>0</v>
      </c>
      <c r="W500" s="63">
        <f t="shared" si="354"/>
        <v>0</v>
      </c>
      <c r="X500" s="61">
        <v>0</v>
      </c>
      <c r="Y500" s="63">
        <f t="shared" si="355"/>
        <v>0</v>
      </c>
      <c r="Z500" s="61">
        <v>0</v>
      </c>
      <c r="AA500" s="63">
        <f t="shared" si="356"/>
        <v>0</v>
      </c>
      <c r="AB500" s="61">
        <v>0</v>
      </c>
      <c r="AC500" s="63">
        <f t="shared" si="357"/>
        <v>0</v>
      </c>
      <c r="AD500" s="61">
        <v>0</v>
      </c>
      <c r="AE500" s="63">
        <f t="shared" si="358"/>
        <v>0</v>
      </c>
      <c r="AF500" s="61">
        <v>0</v>
      </c>
      <c r="AG500" s="63">
        <f t="shared" si="359"/>
        <v>0</v>
      </c>
      <c r="AH500" s="61">
        <v>0</v>
      </c>
      <c r="AI500" s="63">
        <f t="shared" si="360"/>
        <v>0</v>
      </c>
      <c r="AJ500" s="61">
        <v>0</v>
      </c>
      <c r="AK500" s="63">
        <f t="shared" si="361"/>
        <v>0</v>
      </c>
      <c r="AL500" s="61">
        <v>0</v>
      </c>
      <c r="AM500" s="63">
        <f t="shared" si="362"/>
        <v>0</v>
      </c>
      <c r="AN500" s="61">
        <v>0</v>
      </c>
      <c r="AO500" s="63">
        <f t="shared" si="363"/>
        <v>0</v>
      </c>
      <c r="AP500" s="61">
        <v>0</v>
      </c>
      <c r="AQ500" s="63">
        <f t="shared" si="364"/>
        <v>0</v>
      </c>
      <c r="AR500" s="61">
        <v>0</v>
      </c>
      <c r="AS500" s="63">
        <f t="shared" si="365"/>
        <v>0</v>
      </c>
      <c r="AT500" s="61">
        <v>0</v>
      </c>
      <c r="AU500" s="63">
        <f t="shared" si="366"/>
        <v>0</v>
      </c>
      <c r="AV500" s="61">
        <v>0</v>
      </c>
      <c r="AW500" s="63">
        <f t="shared" si="367"/>
        <v>0</v>
      </c>
      <c r="AX500" s="61">
        <v>0</v>
      </c>
      <c r="AY500" s="63">
        <f t="shared" si="368"/>
        <v>0</v>
      </c>
      <c r="AZ500" s="61">
        <v>0</v>
      </c>
      <c r="BA500" s="63">
        <f t="shared" si="369"/>
        <v>0</v>
      </c>
      <c r="BB500" s="61">
        <v>0</v>
      </c>
      <c r="BC500" s="63">
        <f t="shared" si="370"/>
        <v>0</v>
      </c>
      <c r="BD500" s="61">
        <v>0</v>
      </c>
      <c r="BE500" s="63">
        <f t="shared" si="371"/>
        <v>0</v>
      </c>
      <c r="BF500" s="61">
        <f t="shared" si="372"/>
        <v>0</v>
      </c>
      <c r="BG500" s="63">
        <f t="shared" si="373"/>
        <v>0</v>
      </c>
      <c r="BH500" s="45"/>
      <c r="BI500" s="144"/>
    </row>
    <row r="501" spans="1:61" ht="26.25" customHeight="1" x14ac:dyDescent="0.45">
      <c r="A501" s="140">
        <v>5</v>
      </c>
      <c r="B501" s="141" t="s">
        <v>850</v>
      </c>
      <c r="C501" s="142" t="s">
        <v>1488</v>
      </c>
      <c r="D501" s="143" t="str">
        <f t="shared" si="352"/>
        <v>5.1_1.15.18</v>
      </c>
      <c r="E501" s="56" t="s">
        <v>618</v>
      </c>
      <c r="F501" s="506" t="s">
        <v>608</v>
      </c>
      <c r="G501" s="507" t="s">
        <v>39</v>
      </c>
      <c r="H501" s="507" t="s">
        <v>39</v>
      </c>
      <c r="I501" s="507" t="s">
        <v>609</v>
      </c>
      <c r="J501" s="507" t="s">
        <v>39</v>
      </c>
      <c r="K501" s="507">
        <v>300</v>
      </c>
      <c r="L501" s="507" t="s">
        <v>125</v>
      </c>
      <c r="M501" s="507" t="s">
        <v>114</v>
      </c>
      <c r="N501" s="507" t="s">
        <v>115</v>
      </c>
      <c r="O501" s="57" t="s">
        <v>619</v>
      </c>
      <c r="P501" s="58" t="s">
        <v>21</v>
      </c>
      <c r="Q501" s="59" t="s">
        <v>620</v>
      </c>
      <c r="R501" s="60" t="s">
        <v>71</v>
      </c>
      <c r="S501" s="61">
        <v>1</v>
      </c>
      <c r="T501" s="62">
        <f>INDEX('BM MORRO DA CRUZ'!$P$6:$P$402,MATCH($O501,'BM MORRO DA CRUZ'!$K$6:$K$402,0))</f>
        <v>2215.8000000000002</v>
      </c>
      <c r="U501" s="63">
        <f t="shared" si="353"/>
        <v>2215.8000000000002</v>
      </c>
      <c r="V501" s="61">
        <f>IFERROR(SUMIFS('01ª MC'!$W$1:$W$1840,'01ª MC'!$C$1:$C$1840,$D501),0)</f>
        <v>0</v>
      </c>
      <c r="W501" s="63">
        <f t="shared" si="354"/>
        <v>0</v>
      </c>
      <c r="X501" s="61">
        <v>0</v>
      </c>
      <c r="Y501" s="63">
        <f t="shared" si="355"/>
        <v>0</v>
      </c>
      <c r="Z501" s="61">
        <v>0</v>
      </c>
      <c r="AA501" s="63">
        <f t="shared" si="356"/>
        <v>0</v>
      </c>
      <c r="AB501" s="61">
        <v>0</v>
      </c>
      <c r="AC501" s="63">
        <f t="shared" si="357"/>
        <v>0</v>
      </c>
      <c r="AD501" s="61">
        <v>0</v>
      </c>
      <c r="AE501" s="63">
        <f t="shared" si="358"/>
        <v>0</v>
      </c>
      <c r="AF501" s="61">
        <v>0</v>
      </c>
      <c r="AG501" s="63">
        <f t="shared" si="359"/>
        <v>0</v>
      </c>
      <c r="AH501" s="61">
        <v>0</v>
      </c>
      <c r="AI501" s="63">
        <f t="shared" si="360"/>
        <v>0</v>
      </c>
      <c r="AJ501" s="61">
        <v>0</v>
      </c>
      <c r="AK501" s="63">
        <f t="shared" si="361"/>
        <v>0</v>
      </c>
      <c r="AL501" s="61">
        <v>0</v>
      </c>
      <c r="AM501" s="63">
        <f t="shared" si="362"/>
        <v>0</v>
      </c>
      <c r="AN501" s="61">
        <v>0</v>
      </c>
      <c r="AO501" s="63">
        <f t="shared" si="363"/>
        <v>0</v>
      </c>
      <c r="AP501" s="61">
        <v>0</v>
      </c>
      <c r="AQ501" s="63">
        <f t="shared" si="364"/>
        <v>0</v>
      </c>
      <c r="AR501" s="61">
        <v>0</v>
      </c>
      <c r="AS501" s="63">
        <f t="shared" si="365"/>
        <v>0</v>
      </c>
      <c r="AT501" s="61">
        <v>0</v>
      </c>
      <c r="AU501" s="63">
        <f t="shared" si="366"/>
        <v>0</v>
      </c>
      <c r="AV501" s="61">
        <v>0</v>
      </c>
      <c r="AW501" s="63">
        <f t="shared" si="367"/>
        <v>0</v>
      </c>
      <c r="AX501" s="61">
        <v>0</v>
      </c>
      <c r="AY501" s="63">
        <f t="shared" si="368"/>
        <v>0</v>
      </c>
      <c r="AZ501" s="61">
        <v>0</v>
      </c>
      <c r="BA501" s="63">
        <f t="shared" si="369"/>
        <v>0</v>
      </c>
      <c r="BB501" s="61">
        <v>0</v>
      </c>
      <c r="BC501" s="63">
        <f t="shared" si="370"/>
        <v>0</v>
      </c>
      <c r="BD501" s="61">
        <v>0</v>
      </c>
      <c r="BE501" s="63">
        <f t="shared" si="371"/>
        <v>0</v>
      </c>
      <c r="BF501" s="61">
        <f t="shared" si="372"/>
        <v>0</v>
      </c>
      <c r="BG501" s="63">
        <f t="shared" si="373"/>
        <v>0</v>
      </c>
      <c r="BH501" s="45"/>
      <c r="BI501" s="144"/>
    </row>
    <row r="502" spans="1:61" ht="26.25" customHeight="1" x14ac:dyDescent="0.45">
      <c r="A502" s="140">
        <v>5</v>
      </c>
      <c r="B502" s="141" t="s">
        <v>850</v>
      </c>
      <c r="C502" s="142" t="s">
        <v>1488</v>
      </c>
      <c r="D502" s="143" t="str">
        <f t="shared" si="352"/>
        <v>5.1_1.15.19</v>
      </c>
      <c r="E502" s="56" t="s">
        <v>621</v>
      </c>
      <c r="F502" s="506" t="s">
        <v>608</v>
      </c>
      <c r="G502" s="507" t="s">
        <v>39</v>
      </c>
      <c r="H502" s="507" t="s">
        <v>39</v>
      </c>
      <c r="I502" s="507" t="s">
        <v>609</v>
      </c>
      <c r="J502" s="507" t="s">
        <v>39</v>
      </c>
      <c r="K502" s="507">
        <v>50</v>
      </c>
      <c r="L502" s="507" t="s">
        <v>125</v>
      </c>
      <c r="M502" s="507" t="s">
        <v>114</v>
      </c>
      <c r="N502" s="507" t="s">
        <v>115</v>
      </c>
      <c r="O502" s="57" t="s">
        <v>622</v>
      </c>
      <c r="P502" s="58" t="s">
        <v>21</v>
      </c>
      <c r="Q502" s="59" t="s">
        <v>623</v>
      </c>
      <c r="R502" s="60" t="s">
        <v>71</v>
      </c>
      <c r="S502" s="61">
        <v>8</v>
      </c>
      <c r="T502" s="62">
        <f>INDEX('BM MORRO DA CRUZ'!$P$6:$P$402,MATCH($O502,'BM MORRO DA CRUZ'!$K$6:$K$402,0))</f>
        <v>532.63</v>
      </c>
      <c r="U502" s="63">
        <f t="shared" si="353"/>
        <v>4261.04</v>
      </c>
      <c r="V502" s="61">
        <f>IFERROR(SUMIFS('01ª MC'!$W$1:$W$1840,'01ª MC'!$C$1:$C$1840,$D502),0)</f>
        <v>0</v>
      </c>
      <c r="W502" s="63">
        <f t="shared" si="354"/>
        <v>0</v>
      </c>
      <c r="X502" s="61">
        <v>0</v>
      </c>
      <c r="Y502" s="63">
        <f t="shared" si="355"/>
        <v>0</v>
      </c>
      <c r="Z502" s="61">
        <v>0</v>
      </c>
      <c r="AA502" s="63">
        <f t="shared" si="356"/>
        <v>0</v>
      </c>
      <c r="AB502" s="61">
        <v>0</v>
      </c>
      <c r="AC502" s="63">
        <f t="shared" si="357"/>
        <v>0</v>
      </c>
      <c r="AD502" s="61">
        <v>0</v>
      </c>
      <c r="AE502" s="63">
        <f t="shared" si="358"/>
        <v>0</v>
      </c>
      <c r="AF502" s="61">
        <v>0</v>
      </c>
      <c r="AG502" s="63">
        <f t="shared" si="359"/>
        <v>0</v>
      </c>
      <c r="AH502" s="61">
        <v>0</v>
      </c>
      <c r="AI502" s="63">
        <f t="shared" si="360"/>
        <v>0</v>
      </c>
      <c r="AJ502" s="61">
        <v>0</v>
      </c>
      <c r="AK502" s="63">
        <f t="shared" si="361"/>
        <v>0</v>
      </c>
      <c r="AL502" s="61">
        <v>0</v>
      </c>
      <c r="AM502" s="63">
        <f t="shared" si="362"/>
        <v>0</v>
      </c>
      <c r="AN502" s="61">
        <v>0</v>
      </c>
      <c r="AO502" s="63">
        <f t="shared" si="363"/>
        <v>0</v>
      </c>
      <c r="AP502" s="61">
        <v>0</v>
      </c>
      <c r="AQ502" s="63">
        <f t="shared" si="364"/>
        <v>0</v>
      </c>
      <c r="AR502" s="61">
        <v>0</v>
      </c>
      <c r="AS502" s="63">
        <f t="shared" si="365"/>
        <v>0</v>
      </c>
      <c r="AT502" s="61">
        <v>0</v>
      </c>
      <c r="AU502" s="63">
        <f t="shared" si="366"/>
        <v>0</v>
      </c>
      <c r="AV502" s="61">
        <v>0</v>
      </c>
      <c r="AW502" s="63">
        <f t="shared" si="367"/>
        <v>0</v>
      </c>
      <c r="AX502" s="61">
        <v>0</v>
      </c>
      <c r="AY502" s="63">
        <f t="shared" si="368"/>
        <v>0</v>
      </c>
      <c r="AZ502" s="61">
        <v>0</v>
      </c>
      <c r="BA502" s="63">
        <f t="shared" si="369"/>
        <v>0</v>
      </c>
      <c r="BB502" s="61">
        <v>0</v>
      </c>
      <c r="BC502" s="63">
        <f t="shared" si="370"/>
        <v>0</v>
      </c>
      <c r="BD502" s="61">
        <v>0</v>
      </c>
      <c r="BE502" s="63">
        <f t="shared" si="371"/>
        <v>0</v>
      </c>
      <c r="BF502" s="61">
        <f t="shared" si="372"/>
        <v>0</v>
      </c>
      <c r="BG502" s="63">
        <f t="shared" si="373"/>
        <v>0</v>
      </c>
      <c r="BH502" s="45"/>
      <c r="BI502" s="144"/>
    </row>
    <row r="503" spans="1:61" ht="26.25" customHeight="1" x14ac:dyDescent="0.45">
      <c r="A503" s="140">
        <v>5</v>
      </c>
      <c r="B503" s="141" t="s">
        <v>850</v>
      </c>
      <c r="C503" s="142" t="s">
        <v>1488</v>
      </c>
      <c r="D503" s="143" t="str">
        <f t="shared" si="352"/>
        <v>5.1_1.15.20</v>
      </c>
      <c r="E503" s="56" t="s">
        <v>624</v>
      </c>
      <c r="F503" s="506" t="s">
        <v>608</v>
      </c>
      <c r="G503" s="507" t="s">
        <v>39</v>
      </c>
      <c r="H503" s="507" t="s">
        <v>39</v>
      </c>
      <c r="I503" s="507" t="s">
        <v>609</v>
      </c>
      <c r="J503" s="507" t="s">
        <v>39</v>
      </c>
      <c r="K503" s="507">
        <v>80</v>
      </c>
      <c r="L503" s="507" t="s">
        <v>125</v>
      </c>
      <c r="M503" s="507" t="s">
        <v>114</v>
      </c>
      <c r="N503" s="507" t="s">
        <v>115</v>
      </c>
      <c r="O503" s="57" t="s">
        <v>625</v>
      </c>
      <c r="P503" s="58" t="s">
        <v>21</v>
      </c>
      <c r="Q503" s="59" t="s">
        <v>626</v>
      </c>
      <c r="R503" s="60" t="s">
        <v>71</v>
      </c>
      <c r="S503" s="61">
        <v>10</v>
      </c>
      <c r="T503" s="62">
        <f>INDEX('BM MORRO DA CRUZ'!$P$6:$P$402,MATCH($O503,'BM MORRO DA CRUZ'!$K$6:$K$402,0))</f>
        <v>568.79</v>
      </c>
      <c r="U503" s="63">
        <f t="shared" si="353"/>
        <v>5687.9</v>
      </c>
      <c r="V503" s="61">
        <f>IFERROR(SUMIFS('01ª MC'!$W$1:$W$1840,'01ª MC'!$C$1:$C$1840,$D503),0)</f>
        <v>0</v>
      </c>
      <c r="W503" s="63">
        <f t="shared" si="354"/>
        <v>0</v>
      </c>
      <c r="X503" s="61">
        <v>0</v>
      </c>
      <c r="Y503" s="63">
        <f t="shared" si="355"/>
        <v>0</v>
      </c>
      <c r="Z503" s="61">
        <v>0</v>
      </c>
      <c r="AA503" s="63">
        <f t="shared" si="356"/>
        <v>0</v>
      </c>
      <c r="AB503" s="61">
        <v>0</v>
      </c>
      <c r="AC503" s="63">
        <f t="shared" si="357"/>
        <v>0</v>
      </c>
      <c r="AD503" s="61">
        <v>0</v>
      </c>
      <c r="AE503" s="63">
        <f t="shared" si="358"/>
        <v>0</v>
      </c>
      <c r="AF503" s="61">
        <v>0</v>
      </c>
      <c r="AG503" s="63">
        <f t="shared" si="359"/>
        <v>0</v>
      </c>
      <c r="AH503" s="61">
        <v>0</v>
      </c>
      <c r="AI503" s="63">
        <f t="shared" si="360"/>
        <v>0</v>
      </c>
      <c r="AJ503" s="61">
        <v>0</v>
      </c>
      <c r="AK503" s="63">
        <f t="shared" si="361"/>
        <v>0</v>
      </c>
      <c r="AL503" s="61">
        <v>0</v>
      </c>
      <c r="AM503" s="63">
        <f t="shared" si="362"/>
        <v>0</v>
      </c>
      <c r="AN503" s="61">
        <v>0</v>
      </c>
      <c r="AO503" s="63">
        <f t="shared" si="363"/>
        <v>0</v>
      </c>
      <c r="AP503" s="61">
        <v>0</v>
      </c>
      <c r="AQ503" s="63">
        <f t="shared" si="364"/>
        <v>0</v>
      </c>
      <c r="AR503" s="61">
        <v>0</v>
      </c>
      <c r="AS503" s="63">
        <f t="shared" si="365"/>
        <v>0</v>
      </c>
      <c r="AT503" s="61">
        <v>0</v>
      </c>
      <c r="AU503" s="63">
        <f t="shared" si="366"/>
        <v>0</v>
      </c>
      <c r="AV503" s="61">
        <v>0</v>
      </c>
      <c r="AW503" s="63">
        <f t="shared" si="367"/>
        <v>0</v>
      </c>
      <c r="AX503" s="61">
        <v>0</v>
      </c>
      <c r="AY503" s="63">
        <f t="shared" si="368"/>
        <v>0</v>
      </c>
      <c r="AZ503" s="61">
        <v>0</v>
      </c>
      <c r="BA503" s="63">
        <f t="shared" si="369"/>
        <v>0</v>
      </c>
      <c r="BB503" s="61">
        <v>0</v>
      </c>
      <c r="BC503" s="63">
        <f t="shared" si="370"/>
        <v>0</v>
      </c>
      <c r="BD503" s="61">
        <v>0</v>
      </c>
      <c r="BE503" s="63">
        <f t="shared" si="371"/>
        <v>0</v>
      </c>
      <c r="BF503" s="61">
        <f t="shared" si="372"/>
        <v>0</v>
      </c>
      <c r="BG503" s="63">
        <f t="shared" si="373"/>
        <v>0</v>
      </c>
      <c r="BH503" s="45"/>
      <c r="BI503" s="144"/>
    </row>
    <row r="504" spans="1:61" ht="26.25" customHeight="1" x14ac:dyDescent="0.45">
      <c r="A504" s="140">
        <v>5</v>
      </c>
      <c r="B504" s="141" t="s">
        <v>850</v>
      </c>
      <c r="C504" s="142" t="s">
        <v>1488</v>
      </c>
      <c r="D504" s="143" t="str">
        <f t="shared" si="352"/>
        <v>5.1_1.15.21</v>
      </c>
      <c r="E504" s="56" t="s">
        <v>627</v>
      </c>
      <c r="F504" s="506" t="s">
        <v>628</v>
      </c>
      <c r="G504" s="507" t="s">
        <v>111</v>
      </c>
      <c r="H504" s="507" t="s">
        <v>39</v>
      </c>
      <c r="I504" s="507" t="s">
        <v>629</v>
      </c>
      <c r="J504" s="507" t="s">
        <v>39</v>
      </c>
      <c r="K504" s="507" t="s">
        <v>630</v>
      </c>
      <c r="L504" s="507" t="s">
        <v>125</v>
      </c>
      <c r="M504" s="507" t="s">
        <v>114</v>
      </c>
      <c r="N504" s="507" t="s">
        <v>115</v>
      </c>
      <c r="O504" s="57" t="s">
        <v>631</v>
      </c>
      <c r="P504" s="58" t="s">
        <v>21</v>
      </c>
      <c r="Q504" s="59" t="s">
        <v>632</v>
      </c>
      <c r="R504" s="60" t="s">
        <v>71</v>
      </c>
      <c r="S504" s="61">
        <v>2</v>
      </c>
      <c r="T504" s="62">
        <f>INDEX('BM MORRO DA CRUZ'!$P$6:$P$402,MATCH($O504,'BM MORRO DA CRUZ'!$K$6:$K$402,0))</f>
        <v>2825.59</v>
      </c>
      <c r="U504" s="63">
        <f t="shared" si="353"/>
        <v>5651.18</v>
      </c>
      <c r="V504" s="61">
        <f>IFERROR(SUMIFS('01ª MC'!$W$1:$W$1840,'01ª MC'!$C$1:$C$1840,$D504),0)</f>
        <v>0</v>
      </c>
      <c r="W504" s="63">
        <f t="shared" si="354"/>
        <v>0</v>
      </c>
      <c r="X504" s="61">
        <v>0</v>
      </c>
      <c r="Y504" s="63">
        <f t="shared" si="355"/>
        <v>0</v>
      </c>
      <c r="Z504" s="61">
        <v>0</v>
      </c>
      <c r="AA504" s="63">
        <f t="shared" si="356"/>
        <v>0</v>
      </c>
      <c r="AB504" s="61">
        <v>0</v>
      </c>
      <c r="AC504" s="63">
        <f t="shared" si="357"/>
        <v>0</v>
      </c>
      <c r="AD504" s="61">
        <v>0</v>
      </c>
      <c r="AE504" s="63">
        <f t="shared" si="358"/>
        <v>0</v>
      </c>
      <c r="AF504" s="61">
        <v>0</v>
      </c>
      <c r="AG504" s="63">
        <f t="shared" si="359"/>
        <v>0</v>
      </c>
      <c r="AH504" s="61">
        <v>0</v>
      </c>
      <c r="AI504" s="63">
        <f t="shared" si="360"/>
        <v>0</v>
      </c>
      <c r="AJ504" s="61">
        <v>0</v>
      </c>
      <c r="AK504" s="63">
        <f t="shared" si="361"/>
        <v>0</v>
      </c>
      <c r="AL504" s="61">
        <v>0</v>
      </c>
      <c r="AM504" s="63">
        <f t="shared" si="362"/>
        <v>0</v>
      </c>
      <c r="AN504" s="61">
        <v>0</v>
      </c>
      <c r="AO504" s="63">
        <f t="shared" si="363"/>
        <v>0</v>
      </c>
      <c r="AP504" s="61">
        <v>0</v>
      </c>
      <c r="AQ504" s="63">
        <f t="shared" si="364"/>
        <v>0</v>
      </c>
      <c r="AR504" s="61">
        <v>0</v>
      </c>
      <c r="AS504" s="63">
        <f t="shared" si="365"/>
        <v>0</v>
      </c>
      <c r="AT504" s="61">
        <v>0</v>
      </c>
      <c r="AU504" s="63">
        <f t="shared" si="366"/>
        <v>0</v>
      </c>
      <c r="AV504" s="61">
        <v>0</v>
      </c>
      <c r="AW504" s="63">
        <f t="shared" si="367"/>
        <v>0</v>
      </c>
      <c r="AX504" s="61">
        <v>0</v>
      </c>
      <c r="AY504" s="63">
        <f t="shared" si="368"/>
        <v>0</v>
      </c>
      <c r="AZ504" s="61">
        <v>0</v>
      </c>
      <c r="BA504" s="63">
        <f t="shared" si="369"/>
        <v>0</v>
      </c>
      <c r="BB504" s="61">
        <v>0</v>
      </c>
      <c r="BC504" s="63">
        <f t="shared" si="370"/>
        <v>0</v>
      </c>
      <c r="BD504" s="61">
        <v>0</v>
      </c>
      <c r="BE504" s="63">
        <f t="shared" si="371"/>
        <v>0</v>
      </c>
      <c r="BF504" s="61">
        <f t="shared" si="372"/>
        <v>0</v>
      </c>
      <c r="BG504" s="63">
        <f t="shared" si="373"/>
        <v>0</v>
      </c>
      <c r="BH504" s="45"/>
      <c r="BI504" s="144"/>
    </row>
    <row r="505" spans="1:61" ht="26.25" customHeight="1" x14ac:dyDescent="0.45">
      <c r="A505" s="140">
        <v>5</v>
      </c>
      <c r="B505" s="141" t="s">
        <v>850</v>
      </c>
      <c r="C505" s="142" t="s">
        <v>1488</v>
      </c>
      <c r="D505" s="143" t="str">
        <f t="shared" si="352"/>
        <v>5.1_1.15.22</v>
      </c>
      <c r="E505" s="56" t="s">
        <v>633</v>
      </c>
      <c r="F505" s="506" t="s">
        <v>628</v>
      </c>
      <c r="G505" s="507" t="s">
        <v>147</v>
      </c>
      <c r="H505" s="507" t="s">
        <v>39</v>
      </c>
      <c r="I505" s="507" t="s">
        <v>629</v>
      </c>
      <c r="J505" s="507" t="s">
        <v>39</v>
      </c>
      <c r="K505" s="507" t="s">
        <v>634</v>
      </c>
      <c r="L505" s="507" t="s">
        <v>125</v>
      </c>
      <c r="M505" s="507" t="s">
        <v>114</v>
      </c>
      <c r="N505" s="507" t="s">
        <v>115</v>
      </c>
      <c r="O505" s="57" t="s">
        <v>635</v>
      </c>
      <c r="P505" s="58" t="s">
        <v>21</v>
      </c>
      <c r="Q505" s="59" t="s">
        <v>636</v>
      </c>
      <c r="R505" s="60" t="s">
        <v>71</v>
      </c>
      <c r="S505" s="61">
        <v>4</v>
      </c>
      <c r="T505" s="62">
        <f>INDEX('BM MORRO DA CRUZ'!$P$6:$P$402,MATCH($O505,'BM MORRO DA CRUZ'!$K$6:$K$402,0))</f>
        <v>639.77</v>
      </c>
      <c r="U505" s="63">
        <f t="shared" si="353"/>
        <v>2559.08</v>
      </c>
      <c r="V505" s="61">
        <f>IFERROR(SUMIFS('01ª MC'!$W$1:$W$1840,'01ª MC'!$C$1:$C$1840,$D505),0)</f>
        <v>0</v>
      </c>
      <c r="W505" s="63">
        <f t="shared" si="354"/>
        <v>0</v>
      </c>
      <c r="X505" s="61">
        <v>0</v>
      </c>
      <c r="Y505" s="63">
        <f t="shared" si="355"/>
        <v>0</v>
      </c>
      <c r="Z505" s="61">
        <v>0</v>
      </c>
      <c r="AA505" s="63">
        <f t="shared" si="356"/>
        <v>0</v>
      </c>
      <c r="AB505" s="61">
        <v>0</v>
      </c>
      <c r="AC505" s="63">
        <f t="shared" si="357"/>
        <v>0</v>
      </c>
      <c r="AD505" s="61">
        <v>0</v>
      </c>
      <c r="AE505" s="63">
        <f t="shared" si="358"/>
        <v>0</v>
      </c>
      <c r="AF505" s="61">
        <v>0</v>
      </c>
      <c r="AG505" s="63">
        <f t="shared" si="359"/>
        <v>0</v>
      </c>
      <c r="AH505" s="61">
        <v>0</v>
      </c>
      <c r="AI505" s="63">
        <f t="shared" si="360"/>
        <v>0</v>
      </c>
      <c r="AJ505" s="61">
        <v>0</v>
      </c>
      <c r="AK505" s="63">
        <f t="shared" si="361"/>
        <v>0</v>
      </c>
      <c r="AL505" s="61">
        <v>0</v>
      </c>
      <c r="AM505" s="63">
        <f t="shared" si="362"/>
        <v>0</v>
      </c>
      <c r="AN505" s="61">
        <v>0</v>
      </c>
      <c r="AO505" s="63">
        <f t="shared" si="363"/>
        <v>0</v>
      </c>
      <c r="AP505" s="61">
        <v>0</v>
      </c>
      <c r="AQ505" s="63">
        <f t="shared" si="364"/>
        <v>0</v>
      </c>
      <c r="AR505" s="61">
        <v>0</v>
      </c>
      <c r="AS505" s="63">
        <f t="shared" si="365"/>
        <v>0</v>
      </c>
      <c r="AT505" s="61">
        <v>0</v>
      </c>
      <c r="AU505" s="63">
        <f t="shared" si="366"/>
        <v>0</v>
      </c>
      <c r="AV505" s="61">
        <v>0</v>
      </c>
      <c r="AW505" s="63">
        <f t="shared" si="367"/>
        <v>0</v>
      </c>
      <c r="AX505" s="61">
        <v>0</v>
      </c>
      <c r="AY505" s="63">
        <f t="shared" si="368"/>
        <v>0</v>
      </c>
      <c r="AZ505" s="61">
        <v>0</v>
      </c>
      <c r="BA505" s="63">
        <f t="shared" si="369"/>
        <v>0</v>
      </c>
      <c r="BB505" s="61">
        <v>0</v>
      </c>
      <c r="BC505" s="63">
        <f t="shared" si="370"/>
        <v>0</v>
      </c>
      <c r="BD505" s="61">
        <v>0</v>
      </c>
      <c r="BE505" s="63">
        <f t="shared" si="371"/>
        <v>0</v>
      </c>
      <c r="BF505" s="61">
        <f t="shared" si="372"/>
        <v>0</v>
      </c>
      <c r="BG505" s="63">
        <f t="shared" si="373"/>
        <v>0</v>
      </c>
      <c r="BH505" s="45"/>
      <c r="BI505" s="144"/>
    </row>
    <row r="506" spans="1:61" ht="26.25" customHeight="1" x14ac:dyDescent="0.45">
      <c r="A506" s="140">
        <v>5</v>
      </c>
      <c r="B506" s="141" t="s">
        <v>850</v>
      </c>
      <c r="C506" s="142" t="s">
        <v>1488</v>
      </c>
      <c r="D506" s="143" t="str">
        <f t="shared" si="352"/>
        <v>5.1_1.15.23</v>
      </c>
      <c r="E506" s="56" t="s">
        <v>637</v>
      </c>
      <c r="F506" s="506" t="s">
        <v>628</v>
      </c>
      <c r="G506" s="507" t="s">
        <v>147</v>
      </c>
      <c r="H506" s="507" t="s">
        <v>39</v>
      </c>
      <c r="I506" s="507" t="s">
        <v>629</v>
      </c>
      <c r="J506" s="507" t="s">
        <v>39</v>
      </c>
      <c r="K506" s="507" t="s">
        <v>638</v>
      </c>
      <c r="L506" s="507" t="s">
        <v>125</v>
      </c>
      <c r="M506" s="507" t="s">
        <v>114</v>
      </c>
      <c r="N506" s="507" t="s">
        <v>115</v>
      </c>
      <c r="O506" s="57" t="s">
        <v>639</v>
      </c>
      <c r="P506" s="58" t="s">
        <v>21</v>
      </c>
      <c r="Q506" s="59" t="s">
        <v>640</v>
      </c>
      <c r="R506" s="60" t="s">
        <v>71</v>
      </c>
      <c r="S506" s="61">
        <v>2</v>
      </c>
      <c r="T506" s="62">
        <f>INDEX('BM MORRO DA CRUZ'!$P$6:$P$402,MATCH($O506,'BM MORRO DA CRUZ'!$K$6:$K$402,0))</f>
        <v>4547.72</v>
      </c>
      <c r="U506" s="63">
        <f t="shared" si="353"/>
        <v>9095.44</v>
      </c>
      <c r="V506" s="61">
        <f>IFERROR(SUMIFS('01ª MC'!$W$1:$W$1840,'01ª MC'!$C$1:$C$1840,$D506),0)</f>
        <v>0</v>
      </c>
      <c r="W506" s="63">
        <f t="shared" si="354"/>
        <v>0</v>
      </c>
      <c r="X506" s="61">
        <v>0</v>
      </c>
      <c r="Y506" s="63">
        <f t="shared" si="355"/>
        <v>0</v>
      </c>
      <c r="Z506" s="61">
        <v>0</v>
      </c>
      <c r="AA506" s="63">
        <f t="shared" si="356"/>
        <v>0</v>
      </c>
      <c r="AB506" s="61">
        <v>0</v>
      </c>
      <c r="AC506" s="63">
        <f t="shared" si="357"/>
        <v>0</v>
      </c>
      <c r="AD506" s="61">
        <v>0</v>
      </c>
      <c r="AE506" s="63">
        <f t="shared" si="358"/>
        <v>0</v>
      </c>
      <c r="AF506" s="61">
        <v>0</v>
      </c>
      <c r="AG506" s="63">
        <f t="shared" si="359"/>
        <v>0</v>
      </c>
      <c r="AH506" s="61">
        <v>0</v>
      </c>
      <c r="AI506" s="63">
        <f t="shared" si="360"/>
        <v>0</v>
      </c>
      <c r="AJ506" s="61">
        <v>0</v>
      </c>
      <c r="AK506" s="63">
        <f t="shared" si="361"/>
        <v>0</v>
      </c>
      <c r="AL506" s="61">
        <v>0</v>
      </c>
      <c r="AM506" s="63">
        <f t="shared" si="362"/>
        <v>0</v>
      </c>
      <c r="AN506" s="61">
        <v>0</v>
      </c>
      <c r="AO506" s="63">
        <f t="shared" si="363"/>
        <v>0</v>
      </c>
      <c r="AP506" s="61">
        <v>0</v>
      </c>
      <c r="AQ506" s="63">
        <f t="shared" si="364"/>
        <v>0</v>
      </c>
      <c r="AR506" s="61">
        <v>0</v>
      </c>
      <c r="AS506" s="63">
        <f t="shared" si="365"/>
        <v>0</v>
      </c>
      <c r="AT506" s="61">
        <v>0</v>
      </c>
      <c r="AU506" s="63">
        <f t="shared" si="366"/>
        <v>0</v>
      </c>
      <c r="AV506" s="61">
        <v>0</v>
      </c>
      <c r="AW506" s="63">
        <f t="shared" si="367"/>
        <v>0</v>
      </c>
      <c r="AX506" s="61">
        <v>0</v>
      </c>
      <c r="AY506" s="63">
        <f t="shared" si="368"/>
        <v>0</v>
      </c>
      <c r="AZ506" s="61">
        <v>0</v>
      </c>
      <c r="BA506" s="63">
        <f t="shared" si="369"/>
        <v>0</v>
      </c>
      <c r="BB506" s="61">
        <v>0</v>
      </c>
      <c r="BC506" s="63">
        <f t="shared" si="370"/>
        <v>0</v>
      </c>
      <c r="BD506" s="61">
        <v>0</v>
      </c>
      <c r="BE506" s="63">
        <f t="shared" si="371"/>
        <v>0</v>
      </c>
      <c r="BF506" s="61">
        <f t="shared" si="372"/>
        <v>0</v>
      </c>
      <c r="BG506" s="63">
        <f t="shared" si="373"/>
        <v>0</v>
      </c>
      <c r="BH506" s="45"/>
      <c r="BI506" s="144"/>
    </row>
    <row r="507" spans="1:61" ht="26.25" customHeight="1" x14ac:dyDescent="0.45">
      <c r="A507" s="140">
        <v>5</v>
      </c>
      <c r="B507" s="141" t="s">
        <v>850</v>
      </c>
      <c r="C507" s="142" t="s">
        <v>1488</v>
      </c>
      <c r="D507" s="143" t="str">
        <f t="shared" si="352"/>
        <v>5.1_1.15.24</v>
      </c>
      <c r="E507" s="56" t="s">
        <v>641</v>
      </c>
      <c r="F507" s="506" t="s">
        <v>628</v>
      </c>
      <c r="G507" s="507" t="s">
        <v>147</v>
      </c>
      <c r="H507" s="507" t="s">
        <v>39</v>
      </c>
      <c r="I507" s="507" t="s">
        <v>629</v>
      </c>
      <c r="J507" s="507" t="s">
        <v>39</v>
      </c>
      <c r="K507" s="507" t="s">
        <v>642</v>
      </c>
      <c r="L507" s="507" t="s">
        <v>125</v>
      </c>
      <c r="M507" s="507" t="s">
        <v>114</v>
      </c>
      <c r="N507" s="507" t="s">
        <v>115</v>
      </c>
      <c r="O507" s="57" t="s">
        <v>643</v>
      </c>
      <c r="P507" s="58" t="s">
        <v>21</v>
      </c>
      <c r="Q507" s="59" t="s">
        <v>644</v>
      </c>
      <c r="R507" s="60" t="s">
        <v>71</v>
      </c>
      <c r="S507" s="61">
        <v>12</v>
      </c>
      <c r="T507" s="62">
        <f>INDEX('BM MORRO DA CRUZ'!$P$6:$P$402,MATCH($O507,'BM MORRO DA CRUZ'!$K$6:$K$402,0))</f>
        <v>539.39</v>
      </c>
      <c r="U507" s="63">
        <f t="shared" si="353"/>
        <v>6472.68</v>
      </c>
      <c r="V507" s="61">
        <f>IFERROR(SUMIFS('01ª MC'!$W$1:$W$1840,'01ª MC'!$C$1:$C$1840,$D507),0)</f>
        <v>0</v>
      </c>
      <c r="W507" s="63">
        <f t="shared" si="354"/>
        <v>0</v>
      </c>
      <c r="X507" s="61">
        <v>0</v>
      </c>
      <c r="Y507" s="63">
        <f t="shared" si="355"/>
        <v>0</v>
      </c>
      <c r="Z507" s="61">
        <v>0</v>
      </c>
      <c r="AA507" s="63">
        <f t="shared" si="356"/>
        <v>0</v>
      </c>
      <c r="AB507" s="61">
        <v>0</v>
      </c>
      <c r="AC507" s="63">
        <f t="shared" si="357"/>
        <v>0</v>
      </c>
      <c r="AD507" s="61">
        <v>0</v>
      </c>
      <c r="AE507" s="63">
        <f t="shared" si="358"/>
        <v>0</v>
      </c>
      <c r="AF507" s="61">
        <v>0</v>
      </c>
      <c r="AG507" s="63">
        <f t="shared" si="359"/>
        <v>0</v>
      </c>
      <c r="AH507" s="61">
        <v>0</v>
      </c>
      <c r="AI507" s="63">
        <f t="shared" si="360"/>
        <v>0</v>
      </c>
      <c r="AJ507" s="61">
        <v>0</v>
      </c>
      <c r="AK507" s="63">
        <f t="shared" si="361"/>
        <v>0</v>
      </c>
      <c r="AL507" s="61">
        <v>0</v>
      </c>
      <c r="AM507" s="63">
        <f t="shared" si="362"/>
        <v>0</v>
      </c>
      <c r="AN507" s="61">
        <v>0</v>
      </c>
      <c r="AO507" s="63">
        <f t="shared" si="363"/>
        <v>0</v>
      </c>
      <c r="AP507" s="61">
        <v>0</v>
      </c>
      <c r="AQ507" s="63">
        <f t="shared" si="364"/>
        <v>0</v>
      </c>
      <c r="AR507" s="61">
        <v>0</v>
      </c>
      <c r="AS507" s="63">
        <f t="shared" si="365"/>
        <v>0</v>
      </c>
      <c r="AT507" s="61">
        <v>0</v>
      </c>
      <c r="AU507" s="63">
        <f t="shared" si="366"/>
        <v>0</v>
      </c>
      <c r="AV507" s="61">
        <v>0</v>
      </c>
      <c r="AW507" s="63">
        <f t="shared" si="367"/>
        <v>0</v>
      </c>
      <c r="AX507" s="61">
        <v>0</v>
      </c>
      <c r="AY507" s="63">
        <f t="shared" si="368"/>
        <v>0</v>
      </c>
      <c r="AZ507" s="61">
        <v>0</v>
      </c>
      <c r="BA507" s="63">
        <f t="shared" si="369"/>
        <v>0</v>
      </c>
      <c r="BB507" s="61">
        <v>0</v>
      </c>
      <c r="BC507" s="63">
        <f t="shared" si="370"/>
        <v>0</v>
      </c>
      <c r="BD507" s="61">
        <v>0</v>
      </c>
      <c r="BE507" s="63">
        <f t="shared" si="371"/>
        <v>0</v>
      </c>
      <c r="BF507" s="61">
        <f t="shared" si="372"/>
        <v>0</v>
      </c>
      <c r="BG507" s="63">
        <f t="shared" si="373"/>
        <v>0</v>
      </c>
      <c r="BH507" s="45"/>
      <c r="BI507" s="144"/>
    </row>
    <row r="508" spans="1:61" ht="26.25" customHeight="1" x14ac:dyDescent="0.45">
      <c r="A508" s="140">
        <v>5</v>
      </c>
      <c r="B508" s="141" t="s">
        <v>850</v>
      </c>
      <c r="C508" s="142" t="s">
        <v>1488</v>
      </c>
      <c r="D508" s="143" t="str">
        <f t="shared" si="352"/>
        <v>5.1_1.15.25</v>
      </c>
      <c r="E508" s="56" t="s">
        <v>645</v>
      </c>
      <c r="F508" s="506" t="s">
        <v>628</v>
      </c>
      <c r="G508" s="507" t="s">
        <v>147</v>
      </c>
      <c r="H508" s="507" t="s">
        <v>39</v>
      </c>
      <c r="I508" s="507" t="s">
        <v>629</v>
      </c>
      <c r="J508" s="507" t="s">
        <v>39</v>
      </c>
      <c r="K508" s="507" t="s">
        <v>421</v>
      </c>
      <c r="L508" s="507" t="s">
        <v>125</v>
      </c>
      <c r="M508" s="507" t="s">
        <v>114</v>
      </c>
      <c r="N508" s="507" t="s">
        <v>115</v>
      </c>
      <c r="O508" s="57" t="s">
        <v>646</v>
      </c>
      <c r="P508" s="58" t="s">
        <v>21</v>
      </c>
      <c r="Q508" s="59" t="s">
        <v>647</v>
      </c>
      <c r="R508" s="60" t="s">
        <v>71</v>
      </c>
      <c r="S508" s="61">
        <v>4</v>
      </c>
      <c r="T508" s="62">
        <f>INDEX('BM MORRO DA CRUZ'!$P$6:$P$402,MATCH($O508,'BM MORRO DA CRUZ'!$K$6:$K$402,0))</f>
        <v>1052.95</v>
      </c>
      <c r="U508" s="63">
        <f t="shared" si="353"/>
        <v>4211.8</v>
      </c>
      <c r="V508" s="61">
        <f>IFERROR(SUMIFS('01ª MC'!$W$1:$W$1840,'01ª MC'!$C$1:$C$1840,$D508),0)</f>
        <v>0</v>
      </c>
      <c r="W508" s="63">
        <f t="shared" si="354"/>
        <v>0</v>
      </c>
      <c r="X508" s="61">
        <v>0</v>
      </c>
      <c r="Y508" s="63">
        <f t="shared" si="355"/>
        <v>0</v>
      </c>
      <c r="Z508" s="61">
        <v>0</v>
      </c>
      <c r="AA508" s="63">
        <f t="shared" si="356"/>
        <v>0</v>
      </c>
      <c r="AB508" s="61">
        <v>0</v>
      </c>
      <c r="AC508" s="63">
        <f t="shared" si="357"/>
        <v>0</v>
      </c>
      <c r="AD508" s="61">
        <v>0</v>
      </c>
      <c r="AE508" s="63">
        <f t="shared" si="358"/>
        <v>0</v>
      </c>
      <c r="AF508" s="61">
        <v>0</v>
      </c>
      <c r="AG508" s="63">
        <f t="shared" si="359"/>
        <v>0</v>
      </c>
      <c r="AH508" s="61">
        <v>0</v>
      </c>
      <c r="AI508" s="63">
        <f t="shared" si="360"/>
        <v>0</v>
      </c>
      <c r="AJ508" s="61">
        <v>0</v>
      </c>
      <c r="AK508" s="63">
        <f t="shared" si="361"/>
        <v>0</v>
      </c>
      <c r="AL508" s="61">
        <v>0</v>
      </c>
      <c r="AM508" s="63">
        <f t="shared" si="362"/>
        <v>0</v>
      </c>
      <c r="AN508" s="61">
        <v>0</v>
      </c>
      <c r="AO508" s="63">
        <f t="shared" si="363"/>
        <v>0</v>
      </c>
      <c r="AP508" s="61">
        <v>0</v>
      </c>
      <c r="AQ508" s="63">
        <f t="shared" si="364"/>
        <v>0</v>
      </c>
      <c r="AR508" s="61">
        <v>0</v>
      </c>
      <c r="AS508" s="63">
        <f t="shared" si="365"/>
        <v>0</v>
      </c>
      <c r="AT508" s="61">
        <v>0</v>
      </c>
      <c r="AU508" s="63">
        <f t="shared" si="366"/>
        <v>0</v>
      </c>
      <c r="AV508" s="61">
        <v>0</v>
      </c>
      <c r="AW508" s="63">
        <f t="shared" si="367"/>
        <v>0</v>
      </c>
      <c r="AX508" s="61">
        <v>0</v>
      </c>
      <c r="AY508" s="63">
        <f t="shared" si="368"/>
        <v>0</v>
      </c>
      <c r="AZ508" s="61">
        <v>0</v>
      </c>
      <c r="BA508" s="63">
        <f t="shared" si="369"/>
        <v>0</v>
      </c>
      <c r="BB508" s="61">
        <v>0</v>
      </c>
      <c r="BC508" s="63">
        <f t="shared" si="370"/>
        <v>0</v>
      </c>
      <c r="BD508" s="61">
        <v>0</v>
      </c>
      <c r="BE508" s="63">
        <f t="shared" si="371"/>
        <v>0</v>
      </c>
      <c r="BF508" s="61">
        <f t="shared" si="372"/>
        <v>0</v>
      </c>
      <c r="BG508" s="63">
        <f t="shared" si="373"/>
        <v>0</v>
      </c>
      <c r="BH508" s="45"/>
      <c r="BI508" s="144"/>
    </row>
    <row r="509" spans="1:61" ht="38.25" customHeight="1" x14ac:dyDescent="0.45">
      <c r="A509" s="140">
        <v>5</v>
      </c>
      <c r="B509" s="141" t="s">
        <v>850</v>
      </c>
      <c r="C509" s="142" t="s">
        <v>1488</v>
      </c>
      <c r="D509" s="143" t="str">
        <f t="shared" si="352"/>
        <v>5.1_1.15.26</v>
      </c>
      <c r="E509" s="56" t="s">
        <v>648</v>
      </c>
      <c r="F509" s="506" t="s">
        <v>649</v>
      </c>
      <c r="G509" s="507" t="s">
        <v>111</v>
      </c>
      <c r="H509" s="507" t="s">
        <v>39</v>
      </c>
      <c r="I509" s="507" t="s">
        <v>650</v>
      </c>
      <c r="J509" s="507" t="s">
        <v>39</v>
      </c>
      <c r="K509" s="507" t="s">
        <v>651</v>
      </c>
      <c r="L509" s="507" t="s">
        <v>125</v>
      </c>
      <c r="M509" s="507" t="s">
        <v>114</v>
      </c>
      <c r="N509" s="507" t="s">
        <v>115</v>
      </c>
      <c r="O509" s="57" t="s">
        <v>652</v>
      </c>
      <c r="P509" s="58" t="s">
        <v>21</v>
      </c>
      <c r="Q509" s="59" t="s">
        <v>653</v>
      </c>
      <c r="R509" s="60" t="s">
        <v>71</v>
      </c>
      <c r="S509" s="61">
        <v>2</v>
      </c>
      <c r="T509" s="62">
        <f>INDEX('BM MORRO DA CRUZ'!$P$6:$P$402,MATCH($O509,'BM MORRO DA CRUZ'!$K$6:$K$402,0))</f>
        <v>486.98</v>
      </c>
      <c r="U509" s="63">
        <f t="shared" si="353"/>
        <v>973.96</v>
      </c>
      <c r="V509" s="61">
        <f>IFERROR(SUMIFS('01ª MC'!$W$1:$W$1840,'01ª MC'!$C$1:$C$1840,$D509),0)</f>
        <v>0</v>
      </c>
      <c r="W509" s="63">
        <f t="shared" si="354"/>
        <v>0</v>
      </c>
      <c r="X509" s="61">
        <v>0</v>
      </c>
      <c r="Y509" s="63">
        <f t="shared" si="355"/>
        <v>0</v>
      </c>
      <c r="Z509" s="61">
        <v>0</v>
      </c>
      <c r="AA509" s="63">
        <f t="shared" si="356"/>
        <v>0</v>
      </c>
      <c r="AB509" s="61">
        <v>0</v>
      </c>
      <c r="AC509" s="63">
        <f t="shared" si="357"/>
        <v>0</v>
      </c>
      <c r="AD509" s="61">
        <v>0</v>
      </c>
      <c r="AE509" s="63">
        <f t="shared" si="358"/>
        <v>0</v>
      </c>
      <c r="AF509" s="61">
        <v>0</v>
      </c>
      <c r="AG509" s="63">
        <f t="shared" si="359"/>
        <v>0</v>
      </c>
      <c r="AH509" s="61">
        <v>0</v>
      </c>
      <c r="AI509" s="63">
        <f t="shared" si="360"/>
        <v>0</v>
      </c>
      <c r="AJ509" s="61">
        <v>0</v>
      </c>
      <c r="AK509" s="63">
        <f t="shared" si="361"/>
        <v>0</v>
      </c>
      <c r="AL509" s="61">
        <v>0</v>
      </c>
      <c r="AM509" s="63">
        <f t="shared" si="362"/>
        <v>0</v>
      </c>
      <c r="AN509" s="61">
        <v>0</v>
      </c>
      <c r="AO509" s="63">
        <f t="shared" si="363"/>
        <v>0</v>
      </c>
      <c r="AP509" s="61">
        <v>0</v>
      </c>
      <c r="AQ509" s="63">
        <f t="shared" si="364"/>
        <v>0</v>
      </c>
      <c r="AR509" s="61">
        <v>0</v>
      </c>
      <c r="AS509" s="63">
        <f t="shared" si="365"/>
        <v>0</v>
      </c>
      <c r="AT509" s="61">
        <v>0</v>
      </c>
      <c r="AU509" s="63">
        <f t="shared" si="366"/>
        <v>0</v>
      </c>
      <c r="AV509" s="61">
        <v>0</v>
      </c>
      <c r="AW509" s="63">
        <f t="shared" si="367"/>
        <v>0</v>
      </c>
      <c r="AX509" s="61">
        <v>0</v>
      </c>
      <c r="AY509" s="63">
        <f t="shared" si="368"/>
        <v>0</v>
      </c>
      <c r="AZ509" s="61">
        <v>0</v>
      </c>
      <c r="BA509" s="63">
        <f t="shared" si="369"/>
        <v>0</v>
      </c>
      <c r="BB509" s="61">
        <v>0</v>
      </c>
      <c r="BC509" s="63">
        <f t="shared" si="370"/>
        <v>0</v>
      </c>
      <c r="BD509" s="61">
        <v>0</v>
      </c>
      <c r="BE509" s="63">
        <f t="shared" si="371"/>
        <v>0</v>
      </c>
      <c r="BF509" s="61">
        <f t="shared" si="372"/>
        <v>0</v>
      </c>
      <c r="BG509" s="63">
        <f t="shared" si="373"/>
        <v>0</v>
      </c>
      <c r="BH509" s="45"/>
      <c r="BI509" s="144"/>
    </row>
    <row r="510" spans="1:61" ht="38.25" customHeight="1" x14ac:dyDescent="0.45">
      <c r="A510" s="140">
        <v>5</v>
      </c>
      <c r="B510" s="141" t="s">
        <v>850</v>
      </c>
      <c r="C510" s="142" t="s">
        <v>1488</v>
      </c>
      <c r="D510" s="143" t="str">
        <f t="shared" si="352"/>
        <v>5.1_1.15.27</v>
      </c>
      <c r="E510" s="56" t="s">
        <v>654</v>
      </c>
      <c r="F510" s="506" t="s">
        <v>649</v>
      </c>
      <c r="G510" s="507" t="s">
        <v>147</v>
      </c>
      <c r="H510" s="507" t="s">
        <v>39</v>
      </c>
      <c r="I510" s="507" t="s">
        <v>650</v>
      </c>
      <c r="J510" s="507" t="s">
        <v>39</v>
      </c>
      <c r="K510" s="507" t="s">
        <v>655</v>
      </c>
      <c r="L510" s="507" t="s">
        <v>125</v>
      </c>
      <c r="M510" s="507" t="s">
        <v>114</v>
      </c>
      <c r="N510" s="507" t="s">
        <v>115</v>
      </c>
      <c r="O510" s="57" t="s">
        <v>656</v>
      </c>
      <c r="P510" s="58" t="s">
        <v>21</v>
      </c>
      <c r="Q510" s="59" t="s">
        <v>657</v>
      </c>
      <c r="R510" s="60" t="s">
        <v>71</v>
      </c>
      <c r="S510" s="61">
        <v>2</v>
      </c>
      <c r="T510" s="62">
        <f>INDEX('BM MORRO DA CRUZ'!$P$6:$P$402,MATCH($O510,'BM MORRO DA CRUZ'!$K$6:$K$402,0))</f>
        <v>879.31</v>
      </c>
      <c r="U510" s="63">
        <f t="shared" si="353"/>
        <v>1758.62</v>
      </c>
      <c r="V510" s="61">
        <f>IFERROR(SUMIFS('01ª MC'!$W$1:$W$1840,'01ª MC'!$C$1:$C$1840,$D510),0)</f>
        <v>0</v>
      </c>
      <c r="W510" s="63">
        <f t="shared" si="354"/>
        <v>0</v>
      </c>
      <c r="X510" s="61">
        <v>0</v>
      </c>
      <c r="Y510" s="63">
        <f t="shared" si="355"/>
        <v>0</v>
      </c>
      <c r="Z510" s="61">
        <v>0</v>
      </c>
      <c r="AA510" s="63">
        <f t="shared" si="356"/>
        <v>0</v>
      </c>
      <c r="AB510" s="61">
        <v>0</v>
      </c>
      <c r="AC510" s="63">
        <f t="shared" si="357"/>
        <v>0</v>
      </c>
      <c r="AD510" s="61">
        <v>0</v>
      </c>
      <c r="AE510" s="63">
        <f t="shared" si="358"/>
        <v>0</v>
      </c>
      <c r="AF510" s="61">
        <v>0</v>
      </c>
      <c r="AG510" s="63">
        <f t="shared" si="359"/>
        <v>0</v>
      </c>
      <c r="AH510" s="61">
        <v>0</v>
      </c>
      <c r="AI510" s="63">
        <f t="shared" si="360"/>
        <v>0</v>
      </c>
      <c r="AJ510" s="61">
        <v>0</v>
      </c>
      <c r="AK510" s="63">
        <f t="shared" si="361"/>
        <v>0</v>
      </c>
      <c r="AL510" s="61">
        <v>0</v>
      </c>
      <c r="AM510" s="63">
        <f t="shared" si="362"/>
        <v>0</v>
      </c>
      <c r="AN510" s="61">
        <v>0</v>
      </c>
      <c r="AO510" s="63">
        <f t="shared" si="363"/>
        <v>0</v>
      </c>
      <c r="AP510" s="61">
        <v>0</v>
      </c>
      <c r="AQ510" s="63">
        <f t="shared" si="364"/>
        <v>0</v>
      </c>
      <c r="AR510" s="61">
        <v>0</v>
      </c>
      <c r="AS510" s="63">
        <f t="shared" si="365"/>
        <v>0</v>
      </c>
      <c r="AT510" s="61">
        <v>0</v>
      </c>
      <c r="AU510" s="63">
        <f t="shared" si="366"/>
        <v>0</v>
      </c>
      <c r="AV510" s="61">
        <v>0</v>
      </c>
      <c r="AW510" s="63">
        <f t="shared" si="367"/>
        <v>0</v>
      </c>
      <c r="AX510" s="61">
        <v>0</v>
      </c>
      <c r="AY510" s="63">
        <f t="shared" si="368"/>
        <v>0</v>
      </c>
      <c r="AZ510" s="61">
        <v>0</v>
      </c>
      <c r="BA510" s="63">
        <f t="shared" si="369"/>
        <v>0</v>
      </c>
      <c r="BB510" s="61">
        <v>0</v>
      </c>
      <c r="BC510" s="63">
        <f t="shared" si="370"/>
        <v>0</v>
      </c>
      <c r="BD510" s="61">
        <v>0</v>
      </c>
      <c r="BE510" s="63">
        <f t="shared" si="371"/>
        <v>0</v>
      </c>
      <c r="BF510" s="61">
        <f t="shared" si="372"/>
        <v>0</v>
      </c>
      <c r="BG510" s="63">
        <f t="shared" si="373"/>
        <v>0</v>
      </c>
      <c r="BH510" s="45"/>
      <c r="BI510" s="144"/>
    </row>
    <row r="511" spans="1:61" ht="38.25" customHeight="1" x14ac:dyDescent="0.45">
      <c r="A511" s="140">
        <v>5</v>
      </c>
      <c r="B511" s="141" t="s">
        <v>850</v>
      </c>
      <c r="C511" s="142" t="s">
        <v>1488</v>
      </c>
      <c r="D511" s="143" t="str">
        <f t="shared" si="352"/>
        <v>5.1_1.15.28</v>
      </c>
      <c r="E511" s="56" t="s">
        <v>658</v>
      </c>
      <c r="F511" s="506" t="s">
        <v>649</v>
      </c>
      <c r="G511" s="507" t="s">
        <v>576</v>
      </c>
      <c r="H511" s="507" t="s">
        <v>39</v>
      </c>
      <c r="I511" s="507" t="s">
        <v>650</v>
      </c>
      <c r="J511" s="507" t="s">
        <v>39</v>
      </c>
      <c r="K511" s="507" t="s">
        <v>659</v>
      </c>
      <c r="L511" s="507" t="s">
        <v>125</v>
      </c>
      <c r="M511" s="507" t="s">
        <v>114</v>
      </c>
      <c r="N511" s="507" t="s">
        <v>115</v>
      </c>
      <c r="O511" s="57" t="s">
        <v>660</v>
      </c>
      <c r="P511" s="58" t="s">
        <v>21</v>
      </c>
      <c r="Q511" s="59" t="s">
        <v>661</v>
      </c>
      <c r="R511" s="60" t="s">
        <v>71</v>
      </c>
      <c r="S511" s="61">
        <v>10</v>
      </c>
      <c r="T511" s="62">
        <f>INDEX('BM MORRO DA CRUZ'!$P$6:$P$402,MATCH($O511,'BM MORRO DA CRUZ'!$K$6:$K$402,0))</f>
        <v>305.74</v>
      </c>
      <c r="U511" s="63">
        <f t="shared" si="353"/>
        <v>3057.4</v>
      </c>
      <c r="V511" s="61">
        <f>IFERROR(SUMIFS('01ª MC'!$W$1:$W$1840,'01ª MC'!$C$1:$C$1840,$D511),0)</f>
        <v>0</v>
      </c>
      <c r="W511" s="63">
        <f t="shared" si="354"/>
        <v>0</v>
      </c>
      <c r="X511" s="61">
        <v>0</v>
      </c>
      <c r="Y511" s="63">
        <f t="shared" si="355"/>
        <v>0</v>
      </c>
      <c r="Z511" s="61">
        <v>0</v>
      </c>
      <c r="AA511" s="63">
        <f t="shared" si="356"/>
        <v>0</v>
      </c>
      <c r="AB511" s="61">
        <v>0</v>
      </c>
      <c r="AC511" s="63">
        <f t="shared" si="357"/>
        <v>0</v>
      </c>
      <c r="AD511" s="61">
        <v>0</v>
      </c>
      <c r="AE511" s="63">
        <f t="shared" si="358"/>
        <v>0</v>
      </c>
      <c r="AF511" s="61">
        <v>0</v>
      </c>
      <c r="AG511" s="63">
        <f t="shared" si="359"/>
        <v>0</v>
      </c>
      <c r="AH511" s="61">
        <v>0</v>
      </c>
      <c r="AI511" s="63">
        <f t="shared" si="360"/>
        <v>0</v>
      </c>
      <c r="AJ511" s="61">
        <v>0</v>
      </c>
      <c r="AK511" s="63">
        <f t="shared" si="361"/>
        <v>0</v>
      </c>
      <c r="AL511" s="61">
        <v>0</v>
      </c>
      <c r="AM511" s="63">
        <f t="shared" si="362"/>
        <v>0</v>
      </c>
      <c r="AN511" s="61">
        <v>0</v>
      </c>
      <c r="AO511" s="63">
        <f t="shared" si="363"/>
        <v>0</v>
      </c>
      <c r="AP511" s="61">
        <v>0</v>
      </c>
      <c r="AQ511" s="63">
        <f t="shared" si="364"/>
        <v>0</v>
      </c>
      <c r="AR511" s="61">
        <v>0</v>
      </c>
      <c r="AS511" s="63">
        <f t="shared" si="365"/>
        <v>0</v>
      </c>
      <c r="AT511" s="61">
        <v>0</v>
      </c>
      <c r="AU511" s="63">
        <f t="shared" si="366"/>
        <v>0</v>
      </c>
      <c r="AV511" s="61">
        <v>0</v>
      </c>
      <c r="AW511" s="63">
        <f t="shared" si="367"/>
        <v>0</v>
      </c>
      <c r="AX511" s="61">
        <v>0</v>
      </c>
      <c r="AY511" s="63">
        <f t="shared" si="368"/>
        <v>0</v>
      </c>
      <c r="AZ511" s="61">
        <v>0</v>
      </c>
      <c r="BA511" s="63">
        <f t="shared" si="369"/>
        <v>0</v>
      </c>
      <c r="BB511" s="61">
        <v>0</v>
      </c>
      <c r="BC511" s="63">
        <f t="shared" si="370"/>
        <v>0</v>
      </c>
      <c r="BD511" s="61">
        <v>0</v>
      </c>
      <c r="BE511" s="63">
        <f t="shared" si="371"/>
        <v>0</v>
      </c>
      <c r="BF511" s="61">
        <f t="shared" si="372"/>
        <v>0</v>
      </c>
      <c r="BG511" s="63">
        <f t="shared" si="373"/>
        <v>0</v>
      </c>
      <c r="BH511" s="45"/>
      <c r="BI511" s="144"/>
    </row>
    <row r="512" spans="1:61" ht="26.25" customHeight="1" x14ac:dyDescent="0.45">
      <c r="A512" s="140">
        <v>5</v>
      </c>
      <c r="B512" s="141" t="s">
        <v>850</v>
      </c>
      <c r="C512" s="142" t="s">
        <v>1488</v>
      </c>
      <c r="D512" s="143" t="str">
        <f t="shared" si="352"/>
        <v>5.1_1.15.29</v>
      </c>
      <c r="E512" s="56" t="s">
        <v>662</v>
      </c>
      <c r="F512" s="506" t="s">
        <v>663</v>
      </c>
      <c r="G512" s="507" t="s">
        <v>147</v>
      </c>
      <c r="H512" s="507" t="s">
        <v>39</v>
      </c>
      <c r="I512" s="507" t="s">
        <v>458</v>
      </c>
      <c r="J512" s="507" t="s">
        <v>39</v>
      </c>
      <c r="K512" s="507">
        <v>200</v>
      </c>
      <c r="L512" s="507" t="s">
        <v>125</v>
      </c>
      <c r="M512" s="507" t="s">
        <v>114</v>
      </c>
      <c r="N512" s="507" t="s">
        <v>115</v>
      </c>
      <c r="O512" s="57" t="s">
        <v>664</v>
      </c>
      <c r="P512" s="58" t="s">
        <v>21</v>
      </c>
      <c r="Q512" s="59" t="s">
        <v>665</v>
      </c>
      <c r="R512" s="60" t="s">
        <v>71</v>
      </c>
      <c r="S512" s="61">
        <v>1</v>
      </c>
      <c r="T512" s="62">
        <f>INDEX('BM MORRO DA CRUZ'!$P$6:$P$402,MATCH($O512,'BM MORRO DA CRUZ'!$K$6:$K$402,0))</f>
        <v>1264.75</v>
      </c>
      <c r="U512" s="63">
        <f t="shared" si="353"/>
        <v>1264.75</v>
      </c>
      <c r="V512" s="61">
        <f>IFERROR(SUMIFS('01ª MC'!$W$1:$W$1840,'01ª MC'!$C$1:$C$1840,$D512),0)</f>
        <v>0</v>
      </c>
      <c r="W512" s="63">
        <f t="shared" si="354"/>
        <v>0</v>
      </c>
      <c r="X512" s="61">
        <v>0</v>
      </c>
      <c r="Y512" s="63">
        <f t="shared" si="355"/>
        <v>0</v>
      </c>
      <c r="Z512" s="61">
        <v>0</v>
      </c>
      <c r="AA512" s="63">
        <f t="shared" si="356"/>
        <v>0</v>
      </c>
      <c r="AB512" s="61">
        <v>0</v>
      </c>
      <c r="AC512" s="63">
        <f t="shared" si="357"/>
        <v>0</v>
      </c>
      <c r="AD512" s="61">
        <v>0</v>
      </c>
      <c r="AE512" s="63">
        <f t="shared" si="358"/>
        <v>0</v>
      </c>
      <c r="AF512" s="61">
        <v>0</v>
      </c>
      <c r="AG512" s="63">
        <f t="shared" si="359"/>
        <v>0</v>
      </c>
      <c r="AH512" s="61">
        <v>0</v>
      </c>
      <c r="AI512" s="63">
        <f t="shared" si="360"/>
        <v>0</v>
      </c>
      <c r="AJ512" s="61">
        <v>0</v>
      </c>
      <c r="AK512" s="63">
        <f t="shared" si="361"/>
        <v>0</v>
      </c>
      <c r="AL512" s="61">
        <v>0</v>
      </c>
      <c r="AM512" s="63">
        <f t="shared" si="362"/>
        <v>0</v>
      </c>
      <c r="AN512" s="61">
        <v>0</v>
      </c>
      <c r="AO512" s="63">
        <f t="shared" si="363"/>
        <v>0</v>
      </c>
      <c r="AP512" s="61">
        <v>0</v>
      </c>
      <c r="AQ512" s="63">
        <f t="shared" si="364"/>
        <v>0</v>
      </c>
      <c r="AR512" s="61">
        <v>0</v>
      </c>
      <c r="AS512" s="63">
        <f t="shared" si="365"/>
        <v>0</v>
      </c>
      <c r="AT512" s="61">
        <v>0</v>
      </c>
      <c r="AU512" s="63">
        <f t="shared" si="366"/>
        <v>0</v>
      </c>
      <c r="AV512" s="61">
        <v>0</v>
      </c>
      <c r="AW512" s="63">
        <f t="shared" si="367"/>
        <v>0</v>
      </c>
      <c r="AX512" s="61">
        <v>0</v>
      </c>
      <c r="AY512" s="63">
        <f t="shared" si="368"/>
        <v>0</v>
      </c>
      <c r="AZ512" s="61">
        <v>0</v>
      </c>
      <c r="BA512" s="63">
        <f t="shared" si="369"/>
        <v>0</v>
      </c>
      <c r="BB512" s="61">
        <v>0</v>
      </c>
      <c r="BC512" s="63">
        <f t="shared" si="370"/>
        <v>0</v>
      </c>
      <c r="BD512" s="61">
        <v>0</v>
      </c>
      <c r="BE512" s="63">
        <f t="shared" si="371"/>
        <v>0</v>
      </c>
      <c r="BF512" s="61">
        <f t="shared" si="372"/>
        <v>0</v>
      </c>
      <c r="BG512" s="63">
        <f t="shared" si="373"/>
        <v>0</v>
      </c>
      <c r="BH512" s="45"/>
      <c r="BI512" s="144"/>
    </row>
    <row r="513" spans="1:61" ht="26.25" customHeight="1" x14ac:dyDescent="0.45">
      <c r="A513" s="140">
        <v>5</v>
      </c>
      <c r="B513" s="141" t="s">
        <v>850</v>
      </c>
      <c r="C513" s="142" t="s">
        <v>1488</v>
      </c>
      <c r="D513" s="143" t="str">
        <f t="shared" si="352"/>
        <v>5.1_1.15.30</v>
      </c>
      <c r="E513" s="56" t="s">
        <v>666</v>
      </c>
      <c r="F513" s="506" t="s">
        <v>667</v>
      </c>
      <c r="G513" s="507" t="s">
        <v>147</v>
      </c>
      <c r="H513" s="507" t="s">
        <v>39</v>
      </c>
      <c r="I513" s="507" t="s">
        <v>668</v>
      </c>
      <c r="J513" s="507" t="s">
        <v>39</v>
      </c>
      <c r="K513" s="507">
        <v>150</v>
      </c>
      <c r="L513" s="507" t="s">
        <v>125</v>
      </c>
      <c r="M513" s="507" t="s">
        <v>114</v>
      </c>
      <c r="N513" s="507" t="s">
        <v>115</v>
      </c>
      <c r="O513" s="57" t="s">
        <v>669</v>
      </c>
      <c r="P513" s="58" t="s">
        <v>21</v>
      </c>
      <c r="Q513" s="59" t="s">
        <v>670</v>
      </c>
      <c r="R513" s="60" t="s">
        <v>71</v>
      </c>
      <c r="S513" s="61">
        <v>6</v>
      </c>
      <c r="T513" s="62">
        <f>INDEX('BM MORRO DA CRUZ'!$P$6:$P$402,MATCH($O513,'BM MORRO DA CRUZ'!$K$6:$K$402,0))</f>
        <v>1057.78</v>
      </c>
      <c r="U513" s="63">
        <f t="shared" si="353"/>
        <v>6346.68</v>
      </c>
      <c r="V513" s="61">
        <f>IFERROR(SUMIFS('01ª MC'!$W$1:$W$1840,'01ª MC'!$C$1:$C$1840,$D513),0)</f>
        <v>0</v>
      </c>
      <c r="W513" s="63">
        <f t="shared" si="354"/>
        <v>0</v>
      </c>
      <c r="X513" s="61">
        <v>0</v>
      </c>
      <c r="Y513" s="63">
        <f t="shared" si="355"/>
        <v>0</v>
      </c>
      <c r="Z513" s="61">
        <v>0</v>
      </c>
      <c r="AA513" s="63">
        <f t="shared" si="356"/>
        <v>0</v>
      </c>
      <c r="AB513" s="61">
        <v>0</v>
      </c>
      <c r="AC513" s="63">
        <f t="shared" si="357"/>
        <v>0</v>
      </c>
      <c r="AD513" s="61">
        <v>0</v>
      </c>
      <c r="AE513" s="63">
        <f t="shared" si="358"/>
        <v>0</v>
      </c>
      <c r="AF513" s="61">
        <v>0</v>
      </c>
      <c r="AG513" s="63">
        <f t="shared" si="359"/>
        <v>0</v>
      </c>
      <c r="AH513" s="61">
        <v>0</v>
      </c>
      <c r="AI513" s="63">
        <f t="shared" si="360"/>
        <v>0</v>
      </c>
      <c r="AJ513" s="61">
        <v>0</v>
      </c>
      <c r="AK513" s="63">
        <f t="shared" si="361"/>
        <v>0</v>
      </c>
      <c r="AL513" s="61">
        <v>0</v>
      </c>
      <c r="AM513" s="63">
        <f t="shared" si="362"/>
        <v>0</v>
      </c>
      <c r="AN513" s="61">
        <v>0</v>
      </c>
      <c r="AO513" s="63">
        <f t="shared" si="363"/>
        <v>0</v>
      </c>
      <c r="AP513" s="61">
        <v>0</v>
      </c>
      <c r="AQ513" s="63">
        <f t="shared" si="364"/>
        <v>0</v>
      </c>
      <c r="AR513" s="61">
        <v>0</v>
      </c>
      <c r="AS513" s="63">
        <f t="shared" si="365"/>
        <v>0</v>
      </c>
      <c r="AT513" s="61">
        <v>0</v>
      </c>
      <c r="AU513" s="63">
        <f t="shared" si="366"/>
        <v>0</v>
      </c>
      <c r="AV513" s="61">
        <v>0</v>
      </c>
      <c r="AW513" s="63">
        <f t="shared" si="367"/>
        <v>0</v>
      </c>
      <c r="AX513" s="61">
        <v>0</v>
      </c>
      <c r="AY513" s="63">
        <f t="shared" si="368"/>
        <v>0</v>
      </c>
      <c r="AZ513" s="61">
        <v>0</v>
      </c>
      <c r="BA513" s="63">
        <f t="shared" si="369"/>
        <v>0</v>
      </c>
      <c r="BB513" s="61">
        <v>0</v>
      </c>
      <c r="BC513" s="63">
        <f t="shared" si="370"/>
        <v>0</v>
      </c>
      <c r="BD513" s="61">
        <v>0</v>
      </c>
      <c r="BE513" s="63">
        <f t="shared" si="371"/>
        <v>0</v>
      </c>
      <c r="BF513" s="61">
        <f t="shared" si="372"/>
        <v>0</v>
      </c>
      <c r="BG513" s="63">
        <f t="shared" si="373"/>
        <v>0</v>
      </c>
      <c r="BH513" s="45"/>
      <c r="BI513" s="144"/>
    </row>
    <row r="514" spans="1:61" ht="26.25" customHeight="1" x14ac:dyDescent="0.45">
      <c r="A514" s="140">
        <v>5</v>
      </c>
      <c r="B514" s="141" t="s">
        <v>850</v>
      </c>
      <c r="C514" s="142" t="s">
        <v>1488</v>
      </c>
      <c r="D514" s="143" t="str">
        <f t="shared" si="352"/>
        <v>5.1_1.15.31</v>
      </c>
      <c r="E514" s="56" t="s">
        <v>671</v>
      </c>
      <c r="F514" s="506" t="s">
        <v>667</v>
      </c>
      <c r="G514" s="507" t="s">
        <v>147</v>
      </c>
      <c r="H514" s="507" t="s">
        <v>39</v>
      </c>
      <c r="I514" s="507" t="s">
        <v>668</v>
      </c>
      <c r="J514" s="507" t="s">
        <v>39</v>
      </c>
      <c r="K514" s="507">
        <v>200</v>
      </c>
      <c r="L514" s="507" t="s">
        <v>125</v>
      </c>
      <c r="M514" s="507" t="s">
        <v>114</v>
      </c>
      <c r="N514" s="507" t="s">
        <v>115</v>
      </c>
      <c r="O514" s="57" t="s">
        <v>672</v>
      </c>
      <c r="P514" s="58" t="s">
        <v>21</v>
      </c>
      <c r="Q514" s="59" t="s">
        <v>673</v>
      </c>
      <c r="R514" s="60" t="s">
        <v>71</v>
      </c>
      <c r="S514" s="61">
        <v>2</v>
      </c>
      <c r="T514" s="62">
        <f>INDEX('BM MORRO DA CRUZ'!$P$6:$P$402,MATCH($O514,'BM MORRO DA CRUZ'!$K$6:$K$402,0))</f>
        <v>1356.4</v>
      </c>
      <c r="U514" s="63">
        <f t="shared" si="353"/>
        <v>2712.8</v>
      </c>
      <c r="V514" s="61">
        <f>IFERROR(SUMIFS('01ª MC'!$W$1:$W$1840,'01ª MC'!$C$1:$C$1840,$D514),0)</f>
        <v>0</v>
      </c>
      <c r="W514" s="63">
        <f t="shared" si="354"/>
        <v>0</v>
      </c>
      <c r="X514" s="61">
        <v>0</v>
      </c>
      <c r="Y514" s="63">
        <f t="shared" si="355"/>
        <v>0</v>
      </c>
      <c r="Z514" s="61">
        <v>0</v>
      </c>
      <c r="AA514" s="63">
        <f t="shared" si="356"/>
        <v>0</v>
      </c>
      <c r="AB514" s="61">
        <v>0</v>
      </c>
      <c r="AC514" s="63">
        <f t="shared" si="357"/>
        <v>0</v>
      </c>
      <c r="AD514" s="61">
        <v>0</v>
      </c>
      <c r="AE514" s="63">
        <f t="shared" si="358"/>
        <v>0</v>
      </c>
      <c r="AF514" s="61">
        <v>0</v>
      </c>
      <c r="AG514" s="63">
        <f t="shared" si="359"/>
        <v>0</v>
      </c>
      <c r="AH514" s="61">
        <v>0</v>
      </c>
      <c r="AI514" s="63">
        <f t="shared" si="360"/>
        <v>0</v>
      </c>
      <c r="AJ514" s="61">
        <v>0</v>
      </c>
      <c r="AK514" s="63">
        <f t="shared" si="361"/>
        <v>0</v>
      </c>
      <c r="AL514" s="61">
        <v>0</v>
      </c>
      <c r="AM514" s="63">
        <f t="shared" si="362"/>
        <v>0</v>
      </c>
      <c r="AN514" s="61">
        <v>0</v>
      </c>
      <c r="AO514" s="63">
        <f t="shared" si="363"/>
        <v>0</v>
      </c>
      <c r="AP514" s="61">
        <v>0</v>
      </c>
      <c r="AQ514" s="63">
        <f t="shared" si="364"/>
        <v>0</v>
      </c>
      <c r="AR514" s="61">
        <v>0</v>
      </c>
      <c r="AS514" s="63">
        <f t="shared" si="365"/>
        <v>0</v>
      </c>
      <c r="AT514" s="61">
        <v>0</v>
      </c>
      <c r="AU514" s="63">
        <f t="shared" si="366"/>
        <v>0</v>
      </c>
      <c r="AV514" s="61">
        <v>0</v>
      </c>
      <c r="AW514" s="63">
        <f t="shared" si="367"/>
        <v>0</v>
      </c>
      <c r="AX514" s="61">
        <v>0</v>
      </c>
      <c r="AY514" s="63">
        <f t="shared" si="368"/>
        <v>0</v>
      </c>
      <c r="AZ514" s="61">
        <v>0</v>
      </c>
      <c r="BA514" s="63">
        <f t="shared" si="369"/>
        <v>0</v>
      </c>
      <c r="BB514" s="61">
        <v>0</v>
      </c>
      <c r="BC514" s="63">
        <f t="shared" si="370"/>
        <v>0</v>
      </c>
      <c r="BD514" s="61">
        <v>0</v>
      </c>
      <c r="BE514" s="63">
        <f t="shared" si="371"/>
        <v>0</v>
      </c>
      <c r="BF514" s="61">
        <f t="shared" si="372"/>
        <v>0</v>
      </c>
      <c r="BG514" s="63">
        <f t="shared" si="373"/>
        <v>0</v>
      </c>
      <c r="BH514" s="45"/>
      <c r="BI514" s="144"/>
    </row>
    <row r="515" spans="1:61" ht="26.25" customHeight="1" x14ac:dyDescent="0.45">
      <c r="A515" s="140">
        <v>5</v>
      </c>
      <c r="B515" s="141" t="s">
        <v>850</v>
      </c>
      <c r="C515" s="142" t="s">
        <v>1488</v>
      </c>
      <c r="D515" s="143" t="str">
        <f t="shared" si="352"/>
        <v>5.1_1.15.32</v>
      </c>
      <c r="E515" s="56" t="s">
        <v>674</v>
      </c>
      <c r="F515" s="506" t="s">
        <v>667</v>
      </c>
      <c r="G515" s="507" t="s">
        <v>576</v>
      </c>
      <c r="H515" s="507" t="s">
        <v>39</v>
      </c>
      <c r="I515" s="507" t="s">
        <v>668</v>
      </c>
      <c r="J515" s="507" t="s">
        <v>39</v>
      </c>
      <c r="K515" s="507">
        <v>80</v>
      </c>
      <c r="L515" s="507" t="s">
        <v>125</v>
      </c>
      <c r="M515" s="507" t="s">
        <v>114</v>
      </c>
      <c r="N515" s="507" t="s">
        <v>115</v>
      </c>
      <c r="O515" s="57" t="s">
        <v>675</v>
      </c>
      <c r="P515" s="58" t="s">
        <v>21</v>
      </c>
      <c r="Q515" s="59" t="s">
        <v>676</v>
      </c>
      <c r="R515" s="60" t="s">
        <v>71</v>
      </c>
      <c r="S515" s="61">
        <v>20</v>
      </c>
      <c r="T515" s="62">
        <f>INDEX('BM MORRO DA CRUZ'!$P$6:$P$402,MATCH($O515,'BM MORRO DA CRUZ'!$K$6:$K$402,0))</f>
        <v>635.74</v>
      </c>
      <c r="U515" s="63">
        <f t="shared" si="353"/>
        <v>12714.8</v>
      </c>
      <c r="V515" s="61">
        <f>IFERROR(SUMIFS('01ª MC'!$W$1:$W$1840,'01ª MC'!$C$1:$C$1840,$D515),0)</f>
        <v>0</v>
      </c>
      <c r="W515" s="63">
        <f t="shared" si="354"/>
        <v>0</v>
      </c>
      <c r="X515" s="61">
        <v>0</v>
      </c>
      <c r="Y515" s="63">
        <f t="shared" si="355"/>
        <v>0</v>
      </c>
      <c r="Z515" s="61">
        <v>0</v>
      </c>
      <c r="AA515" s="63">
        <f t="shared" si="356"/>
        <v>0</v>
      </c>
      <c r="AB515" s="61">
        <v>0</v>
      </c>
      <c r="AC515" s="63">
        <f t="shared" si="357"/>
        <v>0</v>
      </c>
      <c r="AD515" s="61">
        <v>0</v>
      </c>
      <c r="AE515" s="63">
        <f t="shared" si="358"/>
        <v>0</v>
      </c>
      <c r="AF515" s="61">
        <v>0</v>
      </c>
      <c r="AG515" s="63">
        <f t="shared" si="359"/>
        <v>0</v>
      </c>
      <c r="AH515" s="61">
        <v>0</v>
      </c>
      <c r="AI515" s="63">
        <f t="shared" si="360"/>
        <v>0</v>
      </c>
      <c r="AJ515" s="61">
        <v>0</v>
      </c>
      <c r="AK515" s="63">
        <f t="shared" si="361"/>
        <v>0</v>
      </c>
      <c r="AL515" s="61">
        <v>0</v>
      </c>
      <c r="AM515" s="63">
        <f t="shared" si="362"/>
        <v>0</v>
      </c>
      <c r="AN515" s="61">
        <v>0</v>
      </c>
      <c r="AO515" s="63">
        <f t="shared" si="363"/>
        <v>0</v>
      </c>
      <c r="AP515" s="61">
        <v>0</v>
      </c>
      <c r="AQ515" s="63">
        <f t="shared" si="364"/>
        <v>0</v>
      </c>
      <c r="AR515" s="61">
        <v>0</v>
      </c>
      <c r="AS515" s="63">
        <f t="shared" si="365"/>
        <v>0</v>
      </c>
      <c r="AT515" s="61">
        <v>0</v>
      </c>
      <c r="AU515" s="63">
        <f t="shared" si="366"/>
        <v>0</v>
      </c>
      <c r="AV515" s="61">
        <v>0</v>
      </c>
      <c r="AW515" s="63">
        <f t="shared" si="367"/>
        <v>0</v>
      </c>
      <c r="AX515" s="61">
        <v>0</v>
      </c>
      <c r="AY515" s="63">
        <f t="shared" si="368"/>
        <v>0</v>
      </c>
      <c r="AZ515" s="61">
        <v>0</v>
      </c>
      <c r="BA515" s="63">
        <f t="shared" si="369"/>
        <v>0</v>
      </c>
      <c r="BB515" s="61">
        <v>0</v>
      </c>
      <c r="BC515" s="63">
        <f t="shared" si="370"/>
        <v>0</v>
      </c>
      <c r="BD515" s="61">
        <v>0</v>
      </c>
      <c r="BE515" s="63">
        <f t="shared" si="371"/>
        <v>0</v>
      </c>
      <c r="BF515" s="61">
        <f t="shared" si="372"/>
        <v>0</v>
      </c>
      <c r="BG515" s="63">
        <f t="shared" si="373"/>
        <v>0</v>
      </c>
      <c r="BH515" s="45"/>
      <c r="BI515" s="144"/>
    </row>
    <row r="516" spans="1:61" ht="26.25" customHeight="1" x14ac:dyDescent="0.45">
      <c r="A516" s="140">
        <v>5</v>
      </c>
      <c r="B516" s="141" t="s">
        <v>850</v>
      </c>
      <c r="C516" s="142" t="s">
        <v>1488</v>
      </c>
      <c r="D516" s="143" t="str">
        <f t="shared" si="352"/>
        <v>5.1_1.15.33</v>
      </c>
      <c r="E516" s="56" t="s">
        <v>677</v>
      </c>
      <c r="F516" s="506" t="s">
        <v>678</v>
      </c>
      <c r="G516" s="507" t="s">
        <v>111</v>
      </c>
      <c r="H516" s="507" t="s">
        <v>39</v>
      </c>
      <c r="I516" s="507" t="s">
        <v>668</v>
      </c>
      <c r="J516" s="507" t="s">
        <v>39</v>
      </c>
      <c r="K516" s="507">
        <v>350</v>
      </c>
      <c r="L516" s="507" t="s">
        <v>125</v>
      </c>
      <c r="M516" s="507" t="s">
        <v>114</v>
      </c>
      <c r="N516" s="507" t="s">
        <v>115</v>
      </c>
      <c r="O516" s="57" t="s">
        <v>679</v>
      </c>
      <c r="P516" s="58" t="s">
        <v>21</v>
      </c>
      <c r="Q516" s="59" t="s">
        <v>680</v>
      </c>
      <c r="R516" s="60" t="s">
        <v>71</v>
      </c>
      <c r="S516" s="61">
        <v>2</v>
      </c>
      <c r="T516" s="62">
        <f>INDEX('BM MORRO DA CRUZ'!$P$6:$P$402,MATCH($O516,'BM MORRO DA CRUZ'!$K$6:$K$402,0))</f>
        <v>3576.79</v>
      </c>
      <c r="U516" s="63">
        <f t="shared" si="353"/>
        <v>7153.58</v>
      </c>
      <c r="V516" s="61">
        <f>IFERROR(SUMIFS('01ª MC'!$W$1:$W$1840,'01ª MC'!$C$1:$C$1840,$D516),0)</f>
        <v>0</v>
      </c>
      <c r="W516" s="63">
        <f t="shared" si="354"/>
        <v>0</v>
      </c>
      <c r="X516" s="61">
        <v>0</v>
      </c>
      <c r="Y516" s="63">
        <f t="shared" si="355"/>
        <v>0</v>
      </c>
      <c r="Z516" s="61">
        <v>0</v>
      </c>
      <c r="AA516" s="63">
        <f t="shared" si="356"/>
        <v>0</v>
      </c>
      <c r="AB516" s="61">
        <v>0</v>
      </c>
      <c r="AC516" s="63">
        <f t="shared" si="357"/>
        <v>0</v>
      </c>
      <c r="AD516" s="61">
        <v>0</v>
      </c>
      <c r="AE516" s="63">
        <f t="shared" si="358"/>
        <v>0</v>
      </c>
      <c r="AF516" s="61">
        <v>0</v>
      </c>
      <c r="AG516" s="63">
        <f t="shared" si="359"/>
        <v>0</v>
      </c>
      <c r="AH516" s="61">
        <v>0</v>
      </c>
      <c r="AI516" s="63">
        <f t="shared" si="360"/>
        <v>0</v>
      </c>
      <c r="AJ516" s="61">
        <v>0</v>
      </c>
      <c r="AK516" s="63">
        <f t="shared" si="361"/>
        <v>0</v>
      </c>
      <c r="AL516" s="61">
        <v>0</v>
      </c>
      <c r="AM516" s="63">
        <f t="shared" si="362"/>
        <v>0</v>
      </c>
      <c r="AN516" s="61">
        <v>0</v>
      </c>
      <c r="AO516" s="63">
        <f t="shared" si="363"/>
        <v>0</v>
      </c>
      <c r="AP516" s="61">
        <v>0</v>
      </c>
      <c r="AQ516" s="63">
        <f t="shared" si="364"/>
        <v>0</v>
      </c>
      <c r="AR516" s="61">
        <v>0</v>
      </c>
      <c r="AS516" s="63">
        <f t="shared" si="365"/>
        <v>0</v>
      </c>
      <c r="AT516" s="61">
        <v>0</v>
      </c>
      <c r="AU516" s="63">
        <f t="shared" si="366"/>
        <v>0</v>
      </c>
      <c r="AV516" s="61">
        <v>0</v>
      </c>
      <c r="AW516" s="63">
        <f t="shared" si="367"/>
        <v>0</v>
      </c>
      <c r="AX516" s="61">
        <v>0</v>
      </c>
      <c r="AY516" s="63">
        <f t="shared" si="368"/>
        <v>0</v>
      </c>
      <c r="AZ516" s="61">
        <v>0</v>
      </c>
      <c r="BA516" s="63">
        <f t="shared" si="369"/>
        <v>0</v>
      </c>
      <c r="BB516" s="61">
        <v>0</v>
      </c>
      <c r="BC516" s="63">
        <f t="shared" si="370"/>
        <v>0</v>
      </c>
      <c r="BD516" s="61">
        <v>0</v>
      </c>
      <c r="BE516" s="63">
        <f t="shared" si="371"/>
        <v>0</v>
      </c>
      <c r="BF516" s="61">
        <f t="shared" si="372"/>
        <v>0</v>
      </c>
      <c r="BG516" s="63">
        <f t="shared" si="373"/>
        <v>0</v>
      </c>
      <c r="BH516" s="45"/>
      <c r="BI516" s="144"/>
    </row>
    <row r="517" spans="1:61" ht="38.25" customHeight="1" x14ac:dyDescent="0.45">
      <c r="A517" s="140">
        <v>5</v>
      </c>
      <c r="B517" s="141" t="s">
        <v>850</v>
      </c>
      <c r="C517" s="142" t="s">
        <v>1488</v>
      </c>
      <c r="D517" s="143" t="str">
        <f t="shared" si="352"/>
        <v>5.1_1.15.34</v>
      </c>
      <c r="E517" s="56" t="s">
        <v>681</v>
      </c>
      <c r="F517" s="506" t="s">
        <v>678</v>
      </c>
      <c r="G517" s="507" t="s">
        <v>111</v>
      </c>
      <c r="H517" s="507" t="s">
        <v>39</v>
      </c>
      <c r="I517" s="507" t="s">
        <v>668</v>
      </c>
      <c r="J517" s="507" t="s">
        <v>39</v>
      </c>
      <c r="K517" s="507">
        <v>50</v>
      </c>
      <c r="L517" s="507" t="s">
        <v>125</v>
      </c>
      <c r="M517" s="507" t="s">
        <v>114</v>
      </c>
      <c r="N517" s="507" t="s">
        <v>115</v>
      </c>
      <c r="O517" s="57" t="s">
        <v>682</v>
      </c>
      <c r="P517" s="58" t="s">
        <v>21</v>
      </c>
      <c r="Q517" s="59" t="s">
        <v>683</v>
      </c>
      <c r="R517" s="60" t="s">
        <v>71</v>
      </c>
      <c r="S517" s="61">
        <v>10</v>
      </c>
      <c r="T517" s="62">
        <f>INDEX('BM MORRO DA CRUZ'!$P$6:$P$402,MATCH($O517,'BM MORRO DA CRUZ'!$K$6:$K$402,0))</f>
        <v>664.61</v>
      </c>
      <c r="U517" s="63">
        <f t="shared" si="353"/>
        <v>6646.1</v>
      </c>
      <c r="V517" s="61">
        <f>IFERROR(SUMIFS('01ª MC'!$W$1:$W$1840,'01ª MC'!$C$1:$C$1840,$D517),0)</f>
        <v>0</v>
      </c>
      <c r="W517" s="63">
        <f t="shared" si="354"/>
        <v>0</v>
      </c>
      <c r="X517" s="61">
        <v>0</v>
      </c>
      <c r="Y517" s="63">
        <f t="shared" si="355"/>
        <v>0</v>
      </c>
      <c r="Z517" s="61">
        <v>0</v>
      </c>
      <c r="AA517" s="63">
        <f t="shared" si="356"/>
        <v>0</v>
      </c>
      <c r="AB517" s="61">
        <v>0</v>
      </c>
      <c r="AC517" s="63">
        <f t="shared" si="357"/>
        <v>0</v>
      </c>
      <c r="AD517" s="61">
        <v>0</v>
      </c>
      <c r="AE517" s="63">
        <f t="shared" si="358"/>
        <v>0</v>
      </c>
      <c r="AF517" s="61">
        <v>0</v>
      </c>
      <c r="AG517" s="63">
        <f t="shared" si="359"/>
        <v>0</v>
      </c>
      <c r="AH517" s="61">
        <v>0</v>
      </c>
      <c r="AI517" s="63">
        <f t="shared" si="360"/>
        <v>0</v>
      </c>
      <c r="AJ517" s="61">
        <v>0</v>
      </c>
      <c r="AK517" s="63">
        <f t="shared" si="361"/>
        <v>0</v>
      </c>
      <c r="AL517" s="61">
        <v>0</v>
      </c>
      <c r="AM517" s="63">
        <f t="shared" si="362"/>
        <v>0</v>
      </c>
      <c r="AN517" s="61">
        <v>0</v>
      </c>
      <c r="AO517" s="63">
        <f t="shared" si="363"/>
        <v>0</v>
      </c>
      <c r="AP517" s="61">
        <v>0</v>
      </c>
      <c r="AQ517" s="63">
        <f t="shared" si="364"/>
        <v>0</v>
      </c>
      <c r="AR517" s="61">
        <v>0</v>
      </c>
      <c r="AS517" s="63">
        <f t="shared" si="365"/>
        <v>0</v>
      </c>
      <c r="AT517" s="61">
        <v>0</v>
      </c>
      <c r="AU517" s="63">
        <f t="shared" si="366"/>
        <v>0</v>
      </c>
      <c r="AV517" s="61">
        <v>0</v>
      </c>
      <c r="AW517" s="63">
        <f t="shared" si="367"/>
        <v>0</v>
      </c>
      <c r="AX517" s="61">
        <v>0</v>
      </c>
      <c r="AY517" s="63">
        <f t="shared" si="368"/>
        <v>0</v>
      </c>
      <c r="AZ517" s="61">
        <v>0</v>
      </c>
      <c r="BA517" s="63">
        <f t="shared" si="369"/>
        <v>0</v>
      </c>
      <c r="BB517" s="61">
        <v>0</v>
      </c>
      <c r="BC517" s="63">
        <f t="shared" si="370"/>
        <v>0</v>
      </c>
      <c r="BD517" s="61">
        <v>0</v>
      </c>
      <c r="BE517" s="63">
        <f t="shared" si="371"/>
        <v>0</v>
      </c>
      <c r="BF517" s="61">
        <f t="shared" si="372"/>
        <v>0</v>
      </c>
      <c r="BG517" s="63">
        <f t="shared" si="373"/>
        <v>0</v>
      </c>
      <c r="BH517" s="45"/>
      <c r="BI517" s="144"/>
    </row>
    <row r="518" spans="1:61" ht="26.25" customHeight="1" x14ac:dyDescent="0.45">
      <c r="A518" s="140">
        <v>5</v>
      </c>
      <c r="B518" s="141" t="s">
        <v>850</v>
      </c>
      <c r="C518" s="142" t="s">
        <v>1488</v>
      </c>
      <c r="D518" s="143" t="str">
        <f t="shared" si="352"/>
        <v>5.1_1.15.35</v>
      </c>
      <c r="E518" s="56" t="s">
        <v>684</v>
      </c>
      <c r="F518" s="506" t="s">
        <v>678</v>
      </c>
      <c r="G518" s="507" t="s">
        <v>147</v>
      </c>
      <c r="H518" s="507" t="s">
        <v>39</v>
      </c>
      <c r="I518" s="507" t="s">
        <v>668</v>
      </c>
      <c r="J518" s="507" t="s">
        <v>39</v>
      </c>
      <c r="K518" s="507">
        <v>150</v>
      </c>
      <c r="L518" s="507" t="s">
        <v>125</v>
      </c>
      <c r="M518" s="507" t="s">
        <v>114</v>
      </c>
      <c r="N518" s="507" t="s">
        <v>115</v>
      </c>
      <c r="O518" s="57" t="s">
        <v>685</v>
      </c>
      <c r="P518" s="58" t="s">
        <v>21</v>
      </c>
      <c r="Q518" s="59" t="s">
        <v>686</v>
      </c>
      <c r="R518" s="60" t="s">
        <v>71</v>
      </c>
      <c r="S518" s="61">
        <v>10</v>
      </c>
      <c r="T518" s="62">
        <f>INDEX('BM MORRO DA CRUZ'!$P$6:$P$402,MATCH($O518,'BM MORRO DA CRUZ'!$K$6:$K$402,0))</f>
        <v>1853.12</v>
      </c>
      <c r="U518" s="63">
        <f t="shared" si="353"/>
        <v>18531.2</v>
      </c>
      <c r="V518" s="61">
        <f>IFERROR(SUMIFS('01ª MC'!$W$1:$W$1840,'01ª MC'!$C$1:$C$1840,$D518),0)</f>
        <v>0</v>
      </c>
      <c r="W518" s="63">
        <f t="shared" si="354"/>
        <v>0</v>
      </c>
      <c r="X518" s="61">
        <v>0</v>
      </c>
      <c r="Y518" s="63">
        <f t="shared" si="355"/>
        <v>0</v>
      </c>
      <c r="Z518" s="61">
        <v>0</v>
      </c>
      <c r="AA518" s="63">
        <f t="shared" si="356"/>
        <v>0</v>
      </c>
      <c r="AB518" s="61">
        <v>0</v>
      </c>
      <c r="AC518" s="63">
        <f t="shared" si="357"/>
        <v>0</v>
      </c>
      <c r="AD518" s="61">
        <v>0</v>
      </c>
      <c r="AE518" s="63">
        <f t="shared" si="358"/>
        <v>0</v>
      </c>
      <c r="AF518" s="61">
        <v>0</v>
      </c>
      <c r="AG518" s="63">
        <f t="shared" si="359"/>
        <v>0</v>
      </c>
      <c r="AH518" s="61">
        <v>0</v>
      </c>
      <c r="AI518" s="63">
        <f t="shared" si="360"/>
        <v>0</v>
      </c>
      <c r="AJ518" s="61">
        <v>0</v>
      </c>
      <c r="AK518" s="63">
        <f t="shared" si="361"/>
        <v>0</v>
      </c>
      <c r="AL518" s="61">
        <v>0</v>
      </c>
      <c r="AM518" s="63">
        <f t="shared" si="362"/>
        <v>0</v>
      </c>
      <c r="AN518" s="61">
        <v>0</v>
      </c>
      <c r="AO518" s="63">
        <f t="shared" si="363"/>
        <v>0</v>
      </c>
      <c r="AP518" s="61">
        <v>0</v>
      </c>
      <c r="AQ518" s="63">
        <f t="shared" si="364"/>
        <v>0</v>
      </c>
      <c r="AR518" s="61">
        <v>0</v>
      </c>
      <c r="AS518" s="63">
        <f t="shared" si="365"/>
        <v>0</v>
      </c>
      <c r="AT518" s="61">
        <v>0</v>
      </c>
      <c r="AU518" s="63">
        <f t="shared" si="366"/>
        <v>0</v>
      </c>
      <c r="AV518" s="61">
        <v>0</v>
      </c>
      <c r="AW518" s="63">
        <f t="shared" si="367"/>
        <v>0</v>
      </c>
      <c r="AX518" s="61">
        <v>0</v>
      </c>
      <c r="AY518" s="63">
        <f t="shared" si="368"/>
        <v>0</v>
      </c>
      <c r="AZ518" s="61">
        <v>0</v>
      </c>
      <c r="BA518" s="63">
        <f t="shared" si="369"/>
        <v>0</v>
      </c>
      <c r="BB518" s="61">
        <v>0</v>
      </c>
      <c r="BC518" s="63">
        <f t="shared" si="370"/>
        <v>0</v>
      </c>
      <c r="BD518" s="61">
        <v>0</v>
      </c>
      <c r="BE518" s="63">
        <f t="shared" si="371"/>
        <v>0</v>
      </c>
      <c r="BF518" s="61">
        <f t="shared" si="372"/>
        <v>0</v>
      </c>
      <c r="BG518" s="63">
        <f t="shared" si="373"/>
        <v>0</v>
      </c>
      <c r="BH518" s="45"/>
      <c r="BI518" s="144"/>
    </row>
    <row r="519" spans="1:61" ht="26.25" customHeight="1" x14ac:dyDescent="0.45">
      <c r="A519" s="140">
        <v>5</v>
      </c>
      <c r="B519" s="141" t="s">
        <v>850</v>
      </c>
      <c r="C519" s="142" t="s">
        <v>1488</v>
      </c>
      <c r="D519" s="143" t="str">
        <f t="shared" si="352"/>
        <v>5.1_1.15.36</v>
      </c>
      <c r="E519" s="56" t="s">
        <v>687</v>
      </c>
      <c r="F519" s="506" t="s">
        <v>678</v>
      </c>
      <c r="G519" s="507" t="s">
        <v>576</v>
      </c>
      <c r="H519" s="507" t="s">
        <v>39</v>
      </c>
      <c r="I519" s="507" t="s">
        <v>668</v>
      </c>
      <c r="J519" s="507" t="s">
        <v>39</v>
      </c>
      <c r="K519" s="507">
        <v>100</v>
      </c>
      <c r="L519" s="507" t="s">
        <v>125</v>
      </c>
      <c r="M519" s="507" t="s">
        <v>114</v>
      </c>
      <c r="N519" s="507" t="s">
        <v>115</v>
      </c>
      <c r="O519" s="57" t="s">
        <v>688</v>
      </c>
      <c r="P519" s="58" t="s">
        <v>21</v>
      </c>
      <c r="Q519" s="59" t="s">
        <v>689</v>
      </c>
      <c r="R519" s="60" t="s">
        <v>71</v>
      </c>
      <c r="S519" s="61">
        <v>2</v>
      </c>
      <c r="T519" s="62">
        <f>INDEX('BM MORRO DA CRUZ'!$P$6:$P$402,MATCH($O519,'BM MORRO DA CRUZ'!$K$6:$K$402,0))</f>
        <v>1523.31</v>
      </c>
      <c r="U519" s="63">
        <f t="shared" si="353"/>
        <v>3046.62</v>
      </c>
      <c r="V519" s="61">
        <f>IFERROR(SUMIFS('01ª MC'!$W$1:$W$1840,'01ª MC'!$C$1:$C$1840,$D519),0)</f>
        <v>0</v>
      </c>
      <c r="W519" s="63">
        <f t="shared" si="354"/>
        <v>0</v>
      </c>
      <c r="X519" s="61">
        <v>0</v>
      </c>
      <c r="Y519" s="63">
        <f t="shared" si="355"/>
        <v>0</v>
      </c>
      <c r="Z519" s="61">
        <v>0</v>
      </c>
      <c r="AA519" s="63">
        <f t="shared" si="356"/>
        <v>0</v>
      </c>
      <c r="AB519" s="61">
        <v>0</v>
      </c>
      <c r="AC519" s="63">
        <f t="shared" si="357"/>
        <v>0</v>
      </c>
      <c r="AD519" s="61">
        <v>0</v>
      </c>
      <c r="AE519" s="63">
        <f t="shared" si="358"/>
        <v>0</v>
      </c>
      <c r="AF519" s="61">
        <v>0</v>
      </c>
      <c r="AG519" s="63">
        <f t="shared" si="359"/>
        <v>0</v>
      </c>
      <c r="AH519" s="61">
        <v>0</v>
      </c>
      <c r="AI519" s="63">
        <f t="shared" si="360"/>
        <v>0</v>
      </c>
      <c r="AJ519" s="61">
        <v>0</v>
      </c>
      <c r="AK519" s="63">
        <f t="shared" si="361"/>
        <v>0</v>
      </c>
      <c r="AL519" s="61">
        <v>0</v>
      </c>
      <c r="AM519" s="63">
        <f t="shared" si="362"/>
        <v>0</v>
      </c>
      <c r="AN519" s="61">
        <v>0</v>
      </c>
      <c r="AO519" s="63">
        <f t="shared" si="363"/>
        <v>0</v>
      </c>
      <c r="AP519" s="61">
        <v>0</v>
      </c>
      <c r="AQ519" s="63">
        <f t="shared" si="364"/>
        <v>0</v>
      </c>
      <c r="AR519" s="61">
        <v>0</v>
      </c>
      <c r="AS519" s="63">
        <f t="shared" si="365"/>
        <v>0</v>
      </c>
      <c r="AT519" s="61">
        <v>0</v>
      </c>
      <c r="AU519" s="63">
        <f t="shared" si="366"/>
        <v>0</v>
      </c>
      <c r="AV519" s="61">
        <v>0</v>
      </c>
      <c r="AW519" s="63">
        <f t="shared" si="367"/>
        <v>0</v>
      </c>
      <c r="AX519" s="61">
        <v>0</v>
      </c>
      <c r="AY519" s="63">
        <f t="shared" si="368"/>
        <v>0</v>
      </c>
      <c r="AZ519" s="61">
        <v>0</v>
      </c>
      <c r="BA519" s="63">
        <f t="shared" si="369"/>
        <v>0</v>
      </c>
      <c r="BB519" s="61">
        <v>0</v>
      </c>
      <c r="BC519" s="63">
        <f t="shared" si="370"/>
        <v>0</v>
      </c>
      <c r="BD519" s="61">
        <v>0</v>
      </c>
      <c r="BE519" s="63">
        <f t="shared" si="371"/>
        <v>0</v>
      </c>
      <c r="BF519" s="61">
        <f t="shared" si="372"/>
        <v>0</v>
      </c>
      <c r="BG519" s="63">
        <f t="shared" si="373"/>
        <v>0</v>
      </c>
      <c r="BH519" s="45"/>
      <c r="BI519" s="144"/>
    </row>
    <row r="520" spans="1:61" ht="26.25" customHeight="1" x14ac:dyDescent="0.45">
      <c r="A520" s="140">
        <v>5</v>
      </c>
      <c r="B520" s="141" t="s">
        <v>850</v>
      </c>
      <c r="C520" s="142" t="s">
        <v>1488</v>
      </c>
      <c r="D520" s="143" t="str">
        <f t="shared" si="352"/>
        <v>5.1_1.15.37</v>
      </c>
      <c r="E520" s="56" t="s">
        <v>690</v>
      </c>
      <c r="F520" s="506" t="s">
        <v>678</v>
      </c>
      <c r="G520" s="507" t="s">
        <v>576</v>
      </c>
      <c r="H520" s="507" t="s">
        <v>39</v>
      </c>
      <c r="I520" s="507" t="s">
        <v>668</v>
      </c>
      <c r="J520" s="507" t="s">
        <v>39</v>
      </c>
      <c r="K520" s="507">
        <v>80</v>
      </c>
      <c r="L520" s="507" t="s">
        <v>125</v>
      </c>
      <c r="M520" s="507" t="s">
        <v>114</v>
      </c>
      <c r="N520" s="507" t="s">
        <v>115</v>
      </c>
      <c r="O520" s="57" t="s">
        <v>691</v>
      </c>
      <c r="P520" s="58" t="s">
        <v>21</v>
      </c>
      <c r="Q520" s="59" t="s">
        <v>692</v>
      </c>
      <c r="R520" s="60" t="s">
        <v>71</v>
      </c>
      <c r="S520" s="61">
        <v>26</v>
      </c>
      <c r="T520" s="62">
        <f>INDEX('BM MORRO DA CRUZ'!$P$6:$P$402,MATCH($O520,'BM MORRO DA CRUZ'!$K$6:$K$402,0))</f>
        <v>1301.46</v>
      </c>
      <c r="U520" s="63">
        <f t="shared" si="353"/>
        <v>33837.96</v>
      </c>
      <c r="V520" s="61">
        <f>IFERROR(SUMIFS('01ª MC'!$W$1:$W$1840,'01ª MC'!$C$1:$C$1840,$D520),0)</f>
        <v>0</v>
      </c>
      <c r="W520" s="63">
        <f t="shared" si="354"/>
        <v>0</v>
      </c>
      <c r="X520" s="61">
        <v>0</v>
      </c>
      <c r="Y520" s="63">
        <f t="shared" si="355"/>
        <v>0</v>
      </c>
      <c r="Z520" s="61">
        <v>0</v>
      </c>
      <c r="AA520" s="63">
        <f t="shared" si="356"/>
        <v>0</v>
      </c>
      <c r="AB520" s="61">
        <v>0</v>
      </c>
      <c r="AC520" s="63">
        <f t="shared" si="357"/>
        <v>0</v>
      </c>
      <c r="AD520" s="61">
        <v>0</v>
      </c>
      <c r="AE520" s="63">
        <f t="shared" si="358"/>
        <v>0</v>
      </c>
      <c r="AF520" s="61">
        <v>0</v>
      </c>
      <c r="AG520" s="63">
        <f t="shared" si="359"/>
        <v>0</v>
      </c>
      <c r="AH520" s="61">
        <v>0</v>
      </c>
      <c r="AI520" s="63">
        <f t="shared" si="360"/>
        <v>0</v>
      </c>
      <c r="AJ520" s="61">
        <v>0</v>
      </c>
      <c r="AK520" s="63">
        <f t="shared" si="361"/>
        <v>0</v>
      </c>
      <c r="AL520" s="61">
        <v>0</v>
      </c>
      <c r="AM520" s="63">
        <f t="shared" si="362"/>
        <v>0</v>
      </c>
      <c r="AN520" s="61">
        <v>0</v>
      </c>
      <c r="AO520" s="63">
        <f t="shared" si="363"/>
        <v>0</v>
      </c>
      <c r="AP520" s="61">
        <v>0</v>
      </c>
      <c r="AQ520" s="63">
        <f t="shared" si="364"/>
        <v>0</v>
      </c>
      <c r="AR520" s="61">
        <v>0</v>
      </c>
      <c r="AS520" s="63">
        <f t="shared" si="365"/>
        <v>0</v>
      </c>
      <c r="AT520" s="61">
        <v>0</v>
      </c>
      <c r="AU520" s="63">
        <f t="shared" si="366"/>
        <v>0</v>
      </c>
      <c r="AV520" s="61">
        <v>0</v>
      </c>
      <c r="AW520" s="63">
        <f t="shared" si="367"/>
        <v>0</v>
      </c>
      <c r="AX520" s="61">
        <v>0</v>
      </c>
      <c r="AY520" s="63">
        <f t="shared" si="368"/>
        <v>0</v>
      </c>
      <c r="AZ520" s="61">
        <v>0</v>
      </c>
      <c r="BA520" s="63">
        <f t="shared" si="369"/>
        <v>0</v>
      </c>
      <c r="BB520" s="61">
        <v>0</v>
      </c>
      <c r="BC520" s="63">
        <f t="shared" si="370"/>
        <v>0</v>
      </c>
      <c r="BD520" s="61">
        <v>0</v>
      </c>
      <c r="BE520" s="63">
        <f t="shared" si="371"/>
        <v>0</v>
      </c>
      <c r="BF520" s="61">
        <f t="shared" si="372"/>
        <v>0</v>
      </c>
      <c r="BG520" s="63">
        <f t="shared" si="373"/>
        <v>0</v>
      </c>
      <c r="BH520" s="45"/>
      <c r="BI520" s="144"/>
    </row>
    <row r="521" spans="1:61" ht="38.25" customHeight="1" x14ac:dyDescent="0.45">
      <c r="A521" s="140">
        <v>5</v>
      </c>
      <c r="B521" s="141" t="s">
        <v>850</v>
      </c>
      <c r="C521" s="142" t="s">
        <v>1488</v>
      </c>
      <c r="D521" s="143" t="str">
        <f t="shared" si="352"/>
        <v>5.1_1.15.38</v>
      </c>
      <c r="E521" s="56" t="s">
        <v>693</v>
      </c>
      <c r="F521" s="506" t="s">
        <v>678</v>
      </c>
      <c r="G521" s="507" t="s">
        <v>111</v>
      </c>
      <c r="H521" s="507" t="s">
        <v>39</v>
      </c>
      <c r="I521" s="507" t="s">
        <v>668</v>
      </c>
      <c r="J521" s="507" t="s">
        <v>39</v>
      </c>
      <c r="K521" s="507">
        <v>200</v>
      </c>
      <c r="L521" s="507" t="s">
        <v>125</v>
      </c>
      <c r="M521" s="507" t="s">
        <v>114</v>
      </c>
      <c r="N521" s="507" t="s">
        <v>115</v>
      </c>
      <c r="O521" s="57" t="s">
        <v>694</v>
      </c>
      <c r="P521" s="58" t="s">
        <v>21</v>
      </c>
      <c r="Q521" s="59" t="s">
        <v>695</v>
      </c>
      <c r="R521" s="60" t="s">
        <v>71</v>
      </c>
      <c r="S521" s="61">
        <v>10</v>
      </c>
      <c r="T521" s="62">
        <f>INDEX('BM MORRO DA CRUZ'!$P$6:$P$402,MATCH($O521,'BM MORRO DA CRUZ'!$K$6:$K$402,0))</f>
        <v>2127.42</v>
      </c>
      <c r="U521" s="63">
        <f t="shared" si="353"/>
        <v>21274.2</v>
      </c>
      <c r="V521" s="61">
        <f>IFERROR(SUMIFS('01ª MC'!$W$1:$W$1840,'01ª MC'!$C$1:$C$1840,$D521),0)</f>
        <v>0</v>
      </c>
      <c r="W521" s="63">
        <f t="shared" si="354"/>
        <v>0</v>
      </c>
      <c r="X521" s="61">
        <v>0</v>
      </c>
      <c r="Y521" s="63">
        <f t="shared" si="355"/>
        <v>0</v>
      </c>
      <c r="Z521" s="61">
        <v>0</v>
      </c>
      <c r="AA521" s="63">
        <f t="shared" si="356"/>
        <v>0</v>
      </c>
      <c r="AB521" s="61">
        <v>0</v>
      </c>
      <c r="AC521" s="63">
        <f t="shared" si="357"/>
        <v>0</v>
      </c>
      <c r="AD521" s="61">
        <v>0</v>
      </c>
      <c r="AE521" s="63">
        <f t="shared" si="358"/>
        <v>0</v>
      </c>
      <c r="AF521" s="61">
        <v>0</v>
      </c>
      <c r="AG521" s="63">
        <f t="shared" si="359"/>
        <v>0</v>
      </c>
      <c r="AH521" s="61">
        <v>0</v>
      </c>
      <c r="AI521" s="63">
        <f t="shared" si="360"/>
        <v>0</v>
      </c>
      <c r="AJ521" s="61">
        <v>0</v>
      </c>
      <c r="AK521" s="63">
        <f t="shared" si="361"/>
        <v>0</v>
      </c>
      <c r="AL521" s="61">
        <v>0</v>
      </c>
      <c r="AM521" s="63">
        <f t="shared" si="362"/>
        <v>0</v>
      </c>
      <c r="AN521" s="61">
        <v>0</v>
      </c>
      <c r="AO521" s="63">
        <f t="shared" si="363"/>
        <v>0</v>
      </c>
      <c r="AP521" s="61">
        <v>0</v>
      </c>
      <c r="AQ521" s="63">
        <f t="shared" si="364"/>
        <v>0</v>
      </c>
      <c r="AR521" s="61">
        <v>0</v>
      </c>
      <c r="AS521" s="63">
        <f t="shared" si="365"/>
        <v>0</v>
      </c>
      <c r="AT521" s="61">
        <v>0</v>
      </c>
      <c r="AU521" s="63">
        <f t="shared" si="366"/>
        <v>0</v>
      </c>
      <c r="AV521" s="61">
        <v>0</v>
      </c>
      <c r="AW521" s="63">
        <f t="shared" si="367"/>
        <v>0</v>
      </c>
      <c r="AX521" s="61">
        <v>0</v>
      </c>
      <c r="AY521" s="63">
        <f t="shared" si="368"/>
        <v>0</v>
      </c>
      <c r="AZ521" s="61">
        <v>0</v>
      </c>
      <c r="BA521" s="63">
        <f t="shared" si="369"/>
        <v>0</v>
      </c>
      <c r="BB521" s="61">
        <v>0</v>
      </c>
      <c r="BC521" s="63">
        <f t="shared" si="370"/>
        <v>0</v>
      </c>
      <c r="BD521" s="61">
        <v>0</v>
      </c>
      <c r="BE521" s="63">
        <f t="shared" si="371"/>
        <v>0</v>
      </c>
      <c r="BF521" s="61">
        <f t="shared" si="372"/>
        <v>0</v>
      </c>
      <c r="BG521" s="63">
        <f t="shared" si="373"/>
        <v>0</v>
      </c>
      <c r="BH521" s="45"/>
      <c r="BI521" s="144"/>
    </row>
    <row r="522" spans="1:61" ht="26.25" customHeight="1" x14ac:dyDescent="0.45">
      <c r="A522" s="140">
        <v>5</v>
      </c>
      <c r="B522" s="141" t="s">
        <v>850</v>
      </c>
      <c r="C522" s="142" t="s">
        <v>1488</v>
      </c>
      <c r="D522" s="143" t="str">
        <f t="shared" si="352"/>
        <v>5.1_1.15.39</v>
      </c>
      <c r="E522" s="56" t="s">
        <v>696</v>
      </c>
      <c r="F522" s="506" t="s">
        <v>697</v>
      </c>
      <c r="G522" s="507" t="s">
        <v>111</v>
      </c>
      <c r="H522" s="507" t="s">
        <v>39</v>
      </c>
      <c r="I522" s="507" t="s">
        <v>540</v>
      </c>
      <c r="J522" s="507" t="s">
        <v>39</v>
      </c>
      <c r="K522" s="507">
        <v>200</v>
      </c>
      <c r="L522" s="507" t="s">
        <v>125</v>
      </c>
      <c r="M522" s="507" t="s">
        <v>114</v>
      </c>
      <c r="N522" s="507" t="s">
        <v>115</v>
      </c>
      <c r="O522" s="57" t="s">
        <v>698</v>
      </c>
      <c r="P522" s="58" t="s">
        <v>21</v>
      </c>
      <c r="Q522" s="59" t="s">
        <v>699</v>
      </c>
      <c r="R522" s="60" t="s">
        <v>71</v>
      </c>
      <c r="S522" s="61">
        <v>6</v>
      </c>
      <c r="T522" s="62">
        <f>INDEX('BM MORRO DA CRUZ'!$P$6:$P$402,MATCH($O522,'BM MORRO DA CRUZ'!$K$6:$K$402,0))</f>
        <v>1249.8599999999999</v>
      </c>
      <c r="U522" s="63">
        <f t="shared" si="353"/>
        <v>7499.16</v>
      </c>
      <c r="V522" s="61">
        <f>IFERROR(SUMIFS('01ª MC'!$W$1:$W$1840,'01ª MC'!$C$1:$C$1840,$D522),0)</f>
        <v>0</v>
      </c>
      <c r="W522" s="63">
        <f t="shared" si="354"/>
        <v>0</v>
      </c>
      <c r="X522" s="61">
        <v>0</v>
      </c>
      <c r="Y522" s="63">
        <f t="shared" si="355"/>
        <v>0</v>
      </c>
      <c r="Z522" s="61">
        <v>0</v>
      </c>
      <c r="AA522" s="63">
        <f t="shared" si="356"/>
        <v>0</v>
      </c>
      <c r="AB522" s="61">
        <v>0</v>
      </c>
      <c r="AC522" s="63">
        <f t="shared" si="357"/>
        <v>0</v>
      </c>
      <c r="AD522" s="61">
        <v>0</v>
      </c>
      <c r="AE522" s="63">
        <f t="shared" si="358"/>
        <v>0</v>
      </c>
      <c r="AF522" s="61">
        <v>0</v>
      </c>
      <c r="AG522" s="63">
        <f t="shared" si="359"/>
        <v>0</v>
      </c>
      <c r="AH522" s="61">
        <v>0</v>
      </c>
      <c r="AI522" s="63">
        <f t="shared" si="360"/>
        <v>0</v>
      </c>
      <c r="AJ522" s="61">
        <v>0</v>
      </c>
      <c r="AK522" s="63">
        <f t="shared" si="361"/>
        <v>0</v>
      </c>
      <c r="AL522" s="61">
        <v>0</v>
      </c>
      <c r="AM522" s="63">
        <f t="shared" si="362"/>
        <v>0</v>
      </c>
      <c r="AN522" s="61">
        <v>0</v>
      </c>
      <c r="AO522" s="63">
        <f t="shared" si="363"/>
        <v>0</v>
      </c>
      <c r="AP522" s="61">
        <v>0</v>
      </c>
      <c r="AQ522" s="63">
        <f t="shared" si="364"/>
        <v>0</v>
      </c>
      <c r="AR522" s="61">
        <v>0</v>
      </c>
      <c r="AS522" s="63">
        <f t="shared" si="365"/>
        <v>0</v>
      </c>
      <c r="AT522" s="61">
        <v>0</v>
      </c>
      <c r="AU522" s="63">
        <f t="shared" si="366"/>
        <v>0</v>
      </c>
      <c r="AV522" s="61">
        <v>0</v>
      </c>
      <c r="AW522" s="63">
        <f t="shared" si="367"/>
        <v>0</v>
      </c>
      <c r="AX522" s="61">
        <v>0</v>
      </c>
      <c r="AY522" s="63">
        <f t="shared" si="368"/>
        <v>0</v>
      </c>
      <c r="AZ522" s="61">
        <v>0</v>
      </c>
      <c r="BA522" s="63">
        <f t="shared" si="369"/>
        <v>0</v>
      </c>
      <c r="BB522" s="61">
        <v>0</v>
      </c>
      <c r="BC522" s="63">
        <f t="shared" si="370"/>
        <v>0</v>
      </c>
      <c r="BD522" s="61">
        <v>0</v>
      </c>
      <c r="BE522" s="63">
        <f t="shared" si="371"/>
        <v>0</v>
      </c>
      <c r="BF522" s="61">
        <f t="shared" si="372"/>
        <v>0</v>
      </c>
      <c r="BG522" s="63">
        <f t="shared" si="373"/>
        <v>0</v>
      </c>
      <c r="BH522" s="45"/>
      <c r="BI522" s="144"/>
    </row>
    <row r="523" spans="1:61" ht="26.25" customHeight="1" x14ac:dyDescent="0.45">
      <c r="A523" s="140">
        <v>5</v>
      </c>
      <c r="B523" s="141" t="s">
        <v>850</v>
      </c>
      <c r="C523" s="142" t="s">
        <v>1488</v>
      </c>
      <c r="D523" s="143" t="str">
        <f t="shared" si="352"/>
        <v>5.1_1.15.40</v>
      </c>
      <c r="E523" s="56" t="s">
        <v>700</v>
      </c>
      <c r="F523" s="506" t="s">
        <v>697</v>
      </c>
      <c r="G523" s="507" t="s">
        <v>111</v>
      </c>
      <c r="H523" s="507" t="s">
        <v>39</v>
      </c>
      <c r="I523" s="507" t="s">
        <v>540</v>
      </c>
      <c r="J523" s="507" t="s">
        <v>39</v>
      </c>
      <c r="K523" s="507">
        <v>300</v>
      </c>
      <c r="L523" s="507" t="s">
        <v>125</v>
      </c>
      <c r="M523" s="507" t="s">
        <v>114</v>
      </c>
      <c r="N523" s="507" t="s">
        <v>115</v>
      </c>
      <c r="O523" s="57" t="s">
        <v>701</v>
      </c>
      <c r="P523" s="58" t="s">
        <v>21</v>
      </c>
      <c r="Q523" s="59" t="s">
        <v>702</v>
      </c>
      <c r="R523" s="60" t="s">
        <v>71</v>
      </c>
      <c r="S523" s="61">
        <v>2</v>
      </c>
      <c r="T523" s="62">
        <f>INDEX('BM MORRO DA CRUZ'!$P$6:$P$402,MATCH($O523,'BM MORRO DA CRUZ'!$K$6:$K$402,0))</f>
        <v>2037.69</v>
      </c>
      <c r="U523" s="63">
        <f t="shared" si="353"/>
        <v>4075.38</v>
      </c>
      <c r="V523" s="61">
        <f>IFERROR(SUMIFS('01ª MC'!$W$1:$W$1840,'01ª MC'!$C$1:$C$1840,$D523),0)</f>
        <v>0</v>
      </c>
      <c r="W523" s="63">
        <f t="shared" si="354"/>
        <v>0</v>
      </c>
      <c r="X523" s="61">
        <v>0</v>
      </c>
      <c r="Y523" s="63">
        <f t="shared" si="355"/>
        <v>0</v>
      </c>
      <c r="Z523" s="61">
        <v>0</v>
      </c>
      <c r="AA523" s="63">
        <f t="shared" si="356"/>
        <v>0</v>
      </c>
      <c r="AB523" s="61">
        <v>0</v>
      </c>
      <c r="AC523" s="63">
        <f t="shared" si="357"/>
        <v>0</v>
      </c>
      <c r="AD523" s="61">
        <v>0</v>
      </c>
      <c r="AE523" s="63">
        <f t="shared" si="358"/>
        <v>0</v>
      </c>
      <c r="AF523" s="61">
        <v>0</v>
      </c>
      <c r="AG523" s="63">
        <f t="shared" si="359"/>
        <v>0</v>
      </c>
      <c r="AH523" s="61">
        <v>0</v>
      </c>
      <c r="AI523" s="63">
        <f t="shared" si="360"/>
        <v>0</v>
      </c>
      <c r="AJ523" s="61">
        <v>0</v>
      </c>
      <c r="AK523" s="63">
        <f t="shared" si="361"/>
        <v>0</v>
      </c>
      <c r="AL523" s="61">
        <v>0</v>
      </c>
      <c r="AM523" s="63">
        <f t="shared" si="362"/>
        <v>0</v>
      </c>
      <c r="AN523" s="61">
        <v>0</v>
      </c>
      <c r="AO523" s="63">
        <f t="shared" si="363"/>
        <v>0</v>
      </c>
      <c r="AP523" s="61">
        <v>0</v>
      </c>
      <c r="AQ523" s="63">
        <f t="shared" si="364"/>
        <v>0</v>
      </c>
      <c r="AR523" s="61">
        <v>0</v>
      </c>
      <c r="AS523" s="63">
        <f t="shared" si="365"/>
        <v>0</v>
      </c>
      <c r="AT523" s="61">
        <v>0</v>
      </c>
      <c r="AU523" s="63">
        <f t="shared" si="366"/>
        <v>0</v>
      </c>
      <c r="AV523" s="61">
        <v>0</v>
      </c>
      <c r="AW523" s="63">
        <f t="shared" si="367"/>
        <v>0</v>
      </c>
      <c r="AX523" s="61">
        <v>0</v>
      </c>
      <c r="AY523" s="63">
        <f t="shared" si="368"/>
        <v>0</v>
      </c>
      <c r="AZ523" s="61">
        <v>0</v>
      </c>
      <c r="BA523" s="63">
        <f t="shared" si="369"/>
        <v>0</v>
      </c>
      <c r="BB523" s="61">
        <v>0</v>
      </c>
      <c r="BC523" s="63">
        <f t="shared" si="370"/>
        <v>0</v>
      </c>
      <c r="BD523" s="61">
        <v>0</v>
      </c>
      <c r="BE523" s="63">
        <f t="shared" si="371"/>
        <v>0</v>
      </c>
      <c r="BF523" s="61">
        <f t="shared" si="372"/>
        <v>0</v>
      </c>
      <c r="BG523" s="63">
        <f t="shared" si="373"/>
        <v>0</v>
      </c>
      <c r="BH523" s="45"/>
      <c r="BI523" s="144"/>
    </row>
    <row r="524" spans="1:61" ht="26.25" customHeight="1" x14ac:dyDescent="0.45">
      <c r="A524" s="140">
        <v>5</v>
      </c>
      <c r="B524" s="141" t="s">
        <v>850</v>
      </c>
      <c r="C524" s="142" t="s">
        <v>1488</v>
      </c>
      <c r="D524" s="143" t="str">
        <f t="shared" si="352"/>
        <v>5.1_1.15.41</v>
      </c>
      <c r="E524" s="56" t="s">
        <v>703</v>
      </c>
      <c r="F524" s="506" t="s">
        <v>697</v>
      </c>
      <c r="G524" s="507" t="s">
        <v>147</v>
      </c>
      <c r="H524" s="507" t="s">
        <v>39</v>
      </c>
      <c r="I524" s="507" t="s">
        <v>540</v>
      </c>
      <c r="J524" s="507" t="s">
        <v>39</v>
      </c>
      <c r="K524" s="507">
        <v>100</v>
      </c>
      <c r="L524" s="507" t="s">
        <v>125</v>
      </c>
      <c r="M524" s="507" t="s">
        <v>114</v>
      </c>
      <c r="N524" s="507" t="s">
        <v>115</v>
      </c>
      <c r="O524" s="57" t="s">
        <v>704</v>
      </c>
      <c r="P524" s="58" t="s">
        <v>21</v>
      </c>
      <c r="Q524" s="59" t="s">
        <v>705</v>
      </c>
      <c r="R524" s="60" t="s">
        <v>71</v>
      </c>
      <c r="S524" s="61">
        <v>2</v>
      </c>
      <c r="T524" s="62">
        <f>INDEX('BM MORRO DA CRUZ'!$P$6:$P$402,MATCH($O524,'BM MORRO DA CRUZ'!$K$6:$K$402,0))</f>
        <v>985.35</v>
      </c>
      <c r="U524" s="63">
        <f t="shared" si="353"/>
        <v>1970.7</v>
      </c>
      <c r="V524" s="61">
        <f>IFERROR(SUMIFS('01ª MC'!$W$1:$W$1840,'01ª MC'!$C$1:$C$1840,$D524),0)</f>
        <v>0</v>
      </c>
      <c r="W524" s="63">
        <f t="shared" si="354"/>
        <v>0</v>
      </c>
      <c r="X524" s="61">
        <v>0</v>
      </c>
      <c r="Y524" s="63">
        <f t="shared" si="355"/>
        <v>0</v>
      </c>
      <c r="Z524" s="61">
        <v>0</v>
      </c>
      <c r="AA524" s="63">
        <f t="shared" si="356"/>
        <v>0</v>
      </c>
      <c r="AB524" s="61">
        <v>0</v>
      </c>
      <c r="AC524" s="63">
        <f t="shared" si="357"/>
        <v>0</v>
      </c>
      <c r="AD524" s="61">
        <v>0</v>
      </c>
      <c r="AE524" s="63">
        <f t="shared" si="358"/>
        <v>0</v>
      </c>
      <c r="AF524" s="61">
        <v>0</v>
      </c>
      <c r="AG524" s="63">
        <f t="shared" si="359"/>
        <v>0</v>
      </c>
      <c r="AH524" s="61">
        <v>0</v>
      </c>
      <c r="AI524" s="63">
        <f t="shared" si="360"/>
        <v>0</v>
      </c>
      <c r="AJ524" s="61">
        <v>0</v>
      </c>
      <c r="AK524" s="63">
        <f t="shared" si="361"/>
        <v>0</v>
      </c>
      <c r="AL524" s="61">
        <v>0</v>
      </c>
      <c r="AM524" s="63">
        <f t="shared" si="362"/>
        <v>0</v>
      </c>
      <c r="AN524" s="61">
        <v>0</v>
      </c>
      <c r="AO524" s="63">
        <f t="shared" si="363"/>
        <v>0</v>
      </c>
      <c r="AP524" s="61">
        <v>0</v>
      </c>
      <c r="AQ524" s="63">
        <f t="shared" si="364"/>
        <v>0</v>
      </c>
      <c r="AR524" s="61">
        <v>0</v>
      </c>
      <c r="AS524" s="63">
        <f t="shared" si="365"/>
        <v>0</v>
      </c>
      <c r="AT524" s="61">
        <v>0</v>
      </c>
      <c r="AU524" s="63">
        <f t="shared" si="366"/>
        <v>0</v>
      </c>
      <c r="AV524" s="61">
        <v>0</v>
      </c>
      <c r="AW524" s="63">
        <f t="shared" si="367"/>
        <v>0</v>
      </c>
      <c r="AX524" s="61">
        <v>0</v>
      </c>
      <c r="AY524" s="63">
        <f t="shared" si="368"/>
        <v>0</v>
      </c>
      <c r="AZ524" s="61">
        <v>0</v>
      </c>
      <c r="BA524" s="63">
        <f t="shared" si="369"/>
        <v>0</v>
      </c>
      <c r="BB524" s="61">
        <v>0</v>
      </c>
      <c r="BC524" s="63">
        <f t="shared" si="370"/>
        <v>0</v>
      </c>
      <c r="BD524" s="61">
        <v>0</v>
      </c>
      <c r="BE524" s="63">
        <f t="shared" si="371"/>
        <v>0</v>
      </c>
      <c r="BF524" s="61">
        <f t="shared" si="372"/>
        <v>0</v>
      </c>
      <c r="BG524" s="63">
        <f t="shared" si="373"/>
        <v>0</v>
      </c>
      <c r="BH524" s="45"/>
      <c r="BI524" s="144"/>
    </row>
    <row r="525" spans="1:61" ht="26.25" customHeight="1" x14ac:dyDescent="0.45">
      <c r="A525" s="140">
        <v>5</v>
      </c>
      <c r="B525" s="141" t="s">
        <v>850</v>
      </c>
      <c r="C525" s="142" t="s">
        <v>1488</v>
      </c>
      <c r="D525" s="143" t="str">
        <f t="shared" si="352"/>
        <v>5.1_1.15.42</v>
      </c>
      <c r="E525" s="56" t="s">
        <v>706</v>
      </c>
      <c r="F525" s="506" t="s">
        <v>697</v>
      </c>
      <c r="G525" s="507" t="s">
        <v>147</v>
      </c>
      <c r="H525" s="507" t="s">
        <v>39</v>
      </c>
      <c r="I525" s="507" t="s">
        <v>540</v>
      </c>
      <c r="J525" s="507" t="s">
        <v>39</v>
      </c>
      <c r="K525" s="507">
        <v>150</v>
      </c>
      <c r="L525" s="507" t="s">
        <v>125</v>
      </c>
      <c r="M525" s="507" t="s">
        <v>114</v>
      </c>
      <c r="N525" s="507" t="s">
        <v>115</v>
      </c>
      <c r="O525" s="57" t="s">
        <v>707</v>
      </c>
      <c r="P525" s="58" t="s">
        <v>21</v>
      </c>
      <c r="Q525" s="59" t="s">
        <v>708</v>
      </c>
      <c r="R525" s="60" t="s">
        <v>71</v>
      </c>
      <c r="S525" s="61">
        <v>10</v>
      </c>
      <c r="T525" s="62">
        <f>INDEX('BM MORRO DA CRUZ'!$P$6:$P$402,MATCH($O525,'BM MORRO DA CRUZ'!$K$6:$K$402,0))</f>
        <v>1020.4</v>
      </c>
      <c r="U525" s="63">
        <f t="shared" si="353"/>
        <v>10204</v>
      </c>
      <c r="V525" s="61">
        <f>IFERROR(SUMIFS('01ª MC'!$W$1:$W$1840,'01ª MC'!$C$1:$C$1840,$D525),0)</f>
        <v>0</v>
      </c>
      <c r="W525" s="63">
        <f t="shared" si="354"/>
        <v>0</v>
      </c>
      <c r="X525" s="61">
        <v>0</v>
      </c>
      <c r="Y525" s="63">
        <f t="shared" si="355"/>
        <v>0</v>
      </c>
      <c r="Z525" s="61">
        <v>0</v>
      </c>
      <c r="AA525" s="63">
        <f t="shared" si="356"/>
        <v>0</v>
      </c>
      <c r="AB525" s="61">
        <v>0</v>
      </c>
      <c r="AC525" s="63">
        <f t="shared" si="357"/>
        <v>0</v>
      </c>
      <c r="AD525" s="61">
        <v>0</v>
      </c>
      <c r="AE525" s="63">
        <f t="shared" si="358"/>
        <v>0</v>
      </c>
      <c r="AF525" s="61">
        <v>0</v>
      </c>
      <c r="AG525" s="63">
        <f t="shared" si="359"/>
        <v>0</v>
      </c>
      <c r="AH525" s="61">
        <v>0</v>
      </c>
      <c r="AI525" s="63">
        <f t="shared" si="360"/>
        <v>0</v>
      </c>
      <c r="AJ525" s="61">
        <v>0</v>
      </c>
      <c r="AK525" s="63">
        <f t="shared" si="361"/>
        <v>0</v>
      </c>
      <c r="AL525" s="61">
        <v>0</v>
      </c>
      <c r="AM525" s="63">
        <f t="shared" si="362"/>
        <v>0</v>
      </c>
      <c r="AN525" s="61">
        <v>0</v>
      </c>
      <c r="AO525" s="63">
        <f t="shared" si="363"/>
        <v>0</v>
      </c>
      <c r="AP525" s="61">
        <v>0</v>
      </c>
      <c r="AQ525" s="63">
        <f t="shared" si="364"/>
        <v>0</v>
      </c>
      <c r="AR525" s="61">
        <v>0</v>
      </c>
      <c r="AS525" s="63">
        <f t="shared" si="365"/>
        <v>0</v>
      </c>
      <c r="AT525" s="61">
        <v>0</v>
      </c>
      <c r="AU525" s="63">
        <f t="shared" si="366"/>
        <v>0</v>
      </c>
      <c r="AV525" s="61">
        <v>0</v>
      </c>
      <c r="AW525" s="63">
        <f t="shared" si="367"/>
        <v>0</v>
      </c>
      <c r="AX525" s="61">
        <v>0</v>
      </c>
      <c r="AY525" s="63">
        <f t="shared" si="368"/>
        <v>0</v>
      </c>
      <c r="AZ525" s="61">
        <v>0</v>
      </c>
      <c r="BA525" s="63">
        <f t="shared" si="369"/>
        <v>0</v>
      </c>
      <c r="BB525" s="61">
        <v>0</v>
      </c>
      <c r="BC525" s="63">
        <f t="shared" si="370"/>
        <v>0</v>
      </c>
      <c r="BD525" s="61">
        <v>0</v>
      </c>
      <c r="BE525" s="63">
        <f t="shared" si="371"/>
        <v>0</v>
      </c>
      <c r="BF525" s="61">
        <f t="shared" si="372"/>
        <v>0</v>
      </c>
      <c r="BG525" s="63">
        <f t="shared" si="373"/>
        <v>0</v>
      </c>
      <c r="BH525" s="45"/>
      <c r="BI525" s="144"/>
    </row>
    <row r="526" spans="1:61" ht="26.25" customHeight="1" x14ac:dyDescent="0.45">
      <c r="A526" s="140">
        <v>5</v>
      </c>
      <c r="B526" s="141" t="s">
        <v>850</v>
      </c>
      <c r="C526" s="142" t="s">
        <v>1488</v>
      </c>
      <c r="D526" s="143" t="str">
        <f t="shared" si="352"/>
        <v>5.1_1.15.43</v>
      </c>
      <c r="E526" s="56" t="s">
        <v>709</v>
      </c>
      <c r="F526" s="506" t="s">
        <v>697</v>
      </c>
      <c r="G526" s="507" t="s">
        <v>576</v>
      </c>
      <c r="H526" s="507" t="s">
        <v>39</v>
      </c>
      <c r="I526" s="507" t="s">
        <v>540</v>
      </c>
      <c r="J526" s="507" t="s">
        <v>39</v>
      </c>
      <c r="K526" s="507">
        <v>80</v>
      </c>
      <c r="L526" s="507" t="s">
        <v>125</v>
      </c>
      <c r="M526" s="507" t="s">
        <v>114</v>
      </c>
      <c r="N526" s="507" t="s">
        <v>115</v>
      </c>
      <c r="O526" s="57" t="s">
        <v>710</v>
      </c>
      <c r="P526" s="58" t="s">
        <v>21</v>
      </c>
      <c r="Q526" s="59" t="s">
        <v>711</v>
      </c>
      <c r="R526" s="60" t="s">
        <v>71</v>
      </c>
      <c r="S526" s="61">
        <v>36</v>
      </c>
      <c r="T526" s="62">
        <f>INDEX('BM MORRO DA CRUZ'!$P$6:$P$402,MATCH($O526,'BM MORRO DA CRUZ'!$K$6:$K$402,0))</f>
        <v>744.32</v>
      </c>
      <c r="U526" s="63">
        <f t="shared" si="353"/>
        <v>26795.52</v>
      </c>
      <c r="V526" s="61">
        <f>IFERROR(SUMIFS('01ª MC'!$W$1:$W$1840,'01ª MC'!$C$1:$C$1840,$D526),0)</f>
        <v>0</v>
      </c>
      <c r="W526" s="63">
        <f t="shared" si="354"/>
        <v>0</v>
      </c>
      <c r="X526" s="61">
        <v>0</v>
      </c>
      <c r="Y526" s="63">
        <f t="shared" si="355"/>
        <v>0</v>
      </c>
      <c r="Z526" s="61">
        <v>0</v>
      </c>
      <c r="AA526" s="63">
        <f t="shared" si="356"/>
        <v>0</v>
      </c>
      <c r="AB526" s="61">
        <v>0</v>
      </c>
      <c r="AC526" s="63">
        <f t="shared" si="357"/>
        <v>0</v>
      </c>
      <c r="AD526" s="61">
        <v>0</v>
      </c>
      <c r="AE526" s="63">
        <f t="shared" si="358"/>
        <v>0</v>
      </c>
      <c r="AF526" s="61">
        <v>0</v>
      </c>
      <c r="AG526" s="63">
        <f t="shared" si="359"/>
        <v>0</v>
      </c>
      <c r="AH526" s="61">
        <v>0</v>
      </c>
      <c r="AI526" s="63">
        <f t="shared" si="360"/>
        <v>0</v>
      </c>
      <c r="AJ526" s="61">
        <v>0</v>
      </c>
      <c r="AK526" s="63">
        <f t="shared" si="361"/>
        <v>0</v>
      </c>
      <c r="AL526" s="61">
        <v>0</v>
      </c>
      <c r="AM526" s="63">
        <f t="shared" si="362"/>
        <v>0</v>
      </c>
      <c r="AN526" s="61">
        <v>0</v>
      </c>
      <c r="AO526" s="63">
        <f t="shared" si="363"/>
        <v>0</v>
      </c>
      <c r="AP526" s="61">
        <v>0</v>
      </c>
      <c r="AQ526" s="63">
        <f t="shared" si="364"/>
        <v>0</v>
      </c>
      <c r="AR526" s="61">
        <v>0</v>
      </c>
      <c r="AS526" s="63">
        <f t="shared" si="365"/>
        <v>0</v>
      </c>
      <c r="AT526" s="61">
        <v>0</v>
      </c>
      <c r="AU526" s="63">
        <f t="shared" si="366"/>
        <v>0</v>
      </c>
      <c r="AV526" s="61">
        <v>0</v>
      </c>
      <c r="AW526" s="63">
        <f t="shared" si="367"/>
        <v>0</v>
      </c>
      <c r="AX526" s="61">
        <v>0</v>
      </c>
      <c r="AY526" s="63">
        <f t="shared" si="368"/>
        <v>0</v>
      </c>
      <c r="AZ526" s="61">
        <v>0</v>
      </c>
      <c r="BA526" s="63">
        <f t="shared" si="369"/>
        <v>0</v>
      </c>
      <c r="BB526" s="61">
        <v>0</v>
      </c>
      <c r="BC526" s="63">
        <f t="shared" si="370"/>
        <v>0</v>
      </c>
      <c r="BD526" s="61">
        <v>0</v>
      </c>
      <c r="BE526" s="63">
        <f t="shared" si="371"/>
        <v>0</v>
      </c>
      <c r="BF526" s="61">
        <f t="shared" si="372"/>
        <v>0</v>
      </c>
      <c r="BG526" s="63">
        <f t="shared" si="373"/>
        <v>0</v>
      </c>
      <c r="BH526" s="45"/>
      <c r="BI526" s="144"/>
    </row>
    <row r="527" spans="1:61" ht="26.25" customHeight="1" x14ac:dyDescent="0.45">
      <c r="A527" s="140">
        <v>5</v>
      </c>
      <c r="B527" s="141" t="s">
        <v>850</v>
      </c>
      <c r="C527" s="142" t="s">
        <v>1488</v>
      </c>
      <c r="D527" s="143" t="str">
        <f t="shared" si="352"/>
        <v>5.1_1.15.44</v>
      </c>
      <c r="E527" s="56" t="s">
        <v>712</v>
      </c>
      <c r="F527" s="506" t="s">
        <v>713</v>
      </c>
      <c r="G527" s="507" t="s">
        <v>111</v>
      </c>
      <c r="H527" s="507" t="s">
        <v>39</v>
      </c>
      <c r="I527" s="507" t="s">
        <v>540</v>
      </c>
      <c r="J527" s="507" t="s">
        <v>39</v>
      </c>
      <c r="K527" s="507">
        <v>200</v>
      </c>
      <c r="L527" s="507" t="s">
        <v>125</v>
      </c>
      <c r="M527" s="507" t="s">
        <v>114</v>
      </c>
      <c r="N527" s="507" t="s">
        <v>115</v>
      </c>
      <c r="O527" s="57" t="s">
        <v>714</v>
      </c>
      <c r="P527" s="58" t="s">
        <v>21</v>
      </c>
      <c r="Q527" s="59" t="s">
        <v>715</v>
      </c>
      <c r="R527" s="60" t="s">
        <v>71</v>
      </c>
      <c r="S527" s="61">
        <v>1</v>
      </c>
      <c r="T527" s="62">
        <f>INDEX('BM MORRO DA CRUZ'!$P$6:$P$402,MATCH($O527,'BM MORRO DA CRUZ'!$K$6:$K$402,0))</f>
        <v>1881.11</v>
      </c>
      <c r="U527" s="63">
        <f t="shared" si="353"/>
        <v>1881.11</v>
      </c>
      <c r="V527" s="61">
        <f>IFERROR(SUMIFS('01ª MC'!$W$1:$W$1840,'01ª MC'!$C$1:$C$1840,$D527),0)</f>
        <v>0</v>
      </c>
      <c r="W527" s="63">
        <f t="shared" si="354"/>
        <v>0</v>
      </c>
      <c r="X527" s="61">
        <v>0</v>
      </c>
      <c r="Y527" s="63">
        <f t="shared" si="355"/>
        <v>0</v>
      </c>
      <c r="Z527" s="61">
        <v>0</v>
      </c>
      <c r="AA527" s="63">
        <f t="shared" si="356"/>
        <v>0</v>
      </c>
      <c r="AB527" s="61">
        <v>0</v>
      </c>
      <c r="AC527" s="63">
        <f t="shared" si="357"/>
        <v>0</v>
      </c>
      <c r="AD527" s="61">
        <v>0</v>
      </c>
      <c r="AE527" s="63">
        <f t="shared" si="358"/>
        <v>0</v>
      </c>
      <c r="AF527" s="61">
        <v>0</v>
      </c>
      <c r="AG527" s="63">
        <f t="shared" si="359"/>
        <v>0</v>
      </c>
      <c r="AH527" s="61">
        <v>0</v>
      </c>
      <c r="AI527" s="63">
        <f t="shared" si="360"/>
        <v>0</v>
      </c>
      <c r="AJ527" s="61">
        <v>0</v>
      </c>
      <c r="AK527" s="63">
        <f t="shared" si="361"/>
        <v>0</v>
      </c>
      <c r="AL527" s="61">
        <v>0</v>
      </c>
      <c r="AM527" s="63">
        <f t="shared" si="362"/>
        <v>0</v>
      </c>
      <c r="AN527" s="61">
        <v>0</v>
      </c>
      <c r="AO527" s="63">
        <f t="shared" si="363"/>
        <v>0</v>
      </c>
      <c r="AP527" s="61">
        <v>0</v>
      </c>
      <c r="AQ527" s="63">
        <f t="shared" si="364"/>
        <v>0</v>
      </c>
      <c r="AR527" s="61">
        <v>0</v>
      </c>
      <c r="AS527" s="63">
        <f t="shared" si="365"/>
        <v>0</v>
      </c>
      <c r="AT527" s="61">
        <v>0</v>
      </c>
      <c r="AU527" s="63">
        <f t="shared" si="366"/>
        <v>0</v>
      </c>
      <c r="AV527" s="61">
        <v>0</v>
      </c>
      <c r="AW527" s="63">
        <f t="shared" si="367"/>
        <v>0</v>
      </c>
      <c r="AX527" s="61">
        <v>0</v>
      </c>
      <c r="AY527" s="63">
        <f t="shared" si="368"/>
        <v>0</v>
      </c>
      <c r="AZ527" s="61">
        <v>0</v>
      </c>
      <c r="BA527" s="63">
        <f t="shared" si="369"/>
        <v>0</v>
      </c>
      <c r="BB527" s="61">
        <v>0</v>
      </c>
      <c r="BC527" s="63">
        <f t="shared" si="370"/>
        <v>0</v>
      </c>
      <c r="BD527" s="61">
        <v>0</v>
      </c>
      <c r="BE527" s="63">
        <f t="shared" si="371"/>
        <v>0</v>
      </c>
      <c r="BF527" s="61">
        <f t="shared" si="372"/>
        <v>0</v>
      </c>
      <c r="BG527" s="63">
        <f t="shared" si="373"/>
        <v>0</v>
      </c>
      <c r="BH527" s="45"/>
      <c r="BI527" s="144"/>
    </row>
    <row r="528" spans="1:61" ht="26.25" customHeight="1" x14ac:dyDescent="0.45">
      <c r="A528" s="140">
        <v>5</v>
      </c>
      <c r="B528" s="141" t="s">
        <v>850</v>
      </c>
      <c r="C528" s="142" t="s">
        <v>1488</v>
      </c>
      <c r="D528" s="143" t="str">
        <f t="shared" si="352"/>
        <v>5.1_1.15.45</v>
      </c>
      <c r="E528" s="56" t="s">
        <v>716</v>
      </c>
      <c r="F528" s="506" t="s">
        <v>717</v>
      </c>
      <c r="G528" s="507" t="s">
        <v>111</v>
      </c>
      <c r="H528" s="507" t="s">
        <v>39</v>
      </c>
      <c r="I528" s="507" t="s">
        <v>540</v>
      </c>
      <c r="J528" s="507" t="s">
        <v>39</v>
      </c>
      <c r="K528" s="507">
        <v>200</v>
      </c>
      <c r="L528" s="507" t="s">
        <v>125</v>
      </c>
      <c r="M528" s="507" t="s">
        <v>114</v>
      </c>
      <c r="N528" s="507" t="s">
        <v>115</v>
      </c>
      <c r="O528" s="57" t="s">
        <v>718</v>
      </c>
      <c r="P528" s="58" t="s">
        <v>21</v>
      </c>
      <c r="Q528" s="59" t="s">
        <v>719</v>
      </c>
      <c r="R528" s="60" t="s">
        <v>71</v>
      </c>
      <c r="S528" s="61">
        <v>1</v>
      </c>
      <c r="T528" s="62">
        <f>INDEX('BM MORRO DA CRUZ'!$P$6:$P$402,MATCH($O528,'BM MORRO DA CRUZ'!$K$6:$K$402,0))</f>
        <v>2867.37</v>
      </c>
      <c r="U528" s="63">
        <f t="shared" si="353"/>
        <v>2867.37</v>
      </c>
      <c r="V528" s="61">
        <f>IFERROR(SUMIFS('01ª MC'!$W$1:$W$1840,'01ª MC'!$C$1:$C$1840,$D528),0)</f>
        <v>0</v>
      </c>
      <c r="W528" s="63">
        <f t="shared" si="354"/>
        <v>0</v>
      </c>
      <c r="X528" s="61">
        <v>0</v>
      </c>
      <c r="Y528" s="63">
        <f t="shared" si="355"/>
        <v>0</v>
      </c>
      <c r="Z528" s="61">
        <v>0</v>
      </c>
      <c r="AA528" s="63">
        <f t="shared" si="356"/>
        <v>0</v>
      </c>
      <c r="AB528" s="61">
        <v>0</v>
      </c>
      <c r="AC528" s="63">
        <f t="shared" si="357"/>
        <v>0</v>
      </c>
      <c r="AD528" s="61">
        <v>0</v>
      </c>
      <c r="AE528" s="63">
        <f t="shared" si="358"/>
        <v>0</v>
      </c>
      <c r="AF528" s="61">
        <v>0</v>
      </c>
      <c r="AG528" s="63">
        <f t="shared" si="359"/>
        <v>0</v>
      </c>
      <c r="AH528" s="61">
        <v>0</v>
      </c>
      <c r="AI528" s="63">
        <f t="shared" si="360"/>
        <v>0</v>
      </c>
      <c r="AJ528" s="61">
        <v>0</v>
      </c>
      <c r="AK528" s="63">
        <f t="shared" si="361"/>
        <v>0</v>
      </c>
      <c r="AL528" s="61">
        <v>0</v>
      </c>
      <c r="AM528" s="63">
        <f t="shared" si="362"/>
        <v>0</v>
      </c>
      <c r="AN528" s="61">
        <v>0</v>
      </c>
      <c r="AO528" s="63">
        <f t="shared" si="363"/>
        <v>0</v>
      </c>
      <c r="AP528" s="61">
        <v>0</v>
      </c>
      <c r="AQ528" s="63">
        <f t="shared" si="364"/>
        <v>0</v>
      </c>
      <c r="AR528" s="61">
        <v>0</v>
      </c>
      <c r="AS528" s="63">
        <f t="shared" si="365"/>
        <v>0</v>
      </c>
      <c r="AT528" s="61">
        <v>0</v>
      </c>
      <c r="AU528" s="63">
        <f t="shared" si="366"/>
        <v>0</v>
      </c>
      <c r="AV528" s="61">
        <v>0</v>
      </c>
      <c r="AW528" s="63">
        <f t="shared" si="367"/>
        <v>0</v>
      </c>
      <c r="AX528" s="61">
        <v>0</v>
      </c>
      <c r="AY528" s="63">
        <f t="shared" si="368"/>
        <v>0</v>
      </c>
      <c r="AZ528" s="61">
        <v>0</v>
      </c>
      <c r="BA528" s="63">
        <f t="shared" si="369"/>
        <v>0</v>
      </c>
      <c r="BB528" s="61">
        <v>0</v>
      </c>
      <c r="BC528" s="63">
        <f t="shared" si="370"/>
        <v>0</v>
      </c>
      <c r="BD528" s="61">
        <v>0</v>
      </c>
      <c r="BE528" s="63">
        <f t="shared" si="371"/>
        <v>0</v>
      </c>
      <c r="BF528" s="61">
        <f t="shared" si="372"/>
        <v>0</v>
      </c>
      <c r="BG528" s="63">
        <f t="shared" si="373"/>
        <v>0</v>
      </c>
      <c r="BH528" s="45"/>
      <c r="BI528" s="144"/>
    </row>
    <row r="529" spans="1:61" ht="26.25" customHeight="1" x14ac:dyDescent="0.45">
      <c r="A529" s="140">
        <v>5</v>
      </c>
      <c r="B529" s="141" t="s">
        <v>850</v>
      </c>
      <c r="C529" s="142" t="s">
        <v>1488</v>
      </c>
      <c r="D529" s="143" t="str">
        <f t="shared" si="352"/>
        <v>5.1_1.15.46</v>
      </c>
      <c r="E529" s="56" t="s">
        <v>720</v>
      </c>
      <c r="F529" s="506" t="s">
        <v>721</v>
      </c>
      <c r="G529" s="507" t="s">
        <v>111</v>
      </c>
      <c r="H529" s="507" t="s">
        <v>39</v>
      </c>
      <c r="I529" s="507" t="s">
        <v>540</v>
      </c>
      <c r="J529" s="507" t="s">
        <v>39</v>
      </c>
      <c r="K529" s="507">
        <v>200</v>
      </c>
      <c r="L529" s="507" t="s">
        <v>125</v>
      </c>
      <c r="M529" s="507" t="s">
        <v>114</v>
      </c>
      <c r="N529" s="507" t="s">
        <v>115</v>
      </c>
      <c r="O529" s="57" t="s">
        <v>722</v>
      </c>
      <c r="P529" s="58" t="s">
        <v>21</v>
      </c>
      <c r="Q529" s="59" t="s">
        <v>723</v>
      </c>
      <c r="R529" s="60" t="s">
        <v>71</v>
      </c>
      <c r="S529" s="61">
        <v>6</v>
      </c>
      <c r="T529" s="62">
        <f>INDEX('BM MORRO DA CRUZ'!$P$6:$P$402,MATCH($O529,'BM MORRO DA CRUZ'!$K$6:$K$402,0))</f>
        <v>4112.1000000000004</v>
      </c>
      <c r="U529" s="63">
        <f t="shared" si="353"/>
        <v>24672.6</v>
      </c>
      <c r="V529" s="61">
        <f>IFERROR(SUMIFS('01ª MC'!$W$1:$W$1840,'01ª MC'!$C$1:$C$1840,$D529),0)</f>
        <v>0</v>
      </c>
      <c r="W529" s="63">
        <f t="shared" si="354"/>
        <v>0</v>
      </c>
      <c r="X529" s="61">
        <v>0</v>
      </c>
      <c r="Y529" s="63">
        <f t="shared" si="355"/>
        <v>0</v>
      </c>
      <c r="Z529" s="61">
        <v>0</v>
      </c>
      <c r="AA529" s="63">
        <f t="shared" si="356"/>
        <v>0</v>
      </c>
      <c r="AB529" s="61">
        <v>0</v>
      </c>
      <c r="AC529" s="63">
        <f t="shared" si="357"/>
        <v>0</v>
      </c>
      <c r="AD529" s="61">
        <v>0</v>
      </c>
      <c r="AE529" s="63">
        <f t="shared" si="358"/>
        <v>0</v>
      </c>
      <c r="AF529" s="61">
        <v>0</v>
      </c>
      <c r="AG529" s="63">
        <f t="shared" si="359"/>
        <v>0</v>
      </c>
      <c r="AH529" s="61">
        <v>0</v>
      </c>
      <c r="AI529" s="63">
        <f t="shared" si="360"/>
        <v>0</v>
      </c>
      <c r="AJ529" s="61">
        <v>0</v>
      </c>
      <c r="AK529" s="63">
        <f t="shared" si="361"/>
        <v>0</v>
      </c>
      <c r="AL529" s="61">
        <v>0</v>
      </c>
      <c r="AM529" s="63">
        <f t="shared" si="362"/>
        <v>0</v>
      </c>
      <c r="AN529" s="61">
        <v>0</v>
      </c>
      <c r="AO529" s="63">
        <f t="shared" si="363"/>
        <v>0</v>
      </c>
      <c r="AP529" s="61">
        <v>0</v>
      </c>
      <c r="AQ529" s="63">
        <f t="shared" si="364"/>
        <v>0</v>
      </c>
      <c r="AR529" s="61">
        <v>0</v>
      </c>
      <c r="AS529" s="63">
        <f t="shared" si="365"/>
        <v>0</v>
      </c>
      <c r="AT529" s="61">
        <v>0</v>
      </c>
      <c r="AU529" s="63">
        <f t="shared" si="366"/>
        <v>0</v>
      </c>
      <c r="AV529" s="61">
        <v>0</v>
      </c>
      <c r="AW529" s="63">
        <f t="shared" si="367"/>
        <v>0</v>
      </c>
      <c r="AX529" s="61">
        <v>0</v>
      </c>
      <c r="AY529" s="63">
        <f t="shared" si="368"/>
        <v>0</v>
      </c>
      <c r="AZ529" s="61">
        <v>0</v>
      </c>
      <c r="BA529" s="63">
        <f t="shared" si="369"/>
        <v>0</v>
      </c>
      <c r="BB529" s="61">
        <v>0</v>
      </c>
      <c r="BC529" s="63">
        <f t="shared" si="370"/>
        <v>0</v>
      </c>
      <c r="BD529" s="61">
        <v>0</v>
      </c>
      <c r="BE529" s="63">
        <f t="shared" si="371"/>
        <v>0</v>
      </c>
      <c r="BF529" s="61">
        <f t="shared" si="372"/>
        <v>0</v>
      </c>
      <c r="BG529" s="63">
        <f t="shared" si="373"/>
        <v>0</v>
      </c>
      <c r="BH529" s="45"/>
      <c r="BI529" s="144"/>
    </row>
    <row r="530" spans="1:61" ht="19.5" customHeight="1" x14ac:dyDescent="0.45">
      <c r="A530" s="128">
        <v>5</v>
      </c>
      <c r="B530" s="129"/>
      <c r="C530" s="130"/>
      <c r="D530" s="131"/>
      <c r="E530" s="132" t="s">
        <v>733</v>
      </c>
      <c r="F530" s="515"/>
      <c r="G530" s="516"/>
      <c r="H530" s="516"/>
      <c r="I530" s="516"/>
      <c r="J530" s="516"/>
      <c r="K530" s="516"/>
      <c r="L530" s="516"/>
      <c r="M530" s="516"/>
      <c r="N530" s="516"/>
      <c r="O530" s="133" t="s">
        <v>734</v>
      </c>
      <c r="P530" s="134"/>
      <c r="Q530" s="135" t="s">
        <v>735</v>
      </c>
      <c r="R530" s="136"/>
      <c r="S530" s="137"/>
      <c r="T530" s="138"/>
      <c r="U530" s="139">
        <f>SUM(U531:U531)</f>
        <v>13326.16</v>
      </c>
      <c r="V530" s="137"/>
      <c r="W530" s="139">
        <f>SUM(W531:W531)</f>
        <v>0</v>
      </c>
      <c r="X530" s="137"/>
      <c r="Y530" s="139">
        <f>SUM(Y531:Y531)</f>
        <v>0</v>
      </c>
      <c r="Z530" s="137"/>
      <c r="AA530" s="139">
        <f>SUM(AA531:AA531)</f>
        <v>0</v>
      </c>
      <c r="AB530" s="137"/>
      <c r="AC530" s="139">
        <f>SUM(AC531:AC531)</f>
        <v>0</v>
      </c>
      <c r="AD530" s="137"/>
      <c r="AE530" s="139">
        <f>SUM(AE531:AE531)</f>
        <v>0</v>
      </c>
      <c r="AF530" s="137"/>
      <c r="AG530" s="139">
        <f>SUM(AG531:AG531)</f>
        <v>0</v>
      </c>
      <c r="AH530" s="137"/>
      <c r="AI530" s="139">
        <f>SUM(AI531:AI531)</f>
        <v>0</v>
      </c>
      <c r="AJ530" s="137"/>
      <c r="AK530" s="139">
        <f>SUM(AK531:AK531)</f>
        <v>0</v>
      </c>
      <c r="AL530" s="137"/>
      <c r="AM530" s="139">
        <f>SUM(AM531:AM531)</f>
        <v>0</v>
      </c>
      <c r="AN530" s="137"/>
      <c r="AO530" s="139">
        <f>SUM(AO531:AO531)</f>
        <v>0</v>
      </c>
      <c r="AP530" s="137"/>
      <c r="AQ530" s="139">
        <f>SUM(AQ531:AQ531)</f>
        <v>0</v>
      </c>
      <c r="AR530" s="137"/>
      <c r="AS530" s="139">
        <f>SUM(AS531:AS531)</f>
        <v>0</v>
      </c>
      <c r="AT530" s="137"/>
      <c r="AU530" s="139">
        <f>SUM(AU531:AU531)</f>
        <v>0</v>
      </c>
      <c r="AV530" s="137"/>
      <c r="AW530" s="139">
        <f>SUM(AW531:AW531)</f>
        <v>0</v>
      </c>
      <c r="AX530" s="137"/>
      <c r="AY530" s="139">
        <f>SUM(AY531:AY531)</f>
        <v>0</v>
      </c>
      <c r="AZ530" s="137"/>
      <c r="BA530" s="139">
        <f>SUM(BA531:BA531)</f>
        <v>0</v>
      </c>
      <c r="BB530" s="137"/>
      <c r="BC530" s="139">
        <f>SUM(BC531:BC531)</f>
        <v>0</v>
      </c>
      <c r="BD530" s="137"/>
      <c r="BE530" s="139">
        <f>SUM(BE531:BE531)</f>
        <v>0</v>
      </c>
      <c r="BF530" s="137"/>
      <c r="BG530" s="139">
        <f>SUM(BG531:BG531)</f>
        <v>0</v>
      </c>
      <c r="BH530" s="45"/>
    </row>
    <row r="531" spans="1:61" ht="38.25" customHeight="1" x14ac:dyDescent="0.45">
      <c r="A531" s="140">
        <v>5</v>
      </c>
      <c r="B531" s="141" t="s">
        <v>850</v>
      </c>
      <c r="C531" s="142" t="s">
        <v>1488</v>
      </c>
      <c r="D531" s="143" t="str">
        <f>B531&amp;"_"&amp;E531</f>
        <v>5.1_1.17.1</v>
      </c>
      <c r="E531" s="56" t="s">
        <v>736</v>
      </c>
      <c r="F531" s="506" t="s">
        <v>737</v>
      </c>
      <c r="G531" s="507" t="s">
        <v>111</v>
      </c>
      <c r="H531" s="507" t="s">
        <v>39</v>
      </c>
      <c r="I531" s="507" t="s">
        <v>738</v>
      </c>
      <c r="J531" s="507" t="s">
        <v>39</v>
      </c>
      <c r="K531" s="507">
        <v>200</v>
      </c>
      <c r="L531" s="507" t="s">
        <v>39</v>
      </c>
      <c r="M531" s="507" t="s">
        <v>114</v>
      </c>
      <c r="N531" s="507" t="s">
        <v>739</v>
      </c>
      <c r="O531" s="57" t="s">
        <v>740</v>
      </c>
      <c r="P531" s="58" t="s">
        <v>21</v>
      </c>
      <c r="Q531" s="59" t="s">
        <v>741</v>
      </c>
      <c r="R531" s="60" t="s">
        <v>71</v>
      </c>
      <c r="S531" s="61">
        <v>1</v>
      </c>
      <c r="T531" s="62">
        <f>INDEX('BM MORRO DA CRUZ'!$P$6:$P$402,MATCH($O531,'BM MORRO DA CRUZ'!$K$6:$K$402,0))</f>
        <v>13326.16</v>
      </c>
      <c r="U531" s="63">
        <f>ROUND(T531*$S531,2)</f>
        <v>13326.16</v>
      </c>
      <c r="V531" s="61">
        <f>IFERROR(SUMIFS('01ª MC'!$W$1:$W$1840,'01ª MC'!$C$1:$C$1840,$D531),0)</f>
        <v>0</v>
      </c>
      <c r="W531" s="63">
        <f>ROUND(V531*$T531,2)</f>
        <v>0</v>
      </c>
      <c r="X531" s="61">
        <v>0</v>
      </c>
      <c r="Y531" s="63">
        <f>ROUND(X531*$T531,2)</f>
        <v>0</v>
      </c>
      <c r="Z531" s="61">
        <v>0</v>
      </c>
      <c r="AA531" s="63">
        <f>ROUND(Z531*$T531,2)</f>
        <v>0</v>
      </c>
      <c r="AB531" s="61">
        <v>0</v>
      </c>
      <c r="AC531" s="63">
        <f>ROUND(AB531*$T531,2)</f>
        <v>0</v>
      </c>
      <c r="AD531" s="61">
        <v>0</v>
      </c>
      <c r="AE531" s="63">
        <f>ROUND(AD531*$T531,2)</f>
        <v>0</v>
      </c>
      <c r="AF531" s="61">
        <v>0</v>
      </c>
      <c r="AG531" s="63">
        <f>ROUND(AF531*$T531,2)</f>
        <v>0</v>
      </c>
      <c r="AH531" s="61">
        <v>0</v>
      </c>
      <c r="AI531" s="63">
        <f>ROUND(AH531*$T531,2)</f>
        <v>0</v>
      </c>
      <c r="AJ531" s="61">
        <v>0</v>
      </c>
      <c r="AK531" s="63">
        <f>ROUND(AJ531*$T531,2)</f>
        <v>0</v>
      </c>
      <c r="AL531" s="61">
        <v>0</v>
      </c>
      <c r="AM531" s="63">
        <f>ROUND(AL531*$T531,2)</f>
        <v>0</v>
      </c>
      <c r="AN531" s="61">
        <v>0</v>
      </c>
      <c r="AO531" s="63">
        <f>ROUND(AN531*$T531,2)</f>
        <v>0</v>
      </c>
      <c r="AP531" s="61">
        <v>0</v>
      </c>
      <c r="AQ531" s="63">
        <f>ROUND(AP531*$T531,2)</f>
        <v>0</v>
      </c>
      <c r="AR531" s="61">
        <v>0</v>
      </c>
      <c r="AS531" s="63">
        <f>ROUND(AR531*$T531,2)</f>
        <v>0</v>
      </c>
      <c r="AT531" s="61">
        <v>0</v>
      </c>
      <c r="AU531" s="63">
        <f>ROUND(AT531*$T531,2)</f>
        <v>0</v>
      </c>
      <c r="AV531" s="61">
        <v>0</v>
      </c>
      <c r="AW531" s="63">
        <f>ROUND(AV531*$T531,2)</f>
        <v>0</v>
      </c>
      <c r="AX531" s="61">
        <v>0</v>
      </c>
      <c r="AY531" s="63">
        <f>ROUND(AX531*$T531,2)</f>
        <v>0</v>
      </c>
      <c r="AZ531" s="61">
        <v>0</v>
      </c>
      <c r="BA531" s="63">
        <f>ROUND(AZ531*$T531,2)</f>
        <v>0</v>
      </c>
      <c r="BB531" s="61">
        <v>0</v>
      </c>
      <c r="BC531" s="63">
        <f>ROUND(BB531*$T531,2)</f>
        <v>0</v>
      </c>
      <c r="BD531" s="61">
        <v>0</v>
      </c>
      <c r="BE531" s="63">
        <f>ROUND(BD531*$T531,2)</f>
        <v>0</v>
      </c>
      <c r="BF531" s="61">
        <f>IFERROR(SUMIFS($V531:$BE531,$V$5:$BE$5,$BF$5),0)</f>
        <v>0</v>
      </c>
      <c r="BG531" s="63">
        <f>SUMIFS($V531:$BE531,$V$5:$BE$5,$W$5)</f>
        <v>0</v>
      </c>
      <c r="BH531" s="45"/>
      <c r="BI531" s="144"/>
    </row>
    <row r="532" spans="1:61" ht="19.5" customHeight="1" x14ac:dyDescent="0.45">
      <c r="A532" s="128">
        <v>5</v>
      </c>
      <c r="B532" s="129"/>
      <c r="C532" s="130"/>
      <c r="D532" s="131"/>
      <c r="E532" s="132" t="s">
        <v>742</v>
      </c>
      <c r="F532" s="515"/>
      <c r="G532" s="516"/>
      <c r="H532" s="516"/>
      <c r="I532" s="516"/>
      <c r="J532" s="516"/>
      <c r="K532" s="516"/>
      <c r="L532" s="516"/>
      <c r="M532" s="516"/>
      <c r="N532" s="516"/>
      <c r="O532" s="133" t="s">
        <v>743</v>
      </c>
      <c r="P532" s="134"/>
      <c r="Q532" s="135" t="s">
        <v>744</v>
      </c>
      <c r="R532" s="136"/>
      <c r="S532" s="137"/>
      <c r="T532" s="138"/>
      <c r="U532" s="139">
        <f>SUM(U533:U535)</f>
        <v>51992.11</v>
      </c>
      <c r="V532" s="137"/>
      <c r="W532" s="139">
        <f>SUM(W533:W535)</f>
        <v>0</v>
      </c>
      <c r="X532" s="137"/>
      <c r="Y532" s="139">
        <f>SUM(Y533:Y535)</f>
        <v>0</v>
      </c>
      <c r="Z532" s="137"/>
      <c r="AA532" s="139">
        <f>SUM(AA533:AA535)</f>
        <v>0</v>
      </c>
      <c r="AB532" s="137"/>
      <c r="AC532" s="139">
        <f>SUM(AC533:AC535)</f>
        <v>0</v>
      </c>
      <c r="AD532" s="137"/>
      <c r="AE532" s="139">
        <f>SUM(AE533:AE535)</f>
        <v>0</v>
      </c>
      <c r="AF532" s="137"/>
      <c r="AG532" s="139">
        <f>SUM(AG533:AG535)</f>
        <v>0</v>
      </c>
      <c r="AH532" s="137"/>
      <c r="AI532" s="139">
        <f>SUM(AI533:AI535)</f>
        <v>0</v>
      </c>
      <c r="AJ532" s="137"/>
      <c r="AK532" s="139">
        <f>SUM(AK533:AK535)</f>
        <v>0</v>
      </c>
      <c r="AL532" s="137"/>
      <c r="AM532" s="139">
        <f>SUM(AM533:AM535)</f>
        <v>0</v>
      </c>
      <c r="AN532" s="137"/>
      <c r="AO532" s="139">
        <f>SUM(AO533:AO535)</f>
        <v>0</v>
      </c>
      <c r="AP532" s="137"/>
      <c r="AQ532" s="139">
        <f>SUM(AQ533:AQ535)</f>
        <v>0</v>
      </c>
      <c r="AR532" s="137"/>
      <c r="AS532" s="139">
        <f>SUM(AS533:AS535)</f>
        <v>0</v>
      </c>
      <c r="AT532" s="137"/>
      <c r="AU532" s="139">
        <f>SUM(AU533:AU535)</f>
        <v>0</v>
      </c>
      <c r="AV532" s="137"/>
      <c r="AW532" s="139">
        <f>SUM(AW533:AW535)</f>
        <v>0</v>
      </c>
      <c r="AX532" s="137"/>
      <c r="AY532" s="139">
        <f>SUM(AY533:AY535)</f>
        <v>0</v>
      </c>
      <c r="AZ532" s="137"/>
      <c r="BA532" s="139">
        <f>SUM(BA533:BA535)</f>
        <v>0</v>
      </c>
      <c r="BB532" s="137"/>
      <c r="BC532" s="139">
        <f>SUM(BC533:BC535)</f>
        <v>0</v>
      </c>
      <c r="BD532" s="137"/>
      <c r="BE532" s="139">
        <f>SUM(BE533:BE535)</f>
        <v>0</v>
      </c>
      <c r="BF532" s="137"/>
      <c r="BG532" s="139">
        <f>SUM(BG533:BG535)</f>
        <v>0</v>
      </c>
      <c r="BH532" s="45"/>
    </row>
    <row r="533" spans="1:61" ht="38.25" customHeight="1" x14ac:dyDescent="0.45">
      <c r="A533" s="140">
        <v>5</v>
      </c>
      <c r="B533" s="141" t="s">
        <v>850</v>
      </c>
      <c r="C533" s="142" t="s">
        <v>1488</v>
      </c>
      <c r="D533" s="143" t="str">
        <f>B533&amp;"_"&amp;E533</f>
        <v>5.1_1.18.6</v>
      </c>
      <c r="E533" s="56" t="s">
        <v>771</v>
      </c>
      <c r="F533" s="506" t="s">
        <v>772</v>
      </c>
      <c r="G533" s="507" t="s">
        <v>39</v>
      </c>
      <c r="H533" s="507" t="s">
        <v>39</v>
      </c>
      <c r="I533" s="507" t="s">
        <v>773</v>
      </c>
      <c r="J533" s="507" t="s">
        <v>39</v>
      </c>
      <c r="K533" s="507">
        <v>100</v>
      </c>
      <c r="L533" s="507" t="s">
        <v>125</v>
      </c>
      <c r="M533" s="507" t="s">
        <v>114</v>
      </c>
      <c r="N533" s="507" t="s">
        <v>115</v>
      </c>
      <c r="O533" s="57" t="s">
        <v>774</v>
      </c>
      <c r="P533" s="58" t="s">
        <v>21</v>
      </c>
      <c r="Q533" s="59" t="s">
        <v>775</v>
      </c>
      <c r="R533" s="60" t="s">
        <v>71</v>
      </c>
      <c r="S533" s="61">
        <v>6</v>
      </c>
      <c r="T533" s="62">
        <f>INDEX('BM MORRO DA CRUZ'!$P$6:$P$402,MATCH($O533,'BM MORRO DA CRUZ'!$K$6:$K$402,0))</f>
        <v>5610.25</v>
      </c>
      <c r="U533" s="63">
        <f>ROUND(T533*$S533,2)</f>
        <v>33661.5</v>
      </c>
      <c r="V533" s="61">
        <f>IFERROR(SUMIFS('01ª MC'!$W$1:$W$1840,'01ª MC'!$C$1:$C$1840,$D533),0)</f>
        <v>0</v>
      </c>
      <c r="W533" s="63">
        <f>ROUND(V533*$T533,2)</f>
        <v>0</v>
      </c>
      <c r="X533" s="61">
        <v>0</v>
      </c>
      <c r="Y533" s="63">
        <f>ROUND(X533*$T533,2)</f>
        <v>0</v>
      </c>
      <c r="Z533" s="61">
        <v>0</v>
      </c>
      <c r="AA533" s="63">
        <f>ROUND(Z533*$T533,2)</f>
        <v>0</v>
      </c>
      <c r="AB533" s="61">
        <v>0</v>
      </c>
      <c r="AC533" s="63">
        <f>ROUND(AB533*$T533,2)</f>
        <v>0</v>
      </c>
      <c r="AD533" s="61">
        <v>0</v>
      </c>
      <c r="AE533" s="63">
        <f>ROUND(AD533*$T533,2)</f>
        <v>0</v>
      </c>
      <c r="AF533" s="61">
        <v>0</v>
      </c>
      <c r="AG533" s="63">
        <f>ROUND(AF533*$T533,2)</f>
        <v>0</v>
      </c>
      <c r="AH533" s="61">
        <v>0</v>
      </c>
      <c r="AI533" s="63">
        <f>ROUND(AH533*$T533,2)</f>
        <v>0</v>
      </c>
      <c r="AJ533" s="61">
        <v>0</v>
      </c>
      <c r="AK533" s="63">
        <f>ROUND(AJ533*$T533,2)</f>
        <v>0</v>
      </c>
      <c r="AL533" s="61">
        <v>0</v>
      </c>
      <c r="AM533" s="63">
        <f>ROUND(AL533*$T533,2)</f>
        <v>0</v>
      </c>
      <c r="AN533" s="61">
        <v>0</v>
      </c>
      <c r="AO533" s="63">
        <f>ROUND(AN533*$T533,2)</f>
        <v>0</v>
      </c>
      <c r="AP533" s="61">
        <v>0</v>
      </c>
      <c r="AQ533" s="63">
        <f>ROUND(AP533*$T533,2)</f>
        <v>0</v>
      </c>
      <c r="AR533" s="61">
        <v>0</v>
      </c>
      <c r="AS533" s="63">
        <f>ROUND(AR533*$T533,2)</f>
        <v>0</v>
      </c>
      <c r="AT533" s="61">
        <v>0</v>
      </c>
      <c r="AU533" s="63">
        <f>ROUND(AT533*$T533,2)</f>
        <v>0</v>
      </c>
      <c r="AV533" s="61">
        <v>0</v>
      </c>
      <c r="AW533" s="63">
        <f>ROUND(AV533*$T533,2)</f>
        <v>0</v>
      </c>
      <c r="AX533" s="61">
        <v>0</v>
      </c>
      <c r="AY533" s="63">
        <f>ROUND(AX533*$T533,2)</f>
        <v>0</v>
      </c>
      <c r="AZ533" s="61">
        <v>0</v>
      </c>
      <c r="BA533" s="63">
        <f>ROUND(AZ533*$T533,2)</f>
        <v>0</v>
      </c>
      <c r="BB533" s="61">
        <v>0</v>
      </c>
      <c r="BC533" s="63">
        <f>ROUND(BB533*$T533,2)</f>
        <v>0</v>
      </c>
      <c r="BD533" s="61">
        <v>0</v>
      </c>
      <c r="BE533" s="63">
        <f>ROUND(BD533*$T533,2)</f>
        <v>0</v>
      </c>
      <c r="BF533" s="61">
        <f>IFERROR(SUMIFS($V533:$BE533,$V$5:$BE$5,$BF$5),0)</f>
        <v>0</v>
      </c>
      <c r="BG533" s="63">
        <f>SUMIFS($V533:$BE533,$V$5:$BE$5,$W$5)</f>
        <v>0</v>
      </c>
      <c r="BH533" s="45"/>
      <c r="BI533" s="144"/>
    </row>
    <row r="534" spans="1:61" ht="26.25" customHeight="1" x14ac:dyDescent="0.45">
      <c r="A534" s="140">
        <v>5</v>
      </c>
      <c r="B534" s="141" t="s">
        <v>850</v>
      </c>
      <c r="C534" s="142" t="s">
        <v>1488</v>
      </c>
      <c r="D534" s="143" t="str">
        <f>B534&amp;"_"&amp;E534</f>
        <v>5.1_1.18.10</v>
      </c>
      <c r="E534" s="56" t="s">
        <v>793</v>
      </c>
      <c r="F534" s="506" t="s">
        <v>794</v>
      </c>
      <c r="G534" s="507" t="s">
        <v>795</v>
      </c>
      <c r="H534" s="507" t="s">
        <v>39</v>
      </c>
      <c r="I534" s="507" t="s">
        <v>796</v>
      </c>
      <c r="J534" s="507" t="s">
        <v>39</v>
      </c>
      <c r="K534" s="507">
        <v>600</v>
      </c>
      <c r="L534" s="507" t="s">
        <v>125</v>
      </c>
      <c r="M534" s="507" t="s">
        <v>114</v>
      </c>
      <c r="N534" s="507" t="s">
        <v>126</v>
      </c>
      <c r="O534" s="57" t="s">
        <v>797</v>
      </c>
      <c r="P534" s="58" t="s">
        <v>21</v>
      </c>
      <c r="Q534" s="59" t="s">
        <v>798</v>
      </c>
      <c r="R534" s="60" t="s">
        <v>71</v>
      </c>
      <c r="S534" s="61">
        <v>45</v>
      </c>
      <c r="T534" s="62">
        <f>INDEX('BM MORRO DA CRUZ'!$P$6:$P$402,MATCH($O534,'BM MORRO DA CRUZ'!$K$6:$K$402,0))</f>
        <v>407.28</v>
      </c>
      <c r="U534" s="63">
        <f>ROUND(T534*$S534,2)</f>
        <v>18327.599999999999</v>
      </c>
      <c r="V534" s="61">
        <f>IFERROR(SUMIFS('01ª MC'!$W$1:$W$1840,'01ª MC'!$C$1:$C$1840,$D534),0)</f>
        <v>0</v>
      </c>
      <c r="W534" s="63">
        <f>ROUND(V534*$T534,2)</f>
        <v>0</v>
      </c>
      <c r="X534" s="61">
        <v>0</v>
      </c>
      <c r="Y534" s="63">
        <f>ROUND(X534*$T534,2)</f>
        <v>0</v>
      </c>
      <c r="Z534" s="61">
        <v>0</v>
      </c>
      <c r="AA534" s="63">
        <f>ROUND(Z534*$T534,2)</f>
        <v>0</v>
      </c>
      <c r="AB534" s="61">
        <v>0</v>
      </c>
      <c r="AC534" s="63">
        <f>ROUND(AB534*$T534,2)</f>
        <v>0</v>
      </c>
      <c r="AD534" s="61">
        <v>0</v>
      </c>
      <c r="AE534" s="63">
        <f>ROUND(AD534*$T534,2)</f>
        <v>0</v>
      </c>
      <c r="AF534" s="61">
        <v>0</v>
      </c>
      <c r="AG534" s="63">
        <f>ROUND(AF534*$T534,2)</f>
        <v>0</v>
      </c>
      <c r="AH534" s="61">
        <v>0</v>
      </c>
      <c r="AI534" s="63">
        <f>ROUND(AH534*$T534,2)</f>
        <v>0</v>
      </c>
      <c r="AJ534" s="61">
        <v>0</v>
      </c>
      <c r="AK534" s="63">
        <f>ROUND(AJ534*$T534,2)</f>
        <v>0</v>
      </c>
      <c r="AL534" s="61">
        <v>0</v>
      </c>
      <c r="AM534" s="63">
        <f>ROUND(AL534*$T534,2)</f>
        <v>0</v>
      </c>
      <c r="AN534" s="61">
        <v>0</v>
      </c>
      <c r="AO534" s="63">
        <f>ROUND(AN534*$T534,2)</f>
        <v>0</v>
      </c>
      <c r="AP534" s="61">
        <v>0</v>
      </c>
      <c r="AQ534" s="63">
        <f>ROUND(AP534*$T534,2)</f>
        <v>0</v>
      </c>
      <c r="AR534" s="61">
        <v>0</v>
      </c>
      <c r="AS534" s="63">
        <f>ROUND(AR534*$T534,2)</f>
        <v>0</v>
      </c>
      <c r="AT534" s="61">
        <v>0</v>
      </c>
      <c r="AU534" s="63">
        <f>ROUND(AT534*$T534,2)</f>
        <v>0</v>
      </c>
      <c r="AV534" s="61">
        <v>0</v>
      </c>
      <c r="AW534" s="63">
        <f>ROUND(AV534*$T534,2)</f>
        <v>0</v>
      </c>
      <c r="AX534" s="61">
        <v>0</v>
      </c>
      <c r="AY534" s="63">
        <f>ROUND(AX534*$T534,2)</f>
        <v>0</v>
      </c>
      <c r="AZ534" s="61">
        <v>0</v>
      </c>
      <c r="BA534" s="63">
        <f>ROUND(AZ534*$T534,2)</f>
        <v>0</v>
      </c>
      <c r="BB534" s="61">
        <v>0</v>
      </c>
      <c r="BC534" s="63">
        <f>ROUND(BB534*$T534,2)</f>
        <v>0</v>
      </c>
      <c r="BD534" s="61">
        <v>0</v>
      </c>
      <c r="BE534" s="63">
        <f>ROUND(BD534*$T534,2)</f>
        <v>0</v>
      </c>
      <c r="BF534" s="61">
        <f>IFERROR(SUMIFS($V534:$BE534,$V$5:$BE$5,$BF$5),0)</f>
        <v>0</v>
      </c>
      <c r="BG534" s="63">
        <f>SUMIFS($V534:$BE534,$V$5:$BE$5,$W$5)</f>
        <v>0</v>
      </c>
      <c r="BH534" s="45"/>
      <c r="BI534" s="144"/>
    </row>
    <row r="535" spans="1:61" ht="26.25" customHeight="1" x14ac:dyDescent="0.45">
      <c r="A535" s="140">
        <v>5</v>
      </c>
      <c r="B535" s="141" t="s">
        <v>850</v>
      </c>
      <c r="C535" s="142" t="s">
        <v>1488</v>
      </c>
      <c r="D535" s="143" t="str">
        <f>B535&amp;"_"&amp;E535</f>
        <v>5.1_1.18.12</v>
      </c>
      <c r="E535" s="56" t="s">
        <v>806</v>
      </c>
      <c r="F535" s="506" t="s">
        <v>807</v>
      </c>
      <c r="G535" s="507" t="s">
        <v>39</v>
      </c>
      <c r="H535" s="507" t="s">
        <v>39</v>
      </c>
      <c r="I535" s="507" t="s">
        <v>808</v>
      </c>
      <c r="J535" s="507" t="s">
        <v>39</v>
      </c>
      <c r="K535" s="507" t="s">
        <v>809</v>
      </c>
      <c r="L535" s="507" t="s">
        <v>810</v>
      </c>
      <c r="M535" s="507" t="s">
        <v>114</v>
      </c>
      <c r="N535" s="507" t="s">
        <v>41</v>
      </c>
      <c r="O535" s="57" t="s">
        <v>811</v>
      </c>
      <c r="P535" s="58" t="s">
        <v>21</v>
      </c>
      <c r="Q535" s="59" t="s">
        <v>812</v>
      </c>
      <c r="R535" s="60" t="s">
        <v>792</v>
      </c>
      <c r="S535" s="61">
        <v>0.26</v>
      </c>
      <c r="T535" s="62">
        <f>INDEX('BM MORRO DA CRUZ'!$P$6:$P$402,MATCH($O535,'BM MORRO DA CRUZ'!$K$6:$K$402,0))</f>
        <v>11.56</v>
      </c>
      <c r="U535" s="63">
        <f>ROUND(T535*$S535,2)</f>
        <v>3.01</v>
      </c>
      <c r="V535" s="61">
        <f>IFERROR(SUMIFS('01ª MC'!$W$1:$W$1840,'01ª MC'!$C$1:$C$1840,$D535),0)</f>
        <v>0</v>
      </c>
      <c r="W535" s="63">
        <f>ROUND(V535*$T535,2)</f>
        <v>0</v>
      </c>
      <c r="X535" s="61">
        <v>0</v>
      </c>
      <c r="Y535" s="63">
        <f>ROUND(X535*$T535,2)</f>
        <v>0</v>
      </c>
      <c r="Z535" s="61">
        <v>0</v>
      </c>
      <c r="AA535" s="63">
        <f>ROUND(Z535*$T535,2)</f>
        <v>0</v>
      </c>
      <c r="AB535" s="61">
        <v>0</v>
      </c>
      <c r="AC535" s="63">
        <f>ROUND(AB535*$T535,2)</f>
        <v>0</v>
      </c>
      <c r="AD535" s="61">
        <v>0</v>
      </c>
      <c r="AE535" s="63">
        <f>ROUND(AD535*$T535,2)</f>
        <v>0</v>
      </c>
      <c r="AF535" s="61">
        <v>0</v>
      </c>
      <c r="AG535" s="63">
        <f>ROUND(AF535*$T535,2)</f>
        <v>0</v>
      </c>
      <c r="AH535" s="61">
        <v>0</v>
      </c>
      <c r="AI535" s="63">
        <f>ROUND(AH535*$T535,2)</f>
        <v>0</v>
      </c>
      <c r="AJ535" s="61">
        <v>0</v>
      </c>
      <c r="AK535" s="63">
        <f>ROUND(AJ535*$T535,2)</f>
        <v>0</v>
      </c>
      <c r="AL535" s="61">
        <v>0</v>
      </c>
      <c r="AM535" s="63">
        <f>ROUND(AL535*$T535,2)</f>
        <v>0</v>
      </c>
      <c r="AN535" s="61">
        <v>0</v>
      </c>
      <c r="AO535" s="63">
        <f>ROUND(AN535*$T535,2)</f>
        <v>0</v>
      </c>
      <c r="AP535" s="61">
        <v>0</v>
      </c>
      <c r="AQ535" s="63">
        <f>ROUND(AP535*$T535,2)</f>
        <v>0</v>
      </c>
      <c r="AR535" s="61">
        <v>0</v>
      </c>
      <c r="AS535" s="63">
        <f>ROUND(AR535*$T535,2)</f>
        <v>0</v>
      </c>
      <c r="AT535" s="61">
        <v>0</v>
      </c>
      <c r="AU535" s="63">
        <f>ROUND(AT535*$T535,2)</f>
        <v>0</v>
      </c>
      <c r="AV535" s="61">
        <v>0</v>
      </c>
      <c r="AW535" s="63">
        <f>ROUND(AV535*$T535,2)</f>
        <v>0</v>
      </c>
      <c r="AX535" s="61">
        <v>0</v>
      </c>
      <c r="AY535" s="63">
        <f>ROUND(AX535*$T535,2)</f>
        <v>0</v>
      </c>
      <c r="AZ535" s="61">
        <v>0</v>
      </c>
      <c r="BA535" s="63">
        <f>ROUND(AZ535*$T535,2)</f>
        <v>0</v>
      </c>
      <c r="BB535" s="61">
        <v>0</v>
      </c>
      <c r="BC535" s="63">
        <f>ROUND(BB535*$T535,2)</f>
        <v>0</v>
      </c>
      <c r="BD535" s="61">
        <v>0</v>
      </c>
      <c r="BE535" s="63">
        <f>ROUND(BD535*$T535,2)</f>
        <v>0</v>
      </c>
      <c r="BF535" s="61">
        <f>IFERROR(SUMIFS($V535:$BE535,$V$5:$BE$5,$BF$5),0)</f>
        <v>0</v>
      </c>
      <c r="BG535" s="63">
        <f>SUMIFS($V535:$BE535,$V$5:$BE$5,$W$5)</f>
        <v>0</v>
      </c>
      <c r="BH535" s="45"/>
      <c r="BI535" s="144"/>
    </row>
    <row r="536" spans="1:61" ht="19.5" customHeight="1" x14ac:dyDescent="0.45">
      <c r="A536" s="117">
        <v>5</v>
      </c>
      <c r="B536" s="118"/>
      <c r="C536" s="119"/>
      <c r="D536" s="120"/>
      <c r="E536" s="35" t="s">
        <v>1489</v>
      </c>
      <c r="F536" s="513"/>
      <c r="G536" s="514"/>
      <c r="H536" s="514"/>
      <c r="I536" s="514"/>
      <c r="J536" s="514"/>
      <c r="K536" s="514"/>
      <c r="L536" s="514"/>
      <c r="M536" s="514"/>
      <c r="N536" s="514"/>
      <c r="O536" s="121" t="s">
        <v>831</v>
      </c>
      <c r="P536" s="122"/>
      <c r="Q536" s="123" t="s">
        <v>832</v>
      </c>
      <c r="R536" s="124"/>
      <c r="S536" s="125"/>
      <c r="T536" s="126"/>
      <c r="U536" s="127">
        <f>SUM(U537)</f>
        <v>97619.63</v>
      </c>
      <c r="V536" s="125"/>
      <c r="W536" s="127">
        <f>SUM(W537)</f>
        <v>0</v>
      </c>
      <c r="X536" s="125"/>
      <c r="Y536" s="127">
        <f>SUM(Y537)</f>
        <v>0</v>
      </c>
      <c r="Z536" s="125"/>
      <c r="AA536" s="127">
        <f>SUM(AA537)</f>
        <v>0</v>
      </c>
      <c r="AB536" s="125"/>
      <c r="AC536" s="127">
        <f>SUM(AC537)</f>
        <v>0</v>
      </c>
      <c r="AD536" s="125"/>
      <c r="AE536" s="127">
        <f>SUM(AE537)</f>
        <v>0</v>
      </c>
      <c r="AF536" s="125"/>
      <c r="AG536" s="127">
        <f>SUM(AG537)</f>
        <v>0</v>
      </c>
      <c r="AH536" s="125"/>
      <c r="AI536" s="127">
        <f>SUM(AI537)</f>
        <v>0</v>
      </c>
      <c r="AJ536" s="125"/>
      <c r="AK536" s="127">
        <f>SUM(AK537)</f>
        <v>0</v>
      </c>
      <c r="AL536" s="125"/>
      <c r="AM536" s="127">
        <f>SUM(AM537)</f>
        <v>0</v>
      </c>
      <c r="AN536" s="125"/>
      <c r="AO536" s="127">
        <f>SUM(AO537)</f>
        <v>0</v>
      </c>
      <c r="AP536" s="125"/>
      <c r="AQ536" s="127">
        <f>SUM(AQ537)</f>
        <v>0</v>
      </c>
      <c r="AR536" s="125"/>
      <c r="AS536" s="127">
        <f>SUM(AS537)</f>
        <v>0</v>
      </c>
      <c r="AT536" s="125"/>
      <c r="AU536" s="127">
        <f>SUM(AU537)</f>
        <v>0</v>
      </c>
      <c r="AV536" s="125"/>
      <c r="AW536" s="127">
        <f>SUM(AW537)</f>
        <v>0</v>
      </c>
      <c r="AX536" s="125"/>
      <c r="AY536" s="127">
        <f>SUM(AY537)</f>
        <v>0</v>
      </c>
      <c r="AZ536" s="125"/>
      <c r="BA536" s="127">
        <f>SUM(BA537)</f>
        <v>0</v>
      </c>
      <c r="BB536" s="125"/>
      <c r="BC536" s="127">
        <f>SUM(BC537)</f>
        <v>0</v>
      </c>
      <c r="BD536" s="125"/>
      <c r="BE536" s="127">
        <f>SUM(BE537)</f>
        <v>0</v>
      </c>
      <c r="BF536" s="125"/>
      <c r="BG536" s="127">
        <f>SUM(BG537)</f>
        <v>0</v>
      </c>
      <c r="BH536" s="45"/>
    </row>
    <row r="537" spans="1:61" ht="19.5" customHeight="1" x14ac:dyDescent="0.45">
      <c r="A537" s="128">
        <v>5</v>
      </c>
      <c r="B537" s="129"/>
      <c r="C537" s="130"/>
      <c r="D537" s="131"/>
      <c r="E537" s="132" t="s">
        <v>833</v>
      </c>
      <c r="F537" s="515"/>
      <c r="G537" s="516"/>
      <c r="H537" s="516"/>
      <c r="I537" s="516"/>
      <c r="J537" s="516"/>
      <c r="K537" s="516"/>
      <c r="L537" s="516"/>
      <c r="M537" s="516"/>
      <c r="N537" s="516"/>
      <c r="O537" s="133" t="s">
        <v>834</v>
      </c>
      <c r="P537" s="134"/>
      <c r="Q537" s="135" t="s">
        <v>835</v>
      </c>
      <c r="R537" s="136"/>
      <c r="S537" s="137"/>
      <c r="T537" s="138"/>
      <c r="U537" s="139">
        <f>SUM(U538:U539)</f>
        <v>97619.63</v>
      </c>
      <c r="V537" s="137"/>
      <c r="W537" s="139">
        <f>SUM(W538:W539)</f>
        <v>0</v>
      </c>
      <c r="X537" s="137"/>
      <c r="Y537" s="139">
        <f>SUM(Y538:Y539)</f>
        <v>0</v>
      </c>
      <c r="Z537" s="137"/>
      <c r="AA537" s="139">
        <f>SUM(AA538:AA539)</f>
        <v>0</v>
      </c>
      <c r="AB537" s="137"/>
      <c r="AC537" s="139">
        <f>SUM(AC538:AC539)</f>
        <v>0</v>
      </c>
      <c r="AD537" s="137"/>
      <c r="AE537" s="139">
        <f>SUM(AE538:AE539)</f>
        <v>0</v>
      </c>
      <c r="AF537" s="137"/>
      <c r="AG537" s="139">
        <f>SUM(AG538:AG539)</f>
        <v>0</v>
      </c>
      <c r="AH537" s="137"/>
      <c r="AI537" s="139">
        <f>SUM(AI538:AI539)</f>
        <v>0</v>
      </c>
      <c r="AJ537" s="137"/>
      <c r="AK537" s="139">
        <f>SUM(AK538:AK539)</f>
        <v>0</v>
      </c>
      <c r="AL537" s="137"/>
      <c r="AM537" s="139">
        <f>SUM(AM538:AM539)</f>
        <v>0</v>
      </c>
      <c r="AN537" s="137"/>
      <c r="AO537" s="139">
        <f>SUM(AO538:AO539)</f>
        <v>0</v>
      </c>
      <c r="AP537" s="137"/>
      <c r="AQ537" s="139">
        <f>SUM(AQ538:AQ539)</f>
        <v>0</v>
      </c>
      <c r="AR537" s="137"/>
      <c r="AS537" s="139">
        <f>SUM(AS538:AS539)</f>
        <v>0</v>
      </c>
      <c r="AT537" s="137"/>
      <c r="AU537" s="139">
        <f>SUM(AU538:AU539)</f>
        <v>0</v>
      </c>
      <c r="AV537" s="137"/>
      <c r="AW537" s="139">
        <f>SUM(AW538:AW539)</f>
        <v>0</v>
      </c>
      <c r="AX537" s="137"/>
      <c r="AY537" s="139">
        <f>SUM(AY538:AY539)</f>
        <v>0</v>
      </c>
      <c r="AZ537" s="137"/>
      <c r="BA537" s="139">
        <f>SUM(BA538:BA539)</f>
        <v>0</v>
      </c>
      <c r="BB537" s="137"/>
      <c r="BC537" s="139">
        <f>SUM(BC538:BC539)</f>
        <v>0</v>
      </c>
      <c r="BD537" s="137"/>
      <c r="BE537" s="139">
        <f>SUM(BE538:BE539)</f>
        <v>0</v>
      </c>
      <c r="BF537" s="137"/>
      <c r="BG537" s="139">
        <f>SUM(BG538:BG539)</f>
        <v>0</v>
      </c>
      <c r="BH537" s="45"/>
    </row>
    <row r="538" spans="1:61" ht="38.25" customHeight="1" x14ac:dyDescent="0.45">
      <c r="A538" s="140">
        <v>5</v>
      </c>
      <c r="B538" s="141" t="s">
        <v>850</v>
      </c>
      <c r="C538" s="142" t="s">
        <v>1488</v>
      </c>
      <c r="D538" s="143" t="str">
        <f>B538&amp;"_"&amp;E538</f>
        <v>5.1_3.1.1</v>
      </c>
      <c r="E538" s="56" t="s">
        <v>836</v>
      </c>
      <c r="F538" s="506" t="s">
        <v>737</v>
      </c>
      <c r="G538" s="507" t="s">
        <v>111</v>
      </c>
      <c r="H538" s="507" t="s">
        <v>39</v>
      </c>
      <c r="I538" s="507" t="s">
        <v>738</v>
      </c>
      <c r="J538" s="507" t="s">
        <v>39</v>
      </c>
      <c r="K538" s="507">
        <v>150</v>
      </c>
      <c r="L538" s="507" t="s">
        <v>39</v>
      </c>
      <c r="M538" s="507" t="s">
        <v>114</v>
      </c>
      <c r="N538" s="507" t="s">
        <v>739</v>
      </c>
      <c r="O538" s="57" t="s">
        <v>837</v>
      </c>
      <c r="P538" s="58" t="s">
        <v>21</v>
      </c>
      <c r="Q538" s="59" t="s">
        <v>838</v>
      </c>
      <c r="R538" s="60" t="s">
        <v>71</v>
      </c>
      <c r="S538" s="61">
        <v>3</v>
      </c>
      <c r="T538" s="62">
        <f>INDEX('BM MORRO DA CRUZ'!$P$6:$P$402,MATCH($O538,'BM MORRO DA CRUZ'!$K$6:$K$402,0))</f>
        <v>11167.22</v>
      </c>
      <c r="U538" s="63">
        <f>ROUND(T538*$S538,2)</f>
        <v>33501.660000000003</v>
      </c>
      <c r="V538" s="61">
        <f>IFERROR(SUMIFS('01ª MC'!$W$1:$W$1840,'01ª MC'!$C$1:$C$1840,$D538),0)</f>
        <v>0</v>
      </c>
      <c r="W538" s="63">
        <f>ROUND(V538*$T538,2)</f>
        <v>0</v>
      </c>
      <c r="X538" s="61">
        <v>0</v>
      </c>
      <c r="Y538" s="63">
        <f>ROUND(X538*$T538,2)</f>
        <v>0</v>
      </c>
      <c r="Z538" s="61">
        <v>0</v>
      </c>
      <c r="AA538" s="63">
        <f>ROUND(Z538*$T538,2)</f>
        <v>0</v>
      </c>
      <c r="AB538" s="61">
        <v>0</v>
      </c>
      <c r="AC538" s="63">
        <f>ROUND(AB538*$T538,2)</f>
        <v>0</v>
      </c>
      <c r="AD538" s="61">
        <v>0</v>
      </c>
      <c r="AE538" s="63">
        <f>ROUND(AD538*$T538,2)</f>
        <v>0</v>
      </c>
      <c r="AF538" s="61">
        <v>0</v>
      </c>
      <c r="AG538" s="63">
        <f>ROUND(AF538*$T538,2)</f>
        <v>0</v>
      </c>
      <c r="AH538" s="61">
        <v>0</v>
      </c>
      <c r="AI538" s="63">
        <f>ROUND(AH538*$T538,2)</f>
        <v>0</v>
      </c>
      <c r="AJ538" s="61">
        <v>0</v>
      </c>
      <c r="AK538" s="63">
        <f>ROUND(AJ538*$T538,2)</f>
        <v>0</v>
      </c>
      <c r="AL538" s="61">
        <v>0</v>
      </c>
      <c r="AM538" s="63">
        <f>ROUND(AL538*$T538,2)</f>
        <v>0</v>
      </c>
      <c r="AN538" s="61">
        <v>0</v>
      </c>
      <c r="AO538" s="63">
        <f>ROUND(AN538*$T538,2)</f>
        <v>0</v>
      </c>
      <c r="AP538" s="61">
        <v>0</v>
      </c>
      <c r="AQ538" s="63">
        <f>ROUND(AP538*$T538,2)</f>
        <v>0</v>
      </c>
      <c r="AR538" s="61">
        <v>0</v>
      </c>
      <c r="AS538" s="63">
        <f>ROUND(AR538*$T538,2)</f>
        <v>0</v>
      </c>
      <c r="AT538" s="61">
        <v>0</v>
      </c>
      <c r="AU538" s="63">
        <f>ROUND(AT538*$T538,2)</f>
        <v>0</v>
      </c>
      <c r="AV538" s="61">
        <v>0</v>
      </c>
      <c r="AW538" s="63">
        <f>ROUND(AV538*$T538,2)</f>
        <v>0</v>
      </c>
      <c r="AX538" s="61">
        <v>0</v>
      </c>
      <c r="AY538" s="63">
        <f>ROUND(AX538*$T538,2)</f>
        <v>0</v>
      </c>
      <c r="AZ538" s="61">
        <v>0</v>
      </c>
      <c r="BA538" s="63">
        <f>ROUND(AZ538*$T538,2)</f>
        <v>0</v>
      </c>
      <c r="BB538" s="61">
        <v>0</v>
      </c>
      <c r="BC538" s="63">
        <f>ROUND(BB538*$T538,2)</f>
        <v>0</v>
      </c>
      <c r="BD538" s="61">
        <v>0</v>
      </c>
      <c r="BE538" s="63">
        <f>ROUND(BD538*$T538,2)</f>
        <v>0</v>
      </c>
      <c r="BF538" s="61">
        <f>IFERROR(SUMIFS($V538:$BE538,$V$5:$BE$5,$BF$5),0)</f>
        <v>0</v>
      </c>
      <c r="BG538" s="63">
        <f>SUMIFS($V538:$BE538,$V$5:$BE$5,$W$5)</f>
        <v>0</v>
      </c>
      <c r="BH538" s="45"/>
      <c r="BI538" s="144"/>
    </row>
    <row r="539" spans="1:61" ht="38.25" customHeight="1" x14ac:dyDescent="0.45">
      <c r="A539" s="140">
        <v>5</v>
      </c>
      <c r="B539" s="141" t="s">
        <v>850</v>
      </c>
      <c r="C539" s="142" t="s">
        <v>1488</v>
      </c>
      <c r="D539" s="143" t="str">
        <f>B539&amp;"_"&amp;E539</f>
        <v>5.1_3.1.2</v>
      </c>
      <c r="E539" s="56" t="s">
        <v>839</v>
      </c>
      <c r="F539" s="506" t="s">
        <v>737</v>
      </c>
      <c r="G539" s="507" t="s">
        <v>111</v>
      </c>
      <c r="H539" s="507" t="s">
        <v>39</v>
      </c>
      <c r="I539" s="507" t="s">
        <v>738</v>
      </c>
      <c r="J539" s="507" t="s">
        <v>39</v>
      </c>
      <c r="K539" s="507">
        <v>80</v>
      </c>
      <c r="L539" s="507" t="s">
        <v>39</v>
      </c>
      <c r="M539" s="507" t="s">
        <v>114</v>
      </c>
      <c r="N539" s="507" t="s">
        <v>739</v>
      </c>
      <c r="O539" s="57" t="s">
        <v>840</v>
      </c>
      <c r="P539" s="58" t="s">
        <v>21</v>
      </c>
      <c r="Q539" s="59" t="s">
        <v>841</v>
      </c>
      <c r="R539" s="60" t="s">
        <v>71</v>
      </c>
      <c r="S539" s="61">
        <v>7</v>
      </c>
      <c r="T539" s="62">
        <f>INDEX('BM MORRO DA CRUZ'!$P$6:$P$402,MATCH($O539,'BM MORRO DA CRUZ'!$K$6:$K$402,0))</f>
        <v>9159.7099999999991</v>
      </c>
      <c r="U539" s="63">
        <f>ROUND(T539*$S539,2)</f>
        <v>64117.97</v>
      </c>
      <c r="V539" s="61">
        <f>IFERROR(SUMIFS('01ª MC'!$W$1:$W$1840,'01ª MC'!$C$1:$C$1840,$D539),0)</f>
        <v>0</v>
      </c>
      <c r="W539" s="63">
        <f>ROUND(V539*$T539,2)</f>
        <v>0</v>
      </c>
      <c r="X539" s="61">
        <v>0</v>
      </c>
      <c r="Y539" s="63">
        <f>ROUND(X539*$T539,2)</f>
        <v>0</v>
      </c>
      <c r="Z539" s="61">
        <v>0</v>
      </c>
      <c r="AA539" s="63">
        <f>ROUND(Z539*$T539,2)</f>
        <v>0</v>
      </c>
      <c r="AB539" s="61">
        <v>0</v>
      </c>
      <c r="AC539" s="63">
        <f>ROUND(AB539*$T539,2)</f>
        <v>0</v>
      </c>
      <c r="AD539" s="61">
        <v>0</v>
      </c>
      <c r="AE539" s="63">
        <f>ROUND(AD539*$T539,2)</f>
        <v>0</v>
      </c>
      <c r="AF539" s="61">
        <v>0</v>
      </c>
      <c r="AG539" s="63">
        <f>ROUND(AF539*$T539,2)</f>
        <v>0</v>
      </c>
      <c r="AH539" s="61">
        <v>0</v>
      </c>
      <c r="AI539" s="63">
        <f>ROUND(AH539*$T539,2)</f>
        <v>0</v>
      </c>
      <c r="AJ539" s="61">
        <v>0</v>
      </c>
      <c r="AK539" s="63">
        <f>ROUND(AJ539*$T539,2)</f>
        <v>0</v>
      </c>
      <c r="AL539" s="61">
        <v>0</v>
      </c>
      <c r="AM539" s="63">
        <f>ROUND(AL539*$T539,2)</f>
        <v>0</v>
      </c>
      <c r="AN539" s="61">
        <v>0</v>
      </c>
      <c r="AO539" s="63">
        <f>ROUND(AN539*$T539,2)</f>
        <v>0</v>
      </c>
      <c r="AP539" s="61">
        <v>0</v>
      </c>
      <c r="AQ539" s="63">
        <f>ROUND(AP539*$T539,2)</f>
        <v>0</v>
      </c>
      <c r="AR539" s="61">
        <v>0</v>
      </c>
      <c r="AS539" s="63">
        <f>ROUND(AR539*$T539,2)</f>
        <v>0</v>
      </c>
      <c r="AT539" s="61">
        <v>0</v>
      </c>
      <c r="AU539" s="63">
        <f>ROUND(AT539*$T539,2)</f>
        <v>0</v>
      </c>
      <c r="AV539" s="61">
        <v>0</v>
      </c>
      <c r="AW539" s="63">
        <f>ROUND(AV539*$T539,2)</f>
        <v>0</v>
      </c>
      <c r="AX539" s="61">
        <v>0</v>
      </c>
      <c r="AY539" s="63">
        <f>ROUND(AX539*$T539,2)</f>
        <v>0</v>
      </c>
      <c r="AZ539" s="61">
        <v>0</v>
      </c>
      <c r="BA539" s="63">
        <f>ROUND(AZ539*$T539,2)</f>
        <v>0</v>
      </c>
      <c r="BB539" s="61">
        <v>0</v>
      </c>
      <c r="BC539" s="63">
        <f>ROUND(BB539*$T539,2)</f>
        <v>0</v>
      </c>
      <c r="BD539" s="61">
        <v>0</v>
      </c>
      <c r="BE539" s="63">
        <f>ROUND(BD539*$T539,2)</f>
        <v>0</v>
      </c>
      <c r="BF539" s="61">
        <f>IFERROR(SUMIFS($V539:$BE539,$V$5:$BE$5,$BF$5),0)</f>
        <v>0</v>
      </c>
      <c r="BG539" s="63">
        <f>SUMIFS($V539:$BE539,$V$5:$BE$5,$W$5)</f>
        <v>0</v>
      </c>
      <c r="BH539" s="45"/>
      <c r="BI539" s="144"/>
    </row>
    <row r="540" spans="1:61" ht="19.5" customHeight="1" x14ac:dyDescent="0.45">
      <c r="A540" s="117">
        <v>5</v>
      </c>
      <c r="B540" s="118"/>
      <c r="C540" s="119"/>
      <c r="D540" s="120"/>
      <c r="E540" s="35" t="s">
        <v>1465</v>
      </c>
      <c r="F540" s="513"/>
      <c r="G540" s="514"/>
      <c r="H540" s="514"/>
      <c r="I540" s="514"/>
      <c r="J540" s="514"/>
      <c r="K540" s="514"/>
      <c r="L540" s="514"/>
      <c r="M540" s="514"/>
      <c r="N540" s="514"/>
      <c r="O540" s="121" t="s">
        <v>848</v>
      </c>
      <c r="P540" s="122"/>
      <c r="Q540" s="123" t="s">
        <v>849</v>
      </c>
      <c r="R540" s="124"/>
      <c r="S540" s="125"/>
      <c r="T540" s="126"/>
      <c r="U540" s="127">
        <f>SUM(U541)</f>
        <v>264.48</v>
      </c>
      <c r="V540" s="125"/>
      <c r="W540" s="127">
        <f>SUM(W541)</f>
        <v>0</v>
      </c>
      <c r="X540" s="125"/>
      <c r="Y540" s="127">
        <f>SUM(Y541)</f>
        <v>0</v>
      </c>
      <c r="Z540" s="125"/>
      <c r="AA540" s="127">
        <f>SUM(AA541)</f>
        <v>0</v>
      </c>
      <c r="AB540" s="125"/>
      <c r="AC540" s="127">
        <f>SUM(AC541)</f>
        <v>0</v>
      </c>
      <c r="AD540" s="125"/>
      <c r="AE540" s="127">
        <f>SUM(AE541)</f>
        <v>0</v>
      </c>
      <c r="AF540" s="125"/>
      <c r="AG540" s="127">
        <f>SUM(AG541)</f>
        <v>0</v>
      </c>
      <c r="AH540" s="125"/>
      <c r="AI540" s="127">
        <f>SUM(AI541)</f>
        <v>0</v>
      </c>
      <c r="AJ540" s="125"/>
      <c r="AK540" s="127">
        <f>SUM(AK541)</f>
        <v>0</v>
      </c>
      <c r="AL540" s="125"/>
      <c r="AM540" s="127">
        <f>SUM(AM541)</f>
        <v>0</v>
      </c>
      <c r="AN540" s="125"/>
      <c r="AO540" s="127">
        <f>SUM(AO541)</f>
        <v>0</v>
      </c>
      <c r="AP540" s="125"/>
      <c r="AQ540" s="127">
        <f>SUM(AQ541)</f>
        <v>0</v>
      </c>
      <c r="AR540" s="125"/>
      <c r="AS540" s="127">
        <f>SUM(AS541)</f>
        <v>0</v>
      </c>
      <c r="AT540" s="125"/>
      <c r="AU540" s="127">
        <f>SUM(AU541)</f>
        <v>0</v>
      </c>
      <c r="AV540" s="125"/>
      <c r="AW540" s="127">
        <f>SUM(AW541)</f>
        <v>0</v>
      </c>
      <c r="AX540" s="125"/>
      <c r="AY540" s="127">
        <f>SUM(AY541)</f>
        <v>0</v>
      </c>
      <c r="AZ540" s="125"/>
      <c r="BA540" s="127">
        <f>SUM(BA541)</f>
        <v>0</v>
      </c>
      <c r="BB540" s="125"/>
      <c r="BC540" s="127">
        <f>SUM(BC541)</f>
        <v>0</v>
      </c>
      <c r="BD540" s="125"/>
      <c r="BE540" s="127">
        <f>SUM(BE541)</f>
        <v>0</v>
      </c>
      <c r="BF540" s="125"/>
      <c r="BG540" s="127">
        <f>SUM(BG541)</f>
        <v>0</v>
      </c>
      <c r="BH540" s="45"/>
    </row>
    <row r="541" spans="1:61" ht="19.5" customHeight="1" x14ac:dyDescent="0.45">
      <c r="A541" s="128">
        <v>5</v>
      </c>
      <c r="B541" s="129"/>
      <c r="C541" s="130"/>
      <c r="D541" s="131"/>
      <c r="E541" s="132" t="s">
        <v>1001</v>
      </c>
      <c r="F541" s="515"/>
      <c r="G541" s="516"/>
      <c r="H541" s="516"/>
      <c r="I541" s="516"/>
      <c r="J541" s="516"/>
      <c r="K541" s="516"/>
      <c r="L541" s="516"/>
      <c r="M541" s="516"/>
      <c r="N541" s="516"/>
      <c r="O541" s="133" t="s">
        <v>1002</v>
      </c>
      <c r="P541" s="134"/>
      <c r="Q541" s="135" t="s">
        <v>1003</v>
      </c>
      <c r="R541" s="136"/>
      <c r="S541" s="137"/>
      <c r="T541" s="138"/>
      <c r="U541" s="139">
        <f>SUM(U542:U542)</f>
        <v>264.48</v>
      </c>
      <c r="V541" s="137"/>
      <c r="W541" s="139">
        <f>SUM(W542:W542)</f>
        <v>0</v>
      </c>
      <c r="X541" s="137"/>
      <c r="Y541" s="139">
        <f>SUM(Y542:Y542)</f>
        <v>0</v>
      </c>
      <c r="Z541" s="137"/>
      <c r="AA541" s="139">
        <f>SUM(AA542:AA542)</f>
        <v>0</v>
      </c>
      <c r="AB541" s="137"/>
      <c r="AC541" s="139">
        <f>SUM(AC542:AC542)</f>
        <v>0</v>
      </c>
      <c r="AD541" s="137"/>
      <c r="AE541" s="139">
        <f>SUM(AE542:AE542)</f>
        <v>0</v>
      </c>
      <c r="AF541" s="137"/>
      <c r="AG541" s="139">
        <f>SUM(AG542:AG542)</f>
        <v>0</v>
      </c>
      <c r="AH541" s="137"/>
      <c r="AI541" s="139">
        <f>SUM(AI542:AI542)</f>
        <v>0</v>
      </c>
      <c r="AJ541" s="137"/>
      <c r="AK541" s="139">
        <f>SUM(AK542:AK542)</f>
        <v>0</v>
      </c>
      <c r="AL541" s="137"/>
      <c r="AM541" s="139">
        <f>SUM(AM542:AM542)</f>
        <v>0</v>
      </c>
      <c r="AN541" s="137"/>
      <c r="AO541" s="139">
        <f>SUM(AO542:AO542)</f>
        <v>0</v>
      </c>
      <c r="AP541" s="137"/>
      <c r="AQ541" s="139">
        <f>SUM(AQ542:AQ542)</f>
        <v>0</v>
      </c>
      <c r="AR541" s="137"/>
      <c r="AS541" s="139">
        <f>SUM(AS542:AS542)</f>
        <v>0</v>
      </c>
      <c r="AT541" s="137"/>
      <c r="AU541" s="139">
        <f>SUM(AU542:AU542)</f>
        <v>0</v>
      </c>
      <c r="AV541" s="137"/>
      <c r="AW541" s="139">
        <f>SUM(AW542:AW542)</f>
        <v>0</v>
      </c>
      <c r="AX541" s="137"/>
      <c r="AY541" s="139">
        <f>SUM(AY542:AY542)</f>
        <v>0</v>
      </c>
      <c r="AZ541" s="137"/>
      <c r="BA541" s="139">
        <f>SUM(BA542:BA542)</f>
        <v>0</v>
      </c>
      <c r="BB541" s="137"/>
      <c r="BC541" s="139">
        <f>SUM(BC542:BC542)</f>
        <v>0</v>
      </c>
      <c r="BD541" s="137"/>
      <c r="BE541" s="139">
        <f>SUM(BE542:BE542)</f>
        <v>0</v>
      </c>
      <c r="BF541" s="137"/>
      <c r="BG541" s="139">
        <f>SUM(BG542:BG542)</f>
        <v>0</v>
      </c>
      <c r="BH541" s="45"/>
    </row>
    <row r="542" spans="1:61" ht="26" customHeight="1" x14ac:dyDescent="0.45">
      <c r="A542" s="140">
        <v>5</v>
      </c>
      <c r="B542" s="141" t="s">
        <v>859</v>
      </c>
      <c r="C542" s="142" t="s">
        <v>1490</v>
      </c>
      <c r="D542" s="143" t="str">
        <f>B542&amp;"_"&amp;E542</f>
        <v>5.2_5.7.1</v>
      </c>
      <c r="E542" s="56" t="s">
        <v>1004</v>
      </c>
      <c r="F542" s="506" t="s">
        <v>1798</v>
      </c>
      <c r="G542" s="507" t="s">
        <v>39</v>
      </c>
      <c r="H542" s="507" t="s">
        <v>39</v>
      </c>
      <c r="I542" s="507" t="s">
        <v>155</v>
      </c>
      <c r="J542" s="507" t="s">
        <v>39</v>
      </c>
      <c r="K542" s="507" t="s">
        <v>39</v>
      </c>
      <c r="L542" s="507" t="s">
        <v>39</v>
      </c>
      <c r="M542" s="507" t="s">
        <v>114</v>
      </c>
      <c r="N542" s="507" t="s">
        <v>140</v>
      </c>
      <c r="O542" s="57" t="s">
        <v>1005</v>
      </c>
      <c r="P542" s="58" t="s">
        <v>846</v>
      </c>
      <c r="Q542" s="59" t="s">
        <v>1006</v>
      </c>
      <c r="R542" s="60" t="s">
        <v>71</v>
      </c>
      <c r="S542" s="61">
        <v>16</v>
      </c>
      <c r="T542" s="62">
        <f>INDEX('BM MORRO DA CRUZ'!$P$6:$P$402,MATCH($O542,'BM MORRO DA CRUZ'!$K$6:$K$402,0))</f>
        <v>16.53</v>
      </c>
      <c r="U542" s="63">
        <f>ROUND(T542*$S542,2)</f>
        <v>264.48</v>
      </c>
      <c r="V542" s="61">
        <f>IFERROR(SUMIFS('01ª MC'!$W$1:$W$1840,'01ª MC'!$C$1:$C$1840,$D542),0)</f>
        <v>0</v>
      </c>
      <c r="W542" s="63">
        <f>ROUND(V542*$T542,2)</f>
        <v>0</v>
      </c>
      <c r="X542" s="61">
        <v>0</v>
      </c>
      <c r="Y542" s="63">
        <f>ROUND(X542*$T542,2)</f>
        <v>0</v>
      </c>
      <c r="Z542" s="61">
        <v>0</v>
      </c>
      <c r="AA542" s="63">
        <f>ROUND(Z542*$T542,2)</f>
        <v>0</v>
      </c>
      <c r="AB542" s="61">
        <v>0</v>
      </c>
      <c r="AC542" s="63">
        <f>ROUND(AB542*$T542,2)</f>
        <v>0</v>
      </c>
      <c r="AD542" s="61">
        <v>0</v>
      </c>
      <c r="AE542" s="63">
        <f>ROUND(AD542*$T542,2)</f>
        <v>0</v>
      </c>
      <c r="AF542" s="61">
        <v>0</v>
      </c>
      <c r="AG542" s="63">
        <f>ROUND(AF542*$T542,2)</f>
        <v>0</v>
      </c>
      <c r="AH542" s="61">
        <v>0</v>
      </c>
      <c r="AI542" s="63">
        <f>ROUND(AH542*$T542,2)</f>
        <v>0</v>
      </c>
      <c r="AJ542" s="61">
        <v>0</v>
      </c>
      <c r="AK542" s="63">
        <f>ROUND(AJ542*$T542,2)</f>
        <v>0</v>
      </c>
      <c r="AL542" s="61">
        <v>0</v>
      </c>
      <c r="AM542" s="63">
        <f>ROUND(AL542*$T542,2)</f>
        <v>0</v>
      </c>
      <c r="AN542" s="61">
        <v>0</v>
      </c>
      <c r="AO542" s="63">
        <f>ROUND(AN542*$T542,2)</f>
        <v>0</v>
      </c>
      <c r="AP542" s="61">
        <v>0</v>
      </c>
      <c r="AQ542" s="63">
        <f>ROUND(AP542*$T542,2)</f>
        <v>0</v>
      </c>
      <c r="AR542" s="61">
        <v>0</v>
      </c>
      <c r="AS542" s="63">
        <f>ROUND(AR542*$T542,2)</f>
        <v>0</v>
      </c>
      <c r="AT542" s="61">
        <v>0</v>
      </c>
      <c r="AU542" s="63">
        <f>ROUND(AT542*$T542,2)</f>
        <v>0</v>
      </c>
      <c r="AV542" s="61">
        <v>0</v>
      </c>
      <c r="AW542" s="63">
        <f>ROUND(AV542*$T542,2)</f>
        <v>0</v>
      </c>
      <c r="AX542" s="61">
        <v>0</v>
      </c>
      <c r="AY542" s="63">
        <f>ROUND(AX542*$T542,2)</f>
        <v>0</v>
      </c>
      <c r="AZ542" s="61">
        <v>0</v>
      </c>
      <c r="BA542" s="63">
        <f>ROUND(AZ542*$T542,2)</f>
        <v>0</v>
      </c>
      <c r="BB542" s="61">
        <v>0</v>
      </c>
      <c r="BC542" s="63">
        <f>ROUND(BB542*$T542,2)</f>
        <v>0</v>
      </c>
      <c r="BD542" s="61">
        <v>0</v>
      </c>
      <c r="BE542" s="63">
        <f>ROUND(BD542*$T542,2)</f>
        <v>0</v>
      </c>
      <c r="BF542" s="61">
        <f>IFERROR(SUMIFS($V542:$BE542,$V$5:$BE$5,$BF$5),0)</f>
        <v>0</v>
      </c>
      <c r="BG542" s="63">
        <f>SUMIFS($V542:$BE542,$V$5:$BE$5,$W$5)</f>
        <v>0</v>
      </c>
      <c r="BH542" s="45"/>
      <c r="BI542" s="144"/>
    </row>
    <row r="543" spans="1:61" ht="19.5" customHeight="1" x14ac:dyDescent="0.45">
      <c r="A543" s="103">
        <v>6</v>
      </c>
      <c r="B543" s="104"/>
      <c r="C543" s="105" t="s">
        <v>36</v>
      </c>
      <c r="D543" s="106"/>
      <c r="E543" s="107"/>
      <c r="F543" s="512"/>
      <c r="G543" s="108"/>
      <c r="H543" s="108"/>
      <c r="I543" s="108"/>
      <c r="J543" s="108"/>
      <c r="K543" s="108"/>
      <c r="L543" s="108"/>
      <c r="M543" s="108"/>
      <c r="N543" s="108"/>
      <c r="O543" s="109"/>
      <c r="P543" s="110"/>
      <c r="Q543" s="111" t="s">
        <v>36</v>
      </c>
      <c r="R543" s="112"/>
      <c r="S543" s="113"/>
      <c r="T543" s="114"/>
      <c r="U543" s="115">
        <f>SUM(U544)</f>
        <v>1304685.94</v>
      </c>
      <c r="V543" s="116"/>
      <c r="W543" s="115">
        <f>SUM(W544)</f>
        <v>0</v>
      </c>
      <c r="X543" s="116"/>
      <c r="Y543" s="115">
        <f>SUM(Y544)</f>
        <v>0</v>
      </c>
      <c r="Z543" s="116"/>
      <c r="AA543" s="115">
        <f>SUM(AA544)</f>
        <v>0</v>
      </c>
      <c r="AB543" s="116"/>
      <c r="AC543" s="115">
        <f>SUM(AC544)</f>
        <v>0</v>
      </c>
      <c r="AD543" s="116"/>
      <c r="AE543" s="115">
        <f>SUM(AE544)</f>
        <v>0</v>
      </c>
      <c r="AF543" s="116"/>
      <c r="AG543" s="115">
        <f>SUM(AG544)</f>
        <v>0</v>
      </c>
      <c r="AH543" s="116"/>
      <c r="AI543" s="115">
        <f>SUM(AI544)</f>
        <v>0</v>
      </c>
      <c r="AJ543" s="116"/>
      <c r="AK543" s="115">
        <f>SUM(AK544)</f>
        <v>0</v>
      </c>
      <c r="AL543" s="116"/>
      <c r="AM543" s="115">
        <f>SUM(AM544)</f>
        <v>0</v>
      </c>
      <c r="AN543" s="116"/>
      <c r="AO543" s="115">
        <f>SUM(AO544)</f>
        <v>0</v>
      </c>
      <c r="AP543" s="116"/>
      <c r="AQ543" s="115">
        <f>SUM(AQ544)</f>
        <v>0</v>
      </c>
      <c r="AR543" s="116"/>
      <c r="AS543" s="115">
        <f>SUM(AS544)</f>
        <v>0</v>
      </c>
      <c r="AT543" s="116"/>
      <c r="AU543" s="115">
        <f>SUM(AU544)</f>
        <v>0</v>
      </c>
      <c r="AV543" s="116"/>
      <c r="AW543" s="115">
        <f>SUM(AW544)</f>
        <v>0</v>
      </c>
      <c r="AX543" s="116"/>
      <c r="AY543" s="115">
        <f>SUM(AY544)</f>
        <v>0</v>
      </c>
      <c r="AZ543" s="116"/>
      <c r="BA543" s="115">
        <f>SUM(BA544)</f>
        <v>0</v>
      </c>
      <c r="BB543" s="116"/>
      <c r="BC543" s="115">
        <f>SUM(BC544)</f>
        <v>0</v>
      </c>
      <c r="BD543" s="116"/>
      <c r="BE543" s="115">
        <f>SUM(BE544)</f>
        <v>0</v>
      </c>
      <c r="BF543" s="116"/>
      <c r="BG543" s="115">
        <f>SUM(BG544)</f>
        <v>0</v>
      </c>
      <c r="BH543" s="102">
        <f>U543/$T$550</f>
        <v>2.6881725308598694E-2</v>
      </c>
    </row>
    <row r="544" spans="1:61" ht="19.5" customHeight="1" x14ac:dyDescent="0.45">
      <c r="A544" s="117">
        <v>6</v>
      </c>
      <c r="B544" s="118"/>
      <c r="C544" s="119"/>
      <c r="D544" s="120"/>
      <c r="E544" s="35" t="s">
        <v>1491</v>
      </c>
      <c r="F544" s="513"/>
      <c r="G544" s="514"/>
      <c r="H544" s="514"/>
      <c r="I544" s="514"/>
      <c r="J544" s="514"/>
      <c r="K544" s="514"/>
      <c r="L544" s="514"/>
      <c r="M544" s="514"/>
      <c r="N544" s="514"/>
      <c r="O544" s="121" t="s">
        <v>842</v>
      </c>
      <c r="P544" s="122"/>
      <c r="Q544" s="123" t="s">
        <v>36</v>
      </c>
      <c r="R544" s="124"/>
      <c r="S544" s="125"/>
      <c r="T544" s="126"/>
      <c r="U544" s="127">
        <f>SUM(U545)</f>
        <v>1304685.94</v>
      </c>
      <c r="V544" s="125"/>
      <c r="W544" s="127">
        <f>SUM(W545)</f>
        <v>0</v>
      </c>
      <c r="X544" s="125"/>
      <c r="Y544" s="127">
        <f>SUM(Y545)</f>
        <v>0</v>
      </c>
      <c r="Z544" s="125"/>
      <c r="AA544" s="127">
        <f>SUM(AA545)</f>
        <v>0</v>
      </c>
      <c r="AB544" s="125"/>
      <c r="AC544" s="127">
        <f>SUM(AC545)</f>
        <v>0</v>
      </c>
      <c r="AD544" s="125"/>
      <c r="AE544" s="127">
        <f>SUM(AE545)</f>
        <v>0</v>
      </c>
      <c r="AF544" s="125"/>
      <c r="AG544" s="127">
        <f>SUM(AG545)</f>
        <v>0</v>
      </c>
      <c r="AH544" s="125"/>
      <c r="AI544" s="127">
        <f>SUM(AI545)</f>
        <v>0</v>
      </c>
      <c r="AJ544" s="125"/>
      <c r="AK544" s="127">
        <f>SUM(AK545)</f>
        <v>0</v>
      </c>
      <c r="AL544" s="125"/>
      <c r="AM544" s="127">
        <f>SUM(AM545)</f>
        <v>0</v>
      </c>
      <c r="AN544" s="125"/>
      <c r="AO544" s="127">
        <f>SUM(AO545)</f>
        <v>0</v>
      </c>
      <c r="AP544" s="125"/>
      <c r="AQ544" s="127">
        <f>SUM(AQ545)</f>
        <v>0</v>
      </c>
      <c r="AR544" s="125"/>
      <c r="AS544" s="127">
        <f>SUM(AS545)</f>
        <v>0</v>
      </c>
      <c r="AT544" s="125"/>
      <c r="AU544" s="127">
        <f>SUM(AU545)</f>
        <v>0</v>
      </c>
      <c r="AV544" s="125"/>
      <c r="AW544" s="127">
        <f>SUM(AW545)</f>
        <v>0</v>
      </c>
      <c r="AX544" s="125"/>
      <c r="AY544" s="127">
        <f>SUM(AY545)</f>
        <v>0</v>
      </c>
      <c r="AZ544" s="125"/>
      <c r="BA544" s="127">
        <f>SUM(BA545)</f>
        <v>0</v>
      </c>
      <c r="BB544" s="125"/>
      <c r="BC544" s="127">
        <f>SUM(BC545)</f>
        <v>0</v>
      </c>
      <c r="BD544" s="125"/>
      <c r="BE544" s="127">
        <f>SUM(BE545)</f>
        <v>0</v>
      </c>
      <c r="BF544" s="125"/>
      <c r="BG544" s="127">
        <f>SUM(BG545)</f>
        <v>0</v>
      </c>
      <c r="BH544" s="45"/>
    </row>
    <row r="545" spans="1:61" ht="19.5" customHeight="1" x14ac:dyDescent="0.45">
      <c r="A545" s="128">
        <v>6</v>
      </c>
      <c r="B545" s="129"/>
      <c r="C545" s="130"/>
      <c r="D545" s="131"/>
      <c r="E545" s="132" t="s">
        <v>843</v>
      </c>
      <c r="F545" s="515"/>
      <c r="G545" s="516"/>
      <c r="H545" s="516"/>
      <c r="I545" s="516"/>
      <c r="J545" s="516"/>
      <c r="K545" s="516"/>
      <c r="L545" s="516"/>
      <c r="M545" s="516"/>
      <c r="N545" s="516"/>
      <c r="O545" s="133" t="s">
        <v>35</v>
      </c>
      <c r="P545" s="134"/>
      <c r="Q545" s="135" t="s">
        <v>36</v>
      </c>
      <c r="R545" s="136"/>
      <c r="S545" s="137"/>
      <c r="T545" s="138"/>
      <c r="U545" s="139">
        <f>SUM(U546:U546)</f>
        <v>1304685.94</v>
      </c>
      <c r="V545" s="137"/>
      <c r="W545" s="139">
        <f>SUM(W546:W546)</f>
        <v>0</v>
      </c>
      <c r="X545" s="137"/>
      <c r="Y545" s="139">
        <f>SUM(Y546:Y546)</f>
        <v>0</v>
      </c>
      <c r="Z545" s="137"/>
      <c r="AA545" s="139">
        <f>SUM(AA546:AA546)</f>
        <v>0</v>
      </c>
      <c r="AB545" s="137"/>
      <c r="AC545" s="139">
        <f>SUM(AC546:AC546)</f>
        <v>0</v>
      </c>
      <c r="AD545" s="137"/>
      <c r="AE545" s="139">
        <f>SUM(AE546:AE546)</f>
        <v>0</v>
      </c>
      <c r="AF545" s="137"/>
      <c r="AG545" s="139">
        <f>SUM(AG546:AG546)</f>
        <v>0</v>
      </c>
      <c r="AH545" s="137"/>
      <c r="AI545" s="139">
        <f>SUM(AI546:AI546)</f>
        <v>0</v>
      </c>
      <c r="AJ545" s="137"/>
      <c r="AK545" s="139">
        <f>SUM(AK546:AK546)</f>
        <v>0</v>
      </c>
      <c r="AL545" s="137"/>
      <c r="AM545" s="139">
        <f>SUM(AM546:AM546)</f>
        <v>0</v>
      </c>
      <c r="AN545" s="137"/>
      <c r="AO545" s="139">
        <f>SUM(AO546:AO546)</f>
        <v>0</v>
      </c>
      <c r="AP545" s="137"/>
      <c r="AQ545" s="139">
        <f>SUM(AQ546:AQ546)</f>
        <v>0</v>
      </c>
      <c r="AR545" s="137"/>
      <c r="AS545" s="139">
        <f>SUM(AS546:AS546)</f>
        <v>0</v>
      </c>
      <c r="AT545" s="137"/>
      <c r="AU545" s="139">
        <f>SUM(AU546:AU546)</f>
        <v>0</v>
      </c>
      <c r="AV545" s="137"/>
      <c r="AW545" s="139">
        <f>SUM(AW546:AW546)</f>
        <v>0</v>
      </c>
      <c r="AX545" s="137"/>
      <c r="AY545" s="139">
        <f>SUM(AY546:AY546)</f>
        <v>0</v>
      </c>
      <c r="AZ545" s="137"/>
      <c r="BA545" s="139">
        <f>SUM(BA546:BA546)</f>
        <v>0</v>
      </c>
      <c r="BB545" s="137"/>
      <c r="BC545" s="139">
        <f>SUM(BC546:BC546)</f>
        <v>0</v>
      </c>
      <c r="BD545" s="137"/>
      <c r="BE545" s="139">
        <f>SUM(BE546:BE546)</f>
        <v>0</v>
      </c>
      <c r="BF545" s="137"/>
      <c r="BG545" s="139">
        <f>SUM(BG546:BG546)</f>
        <v>0</v>
      </c>
      <c r="BH545" s="45"/>
    </row>
    <row r="546" spans="1:61" ht="35.65" x14ac:dyDescent="0.45">
      <c r="A546" s="140">
        <v>6</v>
      </c>
      <c r="B546" s="141" t="s">
        <v>1492</v>
      </c>
      <c r="C546" s="142" t="s">
        <v>36</v>
      </c>
      <c r="D546" s="143" t="str">
        <f>B546&amp;"_"&amp;E546</f>
        <v>6.2_4.1.1</v>
      </c>
      <c r="E546" s="56" t="s">
        <v>844</v>
      </c>
      <c r="F546" s="506" t="s">
        <v>847</v>
      </c>
      <c r="G546" s="507" t="s">
        <v>39</v>
      </c>
      <c r="H546" s="507" t="s">
        <v>39</v>
      </c>
      <c r="I546" s="507" t="s">
        <v>36</v>
      </c>
      <c r="J546" s="507" t="s">
        <v>39</v>
      </c>
      <c r="K546" s="507" t="s">
        <v>39</v>
      </c>
      <c r="L546" s="507" t="s">
        <v>39</v>
      </c>
      <c r="M546" s="507" t="s">
        <v>36</v>
      </c>
      <c r="N546" s="507" t="s">
        <v>1721</v>
      </c>
      <c r="O546" s="57" t="s">
        <v>845</v>
      </c>
      <c r="P546" s="58" t="s">
        <v>846</v>
      </c>
      <c r="Q546" s="59" t="s">
        <v>847</v>
      </c>
      <c r="R546" s="60" t="s">
        <v>71</v>
      </c>
      <c r="S546" s="61">
        <v>1</v>
      </c>
      <c r="T546" s="62">
        <f>INDEX('BM MORRO DA CRUZ'!$P$6:$P$402,MATCH($O546,'BM MORRO DA CRUZ'!$K$6:$K$402,0))</f>
        <v>1304685.94</v>
      </c>
      <c r="U546" s="63">
        <f>ROUND(T546*$S546,2)</f>
        <v>1304685.94</v>
      </c>
      <c r="V546" s="61">
        <f>'01ª MC'!$W$1847</f>
        <v>0</v>
      </c>
      <c r="W546" s="63">
        <f>ROUND(V546*$T546,2)</f>
        <v>0</v>
      </c>
      <c r="X546" s="61">
        <v>0</v>
      </c>
      <c r="Y546" s="63">
        <f>ROUND(X546*$T546,2)</f>
        <v>0</v>
      </c>
      <c r="Z546" s="61">
        <v>0</v>
      </c>
      <c r="AA546" s="63">
        <f>ROUND(Z546*$T546,2)</f>
        <v>0</v>
      </c>
      <c r="AB546" s="61">
        <v>0</v>
      </c>
      <c r="AC546" s="63">
        <f>ROUND(AB546*$T546,2)</f>
        <v>0</v>
      </c>
      <c r="AD546" s="61">
        <v>0</v>
      </c>
      <c r="AE546" s="63">
        <f>ROUND(AD546*$T546,2)</f>
        <v>0</v>
      </c>
      <c r="AF546" s="61">
        <v>0</v>
      </c>
      <c r="AG546" s="63">
        <f>ROUND(AF546*$T546,2)</f>
        <v>0</v>
      </c>
      <c r="AH546" s="61">
        <v>0</v>
      </c>
      <c r="AI546" s="63">
        <f>ROUND(AH546*$T546,2)</f>
        <v>0</v>
      </c>
      <c r="AJ546" s="61">
        <v>0</v>
      </c>
      <c r="AK546" s="63">
        <f>ROUND(AJ546*$T546,2)</f>
        <v>0</v>
      </c>
      <c r="AL546" s="61">
        <v>0</v>
      </c>
      <c r="AM546" s="63">
        <f>ROUND(AL546*$T546,2)</f>
        <v>0</v>
      </c>
      <c r="AN546" s="61">
        <v>0</v>
      </c>
      <c r="AO546" s="63">
        <f>ROUND(AN546*$T546,2)</f>
        <v>0</v>
      </c>
      <c r="AP546" s="61">
        <v>0</v>
      </c>
      <c r="AQ546" s="63">
        <f>ROUND(AP546*$T546,2)</f>
        <v>0</v>
      </c>
      <c r="AR546" s="61">
        <v>0</v>
      </c>
      <c r="AS546" s="63">
        <f>ROUND(AR546*$T546,2)</f>
        <v>0</v>
      </c>
      <c r="AT546" s="61">
        <v>0</v>
      </c>
      <c r="AU546" s="63">
        <f>ROUND(AT546*$T546,2)</f>
        <v>0</v>
      </c>
      <c r="AV546" s="61">
        <v>0</v>
      </c>
      <c r="AW546" s="63">
        <f>ROUND(AV546*$T546,2)</f>
        <v>0</v>
      </c>
      <c r="AX546" s="61">
        <v>0</v>
      </c>
      <c r="AY546" s="63">
        <f>ROUND(AX546*$T546,2)</f>
        <v>0</v>
      </c>
      <c r="AZ546" s="61">
        <v>0</v>
      </c>
      <c r="BA546" s="63">
        <f>ROUND(AZ546*$T546,2)</f>
        <v>0</v>
      </c>
      <c r="BB546" s="61">
        <v>0</v>
      </c>
      <c r="BC546" s="63">
        <f>ROUND(BB546*$T546,2)</f>
        <v>0</v>
      </c>
      <c r="BD546" s="61">
        <v>0</v>
      </c>
      <c r="BE546" s="63">
        <f>ROUND(BD546*$T546,2)</f>
        <v>0</v>
      </c>
      <c r="BF546" s="61">
        <f>IFERROR(SUMIFS($V546:$BE546,$V$5:$BE$5,$BF$5),0)</f>
        <v>0</v>
      </c>
      <c r="BG546" s="63">
        <f>SUMIFS($V546:$BE546,$V$5:$BE$5,$W$5)</f>
        <v>0</v>
      </c>
      <c r="BH546" s="45"/>
      <c r="BI546" s="144"/>
    </row>
    <row r="548" spans="1:61" ht="19.5" customHeight="1" x14ac:dyDescent="0.45">
      <c r="A548" s="408" t="s">
        <v>1420</v>
      </c>
      <c r="B548" s="408"/>
      <c r="C548" s="408"/>
      <c r="D548" s="408"/>
      <c r="E548" s="408"/>
      <c r="F548" s="408"/>
      <c r="G548" s="408"/>
      <c r="H548" s="408"/>
      <c r="I548" s="408"/>
      <c r="J548" s="408"/>
      <c r="K548" s="408"/>
      <c r="L548" s="408"/>
      <c r="M548" s="408"/>
      <c r="N548" s="408"/>
      <c r="O548" s="408"/>
      <c r="P548" s="408"/>
      <c r="Q548" s="408"/>
      <c r="R548" s="66" t="s">
        <v>21</v>
      </c>
      <c r="S548" s="67"/>
      <c r="T548" s="409">
        <f>ROUND(SUMPRODUCT($S$7:$S$546,$T$7:$T$546,--($P$7:$P$546=$R$548)),2)</f>
        <v>15063612.609999999</v>
      </c>
      <c r="U548" s="409"/>
      <c r="V548" s="406">
        <f>SUMIFS(W$7:W$546,$P$7:$P$546,$R$548)</f>
        <v>0</v>
      </c>
      <c r="W548" s="406"/>
      <c r="X548" s="406">
        <f>SUMIFS(Y$7:Y$546,$P$7:$P$546,$R$548)</f>
        <v>0</v>
      </c>
      <c r="Y548" s="406"/>
      <c r="Z548" s="406">
        <f>SUMIFS(AA$7:AA$546,$P$7:$P$546,$R$548)</f>
        <v>0</v>
      </c>
      <c r="AA548" s="406"/>
      <c r="AB548" s="406">
        <f>SUMIFS(AC$7:AC$546,$P$7:$P$546,$R$548)</f>
        <v>0</v>
      </c>
      <c r="AC548" s="406"/>
      <c r="AD548" s="406">
        <f>SUMIFS(AE$7:AE$546,$P$7:$P$546,$R$548)</f>
        <v>0</v>
      </c>
      <c r="AE548" s="406"/>
      <c r="AF548" s="406">
        <f>SUMIFS(AG$7:AG$546,$P$7:$P$546,$R$548)</f>
        <v>0</v>
      </c>
      <c r="AG548" s="406"/>
      <c r="AH548" s="406">
        <f>SUMIFS(AI$7:AI$546,$P$7:$P$546,$R$548)</f>
        <v>0</v>
      </c>
      <c r="AI548" s="406"/>
      <c r="AJ548" s="406">
        <f>SUMIFS(AK$7:AK$546,$P$7:$P$546,$R$548)</f>
        <v>0</v>
      </c>
      <c r="AK548" s="406"/>
      <c r="AL548" s="406">
        <f>SUMIFS(AM$7:AM$546,$P$7:$P$546,$R$548)</f>
        <v>0</v>
      </c>
      <c r="AM548" s="406"/>
      <c r="AN548" s="406">
        <f>SUMIFS(AO$7:AO$546,$P$7:$P$546,$R$548)</f>
        <v>0</v>
      </c>
      <c r="AO548" s="406"/>
      <c r="AP548" s="406">
        <f>SUMIFS(AQ$7:AQ$546,$P$7:$P$546,$R$548)</f>
        <v>0</v>
      </c>
      <c r="AQ548" s="406"/>
      <c r="AR548" s="406">
        <f>SUMIFS(AS$7:AS$546,$P$7:$P$546,$R$548)</f>
        <v>0</v>
      </c>
      <c r="AS548" s="406"/>
      <c r="AT548" s="406">
        <f>SUMIFS(AU$7:AU$546,$P$7:$P$546,$R$548)</f>
        <v>0</v>
      </c>
      <c r="AU548" s="406"/>
      <c r="AV548" s="406">
        <f>SUMIFS(AW$7:AW$546,$P$7:$P$546,$R$548)</f>
        <v>0</v>
      </c>
      <c r="AW548" s="406"/>
      <c r="AX548" s="406">
        <f>SUMIFS(AY$7:AY$546,$P$7:$P$546,$R$548)</f>
        <v>0</v>
      </c>
      <c r="AY548" s="406"/>
      <c r="AZ548" s="406">
        <f>SUMIFS(BA$7:BA$546,$P$7:$P$546,$R$548)</f>
        <v>0</v>
      </c>
      <c r="BA548" s="406"/>
      <c r="BB548" s="406">
        <f>SUMIFS(BC$7:BC$546,$P$7:$P$546,$R$548)</f>
        <v>0</v>
      </c>
      <c r="BC548" s="406"/>
      <c r="BD548" s="406">
        <f>SUMIFS(BE$7:BE$546,$P$7:$P$546,$R$548)</f>
        <v>0</v>
      </c>
      <c r="BE548" s="406"/>
      <c r="BF548" s="407">
        <f>SUMIFS(BG$7:BG$546,$P$7:$P$546,$R$548)</f>
        <v>0</v>
      </c>
      <c r="BG548" s="407"/>
      <c r="BH548" s="70"/>
    </row>
    <row r="549" spans="1:61" ht="19.5" customHeight="1" x14ac:dyDescent="0.45">
      <c r="A549" s="408"/>
      <c r="B549" s="408"/>
      <c r="C549" s="408"/>
      <c r="D549" s="408"/>
      <c r="E549" s="408"/>
      <c r="F549" s="408"/>
      <c r="G549" s="408"/>
      <c r="H549" s="408"/>
      <c r="I549" s="408"/>
      <c r="J549" s="408"/>
      <c r="K549" s="408"/>
      <c r="L549" s="408"/>
      <c r="M549" s="408"/>
      <c r="N549" s="408"/>
      <c r="O549" s="408"/>
      <c r="P549" s="408"/>
      <c r="Q549" s="408"/>
      <c r="R549" s="71" t="s">
        <v>846</v>
      </c>
      <c r="S549" s="72"/>
      <c r="T549" s="398">
        <f>ROUND(SUMPRODUCT($S$7:$S$546,$T$7:$T$546,--($P$7:$P$546=$R$549)),2)</f>
        <v>33470695.550000001</v>
      </c>
      <c r="U549" s="398"/>
      <c r="V549" s="398">
        <f>SUMIFS(W$7:W$546,$P$7:$P$546,$R$549)</f>
        <v>0</v>
      </c>
      <c r="W549" s="398"/>
      <c r="X549" s="398">
        <f>SUMIFS(Y$7:Y$546,$P$7:$P$546,$R$549)</f>
        <v>0</v>
      </c>
      <c r="Y549" s="398"/>
      <c r="Z549" s="398">
        <f>SUMIFS(AA$7:AA$546,$P$7:$P$546,$R$549)</f>
        <v>0</v>
      </c>
      <c r="AA549" s="398"/>
      <c r="AB549" s="398">
        <f>SUMIFS(AC$7:AC$546,$P$7:$P$546,$R$549)</f>
        <v>0</v>
      </c>
      <c r="AC549" s="398"/>
      <c r="AD549" s="398">
        <f>SUMIFS(AE$7:AE$546,$P$7:$P$546,$R$549)</f>
        <v>0</v>
      </c>
      <c r="AE549" s="398"/>
      <c r="AF549" s="398">
        <f>SUMIFS(AG$7:AG$546,$P$7:$P$546,$R$549)</f>
        <v>0</v>
      </c>
      <c r="AG549" s="398"/>
      <c r="AH549" s="398">
        <f>SUMIFS(AI$7:AI$546,$P$7:$P$546,$R$549)</f>
        <v>0</v>
      </c>
      <c r="AI549" s="398"/>
      <c r="AJ549" s="398">
        <f>SUMIFS(AK$7:AK$546,$P$7:$P$546,$R$549)</f>
        <v>0</v>
      </c>
      <c r="AK549" s="398"/>
      <c r="AL549" s="398">
        <f>SUMIFS(AM$7:AM$546,$P$7:$P$546,$R$549)</f>
        <v>0</v>
      </c>
      <c r="AM549" s="398"/>
      <c r="AN549" s="398">
        <f>SUMIFS(AO$7:AO$546,$P$7:$P$546,$R$549)</f>
        <v>0</v>
      </c>
      <c r="AO549" s="398"/>
      <c r="AP549" s="398">
        <f>SUMIFS(AQ$7:AQ$546,$P$7:$P$546,$R$549)</f>
        <v>0</v>
      </c>
      <c r="AQ549" s="398"/>
      <c r="AR549" s="398">
        <f>SUMIFS(AS$7:AS$546,$P$7:$P$546,$R$549)</f>
        <v>0</v>
      </c>
      <c r="AS549" s="398"/>
      <c r="AT549" s="398">
        <f>SUMIFS(AU$7:AU$546,$P$7:$P$546,$R$549)</f>
        <v>0</v>
      </c>
      <c r="AU549" s="398"/>
      <c r="AV549" s="398">
        <f>SUMIFS(AW$7:AW$546,$P$7:$P$546,$R$549)</f>
        <v>0</v>
      </c>
      <c r="AW549" s="398"/>
      <c r="AX549" s="398">
        <f>SUMIFS(AY$7:AY$546,$P$7:$P$546,$R$549)</f>
        <v>0</v>
      </c>
      <c r="AY549" s="398"/>
      <c r="AZ549" s="398">
        <f>SUMIFS(BA$7:BA$546,$P$7:$P$546,$R$549)</f>
        <v>0</v>
      </c>
      <c r="BA549" s="398"/>
      <c r="BB549" s="398">
        <f>SUMIFS(BC$7:BC$546,$P$7:$P$546,$R$549)</f>
        <v>0</v>
      </c>
      <c r="BC549" s="398"/>
      <c r="BD549" s="398">
        <f>SUMIFS(BE$7:BE$546,$P$7:$P$546,$R$549)</f>
        <v>0</v>
      </c>
      <c r="BE549" s="398"/>
      <c r="BF549" s="395">
        <f>SUMIFS(BG$7:BG$546,$P$7:$P$546,$R$549)</f>
        <v>0</v>
      </c>
      <c r="BG549" s="395"/>
      <c r="BH549" s="70"/>
    </row>
    <row r="550" spans="1:61" ht="19.5" customHeight="1" x14ac:dyDescent="0.45">
      <c r="A550" s="408"/>
      <c r="B550" s="408"/>
      <c r="C550" s="408"/>
      <c r="D550" s="408"/>
      <c r="E550" s="408"/>
      <c r="F550" s="408"/>
      <c r="G550" s="408"/>
      <c r="H550" s="408"/>
      <c r="I550" s="408"/>
      <c r="J550" s="408"/>
      <c r="K550" s="408"/>
      <c r="L550" s="408"/>
      <c r="M550" s="408"/>
      <c r="N550" s="408"/>
      <c r="O550" s="408"/>
      <c r="P550" s="408"/>
      <c r="Q550" s="408"/>
      <c r="R550" s="75" t="s">
        <v>1421</v>
      </c>
      <c r="S550" s="76"/>
      <c r="T550" s="404">
        <f>SUM(T548:U549)</f>
        <v>48534308.159999996</v>
      </c>
      <c r="U550" s="404"/>
      <c r="V550" s="405">
        <f>SUM(V548:W549)</f>
        <v>0</v>
      </c>
      <c r="W550" s="405"/>
      <c r="X550" s="405">
        <f>SUM(X548:Y549)</f>
        <v>0</v>
      </c>
      <c r="Y550" s="405"/>
      <c r="Z550" s="405">
        <f>SUM(Z548:AA549)</f>
        <v>0</v>
      </c>
      <c r="AA550" s="405"/>
      <c r="AB550" s="405">
        <f>SUM(AB548:AC549)</f>
        <v>0</v>
      </c>
      <c r="AC550" s="405"/>
      <c r="AD550" s="405">
        <f>SUM(AD548:AE549)</f>
        <v>0</v>
      </c>
      <c r="AE550" s="405"/>
      <c r="AF550" s="405">
        <f>SUM(AF548:AG549)</f>
        <v>0</v>
      </c>
      <c r="AG550" s="405"/>
      <c r="AH550" s="405">
        <f>SUM(AH548:AI549)</f>
        <v>0</v>
      </c>
      <c r="AI550" s="405"/>
      <c r="AJ550" s="405">
        <f>SUM(AJ548:AK549)</f>
        <v>0</v>
      </c>
      <c r="AK550" s="405"/>
      <c r="AL550" s="405">
        <f>SUM(AL548:AM549)</f>
        <v>0</v>
      </c>
      <c r="AM550" s="405"/>
      <c r="AN550" s="405">
        <f>SUM(AN548:AO549)</f>
        <v>0</v>
      </c>
      <c r="AO550" s="405"/>
      <c r="AP550" s="405">
        <f>SUM(AP548:AQ549)</f>
        <v>0</v>
      </c>
      <c r="AQ550" s="405"/>
      <c r="AR550" s="405">
        <f>SUM(AR548:AS549)</f>
        <v>0</v>
      </c>
      <c r="AS550" s="405"/>
      <c r="AT550" s="405">
        <f>SUM(AT548:AU549)</f>
        <v>0</v>
      </c>
      <c r="AU550" s="405"/>
      <c r="AV550" s="405">
        <f>SUM(AV548:AW549)</f>
        <v>0</v>
      </c>
      <c r="AW550" s="405"/>
      <c r="AX550" s="405">
        <f>SUM(AX548:AY549)</f>
        <v>0</v>
      </c>
      <c r="AY550" s="405"/>
      <c r="AZ550" s="405">
        <f>SUM(AZ548:BA549)</f>
        <v>0</v>
      </c>
      <c r="BA550" s="405"/>
      <c r="BB550" s="405">
        <f>SUM(BB548:BC549)</f>
        <v>0</v>
      </c>
      <c r="BC550" s="405"/>
      <c r="BD550" s="405">
        <f>SUM(BD548:BE549)</f>
        <v>0</v>
      </c>
      <c r="BE550" s="405"/>
      <c r="BF550" s="405">
        <f>SUM(BF548:BG549)</f>
        <v>0</v>
      </c>
      <c r="BG550" s="405"/>
      <c r="BH550" s="70"/>
    </row>
    <row r="551" spans="1:61" ht="19.5" customHeight="1" x14ac:dyDescent="0.45">
      <c r="A551" s="408"/>
      <c r="B551" s="408"/>
      <c r="C551" s="408"/>
      <c r="D551" s="408"/>
      <c r="E551" s="408"/>
      <c r="F551" s="408"/>
      <c r="G551" s="408"/>
      <c r="H551" s="408"/>
      <c r="I551" s="408"/>
      <c r="J551" s="408"/>
      <c r="K551" s="408"/>
      <c r="L551" s="408"/>
      <c r="M551" s="408"/>
      <c r="N551" s="408"/>
      <c r="O551" s="408"/>
      <c r="P551" s="408"/>
      <c r="Q551" s="408"/>
      <c r="R551" s="71" t="s">
        <v>1422</v>
      </c>
      <c r="S551" s="79">
        <f>'BM MORRO DA CRUZ'!$O$406</f>
        <v>0.15279999999999999</v>
      </c>
      <c r="T551" s="398">
        <f>T548*$S551</f>
        <v>2301720.0068079997</v>
      </c>
      <c r="U551" s="398"/>
      <c r="V551" s="395">
        <f>V548*$S551</f>
        <v>0</v>
      </c>
      <c r="W551" s="395"/>
      <c r="X551" s="395">
        <f>X548*$S551</f>
        <v>0</v>
      </c>
      <c r="Y551" s="395"/>
      <c r="Z551" s="395">
        <f>Z548*$S551</f>
        <v>0</v>
      </c>
      <c r="AA551" s="395"/>
      <c r="AB551" s="395">
        <f>AB548*$S551</f>
        <v>0</v>
      </c>
      <c r="AC551" s="395"/>
      <c r="AD551" s="395">
        <f>AD548*$S551</f>
        <v>0</v>
      </c>
      <c r="AE551" s="395"/>
      <c r="AF551" s="395">
        <f>AF548*$S551</f>
        <v>0</v>
      </c>
      <c r="AG551" s="395"/>
      <c r="AH551" s="395">
        <f>AH548*$S551</f>
        <v>0</v>
      </c>
      <c r="AI551" s="395"/>
      <c r="AJ551" s="395">
        <f>AJ548*$S551</f>
        <v>0</v>
      </c>
      <c r="AK551" s="395"/>
      <c r="AL551" s="395">
        <f>AL548*$S551</f>
        <v>0</v>
      </c>
      <c r="AM551" s="395"/>
      <c r="AN551" s="395">
        <f>AN548*$S551</f>
        <v>0</v>
      </c>
      <c r="AO551" s="395"/>
      <c r="AP551" s="395">
        <f>AP548*$S551</f>
        <v>0</v>
      </c>
      <c r="AQ551" s="395"/>
      <c r="AR551" s="395">
        <f>AR548*$S551</f>
        <v>0</v>
      </c>
      <c r="AS551" s="395"/>
      <c r="AT551" s="395">
        <f>AT548*$S551</f>
        <v>0</v>
      </c>
      <c r="AU551" s="395"/>
      <c r="AV551" s="395">
        <f>AV548*$S551</f>
        <v>0</v>
      </c>
      <c r="AW551" s="395"/>
      <c r="AX551" s="395">
        <f>AX548*$S551</f>
        <v>0</v>
      </c>
      <c r="AY551" s="395"/>
      <c r="AZ551" s="395">
        <f>AZ548*$S551</f>
        <v>0</v>
      </c>
      <c r="BA551" s="395"/>
      <c r="BB551" s="395">
        <f>BB548*$S551</f>
        <v>0</v>
      </c>
      <c r="BC551" s="395"/>
      <c r="BD551" s="395">
        <f>BD548*$S551</f>
        <v>0</v>
      </c>
      <c r="BE551" s="395"/>
      <c r="BF551" s="395">
        <f>BF548*$S551</f>
        <v>0</v>
      </c>
      <c r="BG551" s="395"/>
      <c r="BH551" s="70"/>
    </row>
    <row r="552" spans="1:61" ht="19.5" customHeight="1" x14ac:dyDescent="0.45">
      <c r="A552" s="408"/>
      <c r="B552" s="408"/>
      <c r="C552" s="408"/>
      <c r="D552" s="408"/>
      <c r="E552" s="408"/>
      <c r="F552" s="408"/>
      <c r="G552" s="408"/>
      <c r="H552" s="408"/>
      <c r="I552" s="408"/>
      <c r="J552" s="408"/>
      <c r="K552" s="408"/>
      <c r="L552" s="408"/>
      <c r="M552" s="408"/>
      <c r="N552" s="408"/>
      <c r="O552" s="408"/>
      <c r="P552" s="408"/>
      <c r="Q552" s="408"/>
      <c r="R552" s="71" t="s">
        <v>1423</v>
      </c>
      <c r="S552" s="79">
        <f>'BM MORRO DA CRUZ'!$O$407</f>
        <v>0.21479999999999999</v>
      </c>
      <c r="T552" s="398">
        <f>T549*$S552</f>
        <v>7189505.4041400002</v>
      </c>
      <c r="U552" s="398"/>
      <c r="V552" s="395">
        <f>V549*$S552</f>
        <v>0</v>
      </c>
      <c r="W552" s="395"/>
      <c r="X552" s="395">
        <f>X549*$S552</f>
        <v>0</v>
      </c>
      <c r="Y552" s="395"/>
      <c r="Z552" s="395">
        <f>Z549*$S552</f>
        <v>0</v>
      </c>
      <c r="AA552" s="395"/>
      <c r="AB552" s="395">
        <f>AB549*$S552</f>
        <v>0</v>
      </c>
      <c r="AC552" s="395"/>
      <c r="AD552" s="395">
        <f>AD549*$S552</f>
        <v>0</v>
      </c>
      <c r="AE552" s="395"/>
      <c r="AF552" s="395">
        <f>AF549*$S552</f>
        <v>0</v>
      </c>
      <c r="AG552" s="395"/>
      <c r="AH552" s="395">
        <f>AH549*$S552</f>
        <v>0</v>
      </c>
      <c r="AI552" s="395"/>
      <c r="AJ552" s="395">
        <f>AJ549*$S552</f>
        <v>0</v>
      </c>
      <c r="AK552" s="395"/>
      <c r="AL552" s="395">
        <f>AL549*$S552</f>
        <v>0</v>
      </c>
      <c r="AM552" s="395"/>
      <c r="AN552" s="395">
        <f>AN549*$S552</f>
        <v>0</v>
      </c>
      <c r="AO552" s="395"/>
      <c r="AP552" s="395">
        <f>AP549*$S552</f>
        <v>0</v>
      </c>
      <c r="AQ552" s="395"/>
      <c r="AR552" s="395">
        <f>AR549*$S552</f>
        <v>0</v>
      </c>
      <c r="AS552" s="395"/>
      <c r="AT552" s="395">
        <f>AT549*$S552</f>
        <v>0</v>
      </c>
      <c r="AU552" s="395"/>
      <c r="AV552" s="395">
        <f>AV549*$S552</f>
        <v>0</v>
      </c>
      <c r="AW552" s="395"/>
      <c r="AX552" s="395">
        <f>AX549*$S552</f>
        <v>0</v>
      </c>
      <c r="AY552" s="395"/>
      <c r="AZ552" s="395">
        <f>AZ549*$S552</f>
        <v>0</v>
      </c>
      <c r="BA552" s="395"/>
      <c r="BB552" s="395">
        <f>BB549*$S552</f>
        <v>0</v>
      </c>
      <c r="BC552" s="395"/>
      <c r="BD552" s="395">
        <f>BD549*$S552</f>
        <v>0</v>
      </c>
      <c r="BE552" s="395"/>
      <c r="BF552" s="395">
        <f>BF549*$S552</f>
        <v>0</v>
      </c>
      <c r="BG552" s="395"/>
      <c r="BH552" s="70"/>
    </row>
    <row r="553" spans="1:61" ht="19.5" customHeight="1" x14ac:dyDescent="0.45">
      <c r="A553" s="408"/>
      <c r="B553" s="408"/>
      <c r="C553" s="408"/>
      <c r="D553" s="408"/>
      <c r="E553" s="408"/>
      <c r="F553" s="408"/>
      <c r="G553" s="408"/>
      <c r="H553" s="408"/>
      <c r="I553" s="408"/>
      <c r="J553" s="408"/>
      <c r="K553" s="408"/>
      <c r="L553" s="408"/>
      <c r="M553" s="408"/>
      <c r="N553" s="408"/>
      <c r="O553" s="408"/>
      <c r="P553" s="408"/>
      <c r="Q553" s="408"/>
      <c r="R553" s="75" t="s">
        <v>1424</v>
      </c>
      <c r="S553" s="80"/>
      <c r="T553" s="404">
        <f>SUM(T551:U552)</f>
        <v>9491225.4109480008</v>
      </c>
      <c r="U553" s="404"/>
      <c r="V553" s="405">
        <f>SUM(V551:W552)</f>
        <v>0</v>
      </c>
      <c r="W553" s="405"/>
      <c r="X553" s="405">
        <f>SUM(X551:Y552)</f>
        <v>0</v>
      </c>
      <c r="Y553" s="405"/>
      <c r="Z553" s="405">
        <f>SUM(Z551:AA552)</f>
        <v>0</v>
      </c>
      <c r="AA553" s="405"/>
      <c r="AB553" s="405">
        <f>SUM(AB551:AC552)</f>
        <v>0</v>
      </c>
      <c r="AC553" s="405"/>
      <c r="AD553" s="405">
        <f>SUM(AD551:AE552)</f>
        <v>0</v>
      </c>
      <c r="AE553" s="405"/>
      <c r="AF553" s="405">
        <f>SUM(AF551:AG552)</f>
        <v>0</v>
      </c>
      <c r="AG553" s="405"/>
      <c r="AH553" s="405">
        <f>SUM(AH551:AI552)</f>
        <v>0</v>
      </c>
      <c r="AI553" s="405"/>
      <c r="AJ553" s="405">
        <f>SUM(AJ551:AK552)</f>
        <v>0</v>
      </c>
      <c r="AK553" s="405"/>
      <c r="AL553" s="405">
        <f>SUM(AL551:AM552)</f>
        <v>0</v>
      </c>
      <c r="AM553" s="405"/>
      <c r="AN553" s="405">
        <f>SUM(AN551:AO552)</f>
        <v>0</v>
      </c>
      <c r="AO553" s="405"/>
      <c r="AP553" s="405">
        <f>SUM(AP551:AQ552)</f>
        <v>0</v>
      </c>
      <c r="AQ553" s="405"/>
      <c r="AR553" s="405">
        <f>SUM(AR551:AS552)</f>
        <v>0</v>
      </c>
      <c r="AS553" s="405"/>
      <c r="AT553" s="405">
        <f>SUM(AT551:AU552)</f>
        <v>0</v>
      </c>
      <c r="AU553" s="405"/>
      <c r="AV553" s="405">
        <f>SUM(AV551:AW552)</f>
        <v>0</v>
      </c>
      <c r="AW553" s="405"/>
      <c r="AX553" s="405">
        <f>SUM(AX551:AY552)</f>
        <v>0</v>
      </c>
      <c r="AY553" s="405"/>
      <c r="AZ553" s="405">
        <f>SUM(AZ551:BA552)</f>
        <v>0</v>
      </c>
      <c r="BA553" s="405"/>
      <c r="BB553" s="405">
        <f>SUM(BB551:BC552)</f>
        <v>0</v>
      </c>
      <c r="BC553" s="405"/>
      <c r="BD553" s="405">
        <f>SUM(BD551:BE552)</f>
        <v>0</v>
      </c>
      <c r="BE553" s="405"/>
      <c r="BF553" s="405">
        <f>SUM(BF551:BG552)</f>
        <v>0</v>
      </c>
      <c r="BG553" s="405"/>
      <c r="BH553" s="70"/>
    </row>
    <row r="554" spans="1:61" ht="19.5" customHeight="1" x14ac:dyDescent="0.45">
      <c r="A554" s="408"/>
      <c r="B554" s="408"/>
      <c r="C554" s="408"/>
      <c r="D554" s="408"/>
      <c r="E554" s="408"/>
      <c r="F554" s="408"/>
      <c r="G554" s="408"/>
      <c r="H554" s="408"/>
      <c r="I554" s="408"/>
      <c r="J554" s="408"/>
      <c r="K554" s="408"/>
      <c r="L554" s="408"/>
      <c r="M554" s="408"/>
      <c r="N554" s="408"/>
      <c r="O554" s="408"/>
      <c r="P554" s="408"/>
      <c r="Q554" s="408"/>
      <c r="R554" s="81" t="s">
        <v>1425</v>
      </c>
      <c r="S554" s="82"/>
      <c r="T554" s="398">
        <f>SUM(T550,T553)</f>
        <v>58025533.570947997</v>
      </c>
      <c r="U554" s="398"/>
      <c r="V554" s="395">
        <f>SUM(V550,V553)</f>
        <v>0</v>
      </c>
      <c r="W554" s="395"/>
      <c r="X554" s="395">
        <f>SUM(X550,X553)</f>
        <v>0</v>
      </c>
      <c r="Y554" s="395"/>
      <c r="Z554" s="395">
        <f>SUM(Z550,Z553)</f>
        <v>0</v>
      </c>
      <c r="AA554" s="395"/>
      <c r="AB554" s="395">
        <f>SUM(AB550,AB553)</f>
        <v>0</v>
      </c>
      <c r="AC554" s="395"/>
      <c r="AD554" s="395">
        <f>SUM(AD550,AD553)</f>
        <v>0</v>
      </c>
      <c r="AE554" s="395"/>
      <c r="AF554" s="395">
        <f>SUM(AF550,AF553)</f>
        <v>0</v>
      </c>
      <c r="AG554" s="395"/>
      <c r="AH554" s="395">
        <f>SUM(AH550,AH553)</f>
        <v>0</v>
      </c>
      <c r="AI554" s="395"/>
      <c r="AJ554" s="395">
        <f>SUM(AJ550,AJ553)</f>
        <v>0</v>
      </c>
      <c r="AK554" s="395"/>
      <c r="AL554" s="395">
        <f>SUM(AL550,AL553)</f>
        <v>0</v>
      </c>
      <c r="AM554" s="395"/>
      <c r="AN554" s="395">
        <f>SUM(AN550,AN553)</f>
        <v>0</v>
      </c>
      <c r="AO554" s="395"/>
      <c r="AP554" s="395">
        <f>SUM(AP550,AP553)</f>
        <v>0</v>
      </c>
      <c r="AQ554" s="395"/>
      <c r="AR554" s="395">
        <f>SUM(AR550,AR553)</f>
        <v>0</v>
      </c>
      <c r="AS554" s="395"/>
      <c r="AT554" s="395">
        <f>SUM(AT550,AT553)</f>
        <v>0</v>
      </c>
      <c r="AU554" s="395"/>
      <c r="AV554" s="395">
        <f>SUM(AV550,AV553)</f>
        <v>0</v>
      </c>
      <c r="AW554" s="395"/>
      <c r="AX554" s="395">
        <f>SUM(AX550,AX553)</f>
        <v>0</v>
      </c>
      <c r="AY554" s="395"/>
      <c r="AZ554" s="395">
        <f>SUM(AZ550,AZ553)</f>
        <v>0</v>
      </c>
      <c r="BA554" s="395"/>
      <c r="BB554" s="395">
        <f>SUM(BB550,BB553)</f>
        <v>0</v>
      </c>
      <c r="BC554" s="395"/>
      <c r="BD554" s="395">
        <f>SUM(BD550,BD553)</f>
        <v>0</v>
      </c>
      <c r="BE554" s="395"/>
      <c r="BF554" s="395">
        <f>SUM(BF550,BF553)</f>
        <v>0</v>
      </c>
      <c r="BG554" s="395"/>
      <c r="BH554" s="70"/>
    </row>
    <row r="555" spans="1:61" ht="19.5" customHeight="1" x14ac:dyDescent="0.45">
      <c r="A555" s="408"/>
      <c r="B555" s="408"/>
      <c r="C555" s="408"/>
      <c r="D555" s="408"/>
      <c r="E555" s="408"/>
      <c r="F555" s="408"/>
      <c r="G555" s="408"/>
      <c r="H555" s="408"/>
      <c r="I555" s="408"/>
      <c r="J555" s="408"/>
      <c r="K555" s="408"/>
      <c r="L555" s="408"/>
      <c r="M555" s="408"/>
      <c r="N555" s="408"/>
      <c r="O555" s="408"/>
      <c r="P555" s="408"/>
      <c r="Q555" s="408"/>
      <c r="R555" s="83" t="s">
        <v>1426</v>
      </c>
      <c r="S555" s="80">
        <f>'BM MORRO DA CRUZ'!$O$410</f>
        <v>-0.14039999999999997</v>
      </c>
      <c r="T555" s="404">
        <f>T$554*$S$555</f>
        <v>-8146784.9133610968</v>
      </c>
      <c r="U555" s="404"/>
      <c r="V555" s="405">
        <f>V$554*$S$555</f>
        <v>0</v>
      </c>
      <c r="W555" s="405"/>
      <c r="X555" s="405">
        <f>X$554*$S$555</f>
        <v>0</v>
      </c>
      <c r="Y555" s="405"/>
      <c r="Z555" s="405">
        <f>Z$554*$S$555</f>
        <v>0</v>
      </c>
      <c r="AA555" s="405"/>
      <c r="AB555" s="405">
        <f>AB$554*$S$555</f>
        <v>0</v>
      </c>
      <c r="AC555" s="405"/>
      <c r="AD555" s="405">
        <f>AD$554*$S$555</f>
        <v>0</v>
      </c>
      <c r="AE555" s="405"/>
      <c r="AF555" s="405">
        <f>AF$554*$S$555</f>
        <v>0</v>
      </c>
      <c r="AG555" s="405"/>
      <c r="AH555" s="405">
        <f>AH$554*$S$555</f>
        <v>0</v>
      </c>
      <c r="AI555" s="405"/>
      <c r="AJ555" s="405">
        <f>AJ$554*$S$555</f>
        <v>0</v>
      </c>
      <c r="AK555" s="405"/>
      <c r="AL555" s="405">
        <f>AL$554*$S$555</f>
        <v>0</v>
      </c>
      <c r="AM555" s="405"/>
      <c r="AN555" s="405">
        <f>AN$554*$S$555</f>
        <v>0</v>
      </c>
      <c r="AO555" s="405"/>
      <c r="AP555" s="405">
        <f>AP$554*$S$555</f>
        <v>0</v>
      </c>
      <c r="AQ555" s="405"/>
      <c r="AR555" s="405">
        <f>AR$554*$S$555</f>
        <v>0</v>
      </c>
      <c r="AS555" s="405"/>
      <c r="AT555" s="405">
        <f>AT$554*$S$555</f>
        <v>0</v>
      </c>
      <c r="AU555" s="405"/>
      <c r="AV555" s="405">
        <f>AV$554*$S$555</f>
        <v>0</v>
      </c>
      <c r="AW555" s="405"/>
      <c r="AX555" s="405">
        <f>AX$554*$S$555</f>
        <v>0</v>
      </c>
      <c r="AY555" s="405"/>
      <c r="AZ555" s="405">
        <f>AZ$554*$S$555</f>
        <v>0</v>
      </c>
      <c r="BA555" s="405"/>
      <c r="BB555" s="405">
        <f>BB$554*$S$555</f>
        <v>0</v>
      </c>
      <c r="BC555" s="405"/>
      <c r="BD555" s="405">
        <f>BD$554*$S$555</f>
        <v>0</v>
      </c>
      <c r="BE555" s="405"/>
      <c r="BF555" s="405">
        <f>BF$554*$S$555</f>
        <v>0</v>
      </c>
      <c r="BG555" s="405"/>
      <c r="BH555" s="70"/>
    </row>
    <row r="556" spans="1:61" ht="34.5" customHeight="1" x14ac:dyDescent="0.45">
      <c r="A556" s="408"/>
      <c r="B556" s="408"/>
      <c r="C556" s="408"/>
      <c r="D556" s="408"/>
      <c r="E556" s="408"/>
      <c r="F556" s="408"/>
      <c r="G556" s="408"/>
      <c r="H556" s="408"/>
      <c r="I556" s="408"/>
      <c r="J556" s="408"/>
      <c r="K556" s="408"/>
      <c r="L556" s="408"/>
      <c r="M556" s="408"/>
      <c r="N556" s="408"/>
      <c r="O556" s="408"/>
      <c r="P556" s="408"/>
      <c r="Q556" s="408"/>
      <c r="R556" s="85" t="s">
        <v>1428</v>
      </c>
      <c r="S556" s="86"/>
      <c r="T556" s="403">
        <f>SUM(T554:U555)</f>
        <v>49878748.657586902</v>
      </c>
      <c r="U556" s="403"/>
      <c r="V556" s="400">
        <f>SUM(V554:W555)</f>
        <v>0</v>
      </c>
      <c r="W556" s="400"/>
      <c r="X556" s="400">
        <f>SUM(X554:Y555)</f>
        <v>0</v>
      </c>
      <c r="Y556" s="400"/>
      <c r="Z556" s="400">
        <f>SUM(Z554:AA555)</f>
        <v>0</v>
      </c>
      <c r="AA556" s="400"/>
      <c r="AB556" s="400">
        <f>SUM(AB554:AC555)</f>
        <v>0</v>
      </c>
      <c r="AC556" s="400"/>
      <c r="AD556" s="400">
        <f>SUM(AD554:AE555)</f>
        <v>0</v>
      </c>
      <c r="AE556" s="400"/>
      <c r="AF556" s="400">
        <f>SUM(AF554:AG555)</f>
        <v>0</v>
      </c>
      <c r="AG556" s="400"/>
      <c r="AH556" s="400">
        <f>SUM(AH554:AI555)</f>
        <v>0</v>
      </c>
      <c r="AI556" s="400"/>
      <c r="AJ556" s="400">
        <f>SUM(AJ554:AK555)</f>
        <v>0</v>
      </c>
      <c r="AK556" s="400"/>
      <c r="AL556" s="400">
        <f>SUM(AL554:AM555)</f>
        <v>0</v>
      </c>
      <c r="AM556" s="400"/>
      <c r="AN556" s="400">
        <f>SUM(AN554:AO555)</f>
        <v>0</v>
      </c>
      <c r="AO556" s="400"/>
      <c r="AP556" s="400">
        <f>SUM(AP554:AQ555)</f>
        <v>0</v>
      </c>
      <c r="AQ556" s="400"/>
      <c r="AR556" s="400">
        <f>SUM(AR554:AS555)</f>
        <v>0</v>
      </c>
      <c r="AS556" s="400"/>
      <c r="AT556" s="400">
        <f>SUM(AT554:AU555)</f>
        <v>0</v>
      </c>
      <c r="AU556" s="400"/>
      <c r="AV556" s="400">
        <f>SUM(AV554:AW555)</f>
        <v>0</v>
      </c>
      <c r="AW556" s="400"/>
      <c r="AX556" s="400">
        <f>SUM(AX554:AY555)</f>
        <v>0</v>
      </c>
      <c r="AY556" s="400"/>
      <c r="AZ556" s="400">
        <f>SUM(AZ554:BA555)</f>
        <v>0</v>
      </c>
      <c r="BA556" s="400"/>
      <c r="BB556" s="400">
        <f>SUM(BB554:BC555)</f>
        <v>0</v>
      </c>
      <c r="BC556" s="400"/>
      <c r="BD556" s="400">
        <f>SUM(BD554:BE555)</f>
        <v>0</v>
      </c>
      <c r="BE556" s="400"/>
      <c r="BF556" s="400">
        <f>SUM(BF554:BG555)</f>
        <v>0</v>
      </c>
      <c r="BG556" s="400"/>
      <c r="BH556" s="70"/>
    </row>
    <row r="557" spans="1:61" ht="19.5" customHeight="1" x14ac:dyDescent="0.45">
      <c r="A557" s="408"/>
      <c r="B557" s="408"/>
      <c r="C557" s="408"/>
      <c r="D557" s="408"/>
      <c r="E557" s="408"/>
      <c r="F557" s="408"/>
      <c r="G557" s="408"/>
      <c r="H557" s="408"/>
      <c r="I557" s="408"/>
      <c r="J557" s="408"/>
      <c r="K557" s="408"/>
      <c r="L557" s="408"/>
      <c r="M557" s="408"/>
      <c r="N557" s="408"/>
      <c r="O557" s="408"/>
      <c r="P557" s="408"/>
      <c r="Q557" s="408"/>
      <c r="R557" s="85" t="s">
        <v>1429</v>
      </c>
      <c r="S557" s="86"/>
      <c r="T557" s="401">
        <f>IFERROR(T556/T554,0)</f>
        <v>0.85960000000000003</v>
      </c>
      <c r="U557" s="401"/>
      <c r="V557" s="402">
        <f>IFERROR(V556/$T$556,0)</f>
        <v>0</v>
      </c>
      <c r="W557" s="402"/>
      <c r="X557" s="402">
        <f>IFERROR(X556/$T$556,0)</f>
        <v>0</v>
      </c>
      <c r="Y557" s="402"/>
      <c r="Z557" s="402">
        <f>IFERROR(Z556/$T$556,0)</f>
        <v>0</v>
      </c>
      <c r="AA557" s="402"/>
      <c r="AB557" s="402">
        <f>IFERROR(AB556/$T$556,0)</f>
        <v>0</v>
      </c>
      <c r="AC557" s="402"/>
      <c r="AD557" s="402">
        <f>IFERROR(AD556/$T$556,0)</f>
        <v>0</v>
      </c>
      <c r="AE557" s="402"/>
      <c r="AF557" s="402">
        <f>IFERROR(AF556/$T$556,0)</f>
        <v>0</v>
      </c>
      <c r="AG557" s="402"/>
      <c r="AH557" s="402">
        <f>IFERROR(AH556/$T$556,0)</f>
        <v>0</v>
      </c>
      <c r="AI557" s="402"/>
      <c r="AJ557" s="402">
        <f>IFERROR(AJ556/$T$556,0)</f>
        <v>0</v>
      </c>
      <c r="AK557" s="402"/>
      <c r="AL557" s="402">
        <f>IFERROR(AL556/$T$556,0)</f>
        <v>0</v>
      </c>
      <c r="AM557" s="402"/>
      <c r="AN557" s="402">
        <f>IFERROR(AN556/$T$556,0)</f>
        <v>0</v>
      </c>
      <c r="AO557" s="402"/>
      <c r="AP557" s="402">
        <f>IFERROR(AP556/$T$556,0)</f>
        <v>0</v>
      </c>
      <c r="AQ557" s="402"/>
      <c r="AR557" s="402">
        <f>IFERROR(AR556/$T$556,0)</f>
        <v>0</v>
      </c>
      <c r="AS557" s="402"/>
      <c r="AT557" s="402">
        <f>IFERROR(AT556/$T$556,0)</f>
        <v>0</v>
      </c>
      <c r="AU557" s="402"/>
      <c r="AV557" s="402">
        <f>IFERROR(AV556/$T$556,0)</f>
        <v>0</v>
      </c>
      <c r="AW557" s="402"/>
      <c r="AX557" s="402">
        <f>IFERROR(AX556/$T$556,0)</f>
        <v>0</v>
      </c>
      <c r="AY557" s="402"/>
      <c r="AZ557" s="402">
        <f>IFERROR(AZ556/$T$556,0)</f>
        <v>0</v>
      </c>
      <c r="BA557" s="402"/>
      <c r="BB557" s="402">
        <f>IFERROR(BB556/$T$556,0)</f>
        <v>0</v>
      </c>
      <c r="BC557" s="402"/>
      <c r="BD557" s="402">
        <f>IFERROR(BD556/$T$556,0)</f>
        <v>0</v>
      </c>
      <c r="BE557" s="402"/>
      <c r="BF557" s="402">
        <f>IFERROR(BF556/$T$556,0)</f>
        <v>0</v>
      </c>
      <c r="BG557" s="402"/>
    </row>
    <row r="558" spans="1:61" ht="19.5" customHeight="1" x14ac:dyDescent="0.45">
      <c r="A558" s="399" t="s">
        <v>1430</v>
      </c>
      <c r="B558" s="399"/>
      <c r="C558" s="399"/>
      <c r="D558" s="399"/>
      <c r="E558" s="399"/>
      <c r="F558" s="399"/>
      <c r="G558" s="399"/>
      <c r="H558" s="399"/>
      <c r="I558" s="399"/>
      <c r="J558" s="399"/>
      <c r="K558" s="399"/>
      <c r="L558" s="399"/>
      <c r="M558" s="399"/>
      <c r="N558" s="399"/>
      <c r="O558" s="399"/>
      <c r="P558" s="399"/>
      <c r="Q558" s="399"/>
      <c r="R558" s="89" t="s">
        <v>1431</v>
      </c>
      <c r="S558" s="90">
        <f>IF('BM MORRO DA CRUZ'!$O$413="","",'BM MORRO DA CRUZ'!$O$413)</f>
        <v>3.2899999999999999E-2</v>
      </c>
      <c r="T558" s="397">
        <f>IF(COUNT(V558,X558,Z558,AB558,AD558,AF558,AH558,AJ558,AL558,AN558,AP558,AR558,AT558,AV558,AX558,AZ558,BB558,BD558)&lt;18,"",SUM(V558,X558,Z558,AB558,AD558,AF558,AH558,AJ558,AL558,AN558,AP558,AR558,AT558,AV558,AX558,AZ558,BB558,BD558))</f>
        <v>0</v>
      </c>
      <c r="U558" s="397"/>
      <c r="V558" s="397">
        <f>IF(SUM(V548,V551)=0,0,IF(COUNT(REAJUSTE!G24)=0,"",REAJUSTE!G24*SUM(V548,V551)*(1+$S$555)))</f>
        <v>0</v>
      </c>
      <c r="W558" s="397"/>
      <c r="X558" s="397">
        <f>IF(SUM(X548,X551)=0,0,IF(COUNT(REAJUSTE!G25)=0,"",REAJUSTE!G25*SUM(X548,X551)*(1+$S$555)))</f>
        <v>0</v>
      </c>
      <c r="Y558" s="397"/>
      <c r="Z558" s="397">
        <f>IF(SUM(Z548,Z551)=0,0,IF(COUNT(REAJUSTE!G26)=0,"",REAJUSTE!G26*SUM(Z548,Z551)*(1+$S$555)))</f>
        <v>0</v>
      </c>
      <c r="AA558" s="397"/>
      <c r="AB558" s="397">
        <f>IF(SUM(AB548,AB551)=0,0,IF(COUNT(REAJUSTE!G27)=0,"",REAJUSTE!G27*SUM(AB548,AB551)*(1+$S$555)))</f>
        <v>0</v>
      </c>
      <c r="AC558" s="397"/>
      <c r="AD558" s="397">
        <f>IF(SUM(AD548,AD551)=0,0,IF(COUNT(REAJUSTE!G28)=0,"",REAJUSTE!G28*SUM(AD548,AD551)*(1+$S$555)))</f>
        <v>0</v>
      </c>
      <c r="AE558" s="397"/>
      <c r="AF558" s="397">
        <f>IF(SUM(AF548,AF551)=0,0,IF(COUNT(REAJUSTE!G29)=0,"",REAJUSTE!G29*SUM(AF548,AF551)*(1+$S$555)))</f>
        <v>0</v>
      </c>
      <c r="AG558" s="397"/>
      <c r="AH558" s="397">
        <f>IF(SUM(AH548,AH551)=0,0,IF(COUNT(REAJUSTE!G30)=0,"",REAJUSTE!G30*SUM(AH548,AH551)*(1+$S$555)))</f>
        <v>0</v>
      </c>
      <c r="AI558" s="397"/>
      <c r="AJ558" s="397">
        <f>IF(SUM(AJ548,AJ551)=0,0,IF(COUNT(REAJUSTE!G31)=0,"",REAJUSTE!G31*SUM(AJ548,AJ551)*(1+$S$555)))</f>
        <v>0</v>
      </c>
      <c r="AK558" s="397"/>
      <c r="AL558" s="397">
        <f>IF(SUM(AL548,AL551)=0,0,IF(COUNT(REAJUSTE!G32)=0,"",REAJUSTE!G32*SUM(AL548,AL551)*(1+$S$555)))</f>
        <v>0</v>
      </c>
      <c r="AM558" s="397"/>
      <c r="AN558" s="397">
        <f>IF(SUM(AN548,AN551)=0,0,IF(COUNT(REAJUSTE!G33)=0,"",REAJUSTE!G33*SUM(AN548,AN551)*(1+$S$555)))</f>
        <v>0</v>
      </c>
      <c r="AO558" s="397"/>
      <c r="AP558" s="397">
        <f>IF(SUM(AP548,AP551)=0,0,IF(COUNT(REAJUSTE!G34)=0,"",REAJUSTE!G34*SUM(AP548,AP551)*(1+$S$555)))</f>
        <v>0</v>
      </c>
      <c r="AQ558" s="397"/>
      <c r="AR558" s="397">
        <f>IF(SUM(AR548,AR551)=0,0,IF(COUNT(REAJUSTE!G35)=0,"",REAJUSTE!G35*SUM(AR548,AR551)*(1+$S$555)))</f>
        <v>0</v>
      </c>
      <c r="AS558" s="397"/>
      <c r="AT558" s="397">
        <f>IF(SUM(AT548,AT551)=0,0,IF(COUNT(REAJUSTE!G36)=0,"",REAJUSTE!G36*SUM(AT548,AT551)*(1+$S$555)))</f>
        <v>0</v>
      </c>
      <c r="AU558" s="397"/>
      <c r="AV558" s="397">
        <f>IF(SUM(AV548,AV551)=0,0,IF(COUNT(REAJUSTE!G37)=0,"",REAJUSTE!G37*SUM(AV548,AV551)*(1+$S$555)))</f>
        <v>0</v>
      </c>
      <c r="AW558" s="397"/>
      <c r="AX558" s="397">
        <f>IF(SUM(AX548,AX551)=0,0,IF(COUNT(REAJUSTE!G38)=0,"",REAJUSTE!G38*SUM(AX548,AX551)*(1+$S$555)))</f>
        <v>0</v>
      </c>
      <c r="AY558" s="397"/>
      <c r="AZ558" s="397">
        <f>IF(SUM(AZ548,AZ551)=0,0,IF(COUNT(REAJUSTE!G39)=0,"",REAJUSTE!G39*SUM(AZ548,AZ551)*(1+$S$555)))</f>
        <v>0</v>
      </c>
      <c r="BA558" s="397"/>
      <c r="BB558" s="397">
        <f>IF(SUM(BB548,BB551)=0,0,IF(COUNT(REAJUSTE!G40)=0,"",REAJUSTE!G40*SUM(BB548,BB551)*(1+$S$555)))</f>
        <v>0</v>
      </c>
      <c r="BC558" s="397"/>
      <c r="BD558" s="397">
        <f>IF(SUM(BD548,BD551)=0,0,IF(COUNT(REAJUSTE!G41)=0,"",REAJUSTE!G41*SUM(BD548,BD551)*(1+$S$555)))</f>
        <v>0</v>
      </c>
      <c r="BE558" s="397"/>
      <c r="BF558" s="397">
        <f>SUM(V558,X558,Z558,AB558,AD558,AF558,AH558,AJ558,AL558,AN558,AP558,AR558,AT558,AV558,AX558,AZ558,BB558,BD558)</f>
        <v>0</v>
      </c>
      <c r="BG558" s="397"/>
    </row>
    <row r="559" spans="1:61" ht="19.5" customHeight="1" x14ac:dyDescent="0.45">
      <c r="A559" s="399"/>
      <c r="B559" s="399"/>
      <c r="C559" s="399"/>
      <c r="D559" s="399"/>
      <c r="E559" s="399"/>
      <c r="F559" s="399"/>
      <c r="G559" s="399"/>
      <c r="H559" s="399"/>
      <c r="I559" s="399"/>
      <c r="J559" s="399"/>
      <c r="K559" s="399"/>
      <c r="L559" s="399"/>
      <c r="M559" s="399"/>
      <c r="N559" s="399"/>
      <c r="O559" s="399"/>
      <c r="P559" s="399"/>
      <c r="Q559" s="399"/>
      <c r="R559" s="81" t="s">
        <v>1432</v>
      </c>
      <c r="S559" s="82">
        <f>S558</f>
        <v>3.2899999999999999E-2</v>
      </c>
      <c r="T559" s="398">
        <f>IF(COUNT(V559,X559,Z559,AB559,AD559,AF559,AH559,AJ559,AL559,AN559,AP559,AR559,AT559,AV559,AX559,AZ559,BB559,BD559)&lt;18,"",SUM(V559,X559,Z559,AB559,AD559,AF559,AH559,AJ559,AL559,AN559,AP559,AR559,AT559,AV559,AX559,AZ559,BB559,BD559))</f>
        <v>0</v>
      </c>
      <c r="U559" s="398"/>
      <c r="V559" s="398">
        <f>IF(SUM(V549,V552)=0,0,IF(COUNT(REAJUSTE!H24)=0,"",REAJUSTE!H24*SUM(V549,V552)*(1+$S$555)))</f>
        <v>0</v>
      </c>
      <c r="W559" s="398"/>
      <c r="X559" s="398">
        <f>IF(SUM(X549,X552)=0,0,IF(COUNT(REAJUSTE!H25)=0,"",REAJUSTE!H25*SUM(X549,X552)*(1+$S$555)))</f>
        <v>0</v>
      </c>
      <c r="Y559" s="398"/>
      <c r="Z559" s="398">
        <f>IF(SUM(Z549,Z552)=0,0,IF(COUNT(REAJUSTE!H26)=0,"",REAJUSTE!H26*SUM(Z549,Z552)*(1+$S$555)))</f>
        <v>0</v>
      </c>
      <c r="AA559" s="398"/>
      <c r="AB559" s="398">
        <f>IF(SUM(AB549,AB552)=0,0,IF(COUNT(REAJUSTE!H27)=0,"",REAJUSTE!H27*SUM(AB549,AB552)*(1+$S$555)))</f>
        <v>0</v>
      </c>
      <c r="AC559" s="398"/>
      <c r="AD559" s="398">
        <f>IF(SUM(AD549,AD552)=0,0,IF(COUNT(REAJUSTE!H28)=0,"",REAJUSTE!H28*SUM(AD549,AD552)*(1+$S$555)))</f>
        <v>0</v>
      </c>
      <c r="AE559" s="398"/>
      <c r="AF559" s="398">
        <f>IF(SUM(AF549,AF552)=0,0,IF(COUNT(REAJUSTE!H29)=0,"",REAJUSTE!H29*SUM(AF549,AF552)*(1+$S$555)))</f>
        <v>0</v>
      </c>
      <c r="AG559" s="398"/>
      <c r="AH559" s="398">
        <f>IF(SUM(AH549,AH552)=0,0,IF(COUNT(REAJUSTE!H30)=0,"",REAJUSTE!H30*SUM(AH549,AH552)*(1+$S$555)))</f>
        <v>0</v>
      </c>
      <c r="AI559" s="398"/>
      <c r="AJ559" s="398">
        <f>IF(SUM(AJ549,AJ552)=0,0,IF(COUNT(REAJUSTE!H31)=0,"",REAJUSTE!H31*SUM(AJ549,AJ552)*(1+$S$555)))</f>
        <v>0</v>
      </c>
      <c r="AK559" s="398"/>
      <c r="AL559" s="398">
        <f>IF(SUM(AL549,AL552)=0,0,IF(COUNT(REAJUSTE!H32)=0,"",REAJUSTE!H32*SUM(AL549,AL552)*(1+$S$555)))</f>
        <v>0</v>
      </c>
      <c r="AM559" s="398"/>
      <c r="AN559" s="398">
        <f>IF(SUM(AN549,AN552)=0,0,IF(COUNT(REAJUSTE!H33)=0,"",REAJUSTE!H33*SUM(AN549,AN552)*(1+$S$555)))</f>
        <v>0</v>
      </c>
      <c r="AO559" s="398"/>
      <c r="AP559" s="398">
        <f>IF(SUM(AP549,AP552)=0,0,IF(COUNT(REAJUSTE!H34)=0,"",REAJUSTE!H34*SUM(AP549,AP552)*(1+$S$555)))</f>
        <v>0</v>
      </c>
      <c r="AQ559" s="398"/>
      <c r="AR559" s="398">
        <f>IF(SUM(AR549,AR552)=0,0,IF(COUNT(REAJUSTE!H35)=0,"",REAJUSTE!H35*SUM(AR549,AR552)*(1+$S$555)))</f>
        <v>0</v>
      </c>
      <c r="AS559" s="398"/>
      <c r="AT559" s="398">
        <f>IF(SUM(AT549,AT552)=0,0,IF(COUNT(REAJUSTE!H36)=0,"",REAJUSTE!H36*SUM(AT549,AT552)*(1+$S$555)))</f>
        <v>0</v>
      </c>
      <c r="AU559" s="398"/>
      <c r="AV559" s="398">
        <f>IF(SUM(AV549,AV552)=0,0,IF(COUNT(REAJUSTE!H37)=0,"",REAJUSTE!H37*SUM(AV549,AV552)*(1+$S$555)))</f>
        <v>0</v>
      </c>
      <c r="AW559" s="398"/>
      <c r="AX559" s="398">
        <f>IF(SUM(AX549,AX552)=0,0,IF(COUNT(REAJUSTE!H38)=0,"",REAJUSTE!H38*SUM(AX549,AX552)*(1+$S$555)))</f>
        <v>0</v>
      </c>
      <c r="AY559" s="398"/>
      <c r="AZ559" s="398">
        <f>IF(SUM(AZ549,AZ552)=0,0,IF(COUNT(REAJUSTE!H39)=0,"",REAJUSTE!H39*SUM(AZ549,AZ552)*(1+$S$555)))</f>
        <v>0</v>
      </c>
      <c r="BA559" s="398"/>
      <c r="BB559" s="398">
        <f>IF(SUM(BB549,BB552)=0,0,IF(COUNT(REAJUSTE!H40)=0,"",REAJUSTE!H40*SUM(BB549,BB552)*(1+$S$555)))</f>
        <v>0</v>
      </c>
      <c r="BC559" s="398"/>
      <c r="BD559" s="398">
        <f>IF(SUM(BD549,BD552)=0,0,IF(COUNT(REAJUSTE!H41)=0,"",REAJUSTE!H41*SUM(BD549,BD552)*(1+$S$555)))</f>
        <v>0</v>
      </c>
      <c r="BE559" s="398"/>
      <c r="BF559" s="398">
        <f>SUM(V559,X559,Z559,AB559,AD559,AF559,AH559,AJ559,AL559,AN559,AP559,AR559,AT559,AV559,AX559,AZ559,BB559,BD559)</f>
        <v>0</v>
      </c>
      <c r="BG559" s="398"/>
    </row>
    <row r="560" spans="1:61" ht="19.5" customHeight="1" x14ac:dyDescent="0.45">
      <c r="A560" s="399"/>
      <c r="B560" s="399"/>
      <c r="C560" s="399"/>
      <c r="D560" s="399"/>
      <c r="E560" s="399"/>
      <c r="F560" s="399"/>
      <c r="G560" s="399"/>
      <c r="H560" s="399"/>
      <c r="I560" s="399"/>
      <c r="J560" s="399"/>
      <c r="K560" s="399"/>
      <c r="L560" s="399"/>
      <c r="M560" s="399"/>
      <c r="N560" s="399"/>
      <c r="O560" s="399"/>
      <c r="P560" s="399"/>
      <c r="Q560" s="399"/>
      <c r="R560" s="81" t="s">
        <v>1433</v>
      </c>
      <c r="S560" s="82"/>
      <c r="T560" s="398">
        <f>IF(OR(T558="",T559=""),"",SUM(T558,T559))</f>
        <v>0</v>
      </c>
      <c r="U560" s="398"/>
      <c r="V560" s="395">
        <f>IF(OR(V558="",V559=""),"",SUM(V558,V559))</f>
        <v>0</v>
      </c>
      <c r="W560" s="395"/>
      <c r="X560" s="395">
        <f>IF(OR(X558="",X559=""),"",SUM(X558,X559))</f>
        <v>0</v>
      </c>
      <c r="Y560" s="395"/>
      <c r="Z560" s="395">
        <f>IF(OR(Z558="",Z559=""),"",SUM(Z558,Z559))</f>
        <v>0</v>
      </c>
      <c r="AA560" s="395"/>
      <c r="AB560" s="395">
        <f>IF(OR(AB558="",AB559=""),"",SUM(AB558,AB559))</f>
        <v>0</v>
      </c>
      <c r="AC560" s="395"/>
      <c r="AD560" s="395">
        <f>IF(OR(AD558="",AD559=""),"",SUM(AD558,AD559))</f>
        <v>0</v>
      </c>
      <c r="AE560" s="395"/>
      <c r="AF560" s="395">
        <f>IF(OR(AF558="",AF559=""),"",SUM(AF558,AF559))</f>
        <v>0</v>
      </c>
      <c r="AG560" s="395"/>
      <c r="AH560" s="395">
        <f>IF(OR(AH558="",AH559=""),"",SUM(AH558,AH559))</f>
        <v>0</v>
      </c>
      <c r="AI560" s="395"/>
      <c r="AJ560" s="395">
        <f>IF(OR(AJ558="",AJ559=""),"",SUM(AJ558,AJ559))</f>
        <v>0</v>
      </c>
      <c r="AK560" s="395"/>
      <c r="AL560" s="395">
        <f>IF(OR(AL558="",AL559=""),"",SUM(AL558,AL559))</f>
        <v>0</v>
      </c>
      <c r="AM560" s="395"/>
      <c r="AN560" s="395">
        <f>IF(OR(AN558="",AN559=""),"",SUM(AN558,AN559))</f>
        <v>0</v>
      </c>
      <c r="AO560" s="395"/>
      <c r="AP560" s="395">
        <f>IF(OR(AP558="",AP559=""),"",SUM(AP558,AP559))</f>
        <v>0</v>
      </c>
      <c r="AQ560" s="395"/>
      <c r="AR560" s="395">
        <f>IF(OR(AR558="",AR559=""),"",SUM(AR558,AR559))</f>
        <v>0</v>
      </c>
      <c r="AS560" s="395"/>
      <c r="AT560" s="395">
        <f>IF(OR(AT558="",AT559=""),"",SUM(AT558,AT559))</f>
        <v>0</v>
      </c>
      <c r="AU560" s="395"/>
      <c r="AV560" s="395">
        <f>IF(OR(AV558="",AV559=""),"",SUM(AV558,AV559))</f>
        <v>0</v>
      </c>
      <c r="AW560" s="395"/>
      <c r="AX560" s="395">
        <f>IF(OR(AX558="",AX559=""),"",SUM(AX558,AX559))</f>
        <v>0</v>
      </c>
      <c r="AY560" s="395"/>
      <c r="AZ560" s="395">
        <f>IF(OR(AZ558="",AZ559=""),"",SUM(AZ558,AZ559))</f>
        <v>0</v>
      </c>
      <c r="BA560" s="395"/>
      <c r="BB560" s="395">
        <f>IF(OR(BB558="",BB559=""),"",SUM(BB558,BB559))</f>
        <v>0</v>
      </c>
      <c r="BC560" s="395"/>
      <c r="BD560" s="395">
        <f>IF(OR(BD558="",BD559=""),"",SUM(BD558,BD559))</f>
        <v>0</v>
      </c>
      <c r="BE560" s="395"/>
      <c r="BF560" s="395">
        <f>SUM(BF558:BG559)</f>
        <v>0</v>
      </c>
      <c r="BG560" s="395"/>
    </row>
    <row r="561" spans="1:59" ht="19.5" customHeight="1" x14ac:dyDescent="0.45">
      <c r="A561" s="399"/>
      <c r="B561" s="399"/>
      <c r="C561" s="399"/>
      <c r="D561" s="399"/>
      <c r="E561" s="399"/>
      <c r="F561" s="399"/>
      <c r="G561" s="399"/>
      <c r="H561" s="399"/>
      <c r="I561" s="399"/>
      <c r="J561" s="399"/>
      <c r="K561" s="399"/>
      <c r="L561" s="399"/>
      <c r="M561" s="399"/>
      <c r="N561" s="399"/>
      <c r="O561" s="399"/>
      <c r="P561" s="399"/>
      <c r="Q561" s="399"/>
      <c r="R561" s="91" t="s">
        <v>1434</v>
      </c>
      <c r="S561" s="92"/>
      <c r="T561" s="396">
        <f>IF(T560="","",IF(T556=0,0,T560/T556))</f>
        <v>0</v>
      </c>
      <c r="U561" s="396"/>
      <c r="V561" s="396">
        <f>IF(V560="","",IF(V556=0,0,V560/V556))</f>
        <v>0</v>
      </c>
      <c r="W561" s="396"/>
      <c r="X561" s="396">
        <f>IF(X560="","",IF(X556=0,0,X560/X556))</f>
        <v>0</v>
      </c>
      <c r="Y561" s="396"/>
      <c r="Z561" s="396">
        <f>IF(Z560="","",IF(Z556=0,0,Z560/Z556))</f>
        <v>0</v>
      </c>
      <c r="AA561" s="396"/>
      <c r="AB561" s="396">
        <f>IF(AB560="","",IF(AB556=0,0,AB560/AB556))</f>
        <v>0</v>
      </c>
      <c r="AC561" s="396"/>
      <c r="AD561" s="396">
        <f>IF(AD560="","",IF(AD556=0,0,AD560/AD556))</f>
        <v>0</v>
      </c>
      <c r="AE561" s="396"/>
      <c r="AF561" s="396">
        <f>IF(AF560="","",IF(AF556=0,0,AF560/AF556))</f>
        <v>0</v>
      </c>
      <c r="AG561" s="396"/>
      <c r="AH561" s="396">
        <f>IF(AH560="","",IF(AH556=0,0,AH560/AH556))</f>
        <v>0</v>
      </c>
      <c r="AI561" s="396"/>
      <c r="AJ561" s="396">
        <f>IF(AJ560="","",IF(AJ556=0,0,AJ560/AJ556))</f>
        <v>0</v>
      </c>
      <c r="AK561" s="396"/>
      <c r="AL561" s="396">
        <f>IF(AL560="","",IF(AL556=0,0,AL560/AL556))</f>
        <v>0</v>
      </c>
      <c r="AM561" s="396"/>
      <c r="AN561" s="396">
        <f>IF(AN560="","",IF(AN556=0,0,AN560/AN556))</f>
        <v>0</v>
      </c>
      <c r="AO561" s="396"/>
      <c r="AP561" s="396">
        <f>IF(AP560="","",IF(AP556=0,0,AP560/AP556))</f>
        <v>0</v>
      </c>
      <c r="AQ561" s="396"/>
      <c r="AR561" s="396">
        <f>IF(AR560="","",IF(AR556=0,0,AR560/AR556))</f>
        <v>0</v>
      </c>
      <c r="AS561" s="396"/>
      <c r="AT561" s="396">
        <f>IF(AT560="","",IF(AT556=0,0,AT560/AT556))</f>
        <v>0</v>
      </c>
      <c r="AU561" s="396"/>
      <c r="AV561" s="396">
        <f>IF(AV560="","",IF(AV556=0,0,AV560/AV556))</f>
        <v>0</v>
      </c>
      <c r="AW561" s="396"/>
      <c r="AX561" s="396">
        <f>IF(AX560="","",IF(AX556=0,0,AX560/AX556))</f>
        <v>0</v>
      </c>
      <c r="AY561" s="396"/>
      <c r="AZ561" s="396">
        <f>IF(AZ560="","",IF(AZ556=0,0,AZ560/AZ556))</f>
        <v>0</v>
      </c>
      <c r="BA561" s="396"/>
      <c r="BB561" s="396">
        <f>IF(BB560="","",IF(BB556=0,0,BB560/BB556))</f>
        <v>0</v>
      </c>
      <c r="BC561" s="396"/>
      <c r="BD561" s="396">
        <f>IF(BD560="","",IF(BD556=0,0,BD560/BD556))</f>
        <v>0</v>
      </c>
      <c r="BE561" s="396"/>
      <c r="BF561" s="396">
        <f>IFERROR(BF560/BF556,0)</f>
        <v>0</v>
      </c>
      <c r="BG561" s="396"/>
    </row>
    <row r="562" spans="1:59" ht="34.5" customHeight="1" x14ac:dyDescent="0.45">
      <c r="A562" s="393" t="s">
        <v>1435</v>
      </c>
      <c r="B562" s="393"/>
      <c r="C562" s="393"/>
      <c r="D562" s="393"/>
      <c r="E562" s="393"/>
      <c r="F562" s="393"/>
      <c r="G562" s="393"/>
      <c r="H562" s="393"/>
      <c r="I562" s="393"/>
      <c r="J562" s="393"/>
      <c r="K562" s="393"/>
      <c r="L562" s="393"/>
      <c r="M562" s="393"/>
      <c r="N562" s="393"/>
      <c r="O562" s="393"/>
      <c r="P562" s="393"/>
      <c r="Q562" s="393"/>
      <c r="R562" s="93" t="s">
        <v>1436</v>
      </c>
      <c r="S562" s="94"/>
      <c r="T562" s="394">
        <f>IF(T560="","",SUM(T556,T560))</f>
        <v>49878748.657586902</v>
      </c>
      <c r="U562" s="394"/>
      <c r="V562" s="392">
        <f>IF(V560="","",SUM(V556,V560))</f>
        <v>0</v>
      </c>
      <c r="W562" s="392"/>
      <c r="X562" s="392">
        <f>IF(X560="","",SUM(X556,X560))</f>
        <v>0</v>
      </c>
      <c r="Y562" s="392"/>
      <c r="Z562" s="392">
        <f>IF(Z560="","",SUM(Z556,Z560))</f>
        <v>0</v>
      </c>
      <c r="AA562" s="392"/>
      <c r="AB562" s="392">
        <f>IF(AB560="","",SUM(AB556,AB560))</f>
        <v>0</v>
      </c>
      <c r="AC562" s="392"/>
      <c r="AD562" s="392">
        <f>IF(AD560="","",SUM(AD556,AD560))</f>
        <v>0</v>
      </c>
      <c r="AE562" s="392"/>
      <c r="AF562" s="392">
        <f>IF(AF560="","",SUM(AF556,AF560))</f>
        <v>0</v>
      </c>
      <c r="AG562" s="392"/>
      <c r="AH562" s="392">
        <f>IF(AH560="","",SUM(AH556,AH560))</f>
        <v>0</v>
      </c>
      <c r="AI562" s="392"/>
      <c r="AJ562" s="392">
        <f>IF(AJ560="","",SUM(AJ556,AJ560))</f>
        <v>0</v>
      </c>
      <c r="AK562" s="392"/>
      <c r="AL562" s="392">
        <f>IF(AL560="","",SUM(AL556,AL560))</f>
        <v>0</v>
      </c>
      <c r="AM562" s="392"/>
      <c r="AN562" s="392">
        <f>IF(AN560="","",SUM(AN556,AN560))</f>
        <v>0</v>
      </c>
      <c r="AO562" s="392"/>
      <c r="AP562" s="392">
        <f>IF(AP560="","",SUM(AP556,AP560))</f>
        <v>0</v>
      </c>
      <c r="AQ562" s="392"/>
      <c r="AR562" s="392">
        <f>IF(AR560="","",SUM(AR556,AR560))</f>
        <v>0</v>
      </c>
      <c r="AS562" s="392"/>
      <c r="AT562" s="392">
        <f>IF(AT560="","",SUM(AT556,AT560))</f>
        <v>0</v>
      </c>
      <c r="AU562" s="392"/>
      <c r="AV562" s="392">
        <f>IF(AV560="","",SUM(AV556,AV560))</f>
        <v>0</v>
      </c>
      <c r="AW562" s="392"/>
      <c r="AX562" s="392">
        <f>IF(AX560="","",SUM(AX556,AX560))</f>
        <v>0</v>
      </c>
      <c r="AY562" s="392"/>
      <c r="AZ562" s="392">
        <f>IF(AZ560="","",SUM(AZ556,AZ560))</f>
        <v>0</v>
      </c>
      <c r="BA562" s="392"/>
      <c r="BB562" s="392">
        <f>IF(BB560="","",SUM(BB556,BB560))</f>
        <v>0</v>
      </c>
      <c r="BC562" s="392"/>
      <c r="BD562" s="392">
        <f>IF(BD560="","",SUM(BD556,BD560))</f>
        <v>0</v>
      </c>
      <c r="BE562" s="392"/>
      <c r="BF562" s="392">
        <f>SUM(BF556,BF560)</f>
        <v>0</v>
      </c>
      <c r="BG562" s="392"/>
    </row>
  </sheetData>
  <autoFilter ref="A5:BG562" xr:uid="{00000000-0009-0000-0000-000001000000}"/>
  <mergeCells count="345">
    <mergeCell ref="A1:C4"/>
    <mergeCell ref="E1:Q2"/>
    <mergeCell ref="R1:S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T3:U4"/>
    <mergeCell ref="R4:S4"/>
    <mergeCell ref="V4:W4"/>
    <mergeCell ref="X4:Y4"/>
    <mergeCell ref="Z4:AA4"/>
    <mergeCell ref="AB4:AC4"/>
    <mergeCell ref="AD4:AE4"/>
    <mergeCell ref="AF4:AG4"/>
    <mergeCell ref="AH4:AI4"/>
    <mergeCell ref="AJ4:AK4"/>
    <mergeCell ref="AL4:AM4"/>
    <mergeCell ref="AN4:AO4"/>
    <mergeCell ref="AP4:AQ4"/>
    <mergeCell ref="AR4:AS4"/>
    <mergeCell ref="AT4:AU4"/>
    <mergeCell ref="AV4:AW4"/>
    <mergeCell ref="AX4:AY4"/>
    <mergeCell ref="AZ4:BA4"/>
    <mergeCell ref="BB4:BC4"/>
    <mergeCell ref="BD4:BE4"/>
    <mergeCell ref="A548:Q557"/>
    <mergeCell ref="T548:U548"/>
    <mergeCell ref="V548:W548"/>
    <mergeCell ref="X548:Y548"/>
    <mergeCell ref="Z548:AA548"/>
    <mergeCell ref="AB548:AC548"/>
    <mergeCell ref="AD548:AE548"/>
    <mergeCell ref="AF548:AG548"/>
    <mergeCell ref="AH548:AI548"/>
    <mergeCell ref="T550:U550"/>
    <mergeCell ref="V550:W550"/>
    <mergeCell ref="X550:Y550"/>
    <mergeCell ref="Z550:AA550"/>
    <mergeCell ref="AB550:AC550"/>
    <mergeCell ref="AD550:AE550"/>
    <mergeCell ref="AF550:AG550"/>
    <mergeCell ref="AH550:AI550"/>
    <mergeCell ref="T552:U552"/>
    <mergeCell ref="V552:W552"/>
    <mergeCell ref="X552:Y552"/>
    <mergeCell ref="Z552:AA552"/>
    <mergeCell ref="AB552:AC552"/>
    <mergeCell ref="AD552:AE552"/>
    <mergeCell ref="AF552:AG552"/>
    <mergeCell ref="BD548:BE548"/>
    <mergeCell ref="BF548:BG548"/>
    <mergeCell ref="T549:U549"/>
    <mergeCell ref="V549:W549"/>
    <mergeCell ref="X549:Y549"/>
    <mergeCell ref="Z549:AA549"/>
    <mergeCell ref="AB549:AC549"/>
    <mergeCell ref="AD549:AE549"/>
    <mergeCell ref="AF549:AG549"/>
    <mergeCell ref="AH549:AI549"/>
    <mergeCell ref="AJ549:AK549"/>
    <mergeCell ref="AL549:AM549"/>
    <mergeCell ref="AN549:AO549"/>
    <mergeCell ref="AP549:AQ549"/>
    <mergeCell ref="AR549:AS549"/>
    <mergeCell ref="AT549:AU549"/>
    <mergeCell ref="AV549:AW549"/>
    <mergeCell ref="AX549:AY549"/>
    <mergeCell ref="AZ549:BA549"/>
    <mergeCell ref="BB549:BC549"/>
    <mergeCell ref="BD549:BE549"/>
    <mergeCell ref="BF549:BG549"/>
    <mergeCell ref="AJ548:AK548"/>
    <mergeCell ref="AL548:AM548"/>
    <mergeCell ref="AN550:AO550"/>
    <mergeCell ref="AP550:AQ550"/>
    <mergeCell ref="AR550:AS550"/>
    <mergeCell ref="AT550:AU550"/>
    <mergeCell ref="AV550:AW550"/>
    <mergeCell ref="AX550:AY550"/>
    <mergeCell ref="AZ550:BA550"/>
    <mergeCell ref="BB548:BC548"/>
    <mergeCell ref="AN548:AO548"/>
    <mergeCell ref="AP548:AQ548"/>
    <mergeCell ref="AR548:AS548"/>
    <mergeCell ref="AT548:AU548"/>
    <mergeCell ref="AV548:AW548"/>
    <mergeCell ref="AX548:AY548"/>
    <mergeCell ref="AZ548:BA548"/>
    <mergeCell ref="BB550:BC550"/>
    <mergeCell ref="BD550:BE550"/>
    <mergeCell ref="BF550:BG550"/>
    <mergeCell ref="T551:U551"/>
    <mergeCell ref="V551:W551"/>
    <mergeCell ref="X551:Y551"/>
    <mergeCell ref="Z551:AA551"/>
    <mergeCell ref="AB551:AC551"/>
    <mergeCell ref="AD551:AE551"/>
    <mergeCell ref="AF551:AG551"/>
    <mergeCell ref="AH551:AI551"/>
    <mergeCell ref="AJ551:AK551"/>
    <mergeCell ref="AL551:AM551"/>
    <mergeCell ref="AN551:AO551"/>
    <mergeCell ref="AP551:AQ551"/>
    <mergeCell ref="AR551:AS551"/>
    <mergeCell ref="AT551:AU551"/>
    <mergeCell ref="AV551:AW551"/>
    <mergeCell ref="AX551:AY551"/>
    <mergeCell ref="AZ551:BA551"/>
    <mergeCell ref="BB551:BC551"/>
    <mergeCell ref="BD551:BE551"/>
    <mergeCell ref="BF551:BG551"/>
    <mergeCell ref="AJ550:AK550"/>
    <mergeCell ref="AL550:AM550"/>
    <mergeCell ref="AH552:AI552"/>
    <mergeCell ref="AJ552:AK552"/>
    <mergeCell ref="AL552:AM552"/>
    <mergeCell ref="AN552:AO552"/>
    <mergeCell ref="AP552:AQ552"/>
    <mergeCell ref="AR552:AS552"/>
    <mergeCell ref="AT552:AU552"/>
    <mergeCell ref="AV552:AW552"/>
    <mergeCell ref="AX552:AY552"/>
    <mergeCell ref="AZ552:BA552"/>
    <mergeCell ref="BB552:BC552"/>
    <mergeCell ref="BD552:BE552"/>
    <mergeCell ref="BF552:BG552"/>
    <mergeCell ref="T553:U553"/>
    <mergeCell ref="V553:W553"/>
    <mergeCell ref="X553:Y553"/>
    <mergeCell ref="Z553:AA553"/>
    <mergeCell ref="AB553:AC553"/>
    <mergeCell ref="AD553:AE553"/>
    <mergeCell ref="AF553:AG553"/>
    <mergeCell ref="AH553:AI553"/>
    <mergeCell ref="AJ553:AK553"/>
    <mergeCell ref="AL553:AM553"/>
    <mergeCell ref="AN553:AO553"/>
    <mergeCell ref="AP553:AQ553"/>
    <mergeCell ref="AR553:AS553"/>
    <mergeCell ref="AT553:AU553"/>
    <mergeCell ref="AV553:AW553"/>
    <mergeCell ref="AX553:AY553"/>
    <mergeCell ref="AZ553:BA553"/>
    <mergeCell ref="BB553:BC553"/>
    <mergeCell ref="BD553:BE553"/>
    <mergeCell ref="BF553:BG553"/>
    <mergeCell ref="AP554:AQ554"/>
    <mergeCell ref="AR554:AS554"/>
    <mergeCell ref="AT554:AU554"/>
    <mergeCell ref="AV554:AW554"/>
    <mergeCell ref="AX554:AY554"/>
    <mergeCell ref="AZ554:BA554"/>
    <mergeCell ref="BB554:BC554"/>
    <mergeCell ref="T554:U554"/>
    <mergeCell ref="V554:W554"/>
    <mergeCell ref="X554:Y554"/>
    <mergeCell ref="Z554:AA554"/>
    <mergeCell ref="AB554:AC554"/>
    <mergeCell ref="AD554:AE554"/>
    <mergeCell ref="AF554:AG554"/>
    <mergeCell ref="AH554:AI554"/>
    <mergeCell ref="AJ554:AK554"/>
    <mergeCell ref="BD554:BE554"/>
    <mergeCell ref="BF554:BG554"/>
    <mergeCell ref="T555:U555"/>
    <mergeCell ref="V555:W555"/>
    <mergeCell ref="X555:Y555"/>
    <mergeCell ref="Z555:AA555"/>
    <mergeCell ref="AB555:AC555"/>
    <mergeCell ref="AD555:AE555"/>
    <mergeCell ref="AF555:AG555"/>
    <mergeCell ref="AH555:AI555"/>
    <mergeCell ref="AJ555:AK555"/>
    <mergeCell ref="AL555:AM555"/>
    <mergeCell ref="AN555:AO555"/>
    <mergeCell ref="AP555:AQ555"/>
    <mergeCell ref="AR555:AS555"/>
    <mergeCell ref="AT555:AU555"/>
    <mergeCell ref="AV555:AW555"/>
    <mergeCell ref="AX555:AY555"/>
    <mergeCell ref="AZ555:BA555"/>
    <mergeCell ref="BB555:BC555"/>
    <mergeCell ref="BD555:BE555"/>
    <mergeCell ref="BF555:BG555"/>
    <mergeCell ref="AL554:AM554"/>
    <mergeCell ref="AN554:AO554"/>
    <mergeCell ref="AP556:AQ556"/>
    <mergeCell ref="AR556:AS556"/>
    <mergeCell ref="AT556:AU556"/>
    <mergeCell ref="AV556:AW556"/>
    <mergeCell ref="AX556:AY556"/>
    <mergeCell ref="AZ556:BA556"/>
    <mergeCell ref="BB556:BC556"/>
    <mergeCell ref="T556:U556"/>
    <mergeCell ref="V556:W556"/>
    <mergeCell ref="X556:Y556"/>
    <mergeCell ref="Z556:AA556"/>
    <mergeCell ref="AB556:AC556"/>
    <mergeCell ref="AD556:AE556"/>
    <mergeCell ref="AF556:AG556"/>
    <mergeCell ref="AH556:AI556"/>
    <mergeCell ref="AJ556:AK556"/>
    <mergeCell ref="BD556:BE556"/>
    <mergeCell ref="BF556:BG556"/>
    <mergeCell ref="T557:U557"/>
    <mergeCell ref="V557:W557"/>
    <mergeCell ref="X557:Y557"/>
    <mergeCell ref="Z557:AA557"/>
    <mergeCell ref="AB557:AC557"/>
    <mergeCell ref="AD557:AE557"/>
    <mergeCell ref="AF557:AG557"/>
    <mergeCell ref="AH557:AI557"/>
    <mergeCell ref="AJ557:AK557"/>
    <mergeCell ref="AL557:AM557"/>
    <mergeCell ref="AN557:AO557"/>
    <mergeCell ref="AP557:AQ557"/>
    <mergeCell ref="AR557:AS557"/>
    <mergeCell ref="AT557:AU557"/>
    <mergeCell ref="AV557:AW557"/>
    <mergeCell ref="AX557:AY557"/>
    <mergeCell ref="AZ557:BA557"/>
    <mergeCell ref="BB557:BC557"/>
    <mergeCell ref="BD557:BE557"/>
    <mergeCell ref="BF557:BG557"/>
    <mergeCell ref="AL556:AM556"/>
    <mergeCell ref="AN556:AO556"/>
    <mergeCell ref="A558:Q561"/>
    <mergeCell ref="T558:U558"/>
    <mergeCell ref="V558:W558"/>
    <mergeCell ref="X558:Y558"/>
    <mergeCell ref="Z558:AA558"/>
    <mergeCell ref="AB558:AC558"/>
    <mergeCell ref="AD558:AE558"/>
    <mergeCell ref="AF558:AG558"/>
    <mergeCell ref="AH558:AI558"/>
    <mergeCell ref="T560:U560"/>
    <mergeCell ref="V560:W560"/>
    <mergeCell ref="X560:Y560"/>
    <mergeCell ref="Z560:AA560"/>
    <mergeCell ref="AB560:AC560"/>
    <mergeCell ref="AD560:AE560"/>
    <mergeCell ref="AF560:AG560"/>
    <mergeCell ref="AH560:AI560"/>
    <mergeCell ref="BD558:BE558"/>
    <mergeCell ref="BF558:BG558"/>
    <mergeCell ref="T559:U559"/>
    <mergeCell ref="V559:W559"/>
    <mergeCell ref="X559:Y559"/>
    <mergeCell ref="Z559:AA559"/>
    <mergeCell ref="AB559:AC559"/>
    <mergeCell ref="AD559:AE559"/>
    <mergeCell ref="AF559:AG559"/>
    <mergeCell ref="AH559:AI559"/>
    <mergeCell ref="AJ559:AK559"/>
    <mergeCell ref="AL559:AM559"/>
    <mergeCell ref="AN559:AO559"/>
    <mergeCell ref="AP559:AQ559"/>
    <mergeCell ref="AR559:AS559"/>
    <mergeCell ref="AT559:AU559"/>
    <mergeCell ref="AV559:AW559"/>
    <mergeCell ref="AX559:AY559"/>
    <mergeCell ref="AZ559:BA559"/>
    <mergeCell ref="BB559:BC559"/>
    <mergeCell ref="BD559:BE559"/>
    <mergeCell ref="BF559:BG559"/>
    <mergeCell ref="AJ558:AK558"/>
    <mergeCell ref="AL558:AM558"/>
    <mergeCell ref="AN560:AO560"/>
    <mergeCell ref="AP560:AQ560"/>
    <mergeCell ref="AR560:AS560"/>
    <mergeCell ref="AT560:AU560"/>
    <mergeCell ref="AV560:AW560"/>
    <mergeCell ref="AX560:AY560"/>
    <mergeCell ref="AZ560:BA560"/>
    <mergeCell ref="BB558:BC558"/>
    <mergeCell ref="AN558:AO558"/>
    <mergeCell ref="AP558:AQ558"/>
    <mergeCell ref="AR558:AS558"/>
    <mergeCell ref="AT558:AU558"/>
    <mergeCell ref="AV558:AW558"/>
    <mergeCell ref="AX558:AY558"/>
    <mergeCell ref="AZ558:BA558"/>
    <mergeCell ref="BB560:BC560"/>
    <mergeCell ref="BD560:BE560"/>
    <mergeCell ref="BF560:BG560"/>
    <mergeCell ref="T561:U561"/>
    <mergeCell ref="V561:W561"/>
    <mergeCell ref="X561:Y561"/>
    <mergeCell ref="Z561:AA561"/>
    <mergeCell ref="AB561:AC561"/>
    <mergeCell ref="AD561:AE561"/>
    <mergeCell ref="AF561:AG561"/>
    <mergeCell ref="AH561:AI561"/>
    <mergeCell ref="AJ561:AK561"/>
    <mergeCell ref="AL561:AM561"/>
    <mergeCell ref="AN561:AO561"/>
    <mergeCell ref="AP561:AQ561"/>
    <mergeCell ref="AR561:AS561"/>
    <mergeCell ref="AT561:AU561"/>
    <mergeCell ref="AV561:AW561"/>
    <mergeCell ref="AX561:AY561"/>
    <mergeCell ref="AZ561:BA561"/>
    <mergeCell ref="BB561:BC561"/>
    <mergeCell ref="BD561:BE561"/>
    <mergeCell ref="BF561:BG561"/>
    <mergeCell ref="AJ560:AK560"/>
    <mergeCell ref="AL560:AM560"/>
    <mergeCell ref="A562:Q562"/>
    <mergeCell ref="T562:U562"/>
    <mergeCell ref="V562:W562"/>
    <mergeCell ref="X562:Y562"/>
    <mergeCell ref="Z562:AA562"/>
    <mergeCell ref="AB562:AC562"/>
    <mergeCell ref="AD562:AE562"/>
    <mergeCell ref="AF562:AG562"/>
    <mergeCell ref="AH562:AI562"/>
    <mergeCell ref="BB562:BC562"/>
    <mergeCell ref="BD562:BE562"/>
    <mergeCell ref="BF562:BG562"/>
    <mergeCell ref="AJ562:AK562"/>
    <mergeCell ref="AL562:AM562"/>
    <mergeCell ref="AN562:AO562"/>
    <mergeCell ref="AP562:AQ562"/>
    <mergeCell ref="AR562:AS562"/>
    <mergeCell ref="AT562:AU562"/>
    <mergeCell ref="AV562:AW562"/>
    <mergeCell ref="AX562:AY562"/>
    <mergeCell ref="AZ562:BA562"/>
  </mergeCells>
  <printOptions horizontalCentered="1"/>
  <pageMargins left="0.196527777777778" right="0.196527777777778" top="0.59027777777777801" bottom="0.78749999999999998" header="0.511811023622047" footer="0.511811023622047"/>
  <pageSetup paperSize="8" scale="55" orientation="landscape"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932"/>
  <sheetViews>
    <sheetView showGridLines="0" zoomScale="70" zoomScaleNormal="70" workbookViewId="0"/>
  </sheetViews>
  <sheetFormatPr defaultColWidth="8.6640625" defaultRowHeight="14.25" x14ac:dyDescent="0.45"/>
  <cols>
    <col min="2" max="2" width="30.796875" customWidth="1"/>
    <col min="3" max="22" width="15.796875" customWidth="1"/>
    <col min="23" max="23" width="20.796875" customWidth="1"/>
    <col min="24" max="24" width="40.796875" customWidth="1"/>
  </cols>
  <sheetData>
    <row r="1" spans="2:24" ht="24.75" customHeight="1" x14ac:dyDescent="0.45">
      <c r="B1" s="428" t="s">
        <v>1493</v>
      </c>
      <c r="C1" s="429" t="s">
        <v>1494</v>
      </c>
      <c r="D1" s="429"/>
      <c r="E1" s="429"/>
      <c r="F1" s="429"/>
      <c r="G1" s="429"/>
      <c r="H1" s="429"/>
      <c r="I1" s="429"/>
      <c r="J1" s="429"/>
      <c r="K1" s="429"/>
      <c r="L1" s="429"/>
      <c r="M1" s="429"/>
      <c r="N1" s="429"/>
      <c r="O1" s="429"/>
      <c r="P1" s="429"/>
      <c r="Q1" s="429"/>
      <c r="R1" s="145" t="s">
        <v>1</v>
      </c>
      <c r="S1" s="146"/>
      <c r="T1" s="145" t="s">
        <v>8</v>
      </c>
      <c r="U1" s="147"/>
      <c r="V1" s="148" t="s">
        <v>3</v>
      </c>
      <c r="W1" s="146"/>
      <c r="X1" s="149"/>
    </row>
    <row r="2" spans="2:24" ht="24.75" customHeight="1" x14ac:dyDescent="0.45">
      <c r="B2" s="428"/>
      <c r="C2" s="429"/>
      <c r="D2" s="429"/>
      <c r="E2" s="429"/>
      <c r="F2" s="429"/>
      <c r="G2" s="429"/>
      <c r="H2" s="429"/>
      <c r="I2" s="429"/>
      <c r="J2" s="429"/>
      <c r="K2" s="429"/>
      <c r="L2" s="429"/>
      <c r="M2" s="429"/>
      <c r="N2" s="429"/>
      <c r="O2" s="429"/>
      <c r="P2" s="429"/>
      <c r="Q2" s="429"/>
      <c r="R2" s="430" t="s">
        <v>1495</v>
      </c>
      <c r="S2" s="430"/>
      <c r="T2" s="431" t="str">
        <f>'BM MORRO DA CRUZ - VERTICAL'!$V$4</f>
        <v>01-10-26 A 31-10-26</v>
      </c>
      <c r="U2" s="431"/>
      <c r="V2" s="432" t="str">
        <f>IF('BM MORRO DA CRUZ - VERTICAL'!$BF$2="","",'BM MORRO DA CRUZ - VERTICAL'!$BF$2)</f>
        <v/>
      </c>
      <c r="W2" s="432"/>
      <c r="X2" s="150"/>
    </row>
    <row r="3" spans="2:24" ht="24.75" customHeight="1" x14ac:dyDescent="0.45">
      <c r="B3" s="151" t="s">
        <v>5</v>
      </c>
      <c r="C3" s="152"/>
      <c r="D3" s="152"/>
      <c r="E3" s="152"/>
      <c r="F3" s="152"/>
      <c r="G3" s="152"/>
      <c r="H3" s="152"/>
      <c r="I3" s="152"/>
      <c r="J3" s="152"/>
      <c r="K3" s="152"/>
      <c r="L3" s="152"/>
      <c r="M3" s="152"/>
      <c r="N3" s="152"/>
      <c r="O3" s="152"/>
      <c r="P3" s="153"/>
      <c r="Q3" s="154"/>
      <c r="R3" s="155"/>
      <c r="S3" s="155"/>
      <c r="T3" s="156" t="s">
        <v>1496</v>
      </c>
      <c r="U3" s="157"/>
      <c r="V3" s="158" t="s">
        <v>9</v>
      </c>
      <c r="W3" s="159"/>
      <c r="X3" s="433"/>
    </row>
    <row r="4" spans="2:24" ht="24.75" customHeight="1" x14ac:dyDescent="0.45">
      <c r="B4" s="17" t="s">
        <v>11</v>
      </c>
      <c r="C4" s="160"/>
      <c r="D4" s="160"/>
      <c r="E4" s="160"/>
      <c r="F4" s="160"/>
      <c r="G4" s="160"/>
      <c r="H4" s="160"/>
      <c r="I4" s="160"/>
      <c r="J4" s="160"/>
      <c r="K4" s="160"/>
      <c r="L4" s="160"/>
      <c r="M4" s="160"/>
      <c r="N4" s="160"/>
      <c r="O4" s="160"/>
      <c r="P4" s="161"/>
      <c r="Q4" s="162"/>
      <c r="R4" s="163"/>
      <c r="S4" s="163"/>
      <c r="T4" s="434" t="str">
        <f>'BM MORRO DA CRUZ - VERTICAL'!$V$2</f>
        <v>1ª MEDIÇÃO</v>
      </c>
      <c r="U4" s="434"/>
      <c r="V4" s="435" t="s">
        <v>13</v>
      </c>
      <c r="W4" s="435"/>
      <c r="X4" s="433"/>
    </row>
    <row r="5" spans="2:24" ht="24.75" customHeight="1" x14ac:dyDescent="0.45">
      <c r="B5" s="164" t="s">
        <v>1459</v>
      </c>
      <c r="C5" s="165" t="s">
        <v>14</v>
      </c>
      <c r="D5" s="165" t="s">
        <v>24</v>
      </c>
      <c r="E5" s="165" t="s">
        <v>25</v>
      </c>
      <c r="F5" s="166" t="s">
        <v>1461</v>
      </c>
      <c r="G5" s="165"/>
      <c r="H5" s="165"/>
      <c r="I5" s="165"/>
      <c r="J5" s="165"/>
      <c r="K5" s="165"/>
      <c r="L5" s="165"/>
      <c r="M5" s="165"/>
      <c r="N5" s="165"/>
      <c r="O5" s="165"/>
      <c r="P5" s="165"/>
      <c r="Q5" s="165"/>
      <c r="R5" s="165"/>
      <c r="S5" s="165"/>
      <c r="T5" s="165"/>
      <c r="U5" s="165"/>
      <c r="V5" s="165" t="s">
        <v>26</v>
      </c>
      <c r="W5" s="167" t="s">
        <v>29</v>
      </c>
      <c r="X5" s="168"/>
    </row>
    <row r="6" spans="2:24" ht="24.75" customHeight="1" x14ac:dyDescent="0.45">
      <c r="B6" s="169"/>
      <c r="C6" s="170"/>
      <c r="D6" s="170"/>
      <c r="E6" s="170"/>
      <c r="F6" s="170"/>
      <c r="G6" s="170"/>
      <c r="H6" s="170"/>
      <c r="I6" s="170"/>
      <c r="J6" s="170"/>
      <c r="K6" s="170"/>
      <c r="L6" s="170"/>
      <c r="M6" s="170"/>
      <c r="N6" s="170"/>
      <c r="O6" s="170"/>
      <c r="P6" s="170"/>
      <c r="Q6" s="170"/>
      <c r="R6" s="170"/>
      <c r="S6" s="170"/>
      <c r="T6" s="170"/>
      <c r="U6" s="170"/>
      <c r="V6" s="170"/>
      <c r="W6" s="171"/>
      <c r="X6" s="172"/>
    </row>
    <row r="7" spans="2:24" ht="24.75" customHeight="1" x14ac:dyDescent="0.45">
      <c r="B7" s="173" t="str">
        <f>IF($C$7="","",IFERROR(INDEX('BM MORRO DA CRUZ - VERTICAL'!$C$6:$C$546,MATCH($C$7,'BM MORRO DA CRUZ - VERTICAL'!$D$6:$D$546,0)),"CHAVE NÃO ENCONTRADA NO VERTICAL"))</f>
        <v/>
      </c>
      <c r="C7" s="174"/>
      <c r="D7" s="175" t="str">
        <f>IF($C$7="","",IFERROR(INDEX('BM MORRO DA CRUZ - VERTICAL'!$O$6:$O$546,MATCH($C$7,'BM MORRO DA CRUZ - VERTICAL'!$D$6:$D$546,0)),"CHAVE NÃO ENCONTRADA NO VERTICAL"))</f>
        <v/>
      </c>
      <c r="E7" s="175" t="str">
        <f>IF($C$7="","",IFERROR(INDEX('BM MORRO DA CRUZ - VERTICAL'!$P$6:$P$546,MATCH($C$7,'BM MORRO DA CRUZ - VERTICAL'!$D$6:$D$546,0)),"CHAVE NÃO ENCONTRADA NO VERTICAL"))</f>
        <v/>
      </c>
      <c r="F7" s="175" t="str">
        <f>IF($C$7="","",IFERROR(INDEX('BM MORRO DA CRUZ - VERTICAL'!$Q$6:$Q$546,MATCH($C$7,'BM MORRO DA CRUZ - VERTICAL'!$D$6:$D$546,0)),"CHAVE NÃO ENCONTRADA NO VERTICAL"))</f>
        <v/>
      </c>
      <c r="G7" s="176"/>
      <c r="H7" s="176"/>
      <c r="I7" s="176"/>
      <c r="J7" s="176"/>
      <c r="K7" s="176"/>
      <c r="L7" s="176"/>
      <c r="M7" s="176"/>
      <c r="N7" s="176"/>
      <c r="O7" s="176"/>
      <c r="P7" s="176"/>
      <c r="Q7" s="176"/>
      <c r="R7" s="176"/>
      <c r="S7" s="176"/>
      <c r="T7" s="176"/>
      <c r="U7" s="176"/>
      <c r="V7" s="177" t="str">
        <f>IF($C$7="","",IFERROR(INDEX('BM MORRO DA CRUZ - VERTICAL'!$R$6:$R$546,MATCH($C$7,'BM MORRO DA CRUZ - VERTICAL'!$D$6:$D$546,0)),"CHAVE NÃO ENCONTRADA NO VERTICAL"))</f>
        <v/>
      </c>
      <c r="W7" s="178">
        <f>SUM($W27:$W92)</f>
        <v>0</v>
      </c>
      <c r="X7" s="179"/>
    </row>
    <row r="8" spans="2:24" ht="24.75" customHeight="1" x14ac:dyDescent="0.45">
      <c r="B8" s="426" t="s">
        <v>1497</v>
      </c>
      <c r="C8" s="426"/>
      <c r="D8" s="426"/>
      <c r="E8" s="426"/>
      <c r="F8" s="426"/>
      <c r="G8" s="426"/>
      <c r="H8" s="426"/>
      <c r="I8" s="426"/>
      <c r="J8" s="426"/>
      <c r="K8" s="426"/>
      <c r="L8" s="426"/>
      <c r="M8" s="426"/>
      <c r="N8" s="426"/>
      <c r="O8" s="426"/>
      <c r="P8" s="426"/>
      <c r="Q8" s="426"/>
      <c r="R8" s="426"/>
      <c r="S8" s="426"/>
      <c r="T8" s="426"/>
      <c r="U8" s="426"/>
      <c r="V8" s="426"/>
      <c r="W8" s="426"/>
      <c r="X8" s="180" t="s">
        <v>1498</v>
      </c>
    </row>
    <row r="9" spans="2:24" ht="14.25" customHeight="1" x14ac:dyDescent="0.45">
      <c r="B9" s="181"/>
      <c r="C9" s="182"/>
      <c r="D9" s="182"/>
      <c r="E9" s="182"/>
      <c r="F9" s="182"/>
      <c r="G9" s="182"/>
      <c r="H9" s="182"/>
      <c r="I9" s="182"/>
      <c r="J9" s="182"/>
      <c r="K9" s="182"/>
      <c r="L9" s="182"/>
      <c r="M9" s="182"/>
      <c r="N9" s="182"/>
      <c r="O9" s="182"/>
      <c r="P9" s="182"/>
      <c r="Q9" s="182"/>
      <c r="R9" s="182"/>
      <c r="S9" s="182"/>
      <c r="T9" s="182"/>
      <c r="U9" s="182"/>
      <c r="V9" s="182"/>
      <c r="W9" s="183"/>
      <c r="X9" s="427"/>
    </row>
    <row r="10" spans="2:24" x14ac:dyDescent="0.45">
      <c r="B10" s="181"/>
      <c r="C10" s="182"/>
      <c r="D10" s="182"/>
      <c r="E10" s="182"/>
      <c r="F10" s="182"/>
      <c r="G10" s="182"/>
      <c r="H10" s="182"/>
      <c r="I10" s="182"/>
      <c r="J10" s="182"/>
      <c r="K10" s="182"/>
      <c r="L10" s="182"/>
      <c r="M10" s="182"/>
      <c r="N10" s="182"/>
      <c r="O10" s="182"/>
      <c r="P10" s="182"/>
      <c r="Q10" s="182"/>
      <c r="R10" s="182"/>
      <c r="S10" s="182"/>
      <c r="T10" s="182"/>
      <c r="U10" s="182"/>
      <c r="V10" s="182"/>
      <c r="W10" s="183"/>
      <c r="X10" s="427"/>
    </row>
    <row r="11" spans="2:24" x14ac:dyDescent="0.45">
      <c r="B11" s="181"/>
      <c r="C11" s="182"/>
      <c r="D11" s="182"/>
      <c r="E11" s="182"/>
      <c r="F11" s="182"/>
      <c r="G11" s="182"/>
      <c r="H11" s="182"/>
      <c r="I11" s="182"/>
      <c r="J11" s="182"/>
      <c r="K11" s="182"/>
      <c r="L11" s="182"/>
      <c r="M11" s="182"/>
      <c r="N11" s="182"/>
      <c r="O11" s="182"/>
      <c r="P11" s="182"/>
      <c r="Q11" s="182"/>
      <c r="R11" s="182"/>
      <c r="S11" s="182"/>
      <c r="T11" s="182"/>
      <c r="U11" s="182"/>
      <c r="V11" s="182"/>
      <c r="W11" s="183"/>
      <c r="X11" s="427"/>
    </row>
    <row r="12" spans="2:24" x14ac:dyDescent="0.45">
      <c r="B12" s="181"/>
      <c r="C12" s="182"/>
      <c r="D12" s="182"/>
      <c r="E12" s="182"/>
      <c r="F12" s="182"/>
      <c r="G12" s="182"/>
      <c r="H12" s="182"/>
      <c r="I12" s="182"/>
      <c r="J12" s="182"/>
      <c r="K12" s="182"/>
      <c r="L12" s="182"/>
      <c r="M12" s="182"/>
      <c r="N12" s="182"/>
      <c r="O12" s="182"/>
      <c r="P12" s="182"/>
      <c r="Q12" s="182"/>
      <c r="R12" s="182"/>
      <c r="S12" s="182"/>
      <c r="T12" s="182"/>
      <c r="U12" s="182"/>
      <c r="V12" s="182"/>
      <c r="W12" s="183"/>
      <c r="X12" s="427"/>
    </row>
    <row r="13" spans="2:24" x14ac:dyDescent="0.45">
      <c r="B13" s="181"/>
      <c r="C13" s="182"/>
      <c r="D13" s="182"/>
      <c r="E13" s="182"/>
      <c r="F13" s="182"/>
      <c r="G13" s="182"/>
      <c r="H13" s="182"/>
      <c r="I13" s="182"/>
      <c r="J13" s="182"/>
      <c r="K13" s="182"/>
      <c r="L13" s="182"/>
      <c r="M13" s="182"/>
      <c r="N13" s="182"/>
      <c r="O13" s="182"/>
      <c r="P13" s="182"/>
      <c r="Q13" s="182"/>
      <c r="R13" s="182"/>
      <c r="S13" s="182"/>
      <c r="T13" s="182"/>
      <c r="U13" s="182"/>
      <c r="V13" s="182"/>
      <c r="W13" s="183"/>
      <c r="X13" s="427"/>
    </row>
    <row r="14" spans="2:24" x14ac:dyDescent="0.45">
      <c r="B14" s="181"/>
      <c r="C14" s="182"/>
      <c r="D14" s="182"/>
      <c r="E14" s="182"/>
      <c r="F14" s="182"/>
      <c r="G14" s="182"/>
      <c r="H14" s="182"/>
      <c r="I14" s="182"/>
      <c r="J14" s="182"/>
      <c r="K14" s="182"/>
      <c r="L14" s="182"/>
      <c r="M14" s="182"/>
      <c r="N14" s="182"/>
      <c r="O14" s="182"/>
      <c r="P14" s="182"/>
      <c r="Q14" s="182"/>
      <c r="R14" s="182"/>
      <c r="S14" s="182"/>
      <c r="T14" s="182"/>
      <c r="U14" s="182"/>
      <c r="V14" s="182"/>
      <c r="W14" s="183"/>
      <c r="X14" s="427"/>
    </row>
    <row r="15" spans="2:24" x14ac:dyDescent="0.45">
      <c r="B15" s="181"/>
      <c r="C15" s="182"/>
      <c r="D15" s="182"/>
      <c r="E15" s="182"/>
      <c r="F15" s="182"/>
      <c r="G15" s="182"/>
      <c r="H15" s="182"/>
      <c r="I15" s="182"/>
      <c r="J15" s="182"/>
      <c r="K15" s="182"/>
      <c r="L15" s="182"/>
      <c r="M15" s="182"/>
      <c r="N15" s="182"/>
      <c r="O15" s="182"/>
      <c r="P15" s="182"/>
      <c r="Q15" s="182"/>
      <c r="R15" s="182"/>
      <c r="S15" s="182"/>
      <c r="T15" s="182"/>
      <c r="U15" s="182"/>
      <c r="V15" s="182"/>
      <c r="W15" s="183"/>
      <c r="X15" s="427"/>
    </row>
    <row r="16" spans="2:24" x14ac:dyDescent="0.45">
      <c r="B16" s="181"/>
      <c r="C16" s="182"/>
      <c r="D16" s="182"/>
      <c r="E16" s="182"/>
      <c r="F16" s="182"/>
      <c r="G16" s="182"/>
      <c r="H16" s="182"/>
      <c r="I16" s="182"/>
      <c r="J16" s="182"/>
      <c r="K16" s="182"/>
      <c r="L16" s="182"/>
      <c r="M16" s="182"/>
      <c r="N16" s="182"/>
      <c r="O16" s="182"/>
      <c r="P16" s="182"/>
      <c r="Q16" s="182"/>
      <c r="R16" s="182"/>
      <c r="S16" s="182"/>
      <c r="T16" s="182"/>
      <c r="U16" s="182"/>
      <c r="V16" s="182"/>
      <c r="W16" s="183"/>
      <c r="X16" s="427"/>
    </row>
    <row r="17" spans="1:24" x14ac:dyDescent="0.45">
      <c r="B17" s="181"/>
      <c r="C17" s="182"/>
      <c r="D17" s="182"/>
      <c r="E17" s="182"/>
      <c r="F17" s="182"/>
      <c r="G17" s="182"/>
      <c r="H17" s="182"/>
      <c r="I17" s="182"/>
      <c r="J17" s="182"/>
      <c r="K17" s="182"/>
      <c r="L17" s="182"/>
      <c r="M17" s="182"/>
      <c r="N17" s="182"/>
      <c r="O17" s="182"/>
      <c r="P17" s="182"/>
      <c r="Q17" s="182"/>
      <c r="R17" s="182"/>
      <c r="S17" s="182"/>
      <c r="T17" s="182"/>
      <c r="U17" s="182"/>
      <c r="V17" s="182"/>
      <c r="W17" s="183"/>
      <c r="X17" s="427"/>
    </row>
    <row r="18" spans="1:24" x14ac:dyDescent="0.45">
      <c r="B18" s="181"/>
      <c r="C18" s="182"/>
      <c r="D18" s="182"/>
      <c r="E18" s="182"/>
      <c r="F18" s="182"/>
      <c r="G18" s="182"/>
      <c r="H18" s="182"/>
      <c r="I18" s="182"/>
      <c r="J18" s="182"/>
      <c r="K18" s="182"/>
      <c r="L18" s="182"/>
      <c r="M18" s="182"/>
      <c r="N18" s="182"/>
      <c r="O18" s="182"/>
      <c r="P18" s="182"/>
      <c r="Q18" s="182"/>
      <c r="R18" s="182"/>
      <c r="S18" s="182"/>
      <c r="T18" s="182"/>
      <c r="U18" s="182"/>
      <c r="V18" s="182"/>
      <c r="W18" s="183"/>
      <c r="X18" s="427"/>
    </row>
    <row r="19" spans="1:24" x14ac:dyDescent="0.45">
      <c r="B19" s="181"/>
      <c r="C19" s="182"/>
      <c r="D19" s="182"/>
      <c r="E19" s="182"/>
      <c r="F19" s="182"/>
      <c r="G19" s="182"/>
      <c r="H19" s="182"/>
      <c r="I19" s="182"/>
      <c r="J19" s="182"/>
      <c r="K19" s="182"/>
      <c r="L19" s="182"/>
      <c r="M19" s="182"/>
      <c r="N19" s="182"/>
      <c r="O19" s="182"/>
      <c r="P19" s="182"/>
      <c r="Q19" s="182"/>
      <c r="R19" s="182"/>
      <c r="S19" s="182"/>
      <c r="T19" s="182"/>
      <c r="U19" s="182"/>
      <c r="V19" s="182"/>
      <c r="W19" s="183"/>
      <c r="X19" s="427"/>
    </row>
    <row r="20" spans="1:24" x14ac:dyDescent="0.45">
      <c r="B20" s="181"/>
      <c r="C20" s="182"/>
      <c r="D20" s="182"/>
      <c r="E20" s="182"/>
      <c r="F20" s="182"/>
      <c r="G20" s="182"/>
      <c r="H20" s="182"/>
      <c r="I20" s="182"/>
      <c r="J20" s="182"/>
      <c r="K20" s="182"/>
      <c r="L20" s="182"/>
      <c r="M20" s="182"/>
      <c r="N20" s="182"/>
      <c r="O20" s="182"/>
      <c r="P20" s="182"/>
      <c r="Q20" s="182"/>
      <c r="R20" s="182"/>
      <c r="S20" s="182"/>
      <c r="T20" s="182"/>
      <c r="U20" s="182"/>
      <c r="V20" s="182"/>
      <c r="W20" s="183"/>
      <c r="X20" s="427"/>
    </row>
    <row r="21" spans="1:24" x14ac:dyDescent="0.45">
      <c r="B21" s="181"/>
      <c r="C21" s="182"/>
      <c r="D21" s="182"/>
      <c r="E21" s="182"/>
      <c r="F21" s="182"/>
      <c r="G21" s="182"/>
      <c r="H21" s="182"/>
      <c r="I21" s="182"/>
      <c r="J21" s="182"/>
      <c r="K21" s="182"/>
      <c r="L21" s="182"/>
      <c r="M21" s="182"/>
      <c r="N21" s="182"/>
      <c r="O21" s="182"/>
      <c r="P21" s="182"/>
      <c r="Q21" s="182"/>
      <c r="R21" s="182"/>
      <c r="S21" s="182"/>
      <c r="T21" s="182"/>
      <c r="U21" s="182"/>
      <c r="V21" s="182"/>
      <c r="W21" s="183"/>
      <c r="X21" s="427"/>
    </row>
    <row r="22" spans="1:24" x14ac:dyDescent="0.45">
      <c r="B22" s="181"/>
      <c r="C22" s="182"/>
      <c r="D22" s="182"/>
      <c r="E22" s="182"/>
      <c r="F22" s="182"/>
      <c r="G22" s="182"/>
      <c r="H22" s="182"/>
      <c r="I22" s="182"/>
      <c r="J22" s="182"/>
      <c r="K22" s="182"/>
      <c r="L22" s="182"/>
      <c r="M22" s="182"/>
      <c r="N22" s="182"/>
      <c r="O22" s="182"/>
      <c r="P22" s="182"/>
      <c r="Q22" s="182"/>
      <c r="R22" s="182"/>
      <c r="S22" s="182"/>
      <c r="T22" s="182"/>
      <c r="U22" s="182"/>
      <c r="V22" s="182"/>
      <c r="W22" s="183"/>
      <c r="X22" s="427"/>
    </row>
    <row r="23" spans="1:24" x14ac:dyDescent="0.45">
      <c r="B23" s="181"/>
      <c r="C23" s="182"/>
      <c r="D23" s="182"/>
      <c r="E23" s="182"/>
      <c r="F23" s="182"/>
      <c r="G23" s="182"/>
      <c r="H23" s="182"/>
      <c r="I23" s="182"/>
      <c r="J23" s="182"/>
      <c r="K23" s="182"/>
      <c r="L23" s="182"/>
      <c r="M23" s="182"/>
      <c r="N23" s="182"/>
      <c r="O23" s="182"/>
      <c r="P23" s="182"/>
      <c r="Q23" s="182"/>
      <c r="R23" s="182"/>
      <c r="S23" s="182"/>
      <c r="T23" s="182"/>
      <c r="U23" s="182"/>
      <c r="V23" s="182"/>
      <c r="W23" s="183"/>
      <c r="X23" s="427"/>
    </row>
    <row r="24" spans="1:24" x14ac:dyDescent="0.45">
      <c r="B24" s="181"/>
      <c r="C24" s="182"/>
      <c r="D24" s="182"/>
      <c r="E24" s="182"/>
      <c r="F24" s="182"/>
      <c r="G24" s="182"/>
      <c r="H24" s="182"/>
      <c r="I24" s="182"/>
      <c r="J24" s="182"/>
      <c r="K24" s="182"/>
      <c r="L24" s="182"/>
      <c r="M24" s="182"/>
      <c r="N24" s="182"/>
      <c r="O24" s="182"/>
      <c r="P24" s="182"/>
      <c r="Q24" s="182"/>
      <c r="R24" s="182"/>
      <c r="S24" s="182"/>
      <c r="T24" s="182"/>
      <c r="U24" s="182"/>
      <c r="V24" s="182"/>
      <c r="W24" s="183"/>
      <c r="X24" s="427"/>
    </row>
    <row r="25" spans="1:24" x14ac:dyDescent="0.45">
      <c r="B25" s="184"/>
      <c r="C25" s="185" t="s">
        <v>1499</v>
      </c>
      <c r="D25" s="185"/>
      <c r="E25" s="185"/>
      <c r="F25" s="185"/>
      <c r="G25" s="185"/>
      <c r="H25" s="185"/>
      <c r="I25" s="185"/>
      <c r="J25" s="185"/>
      <c r="K25" s="185"/>
      <c r="L25" s="185"/>
      <c r="M25" s="185"/>
      <c r="N25" s="185"/>
      <c r="O25" s="185"/>
      <c r="P25" s="185"/>
      <c r="Q25" s="185"/>
      <c r="R25" s="185"/>
      <c r="S25" s="185"/>
      <c r="T25" s="185"/>
      <c r="U25" s="185"/>
      <c r="V25" s="185"/>
      <c r="W25" s="186"/>
      <c r="X25" s="187"/>
    </row>
    <row r="26" spans="1:24" ht="26.65" x14ac:dyDescent="0.45">
      <c r="B26" s="188" t="s">
        <v>1458</v>
      </c>
      <c r="C26" s="185" t="s">
        <v>1459</v>
      </c>
      <c r="D26" s="185"/>
      <c r="E26" s="185" t="s">
        <v>1500</v>
      </c>
      <c r="F26" s="185"/>
      <c r="G26" s="185" t="s">
        <v>1501</v>
      </c>
      <c r="H26" s="189" t="s">
        <v>1502</v>
      </c>
      <c r="I26" s="185" t="s">
        <v>1503</v>
      </c>
      <c r="J26" s="185" t="s">
        <v>1504</v>
      </c>
      <c r="K26" s="189" t="s">
        <v>1505</v>
      </c>
      <c r="L26" s="189" t="s">
        <v>1504</v>
      </c>
      <c r="M26" s="189"/>
      <c r="N26" s="189" t="s">
        <v>1506</v>
      </c>
      <c r="O26" s="189"/>
      <c r="P26" s="190"/>
      <c r="Q26" s="189"/>
      <c r="R26" s="189"/>
      <c r="S26" s="189"/>
      <c r="T26" s="189" t="s">
        <v>1507</v>
      </c>
      <c r="U26" s="189" t="s">
        <v>27</v>
      </c>
      <c r="V26" s="189" t="s">
        <v>26</v>
      </c>
      <c r="W26" s="191" t="s">
        <v>1508</v>
      </c>
      <c r="X26" s="192"/>
    </row>
    <row r="27" spans="1:24" x14ac:dyDescent="0.45">
      <c r="A27" s="193">
        <v>1</v>
      </c>
      <c r="B27" s="194" t="str">
        <f t="shared" ref="B27:B58" si="0">IF(OR($C$7="",U27=""),"",LEFT($C$7,FIND("_",$C$7)-1))</f>
        <v/>
      </c>
      <c r="C27" s="170" t="str">
        <f t="shared" ref="C27:C58" si="1">IF(OR($C$7="",U27=""),"",$B$7)</f>
        <v/>
      </c>
      <c r="D27" s="170"/>
      <c r="E27" s="195"/>
      <c r="F27" s="195"/>
      <c r="G27" s="196"/>
      <c r="H27" s="197"/>
      <c r="I27" s="197"/>
      <c r="J27" s="197"/>
      <c r="K27" s="197"/>
      <c r="L27" s="197"/>
      <c r="M27" s="198"/>
      <c r="N27" s="198"/>
      <c r="O27" s="198"/>
      <c r="P27" s="199"/>
      <c r="Q27" s="200"/>
      <c r="R27" s="200"/>
      <c r="S27" s="200"/>
      <c r="T27" s="200" t="str">
        <f t="shared" ref="T27:T58" si="2">IF(K27="","",((K27*20)+L27)-((I27*20)+J27))</f>
        <v/>
      </c>
      <c r="U27" s="200"/>
      <c r="V27" s="201" t="str">
        <f t="shared" ref="V27:V58" si="3">IF(U27="","",$V$7)</f>
        <v/>
      </c>
      <c r="W27" s="202">
        <f t="shared" ref="W27:W58" si="4">IF(OR(T27="",U27=""),0,T27*U27)</f>
        <v>0</v>
      </c>
      <c r="X27" s="172"/>
    </row>
    <row r="28" spans="1:24" x14ac:dyDescent="0.45">
      <c r="A28" s="193">
        <v>2</v>
      </c>
      <c r="B28" s="194" t="str">
        <f t="shared" si="0"/>
        <v/>
      </c>
      <c r="C28" s="170" t="str">
        <f t="shared" si="1"/>
        <v/>
      </c>
      <c r="D28" s="170"/>
      <c r="E28" s="195"/>
      <c r="F28" s="195"/>
      <c r="G28" s="196"/>
      <c r="H28" s="197"/>
      <c r="I28" s="197" t="str">
        <f t="shared" ref="I28:I59" si="5">IF(K27="","",K27)</f>
        <v/>
      </c>
      <c r="J28" s="197" t="str">
        <f t="shared" ref="J28:J59" si="6">IF(L27="","",L27)</f>
        <v/>
      </c>
      <c r="K28" s="197"/>
      <c r="L28" s="197"/>
      <c r="M28" s="198"/>
      <c r="N28" s="198"/>
      <c r="O28" s="198"/>
      <c r="P28" s="199"/>
      <c r="Q28" s="200"/>
      <c r="R28" s="200"/>
      <c r="S28" s="200"/>
      <c r="T28" s="200" t="str">
        <f t="shared" si="2"/>
        <v/>
      </c>
      <c r="U28" s="200"/>
      <c r="V28" s="201" t="str">
        <f t="shared" si="3"/>
        <v/>
      </c>
      <c r="W28" s="202">
        <f t="shared" si="4"/>
        <v>0</v>
      </c>
      <c r="X28" s="172"/>
    </row>
    <row r="29" spans="1:24" x14ac:dyDescent="0.45">
      <c r="A29" s="193">
        <v>3</v>
      </c>
      <c r="B29" s="194" t="str">
        <f t="shared" si="0"/>
        <v/>
      </c>
      <c r="C29" s="170" t="str">
        <f t="shared" si="1"/>
        <v/>
      </c>
      <c r="D29" s="170"/>
      <c r="E29" s="195"/>
      <c r="F29" s="195"/>
      <c r="G29" s="196"/>
      <c r="H29" s="197"/>
      <c r="I29" s="197" t="str">
        <f t="shared" si="5"/>
        <v/>
      </c>
      <c r="J29" s="197" t="str">
        <f t="shared" si="6"/>
        <v/>
      </c>
      <c r="K29" s="197"/>
      <c r="L29" s="197"/>
      <c r="M29" s="198"/>
      <c r="N29" s="198"/>
      <c r="O29" s="198"/>
      <c r="P29" s="199"/>
      <c r="Q29" s="200"/>
      <c r="R29" s="200"/>
      <c r="S29" s="200"/>
      <c r="T29" s="200" t="str">
        <f t="shared" si="2"/>
        <v/>
      </c>
      <c r="U29" s="200"/>
      <c r="V29" s="201" t="str">
        <f t="shared" si="3"/>
        <v/>
      </c>
      <c r="W29" s="202">
        <f t="shared" si="4"/>
        <v>0</v>
      </c>
      <c r="X29" s="172"/>
    </row>
    <row r="30" spans="1:24" x14ac:dyDescent="0.45">
      <c r="A30" s="193">
        <v>4</v>
      </c>
      <c r="B30" s="194" t="str">
        <f t="shared" si="0"/>
        <v/>
      </c>
      <c r="C30" s="170" t="str">
        <f t="shared" si="1"/>
        <v/>
      </c>
      <c r="D30" s="170"/>
      <c r="E30" s="195"/>
      <c r="F30" s="195"/>
      <c r="G30" s="196"/>
      <c r="H30" s="197"/>
      <c r="I30" s="197" t="str">
        <f t="shared" si="5"/>
        <v/>
      </c>
      <c r="J30" s="197" t="str">
        <f t="shared" si="6"/>
        <v/>
      </c>
      <c r="K30" s="197"/>
      <c r="L30" s="197"/>
      <c r="M30" s="198"/>
      <c r="N30" s="198"/>
      <c r="O30" s="198"/>
      <c r="P30" s="199"/>
      <c r="Q30" s="200"/>
      <c r="R30" s="200"/>
      <c r="S30" s="200"/>
      <c r="T30" s="200" t="str">
        <f t="shared" si="2"/>
        <v/>
      </c>
      <c r="U30" s="200"/>
      <c r="V30" s="201" t="str">
        <f t="shared" si="3"/>
        <v/>
      </c>
      <c r="W30" s="202">
        <f t="shared" si="4"/>
        <v>0</v>
      </c>
      <c r="X30" s="172"/>
    </row>
    <row r="31" spans="1:24" x14ac:dyDescent="0.45">
      <c r="A31" s="193">
        <v>5</v>
      </c>
      <c r="B31" s="194" t="str">
        <f t="shared" si="0"/>
        <v/>
      </c>
      <c r="C31" s="170" t="str">
        <f t="shared" si="1"/>
        <v/>
      </c>
      <c r="D31" s="170"/>
      <c r="E31" s="195"/>
      <c r="F31" s="195"/>
      <c r="G31" s="196"/>
      <c r="H31" s="197"/>
      <c r="I31" s="197" t="str">
        <f t="shared" si="5"/>
        <v/>
      </c>
      <c r="J31" s="197" t="str">
        <f t="shared" si="6"/>
        <v/>
      </c>
      <c r="K31" s="197"/>
      <c r="L31" s="197"/>
      <c r="M31" s="198"/>
      <c r="N31" s="198"/>
      <c r="O31" s="198"/>
      <c r="P31" s="199"/>
      <c r="Q31" s="200"/>
      <c r="R31" s="200"/>
      <c r="S31" s="200"/>
      <c r="T31" s="200" t="str">
        <f t="shared" si="2"/>
        <v/>
      </c>
      <c r="U31" s="200"/>
      <c r="V31" s="201" t="str">
        <f t="shared" si="3"/>
        <v/>
      </c>
      <c r="W31" s="202">
        <f t="shared" si="4"/>
        <v>0</v>
      </c>
      <c r="X31" s="172"/>
    </row>
    <row r="32" spans="1:24" x14ac:dyDescent="0.45">
      <c r="A32" s="193">
        <v>6</v>
      </c>
      <c r="B32" s="194" t="str">
        <f t="shared" si="0"/>
        <v/>
      </c>
      <c r="C32" s="170" t="str">
        <f t="shared" si="1"/>
        <v/>
      </c>
      <c r="D32" s="170"/>
      <c r="E32" s="195"/>
      <c r="F32" s="195"/>
      <c r="G32" s="196"/>
      <c r="H32" s="197"/>
      <c r="I32" s="197" t="str">
        <f t="shared" si="5"/>
        <v/>
      </c>
      <c r="J32" s="197" t="str">
        <f t="shared" si="6"/>
        <v/>
      </c>
      <c r="K32" s="197"/>
      <c r="L32" s="197"/>
      <c r="M32" s="198"/>
      <c r="N32" s="198"/>
      <c r="O32" s="198"/>
      <c r="P32" s="199"/>
      <c r="Q32" s="200"/>
      <c r="R32" s="200"/>
      <c r="S32" s="200"/>
      <c r="T32" s="200" t="str">
        <f t="shared" si="2"/>
        <v/>
      </c>
      <c r="U32" s="200"/>
      <c r="V32" s="201" t="str">
        <f t="shared" si="3"/>
        <v/>
      </c>
      <c r="W32" s="202">
        <f t="shared" si="4"/>
        <v>0</v>
      </c>
      <c r="X32" s="172"/>
    </row>
    <row r="33" spans="1:24" x14ac:dyDescent="0.45">
      <c r="A33" s="193">
        <v>7</v>
      </c>
      <c r="B33" s="194" t="str">
        <f t="shared" si="0"/>
        <v/>
      </c>
      <c r="C33" s="170" t="str">
        <f t="shared" si="1"/>
        <v/>
      </c>
      <c r="D33" s="170"/>
      <c r="E33" s="195"/>
      <c r="F33" s="195"/>
      <c r="G33" s="196"/>
      <c r="H33" s="197"/>
      <c r="I33" s="197" t="str">
        <f t="shared" si="5"/>
        <v/>
      </c>
      <c r="J33" s="197" t="str">
        <f t="shared" si="6"/>
        <v/>
      </c>
      <c r="K33" s="197"/>
      <c r="L33" s="197"/>
      <c r="M33" s="198"/>
      <c r="N33" s="198"/>
      <c r="O33" s="198"/>
      <c r="P33" s="199"/>
      <c r="Q33" s="200"/>
      <c r="R33" s="200"/>
      <c r="S33" s="200"/>
      <c r="T33" s="200" t="str">
        <f t="shared" si="2"/>
        <v/>
      </c>
      <c r="U33" s="200"/>
      <c r="V33" s="201" t="str">
        <f t="shared" si="3"/>
        <v/>
      </c>
      <c r="W33" s="202">
        <f t="shared" si="4"/>
        <v>0</v>
      </c>
      <c r="X33" s="172"/>
    </row>
    <row r="34" spans="1:24" x14ac:dyDescent="0.45">
      <c r="A34" s="193">
        <v>8</v>
      </c>
      <c r="B34" s="194" t="str">
        <f t="shared" si="0"/>
        <v/>
      </c>
      <c r="C34" s="170" t="str">
        <f t="shared" si="1"/>
        <v/>
      </c>
      <c r="D34" s="170"/>
      <c r="E34" s="195"/>
      <c r="F34" s="195"/>
      <c r="G34" s="196"/>
      <c r="H34" s="197"/>
      <c r="I34" s="197" t="str">
        <f t="shared" si="5"/>
        <v/>
      </c>
      <c r="J34" s="197" t="str">
        <f t="shared" si="6"/>
        <v/>
      </c>
      <c r="K34" s="197"/>
      <c r="L34" s="197"/>
      <c r="M34" s="198"/>
      <c r="N34" s="198"/>
      <c r="O34" s="198"/>
      <c r="P34" s="199"/>
      <c r="Q34" s="200"/>
      <c r="R34" s="200"/>
      <c r="S34" s="200"/>
      <c r="T34" s="200" t="str">
        <f t="shared" si="2"/>
        <v/>
      </c>
      <c r="U34" s="200"/>
      <c r="V34" s="201" t="str">
        <f t="shared" si="3"/>
        <v/>
      </c>
      <c r="W34" s="202">
        <f t="shared" si="4"/>
        <v>0</v>
      </c>
      <c r="X34" s="172"/>
    </row>
    <row r="35" spans="1:24" x14ac:dyDescent="0.45">
      <c r="A35" s="193">
        <v>9</v>
      </c>
      <c r="B35" s="194" t="str">
        <f t="shared" si="0"/>
        <v/>
      </c>
      <c r="C35" s="170" t="str">
        <f t="shared" si="1"/>
        <v/>
      </c>
      <c r="D35" s="170"/>
      <c r="E35" s="195"/>
      <c r="F35" s="195"/>
      <c r="G35" s="196"/>
      <c r="H35" s="197"/>
      <c r="I35" s="197" t="str">
        <f t="shared" si="5"/>
        <v/>
      </c>
      <c r="J35" s="197" t="str">
        <f t="shared" si="6"/>
        <v/>
      </c>
      <c r="K35" s="197"/>
      <c r="L35" s="197"/>
      <c r="M35" s="198"/>
      <c r="N35" s="198"/>
      <c r="O35" s="198"/>
      <c r="P35" s="199"/>
      <c r="Q35" s="200"/>
      <c r="R35" s="200"/>
      <c r="S35" s="200"/>
      <c r="T35" s="200" t="str">
        <f t="shared" si="2"/>
        <v/>
      </c>
      <c r="U35" s="200"/>
      <c r="V35" s="201" t="str">
        <f t="shared" si="3"/>
        <v/>
      </c>
      <c r="W35" s="202">
        <f t="shared" si="4"/>
        <v>0</v>
      </c>
      <c r="X35" s="172"/>
    </row>
    <row r="36" spans="1:24" x14ac:dyDescent="0.45">
      <c r="A36" s="193">
        <v>10</v>
      </c>
      <c r="B36" s="194" t="str">
        <f t="shared" si="0"/>
        <v/>
      </c>
      <c r="C36" s="170" t="str">
        <f t="shared" si="1"/>
        <v/>
      </c>
      <c r="D36" s="170"/>
      <c r="E36" s="195"/>
      <c r="F36" s="195"/>
      <c r="G36" s="196"/>
      <c r="H36" s="197"/>
      <c r="I36" s="197" t="str">
        <f t="shared" si="5"/>
        <v/>
      </c>
      <c r="J36" s="197" t="str">
        <f t="shared" si="6"/>
        <v/>
      </c>
      <c r="K36" s="197"/>
      <c r="L36" s="197"/>
      <c r="M36" s="198"/>
      <c r="N36" s="198"/>
      <c r="O36" s="198"/>
      <c r="P36" s="199"/>
      <c r="Q36" s="200"/>
      <c r="R36" s="200"/>
      <c r="S36" s="200"/>
      <c r="T36" s="200" t="str">
        <f t="shared" si="2"/>
        <v/>
      </c>
      <c r="U36" s="200"/>
      <c r="V36" s="201" t="str">
        <f t="shared" si="3"/>
        <v/>
      </c>
      <c r="W36" s="202">
        <f t="shared" si="4"/>
        <v>0</v>
      </c>
      <c r="X36" s="172"/>
    </row>
    <row r="37" spans="1:24" x14ac:dyDescent="0.45">
      <c r="A37" s="193">
        <v>11</v>
      </c>
      <c r="B37" s="194" t="str">
        <f t="shared" si="0"/>
        <v/>
      </c>
      <c r="C37" s="170" t="str">
        <f t="shared" si="1"/>
        <v/>
      </c>
      <c r="D37" s="170"/>
      <c r="E37" s="195"/>
      <c r="F37" s="195"/>
      <c r="G37" s="196"/>
      <c r="H37" s="197"/>
      <c r="I37" s="197" t="str">
        <f t="shared" si="5"/>
        <v/>
      </c>
      <c r="J37" s="197" t="str">
        <f t="shared" si="6"/>
        <v/>
      </c>
      <c r="K37" s="197"/>
      <c r="L37" s="197"/>
      <c r="M37" s="198"/>
      <c r="N37" s="198"/>
      <c r="O37" s="198"/>
      <c r="P37" s="199"/>
      <c r="Q37" s="200"/>
      <c r="R37" s="200"/>
      <c r="S37" s="200"/>
      <c r="T37" s="200" t="str">
        <f t="shared" si="2"/>
        <v/>
      </c>
      <c r="U37" s="200"/>
      <c r="V37" s="201" t="str">
        <f t="shared" si="3"/>
        <v/>
      </c>
      <c r="W37" s="202">
        <f t="shared" si="4"/>
        <v>0</v>
      </c>
      <c r="X37" s="172"/>
    </row>
    <row r="38" spans="1:24" x14ac:dyDescent="0.45">
      <c r="A38" s="193">
        <v>12</v>
      </c>
      <c r="B38" s="194" t="str">
        <f t="shared" si="0"/>
        <v/>
      </c>
      <c r="C38" s="170" t="str">
        <f t="shared" si="1"/>
        <v/>
      </c>
      <c r="D38" s="170"/>
      <c r="E38" s="195"/>
      <c r="F38" s="195"/>
      <c r="G38" s="196"/>
      <c r="H38" s="197"/>
      <c r="I38" s="197" t="str">
        <f t="shared" si="5"/>
        <v/>
      </c>
      <c r="J38" s="197" t="str">
        <f t="shared" si="6"/>
        <v/>
      </c>
      <c r="K38" s="197"/>
      <c r="L38" s="197"/>
      <c r="M38" s="198"/>
      <c r="N38" s="198"/>
      <c r="O38" s="198"/>
      <c r="P38" s="199"/>
      <c r="Q38" s="200"/>
      <c r="R38" s="200"/>
      <c r="S38" s="200"/>
      <c r="T38" s="200" t="str">
        <f t="shared" si="2"/>
        <v/>
      </c>
      <c r="U38" s="200"/>
      <c r="V38" s="201" t="str">
        <f t="shared" si="3"/>
        <v/>
      </c>
      <c r="W38" s="202">
        <f t="shared" si="4"/>
        <v>0</v>
      </c>
      <c r="X38" s="172"/>
    </row>
    <row r="39" spans="1:24" x14ac:dyDescent="0.45">
      <c r="A39" s="193">
        <v>13</v>
      </c>
      <c r="B39" s="194" t="str">
        <f t="shared" si="0"/>
        <v/>
      </c>
      <c r="C39" s="170" t="str">
        <f t="shared" si="1"/>
        <v/>
      </c>
      <c r="D39" s="170"/>
      <c r="E39" s="195"/>
      <c r="F39" s="195"/>
      <c r="G39" s="196"/>
      <c r="H39" s="197"/>
      <c r="I39" s="197" t="str">
        <f t="shared" si="5"/>
        <v/>
      </c>
      <c r="J39" s="197" t="str">
        <f t="shared" si="6"/>
        <v/>
      </c>
      <c r="K39" s="197"/>
      <c r="L39" s="197"/>
      <c r="M39" s="198"/>
      <c r="N39" s="198"/>
      <c r="O39" s="198"/>
      <c r="P39" s="199"/>
      <c r="Q39" s="200"/>
      <c r="R39" s="200"/>
      <c r="S39" s="200"/>
      <c r="T39" s="200" t="str">
        <f t="shared" si="2"/>
        <v/>
      </c>
      <c r="U39" s="200"/>
      <c r="V39" s="201" t="str">
        <f t="shared" si="3"/>
        <v/>
      </c>
      <c r="W39" s="202">
        <f t="shared" si="4"/>
        <v>0</v>
      </c>
      <c r="X39" s="172"/>
    </row>
    <row r="40" spans="1:24" x14ac:dyDescent="0.45">
      <c r="A40" s="193">
        <v>14</v>
      </c>
      <c r="B40" s="194" t="str">
        <f t="shared" si="0"/>
        <v/>
      </c>
      <c r="C40" s="170" t="str">
        <f t="shared" si="1"/>
        <v/>
      </c>
      <c r="D40" s="170"/>
      <c r="E40" s="195"/>
      <c r="F40" s="195"/>
      <c r="G40" s="196"/>
      <c r="H40" s="197"/>
      <c r="I40" s="197" t="str">
        <f t="shared" si="5"/>
        <v/>
      </c>
      <c r="J40" s="197" t="str">
        <f t="shared" si="6"/>
        <v/>
      </c>
      <c r="K40" s="197"/>
      <c r="L40" s="197"/>
      <c r="M40" s="198"/>
      <c r="N40" s="198"/>
      <c r="O40" s="198"/>
      <c r="P40" s="199"/>
      <c r="Q40" s="200"/>
      <c r="R40" s="200"/>
      <c r="S40" s="200"/>
      <c r="T40" s="200" t="str">
        <f t="shared" si="2"/>
        <v/>
      </c>
      <c r="U40" s="200"/>
      <c r="V40" s="201" t="str">
        <f t="shared" si="3"/>
        <v/>
      </c>
      <c r="W40" s="202">
        <f t="shared" si="4"/>
        <v>0</v>
      </c>
      <c r="X40" s="172"/>
    </row>
    <row r="41" spans="1:24" x14ac:dyDescent="0.45">
      <c r="A41" s="193">
        <v>15</v>
      </c>
      <c r="B41" s="194" t="str">
        <f t="shared" si="0"/>
        <v/>
      </c>
      <c r="C41" s="170" t="str">
        <f t="shared" si="1"/>
        <v/>
      </c>
      <c r="D41" s="170"/>
      <c r="E41" s="195"/>
      <c r="F41" s="195"/>
      <c r="G41" s="196"/>
      <c r="H41" s="197"/>
      <c r="I41" s="197" t="str">
        <f t="shared" si="5"/>
        <v/>
      </c>
      <c r="J41" s="197" t="str">
        <f t="shared" si="6"/>
        <v/>
      </c>
      <c r="K41" s="197"/>
      <c r="L41" s="197"/>
      <c r="M41" s="198"/>
      <c r="N41" s="198"/>
      <c r="O41" s="198"/>
      <c r="P41" s="199"/>
      <c r="Q41" s="200"/>
      <c r="R41" s="200"/>
      <c r="S41" s="200"/>
      <c r="T41" s="200" t="str">
        <f t="shared" si="2"/>
        <v/>
      </c>
      <c r="U41" s="200"/>
      <c r="V41" s="201" t="str">
        <f t="shared" si="3"/>
        <v/>
      </c>
      <c r="W41" s="202">
        <f t="shared" si="4"/>
        <v>0</v>
      </c>
      <c r="X41" s="172"/>
    </row>
    <row r="42" spans="1:24" x14ac:dyDescent="0.45">
      <c r="A42" s="193">
        <v>16</v>
      </c>
      <c r="B42" s="194" t="str">
        <f t="shared" si="0"/>
        <v/>
      </c>
      <c r="C42" s="170" t="str">
        <f t="shared" si="1"/>
        <v/>
      </c>
      <c r="D42" s="170"/>
      <c r="E42" s="195"/>
      <c r="F42" s="195"/>
      <c r="G42" s="196"/>
      <c r="H42" s="197"/>
      <c r="I42" s="197" t="str">
        <f t="shared" si="5"/>
        <v/>
      </c>
      <c r="J42" s="197" t="str">
        <f t="shared" si="6"/>
        <v/>
      </c>
      <c r="K42" s="197"/>
      <c r="L42" s="197"/>
      <c r="M42" s="198"/>
      <c r="N42" s="198"/>
      <c r="O42" s="198"/>
      <c r="P42" s="199"/>
      <c r="Q42" s="200"/>
      <c r="R42" s="200"/>
      <c r="S42" s="200"/>
      <c r="T42" s="200" t="str">
        <f t="shared" si="2"/>
        <v/>
      </c>
      <c r="U42" s="200"/>
      <c r="V42" s="201" t="str">
        <f t="shared" si="3"/>
        <v/>
      </c>
      <c r="W42" s="202">
        <f t="shared" si="4"/>
        <v>0</v>
      </c>
      <c r="X42" s="172"/>
    </row>
    <row r="43" spans="1:24" x14ac:dyDescent="0.45">
      <c r="A43" s="193">
        <v>17</v>
      </c>
      <c r="B43" s="194" t="str">
        <f t="shared" si="0"/>
        <v/>
      </c>
      <c r="C43" s="170" t="str">
        <f t="shared" si="1"/>
        <v/>
      </c>
      <c r="D43" s="170"/>
      <c r="E43" s="195"/>
      <c r="F43" s="195"/>
      <c r="G43" s="196"/>
      <c r="H43" s="197"/>
      <c r="I43" s="197" t="str">
        <f t="shared" si="5"/>
        <v/>
      </c>
      <c r="J43" s="197" t="str">
        <f t="shared" si="6"/>
        <v/>
      </c>
      <c r="K43" s="197"/>
      <c r="L43" s="197"/>
      <c r="M43" s="198"/>
      <c r="N43" s="198"/>
      <c r="O43" s="198"/>
      <c r="P43" s="199"/>
      <c r="Q43" s="200"/>
      <c r="R43" s="200"/>
      <c r="S43" s="200"/>
      <c r="T43" s="200" t="str">
        <f t="shared" si="2"/>
        <v/>
      </c>
      <c r="U43" s="200"/>
      <c r="V43" s="201" t="str">
        <f t="shared" si="3"/>
        <v/>
      </c>
      <c r="W43" s="202">
        <f t="shared" si="4"/>
        <v>0</v>
      </c>
      <c r="X43" s="172"/>
    </row>
    <row r="44" spans="1:24" x14ac:dyDescent="0.45">
      <c r="A44" s="193">
        <v>18</v>
      </c>
      <c r="B44" s="194" t="str">
        <f t="shared" si="0"/>
        <v/>
      </c>
      <c r="C44" s="170" t="str">
        <f t="shared" si="1"/>
        <v/>
      </c>
      <c r="D44" s="170"/>
      <c r="E44" s="195"/>
      <c r="F44" s="195"/>
      <c r="G44" s="196"/>
      <c r="H44" s="197"/>
      <c r="I44" s="197" t="str">
        <f t="shared" si="5"/>
        <v/>
      </c>
      <c r="J44" s="197" t="str">
        <f t="shared" si="6"/>
        <v/>
      </c>
      <c r="K44" s="197"/>
      <c r="L44" s="197"/>
      <c r="M44" s="198"/>
      <c r="N44" s="198"/>
      <c r="O44" s="198"/>
      <c r="P44" s="199"/>
      <c r="Q44" s="200"/>
      <c r="R44" s="200"/>
      <c r="S44" s="200"/>
      <c r="T44" s="200" t="str">
        <f t="shared" si="2"/>
        <v/>
      </c>
      <c r="U44" s="200"/>
      <c r="V44" s="201" t="str">
        <f t="shared" si="3"/>
        <v/>
      </c>
      <c r="W44" s="202">
        <f t="shared" si="4"/>
        <v>0</v>
      </c>
      <c r="X44" s="172"/>
    </row>
    <row r="45" spans="1:24" x14ac:dyDescent="0.45">
      <c r="A45" s="193">
        <v>19</v>
      </c>
      <c r="B45" s="194" t="str">
        <f t="shared" si="0"/>
        <v/>
      </c>
      <c r="C45" s="170" t="str">
        <f t="shared" si="1"/>
        <v/>
      </c>
      <c r="D45" s="170"/>
      <c r="E45" s="195"/>
      <c r="F45" s="195"/>
      <c r="G45" s="196"/>
      <c r="H45" s="197"/>
      <c r="I45" s="197" t="str">
        <f t="shared" si="5"/>
        <v/>
      </c>
      <c r="J45" s="197" t="str">
        <f t="shared" si="6"/>
        <v/>
      </c>
      <c r="K45" s="197"/>
      <c r="L45" s="197"/>
      <c r="M45" s="198"/>
      <c r="N45" s="198"/>
      <c r="O45" s="198"/>
      <c r="P45" s="199"/>
      <c r="Q45" s="200"/>
      <c r="R45" s="200"/>
      <c r="S45" s="200"/>
      <c r="T45" s="200" t="str">
        <f t="shared" si="2"/>
        <v/>
      </c>
      <c r="U45" s="200"/>
      <c r="V45" s="201" t="str">
        <f t="shared" si="3"/>
        <v/>
      </c>
      <c r="W45" s="202">
        <f t="shared" si="4"/>
        <v>0</v>
      </c>
      <c r="X45" s="172"/>
    </row>
    <row r="46" spans="1:24" x14ac:dyDescent="0.45">
      <c r="A46" s="193">
        <v>20</v>
      </c>
      <c r="B46" s="194" t="str">
        <f t="shared" si="0"/>
        <v/>
      </c>
      <c r="C46" s="170" t="str">
        <f t="shared" si="1"/>
        <v/>
      </c>
      <c r="D46" s="170"/>
      <c r="E46" s="195"/>
      <c r="F46" s="195"/>
      <c r="G46" s="196"/>
      <c r="H46" s="197"/>
      <c r="I46" s="197" t="str">
        <f t="shared" si="5"/>
        <v/>
      </c>
      <c r="J46" s="197" t="str">
        <f t="shared" si="6"/>
        <v/>
      </c>
      <c r="K46" s="197"/>
      <c r="L46" s="197"/>
      <c r="M46" s="198"/>
      <c r="N46" s="198"/>
      <c r="O46" s="198"/>
      <c r="P46" s="199"/>
      <c r="Q46" s="200"/>
      <c r="R46" s="200"/>
      <c r="S46" s="200"/>
      <c r="T46" s="200" t="str">
        <f t="shared" si="2"/>
        <v/>
      </c>
      <c r="U46" s="200"/>
      <c r="V46" s="201" t="str">
        <f t="shared" si="3"/>
        <v/>
      </c>
      <c r="W46" s="202">
        <f t="shared" si="4"/>
        <v>0</v>
      </c>
      <c r="X46" s="172"/>
    </row>
    <row r="47" spans="1:24" x14ac:dyDescent="0.45">
      <c r="A47" s="193">
        <v>21</v>
      </c>
      <c r="B47" s="194" t="str">
        <f t="shared" si="0"/>
        <v/>
      </c>
      <c r="C47" s="170" t="str">
        <f t="shared" si="1"/>
        <v/>
      </c>
      <c r="D47" s="170"/>
      <c r="E47" s="195"/>
      <c r="F47" s="195"/>
      <c r="G47" s="196"/>
      <c r="H47" s="197"/>
      <c r="I47" s="197" t="str">
        <f t="shared" si="5"/>
        <v/>
      </c>
      <c r="J47" s="197" t="str">
        <f t="shared" si="6"/>
        <v/>
      </c>
      <c r="K47" s="197"/>
      <c r="L47" s="197"/>
      <c r="M47" s="198"/>
      <c r="N47" s="198"/>
      <c r="O47" s="198"/>
      <c r="P47" s="199"/>
      <c r="Q47" s="200"/>
      <c r="R47" s="200"/>
      <c r="S47" s="200"/>
      <c r="T47" s="200" t="str">
        <f t="shared" si="2"/>
        <v/>
      </c>
      <c r="U47" s="200"/>
      <c r="V47" s="201" t="str">
        <f t="shared" si="3"/>
        <v/>
      </c>
      <c r="W47" s="202">
        <f t="shared" si="4"/>
        <v>0</v>
      </c>
      <c r="X47" s="172"/>
    </row>
    <row r="48" spans="1:24" x14ac:dyDescent="0.45">
      <c r="A48" s="193">
        <v>22</v>
      </c>
      <c r="B48" s="194" t="str">
        <f t="shared" si="0"/>
        <v/>
      </c>
      <c r="C48" s="170" t="str">
        <f t="shared" si="1"/>
        <v/>
      </c>
      <c r="D48" s="170"/>
      <c r="E48" s="195"/>
      <c r="F48" s="170"/>
      <c r="G48" s="170"/>
      <c r="H48" s="203"/>
      <c r="I48" s="197" t="str">
        <f t="shared" si="5"/>
        <v/>
      </c>
      <c r="J48" s="197" t="str">
        <f t="shared" si="6"/>
        <v/>
      </c>
      <c r="K48" s="197"/>
      <c r="L48" s="197"/>
      <c r="M48" s="198"/>
      <c r="N48" s="198"/>
      <c r="O48" s="198"/>
      <c r="P48" s="199"/>
      <c r="Q48" s="200"/>
      <c r="R48" s="200"/>
      <c r="S48" s="200"/>
      <c r="T48" s="200" t="str">
        <f t="shared" si="2"/>
        <v/>
      </c>
      <c r="U48" s="200"/>
      <c r="V48" s="201" t="str">
        <f t="shared" si="3"/>
        <v/>
      </c>
      <c r="W48" s="202">
        <f t="shared" si="4"/>
        <v>0</v>
      </c>
      <c r="X48" s="172"/>
    </row>
    <row r="49" spans="1:24" x14ac:dyDescent="0.45">
      <c r="A49" s="193">
        <v>23</v>
      </c>
      <c r="B49" s="194" t="str">
        <f t="shared" si="0"/>
        <v/>
      </c>
      <c r="C49" s="170" t="str">
        <f t="shared" si="1"/>
        <v/>
      </c>
      <c r="D49" s="170"/>
      <c r="E49" s="195"/>
      <c r="F49" s="170"/>
      <c r="G49" s="170"/>
      <c r="H49" s="203"/>
      <c r="I49" s="197" t="str">
        <f t="shared" si="5"/>
        <v/>
      </c>
      <c r="J49" s="197" t="str">
        <f t="shared" si="6"/>
        <v/>
      </c>
      <c r="K49" s="197"/>
      <c r="L49" s="197"/>
      <c r="M49" s="198"/>
      <c r="N49" s="198"/>
      <c r="O49" s="198"/>
      <c r="P49" s="199"/>
      <c r="Q49" s="200"/>
      <c r="R49" s="200"/>
      <c r="S49" s="200"/>
      <c r="T49" s="200" t="str">
        <f t="shared" si="2"/>
        <v/>
      </c>
      <c r="U49" s="200"/>
      <c r="V49" s="201" t="str">
        <f t="shared" si="3"/>
        <v/>
      </c>
      <c r="W49" s="202">
        <f t="shared" si="4"/>
        <v>0</v>
      </c>
      <c r="X49" s="172"/>
    </row>
    <row r="50" spans="1:24" x14ac:dyDescent="0.45">
      <c r="A50" s="193">
        <v>24</v>
      </c>
      <c r="B50" s="194" t="str">
        <f t="shared" si="0"/>
        <v/>
      </c>
      <c r="C50" s="170" t="str">
        <f t="shared" si="1"/>
        <v/>
      </c>
      <c r="D50" s="170"/>
      <c r="E50" s="195"/>
      <c r="F50" s="170"/>
      <c r="G50" s="170"/>
      <c r="H50" s="203"/>
      <c r="I50" s="197" t="str">
        <f t="shared" si="5"/>
        <v/>
      </c>
      <c r="J50" s="197" t="str">
        <f t="shared" si="6"/>
        <v/>
      </c>
      <c r="K50" s="197"/>
      <c r="L50" s="197"/>
      <c r="M50" s="198"/>
      <c r="N50" s="198"/>
      <c r="O50" s="198"/>
      <c r="P50" s="199"/>
      <c r="Q50" s="200"/>
      <c r="R50" s="200"/>
      <c r="S50" s="200"/>
      <c r="T50" s="200" t="str">
        <f t="shared" si="2"/>
        <v/>
      </c>
      <c r="U50" s="200"/>
      <c r="V50" s="201" t="str">
        <f t="shared" si="3"/>
        <v/>
      </c>
      <c r="W50" s="202">
        <f t="shared" si="4"/>
        <v>0</v>
      </c>
      <c r="X50" s="172"/>
    </row>
    <row r="51" spans="1:24" x14ac:dyDescent="0.45">
      <c r="A51" s="193">
        <v>25</v>
      </c>
      <c r="B51" s="194" t="str">
        <f t="shared" si="0"/>
        <v/>
      </c>
      <c r="C51" s="170" t="str">
        <f t="shared" si="1"/>
        <v/>
      </c>
      <c r="D51" s="170"/>
      <c r="E51" s="195"/>
      <c r="F51" s="170"/>
      <c r="G51" s="170"/>
      <c r="H51" s="203"/>
      <c r="I51" s="197" t="str">
        <f t="shared" si="5"/>
        <v/>
      </c>
      <c r="J51" s="197" t="str">
        <f t="shared" si="6"/>
        <v/>
      </c>
      <c r="K51" s="197"/>
      <c r="L51" s="197"/>
      <c r="M51" s="198"/>
      <c r="N51" s="198"/>
      <c r="O51" s="198"/>
      <c r="P51" s="199"/>
      <c r="Q51" s="200"/>
      <c r="R51" s="200"/>
      <c r="S51" s="200"/>
      <c r="T51" s="200" t="str">
        <f t="shared" si="2"/>
        <v/>
      </c>
      <c r="U51" s="200"/>
      <c r="V51" s="201" t="str">
        <f t="shared" si="3"/>
        <v/>
      </c>
      <c r="W51" s="202">
        <f t="shared" si="4"/>
        <v>0</v>
      </c>
      <c r="X51" s="172"/>
    </row>
    <row r="52" spans="1:24" x14ac:dyDescent="0.45">
      <c r="A52" s="193">
        <v>26</v>
      </c>
      <c r="B52" s="194" t="str">
        <f t="shared" si="0"/>
        <v/>
      </c>
      <c r="C52" s="170" t="str">
        <f t="shared" si="1"/>
        <v/>
      </c>
      <c r="D52" s="170"/>
      <c r="E52" s="195"/>
      <c r="F52" s="170"/>
      <c r="G52" s="170"/>
      <c r="H52" s="203"/>
      <c r="I52" s="197" t="str">
        <f t="shared" si="5"/>
        <v/>
      </c>
      <c r="J52" s="197" t="str">
        <f t="shared" si="6"/>
        <v/>
      </c>
      <c r="K52" s="197"/>
      <c r="L52" s="197"/>
      <c r="M52" s="198"/>
      <c r="N52" s="198"/>
      <c r="O52" s="198"/>
      <c r="P52" s="199"/>
      <c r="Q52" s="200"/>
      <c r="R52" s="200"/>
      <c r="S52" s="200"/>
      <c r="T52" s="200" t="str">
        <f t="shared" si="2"/>
        <v/>
      </c>
      <c r="U52" s="200"/>
      <c r="V52" s="201" t="str">
        <f t="shared" si="3"/>
        <v/>
      </c>
      <c r="W52" s="202">
        <f t="shared" si="4"/>
        <v>0</v>
      </c>
      <c r="X52" s="172"/>
    </row>
    <row r="53" spans="1:24" x14ac:dyDescent="0.45">
      <c r="A53" s="193">
        <v>27</v>
      </c>
      <c r="B53" s="194" t="str">
        <f t="shared" si="0"/>
        <v/>
      </c>
      <c r="C53" s="170" t="str">
        <f t="shared" si="1"/>
        <v/>
      </c>
      <c r="D53" s="170"/>
      <c r="E53" s="195"/>
      <c r="F53" s="170"/>
      <c r="G53" s="170"/>
      <c r="H53" s="203"/>
      <c r="I53" s="197" t="str">
        <f t="shared" si="5"/>
        <v/>
      </c>
      <c r="J53" s="197" t="str">
        <f t="shared" si="6"/>
        <v/>
      </c>
      <c r="K53" s="197"/>
      <c r="L53" s="197"/>
      <c r="M53" s="198"/>
      <c r="N53" s="198"/>
      <c r="O53" s="198"/>
      <c r="P53" s="199"/>
      <c r="Q53" s="200"/>
      <c r="R53" s="200"/>
      <c r="S53" s="200"/>
      <c r="T53" s="200" t="str">
        <f t="shared" si="2"/>
        <v/>
      </c>
      <c r="U53" s="200"/>
      <c r="V53" s="201" t="str">
        <f t="shared" si="3"/>
        <v/>
      </c>
      <c r="W53" s="202">
        <f t="shared" si="4"/>
        <v>0</v>
      </c>
      <c r="X53" s="172"/>
    </row>
    <row r="54" spans="1:24" x14ac:dyDescent="0.45">
      <c r="A54" s="193">
        <v>28</v>
      </c>
      <c r="B54" s="194" t="str">
        <f t="shared" si="0"/>
        <v/>
      </c>
      <c r="C54" s="170" t="str">
        <f t="shared" si="1"/>
        <v/>
      </c>
      <c r="D54" s="170"/>
      <c r="E54" s="195"/>
      <c r="F54" s="170"/>
      <c r="G54" s="170"/>
      <c r="H54" s="203"/>
      <c r="I54" s="197" t="str">
        <f t="shared" si="5"/>
        <v/>
      </c>
      <c r="J54" s="197" t="str">
        <f t="shared" si="6"/>
        <v/>
      </c>
      <c r="K54" s="197"/>
      <c r="L54" s="197"/>
      <c r="M54" s="198"/>
      <c r="N54" s="198"/>
      <c r="O54" s="198"/>
      <c r="P54" s="199"/>
      <c r="Q54" s="200"/>
      <c r="R54" s="200"/>
      <c r="S54" s="200"/>
      <c r="T54" s="200" t="str">
        <f t="shared" si="2"/>
        <v/>
      </c>
      <c r="U54" s="200"/>
      <c r="V54" s="201" t="str">
        <f t="shared" si="3"/>
        <v/>
      </c>
      <c r="W54" s="202">
        <f t="shared" si="4"/>
        <v>0</v>
      </c>
      <c r="X54" s="172"/>
    </row>
    <row r="55" spans="1:24" x14ac:dyDescent="0.45">
      <c r="A55" s="193">
        <v>29</v>
      </c>
      <c r="B55" s="194" t="str">
        <f t="shared" si="0"/>
        <v/>
      </c>
      <c r="C55" s="170" t="str">
        <f t="shared" si="1"/>
        <v/>
      </c>
      <c r="D55" s="170"/>
      <c r="E55" s="195"/>
      <c r="F55" s="170"/>
      <c r="G55" s="170"/>
      <c r="H55" s="203"/>
      <c r="I55" s="197" t="str">
        <f t="shared" si="5"/>
        <v/>
      </c>
      <c r="J55" s="197" t="str">
        <f t="shared" si="6"/>
        <v/>
      </c>
      <c r="K55" s="197"/>
      <c r="L55" s="197"/>
      <c r="M55" s="198"/>
      <c r="N55" s="198"/>
      <c r="O55" s="198"/>
      <c r="P55" s="199"/>
      <c r="Q55" s="200"/>
      <c r="R55" s="200"/>
      <c r="S55" s="200"/>
      <c r="T55" s="200" t="str">
        <f t="shared" si="2"/>
        <v/>
      </c>
      <c r="U55" s="200"/>
      <c r="V55" s="201" t="str">
        <f t="shared" si="3"/>
        <v/>
      </c>
      <c r="W55" s="202">
        <f t="shared" si="4"/>
        <v>0</v>
      </c>
      <c r="X55" s="172"/>
    </row>
    <row r="56" spans="1:24" x14ac:dyDescent="0.45">
      <c r="A56" s="193">
        <v>30</v>
      </c>
      <c r="B56" s="194" t="str">
        <f t="shared" si="0"/>
        <v/>
      </c>
      <c r="C56" s="170" t="str">
        <f t="shared" si="1"/>
        <v/>
      </c>
      <c r="D56" s="170"/>
      <c r="E56" s="195"/>
      <c r="F56" s="170"/>
      <c r="G56" s="170"/>
      <c r="H56" s="203"/>
      <c r="I56" s="197" t="str">
        <f t="shared" si="5"/>
        <v/>
      </c>
      <c r="J56" s="197" t="str">
        <f t="shared" si="6"/>
        <v/>
      </c>
      <c r="K56" s="197"/>
      <c r="L56" s="197"/>
      <c r="M56" s="198"/>
      <c r="N56" s="198"/>
      <c r="O56" s="198"/>
      <c r="P56" s="199"/>
      <c r="Q56" s="200"/>
      <c r="R56" s="200"/>
      <c r="S56" s="200"/>
      <c r="T56" s="200" t="str">
        <f t="shared" si="2"/>
        <v/>
      </c>
      <c r="U56" s="200"/>
      <c r="V56" s="201" t="str">
        <f t="shared" si="3"/>
        <v/>
      </c>
      <c r="W56" s="202">
        <f t="shared" si="4"/>
        <v>0</v>
      </c>
      <c r="X56" s="172"/>
    </row>
    <row r="57" spans="1:24" x14ac:dyDescent="0.45">
      <c r="A57" s="193">
        <v>31</v>
      </c>
      <c r="B57" s="194" t="str">
        <f t="shared" si="0"/>
        <v/>
      </c>
      <c r="C57" s="170" t="str">
        <f t="shared" si="1"/>
        <v/>
      </c>
      <c r="D57" s="170"/>
      <c r="E57" s="195"/>
      <c r="F57" s="170"/>
      <c r="G57" s="170"/>
      <c r="H57" s="203"/>
      <c r="I57" s="197" t="str">
        <f t="shared" si="5"/>
        <v/>
      </c>
      <c r="J57" s="197" t="str">
        <f t="shared" si="6"/>
        <v/>
      </c>
      <c r="K57" s="197"/>
      <c r="L57" s="197"/>
      <c r="M57" s="198"/>
      <c r="N57" s="198"/>
      <c r="O57" s="198"/>
      <c r="P57" s="199"/>
      <c r="Q57" s="200"/>
      <c r="R57" s="200"/>
      <c r="S57" s="200"/>
      <c r="T57" s="200" t="str">
        <f t="shared" si="2"/>
        <v/>
      </c>
      <c r="U57" s="200"/>
      <c r="V57" s="201" t="str">
        <f t="shared" si="3"/>
        <v/>
      </c>
      <c r="W57" s="202">
        <f t="shared" si="4"/>
        <v>0</v>
      </c>
      <c r="X57" s="172"/>
    </row>
    <row r="58" spans="1:24" x14ac:dyDescent="0.45">
      <c r="A58" s="193">
        <v>32</v>
      </c>
      <c r="B58" s="194" t="str">
        <f t="shared" si="0"/>
        <v/>
      </c>
      <c r="C58" s="170" t="str">
        <f t="shared" si="1"/>
        <v/>
      </c>
      <c r="D58" s="170"/>
      <c r="E58" s="195"/>
      <c r="F58" s="170"/>
      <c r="G58" s="170"/>
      <c r="H58" s="203"/>
      <c r="I58" s="197" t="str">
        <f t="shared" si="5"/>
        <v/>
      </c>
      <c r="J58" s="197" t="str">
        <f t="shared" si="6"/>
        <v/>
      </c>
      <c r="K58" s="197"/>
      <c r="L58" s="197"/>
      <c r="M58" s="198"/>
      <c r="N58" s="198"/>
      <c r="O58" s="198"/>
      <c r="P58" s="199"/>
      <c r="Q58" s="200"/>
      <c r="R58" s="200"/>
      <c r="S58" s="200"/>
      <c r="T58" s="200" t="str">
        <f t="shared" si="2"/>
        <v/>
      </c>
      <c r="U58" s="200"/>
      <c r="V58" s="201" t="str">
        <f t="shared" si="3"/>
        <v/>
      </c>
      <c r="W58" s="202">
        <f t="shared" si="4"/>
        <v>0</v>
      </c>
      <c r="X58" s="172"/>
    </row>
    <row r="59" spans="1:24" x14ac:dyDescent="0.45">
      <c r="A59" s="193">
        <v>33</v>
      </c>
      <c r="B59" s="194" t="str">
        <f t="shared" ref="B59:B92" si="7">IF(OR($C$7="",U59=""),"",LEFT($C$7,FIND("_",$C$7)-1))</f>
        <v/>
      </c>
      <c r="C59" s="170" t="str">
        <f t="shared" ref="C59:C92" si="8">IF(OR($C$7="",U59=""),"",$B$7)</f>
        <v/>
      </c>
      <c r="D59" s="170"/>
      <c r="E59" s="195"/>
      <c r="F59" s="170"/>
      <c r="G59" s="170"/>
      <c r="H59" s="203"/>
      <c r="I59" s="197" t="str">
        <f t="shared" si="5"/>
        <v/>
      </c>
      <c r="J59" s="197" t="str">
        <f t="shared" si="6"/>
        <v/>
      </c>
      <c r="K59" s="197"/>
      <c r="L59" s="197"/>
      <c r="M59" s="198"/>
      <c r="N59" s="198"/>
      <c r="O59" s="198"/>
      <c r="P59" s="199"/>
      <c r="Q59" s="200"/>
      <c r="R59" s="200"/>
      <c r="S59" s="200"/>
      <c r="T59" s="200" t="str">
        <f t="shared" ref="T59:T92" si="9">IF(K59="","",((K59*20)+L59)-((I59*20)+J59))</f>
        <v/>
      </c>
      <c r="U59" s="200"/>
      <c r="V59" s="201" t="str">
        <f t="shared" ref="V59:V90" si="10">IF(U59="","",$V$7)</f>
        <v/>
      </c>
      <c r="W59" s="202">
        <f t="shared" ref="W59:W92" si="11">IF(OR(T59="",U59=""),0,T59*U59)</f>
        <v>0</v>
      </c>
      <c r="X59" s="172"/>
    </row>
    <row r="60" spans="1:24" x14ac:dyDescent="0.45">
      <c r="A60" s="193">
        <v>34</v>
      </c>
      <c r="B60" s="194" t="str">
        <f t="shared" si="7"/>
        <v/>
      </c>
      <c r="C60" s="170" t="str">
        <f t="shared" si="8"/>
        <v/>
      </c>
      <c r="D60" s="170"/>
      <c r="E60" s="195"/>
      <c r="F60" s="170"/>
      <c r="G60" s="170"/>
      <c r="H60" s="203"/>
      <c r="I60" s="197" t="str">
        <f t="shared" ref="I60:I92" si="12">IF(K59="","",K59)</f>
        <v/>
      </c>
      <c r="J60" s="197" t="str">
        <f t="shared" ref="J60:J92" si="13">IF(L59="","",L59)</f>
        <v/>
      </c>
      <c r="K60" s="197"/>
      <c r="L60" s="197"/>
      <c r="M60" s="198"/>
      <c r="N60" s="198"/>
      <c r="O60" s="198"/>
      <c r="P60" s="199"/>
      <c r="Q60" s="200"/>
      <c r="R60" s="200"/>
      <c r="S60" s="200"/>
      <c r="T60" s="200" t="str">
        <f t="shared" si="9"/>
        <v/>
      </c>
      <c r="U60" s="200"/>
      <c r="V60" s="201" t="str">
        <f t="shared" si="10"/>
        <v/>
      </c>
      <c r="W60" s="202">
        <f t="shared" si="11"/>
        <v>0</v>
      </c>
      <c r="X60" s="172"/>
    </row>
    <row r="61" spans="1:24" x14ac:dyDescent="0.45">
      <c r="A61" s="193">
        <v>35</v>
      </c>
      <c r="B61" s="194" t="str">
        <f t="shared" si="7"/>
        <v/>
      </c>
      <c r="C61" s="170" t="str">
        <f t="shared" si="8"/>
        <v/>
      </c>
      <c r="D61" s="170"/>
      <c r="E61" s="195"/>
      <c r="F61" s="170"/>
      <c r="G61" s="170"/>
      <c r="H61" s="203"/>
      <c r="I61" s="197" t="str">
        <f t="shared" si="12"/>
        <v/>
      </c>
      <c r="J61" s="197" t="str">
        <f t="shared" si="13"/>
        <v/>
      </c>
      <c r="K61" s="197"/>
      <c r="L61" s="197"/>
      <c r="M61" s="198"/>
      <c r="N61" s="198"/>
      <c r="O61" s="198"/>
      <c r="P61" s="199"/>
      <c r="Q61" s="200"/>
      <c r="R61" s="200"/>
      <c r="S61" s="200"/>
      <c r="T61" s="200" t="str">
        <f t="shared" si="9"/>
        <v/>
      </c>
      <c r="U61" s="200"/>
      <c r="V61" s="201" t="str">
        <f t="shared" si="10"/>
        <v/>
      </c>
      <c r="W61" s="202">
        <f t="shared" si="11"/>
        <v>0</v>
      </c>
      <c r="X61" s="172"/>
    </row>
    <row r="62" spans="1:24" x14ac:dyDescent="0.45">
      <c r="A62" s="193">
        <v>36</v>
      </c>
      <c r="B62" s="194" t="str">
        <f t="shared" si="7"/>
        <v/>
      </c>
      <c r="C62" s="170" t="str">
        <f t="shared" si="8"/>
        <v/>
      </c>
      <c r="D62" s="170"/>
      <c r="E62" s="195"/>
      <c r="F62" s="170"/>
      <c r="G62" s="170"/>
      <c r="H62" s="203"/>
      <c r="I62" s="197" t="str">
        <f t="shared" si="12"/>
        <v/>
      </c>
      <c r="J62" s="197" t="str">
        <f t="shared" si="13"/>
        <v/>
      </c>
      <c r="K62" s="197"/>
      <c r="L62" s="197"/>
      <c r="M62" s="198"/>
      <c r="N62" s="198"/>
      <c r="O62" s="198"/>
      <c r="P62" s="199"/>
      <c r="Q62" s="200"/>
      <c r="R62" s="200"/>
      <c r="S62" s="200"/>
      <c r="T62" s="200" t="str">
        <f t="shared" si="9"/>
        <v/>
      </c>
      <c r="U62" s="200"/>
      <c r="V62" s="201" t="str">
        <f t="shared" si="10"/>
        <v/>
      </c>
      <c r="W62" s="202">
        <f t="shared" si="11"/>
        <v>0</v>
      </c>
      <c r="X62" s="172"/>
    </row>
    <row r="63" spans="1:24" x14ac:dyDescent="0.45">
      <c r="A63" s="193">
        <v>37</v>
      </c>
      <c r="B63" s="194" t="str">
        <f t="shared" si="7"/>
        <v/>
      </c>
      <c r="C63" s="170" t="str">
        <f t="shared" si="8"/>
        <v/>
      </c>
      <c r="D63" s="170"/>
      <c r="E63" s="195"/>
      <c r="F63" s="170"/>
      <c r="G63" s="170"/>
      <c r="H63" s="203"/>
      <c r="I63" s="197" t="str">
        <f t="shared" si="12"/>
        <v/>
      </c>
      <c r="J63" s="197" t="str">
        <f t="shared" si="13"/>
        <v/>
      </c>
      <c r="K63" s="197"/>
      <c r="L63" s="197"/>
      <c r="M63" s="198"/>
      <c r="N63" s="198"/>
      <c r="O63" s="198"/>
      <c r="P63" s="199"/>
      <c r="Q63" s="200"/>
      <c r="R63" s="200"/>
      <c r="S63" s="200"/>
      <c r="T63" s="200" t="str">
        <f t="shared" si="9"/>
        <v/>
      </c>
      <c r="U63" s="200"/>
      <c r="V63" s="201" t="str">
        <f t="shared" si="10"/>
        <v/>
      </c>
      <c r="W63" s="202">
        <f t="shared" si="11"/>
        <v>0</v>
      </c>
      <c r="X63" s="172"/>
    </row>
    <row r="64" spans="1:24" x14ac:dyDescent="0.45">
      <c r="A64" s="193">
        <v>38</v>
      </c>
      <c r="B64" s="194" t="str">
        <f t="shared" si="7"/>
        <v/>
      </c>
      <c r="C64" s="170" t="str">
        <f t="shared" si="8"/>
        <v/>
      </c>
      <c r="D64" s="170"/>
      <c r="E64" s="195"/>
      <c r="F64" s="170"/>
      <c r="G64" s="170"/>
      <c r="H64" s="203"/>
      <c r="I64" s="197" t="str">
        <f t="shared" si="12"/>
        <v/>
      </c>
      <c r="J64" s="197" t="str">
        <f t="shared" si="13"/>
        <v/>
      </c>
      <c r="K64" s="197"/>
      <c r="L64" s="197"/>
      <c r="M64" s="198"/>
      <c r="N64" s="198"/>
      <c r="O64" s="198"/>
      <c r="P64" s="199"/>
      <c r="Q64" s="200"/>
      <c r="R64" s="200"/>
      <c r="S64" s="200"/>
      <c r="T64" s="200" t="str">
        <f t="shared" si="9"/>
        <v/>
      </c>
      <c r="U64" s="200"/>
      <c r="V64" s="201" t="str">
        <f t="shared" si="10"/>
        <v/>
      </c>
      <c r="W64" s="202">
        <f t="shared" si="11"/>
        <v>0</v>
      </c>
      <c r="X64" s="172"/>
    </row>
    <row r="65" spans="1:24" x14ac:dyDescent="0.45">
      <c r="A65" s="193">
        <v>39</v>
      </c>
      <c r="B65" s="194" t="str">
        <f t="shared" si="7"/>
        <v/>
      </c>
      <c r="C65" s="170" t="str">
        <f t="shared" si="8"/>
        <v/>
      </c>
      <c r="D65" s="170"/>
      <c r="E65" s="195"/>
      <c r="F65" s="170"/>
      <c r="G65" s="170"/>
      <c r="H65" s="203"/>
      <c r="I65" s="197" t="str">
        <f t="shared" si="12"/>
        <v/>
      </c>
      <c r="J65" s="197" t="str">
        <f t="shared" si="13"/>
        <v/>
      </c>
      <c r="K65" s="197"/>
      <c r="L65" s="197"/>
      <c r="M65" s="198"/>
      <c r="N65" s="198"/>
      <c r="O65" s="198"/>
      <c r="P65" s="199"/>
      <c r="Q65" s="200"/>
      <c r="R65" s="200"/>
      <c r="S65" s="200"/>
      <c r="T65" s="200" t="str">
        <f t="shared" si="9"/>
        <v/>
      </c>
      <c r="U65" s="200"/>
      <c r="V65" s="201" t="str">
        <f t="shared" si="10"/>
        <v/>
      </c>
      <c r="W65" s="202">
        <f t="shared" si="11"/>
        <v>0</v>
      </c>
      <c r="X65" s="172"/>
    </row>
    <row r="66" spans="1:24" x14ac:dyDescent="0.45">
      <c r="A66" s="193">
        <v>40</v>
      </c>
      <c r="B66" s="194" t="str">
        <f t="shared" si="7"/>
        <v/>
      </c>
      <c r="C66" s="170" t="str">
        <f t="shared" si="8"/>
        <v/>
      </c>
      <c r="D66" s="170"/>
      <c r="E66" s="195"/>
      <c r="F66" s="170"/>
      <c r="G66" s="170"/>
      <c r="H66" s="203"/>
      <c r="I66" s="197" t="str">
        <f t="shared" si="12"/>
        <v/>
      </c>
      <c r="J66" s="197" t="str">
        <f t="shared" si="13"/>
        <v/>
      </c>
      <c r="K66" s="197"/>
      <c r="L66" s="197"/>
      <c r="M66" s="198"/>
      <c r="N66" s="198"/>
      <c r="O66" s="198"/>
      <c r="P66" s="199"/>
      <c r="Q66" s="200"/>
      <c r="R66" s="200"/>
      <c r="S66" s="200"/>
      <c r="T66" s="200" t="str">
        <f t="shared" si="9"/>
        <v/>
      </c>
      <c r="U66" s="200"/>
      <c r="V66" s="201" t="str">
        <f t="shared" si="10"/>
        <v/>
      </c>
      <c r="W66" s="202">
        <f t="shared" si="11"/>
        <v>0</v>
      </c>
      <c r="X66" s="172"/>
    </row>
    <row r="67" spans="1:24" x14ac:dyDescent="0.45">
      <c r="A67" s="193">
        <v>41</v>
      </c>
      <c r="B67" s="194" t="str">
        <f t="shared" si="7"/>
        <v/>
      </c>
      <c r="C67" s="170" t="str">
        <f t="shared" si="8"/>
        <v/>
      </c>
      <c r="D67" s="170"/>
      <c r="E67" s="195"/>
      <c r="F67" s="170"/>
      <c r="G67" s="170"/>
      <c r="H67" s="203"/>
      <c r="I67" s="197" t="str">
        <f t="shared" si="12"/>
        <v/>
      </c>
      <c r="J67" s="197" t="str">
        <f t="shared" si="13"/>
        <v/>
      </c>
      <c r="K67" s="197"/>
      <c r="L67" s="197"/>
      <c r="M67" s="198"/>
      <c r="N67" s="198"/>
      <c r="O67" s="198"/>
      <c r="P67" s="199"/>
      <c r="Q67" s="200"/>
      <c r="R67" s="200"/>
      <c r="S67" s="200"/>
      <c r="T67" s="200" t="str">
        <f t="shared" si="9"/>
        <v/>
      </c>
      <c r="U67" s="200"/>
      <c r="V67" s="201" t="str">
        <f t="shared" si="10"/>
        <v/>
      </c>
      <c r="W67" s="202">
        <f t="shared" si="11"/>
        <v>0</v>
      </c>
      <c r="X67" s="172"/>
    </row>
    <row r="68" spans="1:24" x14ac:dyDescent="0.45">
      <c r="A68" s="193">
        <v>42</v>
      </c>
      <c r="B68" s="194" t="str">
        <f t="shared" si="7"/>
        <v/>
      </c>
      <c r="C68" s="170" t="str">
        <f t="shared" si="8"/>
        <v/>
      </c>
      <c r="D68" s="170"/>
      <c r="E68" s="195"/>
      <c r="F68" s="170"/>
      <c r="G68" s="170"/>
      <c r="H68" s="203"/>
      <c r="I68" s="197" t="str">
        <f t="shared" si="12"/>
        <v/>
      </c>
      <c r="J68" s="197" t="str">
        <f t="shared" si="13"/>
        <v/>
      </c>
      <c r="K68" s="197"/>
      <c r="L68" s="197"/>
      <c r="M68" s="198"/>
      <c r="N68" s="198"/>
      <c r="O68" s="198"/>
      <c r="P68" s="199"/>
      <c r="Q68" s="200"/>
      <c r="R68" s="200"/>
      <c r="S68" s="200"/>
      <c r="T68" s="200" t="str">
        <f t="shared" si="9"/>
        <v/>
      </c>
      <c r="U68" s="200"/>
      <c r="V68" s="201" t="str">
        <f t="shared" si="10"/>
        <v/>
      </c>
      <c r="W68" s="202">
        <f t="shared" si="11"/>
        <v>0</v>
      </c>
      <c r="X68" s="172"/>
    </row>
    <row r="69" spans="1:24" x14ac:dyDescent="0.45">
      <c r="A69" s="193">
        <v>43</v>
      </c>
      <c r="B69" s="194" t="str">
        <f t="shared" si="7"/>
        <v/>
      </c>
      <c r="C69" s="170" t="str">
        <f t="shared" si="8"/>
        <v/>
      </c>
      <c r="D69" s="170"/>
      <c r="E69" s="195"/>
      <c r="F69" s="170"/>
      <c r="G69" s="170"/>
      <c r="H69" s="203"/>
      <c r="I69" s="197" t="str">
        <f t="shared" si="12"/>
        <v/>
      </c>
      <c r="J69" s="197" t="str">
        <f t="shared" si="13"/>
        <v/>
      </c>
      <c r="K69" s="197"/>
      <c r="L69" s="197"/>
      <c r="M69" s="198"/>
      <c r="N69" s="198"/>
      <c r="O69" s="198"/>
      <c r="P69" s="199"/>
      <c r="Q69" s="200"/>
      <c r="R69" s="200"/>
      <c r="S69" s="200"/>
      <c r="T69" s="200" t="str">
        <f t="shared" si="9"/>
        <v/>
      </c>
      <c r="U69" s="200"/>
      <c r="V69" s="201" t="str">
        <f t="shared" si="10"/>
        <v/>
      </c>
      <c r="W69" s="202">
        <f t="shared" si="11"/>
        <v>0</v>
      </c>
      <c r="X69" s="172"/>
    </row>
    <row r="70" spans="1:24" x14ac:dyDescent="0.45">
      <c r="A70" s="193">
        <v>44</v>
      </c>
      <c r="B70" s="194" t="str">
        <f t="shared" si="7"/>
        <v/>
      </c>
      <c r="C70" s="170" t="str">
        <f t="shared" si="8"/>
        <v/>
      </c>
      <c r="D70" s="170"/>
      <c r="E70" s="195"/>
      <c r="F70" s="170"/>
      <c r="G70" s="170"/>
      <c r="H70" s="203"/>
      <c r="I70" s="197" t="str">
        <f t="shared" si="12"/>
        <v/>
      </c>
      <c r="J70" s="197" t="str">
        <f t="shared" si="13"/>
        <v/>
      </c>
      <c r="K70" s="197"/>
      <c r="L70" s="197"/>
      <c r="M70" s="198"/>
      <c r="N70" s="198"/>
      <c r="O70" s="198"/>
      <c r="P70" s="199"/>
      <c r="Q70" s="200"/>
      <c r="R70" s="200"/>
      <c r="S70" s="200"/>
      <c r="T70" s="200" t="str">
        <f t="shared" si="9"/>
        <v/>
      </c>
      <c r="U70" s="200"/>
      <c r="V70" s="201" t="str">
        <f t="shared" si="10"/>
        <v/>
      </c>
      <c r="W70" s="202">
        <f t="shared" si="11"/>
        <v>0</v>
      </c>
      <c r="X70" s="172"/>
    </row>
    <row r="71" spans="1:24" x14ac:dyDescent="0.45">
      <c r="A71" s="193">
        <v>45</v>
      </c>
      <c r="B71" s="194" t="str">
        <f t="shared" si="7"/>
        <v/>
      </c>
      <c r="C71" s="170" t="str">
        <f t="shared" si="8"/>
        <v/>
      </c>
      <c r="D71" s="170"/>
      <c r="E71" s="195"/>
      <c r="F71" s="170"/>
      <c r="G71" s="170"/>
      <c r="H71" s="203"/>
      <c r="I71" s="197" t="str">
        <f t="shared" si="12"/>
        <v/>
      </c>
      <c r="J71" s="197" t="str">
        <f t="shared" si="13"/>
        <v/>
      </c>
      <c r="K71" s="197"/>
      <c r="L71" s="197"/>
      <c r="M71" s="198"/>
      <c r="N71" s="198"/>
      <c r="O71" s="198"/>
      <c r="P71" s="199"/>
      <c r="Q71" s="200"/>
      <c r="R71" s="200"/>
      <c r="S71" s="200"/>
      <c r="T71" s="200" t="str">
        <f t="shared" si="9"/>
        <v/>
      </c>
      <c r="U71" s="200"/>
      <c r="V71" s="201" t="str">
        <f t="shared" si="10"/>
        <v/>
      </c>
      <c r="W71" s="202">
        <f t="shared" si="11"/>
        <v>0</v>
      </c>
      <c r="X71" s="172"/>
    </row>
    <row r="72" spans="1:24" x14ac:dyDescent="0.45">
      <c r="A72" s="193">
        <v>46</v>
      </c>
      <c r="B72" s="194" t="str">
        <f t="shared" si="7"/>
        <v/>
      </c>
      <c r="C72" s="170" t="str">
        <f t="shared" si="8"/>
        <v/>
      </c>
      <c r="D72" s="170"/>
      <c r="E72" s="195"/>
      <c r="F72" s="170"/>
      <c r="G72" s="170"/>
      <c r="H72" s="203"/>
      <c r="I72" s="197" t="str">
        <f t="shared" si="12"/>
        <v/>
      </c>
      <c r="J72" s="197" t="str">
        <f t="shared" si="13"/>
        <v/>
      </c>
      <c r="K72" s="197"/>
      <c r="L72" s="197"/>
      <c r="M72" s="198"/>
      <c r="N72" s="198"/>
      <c r="O72" s="198"/>
      <c r="P72" s="199"/>
      <c r="Q72" s="200"/>
      <c r="R72" s="200"/>
      <c r="S72" s="200"/>
      <c r="T72" s="200" t="str">
        <f t="shared" si="9"/>
        <v/>
      </c>
      <c r="U72" s="200"/>
      <c r="V72" s="201" t="str">
        <f t="shared" si="10"/>
        <v/>
      </c>
      <c r="W72" s="202">
        <f t="shared" si="11"/>
        <v>0</v>
      </c>
      <c r="X72" s="172"/>
    </row>
    <row r="73" spans="1:24" x14ac:dyDescent="0.45">
      <c r="A73" s="193">
        <v>47</v>
      </c>
      <c r="B73" s="194" t="str">
        <f t="shared" si="7"/>
        <v/>
      </c>
      <c r="C73" s="170" t="str">
        <f t="shared" si="8"/>
        <v/>
      </c>
      <c r="D73" s="170"/>
      <c r="E73" s="195"/>
      <c r="F73" s="170"/>
      <c r="G73" s="170"/>
      <c r="H73" s="203"/>
      <c r="I73" s="197" t="str">
        <f t="shared" si="12"/>
        <v/>
      </c>
      <c r="J73" s="197" t="str">
        <f t="shared" si="13"/>
        <v/>
      </c>
      <c r="K73" s="197"/>
      <c r="L73" s="197"/>
      <c r="M73" s="198"/>
      <c r="N73" s="198"/>
      <c r="O73" s="198"/>
      <c r="P73" s="199"/>
      <c r="Q73" s="200"/>
      <c r="R73" s="200"/>
      <c r="S73" s="200"/>
      <c r="T73" s="200" t="str">
        <f t="shared" si="9"/>
        <v/>
      </c>
      <c r="U73" s="200"/>
      <c r="V73" s="201" t="str">
        <f t="shared" si="10"/>
        <v/>
      </c>
      <c r="W73" s="202">
        <f t="shared" si="11"/>
        <v>0</v>
      </c>
      <c r="X73" s="172"/>
    </row>
    <row r="74" spans="1:24" x14ac:dyDescent="0.45">
      <c r="A74" s="193">
        <v>48</v>
      </c>
      <c r="B74" s="194" t="str">
        <f t="shared" si="7"/>
        <v/>
      </c>
      <c r="C74" s="170" t="str">
        <f t="shared" si="8"/>
        <v/>
      </c>
      <c r="D74" s="170"/>
      <c r="E74" s="195"/>
      <c r="F74" s="170"/>
      <c r="G74" s="170"/>
      <c r="H74" s="203"/>
      <c r="I74" s="197" t="str">
        <f t="shared" si="12"/>
        <v/>
      </c>
      <c r="J74" s="197" t="str">
        <f t="shared" si="13"/>
        <v/>
      </c>
      <c r="K74" s="197"/>
      <c r="L74" s="197"/>
      <c r="M74" s="198"/>
      <c r="N74" s="198"/>
      <c r="O74" s="198"/>
      <c r="P74" s="199"/>
      <c r="Q74" s="200"/>
      <c r="R74" s="200"/>
      <c r="S74" s="200"/>
      <c r="T74" s="200" t="str">
        <f t="shared" si="9"/>
        <v/>
      </c>
      <c r="U74" s="200"/>
      <c r="V74" s="201" t="str">
        <f t="shared" si="10"/>
        <v/>
      </c>
      <c r="W74" s="202">
        <f t="shared" si="11"/>
        <v>0</v>
      </c>
      <c r="X74" s="172"/>
    </row>
    <row r="75" spans="1:24" x14ac:dyDescent="0.45">
      <c r="A75" s="193">
        <v>49</v>
      </c>
      <c r="B75" s="194" t="str">
        <f t="shared" si="7"/>
        <v/>
      </c>
      <c r="C75" s="170" t="str">
        <f t="shared" si="8"/>
        <v/>
      </c>
      <c r="D75" s="170"/>
      <c r="E75" s="195"/>
      <c r="F75" s="170"/>
      <c r="G75" s="170"/>
      <c r="H75" s="203"/>
      <c r="I75" s="197" t="str">
        <f t="shared" si="12"/>
        <v/>
      </c>
      <c r="J75" s="197" t="str">
        <f t="shared" si="13"/>
        <v/>
      </c>
      <c r="K75" s="197"/>
      <c r="L75" s="197"/>
      <c r="M75" s="198"/>
      <c r="N75" s="198"/>
      <c r="O75" s="198"/>
      <c r="P75" s="199"/>
      <c r="Q75" s="200"/>
      <c r="R75" s="200"/>
      <c r="S75" s="200"/>
      <c r="T75" s="200" t="str">
        <f t="shared" si="9"/>
        <v/>
      </c>
      <c r="U75" s="200"/>
      <c r="V75" s="201" t="str">
        <f t="shared" si="10"/>
        <v/>
      </c>
      <c r="W75" s="202">
        <f t="shared" si="11"/>
        <v>0</v>
      </c>
      <c r="X75" s="172"/>
    </row>
    <row r="76" spans="1:24" x14ac:dyDescent="0.45">
      <c r="A76" s="193">
        <v>50</v>
      </c>
      <c r="B76" s="194" t="str">
        <f t="shared" si="7"/>
        <v/>
      </c>
      <c r="C76" s="170" t="str">
        <f t="shared" si="8"/>
        <v/>
      </c>
      <c r="D76" s="170"/>
      <c r="E76" s="195"/>
      <c r="F76" s="170"/>
      <c r="G76" s="170"/>
      <c r="H76" s="203"/>
      <c r="I76" s="197" t="str">
        <f t="shared" si="12"/>
        <v/>
      </c>
      <c r="J76" s="197" t="str">
        <f t="shared" si="13"/>
        <v/>
      </c>
      <c r="K76" s="197"/>
      <c r="L76" s="197"/>
      <c r="M76" s="198"/>
      <c r="N76" s="198"/>
      <c r="O76" s="198"/>
      <c r="P76" s="199"/>
      <c r="Q76" s="200"/>
      <c r="R76" s="200"/>
      <c r="S76" s="200"/>
      <c r="T76" s="200" t="str">
        <f t="shared" si="9"/>
        <v/>
      </c>
      <c r="U76" s="200"/>
      <c r="V76" s="201" t="str">
        <f t="shared" si="10"/>
        <v/>
      </c>
      <c r="W76" s="202">
        <f t="shared" si="11"/>
        <v>0</v>
      </c>
      <c r="X76" s="172"/>
    </row>
    <row r="77" spans="1:24" x14ac:dyDescent="0.45">
      <c r="A77" s="193">
        <v>51</v>
      </c>
      <c r="B77" s="194" t="str">
        <f t="shared" si="7"/>
        <v/>
      </c>
      <c r="C77" s="170" t="str">
        <f t="shared" si="8"/>
        <v/>
      </c>
      <c r="D77" s="170"/>
      <c r="E77" s="195"/>
      <c r="F77" s="170"/>
      <c r="G77" s="170"/>
      <c r="H77" s="203"/>
      <c r="I77" s="197" t="str">
        <f t="shared" si="12"/>
        <v/>
      </c>
      <c r="J77" s="197" t="str">
        <f t="shared" si="13"/>
        <v/>
      </c>
      <c r="K77" s="197"/>
      <c r="L77" s="197"/>
      <c r="M77" s="198"/>
      <c r="N77" s="198"/>
      <c r="O77" s="198"/>
      <c r="P77" s="199"/>
      <c r="Q77" s="200"/>
      <c r="R77" s="200"/>
      <c r="S77" s="200"/>
      <c r="T77" s="200" t="str">
        <f t="shared" si="9"/>
        <v/>
      </c>
      <c r="U77" s="200"/>
      <c r="V77" s="201" t="str">
        <f t="shared" si="10"/>
        <v/>
      </c>
      <c r="W77" s="202">
        <f t="shared" si="11"/>
        <v>0</v>
      </c>
      <c r="X77" s="172"/>
    </row>
    <row r="78" spans="1:24" x14ac:dyDescent="0.45">
      <c r="A78" s="193">
        <v>52</v>
      </c>
      <c r="B78" s="194" t="str">
        <f t="shared" si="7"/>
        <v/>
      </c>
      <c r="C78" s="170" t="str">
        <f t="shared" si="8"/>
        <v/>
      </c>
      <c r="D78" s="170"/>
      <c r="E78" s="195"/>
      <c r="F78" s="170"/>
      <c r="G78" s="170"/>
      <c r="H78" s="203"/>
      <c r="I78" s="197" t="str">
        <f t="shared" si="12"/>
        <v/>
      </c>
      <c r="J78" s="197" t="str">
        <f t="shared" si="13"/>
        <v/>
      </c>
      <c r="K78" s="197"/>
      <c r="L78" s="197"/>
      <c r="M78" s="198"/>
      <c r="N78" s="198"/>
      <c r="O78" s="198"/>
      <c r="P78" s="199"/>
      <c r="Q78" s="200"/>
      <c r="R78" s="200"/>
      <c r="S78" s="200"/>
      <c r="T78" s="200" t="str">
        <f t="shared" si="9"/>
        <v/>
      </c>
      <c r="U78" s="200"/>
      <c r="V78" s="201" t="str">
        <f t="shared" si="10"/>
        <v/>
      </c>
      <c r="W78" s="202">
        <f t="shared" si="11"/>
        <v>0</v>
      </c>
      <c r="X78" s="172"/>
    </row>
    <row r="79" spans="1:24" x14ac:dyDescent="0.45">
      <c r="A79" s="193">
        <v>53</v>
      </c>
      <c r="B79" s="194" t="str">
        <f t="shared" si="7"/>
        <v/>
      </c>
      <c r="C79" s="170" t="str">
        <f t="shared" si="8"/>
        <v/>
      </c>
      <c r="D79" s="170"/>
      <c r="E79" s="195"/>
      <c r="F79" s="170"/>
      <c r="G79" s="170"/>
      <c r="H79" s="203"/>
      <c r="I79" s="197" t="str">
        <f t="shared" si="12"/>
        <v/>
      </c>
      <c r="J79" s="197" t="str">
        <f t="shared" si="13"/>
        <v/>
      </c>
      <c r="K79" s="197"/>
      <c r="L79" s="197"/>
      <c r="M79" s="198"/>
      <c r="N79" s="198"/>
      <c r="O79" s="198"/>
      <c r="P79" s="199"/>
      <c r="Q79" s="200"/>
      <c r="R79" s="200"/>
      <c r="S79" s="200"/>
      <c r="T79" s="200" t="str">
        <f t="shared" si="9"/>
        <v/>
      </c>
      <c r="U79" s="200"/>
      <c r="V79" s="201" t="str">
        <f t="shared" si="10"/>
        <v/>
      </c>
      <c r="W79" s="202">
        <f t="shared" si="11"/>
        <v>0</v>
      </c>
      <c r="X79" s="172"/>
    </row>
    <row r="80" spans="1:24" x14ac:dyDescent="0.45">
      <c r="A80" s="193">
        <v>54</v>
      </c>
      <c r="B80" s="194" t="str">
        <f t="shared" si="7"/>
        <v/>
      </c>
      <c r="C80" s="170" t="str">
        <f t="shared" si="8"/>
        <v/>
      </c>
      <c r="D80" s="170"/>
      <c r="E80" s="195"/>
      <c r="F80" s="170"/>
      <c r="G80" s="170"/>
      <c r="H80" s="203"/>
      <c r="I80" s="197" t="str">
        <f t="shared" si="12"/>
        <v/>
      </c>
      <c r="J80" s="197" t="str">
        <f t="shared" si="13"/>
        <v/>
      </c>
      <c r="K80" s="197"/>
      <c r="L80" s="197"/>
      <c r="M80" s="198"/>
      <c r="N80" s="198"/>
      <c r="O80" s="198"/>
      <c r="P80" s="199"/>
      <c r="Q80" s="200"/>
      <c r="R80" s="200"/>
      <c r="S80" s="200"/>
      <c r="T80" s="200" t="str">
        <f t="shared" si="9"/>
        <v/>
      </c>
      <c r="U80" s="200"/>
      <c r="V80" s="201" t="str">
        <f t="shared" si="10"/>
        <v/>
      </c>
      <c r="W80" s="202">
        <f t="shared" si="11"/>
        <v>0</v>
      </c>
      <c r="X80" s="172"/>
    </row>
    <row r="81" spans="1:24" x14ac:dyDescent="0.45">
      <c r="A81" s="193">
        <v>55</v>
      </c>
      <c r="B81" s="194" t="str">
        <f t="shared" si="7"/>
        <v/>
      </c>
      <c r="C81" s="170" t="str">
        <f t="shared" si="8"/>
        <v/>
      </c>
      <c r="D81" s="170"/>
      <c r="E81" s="195"/>
      <c r="F81" s="170"/>
      <c r="G81" s="170"/>
      <c r="H81" s="203"/>
      <c r="I81" s="197" t="str">
        <f t="shared" si="12"/>
        <v/>
      </c>
      <c r="J81" s="197" t="str">
        <f t="shared" si="13"/>
        <v/>
      </c>
      <c r="K81" s="197"/>
      <c r="L81" s="197"/>
      <c r="M81" s="198"/>
      <c r="N81" s="198"/>
      <c r="O81" s="198"/>
      <c r="P81" s="199"/>
      <c r="Q81" s="200"/>
      <c r="R81" s="200"/>
      <c r="S81" s="200"/>
      <c r="T81" s="200" t="str">
        <f t="shared" si="9"/>
        <v/>
      </c>
      <c r="U81" s="200"/>
      <c r="V81" s="201" t="str">
        <f t="shared" si="10"/>
        <v/>
      </c>
      <c r="W81" s="202">
        <f t="shared" si="11"/>
        <v>0</v>
      </c>
      <c r="X81" s="172"/>
    </row>
    <row r="82" spans="1:24" x14ac:dyDescent="0.45">
      <c r="A82" s="193">
        <v>56</v>
      </c>
      <c r="B82" s="194" t="str">
        <f t="shared" si="7"/>
        <v/>
      </c>
      <c r="C82" s="170" t="str">
        <f t="shared" si="8"/>
        <v/>
      </c>
      <c r="D82" s="170"/>
      <c r="E82" s="195"/>
      <c r="F82" s="170"/>
      <c r="G82" s="170"/>
      <c r="H82" s="203"/>
      <c r="I82" s="197" t="str">
        <f t="shared" si="12"/>
        <v/>
      </c>
      <c r="J82" s="197" t="str">
        <f t="shared" si="13"/>
        <v/>
      </c>
      <c r="K82" s="197"/>
      <c r="L82" s="197"/>
      <c r="M82" s="198"/>
      <c r="N82" s="198"/>
      <c r="O82" s="198"/>
      <c r="P82" s="199"/>
      <c r="Q82" s="200"/>
      <c r="R82" s="200"/>
      <c r="S82" s="200"/>
      <c r="T82" s="200" t="str">
        <f t="shared" si="9"/>
        <v/>
      </c>
      <c r="U82" s="200"/>
      <c r="V82" s="201" t="str">
        <f t="shared" si="10"/>
        <v/>
      </c>
      <c r="W82" s="202">
        <f t="shared" si="11"/>
        <v>0</v>
      </c>
      <c r="X82" s="172"/>
    </row>
    <row r="83" spans="1:24" x14ac:dyDescent="0.45">
      <c r="A83" s="193">
        <v>57</v>
      </c>
      <c r="B83" s="194" t="str">
        <f t="shared" si="7"/>
        <v/>
      </c>
      <c r="C83" s="170" t="str">
        <f t="shared" si="8"/>
        <v/>
      </c>
      <c r="D83" s="170"/>
      <c r="E83" s="195"/>
      <c r="F83" s="170"/>
      <c r="G83" s="170"/>
      <c r="H83" s="203"/>
      <c r="I83" s="197" t="str">
        <f t="shared" si="12"/>
        <v/>
      </c>
      <c r="J83" s="197" t="str">
        <f t="shared" si="13"/>
        <v/>
      </c>
      <c r="K83" s="197"/>
      <c r="L83" s="197"/>
      <c r="M83" s="198"/>
      <c r="N83" s="198"/>
      <c r="O83" s="198"/>
      <c r="P83" s="199"/>
      <c r="Q83" s="200"/>
      <c r="R83" s="200"/>
      <c r="S83" s="200"/>
      <c r="T83" s="200" t="str">
        <f t="shared" si="9"/>
        <v/>
      </c>
      <c r="U83" s="200"/>
      <c r="V83" s="201" t="str">
        <f t="shared" si="10"/>
        <v/>
      </c>
      <c r="W83" s="202">
        <f t="shared" si="11"/>
        <v>0</v>
      </c>
      <c r="X83" s="172"/>
    </row>
    <row r="84" spans="1:24" x14ac:dyDescent="0.45">
      <c r="A84" s="193">
        <v>58</v>
      </c>
      <c r="B84" s="194" t="str">
        <f t="shared" si="7"/>
        <v/>
      </c>
      <c r="C84" s="170" t="str">
        <f t="shared" si="8"/>
        <v/>
      </c>
      <c r="D84" s="170"/>
      <c r="E84" s="195"/>
      <c r="F84" s="170"/>
      <c r="G84" s="170"/>
      <c r="H84" s="203"/>
      <c r="I84" s="197" t="str">
        <f t="shared" si="12"/>
        <v/>
      </c>
      <c r="J84" s="197" t="str">
        <f t="shared" si="13"/>
        <v/>
      </c>
      <c r="K84" s="197"/>
      <c r="L84" s="197"/>
      <c r="M84" s="198"/>
      <c r="N84" s="198"/>
      <c r="O84" s="198"/>
      <c r="P84" s="199"/>
      <c r="Q84" s="200"/>
      <c r="R84" s="200"/>
      <c r="S84" s="200"/>
      <c r="T84" s="200" t="str">
        <f t="shared" si="9"/>
        <v/>
      </c>
      <c r="U84" s="200"/>
      <c r="V84" s="201" t="str">
        <f t="shared" si="10"/>
        <v/>
      </c>
      <c r="W84" s="202">
        <f t="shared" si="11"/>
        <v>0</v>
      </c>
      <c r="X84" s="172"/>
    </row>
    <row r="85" spans="1:24" x14ac:dyDescent="0.45">
      <c r="A85" s="193">
        <v>59</v>
      </c>
      <c r="B85" s="194" t="str">
        <f t="shared" si="7"/>
        <v/>
      </c>
      <c r="C85" s="170" t="str">
        <f t="shared" si="8"/>
        <v/>
      </c>
      <c r="D85" s="170"/>
      <c r="E85" s="195"/>
      <c r="F85" s="170"/>
      <c r="G85" s="170"/>
      <c r="H85" s="203"/>
      <c r="I85" s="197" t="str">
        <f t="shared" si="12"/>
        <v/>
      </c>
      <c r="J85" s="197" t="str">
        <f t="shared" si="13"/>
        <v/>
      </c>
      <c r="K85" s="197"/>
      <c r="L85" s="197"/>
      <c r="M85" s="198"/>
      <c r="N85" s="198"/>
      <c r="O85" s="198"/>
      <c r="P85" s="199"/>
      <c r="Q85" s="200"/>
      <c r="R85" s="200"/>
      <c r="S85" s="200"/>
      <c r="T85" s="200" t="str">
        <f t="shared" si="9"/>
        <v/>
      </c>
      <c r="U85" s="200"/>
      <c r="V85" s="201" t="str">
        <f t="shared" si="10"/>
        <v/>
      </c>
      <c r="W85" s="202">
        <f t="shared" si="11"/>
        <v>0</v>
      </c>
      <c r="X85" s="172"/>
    </row>
    <row r="86" spans="1:24" x14ac:dyDescent="0.45">
      <c r="A86" s="193">
        <v>60</v>
      </c>
      <c r="B86" s="194" t="str">
        <f t="shared" si="7"/>
        <v/>
      </c>
      <c r="C86" s="170" t="str">
        <f t="shared" si="8"/>
        <v/>
      </c>
      <c r="D86" s="170"/>
      <c r="E86" s="195"/>
      <c r="F86" s="170"/>
      <c r="G86" s="170"/>
      <c r="H86" s="203"/>
      <c r="I86" s="197" t="str">
        <f t="shared" si="12"/>
        <v/>
      </c>
      <c r="J86" s="197" t="str">
        <f t="shared" si="13"/>
        <v/>
      </c>
      <c r="K86" s="197"/>
      <c r="L86" s="197"/>
      <c r="M86" s="198"/>
      <c r="N86" s="198"/>
      <c r="O86" s="198"/>
      <c r="P86" s="199"/>
      <c r="Q86" s="200"/>
      <c r="R86" s="200"/>
      <c r="S86" s="200"/>
      <c r="T86" s="200" t="str">
        <f t="shared" si="9"/>
        <v/>
      </c>
      <c r="U86" s="200"/>
      <c r="V86" s="201" t="str">
        <f t="shared" si="10"/>
        <v/>
      </c>
      <c r="W86" s="202">
        <f t="shared" si="11"/>
        <v>0</v>
      </c>
      <c r="X86" s="172"/>
    </row>
    <row r="87" spans="1:24" x14ac:dyDescent="0.45">
      <c r="A87" s="193">
        <v>61</v>
      </c>
      <c r="B87" s="194" t="str">
        <f t="shared" si="7"/>
        <v/>
      </c>
      <c r="C87" s="170" t="str">
        <f t="shared" si="8"/>
        <v/>
      </c>
      <c r="D87" s="170"/>
      <c r="E87" s="195"/>
      <c r="F87" s="170"/>
      <c r="G87" s="170"/>
      <c r="H87" s="203"/>
      <c r="I87" s="197" t="str">
        <f t="shared" si="12"/>
        <v/>
      </c>
      <c r="J87" s="197" t="str">
        <f t="shared" si="13"/>
        <v/>
      </c>
      <c r="K87" s="197"/>
      <c r="L87" s="197"/>
      <c r="M87" s="198"/>
      <c r="N87" s="198"/>
      <c r="O87" s="198"/>
      <c r="P87" s="199"/>
      <c r="Q87" s="200"/>
      <c r="R87" s="200"/>
      <c r="S87" s="200"/>
      <c r="T87" s="200" t="str">
        <f t="shared" si="9"/>
        <v/>
      </c>
      <c r="U87" s="200"/>
      <c r="V87" s="201" t="str">
        <f t="shared" si="10"/>
        <v/>
      </c>
      <c r="W87" s="202">
        <f t="shared" si="11"/>
        <v>0</v>
      </c>
      <c r="X87" s="172"/>
    </row>
    <row r="88" spans="1:24" x14ac:dyDescent="0.45">
      <c r="A88" s="193">
        <v>62</v>
      </c>
      <c r="B88" s="194" t="str">
        <f t="shared" si="7"/>
        <v/>
      </c>
      <c r="C88" s="170" t="str">
        <f t="shared" si="8"/>
        <v/>
      </c>
      <c r="D88" s="170"/>
      <c r="E88" s="195"/>
      <c r="F88" s="170"/>
      <c r="G88" s="170"/>
      <c r="H88" s="203"/>
      <c r="I88" s="197" t="str">
        <f t="shared" si="12"/>
        <v/>
      </c>
      <c r="J88" s="197" t="str">
        <f t="shared" si="13"/>
        <v/>
      </c>
      <c r="K88" s="197"/>
      <c r="L88" s="197"/>
      <c r="M88" s="198"/>
      <c r="N88" s="198"/>
      <c r="O88" s="198"/>
      <c r="P88" s="199"/>
      <c r="Q88" s="200"/>
      <c r="R88" s="200"/>
      <c r="S88" s="200"/>
      <c r="T88" s="200" t="str">
        <f t="shared" si="9"/>
        <v/>
      </c>
      <c r="U88" s="200"/>
      <c r="V88" s="201" t="str">
        <f t="shared" si="10"/>
        <v/>
      </c>
      <c r="W88" s="202">
        <f t="shared" si="11"/>
        <v>0</v>
      </c>
      <c r="X88" s="172"/>
    </row>
    <row r="89" spans="1:24" x14ac:dyDescent="0.45">
      <c r="A89" s="193">
        <v>63</v>
      </c>
      <c r="B89" s="194" t="str">
        <f t="shared" si="7"/>
        <v/>
      </c>
      <c r="C89" s="170" t="str">
        <f t="shared" si="8"/>
        <v/>
      </c>
      <c r="D89" s="170"/>
      <c r="E89" s="195"/>
      <c r="F89" s="170"/>
      <c r="G89" s="170"/>
      <c r="H89" s="203"/>
      <c r="I89" s="197" t="str">
        <f t="shared" si="12"/>
        <v/>
      </c>
      <c r="J89" s="197" t="str">
        <f t="shared" si="13"/>
        <v/>
      </c>
      <c r="K89" s="197"/>
      <c r="L89" s="197"/>
      <c r="M89" s="198"/>
      <c r="N89" s="198"/>
      <c r="O89" s="198"/>
      <c r="P89" s="199"/>
      <c r="Q89" s="200"/>
      <c r="R89" s="200"/>
      <c r="S89" s="200"/>
      <c r="T89" s="200" t="str">
        <f t="shared" si="9"/>
        <v/>
      </c>
      <c r="U89" s="200"/>
      <c r="V89" s="201" t="str">
        <f t="shared" si="10"/>
        <v/>
      </c>
      <c r="W89" s="202">
        <f t="shared" si="11"/>
        <v>0</v>
      </c>
      <c r="X89" s="172"/>
    </row>
    <row r="90" spans="1:24" x14ac:dyDescent="0.45">
      <c r="A90" s="193">
        <v>64</v>
      </c>
      <c r="B90" s="194" t="str">
        <f t="shared" si="7"/>
        <v/>
      </c>
      <c r="C90" s="170" t="str">
        <f t="shared" si="8"/>
        <v/>
      </c>
      <c r="D90" s="170"/>
      <c r="E90" s="195"/>
      <c r="F90" s="170"/>
      <c r="G90" s="170"/>
      <c r="H90" s="203"/>
      <c r="I90" s="197" t="str">
        <f t="shared" si="12"/>
        <v/>
      </c>
      <c r="J90" s="197" t="str">
        <f t="shared" si="13"/>
        <v/>
      </c>
      <c r="K90" s="197"/>
      <c r="L90" s="197"/>
      <c r="M90" s="198"/>
      <c r="N90" s="198"/>
      <c r="O90" s="198"/>
      <c r="P90" s="199"/>
      <c r="Q90" s="200"/>
      <c r="R90" s="200"/>
      <c r="S90" s="200"/>
      <c r="T90" s="200" t="str">
        <f t="shared" si="9"/>
        <v/>
      </c>
      <c r="U90" s="200"/>
      <c r="V90" s="201" t="str">
        <f t="shared" si="10"/>
        <v/>
      </c>
      <c r="W90" s="202">
        <f t="shared" si="11"/>
        <v>0</v>
      </c>
      <c r="X90" s="172"/>
    </row>
    <row r="91" spans="1:24" x14ac:dyDescent="0.45">
      <c r="A91" s="193">
        <v>65</v>
      </c>
      <c r="B91" s="194" t="str">
        <f t="shared" si="7"/>
        <v/>
      </c>
      <c r="C91" s="170" t="str">
        <f t="shared" si="8"/>
        <v/>
      </c>
      <c r="D91" s="170"/>
      <c r="E91" s="195"/>
      <c r="F91" s="170"/>
      <c r="G91" s="170"/>
      <c r="H91" s="203"/>
      <c r="I91" s="197" t="str">
        <f t="shared" si="12"/>
        <v/>
      </c>
      <c r="J91" s="197" t="str">
        <f t="shared" si="13"/>
        <v/>
      </c>
      <c r="K91" s="197"/>
      <c r="L91" s="197"/>
      <c r="M91" s="198"/>
      <c r="N91" s="198"/>
      <c r="O91" s="198"/>
      <c r="P91" s="199"/>
      <c r="Q91" s="200"/>
      <c r="R91" s="200"/>
      <c r="S91" s="200"/>
      <c r="T91" s="200" t="str">
        <f t="shared" si="9"/>
        <v/>
      </c>
      <c r="U91" s="200"/>
      <c r="V91" s="201" t="str">
        <f t="shared" ref="V91:V92" si="14">IF(U91="","",$V$7)</f>
        <v/>
      </c>
      <c r="W91" s="202">
        <f t="shared" si="11"/>
        <v>0</v>
      </c>
      <c r="X91" s="172"/>
    </row>
    <row r="92" spans="1:24" ht="14.25" customHeight="1" x14ac:dyDescent="0.45">
      <c r="A92" s="193">
        <v>66</v>
      </c>
      <c r="B92" s="204" t="str">
        <f t="shared" si="7"/>
        <v/>
      </c>
      <c r="C92" s="205" t="str">
        <f t="shared" si="8"/>
        <v/>
      </c>
      <c r="D92" s="205"/>
      <c r="E92" s="205"/>
      <c r="F92" s="205"/>
      <c r="G92" s="205"/>
      <c r="H92" s="205"/>
      <c r="I92" s="206" t="str">
        <f t="shared" si="12"/>
        <v/>
      </c>
      <c r="J92" s="206" t="str">
        <f t="shared" si="13"/>
        <v/>
      </c>
      <c r="K92" s="206"/>
      <c r="L92" s="206"/>
      <c r="M92" s="205"/>
      <c r="N92" s="205"/>
      <c r="O92" s="205"/>
      <c r="P92" s="205"/>
      <c r="Q92" s="205"/>
      <c r="R92" s="205"/>
      <c r="S92" s="205"/>
      <c r="T92" s="205" t="str">
        <f t="shared" si="9"/>
        <v/>
      </c>
      <c r="U92" s="205"/>
      <c r="V92" s="205" t="str">
        <f t="shared" si="14"/>
        <v/>
      </c>
      <c r="W92" s="207">
        <f t="shared" si="11"/>
        <v>0</v>
      </c>
      <c r="X92" s="207"/>
    </row>
    <row r="93" spans="1:24" ht="24.75" customHeight="1" x14ac:dyDescent="0.45">
      <c r="B93" s="428" t="s">
        <v>1509</v>
      </c>
      <c r="C93" s="429" t="s">
        <v>1494</v>
      </c>
      <c r="D93" s="429"/>
      <c r="E93" s="429"/>
      <c r="F93" s="429"/>
      <c r="G93" s="429"/>
      <c r="H93" s="429"/>
      <c r="I93" s="429"/>
      <c r="J93" s="429"/>
      <c r="K93" s="429"/>
      <c r="L93" s="429"/>
      <c r="M93" s="429"/>
      <c r="N93" s="429"/>
      <c r="O93" s="429"/>
      <c r="P93" s="429"/>
      <c r="Q93" s="429"/>
      <c r="R93" s="145" t="s">
        <v>1</v>
      </c>
      <c r="S93" s="146"/>
      <c r="T93" s="145" t="s">
        <v>8</v>
      </c>
      <c r="U93" s="147"/>
      <c r="V93" s="148" t="s">
        <v>3</v>
      </c>
      <c r="W93" s="146"/>
      <c r="X93" s="149"/>
    </row>
    <row r="94" spans="1:24" ht="24.75" customHeight="1" x14ac:dyDescent="0.45">
      <c r="B94" s="428"/>
      <c r="C94" s="429"/>
      <c r="D94" s="429"/>
      <c r="E94" s="429"/>
      <c r="F94" s="429"/>
      <c r="G94" s="429"/>
      <c r="H94" s="429"/>
      <c r="I94" s="429"/>
      <c r="J94" s="429"/>
      <c r="K94" s="429"/>
      <c r="L94" s="429"/>
      <c r="M94" s="429"/>
      <c r="N94" s="429"/>
      <c r="O94" s="429"/>
      <c r="P94" s="429"/>
      <c r="Q94" s="429"/>
      <c r="R94" s="430" t="s">
        <v>1495</v>
      </c>
      <c r="S94" s="430"/>
      <c r="T94" s="431" t="str">
        <f>'BM MORRO DA CRUZ - VERTICAL'!$V$4</f>
        <v>01-10-26 A 31-10-26</v>
      </c>
      <c r="U94" s="431"/>
      <c r="V94" s="432" t="str">
        <f>IF('BM MORRO DA CRUZ - VERTICAL'!$BF$2="","",'BM MORRO DA CRUZ - VERTICAL'!$BF$2)</f>
        <v/>
      </c>
      <c r="W94" s="432"/>
      <c r="X94" s="150"/>
    </row>
    <row r="95" spans="1:24" ht="24.75" customHeight="1" x14ac:dyDescent="0.45">
      <c r="B95" s="151" t="s">
        <v>5</v>
      </c>
      <c r="C95" s="152"/>
      <c r="D95" s="152"/>
      <c r="E95" s="152"/>
      <c r="F95" s="152"/>
      <c r="G95" s="152"/>
      <c r="H95" s="152"/>
      <c r="I95" s="152"/>
      <c r="J95" s="152"/>
      <c r="K95" s="152"/>
      <c r="L95" s="152"/>
      <c r="M95" s="152"/>
      <c r="N95" s="152"/>
      <c r="O95" s="152"/>
      <c r="P95" s="153"/>
      <c r="Q95" s="154"/>
      <c r="R95" s="155"/>
      <c r="S95" s="155"/>
      <c r="T95" s="156" t="s">
        <v>1496</v>
      </c>
      <c r="U95" s="157"/>
      <c r="V95" s="158" t="s">
        <v>9</v>
      </c>
      <c r="W95" s="159"/>
      <c r="X95" s="433"/>
    </row>
    <row r="96" spans="1:24" ht="24.75" customHeight="1" x14ac:dyDescent="0.45">
      <c r="B96" s="17" t="s">
        <v>11</v>
      </c>
      <c r="C96" s="160"/>
      <c r="D96" s="160"/>
      <c r="E96" s="160"/>
      <c r="F96" s="160"/>
      <c r="G96" s="160"/>
      <c r="H96" s="160"/>
      <c r="I96" s="160"/>
      <c r="J96" s="160"/>
      <c r="K96" s="160"/>
      <c r="L96" s="160"/>
      <c r="M96" s="160"/>
      <c r="N96" s="160"/>
      <c r="O96" s="160"/>
      <c r="P96" s="161"/>
      <c r="Q96" s="162"/>
      <c r="R96" s="163"/>
      <c r="S96" s="163"/>
      <c r="T96" s="434" t="str">
        <f>'BM MORRO DA CRUZ - VERTICAL'!$V$2</f>
        <v>1ª MEDIÇÃO</v>
      </c>
      <c r="U96" s="434"/>
      <c r="V96" s="435" t="s">
        <v>13</v>
      </c>
      <c r="W96" s="435"/>
      <c r="X96" s="433"/>
    </row>
    <row r="97" spans="2:24" ht="24.75" customHeight="1" x14ac:dyDescent="0.45">
      <c r="B97" s="164" t="s">
        <v>1459</v>
      </c>
      <c r="C97" s="165" t="s">
        <v>14</v>
      </c>
      <c r="D97" s="165" t="s">
        <v>24</v>
      </c>
      <c r="E97" s="165" t="s">
        <v>25</v>
      </c>
      <c r="F97" s="166" t="s">
        <v>1461</v>
      </c>
      <c r="G97" s="165"/>
      <c r="H97" s="165"/>
      <c r="I97" s="165"/>
      <c r="J97" s="165"/>
      <c r="K97" s="165"/>
      <c r="L97" s="165"/>
      <c r="M97" s="165"/>
      <c r="N97" s="165"/>
      <c r="O97" s="165"/>
      <c r="P97" s="165"/>
      <c r="Q97" s="165"/>
      <c r="R97" s="165"/>
      <c r="S97" s="165"/>
      <c r="T97" s="165"/>
      <c r="U97" s="165"/>
      <c r="V97" s="165" t="s">
        <v>26</v>
      </c>
      <c r="W97" s="167" t="s">
        <v>29</v>
      </c>
      <c r="X97" s="168"/>
    </row>
    <row r="98" spans="2:24" ht="24.75" customHeight="1" x14ac:dyDescent="0.45">
      <c r="B98" s="169"/>
      <c r="C98" s="170"/>
      <c r="D98" s="170"/>
      <c r="E98" s="170"/>
      <c r="F98" s="170"/>
      <c r="G98" s="170"/>
      <c r="H98" s="170"/>
      <c r="I98" s="170"/>
      <c r="J98" s="170"/>
      <c r="K98" s="170"/>
      <c r="L98" s="170"/>
      <c r="M98" s="170"/>
      <c r="N98" s="170"/>
      <c r="O98" s="170"/>
      <c r="P98" s="170"/>
      <c r="Q98" s="170"/>
      <c r="R98" s="170"/>
      <c r="S98" s="170"/>
      <c r="T98" s="170"/>
      <c r="U98" s="170"/>
      <c r="V98" s="170"/>
      <c r="W98" s="171"/>
      <c r="X98" s="172"/>
    </row>
    <row r="99" spans="2:24" ht="24.75" customHeight="1" x14ac:dyDescent="0.45">
      <c r="B99" s="173" t="str">
        <f>IF($C$99="","",IFERROR(INDEX('BM MORRO DA CRUZ - VERTICAL'!$C$6:$C$546,MATCH($C$99,'BM MORRO DA CRUZ - VERTICAL'!$D$6:$D$546,0)),"CHAVE NÃO ENCONTRADA NO VERTICAL"))</f>
        <v/>
      </c>
      <c r="C99" s="174"/>
      <c r="D99" s="175" t="str">
        <f>IF($C$99="","",IFERROR(INDEX('BM MORRO DA CRUZ - VERTICAL'!$O$6:$O$546,MATCH($C$99,'BM MORRO DA CRUZ - VERTICAL'!$D$6:$D$546,0)),"CHAVE NÃO ENCONTRADA NO VERTICAL"))</f>
        <v/>
      </c>
      <c r="E99" s="175" t="str">
        <f>IF($C$99="","",IFERROR(INDEX('BM MORRO DA CRUZ - VERTICAL'!$P$6:$P$546,MATCH($C$99,'BM MORRO DA CRUZ - VERTICAL'!$D$6:$D$546,0)),"CHAVE NÃO ENCONTRADA NO VERTICAL"))</f>
        <v/>
      </c>
      <c r="F99" s="175" t="str">
        <f>IF($C$99="","",IFERROR(INDEX('BM MORRO DA CRUZ - VERTICAL'!$Q$6:$Q$546,MATCH($C$99,'BM MORRO DA CRUZ - VERTICAL'!$D$6:$D$546,0)),"CHAVE NÃO ENCONTRADA NO VERTICAL"))</f>
        <v/>
      </c>
      <c r="G99" s="176"/>
      <c r="H99" s="176"/>
      <c r="I99" s="176"/>
      <c r="J99" s="176"/>
      <c r="K99" s="176"/>
      <c r="L99" s="176"/>
      <c r="M99" s="176"/>
      <c r="N99" s="176"/>
      <c r="O99" s="176"/>
      <c r="P99" s="176"/>
      <c r="Q99" s="176"/>
      <c r="R99" s="176"/>
      <c r="S99" s="176"/>
      <c r="T99" s="176"/>
      <c r="U99" s="176"/>
      <c r="V99" s="177" t="str">
        <f>IF($C$99="","",IFERROR(INDEX('BM MORRO DA CRUZ - VERTICAL'!$R$6:$R$546,MATCH($C$99,'BM MORRO DA CRUZ - VERTICAL'!$D$6:$D$546,0)),"CHAVE NÃO ENCONTRADA NO VERTICAL"))</f>
        <v/>
      </c>
      <c r="W99" s="178">
        <f>SUM($W119:$W184)</f>
        <v>0</v>
      </c>
      <c r="X99" s="179"/>
    </row>
    <row r="100" spans="2:24" ht="24.75" customHeight="1" x14ac:dyDescent="0.45">
      <c r="B100" s="426" t="s">
        <v>1497</v>
      </c>
      <c r="C100" s="426"/>
      <c r="D100" s="426"/>
      <c r="E100" s="426"/>
      <c r="F100" s="426"/>
      <c r="G100" s="426"/>
      <c r="H100" s="426"/>
      <c r="I100" s="426"/>
      <c r="J100" s="426"/>
      <c r="K100" s="426"/>
      <c r="L100" s="426"/>
      <c r="M100" s="426"/>
      <c r="N100" s="426"/>
      <c r="O100" s="426"/>
      <c r="P100" s="426"/>
      <c r="Q100" s="426"/>
      <c r="R100" s="426"/>
      <c r="S100" s="426"/>
      <c r="T100" s="426"/>
      <c r="U100" s="426"/>
      <c r="V100" s="426"/>
      <c r="W100" s="426"/>
      <c r="X100" s="180" t="s">
        <v>1498</v>
      </c>
    </row>
    <row r="101" spans="2:24" ht="14.25" customHeight="1" x14ac:dyDescent="0.45">
      <c r="B101" s="181"/>
      <c r="C101" s="182"/>
      <c r="D101" s="182"/>
      <c r="E101" s="182"/>
      <c r="F101" s="182"/>
      <c r="G101" s="182"/>
      <c r="H101" s="182"/>
      <c r="I101" s="182"/>
      <c r="J101" s="182"/>
      <c r="K101" s="182"/>
      <c r="L101" s="182"/>
      <c r="M101" s="182"/>
      <c r="N101" s="182"/>
      <c r="O101" s="182"/>
      <c r="P101" s="182"/>
      <c r="Q101" s="182"/>
      <c r="R101" s="182"/>
      <c r="S101" s="182"/>
      <c r="T101" s="182"/>
      <c r="U101" s="182"/>
      <c r="V101" s="182"/>
      <c r="W101" s="183"/>
      <c r="X101" s="427"/>
    </row>
    <row r="102" spans="2:24" x14ac:dyDescent="0.45">
      <c r="B102" s="181"/>
      <c r="C102" s="182"/>
      <c r="D102" s="182"/>
      <c r="E102" s="182"/>
      <c r="F102" s="182"/>
      <c r="G102" s="182"/>
      <c r="H102" s="182"/>
      <c r="I102" s="182"/>
      <c r="J102" s="182"/>
      <c r="K102" s="182"/>
      <c r="L102" s="182"/>
      <c r="M102" s="182"/>
      <c r="N102" s="182"/>
      <c r="O102" s="182"/>
      <c r="P102" s="182"/>
      <c r="Q102" s="182"/>
      <c r="R102" s="182"/>
      <c r="S102" s="182"/>
      <c r="T102" s="182"/>
      <c r="U102" s="182"/>
      <c r="V102" s="182"/>
      <c r="W102" s="183"/>
      <c r="X102" s="427"/>
    </row>
    <row r="103" spans="2:24" x14ac:dyDescent="0.45">
      <c r="B103" s="181"/>
      <c r="C103" s="182"/>
      <c r="D103" s="182"/>
      <c r="E103" s="182"/>
      <c r="F103" s="182"/>
      <c r="G103" s="182"/>
      <c r="H103" s="182"/>
      <c r="I103" s="182"/>
      <c r="J103" s="182"/>
      <c r="K103" s="182"/>
      <c r="L103" s="182"/>
      <c r="M103" s="182"/>
      <c r="N103" s="182"/>
      <c r="O103" s="182"/>
      <c r="P103" s="182"/>
      <c r="Q103" s="182"/>
      <c r="R103" s="182"/>
      <c r="S103" s="182"/>
      <c r="T103" s="182"/>
      <c r="U103" s="182"/>
      <c r="V103" s="182"/>
      <c r="W103" s="183"/>
      <c r="X103" s="427"/>
    </row>
    <row r="104" spans="2:24" x14ac:dyDescent="0.45">
      <c r="B104" s="181"/>
      <c r="C104" s="182"/>
      <c r="D104" s="182"/>
      <c r="E104" s="182"/>
      <c r="F104" s="182"/>
      <c r="G104" s="182"/>
      <c r="H104" s="182"/>
      <c r="I104" s="182"/>
      <c r="J104" s="182"/>
      <c r="K104" s="182"/>
      <c r="L104" s="182"/>
      <c r="M104" s="182"/>
      <c r="N104" s="182"/>
      <c r="O104" s="182"/>
      <c r="P104" s="182"/>
      <c r="Q104" s="182"/>
      <c r="R104" s="182"/>
      <c r="S104" s="182"/>
      <c r="T104" s="182"/>
      <c r="U104" s="182"/>
      <c r="V104" s="182"/>
      <c r="W104" s="183"/>
      <c r="X104" s="427"/>
    </row>
    <row r="105" spans="2:24" x14ac:dyDescent="0.45">
      <c r="B105" s="181"/>
      <c r="C105" s="182"/>
      <c r="D105" s="182"/>
      <c r="E105" s="182"/>
      <c r="F105" s="182"/>
      <c r="G105" s="182"/>
      <c r="H105" s="182"/>
      <c r="I105" s="182"/>
      <c r="J105" s="182"/>
      <c r="K105" s="182"/>
      <c r="L105" s="182"/>
      <c r="M105" s="182"/>
      <c r="N105" s="182"/>
      <c r="O105" s="182"/>
      <c r="P105" s="182"/>
      <c r="Q105" s="182"/>
      <c r="R105" s="182"/>
      <c r="S105" s="182"/>
      <c r="T105" s="182"/>
      <c r="U105" s="182"/>
      <c r="V105" s="182"/>
      <c r="W105" s="183"/>
      <c r="X105" s="427"/>
    </row>
    <row r="106" spans="2:24" x14ac:dyDescent="0.45">
      <c r="B106" s="181"/>
      <c r="C106" s="182"/>
      <c r="D106" s="182"/>
      <c r="E106" s="182"/>
      <c r="F106" s="182"/>
      <c r="G106" s="182"/>
      <c r="H106" s="182"/>
      <c r="I106" s="182"/>
      <c r="J106" s="182"/>
      <c r="K106" s="182"/>
      <c r="L106" s="182"/>
      <c r="M106" s="182"/>
      <c r="N106" s="182"/>
      <c r="O106" s="182"/>
      <c r="P106" s="182"/>
      <c r="Q106" s="182"/>
      <c r="R106" s="182"/>
      <c r="S106" s="182"/>
      <c r="T106" s="182"/>
      <c r="U106" s="182"/>
      <c r="V106" s="182"/>
      <c r="W106" s="183"/>
      <c r="X106" s="427"/>
    </row>
    <row r="107" spans="2:24" x14ac:dyDescent="0.45">
      <c r="B107" s="181"/>
      <c r="C107" s="182"/>
      <c r="D107" s="182"/>
      <c r="E107" s="182"/>
      <c r="F107" s="182"/>
      <c r="G107" s="182"/>
      <c r="H107" s="182"/>
      <c r="I107" s="182"/>
      <c r="J107" s="182"/>
      <c r="K107" s="182"/>
      <c r="L107" s="182"/>
      <c r="M107" s="182"/>
      <c r="N107" s="182"/>
      <c r="O107" s="182"/>
      <c r="P107" s="182"/>
      <c r="Q107" s="182"/>
      <c r="R107" s="182"/>
      <c r="S107" s="182"/>
      <c r="T107" s="182"/>
      <c r="U107" s="182"/>
      <c r="V107" s="182"/>
      <c r="W107" s="183"/>
      <c r="X107" s="427"/>
    </row>
    <row r="108" spans="2:24" x14ac:dyDescent="0.45">
      <c r="B108" s="181"/>
      <c r="C108" s="182"/>
      <c r="D108" s="182"/>
      <c r="E108" s="182"/>
      <c r="F108" s="182"/>
      <c r="G108" s="182"/>
      <c r="H108" s="182"/>
      <c r="I108" s="182"/>
      <c r="J108" s="182"/>
      <c r="K108" s="182"/>
      <c r="L108" s="182"/>
      <c r="M108" s="182"/>
      <c r="N108" s="182"/>
      <c r="O108" s="182"/>
      <c r="P108" s="182"/>
      <c r="Q108" s="182"/>
      <c r="R108" s="182"/>
      <c r="S108" s="182"/>
      <c r="T108" s="182"/>
      <c r="U108" s="182"/>
      <c r="V108" s="182"/>
      <c r="W108" s="183"/>
      <c r="X108" s="427"/>
    </row>
    <row r="109" spans="2:24" x14ac:dyDescent="0.45">
      <c r="B109" s="181"/>
      <c r="C109" s="182"/>
      <c r="D109" s="182"/>
      <c r="E109" s="182"/>
      <c r="F109" s="182"/>
      <c r="G109" s="182"/>
      <c r="H109" s="182"/>
      <c r="I109" s="182"/>
      <c r="J109" s="182"/>
      <c r="K109" s="182"/>
      <c r="L109" s="182"/>
      <c r="M109" s="182"/>
      <c r="N109" s="182"/>
      <c r="O109" s="182"/>
      <c r="P109" s="182"/>
      <c r="Q109" s="182"/>
      <c r="R109" s="182"/>
      <c r="S109" s="182"/>
      <c r="T109" s="182"/>
      <c r="U109" s="182"/>
      <c r="V109" s="182"/>
      <c r="W109" s="183"/>
      <c r="X109" s="427"/>
    </row>
    <row r="110" spans="2:24" x14ac:dyDescent="0.45">
      <c r="B110" s="181"/>
      <c r="C110" s="182"/>
      <c r="D110" s="182"/>
      <c r="E110" s="182"/>
      <c r="F110" s="182"/>
      <c r="G110" s="182"/>
      <c r="H110" s="182"/>
      <c r="I110" s="182"/>
      <c r="J110" s="182"/>
      <c r="K110" s="182"/>
      <c r="L110" s="182"/>
      <c r="M110" s="182"/>
      <c r="N110" s="182"/>
      <c r="O110" s="182"/>
      <c r="P110" s="182"/>
      <c r="Q110" s="182"/>
      <c r="R110" s="182"/>
      <c r="S110" s="182"/>
      <c r="T110" s="182"/>
      <c r="U110" s="182"/>
      <c r="V110" s="182"/>
      <c r="W110" s="183"/>
      <c r="X110" s="427"/>
    </row>
    <row r="111" spans="2:24" x14ac:dyDescent="0.45">
      <c r="B111" s="181"/>
      <c r="C111" s="182"/>
      <c r="D111" s="182"/>
      <c r="E111" s="182"/>
      <c r="F111" s="182"/>
      <c r="G111" s="182"/>
      <c r="H111" s="182"/>
      <c r="I111" s="182"/>
      <c r="J111" s="182"/>
      <c r="K111" s="182"/>
      <c r="L111" s="182"/>
      <c r="M111" s="182"/>
      <c r="N111" s="182"/>
      <c r="O111" s="182"/>
      <c r="P111" s="182"/>
      <c r="Q111" s="182"/>
      <c r="R111" s="182"/>
      <c r="S111" s="182"/>
      <c r="T111" s="182"/>
      <c r="U111" s="182"/>
      <c r="V111" s="182"/>
      <c r="W111" s="183"/>
      <c r="X111" s="427"/>
    </row>
    <row r="112" spans="2:24" x14ac:dyDescent="0.45">
      <c r="B112" s="181"/>
      <c r="C112" s="182"/>
      <c r="D112" s="182"/>
      <c r="E112" s="182"/>
      <c r="F112" s="182"/>
      <c r="G112" s="182"/>
      <c r="H112" s="182"/>
      <c r="I112" s="182"/>
      <c r="J112" s="182"/>
      <c r="K112" s="182"/>
      <c r="L112" s="182"/>
      <c r="M112" s="182"/>
      <c r="N112" s="182"/>
      <c r="O112" s="182"/>
      <c r="P112" s="182"/>
      <c r="Q112" s="182"/>
      <c r="R112" s="182"/>
      <c r="S112" s="182"/>
      <c r="T112" s="182"/>
      <c r="U112" s="182"/>
      <c r="V112" s="182"/>
      <c r="W112" s="183"/>
      <c r="X112" s="427"/>
    </row>
    <row r="113" spans="1:24" x14ac:dyDescent="0.45">
      <c r="B113" s="181"/>
      <c r="C113" s="182"/>
      <c r="D113" s="182"/>
      <c r="E113" s="182"/>
      <c r="F113" s="182"/>
      <c r="G113" s="182"/>
      <c r="H113" s="182"/>
      <c r="I113" s="182"/>
      <c r="J113" s="182"/>
      <c r="K113" s="182"/>
      <c r="L113" s="182"/>
      <c r="M113" s="182"/>
      <c r="N113" s="182"/>
      <c r="O113" s="182"/>
      <c r="P113" s="182"/>
      <c r="Q113" s="182"/>
      <c r="R113" s="182"/>
      <c r="S113" s="182"/>
      <c r="T113" s="182"/>
      <c r="U113" s="182"/>
      <c r="V113" s="182"/>
      <c r="W113" s="183"/>
      <c r="X113" s="427"/>
    </row>
    <row r="114" spans="1:24" x14ac:dyDescent="0.45">
      <c r="B114" s="181"/>
      <c r="C114" s="182"/>
      <c r="D114" s="182"/>
      <c r="E114" s="182"/>
      <c r="F114" s="182"/>
      <c r="G114" s="182"/>
      <c r="H114" s="182"/>
      <c r="I114" s="182"/>
      <c r="J114" s="182"/>
      <c r="K114" s="182"/>
      <c r="L114" s="182"/>
      <c r="M114" s="182"/>
      <c r="N114" s="182"/>
      <c r="O114" s="182"/>
      <c r="P114" s="182"/>
      <c r="Q114" s="182"/>
      <c r="R114" s="182"/>
      <c r="S114" s="182"/>
      <c r="T114" s="182"/>
      <c r="U114" s="182"/>
      <c r="V114" s="182"/>
      <c r="W114" s="183"/>
      <c r="X114" s="427"/>
    </row>
    <row r="115" spans="1:24" x14ac:dyDescent="0.45">
      <c r="B115" s="181"/>
      <c r="C115" s="182"/>
      <c r="D115" s="182"/>
      <c r="E115" s="182"/>
      <c r="F115" s="182"/>
      <c r="G115" s="182"/>
      <c r="H115" s="182"/>
      <c r="I115" s="182"/>
      <c r="J115" s="182"/>
      <c r="K115" s="182"/>
      <c r="L115" s="182"/>
      <c r="M115" s="182"/>
      <c r="N115" s="182"/>
      <c r="O115" s="182"/>
      <c r="P115" s="182"/>
      <c r="Q115" s="182"/>
      <c r="R115" s="182"/>
      <c r="S115" s="182"/>
      <c r="T115" s="182"/>
      <c r="U115" s="182"/>
      <c r="V115" s="182"/>
      <c r="W115" s="183"/>
      <c r="X115" s="427"/>
    </row>
    <row r="116" spans="1:24" x14ac:dyDescent="0.45">
      <c r="B116" s="181"/>
      <c r="C116" s="182"/>
      <c r="D116" s="182"/>
      <c r="E116" s="182"/>
      <c r="F116" s="182"/>
      <c r="G116" s="182"/>
      <c r="H116" s="182"/>
      <c r="I116" s="182"/>
      <c r="J116" s="182"/>
      <c r="K116" s="182"/>
      <c r="L116" s="182"/>
      <c r="M116" s="182"/>
      <c r="N116" s="182"/>
      <c r="O116" s="182"/>
      <c r="P116" s="182"/>
      <c r="Q116" s="182"/>
      <c r="R116" s="182"/>
      <c r="S116" s="182"/>
      <c r="T116" s="182"/>
      <c r="U116" s="182"/>
      <c r="V116" s="182"/>
      <c r="W116" s="183"/>
      <c r="X116" s="427"/>
    </row>
    <row r="117" spans="1:24" x14ac:dyDescent="0.45">
      <c r="B117" s="184"/>
      <c r="C117" s="185" t="s">
        <v>1499</v>
      </c>
      <c r="D117" s="185"/>
      <c r="E117" s="185"/>
      <c r="F117" s="185"/>
      <c r="G117" s="185"/>
      <c r="H117" s="185"/>
      <c r="I117" s="185"/>
      <c r="J117" s="185"/>
      <c r="K117" s="185"/>
      <c r="L117" s="185"/>
      <c r="M117" s="185"/>
      <c r="N117" s="185"/>
      <c r="O117" s="185"/>
      <c r="P117" s="185"/>
      <c r="Q117" s="185"/>
      <c r="R117" s="185"/>
      <c r="S117" s="185"/>
      <c r="T117" s="185"/>
      <c r="U117" s="185"/>
      <c r="V117" s="185"/>
      <c r="W117" s="186"/>
      <c r="X117" s="187"/>
    </row>
    <row r="118" spans="1:24" ht="26.65" x14ac:dyDescent="0.45">
      <c r="B118" s="188" t="s">
        <v>1458</v>
      </c>
      <c r="C118" s="185" t="s">
        <v>1459</v>
      </c>
      <c r="D118" s="185"/>
      <c r="E118" s="185" t="s">
        <v>1500</v>
      </c>
      <c r="F118" s="185"/>
      <c r="G118" s="185" t="s">
        <v>1501</v>
      </c>
      <c r="H118" s="189" t="s">
        <v>1502</v>
      </c>
      <c r="I118" s="185" t="s">
        <v>1503</v>
      </c>
      <c r="J118" s="185" t="s">
        <v>1504</v>
      </c>
      <c r="K118" s="189" t="s">
        <v>1505</v>
      </c>
      <c r="L118" s="189" t="s">
        <v>1504</v>
      </c>
      <c r="M118" s="189"/>
      <c r="N118" s="189" t="s">
        <v>1506</v>
      </c>
      <c r="O118" s="189"/>
      <c r="P118" s="190"/>
      <c r="Q118" s="189"/>
      <c r="R118" s="189"/>
      <c r="S118" s="189"/>
      <c r="T118" s="189" t="s">
        <v>1507</v>
      </c>
      <c r="U118" s="189" t="s">
        <v>27</v>
      </c>
      <c r="V118" s="189" t="s">
        <v>26</v>
      </c>
      <c r="W118" s="191" t="s">
        <v>1508</v>
      </c>
      <c r="X118" s="192"/>
    </row>
    <row r="119" spans="1:24" x14ac:dyDescent="0.45">
      <c r="A119" s="193">
        <v>1</v>
      </c>
      <c r="B119" s="194" t="str">
        <f t="shared" ref="B119:B150" si="15">IF(OR($C$99="",U119=""),"",LEFT($C$99,FIND("_",$C$99)-1))</f>
        <v/>
      </c>
      <c r="C119" s="170" t="str">
        <f t="shared" ref="C119:C150" si="16">IF(OR($C$99="",U119=""),"",$B$99)</f>
        <v/>
      </c>
      <c r="D119" s="170"/>
      <c r="E119" s="195"/>
      <c r="F119" s="195"/>
      <c r="G119" s="196"/>
      <c r="H119" s="197"/>
      <c r="I119" s="197"/>
      <c r="J119" s="197"/>
      <c r="K119" s="197"/>
      <c r="L119" s="197"/>
      <c r="M119" s="198"/>
      <c r="N119" s="198"/>
      <c r="O119" s="198"/>
      <c r="P119" s="199"/>
      <c r="Q119" s="200"/>
      <c r="R119" s="200"/>
      <c r="S119" s="200"/>
      <c r="T119" s="200" t="str">
        <f t="shared" ref="T119:T150" si="17">IF(K119="","",((K119*20)+L119)-((I119*20)+J119))</f>
        <v/>
      </c>
      <c r="U119" s="200"/>
      <c r="V119" s="201" t="str">
        <f t="shared" ref="V119:V150" si="18">IF(U119="","",$V$99)</f>
        <v/>
      </c>
      <c r="W119" s="202">
        <f t="shared" ref="W119:W150" si="19">IF(OR(T119="",U119=""),0,T119*U119)</f>
        <v>0</v>
      </c>
      <c r="X119" s="172"/>
    </row>
    <row r="120" spans="1:24" x14ac:dyDescent="0.45">
      <c r="A120" s="193">
        <v>2</v>
      </c>
      <c r="B120" s="194" t="str">
        <f t="shared" si="15"/>
        <v/>
      </c>
      <c r="C120" s="170" t="str">
        <f t="shared" si="16"/>
        <v/>
      </c>
      <c r="D120" s="170"/>
      <c r="E120" s="195"/>
      <c r="F120" s="195"/>
      <c r="G120" s="196"/>
      <c r="H120" s="197"/>
      <c r="I120" s="197" t="str">
        <f t="shared" ref="I120:I151" si="20">IF(K119="","",K119)</f>
        <v/>
      </c>
      <c r="J120" s="197" t="str">
        <f t="shared" ref="J120:J151" si="21">IF(L119="","",L119)</f>
        <v/>
      </c>
      <c r="K120" s="197"/>
      <c r="L120" s="197"/>
      <c r="M120" s="198"/>
      <c r="N120" s="198"/>
      <c r="O120" s="198"/>
      <c r="P120" s="199"/>
      <c r="Q120" s="200"/>
      <c r="R120" s="200"/>
      <c r="S120" s="200"/>
      <c r="T120" s="200" t="str">
        <f t="shared" si="17"/>
        <v/>
      </c>
      <c r="U120" s="200"/>
      <c r="V120" s="201" t="str">
        <f t="shared" si="18"/>
        <v/>
      </c>
      <c r="W120" s="202">
        <f t="shared" si="19"/>
        <v>0</v>
      </c>
      <c r="X120" s="172"/>
    </row>
    <row r="121" spans="1:24" x14ac:dyDescent="0.45">
      <c r="A121" s="193">
        <v>3</v>
      </c>
      <c r="B121" s="194" t="str">
        <f t="shared" si="15"/>
        <v/>
      </c>
      <c r="C121" s="170" t="str">
        <f t="shared" si="16"/>
        <v/>
      </c>
      <c r="D121" s="170"/>
      <c r="E121" s="195"/>
      <c r="F121" s="195"/>
      <c r="G121" s="196"/>
      <c r="H121" s="197"/>
      <c r="I121" s="197" t="str">
        <f t="shared" si="20"/>
        <v/>
      </c>
      <c r="J121" s="197" t="str">
        <f t="shared" si="21"/>
        <v/>
      </c>
      <c r="K121" s="197"/>
      <c r="L121" s="197"/>
      <c r="M121" s="198"/>
      <c r="N121" s="198"/>
      <c r="O121" s="198"/>
      <c r="P121" s="199"/>
      <c r="Q121" s="200"/>
      <c r="R121" s="200"/>
      <c r="S121" s="200"/>
      <c r="T121" s="200" t="str">
        <f t="shared" si="17"/>
        <v/>
      </c>
      <c r="U121" s="200"/>
      <c r="V121" s="201" t="str">
        <f t="shared" si="18"/>
        <v/>
      </c>
      <c r="W121" s="202">
        <f t="shared" si="19"/>
        <v>0</v>
      </c>
      <c r="X121" s="172"/>
    </row>
    <row r="122" spans="1:24" x14ac:dyDescent="0.45">
      <c r="A122" s="193">
        <v>4</v>
      </c>
      <c r="B122" s="194" t="str">
        <f t="shared" si="15"/>
        <v/>
      </c>
      <c r="C122" s="170" t="str">
        <f t="shared" si="16"/>
        <v/>
      </c>
      <c r="D122" s="170"/>
      <c r="E122" s="195"/>
      <c r="F122" s="195"/>
      <c r="G122" s="196"/>
      <c r="H122" s="197"/>
      <c r="I122" s="197" t="str">
        <f t="shared" si="20"/>
        <v/>
      </c>
      <c r="J122" s="197" t="str">
        <f t="shared" si="21"/>
        <v/>
      </c>
      <c r="K122" s="197"/>
      <c r="L122" s="197"/>
      <c r="M122" s="198"/>
      <c r="N122" s="198"/>
      <c r="O122" s="198"/>
      <c r="P122" s="199"/>
      <c r="Q122" s="200"/>
      <c r="R122" s="200"/>
      <c r="S122" s="200"/>
      <c r="T122" s="200" t="str">
        <f t="shared" si="17"/>
        <v/>
      </c>
      <c r="U122" s="200"/>
      <c r="V122" s="201" t="str">
        <f t="shared" si="18"/>
        <v/>
      </c>
      <c r="W122" s="202">
        <f t="shared" si="19"/>
        <v>0</v>
      </c>
      <c r="X122" s="172"/>
    </row>
    <row r="123" spans="1:24" x14ac:dyDescent="0.45">
      <c r="A123" s="193">
        <v>5</v>
      </c>
      <c r="B123" s="194" t="str">
        <f t="shared" si="15"/>
        <v/>
      </c>
      <c r="C123" s="170" t="str">
        <f t="shared" si="16"/>
        <v/>
      </c>
      <c r="D123" s="170"/>
      <c r="E123" s="195"/>
      <c r="F123" s="195"/>
      <c r="G123" s="196"/>
      <c r="H123" s="197"/>
      <c r="I123" s="197" t="str">
        <f t="shared" si="20"/>
        <v/>
      </c>
      <c r="J123" s="197" t="str">
        <f t="shared" si="21"/>
        <v/>
      </c>
      <c r="K123" s="197"/>
      <c r="L123" s="197"/>
      <c r="M123" s="198"/>
      <c r="N123" s="198"/>
      <c r="O123" s="198"/>
      <c r="P123" s="199"/>
      <c r="Q123" s="200"/>
      <c r="R123" s="200"/>
      <c r="S123" s="200"/>
      <c r="T123" s="200" t="str">
        <f t="shared" si="17"/>
        <v/>
      </c>
      <c r="U123" s="200"/>
      <c r="V123" s="201" t="str">
        <f t="shared" si="18"/>
        <v/>
      </c>
      <c r="W123" s="202">
        <f t="shared" si="19"/>
        <v>0</v>
      </c>
      <c r="X123" s="172"/>
    </row>
    <row r="124" spans="1:24" x14ac:dyDescent="0.45">
      <c r="A124" s="193">
        <v>6</v>
      </c>
      <c r="B124" s="194" t="str">
        <f t="shared" si="15"/>
        <v/>
      </c>
      <c r="C124" s="170" t="str">
        <f t="shared" si="16"/>
        <v/>
      </c>
      <c r="D124" s="170"/>
      <c r="E124" s="195"/>
      <c r="F124" s="195"/>
      <c r="G124" s="196"/>
      <c r="H124" s="197"/>
      <c r="I124" s="197" t="str">
        <f t="shared" si="20"/>
        <v/>
      </c>
      <c r="J124" s="197" t="str">
        <f t="shared" si="21"/>
        <v/>
      </c>
      <c r="K124" s="197"/>
      <c r="L124" s="197"/>
      <c r="M124" s="198"/>
      <c r="N124" s="198"/>
      <c r="O124" s="198"/>
      <c r="P124" s="199"/>
      <c r="Q124" s="200"/>
      <c r="R124" s="200"/>
      <c r="S124" s="200"/>
      <c r="T124" s="200" t="str">
        <f t="shared" si="17"/>
        <v/>
      </c>
      <c r="U124" s="200"/>
      <c r="V124" s="201" t="str">
        <f t="shared" si="18"/>
        <v/>
      </c>
      <c r="W124" s="202">
        <f t="shared" si="19"/>
        <v>0</v>
      </c>
      <c r="X124" s="172"/>
    </row>
    <row r="125" spans="1:24" x14ac:dyDescent="0.45">
      <c r="A125" s="193">
        <v>7</v>
      </c>
      <c r="B125" s="194" t="str">
        <f t="shared" si="15"/>
        <v/>
      </c>
      <c r="C125" s="170" t="str">
        <f t="shared" si="16"/>
        <v/>
      </c>
      <c r="D125" s="170"/>
      <c r="E125" s="195"/>
      <c r="F125" s="195"/>
      <c r="G125" s="196"/>
      <c r="H125" s="197"/>
      <c r="I125" s="197" t="str">
        <f t="shared" si="20"/>
        <v/>
      </c>
      <c r="J125" s="197" t="str">
        <f t="shared" si="21"/>
        <v/>
      </c>
      <c r="K125" s="197"/>
      <c r="L125" s="197"/>
      <c r="M125" s="198"/>
      <c r="N125" s="198"/>
      <c r="O125" s="198"/>
      <c r="P125" s="199"/>
      <c r="Q125" s="200"/>
      <c r="R125" s="200"/>
      <c r="S125" s="200"/>
      <c r="T125" s="200" t="str">
        <f t="shared" si="17"/>
        <v/>
      </c>
      <c r="U125" s="200"/>
      <c r="V125" s="201" t="str">
        <f t="shared" si="18"/>
        <v/>
      </c>
      <c r="W125" s="202">
        <f t="shared" si="19"/>
        <v>0</v>
      </c>
      <c r="X125" s="172"/>
    </row>
    <row r="126" spans="1:24" x14ac:dyDescent="0.45">
      <c r="A126" s="193">
        <v>8</v>
      </c>
      <c r="B126" s="194" t="str">
        <f t="shared" si="15"/>
        <v/>
      </c>
      <c r="C126" s="170" t="str">
        <f t="shared" si="16"/>
        <v/>
      </c>
      <c r="D126" s="170"/>
      <c r="E126" s="195"/>
      <c r="F126" s="195"/>
      <c r="G126" s="196"/>
      <c r="H126" s="197"/>
      <c r="I126" s="197" t="str">
        <f t="shared" si="20"/>
        <v/>
      </c>
      <c r="J126" s="197" t="str">
        <f t="shared" si="21"/>
        <v/>
      </c>
      <c r="K126" s="197"/>
      <c r="L126" s="197"/>
      <c r="M126" s="198"/>
      <c r="N126" s="198"/>
      <c r="O126" s="198"/>
      <c r="P126" s="199"/>
      <c r="Q126" s="200"/>
      <c r="R126" s="200"/>
      <c r="S126" s="200"/>
      <c r="T126" s="200" t="str">
        <f t="shared" si="17"/>
        <v/>
      </c>
      <c r="U126" s="200"/>
      <c r="V126" s="201" t="str">
        <f t="shared" si="18"/>
        <v/>
      </c>
      <c r="W126" s="202">
        <f t="shared" si="19"/>
        <v>0</v>
      </c>
      <c r="X126" s="172"/>
    </row>
    <row r="127" spans="1:24" x14ac:dyDescent="0.45">
      <c r="A127" s="193">
        <v>9</v>
      </c>
      <c r="B127" s="194" t="str">
        <f t="shared" si="15"/>
        <v/>
      </c>
      <c r="C127" s="170" t="str">
        <f t="shared" si="16"/>
        <v/>
      </c>
      <c r="D127" s="170"/>
      <c r="E127" s="195"/>
      <c r="F127" s="195"/>
      <c r="G127" s="196"/>
      <c r="H127" s="197"/>
      <c r="I127" s="197" t="str">
        <f t="shared" si="20"/>
        <v/>
      </c>
      <c r="J127" s="197" t="str">
        <f t="shared" si="21"/>
        <v/>
      </c>
      <c r="K127" s="197"/>
      <c r="L127" s="197"/>
      <c r="M127" s="198"/>
      <c r="N127" s="198"/>
      <c r="O127" s="198"/>
      <c r="P127" s="199"/>
      <c r="Q127" s="200"/>
      <c r="R127" s="200"/>
      <c r="S127" s="200"/>
      <c r="T127" s="200" t="str">
        <f t="shared" si="17"/>
        <v/>
      </c>
      <c r="U127" s="200"/>
      <c r="V127" s="201" t="str">
        <f t="shared" si="18"/>
        <v/>
      </c>
      <c r="W127" s="202">
        <f t="shared" si="19"/>
        <v>0</v>
      </c>
      <c r="X127" s="172"/>
    </row>
    <row r="128" spans="1:24" x14ac:dyDescent="0.45">
      <c r="A128" s="193">
        <v>10</v>
      </c>
      <c r="B128" s="194" t="str">
        <f t="shared" si="15"/>
        <v/>
      </c>
      <c r="C128" s="170" t="str">
        <f t="shared" si="16"/>
        <v/>
      </c>
      <c r="D128" s="170"/>
      <c r="E128" s="195"/>
      <c r="F128" s="195"/>
      <c r="G128" s="196"/>
      <c r="H128" s="197"/>
      <c r="I128" s="197" t="str">
        <f t="shared" si="20"/>
        <v/>
      </c>
      <c r="J128" s="197" t="str">
        <f t="shared" si="21"/>
        <v/>
      </c>
      <c r="K128" s="197"/>
      <c r="L128" s="197"/>
      <c r="M128" s="198"/>
      <c r="N128" s="198"/>
      <c r="O128" s="198"/>
      <c r="P128" s="199"/>
      <c r="Q128" s="200"/>
      <c r="R128" s="200"/>
      <c r="S128" s="200"/>
      <c r="T128" s="200" t="str">
        <f t="shared" si="17"/>
        <v/>
      </c>
      <c r="U128" s="200"/>
      <c r="V128" s="201" t="str">
        <f t="shared" si="18"/>
        <v/>
      </c>
      <c r="W128" s="202">
        <f t="shared" si="19"/>
        <v>0</v>
      </c>
      <c r="X128" s="172"/>
    </row>
    <row r="129" spans="1:24" x14ac:dyDescent="0.45">
      <c r="A129" s="193">
        <v>11</v>
      </c>
      <c r="B129" s="194" t="str">
        <f t="shared" si="15"/>
        <v/>
      </c>
      <c r="C129" s="170" t="str">
        <f t="shared" si="16"/>
        <v/>
      </c>
      <c r="D129" s="170"/>
      <c r="E129" s="195"/>
      <c r="F129" s="195"/>
      <c r="G129" s="196"/>
      <c r="H129" s="197"/>
      <c r="I129" s="197" t="str">
        <f t="shared" si="20"/>
        <v/>
      </c>
      <c r="J129" s="197" t="str">
        <f t="shared" si="21"/>
        <v/>
      </c>
      <c r="K129" s="197"/>
      <c r="L129" s="197"/>
      <c r="M129" s="198"/>
      <c r="N129" s="198"/>
      <c r="O129" s="198"/>
      <c r="P129" s="199"/>
      <c r="Q129" s="200"/>
      <c r="R129" s="200"/>
      <c r="S129" s="200"/>
      <c r="T129" s="200" t="str">
        <f t="shared" si="17"/>
        <v/>
      </c>
      <c r="U129" s="200"/>
      <c r="V129" s="201" t="str">
        <f t="shared" si="18"/>
        <v/>
      </c>
      <c r="W129" s="202">
        <f t="shared" si="19"/>
        <v>0</v>
      </c>
      <c r="X129" s="172"/>
    </row>
    <row r="130" spans="1:24" x14ac:dyDescent="0.45">
      <c r="A130" s="193">
        <v>12</v>
      </c>
      <c r="B130" s="194" t="str">
        <f t="shared" si="15"/>
        <v/>
      </c>
      <c r="C130" s="170" t="str">
        <f t="shared" si="16"/>
        <v/>
      </c>
      <c r="D130" s="170"/>
      <c r="E130" s="195"/>
      <c r="F130" s="195"/>
      <c r="G130" s="196"/>
      <c r="H130" s="197"/>
      <c r="I130" s="197" t="str">
        <f t="shared" si="20"/>
        <v/>
      </c>
      <c r="J130" s="197" t="str">
        <f t="shared" si="21"/>
        <v/>
      </c>
      <c r="K130" s="197"/>
      <c r="L130" s="197"/>
      <c r="M130" s="198"/>
      <c r="N130" s="198"/>
      <c r="O130" s="198"/>
      <c r="P130" s="199"/>
      <c r="Q130" s="200"/>
      <c r="R130" s="200"/>
      <c r="S130" s="200"/>
      <c r="T130" s="200" t="str">
        <f t="shared" si="17"/>
        <v/>
      </c>
      <c r="U130" s="200"/>
      <c r="V130" s="201" t="str">
        <f t="shared" si="18"/>
        <v/>
      </c>
      <c r="W130" s="202">
        <f t="shared" si="19"/>
        <v>0</v>
      </c>
      <c r="X130" s="172"/>
    </row>
    <row r="131" spans="1:24" x14ac:dyDescent="0.45">
      <c r="A131" s="193">
        <v>13</v>
      </c>
      <c r="B131" s="194" t="str">
        <f t="shared" si="15"/>
        <v/>
      </c>
      <c r="C131" s="170" t="str">
        <f t="shared" si="16"/>
        <v/>
      </c>
      <c r="D131" s="170"/>
      <c r="E131" s="195"/>
      <c r="F131" s="195"/>
      <c r="G131" s="196"/>
      <c r="H131" s="197"/>
      <c r="I131" s="197" t="str">
        <f t="shared" si="20"/>
        <v/>
      </c>
      <c r="J131" s="197" t="str">
        <f t="shared" si="21"/>
        <v/>
      </c>
      <c r="K131" s="197"/>
      <c r="L131" s="197"/>
      <c r="M131" s="198"/>
      <c r="N131" s="198"/>
      <c r="O131" s="198"/>
      <c r="P131" s="199"/>
      <c r="Q131" s="200"/>
      <c r="R131" s="200"/>
      <c r="S131" s="200"/>
      <c r="T131" s="200" t="str">
        <f t="shared" si="17"/>
        <v/>
      </c>
      <c r="U131" s="200"/>
      <c r="V131" s="201" t="str">
        <f t="shared" si="18"/>
        <v/>
      </c>
      <c r="W131" s="202">
        <f t="shared" si="19"/>
        <v>0</v>
      </c>
      <c r="X131" s="172"/>
    </row>
    <row r="132" spans="1:24" x14ac:dyDescent="0.45">
      <c r="A132" s="193">
        <v>14</v>
      </c>
      <c r="B132" s="194" t="str">
        <f t="shared" si="15"/>
        <v/>
      </c>
      <c r="C132" s="170" t="str">
        <f t="shared" si="16"/>
        <v/>
      </c>
      <c r="D132" s="170"/>
      <c r="E132" s="195"/>
      <c r="F132" s="195"/>
      <c r="G132" s="196"/>
      <c r="H132" s="197"/>
      <c r="I132" s="197" t="str">
        <f t="shared" si="20"/>
        <v/>
      </c>
      <c r="J132" s="197" t="str">
        <f t="shared" si="21"/>
        <v/>
      </c>
      <c r="K132" s="197"/>
      <c r="L132" s="197"/>
      <c r="M132" s="198"/>
      <c r="N132" s="198"/>
      <c r="O132" s="198"/>
      <c r="P132" s="199"/>
      <c r="Q132" s="200"/>
      <c r="R132" s="200"/>
      <c r="S132" s="200"/>
      <c r="T132" s="200" t="str">
        <f t="shared" si="17"/>
        <v/>
      </c>
      <c r="U132" s="200"/>
      <c r="V132" s="201" t="str">
        <f t="shared" si="18"/>
        <v/>
      </c>
      <c r="W132" s="202">
        <f t="shared" si="19"/>
        <v>0</v>
      </c>
      <c r="X132" s="172"/>
    </row>
    <row r="133" spans="1:24" x14ac:dyDescent="0.45">
      <c r="A133" s="193">
        <v>15</v>
      </c>
      <c r="B133" s="194" t="str">
        <f t="shared" si="15"/>
        <v/>
      </c>
      <c r="C133" s="170" t="str">
        <f t="shared" si="16"/>
        <v/>
      </c>
      <c r="D133" s="170"/>
      <c r="E133" s="195"/>
      <c r="F133" s="195"/>
      <c r="G133" s="196"/>
      <c r="H133" s="197"/>
      <c r="I133" s="197" t="str">
        <f t="shared" si="20"/>
        <v/>
      </c>
      <c r="J133" s="197" t="str">
        <f t="shared" si="21"/>
        <v/>
      </c>
      <c r="K133" s="197"/>
      <c r="L133" s="197"/>
      <c r="M133" s="198"/>
      <c r="N133" s="198"/>
      <c r="O133" s="198"/>
      <c r="P133" s="199"/>
      <c r="Q133" s="200"/>
      <c r="R133" s="200"/>
      <c r="S133" s="200"/>
      <c r="T133" s="200" t="str">
        <f t="shared" si="17"/>
        <v/>
      </c>
      <c r="U133" s="200"/>
      <c r="V133" s="201" t="str">
        <f t="shared" si="18"/>
        <v/>
      </c>
      <c r="W133" s="202">
        <f t="shared" si="19"/>
        <v>0</v>
      </c>
      <c r="X133" s="172"/>
    </row>
    <row r="134" spans="1:24" x14ac:dyDescent="0.45">
      <c r="A134" s="193">
        <v>16</v>
      </c>
      <c r="B134" s="194" t="str">
        <f t="shared" si="15"/>
        <v/>
      </c>
      <c r="C134" s="170" t="str">
        <f t="shared" si="16"/>
        <v/>
      </c>
      <c r="D134" s="170"/>
      <c r="E134" s="195"/>
      <c r="F134" s="195"/>
      <c r="G134" s="196"/>
      <c r="H134" s="197"/>
      <c r="I134" s="197" t="str">
        <f t="shared" si="20"/>
        <v/>
      </c>
      <c r="J134" s="197" t="str">
        <f t="shared" si="21"/>
        <v/>
      </c>
      <c r="K134" s="197"/>
      <c r="L134" s="197"/>
      <c r="M134" s="198"/>
      <c r="N134" s="198"/>
      <c r="O134" s="198"/>
      <c r="P134" s="199"/>
      <c r="Q134" s="200"/>
      <c r="R134" s="200"/>
      <c r="S134" s="200"/>
      <c r="T134" s="200" t="str">
        <f t="shared" si="17"/>
        <v/>
      </c>
      <c r="U134" s="200"/>
      <c r="V134" s="201" t="str">
        <f t="shared" si="18"/>
        <v/>
      </c>
      <c r="W134" s="202">
        <f t="shared" si="19"/>
        <v>0</v>
      </c>
      <c r="X134" s="172"/>
    </row>
    <row r="135" spans="1:24" x14ac:dyDescent="0.45">
      <c r="A135" s="193">
        <v>17</v>
      </c>
      <c r="B135" s="194" t="str">
        <f t="shared" si="15"/>
        <v/>
      </c>
      <c r="C135" s="170" t="str">
        <f t="shared" si="16"/>
        <v/>
      </c>
      <c r="D135" s="170"/>
      <c r="E135" s="195"/>
      <c r="F135" s="195"/>
      <c r="G135" s="196"/>
      <c r="H135" s="197"/>
      <c r="I135" s="197" t="str">
        <f t="shared" si="20"/>
        <v/>
      </c>
      <c r="J135" s="197" t="str">
        <f t="shared" si="21"/>
        <v/>
      </c>
      <c r="K135" s="197"/>
      <c r="L135" s="197"/>
      <c r="M135" s="198"/>
      <c r="N135" s="198"/>
      <c r="O135" s="198"/>
      <c r="P135" s="199"/>
      <c r="Q135" s="200"/>
      <c r="R135" s="200"/>
      <c r="S135" s="200"/>
      <c r="T135" s="200" t="str">
        <f t="shared" si="17"/>
        <v/>
      </c>
      <c r="U135" s="200"/>
      <c r="V135" s="201" t="str">
        <f t="shared" si="18"/>
        <v/>
      </c>
      <c r="W135" s="202">
        <f t="shared" si="19"/>
        <v>0</v>
      </c>
      <c r="X135" s="172"/>
    </row>
    <row r="136" spans="1:24" x14ac:dyDescent="0.45">
      <c r="A136" s="193">
        <v>18</v>
      </c>
      <c r="B136" s="194" t="str">
        <f t="shared" si="15"/>
        <v/>
      </c>
      <c r="C136" s="170" t="str">
        <f t="shared" si="16"/>
        <v/>
      </c>
      <c r="D136" s="170"/>
      <c r="E136" s="195"/>
      <c r="F136" s="195"/>
      <c r="G136" s="196"/>
      <c r="H136" s="197"/>
      <c r="I136" s="197" t="str">
        <f t="shared" si="20"/>
        <v/>
      </c>
      <c r="J136" s="197" t="str">
        <f t="shared" si="21"/>
        <v/>
      </c>
      <c r="K136" s="197"/>
      <c r="L136" s="197"/>
      <c r="M136" s="198"/>
      <c r="N136" s="198"/>
      <c r="O136" s="198"/>
      <c r="P136" s="199"/>
      <c r="Q136" s="200"/>
      <c r="R136" s="200"/>
      <c r="S136" s="200"/>
      <c r="T136" s="200" t="str">
        <f t="shared" si="17"/>
        <v/>
      </c>
      <c r="U136" s="200"/>
      <c r="V136" s="201" t="str">
        <f t="shared" si="18"/>
        <v/>
      </c>
      <c r="W136" s="202">
        <f t="shared" si="19"/>
        <v>0</v>
      </c>
      <c r="X136" s="172"/>
    </row>
    <row r="137" spans="1:24" x14ac:dyDescent="0.45">
      <c r="A137" s="193">
        <v>19</v>
      </c>
      <c r="B137" s="194" t="str">
        <f t="shared" si="15"/>
        <v/>
      </c>
      <c r="C137" s="170" t="str">
        <f t="shared" si="16"/>
        <v/>
      </c>
      <c r="D137" s="170"/>
      <c r="E137" s="195"/>
      <c r="F137" s="195"/>
      <c r="G137" s="196"/>
      <c r="H137" s="197"/>
      <c r="I137" s="197" t="str">
        <f t="shared" si="20"/>
        <v/>
      </c>
      <c r="J137" s="197" t="str">
        <f t="shared" si="21"/>
        <v/>
      </c>
      <c r="K137" s="197"/>
      <c r="L137" s="197"/>
      <c r="M137" s="198"/>
      <c r="N137" s="198"/>
      <c r="O137" s="198"/>
      <c r="P137" s="199"/>
      <c r="Q137" s="200"/>
      <c r="R137" s="200"/>
      <c r="S137" s="200"/>
      <c r="T137" s="200" t="str">
        <f t="shared" si="17"/>
        <v/>
      </c>
      <c r="U137" s="200"/>
      <c r="V137" s="201" t="str">
        <f t="shared" si="18"/>
        <v/>
      </c>
      <c r="W137" s="202">
        <f t="shared" si="19"/>
        <v>0</v>
      </c>
      <c r="X137" s="172"/>
    </row>
    <row r="138" spans="1:24" x14ac:dyDescent="0.45">
      <c r="A138" s="193">
        <v>20</v>
      </c>
      <c r="B138" s="194" t="str">
        <f t="shared" si="15"/>
        <v/>
      </c>
      <c r="C138" s="170" t="str">
        <f t="shared" si="16"/>
        <v/>
      </c>
      <c r="D138" s="170"/>
      <c r="E138" s="195"/>
      <c r="F138" s="195"/>
      <c r="G138" s="196"/>
      <c r="H138" s="197"/>
      <c r="I138" s="197" t="str">
        <f t="shared" si="20"/>
        <v/>
      </c>
      <c r="J138" s="197" t="str">
        <f t="shared" si="21"/>
        <v/>
      </c>
      <c r="K138" s="197"/>
      <c r="L138" s="197"/>
      <c r="M138" s="198"/>
      <c r="N138" s="198"/>
      <c r="O138" s="198"/>
      <c r="P138" s="199"/>
      <c r="Q138" s="200"/>
      <c r="R138" s="200"/>
      <c r="S138" s="200"/>
      <c r="T138" s="200" t="str">
        <f t="shared" si="17"/>
        <v/>
      </c>
      <c r="U138" s="200"/>
      <c r="V138" s="201" t="str">
        <f t="shared" si="18"/>
        <v/>
      </c>
      <c r="W138" s="202">
        <f t="shared" si="19"/>
        <v>0</v>
      </c>
      <c r="X138" s="172"/>
    </row>
    <row r="139" spans="1:24" x14ac:dyDescent="0.45">
      <c r="A139" s="193">
        <v>21</v>
      </c>
      <c r="B139" s="194" t="str">
        <f t="shared" si="15"/>
        <v/>
      </c>
      <c r="C139" s="170" t="str">
        <f t="shared" si="16"/>
        <v/>
      </c>
      <c r="D139" s="170"/>
      <c r="E139" s="195"/>
      <c r="F139" s="195"/>
      <c r="G139" s="196"/>
      <c r="H139" s="197"/>
      <c r="I139" s="197" t="str">
        <f t="shared" si="20"/>
        <v/>
      </c>
      <c r="J139" s="197" t="str">
        <f t="shared" si="21"/>
        <v/>
      </c>
      <c r="K139" s="197"/>
      <c r="L139" s="197"/>
      <c r="M139" s="198"/>
      <c r="N139" s="198"/>
      <c r="O139" s="198"/>
      <c r="P139" s="199"/>
      <c r="Q139" s="200"/>
      <c r="R139" s="200"/>
      <c r="S139" s="200"/>
      <c r="T139" s="200" t="str">
        <f t="shared" si="17"/>
        <v/>
      </c>
      <c r="U139" s="200"/>
      <c r="V139" s="201" t="str">
        <f t="shared" si="18"/>
        <v/>
      </c>
      <c r="W139" s="202">
        <f t="shared" si="19"/>
        <v>0</v>
      </c>
      <c r="X139" s="172"/>
    </row>
    <row r="140" spans="1:24" x14ac:dyDescent="0.45">
      <c r="A140" s="193">
        <v>22</v>
      </c>
      <c r="B140" s="194" t="str">
        <f t="shared" si="15"/>
        <v/>
      </c>
      <c r="C140" s="170" t="str">
        <f t="shared" si="16"/>
        <v/>
      </c>
      <c r="D140" s="170"/>
      <c r="E140" s="195"/>
      <c r="F140" s="170"/>
      <c r="G140" s="170"/>
      <c r="H140" s="203"/>
      <c r="I140" s="197" t="str">
        <f t="shared" si="20"/>
        <v/>
      </c>
      <c r="J140" s="197" t="str">
        <f t="shared" si="21"/>
        <v/>
      </c>
      <c r="K140" s="197"/>
      <c r="L140" s="197"/>
      <c r="M140" s="198"/>
      <c r="N140" s="198"/>
      <c r="O140" s="198"/>
      <c r="P140" s="199"/>
      <c r="Q140" s="200"/>
      <c r="R140" s="200"/>
      <c r="S140" s="200"/>
      <c r="T140" s="200" t="str">
        <f t="shared" si="17"/>
        <v/>
      </c>
      <c r="U140" s="200"/>
      <c r="V140" s="201" t="str">
        <f t="shared" si="18"/>
        <v/>
      </c>
      <c r="W140" s="202">
        <f t="shared" si="19"/>
        <v>0</v>
      </c>
      <c r="X140" s="172"/>
    </row>
    <row r="141" spans="1:24" x14ac:dyDescent="0.45">
      <c r="A141" s="193">
        <v>23</v>
      </c>
      <c r="B141" s="194" t="str">
        <f t="shared" si="15"/>
        <v/>
      </c>
      <c r="C141" s="170" t="str">
        <f t="shared" si="16"/>
        <v/>
      </c>
      <c r="D141" s="170"/>
      <c r="E141" s="195"/>
      <c r="F141" s="170"/>
      <c r="G141" s="170"/>
      <c r="H141" s="203"/>
      <c r="I141" s="197" t="str">
        <f t="shared" si="20"/>
        <v/>
      </c>
      <c r="J141" s="197" t="str">
        <f t="shared" si="21"/>
        <v/>
      </c>
      <c r="K141" s="197"/>
      <c r="L141" s="197"/>
      <c r="M141" s="198"/>
      <c r="N141" s="198"/>
      <c r="O141" s="198"/>
      <c r="P141" s="199"/>
      <c r="Q141" s="200"/>
      <c r="R141" s="200"/>
      <c r="S141" s="200"/>
      <c r="T141" s="200" t="str">
        <f t="shared" si="17"/>
        <v/>
      </c>
      <c r="U141" s="200"/>
      <c r="V141" s="201" t="str">
        <f t="shared" si="18"/>
        <v/>
      </c>
      <c r="W141" s="202">
        <f t="shared" si="19"/>
        <v>0</v>
      </c>
      <c r="X141" s="172"/>
    </row>
    <row r="142" spans="1:24" x14ac:dyDescent="0.45">
      <c r="A142" s="193">
        <v>24</v>
      </c>
      <c r="B142" s="194" t="str">
        <f t="shared" si="15"/>
        <v/>
      </c>
      <c r="C142" s="170" t="str">
        <f t="shared" si="16"/>
        <v/>
      </c>
      <c r="D142" s="170"/>
      <c r="E142" s="195"/>
      <c r="F142" s="170"/>
      <c r="G142" s="170"/>
      <c r="H142" s="203"/>
      <c r="I142" s="197" t="str">
        <f t="shared" si="20"/>
        <v/>
      </c>
      <c r="J142" s="197" t="str">
        <f t="shared" si="21"/>
        <v/>
      </c>
      <c r="K142" s="197"/>
      <c r="L142" s="197"/>
      <c r="M142" s="198"/>
      <c r="N142" s="198"/>
      <c r="O142" s="198"/>
      <c r="P142" s="199"/>
      <c r="Q142" s="200"/>
      <c r="R142" s="200"/>
      <c r="S142" s="200"/>
      <c r="T142" s="200" t="str">
        <f t="shared" si="17"/>
        <v/>
      </c>
      <c r="U142" s="200"/>
      <c r="V142" s="201" t="str">
        <f t="shared" si="18"/>
        <v/>
      </c>
      <c r="W142" s="202">
        <f t="shared" si="19"/>
        <v>0</v>
      </c>
      <c r="X142" s="172"/>
    </row>
    <row r="143" spans="1:24" x14ac:dyDescent="0.45">
      <c r="A143" s="193">
        <v>25</v>
      </c>
      <c r="B143" s="194" t="str">
        <f t="shared" si="15"/>
        <v/>
      </c>
      <c r="C143" s="170" t="str">
        <f t="shared" si="16"/>
        <v/>
      </c>
      <c r="D143" s="170"/>
      <c r="E143" s="195"/>
      <c r="F143" s="170"/>
      <c r="G143" s="170"/>
      <c r="H143" s="203"/>
      <c r="I143" s="197" t="str">
        <f t="shared" si="20"/>
        <v/>
      </c>
      <c r="J143" s="197" t="str">
        <f t="shared" si="21"/>
        <v/>
      </c>
      <c r="K143" s="197"/>
      <c r="L143" s="197"/>
      <c r="M143" s="198"/>
      <c r="N143" s="198"/>
      <c r="O143" s="198"/>
      <c r="P143" s="199"/>
      <c r="Q143" s="200"/>
      <c r="R143" s="200"/>
      <c r="S143" s="200"/>
      <c r="T143" s="200" t="str">
        <f t="shared" si="17"/>
        <v/>
      </c>
      <c r="U143" s="200"/>
      <c r="V143" s="201" t="str">
        <f t="shared" si="18"/>
        <v/>
      </c>
      <c r="W143" s="202">
        <f t="shared" si="19"/>
        <v>0</v>
      </c>
      <c r="X143" s="172"/>
    </row>
    <row r="144" spans="1:24" x14ac:dyDescent="0.45">
      <c r="A144" s="193">
        <v>26</v>
      </c>
      <c r="B144" s="194" t="str">
        <f t="shared" si="15"/>
        <v/>
      </c>
      <c r="C144" s="170" t="str">
        <f t="shared" si="16"/>
        <v/>
      </c>
      <c r="D144" s="170"/>
      <c r="E144" s="195"/>
      <c r="F144" s="170"/>
      <c r="G144" s="170"/>
      <c r="H144" s="203"/>
      <c r="I144" s="197" t="str">
        <f t="shared" si="20"/>
        <v/>
      </c>
      <c r="J144" s="197" t="str">
        <f t="shared" si="21"/>
        <v/>
      </c>
      <c r="K144" s="197"/>
      <c r="L144" s="197"/>
      <c r="M144" s="198"/>
      <c r="N144" s="198"/>
      <c r="O144" s="198"/>
      <c r="P144" s="199"/>
      <c r="Q144" s="200"/>
      <c r="R144" s="200"/>
      <c r="S144" s="200"/>
      <c r="T144" s="200" t="str">
        <f t="shared" si="17"/>
        <v/>
      </c>
      <c r="U144" s="200"/>
      <c r="V144" s="201" t="str">
        <f t="shared" si="18"/>
        <v/>
      </c>
      <c r="W144" s="202">
        <f t="shared" si="19"/>
        <v>0</v>
      </c>
      <c r="X144" s="172"/>
    </row>
    <row r="145" spans="1:24" x14ac:dyDescent="0.45">
      <c r="A145" s="193">
        <v>27</v>
      </c>
      <c r="B145" s="194" t="str">
        <f t="shared" si="15"/>
        <v/>
      </c>
      <c r="C145" s="170" t="str">
        <f t="shared" si="16"/>
        <v/>
      </c>
      <c r="D145" s="170"/>
      <c r="E145" s="195"/>
      <c r="F145" s="170"/>
      <c r="G145" s="170"/>
      <c r="H145" s="203"/>
      <c r="I145" s="197" t="str">
        <f t="shared" si="20"/>
        <v/>
      </c>
      <c r="J145" s="197" t="str">
        <f t="shared" si="21"/>
        <v/>
      </c>
      <c r="K145" s="197"/>
      <c r="L145" s="197"/>
      <c r="M145" s="198"/>
      <c r="N145" s="198"/>
      <c r="O145" s="198"/>
      <c r="P145" s="199"/>
      <c r="Q145" s="200"/>
      <c r="R145" s="200"/>
      <c r="S145" s="200"/>
      <c r="T145" s="200" t="str">
        <f t="shared" si="17"/>
        <v/>
      </c>
      <c r="U145" s="200"/>
      <c r="V145" s="201" t="str">
        <f t="shared" si="18"/>
        <v/>
      </c>
      <c r="W145" s="202">
        <f t="shared" si="19"/>
        <v>0</v>
      </c>
      <c r="X145" s="172"/>
    </row>
    <row r="146" spans="1:24" x14ac:dyDescent="0.45">
      <c r="A146" s="193">
        <v>28</v>
      </c>
      <c r="B146" s="194" t="str">
        <f t="shared" si="15"/>
        <v/>
      </c>
      <c r="C146" s="170" t="str">
        <f t="shared" si="16"/>
        <v/>
      </c>
      <c r="D146" s="170"/>
      <c r="E146" s="195"/>
      <c r="F146" s="170"/>
      <c r="G146" s="170"/>
      <c r="H146" s="203"/>
      <c r="I146" s="197" t="str">
        <f t="shared" si="20"/>
        <v/>
      </c>
      <c r="J146" s="197" t="str">
        <f t="shared" si="21"/>
        <v/>
      </c>
      <c r="K146" s="197"/>
      <c r="L146" s="197"/>
      <c r="M146" s="198"/>
      <c r="N146" s="198"/>
      <c r="O146" s="198"/>
      <c r="P146" s="199"/>
      <c r="Q146" s="200"/>
      <c r="R146" s="200"/>
      <c r="S146" s="200"/>
      <c r="T146" s="200" t="str">
        <f t="shared" si="17"/>
        <v/>
      </c>
      <c r="U146" s="200"/>
      <c r="V146" s="201" t="str">
        <f t="shared" si="18"/>
        <v/>
      </c>
      <c r="W146" s="202">
        <f t="shared" si="19"/>
        <v>0</v>
      </c>
      <c r="X146" s="172"/>
    </row>
    <row r="147" spans="1:24" x14ac:dyDescent="0.45">
      <c r="A147" s="193">
        <v>29</v>
      </c>
      <c r="B147" s="194" t="str">
        <f t="shared" si="15"/>
        <v/>
      </c>
      <c r="C147" s="170" t="str">
        <f t="shared" si="16"/>
        <v/>
      </c>
      <c r="D147" s="170"/>
      <c r="E147" s="195"/>
      <c r="F147" s="170"/>
      <c r="G147" s="170"/>
      <c r="H147" s="203"/>
      <c r="I147" s="197" t="str">
        <f t="shared" si="20"/>
        <v/>
      </c>
      <c r="J147" s="197" t="str">
        <f t="shared" si="21"/>
        <v/>
      </c>
      <c r="K147" s="197"/>
      <c r="L147" s="197"/>
      <c r="M147" s="198"/>
      <c r="N147" s="198"/>
      <c r="O147" s="198"/>
      <c r="P147" s="199"/>
      <c r="Q147" s="200"/>
      <c r="R147" s="200"/>
      <c r="S147" s="200"/>
      <c r="T147" s="200" t="str">
        <f t="shared" si="17"/>
        <v/>
      </c>
      <c r="U147" s="200"/>
      <c r="V147" s="201" t="str">
        <f t="shared" si="18"/>
        <v/>
      </c>
      <c r="W147" s="202">
        <f t="shared" si="19"/>
        <v>0</v>
      </c>
      <c r="X147" s="172"/>
    </row>
    <row r="148" spans="1:24" x14ac:dyDescent="0.45">
      <c r="A148" s="193">
        <v>30</v>
      </c>
      <c r="B148" s="194" t="str">
        <f t="shared" si="15"/>
        <v/>
      </c>
      <c r="C148" s="170" t="str">
        <f t="shared" si="16"/>
        <v/>
      </c>
      <c r="D148" s="170"/>
      <c r="E148" s="195"/>
      <c r="F148" s="170"/>
      <c r="G148" s="170"/>
      <c r="H148" s="203"/>
      <c r="I148" s="197" t="str">
        <f t="shared" si="20"/>
        <v/>
      </c>
      <c r="J148" s="197" t="str">
        <f t="shared" si="21"/>
        <v/>
      </c>
      <c r="K148" s="197"/>
      <c r="L148" s="197"/>
      <c r="M148" s="198"/>
      <c r="N148" s="198"/>
      <c r="O148" s="198"/>
      <c r="P148" s="199"/>
      <c r="Q148" s="200"/>
      <c r="R148" s="200"/>
      <c r="S148" s="200"/>
      <c r="T148" s="200" t="str">
        <f t="shared" si="17"/>
        <v/>
      </c>
      <c r="U148" s="200"/>
      <c r="V148" s="201" t="str">
        <f t="shared" si="18"/>
        <v/>
      </c>
      <c r="W148" s="202">
        <f t="shared" si="19"/>
        <v>0</v>
      </c>
      <c r="X148" s="172"/>
    </row>
    <row r="149" spans="1:24" x14ac:dyDescent="0.45">
      <c r="A149" s="193">
        <v>31</v>
      </c>
      <c r="B149" s="194" t="str">
        <f t="shared" si="15"/>
        <v/>
      </c>
      <c r="C149" s="170" t="str">
        <f t="shared" si="16"/>
        <v/>
      </c>
      <c r="D149" s="170"/>
      <c r="E149" s="195"/>
      <c r="F149" s="170"/>
      <c r="G149" s="170"/>
      <c r="H149" s="203"/>
      <c r="I149" s="197" t="str">
        <f t="shared" si="20"/>
        <v/>
      </c>
      <c r="J149" s="197" t="str">
        <f t="shared" si="21"/>
        <v/>
      </c>
      <c r="K149" s="197"/>
      <c r="L149" s="197"/>
      <c r="M149" s="198"/>
      <c r="N149" s="198"/>
      <c r="O149" s="198"/>
      <c r="P149" s="199"/>
      <c r="Q149" s="200"/>
      <c r="R149" s="200"/>
      <c r="S149" s="200"/>
      <c r="T149" s="200" t="str">
        <f t="shared" si="17"/>
        <v/>
      </c>
      <c r="U149" s="200"/>
      <c r="V149" s="201" t="str">
        <f t="shared" si="18"/>
        <v/>
      </c>
      <c r="W149" s="202">
        <f t="shared" si="19"/>
        <v>0</v>
      </c>
      <c r="X149" s="172"/>
    </row>
    <row r="150" spans="1:24" x14ac:dyDescent="0.45">
      <c r="A150" s="193">
        <v>32</v>
      </c>
      <c r="B150" s="194" t="str">
        <f t="shared" si="15"/>
        <v/>
      </c>
      <c r="C150" s="170" t="str">
        <f t="shared" si="16"/>
        <v/>
      </c>
      <c r="D150" s="170"/>
      <c r="E150" s="195"/>
      <c r="F150" s="170"/>
      <c r="G150" s="170"/>
      <c r="H150" s="203"/>
      <c r="I150" s="197" t="str">
        <f t="shared" si="20"/>
        <v/>
      </c>
      <c r="J150" s="197" t="str">
        <f t="shared" si="21"/>
        <v/>
      </c>
      <c r="K150" s="197"/>
      <c r="L150" s="197"/>
      <c r="M150" s="198"/>
      <c r="N150" s="198"/>
      <c r="O150" s="198"/>
      <c r="P150" s="199"/>
      <c r="Q150" s="200"/>
      <c r="R150" s="200"/>
      <c r="S150" s="200"/>
      <c r="T150" s="200" t="str">
        <f t="shared" si="17"/>
        <v/>
      </c>
      <c r="U150" s="200"/>
      <c r="V150" s="201" t="str">
        <f t="shared" si="18"/>
        <v/>
      </c>
      <c r="W150" s="202">
        <f t="shared" si="19"/>
        <v>0</v>
      </c>
      <c r="X150" s="172"/>
    </row>
    <row r="151" spans="1:24" x14ac:dyDescent="0.45">
      <c r="A151" s="193">
        <v>33</v>
      </c>
      <c r="B151" s="194" t="str">
        <f t="shared" ref="B151:B184" si="22">IF(OR($C$99="",U151=""),"",LEFT($C$99,FIND("_",$C$99)-1))</f>
        <v/>
      </c>
      <c r="C151" s="170" t="str">
        <f t="shared" ref="C151:C184" si="23">IF(OR($C$99="",U151=""),"",$B$99)</f>
        <v/>
      </c>
      <c r="D151" s="170"/>
      <c r="E151" s="195"/>
      <c r="F151" s="170"/>
      <c r="G151" s="170"/>
      <c r="H151" s="203"/>
      <c r="I151" s="197" t="str">
        <f t="shared" si="20"/>
        <v/>
      </c>
      <c r="J151" s="197" t="str">
        <f t="shared" si="21"/>
        <v/>
      </c>
      <c r="K151" s="197"/>
      <c r="L151" s="197"/>
      <c r="M151" s="198"/>
      <c r="N151" s="198"/>
      <c r="O151" s="198"/>
      <c r="P151" s="199"/>
      <c r="Q151" s="200"/>
      <c r="R151" s="200"/>
      <c r="S151" s="200"/>
      <c r="T151" s="200" t="str">
        <f t="shared" ref="T151:T184" si="24">IF(K151="","",((K151*20)+L151)-((I151*20)+J151))</f>
        <v/>
      </c>
      <c r="U151" s="200"/>
      <c r="V151" s="201" t="str">
        <f t="shared" ref="V151:V182" si="25">IF(U151="","",$V$99)</f>
        <v/>
      </c>
      <c r="W151" s="202">
        <f t="shared" ref="W151:W184" si="26">IF(OR(T151="",U151=""),0,T151*U151)</f>
        <v>0</v>
      </c>
      <c r="X151" s="172"/>
    </row>
    <row r="152" spans="1:24" x14ac:dyDescent="0.45">
      <c r="A152" s="193">
        <v>34</v>
      </c>
      <c r="B152" s="194" t="str">
        <f t="shared" si="22"/>
        <v/>
      </c>
      <c r="C152" s="170" t="str">
        <f t="shared" si="23"/>
        <v/>
      </c>
      <c r="D152" s="170"/>
      <c r="E152" s="195"/>
      <c r="F152" s="170"/>
      <c r="G152" s="170"/>
      <c r="H152" s="203"/>
      <c r="I152" s="197" t="str">
        <f t="shared" ref="I152:I184" si="27">IF(K151="","",K151)</f>
        <v/>
      </c>
      <c r="J152" s="197" t="str">
        <f t="shared" ref="J152:J184" si="28">IF(L151="","",L151)</f>
        <v/>
      </c>
      <c r="K152" s="197"/>
      <c r="L152" s="197"/>
      <c r="M152" s="198"/>
      <c r="N152" s="198"/>
      <c r="O152" s="198"/>
      <c r="P152" s="199"/>
      <c r="Q152" s="200"/>
      <c r="R152" s="200"/>
      <c r="S152" s="200"/>
      <c r="T152" s="200" t="str">
        <f t="shared" si="24"/>
        <v/>
      </c>
      <c r="U152" s="200"/>
      <c r="V152" s="201" t="str">
        <f t="shared" si="25"/>
        <v/>
      </c>
      <c r="W152" s="202">
        <f t="shared" si="26"/>
        <v>0</v>
      </c>
      <c r="X152" s="172"/>
    </row>
    <row r="153" spans="1:24" x14ac:dyDescent="0.45">
      <c r="A153" s="193">
        <v>35</v>
      </c>
      <c r="B153" s="194" t="str">
        <f t="shared" si="22"/>
        <v/>
      </c>
      <c r="C153" s="170" t="str">
        <f t="shared" si="23"/>
        <v/>
      </c>
      <c r="D153" s="170"/>
      <c r="E153" s="195"/>
      <c r="F153" s="170"/>
      <c r="G153" s="170"/>
      <c r="H153" s="203"/>
      <c r="I153" s="197" t="str">
        <f t="shared" si="27"/>
        <v/>
      </c>
      <c r="J153" s="197" t="str">
        <f t="shared" si="28"/>
        <v/>
      </c>
      <c r="K153" s="197"/>
      <c r="L153" s="197"/>
      <c r="M153" s="198"/>
      <c r="N153" s="198"/>
      <c r="O153" s="198"/>
      <c r="P153" s="199"/>
      <c r="Q153" s="200"/>
      <c r="R153" s="200"/>
      <c r="S153" s="200"/>
      <c r="T153" s="200" t="str">
        <f t="shared" si="24"/>
        <v/>
      </c>
      <c r="U153" s="200"/>
      <c r="V153" s="201" t="str">
        <f t="shared" si="25"/>
        <v/>
      </c>
      <c r="W153" s="202">
        <f t="shared" si="26"/>
        <v>0</v>
      </c>
      <c r="X153" s="172"/>
    </row>
    <row r="154" spans="1:24" x14ac:dyDescent="0.45">
      <c r="A154" s="193">
        <v>36</v>
      </c>
      <c r="B154" s="194" t="str">
        <f t="shared" si="22"/>
        <v/>
      </c>
      <c r="C154" s="170" t="str">
        <f t="shared" si="23"/>
        <v/>
      </c>
      <c r="D154" s="170"/>
      <c r="E154" s="195"/>
      <c r="F154" s="170"/>
      <c r="G154" s="170"/>
      <c r="H154" s="203"/>
      <c r="I154" s="197" t="str">
        <f t="shared" si="27"/>
        <v/>
      </c>
      <c r="J154" s="197" t="str">
        <f t="shared" si="28"/>
        <v/>
      </c>
      <c r="K154" s="197"/>
      <c r="L154" s="197"/>
      <c r="M154" s="198"/>
      <c r="N154" s="198"/>
      <c r="O154" s="198"/>
      <c r="P154" s="199"/>
      <c r="Q154" s="200"/>
      <c r="R154" s="200"/>
      <c r="S154" s="200"/>
      <c r="T154" s="200" t="str">
        <f t="shared" si="24"/>
        <v/>
      </c>
      <c r="U154" s="200"/>
      <c r="V154" s="201" t="str">
        <f t="shared" si="25"/>
        <v/>
      </c>
      <c r="W154" s="202">
        <f t="shared" si="26"/>
        <v>0</v>
      </c>
      <c r="X154" s="172"/>
    </row>
    <row r="155" spans="1:24" x14ac:dyDescent="0.45">
      <c r="A155" s="193">
        <v>37</v>
      </c>
      <c r="B155" s="194" t="str">
        <f t="shared" si="22"/>
        <v/>
      </c>
      <c r="C155" s="170" t="str">
        <f t="shared" si="23"/>
        <v/>
      </c>
      <c r="D155" s="170"/>
      <c r="E155" s="195"/>
      <c r="F155" s="170"/>
      <c r="G155" s="170"/>
      <c r="H155" s="203"/>
      <c r="I155" s="197" t="str">
        <f t="shared" si="27"/>
        <v/>
      </c>
      <c r="J155" s="197" t="str">
        <f t="shared" si="28"/>
        <v/>
      </c>
      <c r="K155" s="197"/>
      <c r="L155" s="197"/>
      <c r="M155" s="198"/>
      <c r="N155" s="198"/>
      <c r="O155" s="198"/>
      <c r="P155" s="199"/>
      <c r="Q155" s="200"/>
      <c r="R155" s="200"/>
      <c r="S155" s="200"/>
      <c r="T155" s="200" t="str">
        <f t="shared" si="24"/>
        <v/>
      </c>
      <c r="U155" s="200"/>
      <c r="V155" s="201" t="str">
        <f t="shared" si="25"/>
        <v/>
      </c>
      <c r="W155" s="202">
        <f t="shared" si="26"/>
        <v>0</v>
      </c>
      <c r="X155" s="172"/>
    </row>
    <row r="156" spans="1:24" x14ac:dyDescent="0.45">
      <c r="A156" s="193">
        <v>38</v>
      </c>
      <c r="B156" s="194" t="str">
        <f t="shared" si="22"/>
        <v/>
      </c>
      <c r="C156" s="170" t="str">
        <f t="shared" si="23"/>
        <v/>
      </c>
      <c r="D156" s="170"/>
      <c r="E156" s="195"/>
      <c r="F156" s="170"/>
      <c r="G156" s="170"/>
      <c r="H156" s="203"/>
      <c r="I156" s="197" t="str">
        <f t="shared" si="27"/>
        <v/>
      </c>
      <c r="J156" s="197" t="str">
        <f t="shared" si="28"/>
        <v/>
      </c>
      <c r="K156" s="197"/>
      <c r="L156" s="197"/>
      <c r="M156" s="198"/>
      <c r="N156" s="198"/>
      <c r="O156" s="198"/>
      <c r="P156" s="199"/>
      <c r="Q156" s="200"/>
      <c r="R156" s="200"/>
      <c r="S156" s="200"/>
      <c r="T156" s="200" t="str">
        <f t="shared" si="24"/>
        <v/>
      </c>
      <c r="U156" s="200"/>
      <c r="V156" s="201" t="str">
        <f t="shared" si="25"/>
        <v/>
      </c>
      <c r="W156" s="202">
        <f t="shared" si="26"/>
        <v>0</v>
      </c>
      <c r="X156" s="172"/>
    </row>
    <row r="157" spans="1:24" x14ac:dyDescent="0.45">
      <c r="A157" s="193">
        <v>39</v>
      </c>
      <c r="B157" s="194" t="str">
        <f t="shared" si="22"/>
        <v/>
      </c>
      <c r="C157" s="170" t="str">
        <f t="shared" si="23"/>
        <v/>
      </c>
      <c r="D157" s="170"/>
      <c r="E157" s="195"/>
      <c r="F157" s="170"/>
      <c r="G157" s="170"/>
      <c r="H157" s="203"/>
      <c r="I157" s="197" t="str">
        <f t="shared" si="27"/>
        <v/>
      </c>
      <c r="J157" s="197" t="str">
        <f t="shared" si="28"/>
        <v/>
      </c>
      <c r="K157" s="197"/>
      <c r="L157" s="197"/>
      <c r="M157" s="198"/>
      <c r="N157" s="198"/>
      <c r="O157" s="198"/>
      <c r="P157" s="199"/>
      <c r="Q157" s="200"/>
      <c r="R157" s="200"/>
      <c r="S157" s="200"/>
      <c r="T157" s="200" t="str">
        <f t="shared" si="24"/>
        <v/>
      </c>
      <c r="U157" s="200"/>
      <c r="V157" s="201" t="str">
        <f t="shared" si="25"/>
        <v/>
      </c>
      <c r="W157" s="202">
        <f t="shared" si="26"/>
        <v>0</v>
      </c>
      <c r="X157" s="172"/>
    </row>
    <row r="158" spans="1:24" x14ac:dyDescent="0.45">
      <c r="A158" s="193">
        <v>40</v>
      </c>
      <c r="B158" s="194" t="str">
        <f t="shared" si="22"/>
        <v/>
      </c>
      <c r="C158" s="170" t="str">
        <f t="shared" si="23"/>
        <v/>
      </c>
      <c r="D158" s="170"/>
      <c r="E158" s="195"/>
      <c r="F158" s="170"/>
      <c r="G158" s="170"/>
      <c r="H158" s="203"/>
      <c r="I158" s="197" t="str">
        <f t="shared" si="27"/>
        <v/>
      </c>
      <c r="J158" s="197" t="str">
        <f t="shared" si="28"/>
        <v/>
      </c>
      <c r="K158" s="197"/>
      <c r="L158" s="197"/>
      <c r="M158" s="198"/>
      <c r="N158" s="198"/>
      <c r="O158" s="198"/>
      <c r="P158" s="199"/>
      <c r="Q158" s="200"/>
      <c r="R158" s="200"/>
      <c r="S158" s="200"/>
      <c r="T158" s="200" t="str">
        <f t="shared" si="24"/>
        <v/>
      </c>
      <c r="U158" s="200"/>
      <c r="V158" s="201" t="str">
        <f t="shared" si="25"/>
        <v/>
      </c>
      <c r="W158" s="202">
        <f t="shared" si="26"/>
        <v>0</v>
      </c>
      <c r="X158" s="172"/>
    </row>
    <row r="159" spans="1:24" x14ac:dyDescent="0.45">
      <c r="A159" s="193">
        <v>41</v>
      </c>
      <c r="B159" s="194" t="str">
        <f t="shared" si="22"/>
        <v/>
      </c>
      <c r="C159" s="170" t="str">
        <f t="shared" si="23"/>
        <v/>
      </c>
      <c r="D159" s="170"/>
      <c r="E159" s="195"/>
      <c r="F159" s="170"/>
      <c r="G159" s="170"/>
      <c r="H159" s="203"/>
      <c r="I159" s="197" t="str">
        <f t="shared" si="27"/>
        <v/>
      </c>
      <c r="J159" s="197" t="str">
        <f t="shared" si="28"/>
        <v/>
      </c>
      <c r="K159" s="197"/>
      <c r="L159" s="197"/>
      <c r="M159" s="198"/>
      <c r="N159" s="198"/>
      <c r="O159" s="198"/>
      <c r="P159" s="199"/>
      <c r="Q159" s="200"/>
      <c r="R159" s="200"/>
      <c r="S159" s="200"/>
      <c r="T159" s="200" t="str">
        <f t="shared" si="24"/>
        <v/>
      </c>
      <c r="U159" s="200"/>
      <c r="V159" s="201" t="str">
        <f t="shared" si="25"/>
        <v/>
      </c>
      <c r="W159" s="202">
        <f t="shared" si="26"/>
        <v>0</v>
      </c>
      <c r="X159" s="172"/>
    </row>
    <row r="160" spans="1:24" x14ac:dyDescent="0.45">
      <c r="A160" s="193">
        <v>42</v>
      </c>
      <c r="B160" s="194" t="str">
        <f t="shared" si="22"/>
        <v/>
      </c>
      <c r="C160" s="170" t="str">
        <f t="shared" si="23"/>
        <v/>
      </c>
      <c r="D160" s="170"/>
      <c r="E160" s="195"/>
      <c r="F160" s="170"/>
      <c r="G160" s="170"/>
      <c r="H160" s="203"/>
      <c r="I160" s="197" t="str">
        <f t="shared" si="27"/>
        <v/>
      </c>
      <c r="J160" s="197" t="str">
        <f t="shared" si="28"/>
        <v/>
      </c>
      <c r="K160" s="197"/>
      <c r="L160" s="197"/>
      <c r="M160" s="198"/>
      <c r="N160" s="198"/>
      <c r="O160" s="198"/>
      <c r="P160" s="199"/>
      <c r="Q160" s="200"/>
      <c r="R160" s="200"/>
      <c r="S160" s="200"/>
      <c r="T160" s="200" t="str">
        <f t="shared" si="24"/>
        <v/>
      </c>
      <c r="U160" s="200"/>
      <c r="V160" s="201" t="str">
        <f t="shared" si="25"/>
        <v/>
      </c>
      <c r="W160" s="202">
        <f t="shared" si="26"/>
        <v>0</v>
      </c>
      <c r="X160" s="172"/>
    </row>
    <row r="161" spans="1:24" x14ac:dyDescent="0.45">
      <c r="A161" s="193">
        <v>43</v>
      </c>
      <c r="B161" s="194" t="str">
        <f t="shared" si="22"/>
        <v/>
      </c>
      <c r="C161" s="170" t="str">
        <f t="shared" si="23"/>
        <v/>
      </c>
      <c r="D161" s="170"/>
      <c r="E161" s="195"/>
      <c r="F161" s="170"/>
      <c r="G161" s="170"/>
      <c r="H161" s="203"/>
      <c r="I161" s="197" t="str">
        <f t="shared" si="27"/>
        <v/>
      </c>
      <c r="J161" s="197" t="str">
        <f t="shared" si="28"/>
        <v/>
      </c>
      <c r="K161" s="197"/>
      <c r="L161" s="197"/>
      <c r="M161" s="198"/>
      <c r="N161" s="198"/>
      <c r="O161" s="198"/>
      <c r="P161" s="199"/>
      <c r="Q161" s="200"/>
      <c r="R161" s="200"/>
      <c r="S161" s="200"/>
      <c r="T161" s="200" t="str">
        <f t="shared" si="24"/>
        <v/>
      </c>
      <c r="U161" s="200"/>
      <c r="V161" s="201" t="str">
        <f t="shared" si="25"/>
        <v/>
      </c>
      <c r="W161" s="202">
        <f t="shared" si="26"/>
        <v>0</v>
      </c>
      <c r="X161" s="172"/>
    </row>
    <row r="162" spans="1:24" x14ac:dyDescent="0.45">
      <c r="A162" s="193">
        <v>44</v>
      </c>
      <c r="B162" s="194" t="str">
        <f t="shared" si="22"/>
        <v/>
      </c>
      <c r="C162" s="170" t="str">
        <f t="shared" si="23"/>
        <v/>
      </c>
      <c r="D162" s="170"/>
      <c r="E162" s="195"/>
      <c r="F162" s="170"/>
      <c r="G162" s="170"/>
      <c r="H162" s="203"/>
      <c r="I162" s="197" t="str">
        <f t="shared" si="27"/>
        <v/>
      </c>
      <c r="J162" s="197" t="str">
        <f t="shared" si="28"/>
        <v/>
      </c>
      <c r="K162" s="197"/>
      <c r="L162" s="197"/>
      <c r="M162" s="198"/>
      <c r="N162" s="198"/>
      <c r="O162" s="198"/>
      <c r="P162" s="199"/>
      <c r="Q162" s="200"/>
      <c r="R162" s="200"/>
      <c r="S162" s="200"/>
      <c r="T162" s="200" t="str">
        <f t="shared" si="24"/>
        <v/>
      </c>
      <c r="U162" s="200"/>
      <c r="V162" s="201" t="str">
        <f t="shared" si="25"/>
        <v/>
      </c>
      <c r="W162" s="202">
        <f t="shared" si="26"/>
        <v>0</v>
      </c>
      <c r="X162" s="172"/>
    </row>
    <row r="163" spans="1:24" x14ac:dyDescent="0.45">
      <c r="A163" s="193">
        <v>45</v>
      </c>
      <c r="B163" s="194" t="str">
        <f t="shared" si="22"/>
        <v/>
      </c>
      <c r="C163" s="170" t="str">
        <f t="shared" si="23"/>
        <v/>
      </c>
      <c r="D163" s="170"/>
      <c r="E163" s="195"/>
      <c r="F163" s="170"/>
      <c r="G163" s="170"/>
      <c r="H163" s="203"/>
      <c r="I163" s="197" t="str">
        <f t="shared" si="27"/>
        <v/>
      </c>
      <c r="J163" s="197" t="str">
        <f t="shared" si="28"/>
        <v/>
      </c>
      <c r="K163" s="197"/>
      <c r="L163" s="197"/>
      <c r="M163" s="198"/>
      <c r="N163" s="198"/>
      <c r="O163" s="198"/>
      <c r="P163" s="199"/>
      <c r="Q163" s="200"/>
      <c r="R163" s="200"/>
      <c r="S163" s="200"/>
      <c r="T163" s="200" t="str">
        <f t="shared" si="24"/>
        <v/>
      </c>
      <c r="U163" s="200"/>
      <c r="V163" s="201" t="str">
        <f t="shared" si="25"/>
        <v/>
      </c>
      <c r="W163" s="202">
        <f t="shared" si="26"/>
        <v>0</v>
      </c>
      <c r="X163" s="172"/>
    </row>
    <row r="164" spans="1:24" x14ac:dyDescent="0.45">
      <c r="A164" s="193">
        <v>46</v>
      </c>
      <c r="B164" s="194" t="str">
        <f t="shared" si="22"/>
        <v/>
      </c>
      <c r="C164" s="170" t="str">
        <f t="shared" si="23"/>
        <v/>
      </c>
      <c r="D164" s="170"/>
      <c r="E164" s="195"/>
      <c r="F164" s="170"/>
      <c r="G164" s="170"/>
      <c r="H164" s="203"/>
      <c r="I164" s="197" t="str">
        <f t="shared" si="27"/>
        <v/>
      </c>
      <c r="J164" s="197" t="str">
        <f t="shared" si="28"/>
        <v/>
      </c>
      <c r="K164" s="197"/>
      <c r="L164" s="197"/>
      <c r="M164" s="198"/>
      <c r="N164" s="198"/>
      <c r="O164" s="198"/>
      <c r="P164" s="199"/>
      <c r="Q164" s="200"/>
      <c r="R164" s="200"/>
      <c r="S164" s="200"/>
      <c r="T164" s="200" t="str">
        <f t="shared" si="24"/>
        <v/>
      </c>
      <c r="U164" s="200"/>
      <c r="V164" s="201" t="str">
        <f t="shared" si="25"/>
        <v/>
      </c>
      <c r="W164" s="202">
        <f t="shared" si="26"/>
        <v>0</v>
      </c>
      <c r="X164" s="172"/>
    </row>
    <row r="165" spans="1:24" x14ac:dyDescent="0.45">
      <c r="A165" s="193">
        <v>47</v>
      </c>
      <c r="B165" s="194" t="str">
        <f t="shared" si="22"/>
        <v/>
      </c>
      <c r="C165" s="170" t="str">
        <f t="shared" si="23"/>
        <v/>
      </c>
      <c r="D165" s="170"/>
      <c r="E165" s="195"/>
      <c r="F165" s="170"/>
      <c r="G165" s="170"/>
      <c r="H165" s="203"/>
      <c r="I165" s="197" t="str">
        <f t="shared" si="27"/>
        <v/>
      </c>
      <c r="J165" s="197" t="str">
        <f t="shared" si="28"/>
        <v/>
      </c>
      <c r="K165" s="197"/>
      <c r="L165" s="197"/>
      <c r="M165" s="198"/>
      <c r="N165" s="198"/>
      <c r="O165" s="198"/>
      <c r="P165" s="199"/>
      <c r="Q165" s="200"/>
      <c r="R165" s="200"/>
      <c r="S165" s="200"/>
      <c r="T165" s="200" t="str">
        <f t="shared" si="24"/>
        <v/>
      </c>
      <c r="U165" s="200"/>
      <c r="V165" s="201" t="str">
        <f t="shared" si="25"/>
        <v/>
      </c>
      <c r="W165" s="202">
        <f t="shared" si="26"/>
        <v>0</v>
      </c>
      <c r="X165" s="172"/>
    </row>
    <row r="166" spans="1:24" x14ac:dyDescent="0.45">
      <c r="A166" s="193">
        <v>48</v>
      </c>
      <c r="B166" s="194" t="str">
        <f t="shared" si="22"/>
        <v/>
      </c>
      <c r="C166" s="170" t="str">
        <f t="shared" si="23"/>
        <v/>
      </c>
      <c r="D166" s="170"/>
      <c r="E166" s="195"/>
      <c r="F166" s="170"/>
      <c r="G166" s="170"/>
      <c r="H166" s="203"/>
      <c r="I166" s="197" t="str">
        <f t="shared" si="27"/>
        <v/>
      </c>
      <c r="J166" s="197" t="str">
        <f t="shared" si="28"/>
        <v/>
      </c>
      <c r="K166" s="197"/>
      <c r="L166" s="197"/>
      <c r="M166" s="198"/>
      <c r="N166" s="198"/>
      <c r="O166" s="198"/>
      <c r="P166" s="199"/>
      <c r="Q166" s="200"/>
      <c r="R166" s="200"/>
      <c r="S166" s="200"/>
      <c r="T166" s="200" t="str">
        <f t="shared" si="24"/>
        <v/>
      </c>
      <c r="U166" s="200"/>
      <c r="V166" s="201" t="str">
        <f t="shared" si="25"/>
        <v/>
      </c>
      <c r="W166" s="202">
        <f t="shared" si="26"/>
        <v>0</v>
      </c>
      <c r="X166" s="172"/>
    </row>
    <row r="167" spans="1:24" x14ac:dyDescent="0.45">
      <c r="A167" s="193">
        <v>49</v>
      </c>
      <c r="B167" s="194" t="str">
        <f t="shared" si="22"/>
        <v/>
      </c>
      <c r="C167" s="170" t="str">
        <f t="shared" si="23"/>
        <v/>
      </c>
      <c r="D167" s="170"/>
      <c r="E167" s="195"/>
      <c r="F167" s="170"/>
      <c r="G167" s="170"/>
      <c r="H167" s="203"/>
      <c r="I167" s="197" t="str">
        <f t="shared" si="27"/>
        <v/>
      </c>
      <c r="J167" s="197" t="str">
        <f t="shared" si="28"/>
        <v/>
      </c>
      <c r="K167" s="197"/>
      <c r="L167" s="197"/>
      <c r="M167" s="198"/>
      <c r="N167" s="198"/>
      <c r="O167" s="198"/>
      <c r="P167" s="199"/>
      <c r="Q167" s="200"/>
      <c r="R167" s="200"/>
      <c r="S167" s="200"/>
      <c r="T167" s="200" t="str">
        <f t="shared" si="24"/>
        <v/>
      </c>
      <c r="U167" s="200"/>
      <c r="V167" s="201" t="str">
        <f t="shared" si="25"/>
        <v/>
      </c>
      <c r="W167" s="202">
        <f t="shared" si="26"/>
        <v>0</v>
      </c>
      <c r="X167" s="172"/>
    </row>
    <row r="168" spans="1:24" x14ac:dyDescent="0.45">
      <c r="A168" s="193">
        <v>50</v>
      </c>
      <c r="B168" s="194" t="str">
        <f t="shared" si="22"/>
        <v/>
      </c>
      <c r="C168" s="170" t="str">
        <f t="shared" si="23"/>
        <v/>
      </c>
      <c r="D168" s="170"/>
      <c r="E168" s="195"/>
      <c r="F168" s="170"/>
      <c r="G168" s="170"/>
      <c r="H168" s="203"/>
      <c r="I168" s="197" t="str">
        <f t="shared" si="27"/>
        <v/>
      </c>
      <c r="J168" s="197" t="str">
        <f t="shared" si="28"/>
        <v/>
      </c>
      <c r="K168" s="197"/>
      <c r="L168" s="197"/>
      <c r="M168" s="198"/>
      <c r="N168" s="198"/>
      <c r="O168" s="198"/>
      <c r="P168" s="199"/>
      <c r="Q168" s="200"/>
      <c r="R168" s="200"/>
      <c r="S168" s="200"/>
      <c r="T168" s="200" t="str">
        <f t="shared" si="24"/>
        <v/>
      </c>
      <c r="U168" s="200"/>
      <c r="V168" s="201" t="str">
        <f t="shared" si="25"/>
        <v/>
      </c>
      <c r="W168" s="202">
        <f t="shared" si="26"/>
        <v>0</v>
      </c>
      <c r="X168" s="172"/>
    </row>
    <row r="169" spans="1:24" x14ac:dyDescent="0.45">
      <c r="A169" s="193">
        <v>51</v>
      </c>
      <c r="B169" s="194" t="str">
        <f t="shared" si="22"/>
        <v/>
      </c>
      <c r="C169" s="170" t="str">
        <f t="shared" si="23"/>
        <v/>
      </c>
      <c r="D169" s="170"/>
      <c r="E169" s="195"/>
      <c r="F169" s="170"/>
      <c r="G169" s="170"/>
      <c r="H169" s="203"/>
      <c r="I169" s="197" t="str">
        <f t="shared" si="27"/>
        <v/>
      </c>
      <c r="J169" s="197" t="str">
        <f t="shared" si="28"/>
        <v/>
      </c>
      <c r="K169" s="197"/>
      <c r="L169" s="197"/>
      <c r="M169" s="198"/>
      <c r="N169" s="198"/>
      <c r="O169" s="198"/>
      <c r="P169" s="199"/>
      <c r="Q169" s="200"/>
      <c r="R169" s="200"/>
      <c r="S169" s="200"/>
      <c r="T169" s="200" t="str">
        <f t="shared" si="24"/>
        <v/>
      </c>
      <c r="U169" s="200"/>
      <c r="V169" s="201" t="str">
        <f t="shared" si="25"/>
        <v/>
      </c>
      <c r="W169" s="202">
        <f t="shared" si="26"/>
        <v>0</v>
      </c>
      <c r="X169" s="172"/>
    </row>
    <row r="170" spans="1:24" x14ac:dyDescent="0.45">
      <c r="A170" s="193">
        <v>52</v>
      </c>
      <c r="B170" s="194" t="str">
        <f t="shared" si="22"/>
        <v/>
      </c>
      <c r="C170" s="170" t="str">
        <f t="shared" si="23"/>
        <v/>
      </c>
      <c r="D170" s="170"/>
      <c r="E170" s="195"/>
      <c r="F170" s="170"/>
      <c r="G170" s="170"/>
      <c r="H170" s="203"/>
      <c r="I170" s="197" t="str">
        <f t="shared" si="27"/>
        <v/>
      </c>
      <c r="J170" s="197" t="str">
        <f t="shared" si="28"/>
        <v/>
      </c>
      <c r="K170" s="197"/>
      <c r="L170" s="197"/>
      <c r="M170" s="198"/>
      <c r="N170" s="198"/>
      <c r="O170" s="198"/>
      <c r="P170" s="199"/>
      <c r="Q170" s="200"/>
      <c r="R170" s="200"/>
      <c r="S170" s="200"/>
      <c r="T170" s="200" t="str">
        <f t="shared" si="24"/>
        <v/>
      </c>
      <c r="U170" s="200"/>
      <c r="V170" s="201" t="str">
        <f t="shared" si="25"/>
        <v/>
      </c>
      <c r="W170" s="202">
        <f t="shared" si="26"/>
        <v>0</v>
      </c>
      <c r="X170" s="172"/>
    </row>
    <row r="171" spans="1:24" x14ac:dyDescent="0.45">
      <c r="A171" s="193">
        <v>53</v>
      </c>
      <c r="B171" s="194" t="str">
        <f t="shared" si="22"/>
        <v/>
      </c>
      <c r="C171" s="170" t="str">
        <f t="shared" si="23"/>
        <v/>
      </c>
      <c r="D171" s="170"/>
      <c r="E171" s="195"/>
      <c r="F171" s="170"/>
      <c r="G171" s="170"/>
      <c r="H171" s="203"/>
      <c r="I171" s="197" t="str">
        <f t="shared" si="27"/>
        <v/>
      </c>
      <c r="J171" s="197" t="str">
        <f t="shared" si="28"/>
        <v/>
      </c>
      <c r="K171" s="197"/>
      <c r="L171" s="197"/>
      <c r="M171" s="198"/>
      <c r="N171" s="198"/>
      <c r="O171" s="198"/>
      <c r="P171" s="199"/>
      <c r="Q171" s="200"/>
      <c r="R171" s="200"/>
      <c r="S171" s="200"/>
      <c r="T171" s="200" t="str">
        <f t="shared" si="24"/>
        <v/>
      </c>
      <c r="U171" s="200"/>
      <c r="V171" s="201" t="str">
        <f t="shared" si="25"/>
        <v/>
      </c>
      <c r="W171" s="202">
        <f t="shared" si="26"/>
        <v>0</v>
      </c>
      <c r="X171" s="172"/>
    </row>
    <row r="172" spans="1:24" x14ac:dyDescent="0.45">
      <c r="A172" s="193">
        <v>54</v>
      </c>
      <c r="B172" s="194" t="str">
        <f t="shared" si="22"/>
        <v/>
      </c>
      <c r="C172" s="170" t="str">
        <f t="shared" si="23"/>
        <v/>
      </c>
      <c r="D172" s="170"/>
      <c r="E172" s="195"/>
      <c r="F172" s="170"/>
      <c r="G172" s="170"/>
      <c r="H172" s="203"/>
      <c r="I172" s="197" t="str">
        <f t="shared" si="27"/>
        <v/>
      </c>
      <c r="J172" s="197" t="str">
        <f t="shared" si="28"/>
        <v/>
      </c>
      <c r="K172" s="197"/>
      <c r="L172" s="197"/>
      <c r="M172" s="198"/>
      <c r="N172" s="198"/>
      <c r="O172" s="198"/>
      <c r="P172" s="199"/>
      <c r="Q172" s="200"/>
      <c r="R172" s="200"/>
      <c r="S172" s="200"/>
      <c r="T172" s="200" t="str">
        <f t="shared" si="24"/>
        <v/>
      </c>
      <c r="U172" s="200"/>
      <c r="V172" s="201" t="str">
        <f t="shared" si="25"/>
        <v/>
      </c>
      <c r="W172" s="202">
        <f t="shared" si="26"/>
        <v>0</v>
      </c>
      <c r="X172" s="172"/>
    </row>
    <row r="173" spans="1:24" x14ac:dyDescent="0.45">
      <c r="A173" s="193">
        <v>55</v>
      </c>
      <c r="B173" s="194" t="str">
        <f t="shared" si="22"/>
        <v/>
      </c>
      <c r="C173" s="170" t="str">
        <f t="shared" si="23"/>
        <v/>
      </c>
      <c r="D173" s="170"/>
      <c r="E173" s="195"/>
      <c r="F173" s="170"/>
      <c r="G173" s="170"/>
      <c r="H173" s="203"/>
      <c r="I173" s="197" t="str">
        <f t="shared" si="27"/>
        <v/>
      </c>
      <c r="J173" s="197" t="str">
        <f t="shared" si="28"/>
        <v/>
      </c>
      <c r="K173" s="197"/>
      <c r="L173" s="197"/>
      <c r="M173" s="198"/>
      <c r="N173" s="198"/>
      <c r="O173" s="198"/>
      <c r="P173" s="199"/>
      <c r="Q173" s="200"/>
      <c r="R173" s="200"/>
      <c r="S173" s="200"/>
      <c r="T173" s="200" t="str">
        <f t="shared" si="24"/>
        <v/>
      </c>
      <c r="U173" s="200"/>
      <c r="V173" s="201" t="str">
        <f t="shared" si="25"/>
        <v/>
      </c>
      <c r="W173" s="202">
        <f t="shared" si="26"/>
        <v>0</v>
      </c>
      <c r="X173" s="172"/>
    </row>
    <row r="174" spans="1:24" x14ac:dyDescent="0.45">
      <c r="A174" s="193">
        <v>56</v>
      </c>
      <c r="B174" s="194" t="str">
        <f t="shared" si="22"/>
        <v/>
      </c>
      <c r="C174" s="170" t="str">
        <f t="shared" si="23"/>
        <v/>
      </c>
      <c r="D174" s="170"/>
      <c r="E174" s="195"/>
      <c r="F174" s="170"/>
      <c r="G174" s="170"/>
      <c r="H174" s="203"/>
      <c r="I174" s="197" t="str">
        <f t="shared" si="27"/>
        <v/>
      </c>
      <c r="J174" s="197" t="str">
        <f t="shared" si="28"/>
        <v/>
      </c>
      <c r="K174" s="197"/>
      <c r="L174" s="197"/>
      <c r="M174" s="198"/>
      <c r="N174" s="198"/>
      <c r="O174" s="198"/>
      <c r="P174" s="199"/>
      <c r="Q174" s="200"/>
      <c r="R174" s="200"/>
      <c r="S174" s="200"/>
      <c r="T174" s="200" t="str">
        <f t="shared" si="24"/>
        <v/>
      </c>
      <c r="U174" s="200"/>
      <c r="V174" s="201" t="str">
        <f t="shared" si="25"/>
        <v/>
      </c>
      <c r="W174" s="202">
        <f t="shared" si="26"/>
        <v>0</v>
      </c>
      <c r="X174" s="172"/>
    </row>
    <row r="175" spans="1:24" x14ac:dyDescent="0.45">
      <c r="A175" s="193">
        <v>57</v>
      </c>
      <c r="B175" s="194" t="str">
        <f t="shared" si="22"/>
        <v/>
      </c>
      <c r="C175" s="170" t="str">
        <f t="shared" si="23"/>
        <v/>
      </c>
      <c r="D175" s="170"/>
      <c r="E175" s="195"/>
      <c r="F175" s="170"/>
      <c r="G175" s="170"/>
      <c r="H175" s="203"/>
      <c r="I175" s="197" t="str">
        <f t="shared" si="27"/>
        <v/>
      </c>
      <c r="J175" s="197" t="str">
        <f t="shared" si="28"/>
        <v/>
      </c>
      <c r="K175" s="197"/>
      <c r="L175" s="197"/>
      <c r="M175" s="198"/>
      <c r="N175" s="198"/>
      <c r="O175" s="198"/>
      <c r="P175" s="199"/>
      <c r="Q175" s="200"/>
      <c r="R175" s="200"/>
      <c r="S175" s="200"/>
      <c r="T175" s="200" t="str">
        <f t="shared" si="24"/>
        <v/>
      </c>
      <c r="U175" s="200"/>
      <c r="V175" s="201" t="str">
        <f t="shared" si="25"/>
        <v/>
      </c>
      <c r="W175" s="202">
        <f t="shared" si="26"/>
        <v>0</v>
      </c>
      <c r="X175" s="172"/>
    </row>
    <row r="176" spans="1:24" x14ac:dyDescent="0.45">
      <c r="A176" s="193">
        <v>58</v>
      </c>
      <c r="B176" s="194" t="str">
        <f t="shared" si="22"/>
        <v/>
      </c>
      <c r="C176" s="170" t="str">
        <f t="shared" si="23"/>
        <v/>
      </c>
      <c r="D176" s="170"/>
      <c r="E176" s="195"/>
      <c r="F176" s="170"/>
      <c r="G176" s="170"/>
      <c r="H176" s="203"/>
      <c r="I176" s="197" t="str">
        <f t="shared" si="27"/>
        <v/>
      </c>
      <c r="J176" s="197" t="str">
        <f t="shared" si="28"/>
        <v/>
      </c>
      <c r="K176" s="197"/>
      <c r="L176" s="197"/>
      <c r="M176" s="198"/>
      <c r="N176" s="198"/>
      <c r="O176" s="198"/>
      <c r="P176" s="199"/>
      <c r="Q176" s="200"/>
      <c r="R176" s="200"/>
      <c r="S176" s="200"/>
      <c r="T176" s="200" t="str">
        <f t="shared" si="24"/>
        <v/>
      </c>
      <c r="U176" s="200"/>
      <c r="V176" s="201" t="str">
        <f t="shared" si="25"/>
        <v/>
      </c>
      <c r="W176" s="202">
        <f t="shared" si="26"/>
        <v>0</v>
      </c>
      <c r="X176" s="172"/>
    </row>
    <row r="177" spans="1:24" x14ac:dyDescent="0.45">
      <c r="A177" s="193">
        <v>59</v>
      </c>
      <c r="B177" s="194" t="str">
        <f t="shared" si="22"/>
        <v/>
      </c>
      <c r="C177" s="170" t="str">
        <f t="shared" si="23"/>
        <v/>
      </c>
      <c r="D177" s="170"/>
      <c r="E177" s="195"/>
      <c r="F177" s="170"/>
      <c r="G177" s="170"/>
      <c r="H177" s="203"/>
      <c r="I177" s="197" t="str">
        <f t="shared" si="27"/>
        <v/>
      </c>
      <c r="J177" s="197" t="str">
        <f t="shared" si="28"/>
        <v/>
      </c>
      <c r="K177" s="197"/>
      <c r="L177" s="197"/>
      <c r="M177" s="198"/>
      <c r="N177" s="198"/>
      <c r="O177" s="198"/>
      <c r="P177" s="199"/>
      <c r="Q177" s="200"/>
      <c r="R177" s="200"/>
      <c r="S177" s="200"/>
      <c r="T177" s="200" t="str">
        <f t="shared" si="24"/>
        <v/>
      </c>
      <c r="U177" s="200"/>
      <c r="V177" s="201" t="str">
        <f t="shared" si="25"/>
        <v/>
      </c>
      <c r="W177" s="202">
        <f t="shared" si="26"/>
        <v>0</v>
      </c>
      <c r="X177" s="172"/>
    </row>
    <row r="178" spans="1:24" x14ac:dyDescent="0.45">
      <c r="A178" s="193">
        <v>60</v>
      </c>
      <c r="B178" s="194" t="str">
        <f t="shared" si="22"/>
        <v/>
      </c>
      <c r="C178" s="170" t="str">
        <f t="shared" si="23"/>
        <v/>
      </c>
      <c r="D178" s="170"/>
      <c r="E178" s="195"/>
      <c r="F178" s="170"/>
      <c r="G178" s="170"/>
      <c r="H178" s="203"/>
      <c r="I178" s="197" t="str">
        <f t="shared" si="27"/>
        <v/>
      </c>
      <c r="J178" s="197" t="str">
        <f t="shared" si="28"/>
        <v/>
      </c>
      <c r="K178" s="197"/>
      <c r="L178" s="197"/>
      <c r="M178" s="198"/>
      <c r="N178" s="198"/>
      <c r="O178" s="198"/>
      <c r="P178" s="199"/>
      <c r="Q178" s="200"/>
      <c r="R178" s="200"/>
      <c r="S178" s="200"/>
      <c r="T178" s="200" t="str">
        <f t="shared" si="24"/>
        <v/>
      </c>
      <c r="U178" s="200"/>
      <c r="V178" s="201" t="str">
        <f t="shared" si="25"/>
        <v/>
      </c>
      <c r="W178" s="202">
        <f t="shared" si="26"/>
        <v>0</v>
      </c>
      <c r="X178" s="172"/>
    </row>
    <row r="179" spans="1:24" x14ac:dyDescent="0.45">
      <c r="A179" s="193">
        <v>61</v>
      </c>
      <c r="B179" s="194" t="str">
        <f t="shared" si="22"/>
        <v/>
      </c>
      <c r="C179" s="170" t="str">
        <f t="shared" si="23"/>
        <v/>
      </c>
      <c r="D179" s="170"/>
      <c r="E179" s="195"/>
      <c r="F179" s="170"/>
      <c r="G179" s="170"/>
      <c r="H179" s="203"/>
      <c r="I179" s="197" t="str">
        <f t="shared" si="27"/>
        <v/>
      </c>
      <c r="J179" s="197" t="str">
        <f t="shared" si="28"/>
        <v/>
      </c>
      <c r="K179" s="197"/>
      <c r="L179" s="197"/>
      <c r="M179" s="198"/>
      <c r="N179" s="198"/>
      <c r="O179" s="198"/>
      <c r="P179" s="199"/>
      <c r="Q179" s="200"/>
      <c r="R179" s="200"/>
      <c r="S179" s="200"/>
      <c r="T179" s="200" t="str">
        <f t="shared" si="24"/>
        <v/>
      </c>
      <c r="U179" s="200"/>
      <c r="V179" s="201" t="str">
        <f t="shared" si="25"/>
        <v/>
      </c>
      <c r="W179" s="202">
        <f t="shared" si="26"/>
        <v>0</v>
      </c>
      <c r="X179" s="172"/>
    </row>
    <row r="180" spans="1:24" x14ac:dyDescent="0.45">
      <c r="A180" s="193">
        <v>62</v>
      </c>
      <c r="B180" s="194" t="str">
        <f t="shared" si="22"/>
        <v/>
      </c>
      <c r="C180" s="170" t="str">
        <f t="shared" si="23"/>
        <v/>
      </c>
      <c r="D180" s="170"/>
      <c r="E180" s="195"/>
      <c r="F180" s="170"/>
      <c r="G180" s="170"/>
      <c r="H180" s="203"/>
      <c r="I180" s="197" t="str">
        <f t="shared" si="27"/>
        <v/>
      </c>
      <c r="J180" s="197" t="str">
        <f t="shared" si="28"/>
        <v/>
      </c>
      <c r="K180" s="197"/>
      <c r="L180" s="197"/>
      <c r="M180" s="198"/>
      <c r="N180" s="198"/>
      <c r="O180" s="198"/>
      <c r="P180" s="199"/>
      <c r="Q180" s="200"/>
      <c r="R180" s="200"/>
      <c r="S180" s="200"/>
      <c r="T180" s="200" t="str">
        <f t="shared" si="24"/>
        <v/>
      </c>
      <c r="U180" s="200"/>
      <c r="V180" s="201" t="str">
        <f t="shared" si="25"/>
        <v/>
      </c>
      <c r="W180" s="202">
        <f t="shared" si="26"/>
        <v>0</v>
      </c>
      <c r="X180" s="172"/>
    </row>
    <row r="181" spans="1:24" x14ac:dyDescent="0.45">
      <c r="A181" s="193">
        <v>63</v>
      </c>
      <c r="B181" s="194" t="str">
        <f t="shared" si="22"/>
        <v/>
      </c>
      <c r="C181" s="170" t="str">
        <f t="shared" si="23"/>
        <v/>
      </c>
      <c r="D181" s="170"/>
      <c r="E181" s="195"/>
      <c r="F181" s="170"/>
      <c r="G181" s="170"/>
      <c r="H181" s="203"/>
      <c r="I181" s="197" t="str">
        <f t="shared" si="27"/>
        <v/>
      </c>
      <c r="J181" s="197" t="str">
        <f t="shared" si="28"/>
        <v/>
      </c>
      <c r="K181" s="197"/>
      <c r="L181" s="197"/>
      <c r="M181" s="198"/>
      <c r="N181" s="198"/>
      <c r="O181" s="198"/>
      <c r="P181" s="199"/>
      <c r="Q181" s="200"/>
      <c r="R181" s="200"/>
      <c r="S181" s="200"/>
      <c r="T181" s="200" t="str">
        <f t="shared" si="24"/>
        <v/>
      </c>
      <c r="U181" s="200"/>
      <c r="V181" s="201" t="str">
        <f t="shared" si="25"/>
        <v/>
      </c>
      <c r="W181" s="202">
        <f t="shared" si="26"/>
        <v>0</v>
      </c>
      <c r="X181" s="172"/>
    </row>
    <row r="182" spans="1:24" x14ac:dyDescent="0.45">
      <c r="A182" s="193">
        <v>64</v>
      </c>
      <c r="B182" s="194" t="str">
        <f t="shared" si="22"/>
        <v/>
      </c>
      <c r="C182" s="170" t="str">
        <f t="shared" si="23"/>
        <v/>
      </c>
      <c r="D182" s="170"/>
      <c r="E182" s="195"/>
      <c r="F182" s="170"/>
      <c r="G182" s="170"/>
      <c r="H182" s="203"/>
      <c r="I182" s="197" t="str">
        <f t="shared" si="27"/>
        <v/>
      </c>
      <c r="J182" s="197" t="str">
        <f t="shared" si="28"/>
        <v/>
      </c>
      <c r="K182" s="197"/>
      <c r="L182" s="197"/>
      <c r="M182" s="198"/>
      <c r="N182" s="198"/>
      <c r="O182" s="198"/>
      <c r="P182" s="199"/>
      <c r="Q182" s="200"/>
      <c r="R182" s="200"/>
      <c r="S182" s="200"/>
      <c r="T182" s="200" t="str">
        <f t="shared" si="24"/>
        <v/>
      </c>
      <c r="U182" s="200"/>
      <c r="V182" s="201" t="str">
        <f t="shared" si="25"/>
        <v/>
      </c>
      <c r="W182" s="202">
        <f t="shared" si="26"/>
        <v>0</v>
      </c>
      <c r="X182" s="172"/>
    </row>
    <row r="183" spans="1:24" x14ac:dyDescent="0.45">
      <c r="A183" s="193">
        <v>65</v>
      </c>
      <c r="B183" s="194" t="str">
        <f t="shared" si="22"/>
        <v/>
      </c>
      <c r="C183" s="170" t="str">
        <f t="shared" si="23"/>
        <v/>
      </c>
      <c r="D183" s="170"/>
      <c r="E183" s="195"/>
      <c r="F183" s="170"/>
      <c r="G183" s="170"/>
      <c r="H183" s="203"/>
      <c r="I183" s="197" t="str">
        <f t="shared" si="27"/>
        <v/>
      </c>
      <c r="J183" s="197" t="str">
        <f t="shared" si="28"/>
        <v/>
      </c>
      <c r="K183" s="197"/>
      <c r="L183" s="197"/>
      <c r="M183" s="198"/>
      <c r="N183" s="198"/>
      <c r="O183" s="198"/>
      <c r="P183" s="199"/>
      <c r="Q183" s="200"/>
      <c r="R183" s="200"/>
      <c r="S183" s="200"/>
      <c r="T183" s="200" t="str">
        <f t="shared" si="24"/>
        <v/>
      </c>
      <c r="U183" s="200"/>
      <c r="V183" s="201" t="str">
        <f t="shared" ref="V183:V184" si="29">IF(U183="","",$V$99)</f>
        <v/>
      </c>
      <c r="W183" s="202">
        <f t="shared" si="26"/>
        <v>0</v>
      </c>
      <c r="X183" s="172"/>
    </row>
    <row r="184" spans="1:24" ht="14.25" customHeight="1" x14ac:dyDescent="0.45">
      <c r="A184" s="193">
        <v>66</v>
      </c>
      <c r="B184" s="204" t="str">
        <f t="shared" si="22"/>
        <v/>
      </c>
      <c r="C184" s="205" t="str">
        <f t="shared" si="23"/>
        <v/>
      </c>
      <c r="D184" s="205"/>
      <c r="E184" s="205"/>
      <c r="F184" s="205"/>
      <c r="G184" s="205"/>
      <c r="H184" s="205"/>
      <c r="I184" s="206" t="str">
        <f t="shared" si="27"/>
        <v/>
      </c>
      <c r="J184" s="206" t="str">
        <f t="shared" si="28"/>
        <v/>
      </c>
      <c r="K184" s="206"/>
      <c r="L184" s="206"/>
      <c r="M184" s="205"/>
      <c r="N184" s="205"/>
      <c r="O184" s="205"/>
      <c r="P184" s="205"/>
      <c r="Q184" s="205"/>
      <c r="R184" s="205"/>
      <c r="S184" s="205"/>
      <c r="T184" s="205" t="str">
        <f t="shared" si="24"/>
        <v/>
      </c>
      <c r="U184" s="205"/>
      <c r="V184" s="205" t="str">
        <f t="shared" si="29"/>
        <v/>
      </c>
      <c r="W184" s="207">
        <f t="shared" si="26"/>
        <v>0</v>
      </c>
      <c r="X184" s="207"/>
    </row>
    <row r="185" spans="1:24" ht="24.75" customHeight="1" x14ac:dyDescent="0.45">
      <c r="B185" s="428" t="s">
        <v>1510</v>
      </c>
      <c r="C185" s="429" t="s">
        <v>1494</v>
      </c>
      <c r="D185" s="429"/>
      <c r="E185" s="429"/>
      <c r="F185" s="429"/>
      <c r="G185" s="429"/>
      <c r="H185" s="429"/>
      <c r="I185" s="429"/>
      <c r="J185" s="429"/>
      <c r="K185" s="429"/>
      <c r="L185" s="429"/>
      <c r="M185" s="429"/>
      <c r="N185" s="429"/>
      <c r="O185" s="429"/>
      <c r="P185" s="429"/>
      <c r="Q185" s="429"/>
      <c r="R185" s="145" t="s">
        <v>1</v>
      </c>
      <c r="S185" s="146"/>
      <c r="T185" s="145" t="s">
        <v>8</v>
      </c>
      <c r="U185" s="147"/>
      <c r="V185" s="148" t="s">
        <v>3</v>
      </c>
      <c r="W185" s="146"/>
      <c r="X185" s="149"/>
    </row>
    <row r="186" spans="1:24" ht="24.75" customHeight="1" x14ac:dyDescent="0.45">
      <c r="B186" s="428"/>
      <c r="C186" s="429"/>
      <c r="D186" s="429"/>
      <c r="E186" s="429"/>
      <c r="F186" s="429"/>
      <c r="G186" s="429"/>
      <c r="H186" s="429"/>
      <c r="I186" s="429"/>
      <c r="J186" s="429"/>
      <c r="K186" s="429"/>
      <c r="L186" s="429"/>
      <c r="M186" s="429"/>
      <c r="N186" s="429"/>
      <c r="O186" s="429"/>
      <c r="P186" s="429"/>
      <c r="Q186" s="429"/>
      <c r="R186" s="430" t="s">
        <v>1495</v>
      </c>
      <c r="S186" s="430"/>
      <c r="T186" s="431" t="str">
        <f>'BM MORRO DA CRUZ - VERTICAL'!$V$4</f>
        <v>01-10-26 A 31-10-26</v>
      </c>
      <c r="U186" s="431"/>
      <c r="V186" s="432" t="str">
        <f>IF('BM MORRO DA CRUZ - VERTICAL'!$BF$2="","",'BM MORRO DA CRUZ - VERTICAL'!$BF$2)</f>
        <v/>
      </c>
      <c r="W186" s="432"/>
      <c r="X186" s="150"/>
    </row>
    <row r="187" spans="1:24" ht="24.75" customHeight="1" x14ac:dyDescent="0.45">
      <c r="B187" s="151" t="s">
        <v>5</v>
      </c>
      <c r="C187" s="152"/>
      <c r="D187" s="152"/>
      <c r="E187" s="152"/>
      <c r="F187" s="152"/>
      <c r="G187" s="152"/>
      <c r="H187" s="152"/>
      <c r="I187" s="152"/>
      <c r="J187" s="152"/>
      <c r="K187" s="152"/>
      <c r="L187" s="152"/>
      <c r="M187" s="152"/>
      <c r="N187" s="152"/>
      <c r="O187" s="152"/>
      <c r="P187" s="153"/>
      <c r="Q187" s="154"/>
      <c r="R187" s="155"/>
      <c r="S187" s="155"/>
      <c r="T187" s="156" t="s">
        <v>1496</v>
      </c>
      <c r="U187" s="157"/>
      <c r="V187" s="158" t="s">
        <v>9</v>
      </c>
      <c r="W187" s="159"/>
      <c r="X187" s="433"/>
    </row>
    <row r="188" spans="1:24" ht="24.75" customHeight="1" x14ac:dyDescent="0.45">
      <c r="B188" s="17" t="s">
        <v>11</v>
      </c>
      <c r="C188" s="160"/>
      <c r="D188" s="160"/>
      <c r="E188" s="160"/>
      <c r="F188" s="160"/>
      <c r="G188" s="160"/>
      <c r="H188" s="160"/>
      <c r="I188" s="160"/>
      <c r="J188" s="160"/>
      <c r="K188" s="160"/>
      <c r="L188" s="160"/>
      <c r="M188" s="160"/>
      <c r="N188" s="160"/>
      <c r="O188" s="160"/>
      <c r="P188" s="161"/>
      <c r="Q188" s="162"/>
      <c r="R188" s="163"/>
      <c r="S188" s="163"/>
      <c r="T188" s="434" t="str">
        <f>'BM MORRO DA CRUZ - VERTICAL'!$V$2</f>
        <v>1ª MEDIÇÃO</v>
      </c>
      <c r="U188" s="434"/>
      <c r="V188" s="435" t="s">
        <v>13</v>
      </c>
      <c r="W188" s="435"/>
      <c r="X188" s="433"/>
    </row>
    <row r="189" spans="1:24" ht="24.75" customHeight="1" x14ac:dyDescent="0.45">
      <c r="B189" s="164" t="s">
        <v>1459</v>
      </c>
      <c r="C189" s="165" t="s">
        <v>14</v>
      </c>
      <c r="D189" s="165" t="s">
        <v>24</v>
      </c>
      <c r="E189" s="165" t="s">
        <v>25</v>
      </c>
      <c r="F189" s="166" t="s">
        <v>1461</v>
      </c>
      <c r="G189" s="165"/>
      <c r="H189" s="165"/>
      <c r="I189" s="165"/>
      <c r="J189" s="165"/>
      <c r="K189" s="165"/>
      <c r="L189" s="165"/>
      <c r="M189" s="165"/>
      <c r="N189" s="165"/>
      <c r="O189" s="165"/>
      <c r="P189" s="165"/>
      <c r="Q189" s="165"/>
      <c r="R189" s="165"/>
      <c r="S189" s="165"/>
      <c r="T189" s="165"/>
      <c r="U189" s="165"/>
      <c r="V189" s="165" t="s">
        <v>26</v>
      </c>
      <c r="W189" s="167" t="s">
        <v>29</v>
      </c>
      <c r="X189" s="168"/>
    </row>
    <row r="190" spans="1:24" ht="24.75" customHeight="1" x14ac:dyDescent="0.45">
      <c r="B190" s="169"/>
      <c r="C190" s="170"/>
      <c r="D190" s="170"/>
      <c r="E190" s="170"/>
      <c r="F190" s="170"/>
      <c r="G190" s="170"/>
      <c r="H190" s="170"/>
      <c r="I190" s="170"/>
      <c r="J190" s="170"/>
      <c r="K190" s="170"/>
      <c r="L190" s="170"/>
      <c r="M190" s="170"/>
      <c r="N190" s="170"/>
      <c r="O190" s="170"/>
      <c r="P190" s="170"/>
      <c r="Q190" s="170"/>
      <c r="R190" s="170"/>
      <c r="S190" s="170"/>
      <c r="T190" s="170"/>
      <c r="U190" s="170"/>
      <c r="V190" s="170"/>
      <c r="W190" s="171"/>
      <c r="X190" s="172"/>
    </row>
    <row r="191" spans="1:24" ht="24.75" customHeight="1" x14ac:dyDescent="0.45">
      <c r="B191" s="173" t="str">
        <f>IF($C$191="","",IFERROR(INDEX('BM MORRO DA CRUZ - VERTICAL'!$C$6:$C$546,MATCH($C$191,'BM MORRO DA CRUZ - VERTICAL'!$D$6:$D$546,0)),"CHAVE NÃO ENCONTRADA NO VERTICAL"))</f>
        <v/>
      </c>
      <c r="C191" s="174"/>
      <c r="D191" s="175" t="str">
        <f>IF($C$191="","",IFERROR(INDEX('BM MORRO DA CRUZ - VERTICAL'!$O$6:$O$546,MATCH($C$191,'BM MORRO DA CRUZ - VERTICAL'!$D$6:$D$546,0)),"CHAVE NÃO ENCONTRADA NO VERTICAL"))</f>
        <v/>
      </c>
      <c r="E191" s="175" t="str">
        <f>IF($C$191="","",IFERROR(INDEX('BM MORRO DA CRUZ - VERTICAL'!$P$6:$P$546,MATCH($C$191,'BM MORRO DA CRUZ - VERTICAL'!$D$6:$D$546,0)),"CHAVE NÃO ENCONTRADA NO VERTICAL"))</f>
        <v/>
      </c>
      <c r="F191" s="175" t="str">
        <f>IF($C$191="","",IFERROR(INDEX('BM MORRO DA CRUZ - VERTICAL'!$Q$6:$Q$546,MATCH($C$191,'BM MORRO DA CRUZ - VERTICAL'!$D$6:$D$546,0)),"CHAVE NÃO ENCONTRADA NO VERTICAL"))</f>
        <v/>
      </c>
      <c r="G191" s="176"/>
      <c r="H191" s="176"/>
      <c r="I191" s="176"/>
      <c r="J191" s="176"/>
      <c r="K191" s="176"/>
      <c r="L191" s="176"/>
      <c r="M191" s="176"/>
      <c r="N191" s="176"/>
      <c r="O191" s="176"/>
      <c r="P191" s="176"/>
      <c r="Q191" s="176"/>
      <c r="R191" s="176"/>
      <c r="S191" s="176"/>
      <c r="T191" s="176"/>
      <c r="U191" s="176"/>
      <c r="V191" s="177" t="str">
        <f>IF($C$191="","",IFERROR(INDEX('BM MORRO DA CRUZ - VERTICAL'!$R$6:$R$546,MATCH($C$191,'BM MORRO DA CRUZ - VERTICAL'!$D$6:$D$546,0)),"CHAVE NÃO ENCONTRADA NO VERTICAL"))</f>
        <v/>
      </c>
      <c r="W191" s="178">
        <f>SUM($W211:$W276)</f>
        <v>0</v>
      </c>
      <c r="X191" s="179"/>
    </row>
    <row r="192" spans="1:24" ht="24.75" customHeight="1" x14ac:dyDescent="0.45">
      <c r="B192" s="426" t="s">
        <v>1497</v>
      </c>
      <c r="C192" s="426"/>
      <c r="D192" s="426"/>
      <c r="E192" s="426"/>
      <c r="F192" s="426"/>
      <c r="G192" s="426"/>
      <c r="H192" s="426"/>
      <c r="I192" s="426"/>
      <c r="J192" s="426"/>
      <c r="K192" s="426"/>
      <c r="L192" s="426"/>
      <c r="M192" s="426"/>
      <c r="N192" s="426"/>
      <c r="O192" s="426"/>
      <c r="P192" s="426"/>
      <c r="Q192" s="426"/>
      <c r="R192" s="426"/>
      <c r="S192" s="426"/>
      <c r="T192" s="426"/>
      <c r="U192" s="426"/>
      <c r="V192" s="426"/>
      <c r="W192" s="426"/>
      <c r="X192" s="180" t="s">
        <v>1498</v>
      </c>
    </row>
    <row r="193" spans="2:24" ht="14.25" customHeight="1" x14ac:dyDescent="0.45">
      <c r="B193" s="181"/>
      <c r="C193" s="182"/>
      <c r="D193" s="182"/>
      <c r="E193" s="182"/>
      <c r="F193" s="182"/>
      <c r="G193" s="182"/>
      <c r="H193" s="182"/>
      <c r="I193" s="182"/>
      <c r="J193" s="182"/>
      <c r="K193" s="182"/>
      <c r="L193" s="182"/>
      <c r="M193" s="182"/>
      <c r="N193" s="182"/>
      <c r="O193" s="182"/>
      <c r="P193" s="182"/>
      <c r="Q193" s="182"/>
      <c r="R193" s="182"/>
      <c r="S193" s="182"/>
      <c r="T193" s="182"/>
      <c r="U193" s="182"/>
      <c r="V193" s="182"/>
      <c r="W193" s="183"/>
      <c r="X193" s="427"/>
    </row>
    <row r="194" spans="2:24" x14ac:dyDescent="0.45">
      <c r="B194" s="181"/>
      <c r="C194" s="182"/>
      <c r="D194" s="182"/>
      <c r="E194" s="182"/>
      <c r="F194" s="182"/>
      <c r="G194" s="182"/>
      <c r="H194" s="182"/>
      <c r="I194" s="182"/>
      <c r="J194" s="182"/>
      <c r="K194" s="182"/>
      <c r="L194" s="182"/>
      <c r="M194" s="182"/>
      <c r="N194" s="182"/>
      <c r="O194" s="182"/>
      <c r="P194" s="182"/>
      <c r="Q194" s="182"/>
      <c r="R194" s="182"/>
      <c r="S194" s="182"/>
      <c r="T194" s="182"/>
      <c r="U194" s="182"/>
      <c r="V194" s="182"/>
      <c r="W194" s="183"/>
      <c r="X194" s="427"/>
    </row>
    <row r="195" spans="2:24" x14ac:dyDescent="0.45">
      <c r="B195" s="181"/>
      <c r="C195" s="182"/>
      <c r="D195" s="182"/>
      <c r="E195" s="182"/>
      <c r="F195" s="182"/>
      <c r="G195" s="182"/>
      <c r="H195" s="182"/>
      <c r="I195" s="182"/>
      <c r="J195" s="182"/>
      <c r="K195" s="182"/>
      <c r="L195" s="182"/>
      <c r="M195" s="182"/>
      <c r="N195" s="182"/>
      <c r="O195" s="182"/>
      <c r="P195" s="182"/>
      <c r="Q195" s="182"/>
      <c r="R195" s="182"/>
      <c r="S195" s="182"/>
      <c r="T195" s="182"/>
      <c r="U195" s="182"/>
      <c r="V195" s="182"/>
      <c r="W195" s="183"/>
      <c r="X195" s="427"/>
    </row>
    <row r="196" spans="2:24" x14ac:dyDescent="0.45">
      <c r="B196" s="181"/>
      <c r="C196" s="182"/>
      <c r="D196" s="182"/>
      <c r="E196" s="182"/>
      <c r="F196" s="182"/>
      <c r="G196" s="182"/>
      <c r="H196" s="182"/>
      <c r="I196" s="182"/>
      <c r="J196" s="182"/>
      <c r="K196" s="182"/>
      <c r="L196" s="182"/>
      <c r="M196" s="182"/>
      <c r="N196" s="182"/>
      <c r="O196" s="182"/>
      <c r="P196" s="182"/>
      <c r="Q196" s="182"/>
      <c r="R196" s="182"/>
      <c r="S196" s="182"/>
      <c r="T196" s="182"/>
      <c r="U196" s="182"/>
      <c r="V196" s="182"/>
      <c r="W196" s="183"/>
      <c r="X196" s="427"/>
    </row>
    <row r="197" spans="2:24" x14ac:dyDescent="0.45">
      <c r="B197" s="181"/>
      <c r="C197" s="182"/>
      <c r="D197" s="182"/>
      <c r="E197" s="182"/>
      <c r="F197" s="182"/>
      <c r="G197" s="182"/>
      <c r="H197" s="182"/>
      <c r="I197" s="182"/>
      <c r="J197" s="182"/>
      <c r="K197" s="182"/>
      <c r="L197" s="182"/>
      <c r="M197" s="182"/>
      <c r="N197" s="182"/>
      <c r="O197" s="182"/>
      <c r="P197" s="182"/>
      <c r="Q197" s="182"/>
      <c r="R197" s="182"/>
      <c r="S197" s="182"/>
      <c r="T197" s="182"/>
      <c r="U197" s="182"/>
      <c r="V197" s="182"/>
      <c r="W197" s="183"/>
      <c r="X197" s="427"/>
    </row>
    <row r="198" spans="2:24" x14ac:dyDescent="0.45">
      <c r="B198" s="181"/>
      <c r="C198" s="182"/>
      <c r="D198" s="182"/>
      <c r="E198" s="182"/>
      <c r="F198" s="182"/>
      <c r="G198" s="182"/>
      <c r="H198" s="182"/>
      <c r="I198" s="182"/>
      <c r="J198" s="182"/>
      <c r="K198" s="182"/>
      <c r="L198" s="182"/>
      <c r="M198" s="182"/>
      <c r="N198" s="182"/>
      <c r="O198" s="182"/>
      <c r="P198" s="182"/>
      <c r="Q198" s="182"/>
      <c r="R198" s="182"/>
      <c r="S198" s="182"/>
      <c r="T198" s="182"/>
      <c r="U198" s="182"/>
      <c r="V198" s="182"/>
      <c r="W198" s="183"/>
      <c r="X198" s="427"/>
    </row>
    <row r="199" spans="2:24" x14ac:dyDescent="0.45">
      <c r="B199" s="181"/>
      <c r="C199" s="182"/>
      <c r="D199" s="182"/>
      <c r="E199" s="182"/>
      <c r="F199" s="182"/>
      <c r="G199" s="182"/>
      <c r="H199" s="182"/>
      <c r="I199" s="182"/>
      <c r="J199" s="182"/>
      <c r="K199" s="182"/>
      <c r="L199" s="182"/>
      <c r="M199" s="182"/>
      <c r="N199" s="182"/>
      <c r="O199" s="182"/>
      <c r="P199" s="182"/>
      <c r="Q199" s="182"/>
      <c r="R199" s="182"/>
      <c r="S199" s="182"/>
      <c r="T199" s="182"/>
      <c r="U199" s="182"/>
      <c r="V199" s="182"/>
      <c r="W199" s="183"/>
      <c r="X199" s="427"/>
    </row>
    <row r="200" spans="2:24" x14ac:dyDescent="0.45">
      <c r="B200" s="181"/>
      <c r="C200" s="182"/>
      <c r="D200" s="182"/>
      <c r="E200" s="182"/>
      <c r="F200" s="182"/>
      <c r="G200" s="182"/>
      <c r="H200" s="182"/>
      <c r="I200" s="182"/>
      <c r="J200" s="182"/>
      <c r="K200" s="182"/>
      <c r="L200" s="182"/>
      <c r="M200" s="182"/>
      <c r="N200" s="182"/>
      <c r="O200" s="182"/>
      <c r="P200" s="182"/>
      <c r="Q200" s="182"/>
      <c r="R200" s="182"/>
      <c r="S200" s="182"/>
      <c r="T200" s="182"/>
      <c r="U200" s="182"/>
      <c r="V200" s="182"/>
      <c r="W200" s="183"/>
      <c r="X200" s="427"/>
    </row>
    <row r="201" spans="2:24" x14ac:dyDescent="0.45">
      <c r="B201" s="181"/>
      <c r="C201" s="182"/>
      <c r="D201" s="182"/>
      <c r="E201" s="182"/>
      <c r="F201" s="182"/>
      <c r="G201" s="182"/>
      <c r="H201" s="182"/>
      <c r="I201" s="182"/>
      <c r="J201" s="182"/>
      <c r="K201" s="182"/>
      <c r="L201" s="182"/>
      <c r="M201" s="182"/>
      <c r="N201" s="182"/>
      <c r="O201" s="182"/>
      <c r="P201" s="182"/>
      <c r="Q201" s="182"/>
      <c r="R201" s="182"/>
      <c r="S201" s="182"/>
      <c r="T201" s="182"/>
      <c r="U201" s="182"/>
      <c r="V201" s="182"/>
      <c r="W201" s="183"/>
      <c r="X201" s="427"/>
    </row>
    <row r="202" spans="2:24" x14ac:dyDescent="0.45">
      <c r="B202" s="181"/>
      <c r="C202" s="182"/>
      <c r="D202" s="182"/>
      <c r="E202" s="182"/>
      <c r="F202" s="182"/>
      <c r="G202" s="182"/>
      <c r="H202" s="182"/>
      <c r="I202" s="182"/>
      <c r="J202" s="182"/>
      <c r="K202" s="182"/>
      <c r="L202" s="182"/>
      <c r="M202" s="182"/>
      <c r="N202" s="182"/>
      <c r="O202" s="182"/>
      <c r="P202" s="182"/>
      <c r="Q202" s="182"/>
      <c r="R202" s="182"/>
      <c r="S202" s="182"/>
      <c r="T202" s="182"/>
      <c r="U202" s="182"/>
      <c r="V202" s="182"/>
      <c r="W202" s="183"/>
      <c r="X202" s="427"/>
    </row>
    <row r="203" spans="2:24" x14ac:dyDescent="0.45">
      <c r="B203" s="181"/>
      <c r="C203" s="182"/>
      <c r="D203" s="182"/>
      <c r="E203" s="182"/>
      <c r="F203" s="182"/>
      <c r="G203" s="182"/>
      <c r="H203" s="182"/>
      <c r="I203" s="182"/>
      <c r="J203" s="182"/>
      <c r="K203" s="182"/>
      <c r="L203" s="182"/>
      <c r="M203" s="182"/>
      <c r="N203" s="182"/>
      <c r="O203" s="182"/>
      <c r="P203" s="182"/>
      <c r="Q203" s="182"/>
      <c r="R203" s="182"/>
      <c r="S203" s="182"/>
      <c r="T203" s="182"/>
      <c r="U203" s="182"/>
      <c r="V203" s="182"/>
      <c r="W203" s="183"/>
      <c r="X203" s="427"/>
    </row>
    <row r="204" spans="2:24" x14ac:dyDescent="0.45">
      <c r="B204" s="181"/>
      <c r="C204" s="182"/>
      <c r="D204" s="182"/>
      <c r="E204" s="182"/>
      <c r="F204" s="182"/>
      <c r="G204" s="182"/>
      <c r="H204" s="182"/>
      <c r="I204" s="182"/>
      <c r="J204" s="182"/>
      <c r="K204" s="182"/>
      <c r="L204" s="182"/>
      <c r="M204" s="182"/>
      <c r="N204" s="182"/>
      <c r="O204" s="182"/>
      <c r="P204" s="182"/>
      <c r="Q204" s="182"/>
      <c r="R204" s="182"/>
      <c r="S204" s="182"/>
      <c r="T204" s="182"/>
      <c r="U204" s="182"/>
      <c r="V204" s="182"/>
      <c r="W204" s="183"/>
      <c r="X204" s="427"/>
    </row>
    <row r="205" spans="2:24" x14ac:dyDescent="0.45">
      <c r="B205" s="181"/>
      <c r="C205" s="182"/>
      <c r="D205" s="182"/>
      <c r="E205" s="182"/>
      <c r="F205" s="182"/>
      <c r="G205" s="182"/>
      <c r="H205" s="182"/>
      <c r="I205" s="182"/>
      <c r="J205" s="182"/>
      <c r="K205" s="182"/>
      <c r="L205" s="182"/>
      <c r="M205" s="182"/>
      <c r="N205" s="182"/>
      <c r="O205" s="182"/>
      <c r="P205" s="182"/>
      <c r="Q205" s="182"/>
      <c r="R205" s="182"/>
      <c r="S205" s="182"/>
      <c r="T205" s="182"/>
      <c r="U205" s="182"/>
      <c r="V205" s="182"/>
      <c r="W205" s="183"/>
      <c r="X205" s="427"/>
    </row>
    <row r="206" spans="2:24" x14ac:dyDescent="0.45">
      <c r="B206" s="181"/>
      <c r="C206" s="182"/>
      <c r="D206" s="182"/>
      <c r="E206" s="182"/>
      <c r="F206" s="182"/>
      <c r="G206" s="182"/>
      <c r="H206" s="182"/>
      <c r="I206" s="182"/>
      <c r="J206" s="182"/>
      <c r="K206" s="182"/>
      <c r="L206" s="182"/>
      <c r="M206" s="182"/>
      <c r="N206" s="182"/>
      <c r="O206" s="182"/>
      <c r="P206" s="182"/>
      <c r="Q206" s="182"/>
      <c r="R206" s="182"/>
      <c r="S206" s="182"/>
      <c r="T206" s="182"/>
      <c r="U206" s="182"/>
      <c r="V206" s="182"/>
      <c r="W206" s="183"/>
      <c r="X206" s="427"/>
    </row>
    <row r="207" spans="2:24" x14ac:dyDescent="0.45">
      <c r="B207" s="181"/>
      <c r="C207" s="182"/>
      <c r="D207" s="182"/>
      <c r="E207" s="182"/>
      <c r="F207" s="182"/>
      <c r="G207" s="182"/>
      <c r="H207" s="182"/>
      <c r="I207" s="182"/>
      <c r="J207" s="182"/>
      <c r="K207" s="182"/>
      <c r="L207" s="182"/>
      <c r="M207" s="182"/>
      <c r="N207" s="182"/>
      <c r="O207" s="182"/>
      <c r="P207" s="182"/>
      <c r="Q207" s="182"/>
      <c r="R207" s="182"/>
      <c r="S207" s="182"/>
      <c r="T207" s="182"/>
      <c r="U207" s="182"/>
      <c r="V207" s="182"/>
      <c r="W207" s="183"/>
      <c r="X207" s="427"/>
    </row>
    <row r="208" spans="2:24" x14ac:dyDescent="0.45">
      <c r="B208" s="181"/>
      <c r="C208" s="182"/>
      <c r="D208" s="182"/>
      <c r="E208" s="182"/>
      <c r="F208" s="182"/>
      <c r="G208" s="182"/>
      <c r="H208" s="182"/>
      <c r="I208" s="182"/>
      <c r="J208" s="182"/>
      <c r="K208" s="182"/>
      <c r="L208" s="182"/>
      <c r="M208" s="182"/>
      <c r="N208" s="182"/>
      <c r="O208" s="182"/>
      <c r="P208" s="182"/>
      <c r="Q208" s="182"/>
      <c r="R208" s="182"/>
      <c r="S208" s="182"/>
      <c r="T208" s="182"/>
      <c r="U208" s="182"/>
      <c r="V208" s="182"/>
      <c r="W208" s="183"/>
      <c r="X208" s="427"/>
    </row>
    <row r="209" spans="1:24" x14ac:dyDescent="0.45">
      <c r="B209" s="184"/>
      <c r="C209" s="185" t="s">
        <v>1499</v>
      </c>
      <c r="D209" s="185"/>
      <c r="E209" s="185"/>
      <c r="F209" s="185"/>
      <c r="G209" s="185"/>
      <c r="H209" s="185"/>
      <c r="I209" s="185"/>
      <c r="J209" s="185"/>
      <c r="K209" s="185"/>
      <c r="L209" s="185"/>
      <c r="M209" s="185"/>
      <c r="N209" s="185"/>
      <c r="O209" s="185"/>
      <c r="P209" s="185"/>
      <c r="Q209" s="185"/>
      <c r="R209" s="185"/>
      <c r="S209" s="185"/>
      <c r="T209" s="185"/>
      <c r="U209" s="185"/>
      <c r="V209" s="185"/>
      <c r="W209" s="186"/>
      <c r="X209" s="187"/>
    </row>
    <row r="210" spans="1:24" ht="26.65" x14ac:dyDescent="0.45">
      <c r="B210" s="188" t="s">
        <v>1458</v>
      </c>
      <c r="C210" s="185" t="s">
        <v>1459</v>
      </c>
      <c r="D210" s="185"/>
      <c r="E210" s="185" t="s">
        <v>1500</v>
      </c>
      <c r="F210" s="185"/>
      <c r="G210" s="185" t="s">
        <v>1501</v>
      </c>
      <c r="H210" s="189" t="s">
        <v>1502</v>
      </c>
      <c r="I210" s="185" t="s">
        <v>1503</v>
      </c>
      <c r="J210" s="185" t="s">
        <v>1504</v>
      </c>
      <c r="K210" s="189" t="s">
        <v>1505</v>
      </c>
      <c r="L210" s="189" t="s">
        <v>1504</v>
      </c>
      <c r="M210" s="189"/>
      <c r="N210" s="189" t="s">
        <v>1506</v>
      </c>
      <c r="O210" s="189"/>
      <c r="P210" s="190"/>
      <c r="Q210" s="189"/>
      <c r="R210" s="189"/>
      <c r="S210" s="189"/>
      <c r="T210" s="189" t="s">
        <v>1507</v>
      </c>
      <c r="U210" s="189" t="s">
        <v>27</v>
      </c>
      <c r="V210" s="189" t="s">
        <v>26</v>
      </c>
      <c r="W210" s="191" t="s">
        <v>1508</v>
      </c>
      <c r="X210" s="192"/>
    </row>
    <row r="211" spans="1:24" x14ac:dyDescent="0.45">
      <c r="A211" s="193">
        <v>1</v>
      </c>
      <c r="B211" s="194" t="str">
        <f t="shared" ref="B211:B242" si="30">IF(OR($C$191="",U211=""),"",LEFT($C$191,FIND("_",$C$191)-1))</f>
        <v/>
      </c>
      <c r="C211" s="170" t="str">
        <f t="shared" ref="C211:C242" si="31">IF(OR($C$191="",U211=""),"",$B$191)</f>
        <v/>
      </c>
      <c r="D211" s="170"/>
      <c r="E211" s="195"/>
      <c r="F211" s="195"/>
      <c r="G211" s="196"/>
      <c r="H211" s="197"/>
      <c r="I211" s="197"/>
      <c r="J211" s="197"/>
      <c r="K211" s="197"/>
      <c r="L211" s="197"/>
      <c r="M211" s="198"/>
      <c r="N211" s="198"/>
      <c r="O211" s="198"/>
      <c r="P211" s="199"/>
      <c r="Q211" s="200"/>
      <c r="R211" s="200"/>
      <c r="S211" s="200"/>
      <c r="T211" s="200" t="str">
        <f t="shared" ref="T211:T242" si="32">IF(K211="","",((K211*20)+L211)-((I211*20)+J211))</f>
        <v/>
      </c>
      <c r="U211" s="200"/>
      <c r="V211" s="201" t="str">
        <f t="shared" ref="V211:V242" si="33">IF(U211="","",$V$191)</f>
        <v/>
      </c>
      <c r="W211" s="202">
        <f t="shared" ref="W211:W242" si="34">IF(OR(T211="",U211=""),0,T211*U211)</f>
        <v>0</v>
      </c>
      <c r="X211" s="172"/>
    </row>
    <row r="212" spans="1:24" x14ac:dyDescent="0.45">
      <c r="A212" s="193">
        <v>2</v>
      </c>
      <c r="B212" s="194" t="str">
        <f t="shared" si="30"/>
        <v/>
      </c>
      <c r="C212" s="170" t="str">
        <f t="shared" si="31"/>
        <v/>
      </c>
      <c r="D212" s="170"/>
      <c r="E212" s="195"/>
      <c r="F212" s="195"/>
      <c r="G212" s="196"/>
      <c r="H212" s="197"/>
      <c r="I212" s="197" t="str">
        <f t="shared" ref="I212:I243" si="35">IF(K211="","",K211)</f>
        <v/>
      </c>
      <c r="J212" s="197" t="str">
        <f t="shared" ref="J212:J243" si="36">IF(L211="","",L211)</f>
        <v/>
      </c>
      <c r="K212" s="197"/>
      <c r="L212" s="197"/>
      <c r="M212" s="198"/>
      <c r="N212" s="198"/>
      <c r="O212" s="198"/>
      <c r="P212" s="199"/>
      <c r="Q212" s="200"/>
      <c r="R212" s="200"/>
      <c r="S212" s="200"/>
      <c r="T212" s="200" t="str">
        <f t="shared" si="32"/>
        <v/>
      </c>
      <c r="U212" s="200"/>
      <c r="V212" s="201" t="str">
        <f t="shared" si="33"/>
        <v/>
      </c>
      <c r="W212" s="202">
        <f t="shared" si="34"/>
        <v>0</v>
      </c>
      <c r="X212" s="172"/>
    </row>
    <row r="213" spans="1:24" x14ac:dyDescent="0.45">
      <c r="A213" s="193">
        <v>3</v>
      </c>
      <c r="B213" s="194" t="str">
        <f t="shared" si="30"/>
        <v/>
      </c>
      <c r="C213" s="170" t="str">
        <f t="shared" si="31"/>
        <v/>
      </c>
      <c r="D213" s="170"/>
      <c r="E213" s="195"/>
      <c r="F213" s="195"/>
      <c r="G213" s="196"/>
      <c r="H213" s="197"/>
      <c r="I213" s="197" t="str">
        <f t="shared" si="35"/>
        <v/>
      </c>
      <c r="J213" s="197" t="str">
        <f t="shared" si="36"/>
        <v/>
      </c>
      <c r="K213" s="197"/>
      <c r="L213" s="197"/>
      <c r="M213" s="198"/>
      <c r="N213" s="198"/>
      <c r="O213" s="198"/>
      <c r="P213" s="199"/>
      <c r="Q213" s="200"/>
      <c r="R213" s="200"/>
      <c r="S213" s="200"/>
      <c r="T213" s="200" t="str">
        <f t="shared" si="32"/>
        <v/>
      </c>
      <c r="U213" s="200"/>
      <c r="V213" s="201" t="str">
        <f t="shared" si="33"/>
        <v/>
      </c>
      <c r="W213" s="202">
        <f t="shared" si="34"/>
        <v>0</v>
      </c>
      <c r="X213" s="172"/>
    </row>
    <row r="214" spans="1:24" x14ac:dyDescent="0.45">
      <c r="A214" s="193">
        <v>4</v>
      </c>
      <c r="B214" s="194" t="str">
        <f t="shared" si="30"/>
        <v/>
      </c>
      <c r="C214" s="170" t="str">
        <f t="shared" si="31"/>
        <v/>
      </c>
      <c r="D214" s="170"/>
      <c r="E214" s="195"/>
      <c r="F214" s="195"/>
      <c r="G214" s="196"/>
      <c r="H214" s="197"/>
      <c r="I214" s="197" t="str">
        <f t="shared" si="35"/>
        <v/>
      </c>
      <c r="J214" s="197" t="str">
        <f t="shared" si="36"/>
        <v/>
      </c>
      <c r="K214" s="197"/>
      <c r="L214" s="197"/>
      <c r="M214" s="198"/>
      <c r="N214" s="198"/>
      <c r="O214" s="198"/>
      <c r="P214" s="199"/>
      <c r="Q214" s="200"/>
      <c r="R214" s="200"/>
      <c r="S214" s="200"/>
      <c r="T214" s="200" t="str">
        <f t="shared" si="32"/>
        <v/>
      </c>
      <c r="U214" s="200"/>
      <c r="V214" s="201" t="str">
        <f t="shared" si="33"/>
        <v/>
      </c>
      <c r="W214" s="202">
        <f t="shared" si="34"/>
        <v>0</v>
      </c>
      <c r="X214" s="172"/>
    </row>
    <row r="215" spans="1:24" x14ac:dyDescent="0.45">
      <c r="A215" s="193">
        <v>5</v>
      </c>
      <c r="B215" s="194" t="str">
        <f t="shared" si="30"/>
        <v/>
      </c>
      <c r="C215" s="170" t="str">
        <f t="shared" si="31"/>
        <v/>
      </c>
      <c r="D215" s="170"/>
      <c r="E215" s="195"/>
      <c r="F215" s="195"/>
      <c r="G215" s="196"/>
      <c r="H215" s="197"/>
      <c r="I215" s="197" t="str">
        <f t="shared" si="35"/>
        <v/>
      </c>
      <c r="J215" s="197" t="str">
        <f t="shared" si="36"/>
        <v/>
      </c>
      <c r="K215" s="197"/>
      <c r="L215" s="197"/>
      <c r="M215" s="198"/>
      <c r="N215" s="198"/>
      <c r="O215" s="198"/>
      <c r="P215" s="199"/>
      <c r="Q215" s="200"/>
      <c r="R215" s="200"/>
      <c r="S215" s="200"/>
      <c r="T215" s="200" t="str">
        <f t="shared" si="32"/>
        <v/>
      </c>
      <c r="U215" s="200"/>
      <c r="V215" s="201" t="str">
        <f t="shared" si="33"/>
        <v/>
      </c>
      <c r="W215" s="202">
        <f t="shared" si="34"/>
        <v>0</v>
      </c>
      <c r="X215" s="172"/>
    </row>
    <row r="216" spans="1:24" x14ac:dyDescent="0.45">
      <c r="A216" s="193">
        <v>6</v>
      </c>
      <c r="B216" s="194" t="str">
        <f t="shared" si="30"/>
        <v/>
      </c>
      <c r="C216" s="170" t="str">
        <f t="shared" si="31"/>
        <v/>
      </c>
      <c r="D216" s="170"/>
      <c r="E216" s="195"/>
      <c r="F216" s="195"/>
      <c r="G216" s="196"/>
      <c r="H216" s="197"/>
      <c r="I216" s="197" t="str">
        <f t="shared" si="35"/>
        <v/>
      </c>
      <c r="J216" s="197" t="str">
        <f t="shared" si="36"/>
        <v/>
      </c>
      <c r="K216" s="197"/>
      <c r="L216" s="197"/>
      <c r="M216" s="198"/>
      <c r="N216" s="198"/>
      <c r="O216" s="198"/>
      <c r="P216" s="199"/>
      <c r="Q216" s="200"/>
      <c r="R216" s="200"/>
      <c r="S216" s="200"/>
      <c r="T216" s="200" t="str">
        <f t="shared" si="32"/>
        <v/>
      </c>
      <c r="U216" s="200"/>
      <c r="V216" s="201" t="str">
        <f t="shared" si="33"/>
        <v/>
      </c>
      <c r="W216" s="202">
        <f t="shared" si="34"/>
        <v>0</v>
      </c>
      <c r="X216" s="172"/>
    </row>
    <row r="217" spans="1:24" x14ac:dyDescent="0.45">
      <c r="A217" s="193">
        <v>7</v>
      </c>
      <c r="B217" s="194" t="str">
        <f t="shared" si="30"/>
        <v/>
      </c>
      <c r="C217" s="170" t="str">
        <f t="shared" si="31"/>
        <v/>
      </c>
      <c r="D217" s="170"/>
      <c r="E217" s="195"/>
      <c r="F217" s="195"/>
      <c r="G217" s="196"/>
      <c r="H217" s="197"/>
      <c r="I217" s="197" t="str">
        <f t="shared" si="35"/>
        <v/>
      </c>
      <c r="J217" s="197" t="str">
        <f t="shared" si="36"/>
        <v/>
      </c>
      <c r="K217" s="197"/>
      <c r="L217" s="197"/>
      <c r="M217" s="198"/>
      <c r="N217" s="198"/>
      <c r="O217" s="198"/>
      <c r="P217" s="199"/>
      <c r="Q217" s="200"/>
      <c r="R217" s="200"/>
      <c r="S217" s="200"/>
      <c r="T217" s="200" t="str">
        <f t="shared" si="32"/>
        <v/>
      </c>
      <c r="U217" s="200"/>
      <c r="V217" s="201" t="str">
        <f t="shared" si="33"/>
        <v/>
      </c>
      <c r="W217" s="202">
        <f t="shared" si="34"/>
        <v>0</v>
      </c>
      <c r="X217" s="172"/>
    </row>
    <row r="218" spans="1:24" x14ac:dyDescent="0.45">
      <c r="A218" s="193">
        <v>8</v>
      </c>
      <c r="B218" s="194" t="str">
        <f t="shared" si="30"/>
        <v/>
      </c>
      <c r="C218" s="170" t="str">
        <f t="shared" si="31"/>
        <v/>
      </c>
      <c r="D218" s="170"/>
      <c r="E218" s="195"/>
      <c r="F218" s="195"/>
      <c r="G218" s="196"/>
      <c r="H218" s="197"/>
      <c r="I218" s="197" t="str">
        <f t="shared" si="35"/>
        <v/>
      </c>
      <c r="J218" s="197" t="str">
        <f t="shared" si="36"/>
        <v/>
      </c>
      <c r="K218" s="197"/>
      <c r="L218" s="197"/>
      <c r="M218" s="198"/>
      <c r="N218" s="198"/>
      <c r="O218" s="198"/>
      <c r="P218" s="199"/>
      <c r="Q218" s="200"/>
      <c r="R218" s="200"/>
      <c r="S218" s="200"/>
      <c r="T218" s="200" t="str">
        <f t="shared" si="32"/>
        <v/>
      </c>
      <c r="U218" s="200"/>
      <c r="V218" s="201" t="str">
        <f t="shared" si="33"/>
        <v/>
      </c>
      <c r="W218" s="202">
        <f t="shared" si="34"/>
        <v>0</v>
      </c>
      <c r="X218" s="172"/>
    </row>
    <row r="219" spans="1:24" x14ac:dyDescent="0.45">
      <c r="A219" s="193">
        <v>9</v>
      </c>
      <c r="B219" s="194" t="str">
        <f t="shared" si="30"/>
        <v/>
      </c>
      <c r="C219" s="170" t="str">
        <f t="shared" si="31"/>
        <v/>
      </c>
      <c r="D219" s="170"/>
      <c r="E219" s="195"/>
      <c r="F219" s="195"/>
      <c r="G219" s="196"/>
      <c r="H219" s="197"/>
      <c r="I219" s="197" t="str">
        <f t="shared" si="35"/>
        <v/>
      </c>
      <c r="J219" s="197" t="str">
        <f t="shared" si="36"/>
        <v/>
      </c>
      <c r="K219" s="197"/>
      <c r="L219" s="197"/>
      <c r="M219" s="198"/>
      <c r="N219" s="198"/>
      <c r="O219" s="198"/>
      <c r="P219" s="199"/>
      <c r="Q219" s="200"/>
      <c r="R219" s="200"/>
      <c r="S219" s="200"/>
      <c r="T219" s="200" t="str">
        <f t="shared" si="32"/>
        <v/>
      </c>
      <c r="U219" s="200"/>
      <c r="V219" s="201" t="str">
        <f t="shared" si="33"/>
        <v/>
      </c>
      <c r="W219" s="202">
        <f t="shared" si="34"/>
        <v>0</v>
      </c>
      <c r="X219" s="172"/>
    </row>
    <row r="220" spans="1:24" x14ac:dyDescent="0.45">
      <c r="A220" s="193">
        <v>10</v>
      </c>
      <c r="B220" s="194" t="str">
        <f t="shared" si="30"/>
        <v/>
      </c>
      <c r="C220" s="170" t="str">
        <f t="shared" si="31"/>
        <v/>
      </c>
      <c r="D220" s="170"/>
      <c r="E220" s="195"/>
      <c r="F220" s="195"/>
      <c r="G220" s="196"/>
      <c r="H220" s="197"/>
      <c r="I220" s="197" t="str">
        <f t="shared" si="35"/>
        <v/>
      </c>
      <c r="J220" s="197" t="str">
        <f t="shared" si="36"/>
        <v/>
      </c>
      <c r="K220" s="197"/>
      <c r="L220" s="197"/>
      <c r="M220" s="198"/>
      <c r="N220" s="198"/>
      <c r="O220" s="198"/>
      <c r="P220" s="199"/>
      <c r="Q220" s="200"/>
      <c r="R220" s="200"/>
      <c r="S220" s="200"/>
      <c r="T220" s="200" t="str">
        <f t="shared" si="32"/>
        <v/>
      </c>
      <c r="U220" s="200"/>
      <c r="V220" s="201" t="str">
        <f t="shared" si="33"/>
        <v/>
      </c>
      <c r="W220" s="202">
        <f t="shared" si="34"/>
        <v>0</v>
      </c>
      <c r="X220" s="172"/>
    </row>
    <row r="221" spans="1:24" x14ac:dyDescent="0.45">
      <c r="A221" s="193">
        <v>11</v>
      </c>
      <c r="B221" s="194" t="str">
        <f t="shared" si="30"/>
        <v/>
      </c>
      <c r="C221" s="170" t="str">
        <f t="shared" si="31"/>
        <v/>
      </c>
      <c r="D221" s="170"/>
      <c r="E221" s="195"/>
      <c r="F221" s="195"/>
      <c r="G221" s="196"/>
      <c r="H221" s="197"/>
      <c r="I221" s="197" t="str">
        <f t="shared" si="35"/>
        <v/>
      </c>
      <c r="J221" s="197" t="str">
        <f t="shared" si="36"/>
        <v/>
      </c>
      <c r="K221" s="197"/>
      <c r="L221" s="197"/>
      <c r="M221" s="198"/>
      <c r="N221" s="198"/>
      <c r="O221" s="198"/>
      <c r="P221" s="199"/>
      <c r="Q221" s="200"/>
      <c r="R221" s="200"/>
      <c r="S221" s="200"/>
      <c r="T221" s="200" t="str">
        <f t="shared" si="32"/>
        <v/>
      </c>
      <c r="U221" s="200"/>
      <c r="V221" s="201" t="str">
        <f t="shared" si="33"/>
        <v/>
      </c>
      <c r="W221" s="202">
        <f t="shared" si="34"/>
        <v>0</v>
      </c>
      <c r="X221" s="172"/>
    </row>
    <row r="222" spans="1:24" x14ac:dyDescent="0.45">
      <c r="A222" s="193">
        <v>12</v>
      </c>
      <c r="B222" s="194" t="str">
        <f t="shared" si="30"/>
        <v/>
      </c>
      <c r="C222" s="170" t="str">
        <f t="shared" si="31"/>
        <v/>
      </c>
      <c r="D222" s="170"/>
      <c r="E222" s="195"/>
      <c r="F222" s="195"/>
      <c r="G222" s="196"/>
      <c r="H222" s="197"/>
      <c r="I222" s="197" t="str">
        <f t="shared" si="35"/>
        <v/>
      </c>
      <c r="J222" s="197" t="str">
        <f t="shared" si="36"/>
        <v/>
      </c>
      <c r="K222" s="197"/>
      <c r="L222" s="197"/>
      <c r="M222" s="198"/>
      <c r="N222" s="198"/>
      <c r="O222" s="198"/>
      <c r="P222" s="199"/>
      <c r="Q222" s="200"/>
      <c r="R222" s="200"/>
      <c r="S222" s="200"/>
      <c r="T222" s="200" t="str">
        <f t="shared" si="32"/>
        <v/>
      </c>
      <c r="U222" s="200"/>
      <c r="V222" s="201" t="str">
        <f t="shared" si="33"/>
        <v/>
      </c>
      <c r="W222" s="202">
        <f t="shared" si="34"/>
        <v>0</v>
      </c>
      <c r="X222" s="172"/>
    </row>
    <row r="223" spans="1:24" x14ac:dyDescent="0.45">
      <c r="A223" s="193">
        <v>13</v>
      </c>
      <c r="B223" s="194" t="str">
        <f t="shared" si="30"/>
        <v/>
      </c>
      <c r="C223" s="170" t="str">
        <f t="shared" si="31"/>
        <v/>
      </c>
      <c r="D223" s="170"/>
      <c r="E223" s="195"/>
      <c r="F223" s="195"/>
      <c r="G223" s="196"/>
      <c r="H223" s="197"/>
      <c r="I223" s="197" t="str">
        <f t="shared" si="35"/>
        <v/>
      </c>
      <c r="J223" s="197" t="str">
        <f t="shared" si="36"/>
        <v/>
      </c>
      <c r="K223" s="197"/>
      <c r="L223" s="197"/>
      <c r="M223" s="198"/>
      <c r="N223" s="198"/>
      <c r="O223" s="198"/>
      <c r="P223" s="199"/>
      <c r="Q223" s="200"/>
      <c r="R223" s="200"/>
      <c r="S223" s="200"/>
      <c r="T223" s="200" t="str">
        <f t="shared" si="32"/>
        <v/>
      </c>
      <c r="U223" s="200"/>
      <c r="V223" s="201" t="str">
        <f t="shared" si="33"/>
        <v/>
      </c>
      <c r="W223" s="202">
        <f t="shared" si="34"/>
        <v>0</v>
      </c>
      <c r="X223" s="172"/>
    </row>
    <row r="224" spans="1:24" x14ac:dyDescent="0.45">
      <c r="A224" s="193">
        <v>14</v>
      </c>
      <c r="B224" s="194" t="str">
        <f t="shared" si="30"/>
        <v/>
      </c>
      <c r="C224" s="170" t="str">
        <f t="shared" si="31"/>
        <v/>
      </c>
      <c r="D224" s="170"/>
      <c r="E224" s="195"/>
      <c r="F224" s="195"/>
      <c r="G224" s="196"/>
      <c r="H224" s="197"/>
      <c r="I224" s="197" t="str">
        <f t="shared" si="35"/>
        <v/>
      </c>
      <c r="J224" s="197" t="str">
        <f t="shared" si="36"/>
        <v/>
      </c>
      <c r="K224" s="197"/>
      <c r="L224" s="197"/>
      <c r="M224" s="198"/>
      <c r="N224" s="198"/>
      <c r="O224" s="198"/>
      <c r="P224" s="199"/>
      <c r="Q224" s="200"/>
      <c r="R224" s="200"/>
      <c r="S224" s="200"/>
      <c r="T224" s="200" t="str">
        <f t="shared" si="32"/>
        <v/>
      </c>
      <c r="U224" s="200"/>
      <c r="V224" s="201" t="str">
        <f t="shared" si="33"/>
        <v/>
      </c>
      <c r="W224" s="202">
        <f t="shared" si="34"/>
        <v>0</v>
      </c>
      <c r="X224" s="172"/>
    </row>
    <row r="225" spans="1:24" x14ac:dyDescent="0.45">
      <c r="A225" s="193">
        <v>15</v>
      </c>
      <c r="B225" s="194" t="str">
        <f t="shared" si="30"/>
        <v/>
      </c>
      <c r="C225" s="170" t="str">
        <f t="shared" si="31"/>
        <v/>
      </c>
      <c r="D225" s="170"/>
      <c r="E225" s="195"/>
      <c r="F225" s="195"/>
      <c r="G225" s="196"/>
      <c r="H225" s="197"/>
      <c r="I225" s="197" t="str">
        <f t="shared" si="35"/>
        <v/>
      </c>
      <c r="J225" s="197" t="str">
        <f t="shared" si="36"/>
        <v/>
      </c>
      <c r="K225" s="197"/>
      <c r="L225" s="197"/>
      <c r="M225" s="198"/>
      <c r="N225" s="198"/>
      <c r="O225" s="198"/>
      <c r="P225" s="199"/>
      <c r="Q225" s="200"/>
      <c r="R225" s="200"/>
      <c r="S225" s="200"/>
      <c r="T225" s="200" t="str">
        <f t="shared" si="32"/>
        <v/>
      </c>
      <c r="U225" s="200"/>
      <c r="V225" s="201" t="str">
        <f t="shared" si="33"/>
        <v/>
      </c>
      <c r="W225" s="202">
        <f t="shared" si="34"/>
        <v>0</v>
      </c>
      <c r="X225" s="172"/>
    </row>
    <row r="226" spans="1:24" x14ac:dyDescent="0.45">
      <c r="A226" s="193">
        <v>16</v>
      </c>
      <c r="B226" s="194" t="str">
        <f t="shared" si="30"/>
        <v/>
      </c>
      <c r="C226" s="170" t="str">
        <f t="shared" si="31"/>
        <v/>
      </c>
      <c r="D226" s="170"/>
      <c r="E226" s="195"/>
      <c r="F226" s="195"/>
      <c r="G226" s="196"/>
      <c r="H226" s="197"/>
      <c r="I226" s="197" t="str">
        <f t="shared" si="35"/>
        <v/>
      </c>
      <c r="J226" s="197" t="str">
        <f t="shared" si="36"/>
        <v/>
      </c>
      <c r="K226" s="197"/>
      <c r="L226" s="197"/>
      <c r="M226" s="198"/>
      <c r="N226" s="198"/>
      <c r="O226" s="198"/>
      <c r="P226" s="199"/>
      <c r="Q226" s="200"/>
      <c r="R226" s="200"/>
      <c r="S226" s="200"/>
      <c r="T226" s="200" t="str">
        <f t="shared" si="32"/>
        <v/>
      </c>
      <c r="U226" s="200"/>
      <c r="V226" s="201" t="str">
        <f t="shared" si="33"/>
        <v/>
      </c>
      <c r="W226" s="202">
        <f t="shared" si="34"/>
        <v>0</v>
      </c>
      <c r="X226" s="172"/>
    </row>
    <row r="227" spans="1:24" x14ac:dyDescent="0.45">
      <c r="A227" s="193">
        <v>17</v>
      </c>
      <c r="B227" s="194" t="str">
        <f t="shared" si="30"/>
        <v/>
      </c>
      <c r="C227" s="170" t="str">
        <f t="shared" si="31"/>
        <v/>
      </c>
      <c r="D227" s="170"/>
      <c r="E227" s="195"/>
      <c r="F227" s="195"/>
      <c r="G227" s="196"/>
      <c r="H227" s="197"/>
      <c r="I227" s="197" t="str">
        <f t="shared" si="35"/>
        <v/>
      </c>
      <c r="J227" s="197" t="str">
        <f t="shared" si="36"/>
        <v/>
      </c>
      <c r="K227" s="197"/>
      <c r="L227" s="197"/>
      <c r="M227" s="198"/>
      <c r="N227" s="198"/>
      <c r="O227" s="198"/>
      <c r="P227" s="199"/>
      <c r="Q227" s="200"/>
      <c r="R227" s="200"/>
      <c r="S227" s="200"/>
      <c r="T227" s="200" t="str">
        <f t="shared" si="32"/>
        <v/>
      </c>
      <c r="U227" s="200"/>
      <c r="V227" s="201" t="str">
        <f t="shared" si="33"/>
        <v/>
      </c>
      <c r="W227" s="202">
        <f t="shared" si="34"/>
        <v>0</v>
      </c>
      <c r="X227" s="172"/>
    </row>
    <row r="228" spans="1:24" x14ac:dyDescent="0.45">
      <c r="A228" s="193">
        <v>18</v>
      </c>
      <c r="B228" s="194" t="str">
        <f t="shared" si="30"/>
        <v/>
      </c>
      <c r="C228" s="170" t="str">
        <f t="shared" si="31"/>
        <v/>
      </c>
      <c r="D228" s="170"/>
      <c r="E228" s="195"/>
      <c r="F228" s="195"/>
      <c r="G228" s="196"/>
      <c r="H228" s="197"/>
      <c r="I228" s="197" t="str">
        <f t="shared" si="35"/>
        <v/>
      </c>
      <c r="J228" s="197" t="str">
        <f t="shared" si="36"/>
        <v/>
      </c>
      <c r="K228" s="197"/>
      <c r="L228" s="197"/>
      <c r="M228" s="198"/>
      <c r="N228" s="198"/>
      <c r="O228" s="198"/>
      <c r="P228" s="199"/>
      <c r="Q228" s="200"/>
      <c r="R228" s="200"/>
      <c r="S228" s="200"/>
      <c r="T228" s="200" t="str">
        <f t="shared" si="32"/>
        <v/>
      </c>
      <c r="U228" s="200"/>
      <c r="V228" s="201" t="str">
        <f t="shared" si="33"/>
        <v/>
      </c>
      <c r="W228" s="202">
        <f t="shared" si="34"/>
        <v>0</v>
      </c>
      <c r="X228" s="172"/>
    </row>
    <row r="229" spans="1:24" x14ac:dyDescent="0.45">
      <c r="A229" s="193">
        <v>19</v>
      </c>
      <c r="B229" s="194" t="str">
        <f t="shared" si="30"/>
        <v/>
      </c>
      <c r="C229" s="170" t="str">
        <f t="shared" si="31"/>
        <v/>
      </c>
      <c r="D229" s="170"/>
      <c r="E229" s="195"/>
      <c r="F229" s="195"/>
      <c r="G229" s="196"/>
      <c r="H229" s="197"/>
      <c r="I229" s="197" t="str">
        <f t="shared" si="35"/>
        <v/>
      </c>
      <c r="J229" s="197" t="str">
        <f t="shared" si="36"/>
        <v/>
      </c>
      <c r="K229" s="197"/>
      <c r="L229" s="197"/>
      <c r="M229" s="198"/>
      <c r="N229" s="198"/>
      <c r="O229" s="198"/>
      <c r="P229" s="199"/>
      <c r="Q229" s="200"/>
      <c r="R229" s="200"/>
      <c r="S229" s="200"/>
      <c r="T229" s="200" t="str">
        <f t="shared" si="32"/>
        <v/>
      </c>
      <c r="U229" s="200"/>
      <c r="V229" s="201" t="str">
        <f t="shared" si="33"/>
        <v/>
      </c>
      <c r="W229" s="202">
        <f t="shared" si="34"/>
        <v>0</v>
      </c>
      <c r="X229" s="172"/>
    </row>
    <row r="230" spans="1:24" x14ac:dyDescent="0.45">
      <c r="A230" s="193">
        <v>20</v>
      </c>
      <c r="B230" s="194" t="str">
        <f t="shared" si="30"/>
        <v/>
      </c>
      <c r="C230" s="170" t="str">
        <f t="shared" si="31"/>
        <v/>
      </c>
      <c r="D230" s="170"/>
      <c r="E230" s="195"/>
      <c r="F230" s="195"/>
      <c r="G230" s="196"/>
      <c r="H230" s="197"/>
      <c r="I230" s="197" t="str">
        <f t="shared" si="35"/>
        <v/>
      </c>
      <c r="J230" s="197" t="str">
        <f t="shared" si="36"/>
        <v/>
      </c>
      <c r="K230" s="197"/>
      <c r="L230" s="197"/>
      <c r="M230" s="198"/>
      <c r="N230" s="198"/>
      <c r="O230" s="198"/>
      <c r="P230" s="199"/>
      <c r="Q230" s="200"/>
      <c r="R230" s="200"/>
      <c r="S230" s="200"/>
      <c r="T230" s="200" t="str">
        <f t="shared" si="32"/>
        <v/>
      </c>
      <c r="U230" s="200"/>
      <c r="V230" s="201" t="str">
        <f t="shared" si="33"/>
        <v/>
      </c>
      <c r="W230" s="202">
        <f t="shared" si="34"/>
        <v>0</v>
      </c>
      <c r="X230" s="172"/>
    </row>
    <row r="231" spans="1:24" x14ac:dyDescent="0.45">
      <c r="A231" s="193">
        <v>21</v>
      </c>
      <c r="B231" s="194" t="str">
        <f t="shared" si="30"/>
        <v/>
      </c>
      <c r="C231" s="170" t="str">
        <f t="shared" si="31"/>
        <v/>
      </c>
      <c r="D231" s="170"/>
      <c r="E231" s="195"/>
      <c r="F231" s="195"/>
      <c r="G231" s="196"/>
      <c r="H231" s="197"/>
      <c r="I231" s="197" t="str">
        <f t="shared" si="35"/>
        <v/>
      </c>
      <c r="J231" s="197" t="str">
        <f t="shared" si="36"/>
        <v/>
      </c>
      <c r="K231" s="197"/>
      <c r="L231" s="197"/>
      <c r="M231" s="198"/>
      <c r="N231" s="198"/>
      <c r="O231" s="198"/>
      <c r="P231" s="199"/>
      <c r="Q231" s="200"/>
      <c r="R231" s="200"/>
      <c r="S231" s="200"/>
      <c r="T231" s="200" t="str">
        <f t="shared" si="32"/>
        <v/>
      </c>
      <c r="U231" s="200"/>
      <c r="V231" s="201" t="str">
        <f t="shared" si="33"/>
        <v/>
      </c>
      <c r="W231" s="202">
        <f t="shared" si="34"/>
        <v>0</v>
      </c>
      <c r="X231" s="172"/>
    </row>
    <row r="232" spans="1:24" x14ac:dyDescent="0.45">
      <c r="A232" s="193">
        <v>22</v>
      </c>
      <c r="B232" s="194" t="str">
        <f t="shared" si="30"/>
        <v/>
      </c>
      <c r="C232" s="170" t="str">
        <f t="shared" si="31"/>
        <v/>
      </c>
      <c r="D232" s="170"/>
      <c r="E232" s="195"/>
      <c r="F232" s="170"/>
      <c r="G232" s="170"/>
      <c r="H232" s="203"/>
      <c r="I232" s="197" t="str">
        <f t="shared" si="35"/>
        <v/>
      </c>
      <c r="J232" s="197" t="str">
        <f t="shared" si="36"/>
        <v/>
      </c>
      <c r="K232" s="197"/>
      <c r="L232" s="197"/>
      <c r="M232" s="198"/>
      <c r="N232" s="198"/>
      <c r="O232" s="198"/>
      <c r="P232" s="199"/>
      <c r="Q232" s="200"/>
      <c r="R232" s="200"/>
      <c r="S232" s="200"/>
      <c r="T232" s="200" t="str">
        <f t="shared" si="32"/>
        <v/>
      </c>
      <c r="U232" s="200"/>
      <c r="V232" s="201" t="str">
        <f t="shared" si="33"/>
        <v/>
      </c>
      <c r="W232" s="202">
        <f t="shared" si="34"/>
        <v>0</v>
      </c>
      <c r="X232" s="172"/>
    </row>
    <row r="233" spans="1:24" x14ac:dyDescent="0.45">
      <c r="A233" s="193">
        <v>23</v>
      </c>
      <c r="B233" s="194" t="str">
        <f t="shared" si="30"/>
        <v/>
      </c>
      <c r="C233" s="170" t="str">
        <f t="shared" si="31"/>
        <v/>
      </c>
      <c r="D233" s="170"/>
      <c r="E233" s="195"/>
      <c r="F233" s="170"/>
      <c r="G233" s="170"/>
      <c r="H233" s="203"/>
      <c r="I233" s="197" t="str">
        <f t="shared" si="35"/>
        <v/>
      </c>
      <c r="J233" s="197" t="str">
        <f t="shared" si="36"/>
        <v/>
      </c>
      <c r="K233" s="197"/>
      <c r="L233" s="197"/>
      <c r="M233" s="198"/>
      <c r="N233" s="198"/>
      <c r="O233" s="198"/>
      <c r="P233" s="199"/>
      <c r="Q233" s="200"/>
      <c r="R233" s="200"/>
      <c r="S233" s="200"/>
      <c r="T233" s="200" t="str">
        <f t="shared" si="32"/>
        <v/>
      </c>
      <c r="U233" s="200"/>
      <c r="V233" s="201" t="str">
        <f t="shared" si="33"/>
        <v/>
      </c>
      <c r="W233" s="202">
        <f t="shared" si="34"/>
        <v>0</v>
      </c>
      <c r="X233" s="172"/>
    </row>
    <row r="234" spans="1:24" x14ac:dyDescent="0.45">
      <c r="A234" s="193">
        <v>24</v>
      </c>
      <c r="B234" s="194" t="str">
        <f t="shared" si="30"/>
        <v/>
      </c>
      <c r="C234" s="170" t="str">
        <f t="shared" si="31"/>
        <v/>
      </c>
      <c r="D234" s="170"/>
      <c r="E234" s="195"/>
      <c r="F234" s="170"/>
      <c r="G234" s="170"/>
      <c r="H234" s="203"/>
      <c r="I234" s="197" t="str">
        <f t="shared" si="35"/>
        <v/>
      </c>
      <c r="J234" s="197" t="str">
        <f t="shared" si="36"/>
        <v/>
      </c>
      <c r="K234" s="197"/>
      <c r="L234" s="197"/>
      <c r="M234" s="198"/>
      <c r="N234" s="198"/>
      <c r="O234" s="198"/>
      <c r="P234" s="199"/>
      <c r="Q234" s="200"/>
      <c r="R234" s="200"/>
      <c r="S234" s="200"/>
      <c r="T234" s="200" t="str">
        <f t="shared" si="32"/>
        <v/>
      </c>
      <c r="U234" s="200"/>
      <c r="V234" s="201" t="str">
        <f t="shared" si="33"/>
        <v/>
      </c>
      <c r="W234" s="202">
        <f t="shared" si="34"/>
        <v>0</v>
      </c>
      <c r="X234" s="172"/>
    </row>
    <row r="235" spans="1:24" x14ac:dyDescent="0.45">
      <c r="A235" s="193">
        <v>25</v>
      </c>
      <c r="B235" s="194" t="str">
        <f t="shared" si="30"/>
        <v/>
      </c>
      <c r="C235" s="170" t="str">
        <f t="shared" si="31"/>
        <v/>
      </c>
      <c r="D235" s="170"/>
      <c r="E235" s="195"/>
      <c r="F235" s="170"/>
      <c r="G235" s="170"/>
      <c r="H235" s="203"/>
      <c r="I235" s="197" t="str">
        <f t="shared" si="35"/>
        <v/>
      </c>
      <c r="J235" s="197" t="str">
        <f t="shared" si="36"/>
        <v/>
      </c>
      <c r="K235" s="197"/>
      <c r="L235" s="197"/>
      <c r="M235" s="198"/>
      <c r="N235" s="198"/>
      <c r="O235" s="198"/>
      <c r="P235" s="199"/>
      <c r="Q235" s="200"/>
      <c r="R235" s="200"/>
      <c r="S235" s="200"/>
      <c r="T235" s="200" t="str">
        <f t="shared" si="32"/>
        <v/>
      </c>
      <c r="U235" s="200"/>
      <c r="V235" s="201" t="str">
        <f t="shared" si="33"/>
        <v/>
      </c>
      <c r="W235" s="202">
        <f t="shared" si="34"/>
        <v>0</v>
      </c>
      <c r="X235" s="172"/>
    </row>
    <row r="236" spans="1:24" x14ac:dyDescent="0.45">
      <c r="A236" s="193">
        <v>26</v>
      </c>
      <c r="B236" s="194" t="str">
        <f t="shared" si="30"/>
        <v/>
      </c>
      <c r="C236" s="170" t="str">
        <f t="shared" si="31"/>
        <v/>
      </c>
      <c r="D236" s="170"/>
      <c r="E236" s="195"/>
      <c r="F236" s="170"/>
      <c r="G236" s="170"/>
      <c r="H236" s="203"/>
      <c r="I236" s="197" t="str">
        <f t="shared" si="35"/>
        <v/>
      </c>
      <c r="J236" s="197" t="str">
        <f t="shared" si="36"/>
        <v/>
      </c>
      <c r="K236" s="197"/>
      <c r="L236" s="197"/>
      <c r="M236" s="198"/>
      <c r="N236" s="198"/>
      <c r="O236" s="198"/>
      <c r="P236" s="199"/>
      <c r="Q236" s="200"/>
      <c r="R236" s="200"/>
      <c r="S236" s="200"/>
      <c r="T236" s="200" t="str">
        <f t="shared" si="32"/>
        <v/>
      </c>
      <c r="U236" s="200"/>
      <c r="V236" s="201" t="str">
        <f t="shared" si="33"/>
        <v/>
      </c>
      <c r="W236" s="202">
        <f t="shared" si="34"/>
        <v>0</v>
      </c>
      <c r="X236" s="172"/>
    </row>
    <row r="237" spans="1:24" x14ac:dyDescent="0.45">
      <c r="A237" s="193">
        <v>27</v>
      </c>
      <c r="B237" s="194" t="str">
        <f t="shared" si="30"/>
        <v/>
      </c>
      <c r="C237" s="170" t="str">
        <f t="shared" si="31"/>
        <v/>
      </c>
      <c r="D237" s="170"/>
      <c r="E237" s="195"/>
      <c r="F237" s="170"/>
      <c r="G237" s="170"/>
      <c r="H237" s="203"/>
      <c r="I237" s="197" t="str">
        <f t="shared" si="35"/>
        <v/>
      </c>
      <c r="J237" s="197" t="str">
        <f t="shared" si="36"/>
        <v/>
      </c>
      <c r="K237" s="197"/>
      <c r="L237" s="197"/>
      <c r="M237" s="198"/>
      <c r="N237" s="198"/>
      <c r="O237" s="198"/>
      <c r="P237" s="199"/>
      <c r="Q237" s="200"/>
      <c r="R237" s="200"/>
      <c r="S237" s="200"/>
      <c r="T237" s="200" t="str">
        <f t="shared" si="32"/>
        <v/>
      </c>
      <c r="U237" s="200"/>
      <c r="V237" s="201" t="str">
        <f t="shared" si="33"/>
        <v/>
      </c>
      <c r="W237" s="202">
        <f t="shared" si="34"/>
        <v>0</v>
      </c>
      <c r="X237" s="172"/>
    </row>
    <row r="238" spans="1:24" x14ac:dyDescent="0.45">
      <c r="A238" s="193">
        <v>28</v>
      </c>
      <c r="B238" s="194" t="str">
        <f t="shared" si="30"/>
        <v/>
      </c>
      <c r="C238" s="170" t="str">
        <f t="shared" si="31"/>
        <v/>
      </c>
      <c r="D238" s="170"/>
      <c r="E238" s="195"/>
      <c r="F238" s="170"/>
      <c r="G238" s="170"/>
      <c r="H238" s="203"/>
      <c r="I238" s="197" t="str">
        <f t="shared" si="35"/>
        <v/>
      </c>
      <c r="J238" s="197" t="str">
        <f t="shared" si="36"/>
        <v/>
      </c>
      <c r="K238" s="197"/>
      <c r="L238" s="197"/>
      <c r="M238" s="198"/>
      <c r="N238" s="198"/>
      <c r="O238" s="198"/>
      <c r="P238" s="199"/>
      <c r="Q238" s="200"/>
      <c r="R238" s="200"/>
      <c r="S238" s="200"/>
      <c r="T238" s="200" t="str">
        <f t="shared" si="32"/>
        <v/>
      </c>
      <c r="U238" s="200"/>
      <c r="V238" s="201" t="str">
        <f t="shared" si="33"/>
        <v/>
      </c>
      <c r="W238" s="202">
        <f t="shared" si="34"/>
        <v>0</v>
      </c>
      <c r="X238" s="172"/>
    </row>
    <row r="239" spans="1:24" x14ac:dyDescent="0.45">
      <c r="A239" s="193">
        <v>29</v>
      </c>
      <c r="B239" s="194" t="str">
        <f t="shared" si="30"/>
        <v/>
      </c>
      <c r="C239" s="170" t="str">
        <f t="shared" si="31"/>
        <v/>
      </c>
      <c r="D239" s="170"/>
      <c r="E239" s="195"/>
      <c r="F239" s="170"/>
      <c r="G239" s="170"/>
      <c r="H239" s="203"/>
      <c r="I239" s="197" t="str">
        <f t="shared" si="35"/>
        <v/>
      </c>
      <c r="J239" s="197" t="str">
        <f t="shared" si="36"/>
        <v/>
      </c>
      <c r="K239" s="197"/>
      <c r="L239" s="197"/>
      <c r="M239" s="198"/>
      <c r="N239" s="198"/>
      <c r="O239" s="198"/>
      <c r="P239" s="199"/>
      <c r="Q239" s="200"/>
      <c r="R239" s="200"/>
      <c r="S239" s="200"/>
      <c r="T239" s="200" t="str">
        <f t="shared" si="32"/>
        <v/>
      </c>
      <c r="U239" s="200"/>
      <c r="V239" s="201" t="str">
        <f t="shared" si="33"/>
        <v/>
      </c>
      <c r="W239" s="202">
        <f t="shared" si="34"/>
        <v>0</v>
      </c>
      <c r="X239" s="172"/>
    </row>
    <row r="240" spans="1:24" x14ac:dyDescent="0.45">
      <c r="A240" s="193">
        <v>30</v>
      </c>
      <c r="B240" s="194" t="str">
        <f t="shared" si="30"/>
        <v/>
      </c>
      <c r="C240" s="170" t="str">
        <f t="shared" si="31"/>
        <v/>
      </c>
      <c r="D240" s="170"/>
      <c r="E240" s="195"/>
      <c r="F240" s="170"/>
      <c r="G240" s="170"/>
      <c r="H240" s="203"/>
      <c r="I240" s="197" t="str">
        <f t="shared" si="35"/>
        <v/>
      </c>
      <c r="J240" s="197" t="str">
        <f t="shared" si="36"/>
        <v/>
      </c>
      <c r="K240" s="197"/>
      <c r="L240" s="197"/>
      <c r="M240" s="198"/>
      <c r="N240" s="198"/>
      <c r="O240" s="198"/>
      <c r="P240" s="199"/>
      <c r="Q240" s="200"/>
      <c r="R240" s="200"/>
      <c r="S240" s="200"/>
      <c r="T240" s="200" t="str">
        <f t="shared" si="32"/>
        <v/>
      </c>
      <c r="U240" s="200"/>
      <c r="V240" s="201" t="str">
        <f t="shared" si="33"/>
        <v/>
      </c>
      <c r="W240" s="202">
        <f t="shared" si="34"/>
        <v>0</v>
      </c>
      <c r="X240" s="172"/>
    </row>
    <row r="241" spans="1:24" x14ac:dyDescent="0.45">
      <c r="A241" s="193">
        <v>31</v>
      </c>
      <c r="B241" s="194" t="str">
        <f t="shared" si="30"/>
        <v/>
      </c>
      <c r="C241" s="170" t="str">
        <f t="shared" si="31"/>
        <v/>
      </c>
      <c r="D241" s="170"/>
      <c r="E241" s="195"/>
      <c r="F241" s="170"/>
      <c r="G241" s="170"/>
      <c r="H241" s="203"/>
      <c r="I241" s="197" t="str">
        <f t="shared" si="35"/>
        <v/>
      </c>
      <c r="J241" s="197" t="str">
        <f t="shared" si="36"/>
        <v/>
      </c>
      <c r="K241" s="197"/>
      <c r="L241" s="197"/>
      <c r="M241" s="198"/>
      <c r="N241" s="198"/>
      <c r="O241" s="198"/>
      <c r="P241" s="199"/>
      <c r="Q241" s="200"/>
      <c r="R241" s="200"/>
      <c r="S241" s="200"/>
      <c r="T241" s="200" t="str">
        <f t="shared" si="32"/>
        <v/>
      </c>
      <c r="U241" s="200"/>
      <c r="V241" s="201" t="str">
        <f t="shared" si="33"/>
        <v/>
      </c>
      <c r="W241" s="202">
        <f t="shared" si="34"/>
        <v>0</v>
      </c>
      <c r="X241" s="172"/>
    </row>
    <row r="242" spans="1:24" x14ac:dyDescent="0.45">
      <c r="A242" s="193">
        <v>32</v>
      </c>
      <c r="B242" s="194" t="str">
        <f t="shared" si="30"/>
        <v/>
      </c>
      <c r="C242" s="170" t="str">
        <f t="shared" si="31"/>
        <v/>
      </c>
      <c r="D242" s="170"/>
      <c r="E242" s="195"/>
      <c r="F242" s="170"/>
      <c r="G242" s="170"/>
      <c r="H242" s="203"/>
      <c r="I242" s="197" t="str">
        <f t="shared" si="35"/>
        <v/>
      </c>
      <c r="J242" s="197" t="str">
        <f t="shared" si="36"/>
        <v/>
      </c>
      <c r="K242" s="197"/>
      <c r="L242" s="197"/>
      <c r="M242" s="198"/>
      <c r="N242" s="198"/>
      <c r="O242" s="198"/>
      <c r="P242" s="199"/>
      <c r="Q242" s="200"/>
      <c r="R242" s="200"/>
      <c r="S242" s="200"/>
      <c r="T242" s="200" t="str">
        <f t="shared" si="32"/>
        <v/>
      </c>
      <c r="U242" s="200"/>
      <c r="V242" s="201" t="str">
        <f t="shared" si="33"/>
        <v/>
      </c>
      <c r="W242" s="202">
        <f t="shared" si="34"/>
        <v>0</v>
      </c>
      <c r="X242" s="172"/>
    </row>
    <row r="243" spans="1:24" x14ac:dyDescent="0.45">
      <c r="A243" s="193">
        <v>33</v>
      </c>
      <c r="B243" s="194" t="str">
        <f t="shared" ref="B243:B276" si="37">IF(OR($C$191="",U243=""),"",LEFT($C$191,FIND("_",$C$191)-1))</f>
        <v/>
      </c>
      <c r="C243" s="170" t="str">
        <f t="shared" ref="C243:C276" si="38">IF(OR($C$191="",U243=""),"",$B$191)</f>
        <v/>
      </c>
      <c r="D243" s="170"/>
      <c r="E243" s="195"/>
      <c r="F243" s="170"/>
      <c r="G243" s="170"/>
      <c r="H243" s="203"/>
      <c r="I243" s="197" t="str">
        <f t="shared" si="35"/>
        <v/>
      </c>
      <c r="J243" s="197" t="str">
        <f t="shared" si="36"/>
        <v/>
      </c>
      <c r="K243" s="197"/>
      <c r="L243" s="197"/>
      <c r="M243" s="198"/>
      <c r="N243" s="198"/>
      <c r="O243" s="198"/>
      <c r="P243" s="199"/>
      <c r="Q243" s="200"/>
      <c r="R243" s="200"/>
      <c r="S243" s="200"/>
      <c r="T243" s="200" t="str">
        <f t="shared" ref="T243:T276" si="39">IF(K243="","",((K243*20)+L243)-((I243*20)+J243))</f>
        <v/>
      </c>
      <c r="U243" s="200"/>
      <c r="V243" s="201" t="str">
        <f t="shared" ref="V243:V274" si="40">IF(U243="","",$V$191)</f>
        <v/>
      </c>
      <c r="W243" s="202">
        <f t="shared" ref="W243:W276" si="41">IF(OR(T243="",U243=""),0,T243*U243)</f>
        <v>0</v>
      </c>
      <c r="X243" s="172"/>
    </row>
    <row r="244" spans="1:24" x14ac:dyDescent="0.45">
      <c r="A244" s="193">
        <v>34</v>
      </c>
      <c r="B244" s="194" t="str">
        <f t="shared" si="37"/>
        <v/>
      </c>
      <c r="C244" s="170" t="str">
        <f t="shared" si="38"/>
        <v/>
      </c>
      <c r="D244" s="170"/>
      <c r="E244" s="195"/>
      <c r="F244" s="170"/>
      <c r="G244" s="170"/>
      <c r="H244" s="203"/>
      <c r="I244" s="197" t="str">
        <f t="shared" ref="I244:I276" si="42">IF(K243="","",K243)</f>
        <v/>
      </c>
      <c r="J244" s="197" t="str">
        <f t="shared" ref="J244:J276" si="43">IF(L243="","",L243)</f>
        <v/>
      </c>
      <c r="K244" s="197"/>
      <c r="L244" s="197"/>
      <c r="M244" s="198"/>
      <c r="N244" s="198"/>
      <c r="O244" s="198"/>
      <c r="P244" s="199"/>
      <c r="Q244" s="200"/>
      <c r="R244" s="200"/>
      <c r="S244" s="200"/>
      <c r="T244" s="200" t="str">
        <f t="shared" si="39"/>
        <v/>
      </c>
      <c r="U244" s="200"/>
      <c r="V244" s="201" t="str">
        <f t="shared" si="40"/>
        <v/>
      </c>
      <c r="W244" s="202">
        <f t="shared" si="41"/>
        <v>0</v>
      </c>
      <c r="X244" s="172"/>
    </row>
    <row r="245" spans="1:24" x14ac:dyDescent="0.45">
      <c r="A245" s="193">
        <v>35</v>
      </c>
      <c r="B245" s="194" t="str">
        <f t="shared" si="37"/>
        <v/>
      </c>
      <c r="C245" s="170" t="str">
        <f t="shared" si="38"/>
        <v/>
      </c>
      <c r="D245" s="170"/>
      <c r="E245" s="195"/>
      <c r="F245" s="170"/>
      <c r="G245" s="170"/>
      <c r="H245" s="203"/>
      <c r="I245" s="197" t="str">
        <f t="shared" si="42"/>
        <v/>
      </c>
      <c r="J245" s="197" t="str">
        <f t="shared" si="43"/>
        <v/>
      </c>
      <c r="K245" s="197"/>
      <c r="L245" s="197"/>
      <c r="M245" s="198"/>
      <c r="N245" s="198"/>
      <c r="O245" s="198"/>
      <c r="P245" s="199"/>
      <c r="Q245" s="200"/>
      <c r="R245" s="200"/>
      <c r="S245" s="200"/>
      <c r="T245" s="200" t="str">
        <f t="shared" si="39"/>
        <v/>
      </c>
      <c r="U245" s="200"/>
      <c r="V245" s="201" t="str">
        <f t="shared" si="40"/>
        <v/>
      </c>
      <c r="W245" s="202">
        <f t="shared" si="41"/>
        <v>0</v>
      </c>
      <c r="X245" s="172"/>
    </row>
    <row r="246" spans="1:24" x14ac:dyDescent="0.45">
      <c r="A246" s="193">
        <v>36</v>
      </c>
      <c r="B246" s="194" t="str">
        <f t="shared" si="37"/>
        <v/>
      </c>
      <c r="C246" s="170" t="str">
        <f t="shared" si="38"/>
        <v/>
      </c>
      <c r="D246" s="170"/>
      <c r="E246" s="195"/>
      <c r="F246" s="170"/>
      <c r="G246" s="170"/>
      <c r="H246" s="203"/>
      <c r="I246" s="197" t="str">
        <f t="shared" si="42"/>
        <v/>
      </c>
      <c r="J246" s="197" t="str">
        <f t="shared" si="43"/>
        <v/>
      </c>
      <c r="K246" s="197"/>
      <c r="L246" s="197"/>
      <c r="M246" s="198"/>
      <c r="N246" s="198"/>
      <c r="O246" s="198"/>
      <c r="P246" s="199"/>
      <c r="Q246" s="200"/>
      <c r="R246" s="200"/>
      <c r="S246" s="200"/>
      <c r="T246" s="200" t="str">
        <f t="shared" si="39"/>
        <v/>
      </c>
      <c r="U246" s="200"/>
      <c r="V246" s="201" t="str">
        <f t="shared" si="40"/>
        <v/>
      </c>
      <c r="W246" s="202">
        <f t="shared" si="41"/>
        <v>0</v>
      </c>
      <c r="X246" s="172"/>
    </row>
    <row r="247" spans="1:24" x14ac:dyDescent="0.45">
      <c r="A247" s="193">
        <v>37</v>
      </c>
      <c r="B247" s="194" t="str">
        <f t="shared" si="37"/>
        <v/>
      </c>
      <c r="C247" s="170" t="str">
        <f t="shared" si="38"/>
        <v/>
      </c>
      <c r="D247" s="170"/>
      <c r="E247" s="195"/>
      <c r="F247" s="170"/>
      <c r="G247" s="170"/>
      <c r="H247" s="203"/>
      <c r="I247" s="197" t="str">
        <f t="shared" si="42"/>
        <v/>
      </c>
      <c r="J247" s="197" t="str">
        <f t="shared" si="43"/>
        <v/>
      </c>
      <c r="K247" s="197"/>
      <c r="L247" s="197"/>
      <c r="M247" s="198"/>
      <c r="N247" s="198"/>
      <c r="O247" s="198"/>
      <c r="P247" s="199"/>
      <c r="Q247" s="200"/>
      <c r="R247" s="200"/>
      <c r="S247" s="200"/>
      <c r="T247" s="200" t="str">
        <f t="shared" si="39"/>
        <v/>
      </c>
      <c r="U247" s="200"/>
      <c r="V247" s="201" t="str">
        <f t="shared" si="40"/>
        <v/>
      </c>
      <c r="W247" s="202">
        <f t="shared" si="41"/>
        <v>0</v>
      </c>
      <c r="X247" s="172"/>
    </row>
    <row r="248" spans="1:24" x14ac:dyDescent="0.45">
      <c r="A248" s="193">
        <v>38</v>
      </c>
      <c r="B248" s="194" t="str">
        <f t="shared" si="37"/>
        <v/>
      </c>
      <c r="C248" s="170" t="str">
        <f t="shared" si="38"/>
        <v/>
      </c>
      <c r="D248" s="170"/>
      <c r="E248" s="195"/>
      <c r="F248" s="170"/>
      <c r="G248" s="170"/>
      <c r="H248" s="203"/>
      <c r="I248" s="197" t="str">
        <f t="shared" si="42"/>
        <v/>
      </c>
      <c r="J248" s="197" t="str">
        <f t="shared" si="43"/>
        <v/>
      </c>
      <c r="K248" s="197"/>
      <c r="L248" s="197"/>
      <c r="M248" s="198"/>
      <c r="N248" s="198"/>
      <c r="O248" s="198"/>
      <c r="P248" s="199"/>
      <c r="Q248" s="200"/>
      <c r="R248" s="200"/>
      <c r="S248" s="200"/>
      <c r="T248" s="200" t="str">
        <f t="shared" si="39"/>
        <v/>
      </c>
      <c r="U248" s="200"/>
      <c r="V248" s="201" t="str">
        <f t="shared" si="40"/>
        <v/>
      </c>
      <c r="W248" s="202">
        <f t="shared" si="41"/>
        <v>0</v>
      </c>
      <c r="X248" s="172"/>
    </row>
    <row r="249" spans="1:24" x14ac:dyDescent="0.45">
      <c r="A249" s="193">
        <v>39</v>
      </c>
      <c r="B249" s="194" t="str">
        <f t="shared" si="37"/>
        <v/>
      </c>
      <c r="C249" s="170" t="str">
        <f t="shared" si="38"/>
        <v/>
      </c>
      <c r="D249" s="170"/>
      <c r="E249" s="195"/>
      <c r="F249" s="170"/>
      <c r="G249" s="170"/>
      <c r="H249" s="203"/>
      <c r="I249" s="197" t="str">
        <f t="shared" si="42"/>
        <v/>
      </c>
      <c r="J249" s="197" t="str">
        <f t="shared" si="43"/>
        <v/>
      </c>
      <c r="K249" s="197"/>
      <c r="L249" s="197"/>
      <c r="M249" s="198"/>
      <c r="N249" s="198"/>
      <c r="O249" s="198"/>
      <c r="P249" s="199"/>
      <c r="Q249" s="200"/>
      <c r="R249" s="200"/>
      <c r="S249" s="200"/>
      <c r="T249" s="200" t="str">
        <f t="shared" si="39"/>
        <v/>
      </c>
      <c r="U249" s="200"/>
      <c r="V249" s="201" t="str">
        <f t="shared" si="40"/>
        <v/>
      </c>
      <c r="W249" s="202">
        <f t="shared" si="41"/>
        <v>0</v>
      </c>
      <c r="X249" s="172"/>
    </row>
    <row r="250" spans="1:24" x14ac:dyDescent="0.45">
      <c r="A250" s="193">
        <v>40</v>
      </c>
      <c r="B250" s="194" t="str">
        <f t="shared" si="37"/>
        <v/>
      </c>
      <c r="C250" s="170" t="str">
        <f t="shared" si="38"/>
        <v/>
      </c>
      <c r="D250" s="170"/>
      <c r="E250" s="195"/>
      <c r="F250" s="170"/>
      <c r="G250" s="170"/>
      <c r="H250" s="203"/>
      <c r="I250" s="197" t="str">
        <f t="shared" si="42"/>
        <v/>
      </c>
      <c r="J250" s="197" t="str">
        <f t="shared" si="43"/>
        <v/>
      </c>
      <c r="K250" s="197"/>
      <c r="L250" s="197"/>
      <c r="M250" s="198"/>
      <c r="N250" s="198"/>
      <c r="O250" s="198"/>
      <c r="P250" s="199"/>
      <c r="Q250" s="200"/>
      <c r="R250" s="200"/>
      <c r="S250" s="200"/>
      <c r="T250" s="200" t="str">
        <f t="shared" si="39"/>
        <v/>
      </c>
      <c r="U250" s="200"/>
      <c r="V250" s="201" t="str">
        <f t="shared" si="40"/>
        <v/>
      </c>
      <c r="W250" s="202">
        <f t="shared" si="41"/>
        <v>0</v>
      </c>
      <c r="X250" s="172"/>
    </row>
    <row r="251" spans="1:24" x14ac:dyDescent="0.45">
      <c r="A251" s="193">
        <v>41</v>
      </c>
      <c r="B251" s="194" t="str">
        <f t="shared" si="37"/>
        <v/>
      </c>
      <c r="C251" s="170" t="str">
        <f t="shared" si="38"/>
        <v/>
      </c>
      <c r="D251" s="170"/>
      <c r="E251" s="195"/>
      <c r="F251" s="170"/>
      <c r="G251" s="170"/>
      <c r="H251" s="203"/>
      <c r="I251" s="197" t="str">
        <f t="shared" si="42"/>
        <v/>
      </c>
      <c r="J251" s="197" t="str">
        <f t="shared" si="43"/>
        <v/>
      </c>
      <c r="K251" s="197"/>
      <c r="L251" s="197"/>
      <c r="M251" s="198"/>
      <c r="N251" s="198"/>
      <c r="O251" s="198"/>
      <c r="P251" s="199"/>
      <c r="Q251" s="200"/>
      <c r="R251" s="200"/>
      <c r="S251" s="200"/>
      <c r="T251" s="200" t="str">
        <f t="shared" si="39"/>
        <v/>
      </c>
      <c r="U251" s="200"/>
      <c r="V251" s="201" t="str">
        <f t="shared" si="40"/>
        <v/>
      </c>
      <c r="W251" s="202">
        <f t="shared" si="41"/>
        <v>0</v>
      </c>
      <c r="X251" s="172"/>
    </row>
    <row r="252" spans="1:24" x14ac:dyDescent="0.45">
      <c r="A252" s="193">
        <v>42</v>
      </c>
      <c r="B252" s="194" t="str">
        <f t="shared" si="37"/>
        <v/>
      </c>
      <c r="C252" s="170" t="str">
        <f t="shared" si="38"/>
        <v/>
      </c>
      <c r="D252" s="170"/>
      <c r="E252" s="195"/>
      <c r="F252" s="170"/>
      <c r="G252" s="170"/>
      <c r="H252" s="203"/>
      <c r="I252" s="197" t="str">
        <f t="shared" si="42"/>
        <v/>
      </c>
      <c r="J252" s="197" t="str">
        <f t="shared" si="43"/>
        <v/>
      </c>
      <c r="K252" s="197"/>
      <c r="L252" s="197"/>
      <c r="M252" s="198"/>
      <c r="N252" s="198"/>
      <c r="O252" s="198"/>
      <c r="P252" s="199"/>
      <c r="Q252" s="200"/>
      <c r="R252" s="200"/>
      <c r="S252" s="200"/>
      <c r="T252" s="200" t="str">
        <f t="shared" si="39"/>
        <v/>
      </c>
      <c r="U252" s="200"/>
      <c r="V252" s="201" t="str">
        <f t="shared" si="40"/>
        <v/>
      </c>
      <c r="W252" s="202">
        <f t="shared" si="41"/>
        <v>0</v>
      </c>
      <c r="X252" s="172"/>
    </row>
    <row r="253" spans="1:24" x14ac:dyDescent="0.45">
      <c r="A253" s="193">
        <v>43</v>
      </c>
      <c r="B253" s="194" t="str">
        <f t="shared" si="37"/>
        <v/>
      </c>
      <c r="C253" s="170" t="str">
        <f t="shared" si="38"/>
        <v/>
      </c>
      <c r="D253" s="170"/>
      <c r="E253" s="195"/>
      <c r="F253" s="170"/>
      <c r="G253" s="170"/>
      <c r="H253" s="203"/>
      <c r="I253" s="197" t="str">
        <f t="shared" si="42"/>
        <v/>
      </c>
      <c r="J253" s="197" t="str">
        <f t="shared" si="43"/>
        <v/>
      </c>
      <c r="K253" s="197"/>
      <c r="L253" s="197"/>
      <c r="M253" s="198"/>
      <c r="N253" s="198"/>
      <c r="O253" s="198"/>
      <c r="P253" s="199"/>
      <c r="Q253" s="200"/>
      <c r="R253" s="200"/>
      <c r="S253" s="200"/>
      <c r="T253" s="200" t="str">
        <f t="shared" si="39"/>
        <v/>
      </c>
      <c r="U253" s="200"/>
      <c r="V253" s="201" t="str">
        <f t="shared" si="40"/>
        <v/>
      </c>
      <c r="W253" s="202">
        <f t="shared" si="41"/>
        <v>0</v>
      </c>
      <c r="X253" s="172"/>
    </row>
    <row r="254" spans="1:24" x14ac:dyDescent="0.45">
      <c r="A254" s="193">
        <v>44</v>
      </c>
      <c r="B254" s="194" t="str">
        <f t="shared" si="37"/>
        <v/>
      </c>
      <c r="C254" s="170" t="str">
        <f t="shared" si="38"/>
        <v/>
      </c>
      <c r="D254" s="170"/>
      <c r="E254" s="195"/>
      <c r="F254" s="170"/>
      <c r="G254" s="170"/>
      <c r="H254" s="203"/>
      <c r="I254" s="197" t="str">
        <f t="shared" si="42"/>
        <v/>
      </c>
      <c r="J254" s="197" t="str">
        <f t="shared" si="43"/>
        <v/>
      </c>
      <c r="K254" s="197"/>
      <c r="L254" s="197"/>
      <c r="M254" s="198"/>
      <c r="N254" s="198"/>
      <c r="O254" s="198"/>
      <c r="P254" s="199"/>
      <c r="Q254" s="200"/>
      <c r="R254" s="200"/>
      <c r="S254" s="200"/>
      <c r="T254" s="200" t="str">
        <f t="shared" si="39"/>
        <v/>
      </c>
      <c r="U254" s="200"/>
      <c r="V254" s="201" t="str">
        <f t="shared" si="40"/>
        <v/>
      </c>
      <c r="W254" s="202">
        <f t="shared" si="41"/>
        <v>0</v>
      </c>
      <c r="X254" s="172"/>
    </row>
    <row r="255" spans="1:24" x14ac:dyDescent="0.45">
      <c r="A255" s="193">
        <v>45</v>
      </c>
      <c r="B255" s="194" t="str">
        <f t="shared" si="37"/>
        <v/>
      </c>
      <c r="C255" s="170" t="str">
        <f t="shared" si="38"/>
        <v/>
      </c>
      <c r="D255" s="170"/>
      <c r="E255" s="195"/>
      <c r="F255" s="170"/>
      <c r="G255" s="170"/>
      <c r="H255" s="203"/>
      <c r="I255" s="197" t="str">
        <f t="shared" si="42"/>
        <v/>
      </c>
      <c r="J255" s="197" t="str">
        <f t="shared" si="43"/>
        <v/>
      </c>
      <c r="K255" s="197"/>
      <c r="L255" s="197"/>
      <c r="M255" s="198"/>
      <c r="N255" s="198"/>
      <c r="O255" s="198"/>
      <c r="P255" s="199"/>
      <c r="Q255" s="200"/>
      <c r="R255" s="200"/>
      <c r="S255" s="200"/>
      <c r="T255" s="200" t="str">
        <f t="shared" si="39"/>
        <v/>
      </c>
      <c r="U255" s="200"/>
      <c r="V255" s="201" t="str">
        <f t="shared" si="40"/>
        <v/>
      </c>
      <c r="W255" s="202">
        <f t="shared" si="41"/>
        <v>0</v>
      </c>
      <c r="X255" s="172"/>
    </row>
    <row r="256" spans="1:24" x14ac:dyDescent="0.45">
      <c r="A256" s="193">
        <v>46</v>
      </c>
      <c r="B256" s="194" t="str">
        <f t="shared" si="37"/>
        <v/>
      </c>
      <c r="C256" s="170" t="str">
        <f t="shared" si="38"/>
        <v/>
      </c>
      <c r="D256" s="170"/>
      <c r="E256" s="195"/>
      <c r="F256" s="170"/>
      <c r="G256" s="170"/>
      <c r="H256" s="203"/>
      <c r="I256" s="197" t="str">
        <f t="shared" si="42"/>
        <v/>
      </c>
      <c r="J256" s="197" t="str">
        <f t="shared" si="43"/>
        <v/>
      </c>
      <c r="K256" s="197"/>
      <c r="L256" s="197"/>
      <c r="M256" s="198"/>
      <c r="N256" s="198"/>
      <c r="O256" s="198"/>
      <c r="P256" s="199"/>
      <c r="Q256" s="200"/>
      <c r="R256" s="200"/>
      <c r="S256" s="200"/>
      <c r="T256" s="200" t="str">
        <f t="shared" si="39"/>
        <v/>
      </c>
      <c r="U256" s="200"/>
      <c r="V256" s="201" t="str">
        <f t="shared" si="40"/>
        <v/>
      </c>
      <c r="W256" s="202">
        <f t="shared" si="41"/>
        <v>0</v>
      </c>
      <c r="X256" s="172"/>
    </row>
    <row r="257" spans="1:24" x14ac:dyDescent="0.45">
      <c r="A257" s="193">
        <v>47</v>
      </c>
      <c r="B257" s="194" t="str">
        <f t="shared" si="37"/>
        <v/>
      </c>
      <c r="C257" s="170" t="str">
        <f t="shared" si="38"/>
        <v/>
      </c>
      <c r="D257" s="170"/>
      <c r="E257" s="195"/>
      <c r="F257" s="170"/>
      <c r="G257" s="170"/>
      <c r="H257" s="203"/>
      <c r="I257" s="197" t="str">
        <f t="shared" si="42"/>
        <v/>
      </c>
      <c r="J257" s="197" t="str">
        <f t="shared" si="43"/>
        <v/>
      </c>
      <c r="K257" s="197"/>
      <c r="L257" s="197"/>
      <c r="M257" s="198"/>
      <c r="N257" s="198"/>
      <c r="O257" s="198"/>
      <c r="P257" s="199"/>
      <c r="Q257" s="200"/>
      <c r="R257" s="200"/>
      <c r="S257" s="200"/>
      <c r="T257" s="200" t="str">
        <f t="shared" si="39"/>
        <v/>
      </c>
      <c r="U257" s="200"/>
      <c r="V257" s="201" t="str">
        <f t="shared" si="40"/>
        <v/>
      </c>
      <c r="W257" s="202">
        <f t="shared" si="41"/>
        <v>0</v>
      </c>
      <c r="X257" s="172"/>
    </row>
    <row r="258" spans="1:24" x14ac:dyDescent="0.45">
      <c r="A258" s="193">
        <v>48</v>
      </c>
      <c r="B258" s="194" t="str">
        <f t="shared" si="37"/>
        <v/>
      </c>
      <c r="C258" s="170" t="str">
        <f t="shared" si="38"/>
        <v/>
      </c>
      <c r="D258" s="170"/>
      <c r="E258" s="195"/>
      <c r="F258" s="170"/>
      <c r="G258" s="170"/>
      <c r="H258" s="203"/>
      <c r="I258" s="197" t="str">
        <f t="shared" si="42"/>
        <v/>
      </c>
      <c r="J258" s="197" t="str">
        <f t="shared" si="43"/>
        <v/>
      </c>
      <c r="K258" s="197"/>
      <c r="L258" s="197"/>
      <c r="M258" s="198"/>
      <c r="N258" s="198"/>
      <c r="O258" s="198"/>
      <c r="P258" s="199"/>
      <c r="Q258" s="200"/>
      <c r="R258" s="200"/>
      <c r="S258" s="200"/>
      <c r="T258" s="200" t="str">
        <f t="shared" si="39"/>
        <v/>
      </c>
      <c r="U258" s="200"/>
      <c r="V258" s="201" t="str">
        <f t="shared" si="40"/>
        <v/>
      </c>
      <c r="W258" s="202">
        <f t="shared" si="41"/>
        <v>0</v>
      </c>
      <c r="X258" s="172"/>
    </row>
    <row r="259" spans="1:24" x14ac:dyDescent="0.45">
      <c r="A259" s="193">
        <v>49</v>
      </c>
      <c r="B259" s="194" t="str">
        <f t="shared" si="37"/>
        <v/>
      </c>
      <c r="C259" s="170" t="str">
        <f t="shared" si="38"/>
        <v/>
      </c>
      <c r="D259" s="170"/>
      <c r="E259" s="195"/>
      <c r="F259" s="170"/>
      <c r="G259" s="170"/>
      <c r="H259" s="203"/>
      <c r="I259" s="197" t="str">
        <f t="shared" si="42"/>
        <v/>
      </c>
      <c r="J259" s="197" t="str">
        <f t="shared" si="43"/>
        <v/>
      </c>
      <c r="K259" s="197"/>
      <c r="L259" s="197"/>
      <c r="M259" s="198"/>
      <c r="N259" s="198"/>
      <c r="O259" s="198"/>
      <c r="P259" s="199"/>
      <c r="Q259" s="200"/>
      <c r="R259" s="200"/>
      <c r="S259" s="200"/>
      <c r="T259" s="200" t="str">
        <f t="shared" si="39"/>
        <v/>
      </c>
      <c r="U259" s="200"/>
      <c r="V259" s="201" t="str">
        <f t="shared" si="40"/>
        <v/>
      </c>
      <c r="W259" s="202">
        <f t="shared" si="41"/>
        <v>0</v>
      </c>
      <c r="X259" s="172"/>
    </row>
    <row r="260" spans="1:24" x14ac:dyDescent="0.45">
      <c r="A260" s="193">
        <v>50</v>
      </c>
      <c r="B260" s="194" t="str">
        <f t="shared" si="37"/>
        <v/>
      </c>
      <c r="C260" s="170" t="str">
        <f t="shared" si="38"/>
        <v/>
      </c>
      <c r="D260" s="170"/>
      <c r="E260" s="195"/>
      <c r="F260" s="170"/>
      <c r="G260" s="170"/>
      <c r="H260" s="203"/>
      <c r="I260" s="197" t="str">
        <f t="shared" si="42"/>
        <v/>
      </c>
      <c r="J260" s="197" t="str">
        <f t="shared" si="43"/>
        <v/>
      </c>
      <c r="K260" s="197"/>
      <c r="L260" s="197"/>
      <c r="M260" s="198"/>
      <c r="N260" s="198"/>
      <c r="O260" s="198"/>
      <c r="P260" s="199"/>
      <c r="Q260" s="200"/>
      <c r="R260" s="200"/>
      <c r="S260" s="200"/>
      <c r="T260" s="200" t="str">
        <f t="shared" si="39"/>
        <v/>
      </c>
      <c r="U260" s="200"/>
      <c r="V260" s="201" t="str">
        <f t="shared" si="40"/>
        <v/>
      </c>
      <c r="W260" s="202">
        <f t="shared" si="41"/>
        <v>0</v>
      </c>
      <c r="X260" s="172"/>
    </row>
    <row r="261" spans="1:24" x14ac:dyDescent="0.45">
      <c r="A261" s="193">
        <v>51</v>
      </c>
      <c r="B261" s="194" t="str">
        <f t="shared" si="37"/>
        <v/>
      </c>
      <c r="C261" s="170" t="str">
        <f t="shared" si="38"/>
        <v/>
      </c>
      <c r="D261" s="170"/>
      <c r="E261" s="195"/>
      <c r="F261" s="170"/>
      <c r="G261" s="170"/>
      <c r="H261" s="203"/>
      <c r="I261" s="197" t="str">
        <f t="shared" si="42"/>
        <v/>
      </c>
      <c r="J261" s="197" t="str">
        <f t="shared" si="43"/>
        <v/>
      </c>
      <c r="K261" s="197"/>
      <c r="L261" s="197"/>
      <c r="M261" s="198"/>
      <c r="N261" s="198"/>
      <c r="O261" s="198"/>
      <c r="P261" s="199"/>
      <c r="Q261" s="200"/>
      <c r="R261" s="200"/>
      <c r="S261" s="200"/>
      <c r="T261" s="200" t="str">
        <f t="shared" si="39"/>
        <v/>
      </c>
      <c r="U261" s="200"/>
      <c r="V261" s="201" t="str">
        <f t="shared" si="40"/>
        <v/>
      </c>
      <c r="W261" s="202">
        <f t="shared" si="41"/>
        <v>0</v>
      </c>
      <c r="X261" s="172"/>
    </row>
    <row r="262" spans="1:24" x14ac:dyDescent="0.45">
      <c r="A262" s="193">
        <v>52</v>
      </c>
      <c r="B262" s="194" t="str">
        <f t="shared" si="37"/>
        <v/>
      </c>
      <c r="C262" s="170" t="str">
        <f t="shared" si="38"/>
        <v/>
      </c>
      <c r="D262" s="170"/>
      <c r="E262" s="195"/>
      <c r="F262" s="170"/>
      <c r="G262" s="170"/>
      <c r="H262" s="203"/>
      <c r="I262" s="197" t="str">
        <f t="shared" si="42"/>
        <v/>
      </c>
      <c r="J262" s="197" t="str">
        <f t="shared" si="43"/>
        <v/>
      </c>
      <c r="K262" s="197"/>
      <c r="L262" s="197"/>
      <c r="M262" s="198"/>
      <c r="N262" s="198"/>
      <c r="O262" s="198"/>
      <c r="P262" s="199"/>
      <c r="Q262" s="200"/>
      <c r="R262" s="200"/>
      <c r="S262" s="200"/>
      <c r="T262" s="200" t="str">
        <f t="shared" si="39"/>
        <v/>
      </c>
      <c r="U262" s="200"/>
      <c r="V262" s="201" t="str">
        <f t="shared" si="40"/>
        <v/>
      </c>
      <c r="W262" s="202">
        <f t="shared" si="41"/>
        <v>0</v>
      </c>
      <c r="X262" s="172"/>
    </row>
    <row r="263" spans="1:24" x14ac:dyDescent="0.45">
      <c r="A263" s="193">
        <v>53</v>
      </c>
      <c r="B263" s="194" t="str">
        <f t="shared" si="37"/>
        <v/>
      </c>
      <c r="C263" s="170" t="str">
        <f t="shared" si="38"/>
        <v/>
      </c>
      <c r="D263" s="170"/>
      <c r="E263" s="195"/>
      <c r="F263" s="170"/>
      <c r="G263" s="170"/>
      <c r="H263" s="203"/>
      <c r="I263" s="197" t="str">
        <f t="shared" si="42"/>
        <v/>
      </c>
      <c r="J263" s="197" t="str">
        <f t="shared" si="43"/>
        <v/>
      </c>
      <c r="K263" s="197"/>
      <c r="L263" s="197"/>
      <c r="M263" s="198"/>
      <c r="N263" s="198"/>
      <c r="O263" s="198"/>
      <c r="P263" s="199"/>
      <c r="Q263" s="200"/>
      <c r="R263" s="200"/>
      <c r="S263" s="200"/>
      <c r="T263" s="200" t="str">
        <f t="shared" si="39"/>
        <v/>
      </c>
      <c r="U263" s="200"/>
      <c r="V263" s="201" t="str">
        <f t="shared" si="40"/>
        <v/>
      </c>
      <c r="W263" s="202">
        <f t="shared" si="41"/>
        <v>0</v>
      </c>
      <c r="X263" s="172"/>
    </row>
    <row r="264" spans="1:24" x14ac:dyDescent="0.45">
      <c r="A264" s="193">
        <v>54</v>
      </c>
      <c r="B264" s="194" t="str">
        <f t="shared" si="37"/>
        <v/>
      </c>
      <c r="C264" s="170" t="str">
        <f t="shared" si="38"/>
        <v/>
      </c>
      <c r="D264" s="170"/>
      <c r="E264" s="195"/>
      <c r="F264" s="170"/>
      <c r="G264" s="170"/>
      <c r="H264" s="203"/>
      <c r="I264" s="197" t="str">
        <f t="shared" si="42"/>
        <v/>
      </c>
      <c r="J264" s="197" t="str">
        <f t="shared" si="43"/>
        <v/>
      </c>
      <c r="K264" s="197"/>
      <c r="L264" s="197"/>
      <c r="M264" s="198"/>
      <c r="N264" s="198"/>
      <c r="O264" s="198"/>
      <c r="P264" s="199"/>
      <c r="Q264" s="200"/>
      <c r="R264" s="200"/>
      <c r="S264" s="200"/>
      <c r="T264" s="200" t="str">
        <f t="shared" si="39"/>
        <v/>
      </c>
      <c r="U264" s="200"/>
      <c r="V264" s="201" t="str">
        <f t="shared" si="40"/>
        <v/>
      </c>
      <c r="W264" s="202">
        <f t="shared" si="41"/>
        <v>0</v>
      </c>
      <c r="X264" s="172"/>
    </row>
    <row r="265" spans="1:24" x14ac:dyDescent="0.45">
      <c r="A265" s="193">
        <v>55</v>
      </c>
      <c r="B265" s="194" t="str">
        <f t="shared" si="37"/>
        <v/>
      </c>
      <c r="C265" s="170" t="str">
        <f t="shared" si="38"/>
        <v/>
      </c>
      <c r="D265" s="170"/>
      <c r="E265" s="195"/>
      <c r="F265" s="170"/>
      <c r="G265" s="170"/>
      <c r="H265" s="203"/>
      <c r="I265" s="197" t="str">
        <f t="shared" si="42"/>
        <v/>
      </c>
      <c r="J265" s="197" t="str">
        <f t="shared" si="43"/>
        <v/>
      </c>
      <c r="K265" s="197"/>
      <c r="L265" s="197"/>
      <c r="M265" s="198"/>
      <c r="N265" s="198"/>
      <c r="O265" s="198"/>
      <c r="P265" s="199"/>
      <c r="Q265" s="200"/>
      <c r="R265" s="200"/>
      <c r="S265" s="200"/>
      <c r="T265" s="200" t="str">
        <f t="shared" si="39"/>
        <v/>
      </c>
      <c r="U265" s="200"/>
      <c r="V265" s="201" t="str">
        <f t="shared" si="40"/>
        <v/>
      </c>
      <c r="W265" s="202">
        <f t="shared" si="41"/>
        <v>0</v>
      </c>
      <c r="X265" s="172"/>
    </row>
    <row r="266" spans="1:24" x14ac:dyDescent="0.45">
      <c r="A266" s="193">
        <v>56</v>
      </c>
      <c r="B266" s="194" t="str">
        <f t="shared" si="37"/>
        <v/>
      </c>
      <c r="C266" s="170" t="str">
        <f t="shared" si="38"/>
        <v/>
      </c>
      <c r="D266" s="170"/>
      <c r="E266" s="195"/>
      <c r="F266" s="170"/>
      <c r="G266" s="170"/>
      <c r="H266" s="203"/>
      <c r="I266" s="197" t="str">
        <f t="shared" si="42"/>
        <v/>
      </c>
      <c r="J266" s="197" t="str">
        <f t="shared" si="43"/>
        <v/>
      </c>
      <c r="K266" s="197"/>
      <c r="L266" s="197"/>
      <c r="M266" s="198"/>
      <c r="N266" s="198"/>
      <c r="O266" s="198"/>
      <c r="P266" s="199"/>
      <c r="Q266" s="200"/>
      <c r="R266" s="200"/>
      <c r="S266" s="200"/>
      <c r="T266" s="200" t="str">
        <f t="shared" si="39"/>
        <v/>
      </c>
      <c r="U266" s="200"/>
      <c r="V266" s="201" t="str">
        <f t="shared" si="40"/>
        <v/>
      </c>
      <c r="W266" s="202">
        <f t="shared" si="41"/>
        <v>0</v>
      </c>
      <c r="X266" s="172"/>
    </row>
    <row r="267" spans="1:24" x14ac:dyDescent="0.45">
      <c r="A267" s="193">
        <v>57</v>
      </c>
      <c r="B267" s="194" t="str">
        <f t="shared" si="37"/>
        <v/>
      </c>
      <c r="C267" s="170" t="str">
        <f t="shared" si="38"/>
        <v/>
      </c>
      <c r="D267" s="170"/>
      <c r="E267" s="195"/>
      <c r="F267" s="170"/>
      <c r="G267" s="170"/>
      <c r="H267" s="203"/>
      <c r="I267" s="197" t="str">
        <f t="shared" si="42"/>
        <v/>
      </c>
      <c r="J267" s="197" t="str">
        <f t="shared" si="43"/>
        <v/>
      </c>
      <c r="K267" s="197"/>
      <c r="L267" s="197"/>
      <c r="M267" s="198"/>
      <c r="N267" s="198"/>
      <c r="O267" s="198"/>
      <c r="P267" s="199"/>
      <c r="Q267" s="200"/>
      <c r="R267" s="200"/>
      <c r="S267" s="200"/>
      <c r="T267" s="200" t="str">
        <f t="shared" si="39"/>
        <v/>
      </c>
      <c r="U267" s="200"/>
      <c r="V267" s="201" t="str">
        <f t="shared" si="40"/>
        <v/>
      </c>
      <c r="W267" s="202">
        <f t="shared" si="41"/>
        <v>0</v>
      </c>
      <c r="X267" s="172"/>
    </row>
    <row r="268" spans="1:24" x14ac:dyDescent="0.45">
      <c r="A268" s="193">
        <v>58</v>
      </c>
      <c r="B268" s="194" t="str">
        <f t="shared" si="37"/>
        <v/>
      </c>
      <c r="C268" s="170" t="str">
        <f t="shared" si="38"/>
        <v/>
      </c>
      <c r="D268" s="170"/>
      <c r="E268" s="195"/>
      <c r="F268" s="170"/>
      <c r="G268" s="170"/>
      <c r="H268" s="203"/>
      <c r="I268" s="197" t="str">
        <f t="shared" si="42"/>
        <v/>
      </c>
      <c r="J268" s="197" t="str">
        <f t="shared" si="43"/>
        <v/>
      </c>
      <c r="K268" s="197"/>
      <c r="L268" s="197"/>
      <c r="M268" s="198"/>
      <c r="N268" s="198"/>
      <c r="O268" s="198"/>
      <c r="P268" s="199"/>
      <c r="Q268" s="200"/>
      <c r="R268" s="200"/>
      <c r="S268" s="200"/>
      <c r="T268" s="200" t="str">
        <f t="shared" si="39"/>
        <v/>
      </c>
      <c r="U268" s="200"/>
      <c r="V268" s="201" t="str">
        <f t="shared" si="40"/>
        <v/>
      </c>
      <c r="W268" s="202">
        <f t="shared" si="41"/>
        <v>0</v>
      </c>
      <c r="X268" s="172"/>
    </row>
    <row r="269" spans="1:24" x14ac:dyDescent="0.45">
      <c r="A269" s="193">
        <v>59</v>
      </c>
      <c r="B269" s="194" t="str">
        <f t="shared" si="37"/>
        <v/>
      </c>
      <c r="C269" s="170" t="str">
        <f t="shared" si="38"/>
        <v/>
      </c>
      <c r="D269" s="170"/>
      <c r="E269" s="195"/>
      <c r="F269" s="170"/>
      <c r="G269" s="170"/>
      <c r="H269" s="203"/>
      <c r="I269" s="197" t="str">
        <f t="shared" si="42"/>
        <v/>
      </c>
      <c r="J269" s="197" t="str">
        <f t="shared" si="43"/>
        <v/>
      </c>
      <c r="K269" s="197"/>
      <c r="L269" s="197"/>
      <c r="M269" s="198"/>
      <c r="N269" s="198"/>
      <c r="O269" s="198"/>
      <c r="P269" s="199"/>
      <c r="Q269" s="200"/>
      <c r="R269" s="200"/>
      <c r="S269" s="200"/>
      <c r="T269" s="200" t="str">
        <f t="shared" si="39"/>
        <v/>
      </c>
      <c r="U269" s="200"/>
      <c r="V269" s="201" t="str">
        <f t="shared" si="40"/>
        <v/>
      </c>
      <c r="W269" s="202">
        <f t="shared" si="41"/>
        <v>0</v>
      </c>
      <c r="X269" s="172"/>
    </row>
    <row r="270" spans="1:24" x14ac:dyDescent="0.45">
      <c r="A270" s="193">
        <v>60</v>
      </c>
      <c r="B270" s="194" t="str">
        <f t="shared" si="37"/>
        <v/>
      </c>
      <c r="C270" s="170" t="str">
        <f t="shared" si="38"/>
        <v/>
      </c>
      <c r="D270" s="170"/>
      <c r="E270" s="195"/>
      <c r="F270" s="170"/>
      <c r="G270" s="170"/>
      <c r="H270" s="203"/>
      <c r="I270" s="197" t="str">
        <f t="shared" si="42"/>
        <v/>
      </c>
      <c r="J270" s="197" t="str">
        <f t="shared" si="43"/>
        <v/>
      </c>
      <c r="K270" s="197"/>
      <c r="L270" s="197"/>
      <c r="M270" s="198"/>
      <c r="N270" s="198"/>
      <c r="O270" s="198"/>
      <c r="P270" s="199"/>
      <c r="Q270" s="200"/>
      <c r="R270" s="200"/>
      <c r="S270" s="200"/>
      <c r="T270" s="200" t="str">
        <f t="shared" si="39"/>
        <v/>
      </c>
      <c r="U270" s="200"/>
      <c r="V270" s="201" t="str">
        <f t="shared" si="40"/>
        <v/>
      </c>
      <c r="W270" s="202">
        <f t="shared" si="41"/>
        <v>0</v>
      </c>
      <c r="X270" s="172"/>
    </row>
    <row r="271" spans="1:24" x14ac:dyDescent="0.45">
      <c r="A271" s="193">
        <v>61</v>
      </c>
      <c r="B271" s="194" t="str">
        <f t="shared" si="37"/>
        <v/>
      </c>
      <c r="C271" s="170" t="str">
        <f t="shared" si="38"/>
        <v/>
      </c>
      <c r="D271" s="170"/>
      <c r="E271" s="195"/>
      <c r="F271" s="170"/>
      <c r="G271" s="170"/>
      <c r="H271" s="203"/>
      <c r="I271" s="197" t="str">
        <f t="shared" si="42"/>
        <v/>
      </c>
      <c r="J271" s="197" t="str">
        <f t="shared" si="43"/>
        <v/>
      </c>
      <c r="K271" s="197"/>
      <c r="L271" s="197"/>
      <c r="M271" s="198"/>
      <c r="N271" s="198"/>
      <c r="O271" s="198"/>
      <c r="P271" s="199"/>
      <c r="Q271" s="200"/>
      <c r="R271" s="200"/>
      <c r="S271" s="200"/>
      <c r="T271" s="200" t="str">
        <f t="shared" si="39"/>
        <v/>
      </c>
      <c r="U271" s="200"/>
      <c r="V271" s="201" t="str">
        <f t="shared" si="40"/>
        <v/>
      </c>
      <c r="W271" s="202">
        <f t="shared" si="41"/>
        <v>0</v>
      </c>
      <c r="X271" s="172"/>
    </row>
    <row r="272" spans="1:24" x14ac:dyDescent="0.45">
      <c r="A272" s="193">
        <v>62</v>
      </c>
      <c r="B272" s="194" t="str">
        <f t="shared" si="37"/>
        <v/>
      </c>
      <c r="C272" s="170" t="str">
        <f t="shared" si="38"/>
        <v/>
      </c>
      <c r="D272" s="170"/>
      <c r="E272" s="195"/>
      <c r="F272" s="170"/>
      <c r="G272" s="170"/>
      <c r="H272" s="203"/>
      <c r="I272" s="197" t="str">
        <f t="shared" si="42"/>
        <v/>
      </c>
      <c r="J272" s="197" t="str">
        <f t="shared" si="43"/>
        <v/>
      </c>
      <c r="K272" s="197"/>
      <c r="L272" s="197"/>
      <c r="M272" s="198"/>
      <c r="N272" s="198"/>
      <c r="O272" s="198"/>
      <c r="P272" s="199"/>
      <c r="Q272" s="200"/>
      <c r="R272" s="200"/>
      <c r="S272" s="200"/>
      <c r="T272" s="200" t="str">
        <f t="shared" si="39"/>
        <v/>
      </c>
      <c r="U272" s="200"/>
      <c r="V272" s="201" t="str">
        <f t="shared" si="40"/>
        <v/>
      </c>
      <c r="W272" s="202">
        <f t="shared" si="41"/>
        <v>0</v>
      </c>
      <c r="X272" s="172"/>
    </row>
    <row r="273" spans="1:24" x14ac:dyDescent="0.45">
      <c r="A273" s="193">
        <v>63</v>
      </c>
      <c r="B273" s="194" t="str">
        <f t="shared" si="37"/>
        <v/>
      </c>
      <c r="C273" s="170" t="str">
        <f t="shared" si="38"/>
        <v/>
      </c>
      <c r="D273" s="170"/>
      <c r="E273" s="195"/>
      <c r="F273" s="170"/>
      <c r="G273" s="170"/>
      <c r="H273" s="203"/>
      <c r="I273" s="197" t="str">
        <f t="shared" si="42"/>
        <v/>
      </c>
      <c r="J273" s="197" t="str">
        <f t="shared" si="43"/>
        <v/>
      </c>
      <c r="K273" s="197"/>
      <c r="L273" s="197"/>
      <c r="M273" s="198"/>
      <c r="N273" s="198"/>
      <c r="O273" s="198"/>
      <c r="P273" s="199"/>
      <c r="Q273" s="200"/>
      <c r="R273" s="200"/>
      <c r="S273" s="200"/>
      <c r="T273" s="200" t="str">
        <f t="shared" si="39"/>
        <v/>
      </c>
      <c r="U273" s="200"/>
      <c r="V273" s="201" t="str">
        <f t="shared" si="40"/>
        <v/>
      </c>
      <c r="W273" s="202">
        <f t="shared" si="41"/>
        <v>0</v>
      </c>
      <c r="X273" s="172"/>
    </row>
    <row r="274" spans="1:24" x14ac:dyDescent="0.45">
      <c r="A274" s="193">
        <v>64</v>
      </c>
      <c r="B274" s="194" t="str">
        <f t="shared" si="37"/>
        <v/>
      </c>
      <c r="C274" s="170" t="str">
        <f t="shared" si="38"/>
        <v/>
      </c>
      <c r="D274" s="170"/>
      <c r="E274" s="195"/>
      <c r="F274" s="170"/>
      <c r="G274" s="170"/>
      <c r="H274" s="203"/>
      <c r="I274" s="197" t="str">
        <f t="shared" si="42"/>
        <v/>
      </c>
      <c r="J274" s="197" t="str">
        <f t="shared" si="43"/>
        <v/>
      </c>
      <c r="K274" s="197"/>
      <c r="L274" s="197"/>
      <c r="M274" s="198"/>
      <c r="N274" s="198"/>
      <c r="O274" s="198"/>
      <c r="P274" s="199"/>
      <c r="Q274" s="200"/>
      <c r="R274" s="200"/>
      <c r="S274" s="200"/>
      <c r="T274" s="200" t="str">
        <f t="shared" si="39"/>
        <v/>
      </c>
      <c r="U274" s="200"/>
      <c r="V274" s="201" t="str">
        <f t="shared" si="40"/>
        <v/>
      </c>
      <c r="W274" s="202">
        <f t="shared" si="41"/>
        <v>0</v>
      </c>
      <c r="X274" s="172"/>
    </row>
    <row r="275" spans="1:24" x14ac:dyDescent="0.45">
      <c r="A275" s="193">
        <v>65</v>
      </c>
      <c r="B275" s="194" t="str">
        <f t="shared" si="37"/>
        <v/>
      </c>
      <c r="C275" s="170" t="str">
        <f t="shared" si="38"/>
        <v/>
      </c>
      <c r="D275" s="170"/>
      <c r="E275" s="195"/>
      <c r="F275" s="170"/>
      <c r="G275" s="170"/>
      <c r="H275" s="203"/>
      <c r="I275" s="197" t="str">
        <f t="shared" si="42"/>
        <v/>
      </c>
      <c r="J275" s="197" t="str">
        <f t="shared" si="43"/>
        <v/>
      </c>
      <c r="K275" s="197"/>
      <c r="L275" s="197"/>
      <c r="M275" s="198"/>
      <c r="N275" s="198"/>
      <c r="O275" s="198"/>
      <c r="P275" s="199"/>
      <c r="Q275" s="200"/>
      <c r="R275" s="200"/>
      <c r="S275" s="200"/>
      <c r="T275" s="200" t="str">
        <f t="shared" si="39"/>
        <v/>
      </c>
      <c r="U275" s="200"/>
      <c r="V275" s="201" t="str">
        <f t="shared" ref="V275:V276" si="44">IF(U275="","",$V$191)</f>
        <v/>
      </c>
      <c r="W275" s="202">
        <f t="shared" si="41"/>
        <v>0</v>
      </c>
      <c r="X275" s="172"/>
    </row>
    <row r="276" spans="1:24" ht="14.25" customHeight="1" x14ac:dyDescent="0.45">
      <c r="A276" s="193">
        <v>66</v>
      </c>
      <c r="B276" s="204" t="str">
        <f t="shared" si="37"/>
        <v/>
      </c>
      <c r="C276" s="205" t="str">
        <f t="shared" si="38"/>
        <v/>
      </c>
      <c r="D276" s="205"/>
      <c r="E276" s="205"/>
      <c r="F276" s="205"/>
      <c r="G276" s="205"/>
      <c r="H276" s="205"/>
      <c r="I276" s="206" t="str">
        <f t="shared" si="42"/>
        <v/>
      </c>
      <c r="J276" s="206" t="str">
        <f t="shared" si="43"/>
        <v/>
      </c>
      <c r="K276" s="206"/>
      <c r="L276" s="206"/>
      <c r="M276" s="205"/>
      <c r="N276" s="205"/>
      <c r="O276" s="205"/>
      <c r="P276" s="205"/>
      <c r="Q276" s="205"/>
      <c r="R276" s="205"/>
      <c r="S276" s="205"/>
      <c r="T276" s="205" t="str">
        <f t="shared" si="39"/>
        <v/>
      </c>
      <c r="U276" s="205"/>
      <c r="V276" s="205" t="str">
        <f t="shared" si="44"/>
        <v/>
      </c>
      <c r="W276" s="207">
        <f t="shared" si="41"/>
        <v>0</v>
      </c>
      <c r="X276" s="207"/>
    </row>
    <row r="277" spans="1:24" ht="24.75" customHeight="1" x14ac:dyDescent="0.45">
      <c r="B277" s="428" t="s">
        <v>1511</v>
      </c>
      <c r="C277" s="429" t="s">
        <v>1494</v>
      </c>
      <c r="D277" s="429"/>
      <c r="E277" s="429"/>
      <c r="F277" s="429"/>
      <c r="G277" s="429"/>
      <c r="H277" s="429"/>
      <c r="I277" s="429"/>
      <c r="J277" s="429"/>
      <c r="K277" s="429"/>
      <c r="L277" s="429"/>
      <c r="M277" s="429"/>
      <c r="N277" s="429"/>
      <c r="O277" s="429"/>
      <c r="P277" s="429"/>
      <c r="Q277" s="429"/>
      <c r="R277" s="145" t="s">
        <v>1</v>
      </c>
      <c r="S277" s="146"/>
      <c r="T277" s="145" t="s">
        <v>8</v>
      </c>
      <c r="U277" s="147"/>
      <c r="V277" s="148" t="s">
        <v>3</v>
      </c>
      <c r="W277" s="146"/>
      <c r="X277" s="149"/>
    </row>
    <row r="278" spans="1:24" ht="24.75" customHeight="1" x14ac:dyDescent="0.45">
      <c r="B278" s="428"/>
      <c r="C278" s="429"/>
      <c r="D278" s="429"/>
      <c r="E278" s="429"/>
      <c r="F278" s="429"/>
      <c r="G278" s="429"/>
      <c r="H278" s="429"/>
      <c r="I278" s="429"/>
      <c r="J278" s="429"/>
      <c r="K278" s="429"/>
      <c r="L278" s="429"/>
      <c r="M278" s="429"/>
      <c r="N278" s="429"/>
      <c r="O278" s="429"/>
      <c r="P278" s="429"/>
      <c r="Q278" s="429"/>
      <c r="R278" s="430" t="s">
        <v>1495</v>
      </c>
      <c r="S278" s="430"/>
      <c r="T278" s="431" t="str">
        <f>'BM MORRO DA CRUZ - VERTICAL'!$V$4</f>
        <v>01-10-26 A 31-10-26</v>
      </c>
      <c r="U278" s="431"/>
      <c r="V278" s="432" t="str">
        <f>IF('BM MORRO DA CRUZ - VERTICAL'!$BF$2="","",'BM MORRO DA CRUZ - VERTICAL'!$BF$2)</f>
        <v/>
      </c>
      <c r="W278" s="432"/>
      <c r="X278" s="150"/>
    </row>
    <row r="279" spans="1:24" ht="24.75" customHeight="1" x14ac:dyDescent="0.45">
      <c r="B279" s="151" t="s">
        <v>5</v>
      </c>
      <c r="C279" s="152"/>
      <c r="D279" s="152"/>
      <c r="E279" s="152"/>
      <c r="F279" s="152"/>
      <c r="G279" s="152"/>
      <c r="H279" s="152"/>
      <c r="I279" s="152"/>
      <c r="J279" s="152"/>
      <c r="K279" s="152"/>
      <c r="L279" s="152"/>
      <c r="M279" s="152"/>
      <c r="N279" s="152"/>
      <c r="O279" s="152"/>
      <c r="P279" s="153"/>
      <c r="Q279" s="154"/>
      <c r="R279" s="155"/>
      <c r="S279" s="155"/>
      <c r="T279" s="156" t="s">
        <v>1496</v>
      </c>
      <c r="U279" s="157"/>
      <c r="V279" s="158" t="s">
        <v>9</v>
      </c>
      <c r="W279" s="159"/>
      <c r="X279" s="433"/>
    </row>
    <row r="280" spans="1:24" ht="24.75" customHeight="1" x14ac:dyDescent="0.45">
      <c r="B280" s="17" t="s">
        <v>11</v>
      </c>
      <c r="C280" s="160"/>
      <c r="D280" s="160"/>
      <c r="E280" s="160"/>
      <c r="F280" s="160"/>
      <c r="G280" s="160"/>
      <c r="H280" s="160"/>
      <c r="I280" s="160"/>
      <c r="J280" s="160"/>
      <c r="K280" s="160"/>
      <c r="L280" s="160"/>
      <c r="M280" s="160"/>
      <c r="N280" s="160"/>
      <c r="O280" s="160"/>
      <c r="P280" s="161"/>
      <c r="Q280" s="162"/>
      <c r="R280" s="163"/>
      <c r="S280" s="163"/>
      <c r="T280" s="434" t="str">
        <f>'BM MORRO DA CRUZ - VERTICAL'!$V$2</f>
        <v>1ª MEDIÇÃO</v>
      </c>
      <c r="U280" s="434"/>
      <c r="V280" s="435" t="s">
        <v>13</v>
      </c>
      <c r="W280" s="435"/>
      <c r="X280" s="433"/>
    </row>
    <row r="281" spans="1:24" ht="24.75" customHeight="1" x14ac:dyDescent="0.45">
      <c r="B281" s="164" t="s">
        <v>1459</v>
      </c>
      <c r="C281" s="165" t="s">
        <v>14</v>
      </c>
      <c r="D281" s="165" t="s">
        <v>24</v>
      </c>
      <c r="E281" s="165" t="s">
        <v>25</v>
      </c>
      <c r="F281" s="166" t="s">
        <v>1461</v>
      </c>
      <c r="G281" s="165"/>
      <c r="H281" s="165"/>
      <c r="I281" s="165"/>
      <c r="J281" s="165"/>
      <c r="K281" s="165"/>
      <c r="L281" s="165"/>
      <c r="M281" s="165"/>
      <c r="N281" s="165"/>
      <c r="O281" s="165"/>
      <c r="P281" s="165"/>
      <c r="Q281" s="165"/>
      <c r="R281" s="165"/>
      <c r="S281" s="165"/>
      <c r="T281" s="165"/>
      <c r="U281" s="165"/>
      <c r="V281" s="165" t="s">
        <v>26</v>
      </c>
      <c r="W281" s="167" t="s">
        <v>29</v>
      </c>
      <c r="X281" s="168"/>
    </row>
    <row r="282" spans="1:24" ht="24.75" customHeight="1" x14ac:dyDescent="0.45">
      <c r="B282" s="169"/>
      <c r="C282" s="170"/>
      <c r="D282" s="170"/>
      <c r="E282" s="170"/>
      <c r="F282" s="170"/>
      <c r="G282" s="170"/>
      <c r="H282" s="170"/>
      <c r="I282" s="170"/>
      <c r="J282" s="170"/>
      <c r="K282" s="170"/>
      <c r="L282" s="170"/>
      <c r="M282" s="170"/>
      <c r="N282" s="170"/>
      <c r="O282" s="170"/>
      <c r="P282" s="170"/>
      <c r="Q282" s="170"/>
      <c r="R282" s="170"/>
      <c r="S282" s="170"/>
      <c r="T282" s="170"/>
      <c r="U282" s="170"/>
      <c r="V282" s="170"/>
      <c r="W282" s="171"/>
      <c r="X282" s="172"/>
    </row>
    <row r="283" spans="1:24" ht="24.75" customHeight="1" x14ac:dyDescent="0.45">
      <c r="B283" s="173" t="str">
        <f>IF($C$283="","",IFERROR(INDEX('BM MORRO DA CRUZ - VERTICAL'!$C$6:$C$546,MATCH($C$283,'BM MORRO DA CRUZ - VERTICAL'!$D$6:$D$546,0)),"CHAVE NÃO ENCONTRADA NO VERTICAL"))</f>
        <v/>
      </c>
      <c r="C283" s="174"/>
      <c r="D283" s="175" t="str">
        <f>IF($C$283="","",IFERROR(INDEX('BM MORRO DA CRUZ - VERTICAL'!$O$6:$O$546,MATCH($C$283,'BM MORRO DA CRUZ - VERTICAL'!$D$6:$D$546,0)),"CHAVE NÃO ENCONTRADA NO VERTICAL"))</f>
        <v/>
      </c>
      <c r="E283" s="175" t="str">
        <f>IF($C$283="","",IFERROR(INDEX('BM MORRO DA CRUZ - VERTICAL'!$P$6:$P$546,MATCH($C$283,'BM MORRO DA CRUZ - VERTICAL'!$D$6:$D$546,0)),"CHAVE NÃO ENCONTRADA NO VERTICAL"))</f>
        <v/>
      </c>
      <c r="F283" s="175" t="str">
        <f>IF($C$283="","",IFERROR(INDEX('BM MORRO DA CRUZ - VERTICAL'!$Q$6:$Q$546,MATCH($C$283,'BM MORRO DA CRUZ - VERTICAL'!$D$6:$D$546,0)),"CHAVE NÃO ENCONTRADA NO VERTICAL"))</f>
        <v/>
      </c>
      <c r="G283" s="176"/>
      <c r="H283" s="176"/>
      <c r="I283" s="176"/>
      <c r="J283" s="176"/>
      <c r="K283" s="176"/>
      <c r="L283" s="176"/>
      <c r="M283" s="176"/>
      <c r="N283" s="176"/>
      <c r="O283" s="176"/>
      <c r="P283" s="176"/>
      <c r="Q283" s="176"/>
      <c r="R283" s="176"/>
      <c r="S283" s="176"/>
      <c r="T283" s="176"/>
      <c r="U283" s="176"/>
      <c r="V283" s="177" t="str">
        <f>IF($C$283="","",IFERROR(INDEX('BM MORRO DA CRUZ - VERTICAL'!$R$6:$R$546,MATCH($C$283,'BM MORRO DA CRUZ - VERTICAL'!$D$6:$D$546,0)),"CHAVE NÃO ENCONTRADA NO VERTICAL"))</f>
        <v/>
      </c>
      <c r="W283" s="178">
        <f>SUM($W303:$W368)</f>
        <v>0</v>
      </c>
      <c r="X283" s="179"/>
    </row>
    <row r="284" spans="1:24" ht="24.75" customHeight="1" x14ac:dyDescent="0.45">
      <c r="B284" s="426" t="s">
        <v>1497</v>
      </c>
      <c r="C284" s="426"/>
      <c r="D284" s="426"/>
      <c r="E284" s="426"/>
      <c r="F284" s="426"/>
      <c r="G284" s="426"/>
      <c r="H284" s="426"/>
      <c r="I284" s="426"/>
      <c r="J284" s="426"/>
      <c r="K284" s="426"/>
      <c r="L284" s="426"/>
      <c r="M284" s="426"/>
      <c r="N284" s="426"/>
      <c r="O284" s="426"/>
      <c r="P284" s="426"/>
      <c r="Q284" s="426"/>
      <c r="R284" s="426"/>
      <c r="S284" s="426"/>
      <c r="T284" s="426"/>
      <c r="U284" s="426"/>
      <c r="V284" s="426"/>
      <c r="W284" s="426"/>
      <c r="X284" s="180" t="s">
        <v>1498</v>
      </c>
    </row>
    <row r="285" spans="1:24" ht="14.25" customHeight="1" x14ac:dyDescent="0.45">
      <c r="B285" s="181"/>
      <c r="C285" s="182"/>
      <c r="D285" s="182"/>
      <c r="E285" s="182"/>
      <c r="F285" s="182"/>
      <c r="G285" s="182"/>
      <c r="H285" s="182"/>
      <c r="I285" s="182"/>
      <c r="J285" s="182"/>
      <c r="K285" s="182"/>
      <c r="L285" s="182"/>
      <c r="M285" s="182"/>
      <c r="N285" s="182"/>
      <c r="O285" s="182"/>
      <c r="P285" s="182"/>
      <c r="Q285" s="182"/>
      <c r="R285" s="182"/>
      <c r="S285" s="182"/>
      <c r="T285" s="182"/>
      <c r="U285" s="182"/>
      <c r="V285" s="182"/>
      <c r="W285" s="183"/>
      <c r="X285" s="427"/>
    </row>
    <row r="286" spans="1:24" x14ac:dyDescent="0.45">
      <c r="B286" s="181"/>
      <c r="C286" s="182"/>
      <c r="D286" s="182"/>
      <c r="E286" s="182"/>
      <c r="F286" s="182"/>
      <c r="G286" s="182"/>
      <c r="H286" s="182"/>
      <c r="I286" s="182"/>
      <c r="J286" s="182"/>
      <c r="K286" s="182"/>
      <c r="L286" s="182"/>
      <c r="M286" s="182"/>
      <c r="N286" s="182"/>
      <c r="O286" s="182"/>
      <c r="P286" s="182"/>
      <c r="Q286" s="182"/>
      <c r="R286" s="182"/>
      <c r="S286" s="182"/>
      <c r="T286" s="182"/>
      <c r="U286" s="182"/>
      <c r="V286" s="182"/>
      <c r="W286" s="183"/>
      <c r="X286" s="427"/>
    </row>
    <row r="287" spans="1:24" x14ac:dyDescent="0.45">
      <c r="B287" s="181"/>
      <c r="C287" s="182"/>
      <c r="D287" s="182"/>
      <c r="E287" s="182"/>
      <c r="F287" s="182"/>
      <c r="G287" s="182"/>
      <c r="H287" s="182"/>
      <c r="I287" s="182"/>
      <c r="J287" s="182"/>
      <c r="K287" s="182"/>
      <c r="L287" s="182"/>
      <c r="M287" s="182"/>
      <c r="N287" s="182"/>
      <c r="O287" s="182"/>
      <c r="P287" s="182"/>
      <c r="Q287" s="182"/>
      <c r="R287" s="182"/>
      <c r="S287" s="182"/>
      <c r="T287" s="182"/>
      <c r="U287" s="182"/>
      <c r="V287" s="182"/>
      <c r="W287" s="183"/>
      <c r="X287" s="427"/>
    </row>
    <row r="288" spans="1:24" x14ac:dyDescent="0.45">
      <c r="B288" s="181"/>
      <c r="C288" s="182"/>
      <c r="D288" s="182"/>
      <c r="E288" s="182"/>
      <c r="F288" s="182"/>
      <c r="G288" s="182"/>
      <c r="H288" s="182"/>
      <c r="I288" s="182"/>
      <c r="J288" s="182"/>
      <c r="K288" s="182"/>
      <c r="L288" s="182"/>
      <c r="M288" s="182"/>
      <c r="N288" s="182"/>
      <c r="O288" s="182"/>
      <c r="P288" s="182"/>
      <c r="Q288" s="182"/>
      <c r="R288" s="182"/>
      <c r="S288" s="182"/>
      <c r="T288" s="182"/>
      <c r="U288" s="182"/>
      <c r="V288" s="182"/>
      <c r="W288" s="183"/>
      <c r="X288" s="427"/>
    </row>
    <row r="289" spans="1:24" x14ac:dyDescent="0.45">
      <c r="B289" s="181"/>
      <c r="C289" s="182"/>
      <c r="D289" s="182"/>
      <c r="E289" s="182"/>
      <c r="F289" s="182"/>
      <c r="G289" s="182"/>
      <c r="H289" s="182"/>
      <c r="I289" s="182"/>
      <c r="J289" s="182"/>
      <c r="K289" s="182"/>
      <c r="L289" s="182"/>
      <c r="M289" s="182"/>
      <c r="N289" s="182"/>
      <c r="O289" s="182"/>
      <c r="P289" s="182"/>
      <c r="Q289" s="182"/>
      <c r="R289" s="182"/>
      <c r="S289" s="182"/>
      <c r="T289" s="182"/>
      <c r="U289" s="182"/>
      <c r="V289" s="182"/>
      <c r="W289" s="183"/>
      <c r="X289" s="427"/>
    </row>
    <row r="290" spans="1:24" x14ac:dyDescent="0.45">
      <c r="B290" s="181"/>
      <c r="C290" s="182"/>
      <c r="D290" s="182"/>
      <c r="E290" s="182"/>
      <c r="F290" s="182"/>
      <c r="G290" s="182"/>
      <c r="H290" s="182"/>
      <c r="I290" s="182"/>
      <c r="J290" s="182"/>
      <c r="K290" s="182"/>
      <c r="L290" s="182"/>
      <c r="M290" s="182"/>
      <c r="N290" s="182"/>
      <c r="O290" s="182"/>
      <c r="P290" s="182"/>
      <c r="Q290" s="182"/>
      <c r="R290" s="182"/>
      <c r="S290" s="182"/>
      <c r="T290" s="182"/>
      <c r="U290" s="182"/>
      <c r="V290" s="182"/>
      <c r="W290" s="183"/>
      <c r="X290" s="427"/>
    </row>
    <row r="291" spans="1:24" x14ac:dyDescent="0.45">
      <c r="B291" s="181"/>
      <c r="C291" s="182"/>
      <c r="D291" s="182"/>
      <c r="E291" s="182"/>
      <c r="F291" s="182"/>
      <c r="G291" s="182"/>
      <c r="H291" s="182"/>
      <c r="I291" s="182"/>
      <c r="J291" s="182"/>
      <c r="K291" s="182"/>
      <c r="L291" s="182"/>
      <c r="M291" s="182"/>
      <c r="N291" s="182"/>
      <c r="O291" s="182"/>
      <c r="P291" s="182"/>
      <c r="Q291" s="182"/>
      <c r="R291" s="182"/>
      <c r="S291" s="182"/>
      <c r="T291" s="182"/>
      <c r="U291" s="182"/>
      <c r="V291" s="182"/>
      <c r="W291" s="183"/>
      <c r="X291" s="427"/>
    </row>
    <row r="292" spans="1:24" x14ac:dyDescent="0.45">
      <c r="B292" s="181"/>
      <c r="C292" s="182"/>
      <c r="D292" s="182"/>
      <c r="E292" s="182"/>
      <c r="F292" s="182"/>
      <c r="G292" s="182"/>
      <c r="H292" s="182"/>
      <c r="I292" s="182"/>
      <c r="J292" s="182"/>
      <c r="K292" s="182"/>
      <c r="L292" s="182"/>
      <c r="M292" s="182"/>
      <c r="N292" s="182"/>
      <c r="O292" s="182"/>
      <c r="P292" s="182"/>
      <c r="Q292" s="182"/>
      <c r="R292" s="182"/>
      <c r="S292" s="182"/>
      <c r="T292" s="182"/>
      <c r="U292" s="182"/>
      <c r="V292" s="182"/>
      <c r="W292" s="183"/>
      <c r="X292" s="427"/>
    </row>
    <row r="293" spans="1:24" x14ac:dyDescent="0.45">
      <c r="B293" s="181"/>
      <c r="C293" s="182"/>
      <c r="D293" s="182"/>
      <c r="E293" s="182"/>
      <c r="F293" s="182"/>
      <c r="G293" s="182"/>
      <c r="H293" s="182"/>
      <c r="I293" s="182"/>
      <c r="J293" s="182"/>
      <c r="K293" s="182"/>
      <c r="L293" s="182"/>
      <c r="M293" s="182"/>
      <c r="N293" s="182"/>
      <c r="O293" s="182"/>
      <c r="P293" s="182"/>
      <c r="Q293" s="182"/>
      <c r="R293" s="182"/>
      <c r="S293" s="182"/>
      <c r="T293" s="182"/>
      <c r="U293" s="182"/>
      <c r="V293" s="182"/>
      <c r="W293" s="183"/>
      <c r="X293" s="427"/>
    </row>
    <row r="294" spans="1:24" x14ac:dyDescent="0.45">
      <c r="B294" s="181"/>
      <c r="C294" s="182"/>
      <c r="D294" s="182"/>
      <c r="E294" s="182"/>
      <c r="F294" s="182"/>
      <c r="G294" s="182"/>
      <c r="H294" s="182"/>
      <c r="I294" s="182"/>
      <c r="J294" s="182"/>
      <c r="K294" s="182"/>
      <c r="L294" s="182"/>
      <c r="M294" s="182"/>
      <c r="N294" s="182"/>
      <c r="O294" s="182"/>
      <c r="P294" s="182"/>
      <c r="Q294" s="182"/>
      <c r="R294" s="182"/>
      <c r="S294" s="182"/>
      <c r="T294" s="182"/>
      <c r="U294" s="182"/>
      <c r="V294" s="182"/>
      <c r="W294" s="183"/>
      <c r="X294" s="427"/>
    </row>
    <row r="295" spans="1:24" x14ac:dyDescent="0.45">
      <c r="B295" s="181"/>
      <c r="C295" s="182"/>
      <c r="D295" s="182"/>
      <c r="E295" s="182"/>
      <c r="F295" s="182"/>
      <c r="G295" s="182"/>
      <c r="H295" s="182"/>
      <c r="I295" s="182"/>
      <c r="J295" s="182"/>
      <c r="K295" s="182"/>
      <c r="L295" s="182"/>
      <c r="M295" s="182"/>
      <c r="N295" s="182"/>
      <c r="O295" s="182"/>
      <c r="P295" s="182"/>
      <c r="Q295" s="182"/>
      <c r="R295" s="182"/>
      <c r="S295" s="182"/>
      <c r="T295" s="182"/>
      <c r="U295" s="182"/>
      <c r="V295" s="182"/>
      <c r="W295" s="183"/>
      <c r="X295" s="427"/>
    </row>
    <row r="296" spans="1:24" x14ac:dyDescent="0.45">
      <c r="B296" s="181"/>
      <c r="C296" s="182"/>
      <c r="D296" s="182"/>
      <c r="E296" s="182"/>
      <c r="F296" s="182"/>
      <c r="G296" s="182"/>
      <c r="H296" s="182"/>
      <c r="I296" s="182"/>
      <c r="J296" s="182"/>
      <c r="K296" s="182"/>
      <c r="L296" s="182"/>
      <c r="M296" s="182"/>
      <c r="N296" s="182"/>
      <c r="O296" s="182"/>
      <c r="P296" s="182"/>
      <c r="Q296" s="182"/>
      <c r="R296" s="182"/>
      <c r="S296" s="182"/>
      <c r="T296" s="182"/>
      <c r="U296" s="182"/>
      <c r="V296" s="182"/>
      <c r="W296" s="183"/>
      <c r="X296" s="427"/>
    </row>
    <row r="297" spans="1:24" x14ac:dyDescent="0.45">
      <c r="B297" s="181"/>
      <c r="C297" s="182"/>
      <c r="D297" s="182"/>
      <c r="E297" s="182"/>
      <c r="F297" s="182"/>
      <c r="G297" s="182"/>
      <c r="H297" s="182"/>
      <c r="I297" s="182"/>
      <c r="J297" s="182"/>
      <c r="K297" s="182"/>
      <c r="L297" s="182"/>
      <c r="M297" s="182"/>
      <c r="N297" s="182"/>
      <c r="O297" s="182"/>
      <c r="P297" s="182"/>
      <c r="Q297" s="182"/>
      <c r="R297" s="182"/>
      <c r="S297" s="182"/>
      <c r="T297" s="182"/>
      <c r="U297" s="182"/>
      <c r="V297" s="182"/>
      <c r="W297" s="183"/>
      <c r="X297" s="427"/>
    </row>
    <row r="298" spans="1:24" x14ac:dyDescent="0.45">
      <c r="B298" s="181"/>
      <c r="C298" s="182"/>
      <c r="D298" s="182"/>
      <c r="E298" s="182"/>
      <c r="F298" s="182"/>
      <c r="G298" s="182"/>
      <c r="H298" s="182"/>
      <c r="I298" s="182"/>
      <c r="J298" s="182"/>
      <c r="K298" s="182"/>
      <c r="L298" s="182"/>
      <c r="M298" s="182"/>
      <c r="N298" s="182"/>
      <c r="O298" s="182"/>
      <c r="P298" s="182"/>
      <c r="Q298" s="182"/>
      <c r="R298" s="182"/>
      <c r="S298" s="182"/>
      <c r="T298" s="182"/>
      <c r="U298" s="182"/>
      <c r="V298" s="182"/>
      <c r="W298" s="183"/>
      <c r="X298" s="427"/>
    </row>
    <row r="299" spans="1:24" x14ac:dyDescent="0.45">
      <c r="B299" s="181"/>
      <c r="C299" s="182"/>
      <c r="D299" s="182"/>
      <c r="E299" s="182"/>
      <c r="F299" s="182"/>
      <c r="G299" s="182"/>
      <c r="H299" s="182"/>
      <c r="I299" s="182"/>
      <c r="J299" s="182"/>
      <c r="K299" s="182"/>
      <c r="L299" s="182"/>
      <c r="M299" s="182"/>
      <c r="N299" s="182"/>
      <c r="O299" s="182"/>
      <c r="P299" s="182"/>
      <c r="Q299" s="182"/>
      <c r="R299" s="182"/>
      <c r="S299" s="182"/>
      <c r="T299" s="182"/>
      <c r="U299" s="182"/>
      <c r="V299" s="182"/>
      <c r="W299" s="183"/>
      <c r="X299" s="427"/>
    </row>
    <row r="300" spans="1:24" x14ac:dyDescent="0.45">
      <c r="B300" s="181"/>
      <c r="C300" s="182"/>
      <c r="D300" s="182"/>
      <c r="E300" s="182"/>
      <c r="F300" s="182"/>
      <c r="G300" s="182"/>
      <c r="H300" s="182"/>
      <c r="I300" s="182"/>
      <c r="J300" s="182"/>
      <c r="K300" s="182"/>
      <c r="L300" s="182"/>
      <c r="M300" s="182"/>
      <c r="N300" s="182"/>
      <c r="O300" s="182"/>
      <c r="P300" s="182"/>
      <c r="Q300" s="182"/>
      <c r="R300" s="182"/>
      <c r="S300" s="182"/>
      <c r="T300" s="182"/>
      <c r="U300" s="182"/>
      <c r="V300" s="182"/>
      <c r="W300" s="183"/>
      <c r="X300" s="427"/>
    </row>
    <row r="301" spans="1:24" x14ac:dyDescent="0.45">
      <c r="B301" s="184"/>
      <c r="C301" s="185" t="s">
        <v>1499</v>
      </c>
      <c r="D301" s="185"/>
      <c r="E301" s="185"/>
      <c r="F301" s="185"/>
      <c r="G301" s="185"/>
      <c r="H301" s="185"/>
      <c r="I301" s="185"/>
      <c r="J301" s="185"/>
      <c r="K301" s="185"/>
      <c r="L301" s="185"/>
      <c r="M301" s="185"/>
      <c r="N301" s="185"/>
      <c r="O301" s="185"/>
      <c r="P301" s="185"/>
      <c r="Q301" s="185"/>
      <c r="R301" s="185"/>
      <c r="S301" s="185"/>
      <c r="T301" s="185"/>
      <c r="U301" s="185"/>
      <c r="V301" s="185"/>
      <c r="W301" s="186"/>
      <c r="X301" s="187"/>
    </row>
    <row r="302" spans="1:24" ht="26.65" x14ac:dyDescent="0.45">
      <c r="B302" s="188" t="s">
        <v>1458</v>
      </c>
      <c r="C302" s="185" t="s">
        <v>1459</v>
      </c>
      <c r="D302" s="185"/>
      <c r="E302" s="185" t="s">
        <v>1500</v>
      </c>
      <c r="F302" s="185"/>
      <c r="G302" s="185" t="s">
        <v>1501</v>
      </c>
      <c r="H302" s="189" t="s">
        <v>1502</v>
      </c>
      <c r="I302" s="185" t="s">
        <v>1503</v>
      </c>
      <c r="J302" s="185" t="s">
        <v>1504</v>
      </c>
      <c r="K302" s="189" t="s">
        <v>1505</v>
      </c>
      <c r="L302" s="189" t="s">
        <v>1504</v>
      </c>
      <c r="M302" s="189"/>
      <c r="N302" s="189" t="s">
        <v>1506</v>
      </c>
      <c r="O302" s="189"/>
      <c r="P302" s="190"/>
      <c r="Q302" s="189"/>
      <c r="R302" s="189"/>
      <c r="S302" s="189"/>
      <c r="T302" s="189" t="s">
        <v>1507</v>
      </c>
      <c r="U302" s="189" t="s">
        <v>27</v>
      </c>
      <c r="V302" s="189" t="s">
        <v>26</v>
      </c>
      <c r="W302" s="191" t="s">
        <v>1508</v>
      </c>
      <c r="X302" s="192"/>
    </row>
    <row r="303" spans="1:24" x14ac:dyDescent="0.45">
      <c r="A303" s="193">
        <v>1</v>
      </c>
      <c r="B303" s="194" t="str">
        <f t="shared" ref="B303:B334" si="45">IF(OR($C$283="",U303=""),"",LEFT($C$283,FIND("_",$C$283)-1))</f>
        <v/>
      </c>
      <c r="C303" s="170" t="str">
        <f t="shared" ref="C303:C334" si="46">IF(OR($C$283="",U303=""),"",$B$283)</f>
        <v/>
      </c>
      <c r="D303" s="170"/>
      <c r="E303" s="195"/>
      <c r="F303" s="195"/>
      <c r="G303" s="196"/>
      <c r="H303" s="197"/>
      <c r="I303" s="197"/>
      <c r="J303" s="197"/>
      <c r="K303" s="197"/>
      <c r="L303" s="197"/>
      <c r="M303" s="198"/>
      <c r="N303" s="198"/>
      <c r="O303" s="198"/>
      <c r="P303" s="199"/>
      <c r="Q303" s="200"/>
      <c r="R303" s="200"/>
      <c r="S303" s="200"/>
      <c r="T303" s="200" t="str">
        <f t="shared" ref="T303:T334" si="47">IF(K303="","",((K303*20)+L303)-((I303*20)+J303))</f>
        <v/>
      </c>
      <c r="U303" s="200"/>
      <c r="V303" s="201" t="str">
        <f t="shared" ref="V303:V334" si="48">IF(U303="","",$V$283)</f>
        <v/>
      </c>
      <c r="W303" s="202">
        <f t="shared" ref="W303:W334" si="49">IF(OR(T303="",U303=""),0,T303*U303)</f>
        <v>0</v>
      </c>
      <c r="X303" s="172"/>
    </row>
    <row r="304" spans="1:24" x14ac:dyDescent="0.45">
      <c r="A304" s="193">
        <v>2</v>
      </c>
      <c r="B304" s="194" t="str">
        <f t="shared" si="45"/>
        <v/>
      </c>
      <c r="C304" s="170" t="str">
        <f t="shared" si="46"/>
        <v/>
      </c>
      <c r="D304" s="170"/>
      <c r="E304" s="195"/>
      <c r="F304" s="195"/>
      <c r="G304" s="196"/>
      <c r="H304" s="197"/>
      <c r="I304" s="197" t="str">
        <f t="shared" ref="I304:I335" si="50">IF(K303="","",K303)</f>
        <v/>
      </c>
      <c r="J304" s="197" t="str">
        <f t="shared" ref="J304:J335" si="51">IF(L303="","",L303)</f>
        <v/>
      </c>
      <c r="K304" s="197"/>
      <c r="L304" s="197"/>
      <c r="M304" s="198"/>
      <c r="N304" s="198"/>
      <c r="O304" s="198"/>
      <c r="P304" s="199"/>
      <c r="Q304" s="200"/>
      <c r="R304" s="200"/>
      <c r="S304" s="200"/>
      <c r="T304" s="200" t="str">
        <f t="shared" si="47"/>
        <v/>
      </c>
      <c r="U304" s="200"/>
      <c r="V304" s="201" t="str">
        <f t="shared" si="48"/>
        <v/>
      </c>
      <c r="W304" s="202">
        <f t="shared" si="49"/>
        <v>0</v>
      </c>
      <c r="X304" s="172"/>
    </row>
    <row r="305" spans="1:24" x14ac:dyDescent="0.45">
      <c r="A305" s="193">
        <v>3</v>
      </c>
      <c r="B305" s="194" t="str">
        <f t="shared" si="45"/>
        <v/>
      </c>
      <c r="C305" s="170" t="str">
        <f t="shared" si="46"/>
        <v/>
      </c>
      <c r="D305" s="170"/>
      <c r="E305" s="195"/>
      <c r="F305" s="195"/>
      <c r="G305" s="196"/>
      <c r="H305" s="197"/>
      <c r="I305" s="197" t="str">
        <f t="shared" si="50"/>
        <v/>
      </c>
      <c r="J305" s="197" t="str">
        <f t="shared" si="51"/>
        <v/>
      </c>
      <c r="K305" s="197"/>
      <c r="L305" s="197"/>
      <c r="M305" s="198"/>
      <c r="N305" s="198"/>
      <c r="O305" s="198"/>
      <c r="P305" s="199"/>
      <c r="Q305" s="200"/>
      <c r="R305" s="200"/>
      <c r="S305" s="200"/>
      <c r="T305" s="200" t="str">
        <f t="shared" si="47"/>
        <v/>
      </c>
      <c r="U305" s="200"/>
      <c r="V305" s="201" t="str">
        <f t="shared" si="48"/>
        <v/>
      </c>
      <c r="W305" s="202">
        <f t="shared" si="49"/>
        <v>0</v>
      </c>
      <c r="X305" s="172"/>
    </row>
    <row r="306" spans="1:24" x14ac:dyDescent="0.45">
      <c r="A306" s="193">
        <v>4</v>
      </c>
      <c r="B306" s="194" t="str">
        <f t="shared" si="45"/>
        <v/>
      </c>
      <c r="C306" s="170" t="str">
        <f t="shared" si="46"/>
        <v/>
      </c>
      <c r="D306" s="170"/>
      <c r="E306" s="195"/>
      <c r="F306" s="195"/>
      <c r="G306" s="196"/>
      <c r="H306" s="197"/>
      <c r="I306" s="197" t="str">
        <f t="shared" si="50"/>
        <v/>
      </c>
      <c r="J306" s="197" t="str">
        <f t="shared" si="51"/>
        <v/>
      </c>
      <c r="K306" s="197"/>
      <c r="L306" s="197"/>
      <c r="M306" s="198"/>
      <c r="N306" s="198"/>
      <c r="O306" s="198"/>
      <c r="P306" s="199"/>
      <c r="Q306" s="200"/>
      <c r="R306" s="200"/>
      <c r="S306" s="200"/>
      <c r="T306" s="200" t="str">
        <f t="shared" si="47"/>
        <v/>
      </c>
      <c r="U306" s="200"/>
      <c r="V306" s="201" t="str">
        <f t="shared" si="48"/>
        <v/>
      </c>
      <c r="W306" s="202">
        <f t="shared" si="49"/>
        <v>0</v>
      </c>
      <c r="X306" s="172"/>
    </row>
    <row r="307" spans="1:24" x14ac:dyDescent="0.45">
      <c r="A307" s="193">
        <v>5</v>
      </c>
      <c r="B307" s="194" t="str">
        <f t="shared" si="45"/>
        <v/>
      </c>
      <c r="C307" s="170" t="str">
        <f t="shared" si="46"/>
        <v/>
      </c>
      <c r="D307" s="170"/>
      <c r="E307" s="195"/>
      <c r="F307" s="195"/>
      <c r="G307" s="196"/>
      <c r="H307" s="197"/>
      <c r="I307" s="197" t="str">
        <f t="shared" si="50"/>
        <v/>
      </c>
      <c r="J307" s="197" t="str">
        <f t="shared" si="51"/>
        <v/>
      </c>
      <c r="K307" s="197"/>
      <c r="L307" s="197"/>
      <c r="M307" s="198"/>
      <c r="N307" s="198"/>
      <c r="O307" s="198"/>
      <c r="P307" s="199"/>
      <c r="Q307" s="200"/>
      <c r="R307" s="200"/>
      <c r="S307" s="200"/>
      <c r="T307" s="200" t="str">
        <f t="shared" si="47"/>
        <v/>
      </c>
      <c r="U307" s="200"/>
      <c r="V307" s="201" t="str">
        <f t="shared" si="48"/>
        <v/>
      </c>
      <c r="W307" s="202">
        <f t="shared" si="49"/>
        <v>0</v>
      </c>
      <c r="X307" s="172"/>
    </row>
    <row r="308" spans="1:24" x14ac:dyDescent="0.45">
      <c r="A308" s="193">
        <v>6</v>
      </c>
      <c r="B308" s="194" t="str">
        <f t="shared" si="45"/>
        <v/>
      </c>
      <c r="C308" s="170" t="str">
        <f t="shared" si="46"/>
        <v/>
      </c>
      <c r="D308" s="170"/>
      <c r="E308" s="195"/>
      <c r="F308" s="195"/>
      <c r="G308" s="196"/>
      <c r="H308" s="197"/>
      <c r="I308" s="197" t="str">
        <f t="shared" si="50"/>
        <v/>
      </c>
      <c r="J308" s="197" t="str">
        <f t="shared" si="51"/>
        <v/>
      </c>
      <c r="K308" s="197"/>
      <c r="L308" s="197"/>
      <c r="M308" s="198"/>
      <c r="N308" s="198"/>
      <c r="O308" s="198"/>
      <c r="P308" s="199"/>
      <c r="Q308" s="200"/>
      <c r="R308" s="200"/>
      <c r="S308" s="200"/>
      <c r="T308" s="200" t="str">
        <f t="shared" si="47"/>
        <v/>
      </c>
      <c r="U308" s="200"/>
      <c r="V308" s="201" t="str">
        <f t="shared" si="48"/>
        <v/>
      </c>
      <c r="W308" s="202">
        <f t="shared" si="49"/>
        <v>0</v>
      </c>
      <c r="X308" s="172"/>
    </row>
    <row r="309" spans="1:24" x14ac:dyDescent="0.45">
      <c r="A309" s="193">
        <v>7</v>
      </c>
      <c r="B309" s="194" t="str">
        <f t="shared" si="45"/>
        <v/>
      </c>
      <c r="C309" s="170" t="str">
        <f t="shared" si="46"/>
        <v/>
      </c>
      <c r="D309" s="170"/>
      <c r="E309" s="195"/>
      <c r="F309" s="195"/>
      <c r="G309" s="196"/>
      <c r="H309" s="197"/>
      <c r="I309" s="197" t="str">
        <f t="shared" si="50"/>
        <v/>
      </c>
      <c r="J309" s="197" t="str">
        <f t="shared" si="51"/>
        <v/>
      </c>
      <c r="K309" s="197"/>
      <c r="L309" s="197"/>
      <c r="M309" s="198"/>
      <c r="N309" s="198"/>
      <c r="O309" s="198"/>
      <c r="P309" s="199"/>
      <c r="Q309" s="200"/>
      <c r="R309" s="200"/>
      <c r="S309" s="200"/>
      <c r="T309" s="200" t="str">
        <f t="shared" si="47"/>
        <v/>
      </c>
      <c r="U309" s="200"/>
      <c r="V309" s="201" t="str">
        <f t="shared" si="48"/>
        <v/>
      </c>
      <c r="W309" s="202">
        <f t="shared" si="49"/>
        <v>0</v>
      </c>
      <c r="X309" s="172"/>
    </row>
    <row r="310" spans="1:24" x14ac:dyDescent="0.45">
      <c r="A310" s="193">
        <v>8</v>
      </c>
      <c r="B310" s="194" t="str">
        <f t="shared" si="45"/>
        <v/>
      </c>
      <c r="C310" s="170" t="str">
        <f t="shared" si="46"/>
        <v/>
      </c>
      <c r="D310" s="170"/>
      <c r="E310" s="195"/>
      <c r="F310" s="195"/>
      <c r="G310" s="196"/>
      <c r="H310" s="197"/>
      <c r="I310" s="197" t="str">
        <f t="shared" si="50"/>
        <v/>
      </c>
      <c r="J310" s="197" t="str">
        <f t="shared" si="51"/>
        <v/>
      </c>
      <c r="K310" s="197"/>
      <c r="L310" s="197"/>
      <c r="M310" s="198"/>
      <c r="N310" s="198"/>
      <c r="O310" s="198"/>
      <c r="P310" s="199"/>
      <c r="Q310" s="200"/>
      <c r="R310" s="200"/>
      <c r="S310" s="200"/>
      <c r="T310" s="200" t="str">
        <f t="shared" si="47"/>
        <v/>
      </c>
      <c r="U310" s="200"/>
      <c r="V310" s="201" t="str">
        <f t="shared" si="48"/>
        <v/>
      </c>
      <c r="W310" s="202">
        <f t="shared" si="49"/>
        <v>0</v>
      </c>
      <c r="X310" s="172"/>
    </row>
    <row r="311" spans="1:24" x14ac:dyDescent="0.45">
      <c r="A311" s="193">
        <v>9</v>
      </c>
      <c r="B311" s="194" t="str">
        <f t="shared" si="45"/>
        <v/>
      </c>
      <c r="C311" s="170" t="str">
        <f t="shared" si="46"/>
        <v/>
      </c>
      <c r="D311" s="170"/>
      <c r="E311" s="195"/>
      <c r="F311" s="195"/>
      <c r="G311" s="196"/>
      <c r="H311" s="197"/>
      <c r="I311" s="197" t="str">
        <f t="shared" si="50"/>
        <v/>
      </c>
      <c r="J311" s="197" t="str">
        <f t="shared" si="51"/>
        <v/>
      </c>
      <c r="K311" s="197"/>
      <c r="L311" s="197"/>
      <c r="M311" s="198"/>
      <c r="N311" s="198"/>
      <c r="O311" s="198"/>
      <c r="P311" s="199"/>
      <c r="Q311" s="200"/>
      <c r="R311" s="200"/>
      <c r="S311" s="200"/>
      <c r="T311" s="200" t="str">
        <f t="shared" si="47"/>
        <v/>
      </c>
      <c r="U311" s="200"/>
      <c r="V311" s="201" t="str">
        <f t="shared" si="48"/>
        <v/>
      </c>
      <c r="W311" s="202">
        <f t="shared" si="49"/>
        <v>0</v>
      </c>
      <c r="X311" s="172"/>
    </row>
    <row r="312" spans="1:24" x14ac:dyDescent="0.45">
      <c r="A312" s="193">
        <v>10</v>
      </c>
      <c r="B312" s="194" t="str">
        <f t="shared" si="45"/>
        <v/>
      </c>
      <c r="C312" s="170" t="str">
        <f t="shared" si="46"/>
        <v/>
      </c>
      <c r="D312" s="170"/>
      <c r="E312" s="195"/>
      <c r="F312" s="195"/>
      <c r="G312" s="196"/>
      <c r="H312" s="197"/>
      <c r="I312" s="197" t="str">
        <f t="shared" si="50"/>
        <v/>
      </c>
      <c r="J312" s="197" t="str">
        <f t="shared" si="51"/>
        <v/>
      </c>
      <c r="K312" s="197"/>
      <c r="L312" s="197"/>
      <c r="M312" s="198"/>
      <c r="N312" s="198"/>
      <c r="O312" s="198"/>
      <c r="P312" s="199"/>
      <c r="Q312" s="200"/>
      <c r="R312" s="200"/>
      <c r="S312" s="200"/>
      <c r="T312" s="200" t="str">
        <f t="shared" si="47"/>
        <v/>
      </c>
      <c r="U312" s="200"/>
      <c r="V312" s="201" t="str">
        <f t="shared" si="48"/>
        <v/>
      </c>
      <c r="W312" s="202">
        <f t="shared" si="49"/>
        <v>0</v>
      </c>
      <c r="X312" s="172"/>
    </row>
    <row r="313" spans="1:24" x14ac:dyDescent="0.45">
      <c r="A313" s="193">
        <v>11</v>
      </c>
      <c r="B313" s="194" t="str">
        <f t="shared" si="45"/>
        <v/>
      </c>
      <c r="C313" s="170" t="str">
        <f t="shared" si="46"/>
        <v/>
      </c>
      <c r="D313" s="170"/>
      <c r="E313" s="195"/>
      <c r="F313" s="195"/>
      <c r="G313" s="196"/>
      <c r="H313" s="197"/>
      <c r="I313" s="197" t="str">
        <f t="shared" si="50"/>
        <v/>
      </c>
      <c r="J313" s="197" t="str">
        <f t="shared" si="51"/>
        <v/>
      </c>
      <c r="K313" s="197"/>
      <c r="L313" s="197"/>
      <c r="M313" s="198"/>
      <c r="N313" s="198"/>
      <c r="O313" s="198"/>
      <c r="P313" s="199"/>
      <c r="Q313" s="200"/>
      <c r="R313" s="200"/>
      <c r="S313" s="200"/>
      <c r="T313" s="200" t="str">
        <f t="shared" si="47"/>
        <v/>
      </c>
      <c r="U313" s="200"/>
      <c r="V313" s="201" t="str">
        <f t="shared" si="48"/>
        <v/>
      </c>
      <c r="W313" s="202">
        <f t="shared" si="49"/>
        <v>0</v>
      </c>
      <c r="X313" s="172"/>
    </row>
    <row r="314" spans="1:24" x14ac:dyDescent="0.45">
      <c r="A314" s="193">
        <v>12</v>
      </c>
      <c r="B314" s="194" t="str">
        <f t="shared" si="45"/>
        <v/>
      </c>
      <c r="C314" s="170" t="str">
        <f t="shared" si="46"/>
        <v/>
      </c>
      <c r="D314" s="170"/>
      <c r="E314" s="195"/>
      <c r="F314" s="195"/>
      <c r="G314" s="196"/>
      <c r="H314" s="197"/>
      <c r="I314" s="197" t="str">
        <f t="shared" si="50"/>
        <v/>
      </c>
      <c r="J314" s="197" t="str">
        <f t="shared" si="51"/>
        <v/>
      </c>
      <c r="K314" s="197"/>
      <c r="L314" s="197"/>
      <c r="M314" s="198"/>
      <c r="N314" s="198"/>
      <c r="O314" s="198"/>
      <c r="P314" s="199"/>
      <c r="Q314" s="200"/>
      <c r="R314" s="200"/>
      <c r="S314" s="200"/>
      <c r="T314" s="200" t="str">
        <f t="shared" si="47"/>
        <v/>
      </c>
      <c r="U314" s="200"/>
      <c r="V314" s="201" t="str">
        <f t="shared" si="48"/>
        <v/>
      </c>
      <c r="W314" s="202">
        <f t="shared" si="49"/>
        <v>0</v>
      </c>
      <c r="X314" s="172"/>
    </row>
    <row r="315" spans="1:24" x14ac:dyDescent="0.45">
      <c r="A315" s="193">
        <v>13</v>
      </c>
      <c r="B315" s="194" t="str">
        <f t="shared" si="45"/>
        <v/>
      </c>
      <c r="C315" s="170" t="str">
        <f t="shared" si="46"/>
        <v/>
      </c>
      <c r="D315" s="170"/>
      <c r="E315" s="195"/>
      <c r="F315" s="195"/>
      <c r="G315" s="196"/>
      <c r="H315" s="197"/>
      <c r="I315" s="197" t="str">
        <f t="shared" si="50"/>
        <v/>
      </c>
      <c r="J315" s="197" t="str">
        <f t="shared" si="51"/>
        <v/>
      </c>
      <c r="K315" s="197"/>
      <c r="L315" s="197"/>
      <c r="M315" s="198"/>
      <c r="N315" s="198"/>
      <c r="O315" s="198"/>
      <c r="P315" s="199"/>
      <c r="Q315" s="200"/>
      <c r="R315" s="200"/>
      <c r="S315" s="200"/>
      <c r="T315" s="200" t="str">
        <f t="shared" si="47"/>
        <v/>
      </c>
      <c r="U315" s="200"/>
      <c r="V315" s="201" t="str">
        <f t="shared" si="48"/>
        <v/>
      </c>
      <c r="W315" s="202">
        <f t="shared" si="49"/>
        <v>0</v>
      </c>
      <c r="X315" s="172"/>
    </row>
    <row r="316" spans="1:24" x14ac:dyDescent="0.45">
      <c r="A316" s="193">
        <v>14</v>
      </c>
      <c r="B316" s="194" t="str">
        <f t="shared" si="45"/>
        <v/>
      </c>
      <c r="C316" s="170" t="str">
        <f t="shared" si="46"/>
        <v/>
      </c>
      <c r="D316" s="170"/>
      <c r="E316" s="195"/>
      <c r="F316" s="195"/>
      <c r="G316" s="196"/>
      <c r="H316" s="197"/>
      <c r="I316" s="197" t="str">
        <f t="shared" si="50"/>
        <v/>
      </c>
      <c r="J316" s="197" t="str">
        <f t="shared" si="51"/>
        <v/>
      </c>
      <c r="K316" s="197"/>
      <c r="L316" s="197"/>
      <c r="M316" s="198"/>
      <c r="N316" s="198"/>
      <c r="O316" s="198"/>
      <c r="P316" s="199"/>
      <c r="Q316" s="200"/>
      <c r="R316" s="200"/>
      <c r="S316" s="200"/>
      <c r="T316" s="200" t="str">
        <f t="shared" si="47"/>
        <v/>
      </c>
      <c r="U316" s="200"/>
      <c r="V316" s="201" t="str">
        <f t="shared" si="48"/>
        <v/>
      </c>
      <c r="W316" s="202">
        <f t="shared" si="49"/>
        <v>0</v>
      </c>
      <c r="X316" s="172"/>
    </row>
    <row r="317" spans="1:24" x14ac:dyDescent="0.45">
      <c r="A317" s="193">
        <v>15</v>
      </c>
      <c r="B317" s="194" t="str">
        <f t="shared" si="45"/>
        <v/>
      </c>
      <c r="C317" s="170" t="str">
        <f t="shared" si="46"/>
        <v/>
      </c>
      <c r="D317" s="170"/>
      <c r="E317" s="195"/>
      <c r="F317" s="195"/>
      <c r="G317" s="196"/>
      <c r="H317" s="197"/>
      <c r="I317" s="197" t="str">
        <f t="shared" si="50"/>
        <v/>
      </c>
      <c r="J317" s="197" t="str">
        <f t="shared" si="51"/>
        <v/>
      </c>
      <c r="K317" s="197"/>
      <c r="L317" s="197"/>
      <c r="M317" s="198"/>
      <c r="N317" s="198"/>
      <c r="O317" s="198"/>
      <c r="P317" s="199"/>
      <c r="Q317" s="200"/>
      <c r="R317" s="200"/>
      <c r="S317" s="200"/>
      <c r="T317" s="200" t="str">
        <f t="shared" si="47"/>
        <v/>
      </c>
      <c r="U317" s="200"/>
      <c r="V317" s="201" t="str">
        <f t="shared" si="48"/>
        <v/>
      </c>
      <c r="W317" s="202">
        <f t="shared" si="49"/>
        <v>0</v>
      </c>
      <c r="X317" s="172"/>
    </row>
    <row r="318" spans="1:24" x14ac:dyDescent="0.45">
      <c r="A318" s="193">
        <v>16</v>
      </c>
      <c r="B318" s="194" t="str">
        <f t="shared" si="45"/>
        <v/>
      </c>
      <c r="C318" s="170" t="str">
        <f t="shared" si="46"/>
        <v/>
      </c>
      <c r="D318" s="170"/>
      <c r="E318" s="195"/>
      <c r="F318" s="195"/>
      <c r="G318" s="196"/>
      <c r="H318" s="197"/>
      <c r="I318" s="197" t="str">
        <f t="shared" si="50"/>
        <v/>
      </c>
      <c r="J318" s="197" t="str">
        <f t="shared" si="51"/>
        <v/>
      </c>
      <c r="K318" s="197"/>
      <c r="L318" s="197"/>
      <c r="M318" s="198"/>
      <c r="N318" s="198"/>
      <c r="O318" s="198"/>
      <c r="P318" s="199"/>
      <c r="Q318" s="200"/>
      <c r="R318" s="200"/>
      <c r="S318" s="200"/>
      <c r="T318" s="200" t="str">
        <f t="shared" si="47"/>
        <v/>
      </c>
      <c r="U318" s="200"/>
      <c r="V318" s="201" t="str">
        <f t="shared" si="48"/>
        <v/>
      </c>
      <c r="W318" s="202">
        <f t="shared" si="49"/>
        <v>0</v>
      </c>
      <c r="X318" s="172"/>
    </row>
    <row r="319" spans="1:24" x14ac:dyDescent="0.45">
      <c r="A319" s="193">
        <v>17</v>
      </c>
      <c r="B319" s="194" t="str">
        <f t="shared" si="45"/>
        <v/>
      </c>
      <c r="C319" s="170" t="str">
        <f t="shared" si="46"/>
        <v/>
      </c>
      <c r="D319" s="170"/>
      <c r="E319" s="195"/>
      <c r="F319" s="195"/>
      <c r="G319" s="196"/>
      <c r="H319" s="197"/>
      <c r="I319" s="197" t="str">
        <f t="shared" si="50"/>
        <v/>
      </c>
      <c r="J319" s="197" t="str">
        <f t="shared" si="51"/>
        <v/>
      </c>
      <c r="K319" s="197"/>
      <c r="L319" s="197"/>
      <c r="M319" s="198"/>
      <c r="N319" s="198"/>
      <c r="O319" s="198"/>
      <c r="P319" s="199"/>
      <c r="Q319" s="200"/>
      <c r="R319" s="200"/>
      <c r="S319" s="200"/>
      <c r="T319" s="200" t="str">
        <f t="shared" si="47"/>
        <v/>
      </c>
      <c r="U319" s="200"/>
      <c r="V319" s="201" t="str">
        <f t="shared" si="48"/>
        <v/>
      </c>
      <c r="W319" s="202">
        <f t="shared" si="49"/>
        <v>0</v>
      </c>
      <c r="X319" s="172"/>
    </row>
    <row r="320" spans="1:24" x14ac:dyDescent="0.45">
      <c r="A320" s="193">
        <v>18</v>
      </c>
      <c r="B320" s="194" t="str">
        <f t="shared" si="45"/>
        <v/>
      </c>
      <c r="C320" s="170" t="str">
        <f t="shared" si="46"/>
        <v/>
      </c>
      <c r="D320" s="170"/>
      <c r="E320" s="195"/>
      <c r="F320" s="195"/>
      <c r="G320" s="196"/>
      <c r="H320" s="197"/>
      <c r="I320" s="197" t="str">
        <f t="shared" si="50"/>
        <v/>
      </c>
      <c r="J320" s="197" t="str">
        <f t="shared" si="51"/>
        <v/>
      </c>
      <c r="K320" s="197"/>
      <c r="L320" s="197"/>
      <c r="M320" s="198"/>
      <c r="N320" s="198"/>
      <c r="O320" s="198"/>
      <c r="P320" s="199"/>
      <c r="Q320" s="200"/>
      <c r="R320" s="200"/>
      <c r="S320" s="200"/>
      <c r="T320" s="200" t="str">
        <f t="shared" si="47"/>
        <v/>
      </c>
      <c r="U320" s="200"/>
      <c r="V320" s="201" t="str">
        <f t="shared" si="48"/>
        <v/>
      </c>
      <c r="W320" s="202">
        <f t="shared" si="49"/>
        <v>0</v>
      </c>
      <c r="X320" s="172"/>
    </row>
    <row r="321" spans="1:24" x14ac:dyDescent="0.45">
      <c r="A321" s="193">
        <v>19</v>
      </c>
      <c r="B321" s="194" t="str">
        <f t="shared" si="45"/>
        <v/>
      </c>
      <c r="C321" s="170" t="str">
        <f t="shared" si="46"/>
        <v/>
      </c>
      <c r="D321" s="170"/>
      <c r="E321" s="195"/>
      <c r="F321" s="195"/>
      <c r="G321" s="196"/>
      <c r="H321" s="197"/>
      <c r="I321" s="197" t="str">
        <f t="shared" si="50"/>
        <v/>
      </c>
      <c r="J321" s="197" t="str">
        <f t="shared" si="51"/>
        <v/>
      </c>
      <c r="K321" s="197"/>
      <c r="L321" s="197"/>
      <c r="M321" s="198"/>
      <c r="N321" s="198"/>
      <c r="O321" s="198"/>
      <c r="P321" s="199"/>
      <c r="Q321" s="200"/>
      <c r="R321" s="200"/>
      <c r="S321" s="200"/>
      <c r="T321" s="200" t="str">
        <f t="shared" si="47"/>
        <v/>
      </c>
      <c r="U321" s="200"/>
      <c r="V321" s="201" t="str">
        <f t="shared" si="48"/>
        <v/>
      </c>
      <c r="W321" s="202">
        <f t="shared" si="49"/>
        <v>0</v>
      </c>
      <c r="X321" s="172"/>
    </row>
    <row r="322" spans="1:24" x14ac:dyDescent="0.45">
      <c r="A322" s="193">
        <v>20</v>
      </c>
      <c r="B322" s="194" t="str">
        <f t="shared" si="45"/>
        <v/>
      </c>
      <c r="C322" s="170" t="str">
        <f t="shared" si="46"/>
        <v/>
      </c>
      <c r="D322" s="170"/>
      <c r="E322" s="195"/>
      <c r="F322" s="195"/>
      <c r="G322" s="196"/>
      <c r="H322" s="197"/>
      <c r="I322" s="197" t="str">
        <f t="shared" si="50"/>
        <v/>
      </c>
      <c r="J322" s="197" t="str">
        <f t="shared" si="51"/>
        <v/>
      </c>
      <c r="K322" s="197"/>
      <c r="L322" s="197"/>
      <c r="M322" s="198"/>
      <c r="N322" s="198"/>
      <c r="O322" s="198"/>
      <c r="P322" s="199"/>
      <c r="Q322" s="200"/>
      <c r="R322" s="200"/>
      <c r="S322" s="200"/>
      <c r="T322" s="200" t="str">
        <f t="shared" si="47"/>
        <v/>
      </c>
      <c r="U322" s="200"/>
      <c r="V322" s="201" t="str">
        <f t="shared" si="48"/>
        <v/>
      </c>
      <c r="W322" s="202">
        <f t="shared" si="49"/>
        <v>0</v>
      </c>
      <c r="X322" s="172"/>
    </row>
    <row r="323" spans="1:24" x14ac:dyDescent="0.45">
      <c r="A323" s="193">
        <v>21</v>
      </c>
      <c r="B323" s="194" t="str">
        <f t="shared" si="45"/>
        <v/>
      </c>
      <c r="C323" s="170" t="str">
        <f t="shared" si="46"/>
        <v/>
      </c>
      <c r="D323" s="170"/>
      <c r="E323" s="195"/>
      <c r="F323" s="195"/>
      <c r="G323" s="196"/>
      <c r="H323" s="197"/>
      <c r="I323" s="197" t="str">
        <f t="shared" si="50"/>
        <v/>
      </c>
      <c r="J323" s="197" t="str">
        <f t="shared" si="51"/>
        <v/>
      </c>
      <c r="K323" s="197"/>
      <c r="L323" s="197"/>
      <c r="M323" s="198"/>
      <c r="N323" s="198"/>
      <c r="O323" s="198"/>
      <c r="P323" s="199"/>
      <c r="Q323" s="200"/>
      <c r="R323" s="200"/>
      <c r="S323" s="200"/>
      <c r="T323" s="200" t="str">
        <f t="shared" si="47"/>
        <v/>
      </c>
      <c r="U323" s="200"/>
      <c r="V323" s="201" t="str">
        <f t="shared" si="48"/>
        <v/>
      </c>
      <c r="W323" s="202">
        <f t="shared" si="49"/>
        <v>0</v>
      </c>
      <c r="X323" s="172"/>
    </row>
    <row r="324" spans="1:24" x14ac:dyDescent="0.45">
      <c r="A324" s="193">
        <v>22</v>
      </c>
      <c r="B324" s="194" t="str">
        <f t="shared" si="45"/>
        <v/>
      </c>
      <c r="C324" s="170" t="str">
        <f t="shared" si="46"/>
        <v/>
      </c>
      <c r="D324" s="170"/>
      <c r="E324" s="195"/>
      <c r="F324" s="170"/>
      <c r="G324" s="170"/>
      <c r="H324" s="203"/>
      <c r="I324" s="197" t="str">
        <f t="shared" si="50"/>
        <v/>
      </c>
      <c r="J324" s="197" t="str">
        <f t="shared" si="51"/>
        <v/>
      </c>
      <c r="K324" s="197"/>
      <c r="L324" s="197"/>
      <c r="M324" s="198"/>
      <c r="N324" s="198"/>
      <c r="O324" s="198"/>
      <c r="P324" s="199"/>
      <c r="Q324" s="200"/>
      <c r="R324" s="200"/>
      <c r="S324" s="200"/>
      <c r="T324" s="200" t="str">
        <f t="shared" si="47"/>
        <v/>
      </c>
      <c r="U324" s="200"/>
      <c r="V324" s="201" t="str">
        <f t="shared" si="48"/>
        <v/>
      </c>
      <c r="W324" s="202">
        <f t="shared" si="49"/>
        <v>0</v>
      </c>
      <c r="X324" s="172"/>
    </row>
    <row r="325" spans="1:24" x14ac:dyDescent="0.45">
      <c r="A325" s="193">
        <v>23</v>
      </c>
      <c r="B325" s="194" t="str">
        <f t="shared" si="45"/>
        <v/>
      </c>
      <c r="C325" s="170" t="str">
        <f t="shared" si="46"/>
        <v/>
      </c>
      <c r="D325" s="170"/>
      <c r="E325" s="195"/>
      <c r="F325" s="170"/>
      <c r="G325" s="170"/>
      <c r="H325" s="203"/>
      <c r="I325" s="197" t="str">
        <f t="shared" si="50"/>
        <v/>
      </c>
      <c r="J325" s="197" t="str">
        <f t="shared" si="51"/>
        <v/>
      </c>
      <c r="K325" s="197"/>
      <c r="L325" s="197"/>
      <c r="M325" s="198"/>
      <c r="N325" s="198"/>
      <c r="O325" s="198"/>
      <c r="P325" s="199"/>
      <c r="Q325" s="200"/>
      <c r="R325" s="200"/>
      <c r="S325" s="200"/>
      <c r="T325" s="200" t="str">
        <f t="shared" si="47"/>
        <v/>
      </c>
      <c r="U325" s="200"/>
      <c r="V325" s="201" t="str">
        <f t="shared" si="48"/>
        <v/>
      </c>
      <c r="W325" s="202">
        <f t="shared" si="49"/>
        <v>0</v>
      </c>
      <c r="X325" s="172"/>
    </row>
    <row r="326" spans="1:24" x14ac:dyDescent="0.45">
      <c r="A326" s="193">
        <v>24</v>
      </c>
      <c r="B326" s="194" t="str">
        <f t="shared" si="45"/>
        <v/>
      </c>
      <c r="C326" s="170" t="str">
        <f t="shared" si="46"/>
        <v/>
      </c>
      <c r="D326" s="170"/>
      <c r="E326" s="195"/>
      <c r="F326" s="170"/>
      <c r="G326" s="170"/>
      <c r="H326" s="203"/>
      <c r="I326" s="197" t="str">
        <f t="shared" si="50"/>
        <v/>
      </c>
      <c r="J326" s="197" t="str">
        <f t="shared" si="51"/>
        <v/>
      </c>
      <c r="K326" s="197"/>
      <c r="L326" s="197"/>
      <c r="M326" s="198"/>
      <c r="N326" s="198"/>
      <c r="O326" s="198"/>
      <c r="P326" s="199"/>
      <c r="Q326" s="200"/>
      <c r="R326" s="200"/>
      <c r="S326" s="200"/>
      <c r="T326" s="200" t="str">
        <f t="shared" si="47"/>
        <v/>
      </c>
      <c r="U326" s="200"/>
      <c r="V326" s="201" t="str">
        <f t="shared" si="48"/>
        <v/>
      </c>
      <c r="W326" s="202">
        <f t="shared" si="49"/>
        <v>0</v>
      </c>
      <c r="X326" s="172"/>
    </row>
    <row r="327" spans="1:24" x14ac:dyDescent="0.45">
      <c r="A327" s="193">
        <v>25</v>
      </c>
      <c r="B327" s="194" t="str">
        <f t="shared" si="45"/>
        <v/>
      </c>
      <c r="C327" s="170" t="str">
        <f t="shared" si="46"/>
        <v/>
      </c>
      <c r="D327" s="170"/>
      <c r="E327" s="195"/>
      <c r="F327" s="170"/>
      <c r="G327" s="170"/>
      <c r="H327" s="203"/>
      <c r="I327" s="197" t="str">
        <f t="shared" si="50"/>
        <v/>
      </c>
      <c r="J327" s="197" t="str">
        <f t="shared" si="51"/>
        <v/>
      </c>
      <c r="K327" s="197"/>
      <c r="L327" s="197"/>
      <c r="M327" s="198"/>
      <c r="N327" s="198"/>
      <c r="O327" s="198"/>
      <c r="P327" s="199"/>
      <c r="Q327" s="200"/>
      <c r="R327" s="200"/>
      <c r="S327" s="200"/>
      <c r="T327" s="200" t="str">
        <f t="shared" si="47"/>
        <v/>
      </c>
      <c r="U327" s="200"/>
      <c r="V327" s="201" t="str">
        <f t="shared" si="48"/>
        <v/>
      </c>
      <c r="W327" s="202">
        <f t="shared" si="49"/>
        <v>0</v>
      </c>
      <c r="X327" s="172"/>
    </row>
    <row r="328" spans="1:24" x14ac:dyDescent="0.45">
      <c r="A328" s="193">
        <v>26</v>
      </c>
      <c r="B328" s="194" t="str">
        <f t="shared" si="45"/>
        <v/>
      </c>
      <c r="C328" s="170" t="str">
        <f t="shared" si="46"/>
        <v/>
      </c>
      <c r="D328" s="170"/>
      <c r="E328" s="195"/>
      <c r="F328" s="170"/>
      <c r="G328" s="170"/>
      <c r="H328" s="203"/>
      <c r="I328" s="197" t="str">
        <f t="shared" si="50"/>
        <v/>
      </c>
      <c r="J328" s="197" t="str">
        <f t="shared" si="51"/>
        <v/>
      </c>
      <c r="K328" s="197"/>
      <c r="L328" s="197"/>
      <c r="M328" s="198"/>
      <c r="N328" s="198"/>
      <c r="O328" s="198"/>
      <c r="P328" s="199"/>
      <c r="Q328" s="200"/>
      <c r="R328" s="200"/>
      <c r="S328" s="200"/>
      <c r="T328" s="200" t="str">
        <f t="shared" si="47"/>
        <v/>
      </c>
      <c r="U328" s="200"/>
      <c r="V328" s="201" t="str">
        <f t="shared" si="48"/>
        <v/>
      </c>
      <c r="W328" s="202">
        <f t="shared" si="49"/>
        <v>0</v>
      </c>
      <c r="X328" s="172"/>
    </row>
    <row r="329" spans="1:24" x14ac:dyDescent="0.45">
      <c r="A329" s="193">
        <v>27</v>
      </c>
      <c r="B329" s="194" t="str">
        <f t="shared" si="45"/>
        <v/>
      </c>
      <c r="C329" s="170" t="str">
        <f t="shared" si="46"/>
        <v/>
      </c>
      <c r="D329" s="170"/>
      <c r="E329" s="195"/>
      <c r="F329" s="170"/>
      <c r="G329" s="170"/>
      <c r="H329" s="203"/>
      <c r="I329" s="197" t="str">
        <f t="shared" si="50"/>
        <v/>
      </c>
      <c r="J329" s="197" t="str">
        <f t="shared" si="51"/>
        <v/>
      </c>
      <c r="K329" s="197"/>
      <c r="L329" s="197"/>
      <c r="M329" s="198"/>
      <c r="N329" s="198"/>
      <c r="O329" s="198"/>
      <c r="P329" s="199"/>
      <c r="Q329" s="200"/>
      <c r="R329" s="200"/>
      <c r="S329" s="200"/>
      <c r="T329" s="200" t="str">
        <f t="shared" si="47"/>
        <v/>
      </c>
      <c r="U329" s="200"/>
      <c r="V329" s="201" t="str">
        <f t="shared" si="48"/>
        <v/>
      </c>
      <c r="W329" s="202">
        <f t="shared" si="49"/>
        <v>0</v>
      </c>
      <c r="X329" s="172"/>
    </row>
    <row r="330" spans="1:24" x14ac:dyDescent="0.45">
      <c r="A330" s="193">
        <v>28</v>
      </c>
      <c r="B330" s="194" t="str">
        <f t="shared" si="45"/>
        <v/>
      </c>
      <c r="C330" s="170" t="str">
        <f t="shared" si="46"/>
        <v/>
      </c>
      <c r="D330" s="170"/>
      <c r="E330" s="195"/>
      <c r="F330" s="170"/>
      <c r="G330" s="170"/>
      <c r="H330" s="203"/>
      <c r="I330" s="197" t="str">
        <f t="shared" si="50"/>
        <v/>
      </c>
      <c r="J330" s="197" t="str">
        <f t="shared" si="51"/>
        <v/>
      </c>
      <c r="K330" s="197"/>
      <c r="L330" s="197"/>
      <c r="M330" s="198"/>
      <c r="N330" s="198"/>
      <c r="O330" s="198"/>
      <c r="P330" s="199"/>
      <c r="Q330" s="200"/>
      <c r="R330" s="200"/>
      <c r="S330" s="200"/>
      <c r="T330" s="200" t="str">
        <f t="shared" si="47"/>
        <v/>
      </c>
      <c r="U330" s="200"/>
      <c r="V330" s="201" t="str">
        <f t="shared" si="48"/>
        <v/>
      </c>
      <c r="W330" s="202">
        <f t="shared" si="49"/>
        <v>0</v>
      </c>
      <c r="X330" s="172"/>
    </row>
    <row r="331" spans="1:24" x14ac:dyDescent="0.45">
      <c r="A331" s="193">
        <v>29</v>
      </c>
      <c r="B331" s="194" t="str">
        <f t="shared" si="45"/>
        <v/>
      </c>
      <c r="C331" s="170" t="str">
        <f t="shared" si="46"/>
        <v/>
      </c>
      <c r="D331" s="170"/>
      <c r="E331" s="195"/>
      <c r="F331" s="170"/>
      <c r="G331" s="170"/>
      <c r="H331" s="203"/>
      <c r="I331" s="197" t="str">
        <f t="shared" si="50"/>
        <v/>
      </c>
      <c r="J331" s="197" t="str">
        <f t="shared" si="51"/>
        <v/>
      </c>
      <c r="K331" s="197"/>
      <c r="L331" s="197"/>
      <c r="M331" s="198"/>
      <c r="N331" s="198"/>
      <c r="O331" s="198"/>
      <c r="P331" s="199"/>
      <c r="Q331" s="200"/>
      <c r="R331" s="200"/>
      <c r="S331" s="200"/>
      <c r="T331" s="200" t="str">
        <f t="shared" si="47"/>
        <v/>
      </c>
      <c r="U331" s="200"/>
      <c r="V331" s="201" t="str">
        <f t="shared" si="48"/>
        <v/>
      </c>
      <c r="W331" s="202">
        <f t="shared" si="49"/>
        <v>0</v>
      </c>
      <c r="X331" s="172"/>
    </row>
    <row r="332" spans="1:24" x14ac:dyDescent="0.45">
      <c r="A332" s="193">
        <v>30</v>
      </c>
      <c r="B332" s="194" t="str">
        <f t="shared" si="45"/>
        <v/>
      </c>
      <c r="C332" s="170" t="str">
        <f t="shared" si="46"/>
        <v/>
      </c>
      <c r="D332" s="170"/>
      <c r="E332" s="195"/>
      <c r="F332" s="170"/>
      <c r="G332" s="170"/>
      <c r="H332" s="203"/>
      <c r="I332" s="197" t="str">
        <f t="shared" si="50"/>
        <v/>
      </c>
      <c r="J332" s="197" t="str">
        <f t="shared" si="51"/>
        <v/>
      </c>
      <c r="K332" s="197"/>
      <c r="L332" s="197"/>
      <c r="M332" s="198"/>
      <c r="N332" s="198"/>
      <c r="O332" s="198"/>
      <c r="P332" s="199"/>
      <c r="Q332" s="200"/>
      <c r="R332" s="200"/>
      <c r="S332" s="200"/>
      <c r="T332" s="200" t="str">
        <f t="shared" si="47"/>
        <v/>
      </c>
      <c r="U332" s="200"/>
      <c r="V332" s="201" t="str">
        <f t="shared" si="48"/>
        <v/>
      </c>
      <c r="W332" s="202">
        <f t="shared" si="49"/>
        <v>0</v>
      </c>
      <c r="X332" s="172"/>
    </row>
    <row r="333" spans="1:24" x14ac:dyDescent="0.45">
      <c r="A333" s="193">
        <v>31</v>
      </c>
      <c r="B333" s="194" t="str">
        <f t="shared" si="45"/>
        <v/>
      </c>
      <c r="C333" s="170" t="str">
        <f t="shared" si="46"/>
        <v/>
      </c>
      <c r="D333" s="170"/>
      <c r="E333" s="195"/>
      <c r="F333" s="170"/>
      <c r="G333" s="170"/>
      <c r="H333" s="203"/>
      <c r="I333" s="197" t="str">
        <f t="shared" si="50"/>
        <v/>
      </c>
      <c r="J333" s="197" t="str">
        <f t="shared" si="51"/>
        <v/>
      </c>
      <c r="K333" s="197"/>
      <c r="L333" s="197"/>
      <c r="M333" s="198"/>
      <c r="N333" s="198"/>
      <c r="O333" s="198"/>
      <c r="P333" s="199"/>
      <c r="Q333" s="200"/>
      <c r="R333" s="200"/>
      <c r="S333" s="200"/>
      <c r="T333" s="200" t="str">
        <f t="shared" si="47"/>
        <v/>
      </c>
      <c r="U333" s="200"/>
      <c r="V333" s="201" t="str">
        <f t="shared" si="48"/>
        <v/>
      </c>
      <c r="W333" s="202">
        <f t="shared" si="49"/>
        <v>0</v>
      </c>
      <c r="X333" s="172"/>
    </row>
    <row r="334" spans="1:24" x14ac:dyDescent="0.45">
      <c r="A334" s="193">
        <v>32</v>
      </c>
      <c r="B334" s="194" t="str">
        <f t="shared" si="45"/>
        <v/>
      </c>
      <c r="C334" s="170" t="str">
        <f t="shared" si="46"/>
        <v/>
      </c>
      <c r="D334" s="170"/>
      <c r="E334" s="195"/>
      <c r="F334" s="170"/>
      <c r="G334" s="170"/>
      <c r="H334" s="203"/>
      <c r="I334" s="197" t="str">
        <f t="shared" si="50"/>
        <v/>
      </c>
      <c r="J334" s="197" t="str">
        <f t="shared" si="51"/>
        <v/>
      </c>
      <c r="K334" s="197"/>
      <c r="L334" s="197"/>
      <c r="M334" s="198"/>
      <c r="N334" s="198"/>
      <c r="O334" s="198"/>
      <c r="P334" s="199"/>
      <c r="Q334" s="200"/>
      <c r="R334" s="200"/>
      <c r="S334" s="200"/>
      <c r="T334" s="200" t="str">
        <f t="shared" si="47"/>
        <v/>
      </c>
      <c r="U334" s="200"/>
      <c r="V334" s="201" t="str">
        <f t="shared" si="48"/>
        <v/>
      </c>
      <c r="W334" s="202">
        <f t="shared" si="49"/>
        <v>0</v>
      </c>
      <c r="X334" s="172"/>
    </row>
    <row r="335" spans="1:24" x14ac:dyDescent="0.45">
      <c r="A335" s="193">
        <v>33</v>
      </c>
      <c r="B335" s="194" t="str">
        <f t="shared" ref="B335:B368" si="52">IF(OR($C$283="",U335=""),"",LEFT($C$283,FIND("_",$C$283)-1))</f>
        <v/>
      </c>
      <c r="C335" s="170" t="str">
        <f t="shared" ref="C335:C368" si="53">IF(OR($C$283="",U335=""),"",$B$283)</f>
        <v/>
      </c>
      <c r="D335" s="170"/>
      <c r="E335" s="195"/>
      <c r="F335" s="170"/>
      <c r="G335" s="170"/>
      <c r="H335" s="203"/>
      <c r="I335" s="197" t="str">
        <f t="shared" si="50"/>
        <v/>
      </c>
      <c r="J335" s="197" t="str">
        <f t="shared" si="51"/>
        <v/>
      </c>
      <c r="K335" s="197"/>
      <c r="L335" s="197"/>
      <c r="M335" s="198"/>
      <c r="N335" s="198"/>
      <c r="O335" s="198"/>
      <c r="P335" s="199"/>
      <c r="Q335" s="200"/>
      <c r="R335" s="200"/>
      <c r="S335" s="200"/>
      <c r="T335" s="200" t="str">
        <f t="shared" ref="T335:T368" si="54">IF(K335="","",((K335*20)+L335)-((I335*20)+J335))</f>
        <v/>
      </c>
      <c r="U335" s="200"/>
      <c r="V335" s="201" t="str">
        <f t="shared" ref="V335:V366" si="55">IF(U335="","",$V$283)</f>
        <v/>
      </c>
      <c r="W335" s="202">
        <f t="shared" ref="W335:W368" si="56">IF(OR(T335="",U335=""),0,T335*U335)</f>
        <v>0</v>
      </c>
      <c r="X335" s="172"/>
    </row>
    <row r="336" spans="1:24" x14ac:dyDescent="0.45">
      <c r="A336" s="193">
        <v>34</v>
      </c>
      <c r="B336" s="194" t="str">
        <f t="shared" si="52"/>
        <v/>
      </c>
      <c r="C336" s="170" t="str">
        <f t="shared" si="53"/>
        <v/>
      </c>
      <c r="D336" s="170"/>
      <c r="E336" s="195"/>
      <c r="F336" s="170"/>
      <c r="G336" s="170"/>
      <c r="H336" s="203"/>
      <c r="I336" s="197" t="str">
        <f t="shared" ref="I336:I368" si="57">IF(K335="","",K335)</f>
        <v/>
      </c>
      <c r="J336" s="197" t="str">
        <f t="shared" ref="J336:J368" si="58">IF(L335="","",L335)</f>
        <v/>
      </c>
      <c r="K336" s="197"/>
      <c r="L336" s="197"/>
      <c r="M336" s="198"/>
      <c r="N336" s="198"/>
      <c r="O336" s="198"/>
      <c r="P336" s="199"/>
      <c r="Q336" s="200"/>
      <c r="R336" s="200"/>
      <c r="S336" s="200"/>
      <c r="T336" s="200" t="str">
        <f t="shared" si="54"/>
        <v/>
      </c>
      <c r="U336" s="200"/>
      <c r="V336" s="201" t="str">
        <f t="shared" si="55"/>
        <v/>
      </c>
      <c r="W336" s="202">
        <f t="shared" si="56"/>
        <v>0</v>
      </c>
      <c r="X336" s="172"/>
    </row>
    <row r="337" spans="1:24" x14ac:dyDescent="0.45">
      <c r="A337" s="193">
        <v>35</v>
      </c>
      <c r="B337" s="194" t="str">
        <f t="shared" si="52"/>
        <v/>
      </c>
      <c r="C337" s="170" t="str">
        <f t="shared" si="53"/>
        <v/>
      </c>
      <c r="D337" s="170"/>
      <c r="E337" s="195"/>
      <c r="F337" s="170"/>
      <c r="G337" s="170"/>
      <c r="H337" s="203"/>
      <c r="I337" s="197" t="str">
        <f t="shared" si="57"/>
        <v/>
      </c>
      <c r="J337" s="197" t="str">
        <f t="shared" si="58"/>
        <v/>
      </c>
      <c r="K337" s="197"/>
      <c r="L337" s="197"/>
      <c r="M337" s="198"/>
      <c r="N337" s="198"/>
      <c r="O337" s="198"/>
      <c r="P337" s="199"/>
      <c r="Q337" s="200"/>
      <c r="R337" s="200"/>
      <c r="S337" s="200"/>
      <c r="T337" s="200" t="str">
        <f t="shared" si="54"/>
        <v/>
      </c>
      <c r="U337" s="200"/>
      <c r="V337" s="201" t="str">
        <f t="shared" si="55"/>
        <v/>
      </c>
      <c r="W337" s="202">
        <f t="shared" si="56"/>
        <v>0</v>
      </c>
      <c r="X337" s="172"/>
    </row>
    <row r="338" spans="1:24" x14ac:dyDescent="0.45">
      <c r="A338" s="193">
        <v>36</v>
      </c>
      <c r="B338" s="194" t="str">
        <f t="shared" si="52"/>
        <v/>
      </c>
      <c r="C338" s="170" t="str">
        <f t="shared" si="53"/>
        <v/>
      </c>
      <c r="D338" s="170"/>
      <c r="E338" s="195"/>
      <c r="F338" s="170"/>
      <c r="G338" s="170"/>
      <c r="H338" s="203"/>
      <c r="I338" s="197" t="str">
        <f t="shared" si="57"/>
        <v/>
      </c>
      <c r="J338" s="197" t="str">
        <f t="shared" si="58"/>
        <v/>
      </c>
      <c r="K338" s="197"/>
      <c r="L338" s="197"/>
      <c r="M338" s="198"/>
      <c r="N338" s="198"/>
      <c r="O338" s="198"/>
      <c r="P338" s="199"/>
      <c r="Q338" s="200"/>
      <c r="R338" s="200"/>
      <c r="S338" s="200"/>
      <c r="T338" s="200" t="str">
        <f t="shared" si="54"/>
        <v/>
      </c>
      <c r="U338" s="200"/>
      <c r="V338" s="201" t="str">
        <f t="shared" si="55"/>
        <v/>
      </c>
      <c r="W338" s="202">
        <f t="shared" si="56"/>
        <v>0</v>
      </c>
      <c r="X338" s="172"/>
    </row>
    <row r="339" spans="1:24" x14ac:dyDescent="0.45">
      <c r="A339" s="193">
        <v>37</v>
      </c>
      <c r="B339" s="194" t="str">
        <f t="shared" si="52"/>
        <v/>
      </c>
      <c r="C339" s="170" t="str">
        <f t="shared" si="53"/>
        <v/>
      </c>
      <c r="D339" s="170"/>
      <c r="E339" s="195"/>
      <c r="F339" s="170"/>
      <c r="G339" s="170"/>
      <c r="H339" s="203"/>
      <c r="I339" s="197" t="str">
        <f t="shared" si="57"/>
        <v/>
      </c>
      <c r="J339" s="197" t="str">
        <f t="shared" si="58"/>
        <v/>
      </c>
      <c r="K339" s="197"/>
      <c r="L339" s="197"/>
      <c r="M339" s="198"/>
      <c r="N339" s="198"/>
      <c r="O339" s="198"/>
      <c r="P339" s="199"/>
      <c r="Q339" s="200"/>
      <c r="R339" s="200"/>
      <c r="S339" s="200"/>
      <c r="T339" s="200" t="str">
        <f t="shared" si="54"/>
        <v/>
      </c>
      <c r="U339" s="200"/>
      <c r="V339" s="201" t="str">
        <f t="shared" si="55"/>
        <v/>
      </c>
      <c r="W339" s="202">
        <f t="shared" si="56"/>
        <v>0</v>
      </c>
      <c r="X339" s="172"/>
    </row>
    <row r="340" spans="1:24" x14ac:dyDescent="0.45">
      <c r="A340" s="193">
        <v>38</v>
      </c>
      <c r="B340" s="194" t="str">
        <f t="shared" si="52"/>
        <v/>
      </c>
      <c r="C340" s="170" t="str">
        <f t="shared" si="53"/>
        <v/>
      </c>
      <c r="D340" s="170"/>
      <c r="E340" s="195"/>
      <c r="F340" s="170"/>
      <c r="G340" s="170"/>
      <c r="H340" s="203"/>
      <c r="I340" s="197" t="str">
        <f t="shared" si="57"/>
        <v/>
      </c>
      <c r="J340" s="197" t="str">
        <f t="shared" si="58"/>
        <v/>
      </c>
      <c r="K340" s="197"/>
      <c r="L340" s="197"/>
      <c r="M340" s="198"/>
      <c r="N340" s="198"/>
      <c r="O340" s="198"/>
      <c r="P340" s="199"/>
      <c r="Q340" s="200"/>
      <c r="R340" s="200"/>
      <c r="S340" s="200"/>
      <c r="T340" s="200" t="str">
        <f t="shared" si="54"/>
        <v/>
      </c>
      <c r="U340" s="200"/>
      <c r="V340" s="201" t="str">
        <f t="shared" si="55"/>
        <v/>
      </c>
      <c r="W340" s="202">
        <f t="shared" si="56"/>
        <v>0</v>
      </c>
      <c r="X340" s="172"/>
    </row>
    <row r="341" spans="1:24" x14ac:dyDescent="0.45">
      <c r="A341" s="193">
        <v>39</v>
      </c>
      <c r="B341" s="194" t="str">
        <f t="shared" si="52"/>
        <v/>
      </c>
      <c r="C341" s="170" t="str">
        <f t="shared" si="53"/>
        <v/>
      </c>
      <c r="D341" s="170"/>
      <c r="E341" s="195"/>
      <c r="F341" s="170"/>
      <c r="G341" s="170"/>
      <c r="H341" s="203"/>
      <c r="I341" s="197" t="str">
        <f t="shared" si="57"/>
        <v/>
      </c>
      <c r="J341" s="197" t="str">
        <f t="shared" si="58"/>
        <v/>
      </c>
      <c r="K341" s="197"/>
      <c r="L341" s="197"/>
      <c r="M341" s="198"/>
      <c r="N341" s="198"/>
      <c r="O341" s="198"/>
      <c r="P341" s="199"/>
      <c r="Q341" s="200"/>
      <c r="R341" s="200"/>
      <c r="S341" s="200"/>
      <c r="T341" s="200" t="str">
        <f t="shared" si="54"/>
        <v/>
      </c>
      <c r="U341" s="200"/>
      <c r="V341" s="201" t="str">
        <f t="shared" si="55"/>
        <v/>
      </c>
      <c r="W341" s="202">
        <f t="shared" si="56"/>
        <v>0</v>
      </c>
      <c r="X341" s="172"/>
    </row>
    <row r="342" spans="1:24" x14ac:dyDescent="0.45">
      <c r="A342" s="193">
        <v>40</v>
      </c>
      <c r="B342" s="194" t="str">
        <f t="shared" si="52"/>
        <v/>
      </c>
      <c r="C342" s="170" t="str">
        <f t="shared" si="53"/>
        <v/>
      </c>
      <c r="D342" s="170"/>
      <c r="E342" s="195"/>
      <c r="F342" s="170"/>
      <c r="G342" s="170"/>
      <c r="H342" s="203"/>
      <c r="I342" s="197" t="str">
        <f t="shared" si="57"/>
        <v/>
      </c>
      <c r="J342" s="197" t="str">
        <f t="shared" si="58"/>
        <v/>
      </c>
      <c r="K342" s="197"/>
      <c r="L342" s="197"/>
      <c r="M342" s="198"/>
      <c r="N342" s="198"/>
      <c r="O342" s="198"/>
      <c r="P342" s="199"/>
      <c r="Q342" s="200"/>
      <c r="R342" s="200"/>
      <c r="S342" s="200"/>
      <c r="T342" s="200" t="str">
        <f t="shared" si="54"/>
        <v/>
      </c>
      <c r="U342" s="200"/>
      <c r="V342" s="201" t="str">
        <f t="shared" si="55"/>
        <v/>
      </c>
      <c r="W342" s="202">
        <f t="shared" si="56"/>
        <v>0</v>
      </c>
      <c r="X342" s="172"/>
    </row>
    <row r="343" spans="1:24" x14ac:dyDescent="0.45">
      <c r="A343" s="193">
        <v>41</v>
      </c>
      <c r="B343" s="194" t="str">
        <f t="shared" si="52"/>
        <v/>
      </c>
      <c r="C343" s="170" t="str">
        <f t="shared" si="53"/>
        <v/>
      </c>
      <c r="D343" s="170"/>
      <c r="E343" s="195"/>
      <c r="F343" s="170"/>
      <c r="G343" s="170"/>
      <c r="H343" s="203"/>
      <c r="I343" s="197" t="str">
        <f t="shared" si="57"/>
        <v/>
      </c>
      <c r="J343" s="197" t="str">
        <f t="shared" si="58"/>
        <v/>
      </c>
      <c r="K343" s="197"/>
      <c r="L343" s="197"/>
      <c r="M343" s="198"/>
      <c r="N343" s="198"/>
      <c r="O343" s="198"/>
      <c r="P343" s="199"/>
      <c r="Q343" s="200"/>
      <c r="R343" s="200"/>
      <c r="S343" s="200"/>
      <c r="T343" s="200" t="str">
        <f t="shared" si="54"/>
        <v/>
      </c>
      <c r="U343" s="200"/>
      <c r="V343" s="201" t="str">
        <f t="shared" si="55"/>
        <v/>
      </c>
      <c r="W343" s="202">
        <f t="shared" si="56"/>
        <v>0</v>
      </c>
      <c r="X343" s="172"/>
    </row>
    <row r="344" spans="1:24" x14ac:dyDescent="0.45">
      <c r="A344" s="193">
        <v>42</v>
      </c>
      <c r="B344" s="194" t="str">
        <f t="shared" si="52"/>
        <v/>
      </c>
      <c r="C344" s="170" t="str">
        <f t="shared" si="53"/>
        <v/>
      </c>
      <c r="D344" s="170"/>
      <c r="E344" s="195"/>
      <c r="F344" s="170"/>
      <c r="G344" s="170"/>
      <c r="H344" s="203"/>
      <c r="I344" s="197" t="str">
        <f t="shared" si="57"/>
        <v/>
      </c>
      <c r="J344" s="197" t="str">
        <f t="shared" si="58"/>
        <v/>
      </c>
      <c r="K344" s="197"/>
      <c r="L344" s="197"/>
      <c r="M344" s="198"/>
      <c r="N344" s="198"/>
      <c r="O344" s="198"/>
      <c r="P344" s="199"/>
      <c r="Q344" s="200"/>
      <c r="R344" s="200"/>
      <c r="S344" s="200"/>
      <c r="T344" s="200" t="str">
        <f t="shared" si="54"/>
        <v/>
      </c>
      <c r="U344" s="200"/>
      <c r="V344" s="201" t="str">
        <f t="shared" si="55"/>
        <v/>
      </c>
      <c r="W344" s="202">
        <f t="shared" si="56"/>
        <v>0</v>
      </c>
      <c r="X344" s="172"/>
    </row>
    <row r="345" spans="1:24" x14ac:dyDescent="0.45">
      <c r="A345" s="193">
        <v>43</v>
      </c>
      <c r="B345" s="194" t="str">
        <f t="shared" si="52"/>
        <v/>
      </c>
      <c r="C345" s="170" t="str">
        <f t="shared" si="53"/>
        <v/>
      </c>
      <c r="D345" s="170"/>
      <c r="E345" s="195"/>
      <c r="F345" s="170"/>
      <c r="G345" s="170"/>
      <c r="H345" s="203"/>
      <c r="I345" s="197" t="str">
        <f t="shared" si="57"/>
        <v/>
      </c>
      <c r="J345" s="197" t="str">
        <f t="shared" si="58"/>
        <v/>
      </c>
      <c r="K345" s="197"/>
      <c r="L345" s="197"/>
      <c r="M345" s="198"/>
      <c r="N345" s="198"/>
      <c r="O345" s="198"/>
      <c r="P345" s="199"/>
      <c r="Q345" s="200"/>
      <c r="R345" s="200"/>
      <c r="S345" s="200"/>
      <c r="T345" s="200" t="str">
        <f t="shared" si="54"/>
        <v/>
      </c>
      <c r="U345" s="200"/>
      <c r="V345" s="201" t="str">
        <f t="shared" si="55"/>
        <v/>
      </c>
      <c r="W345" s="202">
        <f t="shared" si="56"/>
        <v>0</v>
      </c>
      <c r="X345" s="172"/>
    </row>
    <row r="346" spans="1:24" x14ac:dyDescent="0.45">
      <c r="A346" s="193">
        <v>44</v>
      </c>
      <c r="B346" s="194" t="str">
        <f t="shared" si="52"/>
        <v/>
      </c>
      <c r="C346" s="170" t="str">
        <f t="shared" si="53"/>
        <v/>
      </c>
      <c r="D346" s="170"/>
      <c r="E346" s="195"/>
      <c r="F346" s="170"/>
      <c r="G346" s="170"/>
      <c r="H346" s="203"/>
      <c r="I346" s="197" t="str">
        <f t="shared" si="57"/>
        <v/>
      </c>
      <c r="J346" s="197" t="str">
        <f t="shared" si="58"/>
        <v/>
      </c>
      <c r="K346" s="197"/>
      <c r="L346" s="197"/>
      <c r="M346" s="198"/>
      <c r="N346" s="198"/>
      <c r="O346" s="198"/>
      <c r="P346" s="199"/>
      <c r="Q346" s="200"/>
      <c r="R346" s="200"/>
      <c r="S346" s="200"/>
      <c r="T346" s="200" t="str">
        <f t="shared" si="54"/>
        <v/>
      </c>
      <c r="U346" s="200"/>
      <c r="V346" s="201" t="str">
        <f t="shared" si="55"/>
        <v/>
      </c>
      <c r="W346" s="202">
        <f t="shared" si="56"/>
        <v>0</v>
      </c>
      <c r="X346" s="172"/>
    </row>
    <row r="347" spans="1:24" x14ac:dyDescent="0.45">
      <c r="A347" s="193">
        <v>45</v>
      </c>
      <c r="B347" s="194" t="str">
        <f t="shared" si="52"/>
        <v/>
      </c>
      <c r="C347" s="170" t="str">
        <f t="shared" si="53"/>
        <v/>
      </c>
      <c r="D347" s="170"/>
      <c r="E347" s="195"/>
      <c r="F347" s="170"/>
      <c r="G347" s="170"/>
      <c r="H347" s="203"/>
      <c r="I347" s="197" t="str">
        <f t="shared" si="57"/>
        <v/>
      </c>
      <c r="J347" s="197" t="str">
        <f t="shared" si="58"/>
        <v/>
      </c>
      <c r="K347" s="197"/>
      <c r="L347" s="197"/>
      <c r="M347" s="198"/>
      <c r="N347" s="198"/>
      <c r="O347" s="198"/>
      <c r="P347" s="199"/>
      <c r="Q347" s="200"/>
      <c r="R347" s="200"/>
      <c r="S347" s="200"/>
      <c r="T347" s="200" t="str">
        <f t="shared" si="54"/>
        <v/>
      </c>
      <c r="U347" s="200"/>
      <c r="V347" s="201" t="str">
        <f t="shared" si="55"/>
        <v/>
      </c>
      <c r="W347" s="202">
        <f t="shared" si="56"/>
        <v>0</v>
      </c>
      <c r="X347" s="172"/>
    </row>
    <row r="348" spans="1:24" x14ac:dyDescent="0.45">
      <c r="A348" s="193">
        <v>46</v>
      </c>
      <c r="B348" s="194" t="str">
        <f t="shared" si="52"/>
        <v/>
      </c>
      <c r="C348" s="170" t="str">
        <f t="shared" si="53"/>
        <v/>
      </c>
      <c r="D348" s="170"/>
      <c r="E348" s="195"/>
      <c r="F348" s="170"/>
      <c r="G348" s="170"/>
      <c r="H348" s="203"/>
      <c r="I348" s="197" t="str">
        <f t="shared" si="57"/>
        <v/>
      </c>
      <c r="J348" s="197" t="str">
        <f t="shared" si="58"/>
        <v/>
      </c>
      <c r="K348" s="197"/>
      <c r="L348" s="197"/>
      <c r="M348" s="198"/>
      <c r="N348" s="198"/>
      <c r="O348" s="198"/>
      <c r="P348" s="199"/>
      <c r="Q348" s="200"/>
      <c r="R348" s="200"/>
      <c r="S348" s="200"/>
      <c r="T348" s="200" t="str">
        <f t="shared" si="54"/>
        <v/>
      </c>
      <c r="U348" s="200"/>
      <c r="V348" s="201" t="str">
        <f t="shared" si="55"/>
        <v/>
      </c>
      <c r="W348" s="202">
        <f t="shared" si="56"/>
        <v>0</v>
      </c>
      <c r="X348" s="172"/>
    </row>
    <row r="349" spans="1:24" x14ac:dyDescent="0.45">
      <c r="A349" s="193">
        <v>47</v>
      </c>
      <c r="B349" s="194" t="str">
        <f t="shared" si="52"/>
        <v/>
      </c>
      <c r="C349" s="170" t="str">
        <f t="shared" si="53"/>
        <v/>
      </c>
      <c r="D349" s="170"/>
      <c r="E349" s="195"/>
      <c r="F349" s="170"/>
      <c r="G349" s="170"/>
      <c r="H349" s="203"/>
      <c r="I349" s="197" t="str">
        <f t="shared" si="57"/>
        <v/>
      </c>
      <c r="J349" s="197" t="str">
        <f t="shared" si="58"/>
        <v/>
      </c>
      <c r="K349" s="197"/>
      <c r="L349" s="197"/>
      <c r="M349" s="198"/>
      <c r="N349" s="198"/>
      <c r="O349" s="198"/>
      <c r="P349" s="199"/>
      <c r="Q349" s="200"/>
      <c r="R349" s="200"/>
      <c r="S349" s="200"/>
      <c r="T349" s="200" t="str">
        <f t="shared" si="54"/>
        <v/>
      </c>
      <c r="U349" s="200"/>
      <c r="V349" s="201" t="str">
        <f t="shared" si="55"/>
        <v/>
      </c>
      <c r="W349" s="202">
        <f t="shared" si="56"/>
        <v>0</v>
      </c>
      <c r="X349" s="172"/>
    </row>
    <row r="350" spans="1:24" x14ac:dyDescent="0.45">
      <c r="A350" s="193">
        <v>48</v>
      </c>
      <c r="B350" s="194" t="str">
        <f t="shared" si="52"/>
        <v/>
      </c>
      <c r="C350" s="170" t="str">
        <f t="shared" si="53"/>
        <v/>
      </c>
      <c r="D350" s="170"/>
      <c r="E350" s="195"/>
      <c r="F350" s="170"/>
      <c r="G350" s="170"/>
      <c r="H350" s="203"/>
      <c r="I350" s="197" t="str">
        <f t="shared" si="57"/>
        <v/>
      </c>
      <c r="J350" s="197" t="str">
        <f t="shared" si="58"/>
        <v/>
      </c>
      <c r="K350" s="197"/>
      <c r="L350" s="197"/>
      <c r="M350" s="198"/>
      <c r="N350" s="198"/>
      <c r="O350" s="198"/>
      <c r="P350" s="199"/>
      <c r="Q350" s="200"/>
      <c r="R350" s="200"/>
      <c r="S350" s="200"/>
      <c r="T350" s="200" t="str">
        <f t="shared" si="54"/>
        <v/>
      </c>
      <c r="U350" s="200"/>
      <c r="V350" s="201" t="str">
        <f t="shared" si="55"/>
        <v/>
      </c>
      <c r="W350" s="202">
        <f t="shared" si="56"/>
        <v>0</v>
      </c>
      <c r="X350" s="172"/>
    </row>
    <row r="351" spans="1:24" x14ac:dyDescent="0.45">
      <c r="A351" s="193">
        <v>49</v>
      </c>
      <c r="B351" s="194" t="str">
        <f t="shared" si="52"/>
        <v/>
      </c>
      <c r="C351" s="170" t="str">
        <f t="shared" si="53"/>
        <v/>
      </c>
      <c r="D351" s="170"/>
      <c r="E351" s="195"/>
      <c r="F351" s="170"/>
      <c r="G351" s="170"/>
      <c r="H351" s="203"/>
      <c r="I351" s="197" t="str">
        <f t="shared" si="57"/>
        <v/>
      </c>
      <c r="J351" s="197" t="str">
        <f t="shared" si="58"/>
        <v/>
      </c>
      <c r="K351" s="197"/>
      <c r="L351" s="197"/>
      <c r="M351" s="198"/>
      <c r="N351" s="198"/>
      <c r="O351" s="198"/>
      <c r="P351" s="199"/>
      <c r="Q351" s="200"/>
      <c r="R351" s="200"/>
      <c r="S351" s="200"/>
      <c r="T351" s="200" t="str">
        <f t="shared" si="54"/>
        <v/>
      </c>
      <c r="U351" s="200"/>
      <c r="V351" s="201" t="str">
        <f t="shared" si="55"/>
        <v/>
      </c>
      <c r="W351" s="202">
        <f t="shared" si="56"/>
        <v>0</v>
      </c>
      <c r="X351" s="172"/>
    </row>
    <row r="352" spans="1:24" x14ac:dyDescent="0.45">
      <c r="A352" s="193">
        <v>50</v>
      </c>
      <c r="B352" s="194" t="str">
        <f t="shared" si="52"/>
        <v/>
      </c>
      <c r="C352" s="170" t="str">
        <f t="shared" si="53"/>
        <v/>
      </c>
      <c r="D352" s="170"/>
      <c r="E352" s="195"/>
      <c r="F352" s="170"/>
      <c r="G352" s="170"/>
      <c r="H352" s="203"/>
      <c r="I352" s="197" t="str">
        <f t="shared" si="57"/>
        <v/>
      </c>
      <c r="J352" s="197" t="str">
        <f t="shared" si="58"/>
        <v/>
      </c>
      <c r="K352" s="197"/>
      <c r="L352" s="197"/>
      <c r="M352" s="198"/>
      <c r="N352" s="198"/>
      <c r="O352" s="198"/>
      <c r="P352" s="199"/>
      <c r="Q352" s="200"/>
      <c r="R352" s="200"/>
      <c r="S352" s="200"/>
      <c r="T352" s="200" t="str">
        <f t="shared" si="54"/>
        <v/>
      </c>
      <c r="U352" s="200"/>
      <c r="V352" s="201" t="str">
        <f t="shared" si="55"/>
        <v/>
      </c>
      <c r="W352" s="202">
        <f t="shared" si="56"/>
        <v>0</v>
      </c>
      <c r="X352" s="172"/>
    </row>
    <row r="353" spans="1:24" x14ac:dyDescent="0.45">
      <c r="A353" s="193">
        <v>51</v>
      </c>
      <c r="B353" s="194" t="str">
        <f t="shared" si="52"/>
        <v/>
      </c>
      <c r="C353" s="170" t="str">
        <f t="shared" si="53"/>
        <v/>
      </c>
      <c r="D353" s="170"/>
      <c r="E353" s="195"/>
      <c r="F353" s="170"/>
      <c r="G353" s="170"/>
      <c r="H353" s="203"/>
      <c r="I353" s="197" t="str">
        <f t="shared" si="57"/>
        <v/>
      </c>
      <c r="J353" s="197" t="str">
        <f t="shared" si="58"/>
        <v/>
      </c>
      <c r="K353" s="197"/>
      <c r="L353" s="197"/>
      <c r="M353" s="198"/>
      <c r="N353" s="198"/>
      <c r="O353" s="198"/>
      <c r="P353" s="199"/>
      <c r="Q353" s="200"/>
      <c r="R353" s="200"/>
      <c r="S353" s="200"/>
      <c r="T353" s="200" t="str">
        <f t="shared" si="54"/>
        <v/>
      </c>
      <c r="U353" s="200"/>
      <c r="V353" s="201" t="str">
        <f t="shared" si="55"/>
        <v/>
      </c>
      <c r="W353" s="202">
        <f t="shared" si="56"/>
        <v>0</v>
      </c>
      <c r="X353" s="172"/>
    </row>
    <row r="354" spans="1:24" x14ac:dyDescent="0.45">
      <c r="A354" s="193">
        <v>52</v>
      </c>
      <c r="B354" s="194" t="str">
        <f t="shared" si="52"/>
        <v/>
      </c>
      <c r="C354" s="170" t="str">
        <f t="shared" si="53"/>
        <v/>
      </c>
      <c r="D354" s="170"/>
      <c r="E354" s="195"/>
      <c r="F354" s="170"/>
      <c r="G354" s="170"/>
      <c r="H354" s="203"/>
      <c r="I354" s="197" t="str">
        <f t="shared" si="57"/>
        <v/>
      </c>
      <c r="J354" s="197" t="str">
        <f t="shared" si="58"/>
        <v/>
      </c>
      <c r="K354" s="197"/>
      <c r="L354" s="197"/>
      <c r="M354" s="198"/>
      <c r="N354" s="198"/>
      <c r="O354" s="198"/>
      <c r="P354" s="199"/>
      <c r="Q354" s="200"/>
      <c r="R354" s="200"/>
      <c r="S354" s="200"/>
      <c r="T354" s="200" t="str">
        <f t="shared" si="54"/>
        <v/>
      </c>
      <c r="U354" s="200"/>
      <c r="V354" s="201" t="str">
        <f t="shared" si="55"/>
        <v/>
      </c>
      <c r="W354" s="202">
        <f t="shared" si="56"/>
        <v>0</v>
      </c>
      <c r="X354" s="172"/>
    </row>
    <row r="355" spans="1:24" x14ac:dyDescent="0.45">
      <c r="A355" s="193">
        <v>53</v>
      </c>
      <c r="B355" s="194" t="str">
        <f t="shared" si="52"/>
        <v/>
      </c>
      <c r="C355" s="170" t="str">
        <f t="shared" si="53"/>
        <v/>
      </c>
      <c r="D355" s="170"/>
      <c r="E355" s="195"/>
      <c r="F355" s="170"/>
      <c r="G355" s="170"/>
      <c r="H355" s="203"/>
      <c r="I355" s="197" t="str">
        <f t="shared" si="57"/>
        <v/>
      </c>
      <c r="J355" s="197" t="str">
        <f t="shared" si="58"/>
        <v/>
      </c>
      <c r="K355" s="197"/>
      <c r="L355" s="197"/>
      <c r="M355" s="198"/>
      <c r="N355" s="198"/>
      <c r="O355" s="198"/>
      <c r="P355" s="199"/>
      <c r="Q355" s="200"/>
      <c r="R355" s="200"/>
      <c r="S355" s="200"/>
      <c r="T355" s="200" t="str">
        <f t="shared" si="54"/>
        <v/>
      </c>
      <c r="U355" s="200"/>
      <c r="V355" s="201" t="str">
        <f t="shared" si="55"/>
        <v/>
      </c>
      <c r="W355" s="202">
        <f t="shared" si="56"/>
        <v>0</v>
      </c>
      <c r="X355" s="172"/>
    </row>
    <row r="356" spans="1:24" x14ac:dyDescent="0.45">
      <c r="A356" s="193">
        <v>54</v>
      </c>
      <c r="B356" s="194" t="str">
        <f t="shared" si="52"/>
        <v/>
      </c>
      <c r="C356" s="170" t="str">
        <f t="shared" si="53"/>
        <v/>
      </c>
      <c r="D356" s="170"/>
      <c r="E356" s="195"/>
      <c r="F356" s="170"/>
      <c r="G356" s="170"/>
      <c r="H356" s="203"/>
      <c r="I356" s="197" t="str">
        <f t="shared" si="57"/>
        <v/>
      </c>
      <c r="J356" s="197" t="str">
        <f t="shared" si="58"/>
        <v/>
      </c>
      <c r="K356" s="197"/>
      <c r="L356" s="197"/>
      <c r="M356" s="198"/>
      <c r="N356" s="198"/>
      <c r="O356" s="198"/>
      <c r="P356" s="199"/>
      <c r="Q356" s="200"/>
      <c r="R356" s="200"/>
      <c r="S356" s="200"/>
      <c r="T356" s="200" t="str">
        <f t="shared" si="54"/>
        <v/>
      </c>
      <c r="U356" s="200"/>
      <c r="V356" s="201" t="str">
        <f t="shared" si="55"/>
        <v/>
      </c>
      <c r="W356" s="202">
        <f t="shared" si="56"/>
        <v>0</v>
      </c>
      <c r="X356" s="172"/>
    </row>
    <row r="357" spans="1:24" x14ac:dyDescent="0.45">
      <c r="A357" s="193">
        <v>55</v>
      </c>
      <c r="B357" s="194" t="str">
        <f t="shared" si="52"/>
        <v/>
      </c>
      <c r="C357" s="170" t="str">
        <f t="shared" si="53"/>
        <v/>
      </c>
      <c r="D357" s="170"/>
      <c r="E357" s="195"/>
      <c r="F357" s="170"/>
      <c r="G357" s="170"/>
      <c r="H357" s="203"/>
      <c r="I357" s="197" t="str">
        <f t="shared" si="57"/>
        <v/>
      </c>
      <c r="J357" s="197" t="str">
        <f t="shared" si="58"/>
        <v/>
      </c>
      <c r="K357" s="197"/>
      <c r="L357" s="197"/>
      <c r="M357" s="198"/>
      <c r="N357" s="198"/>
      <c r="O357" s="198"/>
      <c r="P357" s="199"/>
      <c r="Q357" s="200"/>
      <c r="R357" s="200"/>
      <c r="S357" s="200"/>
      <c r="T357" s="200" t="str">
        <f t="shared" si="54"/>
        <v/>
      </c>
      <c r="U357" s="200"/>
      <c r="V357" s="201" t="str">
        <f t="shared" si="55"/>
        <v/>
      </c>
      <c r="W357" s="202">
        <f t="shared" si="56"/>
        <v>0</v>
      </c>
      <c r="X357" s="172"/>
    </row>
    <row r="358" spans="1:24" x14ac:dyDescent="0.45">
      <c r="A358" s="193">
        <v>56</v>
      </c>
      <c r="B358" s="194" t="str">
        <f t="shared" si="52"/>
        <v/>
      </c>
      <c r="C358" s="170" t="str">
        <f t="shared" si="53"/>
        <v/>
      </c>
      <c r="D358" s="170"/>
      <c r="E358" s="195"/>
      <c r="F358" s="170"/>
      <c r="G358" s="170"/>
      <c r="H358" s="203"/>
      <c r="I358" s="197" t="str">
        <f t="shared" si="57"/>
        <v/>
      </c>
      <c r="J358" s="197" t="str">
        <f t="shared" si="58"/>
        <v/>
      </c>
      <c r="K358" s="197"/>
      <c r="L358" s="197"/>
      <c r="M358" s="198"/>
      <c r="N358" s="198"/>
      <c r="O358" s="198"/>
      <c r="P358" s="199"/>
      <c r="Q358" s="200"/>
      <c r="R358" s="200"/>
      <c r="S358" s="200"/>
      <c r="T358" s="200" t="str">
        <f t="shared" si="54"/>
        <v/>
      </c>
      <c r="U358" s="200"/>
      <c r="V358" s="201" t="str">
        <f t="shared" si="55"/>
        <v/>
      </c>
      <c r="W358" s="202">
        <f t="shared" si="56"/>
        <v>0</v>
      </c>
      <c r="X358" s="172"/>
    </row>
    <row r="359" spans="1:24" x14ac:dyDescent="0.45">
      <c r="A359" s="193">
        <v>57</v>
      </c>
      <c r="B359" s="194" t="str">
        <f t="shared" si="52"/>
        <v/>
      </c>
      <c r="C359" s="170" t="str">
        <f t="shared" si="53"/>
        <v/>
      </c>
      <c r="D359" s="170"/>
      <c r="E359" s="195"/>
      <c r="F359" s="170"/>
      <c r="G359" s="170"/>
      <c r="H359" s="203"/>
      <c r="I359" s="197" t="str">
        <f t="shared" si="57"/>
        <v/>
      </c>
      <c r="J359" s="197" t="str">
        <f t="shared" si="58"/>
        <v/>
      </c>
      <c r="K359" s="197"/>
      <c r="L359" s="197"/>
      <c r="M359" s="198"/>
      <c r="N359" s="198"/>
      <c r="O359" s="198"/>
      <c r="P359" s="199"/>
      <c r="Q359" s="200"/>
      <c r="R359" s="200"/>
      <c r="S359" s="200"/>
      <c r="T359" s="200" t="str">
        <f t="shared" si="54"/>
        <v/>
      </c>
      <c r="U359" s="200"/>
      <c r="V359" s="201" t="str">
        <f t="shared" si="55"/>
        <v/>
      </c>
      <c r="W359" s="202">
        <f t="shared" si="56"/>
        <v>0</v>
      </c>
      <c r="X359" s="172"/>
    </row>
    <row r="360" spans="1:24" x14ac:dyDescent="0.45">
      <c r="A360" s="193">
        <v>58</v>
      </c>
      <c r="B360" s="194" t="str">
        <f t="shared" si="52"/>
        <v/>
      </c>
      <c r="C360" s="170" t="str">
        <f t="shared" si="53"/>
        <v/>
      </c>
      <c r="D360" s="170"/>
      <c r="E360" s="195"/>
      <c r="F360" s="170"/>
      <c r="G360" s="170"/>
      <c r="H360" s="203"/>
      <c r="I360" s="197" t="str">
        <f t="shared" si="57"/>
        <v/>
      </c>
      <c r="J360" s="197" t="str">
        <f t="shared" si="58"/>
        <v/>
      </c>
      <c r="K360" s="197"/>
      <c r="L360" s="197"/>
      <c r="M360" s="198"/>
      <c r="N360" s="198"/>
      <c r="O360" s="198"/>
      <c r="P360" s="199"/>
      <c r="Q360" s="200"/>
      <c r="R360" s="200"/>
      <c r="S360" s="200"/>
      <c r="T360" s="200" t="str">
        <f t="shared" si="54"/>
        <v/>
      </c>
      <c r="U360" s="200"/>
      <c r="V360" s="201" t="str">
        <f t="shared" si="55"/>
        <v/>
      </c>
      <c r="W360" s="202">
        <f t="shared" si="56"/>
        <v>0</v>
      </c>
      <c r="X360" s="172"/>
    </row>
    <row r="361" spans="1:24" x14ac:dyDescent="0.45">
      <c r="A361" s="193">
        <v>59</v>
      </c>
      <c r="B361" s="194" t="str">
        <f t="shared" si="52"/>
        <v/>
      </c>
      <c r="C361" s="170" t="str">
        <f t="shared" si="53"/>
        <v/>
      </c>
      <c r="D361" s="170"/>
      <c r="E361" s="195"/>
      <c r="F361" s="170"/>
      <c r="G361" s="170"/>
      <c r="H361" s="203"/>
      <c r="I361" s="197" t="str">
        <f t="shared" si="57"/>
        <v/>
      </c>
      <c r="J361" s="197" t="str">
        <f t="shared" si="58"/>
        <v/>
      </c>
      <c r="K361" s="197"/>
      <c r="L361" s="197"/>
      <c r="M361" s="198"/>
      <c r="N361" s="198"/>
      <c r="O361" s="198"/>
      <c r="P361" s="199"/>
      <c r="Q361" s="200"/>
      <c r="R361" s="200"/>
      <c r="S361" s="200"/>
      <c r="T361" s="200" t="str">
        <f t="shared" si="54"/>
        <v/>
      </c>
      <c r="U361" s="200"/>
      <c r="V361" s="201" t="str">
        <f t="shared" si="55"/>
        <v/>
      </c>
      <c r="W361" s="202">
        <f t="shared" si="56"/>
        <v>0</v>
      </c>
      <c r="X361" s="172"/>
    </row>
    <row r="362" spans="1:24" x14ac:dyDescent="0.45">
      <c r="A362" s="193">
        <v>60</v>
      </c>
      <c r="B362" s="194" t="str">
        <f t="shared" si="52"/>
        <v/>
      </c>
      <c r="C362" s="170" t="str">
        <f t="shared" si="53"/>
        <v/>
      </c>
      <c r="D362" s="170"/>
      <c r="E362" s="195"/>
      <c r="F362" s="170"/>
      <c r="G362" s="170"/>
      <c r="H362" s="203"/>
      <c r="I362" s="197" t="str">
        <f t="shared" si="57"/>
        <v/>
      </c>
      <c r="J362" s="197" t="str">
        <f t="shared" si="58"/>
        <v/>
      </c>
      <c r="K362" s="197"/>
      <c r="L362" s="197"/>
      <c r="M362" s="198"/>
      <c r="N362" s="198"/>
      <c r="O362" s="198"/>
      <c r="P362" s="199"/>
      <c r="Q362" s="200"/>
      <c r="R362" s="200"/>
      <c r="S362" s="200"/>
      <c r="T362" s="200" t="str">
        <f t="shared" si="54"/>
        <v/>
      </c>
      <c r="U362" s="200"/>
      <c r="V362" s="201" t="str">
        <f t="shared" si="55"/>
        <v/>
      </c>
      <c r="W362" s="202">
        <f t="shared" si="56"/>
        <v>0</v>
      </c>
      <c r="X362" s="172"/>
    </row>
    <row r="363" spans="1:24" x14ac:dyDescent="0.45">
      <c r="A363" s="193">
        <v>61</v>
      </c>
      <c r="B363" s="194" t="str">
        <f t="shared" si="52"/>
        <v/>
      </c>
      <c r="C363" s="170" t="str">
        <f t="shared" si="53"/>
        <v/>
      </c>
      <c r="D363" s="170"/>
      <c r="E363" s="195"/>
      <c r="F363" s="170"/>
      <c r="G363" s="170"/>
      <c r="H363" s="203"/>
      <c r="I363" s="197" t="str">
        <f t="shared" si="57"/>
        <v/>
      </c>
      <c r="J363" s="197" t="str">
        <f t="shared" si="58"/>
        <v/>
      </c>
      <c r="K363" s="197"/>
      <c r="L363" s="197"/>
      <c r="M363" s="198"/>
      <c r="N363" s="198"/>
      <c r="O363" s="198"/>
      <c r="P363" s="199"/>
      <c r="Q363" s="200"/>
      <c r="R363" s="200"/>
      <c r="S363" s="200"/>
      <c r="T363" s="200" t="str">
        <f t="shared" si="54"/>
        <v/>
      </c>
      <c r="U363" s="200"/>
      <c r="V363" s="201" t="str">
        <f t="shared" si="55"/>
        <v/>
      </c>
      <c r="W363" s="202">
        <f t="shared" si="56"/>
        <v>0</v>
      </c>
      <c r="X363" s="172"/>
    </row>
    <row r="364" spans="1:24" x14ac:dyDescent="0.45">
      <c r="A364" s="193">
        <v>62</v>
      </c>
      <c r="B364" s="194" t="str">
        <f t="shared" si="52"/>
        <v/>
      </c>
      <c r="C364" s="170" t="str">
        <f t="shared" si="53"/>
        <v/>
      </c>
      <c r="D364" s="170"/>
      <c r="E364" s="195"/>
      <c r="F364" s="170"/>
      <c r="G364" s="170"/>
      <c r="H364" s="203"/>
      <c r="I364" s="197" t="str">
        <f t="shared" si="57"/>
        <v/>
      </c>
      <c r="J364" s="197" t="str">
        <f t="shared" si="58"/>
        <v/>
      </c>
      <c r="K364" s="197"/>
      <c r="L364" s="197"/>
      <c r="M364" s="198"/>
      <c r="N364" s="198"/>
      <c r="O364" s="198"/>
      <c r="P364" s="199"/>
      <c r="Q364" s="200"/>
      <c r="R364" s="200"/>
      <c r="S364" s="200"/>
      <c r="T364" s="200" t="str">
        <f t="shared" si="54"/>
        <v/>
      </c>
      <c r="U364" s="200"/>
      <c r="V364" s="201" t="str">
        <f t="shared" si="55"/>
        <v/>
      </c>
      <c r="W364" s="202">
        <f t="shared" si="56"/>
        <v>0</v>
      </c>
      <c r="X364" s="172"/>
    </row>
    <row r="365" spans="1:24" x14ac:dyDescent="0.45">
      <c r="A365" s="193">
        <v>63</v>
      </c>
      <c r="B365" s="194" t="str">
        <f t="shared" si="52"/>
        <v/>
      </c>
      <c r="C365" s="170" t="str">
        <f t="shared" si="53"/>
        <v/>
      </c>
      <c r="D365" s="170"/>
      <c r="E365" s="195"/>
      <c r="F365" s="170"/>
      <c r="G365" s="170"/>
      <c r="H365" s="203"/>
      <c r="I365" s="197" t="str">
        <f t="shared" si="57"/>
        <v/>
      </c>
      <c r="J365" s="197" t="str">
        <f t="shared" si="58"/>
        <v/>
      </c>
      <c r="K365" s="197"/>
      <c r="L365" s="197"/>
      <c r="M365" s="198"/>
      <c r="N365" s="198"/>
      <c r="O365" s="198"/>
      <c r="P365" s="199"/>
      <c r="Q365" s="200"/>
      <c r="R365" s="200"/>
      <c r="S365" s="200"/>
      <c r="T365" s="200" t="str">
        <f t="shared" si="54"/>
        <v/>
      </c>
      <c r="U365" s="200"/>
      <c r="V365" s="201" t="str">
        <f t="shared" si="55"/>
        <v/>
      </c>
      <c r="W365" s="202">
        <f t="shared" si="56"/>
        <v>0</v>
      </c>
      <c r="X365" s="172"/>
    </row>
    <row r="366" spans="1:24" x14ac:dyDescent="0.45">
      <c r="A366" s="193">
        <v>64</v>
      </c>
      <c r="B366" s="194" t="str">
        <f t="shared" si="52"/>
        <v/>
      </c>
      <c r="C366" s="170" t="str">
        <f t="shared" si="53"/>
        <v/>
      </c>
      <c r="D366" s="170"/>
      <c r="E366" s="195"/>
      <c r="F366" s="170"/>
      <c r="G366" s="170"/>
      <c r="H366" s="203"/>
      <c r="I366" s="197" t="str">
        <f t="shared" si="57"/>
        <v/>
      </c>
      <c r="J366" s="197" t="str">
        <f t="shared" si="58"/>
        <v/>
      </c>
      <c r="K366" s="197"/>
      <c r="L366" s="197"/>
      <c r="M366" s="198"/>
      <c r="N366" s="198"/>
      <c r="O366" s="198"/>
      <c r="P366" s="199"/>
      <c r="Q366" s="200"/>
      <c r="R366" s="200"/>
      <c r="S366" s="200"/>
      <c r="T366" s="200" t="str">
        <f t="shared" si="54"/>
        <v/>
      </c>
      <c r="U366" s="200"/>
      <c r="V366" s="201" t="str">
        <f t="shared" si="55"/>
        <v/>
      </c>
      <c r="W366" s="202">
        <f t="shared" si="56"/>
        <v>0</v>
      </c>
      <c r="X366" s="172"/>
    </row>
    <row r="367" spans="1:24" x14ac:dyDescent="0.45">
      <c r="A367" s="193">
        <v>65</v>
      </c>
      <c r="B367" s="194" t="str">
        <f t="shared" si="52"/>
        <v/>
      </c>
      <c r="C367" s="170" t="str">
        <f t="shared" si="53"/>
        <v/>
      </c>
      <c r="D367" s="170"/>
      <c r="E367" s="195"/>
      <c r="F367" s="170"/>
      <c r="G367" s="170"/>
      <c r="H367" s="203"/>
      <c r="I367" s="197" t="str">
        <f t="shared" si="57"/>
        <v/>
      </c>
      <c r="J367" s="197" t="str">
        <f t="shared" si="58"/>
        <v/>
      </c>
      <c r="K367" s="197"/>
      <c r="L367" s="197"/>
      <c r="M367" s="198"/>
      <c r="N367" s="198"/>
      <c r="O367" s="198"/>
      <c r="P367" s="199"/>
      <c r="Q367" s="200"/>
      <c r="R367" s="200"/>
      <c r="S367" s="200"/>
      <c r="T367" s="200" t="str">
        <f t="shared" si="54"/>
        <v/>
      </c>
      <c r="U367" s="200"/>
      <c r="V367" s="201" t="str">
        <f t="shared" ref="V367:V368" si="59">IF(U367="","",$V$283)</f>
        <v/>
      </c>
      <c r="W367" s="202">
        <f t="shared" si="56"/>
        <v>0</v>
      </c>
      <c r="X367" s="172"/>
    </row>
    <row r="368" spans="1:24" ht="14.25" customHeight="1" x14ac:dyDescent="0.45">
      <c r="A368" s="193">
        <v>66</v>
      </c>
      <c r="B368" s="204" t="str">
        <f t="shared" si="52"/>
        <v/>
      </c>
      <c r="C368" s="205" t="str">
        <f t="shared" si="53"/>
        <v/>
      </c>
      <c r="D368" s="205"/>
      <c r="E368" s="205"/>
      <c r="F368" s="205"/>
      <c r="G368" s="205"/>
      <c r="H368" s="205"/>
      <c r="I368" s="206" t="str">
        <f t="shared" si="57"/>
        <v/>
      </c>
      <c r="J368" s="206" t="str">
        <f t="shared" si="58"/>
        <v/>
      </c>
      <c r="K368" s="206"/>
      <c r="L368" s="206"/>
      <c r="M368" s="205"/>
      <c r="N368" s="205"/>
      <c r="O368" s="205"/>
      <c r="P368" s="205"/>
      <c r="Q368" s="205"/>
      <c r="R368" s="205"/>
      <c r="S368" s="205"/>
      <c r="T368" s="205" t="str">
        <f t="shared" si="54"/>
        <v/>
      </c>
      <c r="U368" s="205"/>
      <c r="V368" s="205" t="str">
        <f t="shared" si="59"/>
        <v/>
      </c>
      <c r="W368" s="207">
        <f t="shared" si="56"/>
        <v>0</v>
      </c>
      <c r="X368" s="207"/>
    </row>
    <row r="369" spans="2:24" ht="24.75" customHeight="1" x14ac:dyDescent="0.45">
      <c r="B369" s="428" t="s">
        <v>1512</v>
      </c>
      <c r="C369" s="429" t="s">
        <v>1494</v>
      </c>
      <c r="D369" s="429"/>
      <c r="E369" s="429"/>
      <c r="F369" s="429"/>
      <c r="G369" s="429"/>
      <c r="H369" s="429"/>
      <c r="I369" s="429"/>
      <c r="J369" s="429"/>
      <c r="K369" s="429"/>
      <c r="L369" s="429"/>
      <c r="M369" s="429"/>
      <c r="N369" s="429"/>
      <c r="O369" s="429"/>
      <c r="P369" s="429"/>
      <c r="Q369" s="429"/>
      <c r="R369" s="145" t="s">
        <v>1</v>
      </c>
      <c r="S369" s="146"/>
      <c r="T369" s="145" t="s">
        <v>8</v>
      </c>
      <c r="U369" s="147"/>
      <c r="V369" s="148" t="s">
        <v>3</v>
      </c>
      <c r="W369" s="146"/>
      <c r="X369" s="149"/>
    </row>
    <row r="370" spans="2:24" ht="24.75" customHeight="1" x14ac:dyDescent="0.45">
      <c r="B370" s="428"/>
      <c r="C370" s="429"/>
      <c r="D370" s="429"/>
      <c r="E370" s="429"/>
      <c r="F370" s="429"/>
      <c r="G370" s="429"/>
      <c r="H370" s="429"/>
      <c r="I370" s="429"/>
      <c r="J370" s="429"/>
      <c r="K370" s="429"/>
      <c r="L370" s="429"/>
      <c r="M370" s="429"/>
      <c r="N370" s="429"/>
      <c r="O370" s="429"/>
      <c r="P370" s="429"/>
      <c r="Q370" s="429"/>
      <c r="R370" s="430" t="s">
        <v>1495</v>
      </c>
      <c r="S370" s="430"/>
      <c r="T370" s="431" t="str">
        <f>'BM MORRO DA CRUZ - VERTICAL'!$V$4</f>
        <v>01-10-26 A 31-10-26</v>
      </c>
      <c r="U370" s="431"/>
      <c r="V370" s="432" t="str">
        <f>IF('BM MORRO DA CRUZ - VERTICAL'!$BF$2="","",'BM MORRO DA CRUZ - VERTICAL'!$BF$2)</f>
        <v/>
      </c>
      <c r="W370" s="432"/>
      <c r="X370" s="150"/>
    </row>
    <row r="371" spans="2:24" ht="24.75" customHeight="1" x14ac:dyDescent="0.45">
      <c r="B371" s="151" t="s">
        <v>5</v>
      </c>
      <c r="C371" s="152"/>
      <c r="D371" s="152"/>
      <c r="E371" s="152"/>
      <c r="F371" s="152"/>
      <c r="G371" s="152"/>
      <c r="H371" s="152"/>
      <c r="I371" s="152"/>
      <c r="J371" s="152"/>
      <c r="K371" s="152"/>
      <c r="L371" s="152"/>
      <c r="M371" s="152"/>
      <c r="N371" s="152"/>
      <c r="O371" s="152"/>
      <c r="P371" s="153"/>
      <c r="Q371" s="154"/>
      <c r="R371" s="155"/>
      <c r="S371" s="155"/>
      <c r="T371" s="156" t="s">
        <v>1496</v>
      </c>
      <c r="U371" s="157"/>
      <c r="V371" s="158" t="s">
        <v>9</v>
      </c>
      <c r="W371" s="159"/>
      <c r="X371" s="433"/>
    </row>
    <row r="372" spans="2:24" ht="24.75" customHeight="1" x14ac:dyDescent="0.45">
      <c r="B372" s="17" t="s">
        <v>11</v>
      </c>
      <c r="C372" s="160"/>
      <c r="D372" s="160"/>
      <c r="E372" s="160"/>
      <c r="F372" s="160"/>
      <c r="G372" s="160"/>
      <c r="H372" s="160"/>
      <c r="I372" s="160"/>
      <c r="J372" s="160"/>
      <c r="K372" s="160"/>
      <c r="L372" s="160"/>
      <c r="M372" s="160"/>
      <c r="N372" s="160"/>
      <c r="O372" s="160"/>
      <c r="P372" s="161"/>
      <c r="Q372" s="162"/>
      <c r="R372" s="163"/>
      <c r="S372" s="163"/>
      <c r="T372" s="434" t="str">
        <f>'BM MORRO DA CRUZ - VERTICAL'!$V$2</f>
        <v>1ª MEDIÇÃO</v>
      </c>
      <c r="U372" s="434"/>
      <c r="V372" s="435" t="s">
        <v>13</v>
      </c>
      <c r="W372" s="435"/>
      <c r="X372" s="433"/>
    </row>
    <row r="373" spans="2:24" ht="24.75" customHeight="1" x14ac:dyDescent="0.45">
      <c r="B373" s="164" t="s">
        <v>1459</v>
      </c>
      <c r="C373" s="165" t="s">
        <v>14</v>
      </c>
      <c r="D373" s="165" t="s">
        <v>24</v>
      </c>
      <c r="E373" s="165" t="s">
        <v>25</v>
      </c>
      <c r="F373" s="166" t="s">
        <v>1461</v>
      </c>
      <c r="G373" s="165"/>
      <c r="H373" s="165"/>
      <c r="I373" s="165"/>
      <c r="J373" s="165"/>
      <c r="K373" s="165"/>
      <c r="L373" s="165"/>
      <c r="M373" s="165"/>
      <c r="N373" s="165"/>
      <c r="O373" s="165"/>
      <c r="P373" s="165"/>
      <c r="Q373" s="165"/>
      <c r="R373" s="165"/>
      <c r="S373" s="165"/>
      <c r="T373" s="165"/>
      <c r="U373" s="165"/>
      <c r="V373" s="165" t="s">
        <v>26</v>
      </c>
      <c r="W373" s="167" t="s">
        <v>29</v>
      </c>
      <c r="X373" s="168"/>
    </row>
    <row r="374" spans="2:24" ht="24.75" customHeight="1" x14ac:dyDescent="0.45">
      <c r="B374" s="169"/>
      <c r="C374" s="170"/>
      <c r="D374" s="170"/>
      <c r="E374" s="170"/>
      <c r="F374" s="170"/>
      <c r="G374" s="170"/>
      <c r="H374" s="170"/>
      <c r="I374" s="170"/>
      <c r="J374" s="170"/>
      <c r="K374" s="170"/>
      <c r="L374" s="170"/>
      <c r="M374" s="170"/>
      <c r="N374" s="170"/>
      <c r="O374" s="170"/>
      <c r="P374" s="170"/>
      <c r="Q374" s="170"/>
      <c r="R374" s="170"/>
      <c r="S374" s="170"/>
      <c r="T374" s="170"/>
      <c r="U374" s="170"/>
      <c r="V374" s="170"/>
      <c r="W374" s="171"/>
      <c r="X374" s="172"/>
    </row>
    <row r="375" spans="2:24" ht="24.75" customHeight="1" x14ac:dyDescent="0.45">
      <c r="B375" s="173" t="str">
        <f>IF($C$375="","",IFERROR(INDEX('BM MORRO DA CRUZ - VERTICAL'!$C$6:$C$546,MATCH($C$375,'BM MORRO DA CRUZ - VERTICAL'!$D$6:$D$546,0)),"CHAVE NÃO ENCONTRADA NO VERTICAL"))</f>
        <v/>
      </c>
      <c r="C375" s="174"/>
      <c r="D375" s="175" t="str">
        <f>IF($C$375="","",IFERROR(INDEX('BM MORRO DA CRUZ - VERTICAL'!$O$6:$O$546,MATCH($C$375,'BM MORRO DA CRUZ - VERTICAL'!$D$6:$D$546,0)),"CHAVE NÃO ENCONTRADA NO VERTICAL"))</f>
        <v/>
      </c>
      <c r="E375" s="175" t="str">
        <f>IF($C$375="","",IFERROR(INDEX('BM MORRO DA CRUZ - VERTICAL'!$P$6:$P$546,MATCH($C$375,'BM MORRO DA CRUZ - VERTICAL'!$D$6:$D$546,0)),"CHAVE NÃO ENCONTRADA NO VERTICAL"))</f>
        <v/>
      </c>
      <c r="F375" s="175" t="str">
        <f>IF($C$375="","",IFERROR(INDEX('BM MORRO DA CRUZ - VERTICAL'!$Q$6:$Q$546,MATCH($C$375,'BM MORRO DA CRUZ - VERTICAL'!$D$6:$D$546,0)),"CHAVE NÃO ENCONTRADA NO VERTICAL"))</f>
        <v/>
      </c>
      <c r="G375" s="176"/>
      <c r="H375" s="176"/>
      <c r="I375" s="176"/>
      <c r="J375" s="176"/>
      <c r="K375" s="176"/>
      <c r="L375" s="176"/>
      <c r="M375" s="176"/>
      <c r="N375" s="176"/>
      <c r="O375" s="176"/>
      <c r="P375" s="176"/>
      <c r="Q375" s="176"/>
      <c r="R375" s="176"/>
      <c r="S375" s="176"/>
      <c r="T375" s="176"/>
      <c r="U375" s="176"/>
      <c r="V375" s="177" t="str">
        <f>IF($C$375="","",IFERROR(INDEX('BM MORRO DA CRUZ - VERTICAL'!$R$6:$R$546,MATCH($C$375,'BM MORRO DA CRUZ - VERTICAL'!$D$6:$D$546,0)),"CHAVE NÃO ENCONTRADA NO VERTICAL"))</f>
        <v/>
      </c>
      <c r="W375" s="178">
        <f>SUM($W395:$W460)</f>
        <v>0</v>
      </c>
      <c r="X375" s="179"/>
    </row>
    <row r="376" spans="2:24" ht="24.75" customHeight="1" x14ac:dyDescent="0.45">
      <c r="B376" s="426" t="s">
        <v>1497</v>
      </c>
      <c r="C376" s="426"/>
      <c r="D376" s="426"/>
      <c r="E376" s="426"/>
      <c r="F376" s="426"/>
      <c r="G376" s="426"/>
      <c r="H376" s="426"/>
      <c r="I376" s="426"/>
      <c r="J376" s="426"/>
      <c r="K376" s="426"/>
      <c r="L376" s="426"/>
      <c r="M376" s="426"/>
      <c r="N376" s="426"/>
      <c r="O376" s="426"/>
      <c r="P376" s="426"/>
      <c r="Q376" s="426"/>
      <c r="R376" s="426"/>
      <c r="S376" s="426"/>
      <c r="T376" s="426"/>
      <c r="U376" s="426"/>
      <c r="V376" s="426"/>
      <c r="W376" s="426"/>
      <c r="X376" s="180" t="s">
        <v>1498</v>
      </c>
    </row>
    <row r="377" spans="2:24" ht="14.25" customHeight="1" x14ac:dyDescent="0.45">
      <c r="B377" s="181"/>
      <c r="C377" s="182"/>
      <c r="D377" s="182"/>
      <c r="E377" s="182"/>
      <c r="F377" s="182"/>
      <c r="G377" s="182"/>
      <c r="H377" s="182"/>
      <c r="I377" s="182"/>
      <c r="J377" s="182"/>
      <c r="K377" s="182"/>
      <c r="L377" s="182"/>
      <c r="M377" s="182"/>
      <c r="N377" s="182"/>
      <c r="O377" s="182"/>
      <c r="P377" s="182"/>
      <c r="Q377" s="182"/>
      <c r="R377" s="182"/>
      <c r="S377" s="182"/>
      <c r="T377" s="182"/>
      <c r="U377" s="182"/>
      <c r="V377" s="182"/>
      <c r="W377" s="183"/>
      <c r="X377" s="427"/>
    </row>
    <row r="378" spans="2:24" x14ac:dyDescent="0.45">
      <c r="B378" s="181"/>
      <c r="C378" s="182"/>
      <c r="D378" s="182"/>
      <c r="E378" s="182"/>
      <c r="F378" s="182"/>
      <c r="G378" s="182"/>
      <c r="H378" s="182"/>
      <c r="I378" s="182"/>
      <c r="J378" s="182"/>
      <c r="K378" s="182"/>
      <c r="L378" s="182"/>
      <c r="M378" s="182"/>
      <c r="N378" s="182"/>
      <c r="O378" s="182"/>
      <c r="P378" s="182"/>
      <c r="Q378" s="182"/>
      <c r="R378" s="182"/>
      <c r="S378" s="182"/>
      <c r="T378" s="182"/>
      <c r="U378" s="182"/>
      <c r="V378" s="182"/>
      <c r="W378" s="183"/>
      <c r="X378" s="427"/>
    </row>
    <row r="379" spans="2:24" x14ac:dyDescent="0.45">
      <c r="B379" s="181"/>
      <c r="C379" s="182"/>
      <c r="D379" s="182"/>
      <c r="E379" s="182"/>
      <c r="F379" s="182"/>
      <c r="G379" s="182"/>
      <c r="H379" s="182"/>
      <c r="I379" s="182"/>
      <c r="J379" s="182"/>
      <c r="K379" s="182"/>
      <c r="L379" s="182"/>
      <c r="M379" s="182"/>
      <c r="N379" s="182"/>
      <c r="O379" s="182"/>
      <c r="P379" s="182"/>
      <c r="Q379" s="182"/>
      <c r="R379" s="182"/>
      <c r="S379" s="182"/>
      <c r="T379" s="182"/>
      <c r="U379" s="182"/>
      <c r="V379" s="182"/>
      <c r="W379" s="183"/>
      <c r="X379" s="427"/>
    </row>
    <row r="380" spans="2:24" x14ac:dyDescent="0.45">
      <c r="B380" s="181"/>
      <c r="C380" s="182"/>
      <c r="D380" s="182"/>
      <c r="E380" s="182"/>
      <c r="F380" s="182"/>
      <c r="G380" s="182"/>
      <c r="H380" s="182"/>
      <c r="I380" s="182"/>
      <c r="J380" s="182"/>
      <c r="K380" s="182"/>
      <c r="L380" s="182"/>
      <c r="M380" s="182"/>
      <c r="N380" s="182"/>
      <c r="O380" s="182"/>
      <c r="P380" s="182"/>
      <c r="Q380" s="182"/>
      <c r="R380" s="182"/>
      <c r="S380" s="182"/>
      <c r="T380" s="182"/>
      <c r="U380" s="182"/>
      <c r="V380" s="182"/>
      <c r="W380" s="183"/>
      <c r="X380" s="427"/>
    </row>
    <row r="381" spans="2:24" x14ac:dyDescent="0.45">
      <c r="B381" s="181"/>
      <c r="C381" s="182"/>
      <c r="D381" s="182"/>
      <c r="E381" s="182"/>
      <c r="F381" s="182"/>
      <c r="G381" s="182"/>
      <c r="H381" s="182"/>
      <c r="I381" s="182"/>
      <c r="J381" s="182"/>
      <c r="K381" s="182"/>
      <c r="L381" s="182"/>
      <c r="M381" s="182"/>
      <c r="N381" s="182"/>
      <c r="O381" s="182"/>
      <c r="P381" s="182"/>
      <c r="Q381" s="182"/>
      <c r="R381" s="182"/>
      <c r="S381" s="182"/>
      <c r="T381" s="182"/>
      <c r="U381" s="182"/>
      <c r="V381" s="182"/>
      <c r="W381" s="183"/>
      <c r="X381" s="427"/>
    </row>
    <row r="382" spans="2:24" x14ac:dyDescent="0.45">
      <c r="B382" s="181"/>
      <c r="C382" s="182"/>
      <c r="D382" s="182"/>
      <c r="E382" s="182"/>
      <c r="F382" s="182"/>
      <c r="G382" s="182"/>
      <c r="H382" s="182"/>
      <c r="I382" s="182"/>
      <c r="J382" s="182"/>
      <c r="K382" s="182"/>
      <c r="L382" s="182"/>
      <c r="M382" s="182"/>
      <c r="N382" s="182"/>
      <c r="O382" s="182"/>
      <c r="P382" s="182"/>
      <c r="Q382" s="182"/>
      <c r="R382" s="182"/>
      <c r="S382" s="182"/>
      <c r="T382" s="182"/>
      <c r="U382" s="182"/>
      <c r="V382" s="182"/>
      <c r="W382" s="183"/>
      <c r="X382" s="427"/>
    </row>
    <row r="383" spans="2:24" x14ac:dyDescent="0.45">
      <c r="B383" s="181"/>
      <c r="C383" s="182"/>
      <c r="D383" s="182"/>
      <c r="E383" s="182"/>
      <c r="F383" s="182"/>
      <c r="G383" s="182"/>
      <c r="H383" s="182"/>
      <c r="I383" s="182"/>
      <c r="J383" s="182"/>
      <c r="K383" s="182"/>
      <c r="L383" s="182"/>
      <c r="M383" s="182"/>
      <c r="N383" s="182"/>
      <c r="O383" s="182"/>
      <c r="P383" s="182"/>
      <c r="Q383" s="182"/>
      <c r="R383" s="182"/>
      <c r="S383" s="182"/>
      <c r="T383" s="182"/>
      <c r="U383" s="182"/>
      <c r="V383" s="182"/>
      <c r="W383" s="183"/>
      <c r="X383" s="427"/>
    </row>
    <row r="384" spans="2:24" x14ac:dyDescent="0.45">
      <c r="B384" s="181"/>
      <c r="C384" s="182"/>
      <c r="D384" s="182"/>
      <c r="E384" s="182"/>
      <c r="F384" s="182"/>
      <c r="G384" s="182"/>
      <c r="H384" s="182"/>
      <c r="I384" s="182"/>
      <c r="J384" s="182"/>
      <c r="K384" s="182"/>
      <c r="L384" s="182"/>
      <c r="M384" s="182"/>
      <c r="N384" s="182"/>
      <c r="O384" s="182"/>
      <c r="P384" s="182"/>
      <c r="Q384" s="182"/>
      <c r="R384" s="182"/>
      <c r="S384" s="182"/>
      <c r="T384" s="182"/>
      <c r="U384" s="182"/>
      <c r="V384" s="182"/>
      <c r="W384" s="183"/>
      <c r="X384" s="427"/>
    </row>
    <row r="385" spans="1:24" x14ac:dyDescent="0.45">
      <c r="B385" s="181"/>
      <c r="C385" s="182"/>
      <c r="D385" s="182"/>
      <c r="E385" s="182"/>
      <c r="F385" s="182"/>
      <c r="G385" s="182"/>
      <c r="H385" s="182"/>
      <c r="I385" s="182"/>
      <c r="J385" s="182"/>
      <c r="K385" s="182"/>
      <c r="L385" s="182"/>
      <c r="M385" s="182"/>
      <c r="N385" s="182"/>
      <c r="O385" s="182"/>
      <c r="P385" s="182"/>
      <c r="Q385" s="182"/>
      <c r="R385" s="182"/>
      <c r="S385" s="182"/>
      <c r="T385" s="182"/>
      <c r="U385" s="182"/>
      <c r="V385" s="182"/>
      <c r="W385" s="183"/>
      <c r="X385" s="427"/>
    </row>
    <row r="386" spans="1:24" x14ac:dyDescent="0.45">
      <c r="B386" s="181"/>
      <c r="C386" s="182"/>
      <c r="D386" s="182"/>
      <c r="E386" s="182"/>
      <c r="F386" s="182"/>
      <c r="G386" s="182"/>
      <c r="H386" s="182"/>
      <c r="I386" s="182"/>
      <c r="J386" s="182"/>
      <c r="K386" s="182"/>
      <c r="L386" s="182"/>
      <c r="M386" s="182"/>
      <c r="N386" s="182"/>
      <c r="O386" s="182"/>
      <c r="P386" s="182"/>
      <c r="Q386" s="182"/>
      <c r="R386" s="182"/>
      <c r="S386" s="182"/>
      <c r="T386" s="182"/>
      <c r="U386" s="182"/>
      <c r="V386" s="182"/>
      <c r="W386" s="183"/>
      <c r="X386" s="427"/>
    </row>
    <row r="387" spans="1:24" x14ac:dyDescent="0.45">
      <c r="B387" s="181"/>
      <c r="C387" s="182"/>
      <c r="D387" s="182"/>
      <c r="E387" s="182"/>
      <c r="F387" s="182"/>
      <c r="G387" s="182"/>
      <c r="H387" s="182"/>
      <c r="I387" s="182"/>
      <c r="J387" s="182"/>
      <c r="K387" s="182"/>
      <c r="L387" s="182"/>
      <c r="M387" s="182"/>
      <c r="N387" s="182"/>
      <c r="O387" s="182"/>
      <c r="P387" s="182"/>
      <c r="Q387" s="182"/>
      <c r="R387" s="182"/>
      <c r="S387" s="182"/>
      <c r="T387" s="182"/>
      <c r="U387" s="182"/>
      <c r="V387" s="182"/>
      <c r="W387" s="183"/>
      <c r="X387" s="427"/>
    </row>
    <row r="388" spans="1:24" x14ac:dyDescent="0.45">
      <c r="B388" s="181"/>
      <c r="C388" s="182"/>
      <c r="D388" s="182"/>
      <c r="E388" s="182"/>
      <c r="F388" s="182"/>
      <c r="G388" s="182"/>
      <c r="H388" s="182"/>
      <c r="I388" s="182"/>
      <c r="J388" s="182"/>
      <c r="K388" s="182"/>
      <c r="L388" s="182"/>
      <c r="M388" s="182"/>
      <c r="N388" s="182"/>
      <c r="O388" s="182"/>
      <c r="P388" s="182"/>
      <c r="Q388" s="182"/>
      <c r="R388" s="182"/>
      <c r="S388" s="182"/>
      <c r="T388" s="182"/>
      <c r="U388" s="182"/>
      <c r="V388" s="182"/>
      <c r="W388" s="183"/>
      <c r="X388" s="427"/>
    </row>
    <row r="389" spans="1:24" x14ac:dyDescent="0.45">
      <c r="B389" s="181"/>
      <c r="C389" s="182"/>
      <c r="D389" s="182"/>
      <c r="E389" s="182"/>
      <c r="F389" s="182"/>
      <c r="G389" s="182"/>
      <c r="H389" s="182"/>
      <c r="I389" s="182"/>
      <c r="J389" s="182"/>
      <c r="K389" s="182"/>
      <c r="L389" s="182"/>
      <c r="M389" s="182"/>
      <c r="N389" s="182"/>
      <c r="O389" s="182"/>
      <c r="P389" s="182"/>
      <c r="Q389" s="182"/>
      <c r="R389" s="182"/>
      <c r="S389" s="182"/>
      <c r="T389" s="182"/>
      <c r="U389" s="182"/>
      <c r="V389" s="182"/>
      <c r="W389" s="183"/>
      <c r="X389" s="427"/>
    </row>
    <row r="390" spans="1:24" x14ac:dyDescent="0.45">
      <c r="B390" s="181"/>
      <c r="C390" s="182"/>
      <c r="D390" s="182"/>
      <c r="E390" s="182"/>
      <c r="F390" s="182"/>
      <c r="G390" s="182"/>
      <c r="H390" s="182"/>
      <c r="I390" s="182"/>
      <c r="J390" s="182"/>
      <c r="K390" s="182"/>
      <c r="L390" s="182"/>
      <c r="M390" s="182"/>
      <c r="N390" s="182"/>
      <c r="O390" s="182"/>
      <c r="P390" s="182"/>
      <c r="Q390" s="182"/>
      <c r="R390" s="182"/>
      <c r="S390" s="182"/>
      <c r="T390" s="182"/>
      <c r="U390" s="182"/>
      <c r="V390" s="182"/>
      <c r="W390" s="183"/>
      <c r="X390" s="427"/>
    </row>
    <row r="391" spans="1:24" x14ac:dyDescent="0.45">
      <c r="B391" s="181"/>
      <c r="C391" s="182"/>
      <c r="D391" s="182"/>
      <c r="E391" s="182"/>
      <c r="F391" s="182"/>
      <c r="G391" s="182"/>
      <c r="H391" s="182"/>
      <c r="I391" s="182"/>
      <c r="J391" s="182"/>
      <c r="K391" s="182"/>
      <c r="L391" s="182"/>
      <c r="M391" s="182"/>
      <c r="N391" s="182"/>
      <c r="O391" s="182"/>
      <c r="P391" s="182"/>
      <c r="Q391" s="182"/>
      <c r="R391" s="182"/>
      <c r="S391" s="182"/>
      <c r="T391" s="182"/>
      <c r="U391" s="182"/>
      <c r="V391" s="182"/>
      <c r="W391" s="183"/>
      <c r="X391" s="427"/>
    </row>
    <row r="392" spans="1:24" x14ac:dyDescent="0.45">
      <c r="B392" s="181"/>
      <c r="C392" s="182"/>
      <c r="D392" s="182"/>
      <c r="E392" s="182"/>
      <c r="F392" s="182"/>
      <c r="G392" s="182"/>
      <c r="H392" s="182"/>
      <c r="I392" s="182"/>
      <c r="J392" s="182"/>
      <c r="K392" s="182"/>
      <c r="L392" s="182"/>
      <c r="M392" s="182"/>
      <c r="N392" s="182"/>
      <c r="O392" s="182"/>
      <c r="P392" s="182"/>
      <c r="Q392" s="182"/>
      <c r="R392" s="182"/>
      <c r="S392" s="182"/>
      <c r="T392" s="182"/>
      <c r="U392" s="182"/>
      <c r="V392" s="182"/>
      <c r="W392" s="183"/>
      <c r="X392" s="427"/>
    </row>
    <row r="393" spans="1:24" x14ac:dyDescent="0.45">
      <c r="B393" s="184"/>
      <c r="C393" s="185" t="s">
        <v>1499</v>
      </c>
      <c r="D393" s="185"/>
      <c r="E393" s="185"/>
      <c r="F393" s="185"/>
      <c r="G393" s="185"/>
      <c r="H393" s="185"/>
      <c r="I393" s="185"/>
      <c r="J393" s="185"/>
      <c r="K393" s="185"/>
      <c r="L393" s="185"/>
      <c r="M393" s="185"/>
      <c r="N393" s="185"/>
      <c r="O393" s="185"/>
      <c r="P393" s="185"/>
      <c r="Q393" s="185"/>
      <c r="R393" s="185"/>
      <c r="S393" s="185"/>
      <c r="T393" s="185"/>
      <c r="U393" s="185"/>
      <c r="V393" s="185"/>
      <c r="W393" s="186"/>
      <c r="X393" s="187"/>
    </row>
    <row r="394" spans="1:24" ht="26.65" x14ac:dyDescent="0.45">
      <c r="B394" s="188" t="s">
        <v>1458</v>
      </c>
      <c r="C394" s="185" t="s">
        <v>1459</v>
      </c>
      <c r="D394" s="185"/>
      <c r="E394" s="185" t="s">
        <v>1500</v>
      </c>
      <c r="F394" s="185"/>
      <c r="G394" s="185" t="s">
        <v>1501</v>
      </c>
      <c r="H394" s="189" t="s">
        <v>1502</v>
      </c>
      <c r="I394" s="185" t="s">
        <v>1503</v>
      </c>
      <c r="J394" s="185" t="s">
        <v>1504</v>
      </c>
      <c r="K394" s="189" t="s">
        <v>1505</v>
      </c>
      <c r="L394" s="189" t="s">
        <v>1504</v>
      </c>
      <c r="M394" s="189"/>
      <c r="N394" s="189" t="s">
        <v>1506</v>
      </c>
      <c r="O394" s="189"/>
      <c r="P394" s="190"/>
      <c r="Q394" s="189"/>
      <c r="R394" s="189"/>
      <c r="S394" s="189"/>
      <c r="T394" s="189" t="s">
        <v>1507</v>
      </c>
      <c r="U394" s="189" t="s">
        <v>27</v>
      </c>
      <c r="V394" s="189" t="s">
        <v>26</v>
      </c>
      <c r="W394" s="191" t="s">
        <v>1508</v>
      </c>
      <c r="X394" s="192"/>
    </row>
    <row r="395" spans="1:24" x14ac:dyDescent="0.45">
      <c r="A395" s="193">
        <v>1</v>
      </c>
      <c r="B395" s="194" t="str">
        <f t="shared" ref="B395:B426" si="60">IF(OR($C$375="",U395=""),"",LEFT($C$375,FIND("_",$C$375)-1))</f>
        <v/>
      </c>
      <c r="C395" s="170" t="str">
        <f t="shared" ref="C395:C426" si="61">IF(OR($C$375="",U395=""),"",$B$375)</f>
        <v/>
      </c>
      <c r="D395" s="170"/>
      <c r="E395" s="195"/>
      <c r="F395" s="195"/>
      <c r="G395" s="196"/>
      <c r="H395" s="197"/>
      <c r="I395" s="197"/>
      <c r="J395" s="197"/>
      <c r="K395" s="197"/>
      <c r="L395" s="197"/>
      <c r="M395" s="198"/>
      <c r="N395" s="198"/>
      <c r="O395" s="198"/>
      <c r="P395" s="199"/>
      <c r="Q395" s="200"/>
      <c r="R395" s="200"/>
      <c r="S395" s="200"/>
      <c r="T395" s="200" t="str">
        <f t="shared" ref="T395:T426" si="62">IF(K395="","",((K395*20)+L395)-((I395*20)+J395))</f>
        <v/>
      </c>
      <c r="U395" s="200"/>
      <c r="V395" s="201" t="str">
        <f t="shared" ref="V395:V426" si="63">IF(U395="","",$V$375)</f>
        <v/>
      </c>
      <c r="W395" s="202">
        <f t="shared" ref="W395:W426" si="64">IF(OR(T395="",U395=""),0,T395*U395)</f>
        <v>0</v>
      </c>
      <c r="X395" s="172"/>
    </row>
    <row r="396" spans="1:24" x14ac:dyDescent="0.45">
      <c r="A396" s="193">
        <v>2</v>
      </c>
      <c r="B396" s="194" t="str">
        <f t="shared" si="60"/>
        <v/>
      </c>
      <c r="C396" s="170" t="str">
        <f t="shared" si="61"/>
        <v/>
      </c>
      <c r="D396" s="170"/>
      <c r="E396" s="195"/>
      <c r="F396" s="195"/>
      <c r="G396" s="196"/>
      <c r="H396" s="197"/>
      <c r="I396" s="197" t="str">
        <f t="shared" ref="I396:I427" si="65">IF(K395="","",K395)</f>
        <v/>
      </c>
      <c r="J396" s="197" t="str">
        <f t="shared" ref="J396:J427" si="66">IF(L395="","",L395)</f>
        <v/>
      </c>
      <c r="K396" s="197"/>
      <c r="L396" s="197"/>
      <c r="M396" s="198"/>
      <c r="N396" s="198"/>
      <c r="O396" s="198"/>
      <c r="P396" s="199"/>
      <c r="Q396" s="200"/>
      <c r="R396" s="200"/>
      <c r="S396" s="200"/>
      <c r="T396" s="200" t="str">
        <f t="shared" si="62"/>
        <v/>
      </c>
      <c r="U396" s="200"/>
      <c r="V396" s="201" t="str">
        <f t="shared" si="63"/>
        <v/>
      </c>
      <c r="W396" s="202">
        <f t="shared" si="64"/>
        <v>0</v>
      </c>
      <c r="X396" s="172"/>
    </row>
    <row r="397" spans="1:24" x14ac:dyDescent="0.45">
      <c r="A397" s="193">
        <v>3</v>
      </c>
      <c r="B397" s="194" t="str">
        <f t="shared" si="60"/>
        <v/>
      </c>
      <c r="C397" s="170" t="str">
        <f t="shared" si="61"/>
        <v/>
      </c>
      <c r="D397" s="170"/>
      <c r="E397" s="195"/>
      <c r="F397" s="195"/>
      <c r="G397" s="196"/>
      <c r="H397" s="197"/>
      <c r="I397" s="197" t="str">
        <f t="shared" si="65"/>
        <v/>
      </c>
      <c r="J397" s="197" t="str">
        <f t="shared" si="66"/>
        <v/>
      </c>
      <c r="K397" s="197"/>
      <c r="L397" s="197"/>
      <c r="M397" s="198"/>
      <c r="N397" s="198"/>
      <c r="O397" s="198"/>
      <c r="P397" s="199"/>
      <c r="Q397" s="200"/>
      <c r="R397" s="200"/>
      <c r="S397" s="200"/>
      <c r="T397" s="200" t="str">
        <f t="shared" si="62"/>
        <v/>
      </c>
      <c r="U397" s="200"/>
      <c r="V397" s="201" t="str">
        <f t="shared" si="63"/>
        <v/>
      </c>
      <c r="W397" s="202">
        <f t="shared" si="64"/>
        <v>0</v>
      </c>
      <c r="X397" s="172"/>
    </row>
    <row r="398" spans="1:24" x14ac:dyDescent="0.45">
      <c r="A398" s="193">
        <v>4</v>
      </c>
      <c r="B398" s="194" t="str">
        <f t="shared" si="60"/>
        <v/>
      </c>
      <c r="C398" s="170" t="str">
        <f t="shared" si="61"/>
        <v/>
      </c>
      <c r="D398" s="170"/>
      <c r="E398" s="195"/>
      <c r="F398" s="195"/>
      <c r="G398" s="196"/>
      <c r="H398" s="197"/>
      <c r="I398" s="197" t="str">
        <f t="shared" si="65"/>
        <v/>
      </c>
      <c r="J398" s="197" t="str">
        <f t="shared" si="66"/>
        <v/>
      </c>
      <c r="K398" s="197"/>
      <c r="L398" s="197"/>
      <c r="M398" s="198"/>
      <c r="N398" s="198"/>
      <c r="O398" s="198"/>
      <c r="P398" s="199"/>
      <c r="Q398" s="200"/>
      <c r="R398" s="200"/>
      <c r="S398" s="200"/>
      <c r="T398" s="200" t="str">
        <f t="shared" si="62"/>
        <v/>
      </c>
      <c r="U398" s="200"/>
      <c r="V398" s="201" t="str">
        <f t="shared" si="63"/>
        <v/>
      </c>
      <c r="W398" s="202">
        <f t="shared" si="64"/>
        <v>0</v>
      </c>
      <c r="X398" s="172"/>
    </row>
    <row r="399" spans="1:24" x14ac:dyDescent="0.45">
      <c r="A399" s="193">
        <v>5</v>
      </c>
      <c r="B399" s="194" t="str">
        <f t="shared" si="60"/>
        <v/>
      </c>
      <c r="C399" s="170" t="str">
        <f t="shared" si="61"/>
        <v/>
      </c>
      <c r="D399" s="170"/>
      <c r="E399" s="195"/>
      <c r="F399" s="195"/>
      <c r="G399" s="196"/>
      <c r="H399" s="197"/>
      <c r="I399" s="197" t="str">
        <f t="shared" si="65"/>
        <v/>
      </c>
      <c r="J399" s="197" t="str">
        <f t="shared" si="66"/>
        <v/>
      </c>
      <c r="K399" s="197"/>
      <c r="L399" s="197"/>
      <c r="M399" s="198"/>
      <c r="N399" s="198"/>
      <c r="O399" s="198"/>
      <c r="P399" s="199"/>
      <c r="Q399" s="200"/>
      <c r="R399" s="200"/>
      <c r="S399" s="200"/>
      <c r="T399" s="200" t="str">
        <f t="shared" si="62"/>
        <v/>
      </c>
      <c r="U399" s="200"/>
      <c r="V399" s="201" t="str">
        <f t="shared" si="63"/>
        <v/>
      </c>
      <c r="W399" s="202">
        <f t="shared" si="64"/>
        <v>0</v>
      </c>
      <c r="X399" s="172"/>
    </row>
    <row r="400" spans="1:24" x14ac:dyDescent="0.45">
      <c r="A400" s="193">
        <v>6</v>
      </c>
      <c r="B400" s="194" t="str">
        <f t="shared" si="60"/>
        <v/>
      </c>
      <c r="C400" s="170" t="str">
        <f t="shared" si="61"/>
        <v/>
      </c>
      <c r="D400" s="170"/>
      <c r="E400" s="195"/>
      <c r="F400" s="195"/>
      <c r="G400" s="196"/>
      <c r="H400" s="197"/>
      <c r="I400" s="197" t="str">
        <f t="shared" si="65"/>
        <v/>
      </c>
      <c r="J400" s="197" t="str">
        <f t="shared" si="66"/>
        <v/>
      </c>
      <c r="K400" s="197"/>
      <c r="L400" s="197"/>
      <c r="M400" s="198"/>
      <c r="N400" s="198"/>
      <c r="O400" s="198"/>
      <c r="P400" s="199"/>
      <c r="Q400" s="200"/>
      <c r="R400" s="200"/>
      <c r="S400" s="200"/>
      <c r="T400" s="200" t="str">
        <f t="shared" si="62"/>
        <v/>
      </c>
      <c r="U400" s="200"/>
      <c r="V400" s="201" t="str">
        <f t="shared" si="63"/>
        <v/>
      </c>
      <c r="W400" s="202">
        <f t="shared" si="64"/>
        <v>0</v>
      </c>
      <c r="X400" s="172"/>
    </row>
    <row r="401" spans="1:24" x14ac:dyDescent="0.45">
      <c r="A401" s="193">
        <v>7</v>
      </c>
      <c r="B401" s="194" t="str">
        <f t="shared" si="60"/>
        <v/>
      </c>
      <c r="C401" s="170" t="str">
        <f t="shared" si="61"/>
        <v/>
      </c>
      <c r="D401" s="170"/>
      <c r="E401" s="195"/>
      <c r="F401" s="195"/>
      <c r="G401" s="196"/>
      <c r="H401" s="197"/>
      <c r="I401" s="197" t="str">
        <f t="shared" si="65"/>
        <v/>
      </c>
      <c r="J401" s="197" t="str">
        <f t="shared" si="66"/>
        <v/>
      </c>
      <c r="K401" s="197"/>
      <c r="L401" s="197"/>
      <c r="M401" s="198"/>
      <c r="N401" s="198"/>
      <c r="O401" s="198"/>
      <c r="P401" s="199"/>
      <c r="Q401" s="200"/>
      <c r="R401" s="200"/>
      <c r="S401" s="200"/>
      <c r="T401" s="200" t="str">
        <f t="shared" si="62"/>
        <v/>
      </c>
      <c r="U401" s="200"/>
      <c r="V401" s="201" t="str">
        <f t="shared" si="63"/>
        <v/>
      </c>
      <c r="W401" s="202">
        <f t="shared" si="64"/>
        <v>0</v>
      </c>
      <c r="X401" s="172"/>
    </row>
    <row r="402" spans="1:24" x14ac:dyDescent="0.45">
      <c r="A402" s="193">
        <v>8</v>
      </c>
      <c r="B402" s="194" t="str">
        <f t="shared" si="60"/>
        <v/>
      </c>
      <c r="C402" s="170" t="str">
        <f t="shared" si="61"/>
        <v/>
      </c>
      <c r="D402" s="170"/>
      <c r="E402" s="195"/>
      <c r="F402" s="195"/>
      <c r="G402" s="196"/>
      <c r="H402" s="197"/>
      <c r="I402" s="197" t="str">
        <f t="shared" si="65"/>
        <v/>
      </c>
      <c r="J402" s="197" t="str">
        <f t="shared" si="66"/>
        <v/>
      </c>
      <c r="K402" s="197"/>
      <c r="L402" s="197"/>
      <c r="M402" s="198"/>
      <c r="N402" s="198"/>
      <c r="O402" s="198"/>
      <c r="P402" s="199"/>
      <c r="Q402" s="200"/>
      <c r="R402" s="200"/>
      <c r="S402" s="200"/>
      <c r="T402" s="200" t="str">
        <f t="shared" si="62"/>
        <v/>
      </c>
      <c r="U402" s="200"/>
      <c r="V402" s="201" t="str">
        <f t="shared" si="63"/>
        <v/>
      </c>
      <c r="W402" s="202">
        <f t="shared" si="64"/>
        <v>0</v>
      </c>
      <c r="X402" s="172"/>
    </row>
    <row r="403" spans="1:24" x14ac:dyDescent="0.45">
      <c r="A403" s="193">
        <v>9</v>
      </c>
      <c r="B403" s="194" t="str">
        <f t="shared" si="60"/>
        <v/>
      </c>
      <c r="C403" s="170" t="str">
        <f t="shared" si="61"/>
        <v/>
      </c>
      <c r="D403" s="170"/>
      <c r="E403" s="195"/>
      <c r="F403" s="195"/>
      <c r="G403" s="196"/>
      <c r="H403" s="197"/>
      <c r="I403" s="197" t="str">
        <f t="shared" si="65"/>
        <v/>
      </c>
      <c r="J403" s="197" t="str">
        <f t="shared" si="66"/>
        <v/>
      </c>
      <c r="K403" s="197"/>
      <c r="L403" s="197"/>
      <c r="M403" s="198"/>
      <c r="N403" s="198"/>
      <c r="O403" s="198"/>
      <c r="P403" s="199"/>
      <c r="Q403" s="200"/>
      <c r="R403" s="200"/>
      <c r="S403" s="200"/>
      <c r="T403" s="200" t="str">
        <f t="shared" si="62"/>
        <v/>
      </c>
      <c r="U403" s="200"/>
      <c r="V403" s="201" t="str">
        <f t="shared" si="63"/>
        <v/>
      </c>
      <c r="W403" s="202">
        <f t="shared" si="64"/>
        <v>0</v>
      </c>
      <c r="X403" s="172"/>
    </row>
    <row r="404" spans="1:24" x14ac:dyDescent="0.45">
      <c r="A404" s="193">
        <v>10</v>
      </c>
      <c r="B404" s="194" t="str">
        <f t="shared" si="60"/>
        <v/>
      </c>
      <c r="C404" s="170" t="str">
        <f t="shared" si="61"/>
        <v/>
      </c>
      <c r="D404" s="170"/>
      <c r="E404" s="195"/>
      <c r="F404" s="195"/>
      <c r="G404" s="196"/>
      <c r="H404" s="197"/>
      <c r="I404" s="197" t="str">
        <f t="shared" si="65"/>
        <v/>
      </c>
      <c r="J404" s="197" t="str">
        <f t="shared" si="66"/>
        <v/>
      </c>
      <c r="K404" s="197"/>
      <c r="L404" s="197"/>
      <c r="M404" s="198"/>
      <c r="N404" s="198"/>
      <c r="O404" s="198"/>
      <c r="P404" s="199"/>
      <c r="Q404" s="200"/>
      <c r="R404" s="200"/>
      <c r="S404" s="200"/>
      <c r="T404" s="200" t="str">
        <f t="shared" si="62"/>
        <v/>
      </c>
      <c r="U404" s="200"/>
      <c r="V404" s="201" t="str">
        <f t="shared" si="63"/>
        <v/>
      </c>
      <c r="W404" s="202">
        <f t="shared" si="64"/>
        <v>0</v>
      </c>
      <c r="X404" s="172"/>
    </row>
    <row r="405" spans="1:24" x14ac:dyDescent="0.45">
      <c r="A405" s="193">
        <v>11</v>
      </c>
      <c r="B405" s="194" t="str">
        <f t="shared" si="60"/>
        <v/>
      </c>
      <c r="C405" s="170" t="str">
        <f t="shared" si="61"/>
        <v/>
      </c>
      <c r="D405" s="170"/>
      <c r="E405" s="195"/>
      <c r="F405" s="195"/>
      <c r="G405" s="196"/>
      <c r="H405" s="197"/>
      <c r="I405" s="197" t="str">
        <f t="shared" si="65"/>
        <v/>
      </c>
      <c r="J405" s="197" t="str">
        <f t="shared" si="66"/>
        <v/>
      </c>
      <c r="K405" s="197"/>
      <c r="L405" s="197"/>
      <c r="M405" s="198"/>
      <c r="N405" s="198"/>
      <c r="O405" s="198"/>
      <c r="P405" s="199"/>
      <c r="Q405" s="200"/>
      <c r="R405" s="200"/>
      <c r="S405" s="200"/>
      <c r="T405" s="200" t="str">
        <f t="shared" si="62"/>
        <v/>
      </c>
      <c r="U405" s="200"/>
      <c r="V405" s="201" t="str">
        <f t="shared" si="63"/>
        <v/>
      </c>
      <c r="W405" s="202">
        <f t="shared" si="64"/>
        <v>0</v>
      </c>
      <c r="X405" s="172"/>
    </row>
    <row r="406" spans="1:24" x14ac:dyDescent="0.45">
      <c r="A406" s="193">
        <v>12</v>
      </c>
      <c r="B406" s="194" t="str">
        <f t="shared" si="60"/>
        <v/>
      </c>
      <c r="C406" s="170" t="str">
        <f t="shared" si="61"/>
        <v/>
      </c>
      <c r="D406" s="170"/>
      <c r="E406" s="195"/>
      <c r="F406" s="195"/>
      <c r="G406" s="196"/>
      <c r="H406" s="197"/>
      <c r="I406" s="197" t="str">
        <f t="shared" si="65"/>
        <v/>
      </c>
      <c r="J406" s="197" t="str">
        <f t="shared" si="66"/>
        <v/>
      </c>
      <c r="K406" s="197"/>
      <c r="L406" s="197"/>
      <c r="M406" s="198"/>
      <c r="N406" s="198"/>
      <c r="O406" s="198"/>
      <c r="P406" s="199"/>
      <c r="Q406" s="200"/>
      <c r="R406" s="200"/>
      <c r="S406" s="200"/>
      <c r="T406" s="200" t="str">
        <f t="shared" si="62"/>
        <v/>
      </c>
      <c r="U406" s="200"/>
      <c r="V406" s="201" t="str">
        <f t="shared" si="63"/>
        <v/>
      </c>
      <c r="W406" s="202">
        <f t="shared" si="64"/>
        <v>0</v>
      </c>
      <c r="X406" s="172"/>
    </row>
    <row r="407" spans="1:24" x14ac:dyDescent="0.45">
      <c r="A407" s="193">
        <v>13</v>
      </c>
      <c r="B407" s="194" t="str">
        <f t="shared" si="60"/>
        <v/>
      </c>
      <c r="C407" s="170" t="str">
        <f t="shared" si="61"/>
        <v/>
      </c>
      <c r="D407" s="170"/>
      <c r="E407" s="195"/>
      <c r="F407" s="195"/>
      <c r="G407" s="196"/>
      <c r="H407" s="197"/>
      <c r="I407" s="197" t="str">
        <f t="shared" si="65"/>
        <v/>
      </c>
      <c r="J407" s="197" t="str">
        <f t="shared" si="66"/>
        <v/>
      </c>
      <c r="K407" s="197"/>
      <c r="L407" s="197"/>
      <c r="M407" s="198"/>
      <c r="N407" s="198"/>
      <c r="O407" s="198"/>
      <c r="P407" s="199"/>
      <c r="Q407" s="200"/>
      <c r="R407" s="200"/>
      <c r="S407" s="200"/>
      <c r="T407" s="200" t="str">
        <f t="shared" si="62"/>
        <v/>
      </c>
      <c r="U407" s="200"/>
      <c r="V407" s="201" t="str">
        <f t="shared" si="63"/>
        <v/>
      </c>
      <c r="W407" s="202">
        <f t="shared" si="64"/>
        <v>0</v>
      </c>
      <c r="X407" s="172"/>
    </row>
    <row r="408" spans="1:24" x14ac:dyDescent="0.45">
      <c r="A408" s="193">
        <v>14</v>
      </c>
      <c r="B408" s="194" t="str">
        <f t="shared" si="60"/>
        <v/>
      </c>
      <c r="C408" s="170" t="str">
        <f t="shared" si="61"/>
        <v/>
      </c>
      <c r="D408" s="170"/>
      <c r="E408" s="195"/>
      <c r="F408" s="195"/>
      <c r="G408" s="196"/>
      <c r="H408" s="197"/>
      <c r="I408" s="197" t="str">
        <f t="shared" si="65"/>
        <v/>
      </c>
      <c r="J408" s="197" t="str">
        <f t="shared" si="66"/>
        <v/>
      </c>
      <c r="K408" s="197"/>
      <c r="L408" s="197"/>
      <c r="M408" s="198"/>
      <c r="N408" s="198"/>
      <c r="O408" s="198"/>
      <c r="P408" s="199"/>
      <c r="Q408" s="200"/>
      <c r="R408" s="200"/>
      <c r="S408" s="200"/>
      <c r="T408" s="200" t="str">
        <f t="shared" si="62"/>
        <v/>
      </c>
      <c r="U408" s="200"/>
      <c r="V408" s="201" t="str">
        <f t="shared" si="63"/>
        <v/>
      </c>
      <c r="W408" s="202">
        <f t="shared" si="64"/>
        <v>0</v>
      </c>
      <c r="X408" s="172"/>
    </row>
    <row r="409" spans="1:24" x14ac:dyDescent="0.45">
      <c r="A409" s="193">
        <v>15</v>
      </c>
      <c r="B409" s="194" t="str">
        <f t="shared" si="60"/>
        <v/>
      </c>
      <c r="C409" s="170" t="str">
        <f t="shared" si="61"/>
        <v/>
      </c>
      <c r="D409" s="170"/>
      <c r="E409" s="195"/>
      <c r="F409" s="195"/>
      <c r="G409" s="196"/>
      <c r="H409" s="197"/>
      <c r="I409" s="197" t="str">
        <f t="shared" si="65"/>
        <v/>
      </c>
      <c r="J409" s="197" t="str">
        <f t="shared" si="66"/>
        <v/>
      </c>
      <c r="K409" s="197"/>
      <c r="L409" s="197"/>
      <c r="M409" s="198"/>
      <c r="N409" s="198"/>
      <c r="O409" s="198"/>
      <c r="P409" s="199"/>
      <c r="Q409" s="200"/>
      <c r="R409" s="200"/>
      <c r="S409" s="200"/>
      <c r="T409" s="200" t="str">
        <f t="shared" si="62"/>
        <v/>
      </c>
      <c r="U409" s="200"/>
      <c r="V409" s="201" t="str">
        <f t="shared" si="63"/>
        <v/>
      </c>
      <c r="W409" s="202">
        <f t="shared" si="64"/>
        <v>0</v>
      </c>
      <c r="X409" s="172"/>
    </row>
    <row r="410" spans="1:24" x14ac:dyDescent="0.45">
      <c r="A410" s="193">
        <v>16</v>
      </c>
      <c r="B410" s="194" t="str">
        <f t="shared" si="60"/>
        <v/>
      </c>
      <c r="C410" s="170" t="str">
        <f t="shared" si="61"/>
        <v/>
      </c>
      <c r="D410" s="170"/>
      <c r="E410" s="195"/>
      <c r="F410" s="195"/>
      <c r="G410" s="196"/>
      <c r="H410" s="197"/>
      <c r="I410" s="197" t="str">
        <f t="shared" si="65"/>
        <v/>
      </c>
      <c r="J410" s="197" t="str">
        <f t="shared" si="66"/>
        <v/>
      </c>
      <c r="K410" s="197"/>
      <c r="L410" s="197"/>
      <c r="M410" s="198"/>
      <c r="N410" s="198"/>
      <c r="O410" s="198"/>
      <c r="P410" s="199"/>
      <c r="Q410" s="200"/>
      <c r="R410" s="200"/>
      <c r="S410" s="200"/>
      <c r="T410" s="200" t="str">
        <f t="shared" si="62"/>
        <v/>
      </c>
      <c r="U410" s="200"/>
      <c r="V410" s="201" t="str">
        <f t="shared" si="63"/>
        <v/>
      </c>
      <c r="W410" s="202">
        <f t="shared" si="64"/>
        <v>0</v>
      </c>
      <c r="X410" s="172"/>
    </row>
    <row r="411" spans="1:24" x14ac:dyDescent="0.45">
      <c r="A411" s="193">
        <v>17</v>
      </c>
      <c r="B411" s="194" t="str">
        <f t="shared" si="60"/>
        <v/>
      </c>
      <c r="C411" s="170" t="str">
        <f t="shared" si="61"/>
        <v/>
      </c>
      <c r="D411" s="170"/>
      <c r="E411" s="195"/>
      <c r="F411" s="195"/>
      <c r="G411" s="196"/>
      <c r="H411" s="197"/>
      <c r="I411" s="197" t="str">
        <f t="shared" si="65"/>
        <v/>
      </c>
      <c r="J411" s="197" t="str">
        <f t="shared" si="66"/>
        <v/>
      </c>
      <c r="K411" s="197"/>
      <c r="L411" s="197"/>
      <c r="M411" s="198"/>
      <c r="N411" s="198"/>
      <c r="O411" s="198"/>
      <c r="P411" s="199"/>
      <c r="Q411" s="200"/>
      <c r="R411" s="200"/>
      <c r="S411" s="200"/>
      <c r="T411" s="200" t="str">
        <f t="shared" si="62"/>
        <v/>
      </c>
      <c r="U411" s="200"/>
      <c r="V411" s="201" t="str">
        <f t="shared" si="63"/>
        <v/>
      </c>
      <c r="W411" s="202">
        <f t="shared" si="64"/>
        <v>0</v>
      </c>
      <c r="X411" s="172"/>
    </row>
    <row r="412" spans="1:24" x14ac:dyDescent="0.45">
      <c r="A412" s="193">
        <v>18</v>
      </c>
      <c r="B412" s="194" t="str">
        <f t="shared" si="60"/>
        <v/>
      </c>
      <c r="C412" s="170" t="str">
        <f t="shared" si="61"/>
        <v/>
      </c>
      <c r="D412" s="170"/>
      <c r="E412" s="195"/>
      <c r="F412" s="195"/>
      <c r="G412" s="196"/>
      <c r="H412" s="197"/>
      <c r="I412" s="197" t="str">
        <f t="shared" si="65"/>
        <v/>
      </c>
      <c r="J412" s="197" t="str">
        <f t="shared" si="66"/>
        <v/>
      </c>
      <c r="K412" s="197"/>
      <c r="L412" s="197"/>
      <c r="M412" s="198"/>
      <c r="N412" s="198"/>
      <c r="O412" s="198"/>
      <c r="P412" s="199"/>
      <c r="Q412" s="200"/>
      <c r="R412" s="200"/>
      <c r="S412" s="200"/>
      <c r="T412" s="200" t="str">
        <f t="shared" si="62"/>
        <v/>
      </c>
      <c r="U412" s="200"/>
      <c r="V412" s="201" t="str">
        <f t="shared" si="63"/>
        <v/>
      </c>
      <c r="W412" s="202">
        <f t="shared" si="64"/>
        <v>0</v>
      </c>
      <c r="X412" s="172"/>
    </row>
    <row r="413" spans="1:24" x14ac:dyDescent="0.45">
      <c r="A413" s="193">
        <v>19</v>
      </c>
      <c r="B413" s="194" t="str">
        <f t="shared" si="60"/>
        <v/>
      </c>
      <c r="C413" s="170" t="str">
        <f t="shared" si="61"/>
        <v/>
      </c>
      <c r="D413" s="170"/>
      <c r="E413" s="195"/>
      <c r="F413" s="195"/>
      <c r="G413" s="196"/>
      <c r="H413" s="197"/>
      <c r="I413" s="197" t="str">
        <f t="shared" si="65"/>
        <v/>
      </c>
      <c r="J413" s="197" t="str">
        <f t="shared" si="66"/>
        <v/>
      </c>
      <c r="K413" s="197"/>
      <c r="L413" s="197"/>
      <c r="M413" s="198"/>
      <c r="N413" s="198"/>
      <c r="O413" s="198"/>
      <c r="P413" s="199"/>
      <c r="Q413" s="200"/>
      <c r="R413" s="200"/>
      <c r="S413" s="200"/>
      <c r="T413" s="200" t="str">
        <f t="shared" si="62"/>
        <v/>
      </c>
      <c r="U413" s="200"/>
      <c r="V413" s="201" t="str">
        <f t="shared" si="63"/>
        <v/>
      </c>
      <c r="W413" s="202">
        <f t="shared" si="64"/>
        <v>0</v>
      </c>
      <c r="X413" s="172"/>
    </row>
    <row r="414" spans="1:24" x14ac:dyDescent="0.45">
      <c r="A414" s="193">
        <v>20</v>
      </c>
      <c r="B414" s="194" t="str">
        <f t="shared" si="60"/>
        <v/>
      </c>
      <c r="C414" s="170" t="str">
        <f t="shared" si="61"/>
        <v/>
      </c>
      <c r="D414" s="170"/>
      <c r="E414" s="195"/>
      <c r="F414" s="195"/>
      <c r="G414" s="196"/>
      <c r="H414" s="197"/>
      <c r="I414" s="197" t="str">
        <f t="shared" si="65"/>
        <v/>
      </c>
      <c r="J414" s="197" t="str">
        <f t="shared" si="66"/>
        <v/>
      </c>
      <c r="K414" s="197"/>
      <c r="L414" s="197"/>
      <c r="M414" s="198"/>
      <c r="N414" s="198"/>
      <c r="O414" s="198"/>
      <c r="P414" s="199"/>
      <c r="Q414" s="200"/>
      <c r="R414" s="200"/>
      <c r="S414" s="200"/>
      <c r="T414" s="200" t="str">
        <f t="shared" si="62"/>
        <v/>
      </c>
      <c r="U414" s="200"/>
      <c r="V414" s="201" t="str">
        <f t="shared" si="63"/>
        <v/>
      </c>
      <c r="W414" s="202">
        <f t="shared" si="64"/>
        <v>0</v>
      </c>
      <c r="X414" s="172"/>
    </row>
    <row r="415" spans="1:24" x14ac:dyDescent="0.45">
      <c r="A415" s="193">
        <v>21</v>
      </c>
      <c r="B415" s="194" t="str">
        <f t="shared" si="60"/>
        <v/>
      </c>
      <c r="C415" s="170" t="str">
        <f t="shared" si="61"/>
        <v/>
      </c>
      <c r="D415" s="170"/>
      <c r="E415" s="195"/>
      <c r="F415" s="195"/>
      <c r="G415" s="196"/>
      <c r="H415" s="197"/>
      <c r="I415" s="197" t="str">
        <f t="shared" si="65"/>
        <v/>
      </c>
      <c r="J415" s="197" t="str">
        <f t="shared" si="66"/>
        <v/>
      </c>
      <c r="K415" s="197"/>
      <c r="L415" s="197"/>
      <c r="M415" s="198"/>
      <c r="N415" s="198"/>
      <c r="O415" s="198"/>
      <c r="P415" s="199"/>
      <c r="Q415" s="200"/>
      <c r="R415" s="200"/>
      <c r="S415" s="200"/>
      <c r="T415" s="200" t="str">
        <f t="shared" si="62"/>
        <v/>
      </c>
      <c r="U415" s="200"/>
      <c r="V415" s="201" t="str">
        <f t="shared" si="63"/>
        <v/>
      </c>
      <c r="W415" s="202">
        <f t="shared" si="64"/>
        <v>0</v>
      </c>
      <c r="X415" s="172"/>
    </row>
    <row r="416" spans="1:24" x14ac:dyDescent="0.45">
      <c r="A416" s="193">
        <v>22</v>
      </c>
      <c r="B416" s="194" t="str">
        <f t="shared" si="60"/>
        <v/>
      </c>
      <c r="C416" s="170" t="str">
        <f t="shared" si="61"/>
        <v/>
      </c>
      <c r="D416" s="170"/>
      <c r="E416" s="195"/>
      <c r="F416" s="170"/>
      <c r="G416" s="170"/>
      <c r="H416" s="203"/>
      <c r="I416" s="197" t="str">
        <f t="shared" si="65"/>
        <v/>
      </c>
      <c r="J416" s="197" t="str">
        <f t="shared" si="66"/>
        <v/>
      </c>
      <c r="K416" s="197"/>
      <c r="L416" s="197"/>
      <c r="M416" s="198"/>
      <c r="N416" s="198"/>
      <c r="O416" s="198"/>
      <c r="P416" s="199"/>
      <c r="Q416" s="200"/>
      <c r="R416" s="200"/>
      <c r="S416" s="200"/>
      <c r="T416" s="200" t="str">
        <f t="shared" si="62"/>
        <v/>
      </c>
      <c r="U416" s="200"/>
      <c r="V416" s="201" t="str">
        <f t="shared" si="63"/>
        <v/>
      </c>
      <c r="W416" s="202">
        <f t="shared" si="64"/>
        <v>0</v>
      </c>
      <c r="X416" s="172"/>
    </row>
    <row r="417" spans="1:24" x14ac:dyDescent="0.45">
      <c r="A417" s="193">
        <v>23</v>
      </c>
      <c r="B417" s="194" t="str">
        <f t="shared" si="60"/>
        <v/>
      </c>
      <c r="C417" s="170" t="str">
        <f t="shared" si="61"/>
        <v/>
      </c>
      <c r="D417" s="170"/>
      <c r="E417" s="195"/>
      <c r="F417" s="170"/>
      <c r="G417" s="170"/>
      <c r="H417" s="203"/>
      <c r="I417" s="197" t="str">
        <f t="shared" si="65"/>
        <v/>
      </c>
      <c r="J417" s="197" t="str">
        <f t="shared" si="66"/>
        <v/>
      </c>
      <c r="K417" s="197"/>
      <c r="L417" s="197"/>
      <c r="M417" s="198"/>
      <c r="N417" s="198"/>
      <c r="O417" s="198"/>
      <c r="P417" s="199"/>
      <c r="Q417" s="200"/>
      <c r="R417" s="200"/>
      <c r="S417" s="200"/>
      <c r="T417" s="200" t="str">
        <f t="shared" si="62"/>
        <v/>
      </c>
      <c r="U417" s="200"/>
      <c r="V417" s="201" t="str">
        <f t="shared" si="63"/>
        <v/>
      </c>
      <c r="W417" s="202">
        <f t="shared" si="64"/>
        <v>0</v>
      </c>
      <c r="X417" s="172"/>
    </row>
    <row r="418" spans="1:24" x14ac:dyDescent="0.45">
      <c r="A418" s="193">
        <v>24</v>
      </c>
      <c r="B418" s="194" t="str">
        <f t="shared" si="60"/>
        <v/>
      </c>
      <c r="C418" s="170" t="str">
        <f t="shared" si="61"/>
        <v/>
      </c>
      <c r="D418" s="170"/>
      <c r="E418" s="195"/>
      <c r="F418" s="170"/>
      <c r="G418" s="170"/>
      <c r="H418" s="203"/>
      <c r="I418" s="197" t="str">
        <f t="shared" si="65"/>
        <v/>
      </c>
      <c r="J418" s="197" t="str">
        <f t="shared" si="66"/>
        <v/>
      </c>
      <c r="K418" s="197"/>
      <c r="L418" s="197"/>
      <c r="M418" s="198"/>
      <c r="N418" s="198"/>
      <c r="O418" s="198"/>
      <c r="P418" s="199"/>
      <c r="Q418" s="200"/>
      <c r="R418" s="200"/>
      <c r="S418" s="200"/>
      <c r="T418" s="200" t="str">
        <f t="shared" si="62"/>
        <v/>
      </c>
      <c r="U418" s="200"/>
      <c r="V418" s="201" t="str">
        <f t="shared" si="63"/>
        <v/>
      </c>
      <c r="W418" s="202">
        <f t="shared" si="64"/>
        <v>0</v>
      </c>
      <c r="X418" s="172"/>
    </row>
    <row r="419" spans="1:24" x14ac:dyDescent="0.45">
      <c r="A419" s="193">
        <v>25</v>
      </c>
      <c r="B419" s="194" t="str">
        <f t="shared" si="60"/>
        <v/>
      </c>
      <c r="C419" s="170" t="str">
        <f t="shared" si="61"/>
        <v/>
      </c>
      <c r="D419" s="170"/>
      <c r="E419" s="195"/>
      <c r="F419" s="170"/>
      <c r="G419" s="170"/>
      <c r="H419" s="203"/>
      <c r="I419" s="197" t="str">
        <f t="shared" si="65"/>
        <v/>
      </c>
      <c r="J419" s="197" t="str">
        <f t="shared" si="66"/>
        <v/>
      </c>
      <c r="K419" s="197"/>
      <c r="L419" s="197"/>
      <c r="M419" s="198"/>
      <c r="N419" s="198"/>
      <c r="O419" s="198"/>
      <c r="P419" s="199"/>
      <c r="Q419" s="200"/>
      <c r="R419" s="200"/>
      <c r="S419" s="200"/>
      <c r="T419" s="200" t="str">
        <f t="shared" si="62"/>
        <v/>
      </c>
      <c r="U419" s="200"/>
      <c r="V419" s="201" t="str">
        <f t="shared" si="63"/>
        <v/>
      </c>
      <c r="W419" s="202">
        <f t="shared" si="64"/>
        <v>0</v>
      </c>
      <c r="X419" s="172"/>
    </row>
    <row r="420" spans="1:24" x14ac:dyDescent="0.45">
      <c r="A420" s="193">
        <v>26</v>
      </c>
      <c r="B420" s="194" t="str">
        <f t="shared" si="60"/>
        <v/>
      </c>
      <c r="C420" s="170" t="str">
        <f t="shared" si="61"/>
        <v/>
      </c>
      <c r="D420" s="170"/>
      <c r="E420" s="195"/>
      <c r="F420" s="170"/>
      <c r="G420" s="170"/>
      <c r="H420" s="203"/>
      <c r="I420" s="197" t="str">
        <f t="shared" si="65"/>
        <v/>
      </c>
      <c r="J420" s="197" t="str">
        <f t="shared" si="66"/>
        <v/>
      </c>
      <c r="K420" s="197"/>
      <c r="L420" s="197"/>
      <c r="M420" s="198"/>
      <c r="N420" s="198"/>
      <c r="O420" s="198"/>
      <c r="P420" s="199"/>
      <c r="Q420" s="200"/>
      <c r="R420" s="200"/>
      <c r="S420" s="200"/>
      <c r="T420" s="200" t="str">
        <f t="shared" si="62"/>
        <v/>
      </c>
      <c r="U420" s="200"/>
      <c r="V420" s="201" t="str">
        <f t="shared" si="63"/>
        <v/>
      </c>
      <c r="W420" s="202">
        <f t="shared" si="64"/>
        <v>0</v>
      </c>
      <c r="X420" s="172"/>
    </row>
    <row r="421" spans="1:24" x14ac:dyDescent="0.45">
      <c r="A421" s="193">
        <v>27</v>
      </c>
      <c r="B421" s="194" t="str">
        <f t="shared" si="60"/>
        <v/>
      </c>
      <c r="C421" s="170" t="str">
        <f t="shared" si="61"/>
        <v/>
      </c>
      <c r="D421" s="170"/>
      <c r="E421" s="195"/>
      <c r="F421" s="170"/>
      <c r="G421" s="170"/>
      <c r="H421" s="203"/>
      <c r="I421" s="197" t="str">
        <f t="shared" si="65"/>
        <v/>
      </c>
      <c r="J421" s="197" t="str">
        <f t="shared" si="66"/>
        <v/>
      </c>
      <c r="K421" s="197"/>
      <c r="L421" s="197"/>
      <c r="M421" s="198"/>
      <c r="N421" s="198"/>
      <c r="O421" s="198"/>
      <c r="P421" s="199"/>
      <c r="Q421" s="200"/>
      <c r="R421" s="200"/>
      <c r="S421" s="200"/>
      <c r="T421" s="200" t="str">
        <f t="shared" si="62"/>
        <v/>
      </c>
      <c r="U421" s="200"/>
      <c r="V421" s="201" t="str">
        <f t="shared" si="63"/>
        <v/>
      </c>
      <c r="W421" s="202">
        <f t="shared" si="64"/>
        <v>0</v>
      </c>
      <c r="X421" s="172"/>
    </row>
    <row r="422" spans="1:24" x14ac:dyDescent="0.45">
      <c r="A422" s="193">
        <v>28</v>
      </c>
      <c r="B422" s="194" t="str">
        <f t="shared" si="60"/>
        <v/>
      </c>
      <c r="C422" s="170" t="str">
        <f t="shared" si="61"/>
        <v/>
      </c>
      <c r="D422" s="170"/>
      <c r="E422" s="195"/>
      <c r="F422" s="170"/>
      <c r="G422" s="170"/>
      <c r="H422" s="203"/>
      <c r="I422" s="197" t="str">
        <f t="shared" si="65"/>
        <v/>
      </c>
      <c r="J422" s="197" t="str">
        <f t="shared" si="66"/>
        <v/>
      </c>
      <c r="K422" s="197"/>
      <c r="L422" s="197"/>
      <c r="M422" s="198"/>
      <c r="N422" s="198"/>
      <c r="O422" s="198"/>
      <c r="P422" s="199"/>
      <c r="Q422" s="200"/>
      <c r="R422" s="200"/>
      <c r="S422" s="200"/>
      <c r="T422" s="200" t="str">
        <f t="shared" si="62"/>
        <v/>
      </c>
      <c r="U422" s="200"/>
      <c r="V422" s="201" t="str">
        <f t="shared" si="63"/>
        <v/>
      </c>
      <c r="W422" s="202">
        <f t="shared" si="64"/>
        <v>0</v>
      </c>
      <c r="X422" s="172"/>
    </row>
    <row r="423" spans="1:24" x14ac:dyDescent="0.45">
      <c r="A423" s="193">
        <v>29</v>
      </c>
      <c r="B423" s="194" t="str">
        <f t="shared" si="60"/>
        <v/>
      </c>
      <c r="C423" s="170" t="str">
        <f t="shared" si="61"/>
        <v/>
      </c>
      <c r="D423" s="170"/>
      <c r="E423" s="195"/>
      <c r="F423" s="170"/>
      <c r="G423" s="170"/>
      <c r="H423" s="203"/>
      <c r="I423" s="197" t="str">
        <f t="shared" si="65"/>
        <v/>
      </c>
      <c r="J423" s="197" t="str">
        <f t="shared" si="66"/>
        <v/>
      </c>
      <c r="K423" s="197"/>
      <c r="L423" s="197"/>
      <c r="M423" s="198"/>
      <c r="N423" s="198"/>
      <c r="O423" s="198"/>
      <c r="P423" s="199"/>
      <c r="Q423" s="200"/>
      <c r="R423" s="200"/>
      <c r="S423" s="200"/>
      <c r="T423" s="200" t="str">
        <f t="shared" si="62"/>
        <v/>
      </c>
      <c r="U423" s="200"/>
      <c r="V423" s="201" t="str">
        <f t="shared" si="63"/>
        <v/>
      </c>
      <c r="W423" s="202">
        <f t="shared" si="64"/>
        <v>0</v>
      </c>
      <c r="X423" s="172"/>
    </row>
    <row r="424" spans="1:24" x14ac:dyDescent="0.45">
      <c r="A424" s="193">
        <v>30</v>
      </c>
      <c r="B424" s="194" t="str">
        <f t="shared" si="60"/>
        <v/>
      </c>
      <c r="C424" s="170" t="str">
        <f t="shared" si="61"/>
        <v/>
      </c>
      <c r="D424" s="170"/>
      <c r="E424" s="195"/>
      <c r="F424" s="170"/>
      <c r="G424" s="170"/>
      <c r="H424" s="203"/>
      <c r="I424" s="197" t="str">
        <f t="shared" si="65"/>
        <v/>
      </c>
      <c r="J424" s="197" t="str">
        <f t="shared" si="66"/>
        <v/>
      </c>
      <c r="K424" s="197"/>
      <c r="L424" s="197"/>
      <c r="M424" s="198"/>
      <c r="N424" s="198"/>
      <c r="O424" s="198"/>
      <c r="P424" s="199"/>
      <c r="Q424" s="200"/>
      <c r="R424" s="200"/>
      <c r="S424" s="200"/>
      <c r="T424" s="200" t="str">
        <f t="shared" si="62"/>
        <v/>
      </c>
      <c r="U424" s="200"/>
      <c r="V424" s="201" t="str">
        <f t="shared" si="63"/>
        <v/>
      </c>
      <c r="W424" s="202">
        <f t="shared" si="64"/>
        <v>0</v>
      </c>
      <c r="X424" s="172"/>
    </row>
    <row r="425" spans="1:24" x14ac:dyDescent="0.45">
      <c r="A425" s="193">
        <v>31</v>
      </c>
      <c r="B425" s="194" t="str">
        <f t="shared" si="60"/>
        <v/>
      </c>
      <c r="C425" s="170" t="str">
        <f t="shared" si="61"/>
        <v/>
      </c>
      <c r="D425" s="170"/>
      <c r="E425" s="195"/>
      <c r="F425" s="170"/>
      <c r="G425" s="170"/>
      <c r="H425" s="203"/>
      <c r="I425" s="197" t="str">
        <f t="shared" si="65"/>
        <v/>
      </c>
      <c r="J425" s="197" t="str">
        <f t="shared" si="66"/>
        <v/>
      </c>
      <c r="K425" s="197"/>
      <c r="L425" s="197"/>
      <c r="M425" s="198"/>
      <c r="N425" s="198"/>
      <c r="O425" s="198"/>
      <c r="P425" s="199"/>
      <c r="Q425" s="200"/>
      <c r="R425" s="200"/>
      <c r="S425" s="200"/>
      <c r="T425" s="200" t="str">
        <f t="shared" si="62"/>
        <v/>
      </c>
      <c r="U425" s="200"/>
      <c r="V425" s="201" t="str">
        <f t="shared" si="63"/>
        <v/>
      </c>
      <c r="W425" s="202">
        <f t="shared" si="64"/>
        <v>0</v>
      </c>
      <c r="X425" s="172"/>
    </row>
    <row r="426" spans="1:24" x14ac:dyDescent="0.45">
      <c r="A426" s="193">
        <v>32</v>
      </c>
      <c r="B426" s="194" t="str">
        <f t="shared" si="60"/>
        <v/>
      </c>
      <c r="C426" s="170" t="str">
        <f t="shared" si="61"/>
        <v/>
      </c>
      <c r="D426" s="170"/>
      <c r="E426" s="195"/>
      <c r="F426" s="170"/>
      <c r="G426" s="170"/>
      <c r="H426" s="203"/>
      <c r="I426" s="197" t="str">
        <f t="shared" si="65"/>
        <v/>
      </c>
      <c r="J426" s="197" t="str">
        <f t="shared" si="66"/>
        <v/>
      </c>
      <c r="K426" s="197"/>
      <c r="L426" s="197"/>
      <c r="M426" s="198"/>
      <c r="N426" s="198"/>
      <c r="O426" s="198"/>
      <c r="P426" s="199"/>
      <c r="Q426" s="200"/>
      <c r="R426" s="200"/>
      <c r="S426" s="200"/>
      <c r="T426" s="200" t="str">
        <f t="shared" si="62"/>
        <v/>
      </c>
      <c r="U426" s="200"/>
      <c r="V426" s="201" t="str">
        <f t="shared" si="63"/>
        <v/>
      </c>
      <c r="W426" s="202">
        <f t="shared" si="64"/>
        <v>0</v>
      </c>
      <c r="X426" s="172"/>
    </row>
    <row r="427" spans="1:24" x14ac:dyDescent="0.45">
      <c r="A427" s="193">
        <v>33</v>
      </c>
      <c r="B427" s="194" t="str">
        <f t="shared" ref="B427:B460" si="67">IF(OR($C$375="",U427=""),"",LEFT($C$375,FIND("_",$C$375)-1))</f>
        <v/>
      </c>
      <c r="C427" s="170" t="str">
        <f t="shared" ref="C427:C460" si="68">IF(OR($C$375="",U427=""),"",$B$375)</f>
        <v/>
      </c>
      <c r="D427" s="170"/>
      <c r="E427" s="195"/>
      <c r="F427" s="170"/>
      <c r="G427" s="170"/>
      <c r="H427" s="203"/>
      <c r="I427" s="197" t="str">
        <f t="shared" si="65"/>
        <v/>
      </c>
      <c r="J427" s="197" t="str">
        <f t="shared" si="66"/>
        <v/>
      </c>
      <c r="K427" s="197"/>
      <c r="L427" s="197"/>
      <c r="M427" s="198"/>
      <c r="N427" s="198"/>
      <c r="O427" s="198"/>
      <c r="P427" s="199"/>
      <c r="Q427" s="200"/>
      <c r="R427" s="200"/>
      <c r="S427" s="200"/>
      <c r="T427" s="200" t="str">
        <f t="shared" ref="T427:T460" si="69">IF(K427="","",((K427*20)+L427)-((I427*20)+J427))</f>
        <v/>
      </c>
      <c r="U427" s="200"/>
      <c r="V427" s="201" t="str">
        <f t="shared" ref="V427:V458" si="70">IF(U427="","",$V$375)</f>
        <v/>
      </c>
      <c r="W427" s="202">
        <f t="shared" ref="W427:W460" si="71">IF(OR(T427="",U427=""),0,T427*U427)</f>
        <v>0</v>
      </c>
      <c r="X427" s="172"/>
    </row>
    <row r="428" spans="1:24" x14ac:dyDescent="0.45">
      <c r="A428" s="193">
        <v>34</v>
      </c>
      <c r="B428" s="194" t="str">
        <f t="shared" si="67"/>
        <v/>
      </c>
      <c r="C428" s="170" t="str">
        <f t="shared" si="68"/>
        <v/>
      </c>
      <c r="D428" s="170"/>
      <c r="E428" s="195"/>
      <c r="F428" s="170"/>
      <c r="G428" s="170"/>
      <c r="H428" s="203"/>
      <c r="I428" s="197" t="str">
        <f t="shared" ref="I428:I460" si="72">IF(K427="","",K427)</f>
        <v/>
      </c>
      <c r="J428" s="197" t="str">
        <f t="shared" ref="J428:J460" si="73">IF(L427="","",L427)</f>
        <v/>
      </c>
      <c r="K428" s="197"/>
      <c r="L428" s="197"/>
      <c r="M428" s="198"/>
      <c r="N428" s="198"/>
      <c r="O428" s="198"/>
      <c r="P428" s="199"/>
      <c r="Q428" s="200"/>
      <c r="R428" s="200"/>
      <c r="S428" s="200"/>
      <c r="T428" s="200" t="str">
        <f t="shared" si="69"/>
        <v/>
      </c>
      <c r="U428" s="200"/>
      <c r="V428" s="201" t="str">
        <f t="shared" si="70"/>
        <v/>
      </c>
      <c r="W428" s="202">
        <f t="shared" si="71"/>
        <v>0</v>
      </c>
      <c r="X428" s="172"/>
    </row>
    <row r="429" spans="1:24" x14ac:dyDescent="0.45">
      <c r="A429" s="193">
        <v>35</v>
      </c>
      <c r="B429" s="194" t="str">
        <f t="shared" si="67"/>
        <v/>
      </c>
      <c r="C429" s="170" t="str">
        <f t="shared" si="68"/>
        <v/>
      </c>
      <c r="D429" s="170"/>
      <c r="E429" s="195"/>
      <c r="F429" s="170"/>
      <c r="G429" s="170"/>
      <c r="H429" s="203"/>
      <c r="I429" s="197" t="str">
        <f t="shared" si="72"/>
        <v/>
      </c>
      <c r="J429" s="197" t="str">
        <f t="shared" si="73"/>
        <v/>
      </c>
      <c r="K429" s="197"/>
      <c r="L429" s="197"/>
      <c r="M429" s="198"/>
      <c r="N429" s="198"/>
      <c r="O429" s="198"/>
      <c r="P429" s="199"/>
      <c r="Q429" s="200"/>
      <c r="R429" s="200"/>
      <c r="S429" s="200"/>
      <c r="T429" s="200" t="str">
        <f t="shared" si="69"/>
        <v/>
      </c>
      <c r="U429" s="200"/>
      <c r="V429" s="201" t="str">
        <f t="shared" si="70"/>
        <v/>
      </c>
      <c r="W429" s="202">
        <f t="shared" si="71"/>
        <v>0</v>
      </c>
      <c r="X429" s="172"/>
    </row>
    <row r="430" spans="1:24" x14ac:dyDescent="0.45">
      <c r="A430" s="193">
        <v>36</v>
      </c>
      <c r="B430" s="194" t="str">
        <f t="shared" si="67"/>
        <v/>
      </c>
      <c r="C430" s="170" t="str">
        <f t="shared" si="68"/>
        <v/>
      </c>
      <c r="D430" s="170"/>
      <c r="E430" s="195"/>
      <c r="F430" s="170"/>
      <c r="G430" s="170"/>
      <c r="H430" s="203"/>
      <c r="I430" s="197" t="str">
        <f t="shared" si="72"/>
        <v/>
      </c>
      <c r="J430" s="197" t="str">
        <f t="shared" si="73"/>
        <v/>
      </c>
      <c r="K430" s="197"/>
      <c r="L430" s="197"/>
      <c r="M430" s="198"/>
      <c r="N430" s="198"/>
      <c r="O430" s="198"/>
      <c r="P430" s="199"/>
      <c r="Q430" s="200"/>
      <c r="R430" s="200"/>
      <c r="S430" s="200"/>
      <c r="T430" s="200" t="str">
        <f t="shared" si="69"/>
        <v/>
      </c>
      <c r="U430" s="200"/>
      <c r="V430" s="201" t="str">
        <f t="shared" si="70"/>
        <v/>
      </c>
      <c r="W430" s="202">
        <f t="shared" si="71"/>
        <v>0</v>
      </c>
      <c r="X430" s="172"/>
    </row>
    <row r="431" spans="1:24" x14ac:dyDescent="0.45">
      <c r="A431" s="193">
        <v>37</v>
      </c>
      <c r="B431" s="194" t="str">
        <f t="shared" si="67"/>
        <v/>
      </c>
      <c r="C431" s="170" t="str">
        <f t="shared" si="68"/>
        <v/>
      </c>
      <c r="D431" s="170"/>
      <c r="E431" s="195"/>
      <c r="F431" s="170"/>
      <c r="G431" s="170"/>
      <c r="H431" s="203"/>
      <c r="I431" s="197" t="str">
        <f t="shared" si="72"/>
        <v/>
      </c>
      <c r="J431" s="197" t="str">
        <f t="shared" si="73"/>
        <v/>
      </c>
      <c r="K431" s="197"/>
      <c r="L431" s="197"/>
      <c r="M431" s="198"/>
      <c r="N431" s="198"/>
      <c r="O431" s="198"/>
      <c r="P431" s="199"/>
      <c r="Q431" s="200"/>
      <c r="R431" s="200"/>
      <c r="S431" s="200"/>
      <c r="T431" s="200" t="str">
        <f t="shared" si="69"/>
        <v/>
      </c>
      <c r="U431" s="200"/>
      <c r="V431" s="201" t="str">
        <f t="shared" si="70"/>
        <v/>
      </c>
      <c r="W431" s="202">
        <f t="shared" si="71"/>
        <v>0</v>
      </c>
      <c r="X431" s="172"/>
    </row>
    <row r="432" spans="1:24" x14ac:dyDescent="0.45">
      <c r="A432" s="193">
        <v>38</v>
      </c>
      <c r="B432" s="194" t="str">
        <f t="shared" si="67"/>
        <v/>
      </c>
      <c r="C432" s="170" t="str">
        <f t="shared" si="68"/>
        <v/>
      </c>
      <c r="D432" s="170"/>
      <c r="E432" s="195"/>
      <c r="F432" s="170"/>
      <c r="G432" s="170"/>
      <c r="H432" s="203"/>
      <c r="I432" s="197" t="str">
        <f t="shared" si="72"/>
        <v/>
      </c>
      <c r="J432" s="197" t="str">
        <f t="shared" si="73"/>
        <v/>
      </c>
      <c r="K432" s="197"/>
      <c r="L432" s="197"/>
      <c r="M432" s="198"/>
      <c r="N432" s="198"/>
      <c r="O432" s="198"/>
      <c r="P432" s="199"/>
      <c r="Q432" s="200"/>
      <c r="R432" s="200"/>
      <c r="S432" s="200"/>
      <c r="T432" s="200" t="str">
        <f t="shared" si="69"/>
        <v/>
      </c>
      <c r="U432" s="200"/>
      <c r="V432" s="201" t="str">
        <f t="shared" si="70"/>
        <v/>
      </c>
      <c r="W432" s="202">
        <f t="shared" si="71"/>
        <v>0</v>
      </c>
      <c r="X432" s="172"/>
    </row>
    <row r="433" spans="1:24" x14ac:dyDescent="0.45">
      <c r="A433" s="193">
        <v>39</v>
      </c>
      <c r="B433" s="194" t="str">
        <f t="shared" si="67"/>
        <v/>
      </c>
      <c r="C433" s="170" t="str">
        <f t="shared" si="68"/>
        <v/>
      </c>
      <c r="D433" s="170"/>
      <c r="E433" s="195"/>
      <c r="F433" s="170"/>
      <c r="G433" s="170"/>
      <c r="H433" s="203"/>
      <c r="I433" s="197" t="str">
        <f t="shared" si="72"/>
        <v/>
      </c>
      <c r="J433" s="197" t="str">
        <f t="shared" si="73"/>
        <v/>
      </c>
      <c r="K433" s="197"/>
      <c r="L433" s="197"/>
      <c r="M433" s="198"/>
      <c r="N433" s="198"/>
      <c r="O433" s="198"/>
      <c r="P433" s="199"/>
      <c r="Q433" s="200"/>
      <c r="R433" s="200"/>
      <c r="S433" s="200"/>
      <c r="T433" s="200" t="str">
        <f t="shared" si="69"/>
        <v/>
      </c>
      <c r="U433" s="200"/>
      <c r="V433" s="201" t="str">
        <f t="shared" si="70"/>
        <v/>
      </c>
      <c r="W433" s="202">
        <f t="shared" si="71"/>
        <v>0</v>
      </c>
      <c r="X433" s="172"/>
    </row>
    <row r="434" spans="1:24" x14ac:dyDescent="0.45">
      <c r="A434" s="193">
        <v>40</v>
      </c>
      <c r="B434" s="194" t="str">
        <f t="shared" si="67"/>
        <v/>
      </c>
      <c r="C434" s="170" t="str">
        <f t="shared" si="68"/>
        <v/>
      </c>
      <c r="D434" s="170"/>
      <c r="E434" s="195"/>
      <c r="F434" s="170"/>
      <c r="G434" s="170"/>
      <c r="H434" s="203"/>
      <c r="I434" s="197" t="str">
        <f t="shared" si="72"/>
        <v/>
      </c>
      <c r="J434" s="197" t="str">
        <f t="shared" si="73"/>
        <v/>
      </c>
      <c r="K434" s="197"/>
      <c r="L434" s="197"/>
      <c r="M434" s="198"/>
      <c r="N434" s="198"/>
      <c r="O434" s="198"/>
      <c r="P434" s="199"/>
      <c r="Q434" s="200"/>
      <c r="R434" s="200"/>
      <c r="S434" s="200"/>
      <c r="T434" s="200" t="str">
        <f t="shared" si="69"/>
        <v/>
      </c>
      <c r="U434" s="200"/>
      <c r="V434" s="201" t="str">
        <f t="shared" si="70"/>
        <v/>
      </c>
      <c r="W434" s="202">
        <f t="shared" si="71"/>
        <v>0</v>
      </c>
      <c r="X434" s="172"/>
    </row>
    <row r="435" spans="1:24" x14ac:dyDescent="0.45">
      <c r="A435" s="193">
        <v>41</v>
      </c>
      <c r="B435" s="194" t="str">
        <f t="shared" si="67"/>
        <v/>
      </c>
      <c r="C435" s="170" t="str">
        <f t="shared" si="68"/>
        <v/>
      </c>
      <c r="D435" s="170"/>
      <c r="E435" s="195"/>
      <c r="F435" s="170"/>
      <c r="G435" s="170"/>
      <c r="H435" s="203"/>
      <c r="I435" s="197" t="str">
        <f t="shared" si="72"/>
        <v/>
      </c>
      <c r="J435" s="197" t="str">
        <f t="shared" si="73"/>
        <v/>
      </c>
      <c r="K435" s="197"/>
      <c r="L435" s="197"/>
      <c r="M435" s="198"/>
      <c r="N435" s="198"/>
      <c r="O435" s="198"/>
      <c r="P435" s="199"/>
      <c r="Q435" s="200"/>
      <c r="R435" s="200"/>
      <c r="S435" s="200"/>
      <c r="T435" s="200" t="str">
        <f t="shared" si="69"/>
        <v/>
      </c>
      <c r="U435" s="200"/>
      <c r="V435" s="201" t="str">
        <f t="shared" si="70"/>
        <v/>
      </c>
      <c r="W435" s="202">
        <f t="shared" si="71"/>
        <v>0</v>
      </c>
      <c r="X435" s="172"/>
    </row>
    <row r="436" spans="1:24" x14ac:dyDescent="0.45">
      <c r="A436" s="193">
        <v>42</v>
      </c>
      <c r="B436" s="194" t="str">
        <f t="shared" si="67"/>
        <v/>
      </c>
      <c r="C436" s="170" t="str">
        <f t="shared" si="68"/>
        <v/>
      </c>
      <c r="D436" s="170"/>
      <c r="E436" s="195"/>
      <c r="F436" s="170"/>
      <c r="G436" s="170"/>
      <c r="H436" s="203"/>
      <c r="I436" s="197" t="str">
        <f t="shared" si="72"/>
        <v/>
      </c>
      <c r="J436" s="197" t="str">
        <f t="shared" si="73"/>
        <v/>
      </c>
      <c r="K436" s="197"/>
      <c r="L436" s="197"/>
      <c r="M436" s="198"/>
      <c r="N436" s="198"/>
      <c r="O436" s="198"/>
      <c r="P436" s="199"/>
      <c r="Q436" s="200"/>
      <c r="R436" s="200"/>
      <c r="S436" s="200"/>
      <c r="T436" s="200" t="str">
        <f t="shared" si="69"/>
        <v/>
      </c>
      <c r="U436" s="200"/>
      <c r="V436" s="201" t="str">
        <f t="shared" si="70"/>
        <v/>
      </c>
      <c r="W436" s="202">
        <f t="shared" si="71"/>
        <v>0</v>
      </c>
      <c r="X436" s="172"/>
    </row>
    <row r="437" spans="1:24" x14ac:dyDescent="0.45">
      <c r="A437" s="193">
        <v>43</v>
      </c>
      <c r="B437" s="194" t="str">
        <f t="shared" si="67"/>
        <v/>
      </c>
      <c r="C437" s="170" t="str">
        <f t="shared" si="68"/>
        <v/>
      </c>
      <c r="D437" s="170"/>
      <c r="E437" s="195"/>
      <c r="F437" s="170"/>
      <c r="G437" s="170"/>
      <c r="H437" s="203"/>
      <c r="I437" s="197" t="str">
        <f t="shared" si="72"/>
        <v/>
      </c>
      <c r="J437" s="197" t="str">
        <f t="shared" si="73"/>
        <v/>
      </c>
      <c r="K437" s="197"/>
      <c r="L437" s="197"/>
      <c r="M437" s="198"/>
      <c r="N437" s="198"/>
      <c r="O437" s="198"/>
      <c r="P437" s="199"/>
      <c r="Q437" s="200"/>
      <c r="R437" s="200"/>
      <c r="S437" s="200"/>
      <c r="T437" s="200" t="str">
        <f t="shared" si="69"/>
        <v/>
      </c>
      <c r="U437" s="200"/>
      <c r="V437" s="201" t="str">
        <f t="shared" si="70"/>
        <v/>
      </c>
      <c r="W437" s="202">
        <f t="shared" si="71"/>
        <v>0</v>
      </c>
      <c r="X437" s="172"/>
    </row>
    <row r="438" spans="1:24" x14ac:dyDescent="0.45">
      <c r="A438" s="193">
        <v>44</v>
      </c>
      <c r="B438" s="194" t="str">
        <f t="shared" si="67"/>
        <v/>
      </c>
      <c r="C438" s="170" t="str">
        <f t="shared" si="68"/>
        <v/>
      </c>
      <c r="D438" s="170"/>
      <c r="E438" s="195"/>
      <c r="F438" s="170"/>
      <c r="G438" s="170"/>
      <c r="H438" s="203"/>
      <c r="I438" s="197" t="str">
        <f t="shared" si="72"/>
        <v/>
      </c>
      <c r="J438" s="197" t="str">
        <f t="shared" si="73"/>
        <v/>
      </c>
      <c r="K438" s="197"/>
      <c r="L438" s="197"/>
      <c r="M438" s="198"/>
      <c r="N438" s="198"/>
      <c r="O438" s="198"/>
      <c r="P438" s="199"/>
      <c r="Q438" s="200"/>
      <c r="R438" s="200"/>
      <c r="S438" s="200"/>
      <c r="T438" s="200" t="str">
        <f t="shared" si="69"/>
        <v/>
      </c>
      <c r="U438" s="200"/>
      <c r="V438" s="201" t="str">
        <f t="shared" si="70"/>
        <v/>
      </c>
      <c r="W438" s="202">
        <f t="shared" si="71"/>
        <v>0</v>
      </c>
      <c r="X438" s="172"/>
    </row>
    <row r="439" spans="1:24" x14ac:dyDescent="0.45">
      <c r="A439" s="193">
        <v>45</v>
      </c>
      <c r="B439" s="194" t="str">
        <f t="shared" si="67"/>
        <v/>
      </c>
      <c r="C439" s="170" t="str">
        <f t="shared" si="68"/>
        <v/>
      </c>
      <c r="D439" s="170"/>
      <c r="E439" s="195"/>
      <c r="F439" s="170"/>
      <c r="G439" s="170"/>
      <c r="H439" s="203"/>
      <c r="I439" s="197" t="str">
        <f t="shared" si="72"/>
        <v/>
      </c>
      <c r="J439" s="197" t="str">
        <f t="shared" si="73"/>
        <v/>
      </c>
      <c r="K439" s="197"/>
      <c r="L439" s="197"/>
      <c r="M439" s="198"/>
      <c r="N439" s="198"/>
      <c r="O439" s="198"/>
      <c r="P439" s="199"/>
      <c r="Q439" s="200"/>
      <c r="R439" s="200"/>
      <c r="S439" s="200"/>
      <c r="T439" s="200" t="str">
        <f t="shared" si="69"/>
        <v/>
      </c>
      <c r="U439" s="200"/>
      <c r="V439" s="201" t="str">
        <f t="shared" si="70"/>
        <v/>
      </c>
      <c r="W439" s="202">
        <f t="shared" si="71"/>
        <v>0</v>
      </c>
      <c r="X439" s="172"/>
    </row>
    <row r="440" spans="1:24" x14ac:dyDescent="0.45">
      <c r="A440" s="193">
        <v>46</v>
      </c>
      <c r="B440" s="194" t="str">
        <f t="shared" si="67"/>
        <v/>
      </c>
      <c r="C440" s="170" t="str">
        <f t="shared" si="68"/>
        <v/>
      </c>
      <c r="D440" s="170"/>
      <c r="E440" s="195"/>
      <c r="F440" s="170"/>
      <c r="G440" s="170"/>
      <c r="H440" s="203"/>
      <c r="I440" s="197" t="str">
        <f t="shared" si="72"/>
        <v/>
      </c>
      <c r="J440" s="197" t="str">
        <f t="shared" si="73"/>
        <v/>
      </c>
      <c r="K440" s="197"/>
      <c r="L440" s="197"/>
      <c r="M440" s="198"/>
      <c r="N440" s="198"/>
      <c r="O440" s="198"/>
      <c r="P440" s="199"/>
      <c r="Q440" s="200"/>
      <c r="R440" s="200"/>
      <c r="S440" s="200"/>
      <c r="T440" s="200" t="str">
        <f t="shared" si="69"/>
        <v/>
      </c>
      <c r="U440" s="200"/>
      <c r="V440" s="201" t="str">
        <f t="shared" si="70"/>
        <v/>
      </c>
      <c r="W440" s="202">
        <f t="shared" si="71"/>
        <v>0</v>
      </c>
      <c r="X440" s="172"/>
    </row>
    <row r="441" spans="1:24" x14ac:dyDescent="0.45">
      <c r="A441" s="193">
        <v>47</v>
      </c>
      <c r="B441" s="194" t="str">
        <f t="shared" si="67"/>
        <v/>
      </c>
      <c r="C441" s="170" t="str">
        <f t="shared" si="68"/>
        <v/>
      </c>
      <c r="D441" s="170"/>
      <c r="E441" s="195"/>
      <c r="F441" s="170"/>
      <c r="G441" s="170"/>
      <c r="H441" s="203"/>
      <c r="I441" s="197" t="str">
        <f t="shared" si="72"/>
        <v/>
      </c>
      <c r="J441" s="197" t="str">
        <f t="shared" si="73"/>
        <v/>
      </c>
      <c r="K441" s="197"/>
      <c r="L441" s="197"/>
      <c r="M441" s="198"/>
      <c r="N441" s="198"/>
      <c r="O441" s="198"/>
      <c r="P441" s="199"/>
      <c r="Q441" s="200"/>
      <c r="R441" s="200"/>
      <c r="S441" s="200"/>
      <c r="T441" s="200" t="str">
        <f t="shared" si="69"/>
        <v/>
      </c>
      <c r="U441" s="200"/>
      <c r="V441" s="201" t="str">
        <f t="shared" si="70"/>
        <v/>
      </c>
      <c r="W441" s="202">
        <f t="shared" si="71"/>
        <v>0</v>
      </c>
      <c r="X441" s="172"/>
    </row>
    <row r="442" spans="1:24" x14ac:dyDescent="0.45">
      <c r="A442" s="193">
        <v>48</v>
      </c>
      <c r="B442" s="194" t="str">
        <f t="shared" si="67"/>
        <v/>
      </c>
      <c r="C442" s="170" t="str">
        <f t="shared" si="68"/>
        <v/>
      </c>
      <c r="D442" s="170"/>
      <c r="E442" s="195"/>
      <c r="F442" s="170"/>
      <c r="G442" s="170"/>
      <c r="H442" s="203"/>
      <c r="I442" s="197" t="str">
        <f t="shared" si="72"/>
        <v/>
      </c>
      <c r="J442" s="197" t="str">
        <f t="shared" si="73"/>
        <v/>
      </c>
      <c r="K442" s="197"/>
      <c r="L442" s="197"/>
      <c r="M442" s="198"/>
      <c r="N442" s="198"/>
      <c r="O442" s="198"/>
      <c r="P442" s="199"/>
      <c r="Q442" s="200"/>
      <c r="R442" s="200"/>
      <c r="S442" s="200"/>
      <c r="T442" s="200" t="str">
        <f t="shared" si="69"/>
        <v/>
      </c>
      <c r="U442" s="200"/>
      <c r="V442" s="201" t="str">
        <f t="shared" si="70"/>
        <v/>
      </c>
      <c r="W442" s="202">
        <f t="shared" si="71"/>
        <v>0</v>
      </c>
      <c r="X442" s="172"/>
    </row>
    <row r="443" spans="1:24" x14ac:dyDescent="0.45">
      <c r="A443" s="193">
        <v>49</v>
      </c>
      <c r="B443" s="194" t="str">
        <f t="shared" si="67"/>
        <v/>
      </c>
      <c r="C443" s="170" t="str">
        <f t="shared" si="68"/>
        <v/>
      </c>
      <c r="D443" s="170"/>
      <c r="E443" s="195"/>
      <c r="F443" s="170"/>
      <c r="G443" s="170"/>
      <c r="H443" s="203"/>
      <c r="I443" s="197" t="str">
        <f t="shared" si="72"/>
        <v/>
      </c>
      <c r="J443" s="197" t="str">
        <f t="shared" si="73"/>
        <v/>
      </c>
      <c r="K443" s="197"/>
      <c r="L443" s="197"/>
      <c r="M443" s="198"/>
      <c r="N443" s="198"/>
      <c r="O443" s="198"/>
      <c r="P443" s="199"/>
      <c r="Q443" s="200"/>
      <c r="R443" s="200"/>
      <c r="S443" s="200"/>
      <c r="T443" s="200" t="str">
        <f t="shared" si="69"/>
        <v/>
      </c>
      <c r="U443" s="200"/>
      <c r="V443" s="201" t="str">
        <f t="shared" si="70"/>
        <v/>
      </c>
      <c r="W443" s="202">
        <f t="shared" si="71"/>
        <v>0</v>
      </c>
      <c r="X443" s="172"/>
    </row>
    <row r="444" spans="1:24" x14ac:dyDescent="0.45">
      <c r="A444" s="193">
        <v>50</v>
      </c>
      <c r="B444" s="194" t="str">
        <f t="shared" si="67"/>
        <v/>
      </c>
      <c r="C444" s="170" t="str">
        <f t="shared" si="68"/>
        <v/>
      </c>
      <c r="D444" s="170"/>
      <c r="E444" s="195"/>
      <c r="F444" s="170"/>
      <c r="G444" s="170"/>
      <c r="H444" s="203"/>
      <c r="I444" s="197" t="str">
        <f t="shared" si="72"/>
        <v/>
      </c>
      <c r="J444" s="197" t="str">
        <f t="shared" si="73"/>
        <v/>
      </c>
      <c r="K444" s="197"/>
      <c r="L444" s="197"/>
      <c r="M444" s="198"/>
      <c r="N444" s="198"/>
      <c r="O444" s="198"/>
      <c r="P444" s="199"/>
      <c r="Q444" s="200"/>
      <c r="R444" s="200"/>
      <c r="S444" s="200"/>
      <c r="T444" s="200" t="str">
        <f t="shared" si="69"/>
        <v/>
      </c>
      <c r="U444" s="200"/>
      <c r="V444" s="201" t="str">
        <f t="shared" si="70"/>
        <v/>
      </c>
      <c r="W444" s="202">
        <f t="shared" si="71"/>
        <v>0</v>
      </c>
      <c r="X444" s="172"/>
    </row>
    <row r="445" spans="1:24" x14ac:dyDescent="0.45">
      <c r="A445" s="193">
        <v>51</v>
      </c>
      <c r="B445" s="194" t="str">
        <f t="shared" si="67"/>
        <v/>
      </c>
      <c r="C445" s="170" t="str">
        <f t="shared" si="68"/>
        <v/>
      </c>
      <c r="D445" s="170"/>
      <c r="E445" s="195"/>
      <c r="F445" s="170"/>
      <c r="G445" s="170"/>
      <c r="H445" s="203"/>
      <c r="I445" s="197" t="str">
        <f t="shared" si="72"/>
        <v/>
      </c>
      <c r="J445" s="197" t="str">
        <f t="shared" si="73"/>
        <v/>
      </c>
      <c r="K445" s="197"/>
      <c r="L445" s="197"/>
      <c r="M445" s="198"/>
      <c r="N445" s="198"/>
      <c r="O445" s="198"/>
      <c r="P445" s="199"/>
      <c r="Q445" s="200"/>
      <c r="R445" s="200"/>
      <c r="S445" s="200"/>
      <c r="T445" s="200" t="str">
        <f t="shared" si="69"/>
        <v/>
      </c>
      <c r="U445" s="200"/>
      <c r="V445" s="201" t="str">
        <f t="shared" si="70"/>
        <v/>
      </c>
      <c r="W445" s="202">
        <f t="shared" si="71"/>
        <v>0</v>
      </c>
      <c r="X445" s="172"/>
    </row>
    <row r="446" spans="1:24" x14ac:dyDescent="0.45">
      <c r="A446" s="193">
        <v>52</v>
      </c>
      <c r="B446" s="194" t="str">
        <f t="shared" si="67"/>
        <v/>
      </c>
      <c r="C446" s="170" t="str">
        <f t="shared" si="68"/>
        <v/>
      </c>
      <c r="D446" s="170"/>
      <c r="E446" s="195"/>
      <c r="F446" s="170"/>
      <c r="G446" s="170"/>
      <c r="H446" s="203"/>
      <c r="I446" s="197" t="str">
        <f t="shared" si="72"/>
        <v/>
      </c>
      <c r="J446" s="197" t="str">
        <f t="shared" si="73"/>
        <v/>
      </c>
      <c r="K446" s="197"/>
      <c r="L446" s="197"/>
      <c r="M446" s="198"/>
      <c r="N446" s="198"/>
      <c r="O446" s="198"/>
      <c r="P446" s="199"/>
      <c r="Q446" s="200"/>
      <c r="R446" s="200"/>
      <c r="S446" s="200"/>
      <c r="T446" s="200" t="str">
        <f t="shared" si="69"/>
        <v/>
      </c>
      <c r="U446" s="200"/>
      <c r="V446" s="201" t="str">
        <f t="shared" si="70"/>
        <v/>
      </c>
      <c r="W446" s="202">
        <f t="shared" si="71"/>
        <v>0</v>
      </c>
      <c r="X446" s="172"/>
    </row>
    <row r="447" spans="1:24" x14ac:dyDescent="0.45">
      <c r="A447" s="193">
        <v>53</v>
      </c>
      <c r="B447" s="194" t="str">
        <f t="shared" si="67"/>
        <v/>
      </c>
      <c r="C447" s="170" t="str">
        <f t="shared" si="68"/>
        <v/>
      </c>
      <c r="D447" s="170"/>
      <c r="E447" s="195"/>
      <c r="F447" s="170"/>
      <c r="G447" s="170"/>
      <c r="H447" s="203"/>
      <c r="I447" s="197" t="str">
        <f t="shared" si="72"/>
        <v/>
      </c>
      <c r="J447" s="197" t="str">
        <f t="shared" si="73"/>
        <v/>
      </c>
      <c r="K447" s="197"/>
      <c r="L447" s="197"/>
      <c r="M447" s="198"/>
      <c r="N447" s="198"/>
      <c r="O447" s="198"/>
      <c r="P447" s="199"/>
      <c r="Q447" s="200"/>
      <c r="R447" s="200"/>
      <c r="S447" s="200"/>
      <c r="T447" s="200" t="str">
        <f t="shared" si="69"/>
        <v/>
      </c>
      <c r="U447" s="200"/>
      <c r="V447" s="201" t="str">
        <f t="shared" si="70"/>
        <v/>
      </c>
      <c r="W447" s="202">
        <f t="shared" si="71"/>
        <v>0</v>
      </c>
      <c r="X447" s="172"/>
    </row>
    <row r="448" spans="1:24" x14ac:dyDescent="0.45">
      <c r="A448" s="193">
        <v>54</v>
      </c>
      <c r="B448" s="194" t="str">
        <f t="shared" si="67"/>
        <v/>
      </c>
      <c r="C448" s="170" t="str">
        <f t="shared" si="68"/>
        <v/>
      </c>
      <c r="D448" s="170"/>
      <c r="E448" s="195"/>
      <c r="F448" s="170"/>
      <c r="G448" s="170"/>
      <c r="H448" s="203"/>
      <c r="I448" s="197" t="str">
        <f t="shared" si="72"/>
        <v/>
      </c>
      <c r="J448" s="197" t="str">
        <f t="shared" si="73"/>
        <v/>
      </c>
      <c r="K448" s="197"/>
      <c r="L448" s="197"/>
      <c r="M448" s="198"/>
      <c r="N448" s="198"/>
      <c r="O448" s="198"/>
      <c r="P448" s="199"/>
      <c r="Q448" s="200"/>
      <c r="R448" s="200"/>
      <c r="S448" s="200"/>
      <c r="T448" s="200" t="str">
        <f t="shared" si="69"/>
        <v/>
      </c>
      <c r="U448" s="200"/>
      <c r="V448" s="201" t="str">
        <f t="shared" si="70"/>
        <v/>
      </c>
      <c r="W448" s="202">
        <f t="shared" si="71"/>
        <v>0</v>
      </c>
      <c r="X448" s="172"/>
    </row>
    <row r="449" spans="1:24" x14ac:dyDescent="0.45">
      <c r="A449" s="193">
        <v>55</v>
      </c>
      <c r="B449" s="194" t="str">
        <f t="shared" si="67"/>
        <v/>
      </c>
      <c r="C449" s="170" t="str">
        <f t="shared" si="68"/>
        <v/>
      </c>
      <c r="D449" s="170"/>
      <c r="E449" s="195"/>
      <c r="F449" s="170"/>
      <c r="G449" s="170"/>
      <c r="H449" s="203"/>
      <c r="I449" s="197" t="str">
        <f t="shared" si="72"/>
        <v/>
      </c>
      <c r="J449" s="197" t="str">
        <f t="shared" si="73"/>
        <v/>
      </c>
      <c r="K449" s="197"/>
      <c r="L449" s="197"/>
      <c r="M449" s="198"/>
      <c r="N449" s="198"/>
      <c r="O449" s="198"/>
      <c r="P449" s="199"/>
      <c r="Q449" s="200"/>
      <c r="R449" s="200"/>
      <c r="S449" s="200"/>
      <c r="T449" s="200" t="str">
        <f t="shared" si="69"/>
        <v/>
      </c>
      <c r="U449" s="200"/>
      <c r="V449" s="201" t="str">
        <f t="shared" si="70"/>
        <v/>
      </c>
      <c r="W449" s="202">
        <f t="shared" si="71"/>
        <v>0</v>
      </c>
      <c r="X449" s="172"/>
    </row>
    <row r="450" spans="1:24" x14ac:dyDescent="0.45">
      <c r="A450" s="193">
        <v>56</v>
      </c>
      <c r="B450" s="194" t="str">
        <f t="shared" si="67"/>
        <v/>
      </c>
      <c r="C450" s="170" t="str">
        <f t="shared" si="68"/>
        <v/>
      </c>
      <c r="D450" s="170"/>
      <c r="E450" s="195"/>
      <c r="F450" s="170"/>
      <c r="G450" s="170"/>
      <c r="H450" s="203"/>
      <c r="I450" s="197" t="str">
        <f t="shared" si="72"/>
        <v/>
      </c>
      <c r="J450" s="197" t="str">
        <f t="shared" si="73"/>
        <v/>
      </c>
      <c r="K450" s="197"/>
      <c r="L450" s="197"/>
      <c r="M450" s="198"/>
      <c r="N450" s="198"/>
      <c r="O450" s="198"/>
      <c r="P450" s="199"/>
      <c r="Q450" s="200"/>
      <c r="R450" s="200"/>
      <c r="S450" s="200"/>
      <c r="T450" s="200" t="str">
        <f t="shared" si="69"/>
        <v/>
      </c>
      <c r="U450" s="200"/>
      <c r="V450" s="201" t="str">
        <f t="shared" si="70"/>
        <v/>
      </c>
      <c r="W450" s="202">
        <f t="shared" si="71"/>
        <v>0</v>
      </c>
      <c r="X450" s="172"/>
    </row>
    <row r="451" spans="1:24" x14ac:dyDescent="0.45">
      <c r="A451" s="193">
        <v>57</v>
      </c>
      <c r="B451" s="194" t="str">
        <f t="shared" si="67"/>
        <v/>
      </c>
      <c r="C451" s="170" t="str">
        <f t="shared" si="68"/>
        <v/>
      </c>
      <c r="D451" s="170"/>
      <c r="E451" s="195"/>
      <c r="F451" s="170"/>
      <c r="G451" s="170"/>
      <c r="H451" s="203"/>
      <c r="I451" s="197" t="str">
        <f t="shared" si="72"/>
        <v/>
      </c>
      <c r="J451" s="197" t="str">
        <f t="shared" si="73"/>
        <v/>
      </c>
      <c r="K451" s="197"/>
      <c r="L451" s="197"/>
      <c r="M451" s="198"/>
      <c r="N451" s="198"/>
      <c r="O451" s="198"/>
      <c r="P451" s="199"/>
      <c r="Q451" s="200"/>
      <c r="R451" s="200"/>
      <c r="S451" s="200"/>
      <c r="T451" s="200" t="str">
        <f t="shared" si="69"/>
        <v/>
      </c>
      <c r="U451" s="200"/>
      <c r="V451" s="201" t="str">
        <f t="shared" si="70"/>
        <v/>
      </c>
      <c r="W451" s="202">
        <f t="shared" si="71"/>
        <v>0</v>
      </c>
      <c r="X451" s="172"/>
    </row>
    <row r="452" spans="1:24" x14ac:dyDescent="0.45">
      <c r="A452" s="193">
        <v>58</v>
      </c>
      <c r="B452" s="194" t="str">
        <f t="shared" si="67"/>
        <v/>
      </c>
      <c r="C452" s="170" t="str">
        <f t="shared" si="68"/>
        <v/>
      </c>
      <c r="D452" s="170"/>
      <c r="E452" s="195"/>
      <c r="F452" s="170"/>
      <c r="G452" s="170"/>
      <c r="H452" s="203"/>
      <c r="I452" s="197" t="str">
        <f t="shared" si="72"/>
        <v/>
      </c>
      <c r="J452" s="197" t="str">
        <f t="shared" si="73"/>
        <v/>
      </c>
      <c r="K452" s="197"/>
      <c r="L452" s="197"/>
      <c r="M452" s="198"/>
      <c r="N452" s="198"/>
      <c r="O452" s="198"/>
      <c r="P452" s="199"/>
      <c r="Q452" s="200"/>
      <c r="R452" s="200"/>
      <c r="S452" s="200"/>
      <c r="T452" s="200" t="str">
        <f t="shared" si="69"/>
        <v/>
      </c>
      <c r="U452" s="200"/>
      <c r="V452" s="201" t="str">
        <f t="shared" si="70"/>
        <v/>
      </c>
      <c r="W452" s="202">
        <f t="shared" si="71"/>
        <v>0</v>
      </c>
      <c r="X452" s="172"/>
    </row>
    <row r="453" spans="1:24" x14ac:dyDescent="0.45">
      <c r="A453" s="193">
        <v>59</v>
      </c>
      <c r="B453" s="194" t="str">
        <f t="shared" si="67"/>
        <v/>
      </c>
      <c r="C453" s="170" t="str">
        <f t="shared" si="68"/>
        <v/>
      </c>
      <c r="D453" s="170"/>
      <c r="E453" s="195"/>
      <c r="F453" s="170"/>
      <c r="G453" s="170"/>
      <c r="H453" s="203"/>
      <c r="I453" s="197" t="str">
        <f t="shared" si="72"/>
        <v/>
      </c>
      <c r="J453" s="197" t="str">
        <f t="shared" si="73"/>
        <v/>
      </c>
      <c r="K453" s="197"/>
      <c r="L453" s="197"/>
      <c r="M453" s="198"/>
      <c r="N453" s="198"/>
      <c r="O453" s="198"/>
      <c r="P453" s="199"/>
      <c r="Q453" s="200"/>
      <c r="R453" s="200"/>
      <c r="S453" s="200"/>
      <c r="T453" s="200" t="str">
        <f t="shared" si="69"/>
        <v/>
      </c>
      <c r="U453" s="200"/>
      <c r="V453" s="201" t="str">
        <f t="shared" si="70"/>
        <v/>
      </c>
      <c r="W453" s="202">
        <f t="shared" si="71"/>
        <v>0</v>
      </c>
      <c r="X453" s="172"/>
    </row>
    <row r="454" spans="1:24" x14ac:dyDescent="0.45">
      <c r="A454" s="193">
        <v>60</v>
      </c>
      <c r="B454" s="194" t="str">
        <f t="shared" si="67"/>
        <v/>
      </c>
      <c r="C454" s="170" t="str">
        <f t="shared" si="68"/>
        <v/>
      </c>
      <c r="D454" s="170"/>
      <c r="E454" s="195"/>
      <c r="F454" s="170"/>
      <c r="G454" s="170"/>
      <c r="H454" s="203"/>
      <c r="I454" s="197" t="str">
        <f t="shared" si="72"/>
        <v/>
      </c>
      <c r="J454" s="197" t="str">
        <f t="shared" si="73"/>
        <v/>
      </c>
      <c r="K454" s="197"/>
      <c r="L454" s="197"/>
      <c r="M454" s="198"/>
      <c r="N454" s="198"/>
      <c r="O454" s="198"/>
      <c r="P454" s="199"/>
      <c r="Q454" s="200"/>
      <c r="R454" s="200"/>
      <c r="S454" s="200"/>
      <c r="T454" s="200" t="str">
        <f t="shared" si="69"/>
        <v/>
      </c>
      <c r="U454" s="200"/>
      <c r="V454" s="201" t="str">
        <f t="shared" si="70"/>
        <v/>
      </c>
      <c r="W454" s="202">
        <f t="shared" si="71"/>
        <v>0</v>
      </c>
      <c r="X454" s="172"/>
    </row>
    <row r="455" spans="1:24" x14ac:dyDescent="0.45">
      <c r="A455" s="193">
        <v>61</v>
      </c>
      <c r="B455" s="194" t="str">
        <f t="shared" si="67"/>
        <v/>
      </c>
      <c r="C455" s="170" t="str">
        <f t="shared" si="68"/>
        <v/>
      </c>
      <c r="D455" s="170"/>
      <c r="E455" s="195"/>
      <c r="F455" s="170"/>
      <c r="G455" s="170"/>
      <c r="H455" s="203"/>
      <c r="I455" s="197" t="str">
        <f t="shared" si="72"/>
        <v/>
      </c>
      <c r="J455" s="197" t="str">
        <f t="shared" si="73"/>
        <v/>
      </c>
      <c r="K455" s="197"/>
      <c r="L455" s="197"/>
      <c r="M455" s="198"/>
      <c r="N455" s="198"/>
      <c r="O455" s="198"/>
      <c r="P455" s="199"/>
      <c r="Q455" s="200"/>
      <c r="R455" s="200"/>
      <c r="S455" s="200"/>
      <c r="T455" s="200" t="str">
        <f t="shared" si="69"/>
        <v/>
      </c>
      <c r="U455" s="200"/>
      <c r="V455" s="201" t="str">
        <f t="shared" si="70"/>
        <v/>
      </c>
      <c r="W455" s="202">
        <f t="shared" si="71"/>
        <v>0</v>
      </c>
      <c r="X455" s="172"/>
    </row>
    <row r="456" spans="1:24" x14ac:dyDescent="0.45">
      <c r="A456" s="193">
        <v>62</v>
      </c>
      <c r="B456" s="194" t="str">
        <f t="shared" si="67"/>
        <v/>
      </c>
      <c r="C456" s="170" t="str">
        <f t="shared" si="68"/>
        <v/>
      </c>
      <c r="D456" s="170"/>
      <c r="E456" s="195"/>
      <c r="F456" s="170"/>
      <c r="G456" s="170"/>
      <c r="H456" s="203"/>
      <c r="I456" s="197" t="str">
        <f t="shared" si="72"/>
        <v/>
      </c>
      <c r="J456" s="197" t="str">
        <f t="shared" si="73"/>
        <v/>
      </c>
      <c r="K456" s="197"/>
      <c r="L456" s="197"/>
      <c r="M456" s="198"/>
      <c r="N456" s="198"/>
      <c r="O456" s="198"/>
      <c r="P456" s="199"/>
      <c r="Q456" s="200"/>
      <c r="R456" s="200"/>
      <c r="S456" s="200"/>
      <c r="T456" s="200" t="str">
        <f t="shared" si="69"/>
        <v/>
      </c>
      <c r="U456" s="200"/>
      <c r="V456" s="201" t="str">
        <f t="shared" si="70"/>
        <v/>
      </c>
      <c r="W456" s="202">
        <f t="shared" si="71"/>
        <v>0</v>
      </c>
      <c r="X456" s="172"/>
    </row>
    <row r="457" spans="1:24" x14ac:dyDescent="0.45">
      <c r="A457" s="193">
        <v>63</v>
      </c>
      <c r="B457" s="194" t="str">
        <f t="shared" si="67"/>
        <v/>
      </c>
      <c r="C457" s="170" t="str">
        <f t="shared" si="68"/>
        <v/>
      </c>
      <c r="D457" s="170"/>
      <c r="E457" s="195"/>
      <c r="F457" s="170"/>
      <c r="G457" s="170"/>
      <c r="H457" s="203"/>
      <c r="I457" s="197" t="str">
        <f t="shared" si="72"/>
        <v/>
      </c>
      <c r="J457" s="197" t="str">
        <f t="shared" si="73"/>
        <v/>
      </c>
      <c r="K457" s="197"/>
      <c r="L457" s="197"/>
      <c r="M457" s="198"/>
      <c r="N457" s="198"/>
      <c r="O457" s="198"/>
      <c r="P457" s="199"/>
      <c r="Q457" s="200"/>
      <c r="R457" s="200"/>
      <c r="S457" s="200"/>
      <c r="T457" s="200" t="str">
        <f t="shared" si="69"/>
        <v/>
      </c>
      <c r="U457" s="200"/>
      <c r="V457" s="201" t="str">
        <f t="shared" si="70"/>
        <v/>
      </c>
      <c r="W457" s="202">
        <f t="shared" si="71"/>
        <v>0</v>
      </c>
      <c r="X457" s="172"/>
    </row>
    <row r="458" spans="1:24" x14ac:dyDescent="0.45">
      <c r="A458" s="193">
        <v>64</v>
      </c>
      <c r="B458" s="194" t="str">
        <f t="shared" si="67"/>
        <v/>
      </c>
      <c r="C458" s="170" t="str">
        <f t="shared" si="68"/>
        <v/>
      </c>
      <c r="D458" s="170"/>
      <c r="E458" s="195"/>
      <c r="F458" s="170"/>
      <c r="G458" s="170"/>
      <c r="H458" s="203"/>
      <c r="I458" s="197" t="str">
        <f t="shared" si="72"/>
        <v/>
      </c>
      <c r="J458" s="197" t="str">
        <f t="shared" si="73"/>
        <v/>
      </c>
      <c r="K458" s="197"/>
      <c r="L458" s="197"/>
      <c r="M458" s="198"/>
      <c r="N458" s="198"/>
      <c r="O458" s="198"/>
      <c r="P458" s="199"/>
      <c r="Q458" s="200"/>
      <c r="R458" s="200"/>
      <c r="S458" s="200"/>
      <c r="T458" s="200" t="str">
        <f t="shared" si="69"/>
        <v/>
      </c>
      <c r="U458" s="200"/>
      <c r="V458" s="201" t="str">
        <f t="shared" si="70"/>
        <v/>
      </c>
      <c r="W458" s="202">
        <f t="shared" si="71"/>
        <v>0</v>
      </c>
      <c r="X458" s="172"/>
    </row>
    <row r="459" spans="1:24" x14ac:dyDescent="0.45">
      <c r="A459" s="193">
        <v>65</v>
      </c>
      <c r="B459" s="194" t="str">
        <f t="shared" si="67"/>
        <v/>
      </c>
      <c r="C459" s="170" t="str">
        <f t="shared" si="68"/>
        <v/>
      </c>
      <c r="D459" s="170"/>
      <c r="E459" s="195"/>
      <c r="F459" s="170"/>
      <c r="G459" s="170"/>
      <c r="H459" s="203"/>
      <c r="I459" s="197" t="str">
        <f t="shared" si="72"/>
        <v/>
      </c>
      <c r="J459" s="197" t="str">
        <f t="shared" si="73"/>
        <v/>
      </c>
      <c r="K459" s="197"/>
      <c r="L459" s="197"/>
      <c r="M459" s="198"/>
      <c r="N459" s="198"/>
      <c r="O459" s="198"/>
      <c r="P459" s="199"/>
      <c r="Q459" s="200"/>
      <c r="R459" s="200"/>
      <c r="S459" s="200"/>
      <c r="T459" s="200" t="str">
        <f t="shared" si="69"/>
        <v/>
      </c>
      <c r="U459" s="200"/>
      <c r="V459" s="201" t="str">
        <f t="shared" ref="V459:V460" si="74">IF(U459="","",$V$375)</f>
        <v/>
      </c>
      <c r="W459" s="202">
        <f t="shared" si="71"/>
        <v>0</v>
      </c>
      <c r="X459" s="172"/>
    </row>
    <row r="460" spans="1:24" ht="14.25" customHeight="1" x14ac:dyDescent="0.45">
      <c r="A460" s="193">
        <v>66</v>
      </c>
      <c r="B460" s="204" t="str">
        <f t="shared" si="67"/>
        <v/>
      </c>
      <c r="C460" s="205" t="str">
        <f t="shared" si="68"/>
        <v/>
      </c>
      <c r="D460" s="205"/>
      <c r="E460" s="205"/>
      <c r="F460" s="205"/>
      <c r="G460" s="205"/>
      <c r="H460" s="205"/>
      <c r="I460" s="206" t="str">
        <f t="shared" si="72"/>
        <v/>
      </c>
      <c r="J460" s="206" t="str">
        <f t="shared" si="73"/>
        <v/>
      </c>
      <c r="K460" s="206"/>
      <c r="L460" s="206"/>
      <c r="M460" s="205"/>
      <c r="N460" s="205"/>
      <c r="O460" s="205"/>
      <c r="P460" s="205"/>
      <c r="Q460" s="205"/>
      <c r="R460" s="205"/>
      <c r="S460" s="205"/>
      <c r="T460" s="205" t="str">
        <f t="shared" si="69"/>
        <v/>
      </c>
      <c r="U460" s="205"/>
      <c r="V460" s="205" t="str">
        <f t="shared" si="74"/>
        <v/>
      </c>
      <c r="W460" s="207">
        <f t="shared" si="71"/>
        <v>0</v>
      </c>
      <c r="X460" s="207"/>
    </row>
    <row r="461" spans="1:24" ht="24.75" customHeight="1" x14ac:dyDescent="0.45">
      <c r="B461" s="428" t="s">
        <v>1513</v>
      </c>
      <c r="C461" s="429" t="s">
        <v>1494</v>
      </c>
      <c r="D461" s="429"/>
      <c r="E461" s="429"/>
      <c r="F461" s="429"/>
      <c r="G461" s="429"/>
      <c r="H461" s="429"/>
      <c r="I461" s="429"/>
      <c r="J461" s="429"/>
      <c r="K461" s="429"/>
      <c r="L461" s="429"/>
      <c r="M461" s="429"/>
      <c r="N461" s="429"/>
      <c r="O461" s="429"/>
      <c r="P461" s="429"/>
      <c r="Q461" s="429"/>
      <c r="R461" s="145" t="s">
        <v>1</v>
      </c>
      <c r="S461" s="146"/>
      <c r="T461" s="145" t="s">
        <v>8</v>
      </c>
      <c r="U461" s="147"/>
      <c r="V461" s="148" t="s">
        <v>3</v>
      </c>
      <c r="W461" s="146"/>
      <c r="X461" s="149"/>
    </row>
    <row r="462" spans="1:24" ht="24.75" customHeight="1" x14ac:dyDescent="0.45">
      <c r="B462" s="428"/>
      <c r="C462" s="429"/>
      <c r="D462" s="429"/>
      <c r="E462" s="429"/>
      <c r="F462" s="429"/>
      <c r="G462" s="429"/>
      <c r="H462" s="429"/>
      <c r="I462" s="429"/>
      <c r="J462" s="429"/>
      <c r="K462" s="429"/>
      <c r="L462" s="429"/>
      <c r="M462" s="429"/>
      <c r="N462" s="429"/>
      <c r="O462" s="429"/>
      <c r="P462" s="429"/>
      <c r="Q462" s="429"/>
      <c r="R462" s="430" t="s">
        <v>1495</v>
      </c>
      <c r="S462" s="430"/>
      <c r="T462" s="431" t="str">
        <f>'BM MORRO DA CRUZ - VERTICAL'!$V$4</f>
        <v>01-10-26 A 31-10-26</v>
      </c>
      <c r="U462" s="431"/>
      <c r="V462" s="432" t="str">
        <f>IF('BM MORRO DA CRUZ - VERTICAL'!$BF$2="","",'BM MORRO DA CRUZ - VERTICAL'!$BF$2)</f>
        <v/>
      </c>
      <c r="W462" s="432"/>
      <c r="X462" s="150"/>
    </row>
    <row r="463" spans="1:24" ht="24.75" customHeight="1" x14ac:dyDescent="0.45">
      <c r="B463" s="151" t="s">
        <v>5</v>
      </c>
      <c r="C463" s="152"/>
      <c r="D463" s="152"/>
      <c r="E463" s="152"/>
      <c r="F463" s="152"/>
      <c r="G463" s="152"/>
      <c r="H463" s="152"/>
      <c r="I463" s="152"/>
      <c r="J463" s="152"/>
      <c r="K463" s="152"/>
      <c r="L463" s="152"/>
      <c r="M463" s="152"/>
      <c r="N463" s="152"/>
      <c r="O463" s="152"/>
      <c r="P463" s="153"/>
      <c r="Q463" s="154"/>
      <c r="R463" s="155"/>
      <c r="S463" s="155"/>
      <c r="T463" s="156" t="s">
        <v>1496</v>
      </c>
      <c r="U463" s="157"/>
      <c r="V463" s="158" t="s">
        <v>9</v>
      </c>
      <c r="W463" s="159"/>
      <c r="X463" s="433"/>
    </row>
    <row r="464" spans="1:24" ht="24.75" customHeight="1" x14ac:dyDescent="0.45">
      <c r="B464" s="17" t="s">
        <v>11</v>
      </c>
      <c r="C464" s="160"/>
      <c r="D464" s="160"/>
      <c r="E464" s="160"/>
      <c r="F464" s="160"/>
      <c r="G464" s="160"/>
      <c r="H464" s="160"/>
      <c r="I464" s="160"/>
      <c r="J464" s="160"/>
      <c r="K464" s="160"/>
      <c r="L464" s="160"/>
      <c r="M464" s="160"/>
      <c r="N464" s="160"/>
      <c r="O464" s="160"/>
      <c r="P464" s="161"/>
      <c r="Q464" s="162"/>
      <c r="R464" s="163"/>
      <c r="S464" s="163"/>
      <c r="T464" s="434" t="str">
        <f>'BM MORRO DA CRUZ - VERTICAL'!$V$2</f>
        <v>1ª MEDIÇÃO</v>
      </c>
      <c r="U464" s="434"/>
      <c r="V464" s="435" t="s">
        <v>13</v>
      </c>
      <c r="W464" s="435"/>
      <c r="X464" s="433"/>
    </row>
    <row r="465" spans="2:24" ht="24.75" customHeight="1" x14ac:dyDescent="0.45">
      <c r="B465" s="164" t="s">
        <v>1459</v>
      </c>
      <c r="C465" s="165" t="s">
        <v>14</v>
      </c>
      <c r="D465" s="165" t="s">
        <v>24</v>
      </c>
      <c r="E465" s="165" t="s">
        <v>25</v>
      </c>
      <c r="F465" s="166" t="s">
        <v>1461</v>
      </c>
      <c r="G465" s="165"/>
      <c r="H465" s="165"/>
      <c r="I465" s="165"/>
      <c r="J465" s="165"/>
      <c r="K465" s="165"/>
      <c r="L465" s="165"/>
      <c r="M465" s="165"/>
      <c r="N465" s="165"/>
      <c r="O465" s="165"/>
      <c r="P465" s="165"/>
      <c r="Q465" s="165"/>
      <c r="R465" s="165"/>
      <c r="S465" s="165"/>
      <c r="T465" s="165"/>
      <c r="U465" s="165"/>
      <c r="V465" s="165" t="s">
        <v>26</v>
      </c>
      <c r="W465" s="167" t="s">
        <v>29</v>
      </c>
      <c r="X465" s="168"/>
    </row>
    <row r="466" spans="2:24" ht="24.75" customHeight="1" x14ac:dyDescent="0.45">
      <c r="B466" s="169"/>
      <c r="C466" s="170"/>
      <c r="D466" s="170"/>
      <c r="E466" s="170"/>
      <c r="F466" s="170"/>
      <c r="G466" s="170"/>
      <c r="H466" s="170"/>
      <c r="I466" s="170"/>
      <c r="J466" s="170"/>
      <c r="K466" s="170"/>
      <c r="L466" s="170"/>
      <c r="M466" s="170"/>
      <c r="N466" s="170"/>
      <c r="O466" s="170"/>
      <c r="P466" s="170"/>
      <c r="Q466" s="170"/>
      <c r="R466" s="170"/>
      <c r="S466" s="170"/>
      <c r="T466" s="170"/>
      <c r="U466" s="170"/>
      <c r="V466" s="170"/>
      <c r="W466" s="171"/>
      <c r="X466" s="172"/>
    </row>
    <row r="467" spans="2:24" ht="24.75" customHeight="1" x14ac:dyDescent="0.45">
      <c r="B467" s="173" t="str">
        <f>IF($C$467="","",IFERROR(INDEX('BM MORRO DA CRUZ - VERTICAL'!$C$6:$C$546,MATCH($C$467,'BM MORRO DA CRUZ - VERTICAL'!$D$6:$D$546,0)),"CHAVE NÃO ENCONTRADA NO VERTICAL"))</f>
        <v/>
      </c>
      <c r="C467" s="174"/>
      <c r="D467" s="175" t="str">
        <f>IF($C$467="","",IFERROR(INDEX('BM MORRO DA CRUZ - VERTICAL'!$O$6:$O$546,MATCH($C$467,'BM MORRO DA CRUZ - VERTICAL'!$D$6:$D$546,0)),"CHAVE NÃO ENCONTRADA NO VERTICAL"))</f>
        <v/>
      </c>
      <c r="E467" s="175" t="str">
        <f>IF($C$467="","",IFERROR(INDEX('BM MORRO DA CRUZ - VERTICAL'!$P$6:$P$546,MATCH($C$467,'BM MORRO DA CRUZ - VERTICAL'!$D$6:$D$546,0)),"CHAVE NÃO ENCONTRADA NO VERTICAL"))</f>
        <v/>
      </c>
      <c r="F467" s="175" t="str">
        <f>IF($C$467="","",IFERROR(INDEX('BM MORRO DA CRUZ - VERTICAL'!$Q$6:$Q$546,MATCH($C$467,'BM MORRO DA CRUZ - VERTICAL'!$D$6:$D$546,0)),"CHAVE NÃO ENCONTRADA NO VERTICAL"))</f>
        <v/>
      </c>
      <c r="G467" s="176"/>
      <c r="H467" s="176"/>
      <c r="I467" s="176"/>
      <c r="J467" s="176"/>
      <c r="K467" s="176"/>
      <c r="L467" s="176"/>
      <c r="M467" s="176"/>
      <c r="N467" s="176"/>
      <c r="O467" s="176"/>
      <c r="P467" s="176"/>
      <c r="Q467" s="176"/>
      <c r="R467" s="176"/>
      <c r="S467" s="176"/>
      <c r="T467" s="176"/>
      <c r="U467" s="176"/>
      <c r="V467" s="177" t="str">
        <f>IF($C$467="","",IFERROR(INDEX('BM MORRO DA CRUZ - VERTICAL'!$R$6:$R$546,MATCH($C$467,'BM MORRO DA CRUZ - VERTICAL'!$D$6:$D$546,0)),"CHAVE NÃO ENCONTRADA NO VERTICAL"))</f>
        <v/>
      </c>
      <c r="W467" s="178">
        <f>SUM($W487:$W552)</f>
        <v>0</v>
      </c>
      <c r="X467" s="179"/>
    </row>
    <row r="468" spans="2:24" ht="24.75" customHeight="1" x14ac:dyDescent="0.45">
      <c r="B468" s="426" t="s">
        <v>1497</v>
      </c>
      <c r="C468" s="426"/>
      <c r="D468" s="426"/>
      <c r="E468" s="426"/>
      <c r="F468" s="426"/>
      <c r="G468" s="426"/>
      <c r="H468" s="426"/>
      <c r="I468" s="426"/>
      <c r="J468" s="426"/>
      <c r="K468" s="426"/>
      <c r="L468" s="426"/>
      <c r="M468" s="426"/>
      <c r="N468" s="426"/>
      <c r="O468" s="426"/>
      <c r="P468" s="426"/>
      <c r="Q468" s="426"/>
      <c r="R468" s="426"/>
      <c r="S468" s="426"/>
      <c r="T468" s="426"/>
      <c r="U468" s="426"/>
      <c r="V468" s="426"/>
      <c r="W468" s="426"/>
      <c r="X468" s="180" t="s">
        <v>1498</v>
      </c>
    </row>
    <row r="469" spans="2:24" ht="14.25" customHeight="1" x14ac:dyDescent="0.45">
      <c r="B469" s="181"/>
      <c r="C469" s="182"/>
      <c r="D469" s="182"/>
      <c r="E469" s="182"/>
      <c r="F469" s="182"/>
      <c r="G469" s="182"/>
      <c r="H469" s="182"/>
      <c r="I469" s="182"/>
      <c r="J469" s="182"/>
      <c r="K469" s="182"/>
      <c r="L469" s="182"/>
      <c r="M469" s="182"/>
      <c r="N469" s="182"/>
      <c r="O469" s="182"/>
      <c r="P469" s="182"/>
      <c r="Q469" s="182"/>
      <c r="R469" s="182"/>
      <c r="S469" s="182"/>
      <c r="T469" s="182"/>
      <c r="U469" s="182"/>
      <c r="V469" s="182"/>
      <c r="W469" s="183"/>
      <c r="X469" s="427"/>
    </row>
    <row r="470" spans="2:24" x14ac:dyDescent="0.45">
      <c r="B470" s="181"/>
      <c r="C470" s="182"/>
      <c r="D470" s="182"/>
      <c r="E470" s="182"/>
      <c r="F470" s="182"/>
      <c r="G470" s="182"/>
      <c r="H470" s="182"/>
      <c r="I470" s="182"/>
      <c r="J470" s="182"/>
      <c r="K470" s="182"/>
      <c r="L470" s="182"/>
      <c r="M470" s="182"/>
      <c r="N470" s="182"/>
      <c r="O470" s="182"/>
      <c r="P470" s="182"/>
      <c r="Q470" s="182"/>
      <c r="R470" s="182"/>
      <c r="S470" s="182"/>
      <c r="T470" s="182"/>
      <c r="U470" s="182"/>
      <c r="V470" s="182"/>
      <c r="W470" s="183"/>
      <c r="X470" s="427"/>
    </row>
    <row r="471" spans="2:24" x14ac:dyDescent="0.45">
      <c r="B471" s="181"/>
      <c r="C471" s="182"/>
      <c r="D471" s="182"/>
      <c r="E471" s="182"/>
      <c r="F471" s="182"/>
      <c r="G471" s="182"/>
      <c r="H471" s="182"/>
      <c r="I471" s="182"/>
      <c r="J471" s="182"/>
      <c r="K471" s="182"/>
      <c r="L471" s="182"/>
      <c r="M471" s="182"/>
      <c r="N471" s="182"/>
      <c r="O471" s="182"/>
      <c r="P471" s="182"/>
      <c r="Q471" s="182"/>
      <c r="R471" s="182"/>
      <c r="S471" s="182"/>
      <c r="T471" s="182"/>
      <c r="U471" s="182"/>
      <c r="V471" s="182"/>
      <c r="W471" s="183"/>
      <c r="X471" s="427"/>
    </row>
    <row r="472" spans="2:24" x14ac:dyDescent="0.45">
      <c r="B472" s="181"/>
      <c r="C472" s="182"/>
      <c r="D472" s="182"/>
      <c r="E472" s="182"/>
      <c r="F472" s="182"/>
      <c r="G472" s="182"/>
      <c r="H472" s="182"/>
      <c r="I472" s="182"/>
      <c r="J472" s="182"/>
      <c r="K472" s="182"/>
      <c r="L472" s="182"/>
      <c r="M472" s="182"/>
      <c r="N472" s="182"/>
      <c r="O472" s="182"/>
      <c r="P472" s="182"/>
      <c r="Q472" s="182"/>
      <c r="R472" s="182"/>
      <c r="S472" s="182"/>
      <c r="T472" s="182"/>
      <c r="U472" s="182"/>
      <c r="V472" s="182"/>
      <c r="W472" s="183"/>
      <c r="X472" s="427"/>
    </row>
    <row r="473" spans="2:24" x14ac:dyDescent="0.45">
      <c r="B473" s="181"/>
      <c r="C473" s="182"/>
      <c r="D473" s="182"/>
      <c r="E473" s="182"/>
      <c r="F473" s="182"/>
      <c r="G473" s="182"/>
      <c r="H473" s="182"/>
      <c r="I473" s="182"/>
      <c r="J473" s="182"/>
      <c r="K473" s="182"/>
      <c r="L473" s="182"/>
      <c r="M473" s="182"/>
      <c r="N473" s="182"/>
      <c r="O473" s="182"/>
      <c r="P473" s="182"/>
      <c r="Q473" s="182"/>
      <c r="R473" s="182"/>
      <c r="S473" s="182"/>
      <c r="T473" s="182"/>
      <c r="U473" s="182"/>
      <c r="V473" s="182"/>
      <c r="W473" s="183"/>
      <c r="X473" s="427"/>
    </row>
    <row r="474" spans="2:24" x14ac:dyDescent="0.45">
      <c r="B474" s="181"/>
      <c r="C474" s="182"/>
      <c r="D474" s="182"/>
      <c r="E474" s="182"/>
      <c r="F474" s="182"/>
      <c r="G474" s="182"/>
      <c r="H474" s="182"/>
      <c r="I474" s="182"/>
      <c r="J474" s="182"/>
      <c r="K474" s="182"/>
      <c r="L474" s="182"/>
      <c r="M474" s="182"/>
      <c r="N474" s="182"/>
      <c r="O474" s="182"/>
      <c r="P474" s="182"/>
      <c r="Q474" s="182"/>
      <c r="R474" s="182"/>
      <c r="S474" s="182"/>
      <c r="T474" s="182"/>
      <c r="U474" s="182"/>
      <c r="V474" s="182"/>
      <c r="W474" s="183"/>
      <c r="X474" s="427"/>
    </row>
    <row r="475" spans="2:24" x14ac:dyDescent="0.45">
      <c r="B475" s="181"/>
      <c r="C475" s="182"/>
      <c r="D475" s="182"/>
      <c r="E475" s="182"/>
      <c r="F475" s="182"/>
      <c r="G475" s="182"/>
      <c r="H475" s="182"/>
      <c r="I475" s="182"/>
      <c r="J475" s="182"/>
      <c r="K475" s="182"/>
      <c r="L475" s="182"/>
      <c r="M475" s="182"/>
      <c r="N475" s="182"/>
      <c r="O475" s="182"/>
      <c r="P475" s="182"/>
      <c r="Q475" s="182"/>
      <c r="R475" s="182"/>
      <c r="S475" s="182"/>
      <c r="T475" s="182"/>
      <c r="U475" s="182"/>
      <c r="V475" s="182"/>
      <c r="W475" s="183"/>
      <c r="X475" s="427"/>
    </row>
    <row r="476" spans="2:24" x14ac:dyDescent="0.45">
      <c r="B476" s="181"/>
      <c r="C476" s="182"/>
      <c r="D476" s="182"/>
      <c r="E476" s="182"/>
      <c r="F476" s="182"/>
      <c r="G476" s="182"/>
      <c r="H476" s="182"/>
      <c r="I476" s="182"/>
      <c r="J476" s="182"/>
      <c r="K476" s="182"/>
      <c r="L476" s="182"/>
      <c r="M476" s="182"/>
      <c r="N476" s="182"/>
      <c r="O476" s="182"/>
      <c r="P476" s="182"/>
      <c r="Q476" s="182"/>
      <c r="R476" s="182"/>
      <c r="S476" s="182"/>
      <c r="T476" s="182"/>
      <c r="U476" s="182"/>
      <c r="V476" s="182"/>
      <c r="W476" s="183"/>
      <c r="X476" s="427"/>
    </row>
    <row r="477" spans="2:24" x14ac:dyDescent="0.45">
      <c r="B477" s="181"/>
      <c r="C477" s="182"/>
      <c r="D477" s="182"/>
      <c r="E477" s="182"/>
      <c r="F477" s="182"/>
      <c r="G477" s="182"/>
      <c r="H477" s="182"/>
      <c r="I477" s="182"/>
      <c r="J477" s="182"/>
      <c r="K477" s="182"/>
      <c r="L477" s="182"/>
      <c r="M477" s="182"/>
      <c r="N477" s="182"/>
      <c r="O477" s="182"/>
      <c r="P477" s="182"/>
      <c r="Q477" s="182"/>
      <c r="R477" s="182"/>
      <c r="S477" s="182"/>
      <c r="T477" s="182"/>
      <c r="U477" s="182"/>
      <c r="V477" s="182"/>
      <c r="W477" s="183"/>
      <c r="X477" s="427"/>
    </row>
    <row r="478" spans="2:24" x14ac:dyDescent="0.45">
      <c r="B478" s="181"/>
      <c r="C478" s="182"/>
      <c r="D478" s="182"/>
      <c r="E478" s="182"/>
      <c r="F478" s="182"/>
      <c r="G478" s="182"/>
      <c r="H478" s="182"/>
      <c r="I478" s="182"/>
      <c r="J478" s="182"/>
      <c r="K478" s="182"/>
      <c r="L478" s="182"/>
      <c r="M478" s="182"/>
      <c r="N478" s="182"/>
      <c r="O478" s="182"/>
      <c r="P478" s="182"/>
      <c r="Q478" s="182"/>
      <c r="R478" s="182"/>
      <c r="S478" s="182"/>
      <c r="T478" s="182"/>
      <c r="U478" s="182"/>
      <c r="V478" s="182"/>
      <c r="W478" s="183"/>
      <c r="X478" s="427"/>
    </row>
    <row r="479" spans="2:24" x14ac:dyDescent="0.45">
      <c r="B479" s="181"/>
      <c r="C479" s="182"/>
      <c r="D479" s="182"/>
      <c r="E479" s="182"/>
      <c r="F479" s="182"/>
      <c r="G479" s="182"/>
      <c r="H479" s="182"/>
      <c r="I479" s="182"/>
      <c r="J479" s="182"/>
      <c r="K479" s="182"/>
      <c r="L479" s="182"/>
      <c r="M479" s="182"/>
      <c r="N479" s="182"/>
      <c r="O479" s="182"/>
      <c r="P479" s="182"/>
      <c r="Q479" s="182"/>
      <c r="R479" s="182"/>
      <c r="S479" s="182"/>
      <c r="T479" s="182"/>
      <c r="U479" s="182"/>
      <c r="V479" s="182"/>
      <c r="W479" s="183"/>
      <c r="X479" s="427"/>
    </row>
    <row r="480" spans="2:24" x14ac:dyDescent="0.45">
      <c r="B480" s="181"/>
      <c r="C480" s="182"/>
      <c r="D480" s="182"/>
      <c r="E480" s="182"/>
      <c r="F480" s="182"/>
      <c r="G480" s="182"/>
      <c r="H480" s="182"/>
      <c r="I480" s="182"/>
      <c r="J480" s="182"/>
      <c r="K480" s="182"/>
      <c r="L480" s="182"/>
      <c r="M480" s="182"/>
      <c r="N480" s="182"/>
      <c r="O480" s="182"/>
      <c r="P480" s="182"/>
      <c r="Q480" s="182"/>
      <c r="R480" s="182"/>
      <c r="S480" s="182"/>
      <c r="T480" s="182"/>
      <c r="U480" s="182"/>
      <c r="V480" s="182"/>
      <c r="W480" s="183"/>
      <c r="X480" s="427"/>
    </row>
    <row r="481" spans="1:24" x14ac:dyDescent="0.45">
      <c r="B481" s="181"/>
      <c r="C481" s="182"/>
      <c r="D481" s="182"/>
      <c r="E481" s="182"/>
      <c r="F481" s="182"/>
      <c r="G481" s="182"/>
      <c r="H481" s="182"/>
      <c r="I481" s="182"/>
      <c r="J481" s="182"/>
      <c r="K481" s="182"/>
      <c r="L481" s="182"/>
      <c r="M481" s="182"/>
      <c r="N481" s="182"/>
      <c r="O481" s="182"/>
      <c r="P481" s="182"/>
      <c r="Q481" s="182"/>
      <c r="R481" s="182"/>
      <c r="S481" s="182"/>
      <c r="T481" s="182"/>
      <c r="U481" s="182"/>
      <c r="V481" s="182"/>
      <c r="W481" s="183"/>
      <c r="X481" s="427"/>
    </row>
    <row r="482" spans="1:24" x14ac:dyDescent="0.45">
      <c r="B482" s="181"/>
      <c r="C482" s="182"/>
      <c r="D482" s="182"/>
      <c r="E482" s="182"/>
      <c r="F482" s="182"/>
      <c r="G482" s="182"/>
      <c r="H482" s="182"/>
      <c r="I482" s="182"/>
      <c r="J482" s="182"/>
      <c r="K482" s="182"/>
      <c r="L482" s="182"/>
      <c r="M482" s="182"/>
      <c r="N482" s="182"/>
      <c r="O482" s="182"/>
      <c r="P482" s="182"/>
      <c r="Q482" s="182"/>
      <c r="R482" s="182"/>
      <c r="S482" s="182"/>
      <c r="T482" s="182"/>
      <c r="U482" s="182"/>
      <c r="V482" s="182"/>
      <c r="W482" s="183"/>
      <c r="X482" s="427"/>
    </row>
    <row r="483" spans="1:24" x14ac:dyDescent="0.45">
      <c r="B483" s="181"/>
      <c r="C483" s="182"/>
      <c r="D483" s="182"/>
      <c r="E483" s="182"/>
      <c r="F483" s="182"/>
      <c r="G483" s="182"/>
      <c r="H483" s="182"/>
      <c r="I483" s="182"/>
      <c r="J483" s="182"/>
      <c r="K483" s="182"/>
      <c r="L483" s="182"/>
      <c r="M483" s="182"/>
      <c r="N483" s="182"/>
      <c r="O483" s="182"/>
      <c r="P483" s="182"/>
      <c r="Q483" s="182"/>
      <c r="R483" s="182"/>
      <c r="S483" s="182"/>
      <c r="T483" s="182"/>
      <c r="U483" s="182"/>
      <c r="V483" s="182"/>
      <c r="W483" s="183"/>
      <c r="X483" s="427"/>
    </row>
    <row r="484" spans="1:24" x14ac:dyDescent="0.45">
      <c r="B484" s="181"/>
      <c r="C484" s="182"/>
      <c r="D484" s="182"/>
      <c r="E484" s="182"/>
      <c r="F484" s="182"/>
      <c r="G484" s="182"/>
      <c r="H484" s="182"/>
      <c r="I484" s="182"/>
      <c r="J484" s="182"/>
      <c r="K484" s="182"/>
      <c r="L484" s="182"/>
      <c r="M484" s="182"/>
      <c r="N484" s="182"/>
      <c r="O484" s="182"/>
      <c r="P484" s="182"/>
      <c r="Q484" s="182"/>
      <c r="R484" s="182"/>
      <c r="S484" s="182"/>
      <c r="T484" s="182"/>
      <c r="U484" s="182"/>
      <c r="V484" s="182"/>
      <c r="W484" s="183"/>
      <c r="X484" s="427"/>
    </row>
    <row r="485" spans="1:24" x14ac:dyDescent="0.45">
      <c r="B485" s="184"/>
      <c r="C485" s="185" t="s">
        <v>1499</v>
      </c>
      <c r="D485" s="185"/>
      <c r="E485" s="185"/>
      <c r="F485" s="185"/>
      <c r="G485" s="185"/>
      <c r="H485" s="185"/>
      <c r="I485" s="185"/>
      <c r="J485" s="185"/>
      <c r="K485" s="185"/>
      <c r="L485" s="185"/>
      <c r="M485" s="185"/>
      <c r="N485" s="185"/>
      <c r="O485" s="185"/>
      <c r="P485" s="185"/>
      <c r="Q485" s="185"/>
      <c r="R485" s="185"/>
      <c r="S485" s="185"/>
      <c r="T485" s="185"/>
      <c r="U485" s="185"/>
      <c r="V485" s="185"/>
      <c r="W485" s="186"/>
      <c r="X485" s="187"/>
    </row>
    <row r="486" spans="1:24" ht="26.65" x14ac:dyDescent="0.45">
      <c r="B486" s="188" t="s">
        <v>1458</v>
      </c>
      <c r="C486" s="185" t="s">
        <v>1459</v>
      </c>
      <c r="D486" s="185"/>
      <c r="E486" s="185" t="s">
        <v>1500</v>
      </c>
      <c r="F486" s="185"/>
      <c r="G486" s="185" t="s">
        <v>1501</v>
      </c>
      <c r="H486" s="189" t="s">
        <v>1502</v>
      </c>
      <c r="I486" s="185" t="s">
        <v>1503</v>
      </c>
      <c r="J486" s="185" t="s">
        <v>1504</v>
      </c>
      <c r="K486" s="189" t="s">
        <v>1505</v>
      </c>
      <c r="L486" s="189" t="s">
        <v>1504</v>
      </c>
      <c r="M486" s="189"/>
      <c r="N486" s="189" t="s">
        <v>1506</v>
      </c>
      <c r="O486" s="189"/>
      <c r="P486" s="190"/>
      <c r="Q486" s="189"/>
      <c r="R486" s="189"/>
      <c r="S486" s="189"/>
      <c r="T486" s="189" t="s">
        <v>1507</v>
      </c>
      <c r="U486" s="189" t="s">
        <v>27</v>
      </c>
      <c r="V486" s="189" t="s">
        <v>26</v>
      </c>
      <c r="W486" s="191" t="s">
        <v>1508</v>
      </c>
      <c r="X486" s="192"/>
    </row>
    <row r="487" spans="1:24" x14ac:dyDescent="0.45">
      <c r="A487" s="193">
        <v>1</v>
      </c>
      <c r="B487" s="194" t="str">
        <f t="shared" ref="B487:B518" si="75">IF(OR($C$467="",U487=""),"",LEFT($C$467,FIND("_",$C$467)-1))</f>
        <v/>
      </c>
      <c r="C487" s="170" t="str">
        <f t="shared" ref="C487:C518" si="76">IF(OR($C$467="",U487=""),"",$B$467)</f>
        <v/>
      </c>
      <c r="D487" s="170"/>
      <c r="E487" s="195"/>
      <c r="F487" s="195"/>
      <c r="G487" s="196"/>
      <c r="H487" s="197"/>
      <c r="I487" s="197"/>
      <c r="J487" s="197"/>
      <c r="K487" s="197"/>
      <c r="L487" s="197"/>
      <c r="M487" s="198"/>
      <c r="N487" s="198"/>
      <c r="O487" s="198"/>
      <c r="P487" s="199"/>
      <c r="Q487" s="200"/>
      <c r="R487" s="200"/>
      <c r="S487" s="200"/>
      <c r="T487" s="200" t="str">
        <f t="shared" ref="T487:T518" si="77">IF(K487="","",((K487*20)+L487)-((I487*20)+J487))</f>
        <v/>
      </c>
      <c r="U487" s="200"/>
      <c r="V487" s="201" t="str">
        <f t="shared" ref="V487:V518" si="78">IF(U487="","",$V$467)</f>
        <v/>
      </c>
      <c r="W487" s="202">
        <f t="shared" ref="W487:W518" si="79">IF(OR(T487="",U487=""),0,T487*U487)</f>
        <v>0</v>
      </c>
      <c r="X487" s="172"/>
    </row>
    <row r="488" spans="1:24" x14ac:dyDescent="0.45">
      <c r="A488" s="193">
        <v>2</v>
      </c>
      <c r="B488" s="194" t="str">
        <f t="shared" si="75"/>
        <v/>
      </c>
      <c r="C488" s="170" t="str">
        <f t="shared" si="76"/>
        <v/>
      </c>
      <c r="D488" s="170"/>
      <c r="E488" s="195"/>
      <c r="F488" s="195"/>
      <c r="G488" s="196"/>
      <c r="H488" s="197"/>
      <c r="I488" s="197" t="str">
        <f t="shared" ref="I488:I519" si="80">IF(K487="","",K487)</f>
        <v/>
      </c>
      <c r="J488" s="197" t="str">
        <f t="shared" ref="J488:J519" si="81">IF(L487="","",L487)</f>
        <v/>
      </c>
      <c r="K488" s="197"/>
      <c r="L488" s="197"/>
      <c r="M488" s="198"/>
      <c r="N488" s="198"/>
      <c r="O488" s="198"/>
      <c r="P488" s="199"/>
      <c r="Q488" s="200"/>
      <c r="R488" s="200"/>
      <c r="S488" s="200"/>
      <c r="T488" s="200" t="str">
        <f t="shared" si="77"/>
        <v/>
      </c>
      <c r="U488" s="200"/>
      <c r="V488" s="201" t="str">
        <f t="shared" si="78"/>
        <v/>
      </c>
      <c r="W488" s="202">
        <f t="shared" si="79"/>
        <v>0</v>
      </c>
      <c r="X488" s="172"/>
    </row>
    <row r="489" spans="1:24" x14ac:dyDescent="0.45">
      <c r="A489" s="193">
        <v>3</v>
      </c>
      <c r="B489" s="194" t="str">
        <f t="shared" si="75"/>
        <v/>
      </c>
      <c r="C489" s="170" t="str">
        <f t="shared" si="76"/>
        <v/>
      </c>
      <c r="D489" s="170"/>
      <c r="E489" s="195"/>
      <c r="F489" s="195"/>
      <c r="G489" s="196"/>
      <c r="H489" s="197"/>
      <c r="I489" s="197" t="str">
        <f t="shared" si="80"/>
        <v/>
      </c>
      <c r="J489" s="197" t="str">
        <f t="shared" si="81"/>
        <v/>
      </c>
      <c r="K489" s="197"/>
      <c r="L489" s="197"/>
      <c r="M489" s="198"/>
      <c r="N489" s="198"/>
      <c r="O489" s="198"/>
      <c r="P489" s="199"/>
      <c r="Q489" s="200"/>
      <c r="R489" s="200"/>
      <c r="S489" s="200"/>
      <c r="T489" s="200" t="str">
        <f t="shared" si="77"/>
        <v/>
      </c>
      <c r="U489" s="200"/>
      <c r="V489" s="201" t="str">
        <f t="shared" si="78"/>
        <v/>
      </c>
      <c r="W489" s="202">
        <f t="shared" si="79"/>
        <v>0</v>
      </c>
      <c r="X489" s="172"/>
    </row>
    <row r="490" spans="1:24" x14ac:dyDescent="0.45">
      <c r="A490" s="193">
        <v>4</v>
      </c>
      <c r="B490" s="194" t="str">
        <f t="shared" si="75"/>
        <v/>
      </c>
      <c r="C490" s="170" t="str">
        <f t="shared" si="76"/>
        <v/>
      </c>
      <c r="D490" s="170"/>
      <c r="E490" s="195"/>
      <c r="F490" s="195"/>
      <c r="G490" s="196"/>
      <c r="H490" s="197"/>
      <c r="I490" s="197" t="str">
        <f t="shared" si="80"/>
        <v/>
      </c>
      <c r="J490" s="197" t="str">
        <f t="shared" si="81"/>
        <v/>
      </c>
      <c r="K490" s="197"/>
      <c r="L490" s="197"/>
      <c r="M490" s="198"/>
      <c r="N490" s="198"/>
      <c r="O490" s="198"/>
      <c r="P490" s="199"/>
      <c r="Q490" s="200"/>
      <c r="R490" s="200"/>
      <c r="S490" s="200"/>
      <c r="T490" s="200" t="str">
        <f t="shared" si="77"/>
        <v/>
      </c>
      <c r="U490" s="200"/>
      <c r="V490" s="201" t="str">
        <f t="shared" si="78"/>
        <v/>
      </c>
      <c r="W490" s="202">
        <f t="shared" si="79"/>
        <v>0</v>
      </c>
      <c r="X490" s="172"/>
    </row>
    <row r="491" spans="1:24" x14ac:dyDescent="0.45">
      <c r="A491" s="193">
        <v>5</v>
      </c>
      <c r="B491" s="194" t="str">
        <f t="shared" si="75"/>
        <v/>
      </c>
      <c r="C491" s="170" t="str">
        <f t="shared" si="76"/>
        <v/>
      </c>
      <c r="D491" s="170"/>
      <c r="E491" s="195"/>
      <c r="F491" s="195"/>
      <c r="G491" s="196"/>
      <c r="H491" s="197"/>
      <c r="I491" s="197" t="str">
        <f t="shared" si="80"/>
        <v/>
      </c>
      <c r="J491" s="197" t="str">
        <f t="shared" si="81"/>
        <v/>
      </c>
      <c r="K491" s="197"/>
      <c r="L491" s="197"/>
      <c r="M491" s="198"/>
      <c r="N491" s="198"/>
      <c r="O491" s="198"/>
      <c r="P491" s="199"/>
      <c r="Q491" s="200"/>
      <c r="R491" s="200"/>
      <c r="S491" s="200"/>
      <c r="T491" s="200" t="str">
        <f t="shared" si="77"/>
        <v/>
      </c>
      <c r="U491" s="200"/>
      <c r="V491" s="201" t="str">
        <f t="shared" si="78"/>
        <v/>
      </c>
      <c r="W491" s="202">
        <f t="shared" si="79"/>
        <v>0</v>
      </c>
      <c r="X491" s="172"/>
    </row>
    <row r="492" spans="1:24" x14ac:dyDescent="0.45">
      <c r="A492" s="193">
        <v>6</v>
      </c>
      <c r="B492" s="194" t="str">
        <f t="shared" si="75"/>
        <v/>
      </c>
      <c r="C492" s="170" t="str">
        <f t="shared" si="76"/>
        <v/>
      </c>
      <c r="D492" s="170"/>
      <c r="E492" s="195"/>
      <c r="F492" s="195"/>
      <c r="G492" s="196"/>
      <c r="H492" s="197"/>
      <c r="I492" s="197" t="str">
        <f t="shared" si="80"/>
        <v/>
      </c>
      <c r="J492" s="197" t="str">
        <f t="shared" si="81"/>
        <v/>
      </c>
      <c r="K492" s="197"/>
      <c r="L492" s="197"/>
      <c r="M492" s="198"/>
      <c r="N492" s="198"/>
      <c r="O492" s="198"/>
      <c r="P492" s="199"/>
      <c r="Q492" s="200"/>
      <c r="R492" s="200"/>
      <c r="S492" s="200"/>
      <c r="T492" s="200" t="str">
        <f t="shared" si="77"/>
        <v/>
      </c>
      <c r="U492" s="200"/>
      <c r="V492" s="201" t="str">
        <f t="shared" si="78"/>
        <v/>
      </c>
      <c r="W492" s="202">
        <f t="shared" si="79"/>
        <v>0</v>
      </c>
      <c r="X492" s="172"/>
    </row>
    <row r="493" spans="1:24" x14ac:dyDescent="0.45">
      <c r="A493" s="193">
        <v>7</v>
      </c>
      <c r="B493" s="194" t="str">
        <f t="shared" si="75"/>
        <v/>
      </c>
      <c r="C493" s="170" t="str">
        <f t="shared" si="76"/>
        <v/>
      </c>
      <c r="D493" s="170"/>
      <c r="E493" s="195"/>
      <c r="F493" s="195"/>
      <c r="G493" s="196"/>
      <c r="H493" s="197"/>
      <c r="I493" s="197" t="str">
        <f t="shared" si="80"/>
        <v/>
      </c>
      <c r="J493" s="197" t="str">
        <f t="shared" si="81"/>
        <v/>
      </c>
      <c r="K493" s="197"/>
      <c r="L493" s="197"/>
      <c r="M493" s="198"/>
      <c r="N493" s="198"/>
      <c r="O493" s="198"/>
      <c r="P493" s="199"/>
      <c r="Q493" s="200"/>
      <c r="R493" s="200"/>
      <c r="S493" s="200"/>
      <c r="T493" s="200" t="str">
        <f t="shared" si="77"/>
        <v/>
      </c>
      <c r="U493" s="200"/>
      <c r="V493" s="201" t="str">
        <f t="shared" si="78"/>
        <v/>
      </c>
      <c r="W493" s="202">
        <f t="shared" si="79"/>
        <v>0</v>
      </c>
      <c r="X493" s="172"/>
    </row>
    <row r="494" spans="1:24" x14ac:dyDescent="0.45">
      <c r="A494" s="193">
        <v>8</v>
      </c>
      <c r="B494" s="194" t="str">
        <f t="shared" si="75"/>
        <v/>
      </c>
      <c r="C494" s="170" t="str">
        <f t="shared" si="76"/>
        <v/>
      </c>
      <c r="D494" s="170"/>
      <c r="E494" s="195"/>
      <c r="F494" s="195"/>
      <c r="G494" s="196"/>
      <c r="H494" s="197"/>
      <c r="I494" s="197" t="str">
        <f t="shared" si="80"/>
        <v/>
      </c>
      <c r="J494" s="197" t="str">
        <f t="shared" si="81"/>
        <v/>
      </c>
      <c r="K494" s="197"/>
      <c r="L494" s="197"/>
      <c r="M494" s="198"/>
      <c r="N494" s="198"/>
      <c r="O494" s="198"/>
      <c r="P494" s="199"/>
      <c r="Q494" s="200"/>
      <c r="R494" s="200"/>
      <c r="S494" s="200"/>
      <c r="T494" s="200" t="str">
        <f t="shared" si="77"/>
        <v/>
      </c>
      <c r="U494" s="200"/>
      <c r="V494" s="201" t="str">
        <f t="shared" si="78"/>
        <v/>
      </c>
      <c r="W494" s="202">
        <f t="shared" si="79"/>
        <v>0</v>
      </c>
      <c r="X494" s="172"/>
    </row>
    <row r="495" spans="1:24" x14ac:dyDescent="0.45">
      <c r="A495" s="193">
        <v>9</v>
      </c>
      <c r="B495" s="194" t="str">
        <f t="shared" si="75"/>
        <v/>
      </c>
      <c r="C495" s="170" t="str">
        <f t="shared" si="76"/>
        <v/>
      </c>
      <c r="D495" s="170"/>
      <c r="E495" s="195"/>
      <c r="F495" s="195"/>
      <c r="G495" s="196"/>
      <c r="H495" s="197"/>
      <c r="I495" s="197" t="str">
        <f t="shared" si="80"/>
        <v/>
      </c>
      <c r="J495" s="197" t="str">
        <f t="shared" si="81"/>
        <v/>
      </c>
      <c r="K495" s="197"/>
      <c r="L495" s="197"/>
      <c r="M495" s="198"/>
      <c r="N495" s="198"/>
      <c r="O495" s="198"/>
      <c r="P495" s="199"/>
      <c r="Q495" s="200"/>
      <c r="R495" s="200"/>
      <c r="S495" s="200"/>
      <c r="T495" s="200" t="str">
        <f t="shared" si="77"/>
        <v/>
      </c>
      <c r="U495" s="200"/>
      <c r="V495" s="201" t="str">
        <f t="shared" si="78"/>
        <v/>
      </c>
      <c r="W495" s="202">
        <f t="shared" si="79"/>
        <v>0</v>
      </c>
      <c r="X495" s="172"/>
    </row>
    <row r="496" spans="1:24" x14ac:dyDescent="0.45">
      <c r="A496" s="193">
        <v>10</v>
      </c>
      <c r="B496" s="194" t="str">
        <f t="shared" si="75"/>
        <v/>
      </c>
      <c r="C496" s="170" t="str">
        <f t="shared" si="76"/>
        <v/>
      </c>
      <c r="D496" s="170"/>
      <c r="E496" s="195"/>
      <c r="F496" s="195"/>
      <c r="G496" s="196"/>
      <c r="H496" s="197"/>
      <c r="I496" s="197" t="str">
        <f t="shared" si="80"/>
        <v/>
      </c>
      <c r="J496" s="197" t="str">
        <f t="shared" si="81"/>
        <v/>
      </c>
      <c r="K496" s="197"/>
      <c r="L496" s="197"/>
      <c r="M496" s="198"/>
      <c r="N496" s="198"/>
      <c r="O496" s="198"/>
      <c r="P496" s="199"/>
      <c r="Q496" s="200"/>
      <c r="R496" s="200"/>
      <c r="S496" s="200"/>
      <c r="T496" s="200" t="str">
        <f t="shared" si="77"/>
        <v/>
      </c>
      <c r="U496" s="200"/>
      <c r="V496" s="201" t="str">
        <f t="shared" si="78"/>
        <v/>
      </c>
      <c r="W496" s="202">
        <f t="shared" si="79"/>
        <v>0</v>
      </c>
      <c r="X496" s="172"/>
    </row>
    <row r="497" spans="1:24" x14ac:dyDescent="0.45">
      <c r="A497" s="193">
        <v>11</v>
      </c>
      <c r="B497" s="194" t="str">
        <f t="shared" si="75"/>
        <v/>
      </c>
      <c r="C497" s="170" t="str">
        <f t="shared" si="76"/>
        <v/>
      </c>
      <c r="D497" s="170"/>
      <c r="E497" s="195"/>
      <c r="F497" s="195"/>
      <c r="G497" s="196"/>
      <c r="H497" s="197"/>
      <c r="I497" s="197" t="str">
        <f t="shared" si="80"/>
        <v/>
      </c>
      <c r="J497" s="197" t="str">
        <f t="shared" si="81"/>
        <v/>
      </c>
      <c r="K497" s="197"/>
      <c r="L497" s="197"/>
      <c r="M497" s="198"/>
      <c r="N497" s="198"/>
      <c r="O497" s="198"/>
      <c r="P497" s="199"/>
      <c r="Q497" s="200"/>
      <c r="R497" s="200"/>
      <c r="S497" s="200"/>
      <c r="T497" s="200" t="str">
        <f t="shared" si="77"/>
        <v/>
      </c>
      <c r="U497" s="200"/>
      <c r="V497" s="201" t="str">
        <f t="shared" si="78"/>
        <v/>
      </c>
      <c r="W497" s="202">
        <f t="shared" si="79"/>
        <v>0</v>
      </c>
      <c r="X497" s="172"/>
    </row>
    <row r="498" spans="1:24" x14ac:dyDescent="0.45">
      <c r="A498" s="193">
        <v>12</v>
      </c>
      <c r="B498" s="194" t="str">
        <f t="shared" si="75"/>
        <v/>
      </c>
      <c r="C498" s="170" t="str">
        <f t="shared" si="76"/>
        <v/>
      </c>
      <c r="D498" s="170"/>
      <c r="E498" s="195"/>
      <c r="F498" s="195"/>
      <c r="G498" s="196"/>
      <c r="H498" s="197"/>
      <c r="I498" s="197" t="str">
        <f t="shared" si="80"/>
        <v/>
      </c>
      <c r="J498" s="197" t="str">
        <f t="shared" si="81"/>
        <v/>
      </c>
      <c r="K498" s="197"/>
      <c r="L498" s="197"/>
      <c r="M498" s="198"/>
      <c r="N498" s="198"/>
      <c r="O498" s="198"/>
      <c r="P498" s="199"/>
      <c r="Q498" s="200"/>
      <c r="R498" s="200"/>
      <c r="S498" s="200"/>
      <c r="T498" s="200" t="str">
        <f t="shared" si="77"/>
        <v/>
      </c>
      <c r="U498" s="200"/>
      <c r="V498" s="201" t="str">
        <f t="shared" si="78"/>
        <v/>
      </c>
      <c r="W498" s="202">
        <f t="shared" si="79"/>
        <v>0</v>
      </c>
      <c r="X498" s="172"/>
    </row>
    <row r="499" spans="1:24" x14ac:dyDescent="0.45">
      <c r="A499" s="193">
        <v>13</v>
      </c>
      <c r="B499" s="194" t="str">
        <f t="shared" si="75"/>
        <v/>
      </c>
      <c r="C499" s="170" t="str">
        <f t="shared" si="76"/>
        <v/>
      </c>
      <c r="D499" s="170"/>
      <c r="E499" s="195"/>
      <c r="F499" s="195"/>
      <c r="G499" s="196"/>
      <c r="H499" s="197"/>
      <c r="I499" s="197" t="str">
        <f t="shared" si="80"/>
        <v/>
      </c>
      <c r="J499" s="197" t="str">
        <f t="shared" si="81"/>
        <v/>
      </c>
      <c r="K499" s="197"/>
      <c r="L499" s="197"/>
      <c r="M499" s="198"/>
      <c r="N499" s="198"/>
      <c r="O499" s="198"/>
      <c r="P499" s="199"/>
      <c r="Q499" s="200"/>
      <c r="R499" s="200"/>
      <c r="S499" s="200"/>
      <c r="T499" s="200" t="str">
        <f t="shared" si="77"/>
        <v/>
      </c>
      <c r="U499" s="200"/>
      <c r="V499" s="201" t="str">
        <f t="shared" si="78"/>
        <v/>
      </c>
      <c r="W499" s="202">
        <f t="shared" si="79"/>
        <v>0</v>
      </c>
      <c r="X499" s="172"/>
    </row>
    <row r="500" spans="1:24" x14ac:dyDescent="0.45">
      <c r="A500" s="193">
        <v>14</v>
      </c>
      <c r="B500" s="194" t="str">
        <f t="shared" si="75"/>
        <v/>
      </c>
      <c r="C500" s="170" t="str">
        <f t="shared" si="76"/>
        <v/>
      </c>
      <c r="D500" s="170"/>
      <c r="E500" s="195"/>
      <c r="F500" s="195"/>
      <c r="G500" s="196"/>
      <c r="H500" s="197"/>
      <c r="I500" s="197" t="str">
        <f t="shared" si="80"/>
        <v/>
      </c>
      <c r="J500" s="197" t="str">
        <f t="shared" si="81"/>
        <v/>
      </c>
      <c r="K500" s="197"/>
      <c r="L500" s="197"/>
      <c r="M500" s="198"/>
      <c r="N500" s="198"/>
      <c r="O500" s="198"/>
      <c r="P500" s="199"/>
      <c r="Q500" s="200"/>
      <c r="R500" s="200"/>
      <c r="S500" s="200"/>
      <c r="T500" s="200" t="str">
        <f t="shared" si="77"/>
        <v/>
      </c>
      <c r="U500" s="200"/>
      <c r="V500" s="201" t="str">
        <f t="shared" si="78"/>
        <v/>
      </c>
      <c r="W500" s="202">
        <f t="shared" si="79"/>
        <v>0</v>
      </c>
      <c r="X500" s="172"/>
    </row>
    <row r="501" spans="1:24" x14ac:dyDescent="0.45">
      <c r="A501" s="193">
        <v>15</v>
      </c>
      <c r="B501" s="194" t="str">
        <f t="shared" si="75"/>
        <v/>
      </c>
      <c r="C501" s="170" t="str">
        <f t="shared" si="76"/>
        <v/>
      </c>
      <c r="D501" s="170"/>
      <c r="E501" s="195"/>
      <c r="F501" s="195"/>
      <c r="G501" s="196"/>
      <c r="H501" s="197"/>
      <c r="I501" s="197" t="str">
        <f t="shared" si="80"/>
        <v/>
      </c>
      <c r="J501" s="197" t="str">
        <f t="shared" si="81"/>
        <v/>
      </c>
      <c r="K501" s="197"/>
      <c r="L501" s="197"/>
      <c r="M501" s="198"/>
      <c r="N501" s="198"/>
      <c r="O501" s="198"/>
      <c r="P501" s="199"/>
      <c r="Q501" s="200"/>
      <c r="R501" s="200"/>
      <c r="S501" s="200"/>
      <c r="T501" s="200" t="str">
        <f t="shared" si="77"/>
        <v/>
      </c>
      <c r="U501" s="200"/>
      <c r="V501" s="201" t="str">
        <f t="shared" si="78"/>
        <v/>
      </c>
      <c r="W501" s="202">
        <f t="shared" si="79"/>
        <v>0</v>
      </c>
      <c r="X501" s="172"/>
    </row>
    <row r="502" spans="1:24" x14ac:dyDescent="0.45">
      <c r="A502" s="193">
        <v>16</v>
      </c>
      <c r="B502" s="194" t="str">
        <f t="shared" si="75"/>
        <v/>
      </c>
      <c r="C502" s="170" t="str">
        <f t="shared" si="76"/>
        <v/>
      </c>
      <c r="D502" s="170"/>
      <c r="E502" s="195"/>
      <c r="F502" s="195"/>
      <c r="G502" s="196"/>
      <c r="H502" s="197"/>
      <c r="I502" s="197" t="str">
        <f t="shared" si="80"/>
        <v/>
      </c>
      <c r="J502" s="197" t="str">
        <f t="shared" si="81"/>
        <v/>
      </c>
      <c r="K502" s="197"/>
      <c r="L502" s="197"/>
      <c r="M502" s="198"/>
      <c r="N502" s="198"/>
      <c r="O502" s="198"/>
      <c r="P502" s="199"/>
      <c r="Q502" s="200"/>
      <c r="R502" s="200"/>
      <c r="S502" s="200"/>
      <c r="T502" s="200" t="str">
        <f t="shared" si="77"/>
        <v/>
      </c>
      <c r="U502" s="200"/>
      <c r="V502" s="201" t="str">
        <f t="shared" si="78"/>
        <v/>
      </c>
      <c r="W502" s="202">
        <f t="shared" si="79"/>
        <v>0</v>
      </c>
      <c r="X502" s="172"/>
    </row>
    <row r="503" spans="1:24" x14ac:dyDescent="0.45">
      <c r="A503" s="193">
        <v>17</v>
      </c>
      <c r="B503" s="194" t="str">
        <f t="shared" si="75"/>
        <v/>
      </c>
      <c r="C503" s="170" t="str">
        <f t="shared" si="76"/>
        <v/>
      </c>
      <c r="D503" s="170"/>
      <c r="E503" s="195"/>
      <c r="F503" s="195"/>
      <c r="G503" s="196"/>
      <c r="H503" s="197"/>
      <c r="I503" s="197" t="str">
        <f t="shared" si="80"/>
        <v/>
      </c>
      <c r="J503" s="197" t="str">
        <f t="shared" si="81"/>
        <v/>
      </c>
      <c r="K503" s="197"/>
      <c r="L503" s="197"/>
      <c r="M503" s="198"/>
      <c r="N503" s="198"/>
      <c r="O503" s="198"/>
      <c r="P503" s="199"/>
      <c r="Q503" s="200"/>
      <c r="R503" s="200"/>
      <c r="S503" s="200"/>
      <c r="T503" s="200" t="str">
        <f t="shared" si="77"/>
        <v/>
      </c>
      <c r="U503" s="200"/>
      <c r="V503" s="201" t="str">
        <f t="shared" si="78"/>
        <v/>
      </c>
      <c r="W503" s="202">
        <f t="shared" si="79"/>
        <v>0</v>
      </c>
      <c r="X503" s="172"/>
    </row>
    <row r="504" spans="1:24" x14ac:dyDescent="0.45">
      <c r="A504" s="193">
        <v>18</v>
      </c>
      <c r="B504" s="194" t="str">
        <f t="shared" si="75"/>
        <v/>
      </c>
      <c r="C504" s="170" t="str">
        <f t="shared" si="76"/>
        <v/>
      </c>
      <c r="D504" s="170"/>
      <c r="E504" s="195"/>
      <c r="F504" s="195"/>
      <c r="G504" s="196"/>
      <c r="H504" s="197"/>
      <c r="I504" s="197" t="str">
        <f t="shared" si="80"/>
        <v/>
      </c>
      <c r="J504" s="197" t="str">
        <f t="shared" si="81"/>
        <v/>
      </c>
      <c r="K504" s="197"/>
      <c r="L504" s="197"/>
      <c r="M504" s="198"/>
      <c r="N504" s="198"/>
      <c r="O504" s="198"/>
      <c r="P504" s="199"/>
      <c r="Q504" s="200"/>
      <c r="R504" s="200"/>
      <c r="S504" s="200"/>
      <c r="T504" s="200" t="str">
        <f t="shared" si="77"/>
        <v/>
      </c>
      <c r="U504" s="200"/>
      <c r="V504" s="201" t="str">
        <f t="shared" si="78"/>
        <v/>
      </c>
      <c r="W504" s="202">
        <f t="shared" si="79"/>
        <v>0</v>
      </c>
      <c r="X504" s="172"/>
    </row>
    <row r="505" spans="1:24" x14ac:dyDescent="0.45">
      <c r="A505" s="193">
        <v>19</v>
      </c>
      <c r="B505" s="194" t="str">
        <f t="shared" si="75"/>
        <v/>
      </c>
      <c r="C505" s="170" t="str">
        <f t="shared" si="76"/>
        <v/>
      </c>
      <c r="D505" s="170"/>
      <c r="E505" s="195"/>
      <c r="F505" s="195"/>
      <c r="G505" s="196"/>
      <c r="H505" s="197"/>
      <c r="I505" s="197" t="str">
        <f t="shared" si="80"/>
        <v/>
      </c>
      <c r="J505" s="197" t="str">
        <f t="shared" si="81"/>
        <v/>
      </c>
      <c r="K505" s="197"/>
      <c r="L505" s="197"/>
      <c r="M505" s="198"/>
      <c r="N505" s="198"/>
      <c r="O505" s="198"/>
      <c r="P505" s="199"/>
      <c r="Q505" s="200"/>
      <c r="R505" s="200"/>
      <c r="S505" s="200"/>
      <c r="T505" s="200" t="str">
        <f t="shared" si="77"/>
        <v/>
      </c>
      <c r="U505" s="200"/>
      <c r="V505" s="201" t="str">
        <f t="shared" si="78"/>
        <v/>
      </c>
      <c r="W505" s="202">
        <f t="shared" si="79"/>
        <v>0</v>
      </c>
      <c r="X505" s="172"/>
    </row>
    <row r="506" spans="1:24" x14ac:dyDescent="0.45">
      <c r="A506" s="193">
        <v>20</v>
      </c>
      <c r="B506" s="194" t="str">
        <f t="shared" si="75"/>
        <v/>
      </c>
      <c r="C506" s="170" t="str">
        <f t="shared" si="76"/>
        <v/>
      </c>
      <c r="D506" s="170"/>
      <c r="E506" s="195"/>
      <c r="F506" s="195"/>
      <c r="G506" s="196"/>
      <c r="H506" s="197"/>
      <c r="I506" s="197" t="str">
        <f t="shared" si="80"/>
        <v/>
      </c>
      <c r="J506" s="197" t="str">
        <f t="shared" si="81"/>
        <v/>
      </c>
      <c r="K506" s="197"/>
      <c r="L506" s="197"/>
      <c r="M506" s="198"/>
      <c r="N506" s="198"/>
      <c r="O506" s="198"/>
      <c r="P506" s="199"/>
      <c r="Q506" s="200"/>
      <c r="R506" s="200"/>
      <c r="S506" s="200"/>
      <c r="T506" s="200" t="str">
        <f t="shared" si="77"/>
        <v/>
      </c>
      <c r="U506" s="200"/>
      <c r="V506" s="201" t="str">
        <f t="shared" si="78"/>
        <v/>
      </c>
      <c r="W506" s="202">
        <f t="shared" si="79"/>
        <v>0</v>
      </c>
      <c r="X506" s="172"/>
    </row>
    <row r="507" spans="1:24" x14ac:dyDescent="0.45">
      <c r="A507" s="193">
        <v>21</v>
      </c>
      <c r="B507" s="194" t="str">
        <f t="shared" si="75"/>
        <v/>
      </c>
      <c r="C507" s="170" t="str">
        <f t="shared" si="76"/>
        <v/>
      </c>
      <c r="D507" s="170"/>
      <c r="E507" s="195"/>
      <c r="F507" s="195"/>
      <c r="G507" s="196"/>
      <c r="H507" s="197"/>
      <c r="I507" s="197" t="str">
        <f t="shared" si="80"/>
        <v/>
      </c>
      <c r="J507" s="197" t="str">
        <f t="shared" si="81"/>
        <v/>
      </c>
      <c r="K507" s="197"/>
      <c r="L507" s="197"/>
      <c r="M507" s="198"/>
      <c r="N507" s="198"/>
      <c r="O507" s="198"/>
      <c r="P507" s="199"/>
      <c r="Q507" s="200"/>
      <c r="R507" s="200"/>
      <c r="S507" s="200"/>
      <c r="T507" s="200" t="str">
        <f t="shared" si="77"/>
        <v/>
      </c>
      <c r="U507" s="200"/>
      <c r="V507" s="201" t="str">
        <f t="shared" si="78"/>
        <v/>
      </c>
      <c r="W507" s="202">
        <f t="shared" si="79"/>
        <v>0</v>
      </c>
      <c r="X507" s="172"/>
    </row>
    <row r="508" spans="1:24" x14ac:dyDescent="0.45">
      <c r="A508" s="193">
        <v>22</v>
      </c>
      <c r="B508" s="194" t="str">
        <f t="shared" si="75"/>
        <v/>
      </c>
      <c r="C508" s="170" t="str">
        <f t="shared" si="76"/>
        <v/>
      </c>
      <c r="D508" s="170"/>
      <c r="E508" s="195"/>
      <c r="F508" s="170"/>
      <c r="G508" s="170"/>
      <c r="H508" s="203"/>
      <c r="I508" s="197" t="str">
        <f t="shared" si="80"/>
        <v/>
      </c>
      <c r="J508" s="197" t="str">
        <f t="shared" si="81"/>
        <v/>
      </c>
      <c r="K508" s="197"/>
      <c r="L508" s="197"/>
      <c r="M508" s="198"/>
      <c r="N508" s="198"/>
      <c r="O508" s="198"/>
      <c r="P508" s="199"/>
      <c r="Q508" s="200"/>
      <c r="R508" s="200"/>
      <c r="S508" s="200"/>
      <c r="T508" s="200" t="str">
        <f t="shared" si="77"/>
        <v/>
      </c>
      <c r="U508" s="200"/>
      <c r="V508" s="201" t="str">
        <f t="shared" si="78"/>
        <v/>
      </c>
      <c r="W508" s="202">
        <f t="shared" si="79"/>
        <v>0</v>
      </c>
      <c r="X508" s="172"/>
    </row>
    <row r="509" spans="1:24" x14ac:dyDescent="0.45">
      <c r="A509" s="193">
        <v>23</v>
      </c>
      <c r="B509" s="194" t="str">
        <f t="shared" si="75"/>
        <v/>
      </c>
      <c r="C509" s="170" t="str">
        <f t="shared" si="76"/>
        <v/>
      </c>
      <c r="D509" s="170"/>
      <c r="E509" s="195"/>
      <c r="F509" s="170"/>
      <c r="G509" s="170"/>
      <c r="H509" s="203"/>
      <c r="I509" s="197" t="str">
        <f t="shared" si="80"/>
        <v/>
      </c>
      <c r="J509" s="197" t="str">
        <f t="shared" si="81"/>
        <v/>
      </c>
      <c r="K509" s="197"/>
      <c r="L509" s="197"/>
      <c r="M509" s="198"/>
      <c r="N509" s="198"/>
      <c r="O509" s="198"/>
      <c r="P509" s="199"/>
      <c r="Q509" s="200"/>
      <c r="R509" s="200"/>
      <c r="S509" s="200"/>
      <c r="T509" s="200" t="str">
        <f t="shared" si="77"/>
        <v/>
      </c>
      <c r="U509" s="200"/>
      <c r="V509" s="201" t="str">
        <f t="shared" si="78"/>
        <v/>
      </c>
      <c r="W509" s="202">
        <f t="shared" si="79"/>
        <v>0</v>
      </c>
      <c r="X509" s="172"/>
    </row>
    <row r="510" spans="1:24" x14ac:dyDescent="0.45">
      <c r="A510" s="193">
        <v>24</v>
      </c>
      <c r="B510" s="194" t="str">
        <f t="shared" si="75"/>
        <v/>
      </c>
      <c r="C510" s="170" t="str">
        <f t="shared" si="76"/>
        <v/>
      </c>
      <c r="D510" s="170"/>
      <c r="E510" s="195"/>
      <c r="F510" s="170"/>
      <c r="G510" s="170"/>
      <c r="H510" s="203"/>
      <c r="I510" s="197" t="str">
        <f t="shared" si="80"/>
        <v/>
      </c>
      <c r="J510" s="197" t="str">
        <f t="shared" si="81"/>
        <v/>
      </c>
      <c r="K510" s="197"/>
      <c r="L510" s="197"/>
      <c r="M510" s="198"/>
      <c r="N510" s="198"/>
      <c r="O510" s="198"/>
      <c r="P510" s="199"/>
      <c r="Q510" s="200"/>
      <c r="R510" s="200"/>
      <c r="S510" s="200"/>
      <c r="T510" s="200" t="str">
        <f t="shared" si="77"/>
        <v/>
      </c>
      <c r="U510" s="200"/>
      <c r="V510" s="201" t="str">
        <f t="shared" si="78"/>
        <v/>
      </c>
      <c r="W510" s="202">
        <f t="shared" si="79"/>
        <v>0</v>
      </c>
      <c r="X510" s="172"/>
    </row>
    <row r="511" spans="1:24" x14ac:dyDescent="0.45">
      <c r="A511" s="193">
        <v>25</v>
      </c>
      <c r="B511" s="194" t="str">
        <f t="shared" si="75"/>
        <v/>
      </c>
      <c r="C511" s="170" t="str">
        <f t="shared" si="76"/>
        <v/>
      </c>
      <c r="D511" s="170"/>
      <c r="E511" s="195"/>
      <c r="F511" s="170"/>
      <c r="G511" s="170"/>
      <c r="H511" s="203"/>
      <c r="I511" s="197" t="str">
        <f t="shared" si="80"/>
        <v/>
      </c>
      <c r="J511" s="197" t="str">
        <f t="shared" si="81"/>
        <v/>
      </c>
      <c r="K511" s="197"/>
      <c r="L511" s="197"/>
      <c r="M511" s="198"/>
      <c r="N511" s="198"/>
      <c r="O511" s="198"/>
      <c r="P511" s="199"/>
      <c r="Q511" s="200"/>
      <c r="R511" s="200"/>
      <c r="S511" s="200"/>
      <c r="T511" s="200" t="str">
        <f t="shared" si="77"/>
        <v/>
      </c>
      <c r="U511" s="200"/>
      <c r="V511" s="201" t="str">
        <f t="shared" si="78"/>
        <v/>
      </c>
      <c r="W511" s="202">
        <f t="shared" si="79"/>
        <v>0</v>
      </c>
      <c r="X511" s="172"/>
    </row>
    <row r="512" spans="1:24" x14ac:dyDescent="0.45">
      <c r="A512" s="193">
        <v>26</v>
      </c>
      <c r="B512" s="194" t="str">
        <f t="shared" si="75"/>
        <v/>
      </c>
      <c r="C512" s="170" t="str">
        <f t="shared" si="76"/>
        <v/>
      </c>
      <c r="D512" s="170"/>
      <c r="E512" s="195"/>
      <c r="F512" s="170"/>
      <c r="G512" s="170"/>
      <c r="H512" s="203"/>
      <c r="I512" s="197" t="str">
        <f t="shared" si="80"/>
        <v/>
      </c>
      <c r="J512" s="197" t="str">
        <f t="shared" si="81"/>
        <v/>
      </c>
      <c r="K512" s="197"/>
      <c r="L512" s="197"/>
      <c r="M512" s="198"/>
      <c r="N512" s="198"/>
      <c r="O512" s="198"/>
      <c r="P512" s="199"/>
      <c r="Q512" s="200"/>
      <c r="R512" s="200"/>
      <c r="S512" s="200"/>
      <c r="T512" s="200" t="str">
        <f t="shared" si="77"/>
        <v/>
      </c>
      <c r="U512" s="200"/>
      <c r="V512" s="201" t="str">
        <f t="shared" si="78"/>
        <v/>
      </c>
      <c r="W512" s="202">
        <f t="shared" si="79"/>
        <v>0</v>
      </c>
      <c r="X512" s="172"/>
    </row>
    <row r="513" spans="1:24" x14ac:dyDescent="0.45">
      <c r="A513" s="193">
        <v>27</v>
      </c>
      <c r="B513" s="194" t="str">
        <f t="shared" si="75"/>
        <v/>
      </c>
      <c r="C513" s="170" t="str">
        <f t="shared" si="76"/>
        <v/>
      </c>
      <c r="D513" s="170"/>
      <c r="E513" s="195"/>
      <c r="F513" s="170"/>
      <c r="G513" s="170"/>
      <c r="H513" s="203"/>
      <c r="I513" s="197" t="str">
        <f t="shared" si="80"/>
        <v/>
      </c>
      <c r="J513" s="197" t="str">
        <f t="shared" si="81"/>
        <v/>
      </c>
      <c r="K513" s="197"/>
      <c r="L513" s="197"/>
      <c r="M513" s="198"/>
      <c r="N513" s="198"/>
      <c r="O513" s="198"/>
      <c r="P513" s="199"/>
      <c r="Q513" s="200"/>
      <c r="R513" s="200"/>
      <c r="S513" s="200"/>
      <c r="T513" s="200" t="str">
        <f t="shared" si="77"/>
        <v/>
      </c>
      <c r="U513" s="200"/>
      <c r="V513" s="201" t="str">
        <f t="shared" si="78"/>
        <v/>
      </c>
      <c r="W513" s="202">
        <f t="shared" si="79"/>
        <v>0</v>
      </c>
      <c r="X513" s="172"/>
    </row>
    <row r="514" spans="1:24" x14ac:dyDescent="0.45">
      <c r="A514" s="193">
        <v>28</v>
      </c>
      <c r="B514" s="194" t="str">
        <f t="shared" si="75"/>
        <v/>
      </c>
      <c r="C514" s="170" t="str">
        <f t="shared" si="76"/>
        <v/>
      </c>
      <c r="D514" s="170"/>
      <c r="E514" s="195"/>
      <c r="F514" s="170"/>
      <c r="G514" s="170"/>
      <c r="H514" s="203"/>
      <c r="I514" s="197" t="str">
        <f t="shared" si="80"/>
        <v/>
      </c>
      <c r="J514" s="197" t="str">
        <f t="shared" si="81"/>
        <v/>
      </c>
      <c r="K514" s="197"/>
      <c r="L514" s="197"/>
      <c r="M514" s="198"/>
      <c r="N514" s="198"/>
      <c r="O514" s="198"/>
      <c r="P514" s="199"/>
      <c r="Q514" s="200"/>
      <c r="R514" s="200"/>
      <c r="S514" s="200"/>
      <c r="T514" s="200" t="str">
        <f t="shared" si="77"/>
        <v/>
      </c>
      <c r="U514" s="200"/>
      <c r="V514" s="201" t="str">
        <f t="shared" si="78"/>
        <v/>
      </c>
      <c r="W514" s="202">
        <f t="shared" si="79"/>
        <v>0</v>
      </c>
      <c r="X514" s="172"/>
    </row>
    <row r="515" spans="1:24" x14ac:dyDescent="0.45">
      <c r="A515" s="193">
        <v>29</v>
      </c>
      <c r="B515" s="194" t="str">
        <f t="shared" si="75"/>
        <v/>
      </c>
      <c r="C515" s="170" t="str">
        <f t="shared" si="76"/>
        <v/>
      </c>
      <c r="D515" s="170"/>
      <c r="E515" s="195"/>
      <c r="F515" s="170"/>
      <c r="G515" s="170"/>
      <c r="H515" s="203"/>
      <c r="I515" s="197" t="str">
        <f t="shared" si="80"/>
        <v/>
      </c>
      <c r="J515" s="197" t="str">
        <f t="shared" si="81"/>
        <v/>
      </c>
      <c r="K515" s="197"/>
      <c r="L515" s="197"/>
      <c r="M515" s="198"/>
      <c r="N515" s="198"/>
      <c r="O515" s="198"/>
      <c r="P515" s="199"/>
      <c r="Q515" s="200"/>
      <c r="R515" s="200"/>
      <c r="S515" s="200"/>
      <c r="T515" s="200" t="str">
        <f t="shared" si="77"/>
        <v/>
      </c>
      <c r="U515" s="200"/>
      <c r="V515" s="201" t="str">
        <f t="shared" si="78"/>
        <v/>
      </c>
      <c r="W515" s="202">
        <f t="shared" si="79"/>
        <v>0</v>
      </c>
      <c r="X515" s="172"/>
    </row>
    <row r="516" spans="1:24" x14ac:dyDescent="0.45">
      <c r="A516" s="193">
        <v>30</v>
      </c>
      <c r="B516" s="194" t="str">
        <f t="shared" si="75"/>
        <v/>
      </c>
      <c r="C516" s="170" t="str">
        <f t="shared" si="76"/>
        <v/>
      </c>
      <c r="D516" s="170"/>
      <c r="E516" s="195"/>
      <c r="F516" s="170"/>
      <c r="G516" s="170"/>
      <c r="H516" s="203"/>
      <c r="I516" s="197" t="str">
        <f t="shared" si="80"/>
        <v/>
      </c>
      <c r="J516" s="197" t="str">
        <f t="shared" si="81"/>
        <v/>
      </c>
      <c r="K516" s="197"/>
      <c r="L516" s="197"/>
      <c r="M516" s="198"/>
      <c r="N516" s="198"/>
      <c r="O516" s="198"/>
      <c r="P516" s="199"/>
      <c r="Q516" s="200"/>
      <c r="R516" s="200"/>
      <c r="S516" s="200"/>
      <c r="T516" s="200" t="str">
        <f t="shared" si="77"/>
        <v/>
      </c>
      <c r="U516" s="200"/>
      <c r="V516" s="201" t="str">
        <f t="shared" si="78"/>
        <v/>
      </c>
      <c r="W516" s="202">
        <f t="shared" si="79"/>
        <v>0</v>
      </c>
      <c r="X516" s="172"/>
    </row>
    <row r="517" spans="1:24" x14ac:dyDescent="0.45">
      <c r="A517" s="193">
        <v>31</v>
      </c>
      <c r="B517" s="194" t="str">
        <f t="shared" si="75"/>
        <v/>
      </c>
      <c r="C517" s="170" t="str">
        <f t="shared" si="76"/>
        <v/>
      </c>
      <c r="D517" s="170"/>
      <c r="E517" s="195"/>
      <c r="F517" s="170"/>
      <c r="G517" s="170"/>
      <c r="H517" s="203"/>
      <c r="I517" s="197" t="str">
        <f t="shared" si="80"/>
        <v/>
      </c>
      <c r="J517" s="197" t="str">
        <f t="shared" si="81"/>
        <v/>
      </c>
      <c r="K517" s="197"/>
      <c r="L517" s="197"/>
      <c r="M517" s="198"/>
      <c r="N517" s="198"/>
      <c r="O517" s="198"/>
      <c r="P517" s="199"/>
      <c r="Q517" s="200"/>
      <c r="R517" s="200"/>
      <c r="S517" s="200"/>
      <c r="T517" s="200" t="str">
        <f t="shared" si="77"/>
        <v/>
      </c>
      <c r="U517" s="200"/>
      <c r="V517" s="201" t="str">
        <f t="shared" si="78"/>
        <v/>
      </c>
      <c r="W517" s="202">
        <f t="shared" si="79"/>
        <v>0</v>
      </c>
      <c r="X517" s="172"/>
    </row>
    <row r="518" spans="1:24" x14ac:dyDescent="0.45">
      <c r="A518" s="193">
        <v>32</v>
      </c>
      <c r="B518" s="194" t="str">
        <f t="shared" si="75"/>
        <v/>
      </c>
      <c r="C518" s="170" t="str">
        <f t="shared" si="76"/>
        <v/>
      </c>
      <c r="D518" s="170"/>
      <c r="E518" s="195"/>
      <c r="F518" s="170"/>
      <c r="G518" s="170"/>
      <c r="H518" s="203"/>
      <c r="I518" s="197" t="str">
        <f t="shared" si="80"/>
        <v/>
      </c>
      <c r="J518" s="197" t="str">
        <f t="shared" si="81"/>
        <v/>
      </c>
      <c r="K518" s="197"/>
      <c r="L518" s="197"/>
      <c r="M518" s="198"/>
      <c r="N518" s="198"/>
      <c r="O518" s="198"/>
      <c r="P518" s="199"/>
      <c r="Q518" s="200"/>
      <c r="R518" s="200"/>
      <c r="S518" s="200"/>
      <c r="T518" s="200" t="str">
        <f t="shared" si="77"/>
        <v/>
      </c>
      <c r="U518" s="200"/>
      <c r="V518" s="201" t="str">
        <f t="shared" si="78"/>
        <v/>
      </c>
      <c r="W518" s="202">
        <f t="shared" si="79"/>
        <v>0</v>
      </c>
      <c r="X518" s="172"/>
    </row>
    <row r="519" spans="1:24" x14ac:dyDescent="0.45">
      <c r="A519" s="193">
        <v>33</v>
      </c>
      <c r="B519" s="194" t="str">
        <f t="shared" ref="B519:B552" si="82">IF(OR($C$467="",U519=""),"",LEFT($C$467,FIND("_",$C$467)-1))</f>
        <v/>
      </c>
      <c r="C519" s="170" t="str">
        <f t="shared" ref="C519:C552" si="83">IF(OR($C$467="",U519=""),"",$B$467)</f>
        <v/>
      </c>
      <c r="D519" s="170"/>
      <c r="E519" s="195"/>
      <c r="F519" s="170"/>
      <c r="G519" s="170"/>
      <c r="H519" s="203"/>
      <c r="I519" s="197" t="str">
        <f t="shared" si="80"/>
        <v/>
      </c>
      <c r="J519" s="197" t="str">
        <f t="shared" si="81"/>
        <v/>
      </c>
      <c r="K519" s="197"/>
      <c r="L519" s="197"/>
      <c r="M519" s="198"/>
      <c r="N519" s="198"/>
      <c r="O519" s="198"/>
      <c r="P519" s="199"/>
      <c r="Q519" s="200"/>
      <c r="R519" s="200"/>
      <c r="S519" s="200"/>
      <c r="T519" s="200" t="str">
        <f t="shared" ref="T519:T552" si="84">IF(K519="","",((K519*20)+L519)-((I519*20)+J519))</f>
        <v/>
      </c>
      <c r="U519" s="200"/>
      <c r="V519" s="201" t="str">
        <f t="shared" ref="V519:V550" si="85">IF(U519="","",$V$467)</f>
        <v/>
      </c>
      <c r="W519" s="202">
        <f t="shared" ref="W519:W552" si="86">IF(OR(T519="",U519=""),0,T519*U519)</f>
        <v>0</v>
      </c>
      <c r="X519" s="172"/>
    </row>
    <row r="520" spans="1:24" x14ac:dyDescent="0.45">
      <c r="A520" s="193">
        <v>34</v>
      </c>
      <c r="B520" s="194" t="str">
        <f t="shared" si="82"/>
        <v/>
      </c>
      <c r="C520" s="170" t="str">
        <f t="shared" si="83"/>
        <v/>
      </c>
      <c r="D520" s="170"/>
      <c r="E520" s="195"/>
      <c r="F520" s="170"/>
      <c r="G520" s="170"/>
      <c r="H520" s="203"/>
      <c r="I520" s="197" t="str">
        <f t="shared" ref="I520:I552" si="87">IF(K519="","",K519)</f>
        <v/>
      </c>
      <c r="J520" s="197" t="str">
        <f t="shared" ref="J520:J552" si="88">IF(L519="","",L519)</f>
        <v/>
      </c>
      <c r="K520" s="197"/>
      <c r="L520" s="197"/>
      <c r="M520" s="198"/>
      <c r="N520" s="198"/>
      <c r="O520" s="198"/>
      <c r="P520" s="199"/>
      <c r="Q520" s="200"/>
      <c r="R520" s="200"/>
      <c r="S520" s="200"/>
      <c r="T520" s="200" t="str">
        <f t="shared" si="84"/>
        <v/>
      </c>
      <c r="U520" s="200"/>
      <c r="V520" s="201" t="str">
        <f t="shared" si="85"/>
        <v/>
      </c>
      <c r="W520" s="202">
        <f t="shared" si="86"/>
        <v>0</v>
      </c>
      <c r="X520" s="172"/>
    </row>
    <row r="521" spans="1:24" x14ac:dyDescent="0.45">
      <c r="A521" s="193">
        <v>35</v>
      </c>
      <c r="B521" s="194" t="str">
        <f t="shared" si="82"/>
        <v/>
      </c>
      <c r="C521" s="170" t="str">
        <f t="shared" si="83"/>
        <v/>
      </c>
      <c r="D521" s="170"/>
      <c r="E521" s="195"/>
      <c r="F521" s="170"/>
      <c r="G521" s="170"/>
      <c r="H521" s="203"/>
      <c r="I521" s="197" t="str">
        <f t="shared" si="87"/>
        <v/>
      </c>
      <c r="J521" s="197" t="str">
        <f t="shared" si="88"/>
        <v/>
      </c>
      <c r="K521" s="197"/>
      <c r="L521" s="197"/>
      <c r="M521" s="198"/>
      <c r="N521" s="198"/>
      <c r="O521" s="198"/>
      <c r="P521" s="199"/>
      <c r="Q521" s="200"/>
      <c r="R521" s="200"/>
      <c r="S521" s="200"/>
      <c r="T521" s="200" t="str">
        <f t="shared" si="84"/>
        <v/>
      </c>
      <c r="U521" s="200"/>
      <c r="V521" s="201" t="str">
        <f t="shared" si="85"/>
        <v/>
      </c>
      <c r="W521" s="202">
        <f t="shared" si="86"/>
        <v>0</v>
      </c>
      <c r="X521" s="172"/>
    </row>
    <row r="522" spans="1:24" x14ac:dyDescent="0.45">
      <c r="A522" s="193">
        <v>36</v>
      </c>
      <c r="B522" s="194" t="str">
        <f t="shared" si="82"/>
        <v/>
      </c>
      <c r="C522" s="170" t="str">
        <f t="shared" si="83"/>
        <v/>
      </c>
      <c r="D522" s="170"/>
      <c r="E522" s="195"/>
      <c r="F522" s="170"/>
      <c r="G522" s="170"/>
      <c r="H522" s="203"/>
      <c r="I522" s="197" t="str">
        <f t="shared" si="87"/>
        <v/>
      </c>
      <c r="J522" s="197" t="str">
        <f t="shared" si="88"/>
        <v/>
      </c>
      <c r="K522" s="197"/>
      <c r="L522" s="197"/>
      <c r="M522" s="198"/>
      <c r="N522" s="198"/>
      <c r="O522" s="198"/>
      <c r="P522" s="199"/>
      <c r="Q522" s="200"/>
      <c r="R522" s="200"/>
      <c r="S522" s="200"/>
      <c r="T522" s="200" t="str">
        <f t="shared" si="84"/>
        <v/>
      </c>
      <c r="U522" s="200"/>
      <c r="V522" s="201" t="str">
        <f t="shared" si="85"/>
        <v/>
      </c>
      <c r="W522" s="202">
        <f t="shared" si="86"/>
        <v>0</v>
      </c>
      <c r="X522" s="172"/>
    </row>
    <row r="523" spans="1:24" x14ac:dyDescent="0.45">
      <c r="A523" s="193">
        <v>37</v>
      </c>
      <c r="B523" s="194" t="str">
        <f t="shared" si="82"/>
        <v/>
      </c>
      <c r="C523" s="170" t="str">
        <f t="shared" si="83"/>
        <v/>
      </c>
      <c r="D523" s="170"/>
      <c r="E523" s="195"/>
      <c r="F523" s="170"/>
      <c r="G523" s="170"/>
      <c r="H523" s="203"/>
      <c r="I523" s="197" t="str">
        <f t="shared" si="87"/>
        <v/>
      </c>
      <c r="J523" s="197" t="str">
        <f t="shared" si="88"/>
        <v/>
      </c>
      <c r="K523" s="197"/>
      <c r="L523" s="197"/>
      <c r="M523" s="198"/>
      <c r="N523" s="198"/>
      <c r="O523" s="198"/>
      <c r="P523" s="199"/>
      <c r="Q523" s="200"/>
      <c r="R523" s="200"/>
      <c r="S523" s="200"/>
      <c r="T523" s="200" t="str">
        <f t="shared" si="84"/>
        <v/>
      </c>
      <c r="U523" s="200"/>
      <c r="V523" s="201" t="str">
        <f t="shared" si="85"/>
        <v/>
      </c>
      <c r="W523" s="202">
        <f t="shared" si="86"/>
        <v>0</v>
      </c>
      <c r="X523" s="172"/>
    </row>
    <row r="524" spans="1:24" x14ac:dyDescent="0.45">
      <c r="A524" s="193">
        <v>38</v>
      </c>
      <c r="B524" s="194" t="str">
        <f t="shared" si="82"/>
        <v/>
      </c>
      <c r="C524" s="170" t="str">
        <f t="shared" si="83"/>
        <v/>
      </c>
      <c r="D524" s="170"/>
      <c r="E524" s="195"/>
      <c r="F524" s="170"/>
      <c r="G524" s="170"/>
      <c r="H524" s="203"/>
      <c r="I524" s="197" t="str">
        <f t="shared" si="87"/>
        <v/>
      </c>
      <c r="J524" s="197" t="str">
        <f t="shared" si="88"/>
        <v/>
      </c>
      <c r="K524" s="197"/>
      <c r="L524" s="197"/>
      <c r="M524" s="198"/>
      <c r="N524" s="198"/>
      <c r="O524" s="198"/>
      <c r="P524" s="199"/>
      <c r="Q524" s="200"/>
      <c r="R524" s="200"/>
      <c r="S524" s="200"/>
      <c r="T524" s="200" t="str">
        <f t="shared" si="84"/>
        <v/>
      </c>
      <c r="U524" s="200"/>
      <c r="V524" s="201" t="str">
        <f t="shared" si="85"/>
        <v/>
      </c>
      <c r="W524" s="202">
        <f t="shared" si="86"/>
        <v>0</v>
      </c>
      <c r="X524" s="172"/>
    </row>
    <row r="525" spans="1:24" x14ac:dyDescent="0.45">
      <c r="A525" s="193">
        <v>39</v>
      </c>
      <c r="B525" s="194" t="str">
        <f t="shared" si="82"/>
        <v/>
      </c>
      <c r="C525" s="170" t="str">
        <f t="shared" si="83"/>
        <v/>
      </c>
      <c r="D525" s="170"/>
      <c r="E525" s="195"/>
      <c r="F525" s="170"/>
      <c r="G525" s="170"/>
      <c r="H525" s="203"/>
      <c r="I525" s="197" t="str">
        <f t="shared" si="87"/>
        <v/>
      </c>
      <c r="J525" s="197" t="str">
        <f t="shared" si="88"/>
        <v/>
      </c>
      <c r="K525" s="197"/>
      <c r="L525" s="197"/>
      <c r="M525" s="198"/>
      <c r="N525" s="198"/>
      <c r="O525" s="198"/>
      <c r="P525" s="199"/>
      <c r="Q525" s="200"/>
      <c r="R525" s="200"/>
      <c r="S525" s="200"/>
      <c r="T525" s="200" t="str">
        <f t="shared" si="84"/>
        <v/>
      </c>
      <c r="U525" s="200"/>
      <c r="V525" s="201" t="str">
        <f t="shared" si="85"/>
        <v/>
      </c>
      <c r="W525" s="202">
        <f t="shared" si="86"/>
        <v>0</v>
      </c>
      <c r="X525" s="172"/>
    </row>
    <row r="526" spans="1:24" x14ac:dyDescent="0.45">
      <c r="A526" s="193">
        <v>40</v>
      </c>
      <c r="B526" s="194" t="str">
        <f t="shared" si="82"/>
        <v/>
      </c>
      <c r="C526" s="170" t="str">
        <f t="shared" si="83"/>
        <v/>
      </c>
      <c r="D526" s="170"/>
      <c r="E526" s="195"/>
      <c r="F526" s="170"/>
      <c r="G526" s="170"/>
      <c r="H526" s="203"/>
      <c r="I526" s="197" t="str">
        <f t="shared" si="87"/>
        <v/>
      </c>
      <c r="J526" s="197" t="str">
        <f t="shared" si="88"/>
        <v/>
      </c>
      <c r="K526" s="197"/>
      <c r="L526" s="197"/>
      <c r="M526" s="198"/>
      <c r="N526" s="198"/>
      <c r="O526" s="198"/>
      <c r="P526" s="199"/>
      <c r="Q526" s="200"/>
      <c r="R526" s="200"/>
      <c r="S526" s="200"/>
      <c r="T526" s="200" t="str">
        <f t="shared" si="84"/>
        <v/>
      </c>
      <c r="U526" s="200"/>
      <c r="V526" s="201" t="str">
        <f t="shared" si="85"/>
        <v/>
      </c>
      <c r="W526" s="202">
        <f t="shared" si="86"/>
        <v>0</v>
      </c>
      <c r="X526" s="172"/>
    </row>
    <row r="527" spans="1:24" x14ac:dyDescent="0.45">
      <c r="A527" s="193">
        <v>41</v>
      </c>
      <c r="B527" s="194" t="str">
        <f t="shared" si="82"/>
        <v/>
      </c>
      <c r="C527" s="170" t="str">
        <f t="shared" si="83"/>
        <v/>
      </c>
      <c r="D527" s="170"/>
      <c r="E527" s="195"/>
      <c r="F527" s="170"/>
      <c r="G527" s="170"/>
      <c r="H527" s="203"/>
      <c r="I527" s="197" t="str">
        <f t="shared" si="87"/>
        <v/>
      </c>
      <c r="J527" s="197" t="str">
        <f t="shared" si="88"/>
        <v/>
      </c>
      <c r="K527" s="197"/>
      <c r="L527" s="197"/>
      <c r="M527" s="198"/>
      <c r="N527" s="198"/>
      <c r="O527" s="198"/>
      <c r="P527" s="199"/>
      <c r="Q527" s="200"/>
      <c r="R527" s="200"/>
      <c r="S527" s="200"/>
      <c r="T527" s="200" t="str">
        <f t="shared" si="84"/>
        <v/>
      </c>
      <c r="U527" s="200"/>
      <c r="V527" s="201" t="str">
        <f t="shared" si="85"/>
        <v/>
      </c>
      <c r="W527" s="202">
        <f t="shared" si="86"/>
        <v>0</v>
      </c>
      <c r="X527" s="172"/>
    </row>
    <row r="528" spans="1:24" x14ac:dyDescent="0.45">
      <c r="A528" s="193">
        <v>42</v>
      </c>
      <c r="B528" s="194" t="str">
        <f t="shared" si="82"/>
        <v/>
      </c>
      <c r="C528" s="170" t="str">
        <f t="shared" si="83"/>
        <v/>
      </c>
      <c r="D528" s="170"/>
      <c r="E528" s="195"/>
      <c r="F528" s="170"/>
      <c r="G528" s="170"/>
      <c r="H528" s="203"/>
      <c r="I528" s="197" t="str">
        <f t="shared" si="87"/>
        <v/>
      </c>
      <c r="J528" s="197" t="str">
        <f t="shared" si="88"/>
        <v/>
      </c>
      <c r="K528" s="197"/>
      <c r="L528" s="197"/>
      <c r="M528" s="198"/>
      <c r="N528" s="198"/>
      <c r="O528" s="198"/>
      <c r="P528" s="199"/>
      <c r="Q528" s="200"/>
      <c r="R528" s="200"/>
      <c r="S528" s="200"/>
      <c r="T528" s="200" t="str">
        <f t="shared" si="84"/>
        <v/>
      </c>
      <c r="U528" s="200"/>
      <c r="V528" s="201" t="str">
        <f t="shared" si="85"/>
        <v/>
      </c>
      <c r="W528" s="202">
        <f t="shared" si="86"/>
        <v>0</v>
      </c>
      <c r="X528" s="172"/>
    </row>
    <row r="529" spans="1:24" x14ac:dyDescent="0.45">
      <c r="A529" s="193">
        <v>43</v>
      </c>
      <c r="B529" s="194" t="str">
        <f t="shared" si="82"/>
        <v/>
      </c>
      <c r="C529" s="170" t="str">
        <f t="shared" si="83"/>
        <v/>
      </c>
      <c r="D529" s="170"/>
      <c r="E529" s="195"/>
      <c r="F529" s="170"/>
      <c r="G529" s="170"/>
      <c r="H529" s="203"/>
      <c r="I529" s="197" t="str">
        <f t="shared" si="87"/>
        <v/>
      </c>
      <c r="J529" s="197" t="str">
        <f t="shared" si="88"/>
        <v/>
      </c>
      <c r="K529" s="197"/>
      <c r="L529" s="197"/>
      <c r="M529" s="198"/>
      <c r="N529" s="198"/>
      <c r="O529" s="198"/>
      <c r="P529" s="199"/>
      <c r="Q529" s="200"/>
      <c r="R529" s="200"/>
      <c r="S529" s="200"/>
      <c r="T529" s="200" t="str">
        <f t="shared" si="84"/>
        <v/>
      </c>
      <c r="U529" s="200"/>
      <c r="V529" s="201" t="str">
        <f t="shared" si="85"/>
        <v/>
      </c>
      <c r="W529" s="202">
        <f t="shared" si="86"/>
        <v>0</v>
      </c>
      <c r="X529" s="172"/>
    </row>
    <row r="530" spans="1:24" x14ac:dyDescent="0.45">
      <c r="A530" s="193">
        <v>44</v>
      </c>
      <c r="B530" s="194" t="str">
        <f t="shared" si="82"/>
        <v/>
      </c>
      <c r="C530" s="170" t="str">
        <f t="shared" si="83"/>
        <v/>
      </c>
      <c r="D530" s="170"/>
      <c r="E530" s="195"/>
      <c r="F530" s="170"/>
      <c r="G530" s="170"/>
      <c r="H530" s="203"/>
      <c r="I530" s="197" t="str">
        <f t="shared" si="87"/>
        <v/>
      </c>
      <c r="J530" s="197" t="str">
        <f t="shared" si="88"/>
        <v/>
      </c>
      <c r="K530" s="197"/>
      <c r="L530" s="197"/>
      <c r="M530" s="198"/>
      <c r="N530" s="198"/>
      <c r="O530" s="198"/>
      <c r="P530" s="199"/>
      <c r="Q530" s="200"/>
      <c r="R530" s="200"/>
      <c r="S530" s="200"/>
      <c r="T530" s="200" t="str">
        <f t="shared" si="84"/>
        <v/>
      </c>
      <c r="U530" s="200"/>
      <c r="V530" s="201" t="str">
        <f t="shared" si="85"/>
        <v/>
      </c>
      <c r="W530" s="202">
        <f t="shared" si="86"/>
        <v>0</v>
      </c>
      <c r="X530" s="172"/>
    </row>
    <row r="531" spans="1:24" x14ac:dyDescent="0.45">
      <c r="A531" s="193">
        <v>45</v>
      </c>
      <c r="B531" s="194" t="str">
        <f t="shared" si="82"/>
        <v/>
      </c>
      <c r="C531" s="170" t="str">
        <f t="shared" si="83"/>
        <v/>
      </c>
      <c r="D531" s="170"/>
      <c r="E531" s="195"/>
      <c r="F531" s="170"/>
      <c r="G531" s="170"/>
      <c r="H531" s="203"/>
      <c r="I531" s="197" t="str">
        <f t="shared" si="87"/>
        <v/>
      </c>
      <c r="J531" s="197" t="str">
        <f t="shared" si="88"/>
        <v/>
      </c>
      <c r="K531" s="197"/>
      <c r="L531" s="197"/>
      <c r="M531" s="198"/>
      <c r="N531" s="198"/>
      <c r="O531" s="198"/>
      <c r="P531" s="199"/>
      <c r="Q531" s="200"/>
      <c r="R531" s="200"/>
      <c r="S531" s="200"/>
      <c r="T531" s="200" t="str">
        <f t="shared" si="84"/>
        <v/>
      </c>
      <c r="U531" s="200"/>
      <c r="V531" s="201" t="str">
        <f t="shared" si="85"/>
        <v/>
      </c>
      <c r="W531" s="202">
        <f t="shared" si="86"/>
        <v>0</v>
      </c>
      <c r="X531" s="172"/>
    </row>
    <row r="532" spans="1:24" x14ac:dyDescent="0.45">
      <c r="A532" s="193">
        <v>46</v>
      </c>
      <c r="B532" s="194" t="str">
        <f t="shared" si="82"/>
        <v/>
      </c>
      <c r="C532" s="170" t="str">
        <f t="shared" si="83"/>
        <v/>
      </c>
      <c r="D532" s="170"/>
      <c r="E532" s="195"/>
      <c r="F532" s="170"/>
      <c r="G532" s="170"/>
      <c r="H532" s="203"/>
      <c r="I532" s="197" t="str">
        <f t="shared" si="87"/>
        <v/>
      </c>
      <c r="J532" s="197" t="str">
        <f t="shared" si="88"/>
        <v/>
      </c>
      <c r="K532" s="197"/>
      <c r="L532" s="197"/>
      <c r="M532" s="198"/>
      <c r="N532" s="198"/>
      <c r="O532" s="198"/>
      <c r="P532" s="199"/>
      <c r="Q532" s="200"/>
      <c r="R532" s="200"/>
      <c r="S532" s="200"/>
      <c r="T532" s="200" t="str">
        <f t="shared" si="84"/>
        <v/>
      </c>
      <c r="U532" s="200"/>
      <c r="V532" s="201" t="str">
        <f t="shared" si="85"/>
        <v/>
      </c>
      <c r="W532" s="202">
        <f t="shared" si="86"/>
        <v>0</v>
      </c>
      <c r="X532" s="172"/>
    </row>
    <row r="533" spans="1:24" x14ac:dyDescent="0.45">
      <c r="A533" s="193">
        <v>47</v>
      </c>
      <c r="B533" s="194" t="str">
        <f t="shared" si="82"/>
        <v/>
      </c>
      <c r="C533" s="170" t="str">
        <f t="shared" si="83"/>
        <v/>
      </c>
      <c r="D533" s="170"/>
      <c r="E533" s="195"/>
      <c r="F533" s="170"/>
      <c r="G533" s="170"/>
      <c r="H533" s="203"/>
      <c r="I533" s="197" t="str">
        <f t="shared" si="87"/>
        <v/>
      </c>
      <c r="J533" s="197" t="str">
        <f t="shared" si="88"/>
        <v/>
      </c>
      <c r="K533" s="197"/>
      <c r="L533" s="197"/>
      <c r="M533" s="198"/>
      <c r="N533" s="198"/>
      <c r="O533" s="198"/>
      <c r="P533" s="199"/>
      <c r="Q533" s="200"/>
      <c r="R533" s="200"/>
      <c r="S533" s="200"/>
      <c r="T533" s="200" t="str">
        <f t="shared" si="84"/>
        <v/>
      </c>
      <c r="U533" s="200"/>
      <c r="V533" s="201" t="str">
        <f t="shared" si="85"/>
        <v/>
      </c>
      <c r="W533" s="202">
        <f t="shared" si="86"/>
        <v>0</v>
      </c>
      <c r="X533" s="172"/>
    </row>
    <row r="534" spans="1:24" x14ac:dyDescent="0.45">
      <c r="A534" s="193">
        <v>48</v>
      </c>
      <c r="B534" s="194" t="str">
        <f t="shared" si="82"/>
        <v/>
      </c>
      <c r="C534" s="170" t="str">
        <f t="shared" si="83"/>
        <v/>
      </c>
      <c r="D534" s="170"/>
      <c r="E534" s="195"/>
      <c r="F534" s="170"/>
      <c r="G534" s="170"/>
      <c r="H534" s="203"/>
      <c r="I534" s="197" t="str">
        <f t="shared" si="87"/>
        <v/>
      </c>
      <c r="J534" s="197" t="str">
        <f t="shared" si="88"/>
        <v/>
      </c>
      <c r="K534" s="197"/>
      <c r="L534" s="197"/>
      <c r="M534" s="198"/>
      <c r="N534" s="198"/>
      <c r="O534" s="198"/>
      <c r="P534" s="199"/>
      <c r="Q534" s="200"/>
      <c r="R534" s="200"/>
      <c r="S534" s="200"/>
      <c r="T534" s="200" t="str">
        <f t="shared" si="84"/>
        <v/>
      </c>
      <c r="U534" s="200"/>
      <c r="V534" s="201" t="str">
        <f t="shared" si="85"/>
        <v/>
      </c>
      <c r="W534" s="202">
        <f t="shared" si="86"/>
        <v>0</v>
      </c>
      <c r="X534" s="172"/>
    </row>
    <row r="535" spans="1:24" x14ac:dyDescent="0.45">
      <c r="A535" s="193">
        <v>49</v>
      </c>
      <c r="B535" s="194" t="str">
        <f t="shared" si="82"/>
        <v/>
      </c>
      <c r="C535" s="170" t="str">
        <f t="shared" si="83"/>
        <v/>
      </c>
      <c r="D535" s="170"/>
      <c r="E535" s="195"/>
      <c r="F535" s="170"/>
      <c r="G535" s="170"/>
      <c r="H535" s="203"/>
      <c r="I535" s="197" t="str">
        <f t="shared" si="87"/>
        <v/>
      </c>
      <c r="J535" s="197" t="str">
        <f t="shared" si="88"/>
        <v/>
      </c>
      <c r="K535" s="197"/>
      <c r="L535" s="197"/>
      <c r="M535" s="198"/>
      <c r="N535" s="198"/>
      <c r="O535" s="198"/>
      <c r="P535" s="199"/>
      <c r="Q535" s="200"/>
      <c r="R535" s="200"/>
      <c r="S535" s="200"/>
      <c r="T535" s="200" t="str">
        <f t="shared" si="84"/>
        <v/>
      </c>
      <c r="U535" s="200"/>
      <c r="V535" s="201" t="str">
        <f t="shared" si="85"/>
        <v/>
      </c>
      <c r="W535" s="202">
        <f t="shared" si="86"/>
        <v>0</v>
      </c>
      <c r="X535" s="172"/>
    </row>
    <row r="536" spans="1:24" x14ac:dyDescent="0.45">
      <c r="A536" s="193">
        <v>50</v>
      </c>
      <c r="B536" s="194" t="str">
        <f t="shared" si="82"/>
        <v/>
      </c>
      <c r="C536" s="170" t="str">
        <f t="shared" si="83"/>
        <v/>
      </c>
      <c r="D536" s="170"/>
      <c r="E536" s="195"/>
      <c r="F536" s="170"/>
      <c r="G536" s="170"/>
      <c r="H536" s="203"/>
      <c r="I536" s="197" t="str">
        <f t="shared" si="87"/>
        <v/>
      </c>
      <c r="J536" s="197" t="str">
        <f t="shared" si="88"/>
        <v/>
      </c>
      <c r="K536" s="197"/>
      <c r="L536" s="197"/>
      <c r="M536" s="198"/>
      <c r="N536" s="198"/>
      <c r="O536" s="198"/>
      <c r="P536" s="199"/>
      <c r="Q536" s="200"/>
      <c r="R536" s="200"/>
      <c r="S536" s="200"/>
      <c r="T536" s="200" t="str">
        <f t="shared" si="84"/>
        <v/>
      </c>
      <c r="U536" s="200"/>
      <c r="V536" s="201" t="str">
        <f t="shared" si="85"/>
        <v/>
      </c>
      <c r="W536" s="202">
        <f t="shared" si="86"/>
        <v>0</v>
      </c>
      <c r="X536" s="172"/>
    </row>
    <row r="537" spans="1:24" x14ac:dyDescent="0.45">
      <c r="A537" s="193">
        <v>51</v>
      </c>
      <c r="B537" s="194" t="str">
        <f t="shared" si="82"/>
        <v/>
      </c>
      <c r="C537" s="170" t="str">
        <f t="shared" si="83"/>
        <v/>
      </c>
      <c r="D537" s="170"/>
      <c r="E537" s="195"/>
      <c r="F537" s="170"/>
      <c r="G537" s="170"/>
      <c r="H537" s="203"/>
      <c r="I537" s="197" t="str">
        <f t="shared" si="87"/>
        <v/>
      </c>
      <c r="J537" s="197" t="str">
        <f t="shared" si="88"/>
        <v/>
      </c>
      <c r="K537" s="197"/>
      <c r="L537" s="197"/>
      <c r="M537" s="198"/>
      <c r="N537" s="198"/>
      <c r="O537" s="198"/>
      <c r="P537" s="199"/>
      <c r="Q537" s="200"/>
      <c r="R537" s="200"/>
      <c r="S537" s="200"/>
      <c r="T537" s="200" t="str">
        <f t="shared" si="84"/>
        <v/>
      </c>
      <c r="U537" s="200"/>
      <c r="V537" s="201" t="str">
        <f t="shared" si="85"/>
        <v/>
      </c>
      <c r="W537" s="202">
        <f t="shared" si="86"/>
        <v>0</v>
      </c>
      <c r="X537" s="172"/>
    </row>
    <row r="538" spans="1:24" x14ac:dyDescent="0.45">
      <c r="A538" s="193">
        <v>52</v>
      </c>
      <c r="B538" s="194" t="str">
        <f t="shared" si="82"/>
        <v/>
      </c>
      <c r="C538" s="170" t="str">
        <f t="shared" si="83"/>
        <v/>
      </c>
      <c r="D538" s="170"/>
      <c r="E538" s="195"/>
      <c r="F538" s="170"/>
      <c r="G538" s="170"/>
      <c r="H538" s="203"/>
      <c r="I538" s="197" t="str">
        <f t="shared" si="87"/>
        <v/>
      </c>
      <c r="J538" s="197" t="str">
        <f t="shared" si="88"/>
        <v/>
      </c>
      <c r="K538" s="197"/>
      <c r="L538" s="197"/>
      <c r="M538" s="198"/>
      <c r="N538" s="198"/>
      <c r="O538" s="198"/>
      <c r="P538" s="199"/>
      <c r="Q538" s="200"/>
      <c r="R538" s="200"/>
      <c r="S538" s="200"/>
      <c r="T538" s="200" t="str">
        <f t="shared" si="84"/>
        <v/>
      </c>
      <c r="U538" s="200"/>
      <c r="V538" s="201" t="str">
        <f t="shared" si="85"/>
        <v/>
      </c>
      <c r="W538" s="202">
        <f t="shared" si="86"/>
        <v>0</v>
      </c>
      <c r="X538" s="172"/>
    </row>
    <row r="539" spans="1:24" x14ac:dyDescent="0.45">
      <c r="A539" s="193">
        <v>53</v>
      </c>
      <c r="B539" s="194" t="str">
        <f t="shared" si="82"/>
        <v/>
      </c>
      <c r="C539" s="170" t="str">
        <f t="shared" si="83"/>
        <v/>
      </c>
      <c r="D539" s="170"/>
      <c r="E539" s="195"/>
      <c r="F539" s="170"/>
      <c r="G539" s="170"/>
      <c r="H539" s="203"/>
      <c r="I539" s="197" t="str">
        <f t="shared" si="87"/>
        <v/>
      </c>
      <c r="J539" s="197" t="str">
        <f t="shared" si="88"/>
        <v/>
      </c>
      <c r="K539" s="197"/>
      <c r="L539" s="197"/>
      <c r="M539" s="198"/>
      <c r="N539" s="198"/>
      <c r="O539" s="198"/>
      <c r="P539" s="199"/>
      <c r="Q539" s="200"/>
      <c r="R539" s="200"/>
      <c r="S539" s="200"/>
      <c r="T539" s="200" t="str">
        <f t="shared" si="84"/>
        <v/>
      </c>
      <c r="U539" s="200"/>
      <c r="V539" s="201" t="str">
        <f t="shared" si="85"/>
        <v/>
      </c>
      <c r="W539" s="202">
        <f t="shared" si="86"/>
        <v>0</v>
      </c>
      <c r="X539" s="172"/>
    </row>
    <row r="540" spans="1:24" x14ac:dyDescent="0.45">
      <c r="A540" s="193">
        <v>54</v>
      </c>
      <c r="B540" s="194" t="str">
        <f t="shared" si="82"/>
        <v/>
      </c>
      <c r="C540" s="170" t="str">
        <f t="shared" si="83"/>
        <v/>
      </c>
      <c r="D540" s="170"/>
      <c r="E540" s="195"/>
      <c r="F540" s="170"/>
      <c r="G540" s="170"/>
      <c r="H540" s="203"/>
      <c r="I540" s="197" t="str">
        <f t="shared" si="87"/>
        <v/>
      </c>
      <c r="J540" s="197" t="str">
        <f t="shared" si="88"/>
        <v/>
      </c>
      <c r="K540" s="197"/>
      <c r="L540" s="197"/>
      <c r="M540" s="198"/>
      <c r="N540" s="198"/>
      <c r="O540" s="198"/>
      <c r="P540" s="199"/>
      <c r="Q540" s="200"/>
      <c r="R540" s="200"/>
      <c r="S540" s="200"/>
      <c r="T540" s="200" t="str">
        <f t="shared" si="84"/>
        <v/>
      </c>
      <c r="U540" s="200"/>
      <c r="V540" s="201" t="str">
        <f t="shared" si="85"/>
        <v/>
      </c>
      <c r="W540" s="202">
        <f t="shared" si="86"/>
        <v>0</v>
      </c>
      <c r="X540" s="172"/>
    </row>
    <row r="541" spans="1:24" x14ac:dyDescent="0.45">
      <c r="A541" s="193">
        <v>55</v>
      </c>
      <c r="B541" s="194" t="str">
        <f t="shared" si="82"/>
        <v/>
      </c>
      <c r="C541" s="170" t="str">
        <f t="shared" si="83"/>
        <v/>
      </c>
      <c r="D541" s="170"/>
      <c r="E541" s="195"/>
      <c r="F541" s="170"/>
      <c r="G541" s="170"/>
      <c r="H541" s="203"/>
      <c r="I541" s="197" t="str">
        <f t="shared" si="87"/>
        <v/>
      </c>
      <c r="J541" s="197" t="str">
        <f t="shared" si="88"/>
        <v/>
      </c>
      <c r="K541" s="197"/>
      <c r="L541" s="197"/>
      <c r="M541" s="198"/>
      <c r="N541" s="198"/>
      <c r="O541" s="198"/>
      <c r="P541" s="199"/>
      <c r="Q541" s="200"/>
      <c r="R541" s="200"/>
      <c r="S541" s="200"/>
      <c r="T541" s="200" t="str">
        <f t="shared" si="84"/>
        <v/>
      </c>
      <c r="U541" s="200"/>
      <c r="V541" s="201" t="str">
        <f t="shared" si="85"/>
        <v/>
      </c>
      <c r="W541" s="202">
        <f t="shared" si="86"/>
        <v>0</v>
      </c>
      <c r="X541" s="172"/>
    </row>
    <row r="542" spans="1:24" x14ac:dyDescent="0.45">
      <c r="A542" s="193">
        <v>56</v>
      </c>
      <c r="B542" s="194" t="str">
        <f t="shared" si="82"/>
        <v/>
      </c>
      <c r="C542" s="170" t="str">
        <f t="shared" si="83"/>
        <v/>
      </c>
      <c r="D542" s="170"/>
      <c r="E542" s="195"/>
      <c r="F542" s="170"/>
      <c r="G542" s="170"/>
      <c r="H542" s="203"/>
      <c r="I542" s="197" t="str">
        <f t="shared" si="87"/>
        <v/>
      </c>
      <c r="J542" s="197" t="str">
        <f t="shared" si="88"/>
        <v/>
      </c>
      <c r="K542" s="197"/>
      <c r="L542" s="197"/>
      <c r="M542" s="198"/>
      <c r="N542" s="198"/>
      <c r="O542" s="198"/>
      <c r="P542" s="199"/>
      <c r="Q542" s="200"/>
      <c r="R542" s="200"/>
      <c r="S542" s="200"/>
      <c r="T542" s="200" t="str">
        <f t="shared" si="84"/>
        <v/>
      </c>
      <c r="U542" s="200"/>
      <c r="V542" s="201" t="str">
        <f t="shared" si="85"/>
        <v/>
      </c>
      <c r="W542" s="202">
        <f t="shared" si="86"/>
        <v>0</v>
      </c>
      <c r="X542" s="172"/>
    </row>
    <row r="543" spans="1:24" x14ac:dyDescent="0.45">
      <c r="A543" s="193">
        <v>57</v>
      </c>
      <c r="B543" s="194" t="str">
        <f t="shared" si="82"/>
        <v/>
      </c>
      <c r="C543" s="170" t="str">
        <f t="shared" si="83"/>
        <v/>
      </c>
      <c r="D543" s="170"/>
      <c r="E543" s="195"/>
      <c r="F543" s="170"/>
      <c r="G543" s="170"/>
      <c r="H543" s="203"/>
      <c r="I543" s="197" t="str">
        <f t="shared" si="87"/>
        <v/>
      </c>
      <c r="J543" s="197" t="str">
        <f t="shared" si="88"/>
        <v/>
      </c>
      <c r="K543" s="197"/>
      <c r="L543" s="197"/>
      <c r="M543" s="198"/>
      <c r="N543" s="198"/>
      <c r="O543" s="198"/>
      <c r="P543" s="199"/>
      <c r="Q543" s="200"/>
      <c r="R543" s="200"/>
      <c r="S543" s="200"/>
      <c r="T543" s="200" t="str">
        <f t="shared" si="84"/>
        <v/>
      </c>
      <c r="U543" s="200"/>
      <c r="V543" s="201" t="str">
        <f t="shared" si="85"/>
        <v/>
      </c>
      <c r="W543" s="202">
        <f t="shared" si="86"/>
        <v>0</v>
      </c>
      <c r="X543" s="172"/>
    </row>
    <row r="544" spans="1:24" x14ac:dyDescent="0.45">
      <c r="A544" s="193">
        <v>58</v>
      </c>
      <c r="B544" s="194" t="str">
        <f t="shared" si="82"/>
        <v/>
      </c>
      <c r="C544" s="170" t="str">
        <f t="shared" si="83"/>
        <v/>
      </c>
      <c r="D544" s="170"/>
      <c r="E544" s="195"/>
      <c r="F544" s="170"/>
      <c r="G544" s="170"/>
      <c r="H544" s="203"/>
      <c r="I544" s="197" t="str">
        <f t="shared" si="87"/>
        <v/>
      </c>
      <c r="J544" s="197" t="str">
        <f t="shared" si="88"/>
        <v/>
      </c>
      <c r="K544" s="197"/>
      <c r="L544" s="197"/>
      <c r="M544" s="198"/>
      <c r="N544" s="198"/>
      <c r="O544" s="198"/>
      <c r="P544" s="199"/>
      <c r="Q544" s="200"/>
      <c r="R544" s="200"/>
      <c r="S544" s="200"/>
      <c r="T544" s="200" t="str">
        <f t="shared" si="84"/>
        <v/>
      </c>
      <c r="U544" s="200"/>
      <c r="V544" s="201" t="str">
        <f t="shared" si="85"/>
        <v/>
      </c>
      <c r="W544" s="202">
        <f t="shared" si="86"/>
        <v>0</v>
      </c>
      <c r="X544" s="172"/>
    </row>
    <row r="545" spans="1:24" x14ac:dyDescent="0.45">
      <c r="A545" s="193">
        <v>59</v>
      </c>
      <c r="B545" s="194" t="str">
        <f t="shared" si="82"/>
        <v/>
      </c>
      <c r="C545" s="170" t="str">
        <f t="shared" si="83"/>
        <v/>
      </c>
      <c r="D545" s="170"/>
      <c r="E545" s="195"/>
      <c r="F545" s="170"/>
      <c r="G545" s="170"/>
      <c r="H545" s="203"/>
      <c r="I545" s="197" t="str">
        <f t="shared" si="87"/>
        <v/>
      </c>
      <c r="J545" s="197" t="str">
        <f t="shared" si="88"/>
        <v/>
      </c>
      <c r="K545" s="197"/>
      <c r="L545" s="197"/>
      <c r="M545" s="198"/>
      <c r="N545" s="198"/>
      <c r="O545" s="198"/>
      <c r="P545" s="199"/>
      <c r="Q545" s="200"/>
      <c r="R545" s="200"/>
      <c r="S545" s="200"/>
      <c r="T545" s="200" t="str">
        <f t="shared" si="84"/>
        <v/>
      </c>
      <c r="U545" s="200"/>
      <c r="V545" s="201" t="str">
        <f t="shared" si="85"/>
        <v/>
      </c>
      <c r="W545" s="202">
        <f t="shared" si="86"/>
        <v>0</v>
      </c>
      <c r="X545" s="172"/>
    </row>
    <row r="546" spans="1:24" x14ac:dyDescent="0.45">
      <c r="A546" s="193">
        <v>60</v>
      </c>
      <c r="B546" s="194" t="str">
        <f t="shared" si="82"/>
        <v/>
      </c>
      <c r="C546" s="170" t="str">
        <f t="shared" si="83"/>
        <v/>
      </c>
      <c r="D546" s="170"/>
      <c r="E546" s="195"/>
      <c r="F546" s="170"/>
      <c r="G546" s="170"/>
      <c r="H546" s="203"/>
      <c r="I546" s="197" t="str">
        <f t="shared" si="87"/>
        <v/>
      </c>
      <c r="J546" s="197" t="str">
        <f t="shared" si="88"/>
        <v/>
      </c>
      <c r="K546" s="197"/>
      <c r="L546" s="197"/>
      <c r="M546" s="198"/>
      <c r="N546" s="198"/>
      <c r="O546" s="198"/>
      <c r="P546" s="199"/>
      <c r="Q546" s="200"/>
      <c r="R546" s="200"/>
      <c r="S546" s="200"/>
      <c r="T546" s="200" t="str">
        <f t="shared" si="84"/>
        <v/>
      </c>
      <c r="U546" s="200"/>
      <c r="V546" s="201" t="str">
        <f t="shared" si="85"/>
        <v/>
      </c>
      <c r="W546" s="202">
        <f t="shared" si="86"/>
        <v>0</v>
      </c>
      <c r="X546" s="172"/>
    </row>
    <row r="547" spans="1:24" x14ac:dyDescent="0.45">
      <c r="A547" s="193">
        <v>61</v>
      </c>
      <c r="B547" s="194" t="str">
        <f t="shared" si="82"/>
        <v/>
      </c>
      <c r="C547" s="170" t="str">
        <f t="shared" si="83"/>
        <v/>
      </c>
      <c r="D547" s="170"/>
      <c r="E547" s="195"/>
      <c r="F547" s="170"/>
      <c r="G547" s="170"/>
      <c r="H547" s="203"/>
      <c r="I547" s="197" t="str">
        <f t="shared" si="87"/>
        <v/>
      </c>
      <c r="J547" s="197" t="str">
        <f t="shared" si="88"/>
        <v/>
      </c>
      <c r="K547" s="197"/>
      <c r="L547" s="197"/>
      <c r="M547" s="198"/>
      <c r="N547" s="198"/>
      <c r="O547" s="198"/>
      <c r="P547" s="199"/>
      <c r="Q547" s="200"/>
      <c r="R547" s="200"/>
      <c r="S547" s="200"/>
      <c r="T547" s="200" t="str">
        <f t="shared" si="84"/>
        <v/>
      </c>
      <c r="U547" s="200"/>
      <c r="V547" s="201" t="str">
        <f t="shared" si="85"/>
        <v/>
      </c>
      <c r="W547" s="202">
        <f t="shared" si="86"/>
        <v>0</v>
      </c>
      <c r="X547" s="172"/>
    </row>
    <row r="548" spans="1:24" x14ac:dyDescent="0.45">
      <c r="A548" s="193">
        <v>62</v>
      </c>
      <c r="B548" s="194" t="str">
        <f t="shared" si="82"/>
        <v/>
      </c>
      <c r="C548" s="170" t="str">
        <f t="shared" si="83"/>
        <v/>
      </c>
      <c r="D548" s="170"/>
      <c r="E548" s="195"/>
      <c r="F548" s="170"/>
      <c r="G548" s="170"/>
      <c r="H548" s="203"/>
      <c r="I548" s="197" t="str">
        <f t="shared" si="87"/>
        <v/>
      </c>
      <c r="J548" s="197" t="str">
        <f t="shared" si="88"/>
        <v/>
      </c>
      <c r="K548" s="197"/>
      <c r="L548" s="197"/>
      <c r="M548" s="198"/>
      <c r="N548" s="198"/>
      <c r="O548" s="198"/>
      <c r="P548" s="199"/>
      <c r="Q548" s="200"/>
      <c r="R548" s="200"/>
      <c r="S548" s="200"/>
      <c r="T548" s="200" t="str">
        <f t="shared" si="84"/>
        <v/>
      </c>
      <c r="U548" s="200"/>
      <c r="V548" s="201" t="str">
        <f t="shared" si="85"/>
        <v/>
      </c>
      <c r="W548" s="202">
        <f t="shared" si="86"/>
        <v>0</v>
      </c>
      <c r="X548" s="172"/>
    </row>
    <row r="549" spans="1:24" x14ac:dyDescent="0.45">
      <c r="A549" s="193">
        <v>63</v>
      </c>
      <c r="B549" s="194" t="str">
        <f t="shared" si="82"/>
        <v/>
      </c>
      <c r="C549" s="170" t="str">
        <f t="shared" si="83"/>
        <v/>
      </c>
      <c r="D549" s="170"/>
      <c r="E549" s="195"/>
      <c r="F549" s="170"/>
      <c r="G549" s="170"/>
      <c r="H549" s="203"/>
      <c r="I549" s="197" t="str">
        <f t="shared" si="87"/>
        <v/>
      </c>
      <c r="J549" s="197" t="str">
        <f t="shared" si="88"/>
        <v/>
      </c>
      <c r="K549" s="197"/>
      <c r="L549" s="197"/>
      <c r="M549" s="198"/>
      <c r="N549" s="198"/>
      <c r="O549" s="198"/>
      <c r="P549" s="199"/>
      <c r="Q549" s="200"/>
      <c r="R549" s="200"/>
      <c r="S549" s="200"/>
      <c r="T549" s="200" t="str">
        <f t="shared" si="84"/>
        <v/>
      </c>
      <c r="U549" s="200"/>
      <c r="V549" s="201" t="str">
        <f t="shared" si="85"/>
        <v/>
      </c>
      <c r="W549" s="202">
        <f t="shared" si="86"/>
        <v>0</v>
      </c>
      <c r="X549" s="172"/>
    </row>
    <row r="550" spans="1:24" x14ac:dyDescent="0.45">
      <c r="A550" s="193">
        <v>64</v>
      </c>
      <c r="B550" s="194" t="str">
        <f t="shared" si="82"/>
        <v/>
      </c>
      <c r="C550" s="170" t="str">
        <f t="shared" si="83"/>
        <v/>
      </c>
      <c r="D550" s="170"/>
      <c r="E550" s="195"/>
      <c r="F550" s="170"/>
      <c r="G550" s="170"/>
      <c r="H550" s="203"/>
      <c r="I550" s="197" t="str">
        <f t="shared" si="87"/>
        <v/>
      </c>
      <c r="J550" s="197" t="str">
        <f t="shared" si="88"/>
        <v/>
      </c>
      <c r="K550" s="197"/>
      <c r="L550" s="197"/>
      <c r="M550" s="198"/>
      <c r="N550" s="198"/>
      <c r="O550" s="198"/>
      <c r="P550" s="199"/>
      <c r="Q550" s="200"/>
      <c r="R550" s="200"/>
      <c r="S550" s="200"/>
      <c r="T550" s="200" t="str">
        <f t="shared" si="84"/>
        <v/>
      </c>
      <c r="U550" s="200"/>
      <c r="V550" s="201" t="str">
        <f t="shared" si="85"/>
        <v/>
      </c>
      <c r="W550" s="202">
        <f t="shared" si="86"/>
        <v>0</v>
      </c>
      <c r="X550" s="172"/>
    </row>
    <row r="551" spans="1:24" x14ac:dyDescent="0.45">
      <c r="A551" s="193">
        <v>65</v>
      </c>
      <c r="B551" s="194" t="str">
        <f t="shared" si="82"/>
        <v/>
      </c>
      <c r="C551" s="170" t="str">
        <f t="shared" si="83"/>
        <v/>
      </c>
      <c r="D551" s="170"/>
      <c r="E551" s="195"/>
      <c r="F551" s="170"/>
      <c r="G551" s="170"/>
      <c r="H551" s="203"/>
      <c r="I551" s="197" t="str">
        <f t="shared" si="87"/>
        <v/>
      </c>
      <c r="J551" s="197" t="str">
        <f t="shared" si="88"/>
        <v/>
      </c>
      <c r="K551" s="197"/>
      <c r="L551" s="197"/>
      <c r="M551" s="198"/>
      <c r="N551" s="198"/>
      <c r="O551" s="198"/>
      <c r="P551" s="199"/>
      <c r="Q551" s="200"/>
      <c r="R551" s="200"/>
      <c r="S551" s="200"/>
      <c r="T551" s="200" t="str">
        <f t="shared" si="84"/>
        <v/>
      </c>
      <c r="U551" s="200"/>
      <c r="V551" s="201" t="str">
        <f t="shared" ref="V551:V552" si="89">IF(U551="","",$V$467)</f>
        <v/>
      </c>
      <c r="W551" s="202">
        <f t="shared" si="86"/>
        <v>0</v>
      </c>
      <c r="X551" s="172"/>
    </row>
    <row r="552" spans="1:24" ht="14.25" customHeight="1" x14ac:dyDescent="0.45">
      <c r="A552" s="193">
        <v>66</v>
      </c>
      <c r="B552" s="204" t="str">
        <f t="shared" si="82"/>
        <v/>
      </c>
      <c r="C552" s="205" t="str">
        <f t="shared" si="83"/>
        <v/>
      </c>
      <c r="D552" s="205"/>
      <c r="E552" s="205"/>
      <c r="F552" s="205"/>
      <c r="G552" s="205"/>
      <c r="H552" s="205"/>
      <c r="I552" s="206" t="str">
        <f t="shared" si="87"/>
        <v/>
      </c>
      <c r="J552" s="206" t="str">
        <f t="shared" si="88"/>
        <v/>
      </c>
      <c r="K552" s="206"/>
      <c r="L552" s="206"/>
      <c r="M552" s="205"/>
      <c r="N552" s="205"/>
      <c r="O552" s="205"/>
      <c r="P552" s="205"/>
      <c r="Q552" s="205"/>
      <c r="R552" s="205"/>
      <c r="S552" s="205"/>
      <c r="T552" s="205" t="str">
        <f t="shared" si="84"/>
        <v/>
      </c>
      <c r="U552" s="205"/>
      <c r="V552" s="205" t="str">
        <f t="shared" si="89"/>
        <v/>
      </c>
      <c r="W552" s="207">
        <f t="shared" si="86"/>
        <v>0</v>
      </c>
      <c r="X552" s="207"/>
    </row>
    <row r="553" spans="1:24" ht="24.75" customHeight="1" x14ac:dyDescent="0.45">
      <c r="B553" s="428" t="s">
        <v>1514</v>
      </c>
      <c r="C553" s="429" t="s">
        <v>1494</v>
      </c>
      <c r="D553" s="429"/>
      <c r="E553" s="429"/>
      <c r="F553" s="429"/>
      <c r="G553" s="429"/>
      <c r="H553" s="429"/>
      <c r="I553" s="429"/>
      <c r="J553" s="429"/>
      <c r="K553" s="429"/>
      <c r="L553" s="429"/>
      <c r="M553" s="429"/>
      <c r="N553" s="429"/>
      <c r="O553" s="429"/>
      <c r="P553" s="429"/>
      <c r="Q553" s="429"/>
      <c r="R553" s="145" t="s">
        <v>1</v>
      </c>
      <c r="S553" s="146"/>
      <c r="T553" s="145" t="s">
        <v>8</v>
      </c>
      <c r="U553" s="147"/>
      <c r="V553" s="148" t="s">
        <v>3</v>
      </c>
      <c r="W553" s="146"/>
      <c r="X553" s="149"/>
    </row>
    <row r="554" spans="1:24" ht="24.75" customHeight="1" x14ac:dyDescent="0.45">
      <c r="B554" s="428"/>
      <c r="C554" s="429"/>
      <c r="D554" s="429"/>
      <c r="E554" s="429"/>
      <c r="F554" s="429"/>
      <c r="G554" s="429"/>
      <c r="H554" s="429"/>
      <c r="I554" s="429"/>
      <c r="J554" s="429"/>
      <c r="K554" s="429"/>
      <c r="L554" s="429"/>
      <c r="M554" s="429"/>
      <c r="N554" s="429"/>
      <c r="O554" s="429"/>
      <c r="P554" s="429"/>
      <c r="Q554" s="429"/>
      <c r="R554" s="430" t="s">
        <v>1495</v>
      </c>
      <c r="S554" s="430"/>
      <c r="T554" s="431" t="str">
        <f>'BM MORRO DA CRUZ - VERTICAL'!$V$4</f>
        <v>01-10-26 A 31-10-26</v>
      </c>
      <c r="U554" s="431"/>
      <c r="V554" s="432" t="str">
        <f>IF('BM MORRO DA CRUZ - VERTICAL'!$BF$2="","",'BM MORRO DA CRUZ - VERTICAL'!$BF$2)</f>
        <v/>
      </c>
      <c r="W554" s="432"/>
      <c r="X554" s="150"/>
    </row>
    <row r="555" spans="1:24" ht="24.75" customHeight="1" x14ac:dyDescent="0.45">
      <c r="B555" s="151" t="s">
        <v>5</v>
      </c>
      <c r="C555" s="152"/>
      <c r="D555" s="152"/>
      <c r="E555" s="152"/>
      <c r="F555" s="152"/>
      <c r="G555" s="152"/>
      <c r="H555" s="152"/>
      <c r="I555" s="152"/>
      <c r="J555" s="152"/>
      <c r="K555" s="152"/>
      <c r="L555" s="152"/>
      <c r="M555" s="152"/>
      <c r="N555" s="152"/>
      <c r="O555" s="152"/>
      <c r="P555" s="153"/>
      <c r="Q555" s="154"/>
      <c r="R555" s="155"/>
      <c r="S555" s="155"/>
      <c r="T555" s="156" t="s">
        <v>1496</v>
      </c>
      <c r="U555" s="157"/>
      <c r="V555" s="158" t="s">
        <v>9</v>
      </c>
      <c r="W555" s="159"/>
      <c r="X555" s="433"/>
    </row>
    <row r="556" spans="1:24" ht="24.75" customHeight="1" x14ac:dyDescent="0.45">
      <c r="B556" s="17" t="s">
        <v>11</v>
      </c>
      <c r="C556" s="160"/>
      <c r="D556" s="160"/>
      <c r="E556" s="160"/>
      <c r="F556" s="160"/>
      <c r="G556" s="160"/>
      <c r="H556" s="160"/>
      <c r="I556" s="160"/>
      <c r="J556" s="160"/>
      <c r="K556" s="160"/>
      <c r="L556" s="160"/>
      <c r="M556" s="160"/>
      <c r="N556" s="160"/>
      <c r="O556" s="160"/>
      <c r="P556" s="161"/>
      <c r="Q556" s="162"/>
      <c r="R556" s="163"/>
      <c r="S556" s="163"/>
      <c r="T556" s="434" t="str">
        <f>'BM MORRO DA CRUZ - VERTICAL'!$V$2</f>
        <v>1ª MEDIÇÃO</v>
      </c>
      <c r="U556" s="434"/>
      <c r="V556" s="435" t="s">
        <v>13</v>
      </c>
      <c r="W556" s="435"/>
      <c r="X556" s="433"/>
    </row>
    <row r="557" spans="1:24" ht="24.75" customHeight="1" x14ac:dyDescent="0.45">
      <c r="B557" s="164" t="s">
        <v>1459</v>
      </c>
      <c r="C557" s="165" t="s">
        <v>14</v>
      </c>
      <c r="D557" s="165" t="s">
        <v>24</v>
      </c>
      <c r="E557" s="165" t="s">
        <v>25</v>
      </c>
      <c r="F557" s="166" t="s">
        <v>1461</v>
      </c>
      <c r="G557" s="165"/>
      <c r="H557" s="165"/>
      <c r="I557" s="165"/>
      <c r="J557" s="165"/>
      <c r="K557" s="165"/>
      <c r="L557" s="165"/>
      <c r="M557" s="165"/>
      <c r="N557" s="165"/>
      <c r="O557" s="165"/>
      <c r="P557" s="165"/>
      <c r="Q557" s="165"/>
      <c r="R557" s="165"/>
      <c r="S557" s="165"/>
      <c r="T557" s="165"/>
      <c r="U557" s="165"/>
      <c r="V557" s="165" t="s">
        <v>26</v>
      </c>
      <c r="W557" s="167" t="s">
        <v>29</v>
      </c>
      <c r="X557" s="168"/>
    </row>
    <row r="558" spans="1:24" ht="24.75" customHeight="1" x14ac:dyDescent="0.45">
      <c r="B558" s="169"/>
      <c r="C558" s="170"/>
      <c r="D558" s="170"/>
      <c r="E558" s="170"/>
      <c r="F558" s="170"/>
      <c r="G558" s="170"/>
      <c r="H558" s="170"/>
      <c r="I558" s="170"/>
      <c r="J558" s="170"/>
      <c r="K558" s="170"/>
      <c r="L558" s="170"/>
      <c r="M558" s="170"/>
      <c r="N558" s="170"/>
      <c r="O558" s="170"/>
      <c r="P558" s="170"/>
      <c r="Q558" s="170"/>
      <c r="R558" s="170"/>
      <c r="S558" s="170"/>
      <c r="T558" s="170"/>
      <c r="U558" s="170"/>
      <c r="V558" s="170"/>
      <c r="W558" s="171"/>
      <c r="X558" s="172"/>
    </row>
    <row r="559" spans="1:24" ht="24.75" customHeight="1" x14ac:dyDescent="0.45">
      <c r="B559" s="173" t="str">
        <f>IF($C$559="","",IFERROR(INDEX('BM MORRO DA CRUZ - VERTICAL'!$C$6:$C$546,MATCH($C$559,'BM MORRO DA CRUZ - VERTICAL'!$D$6:$D$546,0)),"CHAVE NÃO ENCONTRADA NO VERTICAL"))</f>
        <v/>
      </c>
      <c r="C559" s="174"/>
      <c r="D559" s="175" t="str">
        <f>IF($C$559="","",IFERROR(INDEX('BM MORRO DA CRUZ - VERTICAL'!$O$6:$O$546,MATCH($C$559,'BM MORRO DA CRUZ - VERTICAL'!$D$6:$D$546,0)),"CHAVE NÃO ENCONTRADA NO VERTICAL"))</f>
        <v/>
      </c>
      <c r="E559" s="175" t="str">
        <f>IF($C$559="","",IFERROR(INDEX('BM MORRO DA CRUZ - VERTICAL'!$P$6:$P$546,MATCH($C$559,'BM MORRO DA CRUZ - VERTICAL'!$D$6:$D$546,0)),"CHAVE NÃO ENCONTRADA NO VERTICAL"))</f>
        <v/>
      </c>
      <c r="F559" s="175" t="str">
        <f>IF($C$559="","",IFERROR(INDEX('BM MORRO DA CRUZ - VERTICAL'!$Q$6:$Q$546,MATCH($C$559,'BM MORRO DA CRUZ - VERTICAL'!$D$6:$D$546,0)),"CHAVE NÃO ENCONTRADA NO VERTICAL"))</f>
        <v/>
      </c>
      <c r="G559" s="176"/>
      <c r="H559" s="176"/>
      <c r="I559" s="176"/>
      <c r="J559" s="176"/>
      <c r="K559" s="176"/>
      <c r="L559" s="176"/>
      <c r="M559" s="176"/>
      <c r="N559" s="176"/>
      <c r="O559" s="176"/>
      <c r="P559" s="176"/>
      <c r="Q559" s="176"/>
      <c r="R559" s="176"/>
      <c r="S559" s="176"/>
      <c r="T559" s="176"/>
      <c r="U559" s="176"/>
      <c r="V559" s="177" t="str">
        <f>IF($C$559="","",IFERROR(INDEX('BM MORRO DA CRUZ - VERTICAL'!$R$6:$R$546,MATCH($C$559,'BM MORRO DA CRUZ - VERTICAL'!$D$6:$D$546,0)),"CHAVE NÃO ENCONTRADA NO VERTICAL"))</f>
        <v/>
      </c>
      <c r="W559" s="178">
        <f>SUM($W579:$W644)</f>
        <v>0</v>
      </c>
      <c r="X559" s="179"/>
    </row>
    <row r="560" spans="1:24" ht="24.75" customHeight="1" x14ac:dyDescent="0.45">
      <c r="B560" s="426" t="s">
        <v>1497</v>
      </c>
      <c r="C560" s="426"/>
      <c r="D560" s="426"/>
      <c r="E560" s="426"/>
      <c r="F560" s="426"/>
      <c r="G560" s="426"/>
      <c r="H560" s="426"/>
      <c r="I560" s="426"/>
      <c r="J560" s="426"/>
      <c r="K560" s="426"/>
      <c r="L560" s="426"/>
      <c r="M560" s="426"/>
      <c r="N560" s="426"/>
      <c r="O560" s="426"/>
      <c r="P560" s="426"/>
      <c r="Q560" s="426"/>
      <c r="R560" s="426"/>
      <c r="S560" s="426"/>
      <c r="T560" s="426"/>
      <c r="U560" s="426"/>
      <c r="V560" s="426"/>
      <c r="W560" s="426"/>
      <c r="X560" s="180" t="s">
        <v>1498</v>
      </c>
    </row>
    <row r="561" spans="2:24" ht="14.25" customHeight="1" x14ac:dyDescent="0.45">
      <c r="B561" s="181"/>
      <c r="C561" s="182"/>
      <c r="D561" s="182"/>
      <c r="E561" s="182"/>
      <c r="F561" s="182"/>
      <c r="G561" s="182"/>
      <c r="H561" s="182"/>
      <c r="I561" s="182"/>
      <c r="J561" s="182"/>
      <c r="K561" s="182"/>
      <c r="L561" s="182"/>
      <c r="M561" s="182"/>
      <c r="N561" s="182"/>
      <c r="O561" s="182"/>
      <c r="P561" s="182"/>
      <c r="Q561" s="182"/>
      <c r="R561" s="182"/>
      <c r="S561" s="182"/>
      <c r="T561" s="182"/>
      <c r="U561" s="182"/>
      <c r="V561" s="182"/>
      <c r="W561" s="183"/>
      <c r="X561" s="427"/>
    </row>
    <row r="562" spans="2:24" x14ac:dyDescent="0.45">
      <c r="B562" s="181"/>
      <c r="C562" s="182"/>
      <c r="D562" s="182"/>
      <c r="E562" s="182"/>
      <c r="F562" s="182"/>
      <c r="G562" s="182"/>
      <c r="H562" s="182"/>
      <c r="I562" s="182"/>
      <c r="J562" s="182"/>
      <c r="K562" s="182"/>
      <c r="L562" s="182"/>
      <c r="M562" s="182"/>
      <c r="N562" s="182"/>
      <c r="O562" s="182"/>
      <c r="P562" s="182"/>
      <c r="Q562" s="182"/>
      <c r="R562" s="182"/>
      <c r="S562" s="182"/>
      <c r="T562" s="182"/>
      <c r="U562" s="182"/>
      <c r="V562" s="182"/>
      <c r="W562" s="183"/>
      <c r="X562" s="427"/>
    </row>
    <row r="563" spans="2:24" x14ac:dyDescent="0.45">
      <c r="B563" s="181"/>
      <c r="C563" s="182"/>
      <c r="D563" s="182"/>
      <c r="E563" s="182"/>
      <c r="F563" s="182"/>
      <c r="G563" s="182"/>
      <c r="H563" s="182"/>
      <c r="I563" s="182"/>
      <c r="J563" s="182"/>
      <c r="K563" s="182"/>
      <c r="L563" s="182"/>
      <c r="M563" s="182"/>
      <c r="N563" s="182"/>
      <c r="O563" s="182"/>
      <c r="P563" s="182"/>
      <c r="Q563" s="182"/>
      <c r="R563" s="182"/>
      <c r="S563" s="182"/>
      <c r="T563" s="182"/>
      <c r="U563" s="182"/>
      <c r="V563" s="182"/>
      <c r="W563" s="183"/>
      <c r="X563" s="427"/>
    </row>
    <row r="564" spans="2:24" x14ac:dyDescent="0.45">
      <c r="B564" s="181"/>
      <c r="C564" s="182"/>
      <c r="D564" s="182"/>
      <c r="E564" s="182"/>
      <c r="F564" s="182"/>
      <c r="G564" s="182"/>
      <c r="H564" s="182"/>
      <c r="I564" s="182"/>
      <c r="J564" s="182"/>
      <c r="K564" s="182"/>
      <c r="L564" s="182"/>
      <c r="M564" s="182"/>
      <c r="N564" s="182"/>
      <c r="O564" s="182"/>
      <c r="P564" s="182"/>
      <c r="Q564" s="182"/>
      <c r="R564" s="182"/>
      <c r="S564" s="182"/>
      <c r="T564" s="182"/>
      <c r="U564" s="182"/>
      <c r="V564" s="182"/>
      <c r="W564" s="183"/>
      <c r="X564" s="427"/>
    </row>
    <row r="565" spans="2:24" x14ac:dyDescent="0.45">
      <c r="B565" s="181"/>
      <c r="C565" s="182"/>
      <c r="D565" s="182"/>
      <c r="E565" s="182"/>
      <c r="F565" s="182"/>
      <c r="G565" s="182"/>
      <c r="H565" s="182"/>
      <c r="I565" s="182"/>
      <c r="J565" s="182"/>
      <c r="K565" s="182"/>
      <c r="L565" s="182"/>
      <c r="M565" s="182"/>
      <c r="N565" s="182"/>
      <c r="O565" s="182"/>
      <c r="P565" s="182"/>
      <c r="Q565" s="182"/>
      <c r="R565" s="182"/>
      <c r="S565" s="182"/>
      <c r="T565" s="182"/>
      <c r="U565" s="182"/>
      <c r="V565" s="182"/>
      <c r="W565" s="183"/>
      <c r="X565" s="427"/>
    </row>
    <row r="566" spans="2:24" x14ac:dyDescent="0.45">
      <c r="B566" s="181"/>
      <c r="C566" s="182"/>
      <c r="D566" s="182"/>
      <c r="E566" s="182"/>
      <c r="F566" s="182"/>
      <c r="G566" s="182"/>
      <c r="H566" s="182"/>
      <c r="I566" s="182"/>
      <c r="J566" s="182"/>
      <c r="K566" s="182"/>
      <c r="L566" s="182"/>
      <c r="M566" s="182"/>
      <c r="N566" s="182"/>
      <c r="O566" s="182"/>
      <c r="P566" s="182"/>
      <c r="Q566" s="182"/>
      <c r="R566" s="182"/>
      <c r="S566" s="182"/>
      <c r="T566" s="182"/>
      <c r="U566" s="182"/>
      <c r="V566" s="182"/>
      <c r="W566" s="183"/>
      <c r="X566" s="427"/>
    </row>
    <row r="567" spans="2:24" x14ac:dyDescent="0.45">
      <c r="B567" s="181"/>
      <c r="C567" s="182"/>
      <c r="D567" s="182"/>
      <c r="E567" s="182"/>
      <c r="F567" s="182"/>
      <c r="G567" s="182"/>
      <c r="H567" s="182"/>
      <c r="I567" s="182"/>
      <c r="J567" s="182"/>
      <c r="K567" s="182"/>
      <c r="L567" s="182"/>
      <c r="M567" s="182"/>
      <c r="N567" s="182"/>
      <c r="O567" s="182"/>
      <c r="P567" s="182"/>
      <c r="Q567" s="182"/>
      <c r="R567" s="182"/>
      <c r="S567" s="182"/>
      <c r="T567" s="182"/>
      <c r="U567" s="182"/>
      <c r="V567" s="182"/>
      <c r="W567" s="183"/>
      <c r="X567" s="427"/>
    </row>
    <row r="568" spans="2:24" x14ac:dyDescent="0.45">
      <c r="B568" s="181"/>
      <c r="C568" s="182"/>
      <c r="D568" s="182"/>
      <c r="E568" s="182"/>
      <c r="F568" s="182"/>
      <c r="G568" s="182"/>
      <c r="H568" s="182"/>
      <c r="I568" s="182"/>
      <c r="J568" s="182"/>
      <c r="K568" s="182"/>
      <c r="L568" s="182"/>
      <c r="M568" s="182"/>
      <c r="N568" s="182"/>
      <c r="O568" s="182"/>
      <c r="P568" s="182"/>
      <c r="Q568" s="182"/>
      <c r="R568" s="182"/>
      <c r="S568" s="182"/>
      <c r="T568" s="182"/>
      <c r="U568" s="182"/>
      <c r="V568" s="182"/>
      <c r="W568" s="183"/>
      <c r="X568" s="427"/>
    </row>
    <row r="569" spans="2:24" x14ac:dyDescent="0.45">
      <c r="B569" s="181"/>
      <c r="C569" s="182"/>
      <c r="D569" s="182"/>
      <c r="E569" s="182"/>
      <c r="F569" s="182"/>
      <c r="G569" s="182"/>
      <c r="H569" s="182"/>
      <c r="I569" s="182"/>
      <c r="J569" s="182"/>
      <c r="K569" s="182"/>
      <c r="L569" s="182"/>
      <c r="M569" s="182"/>
      <c r="N569" s="182"/>
      <c r="O569" s="182"/>
      <c r="P569" s="182"/>
      <c r="Q569" s="182"/>
      <c r="R569" s="182"/>
      <c r="S569" s="182"/>
      <c r="T569" s="182"/>
      <c r="U569" s="182"/>
      <c r="V569" s="182"/>
      <c r="W569" s="183"/>
      <c r="X569" s="427"/>
    </row>
    <row r="570" spans="2:24" x14ac:dyDescent="0.45">
      <c r="B570" s="181"/>
      <c r="C570" s="182"/>
      <c r="D570" s="182"/>
      <c r="E570" s="182"/>
      <c r="F570" s="182"/>
      <c r="G570" s="182"/>
      <c r="H570" s="182"/>
      <c r="I570" s="182"/>
      <c r="J570" s="182"/>
      <c r="K570" s="182"/>
      <c r="L570" s="182"/>
      <c r="M570" s="182"/>
      <c r="N570" s="182"/>
      <c r="O570" s="182"/>
      <c r="P570" s="182"/>
      <c r="Q570" s="182"/>
      <c r="R570" s="182"/>
      <c r="S570" s="182"/>
      <c r="T570" s="182"/>
      <c r="U570" s="182"/>
      <c r="V570" s="182"/>
      <c r="W570" s="183"/>
      <c r="X570" s="427"/>
    </row>
    <row r="571" spans="2:24" x14ac:dyDescent="0.45">
      <c r="B571" s="181"/>
      <c r="C571" s="182"/>
      <c r="D571" s="182"/>
      <c r="E571" s="182"/>
      <c r="F571" s="182"/>
      <c r="G571" s="182"/>
      <c r="H571" s="182"/>
      <c r="I571" s="182"/>
      <c r="J571" s="182"/>
      <c r="K571" s="182"/>
      <c r="L571" s="182"/>
      <c r="M571" s="182"/>
      <c r="N571" s="182"/>
      <c r="O571" s="182"/>
      <c r="P571" s="182"/>
      <c r="Q571" s="182"/>
      <c r="R571" s="182"/>
      <c r="S571" s="182"/>
      <c r="T571" s="182"/>
      <c r="U571" s="182"/>
      <c r="V571" s="182"/>
      <c r="W571" s="183"/>
      <c r="X571" s="427"/>
    </row>
    <row r="572" spans="2:24" x14ac:dyDescent="0.45">
      <c r="B572" s="181"/>
      <c r="C572" s="182"/>
      <c r="D572" s="182"/>
      <c r="E572" s="182"/>
      <c r="F572" s="182"/>
      <c r="G572" s="182"/>
      <c r="H572" s="182"/>
      <c r="I572" s="182"/>
      <c r="J572" s="182"/>
      <c r="K572" s="182"/>
      <c r="L572" s="182"/>
      <c r="M572" s="182"/>
      <c r="N572" s="182"/>
      <c r="O572" s="182"/>
      <c r="P572" s="182"/>
      <c r="Q572" s="182"/>
      <c r="R572" s="182"/>
      <c r="S572" s="182"/>
      <c r="T572" s="182"/>
      <c r="U572" s="182"/>
      <c r="V572" s="182"/>
      <c r="W572" s="183"/>
      <c r="X572" s="427"/>
    </row>
    <row r="573" spans="2:24" x14ac:dyDescent="0.45">
      <c r="B573" s="181"/>
      <c r="C573" s="182"/>
      <c r="D573" s="182"/>
      <c r="E573" s="182"/>
      <c r="F573" s="182"/>
      <c r="G573" s="182"/>
      <c r="H573" s="182"/>
      <c r="I573" s="182"/>
      <c r="J573" s="182"/>
      <c r="K573" s="182"/>
      <c r="L573" s="182"/>
      <c r="M573" s="182"/>
      <c r="N573" s="182"/>
      <c r="O573" s="182"/>
      <c r="P573" s="182"/>
      <c r="Q573" s="182"/>
      <c r="R573" s="182"/>
      <c r="S573" s="182"/>
      <c r="T573" s="182"/>
      <c r="U573" s="182"/>
      <c r="V573" s="182"/>
      <c r="W573" s="183"/>
      <c r="X573" s="427"/>
    </row>
    <row r="574" spans="2:24" x14ac:dyDescent="0.45">
      <c r="B574" s="181"/>
      <c r="C574" s="182"/>
      <c r="D574" s="182"/>
      <c r="E574" s="182"/>
      <c r="F574" s="182"/>
      <c r="G574" s="182"/>
      <c r="H574" s="182"/>
      <c r="I574" s="182"/>
      <c r="J574" s="182"/>
      <c r="K574" s="182"/>
      <c r="L574" s="182"/>
      <c r="M574" s="182"/>
      <c r="N574" s="182"/>
      <c r="O574" s="182"/>
      <c r="P574" s="182"/>
      <c r="Q574" s="182"/>
      <c r="R574" s="182"/>
      <c r="S574" s="182"/>
      <c r="T574" s="182"/>
      <c r="U574" s="182"/>
      <c r="V574" s="182"/>
      <c r="W574" s="183"/>
      <c r="X574" s="427"/>
    </row>
    <row r="575" spans="2:24" x14ac:dyDescent="0.45">
      <c r="B575" s="181"/>
      <c r="C575" s="182"/>
      <c r="D575" s="182"/>
      <c r="E575" s="182"/>
      <c r="F575" s="182"/>
      <c r="G575" s="182"/>
      <c r="H575" s="182"/>
      <c r="I575" s="182"/>
      <c r="J575" s="182"/>
      <c r="K575" s="182"/>
      <c r="L575" s="182"/>
      <c r="M575" s="182"/>
      <c r="N575" s="182"/>
      <c r="O575" s="182"/>
      <c r="P575" s="182"/>
      <c r="Q575" s="182"/>
      <c r="R575" s="182"/>
      <c r="S575" s="182"/>
      <c r="T575" s="182"/>
      <c r="U575" s="182"/>
      <c r="V575" s="182"/>
      <c r="W575" s="183"/>
      <c r="X575" s="427"/>
    </row>
    <row r="576" spans="2:24" x14ac:dyDescent="0.45">
      <c r="B576" s="181"/>
      <c r="C576" s="182"/>
      <c r="D576" s="182"/>
      <c r="E576" s="182"/>
      <c r="F576" s="182"/>
      <c r="G576" s="182"/>
      <c r="H576" s="182"/>
      <c r="I576" s="182"/>
      <c r="J576" s="182"/>
      <c r="K576" s="182"/>
      <c r="L576" s="182"/>
      <c r="M576" s="182"/>
      <c r="N576" s="182"/>
      <c r="O576" s="182"/>
      <c r="P576" s="182"/>
      <c r="Q576" s="182"/>
      <c r="R576" s="182"/>
      <c r="S576" s="182"/>
      <c r="T576" s="182"/>
      <c r="U576" s="182"/>
      <c r="V576" s="182"/>
      <c r="W576" s="183"/>
      <c r="X576" s="427"/>
    </row>
    <row r="577" spans="1:24" x14ac:dyDescent="0.45">
      <c r="B577" s="184"/>
      <c r="C577" s="185" t="s">
        <v>1499</v>
      </c>
      <c r="D577" s="185"/>
      <c r="E577" s="185"/>
      <c r="F577" s="185"/>
      <c r="G577" s="185"/>
      <c r="H577" s="185"/>
      <c r="I577" s="185"/>
      <c r="J577" s="185"/>
      <c r="K577" s="185"/>
      <c r="L577" s="185"/>
      <c r="M577" s="185"/>
      <c r="N577" s="185"/>
      <c r="O577" s="185"/>
      <c r="P577" s="185"/>
      <c r="Q577" s="185"/>
      <c r="R577" s="185"/>
      <c r="S577" s="185"/>
      <c r="T577" s="185"/>
      <c r="U577" s="185"/>
      <c r="V577" s="185"/>
      <c r="W577" s="186"/>
      <c r="X577" s="187"/>
    </row>
    <row r="578" spans="1:24" ht="26.65" x14ac:dyDescent="0.45">
      <c r="B578" s="188" t="s">
        <v>1458</v>
      </c>
      <c r="C578" s="185" t="s">
        <v>1459</v>
      </c>
      <c r="D578" s="185"/>
      <c r="E578" s="185" t="s">
        <v>1500</v>
      </c>
      <c r="F578" s="185"/>
      <c r="G578" s="185" t="s">
        <v>1501</v>
      </c>
      <c r="H578" s="189" t="s">
        <v>1502</v>
      </c>
      <c r="I578" s="185" t="s">
        <v>1503</v>
      </c>
      <c r="J578" s="185" t="s">
        <v>1504</v>
      </c>
      <c r="K578" s="189" t="s">
        <v>1505</v>
      </c>
      <c r="L578" s="189" t="s">
        <v>1504</v>
      </c>
      <c r="M578" s="189"/>
      <c r="N578" s="189" t="s">
        <v>1506</v>
      </c>
      <c r="O578" s="189"/>
      <c r="P578" s="190"/>
      <c r="Q578" s="189"/>
      <c r="R578" s="189"/>
      <c r="S578" s="189"/>
      <c r="T578" s="189" t="s">
        <v>1507</v>
      </c>
      <c r="U578" s="189" t="s">
        <v>27</v>
      </c>
      <c r="V578" s="189" t="s">
        <v>26</v>
      </c>
      <c r="W578" s="191" t="s">
        <v>1508</v>
      </c>
      <c r="X578" s="192"/>
    </row>
    <row r="579" spans="1:24" x14ac:dyDescent="0.45">
      <c r="A579" s="193">
        <v>1</v>
      </c>
      <c r="B579" s="194" t="str">
        <f t="shared" ref="B579:B610" si="90">IF(OR($C$559="",U579=""),"",LEFT($C$559,FIND("_",$C$559)-1))</f>
        <v/>
      </c>
      <c r="C579" s="170" t="str">
        <f t="shared" ref="C579:C610" si="91">IF(OR($C$559="",U579=""),"",$B$559)</f>
        <v/>
      </c>
      <c r="D579" s="170"/>
      <c r="E579" s="195"/>
      <c r="F579" s="195"/>
      <c r="G579" s="196"/>
      <c r="H579" s="197"/>
      <c r="I579" s="197"/>
      <c r="J579" s="197"/>
      <c r="K579" s="197"/>
      <c r="L579" s="197"/>
      <c r="M579" s="198"/>
      <c r="N579" s="198"/>
      <c r="O579" s="198"/>
      <c r="P579" s="199"/>
      <c r="Q579" s="200"/>
      <c r="R579" s="200"/>
      <c r="S579" s="200"/>
      <c r="T579" s="200" t="str">
        <f t="shared" ref="T579:T610" si="92">IF(K579="","",((K579*20)+L579)-((I579*20)+J579))</f>
        <v/>
      </c>
      <c r="U579" s="200"/>
      <c r="V579" s="201" t="str">
        <f t="shared" ref="V579:V610" si="93">IF(U579="","",$V$559)</f>
        <v/>
      </c>
      <c r="W579" s="202">
        <f t="shared" ref="W579:W610" si="94">IF(OR(T579="",U579=""),0,T579*U579)</f>
        <v>0</v>
      </c>
      <c r="X579" s="172"/>
    </row>
    <row r="580" spans="1:24" x14ac:dyDescent="0.45">
      <c r="A580" s="193">
        <v>2</v>
      </c>
      <c r="B580" s="194" t="str">
        <f t="shared" si="90"/>
        <v/>
      </c>
      <c r="C580" s="170" t="str">
        <f t="shared" si="91"/>
        <v/>
      </c>
      <c r="D580" s="170"/>
      <c r="E580" s="195"/>
      <c r="F580" s="195"/>
      <c r="G580" s="196"/>
      <c r="H580" s="197"/>
      <c r="I580" s="197" t="str">
        <f t="shared" ref="I580:I611" si="95">IF(K579="","",K579)</f>
        <v/>
      </c>
      <c r="J580" s="197" t="str">
        <f t="shared" ref="J580:J611" si="96">IF(L579="","",L579)</f>
        <v/>
      </c>
      <c r="K580" s="197"/>
      <c r="L580" s="197"/>
      <c r="M580" s="198"/>
      <c r="N580" s="198"/>
      <c r="O580" s="198"/>
      <c r="P580" s="199"/>
      <c r="Q580" s="200"/>
      <c r="R580" s="200"/>
      <c r="S580" s="200"/>
      <c r="T580" s="200" t="str">
        <f t="shared" si="92"/>
        <v/>
      </c>
      <c r="U580" s="200"/>
      <c r="V580" s="201" t="str">
        <f t="shared" si="93"/>
        <v/>
      </c>
      <c r="W580" s="202">
        <f t="shared" si="94"/>
        <v>0</v>
      </c>
      <c r="X580" s="172"/>
    </row>
    <row r="581" spans="1:24" x14ac:dyDescent="0.45">
      <c r="A581" s="193">
        <v>3</v>
      </c>
      <c r="B581" s="194" t="str">
        <f t="shared" si="90"/>
        <v/>
      </c>
      <c r="C581" s="170" t="str">
        <f t="shared" si="91"/>
        <v/>
      </c>
      <c r="D581" s="170"/>
      <c r="E581" s="195"/>
      <c r="F581" s="195"/>
      <c r="G581" s="196"/>
      <c r="H581" s="197"/>
      <c r="I581" s="197" t="str">
        <f t="shared" si="95"/>
        <v/>
      </c>
      <c r="J581" s="197" t="str">
        <f t="shared" si="96"/>
        <v/>
      </c>
      <c r="K581" s="197"/>
      <c r="L581" s="197"/>
      <c r="M581" s="198"/>
      <c r="N581" s="198"/>
      <c r="O581" s="198"/>
      <c r="P581" s="199"/>
      <c r="Q581" s="200"/>
      <c r="R581" s="200"/>
      <c r="S581" s="200"/>
      <c r="T581" s="200" t="str">
        <f t="shared" si="92"/>
        <v/>
      </c>
      <c r="U581" s="200"/>
      <c r="V581" s="201" t="str">
        <f t="shared" si="93"/>
        <v/>
      </c>
      <c r="W581" s="202">
        <f t="shared" si="94"/>
        <v>0</v>
      </c>
      <c r="X581" s="172"/>
    </row>
    <row r="582" spans="1:24" x14ac:dyDescent="0.45">
      <c r="A582" s="193">
        <v>4</v>
      </c>
      <c r="B582" s="194" t="str">
        <f t="shared" si="90"/>
        <v/>
      </c>
      <c r="C582" s="170" t="str">
        <f t="shared" si="91"/>
        <v/>
      </c>
      <c r="D582" s="170"/>
      <c r="E582" s="195"/>
      <c r="F582" s="195"/>
      <c r="G582" s="196"/>
      <c r="H582" s="197"/>
      <c r="I582" s="197" t="str">
        <f t="shared" si="95"/>
        <v/>
      </c>
      <c r="J582" s="197" t="str">
        <f t="shared" si="96"/>
        <v/>
      </c>
      <c r="K582" s="197"/>
      <c r="L582" s="197"/>
      <c r="M582" s="198"/>
      <c r="N582" s="198"/>
      <c r="O582" s="198"/>
      <c r="P582" s="199"/>
      <c r="Q582" s="200"/>
      <c r="R582" s="200"/>
      <c r="S582" s="200"/>
      <c r="T582" s="200" t="str">
        <f t="shared" si="92"/>
        <v/>
      </c>
      <c r="U582" s="200"/>
      <c r="V582" s="201" t="str">
        <f t="shared" si="93"/>
        <v/>
      </c>
      <c r="W582" s="202">
        <f t="shared" si="94"/>
        <v>0</v>
      </c>
      <c r="X582" s="172"/>
    </row>
    <row r="583" spans="1:24" x14ac:dyDescent="0.45">
      <c r="A583" s="193">
        <v>5</v>
      </c>
      <c r="B583" s="194" t="str">
        <f t="shared" si="90"/>
        <v/>
      </c>
      <c r="C583" s="170" t="str">
        <f t="shared" si="91"/>
        <v/>
      </c>
      <c r="D583" s="170"/>
      <c r="E583" s="195"/>
      <c r="F583" s="195"/>
      <c r="G583" s="196"/>
      <c r="H583" s="197"/>
      <c r="I583" s="197" t="str">
        <f t="shared" si="95"/>
        <v/>
      </c>
      <c r="J583" s="197" t="str">
        <f t="shared" si="96"/>
        <v/>
      </c>
      <c r="K583" s="197"/>
      <c r="L583" s="197"/>
      <c r="M583" s="198"/>
      <c r="N583" s="198"/>
      <c r="O583" s="198"/>
      <c r="P583" s="199"/>
      <c r="Q583" s="200"/>
      <c r="R583" s="200"/>
      <c r="S583" s="200"/>
      <c r="T583" s="200" t="str">
        <f t="shared" si="92"/>
        <v/>
      </c>
      <c r="U583" s="200"/>
      <c r="V583" s="201" t="str">
        <f t="shared" si="93"/>
        <v/>
      </c>
      <c r="W583" s="202">
        <f t="shared" si="94"/>
        <v>0</v>
      </c>
      <c r="X583" s="172"/>
    </row>
    <row r="584" spans="1:24" x14ac:dyDescent="0.45">
      <c r="A584" s="193">
        <v>6</v>
      </c>
      <c r="B584" s="194" t="str">
        <f t="shared" si="90"/>
        <v/>
      </c>
      <c r="C584" s="170" t="str">
        <f t="shared" si="91"/>
        <v/>
      </c>
      <c r="D584" s="170"/>
      <c r="E584" s="195"/>
      <c r="F584" s="195"/>
      <c r="G584" s="196"/>
      <c r="H584" s="197"/>
      <c r="I584" s="197" t="str">
        <f t="shared" si="95"/>
        <v/>
      </c>
      <c r="J584" s="197" t="str">
        <f t="shared" si="96"/>
        <v/>
      </c>
      <c r="K584" s="197"/>
      <c r="L584" s="197"/>
      <c r="M584" s="198"/>
      <c r="N584" s="198"/>
      <c r="O584" s="198"/>
      <c r="P584" s="199"/>
      <c r="Q584" s="200"/>
      <c r="R584" s="200"/>
      <c r="S584" s="200"/>
      <c r="T584" s="200" t="str">
        <f t="shared" si="92"/>
        <v/>
      </c>
      <c r="U584" s="200"/>
      <c r="V584" s="201" t="str">
        <f t="shared" si="93"/>
        <v/>
      </c>
      <c r="W584" s="202">
        <f t="shared" si="94"/>
        <v>0</v>
      </c>
      <c r="X584" s="172"/>
    </row>
    <row r="585" spans="1:24" x14ac:dyDescent="0.45">
      <c r="A585" s="193">
        <v>7</v>
      </c>
      <c r="B585" s="194" t="str">
        <f t="shared" si="90"/>
        <v/>
      </c>
      <c r="C585" s="170" t="str">
        <f t="shared" si="91"/>
        <v/>
      </c>
      <c r="D585" s="170"/>
      <c r="E585" s="195"/>
      <c r="F585" s="195"/>
      <c r="G585" s="196"/>
      <c r="H585" s="197"/>
      <c r="I585" s="197" t="str">
        <f t="shared" si="95"/>
        <v/>
      </c>
      <c r="J585" s="197" t="str">
        <f t="shared" si="96"/>
        <v/>
      </c>
      <c r="K585" s="197"/>
      <c r="L585" s="197"/>
      <c r="M585" s="198"/>
      <c r="N585" s="198"/>
      <c r="O585" s="198"/>
      <c r="P585" s="199"/>
      <c r="Q585" s="200"/>
      <c r="R585" s="200"/>
      <c r="S585" s="200"/>
      <c r="T585" s="200" t="str">
        <f t="shared" si="92"/>
        <v/>
      </c>
      <c r="U585" s="200"/>
      <c r="V585" s="201" t="str">
        <f t="shared" si="93"/>
        <v/>
      </c>
      <c r="W585" s="202">
        <f t="shared" si="94"/>
        <v>0</v>
      </c>
      <c r="X585" s="172"/>
    </row>
    <row r="586" spans="1:24" x14ac:dyDescent="0.45">
      <c r="A586" s="193">
        <v>8</v>
      </c>
      <c r="B586" s="194" t="str">
        <f t="shared" si="90"/>
        <v/>
      </c>
      <c r="C586" s="170" t="str">
        <f t="shared" si="91"/>
        <v/>
      </c>
      <c r="D586" s="170"/>
      <c r="E586" s="195"/>
      <c r="F586" s="195"/>
      <c r="G586" s="196"/>
      <c r="H586" s="197"/>
      <c r="I586" s="197" t="str">
        <f t="shared" si="95"/>
        <v/>
      </c>
      <c r="J586" s="197" t="str">
        <f t="shared" si="96"/>
        <v/>
      </c>
      <c r="K586" s="197"/>
      <c r="L586" s="197"/>
      <c r="M586" s="198"/>
      <c r="N586" s="198"/>
      <c r="O586" s="198"/>
      <c r="P586" s="199"/>
      <c r="Q586" s="200"/>
      <c r="R586" s="200"/>
      <c r="S586" s="200"/>
      <c r="T586" s="200" t="str">
        <f t="shared" si="92"/>
        <v/>
      </c>
      <c r="U586" s="200"/>
      <c r="V586" s="201" t="str">
        <f t="shared" si="93"/>
        <v/>
      </c>
      <c r="W586" s="202">
        <f t="shared" si="94"/>
        <v>0</v>
      </c>
      <c r="X586" s="172"/>
    </row>
    <row r="587" spans="1:24" x14ac:dyDescent="0.45">
      <c r="A587" s="193">
        <v>9</v>
      </c>
      <c r="B587" s="194" t="str">
        <f t="shared" si="90"/>
        <v/>
      </c>
      <c r="C587" s="170" t="str">
        <f t="shared" si="91"/>
        <v/>
      </c>
      <c r="D587" s="170"/>
      <c r="E587" s="195"/>
      <c r="F587" s="195"/>
      <c r="G587" s="196"/>
      <c r="H587" s="197"/>
      <c r="I587" s="197" t="str">
        <f t="shared" si="95"/>
        <v/>
      </c>
      <c r="J587" s="197" t="str">
        <f t="shared" si="96"/>
        <v/>
      </c>
      <c r="K587" s="197"/>
      <c r="L587" s="197"/>
      <c r="M587" s="198"/>
      <c r="N587" s="198"/>
      <c r="O587" s="198"/>
      <c r="P587" s="199"/>
      <c r="Q587" s="200"/>
      <c r="R587" s="200"/>
      <c r="S587" s="200"/>
      <c r="T587" s="200" t="str">
        <f t="shared" si="92"/>
        <v/>
      </c>
      <c r="U587" s="200"/>
      <c r="V587" s="201" t="str">
        <f t="shared" si="93"/>
        <v/>
      </c>
      <c r="W587" s="202">
        <f t="shared" si="94"/>
        <v>0</v>
      </c>
      <c r="X587" s="172"/>
    </row>
    <row r="588" spans="1:24" x14ac:dyDescent="0.45">
      <c r="A588" s="193">
        <v>10</v>
      </c>
      <c r="B588" s="194" t="str">
        <f t="shared" si="90"/>
        <v/>
      </c>
      <c r="C588" s="170" t="str">
        <f t="shared" si="91"/>
        <v/>
      </c>
      <c r="D588" s="170"/>
      <c r="E588" s="195"/>
      <c r="F588" s="195"/>
      <c r="G588" s="196"/>
      <c r="H588" s="197"/>
      <c r="I588" s="197" t="str">
        <f t="shared" si="95"/>
        <v/>
      </c>
      <c r="J588" s="197" t="str">
        <f t="shared" si="96"/>
        <v/>
      </c>
      <c r="K588" s="197"/>
      <c r="L588" s="197"/>
      <c r="M588" s="198"/>
      <c r="N588" s="198"/>
      <c r="O588" s="198"/>
      <c r="P588" s="199"/>
      <c r="Q588" s="200"/>
      <c r="R588" s="200"/>
      <c r="S588" s="200"/>
      <c r="T588" s="200" t="str">
        <f t="shared" si="92"/>
        <v/>
      </c>
      <c r="U588" s="200"/>
      <c r="V588" s="201" t="str">
        <f t="shared" si="93"/>
        <v/>
      </c>
      <c r="W588" s="202">
        <f t="shared" si="94"/>
        <v>0</v>
      </c>
      <c r="X588" s="172"/>
    </row>
    <row r="589" spans="1:24" x14ac:dyDescent="0.45">
      <c r="A589" s="193">
        <v>11</v>
      </c>
      <c r="B589" s="194" t="str">
        <f t="shared" si="90"/>
        <v/>
      </c>
      <c r="C589" s="170" t="str">
        <f t="shared" si="91"/>
        <v/>
      </c>
      <c r="D589" s="170"/>
      <c r="E589" s="195"/>
      <c r="F589" s="195"/>
      <c r="G589" s="196"/>
      <c r="H589" s="197"/>
      <c r="I589" s="197" t="str">
        <f t="shared" si="95"/>
        <v/>
      </c>
      <c r="J589" s="197" t="str">
        <f t="shared" si="96"/>
        <v/>
      </c>
      <c r="K589" s="197"/>
      <c r="L589" s="197"/>
      <c r="M589" s="198"/>
      <c r="N589" s="198"/>
      <c r="O589" s="198"/>
      <c r="P589" s="199"/>
      <c r="Q589" s="200"/>
      <c r="R589" s="200"/>
      <c r="S589" s="200"/>
      <c r="T589" s="200" t="str">
        <f t="shared" si="92"/>
        <v/>
      </c>
      <c r="U589" s="200"/>
      <c r="V589" s="201" t="str">
        <f t="shared" si="93"/>
        <v/>
      </c>
      <c r="W589" s="202">
        <f t="shared" si="94"/>
        <v>0</v>
      </c>
      <c r="X589" s="172"/>
    </row>
    <row r="590" spans="1:24" x14ac:dyDescent="0.45">
      <c r="A590" s="193">
        <v>12</v>
      </c>
      <c r="B590" s="194" t="str">
        <f t="shared" si="90"/>
        <v/>
      </c>
      <c r="C590" s="170" t="str">
        <f t="shared" si="91"/>
        <v/>
      </c>
      <c r="D590" s="170"/>
      <c r="E590" s="195"/>
      <c r="F590" s="195"/>
      <c r="G590" s="196"/>
      <c r="H590" s="197"/>
      <c r="I590" s="197" t="str">
        <f t="shared" si="95"/>
        <v/>
      </c>
      <c r="J590" s="197" t="str">
        <f t="shared" si="96"/>
        <v/>
      </c>
      <c r="K590" s="197"/>
      <c r="L590" s="197"/>
      <c r="M590" s="198"/>
      <c r="N590" s="198"/>
      <c r="O590" s="198"/>
      <c r="P590" s="199"/>
      <c r="Q590" s="200"/>
      <c r="R590" s="200"/>
      <c r="S590" s="200"/>
      <c r="T590" s="200" t="str">
        <f t="shared" si="92"/>
        <v/>
      </c>
      <c r="U590" s="200"/>
      <c r="V590" s="201" t="str">
        <f t="shared" si="93"/>
        <v/>
      </c>
      <c r="W590" s="202">
        <f t="shared" si="94"/>
        <v>0</v>
      </c>
      <c r="X590" s="172"/>
    </row>
    <row r="591" spans="1:24" x14ac:dyDescent="0.45">
      <c r="A591" s="193">
        <v>13</v>
      </c>
      <c r="B591" s="194" t="str">
        <f t="shared" si="90"/>
        <v/>
      </c>
      <c r="C591" s="170" t="str">
        <f t="shared" si="91"/>
        <v/>
      </c>
      <c r="D591" s="170"/>
      <c r="E591" s="195"/>
      <c r="F591" s="195"/>
      <c r="G591" s="196"/>
      <c r="H591" s="197"/>
      <c r="I591" s="197" t="str">
        <f t="shared" si="95"/>
        <v/>
      </c>
      <c r="J591" s="197" t="str">
        <f t="shared" si="96"/>
        <v/>
      </c>
      <c r="K591" s="197"/>
      <c r="L591" s="197"/>
      <c r="M591" s="198"/>
      <c r="N591" s="198"/>
      <c r="O591" s="198"/>
      <c r="P591" s="199"/>
      <c r="Q591" s="200"/>
      <c r="R591" s="200"/>
      <c r="S591" s="200"/>
      <c r="T591" s="200" t="str">
        <f t="shared" si="92"/>
        <v/>
      </c>
      <c r="U591" s="200"/>
      <c r="V591" s="201" t="str">
        <f t="shared" si="93"/>
        <v/>
      </c>
      <c r="W591" s="202">
        <f t="shared" si="94"/>
        <v>0</v>
      </c>
      <c r="X591" s="172"/>
    </row>
    <row r="592" spans="1:24" x14ac:dyDescent="0.45">
      <c r="A592" s="193">
        <v>14</v>
      </c>
      <c r="B592" s="194" t="str">
        <f t="shared" si="90"/>
        <v/>
      </c>
      <c r="C592" s="170" t="str">
        <f t="shared" si="91"/>
        <v/>
      </c>
      <c r="D592" s="170"/>
      <c r="E592" s="195"/>
      <c r="F592" s="195"/>
      <c r="G592" s="196"/>
      <c r="H592" s="197"/>
      <c r="I592" s="197" t="str">
        <f t="shared" si="95"/>
        <v/>
      </c>
      <c r="J592" s="197" t="str">
        <f t="shared" si="96"/>
        <v/>
      </c>
      <c r="K592" s="197"/>
      <c r="L592" s="197"/>
      <c r="M592" s="198"/>
      <c r="N592" s="198"/>
      <c r="O592" s="198"/>
      <c r="P592" s="199"/>
      <c r="Q592" s="200"/>
      <c r="R592" s="200"/>
      <c r="S592" s="200"/>
      <c r="T592" s="200" t="str">
        <f t="shared" si="92"/>
        <v/>
      </c>
      <c r="U592" s="200"/>
      <c r="V592" s="201" t="str">
        <f t="shared" si="93"/>
        <v/>
      </c>
      <c r="W592" s="202">
        <f t="shared" si="94"/>
        <v>0</v>
      </c>
      <c r="X592" s="172"/>
    </row>
    <row r="593" spans="1:24" x14ac:dyDescent="0.45">
      <c r="A593" s="193">
        <v>15</v>
      </c>
      <c r="B593" s="194" t="str">
        <f t="shared" si="90"/>
        <v/>
      </c>
      <c r="C593" s="170" t="str">
        <f t="shared" si="91"/>
        <v/>
      </c>
      <c r="D593" s="170"/>
      <c r="E593" s="195"/>
      <c r="F593" s="195"/>
      <c r="G593" s="196"/>
      <c r="H593" s="197"/>
      <c r="I593" s="197" t="str">
        <f t="shared" si="95"/>
        <v/>
      </c>
      <c r="J593" s="197" t="str">
        <f t="shared" si="96"/>
        <v/>
      </c>
      <c r="K593" s="197"/>
      <c r="L593" s="197"/>
      <c r="M593" s="198"/>
      <c r="N593" s="198"/>
      <c r="O593" s="198"/>
      <c r="P593" s="199"/>
      <c r="Q593" s="200"/>
      <c r="R593" s="200"/>
      <c r="S593" s="200"/>
      <c r="T593" s="200" t="str">
        <f t="shared" si="92"/>
        <v/>
      </c>
      <c r="U593" s="200"/>
      <c r="V593" s="201" t="str">
        <f t="shared" si="93"/>
        <v/>
      </c>
      <c r="W593" s="202">
        <f t="shared" si="94"/>
        <v>0</v>
      </c>
      <c r="X593" s="172"/>
    </row>
    <row r="594" spans="1:24" x14ac:dyDescent="0.45">
      <c r="A594" s="193">
        <v>16</v>
      </c>
      <c r="B594" s="194" t="str">
        <f t="shared" si="90"/>
        <v/>
      </c>
      <c r="C594" s="170" t="str">
        <f t="shared" si="91"/>
        <v/>
      </c>
      <c r="D594" s="170"/>
      <c r="E594" s="195"/>
      <c r="F594" s="195"/>
      <c r="G594" s="196"/>
      <c r="H594" s="197"/>
      <c r="I594" s="197" t="str">
        <f t="shared" si="95"/>
        <v/>
      </c>
      <c r="J594" s="197" t="str">
        <f t="shared" si="96"/>
        <v/>
      </c>
      <c r="K594" s="197"/>
      <c r="L594" s="197"/>
      <c r="M594" s="198"/>
      <c r="N594" s="198"/>
      <c r="O594" s="198"/>
      <c r="P594" s="199"/>
      <c r="Q594" s="200"/>
      <c r="R594" s="200"/>
      <c r="S594" s="200"/>
      <c r="T594" s="200" t="str">
        <f t="shared" si="92"/>
        <v/>
      </c>
      <c r="U594" s="200"/>
      <c r="V594" s="201" t="str">
        <f t="shared" si="93"/>
        <v/>
      </c>
      <c r="W594" s="202">
        <f t="shared" si="94"/>
        <v>0</v>
      </c>
      <c r="X594" s="172"/>
    </row>
    <row r="595" spans="1:24" x14ac:dyDescent="0.45">
      <c r="A595" s="193">
        <v>17</v>
      </c>
      <c r="B595" s="194" t="str">
        <f t="shared" si="90"/>
        <v/>
      </c>
      <c r="C595" s="170" t="str">
        <f t="shared" si="91"/>
        <v/>
      </c>
      <c r="D595" s="170"/>
      <c r="E595" s="195"/>
      <c r="F595" s="195"/>
      <c r="G595" s="196"/>
      <c r="H595" s="197"/>
      <c r="I595" s="197" t="str">
        <f t="shared" si="95"/>
        <v/>
      </c>
      <c r="J595" s="197" t="str">
        <f t="shared" si="96"/>
        <v/>
      </c>
      <c r="K595" s="197"/>
      <c r="L595" s="197"/>
      <c r="M595" s="198"/>
      <c r="N595" s="198"/>
      <c r="O595" s="198"/>
      <c r="P595" s="199"/>
      <c r="Q595" s="200"/>
      <c r="R595" s="200"/>
      <c r="S595" s="200"/>
      <c r="T595" s="200" t="str">
        <f t="shared" si="92"/>
        <v/>
      </c>
      <c r="U595" s="200"/>
      <c r="V595" s="201" t="str">
        <f t="shared" si="93"/>
        <v/>
      </c>
      <c r="W595" s="202">
        <f t="shared" si="94"/>
        <v>0</v>
      </c>
      <c r="X595" s="172"/>
    </row>
    <row r="596" spans="1:24" x14ac:dyDescent="0.45">
      <c r="A596" s="193">
        <v>18</v>
      </c>
      <c r="B596" s="194" t="str">
        <f t="shared" si="90"/>
        <v/>
      </c>
      <c r="C596" s="170" t="str">
        <f t="shared" si="91"/>
        <v/>
      </c>
      <c r="D596" s="170"/>
      <c r="E596" s="195"/>
      <c r="F596" s="195"/>
      <c r="G596" s="196"/>
      <c r="H596" s="197"/>
      <c r="I596" s="197" t="str">
        <f t="shared" si="95"/>
        <v/>
      </c>
      <c r="J596" s="197" t="str">
        <f t="shared" si="96"/>
        <v/>
      </c>
      <c r="K596" s="197"/>
      <c r="L596" s="197"/>
      <c r="M596" s="198"/>
      <c r="N596" s="198"/>
      <c r="O596" s="198"/>
      <c r="P596" s="199"/>
      <c r="Q596" s="200"/>
      <c r="R596" s="200"/>
      <c r="S596" s="200"/>
      <c r="T596" s="200" t="str">
        <f t="shared" si="92"/>
        <v/>
      </c>
      <c r="U596" s="200"/>
      <c r="V596" s="201" t="str">
        <f t="shared" si="93"/>
        <v/>
      </c>
      <c r="W596" s="202">
        <f t="shared" si="94"/>
        <v>0</v>
      </c>
      <c r="X596" s="172"/>
    </row>
    <row r="597" spans="1:24" x14ac:dyDescent="0.45">
      <c r="A597" s="193">
        <v>19</v>
      </c>
      <c r="B597" s="194" t="str">
        <f t="shared" si="90"/>
        <v/>
      </c>
      <c r="C597" s="170" t="str">
        <f t="shared" si="91"/>
        <v/>
      </c>
      <c r="D597" s="170"/>
      <c r="E597" s="195"/>
      <c r="F597" s="195"/>
      <c r="G597" s="196"/>
      <c r="H597" s="197"/>
      <c r="I597" s="197" t="str">
        <f t="shared" si="95"/>
        <v/>
      </c>
      <c r="J597" s="197" t="str">
        <f t="shared" si="96"/>
        <v/>
      </c>
      <c r="K597" s="197"/>
      <c r="L597" s="197"/>
      <c r="M597" s="198"/>
      <c r="N597" s="198"/>
      <c r="O597" s="198"/>
      <c r="P597" s="199"/>
      <c r="Q597" s="200"/>
      <c r="R597" s="200"/>
      <c r="S597" s="200"/>
      <c r="T597" s="200" t="str">
        <f t="shared" si="92"/>
        <v/>
      </c>
      <c r="U597" s="200"/>
      <c r="V597" s="201" t="str">
        <f t="shared" si="93"/>
        <v/>
      </c>
      <c r="W597" s="202">
        <f t="shared" si="94"/>
        <v>0</v>
      </c>
      <c r="X597" s="172"/>
    </row>
    <row r="598" spans="1:24" x14ac:dyDescent="0.45">
      <c r="A598" s="193">
        <v>20</v>
      </c>
      <c r="B598" s="194" t="str">
        <f t="shared" si="90"/>
        <v/>
      </c>
      <c r="C598" s="170" t="str">
        <f t="shared" si="91"/>
        <v/>
      </c>
      <c r="D598" s="170"/>
      <c r="E598" s="195"/>
      <c r="F598" s="195"/>
      <c r="G598" s="196"/>
      <c r="H598" s="197"/>
      <c r="I598" s="197" t="str">
        <f t="shared" si="95"/>
        <v/>
      </c>
      <c r="J598" s="197" t="str">
        <f t="shared" si="96"/>
        <v/>
      </c>
      <c r="K598" s="197"/>
      <c r="L598" s="197"/>
      <c r="M598" s="198"/>
      <c r="N598" s="198"/>
      <c r="O598" s="198"/>
      <c r="P598" s="199"/>
      <c r="Q598" s="200"/>
      <c r="R598" s="200"/>
      <c r="S598" s="200"/>
      <c r="T598" s="200" t="str">
        <f t="shared" si="92"/>
        <v/>
      </c>
      <c r="U598" s="200"/>
      <c r="V598" s="201" t="str">
        <f t="shared" si="93"/>
        <v/>
      </c>
      <c r="W598" s="202">
        <f t="shared" si="94"/>
        <v>0</v>
      </c>
      <c r="X598" s="172"/>
    </row>
    <row r="599" spans="1:24" x14ac:dyDescent="0.45">
      <c r="A599" s="193">
        <v>21</v>
      </c>
      <c r="B599" s="194" t="str">
        <f t="shared" si="90"/>
        <v/>
      </c>
      <c r="C599" s="170" t="str">
        <f t="shared" si="91"/>
        <v/>
      </c>
      <c r="D599" s="170"/>
      <c r="E599" s="195"/>
      <c r="F599" s="195"/>
      <c r="G599" s="196"/>
      <c r="H599" s="197"/>
      <c r="I599" s="197" t="str">
        <f t="shared" si="95"/>
        <v/>
      </c>
      <c r="J599" s="197" t="str">
        <f t="shared" si="96"/>
        <v/>
      </c>
      <c r="K599" s="197"/>
      <c r="L599" s="197"/>
      <c r="M599" s="198"/>
      <c r="N599" s="198"/>
      <c r="O599" s="198"/>
      <c r="P599" s="199"/>
      <c r="Q599" s="200"/>
      <c r="R599" s="200"/>
      <c r="S599" s="200"/>
      <c r="T599" s="200" t="str">
        <f t="shared" si="92"/>
        <v/>
      </c>
      <c r="U599" s="200"/>
      <c r="V599" s="201" t="str">
        <f t="shared" si="93"/>
        <v/>
      </c>
      <c r="W599" s="202">
        <f t="shared" si="94"/>
        <v>0</v>
      </c>
      <c r="X599" s="172"/>
    </row>
    <row r="600" spans="1:24" x14ac:dyDescent="0.45">
      <c r="A600" s="193">
        <v>22</v>
      </c>
      <c r="B600" s="194" t="str">
        <f t="shared" si="90"/>
        <v/>
      </c>
      <c r="C600" s="170" t="str">
        <f t="shared" si="91"/>
        <v/>
      </c>
      <c r="D600" s="170"/>
      <c r="E600" s="195"/>
      <c r="F600" s="170"/>
      <c r="G600" s="170"/>
      <c r="H600" s="203"/>
      <c r="I600" s="197" t="str">
        <f t="shared" si="95"/>
        <v/>
      </c>
      <c r="J600" s="197" t="str">
        <f t="shared" si="96"/>
        <v/>
      </c>
      <c r="K600" s="197"/>
      <c r="L600" s="197"/>
      <c r="M600" s="198"/>
      <c r="N600" s="198"/>
      <c r="O600" s="198"/>
      <c r="P600" s="199"/>
      <c r="Q600" s="200"/>
      <c r="R600" s="200"/>
      <c r="S600" s="200"/>
      <c r="T600" s="200" t="str">
        <f t="shared" si="92"/>
        <v/>
      </c>
      <c r="U600" s="200"/>
      <c r="V600" s="201" t="str">
        <f t="shared" si="93"/>
        <v/>
      </c>
      <c r="W600" s="202">
        <f t="shared" si="94"/>
        <v>0</v>
      </c>
      <c r="X600" s="172"/>
    </row>
    <row r="601" spans="1:24" x14ac:dyDescent="0.45">
      <c r="A601" s="193">
        <v>23</v>
      </c>
      <c r="B601" s="194" t="str">
        <f t="shared" si="90"/>
        <v/>
      </c>
      <c r="C601" s="170" t="str">
        <f t="shared" si="91"/>
        <v/>
      </c>
      <c r="D601" s="170"/>
      <c r="E601" s="195"/>
      <c r="F601" s="170"/>
      <c r="G601" s="170"/>
      <c r="H601" s="203"/>
      <c r="I601" s="197" t="str">
        <f t="shared" si="95"/>
        <v/>
      </c>
      <c r="J601" s="197" t="str">
        <f t="shared" si="96"/>
        <v/>
      </c>
      <c r="K601" s="197"/>
      <c r="L601" s="197"/>
      <c r="M601" s="198"/>
      <c r="N601" s="198"/>
      <c r="O601" s="198"/>
      <c r="P601" s="199"/>
      <c r="Q601" s="200"/>
      <c r="R601" s="200"/>
      <c r="S601" s="200"/>
      <c r="T601" s="200" t="str">
        <f t="shared" si="92"/>
        <v/>
      </c>
      <c r="U601" s="200"/>
      <c r="V601" s="201" t="str">
        <f t="shared" si="93"/>
        <v/>
      </c>
      <c r="W601" s="202">
        <f t="shared" si="94"/>
        <v>0</v>
      </c>
      <c r="X601" s="172"/>
    </row>
    <row r="602" spans="1:24" x14ac:dyDescent="0.45">
      <c r="A602" s="193">
        <v>24</v>
      </c>
      <c r="B602" s="194" t="str">
        <f t="shared" si="90"/>
        <v/>
      </c>
      <c r="C602" s="170" t="str">
        <f t="shared" si="91"/>
        <v/>
      </c>
      <c r="D602" s="170"/>
      <c r="E602" s="195"/>
      <c r="F602" s="170"/>
      <c r="G602" s="170"/>
      <c r="H602" s="203"/>
      <c r="I602" s="197" t="str">
        <f t="shared" si="95"/>
        <v/>
      </c>
      <c r="J602" s="197" t="str">
        <f t="shared" si="96"/>
        <v/>
      </c>
      <c r="K602" s="197"/>
      <c r="L602" s="197"/>
      <c r="M602" s="198"/>
      <c r="N602" s="198"/>
      <c r="O602" s="198"/>
      <c r="P602" s="199"/>
      <c r="Q602" s="200"/>
      <c r="R602" s="200"/>
      <c r="S602" s="200"/>
      <c r="T602" s="200" t="str">
        <f t="shared" si="92"/>
        <v/>
      </c>
      <c r="U602" s="200"/>
      <c r="V602" s="201" t="str">
        <f t="shared" si="93"/>
        <v/>
      </c>
      <c r="W602" s="202">
        <f t="shared" si="94"/>
        <v>0</v>
      </c>
      <c r="X602" s="172"/>
    </row>
    <row r="603" spans="1:24" x14ac:dyDescent="0.45">
      <c r="A603" s="193">
        <v>25</v>
      </c>
      <c r="B603" s="194" t="str">
        <f t="shared" si="90"/>
        <v/>
      </c>
      <c r="C603" s="170" t="str">
        <f t="shared" si="91"/>
        <v/>
      </c>
      <c r="D603" s="170"/>
      <c r="E603" s="195"/>
      <c r="F603" s="170"/>
      <c r="G603" s="170"/>
      <c r="H603" s="203"/>
      <c r="I603" s="197" t="str">
        <f t="shared" si="95"/>
        <v/>
      </c>
      <c r="J603" s="197" t="str">
        <f t="shared" si="96"/>
        <v/>
      </c>
      <c r="K603" s="197"/>
      <c r="L603" s="197"/>
      <c r="M603" s="198"/>
      <c r="N603" s="198"/>
      <c r="O603" s="198"/>
      <c r="P603" s="199"/>
      <c r="Q603" s="200"/>
      <c r="R603" s="200"/>
      <c r="S603" s="200"/>
      <c r="T603" s="200" t="str">
        <f t="shared" si="92"/>
        <v/>
      </c>
      <c r="U603" s="200"/>
      <c r="V603" s="201" t="str">
        <f t="shared" si="93"/>
        <v/>
      </c>
      <c r="W603" s="202">
        <f t="shared" si="94"/>
        <v>0</v>
      </c>
      <c r="X603" s="172"/>
    </row>
    <row r="604" spans="1:24" x14ac:dyDescent="0.45">
      <c r="A604" s="193">
        <v>26</v>
      </c>
      <c r="B604" s="194" t="str">
        <f t="shared" si="90"/>
        <v/>
      </c>
      <c r="C604" s="170" t="str">
        <f t="shared" si="91"/>
        <v/>
      </c>
      <c r="D604" s="170"/>
      <c r="E604" s="195"/>
      <c r="F604" s="170"/>
      <c r="G604" s="170"/>
      <c r="H604" s="203"/>
      <c r="I604" s="197" t="str">
        <f t="shared" si="95"/>
        <v/>
      </c>
      <c r="J604" s="197" t="str">
        <f t="shared" si="96"/>
        <v/>
      </c>
      <c r="K604" s="197"/>
      <c r="L604" s="197"/>
      <c r="M604" s="198"/>
      <c r="N604" s="198"/>
      <c r="O604" s="198"/>
      <c r="P604" s="199"/>
      <c r="Q604" s="200"/>
      <c r="R604" s="200"/>
      <c r="S604" s="200"/>
      <c r="T604" s="200" t="str">
        <f t="shared" si="92"/>
        <v/>
      </c>
      <c r="U604" s="200"/>
      <c r="V604" s="201" t="str">
        <f t="shared" si="93"/>
        <v/>
      </c>
      <c r="W604" s="202">
        <f t="shared" si="94"/>
        <v>0</v>
      </c>
      <c r="X604" s="172"/>
    </row>
    <row r="605" spans="1:24" x14ac:dyDescent="0.45">
      <c r="A605" s="193">
        <v>27</v>
      </c>
      <c r="B605" s="194" t="str">
        <f t="shared" si="90"/>
        <v/>
      </c>
      <c r="C605" s="170" t="str">
        <f t="shared" si="91"/>
        <v/>
      </c>
      <c r="D605" s="170"/>
      <c r="E605" s="195"/>
      <c r="F605" s="170"/>
      <c r="G605" s="170"/>
      <c r="H605" s="203"/>
      <c r="I605" s="197" t="str">
        <f t="shared" si="95"/>
        <v/>
      </c>
      <c r="J605" s="197" t="str">
        <f t="shared" si="96"/>
        <v/>
      </c>
      <c r="K605" s="197"/>
      <c r="L605" s="197"/>
      <c r="M605" s="198"/>
      <c r="N605" s="198"/>
      <c r="O605" s="198"/>
      <c r="P605" s="199"/>
      <c r="Q605" s="200"/>
      <c r="R605" s="200"/>
      <c r="S605" s="200"/>
      <c r="T605" s="200" t="str">
        <f t="shared" si="92"/>
        <v/>
      </c>
      <c r="U605" s="200"/>
      <c r="V605" s="201" t="str">
        <f t="shared" si="93"/>
        <v/>
      </c>
      <c r="W605" s="202">
        <f t="shared" si="94"/>
        <v>0</v>
      </c>
      <c r="X605" s="172"/>
    </row>
    <row r="606" spans="1:24" x14ac:dyDescent="0.45">
      <c r="A606" s="193">
        <v>28</v>
      </c>
      <c r="B606" s="194" t="str">
        <f t="shared" si="90"/>
        <v/>
      </c>
      <c r="C606" s="170" t="str">
        <f t="shared" si="91"/>
        <v/>
      </c>
      <c r="D606" s="170"/>
      <c r="E606" s="195"/>
      <c r="F606" s="170"/>
      <c r="G606" s="170"/>
      <c r="H606" s="203"/>
      <c r="I606" s="197" t="str">
        <f t="shared" si="95"/>
        <v/>
      </c>
      <c r="J606" s="197" t="str">
        <f t="shared" si="96"/>
        <v/>
      </c>
      <c r="K606" s="197"/>
      <c r="L606" s="197"/>
      <c r="M606" s="198"/>
      <c r="N606" s="198"/>
      <c r="O606" s="198"/>
      <c r="P606" s="199"/>
      <c r="Q606" s="200"/>
      <c r="R606" s="200"/>
      <c r="S606" s="200"/>
      <c r="T606" s="200" t="str">
        <f t="shared" si="92"/>
        <v/>
      </c>
      <c r="U606" s="200"/>
      <c r="V606" s="201" t="str">
        <f t="shared" si="93"/>
        <v/>
      </c>
      <c r="W606" s="202">
        <f t="shared" si="94"/>
        <v>0</v>
      </c>
      <c r="X606" s="172"/>
    </row>
    <row r="607" spans="1:24" x14ac:dyDescent="0.45">
      <c r="A607" s="193">
        <v>29</v>
      </c>
      <c r="B607" s="194" t="str">
        <f t="shared" si="90"/>
        <v/>
      </c>
      <c r="C607" s="170" t="str">
        <f t="shared" si="91"/>
        <v/>
      </c>
      <c r="D607" s="170"/>
      <c r="E607" s="195"/>
      <c r="F607" s="170"/>
      <c r="G607" s="170"/>
      <c r="H607" s="203"/>
      <c r="I607" s="197" t="str">
        <f t="shared" si="95"/>
        <v/>
      </c>
      <c r="J607" s="197" t="str">
        <f t="shared" si="96"/>
        <v/>
      </c>
      <c r="K607" s="197"/>
      <c r="L607" s="197"/>
      <c r="M607" s="198"/>
      <c r="N607" s="198"/>
      <c r="O607" s="198"/>
      <c r="P607" s="199"/>
      <c r="Q607" s="200"/>
      <c r="R607" s="200"/>
      <c r="S607" s="200"/>
      <c r="T607" s="200" t="str">
        <f t="shared" si="92"/>
        <v/>
      </c>
      <c r="U607" s="200"/>
      <c r="V607" s="201" t="str">
        <f t="shared" si="93"/>
        <v/>
      </c>
      <c r="W607" s="202">
        <f t="shared" si="94"/>
        <v>0</v>
      </c>
      <c r="X607" s="172"/>
    </row>
    <row r="608" spans="1:24" x14ac:dyDescent="0.45">
      <c r="A608" s="193">
        <v>30</v>
      </c>
      <c r="B608" s="194" t="str">
        <f t="shared" si="90"/>
        <v/>
      </c>
      <c r="C608" s="170" t="str">
        <f t="shared" si="91"/>
        <v/>
      </c>
      <c r="D608" s="170"/>
      <c r="E608" s="195"/>
      <c r="F608" s="170"/>
      <c r="G608" s="170"/>
      <c r="H608" s="203"/>
      <c r="I608" s="197" t="str">
        <f t="shared" si="95"/>
        <v/>
      </c>
      <c r="J608" s="197" t="str">
        <f t="shared" si="96"/>
        <v/>
      </c>
      <c r="K608" s="197"/>
      <c r="L608" s="197"/>
      <c r="M608" s="198"/>
      <c r="N608" s="198"/>
      <c r="O608" s="198"/>
      <c r="P608" s="199"/>
      <c r="Q608" s="200"/>
      <c r="R608" s="200"/>
      <c r="S608" s="200"/>
      <c r="T608" s="200" t="str">
        <f t="shared" si="92"/>
        <v/>
      </c>
      <c r="U608" s="200"/>
      <c r="V608" s="201" t="str">
        <f t="shared" si="93"/>
        <v/>
      </c>
      <c r="W608" s="202">
        <f t="shared" si="94"/>
        <v>0</v>
      </c>
      <c r="X608" s="172"/>
    </row>
    <row r="609" spans="1:24" x14ac:dyDescent="0.45">
      <c r="A609" s="193">
        <v>31</v>
      </c>
      <c r="B609" s="194" t="str">
        <f t="shared" si="90"/>
        <v/>
      </c>
      <c r="C609" s="170" t="str">
        <f t="shared" si="91"/>
        <v/>
      </c>
      <c r="D609" s="170"/>
      <c r="E609" s="195"/>
      <c r="F609" s="170"/>
      <c r="G609" s="170"/>
      <c r="H609" s="203"/>
      <c r="I609" s="197" t="str">
        <f t="shared" si="95"/>
        <v/>
      </c>
      <c r="J609" s="197" t="str">
        <f t="shared" si="96"/>
        <v/>
      </c>
      <c r="K609" s="197"/>
      <c r="L609" s="197"/>
      <c r="M609" s="198"/>
      <c r="N609" s="198"/>
      <c r="O609" s="198"/>
      <c r="P609" s="199"/>
      <c r="Q609" s="200"/>
      <c r="R609" s="200"/>
      <c r="S609" s="200"/>
      <c r="T609" s="200" t="str">
        <f t="shared" si="92"/>
        <v/>
      </c>
      <c r="U609" s="200"/>
      <c r="V609" s="201" t="str">
        <f t="shared" si="93"/>
        <v/>
      </c>
      <c r="W609" s="202">
        <f t="shared" si="94"/>
        <v>0</v>
      </c>
      <c r="X609" s="172"/>
    </row>
    <row r="610" spans="1:24" x14ac:dyDescent="0.45">
      <c r="A610" s="193">
        <v>32</v>
      </c>
      <c r="B610" s="194" t="str">
        <f t="shared" si="90"/>
        <v/>
      </c>
      <c r="C610" s="170" t="str">
        <f t="shared" si="91"/>
        <v/>
      </c>
      <c r="D610" s="170"/>
      <c r="E610" s="195"/>
      <c r="F610" s="170"/>
      <c r="G610" s="170"/>
      <c r="H610" s="203"/>
      <c r="I610" s="197" t="str">
        <f t="shared" si="95"/>
        <v/>
      </c>
      <c r="J610" s="197" t="str">
        <f t="shared" si="96"/>
        <v/>
      </c>
      <c r="K610" s="197"/>
      <c r="L610" s="197"/>
      <c r="M610" s="198"/>
      <c r="N610" s="198"/>
      <c r="O610" s="198"/>
      <c r="P610" s="199"/>
      <c r="Q610" s="200"/>
      <c r="R610" s="200"/>
      <c r="S610" s="200"/>
      <c r="T610" s="200" t="str">
        <f t="shared" si="92"/>
        <v/>
      </c>
      <c r="U610" s="200"/>
      <c r="V610" s="201" t="str">
        <f t="shared" si="93"/>
        <v/>
      </c>
      <c r="W610" s="202">
        <f t="shared" si="94"/>
        <v>0</v>
      </c>
      <c r="X610" s="172"/>
    </row>
    <row r="611" spans="1:24" x14ac:dyDescent="0.45">
      <c r="A611" s="193">
        <v>33</v>
      </c>
      <c r="B611" s="194" t="str">
        <f t="shared" ref="B611:B644" si="97">IF(OR($C$559="",U611=""),"",LEFT($C$559,FIND("_",$C$559)-1))</f>
        <v/>
      </c>
      <c r="C611" s="170" t="str">
        <f t="shared" ref="C611:C644" si="98">IF(OR($C$559="",U611=""),"",$B$559)</f>
        <v/>
      </c>
      <c r="D611" s="170"/>
      <c r="E611" s="195"/>
      <c r="F611" s="170"/>
      <c r="G611" s="170"/>
      <c r="H611" s="203"/>
      <c r="I611" s="197" t="str">
        <f t="shared" si="95"/>
        <v/>
      </c>
      <c r="J611" s="197" t="str">
        <f t="shared" si="96"/>
        <v/>
      </c>
      <c r="K611" s="197"/>
      <c r="L611" s="197"/>
      <c r="M611" s="198"/>
      <c r="N611" s="198"/>
      <c r="O611" s="198"/>
      <c r="P611" s="199"/>
      <c r="Q611" s="200"/>
      <c r="R611" s="200"/>
      <c r="S611" s="200"/>
      <c r="T611" s="200" t="str">
        <f t="shared" ref="T611:T644" si="99">IF(K611="","",((K611*20)+L611)-((I611*20)+J611))</f>
        <v/>
      </c>
      <c r="U611" s="200"/>
      <c r="V611" s="201" t="str">
        <f t="shared" ref="V611:V642" si="100">IF(U611="","",$V$559)</f>
        <v/>
      </c>
      <c r="W611" s="202">
        <f t="shared" ref="W611:W644" si="101">IF(OR(T611="",U611=""),0,T611*U611)</f>
        <v>0</v>
      </c>
      <c r="X611" s="172"/>
    </row>
    <row r="612" spans="1:24" x14ac:dyDescent="0.45">
      <c r="A612" s="193">
        <v>34</v>
      </c>
      <c r="B612" s="194" t="str">
        <f t="shared" si="97"/>
        <v/>
      </c>
      <c r="C612" s="170" t="str">
        <f t="shared" si="98"/>
        <v/>
      </c>
      <c r="D612" s="170"/>
      <c r="E612" s="195"/>
      <c r="F612" s="170"/>
      <c r="G612" s="170"/>
      <c r="H612" s="203"/>
      <c r="I612" s="197" t="str">
        <f t="shared" ref="I612:I644" si="102">IF(K611="","",K611)</f>
        <v/>
      </c>
      <c r="J612" s="197" t="str">
        <f t="shared" ref="J612:J644" si="103">IF(L611="","",L611)</f>
        <v/>
      </c>
      <c r="K612" s="197"/>
      <c r="L612" s="197"/>
      <c r="M612" s="198"/>
      <c r="N612" s="198"/>
      <c r="O612" s="198"/>
      <c r="P612" s="199"/>
      <c r="Q612" s="200"/>
      <c r="R612" s="200"/>
      <c r="S612" s="200"/>
      <c r="T612" s="200" t="str">
        <f t="shared" si="99"/>
        <v/>
      </c>
      <c r="U612" s="200"/>
      <c r="V612" s="201" t="str">
        <f t="shared" si="100"/>
        <v/>
      </c>
      <c r="W612" s="202">
        <f t="shared" si="101"/>
        <v>0</v>
      </c>
      <c r="X612" s="172"/>
    </row>
    <row r="613" spans="1:24" x14ac:dyDescent="0.45">
      <c r="A613" s="193">
        <v>35</v>
      </c>
      <c r="B613" s="194" t="str">
        <f t="shared" si="97"/>
        <v/>
      </c>
      <c r="C613" s="170" t="str">
        <f t="shared" si="98"/>
        <v/>
      </c>
      <c r="D613" s="170"/>
      <c r="E613" s="195"/>
      <c r="F613" s="170"/>
      <c r="G613" s="170"/>
      <c r="H613" s="203"/>
      <c r="I613" s="197" t="str">
        <f t="shared" si="102"/>
        <v/>
      </c>
      <c r="J613" s="197" t="str">
        <f t="shared" si="103"/>
        <v/>
      </c>
      <c r="K613" s="197"/>
      <c r="L613" s="197"/>
      <c r="M613" s="198"/>
      <c r="N613" s="198"/>
      <c r="O613" s="198"/>
      <c r="P613" s="199"/>
      <c r="Q613" s="200"/>
      <c r="R613" s="200"/>
      <c r="S613" s="200"/>
      <c r="T613" s="200" t="str">
        <f t="shared" si="99"/>
        <v/>
      </c>
      <c r="U613" s="200"/>
      <c r="V613" s="201" t="str">
        <f t="shared" si="100"/>
        <v/>
      </c>
      <c r="W613" s="202">
        <f t="shared" si="101"/>
        <v>0</v>
      </c>
      <c r="X613" s="172"/>
    </row>
    <row r="614" spans="1:24" x14ac:dyDescent="0.45">
      <c r="A614" s="193">
        <v>36</v>
      </c>
      <c r="B614" s="194" t="str">
        <f t="shared" si="97"/>
        <v/>
      </c>
      <c r="C614" s="170" t="str">
        <f t="shared" si="98"/>
        <v/>
      </c>
      <c r="D614" s="170"/>
      <c r="E614" s="195"/>
      <c r="F614" s="170"/>
      <c r="G614" s="170"/>
      <c r="H614" s="203"/>
      <c r="I614" s="197" t="str">
        <f t="shared" si="102"/>
        <v/>
      </c>
      <c r="J614" s="197" t="str">
        <f t="shared" si="103"/>
        <v/>
      </c>
      <c r="K614" s="197"/>
      <c r="L614" s="197"/>
      <c r="M614" s="198"/>
      <c r="N614" s="198"/>
      <c r="O614" s="198"/>
      <c r="P614" s="199"/>
      <c r="Q614" s="200"/>
      <c r="R614" s="200"/>
      <c r="S614" s="200"/>
      <c r="T614" s="200" t="str">
        <f t="shared" si="99"/>
        <v/>
      </c>
      <c r="U614" s="200"/>
      <c r="V614" s="201" t="str">
        <f t="shared" si="100"/>
        <v/>
      </c>
      <c r="W614" s="202">
        <f t="shared" si="101"/>
        <v>0</v>
      </c>
      <c r="X614" s="172"/>
    </row>
    <row r="615" spans="1:24" x14ac:dyDescent="0.45">
      <c r="A615" s="193">
        <v>37</v>
      </c>
      <c r="B615" s="194" t="str">
        <f t="shared" si="97"/>
        <v/>
      </c>
      <c r="C615" s="170" t="str">
        <f t="shared" si="98"/>
        <v/>
      </c>
      <c r="D615" s="170"/>
      <c r="E615" s="195"/>
      <c r="F615" s="170"/>
      <c r="G615" s="170"/>
      <c r="H615" s="203"/>
      <c r="I615" s="197" t="str">
        <f t="shared" si="102"/>
        <v/>
      </c>
      <c r="J615" s="197" t="str">
        <f t="shared" si="103"/>
        <v/>
      </c>
      <c r="K615" s="197"/>
      <c r="L615" s="197"/>
      <c r="M615" s="198"/>
      <c r="N615" s="198"/>
      <c r="O615" s="198"/>
      <c r="P615" s="199"/>
      <c r="Q615" s="200"/>
      <c r="R615" s="200"/>
      <c r="S615" s="200"/>
      <c r="T615" s="200" t="str">
        <f t="shared" si="99"/>
        <v/>
      </c>
      <c r="U615" s="200"/>
      <c r="V615" s="201" t="str">
        <f t="shared" si="100"/>
        <v/>
      </c>
      <c r="W615" s="202">
        <f t="shared" si="101"/>
        <v>0</v>
      </c>
      <c r="X615" s="172"/>
    </row>
    <row r="616" spans="1:24" x14ac:dyDescent="0.45">
      <c r="A616" s="193">
        <v>38</v>
      </c>
      <c r="B616" s="194" t="str">
        <f t="shared" si="97"/>
        <v/>
      </c>
      <c r="C616" s="170" t="str">
        <f t="shared" si="98"/>
        <v/>
      </c>
      <c r="D616" s="170"/>
      <c r="E616" s="195"/>
      <c r="F616" s="170"/>
      <c r="G616" s="170"/>
      <c r="H616" s="203"/>
      <c r="I616" s="197" t="str">
        <f t="shared" si="102"/>
        <v/>
      </c>
      <c r="J616" s="197" t="str">
        <f t="shared" si="103"/>
        <v/>
      </c>
      <c r="K616" s="197"/>
      <c r="L616" s="197"/>
      <c r="M616" s="198"/>
      <c r="N616" s="198"/>
      <c r="O616" s="198"/>
      <c r="P616" s="199"/>
      <c r="Q616" s="200"/>
      <c r="R616" s="200"/>
      <c r="S616" s="200"/>
      <c r="T616" s="200" t="str">
        <f t="shared" si="99"/>
        <v/>
      </c>
      <c r="U616" s="200"/>
      <c r="V616" s="201" t="str">
        <f t="shared" si="100"/>
        <v/>
      </c>
      <c r="W616" s="202">
        <f t="shared" si="101"/>
        <v>0</v>
      </c>
      <c r="X616" s="172"/>
    </row>
    <row r="617" spans="1:24" x14ac:dyDescent="0.45">
      <c r="A617" s="193">
        <v>39</v>
      </c>
      <c r="B617" s="194" t="str">
        <f t="shared" si="97"/>
        <v/>
      </c>
      <c r="C617" s="170" t="str">
        <f t="shared" si="98"/>
        <v/>
      </c>
      <c r="D617" s="170"/>
      <c r="E617" s="195"/>
      <c r="F617" s="170"/>
      <c r="G617" s="170"/>
      <c r="H617" s="203"/>
      <c r="I617" s="197" t="str">
        <f t="shared" si="102"/>
        <v/>
      </c>
      <c r="J617" s="197" t="str">
        <f t="shared" si="103"/>
        <v/>
      </c>
      <c r="K617" s="197"/>
      <c r="L617" s="197"/>
      <c r="M617" s="198"/>
      <c r="N617" s="198"/>
      <c r="O617" s="198"/>
      <c r="P617" s="199"/>
      <c r="Q617" s="200"/>
      <c r="R617" s="200"/>
      <c r="S617" s="200"/>
      <c r="T617" s="200" t="str">
        <f t="shared" si="99"/>
        <v/>
      </c>
      <c r="U617" s="200"/>
      <c r="V617" s="201" t="str">
        <f t="shared" si="100"/>
        <v/>
      </c>
      <c r="W617" s="202">
        <f t="shared" si="101"/>
        <v>0</v>
      </c>
      <c r="X617" s="172"/>
    </row>
    <row r="618" spans="1:24" x14ac:dyDescent="0.45">
      <c r="A618" s="193">
        <v>40</v>
      </c>
      <c r="B618" s="194" t="str">
        <f t="shared" si="97"/>
        <v/>
      </c>
      <c r="C618" s="170" t="str">
        <f t="shared" si="98"/>
        <v/>
      </c>
      <c r="D618" s="170"/>
      <c r="E618" s="195"/>
      <c r="F618" s="170"/>
      <c r="G618" s="170"/>
      <c r="H618" s="203"/>
      <c r="I618" s="197" t="str">
        <f t="shared" si="102"/>
        <v/>
      </c>
      <c r="J618" s="197" t="str">
        <f t="shared" si="103"/>
        <v/>
      </c>
      <c r="K618" s="197"/>
      <c r="L618" s="197"/>
      <c r="M618" s="198"/>
      <c r="N618" s="198"/>
      <c r="O618" s="198"/>
      <c r="P618" s="199"/>
      <c r="Q618" s="200"/>
      <c r="R618" s="200"/>
      <c r="S618" s="200"/>
      <c r="T618" s="200" t="str">
        <f t="shared" si="99"/>
        <v/>
      </c>
      <c r="U618" s="200"/>
      <c r="V618" s="201" t="str">
        <f t="shared" si="100"/>
        <v/>
      </c>
      <c r="W618" s="202">
        <f t="shared" si="101"/>
        <v>0</v>
      </c>
      <c r="X618" s="172"/>
    </row>
    <row r="619" spans="1:24" x14ac:dyDescent="0.45">
      <c r="A619" s="193">
        <v>41</v>
      </c>
      <c r="B619" s="194" t="str">
        <f t="shared" si="97"/>
        <v/>
      </c>
      <c r="C619" s="170" t="str">
        <f t="shared" si="98"/>
        <v/>
      </c>
      <c r="D619" s="170"/>
      <c r="E619" s="195"/>
      <c r="F619" s="170"/>
      <c r="G619" s="170"/>
      <c r="H619" s="203"/>
      <c r="I619" s="197" t="str">
        <f t="shared" si="102"/>
        <v/>
      </c>
      <c r="J619" s="197" t="str">
        <f t="shared" si="103"/>
        <v/>
      </c>
      <c r="K619" s="197"/>
      <c r="L619" s="197"/>
      <c r="M619" s="198"/>
      <c r="N619" s="198"/>
      <c r="O619" s="198"/>
      <c r="P619" s="199"/>
      <c r="Q619" s="200"/>
      <c r="R619" s="200"/>
      <c r="S619" s="200"/>
      <c r="T619" s="200" t="str">
        <f t="shared" si="99"/>
        <v/>
      </c>
      <c r="U619" s="200"/>
      <c r="V619" s="201" t="str">
        <f t="shared" si="100"/>
        <v/>
      </c>
      <c r="W619" s="202">
        <f t="shared" si="101"/>
        <v>0</v>
      </c>
      <c r="X619" s="172"/>
    </row>
    <row r="620" spans="1:24" x14ac:dyDescent="0.45">
      <c r="A620" s="193">
        <v>42</v>
      </c>
      <c r="B620" s="194" t="str">
        <f t="shared" si="97"/>
        <v/>
      </c>
      <c r="C620" s="170" t="str">
        <f t="shared" si="98"/>
        <v/>
      </c>
      <c r="D620" s="170"/>
      <c r="E620" s="195"/>
      <c r="F620" s="170"/>
      <c r="G620" s="170"/>
      <c r="H620" s="203"/>
      <c r="I620" s="197" t="str">
        <f t="shared" si="102"/>
        <v/>
      </c>
      <c r="J620" s="197" t="str">
        <f t="shared" si="103"/>
        <v/>
      </c>
      <c r="K620" s="197"/>
      <c r="L620" s="197"/>
      <c r="M620" s="198"/>
      <c r="N620" s="198"/>
      <c r="O620" s="198"/>
      <c r="P620" s="199"/>
      <c r="Q620" s="200"/>
      <c r="R620" s="200"/>
      <c r="S620" s="200"/>
      <c r="T620" s="200" t="str">
        <f t="shared" si="99"/>
        <v/>
      </c>
      <c r="U620" s="200"/>
      <c r="V620" s="201" t="str">
        <f t="shared" si="100"/>
        <v/>
      </c>
      <c r="W620" s="202">
        <f t="shared" si="101"/>
        <v>0</v>
      </c>
      <c r="X620" s="172"/>
    </row>
    <row r="621" spans="1:24" x14ac:dyDescent="0.45">
      <c r="A621" s="193">
        <v>43</v>
      </c>
      <c r="B621" s="194" t="str">
        <f t="shared" si="97"/>
        <v/>
      </c>
      <c r="C621" s="170" t="str">
        <f t="shared" si="98"/>
        <v/>
      </c>
      <c r="D621" s="170"/>
      <c r="E621" s="195"/>
      <c r="F621" s="170"/>
      <c r="G621" s="170"/>
      <c r="H621" s="203"/>
      <c r="I621" s="197" t="str">
        <f t="shared" si="102"/>
        <v/>
      </c>
      <c r="J621" s="197" t="str">
        <f t="shared" si="103"/>
        <v/>
      </c>
      <c r="K621" s="197"/>
      <c r="L621" s="197"/>
      <c r="M621" s="198"/>
      <c r="N621" s="198"/>
      <c r="O621" s="198"/>
      <c r="P621" s="199"/>
      <c r="Q621" s="200"/>
      <c r="R621" s="200"/>
      <c r="S621" s="200"/>
      <c r="T621" s="200" t="str">
        <f t="shared" si="99"/>
        <v/>
      </c>
      <c r="U621" s="200"/>
      <c r="V621" s="201" t="str">
        <f t="shared" si="100"/>
        <v/>
      </c>
      <c r="W621" s="202">
        <f t="shared" si="101"/>
        <v>0</v>
      </c>
      <c r="X621" s="172"/>
    </row>
    <row r="622" spans="1:24" x14ac:dyDescent="0.45">
      <c r="A622" s="193">
        <v>44</v>
      </c>
      <c r="B622" s="194" t="str">
        <f t="shared" si="97"/>
        <v/>
      </c>
      <c r="C622" s="170" t="str">
        <f t="shared" si="98"/>
        <v/>
      </c>
      <c r="D622" s="170"/>
      <c r="E622" s="195"/>
      <c r="F622" s="170"/>
      <c r="G622" s="170"/>
      <c r="H622" s="203"/>
      <c r="I622" s="197" t="str">
        <f t="shared" si="102"/>
        <v/>
      </c>
      <c r="J622" s="197" t="str">
        <f t="shared" si="103"/>
        <v/>
      </c>
      <c r="K622" s="197"/>
      <c r="L622" s="197"/>
      <c r="M622" s="198"/>
      <c r="N622" s="198"/>
      <c r="O622" s="198"/>
      <c r="P622" s="199"/>
      <c r="Q622" s="200"/>
      <c r="R622" s="200"/>
      <c r="S622" s="200"/>
      <c r="T622" s="200" t="str">
        <f t="shared" si="99"/>
        <v/>
      </c>
      <c r="U622" s="200"/>
      <c r="V622" s="201" t="str">
        <f t="shared" si="100"/>
        <v/>
      </c>
      <c r="W622" s="202">
        <f t="shared" si="101"/>
        <v>0</v>
      </c>
      <c r="X622" s="172"/>
    </row>
    <row r="623" spans="1:24" x14ac:dyDescent="0.45">
      <c r="A623" s="193">
        <v>45</v>
      </c>
      <c r="B623" s="194" t="str">
        <f t="shared" si="97"/>
        <v/>
      </c>
      <c r="C623" s="170" t="str">
        <f t="shared" si="98"/>
        <v/>
      </c>
      <c r="D623" s="170"/>
      <c r="E623" s="195"/>
      <c r="F623" s="170"/>
      <c r="G623" s="170"/>
      <c r="H623" s="203"/>
      <c r="I623" s="197" t="str">
        <f t="shared" si="102"/>
        <v/>
      </c>
      <c r="J623" s="197" t="str">
        <f t="shared" si="103"/>
        <v/>
      </c>
      <c r="K623" s="197"/>
      <c r="L623" s="197"/>
      <c r="M623" s="198"/>
      <c r="N623" s="198"/>
      <c r="O623" s="198"/>
      <c r="P623" s="199"/>
      <c r="Q623" s="200"/>
      <c r="R623" s="200"/>
      <c r="S623" s="200"/>
      <c r="T623" s="200" t="str">
        <f t="shared" si="99"/>
        <v/>
      </c>
      <c r="U623" s="200"/>
      <c r="V623" s="201" t="str">
        <f t="shared" si="100"/>
        <v/>
      </c>
      <c r="W623" s="202">
        <f t="shared" si="101"/>
        <v>0</v>
      </c>
      <c r="X623" s="172"/>
    </row>
    <row r="624" spans="1:24" x14ac:dyDescent="0.45">
      <c r="A624" s="193">
        <v>46</v>
      </c>
      <c r="B624" s="194" t="str">
        <f t="shared" si="97"/>
        <v/>
      </c>
      <c r="C624" s="170" t="str">
        <f t="shared" si="98"/>
        <v/>
      </c>
      <c r="D624" s="170"/>
      <c r="E624" s="195"/>
      <c r="F624" s="170"/>
      <c r="G624" s="170"/>
      <c r="H624" s="203"/>
      <c r="I624" s="197" t="str">
        <f t="shared" si="102"/>
        <v/>
      </c>
      <c r="J624" s="197" t="str">
        <f t="shared" si="103"/>
        <v/>
      </c>
      <c r="K624" s="197"/>
      <c r="L624" s="197"/>
      <c r="M624" s="198"/>
      <c r="N624" s="198"/>
      <c r="O624" s="198"/>
      <c r="P624" s="199"/>
      <c r="Q624" s="200"/>
      <c r="R624" s="200"/>
      <c r="S624" s="200"/>
      <c r="T624" s="200" t="str">
        <f t="shared" si="99"/>
        <v/>
      </c>
      <c r="U624" s="200"/>
      <c r="V624" s="201" t="str">
        <f t="shared" si="100"/>
        <v/>
      </c>
      <c r="W624" s="202">
        <f t="shared" si="101"/>
        <v>0</v>
      </c>
      <c r="X624" s="172"/>
    </row>
    <row r="625" spans="1:24" x14ac:dyDescent="0.45">
      <c r="A625" s="193">
        <v>47</v>
      </c>
      <c r="B625" s="194" t="str">
        <f t="shared" si="97"/>
        <v/>
      </c>
      <c r="C625" s="170" t="str">
        <f t="shared" si="98"/>
        <v/>
      </c>
      <c r="D625" s="170"/>
      <c r="E625" s="195"/>
      <c r="F625" s="170"/>
      <c r="G625" s="170"/>
      <c r="H625" s="203"/>
      <c r="I625" s="197" t="str">
        <f t="shared" si="102"/>
        <v/>
      </c>
      <c r="J625" s="197" t="str">
        <f t="shared" si="103"/>
        <v/>
      </c>
      <c r="K625" s="197"/>
      <c r="L625" s="197"/>
      <c r="M625" s="198"/>
      <c r="N625" s="198"/>
      <c r="O625" s="198"/>
      <c r="P625" s="199"/>
      <c r="Q625" s="200"/>
      <c r="R625" s="200"/>
      <c r="S625" s="200"/>
      <c r="T625" s="200" t="str">
        <f t="shared" si="99"/>
        <v/>
      </c>
      <c r="U625" s="200"/>
      <c r="V625" s="201" t="str">
        <f t="shared" si="100"/>
        <v/>
      </c>
      <c r="W625" s="202">
        <f t="shared" si="101"/>
        <v>0</v>
      </c>
      <c r="X625" s="172"/>
    </row>
    <row r="626" spans="1:24" x14ac:dyDescent="0.45">
      <c r="A626" s="193">
        <v>48</v>
      </c>
      <c r="B626" s="194" t="str">
        <f t="shared" si="97"/>
        <v/>
      </c>
      <c r="C626" s="170" t="str">
        <f t="shared" si="98"/>
        <v/>
      </c>
      <c r="D626" s="170"/>
      <c r="E626" s="195"/>
      <c r="F626" s="170"/>
      <c r="G626" s="170"/>
      <c r="H626" s="203"/>
      <c r="I626" s="197" t="str">
        <f t="shared" si="102"/>
        <v/>
      </c>
      <c r="J626" s="197" t="str">
        <f t="shared" si="103"/>
        <v/>
      </c>
      <c r="K626" s="197"/>
      <c r="L626" s="197"/>
      <c r="M626" s="198"/>
      <c r="N626" s="198"/>
      <c r="O626" s="198"/>
      <c r="P626" s="199"/>
      <c r="Q626" s="200"/>
      <c r="R626" s="200"/>
      <c r="S626" s="200"/>
      <c r="T626" s="200" t="str">
        <f t="shared" si="99"/>
        <v/>
      </c>
      <c r="U626" s="200"/>
      <c r="V626" s="201" t="str">
        <f t="shared" si="100"/>
        <v/>
      </c>
      <c r="W626" s="202">
        <f t="shared" si="101"/>
        <v>0</v>
      </c>
      <c r="X626" s="172"/>
    </row>
    <row r="627" spans="1:24" x14ac:dyDescent="0.45">
      <c r="A627" s="193">
        <v>49</v>
      </c>
      <c r="B627" s="194" t="str">
        <f t="shared" si="97"/>
        <v/>
      </c>
      <c r="C627" s="170" t="str">
        <f t="shared" si="98"/>
        <v/>
      </c>
      <c r="D627" s="170"/>
      <c r="E627" s="195"/>
      <c r="F627" s="170"/>
      <c r="G627" s="170"/>
      <c r="H627" s="203"/>
      <c r="I627" s="197" t="str">
        <f t="shared" si="102"/>
        <v/>
      </c>
      <c r="J627" s="197" t="str">
        <f t="shared" si="103"/>
        <v/>
      </c>
      <c r="K627" s="197"/>
      <c r="L627" s="197"/>
      <c r="M627" s="198"/>
      <c r="N627" s="198"/>
      <c r="O627" s="198"/>
      <c r="P627" s="199"/>
      <c r="Q627" s="200"/>
      <c r="R627" s="200"/>
      <c r="S627" s="200"/>
      <c r="T627" s="200" t="str">
        <f t="shared" si="99"/>
        <v/>
      </c>
      <c r="U627" s="200"/>
      <c r="V627" s="201" t="str">
        <f t="shared" si="100"/>
        <v/>
      </c>
      <c r="W627" s="202">
        <f t="shared" si="101"/>
        <v>0</v>
      </c>
      <c r="X627" s="172"/>
    </row>
    <row r="628" spans="1:24" x14ac:dyDescent="0.45">
      <c r="A628" s="193">
        <v>50</v>
      </c>
      <c r="B628" s="194" t="str">
        <f t="shared" si="97"/>
        <v/>
      </c>
      <c r="C628" s="170" t="str">
        <f t="shared" si="98"/>
        <v/>
      </c>
      <c r="D628" s="170"/>
      <c r="E628" s="195"/>
      <c r="F628" s="170"/>
      <c r="G628" s="170"/>
      <c r="H628" s="203"/>
      <c r="I628" s="197" t="str">
        <f t="shared" si="102"/>
        <v/>
      </c>
      <c r="J628" s="197" t="str">
        <f t="shared" si="103"/>
        <v/>
      </c>
      <c r="K628" s="197"/>
      <c r="L628" s="197"/>
      <c r="M628" s="198"/>
      <c r="N628" s="198"/>
      <c r="O628" s="198"/>
      <c r="P628" s="199"/>
      <c r="Q628" s="200"/>
      <c r="R628" s="200"/>
      <c r="S628" s="200"/>
      <c r="T628" s="200" t="str">
        <f t="shared" si="99"/>
        <v/>
      </c>
      <c r="U628" s="200"/>
      <c r="V628" s="201" t="str">
        <f t="shared" si="100"/>
        <v/>
      </c>
      <c r="W628" s="202">
        <f t="shared" si="101"/>
        <v>0</v>
      </c>
      <c r="X628" s="172"/>
    </row>
    <row r="629" spans="1:24" x14ac:dyDescent="0.45">
      <c r="A629" s="193">
        <v>51</v>
      </c>
      <c r="B629" s="194" t="str">
        <f t="shared" si="97"/>
        <v/>
      </c>
      <c r="C629" s="170" t="str">
        <f t="shared" si="98"/>
        <v/>
      </c>
      <c r="D629" s="170"/>
      <c r="E629" s="195"/>
      <c r="F629" s="170"/>
      <c r="G629" s="170"/>
      <c r="H629" s="203"/>
      <c r="I629" s="197" t="str">
        <f t="shared" si="102"/>
        <v/>
      </c>
      <c r="J629" s="197" t="str">
        <f t="shared" si="103"/>
        <v/>
      </c>
      <c r="K629" s="197"/>
      <c r="L629" s="197"/>
      <c r="M629" s="198"/>
      <c r="N629" s="198"/>
      <c r="O629" s="198"/>
      <c r="P629" s="199"/>
      <c r="Q629" s="200"/>
      <c r="R629" s="200"/>
      <c r="S629" s="200"/>
      <c r="T629" s="200" t="str">
        <f t="shared" si="99"/>
        <v/>
      </c>
      <c r="U629" s="200"/>
      <c r="V629" s="201" t="str">
        <f t="shared" si="100"/>
        <v/>
      </c>
      <c r="W629" s="202">
        <f t="shared" si="101"/>
        <v>0</v>
      </c>
      <c r="X629" s="172"/>
    </row>
    <row r="630" spans="1:24" x14ac:dyDescent="0.45">
      <c r="A630" s="193">
        <v>52</v>
      </c>
      <c r="B630" s="194" t="str">
        <f t="shared" si="97"/>
        <v/>
      </c>
      <c r="C630" s="170" t="str">
        <f t="shared" si="98"/>
        <v/>
      </c>
      <c r="D630" s="170"/>
      <c r="E630" s="195"/>
      <c r="F630" s="170"/>
      <c r="G630" s="170"/>
      <c r="H630" s="203"/>
      <c r="I630" s="197" t="str">
        <f t="shared" si="102"/>
        <v/>
      </c>
      <c r="J630" s="197" t="str">
        <f t="shared" si="103"/>
        <v/>
      </c>
      <c r="K630" s="197"/>
      <c r="L630" s="197"/>
      <c r="M630" s="198"/>
      <c r="N630" s="198"/>
      <c r="O630" s="198"/>
      <c r="P630" s="199"/>
      <c r="Q630" s="200"/>
      <c r="R630" s="200"/>
      <c r="S630" s="200"/>
      <c r="T630" s="200" t="str">
        <f t="shared" si="99"/>
        <v/>
      </c>
      <c r="U630" s="200"/>
      <c r="V630" s="201" t="str">
        <f t="shared" si="100"/>
        <v/>
      </c>
      <c r="W630" s="202">
        <f t="shared" si="101"/>
        <v>0</v>
      </c>
      <c r="X630" s="172"/>
    </row>
    <row r="631" spans="1:24" x14ac:dyDescent="0.45">
      <c r="A631" s="193">
        <v>53</v>
      </c>
      <c r="B631" s="194" t="str">
        <f t="shared" si="97"/>
        <v/>
      </c>
      <c r="C631" s="170" t="str">
        <f t="shared" si="98"/>
        <v/>
      </c>
      <c r="D631" s="170"/>
      <c r="E631" s="195"/>
      <c r="F631" s="170"/>
      <c r="G631" s="170"/>
      <c r="H631" s="203"/>
      <c r="I631" s="197" t="str">
        <f t="shared" si="102"/>
        <v/>
      </c>
      <c r="J631" s="197" t="str">
        <f t="shared" si="103"/>
        <v/>
      </c>
      <c r="K631" s="197"/>
      <c r="L631" s="197"/>
      <c r="M631" s="198"/>
      <c r="N631" s="198"/>
      <c r="O631" s="198"/>
      <c r="P631" s="199"/>
      <c r="Q631" s="200"/>
      <c r="R631" s="200"/>
      <c r="S631" s="200"/>
      <c r="T631" s="200" t="str">
        <f t="shared" si="99"/>
        <v/>
      </c>
      <c r="U631" s="200"/>
      <c r="V631" s="201" t="str">
        <f t="shared" si="100"/>
        <v/>
      </c>
      <c r="W631" s="202">
        <f t="shared" si="101"/>
        <v>0</v>
      </c>
      <c r="X631" s="172"/>
    </row>
    <row r="632" spans="1:24" x14ac:dyDescent="0.45">
      <c r="A632" s="193">
        <v>54</v>
      </c>
      <c r="B632" s="194" t="str">
        <f t="shared" si="97"/>
        <v/>
      </c>
      <c r="C632" s="170" t="str">
        <f t="shared" si="98"/>
        <v/>
      </c>
      <c r="D632" s="170"/>
      <c r="E632" s="195"/>
      <c r="F632" s="170"/>
      <c r="G632" s="170"/>
      <c r="H632" s="203"/>
      <c r="I632" s="197" t="str">
        <f t="shared" si="102"/>
        <v/>
      </c>
      <c r="J632" s="197" t="str">
        <f t="shared" si="103"/>
        <v/>
      </c>
      <c r="K632" s="197"/>
      <c r="L632" s="197"/>
      <c r="M632" s="198"/>
      <c r="N632" s="198"/>
      <c r="O632" s="198"/>
      <c r="P632" s="199"/>
      <c r="Q632" s="200"/>
      <c r="R632" s="200"/>
      <c r="S632" s="200"/>
      <c r="T632" s="200" t="str">
        <f t="shared" si="99"/>
        <v/>
      </c>
      <c r="U632" s="200"/>
      <c r="V632" s="201" t="str">
        <f t="shared" si="100"/>
        <v/>
      </c>
      <c r="W632" s="202">
        <f t="shared" si="101"/>
        <v>0</v>
      </c>
      <c r="X632" s="172"/>
    </row>
    <row r="633" spans="1:24" x14ac:dyDescent="0.45">
      <c r="A633" s="193">
        <v>55</v>
      </c>
      <c r="B633" s="194" t="str">
        <f t="shared" si="97"/>
        <v/>
      </c>
      <c r="C633" s="170" t="str">
        <f t="shared" si="98"/>
        <v/>
      </c>
      <c r="D633" s="170"/>
      <c r="E633" s="195"/>
      <c r="F633" s="170"/>
      <c r="G633" s="170"/>
      <c r="H633" s="203"/>
      <c r="I633" s="197" t="str">
        <f t="shared" si="102"/>
        <v/>
      </c>
      <c r="J633" s="197" t="str">
        <f t="shared" si="103"/>
        <v/>
      </c>
      <c r="K633" s="197"/>
      <c r="L633" s="197"/>
      <c r="M633" s="198"/>
      <c r="N633" s="198"/>
      <c r="O633" s="198"/>
      <c r="P633" s="199"/>
      <c r="Q633" s="200"/>
      <c r="R633" s="200"/>
      <c r="S633" s="200"/>
      <c r="T633" s="200" t="str">
        <f t="shared" si="99"/>
        <v/>
      </c>
      <c r="U633" s="200"/>
      <c r="V633" s="201" t="str">
        <f t="shared" si="100"/>
        <v/>
      </c>
      <c r="W633" s="202">
        <f t="shared" si="101"/>
        <v>0</v>
      </c>
      <c r="X633" s="172"/>
    </row>
    <row r="634" spans="1:24" x14ac:dyDescent="0.45">
      <c r="A634" s="193">
        <v>56</v>
      </c>
      <c r="B634" s="194" t="str">
        <f t="shared" si="97"/>
        <v/>
      </c>
      <c r="C634" s="170" t="str">
        <f t="shared" si="98"/>
        <v/>
      </c>
      <c r="D634" s="170"/>
      <c r="E634" s="195"/>
      <c r="F634" s="170"/>
      <c r="G634" s="170"/>
      <c r="H634" s="203"/>
      <c r="I634" s="197" t="str">
        <f t="shared" si="102"/>
        <v/>
      </c>
      <c r="J634" s="197" t="str">
        <f t="shared" si="103"/>
        <v/>
      </c>
      <c r="K634" s="197"/>
      <c r="L634" s="197"/>
      <c r="M634" s="198"/>
      <c r="N634" s="198"/>
      <c r="O634" s="198"/>
      <c r="P634" s="199"/>
      <c r="Q634" s="200"/>
      <c r="R634" s="200"/>
      <c r="S634" s="200"/>
      <c r="T634" s="200" t="str">
        <f t="shared" si="99"/>
        <v/>
      </c>
      <c r="U634" s="200"/>
      <c r="V634" s="201" t="str">
        <f t="shared" si="100"/>
        <v/>
      </c>
      <c r="W634" s="202">
        <f t="shared" si="101"/>
        <v>0</v>
      </c>
      <c r="X634" s="172"/>
    </row>
    <row r="635" spans="1:24" x14ac:dyDescent="0.45">
      <c r="A635" s="193">
        <v>57</v>
      </c>
      <c r="B635" s="194" t="str">
        <f t="shared" si="97"/>
        <v/>
      </c>
      <c r="C635" s="170" t="str">
        <f t="shared" si="98"/>
        <v/>
      </c>
      <c r="D635" s="170"/>
      <c r="E635" s="195"/>
      <c r="F635" s="170"/>
      <c r="G635" s="170"/>
      <c r="H635" s="203"/>
      <c r="I635" s="197" t="str">
        <f t="shared" si="102"/>
        <v/>
      </c>
      <c r="J635" s="197" t="str">
        <f t="shared" si="103"/>
        <v/>
      </c>
      <c r="K635" s="197"/>
      <c r="L635" s="197"/>
      <c r="M635" s="198"/>
      <c r="N635" s="198"/>
      <c r="O635" s="198"/>
      <c r="P635" s="199"/>
      <c r="Q635" s="200"/>
      <c r="R635" s="200"/>
      <c r="S635" s="200"/>
      <c r="T635" s="200" t="str">
        <f t="shared" si="99"/>
        <v/>
      </c>
      <c r="U635" s="200"/>
      <c r="V635" s="201" t="str">
        <f t="shared" si="100"/>
        <v/>
      </c>
      <c r="W635" s="202">
        <f t="shared" si="101"/>
        <v>0</v>
      </c>
      <c r="X635" s="172"/>
    </row>
    <row r="636" spans="1:24" x14ac:dyDescent="0.45">
      <c r="A636" s="193">
        <v>58</v>
      </c>
      <c r="B636" s="194" t="str">
        <f t="shared" si="97"/>
        <v/>
      </c>
      <c r="C636" s="170" t="str">
        <f t="shared" si="98"/>
        <v/>
      </c>
      <c r="D636" s="170"/>
      <c r="E636" s="195"/>
      <c r="F636" s="170"/>
      <c r="G636" s="170"/>
      <c r="H636" s="203"/>
      <c r="I636" s="197" t="str">
        <f t="shared" si="102"/>
        <v/>
      </c>
      <c r="J636" s="197" t="str">
        <f t="shared" si="103"/>
        <v/>
      </c>
      <c r="K636" s="197"/>
      <c r="L636" s="197"/>
      <c r="M636" s="198"/>
      <c r="N636" s="198"/>
      <c r="O636" s="198"/>
      <c r="P636" s="199"/>
      <c r="Q636" s="200"/>
      <c r="R636" s="200"/>
      <c r="S636" s="200"/>
      <c r="T636" s="200" t="str">
        <f t="shared" si="99"/>
        <v/>
      </c>
      <c r="U636" s="200"/>
      <c r="V636" s="201" t="str">
        <f t="shared" si="100"/>
        <v/>
      </c>
      <c r="W636" s="202">
        <f t="shared" si="101"/>
        <v>0</v>
      </c>
      <c r="X636" s="172"/>
    </row>
    <row r="637" spans="1:24" x14ac:dyDescent="0.45">
      <c r="A637" s="193">
        <v>59</v>
      </c>
      <c r="B637" s="194" t="str">
        <f t="shared" si="97"/>
        <v/>
      </c>
      <c r="C637" s="170" t="str">
        <f t="shared" si="98"/>
        <v/>
      </c>
      <c r="D637" s="170"/>
      <c r="E637" s="195"/>
      <c r="F637" s="170"/>
      <c r="G637" s="170"/>
      <c r="H637" s="203"/>
      <c r="I637" s="197" t="str">
        <f t="shared" si="102"/>
        <v/>
      </c>
      <c r="J637" s="197" t="str">
        <f t="shared" si="103"/>
        <v/>
      </c>
      <c r="K637" s="197"/>
      <c r="L637" s="197"/>
      <c r="M637" s="198"/>
      <c r="N637" s="198"/>
      <c r="O637" s="198"/>
      <c r="P637" s="199"/>
      <c r="Q637" s="200"/>
      <c r="R637" s="200"/>
      <c r="S637" s="200"/>
      <c r="T637" s="200" t="str">
        <f t="shared" si="99"/>
        <v/>
      </c>
      <c r="U637" s="200"/>
      <c r="V637" s="201" t="str">
        <f t="shared" si="100"/>
        <v/>
      </c>
      <c r="W637" s="202">
        <f t="shared" si="101"/>
        <v>0</v>
      </c>
      <c r="X637" s="172"/>
    </row>
    <row r="638" spans="1:24" x14ac:dyDescent="0.45">
      <c r="A638" s="193">
        <v>60</v>
      </c>
      <c r="B638" s="194" t="str">
        <f t="shared" si="97"/>
        <v/>
      </c>
      <c r="C638" s="170" t="str">
        <f t="shared" si="98"/>
        <v/>
      </c>
      <c r="D638" s="170"/>
      <c r="E638" s="195"/>
      <c r="F638" s="170"/>
      <c r="G638" s="170"/>
      <c r="H638" s="203"/>
      <c r="I638" s="197" t="str">
        <f t="shared" si="102"/>
        <v/>
      </c>
      <c r="J638" s="197" t="str">
        <f t="shared" si="103"/>
        <v/>
      </c>
      <c r="K638" s="197"/>
      <c r="L638" s="197"/>
      <c r="M638" s="198"/>
      <c r="N638" s="198"/>
      <c r="O638" s="198"/>
      <c r="P638" s="199"/>
      <c r="Q638" s="200"/>
      <c r="R638" s="200"/>
      <c r="S638" s="200"/>
      <c r="T638" s="200" t="str">
        <f t="shared" si="99"/>
        <v/>
      </c>
      <c r="U638" s="200"/>
      <c r="V638" s="201" t="str">
        <f t="shared" si="100"/>
        <v/>
      </c>
      <c r="W638" s="202">
        <f t="shared" si="101"/>
        <v>0</v>
      </c>
      <c r="X638" s="172"/>
    </row>
    <row r="639" spans="1:24" x14ac:dyDescent="0.45">
      <c r="A639" s="193">
        <v>61</v>
      </c>
      <c r="B639" s="194" t="str">
        <f t="shared" si="97"/>
        <v/>
      </c>
      <c r="C639" s="170" t="str">
        <f t="shared" si="98"/>
        <v/>
      </c>
      <c r="D639" s="170"/>
      <c r="E639" s="195"/>
      <c r="F639" s="170"/>
      <c r="G639" s="170"/>
      <c r="H639" s="203"/>
      <c r="I639" s="197" t="str">
        <f t="shared" si="102"/>
        <v/>
      </c>
      <c r="J639" s="197" t="str">
        <f t="shared" si="103"/>
        <v/>
      </c>
      <c r="K639" s="197"/>
      <c r="L639" s="197"/>
      <c r="M639" s="198"/>
      <c r="N639" s="198"/>
      <c r="O639" s="198"/>
      <c r="P639" s="199"/>
      <c r="Q639" s="200"/>
      <c r="R639" s="200"/>
      <c r="S639" s="200"/>
      <c r="T639" s="200" t="str">
        <f t="shared" si="99"/>
        <v/>
      </c>
      <c r="U639" s="200"/>
      <c r="V639" s="201" t="str">
        <f t="shared" si="100"/>
        <v/>
      </c>
      <c r="W639" s="202">
        <f t="shared" si="101"/>
        <v>0</v>
      </c>
      <c r="X639" s="172"/>
    </row>
    <row r="640" spans="1:24" x14ac:dyDescent="0.45">
      <c r="A640" s="193">
        <v>62</v>
      </c>
      <c r="B640" s="194" t="str">
        <f t="shared" si="97"/>
        <v/>
      </c>
      <c r="C640" s="170" t="str">
        <f t="shared" si="98"/>
        <v/>
      </c>
      <c r="D640" s="170"/>
      <c r="E640" s="195"/>
      <c r="F640" s="170"/>
      <c r="G640" s="170"/>
      <c r="H640" s="203"/>
      <c r="I640" s="197" t="str">
        <f t="shared" si="102"/>
        <v/>
      </c>
      <c r="J640" s="197" t="str">
        <f t="shared" si="103"/>
        <v/>
      </c>
      <c r="K640" s="197"/>
      <c r="L640" s="197"/>
      <c r="M640" s="198"/>
      <c r="N640" s="198"/>
      <c r="O640" s="198"/>
      <c r="P640" s="199"/>
      <c r="Q640" s="200"/>
      <c r="R640" s="200"/>
      <c r="S640" s="200"/>
      <c r="T640" s="200" t="str">
        <f t="shared" si="99"/>
        <v/>
      </c>
      <c r="U640" s="200"/>
      <c r="V640" s="201" t="str">
        <f t="shared" si="100"/>
        <v/>
      </c>
      <c r="W640" s="202">
        <f t="shared" si="101"/>
        <v>0</v>
      </c>
      <c r="X640" s="172"/>
    </row>
    <row r="641" spans="1:24" x14ac:dyDescent="0.45">
      <c r="A641" s="193">
        <v>63</v>
      </c>
      <c r="B641" s="194" t="str">
        <f t="shared" si="97"/>
        <v/>
      </c>
      <c r="C641" s="170" t="str">
        <f t="shared" si="98"/>
        <v/>
      </c>
      <c r="D641" s="170"/>
      <c r="E641" s="195"/>
      <c r="F641" s="170"/>
      <c r="G641" s="170"/>
      <c r="H641" s="203"/>
      <c r="I641" s="197" t="str">
        <f t="shared" si="102"/>
        <v/>
      </c>
      <c r="J641" s="197" t="str">
        <f t="shared" si="103"/>
        <v/>
      </c>
      <c r="K641" s="197"/>
      <c r="L641" s="197"/>
      <c r="M641" s="198"/>
      <c r="N641" s="198"/>
      <c r="O641" s="198"/>
      <c r="P641" s="199"/>
      <c r="Q641" s="200"/>
      <c r="R641" s="200"/>
      <c r="S641" s="200"/>
      <c r="T641" s="200" t="str">
        <f t="shared" si="99"/>
        <v/>
      </c>
      <c r="U641" s="200"/>
      <c r="V641" s="201" t="str">
        <f t="shared" si="100"/>
        <v/>
      </c>
      <c r="W641" s="202">
        <f t="shared" si="101"/>
        <v>0</v>
      </c>
      <c r="X641" s="172"/>
    </row>
    <row r="642" spans="1:24" x14ac:dyDescent="0.45">
      <c r="A642" s="193">
        <v>64</v>
      </c>
      <c r="B642" s="194" t="str">
        <f t="shared" si="97"/>
        <v/>
      </c>
      <c r="C642" s="170" t="str">
        <f t="shared" si="98"/>
        <v/>
      </c>
      <c r="D642" s="170"/>
      <c r="E642" s="195"/>
      <c r="F642" s="170"/>
      <c r="G642" s="170"/>
      <c r="H642" s="203"/>
      <c r="I642" s="197" t="str">
        <f t="shared" si="102"/>
        <v/>
      </c>
      <c r="J642" s="197" t="str">
        <f t="shared" si="103"/>
        <v/>
      </c>
      <c r="K642" s="197"/>
      <c r="L642" s="197"/>
      <c r="M642" s="198"/>
      <c r="N642" s="198"/>
      <c r="O642" s="198"/>
      <c r="P642" s="199"/>
      <c r="Q642" s="200"/>
      <c r="R642" s="200"/>
      <c r="S642" s="200"/>
      <c r="T642" s="200" t="str">
        <f t="shared" si="99"/>
        <v/>
      </c>
      <c r="U642" s="200"/>
      <c r="V642" s="201" t="str">
        <f t="shared" si="100"/>
        <v/>
      </c>
      <c r="W642" s="202">
        <f t="shared" si="101"/>
        <v>0</v>
      </c>
      <c r="X642" s="172"/>
    </row>
    <row r="643" spans="1:24" x14ac:dyDescent="0.45">
      <c r="A643" s="193">
        <v>65</v>
      </c>
      <c r="B643" s="194" t="str">
        <f t="shared" si="97"/>
        <v/>
      </c>
      <c r="C643" s="170" t="str">
        <f t="shared" si="98"/>
        <v/>
      </c>
      <c r="D643" s="170"/>
      <c r="E643" s="195"/>
      <c r="F643" s="170"/>
      <c r="G643" s="170"/>
      <c r="H643" s="203"/>
      <c r="I643" s="197" t="str">
        <f t="shared" si="102"/>
        <v/>
      </c>
      <c r="J643" s="197" t="str">
        <f t="shared" si="103"/>
        <v/>
      </c>
      <c r="K643" s="197"/>
      <c r="L643" s="197"/>
      <c r="M643" s="198"/>
      <c r="N643" s="198"/>
      <c r="O643" s="198"/>
      <c r="P643" s="199"/>
      <c r="Q643" s="200"/>
      <c r="R643" s="200"/>
      <c r="S643" s="200"/>
      <c r="T643" s="200" t="str">
        <f t="shared" si="99"/>
        <v/>
      </c>
      <c r="U643" s="200"/>
      <c r="V643" s="201" t="str">
        <f t="shared" ref="V643:V644" si="104">IF(U643="","",$V$559)</f>
        <v/>
      </c>
      <c r="W643" s="202">
        <f t="shared" si="101"/>
        <v>0</v>
      </c>
      <c r="X643" s="172"/>
    </row>
    <row r="644" spans="1:24" ht="14.25" customHeight="1" x14ac:dyDescent="0.45">
      <c r="A644" s="193">
        <v>66</v>
      </c>
      <c r="B644" s="204" t="str">
        <f t="shared" si="97"/>
        <v/>
      </c>
      <c r="C644" s="205" t="str">
        <f t="shared" si="98"/>
        <v/>
      </c>
      <c r="D644" s="205"/>
      <c r="E644" s="205"/>
      <c r="F644" s="205"/>
      <c r="G644" s="205"/>
      <c r="H644" s="205"/>
      <c r="I644" s="206" t="str">
        <f t="shared" si="102"/>
        <v/>
      </c>
      <c r="J644" s="206" t="str">
        <f t="shared" si="103"/>
        <v/>
      </c>
      <c r="K644" s="206"/>
      <c r="L644" s="206"/>
      <c r="M644" s="205"/>
      <c r="N644" s="205"/>
      <c r="O644" s="205"/>
      <c r="P644" s="205"/>
      <c r="Q644" s="205"/>
      <c r="R644" s="205"/>
      <c r="S644" s="205"/>
      <c r="T644" s="205" t="str">
        <f t="shared" si="99"/>
        <v/>
      </c>
      <c r="U644" s="205"/>
      <c r="V644" s="205" t="str">
        <f t="shared" si="104"/>
        <v/>
      </c>
      <c r="W644" s="207">
        <f t="shared" si="101"/>
        <v>0</v>
      </c>
      <c r="X644" s="207"/>
    </row>
    <row r="645" spans="1:24" ht="24.75" customHeight="1" x14ac:dyDescent="0.45">
      <c r="B645" s="428" t="s">
        <v>1515</v>
      </c>
      <c r="C645" s="429" t="s">
        <v>1494</v>
      </c>
      <c r="D645" s="429"/>
      <c r="E645" s="429"/>
      <c r="F645" s="429"/>
      <c r="G645" s="429"/>
      <c r="H645" s="429"/>
      <c r="I645" s="429"/>
      <c r="J645" s="429"/>
      <c r="K645" s="429"/>
      <c r="L645" s="429"/>
      <c r="M645" s="429"/>
      <c r="N645" s="429"/>
      <c r="O645" s="429"/>
      <c r="P645" s="429"/>
      <c r="Q645" s="429"/>
      <c r="R645" s="145" t="s">
        <v>1</v>
      </c>
      <c r="S645" s="146"/>
      <c r="T645" s="145" t="s">
        <v>8</v>
      </c>
      <c r="U645" s="147"/>
      <c r="V645" s="148" t="s">
        <v>3</v>
      </c>
      <c r="W645" s="146"/>
      <c r="X645" s="149"/>
    </row>
    <row r="646" spans="1:24" ht="24.75" customHeight="1" x14ac:dyDescent="0.45">
      <c r="B646" s="428"/>
      <c r="C646" s="429"/>
      <c r="D646" s="429"/>
      <c r="E646" s="429"/>
      <c r="F646" s="429"/>
      <c r="G646" s="429"/>
      <c r="H646" s="429"/>
      <c r="I646" s="429"/>
      <c r="J646" s="429"/>
      <c r="K646" s="429"/>
      <c r="L646" s="429"/>
      <c r="M646" s="429"/>
      <c r="N646" s="429"/>
      <c r="O646" s="429"/>
      <c r="P646" s="429"/>
      <c r="Q646" s="429"/>
      <c r="R646" s="430" t="s">
        <v>1495</v>
      </c>
      <c r="S646" s="430"/>
      <c r="T646" s="431" t="str">
        <f>'BM MORRO DA CRUZ - VERTICAL'!$V$4</f>
        <v>01-10-26 A 31-10-26</v>
      </c>
      <c r="U646" s="431"/>
      <c r="V646" s="432" t="str">
        <f>IF('BM MORRO DA CRUZ - VERTICAL'!$BF$2="","",'BM MORRO DA CRUZ - VERTICAL'!$BF$2)</f>
        <v/>
      </c>
      <c r="W646" s="432"/>
      <c r="X646" s="150"/>
    </row>
    <row r="647" spans="1:24" ht="24.75" customHeight="1" x14ac:dyDescent="0.45">
      <c r="B647" s="151" t="s">
        <v>5</v>
      </c>
      <c r="C647" s="152"/>
      <c r="D647" s="152"/>
      <c r="E647" s="152"/>
      <c r="F647" s="152"/>
      <c r="G647" s="152"/>
      <c r="H647" s="152"/>
      <c r="I647" s="152"/>
      <c r="J647" s="152"/>
      <c r="K647" s="152"/>
      <c r="L647" s="152"/>
      <c r="M647" s="152"/>
      <c r="N647" s="152"/>
      <c r="O647" s="152"/>
      <c r="P647" s="153"/>
      <c r="Q647" s="154"/>
      <c r="R647" s="155"/>
      <c r="S647" s="155"/>
      <c r="T647" s="156" t="s">
        <v>1496</v>
      </c>
      <c r="U647" s="157"/>
      <c r="V647" s="158" t="s">
        <v>9</v>
      </c>
      <c r="W647" s="159"/>
      <c r="X647" s="433"/>
    </row>
    <row r="648" spans="1:24" ht="24.75" customHeight="1" x14ac:dyDescent="0.45">
      <c r="B648" s="17" t="s">
        <v>11</v>
      </c>
      <c r="C648" s="160"/>
      <c r="D648" s="160"/>
      <c r="E648" s="160"/>
      <c r="F648" s="160"/>
      <c r="G648" s="160"/>
      <c r="H648" s="160"/>
      <c r="I648" s="160"/>
      <c r="J648" s="160"/>
      <c r="K648" s="160"/>
      <c r="L648" s="160"/>
      <c r="M648" s="160"/>
      <c r="N648" s="160"/>
      <c r="O648" s="160"/>
      <c r="P648" s="161"/>
      <c r="Q648" s="162"/>
      <c r="R648" s="163"/>
      <c r="S648" s="163"/>
      <c r="T648" s="434" t="str">
        <f>'BM MORRO DA CRUZ - VERTICAL'!$V$2</f>
        <v>1ª MEDIÇÃO</v>
      </c>
      <c r="U648" s="434"/>
      <c r="V648" s="435" t="s">
        <v>13</v>
      </c>
      <c r="W648" s="435"/>
      <c r="X648" s="433"/>
    </row>
    <row r="649" spans="1:24" ht="24.75" customHeight="1" x14ac:dyDescent="0.45">
      <c r="B649" s="164" t="s">
        <v>1459</v>
      </c>
      <c r="C649" s="165" t="s">
        <v>14</v>
      </c>
      <c r="D649" s="165" t="s">
        <v>24</v>
      </c>
      <c r="E649" s="165" t="s">
        <v>25</v>
      </c>
      <c r="F649" s="166" t="s">
        <v>1461</v>
      </c>
      <c r="G649" s="165"/>
      <c r="H649" s="165"/>
      <c r="I649" s="165"/>
      <c r="J649" s="165"/>
      <c r="K649" s="165"/>
      <c r="L649" s="165"/>
      <c r="M649" s="165"/>
      <c r="N649" s="165"/>
      <c r="O649" s="165"/>
      <c r="P649" s="165"/>
      <c r="Q649" s="165"/>
      <c r="R649" s="165"/>
      <c r="S649" s="165"/>
      <c r="T649" s="165"/>
      <c r="U649" s="165"/>
      <c r="V649" s="165" t="s">
        <v>26</v>
      </c>
      <c r="W649" s="167" t="s">
        <v>29</v>
      </c>
      <c r="X649" s="168"/>
    </row>
    <row r="650" spans="1:24" ht="24.75" customHeight="1" x14ac:dyDescent="0.45">
      <c r="B650" s="169"/>
      <c r="C650" s="170"/>
      <c r="D650" s="170"/>
      <c r="E650" s="170"/>
      <c r="F650" s="170"/>
      <c r="G650" s="170"/>
      <c r="H650" s="170"/>
      <c r="I650" s="170"/>
      <c r="J650" s="170"/>
      <c r="K650" s="170"/>
      <c r="L650" s="170"/>
      <c r="M650" s="170"/>
      <c r="N650" s="170"/>
      <c r="O650" s="170"/>
      <c r="P650" s="170"/>
      <c r="Q650" s="170"/>
      <c r="R650" s="170"/>
      <c r="S650" s="170"/>
      <c r="T650" s="170"/>
      <c r="U650" s="170"/>
      <c r="V650" s="170"/>
      <c r="W650" s="171"/>
      <c r="X650" s="172"/>
    </row>
    <row r="651" spans="1:24" ht="24.75" customHeight="1" x14ac:dyDescent="0.45">
      <c r="B651" s="173" t="str">
        <f>IF($C$651="","",IFERROR(INDEX('BM MORRO DA CRUZ - VERTICAL'!$C$6:$C$546,MATCH($C$651,'BM MORRO DA CRUZ - VERTICAL'!$D$6:$D$546,0)),"CHAVE NÃO ENCONTRADA NO VERTICAL"))</f>
        <v/>
      </c>
      <c r="C651" s="174"/>
      <c r="D651" s="175" t="str">
        <f>IF($C$651="","",IFERROR(INDEX('BM MORRO DA CRUZ - VERTICAL'!$O$6:$O$546,MATCH($C$651,'BM MORRO DA CRUZ - VERTICAL'!$D$6:$D$546,0)),"CHAVE NÃO ENCONTRADA NO VERTICAL"))</f>
        <v/>
      </c>
      <c r="E651" s="175" t="str">
        <f>IF($C$651="","",IFERROR(INDEX('BM MORRO DA CRUZ - VERTICAL'!$P$6:$P$546,MATCH($C$651,'BM MORRO DA CRUZ - VERTICAL'!$D$6:$D$546,0)),"CHAVE NÃO ENCONTRADA NO VERTICAL"))</f>
        <v/>
      </c>
      <c r="F651" s="175" t="str">
        <f>IF($C$651="","",IFERROR(INDEX('BM MORRO DA CRUZ - VERTICAL'!$Q$6:$Q$546,MATCH($C$651,'BM MORRO DA CRUZ - VERTICAL'!$D$6:$D$546,0)),"CHAVE NÃO ENCONTRADA NO VERTICAL"))</f>
        <v/>
      </c>
      <c r="G651" s="176"/>
      <c r="H651" s="176"/>
      <c r="I651" s="176"/>
      <c r="J651" s="176"/>
      <c r="K651" s="176"/>
      <c r="L651" s="176"/>
      <c r="M651" s="176"/>
      <c r="N651" s="176"/>
      <c r="O651" s="176"/>
      <c r="P651" s="176"/>
      <c r="Q651" s="176"/>
      <c r="R651" s="176"/>
      <c r="S651" s="176"/>
      <c r="T651" s="176"/>
      <c r="U651" s="176"/>
      <c r="V651" s="177" t="str">
        <f>IF($C$651="","",IFERROR(INDEX('BM MORRO DA CRUZ - VERTICAL'!$R$6:$R$546,MATCH($C$651,'BM MORRO DA CRUZ - VERTICAL'!$D$6:$D$546,0)),"CHAVE NÃO ENCONTRADA NO VERTICAL"))</f>
        <v/>
      </c>
      <c r="W651" s="178">
        <f>SUM($W671:$W736)</f>
        <v>0</v>
      </c>
      <c r="X651" s="179"/>
    </row>
    <row r="652" spans="1:24" ht="24.75" customHeight="1" x14ac:dyDescent="0.45">
      <c r="B652" s="426" t="s">
        <v>1497</v>
      </c>
      <c r="C652" s="426"/>
      <c r="D652" s="426"/>
      <c r="E652" s="426"/>
      <c r="F652" s="426"/>
      <c r="G652" s="426"/>
      <c r="H652" s="426"/>
      <c r="I652" s="426"/>
      <c r="J652" s="426"/>
      <c r="K652" s="426"/>
      <c r="L652" s="426"/>
      <c r="M652" s="426"/>
      <c r="N652" s="426"/>
      <c r="O652" s="426"/>
      <c r="P652" s="426"/>
      <c r="Q652" s="426"/>
      <c r="R652" s="426"/>
      <c r="S652" s="426"/>
      <c r="T652" s="426"/>
      <c r="U652" s="426"/>
      <c r="V652" s="426"/>
      <c r="W652" s="426"/>
      <c r="X652" s="180" t="s">
        <v>1498</v>
      </c>
    </row>
    <row r="653" spans="1:24" ht="14.25" customHeight="1" x14ac:dyDescent="0.45">
      <c r="B653" s="181"/>
      <c r="C653" s="182"/>
      <c r="D653" s="182"/>
      <c r="E653" s="182"/>
      <c r="F653" s="182"/>
      <c r="G653" s="182"/>
      <c r="H653" s="182"/>
      <c r="I653" s="182"/>
      <c r="J653" s="182"/>
      <c r="K653" s="182"/>
      <c r="L653" s="182"/>
      <c r="M653" s="182"/>
      <c r="N653" s="182"/>
      <c r="O653" s="182"/>
      <c r="P653" s="182"/>
      <c r="Q653" s="182"/>
      <c r="R653" s="182"/>
      <c r="S653" s="182"/>
      <c r="T653" s="182"/>
      <c r="U653" s="182"/>
      <c r="V653" s="182"/>
      <c r="W653" s="183"/>
      <c r="X653" s="427"/>
    </row>
    <row r="654" spans="1:24" x14ac:dyDescent="0.45">
      <c r="B654" s="181"/>
      <c r="C654" s="182"/>
      <c r="D654" s="182"/>
      <c r="E654" s="182"/>
      <c r="F654" s="182"/>
      <c r="G654" s="182"/>
      <c r="H654" s="182"/>
      <c r="I654" s="182"/>
      <c r="J654" s="182"/>
      <c r="K654" s="182"/>
      <c r="L654" s="182"/>
      <c r="M654" s="182"/>
      <c r="N654" s="182"/>
      <c r="O654" s="182"/>
      <c r="P654" s="182"/>
      <c r="Q654" s="182"/>
      <c r="R654" s="182"/>
      <c r="S654" s="182"/>
      <c r="T654" s="182"/>
      <c r="U654" s="182"/>
      <c r="V654" s="182"/>
      <c r="W654" s="183"/>
      <c r="X654" s="427"/>
    </row>
    <row r="655" spans="1:24" x14ac:dyDescent="0.45">
      <c r="B655" s="181"/>
      <c r="C655" s="182"/>
      <c r="D655" s="182"/>
      <c r="E655" s="182"/>
      <c r="F655" s="182"/>
      <c r="G655" s="182"/>
      <c r="H655" s="182"/>
      <c r="I655" s="182"/>
      <c r="J655" s="182"/>
      <c r="K655" s="182"/>
      <c r="L655" s="182"/>
      <c r="M655" s="182"/>
      <c r="N655" s="182"/>
      <c r="O655" s="182"/>
      <c r="P655" s="182"/>
      <c r="Q655" s="182"/>
      <c r="R655" s="182"/>
      <c r="S655" s="182"/>
      <c r="T655" s="182"/>
      <c r="U655" s="182"/>
      <c r="V655" s="182"/>
      <c r="W655" s="183"/>
      <c r="X655" s="427"/>
    </row>
    <row r="656" spans="1:24" x14ac:dyDescent="0.45">
      <c r="B656" s="181"/>
      <c r="C656" s="182"/>
      <c r="D656" s="182"/>
      <c r="E656" s="182"/>
      <c r="F656" s="182"/>
      <c r="G656" s="182"/>
      <c r="H656" s="182"/>
      <c r="I656" s="182"/>
      <c r="J656" s="182"/>
      <c r="K656" s="182"/>
      <c r="L656" s="182"/>
      <c r="M656" s="182"/>
      <c r="N656" s="182"/>
      <c r="O656" s="182"/>
      <c r="P656" s="182"/>
      <c r="Q656" s="182"/>
      <c r="R656" s="182"/>
      <c r="S656" s="182"/>
      <c r="T656" s="182"/>
      <c r="U656" s="182"/>
      <c r="V656" s="182"/>
      <c r="W656" s="183"/>
      <c r="X656" s="427"/>
    </row>
    <row r="657" spans="1:24" x14ac:dyDescent="0.45">
      <c r="B657" s="181"/>
      <c r="C657" s="182"/>
      <c r="D657" s="182"/>
      <c r="E657" s="182"/>
      <c r="F657" s="182"/>
      <c r="G657" s="182"/>
      <c r="H657" s="182"/>
      <c r="I657" s="182"/>
      <c r="J657" s="182"/>
      <c r="K657" s="182"/>
      <c r="L657" s="182"/>
      <c r="M657" s="182"/>
      <c r="N657" s="182"/>
      <c r="O657" s="182"/>
      <c r="P657" s="182"/>
      <c r="Q657" s="182"/>
      <c r="R657" s="182"/>
      <c r="S657" s="182"/>
      <c r="T657" s="182"/>
      <c r="U657" s="182"/>
      <c r="V657" s="182"/>
      <c r="W657" s="183"/>
      <c r="X657" s="427"/>
    </row>
    <row r="658" spans="1:24" x14ac:dyDescent="0.45">
      <c r="B658" s="181"/>
      <c r="C658" s="182"/>
      <c r="D658" s="182"/>
      <c r="E658" s="182"/>
      <c r="F658" s="182"/>
      <c r="G658" s="182"/>
      <c r="H658" s="182"/>
      <c r="I658" s="182"/>
      <c r="J658" s="182"/>
      <c r="K658" s="182"/>
      <c r="L658" s="182"/>
      <c r="M658" s="182"/>
      <c r="N658" s="182"/>
      <c r="O658" s="182"/>
      <c r="P658" s="182"/>
      <c r="Q658" s="182"/>
      <c r="R658" s="182"/>
      <c r="S658" s="182"/>
      <c r="T658" s="182"/>
      <c r="U658" s="182"/>
      <c r="V658" s="182"/>
      <c r="W658" s="183"/>
      <c r="X658" s="427"/>
    </row>
    <row r="659" spans="1:24" x14ac:dyDescent="0.45">
      <c r="B659" s="181"/>
      <c r="C659" s="182"/>
      <c r="D659" s="182"/>
      <c r="E659" s="182"/>
      <c r="F659" s="182"/>
      <c r="G659" s="182"/>
      <c r="H659" s="182"/>
      <c r="I659" s="182"/>
      <c r="J659" s="182"/>
      <c r="K659" s="182"/>
      <c r="L659" s="182"/>
      <c r="M659" s="182"/>
      <c r="N659" s="182"/>
      <c r="O659" s="182"/>
      <c r="P659" s="182"/>
      <c r="Q659" s="182"/>
      <c r="R659" s="182"/>
      <c r="S659" s="182"/>
      <c r="T659" s="182"/>
      <c r="U659" s="182"/>
      <c r="V659" s="182"/>
      <c r="W659" s="183"/>
      <c r="X659" s="427"/>
    </row>
    <row r="660" spans="1:24" x14ac:dyDescent="0.45">
      <c r="B660" s="181"/>
      <c r="C660" s="182"/>
      <c r="D660" s="182"/>
      <c r="E660" s="182"/>
      <c r="F660" s="182"/>
      <c r="G660" s="182"/>
      <c r="H660" s="182"/>
      <c r="I660" s="182"/>
      <c r="J660" s="182"/>
      <c r="K660" s="182"/>
      <c r="L660" s="182"/>
      <c r="M660" s="182"/>
      <c r="N660" s="182"/>
      <c r="O660" s="182"/>
      <c r="P660" s="182"/>
      <c r="Q660" s="182"/>
      <c r="R660" s="182"/>
      <c r="S660" s="182"/>
      <c r="T660" s="182"/>
      <c r="U660" s="182"/>
      <c r="V660" s="182"/>
      <c r="W660" s="183"/>
      <c r="X660" s="427"/>
    </row>
    <row r="661" spans="1:24" x14ac:dyDescent="0.45">
      <c r="B661" s="181"/>
      <c r="C661" s="182"/>
      <c r="D661" s="182"/>
      <c r="E661" s="182"/>
      <c r="F661" s="182"/>
      <c r="G661" s="182"/>
      <c r="H661" s="182"/>
      <c r="I661" s="182"/>
      <c r="J661" s="182"/>
      <c r="K661" s="182"/>
      <c r="L661" s="182"/>
      <c r="M661" s="182"/>
      <c r="N661" s="182"/>
      <c r="O661" s="182"/>
      <c r="P661" s="182"/>
      <c r="Q661" s="182"/>
      <c r="R661" s="182"/>
      <c r="S661" s="182"/>
      <c r="T661" s="182"/>
      <c r="U661" s="182"/>
      <c r="V661" s="182"/>
      <c r="W661" s="183"/>
      <c r="X661" s="427"/>
    </row>
    <row r="662" spans="1:24" x14ac:dyDescent="0.45">
      <c r="B662" s="181"/>
      <c r="C662" s="182"/>
      <c r="D662" s="182"/>
      <c r="E662" s="182"/>
      <c r="F662" s="182"/>
      <c r="G662" s="182"/>
      <c r="H662" s="182"/>
      <c r="I662" s="182"/>
      <c r="J662" s="182"/>
      <c r="K662" s="182"/>
      <c r="L662" s="182"/>
      <c r="M662" s="182"/>
      <c r="N662" s="182"/>
      <c r="O662" s="182"/>
      <c r="P662" s="182"/>
      <c r="Q662" s="182"/>
      <c r="R662" s="182"/>
      <c r="S662" s="182"/>
      <c r="T662" s="182"/>
      <c r="U662" s="182"/>
      <c r="V662" s="182"/>
      <c r="W662" s="183"/>
      <c r="X662" s="427"/>
    </row>
    <row r="663" spans="1:24" x14ac:dyDescent="0.45">
      <c r="B663" s="181"/>
      <c r="C663" s="182"/>
      <c r="D663" s="182"/>
      <c r="E663" s="182"/>
      <c r="F663" s="182"/>
      <c r="G663" s="182"/>
      <c r="H663" s="182"/>
      <c r="I663" s="182"/>
      <c r="J663" s="182"/>
      <c r="K663" s="182"/>
      <c r="L663" s="182"/>
      <c r="M663" s="182"/>
      <c r="N663" s="182"/>
      <c r="O663" s="182"/>
      <c r="P663" s="182"/>
      <c r="Q663" s="182"/>
      <c r="R663" s="182"/>
      <c r="S663" s="182"/>
      <c r="T663" s="182"/>
      <c r="U663" s="182"/>
      <c r="V663" s="182"/>
      <c r="W663" s="183"/>
      <c r="X663" s="427"/>
    </row>
    <row r="664" spans="1:24" x14ac:dyDescent="0.45">
      <c r="B664" s="181"/>
      <c r="C664" s="182"/>
      <c r="D664" s="182"/>
      <c r="E664" s="182"/>
      <c r="F664" s="182"/>
      <c r="G664" s="182"/>
      <c r="H664" s="182"/>
      <c r="I664" s="182"/>
      <c r="J664" s="182"/>
      <c r="K664" s="182"/>
      <c r="L664" s="182"/>
      <c r="M664" s="182"/>
      <c r="N664" s="182"/>
      <c r="O664" s="182"/>
      <c r="P664" s="182"/>
      <c r="Q664" s="182"/>
      <c r="R664" s="182"/>
      <c r="S664" s="182"/>
      <c r="T664" s="182"/>
      <c r="U664" s="182"/>
      <c r="V664" s="182"/>
      <c r="W664" s="183"/>
      <c r="X664" s="427"/>
    </row>
    <row r="665" spans="1:24" x14ac:dyDescent="0.45">
      <c r="B665" s="181"/>
      <c r="C665" s="182"/>
      <c r="D665" s="182"/>
      <c r="E665" s="182"/>
      <c r="F665" s="182"/>
      <c r="G665" s="182"/>
      <c r="H665" s="182"/>
      <c r="I665" s="182"/>
      <c r="J665" s="182"/>
      <c r="K665" s="182"/>
      <c r="L665" s="182"/>
      <c r="M665" s="182"/>
      <c r="N665" s="182"/>
      <c r="O665" s="182"/>
      <c r="P665" s="182"/>
      <c r="Q665" s="182"/>
      <c r="R665" s="182"/>
      <c r="S665" s="182"/>
      <c r="T665" s="182"/>
      <c r="U665" s="182"/>
      <c r="V665" s="182"/>
      <c r="W665" s="183"/>
      <c r="X665" s="427"/>
    </row>
    <row r="666" spans="1:24" x14ac:dyDescent="0.45">
      <c r="B666" s="181"/>
      <c r="C666" s="182"/>
      <c r="D666" s="182"/>
      <c r="E666" s="182"/>
      <c r="F666" s="182"/>
      <c r="G666" s="182"/>
      <c r="H666" s="182"/>
      <c r="I666" s="182"/>
      <c r="J666" s="182"/>
      <c r="K666" s="182"/>
      <c r="L666" s="182"/>
      <c r="M666" s="182"/>
      <c r="N666" s="182"/>
      <c r="O666" s="182"/>
      <c r="P666" s="182"/>
      <c r="Q666" s="182"/>
      <c r="R666" s="182"/>
      <c r="S666" s="182"/>
      <c r="T666" s="182"/>
      <c r="U666" s="182"/>
      <c r="V666" s="182"/>
      <c r="W666" s="183"/>
      <c r="X666" s="427"/>
    </row>
    <row r="667" spans="1:24" x14ac:dyDescent="0.45">
      <c r="B667" s="181"/>
      <c r="C667" s="182"/>
      <c r="D667" s="182"/>
      <c r="E667" s="182"/>
      <c r="F667" s="182"/>
      <c r="G667" s="182"/>
      <c r="H667" s="182"/>
      <c r="I667" s="182"/>
      <c r="J667" s="182"/>
      <c r="K667" s="182"/>
      <c r="L667" s="182"/>
      <c r="M667" s="182"/>
      <c r="N667" s="182"/>
      <c r="O667" s="182"/>
      <c r="P667" s="182"/>
      <c r="Q667" s="182"/>
      <c r="R667" s="182"/>
      <c r="S667" s="182"/>
      <c r="T667" s="182"/>
      <c r="U667" s="182"/>
      <c r="V667" s="182"/>
      <c r="W667" s="183"/>
      <c r="X667" s="427"/>
    </row>
    <row r="668" spans="1:24" x14ac:dyDescent="0.45">
      <c r="B668" s="181"/>
      <c r="C668" s="182"/>
      <c r="D668" s="182"/>
      <c r="E668" s="182"/>
      <c r="F668" s="182"/>
      <c r="G668" s="182"/>
      <c r="H668" s="182"/>
      <c r="I668" s="182"/>
      <c r="J668" s="182"/>
      <c r="K668" s="182"/>
      <c r="L668" s="182"/>
      <c r="M668" s="182"/>
      <c r="N668" s="182"/>
      <c r="O668" s="182"/>
      <c r="P668" s="182"/>
      <c r="Q668" s="182"/>
      <c r="R668" s="182"/>
      <c r="S668" s="182"/>
      <c r="T668" s="182"/>
      <c r="U668" s="182"/>
      <c r="V668" s="182"/>
      <c r="W668" s="183"/>
      <c r="X668" s="427"/>
    </row>
    <row r="669" spans="1:24" x14ac:dyDescent="0.45">
      <c r="B669" s="184"/>
      <c r="C669" s="185" t="s">
        <v>1499</v>
      </c>
      <c r="D669" s="185"/>
      <c r="E669" s="185"/>
      <c r="F669" s="185"/>
      <c r="G669" s="185"/>
      <c r="H669" s="185"/>
      <c r="I669" s="185"/>
      <c r="J669" s="185"/>
      <c r="K669" s="185"/>
      <c r="L669" s="185"/>
      <c r="M669" s="185"/>
      <c r="N669" s="185"/>
      <c r="O669" s="185"/>
      <c r="P669" s="185"/>
      <c r="Q669" s="185"/>
      <c r="R669" s="185"/>
      <c r="S669" s="185"/>
      <c r="T669" s="185"/>
      <c r="U669" s="185"/>
      <c r="V669" s="185"/>
      <c r="W669" s="186"/>
      <c r="X669" s="187"/>
    </row>
    <row r="670" spans="1:24" ht="26.65" x14ac:dyDescent="0.45">
      <c r="B670" s="188" t="s">
        <v>1458</v>
      </c>
      <c r="C670" s="185" t="s">
        <v>1459</v>
      </c>
      <c r="D670" s="185"/>
      <c r="E670" s="185" t="s">
        <v>1500</v>
      </c>
      <c r="F670" s="185"/>
      <c r="G670" s="185" t="s">
        <v>1501</v>
      </c>
      <c r="H670" s="189" t="s">
        <v>1502</v>
      </c>
      <c r="I670" s="185" t="s">
        <v>1503</v>
      </c>
      <c r="J670" s="185" t="s">
        <v>1504</v>
      </c>
      <c r="K670" s="189" t="s">
        <v>1505</v>
      </c>
      <c r="L670" s="189" t="s">
        <v>1504</v>
      </c>
      <c r="M670" s="189"/>
      <c r="N670" s="189" t="s">
        <v>1506</v>
      </c>
      <c r="O670" s="189"/>
      <c r="P670" s="190"/>
      <c r="Q670" s="189"/>
      <c r="R670" s="189"/>
      <c r="S670" s="189"/>
      <c r="T670" s="189" t="s">
        <v>1507</v>
      </c>
      <c r="U670" s="189" t="s">
        <v>27</v>
      </c>
      <c r="V670" s="189" t="s">
        <v>26</v>
      </c>
      <c r="W670" s="191" t="s">
        <v>1508</v>
      </c>
      <c r="X670" s="192"/>
    </row>
    <row r="671" spans="1:24" x14ac:dyDescent="0.45">
      <c r="A671" s="193">
        <v>1</v>
      </c>
      <c r="B671" s="194" t="str">
        <f t="shared" ref="B671:B702" si="105">IF(OR($C$651="",U671=""),"",LEFT($C$651,FIND("_",$C$651)-1))</f>
        <v/>
      </c>
      <c r="C671" s="170" t="str">
        <f t="shared" ref="C671:C702" si="106">IF(OR($C$651="",U671=""),"",$B$651)</f>
        <v/>
      </c>
      <c r="D671" s="170"/>
      <c r="E671" s="195"/>
      <c r="F671" s="195"/>
      <c r="G671" s="196"/>
      <c r="H671" s="197"/>
      <c r="I671" s="197"/>
      <c r="J671" s="197"/>
      <c r="K671" s="197"/>
      <c r="L671" s="197"/>
      <c r="M671" s="198"/>
      <c r="N671" s="198"/>
      <c r="O671" s="198"/>
      <c r="P671" s="199"/>
      <c r="Q671" s="200"/>
      <c r="R671" s="200"/>
      <c r="S671" s="200"/>
      <c r="T671" s="200" t="str">
        <f t="shared" ref="T671:T702" si="107">IF(K671="","",((K671*20)+L671)-((I671*20)+J671))</f>
        <v/>
      </c>
      <c r="U671" s="200"/>
      <c r="V671" s="201" t="str">
        <f t="shared" ref="V671:V702" si="108">IF(U671="","",$V$651)</f>
        <v/>
      </c>
      <c r="W671" s="202">
        <f t="shared" ref="W671:W702" si="109">IF(OR(T671="",U671=""),0,T671*U671)</f>
        <v>0</v>
      </c>
      <c r="X671" s="172"/>
    </row>
    <row r="672" spans="1:24" x14ac:dyDescent="0.45">
      <c r="A672" s="193">
        <v>2</v>
      </c>
      <c r="B672" s="194" t="str">
        <f t="shared" si="105"/>
        <v/>
      </c>
      <c r="C672" s="170" t="str">
        <f t="shared" si="106"/>
        <v/>
      </c>
      <c r="D672" s="170"/>
      <c r="E672" s="195"/>
      <c r="F672" s="195"/>
      <c r="G672" s="196"/>
      <c r="H672" s="197"/>
      <c r="I672" s="197" t="str">
        <f t="shared" ref="I672:I703" si="110">IF(K671="","",K671)</f>
        <v/>
      </c>
      <c r="J672" s="197" t="str">
        <f t="shared" ref="J672:J703" si="111">IF(L671="","",L671)</f>
        <v/>
      </c>
      <c r="K672" s="197"/>
      <c r="L672" s="197"/>
      <c r="M672" s="198"/>
      <c r="N672" s="198"/>
      <c r="O672" s="198"/>
      <c r="P672" s="199"/>
      <c r="Q672" s="200"/>
      <c r="R672" s="200"/>
      <c r="S672" s="200"/>
      <c r="T672" s="200" t="str">
        <f t="shared" si="107"/>
        <v/>
      </c>
      <c r="U672" s="200"/>
      <c r="V672" s="201" t="str">
        <f t="shared" si="108"/>
        <v/>
      </c>
      <c r="W672" s="202">
        <f t="shared" si="109"/>
        <v>0</v>
      </c>
      <c r="X672" s="172"/>
    </row>
    <row r="673" spans="1:24" x14ac:dyDescent="0.45">
      <c r="A673" s="193">
        <v>3</v>
      </c>
      <c r="B673" s="194" t="str">
        <f t="shared" si="105"/>
        <v/>
      </c>
      <c r="C673" s="170" t="str">
        <f t="shared" si="106"/>
        <v/>
      </c>
      <c r="D673" s="170"/>
      <c r="E673" s="195"/>
      <c r="F673" s="195"/>
      <c r="G673" s="196"/>
      <c r="H673" s="197"/>
      <c r="I673" s="197" t="str">
        <f t="shared" si="110"/>
        <v/>
      </c>
      <c r="J673" s="197" t="str">
        <f t="shared" si="111"/>
        <v/>
      </c>
      <c r="K673" s="197"/>
      <c r="L673" s="197"/>
      <c r="M673" s="198"/>
      <c r="N673" s="198"/>
      <c r="O673" s="198"/>
      <c r="P673" s="199"/>
      <c r="Q673" s="200"/>
      <c r="R673" s="200"/>
      <c r="S673" s="200"/>
      <c r="T673" s="200" t="str">
        <f t="shared" si="107"/>
        <v/>
      </c>
      <c r="U673" s="200"/>
      <c r="V673" s="201" t="str">
        <f t="shared" si="108"/>
        <v/>
      </c>
      <c r="W673" s="202">
        <f t="shared" si="109"/>
        <v>0</v>
      </c>
      <c r="X673" s="172"/>
    </row>
    <row r="674" spans="1:24" x14ac:dyDescent="0.45">
      <c r="A674" s="193">
        <v>4</v>
      </c>
      <c r="B674" s="194" t="str">
        <f t="shared" si="105"/>
        <v/>
      </c>
      <c r="C674" s="170" t="str">
        <f t="shared" si="106"/>
        <v/>
      </c>
      <c r="D674" s="170"/>
      <c r="E674" s="195"/>
      <c r="F674" s="195"/>
      <c r="G674" s="196"/>
      <c r="H674" s="197"/>
      <c r="I674" s="197" t="str">
        <f t="shared" si="110"/>
        <v/>
      </c>
      <c r="J674" s="197" t="str">
        <f t="shared" si="111"/>
        <v/>
      </c>
      <c r="K674" s="197"/>
      <c r="L674" s="197"/>
      <c r="M674" s="198"/>
      <c r="N674" s="198"/>
      <c r="O674" s="198"/>
      <c r="P674" s="199"/>
      <c r="Q674" s="200"/>
      <c r="R674" s="200"/>
      <c r="S674" s="200"/>
      <c r="T674" s="200" t="str">
        <f t="shared" si="107"/>
        <v/>
      </c>
      <c r="U674" s="200"/>
      <c r="V674" s="201" t="str">
        <f t="shared" si="108"/>
        <v/>
      </c>
      <c r="W674" s="202">
        <f t="shared" si="109"/>
        <v>0</v>
      </c>
      <c r="X674" s="172"/>
    </row>
    <row r="675" spans="1:24" x14ac:dyDescent="0.45">
      <c r="A675" s="193">
        <v>5</v>
      </c>
      <c r="B675" s="194" t="str">
        <f t="shared" si="105"/>
        <v/>
      </c>
      <c r="C675" s="170" t="str">
        <f t="shared" si="106"/>
        <v/>
      </c>
      <c r="D675" s="170"/>
      <c r="E675" s="195"/>
      <c r="F675" s="195"/>
      <c r="G675" s="196"/>
      <c r="H675" s="197"/>
      <c r="I675" s="197" t="str">
        <f t="shared" si="110"/>
        <v/>
      </c>
      <c r="J675" s="197" t="str">
        <f t="shared" si="111"/>
        <v/>
      </c>
      <c r="K675" s="197"/>
      <c r="L675" s="197"/>
      <c r="M675" s="198"/>
      <c r="N675" s="198"/>
      <c r="O675" s="198"/>
      <c r="P675" s="199"/>
      <c r="Q675" s="200"/>
      <c r="R675" s="200"/>
      <c r="S675" s="200"/>
      <c r="T675" s="200" t="str">
        <f t="shared" si="107"/>
        <v/>
      </c>
      <c r="U675" s="200"/>
      <c r="V675" s="201" t="str">
        <f t="shared" si="108"/>
        <v/>
      </c>
      <c r="W675" s="202">
        <f t="shared" si="109"/>
        <v>0</v>
      </c>
      <c r="X675" s="172"/>
    </row>
    <row r="676" spans="1:24" x14ac:dyDescent="0.45">
      <c r="A676" s="193">
        <v>6</v>
      </c>
      <c r="B676" s="194" t="str">
        <f t="shared" si="105"/>
        <v/>
      </c>
      <c r="C676" s="170" t="str">
        <f t="shared" si="106"/>
        <v/>
      </c>
      <c r="D676" s="170"/>
      <c r="E676" s="195"/>
      <c r="F676" s="195"/>
      <c r="G676" s="196"/>
      <c r="H676" s="197"/>
      <c r="I676" s="197" t="str">
        <f t="shared" si="110"/>
        <v/>
      </c>
      <c r="J676" s="197" t="str">
        <f t="shared" si="111"/>
        <v/>
      </c>
      <c r="K676" s="197"/>
      <c r="L676" s="197"/>
      <c r="M676" s="198"/>
      <c r="N676" s="198"/>
      <c r="O676" s="198"/>
      <c r="P676" s="199"/>
      <c r="Q676" s="200"/>
      <c r="R676" s="200"/>
      <c r="S676" s="200"/>
      <c r="T676" s="200" t="str">
        <f t="shared" si="107"/>
        <v/>
      </c>
      <c r="U676" s="200"/>
      <c r="V676" s="201" t="str">
        <f t="shared" si="108"/>
        <v/>
      </c>
      <c r="W676" s="202">
        <f t="shared" si="109"/>
        <v>0</v>
      </c>
      <c r="X676" s="172"/>
    </row>
    <row r="677" spans="1:24" x14ac:dyDescent="0.45">
      <c r="A677" s="193">
        <v>7</v>
      </c>
      <c r="B677" s="194" t="str">
        <f t="shared" si="105"/>
        <v/>
      </c>
      <c r="C677" s="170" t="str">
        <f t="shared" si="106"/>
        <v/>
      </c>
      <c r="D677" s="170"/>
      <c r="E677" s="195"/>
      <c r="F677" s="195"/>
      <c r="G677" s="196"/>
      <c r="H677" s="197"/>
      <c r="I677" s="197" t="str">
        <f t="shared" si="110"/>
        <v/>
      </c>
      <c r="J677" s="197" t="str">
        <f t="shared" si="111"/>
        <v/>
      </c>
      <c r="K677" s="197"/>
      <c r="L677" s="197"/>
      <c r="M677" s="198"/>
      <c r="N677" s="198"/>
      <c r="O677" s="198"/>
      <c r="P677" s="199"/>
      <c r="Q677" s="200"/>
      <c r="R677" s="200"/>
      <c r="S677" s="200"/>
      <c r="T677" s="200" t="str">
        <f t="shared" si="107"/>
        <v/>
      </c>
      <c r="U677" s="200"/>
      <c r="V677" s="201" t="str">
        <f t="shared" si="108"/>
        <v/>
      </c>
      <c r="W677" s="202">
        <f t="shared" si="109"/>
        <v>0</v>
      </c>
      <c r="X677" s="172"/>
    </row>
    <row r="678" spans="1:24" x14ac:dyDescent="0.45">
      <c r="A678" s="193">
        <v>8</v>
      </c>
      <c r="B678" s="194" t="str">
        <f t="shared" si="105"/>
        <v/>
      </c>
      <c r="C678" s="170" t="str">
        <f t="shared" si="106"/>
        <v/>
      </c>
      <c r="D678" s="170"/>
      <c r="E678" s="195"/>
      <c r="F678" s="195"/>
      <c r="G678" s="196"/>
      <c r="H678" s="197"/>
      <c r="I678" s="197" t="str">
        <f t="shared" si="110"/>
        <v/>
      </c>
      <c r="J678" s="197" t="str">
        <f t="shared" si="111"/>
        <v/>
      </c>
      <c r="K678" s="197"/>
      <c r="L678" s="197"/>
      <c r="M678" s="198"/>
      <c r="N678" s="198"/>
      <c r="O678" s="198"/>
      <c r="P678" s="199"/>
      <c r="Q678" s="200"/>
      <c r="R678" s="200"/>
      <c r="S678" s="200"/>
      <c r="T678" s="200" t="str">
        <f t="shared" si="107"/>
        <v/>
      </c>
      <c r="U678" s="200"/>
      <c r="V678" s="201" t="str">
        <f t="shared" si="108"/>
        <v/>
      </c>
      <c r="W678" s="202">
        <f t="shared" si="109"/>
        <v>0</v>
      </c>
      <c r="X678" s="172"/>
    </row>
    <row r="679" spans="1:24" x14ac:dyDescent="0.45">
      <c r="A679" s="193">
        <v>9</v>
      </c>
      <c r="B679" s="194" t="str">
        <f t="shared" si="105"/>
        <v/>
      </c>
      <c r="C679" s="170" t="str">
        <f t="shared" si="106"/>
        <v/>
      </c>
      <c r="D679" s="170"/>
      <c r="E679" s="195"/>
      <c r="F679" s="195"/>
      <c r="G679" s="196"/>
      <c r="H679" s="197"/>
      <c r="I679" s="197" t="str">
        <f t="shared" si="110"/>
        <v/>
      </c>
      <c r="J679" s="197" t="str">
        <f t="shared" si="111"/>
        <v/>
      </c>
      <c r="K679" s="197"/>
      <c r="L679" s="197"/>
      <c r="M679" s="198"/>
      <c r="N679" s="198"/>
      <c r="O679" s="198"/>
      <c r="P679" s="199"/>
      <c r="Q679" s="200"/>
      <c r="R679" s="200"/>
      <c r="S679" s="200"/>
      <c r="T679" s="200" t="str">
        <f t="shared" si="107"/>
        <v/>
      </c>
      <c r="U679" s="200"/>
      <c r="V679" s="201" t="str">
        <f t="shared" si="108"/>
        <v/>
      </c>
      <c r="W679" s="202">
        <f t="shared" si="109"/>
        <v>0</v>
      </c>
      <c r="X679" s="172"/>
    </row>
    <row r="680" spans="1:24" x14ac:dyDescent="0.45">
      <c r="A680" s="193">
        <v>10</v>
      </c>
      <c r="B680" s="194" t="str">
        <f t="shared" si="105"/>
        <v/>
      </c>
      <c r="C680" s="170" t="str">
        <f t="shared" si="106"/>
        <v/>
      </c>
      <c r="D680" s="170"/>
      <c r="E680" s="195"/>
      <c r="F680" s="195"/>
      <c r="G680" s="196"/>
      <c r="H680" s="197"/>
      <c r="I680" s="197" t="str">
        <f t="shared" si="110"/>
        <v/>
      </c>
      <c r="J680" s="197" t="str">
        <f t="shared" si="111"/>
        <v/>
      </c>
      <c r="K680" s="197"/>
      <c r="L680" s="197"/>
      <c r="M680" s="198"/>
      <c r="N680" s="198"/>
      <c r="O680" s="198"/>
      <c r="P680" s="199"/>
      <c r="Q680" s="200"/>
      <c r="R680" s="200"/>
      <c r="S680" s="200"/>
      <c r="T680" s="200" t="str">
        <f t="shared" si="107"/>
        <v/>
      </c>
      <c r="U680" s="200"/>
      <c r="V680" s="201" t="str">
        <f t="shared" si="108"/>
        <v/>
      </c>
      <c r="W680" s="202">
        <f t="shared" si="109"/>
        <v>0</v>
      </c>
      <c r="X680" s="172"/>
    </row>
    <row r="681" spans="1:24" x14ac:dyDescent="0.45">
      <c r="A681" s="193">
        <v>11</v>
      </c>
      <c r="B681" s="194" t="str">
        <f t="shared" si="105"/>
        <v/>
      </c>
      <c r="C681" s="170" t="str">
        <f t="shared" si="106"/>
        <v/>
      </c>
      <c r="D681" s="170"/>
      <c r="E681" s="195"/>
      <c r="F681" s="195"/>
      <c r="G681" s="196"/>
      <c r="H681" s="197"/>
      <c r="I681" s="197" t="str">
        <f t="shared" si="110"/>
        <v/>
      </c>
      <c r="J681" s="197" t="str">
        <f t="shared" si="111"/>
        <v/>
      </c>
      <c r="K681" s="197"/>
      <c r="L681" s="197"/>
      <c r="M681" s="198"/>
      <c r="N681" s="198"/>
      <c r="O681" s="198"/>
      <c r="P681" s="199"/>
      <c r="Q681" s="200"/>
      <c r="R681" s="200"/>
      <c r="S681" s="200"/>
      <c r="T681" s="200" t="str">
        <f t="shared" si="107"/>
        <v/>
      </c>
      <c r="U681" s="200"/>
      <c r="V681" s="201" t="str">
        <f t="shared" si="108"/>
        <v/>
      </c>
      <c r="W681" s="202">
        <f t="shared" si="109"/>
        <v>0</v>
      </c>
      <c r="X681" s="172"/>
    </row>
    <row r="682" spans="1:24" x14ac:dyDescent="0.45">
      <c r="A682" s="193">
        <v>12</v>
      </c>
      <c r="B682" s="194" t="str">
        <f t="shared" si="105"/>
        <v/>
      </c>
      <c r="C682" s="170" t="str">
        <f t="shared" si="106"/>
        <v/>
      </c>
      <c r="D682" s="170"/>
      <c r="E682" s="195"/>
      <c r="F682" s="195"/>
      <c r="G682" s="196"/>
      <c r="H682" s="197"/>
      <c r="I682" s="197" t="str">
        <f t="shared" si="110"/>
        <v/>
      </c>
      <c r="J682" s="197" t="str">
        <f t="shared" si="111"/>
        <v/>
      </c>
      <c r="K682" s="197"/>
      <c r="L682" s="197"/>
      <c r="M682" s="198"/>
      <c r="N682" s="198"/>
      <c r="O682" s="198"/>
      <c r="P682" s="199"/>
      <c r="Q682" s="200"/>
      <c r="R682" s="200"/>
      <c r="S682" s="200"/>
      <c r="T682" s="200" t="str">
        <f t="shared" si="107"/>
        <v/>
      </c>
      <c r="U682" s="200"/>
      <c r="V682" s="201" t="str">
        <f t="shared" si="108"/>
        <v/>
      </c>
      <c r="W682" s="202">
        <f t="shared" si="109"/>
        <v>0</v>
      </c>
      <c r="X682" s="172"/>
    </row>
    <row r="683" spans="1:24" x14ac:dyDescent="0.45">
      <c r="A683" s="193">
        <v>13</v>
      </c>
      <c r="B683" s="194" t="str">
        <f t="shared" si="105"/>
        <v/>
      </c>
      <c r="C683" s="170" t="str">
        <f t="shared" si="106"/>
        <v/>
      </c>
      <c r="D683" s="170"/>
      <c r="E683" s="195"/>
      <c r="F683" s="195"/>
      <c r="G683" s="196"/>
      <c r="H683" s="197"/>
      <c r="I683" s="197" t="str">
        <f t="shared" si="110"/>
        <v/>
      </c>
      <c r="J683" s="197" t="str">
        <f t="shared" si="111"/>
        <v/>
      </c>
      <c r="K683" s="197"/>
      <c r="L683" s="197"/>
      <c r="M683" s="198"/>
      <c r="N683" s="198"/>
      <c r="O683" s="198"/>
      <c r="P683" s="199"/>
      <c r="Q683" s="200"/>
      <c r="R683" s="200"/>
      <c r="S683" s="200"/>
      <c r="T683" s="200" t="str">
        <f t="shared" si="107"/>
        <v/>
      </c>
      <c r="U683" s="200"/>
      <c r="V683" s="201" t="str">
        <f t="shared" si="108"/>
        <v/>
      </c>
      <c r="W683" s="202">
        <f t="shared" si="109"/>
        <v>0</v>
      </c>
      <c r="X683" s="172"/>
    </row>
    <row r="684" spans="1:24" x14ac:dyDescent="0.45">
      <c r="A684" s="193">
        <v>14</v>
      </c>
      <c r="B684" s="194" t="str">
        <f t="shared" si="105"/>
        <v/>
      </c>
      <c r="C684" s="170" t="str">
        <f t="shared" si="106"/>
        <v/>
      </c>
      <c r="D684" s="170"/>
      <c r="E684" s="195"/>
      <c r="F684" s="195"/>
      <c r="G684" s="196"/>
      <c r="H684" s="197"/>
      <c r="I684" s="197" t="str">
        <f t="shared" si="110"/>
        <v/>
      </c>
      <c r="J684" s="197" t="str">
        <f t="shared" si="111"/>
        <v/>
      </c>
      <c r="K684" s="197"/>
      <c r="L684" s="197"/>
      <c r="M684" s="198"/>
      <c r="N684" s="198"/>
      <c r="O684" s="198"/>
      <c r="P684" s="199"/>
      <c r="Q684" s="200"/>
      <c r="R684" s="200"/>
      <c r="S684" s="200"/>
      <c r="T684" s="200" t="str">
        <f t="shared" si="107"/>
        <v/>
      </c>
      <c r="U684" s="200"/>
      <c r="V684" s="201" t="str">
        <f t="shared" si="108"/>
        <v/>
      </c>
      <c r="W684" s="202">
        <f t="shared" si="109"/>
        <v>0</v>
      </c>
      <c r="X684" s="172"/>
    </row>
    <row r="685" spans="1:24" x14ac:dyDescent="0.45">
      <c r="A685" s="193">
        <v>15</v>
      </c>
      <c r="B685" s="194" t="str">
        <f t="shared" si="105"/>
        <v/>
      </c>
      <c r="C685" s="170" t="str">
        <f t="shared" si="106"/>
        <v/>
      </c>
      <c r="D685" s="170"/>
      <c r="E685" s="195"/>
      <c r="F685" s="195"/>
      <c r="G685" s="196"/>
      <c r="H685" s="197"/>
      <c r="I685" s="197" t="str">
        <f t="shared" si="110"/>
        <v/>
      </c>
      <c r="J685" s="197" t="str">
        <f t="shared" si="111"/>
        <v/>
      </c>
      <c r="K685" s="197"/>
      <c r="L685" s="197"/>
      <c r="M685" s="198"/>
      <c r="N685" s="198"/>
      <c r="O685" s="198"/>
      <c r="P685" s="199"/>
      <c r="Q685" s="200"/>
      <c r="R685" s="200"/>
      <c r="S685" s="200"/>
      <c r="T685" s="200" t="str">
        <f t="shared" si="107"/>
        <v/>
      </c>
      <c r="U685" s="200"/>
      <c r="V685" s="201" t="str">
        <f t="shared" si="108"/>
        <v/>
      </c>
      <c r="W685" s="202">
        <f t="shared" si="109"/>
        <v>0</v>
      </c>
      <c r="X685" s="172"/>
    </row>
    <row r="686" spans="1:24" x14ac:dyDescent="0.45">
      <c r="A686" s="193">
        <v>16</v>
      </c>
      <c r="B686" s="194" t="str">
        <f t="shared" si="105"/>
        <v/>
      </c>
      <c r="C686" s="170" t="str">
        <f t="shared" si="106"/>
        <v/>
      </c>
      <c r="D686" s="170"/>
      <c r="E686" s="195"/>
      <c r="F686" s="195"/>
      <c r="G686" s="196"/>
      <c r="H686" s="197"/>
      <c r="I686" s="197" t="str">
        <f t="shared" si="110"/>
        <v/>
      </c>
      <c r="J686" s="197" t="str">
        <f t="shared" si="111"/>
        <v/>
      </c>
      <c r="K686" s="197"/>
      <c r="L686" s="197"/>
      <c r="M686" s="198"/>
      <c r="N686" s="198"/>
      <c r="O686" s="198"/>
      <c r="P686" s="199"/>
      <c r="Q686" s="200"/>
      <c r="R686" s="200"/>
      <c r="S686" s="200"/>
      <c r="T686" s="200" t="str">
        <f t="shared" si="107"/>
        <v/>
      </c>
      <c r="U686" s="200"/>
      <c r="V686" s="201" t="str">
        <f t="shared" si="108"/>
        <v/>
      </c>
      <c r="W686" s="202">
        <f t="shared" si="109"/>
        <v>0</v>
      </c>
      <c r="X686" s="172"/>
    </row>
    <row r="687" spans="1:24" x14ac:dyDescent="0.45">
      <c r="A687" s="193">
        <v>17</v>
      </c>
      <c r="B687" s="194" t="str">
        <f t="shared" si="105"/>
        <v/>
      </c>
      <c r="C687" s="170" t="str">
        <f t="shared" si="106"/>
        <v/>
      </c>
      <c r="D687" s="170"/>
      <c r="E687" s="195"/>
      <c r="F687" s="195"/>
      <c r="G687" s="196"/>
      <c r="H687" s="197"/>
      <c r="I687" s="197" t="str">
        <f t="shared" si="110"/>
        <v/>
      </c>
      <c r="J687" s="197" t="str">
        <f t="shared" si="111"/>
        <v/>
      </c>
      <c r="K687" s="197"/>
      <c r="L687" s="197"/>
      <c r="M687" s="198"/>
      <c r="N687" s="198"/>
      <c r="O687" s="198"/>
      <c r="P687" s="199"/>
      <c r="Q687" s="200"/>
      <c r="R687" s="200"/>
      <c r="S687" s="200"/>
      <c r="T687" s="200" t="str">
        <f t="shared" si="107"/>
        <v/>
      </c>
      <c r="U687" s="200"/>
      <c r="V687" s="201" t="str">
        <f t="shared" si="108"/>
        <v/>
      </c>
      <c r="W687" s="202">
        <f t="shared" si="109"/>
        <v>0</v>
      </c>
      <c r="X687" s="172"/>
    </row>
    <row r="688" spans="1:24" x14ac:dyDescent="0.45">
      <c r="A688" s="193">
        <v>18</v>
      </c>
      <c r="B688" s="194" t="str">
        <f t="shared" si="105"/>
        <v/>
      </c>
      <c r="C688" s="170" t="str">
        <f t="shared" si="106"/>
        <v/>
      </c>
      <c r="D688" s="170"/>
      <c r="E688" s="195"/>
      <c r="F688" s="195"/>
      <c r="G688" s="196"/>
      <c r="H688" s="197"/>
      <c r="I688" s="197" t="str">
        <f t="shared" si="110"/>
        <v/>
      </c>
      <c r="J688" s="197" t="str">
        <f t="shared" si="111"/>
        <v/>
      </c>
      <c r="K688" s="197"/>
      <c r="L688" s="197"/>
      <c r="M688" s="198"/>
      <c r="N688" s="198"/>
      <c r="O688" s="198"/>
      <c r="P688" s="199"/>
      <c r="Q688" s="200"/>
      <c r="R688" s="200"/>
      <c r="S688" s="200"/>
      <c r="T688" s="200" t="str">
        <f t="shared" si="107"/>
        <v/>
      </c>
      <c r="U688" s="200"/>
      <c r="V688" s="201" t="str">
        <f t="shared" si="108"/>
        <v/>
      </c>
      <c r="W688" s="202">
        <f t="shared" si="109"/>
        <v>0</v>
      </c>
      <c r="X688" s="172"/>
    </row>
    <row r="689" spans="1:24" x14ac:dyDescent="0.45">
      <c r="A689" s="193">
        <v>19</v>
      </c>
      <c r="B689" s="194" t="str">
        <f t="shared" si="105"/>
        <v/>
      </c>
      <c r="C689" s="170" t="str">
        <f t="shared" si="106"/>
        <v/>
      </c>
      <c r="D689" s="170"/>
      <c r="E689" s="195"/>
      <c r="F689" s="195"/>
      <c r="G689" s="196"/>
      <c r="H689" s="197"/>
      <c r="I689" s="197" t="str">
        <f t="shared" si="110"/>
        <v/>
      </c>
      <c r="J689" s="197" t="str">
        <f t="shared" si="111"/>
        <v/>
      </c>
      <c r="K689" s="197"/>
      <c r="L689" s="197"/>
      <c r="M689" s="198"/>
      <c r="N689" s="198"/>
      <c r="O689" s="198"/>
      <c r="P689" s="199"/>
      <c r="Q689" s="200"/>
      <c r="R689" s="200"/>
      <c r="S689" s="200"/>
      <c r="T689" s="200" t="str">
        <f t="shared" si="107"/>
        <v/>
      </c>
      <c r="U689" s="200"/>
      <c r="V689" s="201" t="str">
        <f t="shared" si="108"/>
        <v/>
      </c>
      <c r="W689" s="202">
        <f t="shared" si="109"/>
        <v>0</v>
      </c>
      <c r="X689" s="172"/>
    </row>
    <row r="690" spans="1:24" x14ac:dyDescent="0.45">
      <c r="A690" s="193">
        <v>20</v>
      </c>
      <c r="B690" s="194" t="str">
        <f t="shared" si="105"/>
        <v/>
      </c>
      <c r="C690" s="170" t="str">
        <f t="shared" si="106"/>
        <v/>
      </c>
      <c r="D690" s="170"/>
      <c r="E690" s="195"/>
      <c r="F690" s="195"/>
      <c r="G690" s="196"/>
      <c r="H690" s="197"/>
      <c r="I690" s="197" t="str">
        <f t="shared" si="110"/>
        <v/>
      </c>
      <c r="J690" s="197" t="str">
        <f t="shared" si="111"/>
        <v/>
      </c>
      <c r="K690" s="197"/>
      <c r="L690" s="197"/>
      <c r="M690" s="198"/>
      <c r="N690" s="198"/>
      <c r="O690" s="198"/>
      <c r="P690" s="199"/>
      <c r="Q690" s="200"/>
      <c r="R690" s="200"/>
      <c r="S690" s="200"/>
      <c r="T690" s="200" t="str">
        <f t="shared" si="107"/>
        <v/>
      </c>
      <c r="U690" s="200"/>
      <c r="V690" s="201" t="str">
        <f t="shared" si="108"/>
        <v/>
      </c>
      <c r="W690" s="202">
        <f t="shared" si="109"/>
        <v>0</v>
      </c>
      <c r="X690" s="172"/>
    </row>
    <row r="691" spans="1:24" x14ac:dyDescent="0.45">
      <c r="A691" s="193">
        <v>21</v>
      </c>
      <c r="B691" s="194" t="str">
        <f t="shared" si="105"/>
        <v/>
      </c>
      <c r="C691" s="170" t="str">
        <f t="shared" si="106"/>
        <v/>
      </c>
      <c r="D691" s="170"/>
      <c r="E691" s="195"/>
      <c r="F691" s="195"/>
      <c r="G691" s="196"/>
      <c r="H691" s="197"/>
      <c r="I691" s="197" t="str">
        <f t="shared" si="110"/>
        <v/>
      </c>
      <c r="J691" s="197" t="str">
        <f t="shared" si="111"/>
        <v/>
      </c>
      <c r="K691" s="197"/>
      <c r="L691" s="197"/>
      <c r="M691" s="198"/>
      <c r="N691" s="198"/>
      <c r="O691" s="198"/>
      <c r="P691" s="199"/>
      <c r="Q691" s="200"/>
      <c r="R691" s="200"/>
      <c r="S691" s="200"/>
      <c r="T691" s="200" t="str">
        <f t="shared" si="107"/>
        <v/>
      </c>
      <c r="U691" s="200"/>
      <c r="V691" s="201" t="str">
        <f t="shared" si="108"/>
        <v/>
      </c>
      <c r="W691" s="202">
        <f t="shared" si="109"/>
        <v>0</v>
      </c>
      <c r="X691" s="172"/>
    </row>
    <row r="692" spans="1:24" x14ac:dyDescent="0.45">
      <c r="A692" s="193">
        <v>22</v>
      </c>
      <c r="B692" s="194" t="str">
        <f t="shared" si="105"/>
        <v/>
      </c>
      <c r="C692" s="170" t="str">
        <f t="shared" si="106"/>
        <v/>
      </c>
      <c r="D692" s="170"/>
      <c r="E692" s="195"/>
      <c r="F692" s="170"/>
      <c r="G692" s="170"/>
      <c r="H692" s="203"/>
      <c r="I692" s="197" t="str">
        <f t="shared" si="110"/>
        <v/>
      </c>
      <c r="J692" s="197" t="str">
        <f t="shared" si="111"/>
        <v/>
      </c>
      <c r="K692" s="197"/>
      <c r="L692" s="197"/>
      <c r="M692" s="198"/>
      <c r="N692" s="198"/>
      <c r="O692" s="198"/>
      <c r="P692" s="199"/>
      <c r="Q692" s="200"/>
      <c r="R692" s="200"/>
      <c r="S692" s="200"/>
      <c r="T692" s="200" t="str">
        <f t="shared" si="107"/>
        <v/>
      </c>
      <c r="U692" s="200"/>
      <c r="V692" s="201" t="str">
        <f t="shared" si="108"/>
        <v/>
      </c>
      <c r="W692" s="202">
        <f t="shared" si="109"/>
        <v>0</v>
      </c>
      <c r="X692" s="172"/>
    </row>
    <row r="693" spans="1:24" x14ac:dyDescent="0.45">
      <c r="A693" s="193">
        <v>23</v>
      </c>
      <c r="B693" s="194" t="str">
        <f t="shared" si="105"/>
        <v/>
      </c>
      <c r="C693" s="170" t="str">
        <f t="shared" si="106"/>
        <v/>
      </c>
      <c r="D693" s="170"/>
      <c r="E693" s="195"/>
      <c r="F693" s="170"/>
      <c r="G693" s="170"/>
      <c r="H693" s="203"/>
      <c r="I693" s="197" t="str">
        <f t="shared" si="110"/>
        <v/>
      </c>
      <c r="J693" s="197" t="str">
        <f t="shared" si="111"/>
        <v/>
      </c>
      <c r="K693" s="197"/>
      <c r="L693" s="197"/>
      <c r="M693" s="198"/>
      <c r="N693" s="198"/>
      <c r="O693" s="198"/>
      <c r="P693" s="199"/>
      <c r="Q693" s="200"/>
      <c r="R693" s="200"/>
      <c r="S693" s="200"/>
      <c r="T693" s="200" t="str">
        <f t="shared" si="107"/>
        <v/>
      </c>
      <c r="U693" s="200"/>
      <c r="V693" s="201" t="str">
        <f t="shared" si="108"/>
        <v/>
      </c>
      <c r="W693" s="202">
        <f t="shared" si="109"/>
        <v>0</v>
      </c>
      <c r="X693" s="172"/>
    </row>
    <row r="694" spans="1:24" x14ac:dyDescent="0.45">
      <c r="A694" s="193">
        <v>24</v>
      </c>
      <c r="B694" s="194" t="str">
        <f t="shared" si="105"/>
        <v/>
      </c>
      <c r="C694" s="170" t="str">
        <f t="shared" si="106"/>
        <v/>
      </c>
      <c r="D694" s="170"/>
      <c r="E694" s="195"/>
      <c r="F694" s="170"/>
      <c r="G694" s="170"/>
      <c r="H694" s="203"/>
      <c r="I694" s="197" t="str">
        <f t="shared" si="110"/>
        <v/>
      </c>
      <c r="J694" s="197" t="str">
        <f t="shared" si="111"/>
        <v/>
      </c>
      <c r="K694" s="197"/>
      <c r="L694" s="197"/>
      <c r="M694" s="198"/>
      <c r="N694" s="198"/>
      <c r="O694" s="198"/>
      <c r="P694" s="199"/>
      <c r="Q694" s="200"/>
      <c r="R694" s="200"/>
      <c r="S694" s="200"/>
      <c r="T694" s="200" t="str">
        <f t="shared" si="107"/>
        <v/>
      </c>
      <c r="U694" s="200"/>
      <c r="V694" s="201" t="str">
        <f t="shared" si="108"/>
        <v/>
      </c>
      <c r="W694" s="202">
        <f t="shared" si="109"/>
        <v>0</v>
      </c>
      <c r="X694" s="172"/>
    </row>
    <row r="695" spans="1:24" x14ac:dyDescent="0.45">
      <c r="A695" s="193">
        <v>25</v>
      </c>
      <c r="B695" s="194" t="str">
        <f t="shared" si="105"/>
        <v/>
      </c>
      <c r="C695" s="170" t="str">
        <f t="shared" si="106"/>
        <v/>
      </c>
      <c r="D695" s="170"/>
      <c r="E695" s="195"/>
      <c r="F695" s="170"/>
      <c r="G695" s="170"/>
      <c r="H695" s="203"/>
      <c r="I695" s="197" t="str">
        <f t="shared" si="110"/>
        <v/>
      </c>
      <c r="J695" s="197" t="str">
        <f t="shared" si="111"/>
        <v/>
      </c>
      <c r="K695" s="197"/>
      <c r="L695" s="197"/>
      <c r="M695" s="198"/>
      <c r="N695" s="198"/>
      <c r="O695" s="198"/>
      <c r="P695" s="199"/>
      <c r="Q695" s="200"/>
      <c r="R695" s="200"/>
      <c r="S695" s="200"/>
      <c r="T695" s="200" t="str">
        <f t="shared" si="107"/>
        <v/>
      </c>
      <c r="U695" s="200"/>
      <c r="V695" s="201" t="str">
        <f t="shared" si="108"/>
        <v/>
      </c>
      <c r="W695" s="202">
        <f t="shared" si="109"/>
        <v>0</v>
      </c>
      <c r="X695" s="172"/>
    </row>
    <row r="696" spans="1:24" x14ac:dyDescent="0.45">
      <c r="A696" s="193">
        <v>26</v>
      </c>
      <c r="B696" s="194" t="str">
        <f t="shared" si="105"/>
        <v/>
      </c>
      <c r="C696" s="170" t="str">
        <f t="shared" si="106"/>
        <v/>
      </c>
      <c r="D696" s="170"/>
      <c r="E696" s="195"/>
      <c r="F696" s="170"/>
      <c r="G696" s="170"/>
      <c r="H696" s="203"/>
      <c r="I696" s="197" t="str">
        <f t="shared" si="110"/>
        <v/>
      </c>
      <c r="J696" s="197" t="str">
        <f t="shared" si="111"/>
        <v/>
      </c>
      <c r="K696" s="197"/>
      <c r="L696" s="197"/>
      <c r="M696" s="198"/>
      <c r="N696" s="198"/>
      <c r="O696" s="198"/>
      <c r="P696" s="199"/>
      <c r="Q696" s="200"/>
      <c r="R696" s="200"/>
      <c r="S696" s="200"/>
      <c r="T696" s="200" t="str">
        <f t="shared" si="107"/>
        <v/>
      </c>
      <c r="U696" s="200"/>
      <c r="V696" s="201" t="str">
        <f t="shared" si="108"/>
        <v/>
      </c>
      <c r="W696" s="202">
        <f t="shared" si="109"/>
        <v>0</v>
      </c>
      <c r="X696" s="172"/>
    </row>
    <row r="697" spans="1:24" x14ac:dyDescent="0.45">
      <c r="A697" s="193">
        <v>27</v>
      </c>
      <c r="B697" s="194" t="str">
        <f t="shared" si="105"/>
        <v/>
      </c>
      <c r="C697" s="170" t="str">
        <f t="shared" si="106"/>
        <v/>
      </c>
      <c r="D697" s="170"/>
      <c r="E697" s="195"/>
      <c r="F697" s="170"/>
      <c r="G697" s="170"/>
      <c r="H697" s="203"/>
      <c r="I697" s="197" t="str">
        <f t="shared" si="110"/>
        <v/>
      </c>
      <c r="J697" s="197" t="str">
        <f t="shared" si="111"/>
        <v/>
      </c>
      <c r="K697" s="197"/>
      <c r="L697" s="197"/>
      <c r="M697" s="198"/>
      <c r="N697" s="198"/>
      <c r="O697" s="198"/>
      <c r="P697" s="199"/>
      <c r="Q697" s="200"/>
      <c r="R697" s="200"/>
      <c r="S697" s="200"/>
      <c r="T697" s="200" t="str">
        <f t="shared" si="107"/>
        <v/>
      </c>
      <c r="U697" s="200"/>
      <c r="V697" s="201" t="str">
        <f t="shared" si="108"/>
        <v/>
      </c>
      <c r="W697" s="202">
        <f t="shared" si="109"/>
        <v>0</v>
      </c>
      <c r="X697" s="172"/>
    </row>
    <row r="698" spans="1:24" x14ac:dyDescent="0.45">
      <c r="A698" s="193">
        <v>28</v>
      </c>
      <c r="B698" s="194" t="str">
        <f t="shared" si="105"/>
        <v/>
      </c>
      <c r="C698" s="170" t="str">
        <f t="shared" si="106"/>
        <v/>
      </c>
      <c r="D698" s="170"/>
      <c r="E698" s="195"/>
      <c r="F698" s="170"/>
      <c r="G698" s="170"/>
      <c r="H698" s="203"/>
      <c r="I698" s="197" t="str">
        <f t="shared" si="110"/>
        <v/>
      </c>
      <c r="J698" s="197" t="str">
        <f t="shared" si="111"/>
        <v/>
      </c>
      <c r="K698" s="197"/>
      <c r="L698" s="197"/>
      <c r="M698" s="198"/>
      <c r="N698" s="198"/>
      <c r="O698" s="198"/>
      <c r="P698" s="199"/>
      <c r="Q698" s="200"/>
      <c r="R698" s="200"/>
      <c r="S698" s="200"/>
      <c r="T698" s="200" t="str">
        <f t="shared" si="107"/>
        <v/>
      </c>
      <c r="U698" s="200"/>
      <c r="V698" s="201" t="str">
        <f t="shared" si="108"/>
        <v/>
      </c>
      <c r="W698" s="202">
        <f t="shared" si="109"/>
        <v>0</v>
      </c>
      <c r="X698" s="172"/>
    </row>
    <row r="699" spans="1:24" x14ac:dyDescent="0.45">
      <c r="A699" s="193">
        <v>29</v>
      </c>
      <c r="B699" s="194" t="str">
        <f t="shared" si="105"/>
        <v/>
      </c>
      <c r="C699" s="170" t="str">
        <f t="shared" si="106"/>
        <v/>
      </c>
      <c r="D699" s="170"/>
      <c r="E699" s="195"/>
      <c r="F699" s="170"/>
      <c r="G699" s="170"/>
      <c r="H699" s="203"/>
      <c r="I699" s="197" t="str">
        <f t="shared" si="110"/>
        <v/>
      </c>
      <c r="J699" s="197" t="str">
        <f t="shared" si="111"/>
        <v/>
      </c>
      <c r="K699" s="197"/>
      <c r="L699" s="197"/>
      <c r="M699" s="198"/>
      <c r="N699" s="198"/>
      <c r="O699" s="198"/>
      <c r="P699" s="199"/>
      <c r="Q699" s="200"/>
      <c r="R699" s="200"/>
      <c r="S699" s="200"/>
      <c r="T699" s="200" t="str">
        <f t="shared" si="107"/>
        <v/>
      </c>
      <c r="U699" s="200"/>
      <c r="V699" s="201" t="str">
        <f t="shared" si="108"/>
        <v/>
      </c>
      <c r="W699" s="202">
        <f t="shared" si="109"/>
        <v>0</v>
      </c>
      <c r="X699" s="172"/>
    </row>
    <row r="700" spans="1:24" x14ac:dyDescent="0.45">
      <c r="A700" s="193">
        <v>30</v>
      </c>
      <c r="B700" s="194" t="str">
        <f t="shared" si="105"/>
        <v/>
      </c>
      <c r="C700" s="170" t="str">
        <f t="shared" si="106"/>
        <v/>
      </c>
      <c r="D700" s="170"/>
      <c r="E700" s="195"/>
      <c r="F700" s="170"/>
      <c r="G700" s="170"/>
      <c r="H700" s="203"/>
      <c r="I700" s="197" t="str">
        <f t="shared" si="110"/>
        <v/>
      </c>
      <c r="J700" s="197" t="str">
        <f t="shared" si="111"/>
        <v/>
      </c>
      <c r="K700" s="197"/>
      <c r="L700" s="197"/>
      <c r="M700" s="198"/>
      <c r="N700" s="198"/>
      <c r="O700" s="198"/>
      <c r="P700" s="199"/>
      <c r="Q700" s="200"/>
      <c r="R700" s="200"/>
      <c r="S700" s="200"/>
      <c r="T700" s="200" t="str">
        <f t="shared" si="107"/>
        <v/>
      </c>
      <c r="U700" s="200"/>
      <c r="V700" s="201" t="str">
        <f t="shared" si="108"/>
        <v/>
      </c>
      <c r="W700" s="202">
        <f t="shared" si="109"/>
        <v>0</v>
      </c>
      <c r="X700" s="172"/>
    </row>
    <row r="701" spans="1:24" x14ac:dyDescent="0.45">
      <c r="A701" s="193">
        <v>31</v>
      </c>
      <c r="B701" s="194" t="str">
        <f t="shared" si="105"/>
        <v/>
      </c>
      <c r="C701" s="170" t="str">
        <f t="shared" si="106"/>
        <v/>
      </c>
      <c r="D701" s="170"/>
      <c r="E701" s="195"/>
      <c r="F701" s="170"/>
      <c r="G701" s="170"/>
      <c r="H701" s="203"/>
      <c r="I701" s="197" t="str">
        <f t="shared" si="110"/>
        <v/>
      </c>
      <c r="J701" s="197" t="str">
        <f t="shared" si="111"/>
        <v/>
      </c>
      <c r="K701" s="197"/>
      <c r="L701" s="197"/>
      <c r="M701" s="198"/>
      <c r="N701" s="198"/>
      <c r="O701" s="198"/>
      <c r="P701" s="199"/>
      <c r="Q701" s="200"/>
      <c r="R701" s="200"/>
      <c r="S701" s="200"/>
      <c r="T701" s="200" t="str">
        <f t="shared" si="107"/>
        <v/>
      </c>
      <c r="U701" s="200"/>
      <c r="V701" s="201" t="str">
        <f t="shared" si="108"/>
        <v/>
      </c>
      <c r="W701" s="202">
        <f t="shared" si="109"/>
        <v>0</v>
      </c>
      <c r="X701" s="172"/>
    </row>
    <row r="702" spans="1:24" x14ac:dyDescent="0.45">
      <c r="A702" s="193">
        <v>32</v>
      </c>
      <c r="B702" s="194" t="str">
        <f t="shared" si="105"/>
        <v/>
      </c>
      <c r="C702" s="170" t="str">
        <f t="shared" si="106"/>
        <v/>
      </c>
      <c r="D702" s="170"/>
      <c r="E702" s="195"/>
      <c r="F702" s="170"/>
      <c r="G702" s="170"/>
      <c r="H702" s="203"/>
      <c r="I702" s="197" t="str">
        <f t="shared" si="110"/>
        <v/>
      </c>
      <c r="J702" s="197" t="str">
        <f t="shared" si="111"/>
        <v/>
      </c>
      <c r="K702" s="197"/>
      <c r="L702" s="197"/>
      <c r="M702" s="198"/>
      <c r="N702" s="198"/>
      <c r="O702" s="198"/>
      <c r="P702" s="199"/>
      <c r="Q702" s="200"/>
      <c r="R702" s="200"/>
      <c r="S702" s="200"/>
      <c r="T702" s="200" t="str">
        <f t="shared" si="107"/>
        <v/>
      </c>
      <c r="U702" s="200"/>
      <c r="V702" s="201" t="str">
        <f t="shared" si="108"/>
        <v/>
      </c>
      <c r="W702" s="202">
        <f t="shared" si="109"/>
        <v>0</v>
      </c>
      <c r="X702" s="172"/>
    </row>
    <row r="703" spans="1:24" x14ac:dyDescent="0.45">
      <c r="A703" s="193">
        <v>33</v>
      </c>
      <c r="B703" s="194" t="str">
        <f t="shared" ref="B703:B736" si="112">IF(OR($C$651="",U703=""),"",LEFT($C$651,FIND("_",$C$651)-1))</f>
        <v/>
      </c>
      <c r="C703" s="170" t="str">
        <f t="shared" ref="C703:C736" si="113">IF(OR($C$651="",U703=""),"",$B$651)</f>
        <v/>
      </c>
      <c r="D703" s="170"/>
      <c r="E703" s="195"/>
      <c r="F703" s="170"/>
      <c r="G703" s="170"/>
      <c r="H703" s="203"/>
      <c r="I703" s="197" t="str">
        <f t="shared" si="110"/>
        <v/>
      </c>
      <c r="J703" s="197" t="str">
        <f t="shared" si="111"/>
        <v/>
      </c>
      <c r="K703" s="197"/>
      <c r="L703" s="197"/>
      <c r="M703" s="198"/>
      <c r="N703" s="198"/>
      <c r="O703" s="198"/>
      <c r="P703" s="199"/>
      <c r="Q703" s="200"/>
      <c r="R703" s="200"/>
      <c r="S703" s="200"/>
      <c r="T703" s="200" t="str">
        <f t="shared" ref="T703:T736" si="114">IF(K703="","",((K703*20)+L703)-((I703*20)+J703))</f>
        <v/>
      </c>
      <c r="U703" s="200"/>
      <c r="V703" s="201" t="str">
        <f t="shared" ref="V703:V734" si="115">IF(U703="","",$V$651)</f>
        <v/>
      </c>
      <c r="W703" s="202">
        <f t="shared" ref="W703:W736" si="116">IF(OR(T703="",U703=""),0,T703*U703)</f>
        <v>0</v>
      </c>
      <c r="X703" s="172"/>
    </row>
    <row r="704" spans="1:24" x14ac:dyDescent="0.45">
      <c r="A704" s="193">
        <v>34</v>
      </c>
      <c r="B704" s="194" t="str">
        <f t="shared" si="112"/>
        <v/>
      </c>
      <c r="C704" s="170" t="str">
        <f t="shared" si="113"/>
        <v/>
      </c>
      <c r="D704" s="170"/>
      <c r="E704" s="195"/>
      <c r="F704" s="170"/>
      <c r="G704" s="170"/>
      <c r="H704" s="203"/>
      <c r="I704" s="197" t="str">
        <f t="shared" ref="I704:I736" si="117">IF(K703="","",K703)</f>
        <v/>
      </c>
      <c r="J704" s="197" t="str">
        <f t="shared" ref="J704:J736" si="118">IF(L703="","",L703)</f>
        <v/>
      </c>
      <c r="K704" s="197"/>
      <c r="L704" s="197"/>
      <c r="M704" s="198"/>
      <c r="N704" s="198"/>
      <c r="O704" s="198"/>
      <c r="P704" s="199"/>
      <c r="Q704" s="200"/>
      <c r="R704" s="200"/>
      <c r="S704" s="200"/>
      <c r="T704" s="200" t="str">
        <f t="shared" si="114"/>
        <v/>
      </c>
      <c r="U704" s="200"/>
      <c r="V704" s="201" t="str">
        <f t="shared" si="115"/>
        <v/>
      </c>
      <c r="W704" s="202">
        <f t="shared" si="116"/>
        <v>0</v>
      </c>
      <c r="X704" s="172"/>
    </row>
    <row r="705" spans="1:24" x14ac:dyDescent="0.45">
      <c r="A705" s="193">
        <v>35</v>
      </c>
      <c r="B705" s="194" t="str">
        <f t="shared" si="112"/>
        <v/>
      </c>
      <c r="C705" s="170" t="str">
        <f t="shared" si="113"/>
        <v/>
      </c>
      <c r="D705" s="170"/>
      <c r="E705" s="195"/>
      <c r="F705" s="170"/>
      <c r="G705" s="170"/>
      <c r="H705" s="203"/>
      <c r="I705" s="197" t="str">
        <f t="shared" si="117"/>
        <v/>
      </c>
      <c r="J705" s="197" t="str">
        <f t="shared" si="118"/>
        <v/>
      </c>
      <c r="K705" s="197"/>
      <c r="L705" s="197"/>
      <c r="M705" s="198"/>
      <c r="N705" s="198"/>
      <c r="O705" s="198"/>
      <c r="P705" s="199"/>
      <c r="Q705" s="200"/>
      <c r="R705" s="200"/>
      <c r="S705" s="200"/>
      <c r="T705" s="200" t="str">
        <f t="shared" si="114"/>
        <v/>
      </c>
      <c r="U705" s="200"/>
      <c r="V705" s="201" t="str">
        <f t="shared" si="115"/>
        <v/>
      </c>
      <c r="W705" s="202">
        <f t="shared" si="116"/>
        <v>0</v>
      </c>
      <c r="X705" s="172"/>
    </row>
    <row r="706" spans="1:24" x14ac:dyDescent="0.45">
      <c r="A706" s="193">
        <v>36</v>
      </c>
      <c r="B706" s="194" t="str">
        <f t="shared" si="112"/>
        <v/>
      </c>
      <c r="C706" s="170" t="str">
        <f t="shared" si="113"/>
        <v/>
      </c>
      <c r="D706" s="170"/>
      <c r="E706" s="195"/>
      <c r="F706" s="170"/>
      <c r="G706" s="170"/>
      <c r="H706" s="203"/>
      <c r="I706" s="197" t="str">
        <f t="shared" si="117"/>
        <v/>
      </c>
      <c r="J706" s="197" t="str">
        <f t="shared" si="118"/>
        <v/>
      </c>
      <c r="K706" s="197"/>
      <c r="L706" s="197"/>
      <c r="M706" s="198"/>
      <c r="N706" s="198"/>
      <c r="O706" s="198"/>
      <c r="P706" s="199"/>
      <c r="Q706" s="200"/>
      <c r="R706" s="200"/>
      <c r="S706" s="200"/>
      <c r="T706" s="200" t="str">
        <f t="shared" si="114"/>
        <v/>
      </c>
      <c r="U706" s="200"/>
      <c r="V706" s="201" t="str">
        <f t="shared" si="115"/>
        <v/>
      </c>
      <c r="W706" s="202">
        <f t="shared" si="116"/>
        <v>0</v>
      </c>
      <c r="X706" s="172"/>
    </row>
    <row r="707" spans="1:24" x14ac:dyDescent="0.45">
      <c r="A707" s="193">
        <v>37</v>
      </c>
      <c r="B707" s="194" t="str">
        <f t="shared" si="112"/>
        <v/>
      </c>
      <c r="C707" s="170" t="str">
        <f t="shared" si="113"/>
        <v/>
      </c>
      <c r="D707" s="170"/>
      <c r="E707" s="195"/>
      <c r="F707" s="170"/>
      <c r="G707" s="170"/>
      <c r="H707" s="203"/>
      <c r="I707" s="197" t="str">
        <f t="shared" si="117"/>
        <v/>
      </c>
      <c r="J707" s="197" t="str">
        <f t="shared" si="118"/>
        <v/>
      </c>
      <c r="K707" s="197"/>
      <c r="L707" s="197"/>
      <c r="M707" s="198"/>
      <c r="N707" s="198"/>
      <c r="O707" s="198"/>
      <c r="P707" s="199"/>
      <c r="Q707" s="200"/>
      <c r="R707" s="200"/>
      <c r="S707" s="200"/>
      <c r="T707" s="200" t="str">
        <f t="shared" si="114"/>
        <v/>
      </c>
      <c r="U707" s="200"/>
      <c r="V707" s="201" t="str">
        <f t="shared" si="115"/>
        <v/>
      </c>
      <c r="W707" s="202">
        <f t="shared" si="116"/>
        <v>0</v>
      </c>
      <c r="X707" s="172"/>
    </row>
    <row r="708" spans="1:24" x14ac:dyDescent="0.45">
      <c r="A708" s="193">
        <v>38</v>
      </c>
      <c r="B708" s="194" t="str">
        <f t="shared" si="112"/>
        <v/>
      </c>
      <c r="C708" s="170" t="str">
        <f t="shared" si="113"/>
        <v/>
      </c>
      <c r="D708" s="170"/>
      <c r="E708" s="195"/>
      <c r="F708" s="170"/>
      <c r="G708" s="170"/>
      <c r="H708" s="203"/>
      <c r="I708" s="197" t="str">
        <f t="shared" si="117"/>
        <v/>
      </c>
      <c r="J708" s="197" t="str">
        <f t="shared" si="118"/>
        <v/>
      </c>
      <c r="K708" s="197"/>
      <c r="L708" s="197"/>
      <c r="M708" s="198"/>
      <c r="N708" s="198"/>
      <c r="O708" s="198"/>
      <c r="P708" s="199"/>
      <c r="Q708" s="200"/>
      <c r="R708" s="200"/>
      <c r="S708" s="200"/>
      <c r="T708" s="200" t="str">
        <f t="shared" si="114"/>
        <v/>
      </c>
      <c r="U708" s="200"/>
      <c r="V708" s="201" t="str">
        <f t="shared" si="115"/>
        <v/>
      </c>
      <c r="W708" s="202">
        <f t="shared" si="116"/>
        <v>0</v>
      </c>
      <c r="X708" s="172"/>
    </row>
    <row r="709" spans="1:24" x14ac:dyDescent="0.45">
      <c r="A709" s="193">
        <v>39</v>
      </c>
      <c r="B709" s="194" t="str">
        <f t="shared" si="112"/>
        <v/>
      </c>
      <c r="C709" s="170" t="str">
        <f t="shared" si="113"/>
        <v/>
      </c>
      <c r="D709" s="170"/>
      <c r="E709" s="195"/>
      <c r="F709" s="170"/>
      <c r="G709" s="170"/>
      <c r="H709" s="203"/>
      <c r="I709" s="197" t="str">
        <f t="shared" si="117"/>
        <v/>
      </c>
      <c r="J709" s="197" t="str">
        <f t="shared" si="118"/>
        <v/>
      </c>
      <c r="K709" s="197"/>
      <c r="L709" s="197"/>
      <c r="M709" s="198"/>
      <c r="N709" s="198"/>
      <c r="O709" s="198"/>
      <c r="P709" s="199"/>
      <c r="Q709" s="200"/>
      <c r="R709" s="200"/>
      <c r="S709" s="200"/>
      <c r="T709" s="200" t="str">
        <f t="shared" si="114"/>
        <v/>
      </c>
      <c r="U709" s="200"/>
      <c r="V709" s="201" t="str">
        <f t="shared" si="115"/>
        <v/>
      </c>
      <c r="W709" s="202">
        <f t="shared" si="116"/>
        <v>0</v>
      </c>
      <c r="X709" s="172"/>
    </row>
    <row r="710" spans="1:24" x14ac:dyDescent="0.45">
      <c r="A710" s="193">
        <v>40</v>
      </c>
      <c r="B710" s="194" t="str">
        <f t="shared" si="112"/>
        <v/>
      </c>
      <c r="C710" s="170" t="str">
        <f t="shared" si="113"/>
        <v/>
      </c>
      <c r="D710" s="170"/>
      <c r="E710" s="195"/>
      <c r="F710" s="170"/>
      <c r="G710" s="170"/>
      <c r="H710" s="203"/>
      <c r="I710" s="197" t="str">
        <f t="shared" si="117"/>
        <v/>
      </c>
      <c r="J710" s="197" t="str">
        <f t="shared" si="118"/>
        <v/>
      </c>
      <c r="K710" s="197"/>
      <c r="L710" s="197"/>
      <c r="M710" s="198"/>
      <c r="N710" s="198"/>
      <c r="O710" s="198"/>
      <c r="P710" s="199"/>
      <c r="Q710" s="200"/>
      <c r="R710" s="200"/>
      <c r="S710" s="200"/>
      <c r="T710" s="200" t="str">
        <f t="shared" si="114"/>
        <v/>
      </c>
      <c r="U710" s="200"/>
      <c r="V710" s="201" t="str">
        <f t="shared" si="115"/>
        <v/>
      </c>
      <c r="W710" s="202">
        <f t="shared" si="116"/>
        <v>0</v>
      </c>
      <c r="X710" s="172"/>
    </row>
    <row r="711" spans="1:24" x14ac:dyDescent="0.45">
      <c r="A711" s="193">
        <v>41</v>
      </c>
      <c r="B711" s="194" t="str">
        <f t="shared" si="112"/>
        <v/>
      </c>
      <c r="C711" s="170" t="str">
        <f t="shared" si="113"/>
        <v/>
      </c>
      <c r="D711" s="170"/>
      <c r="E711" s="195"/>
      <c r="F711" s="170"/>
      <c r="G711" s="170"/>
      <c r="H711" s="203"/>
      <c r="I711" s="197" t="str">
        <f t="shared" si="117"/>
        <v/>
      </c>
      <c r="J711" s="197" t="str">
        <f t="shared" si="118"/>
        <v/>
      </c>
      <c r="K711" s="197"/>
      <c r="L711" s="197"/>
      <c r="M711" s="198"/>
      <c r="N711" s="198"/>
      <c r="O711" s="198"/>
      <c r="P711" s="199"/>
      <c r="Q711" s="200"/>
      <c r="R711" s="200"/>
      <c r="S711" s="200"/>
      <c r="T711" s="200" t="str">
        <f t="shared" si="114"/>
        <v/>
      </c>
      <c r="U711" s="200"/>
      <c r="V711" s="201" t="str">
        <f t="shared" si="115"/>
        <v/>
      </c>
      <c r="W711" s="202">
        <f t="shared" si="116"/>
        <v>0</v>
      </c>
      <c r="X711" s="172"/>
    </row>
    <row r="712" spans="1:24" x14ac:dyDescent="0.45">
      <c r="A712" s="193">
        <v>42</v>
      </c>
      <c r="B712" s="194" t="str">
        <f t="shared" si="112"/>
        <v/>
      </c>
      <c r="C712" s="170" t="str">
        <f t="shared" si="113"/>
        <v/>
      </c>
      <c r="D712" s="170"/>
      <c r="E712" s="195"/>
      <c r="F712" s="170"/>
      <c r="G712" s="170"/>
      <c r="H712" s="203"/>
      <c r="I712" s="197" t="str">
        <f t="shared" si="117"/>
        <v/>
      </c>
      <c r="J712" s="197" t="str">
        <f t="shared" si="118"/>
        <v/>
      </c>
      <c r="K712" s="197"/>
      <c r="L712" s="197"/>
      <c r="M712" s="198"/>
      <c r="N712" s="198"/>
      <c r="O712" s="198"/>
      <c r="P712" s="199"/>
      <c r="Q712" s="200"/>
      <c r="R712" s="200"/>
      <c r="S712" s="200"/>
      <c r="T712" s="200" t="str">
        <f t="shared" si="114"/>
        <v/>
      </c>
      <c r="U712" s="200"/>
      <c r="V712" s="201" t="str">
        <f t="shared" si="115"/>
        <v/>
      </c>
      <c r="W712" s="202">
        <f t="shared" si="116"/>
        <v>0</v>
      </c>
      <c r="X712" s="172"/>
    </row>
    <row r="713" spans="1:24" x14ac:dyDescent="0.45">
      <c r="A713" s="193">
        <v>43</v>
      </c>
      <c r="B713" s="194" t="str">
        <f t="shared" si="112"/>
        <v/>
      </c>
      <c r="C713" s="170" t="str">
        <f t="shared" si="113"/>
        <v/>
      </c>
      <c r="D713" s="170"/>
      <c r="E713" s="195"/>
      <c r="F713" s="170"/>
      <c r="G713" s="170"/>
      <c r="H713" s="203"/>
      <c r="I713" s="197" t="str">
        <f t="shared" si="117"/>
        <v/>
      </c>
      <c r="J713" s="197" t="str">
        <f t="shared" si="118"/>
        <v/>
      </c>
      <c r="K713" s="197"/>
      <c r="L713" s="197"/>
      <c r="M713" s="198"/>
      <c r="N713" s="198"/>
      <c r="O713" s="198"/>
      <c r="P713" s="199"/>
      <c r="Q713" s="200"/>
      <c r="R713" s="200"/>
      <c r="S713" s="200"/>
      <c r="T713" s="200" t="str">
        <f t="shared" si="114"/>
        <v/>
      </c>
      <c r="U713" s="200"/>
      <c r="V713" s="201" t="str">
        <f t="shared" si="115"/>
        <v/>
      </c>
      <c r="W713" s="202">
        <f t="shared" si="116"/>
        <v>0</v>
      </c>
      <c r="X713" s="172"/>
    </row>
    <row r="714" spans="1:24" x14ac:dyDescent="0.45">
      <c r="A714" s="193">
        <v>44</v>
      </c>
      <c r="B714" s="194" t="str">
        <f t="shared" si="112"/>
        <v/>
      </c>
      <c r="C714" s="170" t="str">
        <f t="shared" si="113"/>
        <v/>
      </c>
      <c r="D714" s="170"/>
      <c r="E714" s="195"/>
      <c r="F714" s="170"/>
      <c r="G714" s="170"/>
      <c r="H714" s="203"/>
      <c r="I714" s="197" t="str">
        <f t="shared" si="117"/>
        <v/>
      </c>
      <c r="J714" s="197" t="str">
        <f t="shared" si="118"/>
        <v/>
      </c>
      <c r="K714" s="197"/>
      <c r="L714" s="197"/>
      <c r="M714" s="198"/>
      <c r="N714" s="198"/>
      <c r="O714" s="198"/>
      <c r="P714" s="199"/>
      <c r="Q714" s="200"/>
      <c r="R714" s="200"/>
      <c r="S714" s="200"/>
      <c r="T714" s="200" t="str">
        <f t="shared" si="114"/>
        <v/>
      </c>
      <c r="U714" s="200"/>
      <c r="V714" s="201" t="str">
        <f t="shared" si="115"/>
        <v/>
      </c>
      <c r="W714" s="202">
        <f t="shared" si="116"/>
        <v>0</v>
      </c>
      <c r="X714" s="172"/>
    </row>
    <row r="715" spans="1:24" x14ac:dyDescent="0.45">
      <c r="A715" s="193">
        <v>45</v>
      </c>
      <c r="B715" s="194" t="str">
        <f t="shared" si="112"/>
        <v/>
      </c>
      <c r="C715" s="170" t="str">
        <f t="shared" si="113"/>
        <v/>
      </c>
      <c r="D715" s="170"/>
      <c r="E715" s="195"/>
      <c r="F715" s="170"/>
      <c r="G715" s="170"/>
      <c r="H715" s="203"/>
      <c r="I715" s="197" t="str">
        <f t="shared" si="117"/>
        <v/>
      </c>
      <c r="J715" s="197" t="str">
        <f t="shared" si="118"/>
        <v/>
      </c>
      <c r="K715" s="197"/>
      <c r="L715" s="197"/>
      <c r="M715" s="198"/>
      <c r="N715" s="198"/>
      <c r="O715" s="198"/>
      <c r="P715" s="199"/>
      <c r="Q715" s="200"/>
      <c r="R715" s="200"/>
      <c r="S715" s="200"/>
      <c r="T715" s="200" t="str">
        <f t="shared" si="114"/>
        <v/>
      </c>
      <c r="U715" s="200"/>
      <c r="V715" s="201" t="str">
        <f t="shared" si="115"/>
        <v/>
      </c>
      <c r="W715" s="202">
        <f t="shared" si="116"/>
        <v>0</v>
      </c>
      <c r="X715" s="172"/>
    </row>
    <row r="716" spans="1:24" x14ac:dyDescent="0.45">
      <c r="A716" s="193">
        <v>46</v>
      </c>
      <c r="B716" s="194" t="str">
        <f t="shared" si="112"/>
        <v/>
      </c>
      <c r="C716" s="170" t="str">
        <f t="shared" si="113"/>
        <v/>
      </c>
      <c r="D716" s="170"/>
      <c r="E716" s="195"/>
      <c r="F716" s="170"/>
      <c r="G716" s="170"/>
      <c r="H716" s="203"/>
      <c r="I716" s="197" t="str">
        <f t="shared" si="117"/>
        <v/>
      </c>
      <c r="J716" s="197" t="str">
        <f t="shared" si="118"/>
        <v/>
      </c>
      <c r="K716" s="197"/>
      <c r="L716" s="197"/>
      <c r="M716" s="198"/>
      <c r="N716" s="198"/>
      <c r="O716" s="198"/>
      <c r="P716" s="199"/>
      <c r="Q716" s="200"/>
      <c r="R716" s="200"/>
      <c r="S716" s="200"/>
      <c r="T716" s="200" t="str">
        <f t="shared" si="114"/>
        <v/>
      </c>
      <c r="U716" s="200"/>
      <c r="V716" s="201" t="str">
        <f t="shared" si="115"/>
        <v/>
      </c>
      <c r="W716" s="202">
        <f t="shared" si="116"/>
        <v>0</v>
      </c>
      <c r="X716" s="172"/>
    </row>
    <row r="717" spans="1:24" x14ac:dyDescent="0.45">
      <c r="A717" s="193">
        <v>47</v>
      </c>
      <c r="B717" s="194" t="str">
        <f t="shared" si="112"/>
        <v/>
      </c>
      <c r="C717" s="170" t="str">
        <f t="shared" si="113"/>
        <v/>
      </c>
      <c r="D717" s="170"/>
      <c r="E717" s="195"/>
      <c r="F717" s="170"/>
      <c r="G717" s="170"/>
      <c r="H717" s="203"/>
      <c r="I717" s="197" t="str">
        <f t="shared" si="117"/>
        <v/>
      </c>
      <c r="J717" s="197" t="str">
        <f t="shared" si="118"/>
        <v/>
      </c>
      <c r="K717" s="197"/>
      <c r="L717" s="197"/>
      <c r="M717" s="198"/>
      <c r="N717" s="198"/>
      <c r="O717" s="198"/>
      <c r="P717" s="199"/>
      <c r="Q717" s="200"/>
      <c r="R717" s="200"/>
      <c r="S717" s="200"/>
      <c r="T717" s="200" t="str">
        <f t="shared" si="114"/>
        <v/>
      </c>
      <c r="U717" s="200"/>
      <c r="V717" s="201" t="str">
        <f t="shared" si="115"/>
        <v/>
      </c>
      <c r="W717" s="202">
        <f t="shared" si="116"/>
        <v>0</v>
      </c>
      <c r="X717" s="172"/>
    </row>
    <row r="718" spans="1:24" x14ac:dyDescent="0.45">
      <c r="A718" s="193">
        <v>48</v>
      </c>
      <c r="B718" s="194" t="str">
        <f t="shared" si="112"/>
        <v/>
      </c>
      <c r="C718" s="170" t="str">
        <f t="shared" si="113"/>
        <v/>
      </c>
      <c r="D718" s="170"/>
      <c r="E718" s="195"/>
      <c r="F718" s="170"/>
      <c r="G718" s="170"/>
      <c r="H718" s="203"/>
      <c r="I718" s="197" t="str">
        <f t="shared" si="117"/>
        <v/>
      </c>
      <c r="J718" s="197" t="str">
        <f t="shared" si="118"/>
        <v/>
      </c>
      <c r="K718" s="197"/>
      <c r="L718" s="197"/>
      <c r="M718" s="198"/>
      <c r="N718" s="198"/>
      <c r="O718" s="198"/>
      <c r="P718" s="199"/>
      <c r="Q718" s="200"/>
      <c r="R718" s="200"/>
      <c r="S718" s="200"/>
      <c r="T718" s="200" t="str">
        <f t="shared" si="114"/>
        <v/>
      </c>
      <c r="U718" s="200"/>
      <c r="V718" s="201" t="str">
        <f t="shared" si="115"/>
        <v/>
      </c>
      <c r="W718" s="202">
        <f t="shared" si="116"/>
        <v>0</v>
      </c>
      <c r="X718" s="172"/>
    </row>
    <row r="719" spans="1:24" x14ac:dyDescent="0.45">
      <c r="A719" s="193">
        <v>49</v>
      </c>
      <c r="B719" s="194" t="str">
        <f t="shared" si="112"/>
        <v/>
      </c>
      <c r="C719" s="170" t="str">
        <f t="shared" si="113"/>
        <v/>
      </c>
      <c r="D719" s="170"/>
      <c r="E719" s="195"/>
      <c r="F719" s="170"/>
      <c r="G719" s="170"/>
      <c r="H719" s="203"/>
      <c r="I719" s="197" t="str">
        <f t="shared" si="117"/>
        <v/>
      </c>
      <c r="J719" s="197" t="str">
        <f t="shared" si="118"/>
        <v/>
      </c>
      <c r="K719" s="197"/>
      <c r="L719" s="197"/>
      <c r="M719" s="198"/>
      <c r="N719" s="198"/>
      <c r="O719" s="198"/>
      <c r="P719" s="199"/>
      <c r="Q719" s="200"/>
      <c r="R719" s="200"/>
      <c r="S719" s="200"/>
      <c r="T719" s="200" t="str">
        <f t="shared" si="114"/>
        <v/>
      </c>
      <c r="U719" s="200"/>
      <c r="V719" s="201" t="str">
        <f t="shared" si="115"/>
        <v/>
      </c>
      <c r="W719" s="202">
        <f t="shared" si="116"/>
        <v>0</v>
      </c>
      <c r="X719" s="172"/>
    </row>
    <row r="720" spans="1:24" x14ac:dyDescent="0.45">
      <c r="A720" s="193">
        <v>50</v>
      </c>
      <c r="B720" s="194" t="str">
        <f t="shared" si="112"/>
        <v/>
      </c>
      <c r="C720" s="170" t="str">
        <f t="shared" si="113"/>
        <v/>
      </c>
      <c r="D720" s="170"/>
      <c r="E720" s="195"/>
      <c r="F720" s="170"/>
      <c r="G720" s="170"/>
      <c r="H720" s="203"/>
      <c r="I720" s="197" t="str">
        <f t="shared" si="117"/>
        <v/>
      </c>
      <c r="J720" s="197" t="str">
        <f t="shared" si="118"/>
        <v/>
      </c>
      <c r="K720" s="197"/>
      <c r="L720" s="197"/>
      <c r="M720" s="198"/>
      <c r="N720" s="198"/>
      <c r="O720" s="198"/>
      <c r="P720" s="199"/>
      <c r="Q720" s="200"/>
      <c r="R720" s="200"/>
      <c r="S720" s="200"/>
      <c r="T720" s="200" t="str">
        <f t="shared" si="114"/>
        <v/>
      </c>
      <c r="U720" s="200"/>
      <c r="V720" s="201" t="str">
        <f t="shared" si="115"/>
        <v/>
      </c>
      <c r="W720" s="202">
        <f t="shared" si="116"/>
        <v>0</v>
      </c>
      <c r="X720" s="172"/>
    </row>
    <row r="721" spans="1:24" x14ac:dyDescent="0.45">
      <c r="A721" s="193">
        <v>51</v>
      </c>
      <c r="B721" s="194" t="str">
        <f t="shared" si="112"/>
        <v/>
      </c>
      <c r="C721" s="170" t="str">
        <f t="shared" si="113"/>
        <v/>
      </c>
      <c r="D721" s="170"/>
      <c r="E721" s="195"/>
      <c r="F721" s="170"/>
      <c r="G721" s="170"/>
      <c r="H721" s="203"/>
      <c r="I721" s="197" t="str">
        <f t="shared" si="117"/>
        <v/>
      </c>
      <c r="J721" s="197" t="str">
        <f t="shared" si="118"/>
        <v/>
      </c>
      <c r="K721" s="197"/>
      <c r="L721" s="197"/>
      <c r="M721" s="198"/>
      <c r="N721" s="198"/>
      <c r="O721" s="198"/>
      <c r="P721" s="199"/>
      <c r="Q721" s="200"/>
      <c r="R721" s="200"/>
      <c r="S721" s="200"/>
      <c r="T721" s="200" t="str">
        <f t="shared" si="114"/>
        <v/>
      </c>
      <c r="U721" s="200"/>
      <c r="V721" s="201" t="str">
        <f t="shared" si="115"/>
        <v/>
      </c>
      <c r="W721" s="202">
        <f t="shared" si="116"/>
        <v>0</v>
      </c>
      <c r="X721" s="172"/>
    </row>
    <row r="722" spans="1:24" x14ac:dyDescent="0.45">
      <c r="A722" s="193">
        <v>52</v>
      </c>
      <c r="B722" s="194" t="str">
        <f t="shared" si="112"/>
        <v/>
      </c>
      <c r="C722" s="170" t="str">
        <f t="shared" si="113"/>
        <v/>
      </c>
      <c r="D722" s="170"/>
      <c r="E722" s="195"/>
      <c r="F722" s="170"/>
      <c r="G722" s="170"/>
      <c r="H722" s="203"/>
      <c r="I722" s="197" t="str">
        <f t="shared" si="117"/>
        <v/>
      </c>
      <c r="J722" s="197" t="str">
        <f t="shared" si="118"/>
        <v/>
      </c>
      <c r="K722" s="197"/>
      <c r="L722" s="197"/>
      <c r="M722" s="198"/>
      <c r="N722" s="198"/>
      <c r="O722" s="198"/>
      <c r="P722" s="199"/>
      <c r="Q722" s="200"/>
      <c r="R722" s="200"/>
      <c r="S722" s="200"/>
      <c r="T722" s="200" t="str">
        <f t="shared" si="114"/>
        <v/>
      </c>
      <c r="U722" s="200"/>
      <c r="V722" s="201" t="str">
        <f t="shared" si="115"/>
        <v/>
      </c>
      <c r="W722" s="202">
        <f t="shared" si="116"/>
        <v>0</v>
      </c>
      <c r="X722" s="172"/>
    </row>
    <row r="723" spans="1:24" x14ac:dyDescent="0.45">
      <c r="A723" s="193">
        <v>53</v>
      </c>
      <c r="B723" s="194" t="str">
        <f t="shared" si="112"/>
        <v/>
      </c>
      <c r="C723" s="170" t="str">
        <f t="shared" si="113"/>
        <v/>
      </c>
      <c r="D723" s="170"/>
      <c r="E723" s="195"/>
      <c r="F723" s="170"/>
      <c r="G723" s="170"/>
      <c r="H723" s="203"/>
      <c r="I723" s="197" t="str">
        <f t="shared" si="117"/>
        <v/>
      </c>
      <c r="J723" s="197" t="str">
        <f t="shared" si="118"/>
        <v/>
      </c>
      <c r="K723" s="197"/>
      <c r="L723" s="197"/>
      <c r="M723" s="198"/>
      <c r="N723" s="198"/>
      <c r="O723" s="198"/>
      <c r="P723" s="199"/>
      <c r="Q723" s="200"/>
      <c r="R723" s="200"/>
      <c r="S723" s="200"/>
      <c r="T723" s="200" t="str">
        <f t="shared" si="114"/>
        <v/>
      </c>
      <c r="U723" s="200"/>
      <c r="V723" s="201" t="str">
        <f t="shared" si="115"/>
        <v/>
      </c>
      <c r="W723" s="202">
        <f t="shared" si="116"/>
        <v>0</v>
      </c>
      <c r="X723" s="172"/>
    </row>
    <row r="724" spans="1:24" x14ac:dyDescent="0.45">
      <c r="A724" s="193">
        <v>54</v>
      </c>
      <c r="B724" s="194" t="str">
        <f t="shared" si="112"/>
        <v/>
      </c>
      <c r="C724" s="170" t="str">
        <f t="shared" si="113"/>
        <v/>
      </c>
      <c r="D724" s="170"/>
      <c r="E724" s="195"/>
      <c r="F724" s="170"/>
      <c r="G724" s="170"/>
      <c r="H724" s="203"/>
      <c r="I724" s="197" t="str">
        <f t="shared" si="117"/>
        <v/>
      </c>
      <c r="J724" s="197" t="str">
        <f t="shared" si="118"/>
        <v/>
      </c>
      <c r="K724" s="197"/>
      <c r="L724" s="197"/>
      <c r="M724" s="198"/>
      <c r="N724" s="198"/>
      <c r="O724" s="198"/>
      <c r="P724" s="199"/>
      <c r="Q724" s="200"/>
      <c r="R724" s="200"/>
      <c r="S724" s="200"/>
      <c r="T724" s="200" t="str">
        <f t="shared" si="114"/>
        <v/>
      </c>
      <c r="U724" s="200"/>
      <c r="V724" s="201" t="str">
        <f t="shared" si="115"/>
        <v/>
      </c>
      <c r="W724" s="202">
        <f t="shared" si="116"/>
        <v>0</v>
      </c>
      <c r="X724" s="172"/>
    </row>
    <row r="725" spans="1:24" x14ac:dyDescent="0.45">
      <c r="A725" s="193">
        <v>55</v>
      </c>
      <c r="B725" s="194" t="str">
        <f t="shared" si="112"/>
        <v/>
      </c>
      <c r="C725" s="170" t="str">
        <f t="shared" si="113"/>
        <v/>
      </c>
      <c r="D725" s="170"/>
      <c r="E725" s="195"/>
      <c r="F725" s="170"/>
      <c r="G725" s="170"/>
      <c r="H725" s="203"/>
      <c r="I725" s="197" t="str">
        <f t="shared" si="117"/>
        <v/>
      </c>
      <c r="J725" s="197" t="str">
        <f t="shared" si="118"/>
        <v/>
      </c>
      <c r="K725" s="197"/>
      <c r="L725" s="197"/>
      <c r="M725" s="198"/>
      <c r="N725" s="198"/>
      <c r="O725" s="198"/>
      <c r="P725" s="199"/>
      <c r="Q725" s="200"/>
      <c r="R725" s="200"/>
      <c r="S725" s="200"/>
      <c r="T725" s="200" t="str">
        <f t="shared" si="114"/>
        <v/>
      </c>
      <c r="U725" s="200"/>
      <c r="V725" s="201" t="str">
        <f t="shared" si="115"/>
        <v/>
      </c>
      <c r="W725" s="202">
        <f t="shared" si="116"/>
        <v>0</v>
      </c>
      <c r="X725" s="172"/>
    </row>
    <row r="726" spans="1:24" x14ac:dyDescent="0.45">
      <c r="A726" s="193">
        <v>56</v>
      </c>
      <c r="B726" s="194" t="str">
        <f t="shared" si="112"/>
        <v/>
      </c>
      <c r="C726" s="170" t="str">
        <f t="shared" si="113"/>
        <v/>
      </c>
      <c r="D726" s="170"/>
      <c r="E726" s="195"/>
      <c r="F726" s="170"/>
      <c r="G726" s="170"/>
      <c r="H726" s="203"/>
      <c r="I726" s="197" t="str">
        <f t="shared" si="117"/>
        <v/>
      </c>
      <c r="J726" s="197" t="str">
        <f t="shared" si="118"/>
        <v/>
      </c>
      <c r="K726" s="197"/>
      <c r="L726" s="197"/>
      <c r="M726" s="198"/>
      <c r="N726" s="198"/>
      <c r="O726" s="198"/>
      <c r="P726" s="199"/>
      <c r="Q726" s="200"/>
      <c r="R726" s="200"/>
      <c r="S726" s="200"/>
      <c r="T726" s="200" t="str">
        <f t="shared" si="114"/>
        <v/>
      </c>
      <c r="U726" s="200"/>
      <c r="V726" s="201" t="str">
        <f t="shared" si="115"/>
        <v/>
      </c>
      <c r="W726" s="202">
        <f t="shared" si="116"/>
        <v>0</v>
      </c>
      <c r="X726" s="172"/>
    </row>
    <row r="727" spans="1:24" x14ac:dyDescent="0.45">
      <c r="A727" s="193">
        <v>57</v>
      </c>
      <c r="B727" s="194" t="str">
        <f t="shared" si="112"/>
        <v/>
      </c>
      <c r="C727" s="170" t="str">
        <f t="shared" si="113"/>
        <v/>
      </c>
      <c r="D727" s="170"/>
      <c r="E727" s="195"/>
      <c r="F727" s="170"/>
      <c r="G727" s="170"/>
      <c r="H727" s="203"/>
      <c r="I727" s="197" t="str">
        <f t="shared" si="117"/>
        <v/>
      </c>
      <c r="J727" s="197" t="str">
        <f t="shared" si="118"/>
        <v/>
      </c>
      <c r="K727" s="197"/>
      <c r="L727" s="197"/>
      <c r="M727" s="198"/>
      <c r="N727" s="198"/>
      <c r="O727" s="198"/>
      <c r="P727" s="199"/>
      <c r="Q727" s="200"/>
      <c r="R727" s="200"/>
      <c r="S727" s="200"/>
      <c r="T727" s="200" t="str">
        <f t="shared" si="114"/>
        <v/>
      </c>
      <c r="U727" s="200"/>
      <c r="V727" s="201" t="str">
        <f t="shared" si="115"/>
        <v/>
      </c>
      <c r="W727" s="202">
        <f t="shared" si="116"/>
        <v>0</v>
      </c>
      <c r="X727" s="172"/>
    </row>
    <row r="728" spans="1:24" x14ac:dyDescent="0.45">
      <c r="A728" s="193">
        <v>58</v>
      </c>
      <c r="B728" s="194" t="str">
        <f t="shared" si="112"/>
        <v/>
      </c>
      <c r="C728" s="170" t="str">
        <f t="shared" si="113"/>
        <v/>
      </c>
      <c r="D728" s="170"/>
      <c r="E728" s="195"/>
      <c r="F728" s="170"/>
      <c r="G728" s="170"/>
      <c r="H728" s="203"/>
      <c r="I728" s="197" t="str">
        <f t="shared" si="117"/>
        <v/>
      </c>
      <c r="J728" s="197" t="str">
        <f t="shared" si="118"/>
        <v/>
      </c>
      <c r="K728" s="197"/>
      <c r="L728" s="197"/>
      <c r="M728" s="198"/>
      <c r="N728" s="198"/>
      <c r="O728" s="198"/>
      <c r="P728" s="199"/>
      <c r="Q728" s="200"/>
      <c r="R728" s="200"/>
      <c r="S728" s="200"/>
      <c r="T728" s="200" t="str">
        <f t="shared" si="114"/>
        <v/>
      </c>
      <c r="U728" s="200"/>
      <c r="V728" s="201" t="str">
        <f t="shared" si="115"/>
        <v/>
      </c>
      <c r="W728" s="202">
        <f t="shared" si="116"/>
        <v>0</v>
      </c>
      <c r="X728" s="172"/>
    </row>
    <row r="729" spans="1:24" x14ac:dyDescent="0.45">
      <c r="A729" s="193">
        <v>59</v>
      </c>
      <c r="B729" s="194" t="str">
        <f t="shared" si="112"/>
        <v/>
      </c>
      <c r="C729" s="170" t="str">
        <f t="shared" si="113"/>
        <v/>
      </c>
      <c r="D729" s="170"/>
      <c r="E729" s="195"/>
      <c r="F729" s="170"/>
      <c r="G729" s="170"/>
      <c r="H729" s="203"/>
      <c r="I729" s="197" t="str">
        <f t="shared" si="117"/>
        <v/>
      </c>
      <c r="J729" s="197" t="str">
        <f t="shared" si="118"/>
        <v/>
      </c>
      <c r="K729" s="197"/>
      <c r="L729" s="197"/>
      <c r="M729" s="198"/>
      <c r="N729" s="198"/>
      <c r="O729" s="198"/>
      <c r="P729" s="199"/>
      <c r="Q729" s="200"/>
      <c r="R729" s="200"/>
      <c r="S729" s="200"/>
      <c r="T729" s="200" t="str">
        <f t="shared" si="114"/>
        <v/>
      </c>
      <c r="U729" s="200"/>
      <c r="V729" s="201" t="str">
        <f t="shared" si="115"/>
        <v/>
      </c>
      <c r="W729" s="202">
        <f t="shared" si="116"/>
        <v>0</v>
      </c>
      <c r="X729" s="172"/>
    </row>
    <row r="730" spans="1:24" x14ac:dyDescent="0.45">
      <c r="A730" s="193">
        <v>60</v>
      </c>
      <c r="B730" s="194" t="str">
        <f t="shared" si="112"/>
        <v/>
      </c>
      <c r="C730" s="170" t="str">
        <f t="shared" si="113"/>
        <v/>
      </c>
      <c r="D730" s="170"/>
      <c r="E730" s="195"/>
      <c r="F730" s="170"/>
      <c r="G730" s="170"/>
      <c r="H730" s="203"/>
      <c r="I730" s="197" t="str">
        <f t="shared" si="117"/>
        <v/>
      </c>
      <c r="J730" s="197" t="str">
        <f t="shared" si="118"/>
        <v/>
      </c>
      <c r="K730" s="197"/>
      <c r="L730" s="197"/>
      <c r="M730" s="198"/>
      <c r="N730" s="198"/>
      <c r="O730" s="198"/>
      <c r="P730" s="199"/>
      <c r="Q730" s="200"/>
      <c r="R730" s="200"/>
      <c r="S730" s="200"/>
      <c r="T730" s="200" t="str">
        <f t="shared" si="114"/>
        <v/>
      </c>
      <c r="U730" s="200"/>
      <c r="V730" s="201" t="str">
        <f t="shared" si="115"/>
        <v/>
      </c>
      <c r="W730" s="202">
        <f t="shared" si="116"/>
        <v>0</v>
      </c>
      <c r="X730" s="172"/>
    </row>
    <row r="731" spans="1:24" x14ac:dyDescent="0.45">
      <c r="A731" s="193">
        <v>61</v>
      </c>
      <c r="B731" s="194" t="str">
        <f t="shared" si="112"/>
        <v/>
      </c>
      <c r="C731" s="170" t="str">
        <f t="shared" si="113"/>
        <v/>
      </c>
      <c r="D731" s="170"/>
      <c r="E731" s="195"/>
      <c r="F731" s="170"/>
      <c r="G731" s="170"/>
      <c r="H731" s="203"/>
      <c r="I731" s="197" t="str">
        <f t="shared" si="117"/>
        <v/>
      </c>
      <c r="J731" s="197" t="str">
        <f t="shared" si="118"/>
        <v/>
      </c>
      <c r="K731" s="197"/>
      <c r="L731" s="197"/>
      <c r="M731" s="198"/>
      <c r="N731" s="198"/>
      <c r="O731" s="198"/>
      <c r="P731" s="199"/>
      <c r="Q731" s="200"/>
      <c r="R731" s="200"/>
      <c r="S731" s="200"/>
      <c r="T731" s="200" t="str">
        <f t="shared" si="114"/>
        <v/>
      </c>
      <c r="U731" s="200"/>
      <c r="V731" s="201" t="str">
        <f t="shared" si="115"/>
        <v/>
      </c>
      <c r="W731" s="202">
        <f t="shared" si="116"/>
        <v>0</v>
      </c>
      <c r="X731" s="172"/>
    </row>
    <row r="732" spans="1:24" x14ac:dyDescent="0.45">
      <c r="A732" s="193">
        <v>62</v>
      </c>
      <c r="B732" s="194" t="str">
        <f t="shared" si="112"/>
        <v/>
      </c>
      <c r="C732" s="170" t="str">
        <f t="shared" si="113"/>
        <v/>
      </c>
      <c r="D732" s="170"/>
      <c r="E732" s="195"/>
      <c r="F732" s="170"/>
      <c r="G732" s="170"/>
      <c r="H732" s="203"/>
      <c r="I732" s="197" t="str">
        <f t="shared" si="117"/>
        <v/>
      </c>
      <c r="J732" s="197" t="str">
        <f t="shared" si="118"/>
        <v/>
      </c>
      <c r="K732" s="197"/>
      <c r="L732" s="197"/>
      <c r="M732" s="198"/>
      <c r="N732" s="198"/>
      <c r="O732" s="198"/>
      <c r="P732" s="199"/>
      <c r="Q732" s="200"/>
      <c r="R732" s="200"/>
      <c r="S732" s="200"/>
      <c r="T732" s="200" t="str">
        <f t="shared" si="114"/>
        <v/>
      </c>
      <c r="U732" s="200"/>
      <c r="V732" s="201" t="str">
        <f t="shared" si="115"/>
        <v/>
      </c>
      <c r="W732" s="202">
        <f t="shared" si="116"/>
        <v>0</v>
      </c>
      <c r="X732" s="172"/>
    </row>
    <row r="733" spans="1:24" x14ac:dyDescent="0.45">
      <c r="A733" s="193">
        <v>63</v>
      </c>
      <c r="B733" s="194" t="str">
        <f t="shared" si="112"/>
        <v/>
      </c>
      <c r="C733" s="170" t="str">
        <f t="shared" si="113"/>
        <v/>
      </c>
      <c r="D733" s="170"/>
      <c r="E733" s="195"/>
      <c r="F733" s="170"/>
      <c r="G733" s="170"/>
      <c r="H733" s="203"/>
      <c r="I733" s="197" t="str">
        <f t="shared" si="117"/>
        <v/>
      </c>
      <c r="J733" s="197" t="str">
        <f t="shared" si="118"/>
        <v/>
      </c>
      <c r="K733" s="197"/>
      <c r="L733" s="197"/>
      <c r="M733" s="198"/>
      <c r="N733" s="198"/>
      <c r="O733" s="198"/>
      <c r="P733" s="199"/>
      <c r="Q733" s="200"/>
      <c r="R733" s="200"/>
      <c r="S733" s="200"/>
      <c r="T733" s="200" t="str">
        <f t="shared" si="114"/>
        <v/>
      </c>
      <c r="U733" s="200"/>
      <c r="V733" s="201" t="str">
        <f t="shared" si="115"/>
        <v/>
      </c>
      <c r="W733" s="202">
        <f t="shared" si="116"/>
        <v>0</v>
      </c>
      <c r="X733" s="172"/>
    </row>
    <row r="734" spans="1:24" x14ac:dyDescent="0.45">
      <c r="A734" s="193">
        <v>64</v>
      </c>
      <c r="B734" s="194" t="str">
        <f t="shared" si="112"/>
        <v/>
      </c>
      <c r="C734" s="170" t="str">
        <f t="shared" si="113"/>
        <v/>
      </c>
      <c r="D734" s="170"/>
      <c r="E734" s="195"/>
      <c r="F734" s="170"/>
      <c r="G734" s="170"/>
      <c r="H734" s="203"/>
      <c r="I734" s="197" t="str">
        <f t="shared" si="117"/>
        <v/>
      </c>
      <c r="J734" s="197" t="str">
        <f t="shared" si="118"/>
        <v/>
      </c>
      <c r="K734" s="197"/>
      <c r="L734" s="197"/>
      <c r="M734" s="198"/>
      <c r="N734" s="198"/>
      <c r="O734" s="198"/>
      <c r="P734" s="199"/>
      <c r="Q734" s="200"/>
      <c r="R734" s="200"/>
      <c r="S734" s="200"/>
      <c r="T734" s="200" t="str">
        <f t="shared" si="114"/>
        <v/>
      </c>
      <c r="U734" s="200"/>
      <c r="V734" s="201" t="str">
        <f t="shared" si="115"/>
        <v/>
      </c>
      <c r="W734" s="202">
        <f t="shared" si="116"/>
        <v>0</v>
      </c>
      <c r="X734" s="172"/>
    </row>
    <row r="735" spans="1:24" x14ac:dyDescent="0.45">
      <c r="A735" s="193">
        <v>65</v>
      </c>
      <c r="B735" s="194" t="str">
        <f t="shared" si="112"/>
        <v/>
      </c>
      <c r="C735" s="170" t="str">
        <f t="shared" si="113"/>
        <v/>
      </c>
      <c r="D735" s="170"/>
      <c r="E735" s="195"/>
      <c r="F735" s="170"/>
      <c r="G735" s="170"/>
      <c r="H735" s="203"/>
      <c r="I735" s="197" t="str">
        <f t="shared" si="117"/>
        <v/>
      </c>
      <c r="J735" s="197" t="str">
        <f t="shared" si="118"/>
        <v/>
      </c>
      <c r="K735" s="197"/>
      <c r="L735" s="197"/>
      <c r="M735" s="198"/>
      <c r="N735" s="198"/>
      <c r="O735" s="198"/>
      <c r="P735" s="199"/>
      <c r="Q735" s="200"/>
      <c r="R735" s="200"/>
      <c r="S735" s="200"/>
      <c r="T735" s="200" t="str">
        <f t="shared" si="114"/>
        <v/>
      </c>
      <c r="U735" s="200"/>
      <c r="V735" s="201" t="str">
        <f t="shared" ref="V735:V736" si="119">IF(U735="","",$V$651)</f>
        <v/>
      </c>
      <c r="W735" s="202">
        <f t="shared" si="116"/>
        <v>0</v>
      </c>
      <c r="X735" s="172"/>
    </row>
    <row r="736" spans="1:24" ht="14.25" customHeight="1" x14ac:dyDescent="0.45">
      <c r="A736" s="193">
        <v>66</v>
      </c>
      <c r="B736" s="204" t="str">
        <f t="shared" si="112"/>
        <v/>
      </c>
      <c r="C736" s="205" t="str">
        <f t="shared" si="113"/>
        <v/>
      </c>
      <c r="D736" s="205"/>
      <c r="E736" s="205"/>
      <c r="F736" s="205"/>
      <c r="G736" s="205"/>
      <c r="H736" s="205"/>
      <c r="I736" s="206" t="str">
        <f t="shared" si="117"/>
        <v/>
      </c>
      <c r="J736" s="206" t="str">
        <f t="shared" si="118"/>
        <v/>
      </c>
      <c r="K736" s="206"/>
      <c r="L736" s="206"/>
      <c r="M736" s="205"/>
      <c r="N736" s="205"/>
      <c r="O736" s="205"/>
      <c r="P736" s="205"/>
      <c r="Q736" s="205"/>
      <c r="R736" s="205"/>
      <c r="S736" s="205"/>
      <c r="T736" s="205" t="str">
        <f t="shared" si="114"/>
        <v/>
      </c>
      <c r="U736" s="205"/>
      <c r="V736" s="205" t="str">
        <f t="shared" si="119"/>
        <v/>
      </c>
      <c r="W736" s="207">
        <f t="shared" si="116"/>
        <v>0</v>
      </c>
      <c r="X736" s="207"/>
    </row>
    <row r="737" spans="2:24" ht="24.75" customHeight="1" x14ac:dyDescent="0.45">
      <c r="B737" s="428" t="s">
        <v>1516</v>
      </c>
      <c r="C737" s="429" t="s">
        <v>1494</v>
      </c>
      <c r="D737" s="429"/>
      <c r="E737" s="429"/>
      <c r="F737" s="429"/>
      <c r="G737" s="429"/>
      <c r="H737" s="429"/>
      <c r="I737" s="429"/>
      <c r="J737" s="429"/>
      <c r="K737" s="429"/>
      <c r="L737" s="429"/>
      <c r="M737" s="429"/>
      <c r="N737" s="429"/>
      <c r="O737" s="429"/>
      <c r="P737" s="429"/>
      <c r="Q737" s="429"/>
      <c r="R737" s="145" t="s">
        <v>1</v>
      </c>
      <c r="S737" s="146"/>
      <c r="T737" s="145" t="s">
        <v>8</v>
      </c>
      <c r="U737" s="147"/>
      <c r="V737" s="148" t="s">
        <v>3</v>
      </c>
      <c r="W737" s="146"/>
      <c r="X737" s="149"/>
    </row>
    <row r="738" spans="2:24" ht="24.75" customHeight="1" x14ac:dyDescent="0.45">
      <c r="B738" s="428"/>
      <c r="C738" s="429"/>
      <c r="D738" s="429"/>
      <c r="E738" s="429"/>
      <c r="F738" s="429"/>
      <c r="G738" s="429"/>
      <c r="H738" s="429"/>
      <c r="I738" s="429"/>
      <c r="J738" s="429"/>
      <c r="K738" s="429"/>
      <c r="L738" s="429"/>
      <c r="M738" s="429"/>
      <c r="N738" s="429"/>
      <c r="O738" s="429"/>
      <c r="P738" s="429"/>
      <c r="Q738" s="429"/>
      <c r="R738" s="430" t="s">
        <v>1495</v>
      </c>
      <c r="S738" s="430"/>
      <c r="T738" s="431" t="str">
        <f>'BM MORRO DA CRUZ - VERTICAL'!$V$4</f>
        <v>01-10-26 A 31-10-26</v>
      </c>
      <c r="U738" s="431"/>
      <c r="V738" s="432" t="str">
        <f>IF('BM MORRO DA CRUZ - VERTICAL'!$BF$2="","",'BM MORRO DA CRUZ - VERTICAL'!$BF$2)</f>
        <v/>
      </c>
      <c r="W738" s="432"/>
      <c r="X738" s="150"/>
    </row>
    <row r="739" spans="2:24" ht="24.75" customHeight="1" x14ac:dyDescent="0.45">
      <c r="B739" s="151" t="s">
        <v>5</v>
      </c>
      <c r="C739" s="152"/>
      <c r="D739" s="152"/>
      <c r="E739" s="152"/>
      <c r="F739" s="152"/>
      <c r="G739" s="152"/>
      <c r="H739" s="152"/>
      <c r="I739" s="152"/>
      <c r="J739" s="152"/>
      <c r="K739" s="152"/>
      <c r="L739" s="152"/>
      <c r="M739" s="152"/>
      <c r="N739" s="152"/>
      <c r="O739" s="152"/>
      <c r="P739" s="153"/>
      <c r="Q739" s="154"/>
      <c r="R739" s="155"/>
      <c r="S739" s="155"/>
      <c r="T739" s="156" t="s">
        <v>1496</v>
      </c>
      <c r="U739" s="157"/>
      <c r="V739" s="158" t="s">
        <v>9</v>
      </c>
      <c r="W739" s="159"/>
      <c r="X739" s="433"/>
    </row>
    <row r="740" spans="2:24" ht="24.75" customHeight="1" x14ac:dyDescent="0.45">
      <c r="B740" s="17" t="s">
        <v>11</v>
      </c>
      <c r="C740" s="160"/>
      <c r="D740" s="160"/>
      <c r="E740" s="160"/>
      <c r="F740" s="160"/>
      <c r="G740" s="160"/>
      <c r="H740" s="160"/>
      <c r="I740" s="160"/>
      <c r="J740" s="160"/>
      <c r="K740" s="160"/>
      <c r="L740" s="160"/>
      <c r="M740" s="160"/>
      <c r="N740" s="160"/>
      <c r="O740" s="160"/>
      <c r="P740" s="161"/>
      <c r="Q740" s="162"/>
      <c r="R740" s="163"/>
      <c r="S740" s="163"/>
      <c r="T740" s="434" t="str">
        <f>'BM MORRO DA CRUZ - VERTICAL'!$V$2</f>
        <v>1ª MEDIÇÃO</v>
      </c>
      <c r="U740" s="434"/>
      <c r="V740" s="435" t="s">
        <v>13</v>
      </c>
      <c r="W740" s="435"/>
      <c r="X740" s="433"/>
    </row>
    <row r="741" spans="2:24" ht="24.75" customHeight="1" x14ac:dyDescent="0.45">
      <c r="B741" s="164" t="s">
        <v>1459</v>
      </c>
      <c r="C741" s="165" t="s">
        <v>14</v>
      </c>
      <c r="D741" s="165" t="s">
        <v>24</v>
      </c>
      <c r="E741" s="165" t="s">
        <v>25</v>
      </c>
      <c r="F741" s="166" t="s">
        <v>1461</v>
      </c>
      <c r="G741" s="165"/>
      <c r="H741" s="165"/>
      <c r="I741" s="165"/>
      <c r="J741" s="165"/>
      <c r="K741" s="165"/>
      <c r="L741" s="165"/>
      <c r="M741" s="165"/>
      <c r="N741" s="165"/>
      <c r="O741" s="165"/>
      <c r="P741" s="165"/>
      <c r="Q741" s="165"/>
      <c r="R741" s="165"/>
      <c r="S741" s="165"/>
      <c r="T741" s="165"/>
      <c r="U741" s="165"/>
      <c r="V741" s="165" t="s">
        <v>26</v>
      </c>
      <c r="W741" s="167" t="s">
        <v>29</v>
      </c>
      <c r="X741" s="168"/>
    </row>
    <row r="742" spans="2:24" ht="24.75" customHeight="1" x14ac:dyDescent="0.45">
      <c r="B742" s="169"/>
      <c r="C742" s="170"/>
      <c r="D742" s="170"/>
      <c r="E742" s="170"/>
      <c r="F742" s="170"/>
      <c r="G742" s="170"/>
      <c r="H742" s="170"/>
      <c r="I742" s="170"/>
      <c r="J742" s="170"/>
      <c r="K742" s="170"/>
      <c r="L742" s="170"/>
      <c r="M742" s="170"/>
      <c r="N742" s="170"/>
      <c r="O742" s="170"/>
      <c r="P742" s="170"/>
      <c r="Q742" s="170"/>
      <c r="R742" s="170"/>
      <c r="S742" s="170"/>
      <c r="T742" s="170"/>
      <c r="U742" s="170"/>
      <c r="V742" s="170"/>
      <c r="W742" s="171"/>
      <c r="X742" s="172"/>
    </row>
    <row r="743" spans="2:24" ht="24.75" customHeight="1" x14ac:dyDescent="0.45">
      <c r="B743" s="173" t="str">
        <f>IF($C$743="","",IFERROR(INDEX('BM MORRO DA CRUZ - VERTICAL'!$C$6:$C$546,MATCH($C$743,'BM MORRO DA CRUZ - VERTICAL'!$D$6:$D$546,0)),"CHAVE NÃO ENCONTRADA NO VERTICAL"))</f>
        <v/>
      </c>
      <c r="C743" s="174"/>
      <c r="D743" s="175" t="str">
        <f>IF($C$743="","",IFERROR(INDEX('BM MORRO DA CRUZ - VERTICAL'!$O$6:$O$546,MATCH($C$743,'BM MORRO DA CRUZ - VERTICAL'!$D$6:$D$546,0)),"CHAVE NÃO ENCONTRADA NO VERTICAL"))</f>
        <v/>
      </c>
      <c r="E743" s="175" t="str">
        <f>IF($C$743="","",IFERROR(INDEX('BM MORRO DA CRUZ - VERTICAL'!$P$6:$P$546,MATCH($C$743,'BM MORRO DA CRUZ - VERTICAL'!$D$6:$D$546,0)),"CHAVE NÃO ENCONTRADA NO VERTICAL"))</f>
        <v/>
      </c>
      <c r="F743" s="175" t="str">
        <f>IF($C$743="","",IFERROR(INDEX('BM MORRO DA CRUZ - VERTICAL'!$Q$6:$Q$546,MATCH($C$743,'BM MORRO DA CRUZ - VERTICAL'!$D$6:$D$546,0)),"CHAVE NÃO ENCONTRADA NO VERTICAL"))</f>
        <v/>
      </c>
      <c r="G743" s="176"/>
      <c r="H743" s="176"/>
      <c r="I743" s="176"/>
      <c r="J743" s="176"/>
      <c r="K743" s="176"/>
      <c r="L743" s="176"/>
      <c r="M743" s="176"/>
      <c r="N743" s="176"/>
      <c r="O743" s="176"/>
      <c r="P743" s="176"/>
      <c r="Q743" s="176"/>
      <c r="R743" s="176"/>
      <c r="S743" s="176"/>
      <c r="T743" s="176"/>
      <c r="U743" s="176"/>
      <c r="V743" s="177" t="str">
        <f>IF($C$743="","",IFERROR(INDEX('BM MORRO DA CRUZ - VERTICAL'!$R$6:$R$546,MATCH($C$743,'BM MORRO DA CRUZ - VERTICAL'!$D$6:$D$546,0)),"CHAVE NÃO ENCONTRADA NO VERTICAL"))</f>
        <v/>
      </c>
      <c r="W743" s="178">
        <f>SUM($W763:$W828)</f>
        <v>0</v>
      </c>
      <c r="X743" s="179"/>
    </row>
    <row r="744" spans="2:24" ht="24.75" customHeight="1" x14ac:dyDescent="0.45">
      <c r="B744" s="426" t="s">
        <v>1497</v>
      </c>
      <c r="C744" s="426"/>
      <c r="D744" s="426"/>
      <c r="E744" s="426"/>
      <c r="F744" s="426"/>
      <c r="G744" s="426"/>
      <c r="H744" s="426"/>
      <c r="I744" s="426"/>
      <c r="J744" s="426"/>
      <c r="K744" s="426"/>
      <c r="L744" s="426"/>
      <c r="M744" s="426"/>
      <c r="N744" s="426"/>
      <c r="O744" s="426"/>
      <c r="P744" s="426"/>
      <c r="Q744" s="426"/>
      <c r="R744" s="426"/>
      <c r="S744" s="426"/>
      <c r="T744" s="426"/>
      <c r="U744" s="426"/>
      <c r="V744" s="426"/>
      <c r="W744" s="426"/>
      <c r="X744" s="180" t="s">
        <v>1498</v>
      </c>
    </row>
    <row r="745" spans="2:24" ht="14.25" customHeight="1" x14ac:dyDescent="0.45">
      <c r="B745" s="181"/>
      <c r="C745" s="182"/>
      <c r="D745" s="182"/>
      <c r="E745" s="182"/>
      <c r="F745" s="182"/>
      <c r="G745" s="182"/>
      <c r="H745" s="182"/>
      <c r="I745" s="182"/>
      <c r="J745" s="182"/>
      <c r="K745" s="182"/>
      <c r="L745" s="182"/>
      <c r="M745" s="182"/>
      <c r="N745" s="182"/>
      <c r="O745" s="182"/>
      <c r="P745" s="182"/>
      <c r="Q745" s="182"/>
      <c r="R745" s="182"/>
      <c r="S745" s="182"/>
      <c r="T745" s="182"/>
      <c r="U745" s="182"/>
      <c r="V745" s="182"/>
      <c r="W745" s="183"/>
      <c r="X745" s="427"/>
    </row>
    <row r="746" spans="2:24" x14ac:dyDescent="0.45">
      <c r="B746" s="181"/>
      <c r="C746" s="182"/>
      <c r="D746" s="182"/>
      <c r="E746" s="182"/>
      <c r="F746" s="182"/>
      <c r="G746" s="182"/>
      <c r="H746" s="182"/>
      <c r="I746" s="182"/>
      <c r="J746" s="182"/>
      <c r="K746" s="182"/>
      <c r="L746" s="182"/>
      <c r="M746" s="182"/>
      <c r="N746" s="182"/>
      <c r="O746" s="182"/>
      <c r="P746" s="182"/>
      <c r="Q746" s="182"/>
      <c r="R746" s="182"/>
      <c r="S746" s="182"/>
      <c r="T746" s="182"/>
      <c r="U746" s="182"/>
      <c r="V746" s="182"/>
      <c r="W746" s="183"/>
      <c r="X746" s="427"/>
    </row>
    <row r="747" spans="2:24" x14ac:dyDescent="0.45">
      <c r="B747" s="181"/>
      <c r="C747" s="182"/>
      <c r="D747" s="182"/>
      <c r="E747" s="182"/>
      <c r="F747" s="182"/>
      <c r="G747" s="182"/>
      <c r="H747" s="182"/>
      <c r="I747" s="182"/>
      <c r="J747" s="182"/>
      <c r="K747" s="182"/>
      <c r="L747" s="182"/>
      <c r="M747" s="182"/>
      <c r="N747" s="182"/>
      <c r="O747" s="182"/>
      <c r="P747" s="182"/>
      <c r="Q747" s="182"/>
      <c r="R747" s="182"/>
      <c r="S747" s="182"/>
      <c r="T747" s="182"/>
      <c r="U747" s="182"/>
      <c r="V747" s="182"/>
      <c r="W747" s="183"/>
      <c r="X747" s="427"/>
    </row>
    <row r="748" spans="2:24" x14ac:dyDescent="0.45">
      <c r="B748" s="181"/>
      <c r="C748" s="182"/>
      <c r="D748" s="182"/>
      <c r="E748" s="182"/>
      <c r="F748" s="182"/>
      <c r="G748" s="182"/>
      <c r="H748" s="182"/>
      <c r="I748" s="182"/>
      <c r="J748" s="182"/>
      <c r="K748" s="182"/>
      <c r="L748" s="182"/>
      <c r="M748" s="182"/>
      <c r="N748" s="182"/>
      <c r="O748" s="182"/>
      <c r="P748" s="182"/>
      <c r="Q748" s="182"/>
      <c r="R748" s="182"/>
      <c r="S748" s="182"/>
      <c r="T748" s="182"/>
      <c r="U748" s="182"/>
      <c r="V748" s="182"/>
      <c r="W748" s="183"/>
      <c r="X748" s="427"/>
    </row>
    <row r="749" spans="2:24" x14ac:dyDescent="0.45">
      <c r="B749" s="181"/>
      <c r="C749" s="182"/>
      <c r="D749" s="182"/>
      <c r="E749" s="182"/>
      <c r="F749" s="182"/>
      <c r="G749" s="182"/>
      <c r="H749" s="182"/>
      <c r="I749" s="182"/>
      <c r="J749" s="182"/>
      <c r="K749" s="182"/>
      <c r="L749" s="182"/>
      <c r="M749" s="182"/>
      <c r="N749" s="182"/>
      <c r="O749" s="182"/>
      <c r="P749" s="182"/>
      <c r="Q749" s="182"/>
      <c r="R749" s="182"/>
      <c r="S749" s="182"/>
      <c r="T749" s="182"/>
      <c r="U749" s="182"/>
      <c r="V749" s="182"/>
      <c r="W749" s="183"/>
      <c r="X749" s="427"/>
    </row>
    <row r="750" spans="2:24" x14ac:dyDescent="0.45">
      <c r="B750" s="181"/>
      <c r="C750" s="182"/>
      <c r="D750" s="182"/>
      <c r="E750" s="182"/>
      <c r="F750" s="182"/>
      <c r="G750" s="182"/>
      <c r="H750" s="182"/>
      <c r="I750" s="182"/>
      <c r="J750" s="182"/>
      <c r="K750" s="182"/>
      <c r="L750" s="182"/>
      <c r="M750" s="182"/>
      <c r="N750" s="182"/>
      <c r="O750" s="182"/>
      <c r="P750" s="182"/>
      <c r="Q750" s="182"/>
      <c r="R750" s="182"/>
      <c r="S750" s="182"/>
      <c r="T750" s="182"/>
      <c r="U750" s="182"/>
      <c r="V750" s="182"/>
      <c r="W750" s="183"/>
      <c r="X750" s="427"/>
    </row>
    <row r="751" spans="2:24" x14ac:dyDescent="0.45">
      <c r="B751" s="181"/>
      <c r="C751" s="182"/>
      <c r="D751" s="182"/>
      <c r="E751" s="182"/>
      <c r="F751" s="182"/>
      <c r="G751" s="182"/>
      <c r="H751" s="182"/>
      <c r="I751" s="182"/>
      <c r="J751" s="182"/>
      <c r="K751" s="182"/>
      <c r="L751" s="182"/>
      <c r="M751" s="182"/>
      <c r="N751" s="182"/>
      <c r="O751" s="182"/>
      <c r="P751" s="182"/>
      <c r="Q751" s="182"/>
      <c r="R751" s="182"/>
      <c r="S751" s="182"/>
      <c r="T751" s="182"/>
      <c r="U751" s="182"/>
      <c r="V751" s="182"/>
      <c r="W751" s="183"/>
      <c r="X751" s="427"/>
    </row>
    <row r="752" spans="2:24" x14ac:dyDescent="0.45">
      <c r="B752" s="181"/>
      <c r="C752" s="182"/>
      <c r="D752" s="182"/>
      <c r="E752" s="182"/>
      <c r="F752" s="182"/>
      <c r="G752" s="182"/>
      <c r="H752" s="182"/>
      <c r="I752" s="182"/>
      <c r="J752" s="182"/>
      <c r="K752" s="182"/>
      <c r="L752" s="182"/>
      <c r="M752" s="182"/>
      <c r="N752" s="182"/>
      <c r="O752" s="182"/>
      <c r="P752" s="182"/>
      <c r="Q752" s="182"/>
      <c r="R752" s="182"/>
      <c r="S752" s="182"/>
      <c r="T752" s="182"/>
      <c r="U752" s="182"/>
      <c r="V752" s="182"/>
      <c r="W752" s="183"/>
      <c r="X752" s="427"/>
    </row>
    <row r="753" spans="1:24" x14ac:dyDescent="0.45">
      <c r="B753" s="181"/>
      <c r="C753" s="182"/>
      <c r="D753" s="182"/>
      <c r="E753" s="182"/>
      <c r="F753" s="182"/>
      <c r="G753" s="182"/>
      <c r="H753" s="182"/>
      <c r="I753" s="182"/>
      <c r="J753" s="182"/>
      <c r="K753" s="182"/>
      <c r="L753" s="182"/>
      <c r="M753" s="182"/>
      <c r="N753" s="182"/>
      <c r="O753" s="182"/>
      <c r="P753" s="182"/>
      <c r="Q753" s="182"/>
      <c r="R753" s="182"/>
      <c r="S753" s="182"/>
      <c r="T753" s="182"/>
      <c r="U753" s="182"/>
      <c r="V753" s="182"/>
      <c r="W753" s="183"/>
      <c r="X753" s="427"/>
    </row>
    <row r="754" spans="1:24" x14ac:dyDescent="0.45">
      <c r="B754" s="181"/>
      <c r="C754" s="182"/>
      <c r="D754" s="182"/>
      <c r="E754" s="182"/>
      <c r="F754" s="182"/>
      <c r="G754" s="182"/>
      <c r="H754" s="182"/>
      <c r="I754" s="182"/>
      <c r="J754" s="182"/>
      <c r="K754" s="182"/>
      <c r="L754" s="182"/>
      <c r="M754" s="182"/>
      <c r="N754" s="182"/>
      <c r="O754" s="182"/>
      <c r="P754" s="182"/>
      <c r="Q754" s="182"/>
      <c r="R754" s="182"/>
      <c r="S754" s="182"/>
      <c r="T754" s="182"/>
      <c r="U754" s="182"/>
      <c r="V754" s="182"/>
      <c r="W754" s="183"/>
      <c r="X754" s="427"/>
    </row>
    <row r="755" spans="1:24" x14ac:dyDescent="0.45">
      <c r="B755" s="181"/>
      <c r="C755" s="182"/>
      <c r="D755" s="182"/>
      <c r="E755" s="182"/>
      <c r="F755" s="182"/>
      <c r="G755" s="182"/>
      <c r="H755" s="182"/>
      <c r="I755" s="182"/>
      <c r="J755" s="182"/>
      <c r="K755" s="182"/>
      <c r="L755" s="182"/>
      <c r="M755" s="182"/>
      <c r="N755" s="182"/>
      <c r="O755" s="182"/>
      <c r="P755" s="182"/>
      <c r="Q755" s="182"/>
      <c r="R755" s="182"/>
      <c r="S755" s="182"/>
      <c r="T755" s="182"/>
      <c r="U755" s="182"/>
      <c r="V755" s="182"/>
      <c r="W755" s="183"/>
      <c r="X755" s="427"/>
    </row>
    <row r="756" spans="1:24" x14ac:dyDescent="0.45">
      <c r="B756" s="181"/>
      <c r="C756" s="182"/>
      <c r="D756" s="182"/>
      <c r="E756" s="182"/>
      <c r="F756" s="182"/>
      <c r="G756" s="182"/>
      <c r="H756" s="182"/>
      <c r="I756" s="182"/>
      <c r="J756" s="182"/>
      <c r="K756" s="182"/>
      <c r="L756" s="182"/>
      <c r="M756" s="182"/>
      <c r="N756" s="182"/>
      <c r="O756" s="182"/>
      <c r="P756" s="182"/>
      <c r="Q756" s="182"/>
      <c r="R756" s="182"/>
      <c r="S756" s="182"/>
      <c r="T756" s="182"/>
      <c r="U756" s="182"/>
      <c r="V756" s="182"/>
      <c r="W756" s="183"/>
      <c r="X756" s="427"/>
    </row>
    <row r="757" spans="1:24" x14ac:dyDescent="0.45">
      <c r="B757" s="181"/>
      <c r="C757" s="182"/>
      <c r="D757" s="182"/>
      <c r="E757" s="182"/>
      <c r="F757" s="182"/>
      <c r="G757" s="182"/>
      <c r="H757" s="182"/>
      <c r="I757" s="182"/>
      <c r="J757" s="182"/>
      <c r="K757" s="182"/>
      <c r="L757" s="182"/>
      <c r="M757" s="182"/>
      <c r="N757" s="182"/>
      <c r="O757" s="182"/>
      <c r="P757" s="182"/>
      <c r="Q757" s="182"/>
      <c r="R757" s="182"/>
      <c r="S757" s="182"/>
      <c r="T757" s="182"/>
      <c r="U757" s="182"/>
      <c r="V757" s="182"/>
      <c r="W757" s="183"/>
      <c r="X757" s="427"/>
    </row>
    <row r="758" spans="1:24" x14ac:dyDescent="0.45">
      <c r="B758" s="181"/>
      <c r="C758" s="182"/>
      <c r="D758" s="182"/>
      <c r="E758" s="182"/>
      <c r="F758" s="182"/>
      <c r="G758" s="182"/>
      <c r="H758" s="182"/>
      <c r="I758" s="182"/>
      <c r="J758" s="182"/>
      <c r="K758" s="182"/>
      <c r="L758" s="182"/>
      <c r="M758" s="182"/>
      <c r="N758" s="182"/>
      <c r="O758" s="182"/>
      <c r="P758" s="182"/>
      <c r="Q758" s="182"/>
      <c r="R758" s="182"/>
      <c r="S758" s="182"/>
      <c r="T758" s="182"/>
      <c r="U758" s="182"/>
      <c r="V758" s="182"/>
      <c r="W758" s="183"/>
      <c r="X758" s="427"/>
    </row>
    <row r="759" spans="1:24" x14ac:dyDescent="0.45">
      <c r="B759" s="181"/>
      <c r="C759" s="182"/>
      <c r="D759" s="182"/>
      <c r="E759" s="182"/>
      <c r="F759" s="182"/>
      <c r="G759" s="182"/>
      <c r="H759" s="182"/>
      <c r="I759" s="182"/>
      <c r="J759" s="182"/>
      <c r="K759" s="182"/>
      <c r="L759" s="182"/>
      <c r="M759" s="182"/>
      <c r="N759" s="182"/>
      <c r="O759" s="182"/>
      <c r="P759" s="182"/>
      <c r="Q759" s="182"/>
      <c r="R759" s="182"/>
      <c r="S759" s="182"/>
      <c r="T759" s="182"/>
      <c r="U759" s="182"/>
      <c r="V759" s="182"/>
      <c r="W759" s="183"/>
      <c r="X759" s="427"/>
    </row>
    <row r="760" spans="1:24" x14ac:dyDescent="0.45">
      <c r="B760" s="181"/>
      <c r="C760" s="182"/>
      <c r="D760" s="182"/>
      <c r="E760" s="182"/>
      <c r="F760" s="182"/>
      <c r="G760" s="182"/>
      <c r="H760" s="182"/>
      <c r="I760" s="182"/>
      <c r="J760" s="182"/>
      <c r="K760" s="182"/>
      <c r="L760" s="182"/>
      <c r="M760" s="182"/>
      <c r="N760" s="182"/>
      <c r="O760" s="182"/>
      <c r="P760" s="182"/>
      <c r="Q760" s="182"/>
      <c r="R760" s="182"/>
      <c r="S760" s="182"/>
      <c r="T760" s="182"/>
      <c r="U760" s="182"/>
      <c r="V760" s="182"/>
      <c r="W760" s="183"/>
      <c r="X760" s="427"/>
    </row>
    <row r="761" spans="1:24" x14ac:dyDescent="0.45">
      <c r="B761" s="184"/>
      <c r="C761" s="185" t="s">
        <v>1499</v>
      </c>
      <c r="D761" s="185"/>
      <c r="E761" s="185"/>
      <c r="F761" s="185"/>
      <c r="G761" s="185"/>
      <c r="H761" s="185"/>
      <c r="I761" s="185"/>
      <c r="J761" s="185"/>
      <c r="K761" s="185"/>
      <c r="L761" s="185"/>
      <c r="M761" s="185"/>
      <c r="N761" s="185"/>
      <c r="O761" s="185"/>
      <c r="P761" s="185"/>
      <c r="Q761" s="185"/>
      <c r="R761" s="185"/>
      <c r="S761" s="185"/>
      <c r="T761" s="185"/>
      <c r="U761" s="185"/>
      <c r="V761" s="185"/>
      <c r="W761" s="186"/>
      <c r="X761" s="187"/>
    </row>
    <row r="762" spans="1:24" ht="26.65" x14ac:dyDescent="0.45">
      <c r="B762" s="188" t="s">
        <v>1458</v>
      </c>
      <c r="C762" s="185" t="s">
        <v>1459</v>
      </c>
      <c r="D762" s="185"/>
      <c r="E762" s="185" t="s">
        <v>1500</v>
      </c>
      <c r="F762" s="185"/>
      <c r="G762" s="185" t="s">
        <v>1501</v>
      </c>
      <c r="H762" s="189" t="s">
        <v>1502</v>
      </c>
      <c r="I762" s="185" t="s">
        <v>1503</v>
      </c>
      <c r="J762" s="185" t="s">
        <v>1504</v>
      </c>
      <c r="K762" s="189" t="s">
        <v>1505</v>
      </c>
      <c r="L762" s="189" t="s">
        <v>1504</v>
      </c>
      <c r="M762" s="189"/>
      <c r="N762" s="189" t="s">
        <v>1506</v>
      </c>
      <c r="O762" s="189"/>
      <c r="P762" s="190"/>
      <c r="Q762" s="189"/>
      <c r="R762" s="189"/>
      <c r="S762" s="189"/>
      <c r="T762" s="189" t="s">
        <v>1507</v>
      </c>
      <c r="U762" s="189" t="s">
        <v>27</v>
      </c>
      <c r="V762" s="189" t="s">
        <v>26</v>
      </c>
      <c r="W762" s="191" t="s">
        <v>1508</v>
      </c>
      <c r="X762" s="192"/>
    </row>
    <row r="763" spans="1:24" x14ac:dyDescent="0.45">
      <c r="A763" s="193">
        <v>1</v>
      </c>
      <c r="B763" s="194" t="str">
        <f t="shared" ref="B763:B794" si="120">IF(OR($C$743="",U763=""),"",LEFT($C$743,FIND("_",$C$743)-1))</f>
        <v/>
      </c>
      <c r="C763" s="170" t="str">
        <f t="shared" ref="C763:C794" si="121">IF(OR($C$743="",U763=""),"",$B$743)</f>
        <v/>
      </c>
      <c r="D763" s="170"/>
      <c r="E763" s="195"/>
      <c r="F763" s="195"/>
      <c r="G763" s="196"/>
      <c r="H763" s="197"/>
      <c r="I763" s="197"/>
      <c r="J763" s="197"/>
      <c r="K763" s="197"/>
      <c r="L763" s="197"/>
      <c r="M763" s="198"/>
      <c r="N763" s="198"/>
      <c r="O763" s="198"/>
      <c r="P763" s="199"/>
      <c r="Q763" s="200"/>
      <c r="R763" s="200"/>
      <c r="S763" s="200"/>
      <c r="T763" s="200" t="str">
        <f t="shared" ref="T763:T794" si="122">IF(K763="","",((K763*20)+L763)-((I763*20)+J763))</f>
        <v/>
      </c>
      <c r="U763" s="200"/>
      <c r="V763" s="201" t="str">
        <f t="shared" ref="V763:V794" si="123">IF(U763="","",$V$743)</f>
        <v/>
      </c>
      <c r="W763" s="202">
        <f t="shared" ref="W763:W794" si="124">IF(OR(T763="",U763=""),0,T763*U763)</f>
        <v>0</v>
      </c>
      <c r="X763" s="172"/>
    </row>
    <row r="764" spans="1:24" x14ac:dyDescent="0.45">
      <c r="A764" s="193">
        <v>2</v>
      </c>
      <c r="B764" s="194" t="str">
        <f t="shared" si="120"/>
        <v/>
      </c>
      <c r="C764" s="170" t="str">
        <f t="shared" si="121"/>
        <v/>
      </c>
      <c r="D764" s="170"/>
      <c r="E764" s="195"/>
      <c r="F764" s="195"/>
      <c r="G764" s="196"/>
      <c r="H764" s="197"/>
      <c r="I764" s="197" t="str">
        <f t="shared" ref="I764:I795" si="125">IF(K763="","",K763)</f>
        <v/>
      </c>
      <c r="J764" s="197" t="str">
        <f t="shared" ref="J764:J795" si="126">IF(L763="","",L763)</f>
        <v/>
      </c>
      <c r="K764" s="197"/>
      <c r="L764" s="197"/>
      <c r="M764" s="198"/>
      <c r="N764" s="198"/>
      <c r="O764" s="198"/>
      <c r="P764" s="199"/>
      <c r="Q764" s="200"/>
      <c r="R764" s="200"/>
      <c r="S764" s="200"/>
      <c r="T764" s="200" t="str">
        <f t="shared" si="122"/>
        <v/>
      </c>
      <c r="U764" s="200"/>
      <c r="V764" s="201" t="str">
        <f t="shared" si="123"/>
        <v/>
      </c>
      <c r="W764" s="202">
        <f t="shared" si="124"/>
        <v>0</v>
      </c>
      <c r="X764" s="172"/>
    </row>
    <row r="765" spans="1:24" x14ac:dyDescent="0.45">
      <c r="A765" s="193">
        <v>3</v>
      </c>
      <c r="B765" s="194" t="str">
        <f t="shared" si="120"/>
        <v/>
      </c>
      <c r="C765" s="170" t="str">
        <f t="shared" si="121"/>
        <v/>
      </c>
      <c r="D765" s="170"/>
      <c r="E765" s="195"/>
      <c r="F765" s="195"/>
      <c r="G765" s="196"/>
      <c r="H765" s="197"/>
      <c r="I765" s="197" t="str">
        <f t="shared" si="125"/>
        <v/>
      </c>
      <c r="J765" s="197" t="str">
        <f t="shared" si="126"/>
        <v/>
      </c>
      <c r="K765" s="197"/>
      <c r="L765" s="197"/>
      <c r="M765" s="198"/>
      <c r="N765" s="198"/>
      <c r="O765" s="198"/>
      <c r="P765" s="199"/>
      <c r="Q765" s="200"/>
      <c r="R765" s="200"/>
      <c r="S765" s="200"/>
      <c r="T765" s="200" t="str">
        <f t="shared" si="122"/>
        <v/>
      </c>
      <c r="U765" s="200"/>
      <c r="V765" s="201" t="str">
        <f t="shared" si="123"/>
        <v/>
      </c>
      <c r="W765" s="202">
        <f t="shared" si="124"/>
        <v>0</v>
      </c>
      <c r="X765" s="172"/>
    </row>
    <row r="766" spans="1:24" x14ac:dyDescent="0.45">
      <c r="A766" s="193">
        <v>4</v>
      </c>
      <c r="B766" s="194" t="str">
        <f t="shared" si="120"/>
        <v/>
      </c>
      <c r="C766" s="170" t="str">
        <f t="shared" si="121"/>
        <v/>
      </c>
      <c r="D766" s="170"/>
      <c r="E766" s="195"/>
      <c r="F766" s="195"/>
      <c r="G766" s="196"/>
      <c r="H766" s="197"/>
      <c r="I766" s="197" t="str">
        <f t="shared" si="125"/>
        <v/>
      </c>
      <c r="J766" s="197" t="str">
        <f t="shared" si="126"/>
        <v/>
      </c>
      <c r="K766" s="197"/>
      <c r="L766" s="197"/>
      <c r="M766" s="198"/>
      <c r="N766" s="198"/>
      <c r="O766" s="198"/>
      <c r="P766" s="199"/>
      <c r="Q766" s="200"/>
      <c r="R766" s="200"/>
      <c r="S766" s="200"/>
      <c r="T766" s="200" t="str">
        <f t="shared" si="122"/>
        <v/>
      </c>
      <c r="U766" s="200"/>
      <c r="V766" s="201" t="str">
        <f t="shared" si="123"/>
        <v/>
      </c>
      <c r="W766" s="202">
        <f t="shared" si="124"/>
        <v>0</v>
      </c>
      <c r="X766" s="172"/>
    </row>
    <row r="767" spans="1:24" x14ac:dyDescent="0.45">
      <c r="A767" s="193">
        <v>5</v>
      </c>
      <c r="B767" s="194" t="str">
        <f t="shared" si="120"/>
        <v/>
      </c>
      <c r="C767" s="170" t="str">
        <f t="shared" si="121"/>
        <v/>
      </c>
      <c r="D767" s="170"/>
      <c r="E767" s="195"/>
      <c r="F767" s="195"/>
      <c r="G767" s="196"/>
      <c r="H767" s="197"/>
      <c r="I767" s="197" t="str">
        <f t="shared" si="125"/>
        <v/>
      </c>
      <c r="J767" s="197" t="str">
        <f t="shared" si="126"/>
        <v/>
      </c>
      <c r="K767" s="197"/>
      <c r="L767" s="197"/>
      <c r="M767" s="198"/>
      <c r="N767" s="198"/>
      <c r="O767" s="198"/>
      <c r="P767" s="199"/>
      <c r="Q767" s="200"/>
      <c r="R767" s="200"/>
      <c r="S767" s="200"/>
      <c r="T767" s="200" t="str">
        <f t="shared" si="122"/>
        <v/>
      </c>
      <c r="U767" s="200"/>
      <c r="V767" s="201" t="str">
        <f t="shared" si="123"/>
        <v/>
      </c>
      <c r="W767" s="202">
        <f t="shared" si="124"/>
        <v>0</v>
      </c>
      <c r="X767" s="172"/>
    </row>
    <row r="768" spans="1:24" x14ac:dyDescent="0.45">
      <c r="A768" s="193">
        <v>6</v>
      </c>
      <c r="B768" s="194" t="str">
        <f t="shared" si="120"/>
        <v/>
      </c>
      <c r="C768" s="170" t="str">
        <f t="shared" si="121"/>
        <v/>
      </c>
      <c r="D768" s="170"/>
      <c r="E768" s="195"/>
      <c r="F768" s="195"/>
      <c r="G768" s="196"/>
      <c r="H768" s="197"/>
      <c r="I768" s="197" t="str">
        <f t="shared" si="125"/>
        <v/>
      </c>
      <c r="J768" s="197" t="str">
        <f t="shared" si="126"/>
        <v/>
      </c>
      <c r="K768" s="197"/>
      <c r="L768" s="197"/>
      <c r="M768" s="198"/>
      <c r="N768" s="198"/>
      <c r="O768" s="198"/>
      <c r="P768" s="199"/>
      <c r="Q768" s="200"/>
      <c r="R768" s="200"/>
      <c r="S768" s="200"/>
      <c r="T768" s="200" t="str">
        <f t="shared" si="122"/>
        <v/>
      </c>
      <c r="U768" s="200"/>
      <c r="V768" s="201" t="str">
        <f t="shared" si="123"/>
        <v/>
      </c>
      <c r="W768" s="202">
        <f t="shared" si="124"/>
        <v>0</v>
      </c>
      <c r="X768" s="172"/>
    </row>
    <row r="769" spans="1:24" x14ac:dyDescent="0.45">
      <c r="A769" s="193">
        <v>7</v>
      </c>
      <c r="B769" s="194" t="str">
        <f t="shared" si="120"/>
        <v/>
      </c>
      <c r="C769" s="170" t="str">
        <f t="shared" si="121"/>
        <v/>
      </c>
      <c r="D769" s="170"/>
      <c r="E769" s="195"/>
      <c r="F769" s="195"/>
      <c r="G769" s="196"/>
      <c r="H769" s="197"/>
      <c r="I769" s="197" t="str">
        <f t="shared" si="125"/>
        <v/>
      </c>
      <c r="J769" s="197" t="str">
        <f t="shared" si="126"/>
        <v/>
      </c>
      <c r="K769" s="197"/>
      <c r="L769" s="197"/>
      <c r="M769" s="198"/>
      <c r="N769" s="198"/>
      <c r="O769" s="198"/>
      <c r="P769" s="199"/>
      <c r="Q769" s="200"/>
      <c r="R769" s="200"/>
      <c r="S769" s="200"/>
      <c r="T769" s="200" t="str">
        <f t="shared" si="122"/>
        <v/>
      </c>
      <c r="U769" s="200"/>
      <c r="V769" s="201" t="str">
        <f t="shared" si="123"/>
        <v/>
      </c>
      <c r="W769" s="202">
        <f t="shared" si="124"/>
        <v>0</v>
      </c>
      <c r="X769" s="172"/>
    </row>
    <row r="770" spans="1:24" x14ac:dyDescent="0.45">
      <c r="A770" s="193">
        <v>8</v>
      </c>
      <c r="B770" s="194" t="str">
        <f t="shared" si="120"/>
        <v/>
      </c>
      <c r="C770" s="170" t="str">
        <f t="shared" si="121"/>
        <v/>
      </c>
      <c r="D770" s="170"/>
      <c r="E770" s="195"/>
      <c r="F770" s="195"/>
      <c r="G770" s="196"/>
      <c r="H770" s="197"/>
      <c r="I770" s="197" t="str">
        <f t="shared" si="125"/>
        <v/>
      </c>
      <c r="J770" s="197" t="str">
        <f t="shared" si="126"/>
        <v/>
      </c>
      <c r="K770" s="197"/>
      <c r="L770" s="197"/>
      <c r="M770" s="198"/>
      <c r="N770" s="198"/>
      <c r="O770" s="198"/>
      <c r="P770" s="199"/>
      <c r="Q770" s="200"/>
      <c r="R770" s="200"/>
      <c r="S770" s="200"/>
      <c r="T770" s="200" t="str">
        <f t="shared" si="122"/>
        <v/>
      </c>
      <c r="U770" s="200"/>
      <c r="V770" s="201" t="str">
        <f t="shared" si="123"/>
        <v/>
      </c>
      <c r="W770" s="202">
        <f t="shared" si="124"/>
        <v>0</v>
      </c>
      <c r="X770" s="172"/>
    </row>
    <row r="771" spans="1:24" x14ac:dyDescent="0.45">
      <c r="A771" s="193">
        <v>9</v>
      </c>
      <c r="B771" s="194" t="str">
        <f t="shared" si="120"/>
        <v/>
      </c>
      <c r="C771" s="170" t="str">
        <f t="shared" si="121"/>
        <v/>
      </c>
      <c r="D771" s="170"/>
      <c r="E771" s="195"/>
      <c r="F771" s="195"/>
      <c r="G771" s="196"/>
      <c r="H771" s="197"/>
      <c r="I771" s="197" t="str">
        <f t="shared" si="125"/>
        <v/>
      </c>
      <c r="J771" s="197" t="str">
        <f t="shared" si="126"/>
        <v/>
      </c>
      <c r="K771" s="197"/>
      <c r="L771" s="197"/>
      <c r="M771" s="198"/>
      <c r="N771" s="198"/>
      <c r="O771" s="198"/>
      <c r="P771" s="199"/>
      <c r="Q771" s="200"/>
      <c r="R771" s="200"/>
      <c r="S771" s="200"/>
      <c r="T771" s="200" t="str">
        <f t="shared" si="122"/>
        <v/>
      </c>
      <c r="U771" s="200"/>
      <c r="V771" s="201" t="str">
        <f t="shared" si="123"/>
        <v/>
      </c>
      <c r="W771" s="202">
        <f t="shared" si="124"/>
        <v>0</v>
      </c>
      <c r="X771" s="172"/>
    </row>
    <row r="772" spans="1:24" x14ac:dyDescent="0.45">
      <c r="A772" s="193">
        <v>10</v>
      </c>
      <c r="B772" s="194" t="str">
        <f t="shared" si="120"/>
        <v/>
      </c>
      <c r="C772" s="170" t="str">
        <f t="shared" si="121"/>
        <v/>
      </c>
      <c r="D772" s="170"/>
      <c r="E772" s="195"/>
      <c r="F772" s="195"/>
      <c r="G772" s="196"/>
      <c r="H772" s="197"/>
      <c r="I772" s="197" t="str">
        <f t="shared" si="125"/>
        <v/>
      </c>
      <c r="J772" s="197" t="str">
        <f t="shared" si="126"/>
        <v/>
      </c>
      <c r="K772" s="197"/>
      <c r="L772" s="197"/>
      <c r="M772" s="198"/>
      <c r="N772" s="198"/>
      <c r="O772" s="198"/>
      <c r="P772" s="199"/>
      <c r="Q772" s="200"/>
      <c r="R772" s="200"/>
      <c r="S772" s="200"/>
      <c r="T772" s="200" t="str">
        <f t="shared" si="122"/>
        <v/>
      </c>
      <c r="U772" s="200"/>
      <c r="V772" s="201" t="str">
        <f t="shared" si="123"/>
        <v/>
      </c>
      <c r="W772" s="202">
        <f t="shared" si="124"/>
        <v>0</v>
      </c>
      <c r="X772" s="172"/>
    </row>
    <row r="773" spans="1:24" x14ac:dyDescent="0.45">
      <c r="A773" s="193">
        <v>11</v>
      </c>
      <c r="B773" s="194" t="str">
        <f t="shared" si="120"/>
        <v/>
      </c>
      <c r="C773" s="170" t="str">
        <f t="shared" si="121"/>
        <v/>
      </c>
      <c r="D773" s="170"/>
      <c r="E773" s="195"/>
      <c r="F773" s="195"/>
      <c r="G773" s="196"/>
      <c r="H773" s="197"/>
      <c r="I773" s="197" t="str">
        <f t="shared" si="125"/>
        <v/>
      </c>
      <c r="J773" s="197" t="str">
        <f t="shared" si="126"/>
        <v/>
      </c>
      <c r="K773" s="197"/>
      <c r="L773" s="197"/>
      <c r="M773" s="198"/>
      <c r="N773" s="198"/>
      <c r="O773" s="198"/>
      <c r="P773" s="199"/>
      <c r="Q773" s="200"/>
      <c r="R773" s="200"/>
      <c r="S773" s="200"/>
      <c r="T773" s="200" t="str">
        <f t="shared" si="122"/>
        <v/>
      </c>
      <c r="U773" s="200"/>
      <c r="V773" s="201" t="str">
        <f t="shared" si="123"/>
        <v/>
      </c>
      <c r="W773" s="202">
        <f t="shared" si="124"/>
        <v>0</v>
      </c>
      <c r="X773" s="172"/>
    </row>
    <row r="774" spans="1:24" x14ac:dyDescent="0.45">
      <c r="A774" s="193">
        <v>12</v>
      </c>
      <c r="B774" s="194" t="str">
        <f t="shared" si="120"/>
        <v/>
      </c>
      <c r="C774" s="170" t="str">
        <f t="shared" si="121"/>
        <v/>
      </c>
      <c r="D774" s="170"/>
      <c r="E774" s="195"/>
      <c r="F774" s="195"/>
      <c r="G774" s="196"/>
      <c r="H774" s="197"/>
      <c r="I774" s="197" t="str">
        <f t="shared" si="125"/>
        <v/>
      </c>
      <c r="J774" s="197" t="str">
        <f t="shared" si="126"/>
        <v/>
      </c>
      <c r="K774" s="197"/>
      <c r="L774" s="197"/>
      <c r="M774" s="198"/>
      <c r="N774" s="198"/>
      <c r="O774" s="198"/>
      <c r="P774" s="199"/>
      <c r="Q774" s="200"/>
      <c r="R774" s="200"/>
      <c r="S774" s="200"/>
      <c r="T774" s="200" t="str">
        <f t="shared" si="122"/>
        <v/>
      </c>
      <c r="U774" s="200"/>
      <c r="V774" s="201" t="str">
        <f t="shared" si="123"/>
        <v/>
      </c>
      <c r="W774" s="202">
        <f t="shared" si="124"/>
        <v>0</v>
      </c>
      <c r="X774" s="172"/>
    </row>
    <row r="775" spans="1:24" x14ac:dyDescent="0.45">
      <c r="A775" s="193">
        <v>13</v>
      </c>
      <c r="B775" s="194" t="str">
        <f t="shared" si="120"/>
        <v/>
      </c>
      <c r="C775" s="170" t="str">
        <f t="shared" si="121"/>
        <v/>
      </c>
      <c r="D775" s="170"/>
      <c r="E775" s="195"/>
      <c r="F775" s="195"/>
      <c r="G775" s="196"/>
      <c r="H775" s="197"/>
      <c r="I775" s="197" t="str">
        <f t="shared" si="125"/>
        <v/>
      </c>
      <c r="J775" s="197" t="str">
        <f t="shared" si="126"/>
        <v/>
      </c>
      <c r="K775" s="197"/>
      <c r="L775" s="197"/>
      <c r="M775" s="198"/>
      <c r="N775" s="198"/>
      <c r="O775" s="198"/>
      <c r="P775" s="199"/>
      <c r="Q775" s="200"/>
      <c r="R775" s="200"/>
      <c r="S775" s="200"/>
      <c r="T775" s="200" t="str">
        <f t="shared" si="122"/>
        <v/>
      </c>
      <c r="U775" s="200"/>
      <c r="V775" s="201" t="str">
        <f t="shared" si="123"/>
        <v/>
      </c>
      <c r="W775" s="202">
        <f t="shared" si="124"/>
        <v>0</v>
      </c>
      <c r="X775" s="172"/>
    </row>
    <row r="776" spans="1:24" x14ac:dyDescent="0.45">
      <c r="A776" s="193">
        <v>14</v>
      </c>
      <c r="B776" s="194" t="str">
        <f t="shared" si="120"/>
        <v/>
      </c>
      <c r="C776" s="170" t="str">
        <f t="shared" si="121"/>
        <v/>
      </c>
      <c r="D776" s="170"/>
      <c r="E776" s="195"/>
      <c r="F776" s="195"/>
      <c r="G776" s="196"/>
      <c r="H776" s="197"/>
      <c r="I776" s="197" t="str">
        <f t="shared" si="125"/>
        <v/>
      </c>
      <c r="J776" s="197" t="str">
        <f t="shared" si="126"/>
        <v/>
      </c>
      <c r="K776" s="197"/>
      <c r="L776" s="197"/>
      <c r="M776" s="198"/>
      <c r="N776" s="198"/>
      <c r="O776" s="198"/>
      <c r="P776" s="199"/>
      <c r="Q776" s="200"/>
      <c r="R776" s="200"/>
      <c r="S776" s="200"/>
      <c r="T776" s="200" t="str">
        <f t="shared" si="122"/>
        <v/>
      </c>
      <c r="U776" s="200"/>
      <c r="V776" s="201" t="str">
        <f t="shared" si="123"/>
        <v/>
      </c>
      <c r="W776" s="202">
        <f t="shared" si="124"/>
        <v>0</v>
      </c>
      <c r="X776" s="172"/>
    </row>
    <row r="777" spans="1:24" x14ac:dyDescent="0.45">
      <c r="A777" s="193">
        <v>15</v>
      </c>
      <c r="B777" s="194" t="str">
        <f t="shared" si="120"/>
        <v/>
      </c>
      <c r="C777" s="170" t="str">
        <f t="shared" si="121"/>
        <v/>
      </c>
      <c r="D777" s="170"/>
      <c r="E777" s="195"/>
      <c r="F777" s="195"/>
      <c r="G777" s="196"/>
      <c r="H777" s="197"/>
      <c r="I777" s="197" t="str">
        <f t="shared" si="125"/>
        <v/>
      </c>
      <c r="J777" s="197" t="str">
        <f t="shared" si="126"/>
        <v/>
      </c>
      <c r="K777" s="197"/>
      <c r="L777" s="197"/>
      <c r="M777" s="198"/>
      <c r="N777" s="198"/>
      <c r="O777" s="198"/>
      <c r="P777" s="199"/>
      <c r="Q777" s="200"/>
      <c r="R777" s="200"/>
      <c r="S777" s="200"/>
      <c r="T777" s="200" t="str">
        <f t="shared" si="122"/>
        <v/>
      </c>
      <c r="U777" s="200"/>
      <c r="V777" s="201" t="str">
        <f t="shared" si="123"/>
        <v/>
      </c>
      <c r="W777" s="202">
        <f t="shared" si="124"/>
        <v>0</v>
      </c>
      <c r="X777" s="172"/>
    </row>
    <row r="778" spans="1:24" x14ac:dyDescent="0.45">
      <c r="A778" s="193">
        <v>16</v>
      </c>
      <c r="B778" s="194" t="str">
        <f t="shared" si="120"/>
        <v/>
      </c>
      <c r="C778" s="170" t="str">
        <f t="shared" si="121"/>
        <v/>
      </c>
      <c r="D778" s="170"/>
      <c r="E778" s="195"/>
      <c r="F778" s="195"/>
      <c r="G778" s="196"/>
      <c r="H778" s="197"/>
      <c r="I778" s="197" t="str">
        <f t="shared" si="125"/>
        <v/>
      </c>
      <c r="J778" s="197" t="str">
        <f t="shared" si="126"/>
        <v/>
      </c>
      <c r="K778" s="197"/>
      <c r="L778" s="197"/>
      <c r="M778" s="198"/>
      <c r="N778" s="198"/>
      <c r="O778" s="198"/>
      <c r="P778" s="199"/>
      <c r="Q778" s="200"/>
      <c r="R778" s="200"/>
      <c r="S778" s="200"/>
      <c r="T778" s="200" t="str">
        <f t="shared" si="122"/>
        <v/>
      </c>
      <c r="U778" s="200"/>
      <c r="V778" s="201" t="str">
        <f t="shared" si="123"/>
        <v/>
      </c>
      <c r="W778" s="202">
        <f t="shared" si="124"/>
        <v>0</v>
      </c>
      <c r="X778" s="172"/>
    </row>
    <row r="779" spans="1:24" x14ac:dyDescent="0.45">
      <c r="A779" s="193">
        <v>17</v>
      </c>
      <c r="B779" s="194" t="str">
        <f t="shared" si="120"/>
        <v/>
      </c>
      <c r="C779" s="170" t="str">
        <f t="shared" si="121"/>
        <v/>
      </c>
      <c r="D779" s="170"/>
      <c r="E779" s="195"/>
      <c r="F779" s="195"/>
      <c r="G779" s="196"/>
      <c r="H779" s="197"/>
      <c r="I779" s="197" t="str">
        <f t="shared" si="125"/>
        <v/>
      </c>
      <c r="J779" s="197" t="str">
        <f t="shared" si="126"/>
        <v/>
      </c>
      <c r="K779" s="197"/>
      <c r="L779" s="197"/>
      <c r="M779" s="198"/>
      <c r="N779" s="198"/>
      <c r="O779" s="198"/>
      <c r="P779" s="199"/>
      <c r="Q779" s="200"/>
      <c r="R779" s="200"/>
      <c r="S779" s="200"/>
      <c r="T779" s="200" t="str">
        <f t="shared" si="122"/>
        <v/>
      </c>
      <c r="U779" s="200"/>
      <c r="V779" s="201" t="str">
        <f t="shared" si="123"/>
        <v/>
      </c>
      <c r="W779" s="202">
        <f t="shared" si="124"/>
        <v>0</v>
      </c>
      <c r="X779" s="172"/>
    </row>
    <row r="780" spans="1:24" x14ac:dyDescent="0.45">
      <c r="A780" s="193">
        <v>18</v>
      </c>
      <c r="B780" s="194" t="str">
        <f t="shared" si="120"/>
        <v/>
      </c>
      <c r="C780" s="170" t="str">
        <f t="shared" si="121"/>
        <v/>
      </c>
      <c r="D780" s="170"/>
      <c r="E780" s="195"/>
      <c r="F780" s="195"/>
      <c r="G780" s="196"/>
      <c r="H780" s="197"/>
      <c r="I780" s="197" t="str">
        <f t="shared" si="125"/>
        <v/>
      </c>
      <c r="J780" s="197" t="str">
        <f t="shared" si="126"/>
        <v/>
      </c>
      <c r="K780" s="197"/>
      <c r="L780" s="197"/>
      <c r="M780" s="198"/>
      <c r="N780" s="198"/>
      <c r="O780" s="198"/>
      <c r="P780" s="199"/>
      <c r="Q780" s="200"/>
      <c r="R780" s="200"/>
      <c r="S780" s="200"/>
      <c r="T780" s="200" t="str">
        <f t="shared" si="122"/>
        <v/>
      </c>
      <c r="U780" s="200"/>
      <c r="V780" s="201" t="str">
        <f t="shared" si="123"/>
        <v/>
      </c>
      <c r="W780" s="202">
        <f t="shared" si="124"/>
        <v>0</v>
      </c>
      <c r="X780" s="172"/>
    </row>
    <row r="781" spans="1:24" x14ac:dyDescent="0.45">
      <c r="A781" s="193">
        <v>19</v>
      </c>
      <c r="B781" s="194" t="str">
        <f t="shared" si="120"/>
        <v/>
      </c>
      <c r="C781" s="170" t="str">
        <f t="shared" si="121"/>
        <v/>
      </c>
      <c r="D781" s="170"/>
      <c r="E781" s="195"/>
      <c r="F781" s="195"/>
      <c r="G781" s="196"/>
      <c r="H781" s="197"/>
      <c r="I781" s="197" t="str">
        <f t="shared" si="125"/>
        <v/>
      </c>
      <c r="J781" s="197" t="str">
        <f t="shared" si="126"/>
        <v/>
      </c>
      <c r="K781" s="197"/>
      <c r="L781" s="197"/>
      <c r="M781" s="198"/>
      <c r="N781" s="198"/>
      <c r="O781" s="198"/>
      <c r="P781" s="199"/>
      <c r="Q781" s="200"/>
      <c r="R781" s="200"/>
      <c r="S781" s="200"/>
      <c r="T781" s="200" t="str">
        <f t="shared" si="122"/>
        <v/>
      </c>
      <c r="U781" s="200"/>
      <c r="V781" s="201" t="str">
        <f t="shared" si="123"/>
        <v/>
      </c>
      <c r="W781" s="202">
        <f t="shared" si="124"/>
        <v>0</v>
      </c>
      <c r="X781" s="172"/>
    </row>
    <row r="782" spans="1:24" x14ac:dyDescent="0.45">
      <c r="A782" s="193">
        <v>20</v>
      </c>
      <c r="B782" s="194" t="str">
        <f t="shared" si="120"/>
        <v/>
      </c>
      <c r="C782" s="170" t="str">
        <f t="shared" si="121"/>
        <v/>
      </c>
      <c r="D782" s="170"/>
      <c r="E782" s="195"/>
      <c r="F782" s="195"/>
      <c r="G782" s="196"/>
      <c r="H782" s="197"/>
      <c r="I782" s="197" t="str">
        <f t="shared" si="125"/>
        <v/>
      </c>
      <c r="J782" s="197" t="str">
        <f t="shared" si="126"/>
        <v/>
      </c>
      <c r="K782" s="197"/>
      <c r="L782" s="197"/>
      <c r="M782" s="198"/>
      <c r="N782" s="198"/>
      <c r="O782" s="198"/>
      <c r="P782" s="199"/>
      <c r="Q782" s="200"/>
      <c r="R782" s="200"/>
      <c r="S782" s="200"/>
      <c r="T782" s="200" t="str">
        <f t="shared" si="122"/>
        <v/>
      </c>
      <c r="U782" s="200"/>
      <c r="V782" s="201" t="str">
        <f t="shared" si="123"/>
        <v/>
      </c>
      <c r="W782" s="202">
        <f t="shared" si="124"/>
        <v>0</v>
      </c>
      <c r="X782" s="172"/>
    </row>
    <row r="783" spans="1:24" x14ac:dyDescent="0.45">
      <c r="A783" s="193">
        <v>21</v>
      </c>
      <c r="B783" s="194" t="str">
        <f t="shared" si="120"/>
        <v/>
      </c>
      <c r="C783" s="170" t="str">
        <f t="shared" si="121"/>
        <v/>
      </c>
      <c r="D783" s="170"/>
      <c r="E783" s="195"/>
      <c r="F783" s="195"/>
      <c r="G783" s="196"/>
      <c r="H783" s="197"/>
      <c r="I783" s="197" t="str">
        <f t="shared" si="125"/>
        <v/>
      </c>
      <c r="J783" s="197" t="str">
        <f t="shared" si="126"/>
        <v/>
      </c>
      <c r="K783" s="197"/>
      <c r="L783" s="197"/>
      <c r="M783" s="198"/>
      <c r="N783" s="198"/>
      <c r="O783" s="198"/>
      <c r="P783" s="199"/>
      <c r="Q783" s="200"/>
      <c r="R783" s="200"/>
      <c r="S783" s="200"/>
      <c r="T783" s="200" t="str">
        <f t="shared" si="122"/>
        <v/>
      </c>
      <c r="U783" s="200"/>
      <c r="V783" s="201" t="str">
        <f t="shared" si="123"/>
        <v/>
      </c>
      <c r="W783" s="202">
        <f t="shared" si="124"/>
        <v>0</v>
      </c>
      <c r="X783" s="172"/>
    </row>
    <row r="784" spans="1:24" x14ac:dyDescent="0.45">
      <c r="A784" s="193">
        <v>22</v>
      </c>
      <c r="B784" s="194" t="str">
        <f t="shared" si="120"/>
        <v/>
      </c>
      <c r="C784" s="170" t="str">
        <f t="shared" si="121"/>
        <v/>
      </c>
      <c r="D784" s="170"/>
      <c r="E784" s="195"/>
      <c r="F784" s="170"/>
      <c r="G784" s="170"/>
      <c r="H784" s="203"/>
      <c r="I784" s="197" t="str">
        <f t="shared" si="125"/>
        <v/>
      </c>
      <c r="J784" s="197" t="str">
        <f t="shared" si="126"/>
        <v/>
      </c>
      <c r="K784" s="197"/>
      <c r="L784" s="197"/>
      <c r="M784" s="198"/>
      <c r="N784" s="198"/>
      <c r="O784" s="198"/>
      <c r="P784" s="199"/>
      <c r="Q784" s="200"/>
      <c r="R784" s="200"/>
      <c r="S784" s="200"/>
      <c r="T784" s="200" t="str">
        <f t="shared" si="122"/>
        <v/>
      </c>
      <c r="U784" s="200"/>
      <c r="V784" s="201" t="str">
        <f t="shared" si="123"/>
        <v/>
      </c>
      <c r="W784" s="202">
        <f t="shared" si="124"/>
        <v>0</v>
      </c>
      <c r="X784" s="172"/>
    </row>
    <row r="785" spans="1:24" x14ac:dyDescent="0.45">
      <c r="A785" s="193">
        <v>23</v>
      </c>
      <c r="B785" s="194" t="str">
        <f t="shared" si="120"/>
        <v/>
      </c>
      <c r="C785" s="170" t="str">
        <f t="shared" si="121"/>
        <v/>
      </c>
      <c r="D785" s="170"/>
      <c r="E785" s="195"/>
      <c r="F785" s="170"/>
      <c r="G785" s="170"/>
      <c r="H785" s="203"/>
      <c r="I785" s="197" t="str">
        <f t="shared" si="125"/>
        <v/>
      </c>
      <c r="J785" s="197" t="str">
        <f t="shared" si="126"/>
        <v/>
      </c>
      <c r="K785" s="197"/>
      <c r="L785" s="197"/>
      <c r="M785" s="198"/>
      <c r="N785" s="198"/>
      <c r="O785" s="198"/>
      <c r="P785" s="199"/>
      <c r="Q785" s="200"/>
      <c r="R785" s="200"/>
      <c r="S785" s="200"/>
      <c r="T785" s="200" t="str">
        <f t="shared" si="122"/>
        <v/>
      </c>
      <c r="U785" s="200"/>
      <c r="V785" s="201" t="str">
        <f t="shared" si="123"/>
        <v/>
      </c>
      <c r="W785" s="202">
        <f t="shared" si="124"/>
        <v>0</v>
      </c>
      <c r="X785" s="172"/>
    </row>
    <row r="786" spans="1:24" x14ac:dyDescent="0.45">
      <c r="A786" s="193">
        <v>24</v>
      </c>
      <c r="B786" s="194" t="str">
        <f t="shared" si="120"/>
        <v/>
      </c>
      <c r="C786" s="170" t="str">
        <f t="shared" si="121"/>
        <v/>
      </c>
      <c r="D786" s="170"/>
      <c r="E786" s="195"/>
      <c r="F786" s="170"/>
      <c r="G786" s="170"/>
      <c r="H786" s="203"/>
      <c r="I786" s="197" t="str">
        <f t="shared" si="125"/>
        <v/>
      </c>
      <c r="J786" s="197" t="str">
        <f t="shared" si="126"/>
        <v/>
      </c>
      <c r="K786" s="197"/>
      <c r="L786" s="197"/>
      <c r="M786" s="198"/>
      <c r="N786" s="198"/>
      <c r="O786" s="198"/>
      <c r="P786" s="199"/>
      <c r="Q786" s="200"/>
      <c r="R786" s="200"/>
      <c r="S786" s="200"/>
      <c r="T786" s="200" t="str">
        <f t="shared" si="122"/>
        <v/>
      </c>
      <c r="U786" s="200"/>
      <c r="V786" s="201" t="str">
        <f t="shared" si="123"/>
        <v/>
      </c>
      <c r="W786" s="202">
        <f t="shared" si="124"/>
        <v>0</v>
      </c>
      <c r="X786" s="172"/>
    </row>
    <row r="787" spans="1:24" x14ac:dyDescent="0.45">
      <c r="A787" s="193">
        <v>25</v>
      </c>
      <c r="B787" s="194" t="str">
        <f t="shared" si="120"/>
        <v/>
      </c>
      <c r="C787" s="170" t="str">
        <f t="shared" si="121"/>
        <v/>
      </c>
      <c r="D787" s="170"/>
      <c r="E787" s="195"/>
      <c r="F787" s="170"/>
      <c r="G787" s="170"/>
      <c r="H787" s="203"/>
      <c r="I787" s="197" t="str">
        <f t="shared" si="125"/>
        <v/>
      </c>
      <c r="J787" s="197" t="str">
        <f t="shared" si="126"/>
        <v/>
      </c>
      <c r="K787" s="197"/>
      <c r="L787" s="197"/>
      <c r="M787" s="198"/>
      <c r="N787" s="198"/>
      <c r="O787" s="198"/>
      <c r="P787" s="199"/>
      <c r="Q787" s="200"/>
      <c r="R787" s="200"/>
      <c r="S787" s="200"/>
      <c r="T787" s="200" t="str">
        <f t="shared" si="122"/>
        <v/>
      </c>
      <c r="U787" s="200"/>
      <c r="V787" s="201" t="str">
        <f t="shared" si="123"/>
        <v/>
      </c>
      <c r="W787" s="202">
        <f t="shared" si="124"/>
        <v>0</v>
      </c>
      <c r="X787" s="172"/>
    </row>
    <row r="788" spans="1:24" x14ac:dyDescent="0.45">
      <c r="A788" s="193">
        <v>26</v>
      </c>
      <c r="B788" s="194" t="str">
        <f t="shared" si="120"/>
        <v/>
      </c>
      <c r="C788" s="170" t="str">
        <f t="shared" si="121"/>
        <v/>
      </c>
      <c r="D788" s="170"/>
      <c r="E788" s="195"/>
      <c r="F788" s="170"/>
      <c r="G788" s="170"/>
      <c r="H788" s="203"/>
      <c r="I788" s="197" t="str">
        <f t="shared" si="125"/>
        <v/>
      </c>
      <c r="J788" s="197" t="str">
        <f t="shared" si="126"/>
        <v/>
      </c>
      <c r="K788" s="197"/>
      <c r="L788" s="197"/>
      <c r="M788" s="198"/>
      <c r="N788" s="198"/>
      <c r="O788" s="198"/>
      <c r="P788" s="199"/>
      <c r="Q788" s="200"/>
      <c r="R788" s="200"/>
      <c r="S788" s="200"/>
      <c r="T788" s="200" t="str">
        <f t="shared" si="122"/>
        <v/>
      </c>
      <c r="U788" s="200"/>
      <c r="V788" s="201" t="str">
        <f t="shared" si="123"/>
        <v/>
      </c>
      <c r="W788" s="202">
        <f t="shared" si="124"/>
        <v>0</v>
      </c>
      <c r="X788" s="172"/>
    </row>
    <row r="789" spans="1:24" x14ac:dyDescent="0.45">
      <c r="A789" s="193">
        <v>27</v>
      </c>
      <c r="B789" s="194" t="str">
        <f t="shared" si="120"/>
        <v/>
      </c>
      <c r="C789" s="170" t="str">
        <f t="shared" si="121"/>
        <v/>
      </c>
      <c r="D789" s="170"/>
      <c r="E789" s="195"/>
      <c r="F789" s="170"/>
      <c r="G789" s="170"/>
      <c r="H789" s="203"/>
      <c r="I789" s="197" t="str">
        <f t="shared" si="125"/>
        <v/>
      </c>
      <c r="J789" s="197" t="str">
        <f t="shared" si="126"/>
        <v/>
      </c>
      <c r="K789" s="197"/>
      <c r="L789" s="197"/>
      <c r="M789" s="198"/>
      <c r="N789" s="198"/>
      <c r="O789" s="198"/>
      <c r="P789" s="199"/>
      <c r="Q789" s="200"/>
      <c r="R789" s="200"/>
      <c r="S789" s="200"/>
      <c r="T789" s="200" t="str">
        <f t="shared" si="122"/>
        <v/>
      </c>
      <c r="U789" s="200"/>
      <c r="V789" s="201" t="str">
        <f t="shared" si="123"/>
        <v/>
      </c>
      <c r="W789" s="202">
        <f t="shared" si="124"/>
        <v>0</v>
      </c>
      <c r="X789" s="172"/>
    </row>
    <row r="790" spans="1:24" x14ac:dyDescent="0.45">
      <c r="A790" s="193">
        <v>28</v>
      </c>
      <c r="B790" s="194" t="str">
        <f t="shared" si="120"/>
        <v/>
      </c>
      <c r="C790" s="170" t="str">
        <f t="shared" si="121"/>
        <v/>
      </c>
      <c r="D790" s="170"/>
      <c r="E790" s="195"/>
      <c r="F790" s="170"/>
      <c r="G790" s="170"/>
      <c r="H790" s="203"/>
      <c r="I790" s="197" t="str">
        <f t="shared" si="125"/>
        <v/>
      </c>
      <c r="J790" s="197" t="str">
        <f t="shared" si="126"/>
        <v/>
      </c>
      <c r="K790" s="197"/>
      <c r="L790" s="197"/>
      <c r="M790" s="198"/>
      <c r="N790" s="198"/>
      <c r="O790" s="198"/>
      <c r="P790" s="199"/>
      <c r="Q790" s="200"/>
      <c r="R790" s="200"/>
      <c r="S790" s="200"/>
      <c r="T790" s="200" t="str">
        <f t="shared" si="122"/>
        <v/>
      </c>
      <c r="U790" s="200"/>
      <c r="V790" s="201" t="str">
        <f t="shared" si="123"/>
        <v/>
      </c>
      <c r="W790" s="202">
        <f t="shared" si="124"/>
        <v>0</v>
      </c>
      <c r="X790" s="172"/>
    </row>
    <row r="791" spans="1:24" x14ac:dyDescent="0.45">
      <c r="A791" s="193">
        <v>29</v>
      </c>
      <c r="B791" s="194" t="str">
        <f t="shared" si="120"/>
        <v/>
      </c>
      <c r="C791" s="170" t="str">
        <f t="shared" si="121"/>
        <v/>
      </c>
      <c r="D791" s="170"/>
      <c r="E791" s="195"/>
      <c r="F791" s="170"/>
      <c r="G791" s="170"/>
      <c r="H791" s="203"/>
      <c r="I791" s="197" t="str">
        <f t="shared" si="125"/>
        <v/>
      </c>
      <c r="J791" s="197" t="str">
        <f t="shared" si="126"/>
        <v/>
      </c>
      <c r="K791" s="197"/>
      <c r="L791" s="197"/>
      <c r="M791" s="198"/>
      <c r="N791" s="198"/>
      <c r="O791" s="198"/>
      <c r="P791" s="199"/>
      <c r="Q791" s="200"/>
      <c r="R791" s="200"/>
      <c r="S791" s="200"/>
      <c r="T791" s="200" t="str">
        <f t="shared" si="122"/>
        <v/>
      </c>
      <c r="U791" s="200"/>
      <c r="V791" s="201" t="str">
        <f t="shared" si="123"/>
        <v/>
      </c>
      <c r="W791" s="202">
        <f t="shared" si="124"/>
        <v>0</v>
      </c>
      <c r="X791" s="172"/>
    </row>
    <row r="792" spans="1:24" x14ac:dyDescent="0.45">
      <c r="A792" s="193">
        <v>30</v>
      </c>
      <c r="B792" s="194" t="str">
        <f t="shared" si="120"/>
        <v/>
      </c>
      <c r="C792" s="170" t="str">
        <f t="shared" si="121"/>
        <v/>
      </c>
      <c r="D792" s="170"/>
      <c r="E792" s="195"/>
      <c r="F792" s="170"/>
      <c r="G792" s="170"/>
      <c r="H792" s="203"/>
      <c r="I792" s="197" t="str">
        <f t="shared" si="125"/>
        <v/>
      </c>
      <c r="J792" s="197" t="str">
        <f t="shared" si="126"/>
        <v/>
      </c>
      <c r="K792" s="197"/>
      <c r="L792" s="197"/>
      <c r="M792" s="198"/>
      <c r="N792" s="198"/>
      <c r="O792" s="198"/>
      <c r="P792" s="199"/>
      <c r="Q792" s="200"/>
      <c r="R792" s="200"/>
      <c r="S792" s="200"/>
      <c r="T792" s="200" t="str">
        <f t="shared" si="122"/>
        <v/>
      </c>
      <c r="U792" s="200"/>
      <c r="V792" s="201" t="str">
        <f t="shared" si="123"/>
        <v/>
      </c>
      <c r="W792" s="202">
        <f t="shared" si="124"/>
        <v>0</v>
      </c>
      <c r="X792" s="172"/>
    </row>
    <row r="793" spans="1:24" x14ac:dyDescent="0.45">
      <c r="A793" s="193">
        <v>31</v>
      </c>
      <c r="B793" s="194" t="str">
        <f t="shared" si="120"/>
        <v/>
      </c>
      <c r="C793" s="170" t="str">
        <f t="shared" si="121"/>
        <v/>
      </c>
      <c r="D793" s="170"/>
      <c r="E793" s="195"/>
      <c r="F793" s="170"/>
      <c r="G793" s="170"/>
      <c r="H793" s="203"/>
      <c r="I793" s="197" t="str">
        <f t="shared" si="125"/>
        <v/>
      </c>
      <c r="J793" s="197" t="str">
        <f t="shared" si="126"/>
        <v/>
      </c>
      <c r="K793" s="197"/>
      <c r="L793" s="197"/>
      <c r="M793" s="198"/>
      <c r="N793" s="198"/>
      <c r="O793" s="198"/>
      <c r="P793" s="199"/>
      <c r="Q793" s="200"/>
      <c r="R793" s="200"/>
      <c r="S793" s="200"/>
      <c r="T793" s="200" t="str">
        <f t="shared" si="122"/>
        <v/>
      </c>
      <c r="U793" s="200"/>
      <c r="V793" s="201" t="str">
        <f t="shared" si="123"/>
        <v/>
      </c>
      <c r="W793" s="202">
        <f t="shared" si="124"/>
        <v>0</v>
      </c>
      <c r="X793" s="172"/>
    </row>
    <row r="794" spans="1:24" x14ac:dyDescent="0.45">
      <c r="A794" s="193">
        <v>32</v>
      </c>
      <c r="B794" s="194" t="str">
        <f t="shared" si="120"/>
        <v/>
      </c>
      <c r="C794" s="170" t="str">
        <f t="shared" si="121"/>
        <v/>
      </c>
      <c r="D794" s="170"/>
      <c r="E794" s="195"/>
      <c r="F794" s="170"/>
      <c r="G794" s="170"/>
      <c r="H794" s="203"/>
      <c r="I794" s="197" t="str">
        <f t="shared" si="125"/>
        <v/>
      </c>
      <c r="J794" s="197" t="str">
        <f t="shared" si="126"/>
        <v/>
      </c>
      <c r="K794" s="197"/>
      <c r="L794" s="197"/>
      <c r="M794" s="198"/>
      <c r="N794" s="198"/>
      <c r="O794" s="198"/>
      <c r="P794" s="199"/>
      <c r="Q794" s="200"/>
      <c r="R794" s="200"/>
      <c r="S794" s="200"/>
      <c r="T794" s="200" t="str">
        <f t="shared" si="122"/>
        <v/>
      </c>
      <c r="U794" s="200"/>
      <c r="V794" s="201" t="str">
        <f t="shared" si="123"/>
        <v/>
      </c>
      <c r="W794" s="202">
        <f t="shared" si="124"/>
        <v>0</v>
      </c>
      <c r="X794" s="172"/>
    </row>
    <row r="795" spans="1:24" x14ac:dyDescent="0.45">
      <c r="A795" s="193">
        <v>33</v>
      </c>
      <c r="B795" s="194" t="str">
        <f t="shared" ref="B795:B828" si="127">IF(OR($C$743="",U795=""),"",LEFT($C$743,FIND("_",$C$743)-1))</f>
        <v/>
      </c>
      <c r="C795" s="170" t="str">
        <f t="shared" ref="C795:C828" si="128">IF(OR($C$743="",U795=""),"",$B$743)</f>
        <v/>
      </c>
      <c r="D795" s="170"/>
      <c r="E795" s="195"/>
      <c r="F795" s="170"/>
      <c r="G795" s="170"/>
      <c r="H795" s="203"/>
      <c r="I795" s="197" t="str">
        <f t="shared" si="125"/>
        <v/>
      </c>
      <c r="J795" s="197" t="str">
        <f t="shared" si="126"/>
        <v/>
      </c>
      <c r="K795" s="197"/>
      <c r="L795" s="197"/>
      <c r="M795" s="198"/>
      <c r="N795" s="198"/>
      <c r="O795" s="198"/>
      <c r="P795" s="199"/>
      <c r="Q795" s="200"/>
      <c r="R795" s="200"/>
      <c r="S795" s="200"/>
      <c r="T795" s="200" t="str">
        <f t="shared" ref="T795:T828" si="129">IF(K795="","",((K795*20)+L795)-((I795*20)+J795))</f>
        <v/>
      </c>
      <c r="U795" s="200"/>
      <c r="V795" s="201" t="str">
        <f t="shared" ref="V795:V826" si="130">IF(U795="","",$V$743)</f>
        <v/>
      </c>
      <c r="W795" s="202">
        <f t="shared" ref="W795:W828" si="131">IF(OR(T795="",U795=""),0,T795*U795)</f>
        <v>0</v>
      </c>
      <c r="X795" s="172"/>
    </row>
    <row r="796" spans="1:24" x14ac:dyDescent="0.45">
      <c r="A796" s="193">
        <v>34</v>
      </c>
      <c r="B796" s="194" t="str">
        <f t="shared" si="127"/>
        <v/>
      </c>
      <c r="C796" s="170" t="str">
        <f t="shared" si="128"/>
        <v/>
      </c>
      <c r="D796" s="170"/>
      <c r="E796" s="195"/>
      <c r="F796" s="170"/>
      <c r="G796" s="170"/>
      <c r="H796" s="203"/>
      <c r="I796" s="197" t="str">
        <f t="shared" ref="I796:I828" si="132">IF(K795="","",K795)</f>
        <v/>
      </c>
      <c r="J796" s="197" t="str">
        <f t="shared" ref="J796:J828" si="133">IF(L795="","",L795)</f>
        <v/>
      </c>
      <c r="K796" s="197"/>
      <c r="L796" s="197"/>
      <c r="M796" s="198"/>
      <c r="N796" s="198"/>
      <c r="O796" s="198"/>
      <c r="P796" s="199"/>
      <c r="Q796" s="200"/>
      <c r="R796" s="200"/>
      <c r="S796" s="200"/>
      <c r="T796" s="200" t="str">
        <f t="shared" si="129"/>
        <v/>
      </c>
      <c r="U796" s="200"/>
      <c r="V796" s="201" t="str">
        <f t="shared" si="130"/>
        <v/>
      </c>
      <c r="W796" s="202">
        <f t="shared" si="131"/>
        <v>0</v>
      </c>
      <c r="X796" s="172"/>
    </row>
    <row r="797" spans="1:24" x14ac:dyDescent="0.45">
      <c r="A797" s="193">
        <v>35</v>
      </c>
      <c r="B797" s="194" t="str">
        <f t="shared" si="127"/>
        <v/>
      </c>
      <c r="C797" s="170" t="str">
        <f t="shared" si="128"/>
        <v/>
      </c>
      <c r="D797" s="170"/>
      <c r="E797" s="195"/>
      <c r="F797" s="170"/>
      <c r="G797" s="170"/>
      <c r="H797" s="203"/>
      <c r="I797" s="197" t="str">
        <f t="shared" si="132"/>
        <v/>
      </c>
      <c r="J797" s="197" t="str">
        <f t="shared" si="133"/>
        <v/>
      </c>
      <c r="K797" s="197"/>
      <c r="L797" s="197"/>
      <c r="M797" s="198"/>
      <c r="N797" s="198"/>
      <c r="O797" s="198"/>
      <c r="P797" s="199"/>
      <c r="Q797" s="200"/>
      <c r="R797" s="200"/>
      <c r="S797" s="200"/>
      <c r="T797" s="200" t="str">
        <f t="shared" si="129"/>
        <v/>
      </c>
      <c r="U797" s="200"/>
      <c r="V797" s="201" t="str">
        <f t="shared" si="130"/>
        <v/>
      </c>
      <c r="W797" s="202">
        <f t="shared" si="131"/>
        <v>0</v>
      </c>
      <c r="X797" s="172"/>
    </row>
    <row r="798" spans="1:24" x14ac:dyDescent="0.45">
      <c r="A798" s="193">
        <v>36</v>
      </c>
      <c r="B798" s="194" t="str">
        <f t="shared" si="127"/>
        <v/>
      </c>
      <c r="C798" s="170" t="str">
        <f t="shared" si="128"/>
        <v/>
      </c>
      <c r="D798" s="170"/>
      <c r="E798" s="195"/>
      <c r="F798" s="170"/>
      <c r="G798" s="170"/>
      <c r="H798" s="203"/>
      <c r="I798" s="197" t="str">
        <f t="shared" si="132"/>
        <v/>
      </c>
      <c r="J798" s="197" t="str">
        <f t="shared" si="133"/>
        <v/>
      </c>
      <c r="K798" s="197"/>
      <c r="L798" s="197"/>
      <c r="M798" s="198"/>
      <c r="N798" s="198"/>
      <c r="O798" s="198"/>
      <c r="P798" s="199"/>
      <c r="Q798" s="200"/>
      <c r="R798" s="200"/>
      <c r="S798" s="200"/>
      <c r="T798" s="200" t="str">
        <f t="shared" si="129"/>
        <v/>
      </c>
      <c r="U798" s="200"/>
      <c r="V798" s="201" t="str">
        <f t="shared" si="130"/>
        <v/>
      </c>
      <c r="W798" s="202">
        <f t="shared" si="131"/>
        <v>0</v>
      </c>
      <c r="X798" s="172"/>
    </row>
    <row r="799" spans="1:24" x14ac:dyDescent="0.45">
      <c r="A799" s="193">
        <v>37</v>
      </c>
      <c r="B799" s="194" t="str">
        <f t="shared" si="127"/>
        <v/>
      </c>
      <c r="C799" s="170" t="str">
        <f t="shared" si="128"/>
        <v/>
      </c>
      <c r="D799" s="170"/>
      <c r="E799" s="195"/>
      <c r="F799" s="170"/>
      <c r="G799" s="170"/>
      <c r="H799" s="203"/>
      <c r="I799" s="197" t="str">
        <f t="shared" si="132"/>
        <v/>
      </c>
      <c r="J799" s="197" t="str">
        <f t="shared" si="133"/>
        <v/>
      </c>
      <c r="K799" s="197"/>
      <c r="L799" s="197"/>
      <c r="M799" s="198"/>
      <c r="N799" s="198"/>
      <c r="O799" s="198"/>
      <c r="P799" s="199"/>
      <c r="Q799" s="200"/>
      <c r="R799" s="200"/>
      <c r="S799" s="200"/>
      <c r="T799" s="200" t="str">
        <f t="shared" si="129"/>
        <v/>
      </c>
      <c r="U799" s="200"/>
      <c r="V799" s="201" t="str">
        <f t="shared" si="130"/>
        <v/>
      </c>
      <c r="W799" s="202">
        <f t="shared" si="131"/>
        <v>0</v>
      </c>
      <c r="X799" s="172"/>
    </row>
    <row r="800" spans="1:24" x14ac:dyDescent="0.45">
      <c r="A800" s="193">
        <v>38</v>
      </c>
      <c r="B800" s="194" t="str">
        <f t="shared" si="127"/>
        <v/>
      </c>
      <c r="C800" s="170" t="str">
        <f t="shared" si="128"/>
        <v/>
      </c>
      <c r="D800" s="170"/>
      <c r="E800" s="195"/>
      <c r="F800" s="170"/>
      <c r="G800" s="170"/>
      <c r="H800" s="203"/>
      <c r="I800" s="197" t="str">
        <f t="shared" si="132"/>
        <v/>
      </c>
      <c r="J800" s="197" t="str">
        <f t="shared" si="133"/>
        <v/>
      </c>
      <c r="K800" s="197"/>
      <c r="L800" s="197"/>
      <c r="M800" s="198"/>
      <c r="N800" s="198"/>
      <c r="O800" s="198"/>
      <c r="P800" s="199"/>
      <c r="Q800" s="200"/>
      <c r="R800" s="200"/>
      <c r="S800" s="200"/>
      <c r="T800" s="200" t="str">
        <f t="shared" si="129"/>
        <v/>
      </c>
      <c r="U800" s="200"/>
      <c r="V800" s="201" t="str">
        <f t="shared" si="130"/>
        <v/>
      </c>
      <c r="W800" s="202">
        <f t="shared" si="131"/>
        <v>0</v>
      </c>
      <c r="X800" s="172"/>
    </row>
    <row r="801" spans="1:24" x14ac:dyDescent="0.45">
      <c r="A801" s="193">
        <v>39</v>
      </c>
      <c r="B801" s="194" t="str">
        <f t="shared" si="127"/>
        <v/>
      </c>
      <c r="C801" s="170" t="str">
        <f t="shared" si="128"/>
        <v/>
      </c>
      <c r="D801" s="170"/>
      <c r="E801" s="195"/>
      <c r="F801" s="170"/>
      <c r="G801" s="170"/>
      <c r="H801" s="203"/>
      <c r="I801" s="197" t="str">
        <f t="shared" si="132"/>
        <v/>
      </c>
      <c r="J801" s="197" t="str">
        <f t="shared" si="133"/>
        <v/>
      </c>
      <c r="K801" s="197"/>
      <c r="L801" s="197"/>
      <c r="M801" s="198"/>
      <c r="N801" s="198"/>
      <c r="O801" s="198"/>
      <c r="P801" s="199"/>
      <c r="Q801" s="200"/>
      <c r="R801" s="200"/>
      <c r="S801" s="200"/>
      <c r="T801" s="200" t="str">
        <f t="shared" si="129"/>
        <v/>
      </c>
      <c r="U801" s="200"/>
      <c r="V801" s="201" t="str">
        <f t="shared" si="130"/>
        <v/>
      </c>
      <c r="W801" s="202">
        <f t="shared" si="131"/>
        <v>0</v>
      </c>
      <c r="X801" s="172"/>
    </row>
    <row r="802" spans="1:24" x14ac:dyDescent="0.45">
      <c r="A802" s="193">
        <v>40</v>
      </c>
      <c r="B802" s="194" t="str">
        <f t="shared" si="127"/>
        <v/>
      </c>
      <c r="C802" s="170" t="str">
        <f t="shared" si="128"/>
        <v/>
      </c>
      <c r="D802" s="170"/>
      <c r="E802" s="195"/>
      <c r="F802" s="170"/>
      <c r="G802" s="170"/>
      <c r="H802" s="203"/>
      <c r="I802" s="197" t="str">
        <f t="shared" si="132"/>
        <v/>
      </c>
      <c r="J802" s="197" t="str">
        <f t="shared" si="133"/>
        <v/>
      </c>
      <c r="K802" s="197"/>
      <c r="L802" s="197"/>
      <c r="M802" s="198"/>
      <c r="N802" s="198"/>
      <c r="O802" s="198"/>
      <c r="P802" s="199"/>
      <c r="Q802" s="200"/>
      <c r="R802" s="200"/>
      <c r="S802" s="200"/>
      <c r="T802" s="200" t="str">
        <f t="shared" si="129"/>
        <v/>
      </c>
      <c r="U802" s="200"/>
      <c r="V802" s="201" t="str">
        <f t="shared" si="130"/>
        <v/>
      </c>
      <c r="W802" s="202">
        <f t="shared" si="131"/>
        <v>0</v>
      </c>
      <c r="X802" s="172"/>
    </row>
    <row r="803" spans="1:24" x14ac:dyDescent="0.45">
      <c r="A803" s="193">
        <v>41</v>
      </c>
      <c r="B803" s="194" t="str">
        <f t="shared" si="127"/>
        <v/>
      </c>
      <c r="C803" s="170" t="str">
        <f t="shared" si="128"/>
        <v/>
      </c>
      <c r="D803" s="170"/>
      <c r="E803" s="195"/>
      <c r="F803" s="170"/>
      <c r="G803" s="170"/>
      <c r="H803" s="203"/>
      <c r="I803" s="197" t="str">
        <f t="shared" si="132"/>
        <v/>
      </c>
      <c r="J803" s="197" t="str">
        <f t="shared" si="133"/>
        <v/>
      </c>
      <c r="K803" s="197"/>
      <c r="L803" s="197"/>
      <c r="M803" s="198"/>
      <c r="N803" s="198"/>
      <c r="O803" s="198"/>
      <c r="P803" s="199"/>
      <c r="Q803" s="200"/>
      <c r="R803" s="200"/>
      <c r="S803" s="200"/>
      <c r="T803" s="200" t="str">
        <f t="shared" si="129"/>
        <v/>
      </c>
      <c r="U803" s="200"/>
      <c r="V803" s="201" t="str">
        <f t="shared" si="130"/>
        <v/>
      </c>
      <c r="W803" s="202">
        <f t="shared" si="131"/>
        <v>0</v>
      </c>
      <c r="X803" s="172"/>
    </row>
    <row r="804" spans="1:24" x14ac:dyDescent="0.45">
      <c r="A804" s="193">
        <v>42</v>
      </c>
      <c r="B804" s="194" t="str">
        <f t="shared" si="127"/>
        <v/>
      </c>
      <c r="C804" s="170" t="str">
        <f t="shared" si="128"/>
        <v/>
      </c>
      <c r="D804" s="170"/>
      <c r="E804" s="195"/>
      <c r="F804" s="170"/>
      <c r="G804" s="170"/>
      <c r="H804" s="203"/>
      <c r="I804" s="197" t="str">
        <f t="shared" si="132"/>
        <v/>
      </c>
      <c r="J804" s="197" t="str">
        <f t="shared" si="133"/>
        <v/>
      </c>
      <c r="K804" s="197"/>
      <c r="L804" s="197"/>
      <c r="M804" s="198"/>
      <c r="N804" s="198"/>
      <c r="O804" s="198"/>
      <c r="P804" s="199"/>
      <c r="Q804" s="200"/>
      <c r="R804" s="200"/>
      <c r="S804" s="200"/>
      <c r="T804" s="200" t="str">
        <f t="shared" si="129"/>
        <v/>
      </c>
      <c r="U804" s="200"/>
      <c r="V804" s="201" t="str">
        <f t="shared" si="130"/>
        <v/>
      </c>
      <c r="W804" s="202">
        <f t="shared" si="131"/>
        <v>0</v>
      </c>
      <c r="X804" s="172"/>
    </row>
    <row r="805" spans="1:24" x14ac:dyDescent="0.45">
      <c r="A805" s="193">
        <v>43</v>
      </c>
      <c r="B805" s="194" t="str">
        <f t="shared" si="127"/>
        <v/>
      </c>
      <c r="C805" s="170" t="str">
        <f t="shared" si="128"/>
        <v/>
      </c>
      <c r="D805" s="170"/>
      <c r="E805" s="195"/>
      <c r="F805" s="170"/>
      <c r="G805" s="170"/>
      <c r="H805" s="203"/>
      <c r="I805" s="197" t="str">
        <f t="shared" si="132"/>
        <v/>
      </c>
      <c r="J805" s="197" t="str">
        <f t="shared" si="133"/>
        <v/>
      </c>
      <c r="K805" s="197"/>
      <c r="L805" s="197"/>
      <c r="M805" s="198"/>
      <c r="N805" s="198"/>
      <c r="O805" s="198"/>
      <c r="P805" s="199"/>
      <c r="Q805" s="200"/>
      <c r="R805" s="200"/>
      <c r="S805" s="200"/>
      <c r="T805" s="200" t="str">
        <f t="shared" si="129"/>
        <v/>
      </c>
      <c r="U805" s="200"/>
      <c r="V805" s="201" t="str">
        <f t="shared" si="130"/>
        <v/>
      </c>
      <c r="W805" s="202">
        <f t="shared" si="131"/>
        <v>0</v>
      </c>
      <c r="X805" s="172"/>
    </row>
    <row r="806" spans="1:24" x14ac:dyDescent="0.45">
      <c r="A806" s="193">
        <v>44</v>
      </c>
      <c r="B806" s="194" t="str">
        <f t="shared" si="127"/>
        <v/>
      </c>
      <c r="C806" s="170" t="str">
        <f t="shared" si="128"/>
        <v/>
      </c>
      <c r="D806" s="170"/>
      <c r="E806" s="195"/>
      <c r="F806" s="170"/>
      <c r="G806" s="170"/>
      <c r="H806" s="203"/>
      <c r="I806" s="197" t="str">
        <f t="shared" si="132"/>
        <v/>
      </c>
      <c r="J806" s="197" t="str">
        <f t="shared" si="133"/>
        <v/>
      </c>
      <c r="K806" s="197"/>
      <c r="L806" s="197"/>
      <c r="M806" s="198"/>
      <c r="N806" s="198"/>
      <c r="O806" s="198"/>
      <c r="P806" s="199"/>
      <c r="Q806" s="200"/>
      <c r="R806" s="200"/>
      <c r="S806" s="200"/>
      <c r="T806" s="200" t="str">
        <f t="shared" si="129"/>
        <v/>
      </c>
      <c r="U806" s="200"/>
      <c r="V806" s="201" t="str">
        <f t="shared" si="130"/>
        <v/>
      </c>
      <c r="W806" s="202">
        <f t="shared" si="131"/>
        <v>0</v>
      </c>
      <c r="X806" s="172"/>
    </row>
    <row r="807" spans="1:24" x14ac:dyDescent="0.45">
      <c r="A807" s="193">
        <v>45</v>
      </c>
      <c r="B807" s="194" t="str">
        <f t="shared" si="127"/>
        <v/>
      </c>
      <c r="C807" s="170" t="str">
        <f t="shared" si="128"/>
        <v/>
      </c>
      <c r="D807" s="170"/>
      <c r="E807" s="195"/>
      <c r="F807" s="170"/>
      <c r="G807" s="170"/>
      <c r="H807" s="203"/>
      <c r="I807" s="197" t="str">
        <f t="shared" si="132"/>
        <v/>
      </c>
      <c r="J807" s="197" t="str">
        <f t="shared" si="133"/>
        <v/>
      </c>
      <c r="K807" s="197"/>
      <c r="L807" s="197"/>
      <c r="M807" s="198"/>
      <c r="N807" s="198"/>
      <c r="O807" s="198"/>
      <c r="P807" s="199"/>
      <c r="Q807" s="200"/>
      <c r="R807" s="200"/>
      <c r="S807" s="200"/>
      <c r="T807" s="200" t="str">
        <f t="shared" si="129"/>
        <v/>
      </c>
      <c r="U807" s="200"/>
      <c r="V807" s="201" t="str">
        <f t="shared" si="130"/>
        <v/>
      </c>
      <c r="W807" s="202">
        <f t="shared" si="131"/>
        <v>0</v>
      </c>
      <c r="X807" s="172"/>
    </row>
    <row r="808" spans="1:24" x14ac:dyDescent="0.45">
      <c r="A808" s="193">
        <v>46</v>
      </c>
      <c r="B808" s="194" t="str">
        <f t="shared" si="127"/>
        <v/>
      </c>
      <c r="C808" s="170" t="str">
        <f t="shared" si="128"/>
        <v/>
      </c>
      <c r="D808" s="170"/>
      <c r="E808" s="195"/>
      <c r="F808" s="170"/>
      <c r="G808" s="170"/>
      <c r="H808" s="203"/>
      <c r="I808" s="197" t="str">
        <f t="shared" si="132"/>
        <v/>
      </c>
      <c r="J808" s="197" t="str">
        <f t="shared" si="133"/>
        <v/>
      </c>
      <c r="K808" s="197"/>
      <c r="L808" s="197"/>
      <c r="M808" s="198"/>
      <c r="N808" s="198"/>
      <c r="O808" s="198"/>
      <c r="P808" s="199"/>
      <c r="Q808" s="200"/>
      <c r="R808" s="200"/>
      <c r="S808" s="200"/>
      <c r="T808" s="200" t="str">
        <f t="shared" si="129"/>
        <v/>
      </c>
      <c r="U808" s="200"/>
      <c r="V808" s="201" t="str">
        <f t="shared" si="130"/>
        <v/>
      </c>
      <c r="W808" s="202">
        <f t="shared" si="131"/>
        <v>0</v>
      </c>
      <c r="X808" s="172"/>
    </row>
    <row r="809" spans="1:24" x14ac:dyDescent="0.45">
      <c r="A809" s="193">
        <v>47</v>
      </c>
      <c r="B809" s="194" t="str">
        <f t="shared" si="127"/>
        <v/>
      </c>
      <c r="C809" s="170" t="str">
        <f t="shared" si="128"/>
        <v/>
      </c>
      <c r="D809" s="170"/>
      <c r="E809" s="195"/>
      <c r="F809" s="170"/>
      <c r="G809" s="170"/>
      <c r="H809" s="203"/>
      <c r="I809" s="197" t="str">
        <f t="shared" si="132"/>
        <v/>
      </c>
      <c r="J809" s="197" t="str">
        <f t="shared" si="133"/>
        <v/>
      </c>
      <c r="K809" s="197"/>
      <c r="L809" s="197"/>
      <c r="M809" s="198"/>
      <c r="N809" s="198"/>
      <c r="O809" s="198"/>
      <c r="P809" s="199"/>
      <c r="Q809" s="200"/>
      <c r="R809" s="200"/>
      <c r="S809" s="200"/>
      <c r="T809" s="200" t="str">
        <f t="shared" si="129"/>
        <v/>
      </c>
      <c r="U809" s="200"/>
      <c r="V809" s="201" t="str">
        <f t="shared" si="130"/>
        <v/>
      </c>
      <c r="W809" s="202">
        <f t="shared" si="131"/>
        <v>0</v>
      </c>
      <c r="X809" s="172"/>
    </row>
    <row r="810" spans="1:24" x14ac:dyDescent="0.45">
      <c r="A810" s="193">
        <v>48</v>
      </c>
      <c r="B810" s="194" t="str">
        <f t="shared" si="127"/>
        <v/>
      </c>
      <c r="C810" s="170" t="str">
        <f t="shared" si="128"/>
        <v/>
      </c>
      <c r="D810" s="170"/>
      <c r="E810" s="195"/>
      <c r="F810" s="170"/>
      <c r="G810" s="170"/>
      <c r="H810" s="203"/>
      <c r="I810" s="197" t="str">
        <f t="shared" si="132"/>
        <v/>
      </c>
      <c r="J810" s="197" t="str">
        <f t="shared" si="133"/>
        <v/>
      </c>
      <c r="K810" s="197"/>
      <c r="L810" s="197"/>
      <c r="M810" s="198"/>
      <c r="N810" s="198"/>
      <c r="O810" s="198"/>
      <c r="P810" s="199"/>
      <c r="Q810" s="200"/>
      <c r="R810" s="200"/>
      <c r="S810" s="200"/>
      <c r="T810" s="200" t="str">
        <f t="shared" si="129"/>
        <v/>
      </c>
      <c r="U810" s="200"/>
      <c r="V810" s="201" t="str">
        <f t="shared" si="130"/>
        <v/>
      </c>
      <c r="W810" s="202">
        <f t="shared" si="131"/>
        <v>0</v>
      </c>
      <c r="X810" s="172"/>
    </row>
    <row r="811" spans="1:24" x14ac:dyDescent="0.45">
      <c r="A811" s="193">
        <v>49</v>
      </c>
      <c r="B811" s="194" t="str">
        <f t="shared" si="127"/>
        <v/>
      </c>
      <c r="C811" s="170" t="str">
        <f t="shared" si="128"/>
        <v/>
      </c>
      <c r="D811" s="170"/>
      <c r="E811" s="195"/>
      <c r="F811" s="170"/>
      <c r="G811" s="170"/>
      <c r="H811" s="203"/>
      <c r="I811" s="197" t="str">
        <f t="shared" si="132"/>
        <v/>
      </c>
      <c r="J811" s="197" t="str">
        <f t="shared" si="133"/>
        <v/>
      </c>
      <c r="K811" s="197"/>
      <c r="L811" s="197"/>
      <c r="M811" s="198"/>
      <c r="N811" s="198"/>
      <c r="O811" s="198"/>
      <c r="P811" s="199"/>
      <c r="Q811" s="200"/>
      <c r="R811" s="200"/>
      <c r="S811" s="200"/>
      <c r="T811" s="200" t="str">
        <f t="shared" si="129"/>
        <v/>
      </c>
      <c r="U811" s="200"/>
      <c r="V811" s="201" t="str">
        <f t="shared" si="130"/>
        <v/>
      </c>
      <c r="W811" s="202">
        <f t="shared" si="131"/>
        <v>0</v>
      </c>
      <c r="X811" s="172"/>
    </row>
    <row r="812" spans="1:24" x14ac:dyDescent="0.45">
      <c r="A812" s="193">
        <v>50</v>
      </c>
      <c r="B812" s="194" t="str">
        <f t="shared" si="127"/>
        <v/>
      </c>
      <c r="C812" s="170" t="str">
        <f t="shared" si="128"/>
        <v/>
      </c>
      <c r="D812" s="170"/>
      <c r="E812" s="195"/>
      <c r="F812" s="170"/>
      <c r="G812" s="170"/>
      <c r="H812" s="203"/>
      <c r="I812" s="197" t="str">
        <f t="shared" si="132"/>
        <v/>
      </c>
      <c r="J812" s="197" t="str">
        <f t="shared" si="133"/>
        <v/>
      </c>
      <c r="K812" s="197"/>
      <c r="L812" s="197"/>
      <c r="M812" s="198"/>
      <c r="N812" s="198"/>
      <c r="O812" s="198"/>
      <c r="P812" s="199"/>
      <c r="Q812" s="200"/>
      <c r="R812" s="200"/>
      <c r="S812" s="200"/>
      <c r="T812" s="200" t="str">
        <f t="shared" si="129"/>
        <v/>
      </c>
      <c r="U812" s="200"/>
      <c r="V812" s="201" t="str">
        <f t="shared" si="130"/>
        <v/>
      </c>
      <c r="W812" s="202">
        <f t="shared" si="131"/>
        <v>0</v>
      </c>
      <c r="X812" s="172"/>
    </row>
    <row r="813" spans="1:24" x14ac:dyDescent="0.45">
      <c r="A813" s="193">
        <v>51</v>
      </c>
      <c r="B813" s="194" t="str">
        <f t="shared" si="127"/>
        <v/>
      </c>
      <c r="C813" s="170" t="str">
        <f t="shared" si="128"/>
        <v/>
      </c>
      <c r="D813" s="170"/>
      <c r="E813" s="195"/>
      <c r="F813" s="170"/>
      <c r="G813" s="170"/>
      <c r="H813" s="203"/>
      <c r="I813" s="197" t="str">
        <f t="shared" si="132"/>
        <v/>
      </c>
      <c r="J813" s="197" t="str">
        <f t="shared" si="133"/>
        <v/>
      </c>
      <c r="K813" s="197"/>
      <c r="L813" s="197"/>
      <c r="M813" s="198"/>
      <c r="N813" s="198"/>
      <c r="O813" s="198"/>
      <c r="P813" s="199"/>
      <c r="Q813" s="200"/>
      <c r="R813" s="200"/>
      <c r="S813" s="200"/>
      <c r="T813" s="200" t="str">
        <f t="shared" si="129"/>
        <v/>
      </c>
      <c r="U813" s="200"/>
      <c r="V813" s="201" t="str">
        <f t="shared" si="130"/>
        <v/>
      </c>
      <c r="W813" s="202">
        <f t="shared" si="131"/>
        <v>0</v>
      </c>
      <c r="X813" s="172"/>
    </row>
    <row r="814" spans="1:24" x14ac:dyDescent="0.45">
      <c r="A814" s="193">
        <v>52</v>
      </c>
      <c r="B814" s="194" t="str">
        <f t="shared" si="127"/>
        <v/>
      </c>
      <c r="C814" s="170" t="str">
        <f t="shared" si="128"/>
        <v/>
      </c>
      <c r="D814" s="170"/>
      <c r="E814" s="195"/>
      <c r="F814" s="170"/>
      <c r="G814" s="170"/>
      <c r="H814" s="203"/>
      <c r="I814" s="197" t="str">
        <f t="shared" si="132"/>
        <v/>
      </c>
      <c r="J814" s="197" t="str">
        <f t="shared" si="133"/>
        <v/>
      </c>
      <c r="K814" s="197"/>
      <c r="L814" s="197"/>
      <c r="M814" s="198"/>
      <c r="N814" s="198"/>
      <c r="O814" s="198"/>
      <c r="P814" s="199"/>
      <c r="Q814" s="200"/>
      <c r="R814" s="200"/>
      <c r="S814" s="200"/>
      <c r="T814" s="200" t="str">
        <f t="shared" si="129"/>
        <v/>
      </c>
      <c r="U814" s="200"/>
      <c r="V814" s="201" t="str">
        <f t="shared" si="130"/>
        <v/>
      </c>
      <c r="W814" s="202">
        <f t="shared" si="131"/>
        <v>0</v>
      </c>
      <c r="X814" s="172"/>
    </row>
    <row r="815" spans="1:24" x14ac:dyDescent="0.45">
      <c r="A815" s="193">
        <v>53</v>
      </c>
      <c r="B815" s="194" t="str">
        <f t="shared" si="127"/>
        <v/>
      </c>
      <c r="C815" s="170" t="str">
        <f t="shared" si="128"/>
        <v/>
      </c>
      <c r="D815" s="170"/>
      <c r="E815" s="195"/>
      <c r="F815" s="170"/>
      <c r="G815" s="170"/>
      <c r="H815" s="203"/>
      <c r="I815" s="197" t="str">
        <f t="shared" si="132"/>
        <v/>
      </c>
      <c r="J815" s="197" t="str">
        <f t="shared" si="133"/>
        <v/>
      </c>
      <c r="K815" s="197"/>
      <c r="L815" s="197"/>
      <c r="M815" s="198"/>
      <c r="N815" s="198"/>
      <c r="O815" s="198"/>
      <c r="P815" s="199"/>
      <c r="Q815" s="200"/>
      <c r="R815" s="200"/>
      <c r="S815" s="200"/>
      <c r="T815" s="200" t="str">
        <f t="shared" si="129"/>
        <v/>
      </c>
      <c r="U815" s="200"/>
      <c r="V815" s="201" t="str">
        <f t="shared" si="130"/>
        <v/>
      </c>
      <c r="W815" s="202">
        <f t="shared" si="131"/>
        <v>0</v>
      </c>
      <c r="X815" s="172"/>
    </row>
    <row r="816" spans="1:24" x14ac:dyDescent="0.45">
      <c r="A816" s="193">
        <v>54</v>
      </c>
      <c r="B816" s="194" t="str">
        <f t="shared" si="127"/>
        <v/>
      </c>
      <c r="C816" s="170" t="str">
        <f t="shared" si="128"/>
        <v/>
      </c>
      <c r="D816" s="170"/>
      <c r="E816" s="195"/>
      <c r="F816" s="170"/>
      <c r="G816" s="170"/>
      <c r="H816" s="203"/>
      <c r="I816" s="197" t="str">
        <f t="shared" si="132"/>
        <v/>
      </c>
      <c r="J816" s="197" t="str">
        <f t="shared" si="133"/>
        <v/>
      </c>
      <c r="K816" s="197"/>
      <c r="L816" s="197"/>
      <c r="M816" s="198"/>
      <c r="N816" s="198"/>
      <c r="O816" s="198"/>
      <c r="P816" s="199"/>
      <c r="Q816" s="200"/>
      <c r="R816" s="200"/>
      <c r="S816" s="200"/>
      <c r="T816" s="200" t="str">
        <f t="shared" si="129"/>
        <v/>
      </c>
      <c r="U816" s="200"/>
      <c r="V816" s="201" t="str">
        <f t="shared" si="130"/>
        <v/>
      </c>
      <c r="W816" s="202">
        <f t="shared" si="131"/>
        <v>0</v>
      </c>
      <c r="X816" s="172"/>
    </row>
    <row r="817" spans="1:24" x14ac:dyDescent="0.45">
      <c r="A817" s="193">
        <v>55</v>
      </c>
      <c r="B817" s="194" t="str">
        <f t="shared" si="127"/>
        <v/>
      </c>
      <c r="C817" s="170" t="str">
        <f t="shared" si="128"/>
        <v/>
      </c>
      <c r="D817" s="170"/>
      <c r="E817" s="195"/>
      <c r="F817" s="170"/>
      <c r="G817" s="170"/>
      <c r="H817" s="203"/>
      <c r="I817" s="197" t="str">
        <f t="shared" si="132"/>
        <v/>
      </c>
      <c r="J817" s="197" t="str">
        <f t="shared" si="133"/>
        <v/>
      </c>
      <c r="K817" s="197"/>
      <c r="L817" s="197"/>
      <c r="M817" s="198"/>
      <c r="N817" s="198"/>
      <c r="O817" s="198"/>
      <c r="P817" s="199"/>
      <c r="Q817" s="200"/>
      <c r="R817" s="200"/>
      <c r="S817" s="200"/>
      <c r="T817" s="200" t="str">
        <f t="shared" si="129"/>
        <v/>
      </c>
      <c r="U817" s="200"/>
      <c r="V817" s="201" t="str">
        <f t="shared" si="130"/>
        <v/>
      </c>
      <c r="W817" s="202">
        <f t="shared" si="131"/>
        <v>0</v>
      </c>
      <c r="X817" s="172"/>
    </row>
    <row r="818" spans="1:24" x14ac:dyDescent="0.45">
      <c r="A818" s="193">
        <v>56</v>
      </c>
      <c r="B818" s="194" t="str">
        <f t="shared" si="127"/>
        <v/>
      </c>
      <c r="C818" s="170" t="str">
        <f t="shared" si="128"/>
        <v/>
      </c>
      <c r="D818" s="170"/>
      <c r="E818" s="195"/>
      <c r="F818" s="170"/>
      <c r="G818" s="170"/>
      <c r="H818" s="203"/>
      <c r="I818" s="197" t="str">
        <f t="shared" si="132"/>
        <v/>
      </c>
      <c r="J818" s="197" t="str">
        <f t="shared" si="133"/>
        <v/>
      </c>
      <c r="K818" s="197"/>
      <c r="L818" s="197"/>
      <c r="M818" s="198"/>
      <c r="N818" s="198"/>
      <c r="O818" s="198"/>
      <c r="P818" s="199"/>
      <c r="Q818" s="200"/>
      <c r="R818" s="200"/>
      <c r="S818" s="200"/>
      <c r="T818" s="200" t="str">
        <f t="shared" si="129"/>
        <v/>
      </c>
      <c r="U818" s="200"/>
      <c r="V818" s="201" t="str">
        <f t="shared" si="130"/>
        <v/>
      </c>
      <c r="W818" s="202">
        <f t="shared" si="131"/>
        <v>0</v>
      </c>
      <c r="X818" s="172"/>
    </row>
    <row r="819" spans="1:24" x14ac:dyDescent="0.45">
      <c r="A819" s="193">
        <v>57</v>
      </c>
      <c r="B819" s="194" t="str">
        <f t="shared" si="127"/>
        <v/>
      </c>
      <c r="C819" s="170" t="str">
        <f t="shared" si="128"/>
        <v/>
      </c>
      <c r="D819" s="170"/>
      <c r="E819" s="195"/>
      <c r="F819" s="170"/>
      <c r="G819" s="170"/>
      <c r="H819" s="203"/>
      <c r="I819" s="197" t="str">
        <f t="shared" si="132"/>
        <v/>
      </c>
      <c r="J819" s="197" t="str">
        <f t="shared" si="133"/>
        <v/>
      </c>
      <c r="K819" s="197"/>
      <c r="L819" s="197"/>
      <c r="M819" s="198"/>
      <c r="N819" s="198"/>
      <c r="O819" s="198"/>
      <c r="P819" s="199"/>
      <c r="Q819" s="200"/>
      <c r="R819" s="200"/>
      <c r="S819" s="200"/>
      <c r="T819" s="200" t="str">
        <f t="shared" si="129"/>
        <v/>
      </c>
      <c r="U819" s="200"/>
      <c r="V819" s="201" t="str">
        <f t="shared" si="130"/>
        <v/>
      </c>
      <c r="W819" s="202">
        <f t="shared" si="131"/>
        <v>0</v>
      </c>
      <c r="X819" s="172"/>
    </row>
    <row r="820" spans="1:24" x14ac:dyDescent="0.45">
      <c r="A820" s="193">
        <v>58</v>
      </c>
      <c r="B820" s="194" t="str">
        <f t="shared" si="127"/>
        <v/>
      </c>
      <c r="C820" s="170" t="str">
        <f t="shared" si="128"/>
        <v/>
      </c>
      <c r="D820" s="170"/>
      <c r="E820" s="195"/>
      <c r="F820" s="170"/>
      <c r="G820" s="170"/>
      <c r="H820" s="203"/>
      <c r="I820" s="197" t="str">
        <f t="shared" si="132"/>
        <v/>
      </c>
      <c r="J820" s="197" t="str">
        <f t="shared" si="133"/>
        <v/>
      </c>
      <c r="K820" s="197"/>
      <c r="L820" s="197"/>
      <c r="M820" s="198"/>
      <c r="N820" s="198"/>
      <c r="O820" s="198"/>
      <c r="P820" s="199"/>
      <c r="Q820" s="200"/>
      <c r="R820" s="200"/>
      <c r="S820" s="200"/>
      <c r="T820" s="200" t="str">
        <f t="shared" si="129"/>
        <v/>
      </c>
      <c r="U820" s="200"/>
      <c r="V820" s="201" t="str">
        <f t="shared" si="130"/>
        <v/>
      </c>
      <c r="W820" s="202">
        <f t="shared" si="131"/>
        <v>0</v>
      </c>
      <c r="X820" s="172"/>
    </row>
    <row r="821" spans="1:24" x14ac:dyDescent="0.45">
      <c r="A821" s="193">
        <v>59</v>
      </c>
      <c r="B821" s="194" t="str">
        <f t="shared" si="127"/>
        <v/>
      </c>
      <c r="C821" s="170" t="str">
        <f t="shared" si="128"/>
        <v/>
      </c>
      <c r="D821" s="170"/>
      <c r="E821" s="195"/>
      <c r="F821" s="170"/>
      <c r="G821" s="170"/>
      <c r="H821" s="203"/>
      <c r="I821" s="197" t="str">
        <f t="shared" si="132"/>
        <v/>
      </c>
      <c r="J821" s="197" t="str">
        <f t="shared" si="133"/>
        <v/>
      </c>
      <c r="K821" s="197"/>
      <c r="L821" s="197"/>
      <c r="M821" s="198"/>
      <c r="N821" s="198"/>
      <c r="O821" s="198"/>
      <c r="P821" s="199"/>
      <c r="Q821" s="200"/>
      <c r="R821" s="200"/>
      <c r="S821" s="200"/>
      <c r="T821" s="200" t="str">
        <f t="shared" si="129"/>
        <v/>
      </c>
      <c r="U821" s="200"/>
      <c r="V821" s="201" t="str">
        <f t="shared" si="130"/>
        <v/>
      </c>
      <c r="W821" s="202">
        <f t="shared" si="131"/>
        <v>0</v>
      </c>
      <c r="X821" s="172"/>
    </row>
    <row r="822" spans="1:24" x14ac:dyDescent="0.45">
      <c r="A822" s="193">
        <v>60</v>
      </c>
      <c r="B822" s="194" t="str">
        <f t="shared" si="127"/>
        <v/>
      </c>
      <c r="C822" s="170" t="str">
        <f t="shared" si="128"/>
        <v/>
      </c>
      <c r="D822" s="170"/>
      <c r="E822" s="195"/>
      <c r="F822" s="170"/>
      <c r="G822" s="170"/>
      <c r="H822" s="203"/>
      <c r="I822" s="197" t="str">
        <f t="shared" si="132"/>
        <v/>
      </c>
      <c r="J822" s="197" t="str">
        <f t="shared" si="133"/>
        <v/>
      </c>
      <c r="K822" s="197"/>
      <c r="L822" s="197"/>
      <c r="M822" s="198"/>
      <c r="N822" s="198"/>
      <c r="O822" s="198"/>
      <c r="P822" s="199"/>
      <c r="Q822" s="200"/>
      <c r="R822" s="200"/>
      <c r="S822" s="200"/>
      <c r="T822" s="200" t="str">
        <f t="shared" si="129"/>
        <v/>
      </c>
      <c r="U822" s="200"/>
      <c r="V822" s="201" t="str">
        <f t="shared" si="130"/>
        <v/>
      </c>
      <c r="W822" s="202">
        <f t="shared" si="131"/>
        <v>0</v>
      </c>
      <c r="X822" s="172"/>
    </row>
    <row r="823" spans="1:24" x14ac:dyDescent="0.45">
      <c r="A823" s="193">
        <v>61</v>
      </c>
      <c r="B823" s="194" t="str">
        <f t="shared" si="127"/>
        <v/>
      </c>
      <c r="C823" s="170" t="str">
        <f t="shared" si="128"/>
        <v/>
      </c>
      <c r="D823" s="170"/>
      <c r="E823" s="195"/>
      <c r="F823" s="170"/>
      <c r="G823" s="170"/>
      <c r="H823" s="203"/>
      <c r="I823" s="197" t="str">
        <f t="shared" si="132"/>
        <v/>
      </c>
      <c r="J823" s="197" t="str">
        <f t="shared" si="133"/>
        <v/>
      </c>
      <c r="K823" s="197"/>
      <c r="L823" s="197"/>
      <c r="M823" s="198"/>
      <c r="N823" s="198"/>
      <c r="O823" s="198"/>
      <c r="P823" s="199"/>
      <c r="Q823" s="200"/>
      <c r="R823" s="200"/>
      <c r="S823" s="200"/>
      <c r="T823" s="200" t="str">
        <f t="shared" si="129"/>
        <v/>
      </c>
      <c r="U823" s="200"/>
      <c r="V823" s="201" t="str">
        <f t="shared" si="130"/>
        <v/>
      </c>
      <c r="W823" s="202">
        <f t="shared" si="131"/>
        <v>0</v>
      </c>
      <c r="X823" s="172"/>
    </row>
    <row r="824" spans="1:24" x14ac:dyDescent="0.45">
      <c r="A824" s="193">
        <v>62</v>
      </c>
      <c r="B824" s="194" t="str">
        <f t="shared" si="127"/>
        <v/>
      </c>
      <c r="C824" s="170" t="str">
        <f t="shared" si="128"/>
        <v/>
      </c>
      <c r="D824" s="170"/>
      <c r="E824" s="195"/>
      <c r="F824" s="170"/>
      <c r="G824" s="170"/>
      <c r="H824" s="203"/>
      <c r="I824" s="197" t="str">
        <f t="shared" si="132"/>
        <v/>
      </c>
      <c r="J824" s="197" t="str">
        <f t="shared" si="133"/>
        <v/>
      </c>
      <c r="K824" s="197"/>
      <c r="L824" s="197"/>
      <c r="M824" s="198"/>
      <c r="N824" s="198"/>
      <c r="O824" s="198"/>
      <c r="P824" s="199"/>
      <c r="Q824" s="200"/>
      <c r="R824" s="200"/>
      <c r="S824" s="200"/>
      <c r="T824" s="200" t="str">
        <f t="shared" si="129"/>
        <v/>
      </c>
      <c r="U824" s="200"/>
      <c r="V824" s="201" t="str">
        <f t="shared" si="130"/>
        <v/>
      </c>
      <c r="W824" s="202">
        <f t="shared" si="131"/>
        <v>0</v>
      </c>
      <c r="X824" s="172"/>
    </row>
    <row r="825" spans="1:24" x14ac:dyDescent="0.45">
      <c r="A825" s="193">
        <v>63</v>
      </c>
      <c r="B825" s="194" t="str">
        <f t="shared" si="127"/>
        <v/>
      </c>
      <c r="C825" s="170" t="str">
        <f t="shared" si="128"/>
        <v/>
      </c>
      <c r="D825" s="170"/>
      <c r="E825" s="195"/>
      <c r="F825" s="170"/>
      <c r="G825" s="170"/>
      <c r="H825" s="203"/>
      <c r="I825" s="197" t="str">
        <f t="shared" si="132"/>
        <v/>
      </c>
      <c r="J825" s="197" t="str">
        <f t="shared" si="133"/>
        <v/>
      </c>
      <c r="K825" s="197"/>
      <c r="L825" s="197"/>
      <c r="M825" s="198"/>
      <c r="N825" s="198"/>
      <c r="O825" s="198"/>
      <c r="P825" s="199"/>
      <c r="Q825" s="200"/>
      <c r="R825" s="200"/>
      <c r="S825" s="200"/>
      <c r="T825" s="200" t="str">
        <f t="shared" si="129"/>
        <v/>
      </c>
      <c r="U825" s="200"/>
      <c r="V825" s="201" t="str">
        <f t="shared" si="130"/>
        <v/>
      </c>
      <c r="W825" s="202">
        <f t="shared" si="131"/>
        <v>0</v>
      </c>
      <c r="X825" s="172"/>
    </row>
    <row r="826" spans="1:24" x14ac:dyDescent="0.45">
      <c r="A826" s="193">
        <v>64</v>
      </c>
      <c r="B826" s="194" t="str">
        <f t="shared" si="127"/>
        <v/>
      </c>
      <c r="C826" s="170" t="str">
        <f t="shared" si="128"/>
        <v/>
      </c>
      <c r="D826" s="170"/>
      <c r="E826" s="195"/>
      <c r="F826" s="170"/>
      <c r="G826" s="170"/>
      <c r="H826" s="203"/>
      <c r="I826" s="197" t="str">
        <f t="shared" si="132"/>
        <v/>
      </c>
      <c r="J826" s="197" t="str">
        <f t="shared" si="133"/>
        <v/>
      </c>
      <c r="K826" s="197"/>
      <c r="L826" s="197"/>
      <c r="M826" s="198"/>
      <c r="N826" s="198"/>
      <c r="O826" s="198"/>
      <c r="P826" s="199"/>
      <c r="Q826" s="200"/>
      <c r="R826" s="200"/>
      <c r="S826" s="200"/>
      <c r="T826" s="200" t="str">
        <f t="shared" si="129"/>
        <v/>
      </c>
      <c r="U826" s="200"/>
      <c r="V826" s="201" t="str">
        <f t="shared" si="130"/>
        <v/>
      </c>
      <c r="W826" s="202">
        <f t="shared" si="131"/>
        <v>0</v>
      </c>
      <c r="X826" s="172"/>
    </row>
    <row r="827" spans="1:24" x14ac:dyDescent="0.45">
      <c r="A827" s="193">
        <v>65</v>
      </c>
      <c r="B827" s="194" t="str">
        <f t="shared" si="127"/>
        <v/>
      </c>
      <c r="C827" s="170" t="str">
        <f t="shared" si="128"/>
        <v/>
      </c>
      <c r="D827" s="170"/>
      <c r="E827" s="195"/>
      <c r="F827" s="170"/>
      <c r="G827" s="170"/>
      <c r="H827" s="203"/>
      <c r="I827" s="197" t="str">
        <f t="shared" si="132"/>
        <v/>
      </c>
      <c r="J827" s="197" t="str">
        <f t="shared" si="133"/>
        <v/>
      </c>
      <c r="K827" s="197"/>
      <c r="L827" s="197"/>
      <c r="M827" s="198"/>
      <c r="N827" s="198"/>
      <c r="O827" s="198"/>
      <c r="P827" s="199"/>
      <c r="Q827" s="200"/>
      <c r="R827" s="200"/>
      <c r="S827" s="200"/>
      <c r="T827" s="200" t="str">
        <f t="shared" si="129"/>
        <v/>
      </c>
      <c r="U827" s="200"/>
      <c r="V827" s="201" t="str">
        <f t="shared" ref="V827:V828" si="134">IF(U827="","",$V$743)</f>
        <v/>
      </c>
      <c r="W827" s="202">
        <f t="shared" si="131"/>
        <v>0</v>
      </c>
      <c r="X827" s="172"/>
    </row>
    <row r="828" spans="1:24" ht="14.25" customHeight="1" x14ac:dyDescent="0.45">
      <c r="A828" s="193">
        <v>66</v>
      </c>
      <c r="B828" s="204" t="str">
        <f t="shared" si="127"/>
        <v/>
      </c>
      <c r="C828" s="205" t="str">
        <f t="shared" si="128"/>
        <v/>
      </c>
      <c r="D828" s="205"/>
      <c r="E828" s="205"/>
      <c r="F828" s="205"/>
      <c r="G828" s="205"/>
      <c r="H828" s="205"/>
      <c r="I828" s="206" t="str">
        <f t="shared" si="132"/>
        <v/>
      </c>
      <c r="J828" s="206" t="str">
        <f t="shared" si="133"/>
        <v/>
      </c>
      <c r="K828" s="206"/>
      <c r="L828" s="206"/>
      <c r="M828" s="205"/>
      <c r="N828" s="205"/>
      <c r="O828" s="205"/>
      <c r="P828" s="205"/>
      <c r="Q828" s="205"/>
      <c r="R828" s="205"/>
      <c r="S828" s="205"/>
      <c r="T828" s="205" t="str">
        <f t="shared" si="129"/>
        <v/>
      </c>
      <c r="U828" s="205"/>
      <c r="V828" s="205" t="str">
        <f t="shared" si="134"/>
        <v/>
      </c>
      <c r="W828" s="207">
        <f t="shared" si="131"/>
        <v>0</v>
      </c>
      <c r="X828" s="207"/>
    </row>
    <row r="829" spans="1:24" ht="24.75" customHeight="1" x14ac:dyDescent="0.45">
      <c r="B829" s="428" t="s">
        <v>1517</v>
      </c>
      <c r="C829" s="429" t="s">
        <v>1494</v>
      </c>
      <c r="D829" s="429"/>
      <c r="E829" s="429"/>
      <c r="F829" s="429"/>
      <c r="G829" s="429"/>
      <c r="H829" s="429"/>
      <c r="I829" s="429"/>
      <c r="J829" s="429"/>
      <c r="K829" s="429"/>
      <c r="L829" s="429"/>
      <c r="M829" s="429"/>
      <c r="N829" s="429"/>
      <c r="O829" s="429"/>
      <c r="P829" s="429"/>
      <c r="Q829" s="429"/>
      <c r="R829" s="145" t="s">
        <v>1</v>
      </c>
      <c r="S829" s="146"/>
      <c r="T829" s="145" t="s">
        <v>8</v>
      </c>
      <c r="U829" s="147"/>
      <c r="V829" s="148" t="s">
        <v>3</v>
      </c>
      <c r="W829" s="146"/>
      <c r="X829" s="149"/>
    </row>
    <row r="830" spans="1:24" ht="24.75" customHeight="1" x14ac:dyDescent="0.45">
      <c r="B830" s="428"/>
      <c r="C830" s="429"/>
      <c r="D830" s="429"/>
      <c r="E830" s="429"/>
      <c r="F830" s="429"/>
      <c r="G830" s="429"/>
      <c r="H830" s="429"/>
      <c r="I830" s="429"/>
      <c r="J830" s="429"/>
      <c r="K830" s="429"/>
      <c r="L830" s="429"/>
      <c r="M830" s="429"/>
      <c r="N830" s="429"/>
      <c r="O830" s="429"/>
      <c r="P830" s="429"/>
      <c r="Q830" s="429"/>
      <c r="R830" s="430" t="s">
        <v>1495</v>
      </c>
      <c r="S830" s="430"/>
      <c r="T830" s="431" t="str">
        <f>'BM MORRO DA CRUZ - VERTICAL'!$V$4</f>
        <v>01-10-26 A 31-10-26</v>
      </c>
      <c r="U830" s="431"/>
      <c r="V830" s="432" t="str">
        <f>IF('BM MORRO DA CRUZ - VERTICAL'!$BF$2="","",'BM MORRO DA CRUZ - VERTICAL'!$BF$2)</f>
        <v/>
      </c>
      <c r="W830" s="432"/>
      <c r="X830" s="150"/>
    </row>
    <row r="831" spans="1:24" ht="24.75" customHeight="1" x14ac:dyDescent="0.45">
      <c r="B831" s="151" t="s">
        <v>5</v>
      </c>
      <c r="C831" s="152"/>
      <c r="D831" s="152"/>
      <c r="E831" s="152"/>
      <c r="F831" s="152"/>
      <c r="G831" s="152"/>
      <c r="H831" s="152"/>
      <c r="I831" s="152"/>
      <c r="J831" s="152"/>
      <c r="K831" s="152"/>
      <c r="L831" s="152"/>
      <c r="M831" s="152"/>
      <c r="N831" s="152"/>
      <c r="O831" s="152"/>
      <c r="P831" s="153"/>
      <c r="Q831" s="154"/>
      <c r="R831" s="155"/>
      <c r="S831" s="155"/>
      <c r="T831" s="156" t="s">
        <v>1496</v>
      </c>
      <c r="U831" s="157"/>
      <c r="V831" s="158" t="s">
        <v>9</v>
      </c>
      <c r="W831" s="159"/>
      <c r="X831" s="433"/>
    </row>
    <row r="832" spans="1:24" ht="24.75" customHeight="1" x14ac:dyDescent="0.45">
      <c r="B832" s="17" t="s">
        <v>11</v>
      </c>
      <c r="C832" s="160"/>
      <c r="D832" s="160"/>
      <c r="E832" s="160"/>
      <c r="F832" s="160"/>
      <c r="G832" s="160"/>
      <c r="H832" s="160"/>
      <c r="I832" s="160"/>
      <c r="J832" s="160"/>
      <c r="K832" s="160"/>
      <c r="L832" s="160"/>
      <c r="M832" s="160"/>
      <c r="N832" s="160"/>
      <c r="O832" s="160"/>
      <c r="P832" s="161"/>
      <c r="Q832" s="162"/>
      <c r="R832" s="163"/>
      <c r="S832" s="163"/>
      <c r="T832" s="434" t="str">
        <f>'BM MORRO DA CRUZ - VERTICAL'!$V$2</f>
        <v>1ª MEDIÇÃO</v>
      </c>
      <c r="U832" s="434"/>
      <c r="V832" s="435" t="s">
        <v>13</v>
      </c>
      <c r="W832" s="435"/>
      <c r="X832" s="433"/>
    </row>
    <row r="833" spans="2:24" ht="24.75" customHeight="1" x14ac:dyDescent="0.45">
      <c r="B833" s="164" t="s">
        <v>1459</v>
      </c>
      <c r="C833" s="165" t="s">
        <v>14</v>
      </c>
      <c r="D833" s="165" t="s">
        <v>24</v>
      </c>
      <c r="E833" s="165" t="s">
        <v>25</v>
      </c>
      <c r="F833" s="166" t="s">
        <v>1461</v>
      </c>
      <c r="G833" s="165"/>
      <c r="H833" s="165"/>
      <c r="I833" s="165"/>
      <c r="J833" s="165"/>
      <c r="K833" s="165"/>
      <c r="L833" s="165"/>
      <c r="M833" s="165"/>
      <c r="N833" s="165"/>
      <c r="O833" s="165"/>
      <c r="P833" s="165"/>
      <c r="Q833" s="165"/>
      <c r="R833" s="165"/>
      <c r="S833" s="165"/>
      <c r="T833" s="165"/>
      <c r="U833" s="165"/>
      <c r="V833" s="165" t="s">
        <v>26</v>
      </c>
      <c r="W833" s="167" t="s">
        <v>29</v>
      </c>
      <c r="X833" s="168"/>
    </row>
    <row r="834" spans="2:24" ht="24.75" customHeight="1" x14ac:dyDescent="0.45">
      <c r="B834" s="169"/>
      <c r="C834" s="170"/>
      <c r="D834" s="170"/>
      <c r="E834" s="170"/>
      <c r="F834" s="170"/>
      <c r="G834" s="170"/>
      <c r="H834" s="170"/>
      <c r="I834" s="170"/>
      <c r="J834" s="170"/>
      <c r="K834" s="170"/>
      <c r="L834" s="170"/>
      <c r="M834" s="170"/>
      <c r="N834" s="170"/>
      <c r="O834" s="170"/>
      <c r="P834" s="170"/>
      <c r="Q834" s="170"/>
      <c r="R834" s="170"/>
      <c r="S834" s="170"/>
      <c r="T834" s="170"/>
      <c r="U834" s="170"/>
      <c r="V834" s="170"/>
      <c r="W834" s="171"/>
      <c r="X834" s="172"/>
    </row>
    <row r="835" spans="2:24" ht="24.75" customHeight="1" x14ac:dyDescent="0.45">
      <c r="B835" s="173" t="str">
        <f>IF($C$835="","",IFERROR(INDEX('BM MORRO DA CRUZ - VERTICAL'!$C$6:$C$546,MATCH($C$835,'BM MORRO DA CRUZ - VERTICAL'!$D$6:$D$546,0)),"CHAVE NÃO ENCONTRADA NO VERTICAL"))</f>
        <v/>
      </c>
      <c r="C835" s="174"/>
      <c r="D835" s="175" t="str">
        <f>IF($C$835="","",IFERROR(INDEX('BM MORRO DA CRUZ - VERTICAL'!$O$6:$O$546,MATCH($C$835,'BM MORRO DA CRUZ - VERTICAL'!$D$6:$D$546,0)),"CHAVE NÃO ENCONTRADA NO VERTICAL"))</f>
        <v/>
      </c>
      <c r="E835" s="175" t="str">
        <f>IF($C$835="","",IFERROR(INDEX('BM MORRO DA CRUZ - VERTICAL'!$P$6:$P$546,MATCH($C$835,'BM MORRO DA CRUZ - VERTICAL'!$D$6:$D$546,0)),"CHAVE NÃO ENCONTRADA NO VERTICAL"))</f>
        <v/>
      </c>
      <c r="F835" s="175" t="str">
        <f>IF($C$835="","",IFERROR(INDEX('BM MORRO DA CRUZ - VERTICAL'!$Q$6:$Q$546,MATCH($C$835,'BM MORRO DA CRUZ - VERTICAL'!$D$6:$D$546,0)),"CHAVE NÃO ENCONTRADA NO VERTICAL"))</f>
        <v/>
      </c>
      <c r="G835" s="176"/>
      <c r="H835" s="176"/>
      <c r="I835" s="176"/>
      <c r="J835" s="176"/>
      <c r="K835" s="176"/>
      <c r="L835" s="176"/>
      <c r="M835" s="176"/>
      <c r="N835" s="176"/>
      <c r="O835" s="176"/>
      <c r="P835" s="176"/>
      <c r="Q835" s="176"/>
      <c r="R835" s="176"/>
      <c r="S835" s="176"/>
      <c r="T835" s="176"/>
      <c r="U835" s="176"/>
      <c r="V835" s="177" t="str">
        <f>IF($C$835="","",IFERROR(INDEX('BM MORRO DA CRUZ - VERTICAL'!$R$6:$R$546,MATCH($C$835,'BM MORRO DA CRUZ - VERTICAL'!$D$6:$D$546,0)),"CHAVE NÃO ENCONTRADA NO VERTICAL"))</f>
        <v/>
      </c>
      <c r="W835" s="178">
        <f>SUM($W855:$W920)</f>
        <v>0</v>
      </c>
      <c r="X835" s="179"/>
    </row>
    <row r="836" spans="2:24" ht="24.75" customHeight="1" x14ac:dyDescent="0.45">
      <c r="B836" s="426" t="s">
        <v>1497</v>
      </c>
      <c r="C836" s="426"/>
      <c r="D836" s="426"/>
      <c r="E836" s="426"/>
      <c r="F836" s="426"/>
      <c r="G836" s="426"/>
      <c r="H836" s="426"/>
      <c r="I836" s="426"/>
      <c r="J836" s="426"/>
      <c r="K836" s="426"/>
      <c r="L836" s="426"/>
      <c r="M836" s="426"/>
      <c r="N836" s="426"/>
      <c r="O836" s="426"/>
      <c r="P836" s="426"/>
      <c r="Q836" s="426"/>
      <c r="R836" s="426"/>
      <c r="S836" s="426"/>
      <c r="T836" s="426"/>
      <c r="U836" s="426"/>
      <c r="V836" s="426"/>
      <c r="W836" s="426"/>
      <c r="X836" s="180" t="s">
        <v>1498</v>
      </c>
    </row>
    <row r="837" spans="2:24" ht="14.25" customHeight="1" x14ac:dyDescent="0.45">
      <c r="B837" s="181"/>
      <c r="C837" s="182"/>
      <c r="D837" s="182"/>
      <c r="E837" s="182"/>
      <c r="F837" s="182"/>
      <c r="G837" s="182"/>
      <c r="H837" s="182"/>
      <c r="I837" s="182"/>
      <c r="J837" s="182"/>
      <c r="K837" s="182"/>
      <c r="L837" s="182"/>
      <c r="M837" s="182"/>
      <c r="N837" s="182"/>
      <c r="O837" s="182"/>
      <c r="P837" s="182"/>
      <c r="Q837" s="182"/>
      <c r="R837" s="182"/>
      <c r="S837" s="182"/>
      <c r="T837" s="182"/>
      <c r="U837" s="182"/>
      <c r="V837" s="182"/>
      <c r="W837" s="183"/>
      <c r="X837" s="427"/>
    </row>
    <row r="838" spans="2:24" x14ac:dyDescent="0.45">
      <c r="B838" s="181"/>
      <c r="C838" s="182"/>
      <c r="D838" s="182"/>
      <c r="E838" s="182"/>
      <c r="F838" s="182"/>
      <c r="G838" s="182"/>
      <c r="H838" s="182"/>
      <c r="I838" s="182"/>
      <c r="J838" s="182"/>
      <c r="K838" s="182"/>
      <c r="L838" s="182"/>
      <c r="M838" s="182"/>
      <c r="N838" s="182"/>
      <c r="O838" s="182"/>
      <c r="P838" s="182"/>
      <c r="Q838" s="182"/>
      <c r="R838" s="182"/>
      <c r="S838" s="182"/>
      <c r="T838" s="182"/>
      <c r="U838" s="182"/>
      <c r="V838" s="182"/>
      <c r="W838" s="183"/>
      <c r="X838" s="427"/>
    </row>
    <row r="839" spans="2:24" x14ac:dyDescent="0.45">
      <c r="B839" s="181"/>
      <c r="C839" s="182"/>
      <c r="D839" s="182"/>
      <c r="E839" s="182"/>
      <c r="F839" s="182"/>
      <c r="G839" s="182"/>
      <c r="H839" s="182"/>
      <c r="I839" s="182"/>
      <c r="J839" s="182"/>
      <c r="K839" s="182"/>
      <c r="L839" s="182"/>
      <c r="M839" s="182"/>
      <c r="N839" s="182"/>
      <c r="O839" s="182"/>
      <c r="P839" s="182"/>
      <c r="Q839" s="182"/>
      <c r="R839" s="182"/>
      <c r="S839" s="182"/>
      <c r="T839" s="182"/>
      <c r="U839" s="182"/>
      <c r="V839" s="182"/>
      <c r="W839" s="183"/>
      <c r="X839" s="427"/>
    </row>
    <row r="840" spans="2:24" x14ac:dyDescent="0.45">
      <c r="B840" s="181"/>
      <c r="C840" s="182"/>
      <c r="D840" s="182"/>
      <c r="E840" s="182"/>
      <c r="F840" s="182"/>
      <c r="G840" s="182"/>
      <c r="H840" s="182"/>
      <c r="I840" s="182"/>
      <c r="J840" s="182"/>
      <c r="K840" s="182"/>
      <c r="L840" s="182"/>
      <c r="M840" s="182"/>
      <c r="N840" s="182"/>
      <c r="O840" s="182"/>
      <c r="P840" s="182"/>
      <c r="Q840" s="182"/>
      <c r="R840" s="182"/>
      <c r="S840" s="182"/>
      <c r="T840" s="182"/>
      <c r="U840" s="182"/>
      <c r="V840" s="182"/>
      <c r="W840" s="183"/>
      <c r="X840" s="427"/>
    </row>
    <row r="841" spans="2:24" x14ac:dyDescent="0.45">
      <c r="B841" s="181"/>
      <c r="C841" s="182"/>
      <c r="D841" s="182"/>
      <c r="E841" s="182"/>
      <c r="F841" s="182"/>
      <c r="G841" s="182"/>
      <c r="H841" s="182"/>
      <c r="I841" s="182"/>
      <c r="J841" s="182"/>
      <c r="K841" s="182"/>
      <c r="L841" s="182"/>
      <c r="M841" s="182"/>
      <c r="N841" s="182"/>
      <c r="O841" s="182"/>
      <c r="P841" s="182"/>
      <c r="Q841" s="182"/>
      <c r="R841" s="182"/>
      <c r="S841" s="182"/>
      <c r="T841" s="182"/>
      <c r="U841" s="182"/>
      <c r="V841" s="182"/>
      <c r="W841" s="183"/>
      <c r="X841" s="427"/>
    </row>
    <row r="842" spans="2:24" x14ac:dyDescent="0.45">
      <c r="B842" s="181"/>
      <c r="C842" s="182"/>
      <c r="D842" s="182"/>
      <c r="E842" s="182"/>
      <c r="F842" s="182"/>
      <c r="G842" s="182"/>
      <c r="H842" s="182"/>
      <c r="I842" s="182"/>
      <c r="J842" s="182"/>
      <c r="K842" s="182"/>
      <c r="L842" s="182"/>
      <c r="M842" s="182"/>
      <c r="N842" s="182"/>
      <c r="O842" s="182"/>
      <c r="P842" s="182"/>
      <c r="Q842" s="182"/>
      <c r="R842" s="182"/>
      <c r="S842" s="182"/>
      <c r="T842" s="182"/>
      <c r="U842" s="182"/>
      <c r="V842" s="182"/>
      <c r="W842" s="183"/>
      <c r="X842" s="427"/>
    </row>
    <row r="843" spans="2:24" x14ac:dyDescent="0.45">
      <c r="B843" s="181"/>
      <c r="C843" s="182"/>
      <c r="D843" s="182"/>
      <c r="E843" s="182"/>
      <c r="F843" s="182"/>
      <c r="G843" s="182"/>
      <c r="H843" s="182"/>
      <c r="I843" s="182"/>
      <c r="J843" s="182"/>
      <c r="K843" s="182"/>
      <c r="L843" s="182"/>
      <c r="M843" s="182"/>
      <c r="N843" s="182"/>
      <c r="O843" s="182"/>
      <c r="P843" s="182"/>
      <c r="Q843" s="182"/>
      <c r="R843" s="182"/>
      <c r="S843" s="182"/>
      <c r="T843" s="182"/>
      <c r="U843" s="182"/>
      <c r="V843" s="182"/>
      <c r="W843" s="183"/>
      <c r="X843" s="427"/>
    </row>
    <row r="844" spans="2:24" x14ac:dyDescent="0.45">
      <c r="B844" s="181"/>
      <c r="C844" s="182"/>
      <c r="D844" s="182"/>
      <c r="E844" s="182"/>
      <c r="F844" s="182"/>
      <c r="G844" s="182"/>
      <c r="H844" s="182"/>
      <c r="I844" s="182"/>
      <c r="J844" s="182"/>
      <c r="K844" s="182"/>
      <c r="L844" s="182"/>
      <c r="M844" s="182"/>
      <c r="N844" s="182"/>
      <c r="O844" s="182"/>
      <c r="P844" s="182"/>
      <c r="Q844" s="182"/>
      <c r="R844" s="182"/>
      <c r="S844" s="182"/>
      <c r="T844" s="182"/>
      <c r="U844" s="182"/>
      <c r="V844" s="182"/>
      <c r="W844" s="183"/>
      <c r="X844" s="427"/>
    </row>
    <row r="845" spans="2:24" x14ac:dyDescent="0.45">
      <c r="B845" s="181"/>
      <c r="C845" s="182"/>
      <c r="D845" s="182"/>
      <c r="E845" s="182"/>
      <c r="F845" s="182"/>
      <c r="G845" s="182"/>
      <c r="H845" s="182"/>
      <c r="I845" s="182"/>
      <c r="J845" s="182"/>
      <c r="K845" s="182"/>
      <c r="L845" s="182"/>
      <c r="M845" s="182"/>
      <c r="N845" s="182"/>
      <c r="O845" s="182"/>
      <c r="P845" s="182"/>
      <c r="Q845" s="182"/>
      <c r="R845" s="182"/>
      <c r="S845" s="182"/>
      <c r="T845" s="182"/>
      <c r="U845" s="182"/>
      <c r="V845" s="182"/>
      <c r="W845" s="183"/>
      <c r="X845" s="427"/>
    </row>
    <row r="846" spans="2:24" x14ac:dyDescent="0.45">
      <c r="B846" s="181"/>
      <c r="C846" s="182"/>
      <c r="D846" s="182"/>
      <c r="E846" s="182"/>
      <c r="F846" s="182"/>
      <c r="G846" s="182"/>
      <c r="H846" s="182"/>
      <c r="I846" s="182"/>
      <c r="J846" s="182"/>
      <c r="K846" s="182"/>
      <c r="L846" s="182"/>
      <c r="M846" s="182"/>
      <c r="N846" s="182"/>
      <c r="O846" s="182"/>
      <c r="P846" s="182"/>
      <c r="Q846" s="182"/>
      <c r="R846" s="182"/>
      <c r="S846" s="182"/>
      <c r="T846" s="182"/>
      <c r="U846" s="182"/>
      <c r="V846" s="182"/>
      <c r="W846" s="183"/>
      <c r="X846" s="427"/>
    </row>
    <row r="847" spans="2:24" x14ac:dyDescent="0.45">
      <c r="B847" s="181"/>
      <c r="C847" s="182"/>
      <c r="D847" s="182"/>
      <c r="E847" s="182"/>
      <c r="F847" s="182"/>
      <c r="G847" s="182"/>
      <c r="H847" s="182"/>
      <c r="I847" s="182"/>
      <c r="J847" s="182"/>
      <c r="K847" s="182"/>
      <c r="L847" s="182"/>
      <c r="M847" s="182"/>
      <c r="N847" s="182"/>
      <c r="O847" s="182"/>
      <c r="P847" s="182"/>
      <c r="Q847" s="182"/>
      <c r="R847" s="182"/>
      <c r="S847" s="182"/>
      <c r="T847" s="182"/>
      <c r="U847" s="182"/>
      <c r="V847" s="182"/>
      <c r="W847" s="183"/>
      <c r="X847" s="427"/>
    </row>
    <row r="848" spans="2:24" x14ac:dyDescent="0.45">
      <c r="B848" s="181"/>
      <c r="C848" s="182"/>
      <c r="D848" s="182"/>
      <c r="E848" s="182"/>
      <c r="F848" s="182"/>
      <c r="G848" s="182"/>
      <c r="H848" s="182"/>
      <c r="I848" s="182"/>
      <c r="J848" s="182"/>
      <c r="K848" s="182"/>
      <c r="L848" s="182"/>
      <c r="M848" s="182"/>
      <c r="N848" s="182"/>
      <c r="O848" s="182"/>
      <c r="P848" s="182"/>
      <c r="Q848" s="182"/>
      <c r="R848" s="182"/>
      <c r="S848" s="182"/>
      <c r="T848" s="182"/>
      <c r="U848" s="182"/>
      <c r="V848" s="182"/>
      <c r="W848" s="183"/>
      <c r="X848" s="427"/>
    </row>
    <row r="849" spans="1:24" x14ac:dyDescent="0.45">
      <c r="B849" s="181"/>
      <c r="C849" s="182"/>
      <c r="D849" s="182"/>
      <c r="E849" s="182"/>
      <c r="F849" s="182"/>
      <c r="G849" s="182"/>
      <c r="H849" s="182"/>
      <c r="I849" s="182"/>
      <c r="J849" s="182"/>
      <c r="K849" s="182"/>
      <c r="L849" s="182"/>
      <c r="M849" s="182"/>
      <c r="N849" s="182"/>
      <c r="O849" s="182"/>
      <c r="P849" s="182"/>
      <c r="Q849" s="182"/>
      <c r="R849" s="182"/>
      <c r="S849" s="182"/>
      <c r="T849" s="182"/>
      <c r="U849" s="182"/>
      <c r="V849" s="182"/>
      <c r="W849" s="183"/>
      <c r="X849" s="427"/>
    </row>
    <row r="850" spans="1:24" x14ac:dyDescent="0.45">
      <c r="B850" s="181"/>
      <c r="C850" s="182"/>
      <c r="D850" s="182"/>
      <c r="E850" s="182"/>
      <c r="F850" s="182"/>
      <c r="G850" s="182"/>
      <c r="H850" s="182"/>
      <c r="I850" s="182"/>
      <c r="J850" s="182"/>
      <c r="K850" s="182"/>
      <c r="L850" s="182"/>
      <c r="M850" s="182"/>
      <c r="N850" s="182"/>
      <c r="O850" s="182"/>
      <c r="P850" s="182"/>
      <c r="Q850" s="182"/>
      <c r="R850" s="182"/>
      <c r="S850" s="182"/>
      <c r="T850" s="182"/>
      <c r="U850" s="182"/>
      <c r="V850" s="182"/>
      <c r="W850" s="183"/>
      <c r="X850" s="427"/>
    </row>
    <row r="851" spans="1:24" x14ac:dyDescent="0.45">
      <c r="B851" s="181"/>
      <c r="C851" s="182"/>
      <c r="D851" s="182"/>
      <c r="E851" s="182"/>
      <c r="F851" s="182"/>
      <c r="G851" s="182"/>
      <c r="H851" s="182"/>
      <c r="I851" s="182"/>
      <c r="J851" s="182"/>
      <c r="K851" s="182"/>
      <c r="L851" s="182"/>
      <c r="M851" s="182"/>
      <c r="N851" s="182"/>
      <c r="O851" s="182"/>
      <c r="P851" s="182"/>
      <c r="Q851" s="182"/>
      <c r="R851" s="182"/>
      <c r="S851" s="182"/>
      <c r="T851" s="182"/>
      <c r="U851" s="182"/>
      <c r="V851" s="182"/>
      <c r="W851" s="183"/>
      <c r="X851" s="427"/>
    </row>
    <row r="852" spans="1:24" x14ac:dyDescent="0.45">
      <c r="B852" s="181"/>
      <c r="C852" s="182"/>
      <c r="D852" s="182"/>
      <c r="E852" s="182"/>
      <c r="F852" s="182"/>
      <c r="G852" s="182"/>
      <c r="H852" s="182"/>
      <c r="I852" s="182"/>
      <c r="J852" s="182"/>
      <c r="K852" s="182"/>
      <c r="L852" s="182"/>
      <c r="M852" s="182"/>
      <c r="N852" s="182"/>
      <c r="O852" s="182"/>
      <c r="P852" s="182"/>
      <c r="Q852" s="182"/>
      <c r="R852" s="182"/>
      <c r="S852" s="182"/>
      <c r="T852" s="182"/>
      <c r="U852" s="182"/>
      <c r="V852" s="182"/>
      <c r="W852" s="183"/>
      <c r="X852" s="427"/>
    </row>
    <row r="853" spans="1:24" x14ac:dyDescent="0.45">
      <c r="B853" s="184"/>
      <c r="C853" s="185" t="s">
        <v>1499</v>
      </c>
      <c r="D853" s="185"/>
      <c r="E853" s="185"/>
      <c r="F853" s="185"/>
      <c r="G853" s="185"/>
      <c r="H853" s="185"/>
      <c r="I853" s="185"/>
      <c r="J853" s="185"/>
      <c r="K853" s="185"/>
      <c r="L853" s="185"/>
      <c r="M853" s="185"/>
      <c r="N853" s="185"/>
      <c r="O853" s="185"/>
      <c r="P853" s="185"/>
      <c r="Q853" s="185"/>
      <c r="R853" s="185"/>
      <c r="S853" s="185"/>
      <c r="T853" s="185"/>
      <c r="U853" s="185"/>
      <c r="V853" s="185"/>
      <c r="W853" s="186"/>
      <c r="X853" s="187"/>
    </row>
    <row r="854" spans="1:24" ht="26.65" x14ac:dyDescent="0.45">
      <c r="B854" s="188" t="s">
        <v>1458</v>
      </c>
      <c r="C854" s="185" t="s">
        <v>1459</v>
      </c>
      <c r="D854" s="185"/>
      <c r="E854" s="185" t="s">
        <v>1500</v>
      </c>
      <c r="F854" s="185"/>
      <c r="G854" s="185" t="s">
        <v>1501</v>
      </c>
      <c r="H854" s="189" t="s">
        <v>1502</v>
      </c>
      <c r="I854" s="185" t="s">
        <v>1503</v>
      </c>
      <c r="J854" s="185" t="s">
        <v>1504</v>
      </c>
      <c r="K854" s="189" t="s">
        <v>1505</v>
      </c>
      <c r="L854" s="189" t="s">
        <v>1504</v>
      </c>
      <c r="M854" s="189"/>
      <c r="N854" s="189" t="s">
        <v>1506</v>
      </c>
      <c r="O854" s="189"/>
      <c r="P854" s="190"/>
      <c r="Q854" s="189"/>
      <c r="R854" s="189"/>
      <c r="S854" s="189"/>
      <c r="T854" s="189" t="s">
        <v>1507</v>
      </c>
      <c r="U854" s="189" t="s">
        <v>27</v>
      </c>
      <c r="V854" s="189" t="s">
        <v>26</v>
      </c>
      <c r="W854" s="191" t="s">
        <v>1508</v>
      </c>
      <c r="X854" s="192"/>
    </row>
    <row r="855" spans="1:24" x14ac:dyDescent="0.45">
      <c r="A855" s="193">
        <v>1</v>
      </c>
      <c r="B855" s="194" t="str">
        <f t="shared" ref="B855:B886" si="135">IF(OR($C$835="",U855=""),"",LEFT($C$835,FIND("_",$C$835)-1))</f>
        <v/>
      </c>
      <c r="C855" s="170" t="str">
        <f t="shared" ref="C855:C886" si="136">IF(OR($C$835="",U855=""),"",$B$835)</f>
        <v/>
      </c>
      <c r="D855" s="170"/>
      <c r="E855" s="195"/>
      <c r="F855" s="195"/>
      <c r="G855" s="196"/>
      <c r="H855" s="197"/>
      <c r="I855" s="197"/>
      <c r="J855" s="197"/>
      <c r="K855" s="197"/>
      <c r="L855" s="197"/>
      <c r="M855" s="198"/>
      <c r="N855" s="198"/>
      <c r="O855" s="198"/>
      <c r="P855" s="199"/>
      <c r="Q855" s="200"/>
      <c r="R855" s="200"/>
      <c r="S855" s="200"/>
      <c r="T855" s="200" t="str">
        <f t="shared" ref="T855:T886" si="137">IF(K855="","",((K855*20)+L855)-((I855*20)+J855))</f>
        <v/>
      </c>
      <c r="U855" s="200"/>
      <c r="V855" s="201" t="str">
        <f t="shared" ref="V855:V886" si="138">IF(U855="","",$V$835)</f>
        <v/>
      </c>
      <c r="W855" s="202">
        <f t="shared" ref="W855:W886" si="139">IF(OR(T855="",U855=""),0,T855*U855)</f>
        <v>0</v>
      </c>
      <c r="X855" s="172"/>
    </row>
    <row r="856" spans="1:24" x14ac:dyDescent="0.45">
      <c r="A856" s="193">
        <v>2</v>
      </c>
      <c r="B856" s="194" t="str">
        <f t="shared" si="135"/>
        <v/>
      </c>
      <c r="C856" s="170" t="str">
        <f t="shared" si="136"/>
        <v/>
      </c>
      <c r="D856" s="170"/>
      <c r="E856" s="195"/>
      <c r="F856" s="195"/>
      <c r="G856" s="196"/>
      <c r="H856" s="197"/>
      <c r="I856" s="197" t="str">
        <f t="shared" ref="I856:I887" si="140">IF(K855="","",K855)</f>
        <v/>
      </c>
      <c r="J856" s="197" t="str">
        <f t="shared" ref="J856:J887" si="141">IF(L855="","",L855)</f>
        <v/>
      </c>
      <c r="K856" s="197"/>
      <c r="L856" s="197"/>
      <c r="M856" s="198"/>
      <c r="N856" s="198"/>
      <c r="O856" s="198"/>
      <c r="P856" s="199"/>
      <c r="Q856" s="200"/>
      <c r="R856" s="200"/>
      <c r="S856" s="200"/>
      <c r="T856" s="200" t="str">
        <f t="shared" si="137"/>
        <v/>
      </c>
      <c r="U856" s="200"/>
      <c r="V856" s="201" t="str">
        <f t="shared" si="138"/>
        <v/>
      </c>
      <c r="W856" s="202">
        <f t="shared" si="139"/>
        <v>0</v>
      </c>
      <c r="X856" s="172"/>
    </row>
    <row r="857" spans="1:24" x14ac:dyDescent="0.45">
      <c r="A857" s="193">
        <v>3</v>
      </c>
      <c r="B857" s="194" t="str">
        <f t="shared" si="135"/>
        <v/>
      </c>
      <c r="C857" s="170" t="str">
        <f t="shared" si="136"/>
        <v/>
      </c>
      <c r="D857" s="170"/>
      <c r="E857" s="195"/>
      <c r="F857" s="195"/>
      <c r="G857" s="196"/>
      <c r="H857" s="197"/>
      <c r="I857" s="197" t="str">
        <f t="shared" si="140"/>
        <v/>
      </c>
      <c r="J857" s="197" t="str">
        <f t="shared" si="141"/>
        <v/>
      </c>
      <c r="K857" s="197"/>
      <c r="L857" s="197"/>
      <c r="M857" s="198"/>
      <c r="N857" s="198"/>
      <c r="O857" s="198"/>
      <c r="P857" s="199"/>
      <c r="Q857" s="200"/>
      <c r="R857" s="200"/>
      <c r="S857" s="200"/>
      <c r="T857" s="200" t="str">
        <f t="shared" si="137"/>
        <v/>
      </c>
      <c r="U857" s="200"/>
      <c r="V857" s="201" t="str">
        <f t="shared" si="138"/>
        <v/>
      </c>
      <c r="W857" s="202">
        <f t="shared" si="139"/>
        <v>0</v>
      </c>
      <c r="X857" s="172"/>
    </row>
    <row r="858" spans="1:24" x14ac:dyDescent="0.45">
      <c r="A858" s="193">
        <v>4</v>
      </c>
      <c r="B858" s="194" t="str">
        <f t="shared" si="135"/>
        <v/>
      </c>
      <c r="C858" s="170" t="str">
        <f t="shared" si="136"/>
        <v/>
      </c>
      <c r="D858" s="170"/>
      <c r="E858" s="195"/>
      <c r="F858" s="195"/>
      <c r="G858" s="196"/>
      <c r="H858" s="197"/>
      <c r="I858" s="197" t="str">
        <f t="shared" si="140"/>
        <v/>
      </c>
      <c r="J858" s="197" t="str">
        <f t="shared" si="141"/>
        <v/>
      </c>
      <c r="K858" s="197"/>
      <c r="L858" s="197"/>
      <c r="M858" s="198"/>
      <c r="N858" s="198"/>
      <c r="O858" s="198"/>
      <c r="P858" s="199"/>
      <c r="Q858" s="200"/>
      <c r="R858" s="200"/>
      <c r="S858" s="200"/>
      <c r="T858" s="200" t="str">
        <f t="shared" si="137"/>
        <v/>
      </c>
      <c r="U858" s="200"/>
      <c r="V858" s="201" t="str">
        <f t="shared" si="138"/>
        <v/>
      </c>
      <c r="W858" s="202">
        <f t="shared" si="139"/>
        <v>0</v>
      </c>
      <c r="X858" s="172"/>
    </row>
    <row r="859" spans="1:24" x14ac:dyDescent="0.45">
      <c r="A859" s="193">
        <v>5</v>
      </c>
      <c r="B859" s="194" t="str">
        <f t="shared" si="135"/>
        <v/>
      </c>
      <c r="C859" s="170" t="str">
        <f t="shared" si="136"/>
        <v/>
      </c>
      <c r="D859" s="170"/>
      <c r="E859" s="195"/>
      <c r="F859" s="195"/>
      <c r="G859" s="196"/>
      <c r="H859" s="197"/>
      <c r="I859" s="197" t="str">
        <f t="shared" si="140"/>
        <v/>
      </c>
      <c r="J859" s="197" t="str">
        <f t="shared" si="141"/>
        <v/>
      </c>
      <c r="K859" s="197"/>
      <c r="L859" s="197"/>
      <c r="M859" s="198"/>
      <c r="N859" s="198"/>
      <c r="O859" s="198"/>
      <c r="P859" s="199"/>
      <c r="Q859" s="200"/>
      <c r="R859" s="200"/>
      <c r="S859" s="200"/>
      <c r="T859" s="200" t="str">
        <f t="shared" si="137"/>
        <v/>
      </c>
      <c r="U859" s="200"/>
      <c r="V859" s="201" t="str">
        <f t="shared" si="138"/>
        <v/>
      </c>
      <c r="W859" s="202">
        <f t="shared" si="139"/>
        <v>0</v>
      </c>
      <c r="X859" s="172"/>
    </row>
    <row r="860" spans="1:24" x14ac:dyDescent="0.45">
      <c r="A860" s="193">
        <v>6</v>
      </c>
      <c r="B860" s="194" t="str">
        <f t="shared" si="135"/>
        <v/>
      </c>
      <c r="C860" s="170" t="str">
        <f t="shared" si="136"/>
        <v/>
      </c>
      <c r="D860" s="170"/>
      <c r="E860" s="195"/>
      <c r="F860" s="195"/>
      <c r="G860" s="196"/>
      <c r="H860" s="197"/>
      <c r="I860" s="197" t="str">
        <f t="shared" si="140"/>
        <v/>
      </c>
      <c r="J860" s="197" t="str">
        <f t="shared" si="141"/>
        <v/>
      </c>
      <c r="K860" s="197"/>
      <c r="L860" s="197"/>
      <c r="M860" s="198"/>
      <c r="N860" s="198"/>
      <c r="O860" s="198"/>
      <c r="P860" s="199"/>
      <c r="Q860" s="200"/>
      <c r="R860" s="200"/>
      <c r="S860" s="200"/>
      <c r="T860" s="200" t="str">
        <f t="shared" si="137"/>
        <v/>
      </c>
      <c r="U860" s="200"/>
      <c r="V860" s="201" t="str">
        <f t="shared" si="138"/>
        <v/>
      </c>
      <c r="W860" s="202">
        <f t="shared" si="139"/>
        <v>0</v>
      </c>
      <c r="X860" s="172"/>
    </row>
    <row r="861" spans="1:24" x14ac:dyDescent="0.45">
      <c r="A861" s="193">
        <v>7</v>
      </c>
      <c r="B861" s="194" t="str">
        <f t="shared" si="135"/>
        <v/>
      </c>
      <c r="C861" s="170" t="str">
        <f t="shared" si="136"/>
        <v/>
      </c>
      <c r="D861" s="170"/>
      <c r="E861" s="195"/>
      <c r="F861" s="195"/>
      <c r="G861" s="196"/>
      <c r="H861" s="197"/>
      <c r="I861" s="197" t="str">
        <f t="shared" si="140"/>
        <v/>
      </c>
      <c r="J861" s="197" t="str">
        <f t="shared" si="141"/>
        <v/>
      </c>
      <c r="K861" s="197"/>
      <c r="L861" s="197"/>
      <c r="M861" s="198"/>
      <c r="N861" s="198"/>
      <c r="O861" s="198"/>
      <c r="P861" s="199"/>
      <c r="Q861" s="200"/>
      <c r="R861" s="200"/>
      <c r="S861" s="200"/>
      <c r="T861" s="200" t="str">
        <f t="shared" si="137"/>
        <v/>
      </c>
      <c r="U861" s="200"/>
      <c r="V861" s="201" t="str">
        <f t="shared" si="138"/>
        <v/>
      </c>
      <c r="W861" s="202">
        <f t="shared" si="139"/>
        <v>0</v>
      </c>
      <c r="X861" s="172"/>
    </row>
    <row r="862" spans="1:24" x14ac:dyDescent="0.45">
      <c r="A862" s="193">
        <v>8</v>
      </c>
      <c r="B862" s="194" t="str">
        <f t="shared" si="135"/>
        <v/>
      </c>
      <c r="C862" s="170" t="str">
        <f t="shared" si="136"/>
        <v/>
      </c>
      <c r="D862" s="170"/>
      <c r="E862" s="195"/>
      <c r="F862" s="195"/>
      <c r="G862" s="196"/>
      <c r="H862" s="197"/>
      <c r="I862" s="197" t="str">
        <f t="shared" si="140"/>
        <v/>
      </c>
      <c r="J862" s="197" t="str">
        <f t="shared" si="141"/>
        <v/>
      </c>
      <c r="K862" s="197"/>
      <c r="L862" s="197"/>
      <c r="M862" s="198"/>
      <c r="N862" s="198"/>
      <c r="O862" s="198"/>
      <c r="P862" s="199"/>
      <c r="Q862" s="200"/>
      <c r="R862" s="200"/>
      <c r="S862" s="200"/>
      <c r="T862" s="200" t="str">
        <f t="shared" si="137"/>
        <v/>
      </c>
      <c r="U862" s="200"/>
      <c r="V862" s="201" t="str">
        <f t="shared" si="138"/>
        <v/>
      </c>
      <c r="W862" s="202">
        <f t="shared" si="139"/>
        <v>0</v>
      </c>
      <c r="X862" s="172"/>
    </row>
    <row r="863" spans="1:24" x14ac:dyDescent="0.45">
      <c r="A863" s="193">
        <v>9</v>
      </c>
      <c r="B863" s="194" t="str">
        <f t="shared" si="135"/>
        <v/>
      </c>
      <c r="C863" s="170" t="str">
        <f t="shared" si="136"/>
        <v/>
      </c>
      <c r="D863" s="170"/>
      <c r="E863" s="195"/>
      <c r="F863" s="195"/>
      <c r="G863" s="196"/>
      <c r="H863" s="197"/>
      <c r="I863" s="197" t="str">
        <f t="shared" si="140"/>
        <v/>
      </c>
      <c r="J863" s="197" t="str">
        <f t="shared" si="141"/>
        <v/>
      </c>
      <c r="K863" s="197"/>
      <c r="L863" s="197"/>
      <c r="M863" s="198"/>
      <c r="N863" s="198"/>
      <c r="O863" s="198"/>
      <c r="P863" s="199"/>
      <c r="Q863" s="200"/>
      <c r="R863" s="200"/>
      <c r="S863" s="200"/>
      <c r="T863" s="200" t="str">
        <f t="shared" si="137"/>
        <v/>
      </c>
      <c r="U863" s="200"/>
      <c r="V863" s="201" t="str">
        <f t="shared" si="138"/>
        <v/>
      </c>
      <c r="W863" s="202">
        <f t="shared" si="139"/>
        <v>0</v>
      </c>
      <c r="X863" s="172"/>
    </row>
    <row r="864" spans="1:24" x14ac:dyDescent="0.45">
      <c r="A864" s="193">
        <v>10</v>
      </c>
      <c r="B864" s="194" t="str">
        <f t="shared" si="135"/>
        <v/>
      </c>
      <c r="C864" s="170" t="str">
        <f t="shared" si="136"/>
        <v/>
      </c>
      <c r="D864" s="170"/>
      <c r="E864" s="195"/>
      <c r="F864" s="195"/>
      <c r="G864" s="196"/>
      <c r="H864" s="197"/>
      <c r="I864" s="197" t="str">
        <f t="shared" si="140"/>
        <v/>
      </c>
      <c r="J864" s="197" t="str">
        <f t="shared" si="141"/>
        <v/>
      </c>
      <c r="K864" s="197"/>
      <c r="L864" s="197"/>
      <c r="M864" s="198"/>
      <c r="N864" s="198"/>
      <c r="O864" s="198"/>
      <c r="P864" s="199"/>
      <c r="Q864" s="200"/>
      <c r="R864" s="200"/>
      <c r="S864" s="200"/>
      <c r="T864" s="200" t="str">
        <f t="shared" si="137"/>
        <v/>
      </c>
      <c r="U864" s="200"/>
      <c r="V864" s="201" t="str">
        <f t="shared" si="138"/>
        <v/>
      </c>
      <c r="W864" s="202">
        <f t="shared" si="139"/>
        <v>0</v>
      </c>
      <c r="X864" s="172"/>
    </row>
    <row r="865" spans="1:24" x14ac:dyDescent="0.45">
      <c r="A865" s="193">
        <v>11</v>
      </c>
      <c r="B865" s="194" t="str">
        <f t="shared" si="135"/>
        <v/>
      </c>
      <c r="C865" s="170" t="str">
        <f t="shared" si="136"/>
        <v/>
      </c>
      <c r="D865" s="170"/>
      <c r="E865" s="195"/>
      <c r="F865" s="195"/>
      <c r="G865" s="196"/>
      <c r="H865" s="197"/>
      <c r="I865" s="197" t="str">
        <f t="shared" si="140"/>
        <v/>
      </c>
      <c r="J865" s="197" t="str">
        <f t="shared" si="141"/>
        <v/>
      </c>
      <c r="K865" s="197"/>
      <c r="L865" s="197"/>
      <c r="M865" s="198"/>
      <c r="N865" s="198"/>
      <c r="O865" s="198"/>
      <c r="P865" s="199"/>
      <c r="Q865" s="200"/>
      <c r="R865" s="200"/>
      <c r="S865" s="200"/>
      <c r="T865" s="200" t="str">
        <f t="shared" si="137"/>
        <v/>
      </c>
      <c r="U865" s="200"/>
      <c r="V865" s="201" t="str">
        <f t="shared" si="138"/>
        <v/>
      </c>
      <c r="W865" s="202">
        <f t="shared" si="139"/>
        <v>0</v>
      </c>
      <c r="X865" s="172"/>
    </row>
    <row r="866" spans="1:24" x14ac:dyDescent="0.45">
      <c r="A866" s="193">
        <v>12</v>
      </c>
      <c r="B866" s="194" t="str">
        <f t="shared" si="135"/>
        <v/>
      </c>
      <c r="C866" s="170" t="str">
        <f t="shared" si="136"/>
        <v/>
      </c>
      <c r="D866" s="170"/>
      <c r="E866" s="195"/>
      <c r="F866" s="195"/>
      <c r="G866" s="196"/>
      <c r="H866" s="197"/>
      <c r="I866" s="197" t="str">
        <f t="shared" si="140"/>
        <v/>
      </c>
      <c r="J866" s="197" t="str">
        <f t="shared" si="141"/>
        <v/>
      </c>
      <c r="K866" s="197"/>
      <c r="L866" s="197"/>
      <c r="M866" s="198"/>
      <c r="N866" s="198"/>
      <c r="O866" s="198"/>
      <c r="P866" s="199"/>
      <c r="Q866" s="200"/>
      <c r="R866" s="200"/>
      <c r="S866" s="200"/>
      <c r="T866" s="200" t="str">
        <f t="shared" si="137"/>
        <v/>
      </c>
      <c r="U866" s="200"/>
      <c r="V866" s="201" t="str">
        <f t="shared" si="138"/>
        <v/>
      </c>
      <c r="W866" s="202">
        <f t="shared" si="139"/>
        <v>0</v>
      </c>
      <c r="X866" s="172"/>
    </row>
    <row r="867" spans="1:24" x14ac:dyDescent="0.45">
      <c r="A867" s="193">
        <v>13</v>
      </c>
      <c r="B867" s="194" t="str">
        <f t="shared" si="135"/>
        <v/>
      </c>
      <c r="C867" s="170" t="str">
        <f t="shared" si="136"/>
        <v/>
      </c>
      <c r="D867" s="170"/>
      <c r="E867" s="195"/>
      <c r="F867" s="195"/>
      <c r="G867" s="196"/>
      <c r="H867" s="197"/>
      <c r="I867" s="197" t="str">
        <f t="shared" si="140"/>
        <v/>
      </c>
      <c r="J867" s="197" t="str">
        <f t="shared" si="141"/>
        <v/>
      </c>
      <c r="K867" s="197"/>
      <c r="L867" s="197"/>
      <c r="M867" s="198"/>
      <c r="N867" s="198"/>
      <c r="O867" s="198"/>
      <c r="P867" s="199"/>
      <c r="Q867" s="200"/>
      <c r="R867" s="200"/>
      <c r="S867" s="200"/>
      <c r="T867" s="200" t="str">
        <f t="shared" si="137"/>
        <v/>
      </c>
      <c r="U867" s="200"/>
      <c r="V867" s="201" t="str">
        <f t="shared" si="138"/>
        <v/>
      </c>
      <c r="W867" s="202">
        <f t="shared" si="139"/>
        <v>0</v>
      </c>
      <c r="X867" s="172"/>
    </row>
    <row r="868" spans="1:24" x14ac:dyDescent="0.45">
      <c r="A868" s="193">
        <v>14</v>
      </c>
      <c r="B868" s="194" t="str">
        <f t="shared" si="135"/>
        <v/>
      </c>
      <c r="C868" s="170" t="str">
        <f t="shared" si="136"/>
        <v/>
      </c>
      <c r="D868" s="170"/>
      <c r="E868" s="195"/>
      <c r="F868" s="195"/>
      <c r="G868" s="196"/>
      <c r="H868" s="197"/>
      <c r="I868" s="197" t="str">
        <f t="shared" si="140"/>
        <v/>
      </c>
      <c r="J868" s="197" t="str">
        <f t="shared" si="141"/>
        <v/>
      </c>
      <c r="K868" s="197"/>
      <c r="L868" s="197"/>
      <c r="M868" s="198"/>
      <c r="N868" s="198"/>
      <c r="O868" s="198"/>
      <c r="P868" s="199"/>
      <c r="Q868" s="200"/>
      <c r="R868" s="200"/>
      <c r="S868" s="200"/>
      <c r="T868" s="200" t="str">
        <f t="shared" si="137"/>
        <v/>
      </c>
      <c r="U868" s="200"/>
      <c r="V868" s="201" t="str">
        <f t="shared" si="138"/>
        <v/>
      </c>
      <c r="W868" s="202">
        <f t="shared" si="139"/>
        <v>0</v>
      </c>
      <c r="X868" s="172"/>
    </row>
    <row r="869" spans="1:24" x14ac:dyDescent="0.45">
      <c r="A869" s="193">
        <v>15</v>
      </c>
      <c r="B869" s="194" t="str">
        <f t="shared" si="135"/>
        <v/>
      </c>
      <c r="C869" s="170" t="str">
        <f t="shared" si="136"/>
        <v/>
      </c>
      <c r="D869" s="170"/>
      <c r="E869" s="195"/>
      <c r="F869" s="195"/>
      <c r="G869" s="196"/>
      <c r="H869" s="197"/>
      <c r="I869" s="197" t="str">
        <f t="shared" si="140"/>
        <v/>
      </c>
      <c r="J869" s="197" t="str">
        <f t="shared" si="141"/>
        <v/>
      </c>
      <c r="K869" s="197"/>
      <c r="L869" s="197"/>
      <c r="M869" s="198"/>
      <c r="N869" s="198"/>
      <c r="O869" s="198"/>
      <c r="P869" s="199"/>
      <c r="Q869" s="200"/>
      <c r="R869" s="200"/>
      <c r="S869" s="200"/>
      <c r="T869" s="200" t="str">
        <f t="shared" si="137"/>
        <v/>
      </c>
      <c r="U869" s="200"/>
      <c r="V869" s="201" t="str">
        <f t="shared" si="138"/>
        <v/>
      </c>
      <c r="W869" s="202">
        <f t="shared" si="139"/>
        <v>0</v>
      </c>
      <c r="X869" s="172"/>
    </row>
    <row r="870" spans="1:24" x14ac:dyDescent="0.45">
      <c r="A870" s="193">
        <v>16</v>
      </c>
      <c r="B870" s="194" t="str">
        <f t="shared" si="135"/>
        <v/>
      </c>
      <c r="C870" s="170" t="str">
        <f t="shared" si="136"/>
        <v/>
      </c>
      <c r="D870" s="170"/>
      <c r="E870" s="195"/>
      <c r="F870" s="195"/>
      <c r="G870" s="196"/>
      <c r="H870" s="197"/>
      <c r="I870" s="197" t="str">
        <f t="shared" si="140"/>
        <v/>
      </c>
      <c r="J870" s="197" t="str">
        <f t="shared" si="141"/>
        <v/>
      </c>
      <c r="K870" s="197"/>
      <c r="L870" s="197"/>
      <c r="M870" s="198"/>
      <c r="N870" s="198"/>
      <c r="O870" s="198"/>
      <c r="P870" s="199"/>
      <c r="Q870" s="200"/>
      <c r="R870" s="200"/>
      <c r="S870" s="200"/>
      <c r="T870" s="200" t="str">
        <f t="shared" si="137"/>
        <v/>
      </c>
      <c r="U870" s="200"/>
      <c r="V870" s="201" t="str">
        <f t="shared" si="138"/>
        <v/>
      </c>
      <c r="W870" s="202">
        <f t="shared" si="139"/>
        <v>0</v>
      </c>
      <c r="X870" s="172"/>
    </row>
    <row r="871" spans="1:24" x14ac:dyDescent="0.45">
      <c r="A871" s="193">
        <v>17</v>
      </c>
      <c r="B871" s="194" t="str">
        <f t="shared" si="135"/>
        <v/>
      </c>
      <c r="C871" s="170" t="str">
        <f t="shared" si="136"/>
        <v/>
      </c>
      <c r="D871" s="170"/>
      <c r="E871" s="195"/>
      <c r="F871" s="195"/>
      <c r="G871" s="196"/>
      <c r="H871" s="197"/>
      <c r="I871" s="197" t="str">
        <f t="shared" si="140"/>
        <v/>
      </c>
      <c r="J871" s="197" t="str">
        <f t="shared" si="141"/>
        <v/>
      </c>
      <c r="K871" s="197"/>
      <c r="L871" s="197"/>
      <c r="M871" s="198"/>
      <c r="N871" s="198"/>
      <c r="O871" s="198"/>
      <c r="P871" s="199"/>
      <c r="Q871" s="200"/>
      <c r="R871" s="200"/>
      <c r="S871" s="200"/>
      <c r="T871" s="200" t="str">
        <f t="shared" si="137"/>
        <v/>
      </c>
      <c r="U871" s="200"/>
      <c r="V871" s="201" t="str">
        <f t="shared" si="138"/>
        <v/>
      </c>
      <c r="W871" s="202">
        <f t="shared" si="139"/>
        <v>0</v>
      </c>
      <c r="X871" s="172"/>
    </row>
    <row r="872" spans="1:24" x14ac:dyDescent="0.45">
      <c r="A872" s="193">
        <v>18</v>
      </c>
      <c r="B872" s="194" t="str">
        <f t="shared" si="135"/>
        <v/>
      </c>
      <c r="C872" s="170" t="str">
        <f t="shared" si="136"/>
        <v/>
      </c>
      <c r="D872" s="170"/>
      <c r="E872" s="195"/>
      <c r="F872" s="195"/>
      <c r="G872" s="196"/>
      <c r="H872" s="197"/>
      <c r="I872" s="197" t="str">
        <f t="shared" si="140"/>
        <v/>
      </c>
      <c r="J872" s="197" t="str">
        <f t="shared" si="141"/>
        <v/>
      </c>
      <c r="K872" s="197"/>
      <c r="L872" s="197"/>
      <c r="M872" s="198"/>
      <c r="N872" s="198"/>
      <c r="O872" s="198"/>
      <c r="P872" s="199"/>
      <c r="Q872" s="200"/>
      <c r="R872" s="200"/>
      <c r="S872" s="200"/>
      <c r="T872" s="200" t="str">
        <f t="shared" si="137"/>
        <v/>
      </c>
      <c r="U872" s="200"/>
      <c r="V872" s="201" t="str">
        <f t="shared" si="138"/>
        <v/>
      </c>
      <c r="W872" s="202">
        <f t="shared" si="139"/>
        <v>0</v>
      </c>
      <c r="X872" s="172"/>
    </row>
    <row r="873" spans="1:24" x14ac:dyDescent="0.45">
      <c r="A873" s="193">
        <v>19</v>
      </c>
      <c r="B873" s="194" t="str">
        <f t="shared" si="135"/>
        <v/>
      </c>
      <c r="C873" s="170" t="str">
        <f t="shared" si="136"/>
        <v/>
      </c>
      <c r="D873" s="170"/>
      <c r="E873" s="195"/>
      <c r="F873" s="195"/>
      <c r="G873" s="196"/>
      <c r="H873" s="197"/>
      <c r="I873" s="197" t="str">
        <f t="shared" si="140"/>
        <v/>
      </c>
      <c r="J873" s="197" t="str">
        <f t="shared" si="141"/>
        <v/>
      </c>
      <c r="K873" s="197"/>
      <c r="L873" s="197"/>
      <c r="M873" s="198"/>
      <c r="N873" s="198"/>
      <c r="O873" s="198"/>
      <c r="P873" s="199"/>
      <c r="Q873" s="200"/>
      <c r="R873" s="200"/>
      <c r="S873" s="200"/>
      <c r="T873" s="200" t="str">
        <f t="shared" si="137"/>
        <v/>
      </c>
      <c r="U873" s="200"/>
      <c r="V873" s="201" t="str">
        <f t="shared" si="138"/>
        <v/>
      </c>
      <c r="W873" s="202">
        <f t="shared" si="139"/>
        <v>0</v>
      </c>
      <c r="X873" s="172"/>
    </row>
    <row r="874" spans="1:24" x14ac:dyDescent="0.45">
      <c r="A874" s="193">
        <v>20</v>
      </c>
      <c r="B874" s="194" t="str">
        <f t="shared" si="135"/>
        <v/>
      </c>
      <c r="C874" s="170" t="str">
        <f t="shared" si="136"/>
        <v/>
      </c>
      <c r="D874" s="170"/>
      <c r="E874" s="195"/>
      <c r="F874" s="195"/>
      <c r="G874" s="196"/>
      <c r="H874" s="197"/>
      <c r="I874" s="197" t="str">
        <f t="shared" si="140"/>
        <v/>
      </c>
      <c r="J874" s="197" t="str">
        <f t="shared" si="141"/>
        <v/>
      </c>
      <c r="K874" s="197"/>
      <c r="L874" s="197"/>
      <c r="M874" s="198"/>
      <c r="N874" s="198"/>
      <c r="O874" s="198"/>
      <c r="P874" s="199"/>
      <c r="Q874" s="200"/>
      <c r="R874" s="200"/>
      <c r="S874" s="200"/>
      <c r="T874" s="200" t="str">
        <f t="shared" si="137"/>
        <v/>
      </c>
      <c r="U874" s="200"/>
      <c r="V874" s="201" t="str">
        <f t="shared" si="138"/>
        <v/>
      </c>
      <c r="W874" s="202">
        <f t="shared" si="139"/>
        <v>0</v>
      </c>
      <c r="X874" s="172"/>
    </row>
    <row r="875" spans="1:24" x14ac:dyDescent="0.45">
      <c r="A875" s="193">
        <v>21</v>
      </c>
      <c r="B875" s="194" t="str">
        <f t="shared" si="135"/>
        <v/>
      </c>
      <c r="C875" s="170" t="str">
        <f t="shared" si="136"/>
        <v/>
      </c>
      <c r="D875" s="170"/>
      <c r="E875" s="195"/>
      <c r="F875" s="195"/>
      <c r="G875" s="196"/>
      <c r="H875" s="197"/>
      <c r="I875" s="197" t="str">
        <f t="shared" si="140"/>
        <v/>
      </c>
      <c r="J875" s="197" t="str">
        <f t="shared" si="141"/>
        <v/>
      </c>
      <c r="K875" s="197"/>
      <c r="L875" s="197"/>
      <c r="M875" s="198"/>
      <c r="N875" s="198"/>
      <c r="O875" s="198"/>
      <c r="P875" s="199"/>
      <c r="Q875" s="200"/>
      <c r="R875" s="200"/>
      <c r="S875" s="200"/>
      <c r="T875" s="200" t="str">
        <f t="shared" si="137"/>
        <v/>
      </c>
      <c r="U875" s="200"/>
      <c r="V875" s="201" t="str">
        <f t="shared" si="138"/>
        <v/>
      </c>
      <c r="W875" s="202">
        <f t="shared" si="139"/>
        <v>0</v>
      </c>
      <c r="X875" s="172"/>
    </row>
    <row r="876" spans="1:24" x14ac:dyDescent="0.45">
      <c r="A876" s="193">
        <v>22</v>
      </c>
      <c r="B876" s="194" t="str">
        <f t="shared" si="135"/>
        <v/>
      </c>
      <c r="C876" s="170" t="str">
        <f t="shared" si="136"/>
        <v/>
      </c>
      <c r="D876" s="170"/>
      <c r="E876" s="195"/>
      <c r="F876" s="170"/>
      <c r="G876" s="170"/>
      <c r="H876" s="203"/>
      <c r="I876" s="197" t="str">
        <f t="shared" si="140"/>
        <v/>
      </c>
      <c r="J876" s="197" t="str">
        <f t="shared" si="141"/>
        <v/>
      </c>
      <c r="K876" s="197"/>
      <c r="L876" s="197"/>
      <c r="M876" s="198"/>
      <c r="N876" s="198"/>
      <c r="O876" s="198"/>
      <c r="P876" s="199"/>
      <c r="Q876" s="200"/>
      <c r="R876" s="200"/>
      <c r="S876" s="200"/>
      <c r="T876" s="200" t="str">
        <f t="shared" si="137"/>
        <v/>
      </c>
      <c r="U876" s="200"/>
      <c r="V876" s="201" t="str">
        <f t="shared" si="138"/>
        <v/>
      </c>
      <c r="W876" s="202">
        <f t="shared" si="139"/>
        <v>0</v>
      </c>
      <c r="X876" s="172"/>
    </row>
    <row r="877" spans="1:24" x14ac:dyDescent="0.45">
      <c r="A877" s="193">
        <v>23</v>
      </c>
      <c r="B877" s="194" t="str">
        <f t="shared" si="135"/>
        <v/>
      </c>
      <c r="C877" s="170" t="str">
        <f t="shared" si="136"/>
        <v/>
      </c>
      <c r="D877" s="170"/>
      <c r="E877" s="195"/>
      <c r="F877" s="170"/>
      <c r="G877" s="170"/>
      <c r="H877" s="203"/>
      <c r="I877" s="197" t="str">
        <f t="shared" si="140"/>
        <v/>
      </c>
      <c r="J877" s="197" t="str">
        <f t="shared" si="141"/>
        <v/>
      </c>
      <c r="K877" s="197"/>
      <c r="L877" s="197"/>
      <c r="M877" s="198"/>
      <c r="N877" s="198"/>
      <c r="O877" s="198"/>
      <c r="P877" s="199"/>
      <c r="Q877" s="200"/>
      <c r="R877" s="200"/>
      <c r="S877" s="200"/>
      <c r="T877" s="200" t="str">
        <f t="shared" si="137"/>
        <v/>
      </c>
      <c r="U877" s="200"/>
      <c r="V877" s="201" t="str">
        <f t="shared" si="138"/>
        <v/>
      </c>
      <c r="W877" s="202">
        <f t="shared" si="139"/>
        <v>0</v>
      </c>
      <c r="X877" s="172"/>
    </row>
    <row r="878" spans="1:24" x14ac:dyDescent="0.45">
      <c r="A878" s="193">
        <v>24</v>
      </c>
      <c r="B878" s="194" t="str">
        <f t="shared" si="135"/>
        <v/>
      </c>
      <c r="C878" s="170" t="str">
        <f t="shared" si="136"/>
        <v/>
      </c>
      <c r="D878" s="170"/>
      <c r="E878" s="195"/>
      <c r="F878" s="170"/>
      <c r="G878" s="170"/>
      <c r="H878" s="203"/>
      <c r="I878" s="197" t="str">
        <f t="shared" si="140"/>
        <v/>
      </c>
      <c r="J878" s="197" t="str">
        <f t="shared" si="141"/>
        <v/>
      </c>
      <c r="K878" s="197"/>
      <c r="L878" s="197"/>
      <c r="M878" s="198"/>
      <c r="N878" s="198"/>
      <c r="O878" s="198"/>
      <c r="P878" s="199"/>
      <c r="Q878" s="200"/>
      <c r="R878" s="200"/>
      <c r="S878" s="200"/>
      <c r="T878" s="200" t="str">
        <f t="shared" si="137"/>
        <v/>
      </c>
      <c r="U878" s="200"/>
      <c r="V878" s="201" t="str">
        <f t="shared" si="138"/>
        <v/>
      </c>
      <c r="W878" s="202">
        <f t="shared" si="139"/>
        <v>0</v>
      </c>
      <c r="X878" s="172"/>
    </row>
    <row r="879" spans="1:24" x14ac:dyDescent="0.45">
      <c r="A879" s="193">
        <v>25</v>
      </c>
      <c r="B879" s="194" t="str">
        <f t="shared" si="135"/>
        <v/>
      </c>
      <c r="C879" s="170" t="str">
        <f t="shared" si="136"/>
        <v/>
      </c>
      <c r="D879" s="170"/>
      <c r="E879" s="195"/>
      <c r="F879" s="170"/>
      <c r="G879" s="170"/>
      <c r="H879" s="203"/>
      <c r="I879" s="197" t="str">
        <f t="shared" si="140"/>
        <v/>
      </c>
      <c r="J879" s="197" t="str">
        <f t="shared" si="141"/>
        <v/>
      </c>
      <c r="K879" s="197"/>
      <c r="L879" s="197"/>
      <c r="M879" s="198"/>
      <c r="N879" s="198"/>
      <c r="O879" s="198"/>
      <c r="P879" s="199"/>
      <c r="Q879" s="200"/>
      <c r="R879" s="200"/>
      <c r="S879" s="200"/>
      <c r="T879" s="200" t="str">
        <f t="shared" si="137"/>
        <v/>
      </c>
      <c r="U879" s="200"/>
      <c r="V879" s="201" t="str">
        <f t="shared" si="138"/>
        <v/>
      </c>
      <c r="W879" s="202">
        <f t="shared" si="139"/>
        <v>0</v>
      </c>
      <c r="X879" s="172"/>
    </row>
    <row r="880" spans="1:24" x14ac:dyDescent="0.45">
      <c r="A880" s="193">
        <v>26</v>
      </c>
      <c r="B880" s="194" t="str">
        <f t="shared" si="135"/>
        <v/>
      </c>
      <c r="C880" s="170" t="str">
        <f t="shared" si="136"/>
        <v/>
      </c>
      <c r="D880" s="170"/>
      <c r="E880" s="195"/>
      <c r="F880" s="170"/>
      <c r="G880" s="170"/>
      <c r="H880" s="203"/>
      <c r="I880" s="197" t="str">
        <f t="shared" si="140"/>
        <v/>
      </c>
      <c r="J880" s="197" t="str">
        <f t="shared" si="141"/>
        <v/>
      </c>
      <c r="K880" s="197"/>
      <c r="L880" s="197"/>
      <c r="M880" s="198"/>
      <c r="N880" s="198"/>
      <c r="O880" s="198"/>
      <c r="P880" s="199"/>
      <c r="Q880" s="200"/>
      <c r="R880" s="200"/>
      <c r="S880" s="200"/>
      <c r="T880" s="200" t="str">
        <f t="shared" si="137"/>
        <v/>
      </c>
      <c r="U880" s="200"/>
      <c r="V880" s="201" t="str">
        <f t="shared" si="138"/>
        <v/>
      </c>
      <c r="W880" s="202">
        <f t="shared" si="139"/>
        <v>0</v>
      </c>
      <c r="X880" s="172"/>
    </row>
    <row r="881" spans="1:24" x14ac:dyDescent="0.45">
      <c r="A881" s="193">
        <v>27</v>
      </c>
      <c r="B881" s="194" t="str">
        <f t="shared" si="135"/>
        <v/>
      </c>
      <c r="C881" s="170" t="str">
        <f t="shared" si="136"/>
        <v/>
      </c>
      <c r="D881" s="170"/>
      <c r="E881" s="195"/>
      <c r="F881" s="170"/>
      <c r="G881" s="170"/>
      <c r="H881" s="203"/>
      <c r="I881" s="197" t="str">
        <f t="shared" si="140"/>
        <v/>
      </c>
      <c r="J881" s="197" t="str">
        <f t="shared" si="141"/>
        <v/>
      </c>
      <c r="K881" s="197"/>
      <c r="L881" s="197"/>
      <c r="M881" s="198"/>
      <c r="N881" s="198"/>
      <c r="O881" s="198"/>
      <c r="P881" s="199"/>
      <c r="Q881" s="200"/>
      <c r="R881" s="200"/>
      <c r="S881" s="200"/>
      <c r="T881" s="200" t="str">
        <f t="shared" si="137"/>
        <v/>
      </c>
      <c r="U881" s="200"/>
      <c r="V881" s="201" t="str">
        <f t="shared" si="138"/>
        <v/>
      </c>
      <c r="W881" s="202">
        <f t="shared" si="139"/>
        <v>0</v>
      </c>
      <c r="X881" s="172"/>
    </row>
    <row r="882" spans="1:24" x14ac:dyDescent="0.45">
      <c r="A882" s="193">
        <v>28</v>
      </c>
      <c r="B882" s="194" t="str">
        <f t="shared" si="135"/>
        <v/>
      </c>
      <c r="C882" s="170" t="str">
        <f t="shared" si="136"/>
        <v/>
      </c>
      <c r="D882" s="170"/>
      <c r="E882" s="195"/>
      <c r="F882" s="170"/>
      <c r="G882" s="170"/>
      <c r="H882" s="203"/>
      <c r="I882" s="197" t="str">
        <f t="shared" si="140"/>
        <v/>
      </c>
      <c r="J882" s="197" t="str">
        <f t="shared" si="141"/>
        <v/>
      </c>
      <c r="K882" s="197"/>
      <c r="L882" s="197"/>
      <c r="M882" s="198"/>
      <c r="N882" s="198"/>
      <c r="O882" s="198"/>
      <c r="P882" s="199"/>
      <c r="Q882" s="200"/>
      <c r="R882" s="200"/>
      <c r="S882" s="200"/>
      <c r="T882" s="200" t="str">
        <f t="shared" si="137"/>
        <v/>
      </c>
      <c r="U882" s="200"/>
      <c r="V882" s="201" t="str">
        <f t="shared" si="138"/>
        <v/>
      </c>
      <c r="W882" s="202">
        <f t="shared" si="139"/>
        <v>0</v>
      </c>
      <c r="X882" s="172"/>
    </row>
    <row r="883" spans="1:24" x14ac:dyDescent="0.45">
      <c r="A883" s="193">
        <v>29</v>
      </c>
      <c r="B883" s="194" t="str">
        <f t="shared" si="135"/>
        <v/>
      </c>
      <c r="C883" s="170" t="str">
        <f t="shared" si="136"/>
        <v/>
      </c>
      <c r="D883" s="170"/>
      <c r="E883" s="195"/>
      <c r="F883" s="170"/>
      <c r="G883" s="170"/>
      <c r="H883" s="203"/>
      <c r="I883" s="197" t="str">
        <f t="shared" si="140"/>
        <v/>
      </c>
      <c r="J883" s="197" t="str">
        <f t="shared" si="141"/>
        <v/>
      </c>
      <c r="K883" s="197"/>
      <c r="L883" s="197"/>
      <c r="M883" s="198"/>
      <c r="N883" s="198"/>
      <c r="O883" s="198"/>
      <c r="P883" s="199"/>
      <c r="Q883" s="200"/>
      <c r="R883" s="200"/>
      <c r="S883" s="200"/>
      <c r="T883" s="200" t="str">
        <f t="shared" si="137"/>
        <v/>
      </c>
      <c r="U883" s="200"/>
      <c r="V883" s="201" t="str">
        <f t="shared" si="138"/>
        <v/>
      </c>
      <c r="W883" s="202">
        <f t="shared" si="139"/>
        <v>0</v>
      </c>
      <c r="X883" s="172"/>
    </row>
    <row r="884" spans="1:24" x14ac:dyDescent="0.45">
      <c r="A884" s="193">
        <v>30</v>
      </c>
      <c r="B884" s="194" t="str">
        <f t="shared" si="135"/>
        <v/>
      </c>
      <c r="C884" s="170" t="str">
        <f t="shared" si="136"/>
        <v/>
      </c>
      <c r="D884" s="170"/>
      <c r="E884" s="195"/>
      <c r="F884" s="170"/>
      <c r="G884" s="170"/>
      <c r="H884" s="203"/>
      <c r="I884" s="197" t="str">
        <f t="shared" si="140"/>
        <v/>
      </c>
      <c r="J884" s="197" t="str">
        <f t="shared" si="141"/>
        <v/>
      </c>
      <c r="K884" s="197"/>
      <c r="L884" s="197"/>
      <c r="M884" s="198"/>
      <c r="N884" s="198"/>
      <c r="O884" s="198"/>
      <c r="P884" s="199"/>
      <c r="Q884" s="200"/>
      <c r="R884" s="200"/>
      <c r="S884" s="200"/>
      <c r="T884" s="200" t="str">
        <f t="shared" si="137"/>
        <v/>
      </c>
      <c r="U884" s="200"/>
      <c r="V884" s="201" t="str">
        <f t="shared" si="138"/>
        <v/>
      </c>
      <c r="W884" s="202">
        <f t="shared" si="139"/>
        <v>0</v>
      </c>
      <c r="X884" s="172"/>
    </row>
    <row r="885" spans="1:24" x14ac:dyDescent="0.45">
      <c r="A885" s="193">
        <v>31</v>
      </c>
      <c r="B885" s="194" t="str">
        <f t="shared" si="135"/>
        <v/>
      </c>
      <c r="C885" s="170" t="str">
        <f t="shared" si="136"/>
        <v/>
      </c>
      <c r="D885" s="170"/>
      <c r="E885" s="195"/>
      <c r="F885" s="170"/>
      <c r="G885" s="170"/>
      <c r="H885" s="203"/>
      <c r="I885" s="197" t="str">
        <f t="shared" si="140"/>
        <v/>
      </c>
      <c r="J885" s="197" t="str">
        <f t="shared" si="141"/>
        <v/>
      </c>
      <c r="K885" s="197"/>
      <c r="L885" s="197"/>
      <c r="M885" s="198"/>
      <c r="N885" s="198"/>
      <c r="O885" s="198"/>
      <c r="P885" s="199"/>
      <c r="Q885" s="200"/>
      <c r="R885" s="200"/>
      <c r="S885" s="200"/>
      <c r="T885" s="200" t="str">
        <f t="shared" si="137"/>
        <v/>
      </c>
      <c r="U885" s="200"/>
      <c r="V885" s="201" t="str">
        <f t="shared" si="138"/>
        <v/>
      </c>
      <c r="W885" s="202">
        <f t="shared" si="139"/>
        <v>0</v>
      </c>
      <c r="X885" s="172"/>
    </row>
    <row r="886" spans="1:24" x14ac:dyDescent="0.45">
      <c r="A886" s="193">
        <v>32</v>
      </c>
      <c r="B886" s="194" t="str">
        <f t="shared" si="135"/>
        <v/>
      </c>
      <c r="C886" s="170" t="str">
        <f t="shared" si="136"/>
        <v/>
      </c>
      <c r="D886" s="170"/>
      <c r="E886" s="195"/>
      <c r="F886" s="170"/>
      <c r="G886" s="170"/>
      <c r="H886" s="203"/>
      <c r="I886" s="197" t="str">
        <f t="shared" si="140"/>
        <v/>
      </c>
      <c r="J886" s="197" t="str">
        <f t="shared" si="141"/>
        <v/>
      </c>
      <c r="K886" s="197"/>
      <c r="L886" s="197"/>
      <c r="M886" s="198"/>
      <c r="N886" s="198"/>
      <c r="O886" s="198"/>
      <c r="P886" s="199"/>
      <c r="Q886" s="200"/>
      <c r="R886" s="200"/>
      <c r="S886" s="200"/>
      <c r="T886" s="200" t="str">
        <f t="shared" si="137"/>
        <v/>
      </c>
      <c r="U886" s="200"/>
      <c r="V886" s="201" t="str">
        <f t="shared" si="138"/>
        <v/>
      </c>
      <c r="W886" s="202">
        <f t="shared" si="139"/>
        <v>0</v>
      </c>
      <c r="X886" s="172"/>
    </row>
    <row r="887" spans="1:24" x14ac:dyDescent="0.45">
      <c r="A887" s="193">
        <v>33</v>
      </c>
      <c r="B887" s="194" t="str">
        <f t="shared" ref="B887:B920" si="142">IF(OR($C$835="",U887=""),"",LEFT($C$835,FIND("_",$C$835)-1))</f>
        <v/>
      </c>
      <c r="C887" s="170" t="str">
        <f t="shared" ref="C887:C920" si="143">IF(OR($C$835="",U887=""),"",$B$835)</f>
        <v/>
      </c>
      <c r="D887" s="170"/>
      <c r="E887" s="195"/>
      <c r="F887" s="170"/>
      <c r="G887" s="170"/>
      <c r="H887" s="203"/>
      <c r="I887" s="197" t="str">
        <f t="shared" si="140"/>
        <v/>
      </c>
      <c r="J887" s="197" t="str">
        <f t="shared" si="141"/>
        <v/>
      </c>
      <c r="K887" s="197"/>
      <c r="L887" s="197"/>
      <c r="M887" s="198"/>
      <c r="N887" s="198"/>
      <c r="O887" s="198"/>
      <c r="P887" s="199"/>
      <c r="Q887" s="200"/>
      <c r="R887" s="200"/>
      <c r="S887" s="200"/>
      <c r="T887" s="200" t="str">
        <f t="shared" ref="T887:T920" si="144">IF(K887="","",((K887*20)+L887)-((I887*20)+J887))</f>
        <v/>
      </c>
      <c r="U887" s="200"/>
      <c r="V887" s="201" t="str">
        <f t="shared" ref="V887:V918" si="145">IF(U887="","",$V$835)</f>
        <v/>
      </c>
      <c r="W887" s="202">
        <f t="shared" ref="W887:W920" si="146">IF(OR(T887="",U887=""),0,T887*U887)</f>
        <v>0</v>
      </c>
      <c r="X887" s="172"/>
    </row>
    <row r="888" spans="1:24" x14ac:dyDescent="0.45">
      <c r="A888" s="193">
        <v>34</v>
      </c>
      <c r="B888" s="194" t="str">
        <f t="shared" si="142"/>
        <v/>
      </c>
      <c r="C888" s="170" t="str">
        <f t="shared" si="143"/>
        <v/>
      </c>
      <c r="D888" s="170"/>
      <c r="E888" s="195"/>
      <c r="F888" s="170"/>
      <c r="G888" s="170"/>
      <c r="H888" s="203"/>
      <c r="I888" s="197" t="str">
        <f t="shared" ref="I888:I920" si="147">IF(K887="","",K887)</f>
        <v/>
      </c>
      <c r="J888" s="197" t="str">
        <f t="shared" ref="J888:J920" si="148">IF(L887="","",L887)</f>
        <v/>
      </c>
      <c r="K888" s="197"/>
      <c r="L888" s="197"/>
      <c r="M888" s="198"/>
      <c r="N888" s="198"/>
      <c r="O888" s="198"/>
      <c r="P888" s="199"/>
      <c r="Q888" s="200"/>
      <c r="R888" s="200"/>
      <c r="S888" s="200"/>
      <c r="T888" s="200" t="str">
        <f t="shared" si="144"/>
        <v/>
      </c>
      <c r="U888" s="200"/>
      <c r="V888" s="201" t="str">
        <f t="shared" si="145"/>
        <v/>
      </c>
      <c r="W888" s="202">
        <f t="shared" si="146"/>
        <v>0</v>
      </c>
      <c r="X888" s="172"/>
    </row>
    <row r="889" spans="1:24" x14ac:dyDescent="0.45">
      <c r="A889" s="193">
        <v>35</v>
      </c>
      <c r="B889" s="194" t="str">
        <f t="shared" si="142"/>
        <v/>
      </c>
      <c r="C889" s="170" t="str">
        <f t="shared" si="143"/>
        <v/>
      </c>
      <c r="D889" s="170"/>
      <c r="E889" s="195"/>
      <c r="F889" s="170"/>
      <c r="G889" s="170"/>
      <c r="H889" s="203"/>
      <c r="I889" s="197" t="str">
        <f t="shared" si="147"/>
        <v/>
      </c>
      <c r="J889" s="197" t="str">
        <f t="shared" si="148"/>
        <v/>
      </c>
      <c r="K889" s="197"/>
      <c r="L889" s="197"/>
      <c r="M889" s="198"/>
      <c r="N889" s="198"/>
      <c r="O889" s="198"/>
      <c r="P889" s="199"/>
      <c r="Q889" s="200"/>
      <c r="R889" s="200"/>
      <c r="S889" s="200"/>
      <c r="T889" s="200" t="str">
        <f t="shared" si="144"/>
        <v/>
      </c>
      <c r="U889" s="200"/>
      <c r="V889" s="201" t="str">
        <f t="shared" si="145"/>
        <v/>
      </c>
      <c r="W889" s="202">
        <f t="shared" si="146"/>
        <v>0</v>
      </c>
      <c r="X889" s="172"/>
    </row>
    <row r="890" spans="1:24" x14ac:dyDescent="0.45">
      <c r="A890" s="193">
        <v>36</v>
      </c>
      <c r="B890" s="194" t="str">
        <f t="shared" si="142"/>
        <v/>
      </c>
      <c r="C890" s="170" t="str">
        <f t="shared" si="143"/>
        <v/>
      </c>
      <c r="D890" s="170"/>
      <c r="E890" s="195"/>
      <c r="F890" s="170"/>
      <c r="G890" s="170"/>
      <c r="H890" s="203"/>
      <c r="I890" s="197" t="str">
        <f t="shared" si="147"/>
        <v/>
      </c>
      <c r="J890" s="197" t="str">
        <f t="shared" si="148"/>
        <v/>
      </c>
      <c r="K890" s="197"/>
      <c r="L890" s="197"/>
      <c r="M890" s="198"/>
      <c r="N890" s="198"/>
      <c r="O890" s="198"/>
      <c r="P890" s="199"/>
      <c r="Q890" s="200"/>
      <c r="R890" s="200"/>
      <c r="S890" s="200"/>
      <c r="T890" s="200" t="str">
        <f t="shared" si="144"/>
        <v/>
      </c>
      <c r="U890" s="200"/>
      <c r="V890" s="201" t="str">
        <f t="shared" si="145"/>
        <v/>
      </c>
      <c r="W890" s="202">
        <f t="shared" si="146"/>
        <v>0</v>
      </c>
      <c r="X890" s="172"/>
    </row>
    <row r="891" spans="1:24" x14ac:dyDescent="0.45">
      <c r="A891" s="193">
        <v>37</v>
      </c>
      <c r="B891" s="194" t="str">
        <f t="shared" si="142"/>
        <v/>
      </c>
      <c r="C891" s="170" t="str">
        <f t="shared" si="143"/>
        <v/>
      </c>
      <c r="D891" s="170"/>
      <c r="E891" s="195"/>
      <c r="F891" s="170"/>
      <c r="G891" s="170"/>
      <c r="H891" s="203"/>
      <c r="I891" s="197" t="str">
        <f t="shared" si="147"/>
        <v/>
      </c>
      <c r="J891" s="197" t="str">
        <f t="shared" si="148"/>
        <v/>
      </c>
      <c r="K891" s="197"/>
      <c r="L891" s="197"/>
      <c r="M891" s="198"/>
      <c r="N891" s="198"/>
      <c r="O891" s="198"/>
      <c r="P891" s="199"/>
      <c r="Q891" s="200"/>
      <c r="R891" s="200"/>
      <c r="S891" s="200"/>
      <c r="T891" s="200" t="str">
        <f t="shared" si="144"/>
        <v/>
      </c>
      <c r="U891" s="200"/>
      <c r="V891" s="201" t="str">
        <f t="shared" si="145"/>
        <v/>
      </c>
      <c r="W891" s="202">
        <f t="shared" si="146"/>
        <v>0</v>
      </c>
      <c r="X891" s="172"/>
    </row>
    <row r="892" spans="1:24" x14ac:dyDescent="0.45">
      <c r="A892" s="193">
        <v>38</v>
      </c>
      <c r="B892" s="194" t="str">
        <f t="shared" si="142"/>
        <v/>
      </c>
      <c r="C892" s="170" t="str">
        <f t="shared" si="143"/>
        <v/>
      </c>
      <c r="D892" s="170"/>
      <c r="E892" s="195"/>
      <c r="F892" s="170"/>
      <c r="G892" s="170"/>
      <c r="H892" s="203"/>
      <c r="I892" s="197" t="str">
        <f t="shared" si="147"/>
        <v/>
      </c>
      <c r="J892" s="197" t="str">
        <f t="shared" si="148"/>
        <v/>
      </c>
      <c r="K892" s="197"/>
      <c r="L892" s="197"/>
      <c r="M892" s="198"/>
      <c r="N892" s="198"/>
      <c r="O892" s="198"/>
      <c r="P892" s="199"/>
      <c r="Q892" s="200"/>
      <c r="R892" s="200"/>
      <c r="S892" s="200"/>
      <c r="T892" s="200" t="str">
        <f t="shared" si="144"/>
        <v/>
      </c>
      <c r="U892" s="200"/>
      <c r="V892" s="201" t="str">
        <f t="shared" si="145"/>
        <v/>
      </c>
      <c r="W892" s="202">
        <f t="shared" si="146"/>
        <v>0</v>
      </c>
      <c r="X892" s="172"/>
    </row>
    <row r="893" spans="1:24" x14ac:dyDescent="0.45">
      <c r="A893" s="193">
        <v>39</v>
      </c>
      <c r="B893" s="194" t="str">
        <f t="shared" si="142"/>
        <v/>
      </c>
      <c r="C893" s="170" t="str">
        <f t="shared" si="143"/>
        <v/>
      </c>
      <c r="D893" s="170"/>
      <c r="E893" s="195"/>
      <c r="F893" s="170"/>
      <c r="G893" s="170"/>
      <c r="H893" s="203"/>
      <c r="I893" s="197" t="str">
        <f t="shared" si="147"/>
        <v/>
      </c>
      <c r="J893" s="197" t="str">
        <f t="shared" si="148"/>
        <v/>
      </c>
      <c r="K893" s="197"/>
      <c r="L893" s="197"/>
      <c r="M893" s="198"/>
      <c r="N893" s="198"/>
      <c r="O893" s="198"/>
      <c r="P893" s="199"/>
      <c r="Q893" s="200"/>
      <c r="R893" s="200"/>
      <c r="S893" s="200"/>
      <c r="T893" s="200" t="str">
        <f t="shared" si="144"/>
        <v/>
      </c>
      <c r="U893" s="200"/>
      <c r="V893" s="201" t="str">
        <f t="shared" si="145"/>
        <v/>
      </c>
      <c r="W893" s="202">
        <f t="shared" si="146"/>
        <v>0</v>
      </c>
      <c r="X893" s="172"/>
    </row>
    <row r="894" spans="1:24" x14ac:dyDescent="0.45">
      <c r="A894" s="193">
        <v>40</v>
      </c>
      <c r="B894" s="194" t="str">
        <f t="shared" si="142"/>
        <v/>
      </c>
      <c r="C894" s="170" t="str">
        <f t="shared" si="143"/>
        <v/>
      </c>
      <c r="D894" s="170"/>
      <c r="E894" s="195"/>
      <c r="F894" s="170"/>
      <c r="G894" s="170"/>
      <c r="H894" s="203"/>
      <c r="I894" s="197" t="str">
        <f t="shared" si="147"/>
        <v/>
      </c>
      <c r="J894" s="197" t="str">
        <f t="shared" si="148"/>
        <v/>
      </c>
      <c r="K894" s="197"/>
      <c r="L894" s="197"/>
      <c r="M894" s="198"/>
      <c r="N894" s="198"/>
      <c r="O894" s="198"/>
      <c r="P894" s="199"/>
      <c r="Q894" s="200"/>
      <c r="R894" s="200"/>
      <c r="S894" s="200"/>
      <c r="T894" s="200" t="str">
        <f t="shared" si="144"/>
        <v/>
      </c>
      <c r="U894" s="200"/>
      <c r="V894" s="201" t="str">
        <f t="shared" si="145"/>
        <v/>
      </c>
      <c r="W894" s="202">
        <f t="shared" si="146"/>
        <v>0</v>
      </c>
      <c r="X894" s="172"/>
    </row>
    <row r="895" spans="1:24" x14ac:dyDescent="0.45">
      <c r="A895" s="193">
        <v>41</v>
      </c>
      <c r="B895" s="194" t="str">
        <f t="shared" si="142"/>
        <v/>
      </c>
      <c r="C895" s="170" t="str">
        <f t="shared" si="143"/>
        <v/>
      </c>
      <c r="D895" s="170"/>
      <c r="E895" s="195"/>
      <c r="F895" s="170"/>
      <c r="G895" s="170"/>
      <c r="H895" s="203"/>
      <c r="I895" s="197" t="str">
        <f t="shared" si="147"/>
        <v/>
      </c>
      <c r="J895" s="197" t="str">
        <f t="shared" si="148"/>
        <v/>
      </c>
      <c r="K895" s="197"/>
      <c r="L895" s="197"/>
      <c r="M895" s="198"/>
      <c r="N895" s="198"/>
      <c r="O895" s="198"/>
      <c r="P895" s="199"/>
      <c r="Q895" s="200"/>
      <c r="R895" s="200"/>
      <c r="S895" s="200"/>
      <c r="T895" s="200" t="str">
        <f t="shared" si="144"/>
        <v/>
      </c>
      <c r="U895" s="200"/>
      <c r="V895" s="201" t="str">
        <f t="shared" si="145"/>
        <v/>
      </c>
      <c r="W895" s="202">
        <f t="shared" si="146"/>
        <v>0</v>
      </c>
      <c r="X895" s="172"/>
    </row>
    <row r="896" spans="1:24" x14ac:dyDescent="0.45">
      <c r="A896" s="193">
        <v>42</v>
      </c>
      <c r="B896" s="194" t="str">
        <f t="shared" si="142"/>
        <v/>
      </c>
      <c r="C896" s="170" t="str">
        <f t="shared" si="143"/>
        <v/>
      </c>
      <c r="D896" s="170"/>
      <c r="E896" s="195"/>
      <c r="F896" s="170"/>
      <c r="G896" s="170"/>
      <c r="H896" s="203"/>
      <c r="I896" s="197" t="str">
        <f t="shared" si="147"/>
        <v/>
      </c>
      <c r="J896" s="197" t="str">
        <f t="shared" si="148"/>
        <v/>
      </c>
      <c r="K896" s="197"/>
      <c r="L896" s="197"/>
      <c r="M896" s="198"/>
      <c r="N896" s="198"/>
      <c r="O896" s="198"/>
      <c r="P896" s="199"/>
      <c r="Q896" s="200"/>
      <c r="R896" s="200"/>
      <c r="S896" s="200"/>
      <c r="T896" s="200" t="str">
        <f t="shared" si="144"/>
        <v/>
      </c>
      <c r="U896" s="200"/>
      <c r="V896" s="201" t="str">
        <f t="shared" si="145"/>
        <v/>
      </c>
      <c r="W896" s="202">
        <f t="shared" si="146"/>
        <v>0</v>
      </c>
      <c r="X896" s="172"/>
    </row>
    <row r="897" spans="1:24" x14ac:dyDescent="0.45">
      <c r="A897" s="193">
        <v>43</v>
      </c>
      <c r="B897" s="194" t="str">
        <f t="shared" si="142"/>
        <v/>
      </c>
      <c r="C897" s="170" t="str">
        <f t="shared" si="143"/>
        <v/>
      </c>
      <c r="D897" s="170"/>
      <c r="E897" s="195"/>
      <c r="F897" s="170"/>
      <c r="G897" s="170"/>
      <c r="H897" s="203"/>
      <c r="I897" s="197" t="str">
        <f t="shared" si="147"/>
        <v/>
      </c>
      <c r="J897" s="197" t="str">
        <f t="shared" si="148"/>
        <v/>
      </c>
      <c r="K897" s="197"/>
      <c r="L897" s="197"/>
      <c r="M897" s="198"/>
      <c r="N897" s="198"/>
      <c r="O897" s="198"/>
      <c r="P897" s="199"/>
      <c r="Q897" s="200"/>
      <c r="R897" s="200"/>
      <c r="S897" s="200"/>
      <c r="T897" s="200" t="str">
        <f t="shared" si="144"/>
        <v/>
      </c>
      <c r="U897" s="200"/>
      <c r="V897" s="201" t="str">
        <f t="shared" si="145"/>
        <v/>
      </c>
      <c r="W897" s="202">
        <f t="shared" si="146"/>
        <v>0</v>
      </c>
      <c r="X897" s="172"/>
    </row>
    <row r="898" spans="1:24" x14ac:dyDescent="0.45">
      <c r="A898" s="193">
        <v>44</v>
      </c>
      <c r="B898" s="194" t="str">
        <f t="shared" si="142"/>
        <v/>
      </c>
      <c r="C898" s="170" t="str">
        <f t="shared" si="143"/>
        <v/>
      </c>
      <c r="D898" s="170"/>
      <c r="E898" s="195"/>
      <c r="F898" s="170"/>
      <c r="G898" s="170"/>
      <c r="H898" s="203"/>
      <c r="I898" s="197" t="str">
        <f t="shared" si="147"/>
        <v/>
      </c>
      <c r="J898" s="197" t="str">
        <f t="shared" si="148"/>
        <v/>
      </c>
      <c r="K898" s="197"/>
      <c r="L898" s="197"/>
      <c r="M898" s="198"/>
      <c r="N898" s="198"/>
      <c r="O898" s="198"/>
      <c r="P898" s="199"/>
      <c r="Q898" s="200"/>
      <c r="R898" s="200"/>
      <c r="S898" s="200"/>
      <c r="T898" s="200" t="str">
        <f t="shared" si="144"/>
        <v/>
      </c>
      <c r="U898" s="200"/>
      <c r="V898" s="201" t="str">
        <f t="shared" si="145"/>
        <v/>
      </c>
      <c r="W898" s="202">
        <f t="shared" si="146"/>
        <v>0</v>
      </c>
      <c r="X898" s="172"/>
    </row>
    <row r="899" spans="1:24" x14ac:dyDescent="0.45">
      <c r="A899" s="193">
        <v>45</v>
      </c>
      <c r="B899" s="194" t="str">
        <f t="shared" si="142"/>
        <v/>
      </c>
      <c r="C899" s="170" t="str">
        <f t="shared" si="143"/>
        <v/>
      </c>
      <c r="D899" s="170"/>
      <c r="E899" s="195"/>
      <c r="F899" s="170"/>
      <c r="G899" s="170"/>
      <c r="H899" s="203"/>
      <c r="I899" s="197" t="str">
        <f t="shared" si="147"/>
        <v/>
      </c>
      <c r="J899" s="197" t="str">
        <f t="shared" si="148"/>
        <v/>
      </c>
      <c r="K899" s="197"/>
      <c r="L899" s="197"/>
      <c r="M899" s="198"/>
      <c r="N899" s="198"/>
      <c r="O899" s="198"/>
      <c r="P899" s="199"/>
      <c r="Q899" s="200"/>
      <c r="R899" s="200"/>
      <c r="S899" s="200"/>
      <c r="T899" s="200" t="str">
        <f t="shared" si="144"/>
        <v/>
      </c>
      <c r="U899" s="200"/>
      <c r="V899" s="201" t="str">
        <f t="shared" si="145"/>
        <v/>
      </c>
      <c r="W899" s="202">
        <f t="shared" si="146"/>
        <v>0</v>
      </c>
      <c r="X899" s="172"/>
    </row>
    <row r="900" spans="1:24" x14ac:dyDescent="0.45">
      <c r="A900" s="193">
        <v>46</v>
      </c>
      <c r="B900" s="194" t="str">
        <f t="shared" si="142"/>
        <v/>
      </c>
      <c r="C900" s="170" t="str">
        <f t="shared" si="143"/>
        <v/>
      </c>
      <c r="D900" s="170"/>
      <c r="E900" s="195"/>
      <c r="F900" s="170"/>
      <c r="G900" s="170"/>
      <c r="H900" s="203"/>
      <c r="I900" s="197" t="str">
        <f t="shared" si="147"/>
        <v/>
      </c>
      <c r="J900" s="197" t="str">
        <f t="shared" si="148"/>
        <v/>
      </c>
      <c r="K900" s="197"/>
      <c r="L900" s="197"/>
      <c r="M900" s="198"/>
      <c r="N900" s="198"/>
      <c r="O900" s="198"/>
      <c r="P900" s="199"/>
      <c r="Q900" s="200"/>
      <c r="R900" s="200"/>
      <c r="S900" s="200"/>
      <c r="T900" s="200" t="str">
        <f t="shared" si="144"/>
        <v/>
      </c>
      <c r="U900" s="200"/>
      <c r="V900" s="201" t="str">
        <f t="shared" si="145"/>
        <v/>
      </c>
      <c r="W900" s="202">
        <f t="shared" si="146"/>
        <v>0</v>
      </c>
      <c r="X900" s="172"/>
    </row>
    <row r="901" spans="1:24" x14ac:dyDescent="0.45">
      <c r="A901" s="193">
        <v>47</v>
      </c>
      <c r="B901" s="194" t="str">
        <f t="shared" si="142"/>
        <v/>
      </c>
      <c r="C901" s="170" t="str">
        <f t="shared" si="143"/>
        <v/>
      </c>
      <c r="D901" s="170"/>
      <c r="E901" s="195"/>
      <c r="F901" s="170"/>
      <c r="G901" s="170"/>
      <c r="H901" s="203"/>
      <c r="I901" s="197" t="str">
        <f t="shared" si="147"/>
        <v/>
      </c>
      <c r="J901" s="197" t="str">
        <f t="shared" si="148"/>
        <v/>
      </c>
      <c r="K901" s="197"/>
      <c r="L901" s="197"/>
      <c r="M901" s="198"/>
      <c r="N901" s="198"/>
      <c r="O901" s="198"/>
      <c r="P901" s="199"/>
      <c r="Q901" s="200"/>
      <c r="R901" s="200"/>
      <c r="S901" s="200"/>
      <c r="T901" s="200" t="str">
        <f t="shared" si="144"/>
        <v/>
      </c>
      <c r="U901" s="200"/>
      <c r="V901" s="201" t="str">
        <f t="shared" si="145"/>
        <v/>
      </c>
      <c r="W901" s="202">
        <f t="shared" si="146"/>
        <v>0</v>
      </c>
      <c r="X901" s="172"/>
    </row>
    <row r="902" spans="1:24" x14ac:dyDescent="0.45">
      <c r="A902" s="193">
        <v>48</v>
      </c>
      <c r="B902" s="194" t="str">
        <f t="shared" si="142"/>
        <v/>
      </c>
      <c r="C902" s="170" t="str">
        <f t="shared" si="143"/>
        <v/>
      </c>
      <c r="D902" s="170"/>
      <c r="E902" s="195"/>
      <c r="F902" s="170"/>
      <c r="G902" s="170"/>
      <c r="H902" s="203"/>
      <c r="I902" s="197" t="str">
        <f t="shared" si="147"/>
        <v/>
      </c>
      <c r="J902" s="197" t="str">
        <f t="shared" si="148"/>
        <v/>
      </c>
      <c r="K902" s="197"/>
      <c r="L902" s="197"/>
      <c r="M902" s="198"/>
      <c r="N902" s="198"/>
      <c r="O902" s="198"/>
      <c r="P902" s="199"/>
      <c r="Q902" s="200"/>
      <c r="R902" s="200"/>
      <c r="S902" s="200"/>
      <c r="T902" s="200" t="str">
        <f t="shared" si="144"/>
        <v/>
      </c>
      <c r="U902" s="200"/>
      <c r="V902" s="201" t="str">
        <f t="shared" si="145"/>
        <v/>
      </c>
      <c r="W902" s="202">
        <f t="shared" si="146"/>
        <v>0</v>
      </c>
      <c r="X902" s="172"/>
    </row>
    <row r="903" spans="1:24" x14ac:dyDescent="0.45">
      <c r="A903" s="193">
        <v>49</v>
      </c>
      <c r="B903" s="194" t="str">
        <f t="shared" si="142"/>
        <v/>
      </c>
      <c r="C903" s="170" t="str">
        <f t="shared" si="143"/>
        <v/>
      </c>
      <c r="D903" s="170"/>
      <c r="E903" s="195"/>
      <c r="F903" s="170"/>
      <c r="G903" s="170"/>
      <c r="H903" s="203"/>
      <c r="I903" s="197" t="str">
        <f t="shared" si="147"/>
        <v/>
      </c>
      <c r="J903" s="197" t="str">
        <f t="shared" si="148"/>
        <v/>
      </c>
      <c r="K903" s="197"/>
      <c r="L903" s="197"/>
      <c r="M903" s="198"/>
      <c r="N903" s="198"/>
      <c r="O903" s="198"/>
      <c r="P903" s="199"/>
      <c r="Q903" s="200"/>
      <c r="R903" s="200"/>
      <c r="S903" s="200"/>
      <c r="T903" s="200" t="str">
        <f t="shared" si="144"/>
        <v/>
      </c>
      <c r="U903" s="200"/>
      <c r="V903" s="201" t="str">
        <f t="shared" si="145"/>
        <v/>
      </c>
      <c r="W903" s="202">
        <f t="shared" si="146"/>
        <v>0</v>
      </c>
      <c r="X903" s="172"/>
    </row>
    <row r="904" spans="1:24" x14ac:dyDescent="0.45">
      <c r="A904" s="193">
        <v>50</v>
      </c>
      <c r="B904" s="194" t="str">
        <f t="shared" si="142"/>
        <v/>
      </c>
      <c r="C904" s="170" t="str">
        <f t="shared" si="143"/>
        <v/>
      </c>
      <c r="D904" s="170"/>
      <c r="E904" s="195"/>
      <c r="F904" s="170"/>
      <c r="G904" s="170"/>
      <c r="H904" s="203"/>
      <c r="I904" s="197" t="str">
        <f t="shared" si="147"/>
        <v/>
      </c>
      <c r="J904" s="197" t="str">
        <f t="shared" si="148"/>
        <v/>
      </c>
      <c r="K904" s="197"/>
      <c r="L904" s="197"/>
      <c r="M904" s="198"/>
      <c r="N904" s="198"/>
      <c r="O904" s="198"/>
      <c r="P904" s="199"/>
      <c r="Q904" s="200"/>
      <c r="R904" s="200"/>
      <c r="S904" s="200"/>
      <c r="T904" s="200" t="str">
        <f t="shared" si="144"/>
        <v/>
      </c>
      <c r="U904" s="200"/>
      <c r="V904" s="201" t="str">
        <f t="shared" si="145"/>
        <v/>
      </c>
      <c r="W904" s="202">
        <f t="shared" si="146"/>
        <v>0</v>
      </c>
      <c r="X904" s="172"/>
    </row>
    <row r="905" spans="1:24" x14ac:dyDescent="0.45">
      <c r="A905" s="193">
        <v>51</v>
      </c>
      <c r="B905" s="194" t="str">
        <f t="shared" si="142"/>
        <v/>
      </c>
      <c r="C905" s="170" t="str">
        <f t="shared" si="143"/>
        <v/>
      </c>
      <c r="D905" s="170"/>
      <c r="E905" s="195"/>
      <c r="F905" s="170"/>
      <c r="G905" s="170"/>
      <c r="H905" s="203"/>
      <c r="I905" s="197" t="str">
        <f t="shared" si="147"/>
        <v/>
      </c>
      <c r="J905" s="197" t="str">
        <f t="shared" si="148"/>
        <v/>
      </c>
      <c r="K905" s="197"/>
      <c r="L905" s="197"/>
      <c r="M905" s="198"/>
      <c r="N905" s="198"/>
      <c r="O905" s="198"/>
      <c r="P905" s="199"/>
      <c r="Q905" s="200"/>
      <c r="R905" s="200"/>
      <c r="S905" s="200"/>
      <c r="T905" s="200" t="str">
        <f t="shared" si="144"/>
        <v/>
      </c>
      <c r="U905" s="200"/>
      <c r="V905" s="201" t="str">
        <f t="shared" si="145"/>
        <v/>
      </c>
      <c r="W905" s="202">
        <f t="shared" si="146"/>
        <v>0</v>
      </c>
      <c r="X905" s="172"/>
    </row>
    <row r="906" spans="1:24" x14ac:dyDescent="0.45">
      <c r="A906" s="193">
        <v>52</v>
      </c>
      <c r="B906" s="194" t="str">
        <f t="shared" si="142"/>
        <v/>
      </c>
      <c r="C906" s="170" t="str">
        <f t="shared" si="143"/>
        <v/>
      </c>
      <c r="D906" s="170"/>
      <c r="E906" s="195"/>
      <c r="F906" s="170"/>
      <c r="G906" s="170"/>
      <c r="H906" s="203"/>
      <c r="I906" s="197" t="str">
        <f t="shared" si="147"/>
        <v/>
      </c>
      <c r="J906" s="197" t="str">
        <f t="shared" si="148"/>
        <v/>
      </c>
      <c r="K906" s="197"/>
      <c r="L906" s="197"/>
      <c r="M906" s="198"/>
      <c r="N906" s="198"/>
      <c r="O906" s="198"/>
      <c r="P906" s="199"/>
      <c r="Q906" s="200"/>
      <c r="R906" s="200"/>
      <c r="S906" s="200"/>
      <c r="T906" s="200" t="str">
        <f t="shared" si="144"/>
        <v/>
      </c>
      <c r="U906" s="200"/>
      <c r="V906" s="201" t="str">
        <f t="shared" si="145"/>
        <v/>
      </c>
      <c r="W906" s="202">
        <f t="shared" si="146"/>
        <v>0</v>
      </c>
      <c r="X906" s="172"/>
    </row>
    <row r="907" spans="1:24" x14ac:dyDescent="0.45">
      <c r="A907" s="193">
        <v>53</v>
      </c>
      <c r="B907" s="194" t="str">
        <f t="shared" si="142"/>
        <v/>
      </c>
      <c r="C907" s="170" t="str">
        <f t="shared" si="143"/>
        <v/>
      </c>
      <c r="D907" s="170"/>
      <c r="E907" s="195"/>
      <c r="F907" s="170"/>
      <c r="G907" s="170"/>
      <c r="H907" s="203"/>
      <c r="I907" s="197" t="str">
        <f t="shared" si="147"/>
        <v/>
      </c>
      <c r="J907" s="197" t="str">
        <f t="shared" si="148"/>
        <v/>
      </c>
      <c r="K907" s="197"/>
      <c r="L907" s="197"/>
      <c r="M907" s="198"/>
      <c r="N907" s="198"/>
      <c r="O907" s="198"/>
      <c r="P907" s="199"/>
      <c r="Q907" s="200"/>
      <c r="R907" s="200"/>
      <c r="S907" s="200"/>
      <c r="T907" s="200" t="str">
        <f t="shared" si="144"/>
        <v/>
      </c>
      <c r="U907" s="200"/>
      <c r="V907" s="201" t="str">
        <f t="shared" si="145"/>
        <v/>
      </c>
      <c r="W907" s="202">
        <f t="shared" si="146"/>
        <v>0</v>
      </c>
      <c r="X907" s="172"/>
    </row>
    <row r="908" spans="1:24" x14ac:dyDescent="0.45">
      <c r="A908" s="193">
        <v>54</v>
      </c>
      <c r="B908" s="194" t="str">
        <f t="shared" si="142"/>
        <v/>
      </c>
      <c r="C908" s="170" t="str">
        <f t="shared" si="143"/>
        <v/>
      </c>
      <c r="D908" s="170"/>
      <c r="E908" s="195"/>
      <c r="F908" s="170"/>
      <c r="G908" s="170"/>
      <c r="H908" s="203"/>
      <c r="I908" s="197" t="str">
        <f t="shared" si="147"/>
        <v/>
      </c>
      <c r="J908" s="197" t="str">
        <f t="shared" si="148"/>
        <v/>
      </c>
      <c r="K908" s="197"/>
      <c r="L908" s="197"/>
      <c r="M908" s="198"/>
      <c r="N908" s="198"/>
      <c r="O908" s="198"/>
      <c r="P908" s="199"/>
      <c r="Q908" s="200"/>
      <c r="R908" s="200"/>
      <c r="S908" s="200"/>
      <c r="T908" s="200" t="str">
        <f t="shared" si="144"/>
        <v/>
      </c>
      <c r="U908" s="200"/>
      <c r="V908" s="201" t="str">
        <f t="shared" si="145"/>
        <v/>
      </c>
      <c r="W908" s="202">
        <f t="shared" si="146"/>
        <v>0</v>
      </c>
      <c r="X908" s="172"/>
    </row>
    <row r="909" spans="1:24" x14ac:dyDescent="0.45">
      <c r="A909" s="193">
        <v>55</v>
      </c>
      <c r="B909" s="194" t="str">
        <f t="shared" si="142"/>
        <v/>
      </c>
      <c r="C909" s="170" t="str">
        <f t="shared" si="143"/>
        <v/>
      </c>
      <c r="D909" s="170"/>
      <c r="E909" s="195"/>
      <c r="F909" s="170"/>
      <c r="G909" s="170"/>
      <c r="H909" s="203"/>
      <c r="I909" s="197" t="str">
        <f t="shared" si="147"/>
        <v/>
      </c>
      <c r="J909" s="197" t="str">
        <f t="shared" si="148"/>
        <v/>
      </c>
      <c r="K909" s="197"/>
      <c r="L909" s="197"/>
      <c r="M909" s="198"/>
      <c r="N909" s="198"/>
      <c r="O909" s="198"/>
      <c r="P909" s="199"/>
      <c r="Q909" s="200"/>
      <c r="R909" s="200"/>
      <c r="S909" s="200"/>
      <c r="T909" s="200" t="str">
        <f t="shared" si="144"/>
        <v/>
      </c>
      <c r="U909" s="200"/>
      <c r="V909" s="201" t="str">
        <f t="shared" si="145"/>
        <v/>
      </c>
      <c r="W909" s="202">
        <f t="shared" si="146"/>
        <v>0</v>
      </c>
      <c r="X909" s="172"/>
    </row>
    <row r="910" spans="1:24" x14ac:dyDescent="0.45">
      <c r="A910" s="193">
        <v>56</v>
      </c>
      <c r="B910" s="194" t="str">
        <f t="shared" si="142"/>
        <v/>
      </c>
      <c r="C910" s="170" t="str">
        <f t="shared" si="143"/>
        <v/>
      </c>
      <c r="D910" s="170"/>
      <c r="E910" s="195"/>
      <c r="F910" s="170"/>
      <c r="G910" s="170"/>
      <c r="H910" s="203"/>
      <c r="I910" s="197" t="str">
        <f t="shared" si="147"/>
        <v/>
      </c>
      <c r="J910" s="197" t="str">
        <f t="shared" si="148"/>
        <v/>
      </c>
      <c r="K910" s="197"/>
      <c r="L910" s="197"/>
      <c r="M910" s="198"/>
      <c r="N910" s="198"/>
      <c r="O910" s="198"/>
      <c r="P910" s="199"/>
      <c r="Q910" s="200"/>
      <c r="R910" s="200"/>
      <c r="S910" s="200"/>
      <c r="T910" s="200" t="str">
        <f t="shared" si="144"/>
        <v/>
      </c>
      <c r="U910" s="200"/>
      <c r="V910" s="201" t="str">
        <f t="shared" si="145"/>
        <v/>
      </c>
      <c r="W910" s="202">
        <f t="shared" si="146"/>
        <v>0</v>
      </c>
      <c r="X910" s="172"/>
    </row>
    <row r="911" spans="1:24" x14ac:dyDescent="0.45">
      <c r="A911" s="193">
        <v>57</v>
      </c>
      <c r="B911" s="194" t="str">
        <f t="shared" si="142"/>
        <v/>
      </c>
      <c r="C911" s="170" t="str">
        <f t="shared" si="143"/>
        <v/>
      </c>
      <c r="D911" s="170"/>
      <c r="E911" s="195"/>
      <c r="F911" s="170"/>
      <c r="G911" s="170"/>
      <c r="H911" s="203"/>
      <c r="I911" s="197" t="str">
        <f t="shared" si="147"/>
        <v/>
      </c>
      <c r="J911" s="197" t="str">
        <f t="shared" si="148"/>
        <v/>
      </c>
      <c r="K911" s="197"/>
      <c r="L911" s="197"/>
      <c r="M911" s="198"/>
      <c r="N911" s="198"/>
      <c r="O911" s="198"/>
      <c r="P911" s="199"/>
      <c r="Q911" s="200"/>
      <c r="R911" s="200"/>
      <c r="S911" s="200"/>
      <c r="T911" s="200" t="str">
        <f t="shared" si="144"/>
        <v/>
      </c>
      <c r="U911" s="200"/>
      <c r="V911" s="201" t="str">
        <f t="shared" si="145"/>
        <v/>
      </c>
      <c r="W911" s="202">
        <f t="shared" si="146"/>
        <v>0</v>
      </c>
      <c r="X911" s="172"/>
    </row>
    <row r="912" spans="1:24" x14ac:dyDescent="0.45">
      <c r="A912" s="193">
        <v>58</v>
      </c>
      <c r="B912" s="194" t="str">
        <f t="shared" si="142"/>
        <v/>
      </c>
      <c r="C912" s="170" t="str">
        <f t="shared" si="143"/>
        <v/>
      </c>
      <c r="D912" s="170"/>
      <c r="E912" s="195"/>
      <c r="F912" s="170"/>
      <c r="G912" s="170"/>
      <c r="H912" s="203"/>
      <c r="I912" s="197" t="str">
        <f t="shared" si="147"/>
        <v/>
      </c>
      <c r="J912" s="197" t="str">
        <f t="shared" si="148"/>
        <v/>
      </c>
      <c r="K912" s="197"/>
      <c r="L912" s="197"/>
      <c r="M912" s="198"/>
      <c r="N912" s="198"/>
      <c r="O912" s="198"/>
      <c r="P912" s="199"/>
      <c r="Q912" s="200"/>
      <c r="R912" s="200"/>
      <c r="S912" s="200"/>
      <c r="T912" s="200" t="str">
        <f t="shared" si="144"/>
        <v/>
      </c>
      <c r="U912" s="200"/>
      <c r="V912" s="201" t="str">
        <f t="shared" si="145"/>
        <v/>
      </c>
      <c r="W912" s="202">
        <f t="shared" si="146"/>
        <v>0</v>
      </c>
      <c r="X912" s="172"/>
    </row>
    <row r="913" spans="1:24" x14ac:dyDescent="0.45">
      <c r="A913" s="193">
        <v>59</v>
      </c>
      <c r="B913" s="194" t="str">
        <f t="shared" si="142"/>
        <v/>
      </c>
      <c r="C913" s="170" t="str">
        <f t="shared" si="143"/>
        <v/>
      </c>
      <c r="D913" s="170"/>
      <c r="E913" s="195"/>
      <c r="F913" s="170"/>
      <c r="G913" s="170"/>
      <c r="H913" s="203"/>
      <c r="I913" s="197" t="str">
        <f t="shared" si="147"/>
        <v/>
      </c>
      <c r="J913" s="197" t="str">
        <f t="shared" si="148"/>
        <v/>
      </c>
      <c r="K913" s="197"/>
      <c r="L913" s="197"/>
      <c r="M913" s="198"/>
      <c r="N913" s="198"/>
      <c r="O913" s="198"/>
      <c r="P913" s="199"/>
      <c r="Q913" s="200"/>
      <c r="R913" s="200"/>
      <c r="S913" s="200"/>
      <c r="T913" s="200" t="str">
        <f t="shared" si="144"/>
        <v/>
      </c>
      <c r="U913" s="200"/>
      <c r="V913" s="201" t="str">
        <f t="shared" si="145"/>
        <v/>
      </c>
      <c r="W913" s="202">
        <f t="shared" si="146"/>
        <v>0</v>
      </c>
      <c r="X913" s="172"/>
    </row>
    <row r="914" spans="1:24" x14ac:dyDescent="0.45">
      <c r="A914" s="193">
        <v>60</v>
      </c>
      <c r="B914" s="194" t="str">
        <f t="shared" si="142"/>
        <v/>
      </c>
      <c r="C914" s="170" t="str">
        <f t="shared" si="143"/>
        <v/>
      </c>
      <c r="D914" s="170"/>
      <c r="E914" s="195"/>
      <c r="F914" s="170"/>
      <c r="G914" s="170"/>
      <c r="H914" s="203"/>
      <c r="I914" s="197" t="str">
        <f t="shared" si="147"/>
        <v/>
      </c>
      <c r="J914" s="197" t="str">
        <f t="shared" si="148"/>
        <v/>
      </c>
      <c r="K914" s="197"/>
      <c r="L914" s="197"/>
      <c r="M914" s="198"/>
      <c r="N914" s="198"/>
      <c r="O914" s="198"/>
      <c r="P914" s="199"/>
      <c r="Q914" s="200"/>
      <c r="R914" s="200"/>
      <c r="S914" s="200"/>
      <c r="T914" s="200" t="str">
        <f t="shared" si="144"/>
        <v/>
      </c>
      <c r="U914" s="200"/>
      <c r="V914" s="201" t="str">
        <f t="shared" si="145"/>
        <v/>
      </c>
      <c r="W914" s="202">
        <f t="shared" si="146"/>
        <v>0</v>
      </c>
      <c r="X914" s="172"/>
    </row>
    <row r="915" spans="1:24" x14ac:dyDescent="0.45">
      <c r="A915" s="193">
        <v>61</v>
      </c>
      <c r="B915" s="194" t="str">
        <f t="shared" si="142"/>
        <v/>
      </c>
      <c r="C915" s="170" t="str">
        <f t="shared" si="143"/>
        <v/>
      </c>
      <c r="D915" s="170"/>
      <c r="E915" s="195"/>
      <c r="F915" s="170"/>
      <c r="G915" s="170"/>
      <c r="H915" s="203"/>
      <c r="I915" s="197" t="str">
        <f t="shared" si="147"/>
        <v/>
      </c>
      <c r="J915" s="197" t="str">
        <f t="shared" si="148"/>
        <v/>
      </c>
      <c r="K915" s="197"/>
      <c r="L915" s="197"/>
      <c r="M915" s="198"/>
      <c r="N915" s="198"/>
      <c r="O915" s="198"/>
      <c r="P915" s="199"/>
      <c r="Q915" s="200"/>
      <c r="R915" s="200"/>
      <c r="S915" s="200"/>
      <c r="T915" s="200" t="str">
        <f t="shared" si="144"/>
        <v/>
      </c>
      <c r="U915" s="200"/>
      <c r="V915" s="201" t="str">
        <f t="shared" si="145"/>
        <v/>
      </c>
      <c r="W915" s="202">
        <f t="shared" si="146"/>
        <v>0</v>
      </c>
      <c r="X915" s="172"/>
    </row>
    <row r="916" spans="1:24" x14ac:dyDescent="0.45">
      <c r="A916" s="193">
        <v>62</v>
      </c>
      <c r="B916" s="194" t="str">
        <f t="shared" si="142"/>
        <v/>
      </c>
      <c r="C916" s="170" t="str">
        <f t="shared" si="143"/>
        <v/>
      </c>
      <c r="D916" s="170"/>
      <c r="E916" s="195"/>
      <c r="F916" s="170"/>
      <c r="G916" s="170"/>
      <c r="H916" s="203"/>
      <c r="I916" s="197" t="str">
        <f t="shared" si="147"/>
        <v/>
      </c>
      <c r="J916" s="197" t="str">
        <f t="shared" si="148"/>
        <v/>
      </c>
      <c r="K916" s="197"/>
      <c r="L916" s="197"/>
      <c r="M916" s="198"/>
      <c r="N916" s="198"/>
      <c r="O916" s="198"/>
      <c r="P916" s="199"/>
      <c r="Q916" s="200"/>
      <c r="R916" s="200"/>
      <c r="S916" s="200"/>
      <c r="T916" s="200" t="str">
        <f t="shared" si="144"/>
        <v/>
      </c>
      <c r="U916" s="200"/>
      <c r="V916" s="201" t="str">
        <f t="shared" si="145"/>
        <v/>
      </c>
      <c r="W916" s="202">
        <f t="shared" si="146"/>
        <v>0</v>
      </c>
      <c r="X916" s="172"/>
    </row>
    <row r="917" spans="1:24" x14ac:dyDescent="0.45">
      <c r="A917" s="193">
        <v>63</v>
      </c>
      <c r="B917" s="194" t="str">
        <f t="shared" si="142"/>
        <v/>
      </c>
      <c r="C917" s="170" t="str">
        <f t="shared" si="143"/>
        <v/>
      </c>
      <c r="D917" s="170"/>
      <c r="E917" s="195"/>
      <c r="F917" s="170"/>
      <c r="G917" s="170"/>
      <c r="H917" s="203"/>
      <c r="I917" s="197" t="str">
        <f t="shared" si="147"/>
        <v/>
      </c>
      <c r="J917" s="197" t="str">
        <f t="shared" si="148"/>
        <v/>
      </c>
      <c r="K917" s="197"/>
      <c r="L917" s="197"/>
      <c r="M917" s="198"/>
      <c r="N917" s="198"/>
      <c r="O917" s="198"/>
      <c r="P917" s="199"/>
      <c r="Q917" s="200"/>
      <c r="R917" s="200"/>
      <c r="S917" s="200"/>
      <c r="T917" s="200" t="str">
        <f t="shared" si="144"/>
        <v/>
      </c>
      <c r="U917" s="200"/>
      <c r="V917" s="201" t="str">
        <f t="shared" si="145"/>
        <v/>
      </c>
      <c r="W917" s="202">
        <f t="shared" si="146"/>
        <v>0</v>
      </c>
      <c r="X917" s="172"/>
    </row>
    <row r="918" spans="1:24" x14ac:dyDescent="0.45">
      <c r="A918" s="193">
        <v>64</v>
      </c>
      <c r="B918" s="194" t="str">
        <f t="shared" si="142"/>
        <v/>
      </c>
      <c r="C918" s="170" t="str">
        <f t="shared" si="143"/>
        <v/>
      </c>
      <c r="D918" s="170"/>
      <c r="E918" s="195"/>
      <c r="F918" s="170"/>
      <c r="G918" s="170"/>
      <c r="H918" s="203"/>
      <c r="I918" s="197" t="str">
        <f t="shared" si="147"/>
        <v/>
      </c>
      <c r="J918" s="197" t="str">
        <f t="shared" si="148"/>
        <v/>
      </c>
      <c r="K918" s="197"/>
      <c r="L918" s="197"/>
      <c r="M918" s="198"/>
      <c r="N918" s="198"/>
      <c r="O918" s="198"/>
      <c r="P918" s="199"/>
      <c r="Q918" s="200"/>
      <c r="R918" s="200"/>
      <c r="S918" s="200"/>
      <c r="T918" s="200" t="str">
        <f t="shared" si="144"/>
        <v/>
      </c>
      <c r="U918" s="200"/>
      <c r="V918" s="201" t="str">
        <f t="shared" si="145"/>
        <v/>
      </c>
      <c r="W918" s="202">
        <f t="shared" si="146"/>
        <v>0</v>
      </c>
      <c r="X918" s="172"/>
    </row>
    <row r="919" spans="1:24" x14ac:dyDescent="0.45">
      <c r="A919" s="193">
        <v>65</v>
      </c>
      <c r="B919" s="194" t="str">
        <f t="shared" si="142"/>
        <v/>
      </c>
      <c r="C919" s="170" t="str">
        <f t="shared" si="143"/>
        <v/>
      </c>
      <c r="D919" s="170"/>
      <c r="E919" s="195"/>
      <c r="F919" s="170"/>
      <c r="G919" s="170"/>
      <c r="H919" s="203"/>
      <c r="I919" s="197" t="str">
        <f t="shared" si="147"/>
        <v/>
      </c>
      <c r="J919" s="197" t="str">
        <f t="shared" si="148"/>
        <v/>
      </c>
      <c r="K919" s="197"/>
      <c r="L919" s="197"/>
      <c r="M919" s="198"/>
      <c r="N919" s="198"/>
      <c r="O919" s="198"/>
      <c r="P919" s="199"/>
      <c r="Q919" s="200"/>
      <c r="R919" s="200"/>
      <c r="S919" s="200"/>
      <c r="T919" s="200" t="str">
        <f t="shared" si="144"/>
        <v/>
      </c>
      <c r="U919" s="200"/>
      <c r="V919" s="201" t="str">
        <f t="shared" ref="V919:V920" si="149">IF(U919="","",$V$835)</f>
        <v/>
      </c>
      <c r="W919" s="202">
        <f t="shared" si="146"/>
        <v>0</v>
      </c>
      <c r="X919" s="172"/>
    </row>
    <row r="920" spans="1:24" ht="14.25" customHeight="1" x14ac:dyDescent="0.45">
      <c r="A920" s="193">
        <v>66</v>
      </c>
      <c r="B920" s="204" t="str">
        <f t="shared" si="142"/>
        <v/>
      </c>
      <c r="C920" s="205" t="str">
        <f t="shared" si="143"/>
        <v/>
      </c>
      <c r="D920" s="205"/>
      <c r="E920" s="205"/>
      <c r="F920" s="205"/>
      <c r="G920" s="205"/>
      <c r="H920" s="205"/>
      <c r="I920" s="206" t="str">
        <f t="shared" si="147"/>
        <v/>
      </c>
      <c r="J920" s="206" t="str">
        <f t="shared" si="148"/>
        <v/>
      </c>
      <c r="K920" s="206"/>
      <c r="L920" s="206"/>
      <c r="M920" s="205"/>
      <c r="N920" s="205"/>
      <c r="O920" s="205"/>
      <c r="P920" s="205"/>
      <c r="Q920" s="205"/>
      <c r="R920" s="205"/>
      <c r="S920" s="205"/>
      <c r="T920" s="205" t="str">
        <f t="shared" si="144"/>
        <v/>
      </c>
      <c r="U920" s="205"/>
      <c r="V920" s="205" t="str">
        <f t="shared" si="149"/>
        <v/>
      </c>
      <c r="W920" s="207">
        <f t="shared" si="146"/>
        <v>0</v>
      </c>
      <c r="X920" s="207"/>
    </row>
    <row r="921" spans="1:24" ht="24.75" customHeight="1" x14ac:dyDescent="0.45">
      <c r="B921" s="428" t="s">
        <v>1518</v>
      </c>
      <c r="C921" s="429" t="s">
        <v>1494</v>
      </c>
      <c r="D921" s="429"/>
      <c r="E921" s="429"/>
      <c r="F921" s="429"/>
      <c r="G921" s="429"/>
      <c r="H921" s="429"/>
      <c r="I921" s="429"/>
      <c r="J921" s="429"/>
      <c r="K921" s="429"/>
      <c r="L921" s="429"/>
      <c r="M921" s="429"/>
      <c r="N921" s="429"/>
      <c r="O921" s="429"/>
      <c r="P921" s="429"/>
      <c r="Q921" s="429"/>
      <c r="R921" s="145" t="s">
        <v>1</v>
      </c>
      <c r="S921" s="146"/>
      <c r="T921" s="145" t="s">
        <v>8</v>
      </c>
      <c r="U921" s="147"/>
      <c r="V921" s="148" t="s">
        <v>3</v>
      </c>
      <c r="W921" s="146"/>
      <c r="X921" s="149"/>
    </row>
    <row r="922" spans="1:24" ht="24.75" customHeight="1" x14ac:dyDescent="0.45">
      <c r="B922" s="428"/>
      <c r="C922" s="429"/>
      <c r="D922" s="429"/>
      <c r="E922" s="429"/>
      <c r="F922" s="429"/>
      <c r="G922" s="429"/>
      <c r="H922" s="429"/>
      <c r="I922" s="429"/>
      <c r="J922" s="429"/>
      <c r="K922" s="429"/>
      <c r="L922" s="429"/>
      <c r="M922" s="429"/>
      <c r="N922" s="429"/>
      <c r="O922" s="429"/>
      <c r="P922" s="429"/>
      <c r="Q922" s="429"/>
      <c r="R922" s="430" t="s">
        <v>1495</v>
      </c>
      <c r="S922" s="430"/>
      <c r="T922" s="431" t="str">
        <f>'BM MORRO DA CRUZ - VERTICAL'!$V$4</f>
        <v>01-10-26 A 31-10-26</v>
      </c>
      <c r="U922" s="431"/>
      <c r="V922" s="432" t="str">
        <f>IF('BM MORRO DA CRUZ - VERTICAL'!$BF$2="","",'BM MORRO DA CRUZ - VERTICAL'!$BF$2)</f>
        <v/>
      </c>
      <c r="W922" s="432"/>
      <c r="X922" s="150"/>
    </row>
    <row r="923" spans="1:24" ht="24.75" customHeight="1" x14ac:dyDescent="0.45">
      <c r="B923" s="151" t="s">
        <v>5</v>
      </c>
      <c r="C923" s="152"/>
      <c r="D923" s="152"/>
      <c r="E923" s="152"/>
      <c r="F923" s="152"/>
      <c r="G923" s="152"/>
      <c r="H923" s="152"/>
      <c r="I923" s="152"/>
      <c r="J923" s="152"/>
      <c r="K923" s="152"/>
      <c r="L923" s="152"/>
      <c r="M923" s="152"/>
      <c r="N923" s="152"/>
      <c r="O923" s="152"/>
      <c r="P923" s="153"/>
      <c r="Q923" s="154"/>
      <c r="R923" s="155"/>
      <c r="S923" s="155"/>
      <c r="T923" s="156" t="s">
        <v>1496</v>
      </c>
      <c r="U923" s="157"/>
      <c r="V923" s="158" t="s">
        <v>9</v>
      </c>
      <c r="W923" s="159"/>
      <c r="X923" s="433"/>
    </row>
    <row r="924" spans="1:24" ht="24.75" customHeight="1" x14ac:dyDescent="0.45">
      <c r="B924" s="17" t="s">
        <v>11</v>
      </c>
      <c r="C924" s="160"/>
      <c r="D924" s="160"/>
      <c r="E924" s="160"/>
      <c r="F924" s="160"/>
      <c r="G924" s="160"/>
      <c r="H924" s="160"/>
      <c r="I924" s="160"/>
      <c r="J924" s="160"/>
      <c r="K924" s="160"/>
      <c r="L924" s="160"/>
      <c r="M924" s="160"/>
      <c r="N924" s="160"/>
      <c r="O924" s="160"/>
      <c r="P924" s="161"/>
      <c r="Q924" s="162"/>
      <c r="R924" s="163"/>
      <c r="S924" s="163"/>
      <c r="T924" s="434" t="str">
        <f>'BM MORRO DA CRUZ - VERTICAL'!$V$2</f>
        <v>1ª MEDIÇÃO</v>
      </c>
      <c r="U924" s="434"/>
      <c r="V924" s="435" t="s">
        <v>13</v>
      </c>
      <c r="W924" s="435"/>
      <c r="X924" s="433"/>
    </row>
    <row r="925" spans="1:24" ht="24.75" customHeight="1" x14ac:dyDescent="0.45">
      <c r="B925" s="164" t="s">
        <v>1459</v>
      </c>
      <c r="C925" s="165" t="s">
        <v>14</v>
      </c>
      <c r="D925" s="165" t="s">
        <v>24</v>
      </c>
      <c r="E925" s="165" t="s">
        <v>25</v>
      </c>
      <c r="F925" s="166" t="s">
        <v>1461</v>
      </c>
      <c r="G925" s="165"/>
      <c r="H925" s="165"/>
      <c r="I925" s="165"/>
      <c r="J925" s="165"/>
      <c r="K925" s="165"/>
      <c r="L925" s="165"/>
      <c r="M925" s="165"/>
      <c r="N925" s="165"/>
      <c r="O925" s="165"/>
      <c r="P925" s="165"/>
      <c r="Q925" s="165"/>
      <c r="R925" s="165"/>
      <c r="S925" s="165"/>
      <c r="T925" s="165"/>
      <c r="U925" s="165"/>
      <c r="V925" s="165" t="s">
        <v>26</v>
      </c>
      <c r="W925" s="167" t="s">
        <v>29</v>
      </c>
      <c r="X925" s="168"/>
    </row>
    <row r="926" spans="1:24" ht="24.75" customHeight="1" x14ac:dyDescent="0.45">
      <c r="B926" s="169"/>
      <c r="C926" s="170"/>
      <c r="D926" s="170"/>
      <c r="E926" s="170"/>
      <c r="F926" s="170"/>
      <c r="G926" s="170"/>
      <c r="H926" s="170"/>
      <c r="I926" s="170"/>
      <c r="J926" s="170"/>
      <c r="K926" s="170"/>
      <c r="L926" s="170"/>
      <c r="M926" s="170"/>
      <c r="N926" s="170"/>
      <c r="O926" s="170"/>
      <c r="P926" s="170"/>
      <c r="Q926" s="170"/>
      <c r="R926" s="170"/>
      <c r="S926" s="170"/>
      <c r="T926" s="170"/>
      <c r="U926" s="170"/>
      <c r="V926" s="170"/>
      <c r="W926" s="171"/>
      <c r="X926" s="172"/>
    </row>
    <row r="927" spans="1:24" ht="24.75" customHeight="1" x14ac:dyDescent="0.45">
      <c r="B927" s="173" t="str">
        <f>IF($C$927="","",IFERROR(INDEX('BM MORRO DA CRUZ - VERTICAL'!$C$6:$C$546,MATCH($C$927,'BM MORRO DA CRUZ - VERTICAL'!$D$6:$D$546,0)),"CHAVE NÃO ENCONTRADA NO VERTICAL"))</f>
        <v/>
      </c>
      <c r="C927" s="174"/>
      <c r="D927" s="175" t="str">
        <f>IF($C$927="","",IFERROR(INDEX('BM MORRO DA CRUZ - VERTICAL'!$O$6:$O$546,MATCH($C$927,'BM MORRO DA CRUZ - VERTICAL'!$D$6:$D$546,0)),"CHAVE NÃO ENCONTRADA NO VERTICAL"))</f>
        <v/>
      </c>
      <c r="E927" s="175" t="str">
        <f>IF($C$927="","",IFERROR(INDEX('BM MORRO DA CRUZ - VERTICAL'!$P$6:$P$546,MATCH($C$927,'BM MORRO DA CRUZ - VERTICAL'!$D$6:$D$546,0)),"CHAVE NÃO ENCONTRADA NO VERTICAL"))</f>
        <v/>
      </c>
      <c r="F927" s="175" t="str">
        <f>IF($C$927="","",IFERROR(INDEX('BM MORRO DA CRUZ - VERTICAL'!$Q$6:$Q$546,MATCH($C$927,'BM MORRO DA CRUZ - VERTICAL'!$D$6:$D$546,0)),"CHAVE NÃO ENCONTRADA NO VERTICAL"))</f>
        <v/>
      </c>
      <c r="G927" s="176"/>
      <c r="H927" s="176"/>
      <c r="I927" s="176"/>
      <c r="J927" s="176"/>
      <c r="K927" s="176"/>
      <c r="L927" s="176"/>
      <c r="M927" s="176"/>
      <c r="N927" s="176"/>
      <c r="O927" s="176"/>
      <c r="P927" s="176"/>
      <c r="Q927" s="176"/>
      <c r="R927" s="176"/>
      <c r="S927" s="176"/>
      <c r="T927" s="176"/>
      <c r="U927" s="176"/>
      <c r="V927" s="177" t="str">
        <f>IF($C$927="","",IFERROR(INDEX('BM MORRO DA CRUZ - VERTICAL'!$R$6:$R$546,MATCH($C$927,'BM MORRO DA CRUZ - VERTICAL'!$D$6:$D$546,0)),"CHAVE NÃO ENCONTRADA NO VERTICAL"))</f>
        <v/>
      </c>
      <c r="W927" s="178">
        <f>SUM($W947:$W1012)</f>
        <v>0</v>
      </c>
      <c r="X927" s="179"/>
    </row>
    <row r="928" spans="1:24" ht="24.75" customHeight="1" x14ac:dyDescent="0.45">
      <c r="B928" s="426" t="s">
        <v>1497</v>
      </c>
      <c r="C928" s="426"/>
      <c r="D928" s="426"/>
      <c r="E928" s="426"/>
      <c r="F928" s="426"/>
      <c r="G928" s="426"/>
      <c r="H928" s="426"/>
      <c r="I928" s="426"/>
      <c r="J928" s="426"/>
      <c r="K928" s="426"/>
      <c r="L928" s="426"/>
      <c r="M928" s="426"/>
      <c r="N928" s="426"/>
      <c r="O928" s="426"/>
      <c r="P928" s="426"/>
      <c r="Q928" s="426"/>
      <c r="R928" s="426"/>
      <c r="S928" s="426"/>
      <c r="T928" s="426"/>
      <c r="U928" s="426"/>
      <c r="V928" s="426"/>
      <c r="W928" s="426"/>
      <c r="X928" s="180" t="s">
        <v>1498</v>
      </c>
    </row>
    <row r="929" spans="2:24" ht="14.25" customHeight="1" x14ac:dyDescent="0.45">
      <c r="B929" s="181"/>
      <c r="C929" s="182"/>
      <c r="D929" s="182"/>
      <c r="E929" s="182"/>
      <c r="F929" s="182"/>
      <c r="G929" s="182"/>
      <c r="H929" s="182"/>
      <c r="I929" s="182"/>
      <c r="J929" s="182"/>
      <c r="K929" s="182"/>
      <c r="L929" s="182"/>
      <c r="M929" s="182"/>
      <c r="N929" s="182"/>
      <c r="O929" s="182"/>
      <c r="P929" s="182"/>
      <c r="Q929" s="182"/>
      <c r="R929" s="182"/>
      <c r="S929" s="182"/>
      <c r="T929" s="182"/>
      <c r="U929" s="182"/>
      <c r="V929" s="182"/>
      <c r="W929" s="183"/>
      <c r="X929" s="427"/>
    </row>
    <row r="930" spans="2:24" x14ac:dyDescent="0.45">
      <c r="B930" s="181"/>
      <c r="C930" s="182"/>
      <c r="D930" s="182"/>
      <c r="E930" s="182"/>
      <c r="F930" s="182"/>
      <c r="G930" s="182"/>
      <c r="H930" s="182"/>
      <c r="I930" s="182"/>
      <c r="J930" s="182"/>
      <c r="K930" s="182"/>
      <c r="L930" s="182"/>
      <c r="M930" s="182"/>
      <c r="N930" s="182"/>
      <c r="O930" s="182"/>
      <c r="P930" s="182"/>
      <c r="Q930" s="182"/>
      <c r="R930" s="182"/>
      <c r="S930" s="182"/>
      <c r="T930" s="182"/>
      <c r="U930" s="182"/>
      <c r="V930" s="182"/>
      <c r="W930" s="183"/>
      <c r="X930" s="427"/>
    </row>
    <row r="931" spans="2:24" x14ac:dyDescent="0.45">
      <c r="B931" s="181"/>
      <c r="C931" s="182"/>
      <c r="D931" s="182"/>
      <c r="E931" s="182"/>
      <c r="F931" s="182"/>
      <c r="G931" s="182"/>
      <c r="H931" s="182"/>
      <c r="I931" s="182"/>
      <c r="J931" s="182"/>
      <c r="K931" s="182"/>
      <c r="L931" s="182"/>
      <c r="M931" s="182"/>
      <c r="N931" s="182"/>
      <c r="O931" s="182"/>
      <c r="P931" s="182"/>
      <c r="Q931" s="182"/>
      <c r="R931" s="182"/>
      <c r="S931" s="182"/>
      <c r="T931" s="182"/>
      <c r="U931" s="182"/>
      <c r="V931" s="182"/>
      <c r="W931" s="183"/>
      <c r="X931" s="427"/>
    </row>
    <row r="932" spans="2:24" x14ac:dyDescent="0.45">
      <c r="B932" s="181"/>
      <c r="C932" s="182"/>
      <c r="D932" s="182"/>
      <c r="E932" s="182"/>
      <c r="F932" s="182"/>
      <c r="G932" s="182"/>
      <c r="H932" s="182"/>
      <c r="I932" s="182"/>
      <c r="J932" s="182"/>
      <c r="K932" s="182"/>
      <c r="L932" s="182"/>
      <c r="M932" s="182"/>
      <c r="N932" s="182"/>
      <c r="O932" s="182"/>
      <c r="P932" s="182"/>
      <c r="Q932" s="182"/>
      <c r="R932" s="182"/>
      <c r="S932" s="182"/>
      <c r="T932" s="182"/>
      <c r="U932" s="182"/>
      <c r="V932" s="182"/>
      <c r="W932" s="183"/>
      <c r="X932" s="427"/>
    </row>
    <row r="933" spans="2:24" x14ac:dyDescent="0.45">
      <c r="B933" s="181"/>
      <c r="C933" s="182"/>
      <c r="D933" s="182"/>
      <c r="E933" s="182"/>
      <c r="F933" s="182"/>
      <c r="G933" s="182"/>
      <c r="H933" s="182"/>
      <c r="I933" s="182"/>
      <c r="J933" s="182"/>
      <c r="K933" s="182"/>
      <c r="L933" s="182"/>
      <c r="M933" s="182"/>
      <c r="N933" s="182"/>
      <c r="O933" s="182"/>
      <c r="P933" s="182"/>
      <c r="Q933" s="182"/>
      <c r="R933" s="182"/>
      <c r="S933" s="182"/>
      <c r="T933" s="182"/>
      <c r="U933" s="182"/>
      <c r="V933" s="182"/>
      <c r="W933" s="183"/>
      <c r="X933" s="427"/>
    </row>
    <row r="934" spans="2:24" x14ac:dyDescent="0.45">
      <c r="B934" s="181"/>
      <c r="C934" s="182"/>
      <c r="D934" s="182"/>
      <c r="E934" s="182"/>
      <c r="F934" s="182"/>
      <c r="G934" s="182"/>
      <c r="H934" s="182"/>
      <c r="I934" s="182"/>
      <c r="J934" s="182"/>
      <c r="K934" s="182"/>
      <c r="L934" s="182"/>
      <c r="M934" s="182"/>
      <c r="N934" s="182"/>
      <c r="O934" s="182"/>
      <c r="P934" s="182"/>
      <c r="Q934" s="182"/>
      <c r="R934" s="182"/>
      <c r="S934" s="182"/>
      <c r="T934" s="182"/>
      <c r="U934" s="182"/>
      <c r="V934" s="182"/>
      <c r="W934" s="183"/>
      <c r="X934" s="427"/>
    </row>
    <row r="935" spans="2:24" x14ac:dyDescent="0.45">
      <c r="B935" s="181"/>
      <c r="C935" s="182"/>
      <c r="D935" s="182"/>
      <c r="E935" s="182"/>
      <c r="F935" s="182"/>
      <c r="G935" s="182"/>
      <c r="H935" s="182"/>
      <c r="I935" s="182"/>
      <c r="J935" s="182"/>
      <c r="K935" s="182"/>
      <c r="L935" s="182"/>
      <c r="M935" s="182"/>
      <c r="N935" s="182"/>
      <c r="O935" s="182"/>
      <c r="P935" s="182"/>
      <c r="Q935" s="182"/>
      <c r="R935" s="182"/>
      <c r="S935" s="182"/>
      <c r="T935" s="182"/>
      <c r="U935" s="182"/>
      <c r="V935" s="182"/>
      <c r="W935" s="183"/>
      <c r="X935" s="427"/>
    </row>
    <row r="936" spans="2:24" x14ac:dyDescent="0.45">
      <c r="B936" s="181"/>
      <c r="C936" s="182"/>
      <c r="D936" s="182"/>
      <c r="E936" s="182"/>
      <c r="F936" s="182"/>
      <c r="G936" s="182"/>
      <c r="H936" s="182"/>
      <c r="I936" s="182"/>
      <c r="J936" s="182"/>
      <c r="K936" s="182"/>
      <c r="L936" s="182"/>
      <c r="M936" s="182"/>
      <c r="N936" s="182"/>
      <c r="O936" s="182"/>
      <c r="P936" s="182"/>
      <c r="Q936" s="182"/>
      <c r="R936" s="182"/>
      <c r="S936" s="182"/>
      <c r="T936" s="182"/>
      <c r="U936" s="182"/>
      <c r="V936" s="182"/>
      <c r="W936" s="183"/>
      <c r="X936" s="427"/>
    </row>
    <row r="937" spans="2:24" x14ac:dyDescent="0.45">
      <c r="B937" s="181"/>
      <c r="C937" s="182"/>
      <c r="D937" s="182"/>
      <c r="E937" s="182"/>
      <c r="F937" s="182"/>
      <c r="G937" s="182"/>
      <c r="H937" s="182"/>
      <c r="I937" s="182"/>
      <c r="J937" s="182"/>
      <c r="K937" s="182"/>
      <c r="L937" s="182"/>
      <c r="M937" s="182"/>
      <c r="N937" s="182"/>
      <c r="O937" s="182"/>
      <c r="P937" s="182"/>
      <c r="Q937" s="182"/>
      <c r="R937" s="182"/>
      <c r="S937" s="182"/>
      <c r="T937" s="182"/>
      <c r="U937" s="182"/>
      <c r="V937" s="182"/>
      <c r="W937" s="183"/>
      <c r="X937" s="427"/>
    </row>
    <row r="938" spans="2:24" x14ac:dyDescent="0.45">
      <c r="B938" s="181"/>
      <c r="C938" s="182"/>
      <c r="D938" s="182"/>
      <c r="E938" s="182"/>
      <c r="F938" s="182"/>
      <c r="G938" s="182"/>
      <c r="H938" s="182"/>
      <c r="I938" s="182"/>
      <c r="J938" s="182"/>
      <c r="K938" s="182"/>
      <c r="L938" s="182"/>
      <c r="M938" s="182"/>
      <c r="N938" s="182"/>
      <c r="O938" s="182"/>
      <c r="P938" s="182"/>
      <c r="Q938" s="182"/>
      <c r="R938" s="182"/>
      <c r="S938" s="182"/>
      <c r="T938" s="182"/>
      <c r="U938" s="182"/>
      <c r="V938" s="182"/>
      <c r="W938" s="183"/>
      <c r="X938" s="427"/>
    </row>
    <row r="939" spans="2:24" x14ac:dyDescent="0.45">
      <c r="B939" s="181"/>
      <c r="C939" s="182"/>
      <c r="D939" s="182"/>
      <c r="E939" s="182"/>
      <c r="F939" s="182"/>
      <c r="G939" s="182"/>
      <c r="H939" s="182"/>
      <c r="I939" s="182"/>
      <c r="J939" s="182"/>
      <c r="K939" s="182"/>
      <c r="L939" s="182"/>
      <c r="M939" s="182"/>
      <c r="N939" s="182"/>
      <c r="O939" s="182"/>
      <c r="P939" s="182"/>
      <c r="Q939" s="182"/>
      <c r="R939" s="182"/>
      <c r="S939" s="182"/>
      <c r="T939" s="182"/>
      <c r="U939" s="182"/>
      <c r="V939" s="182"/>
      <c r="W939" s="183"/>
      <c r="X939" s="427"/>
    </row>
    <row r="940" spans="2:24" x14ac:dyDescent="0.45">
      <c r="B940" s="181"/>
      <c r="C940" s="182"/>
      <c r="D940" s="182"/>
      <c r="E940" s="182"/>
      <c r="F940" s="182"/>
      <c r="G940" s="182"/>
      <c r="H940" s="182"/>
      <c r="I940" s="182"/>
      <c r="J940" s="182"/>
      <c r="K940" s="182"/>
      <c r="L940" s="182"/>
      <c r="M940" s="182"/>
      <c r="N940" s="182"/>
      <c r="O940" s="182"/>
      <c r="P940" s="182"/>
      <c r="Q940" s="182"/>
      <c r="R940" s="182"/>
      <c r="S940" s="182"/>
      <c r="T940" s="182"/>
      <c r="U940" s="182"/>
      <c r="V940" s="182"/>
      <c r="W940" s="183"/>
      <c r="X940" s="427"/>
    </row>
    <row r="941" spans="2:24" x14ac:dyDescent="0.45">
      <c r="B941" s="181"/>
      <c r="C941" s="182"/>
      <c r="D941" s="182"/>
      <c r="E941" s="182"/>
      <c r="F941" s="182"/>
      <c r="G941" s="182"/>
      <c r="H941" s="182"/>
      <c r="I941" s="182"/>
      <c r="J941" s="182"/>
      <c r="K941" s="182"/>
      <c r="L941" s="182"/>
      <c r="M941" s="182"/>
      <c r="N941" s="182"/>
      <c r="O941" s="182"/>
      <c r="P941" s="182"/>
      <c r="Q941" s="182"/>
      <c r="R941" s="182"/>
      <c r="S941" s="182"/>
      <c r="T941" s="182"/>
      <c r="U941" s="182"/>
      <c r="V941" s="182"/>
      <c r="W941" s="183"/>
      <c r="X941" s="427"/>
    </row>
    <row r="942" spans="2:24" x14ac:dyDescent="0.45">
      <c r="B942" s="181"/>
      <c r="C942" s="182"/>
      <c r="D942" s="182"/>
      <c r="E942" s="182"/>
      <c r="F942" s="182"/>
      <c r="G942" s="182"/>
      <c r="H942" s="182"/>
      <c r="I942" s="182"/>
      <c r="J942" s="182"/>
      <c r="K942" s="182"/>
      <c r="L942" s="182"/>
      <c r="M942" s="182"/>
      <c r="N942" s="182"/>
      <c r="O942" s="182"/>
      <c r="P942" s="182"/>
      <c r="Q942" s="182"/>
      <c r="R942" s="182"/>
      <c r="S942" s="182"/>
      <c r="T942" s="182"/>
      <c r="U942" s="182"/>
      <c r="V942" s="182"/>
      <c r="W942" s="183"/>
      <c r="X942" s="427"/>
    </row>
    <row r="943" spans="2:24" x14ac:dyDescent="0.45">
      <c r="B943" s="181"/>
      <c r="C943" s="182"/>
      <c r="D943" s="182"/>
      <c r="E943" s="182"/>
      <c r="F943" s="182"/>
      <c r="G943" s="182"/>
      <c r="H943" s="182"/>
      <c r="I943" s="182"/>
      <c r="J943" s="182"/>
      <c r="K943" s="182"/>
      <c r="L943" s="182"/>
      <c r="M943" s="182"/>
      <c r="N943" s="182"/>
      <c r="O943" s="182"/>
      <c r="P943" s="182"/>
      <c r="Q943" s="182"/>
      <c r="R943" s="182"/>
      <c r="S943" s="182"/>
      <c r="T943" s="182"/>
      <c r="U943" s="182"/>
      <c r="V943" s="182"/>
      <c r="W943" s="183"/>
      <c r="X943" s="427"/>
    </row>
    <row r="944" spans="2:24" x14ac:dyDescent="0.45">
      <c r="B944" s="181"/>
      <c r="C944" s="182"/>
      <c r="D944" s="182"/>
      <c r="E944" s="182"/>
      <c r="F944" s="182"/>
      <c r="G944" s="182"/>
      <c r="H944" s="182"/>
      <c r="I944" s="182"/>
      <c r="J944" s="182"/>
      <c r="K944" s="182"/>
      <c r="L944" s="182"/>
      <c r="M944" s="182"/>
      <c r="N944" s="182"/>
      <c r="O944" s="182"/>
      <c r="P944" s="182"/>
      <c r="Q944" s="182"/>
      <c r="R944" s="182"/>
      <c r="S944" s="182"/>
      <c r="T944" s="182"/>
      <c r="U944" s="182"/>
      <c r="V944" s="182"/>
      <c r="W944" s="183"/>
      <c r="X944" s="427"/>
    </row>
    <row r="945" spans="1:24" x14ac:dyDescent="0.45">
      <c r="B945" s="184"/>
      <c r="C945" s="185" t="s">
        <v>1499</v>
      </c>
      <c r="D945" s="185"/>
      <c r="E945" s="185"/>
      <c r="F945" s="185"/>
      <c r="G945" s="185"/>
      <c r="H945" s="185"/>
      <c r="I945" s="185"/>
      <c r="J945" s="185"/>
      <c r="K945" s="185"/>
      <c r="L945" s="185"/>
      <c r="M945" s="185"/>
      <c r="N945" s="185"/>
      <c r="O945" s="185"/>
      <c r="P945" s="185"/>
      <c r="Q945" s="185"/>
      <c r="R945" s="185"/>
      <c r="S945" s="185"/>
      <c r="T945" s="185"/>
      <c r="U945" s="185"/>
      <c r="V945" s="185"/>
      <c r="W945" s="186"/>
      <c r="X945" s="187"/>
    </row>
    <row r="946" spans="1:24" ht="26.65" x14ac:dyDescent="0.45">
      <c r="B946" s="188" t="s">
        <v>1458</v>
      </c>
      <c r="C946" s="185" t="s">
        <v>1459</v>
      </c>
      <c r="D946" s="185"/>
      <c r="E946" s="185" t="s">
        <v>1500</v>
      </c>
      <c r="F946" s="185"/>
      <c r="G946" s="185" t="s">
        <v>1501</v>
      </c>
      <c r="H946" s="189" t="s">
        <v>1502</v>
      </c>
      <c r="I946" s="185" t="s">
        <v>1503</v>
      </c>
      <c r="J946" s="185" t="s">
        <v>1504</v>
      </c>
      <c r="K946" s="189" t="s">
        <v>1505</v>
      </c>
      <c r="L946" s="189" t="s">
        <v>1504</v>
      </c>
      <c r="M946" s="189"/>
      <c r="N946" s="189" t="s">
        <v>1506</v>
      </c>
      <c r="O946" s="189"/>
      <c r="P946" s="190"/>
      <c r="Q946" s="189"/>
      <c r="R946" s="189"/>
      <c r="S946" s="189"/>
      <c r="T946" s="189" t="s">
        <v>1507</v>
      </c>
      <c r="U946" s="189" t="s">
        <v>27</v>
      </c>
      <c r="V946" s="189" t="s">
        <v>26</v>
      </c>
      <c r="W946" s="191" t="s">
        <v>1508</v>
      </c>
      <c r="X946" s="192"/>
    </row>
    <row r="947" spans="1:24" x14ac:dyDescent="0.45">
      <c r="A947" s="193">
        <v>1</v>
      </c>
      <c r="B947" s="194" t="str">
        <f t="shared" ref="B947:B978" si="150">IF(OR($C$927="",U947=""),"",LEFT($C$927,FIND("_",$C$927)-1))</f>
        <v/>
      </c>
      <c r="C947" s="170" t="str">
        <f t="shared" ref="C947:C978" si="151">IF(OR($C$927="",U947=""),"",$B$927)</f>
        <v/>
      </c>
      <c r="D947" s="170"/>
      <c r="E947" s="195"/>
      <c r="F947" s="195"/>
      <c r="G947" s="196"/>
      <c r="H947" s="197"/>
      <c r="I947" s="197"/>
      <c r="J947" s="197"/>
      <c r="K947" s="197"/>
      <c r="L947" s="197"/>
      <c r="M947" s="198"/>
      <c r="N947" s="198"/>
      <c r="O947" s="198"/>
      <c r="P947" s="199"/>
      <c r="Q947" s="200"/>
      <c r="R947" s="200"/>
      <c r="S947" s="200"/>
      <c r="T947" s="200" t="str">
        <f t="shared" ref="T947:T978" si="152">IF(K947="","",((K947*20)+L947)-((I947*20)+J947))</f>
        <v/>
      </c>
      <c r="U947" s="200"/>
      <c r="V947" s="201" t="str">
        <f t="shared" ref="V947:V978" si="153">IF(U947="","",$V$927)</f>
        <v/>
      </c>
      <c r="W947" s="202">
        <f t="shared" ref="W947:W978" si="154">IF(OR(T947="",U947=""),0,T947*U947)</f>
        <v>0</v>
      </c>
      <c r="X947" s="172"/>
    </row>
    <row r="948" spans="1:24" x14ac:dyDescent="0.45">
      <c r="A948" s="193">
        <v>2</v>
      </c>
      <c r="B948" s="194" t="str">
        <f t="shared" si="150"/>
        <v/>
      </c>
      <c r="C948" s="170" t="str">
        <f t="shared" si="151"/>
        <v/>
      </c>
      <c r="D948" s="170"/>
      <c r="E948" s="195"/>
      <c r="F948" s="195"/>
      <c r="G948" s="196"/>
      <c r="H948" s="197"/>
      <c r="I948" s="197" t="str">
        <f t="shared" ref="I948:I979" si="155">IF(K947="","",K947)</f>
        <v/>
      </c>
      <c r="J948" s="197" t="str">
        <f t="shared" ref="J948:J979" si="156">IF(L947="","",L947)</f>
        <v/>
      </c>
      <c r="K948" s="197"/>
      <c r="L948" s="197"/>
      <c r="M948" s="198"/>
      <c r="N948" s="198"/>
      <c r="O948" s="198"/>
      <c r="P948" s="199"/>
      <c r="Q948" s="200"/>
      <c r="R948" s="200"/>
      <c r="S948" s="200"/>
      <c r="T948" s="200" t="str">
        <f t="shared" si="152"/>
        <v/>
      </c>
      <c r="U948" s="200"/>
      <c r="V948" s="201" t="str">
        <f t="shared" si="153"/>
        <v/>
      </c>
      <c r="W948" s="202">
        <f t="shared" si="154"/>
        <v>0</v>
      </c>
      <c r="X948" s="172"/>
    </row>
    <row r="949" spans="1:24" x14ac:dyDescent="0.45">
      <c r="A949" s="193">
        <v>3</v>
      </c>
      <c r="B949" s="194" t="str">
        <f t="shared" si="150"/>
        <v/>
      </c>
      <c r="C949" s="170" t="str">
        <f t="shared" si="151"/>
        <v/>
      </c>
      <c r="D949" s="170"/>
      <c r="E949" s="195"/>
      <c r="F949" s="195"/>
      <c r="G949" s="196"/>
      <c r="H949" s="197"/>
      <c r="I949" s="197" t="str">
        <f t="shared" si="155"/>
        <v/>
      </c>
      <c r="J949" s="197" t="str">
        <f t="shared" si="156"/>
        <v/>
      </c>
      <c r="K949" s="197"/>
      <c r="L949" s="197"/>
      <c r="M949" s="198"/>
      <c r="N949" s="198"/>
      <c r="O949" s="198"/>
      <c r="P949" s="199"/>
      <c r="Q949" s="200"/>
      <c r="R949" s="200"/>
      <c r="S949" s="200"/>
      <c r="T949" s="200" t="str">
        <f t="shared" si="152"/>
        <v/>
      </c>
      <c r="U949" s="200"/>
      <c r="V949" s="201" t="str">
        <f t="shared" si="153"/>
        <v/>
      </c>
      <c r="W949" s="202">
        <f t="shared" si="154"/>
        <v>0</v>
      </c>
      <c r="X949" s="172"/>
    </row>
    <row r="950" spans="1:24" x14ac:dyDescent="0.45">
      <c r="A950" s="193">
        <v>4</v>
      </c>
      <c r="B950" s="194" t="str">
        <f t="shared" si="150"/>
        <v/>
      </c>
      <c r="C950" s="170" t="str">
        <f t="shared" si="151"/>
        <v/>
      </c>
      <c r="D950" s="170"/>
      <c r="E950" s="195"/>
      <c r="F950" s="195"/>
      <c r="G950" s="196"/>
      <c r="H950" s="197"/>
      <c r="I950" s="197" t="str">
        <f t="shared" si="155"/>
        <v/>
      </c>
      <c r="J950" s="197" t="str">
        <f t="shared" si="156"/>
        <v/>
      </c>
      <c r="K950" s="197"/>
      <c r="L950" s="197"/>
      <c r="M950" s="198"/>
      <c r="N950" s="198"/>
      <c r="O950" s="198"/>
      <c r="P950" s="199"/>
      <c r="Q950" s="200"/>
      <c r="R950" s="200"/>
      <c r="S950" s="200"/>
      <c r="T950" s="200" t="str">
        <f t="shared" si="152"/>
        <v/>
      </c>
      <c r="U950" s="200"/>
      <c r="V950" s="201" t="str">
        <f t="shared" si="153"/>
        <v/>
      </c>
      <c r="W950" s="202">
        <f t="shared" si="154"/>
        <v>0</v>
      </c>
      <c r="X950" s="172"/>
    </row>
    <row r="951" spans="1:24" x14ac:dyDescent="0.45">
      <c r="A951" s="193">
        <v>5</v>
      </c>
      <c r="B951" s="194" t="str">
        <f t="shared" si="150"/>
        <v/>
      </c>
      <c r="C951" s="170" t="str">
        <f t="shared" si="151"/>
        <v/>
      </c>
      <c r="D951" s="170"/>
      <c r="E951" s="195"/>
      <c r="F951" s="195"/>
      <c r="G951" s="196"/>
      <c r="H951" s="197"/>
      <c r="I951" s="197" t="str">
        <f t="shared" si="155"/>
        <v/>
      </c>
      <c r="J951" s="197" t="str">
        <f t="shared" si="156"/>
        <v/>
      </c>
      <c r="K951" s="197"/>
      <c r="L951" s="197"/>
      <c r="M951" s="198"/>
      <c r="N951" s="198"/>
      <c r="O951" s="198"/>
      <c r="P951" s="199"/>
      <c r="Q951" s="200"/>
      <c r="R951" s="200"/>
      <c r="S951" s="200"/>
      <c r="T951" s="200" t="str">
        <f t="shared" si="152"/>
        <v/>
      </c>
      <c r="U951" s="200"/>
      <c r="V951" s="201" t="str">
        <f t="shared" si="153"/>
        <v/>
      </c>
      <c r="W951" s="202">
        <f t="shared" si="154"/>
        <v>0</v>
      </c>
      <c r="X951" s="172"/>
    </row>
    <row r="952" spans="1:24" x14ac:dyDescent="0.45">
      <c r="A952" s="193">
        <v>6</v>
      </c>
      <c r="B952" s="194" t="str">
        <f t="shared" si="150"/>
        <v/>
      </c>
      <c r="C952" s="170" t="str">
        <f t="shared" si="151"/>
        <v/>
      </c>
      <c r="D952" s="170"/>
      <c r="E952" s="195"/>
      <c r="F952" s="195"/>
      <c r="G952" s="196"/>
      <c r="H952" s="197"/>
      <c r="I952" s="197" t="str">
        <f t="shared" si="155"/>
        <v/>
      </c>
      <c r="J952" s="197" t="str">
        <f t="shared" si="156"/>
        <v/>
      </c>
      <c r="K952" s="197"/>
      <c r="L952" s="197"/>
      <c r="M952" s="198"/>
      <c r="N952" s="198"/>
      <c r="O952" s="198"/>
      <c r="P952" s="199"/>
      <c r="Q952" s="200"/>
      <c r="R952" s="200"/>
      <c r="S952" s="200"/>
      <c r="T952" s="200" t="str">
        <f t="shared" si="152"/>
        <v/>
      </c>
      <c r="U952" s="200"/>
      <c r="V952" s="201" t="str">
        <f t="shared" si="153"/>
        <v/>
      </c>
      <c r="W952" s="202">
        <f t="shared" si="154"/>
        <v>0</v>
      </c>
      <c r="X952" s="172"/>
    </row>
    <row r="953" spans="1:24" x14ac:dyDescent="0.45">
      <c r="A953" s="193">
        <v>7</v>
      </c>
      <c r="B953" s="194" t="str">
        <f t="shared" si="150"/>
        <v/>
      </c>
      <c r="C953" s="170" t="str">
        <f t="shared" si="151"/>
        <v/>
      </c>
      <c r="D953" s="170"/>
      <c r="E953" s="195"/>
      <c r="F953" s="195"/>
      <c r="G953" s="196"/>
      <c r="H953" s="197"/>
      <c r="I953" s="197" t="str">
        <f t="shared" si="155"/>
        <v/>
      </c>
      <c r="J953" s="197" t="str">
        <f t="shared" si="156"/>
        <v/>
      </c>
      <c r="K953" s="197"/>
      <c r="L953" s="197"/>
      <c r="M953" s="198"/>
      <c r="N953" s="198"/>
      <c r="O953" s="198"/>
      <c r="P953" s="199"/>
      <c r="Q953" s="200"/>
      <c r="R953" s="200"/>
      <c r="S953" s="200"/>
      <c r="T953" s="200" t="str">
        <f t="shared" si="152"/>
        <v/>
      </c>
      <c r="U953" s="200"/>
      <c r="V953" s="201" t="str">
        <f t="shared" si="153"/>
        <v/>
      </c>
      <c r="W953" s="202">
        <f t="shared" si="154"/>
        <v>0</v>
      </c>
      <c r="X953" s="172"/>
    </row>
    <row r="954" spans="1:24" x14ac:dyDescent="0.45">
      <c r="A954" s="193">
        <v>8</v>
      </c>
      <c r="B954" s="194" t="str">
        <f t="shared" si="150"/>
        <v/>
      </c>
      <c r="C954" s="170" t="str">
        <f t="shared" si="151"/>
        <v/>
      </c>
      <c r="D954" s="170"/>
      <c r="E954" s="195"/>
      <c r="F954" s="195"/>
      <c r="G954" s="196"/>
      <c r="H954" s="197"/>
      <c r="I954" s="197" t="str">
        <f t="shared" si="155"/>
        <v/>
      </c>
      <c r="J954" s="197" t="str">
        <f t="shared" si="156"/>
        <v/>
      </c>
      <c r="K954" s="197"/>
      <c r="L954" s="197"/>
      <c r="M954" s="198"/>
      <c r="N954" s="198"/>
      <c r="O954" s="198"/>
      <c r="P954" s="199"/>
      <c r="Q954" s="200"/>
      <c r="R954" s="200"/>
      <c r="S954" s="200"/>
      <c r="T954" s="200" t="str">
        <f t="shared" si="152"/>
        <v/>
      </c>
      <c r="U954" s="200"/>
      <c r="V954" s="201" t="str">
        <f t="shared" si="153"/>
        <v/>
      </c>
      <c r="W954" s="202">
        <f t="shared" si="154"/>
        <v>0</v>
      </c>
      <c r="X954" s="172"/>
    </row>
    <row r="955" spans="1:24" x14ac:dyDescent="0.45">
      <c r="A955" s="193">
        <v>9</v>
      </c>
      <c r="B955" s="194" t="str">
        <f t="shared" si="150"/>
        <v/>
      </c>
      <c r="C955" s="170" t="str">
        <f t="shared" si="151"/>
        <v/>
      </c>
      <c r="D955" s="170"/>
      <c r="E955" s="195"/>
      <c r="F955" s="195"/>
      <c r="G955" s="196"/>
      <c r="H955" s="197"/>
      <c r="I955" s="197" t="str">
        <f t="shared" si="155"/>
        <v/>
      </c>
      <c r="J955" s="197" t="str">
        <f t="shared" si="156"/>
        <v/>
      </c>
      <c r="K955" s="197"/>
      <c r="L955" s="197"/>
      <c r="M955" s="198"/>
      <c r="N955" s="198"/>
      <c r="O955" s="198"/>
      <c r="P955" s="199"/>
      <c r="Q955" s="200"/>
      <c r="R955" s="200"/>
      <c r="S955" s="200"/>
      <c r="T955" s="200" t="str">
        <f t="shared" si="152"/>
        <v/>
      </c>
      <c r="U955" s="200"/>
      <c r="V955" s="201" t="str">
        <f t="shared" si="153"/>
        <v/>
      </c>
      <c r="W955" s="202">
        <f t="shared" si="154"/>
        <v>0</v>
      </c>
      <c r="X955" s="172"/>
    </row>
    <row r="956" spans="1:24" x14ac:dyDescent="0.45">
      <c r="A956" s="193">
        <v>10</v>
      </c>
      <c r="B956" s="194" t="str">
        <f t="shared" si="150"/>
        <v/>
      </c>
      <c r="C956" s="170" t="str">
        <f t="shared" si="151"/>
        <v/>
      </c>
      <c r="D956" s="170"/>
      <c r="E956" s="195"/>
      <c r="F956" s="195"/>
      <c r="G956" s="196"/>
      <c r="H956" s="197"/>
      <c r="I956" s="197" t="str">
        <f t="shared" si="155"/>
        <v/>
      </c>
      <c r="J956" s="197" t="str">
        <f t="shared" si="156"/>
        <v/>
      </c>
      <c r="K956" s="197"/>
      <c r="L956" s="197"/>
      <c r="M956" s="198"/>
      <c r="N956" s="198"/>
      <c r="O956" s="198"/>
      <c r="P956" s="199"/>
      <c r="Q956" s="200"/>
      <c r="R956" s="200"/>
      <c r="S956" s="200"/>
      <c r="T956" s="200" t="str">
        <f t="shared" si="152"/>
        <v/>
      </c>
      <c r="U956" s="200"/>
      <c r="V956" s="201" t="str">
        <f t="shared" si="153"/>
        <v/>
      </c>
      <c r="W956" s="202">
        <f t="shared" si="154"/>
        <v>0</v>
      </c>
      <c r="X956" s="172"/>
    </row>
    <row r="957" spans="1:24" x14ac:dyDescent="0.45">
      <c r="A957" s="193">
        <v>11</v>
      </c>
      <c r="B957" s="194" t="str">
        <f t="shared" si="150"/>
        <v/>
      </c>
      <c r="C957" s="170" t="str">
        <f t="shared" si="151"/>
        <v/>
      </c>
      <c r="D957" s="170"/>
      <c r="E957" s="195"/>
      <c r="F957" s="195"/>
      <c r="G957" s="196"/>
      <c r="H957" s="197"/>
      <c r="I957" s="197" t="str">
        <f t="shared" si="155"/>
        <v/>
      </c>
      <c r="J957" s="197" t="str">
        <f t="shared" si="156"/>
        <v/>
      </c>
      <c r="K957" s="197"/>
      <c r="L957" s="197"/>
      <c r="M957" s="198"/>
      <c r="N957" s="198"/>
      <c r="O957" s="198"/>
      <c r="P957" s="199"/>
      <c r="Q957" s="200"/>
      <c r="R957" s="200"/>
      <c r="S957" s="200"/>
      <c r="T957" s="200" t="str">
        <f t="shared" si="152"/>
        <v/>
      </c>
      <c r="U957" s="200"/>
      <c r="V957" s="201" t="str">
        <f t="shared" si="153"/>
        <v/>
      </c>
      <c r="W957" s="202">
        <f t="shared" si="154"/>
        <v>0</v>
      </c>
      <c r="X957" s="172"/>
    </row>
    <row r="958" spans="1:24" x14ac:dyDescent="0.45">
      <c r="A958" s="193">
        <v>12</v>
      </c>
      <c r="B958" s="194" t="str">
        <f t="shared" si="150"/>
        <v/>
      </c>
      <c r="C958" s="170" t="str">
        <f t="shared" si="151"/>
        <v/>
      </c>
      <c r="D958" s="170"/>
      <c r="E958" s="195"/>
      <c r="F958" s="195"/>
      <c r="G958" s="196"/>
      <c r="H958" s="197"/>
      <c r="I958" s="197" t="str">
        <f t="shared" si="155"/>
        <v/>
      </c>
      <c r="J958" s="197" t="str">
        <f t="shared" si="156"/>
        <v/>
      </c>
      <c r="K958" s="197"/>
      <c r="L958" s="197"/>
      <c r="M958" s="198"/>
      <c r="N958" s="198"/>
      <c r="O958" s="198"/>
      <c r="P958" s="199"/>
      <c r="Q958" s="200"/>
      <c r="R958" s="200"/>
      <c r="S958" s="200"/>
      <c r="T958" s="200" t="str">
        <f t="shared" si="152"/>
        <v/>
      </c>
      <c r="U958" s="200"/>
      <c r="V958" s="201" t="str">
        <f t="shared" si="153"/>
        <v/>
      </c>
      <c r="W958" s="202">
        <f t="shared" si="154"/>
        <v>0</v>
      </c>
      <c r="X958" s="172"/>
    </row>
    <row r="959" spans="1:24" x14ac:dyDescent="0.45">
      <c r="A959" s="193">
        <v>13</v>
      </c>
      <c r="B959" s="194" t="str">
        <f t="shared" si="150"/>
        <v/>
      </c>
      <c r="C959" s="170" t="str">
        <f t="shared" si="151"/>
        <v/>
      </c>
      <c r="D959" s="170"/>
      <c r="E959" s="195"/>
      <c r="F959" s="195"/>
      <c r="G959" s="196"/>
      <c r="H959" s="197"/>
      <c r="I959" s="197" t="str">
        <f t="shared" si="155"/>
        <v/>
      </c>
      <c r="J959" s="197" t="str">
        <f t="shared" si="156"/>
        <v/>
      </c>
      <c r="K959" s="197"/>
      <c r="L959" s="197"/>
      <c r="M959" s="198"/>
      <c r="N959" s="198"/>
      <c r="O959" s="198"/>
      <c r="P959" s="199"/>
      <c r="Q959" s="200"/>
      <c r="R959" s="200"/>
      <c r="S959" s="200"/>
      <c r="T959" s="200" t="str">
        <f t="shared" si="152"/>
        <v/>
      </c>
      <c r="U959" s="200"/>
      <c r="V959" s="201" t="str">
        <f t="shared" si="153"/>
        <v/>
      </c>
      <c r="W959" s="202">
        <f t="shared" si="154"/>
        <v>0</v>
      </c>
      <c r="X959" s="172"/>
    </row>
    <row r="960" spans="1:24" x14ac:dyDescent="0.45">
      <c r="A960" s="193">
        <v>14</v>
      </c>
      <c r="B960" s="194" t="str">
        <f t="shared" si="150"/>
        <v/>
      </c>
      <c r="C960" s="170" t="str">
        <f t="shared" si="151"/>
        <v/>
      </c>
      <c r="D960" s="170"/>
      <c r="E960" s="195"/>
      <c r="F960" s="195"/>
      <c r="G960" s="196"/>
      <c r="H960" s="197"/>
      <c r="I960" s="197" t="str">
        <f t="shared" si="155"/>
        <v/>
      </c>
      <c r="J960" s="197" t="str">
        <f t="shared" si="156"/>
        <v/>
      </c>
      <c r="K960" s="197"/>
      <c r="L960" s="197"/>
      <c r="M960" s="198"/>
      <c r="N960" s="198"/>
      <c r="O960" s="198"/>
      <c r="P960" s="199"/>
      <c r="Q960" s="200"/>
      <c r="R960" s="200"/>
      <c r="S960" s="200"/>
      <c r="T960" s="200" t="str">
        <f t="shared" si="152"/>
        <v/>
      </c>
      <c r="U960" s="200"/>
      <c r="V960" s="201" t="str">
        <f t="shared" si="153"/>
        <v/>
      </c>
      <c r="W960" s="202">
        <f t="shared" si="154"/>
        <v>0</v>
      </c>
      <c r="X960" s="172"/>
    </row>
    <row r="961" spans="1:24" x14ac:dyDescent="0.45">
      <c r="A961" s="193">
        <v>15</v>
      </c>
      <c r="B961" s="194" t="str">
        <f t="shared" si="150"/>
        <v/>
      </c>
      <c r="C961" s="170" t="str">
        <f t="shared" si="151"/>
        <v/>
      </c>
      <c r="D961" s="170"/>
      <c r="E961" s="195"/>
      <c r="F961" s="195"/>
      <c r="G961" s="196"/>
      <c r="H961" s="197"/>
      <c r="I961" s="197" t="str">
        <f t="shared" si="155"/>
        <v/>
      </c>
      <c r="J961" s="197" t="str">
        <f t="shared" si="156"/>
        <v/>
      </c>
      <c r="K961" s="197"/>
      <c r="L961" s="197"/>
      <c r="M961" s="198"/>
      <c r="N961" s="198"/>
      <c r="O961" s="198"/>
      <c r="P961" s="199"/>
      <c r="Q961" s="200"/>
      <c r="R961" s="200"/>
      <c r="S961" s="200"/>
      <c r="T961" s="200" t="str">
        <f t="shared" si="152"/>
        <v/>
      </c>
      <c r="U961" s="200"/>
      <c r="V961" s="201" t="str">
        <f t="shared" si="153"/>
        <v/>
      </c>
      <c r="W961" s="202">
        <f t="shared" si="154"/>
        <v>0</v>
      </c>
      <c r="X961" s="172"/>
    </row>
    <row r="962" spans="1:24" x14ac:dyDescent="0.45">
      <c r="A962" s="193">
        <v>16</v>
      </c>
      <c r="B962" s="194" t="str">
        <f t="shared" si="150"/>
        <v/>
      </c>
      <c r="C962" s="170" t="str">
        <f t="shared" si="151"/>
        <v/>
      </c>
      <c r="D962" s="170"/>
      <c r="E962" s="195"/>
      <c r="F962" s="195"/>
      <c r="G962" s="196"/>
      <c r="H962" s="197"/>
      <c r="I962" s="197" t="str">
        <f t="shared" si="155"/>
        <v/>
      </c>
      <c r="J962" s="197" t="str">
        <f t="shared" si="156"/>
        <v/>
      </c>
      <c r="K962" s="197"/>
      <c r="L962" s="197"/>
      <c r="M962" s="198"/>
      <c r="N962" s="198"/>
      <c r="O962" s="198"/>
      <c r="P962" s="199"/>
      <c r="Q962" s="200"/>
      <c r="R962" s="200"/>
      <c r="S962" s="200"/>
      <c r="T962" s="200" t="str">
        <f t="shared" si="152"/>
        <v/>
      </c>
      <c r="U962" s="200"/>
      <c r="V962" s="201" t="str">
        <f t="shared" si="153"/>
        <v/>
      </c>
      <c r="W962" s="202">
        <f t="shared" si="154"/>
        <v>0</v>
      </c>
      <c r="X962" s="172"/>
    </row>
    <row r="963" spans="1:24" x14ac:dyDescent="0.45">
      <c r="A963" s="193">
        <v>17</v>
      </c>
      <c r="B963" s="194" t="str">
        <f t="shared" si="150"/>
        <v/>
      </c>
      <c r="C963" s="170" t="str">
        <f t="shared" si="151"/>
        <v/>
      </c>
      <c r="D963" s="170"/>
      <c r="E963" s="195"/>
      <c r="F963" s="195"/>
      <c r="G963" s="196"/>
      <c r="H963" s="197"/>
      <c r="I963" s="197" t="str">
        <f t="shared" si="155"/>
        <v/>
      </c>
      <c r="J963" s="197" t="str">
        <f t="shared" si="156"/>
        <v/>
      </c>
      <c r="K963" s="197"/>
      <c r="L963" s="197"/>
      <c r="M963" s="198"/>
      <c r="N963" s="198"/>
      <c r="O963" s="198"/>
      <c r="P963" s="199"/>
      <c r="Q963" s="200"/>
      <c r="R963" s="200"/>
      <c r="S963" s="200"/>
      <c r="T963" s="200" t="str">
        <f t="shared" si="152"/>
        <v/>
      </c>
      <c r="U963" s="200"/>
      <c r="V963" s="201" t="str">
        <f t="shared" si="153"/>
        <v/>
      </c>
      <c r="W963" s="202">
        <f t="shared" si="154"/>
        <v>0</v>
      </c>
      <c r="X963" s="172"/>
    </row>
    <row r="964" spans="1:24" x14ac:dyDescent="0.45">
      <c r="A964" s="193">
        <v>18</v>
      </c>
      <c r="B964" s="194" t="str">
        <f t="shared" si="150"/>
        <v/>
      </c>
      <c r="C964" s="170" t="str">
        <f t="shared" si="151"/>
        <v/>
      </c>
      <c r="D964" s="170"/>
      <c r="E964" s="195"/>
      <c r="F964" s="195"/>
      <c r="G964" s="196"/>
      <c r="H964" s="197"/>
      <c r="I964" s="197" t="str">
        <f t="shared" si="155"/>
        <v/>
      </c>
      <c r="J964" s="197" t="str">
        <f t="shared" si="156"/>
        <v/>
      </c>
      <c r="K964" s="197"/>
      <c r="L964" s="197"/>
      <c r="M964" s="198"/>
      <c r="N964" s="198"/>
      <c r="O964" s="198"/>
      <c r="P964" s="199"/>
      <c r="Q964" s="200"/>
      <c r="R964" s="200"/>
      <c r="S964" s="200"/>
      <c r="T964" s="200" t="str">
        <f t="shared" si="152"/>
        <v/>
      </c>
      <c r="U964" s="200"/>
      <c r="V964" s="201" t="str">
        <f t="shared" si="153"/>
        <v/>
      </c>
      <c r="W964" s="202">
        <f t="shared" si="154"/>
        <v>0</v>
      </c>
      <c r="X964" s="172"/>
    </row>
    <row r="965" spans="1:24" x14ac:dyDescent="0.45">
      <c r="A965" s="193">
        <v>19</v>
      </c>
      <c r="B965" s="194" t="str">
        <f t="shared" si="150"/>
        <v/>
      </c>
      <c r="C965" s="170" t="str">
        <f t="shared" si="151"/>
        <v/>
      </c>
      <c r="D965" s="170"/>
      <c r="E965" s="195"/>
      <c r="F965" s="195"/>
      <c r="G965" s="196"/>
      <c r="H965" s="197"/>
      <c r="I965" s="197" t="str">
        <f t="shared" si="155"/>
        <v/>
      </c>
      <c r="J965" s="197" t="str">
        <f t="shared" si="156"/>
        <v/>
      </c>
      <c r="K965" s="197"/>
      <c r="L965" s="197"/>
      <c r="M965" s="198"/>
      <c r="N965" s="198"/>
      <c r="O965" s="198"/>
      <c r="P965" s="199"/>
      <c r="Q965" s="200"/>
      <c r="R965" s="200"/>
      <c r="S965" s="200"/>
      <c r="T965" s="200" t="str">
        <f t="shared" si="152"/>
        <v/>
      </c>
      <c r="U965" s="200"/>
      <c r="V965" s="201" t="str">
        <f t="shared" si="153"/>
        <v/>
      </c>
      <c r="W965" s="202">
        <f t="shared" si="154"/>
        <v>0</v>
      </c>
      <c r="X965" s="172"/>
    </row>
    <row r="966" spans="1:24" x14ac:dyDescent="0.45">
      <c r="A966" s="193">
        <v>20</v>
      </c>
      <c r="B966" s="194" t="str">
        <f t="shared" si="150"/>
        <v/>
      </c>
      <c r="C966" s="170" t="str">
        <f t="shared" si="151"/>
        <v/>
      </c>
      <c r="D966" s="170"/>
      <c r="E966" s="195"/>
      <c r="F966" s="195"/>
      <c r="G966" s="196"/>
      <c r="H966" s="197"/>
      <c r="I966" s="197" t="str">
        <f t="shared" si="155"/>
        <v/>
      </c>
      <c r="J966" s="197" t="str">
        <f t="shared" si="156"/>
        <v/>
      </c>
      <c r="K966" s="197"/>
      <c r="L966" s="197"/>
      <c r="M966" s="198"/>
      <c r="N966" s="198"/>
      <c r="O966" s="198"/>
      <c r="P966" s="199"/>
      <c r="Q966" s="200"/>
      <c r="R966" s="200"/>
      <c r="S966" s="200"/>
      <c r="T966" s="200" t="str">
        <f t="shared" si="152"/>
        <v/>
      </c>
      <c r="U966" s="200"/>
      <c r="V966" s="201" t="str">
        <f t="shared" si="153"/>
        <v/>
      </c>
      <c r="W966" s="202">
        <f t="shared" si="154"/>
        <v>0</v>
      </c>
      <c r="X966" s="172"/>
    </row>
    <row r="967" spans="1:24" x14ac:dyDescent="0.45">
      <c r="A967" s="193">
        <v>21</v>
      </c>
      <c r="B967" s="194" t="str">
        <f t="shared" si="150"/>
        <v/>
      </c>
      <c r="C967" s="170" t="str">
        <f t="shared" si="151"/>
        <v/>
      </c>
      <c r="D967" s="170"/>
      <c r="E967" s="195"/>
      <c r="F967" s="195"/>
      <c r="G967" s="196"/>
      <c r="H967" s="197"/>
      <c r="I967" s="197" t="str">
        <f t="shared" si="155"/>
        <v/>
      </c>
      <c r="J967" s="197" t="str">
        <f t="shared" si="156"/>
        <v/>
      </c>
      <c r="K967" s="197"/>
      <c r="L967" s="197"/>
      <c r="M967" s="198"/>
      <c r="N967" s="198"/>
      <c r="O967" s="198"/>
      <c r="P967" s="199"/>
      <c r="Q967" s="200"/>
      <c r="R967" s="200"/>
      <c r="S967" s="200"/>
      <c r="T967" s="200" t="str">
        <f t="shared" si="152"/>
        <v/>
      </c>
      <c r="U967" s="200"/>
      <c r="V967" s="201" t="str">
        <f t="shared" si="153"/>
        <v/>
      </c>
      <c r="W967" s="202">
        <f t="shared" si="154"/>
        <v>0</v>
      </c>
      <c r="X967" s="172"/>
    </row>
    <row r="968" spans="1:24" x14ac:dyDescent="0.45">
      <c r="A968" s="193">
        <v>22</v>
      </c>
      <c r="B968" s="194" t="str">
        <f t="shared" si="150"/>
        <v/>
      </c>
      <c r="C968" s="170" t="str">
        <f t="shared" si="151"/>
        <v/>
      </c>
      <c r="D968" s="170"/>
      <c r="E968" s="195"/>
      <c r="F968" s="170"/>
      <c r="G968" s="170"/>
      <c r="H968" s="203"/>
      <c r="I968" s="197" t="str">
        <f t="shared" si="155"/>
        <v/>
      </c>
      <c r="J968" s="197" t="str">
        <f t="shared" si="156"/>
        <v/>
      </c>
      <c r="K968" s="197"/>
      <c r="L968" s="197"/>
      <c r="M968" s="198"/>
      <c r="N968" s="198"/>
      <c r="O968" s="198"/>
      <c r="P968" s="199"/>
      <c r="Q968" s="200"/>
      <c r="R968" s="200"/>
      <c r="S968" s="200"/>
      <c r="T968" s="200" t="str">
        <f t="shared" si="152"/>
        <v/>
      </c>
      <c r="U968" s="200"/>
      <c r="V968" s="201" t="str">
        <f t="shared" si="153"/>
        <v/>
      </c>
      <c r="W968" s="202">
        <f t="shared" si="154"/>
        <v>0</v>
      </c>
      <c r="X968" s="172"/>
    </row>
    <row r="969" spans="1:24" x14ac:dyDescent="0.45">
      <c r="A969" s="193">
        <v>23</v>
      </c>
      <c r="B969" s="194" t="str">
        <f t="shared" si="150"/>
        <v/>
      </c>
      <c r="C969" s="170" t="str">
        <f t="shared" si="151"/>
        <v/>
      </c>
      <c r="D969" s="170"/>
      <c r="E969" s="195"/>
      <c r="F969" s="170"/>
      <c r="G969" s="170"/>
      <c r="H969" s="203"/>
      <c r="I969" s="197" t="str">
        <f t="shared" si="155"/>
        <v/>
      </c>
      <c r="J969" s="197" t="str">
        <f t="shared" si="156"/>
        <v/>
      </c>
      <c r="K969" s="197"/>
      <c r="L969" s="197"/>
      <c r="M969" s="198"/>
      <c r="N969" s="198"/>
      <c r="O969" s="198"/>
      <c r="P969" s="199"/>
      <c r="Q969" s="200"/>
      <c r="R969" s="200"/>
      <c r="S969" s="200"/>
      <c r="T969" s="200" t="str">
        <f t="shared" si="152"/>
        <v/>
      </c>
      <c r="U969" s="200"/>
      <c r="V969" s="201" t="str">
        <f t="shared" si="153"/>
        <v/>
      </c>
      <c r="W969" s="202">
        <f t="shared" si="154"/>
        <v>0</v>
      </c>
      <c r="X969" s="172"/>
    </row>
    <row r="970" spans="1:24" x14ac:dyDescent="0.45">
      <c r="A970" s="193">
        <v>24</v>
      </c>
      <c r="B970" s="194" t="str">
        <f t="shared" si="150"/>
        <v/>
      </c>
      <c r="C970" s="170" t="str">
        <f t="shared" si="151"/>
        <v/>
      </c>
      <c r="D970" s="170"/>
      <c r="E970" s="195"/>
      <c r="F970" s="170"/>
      <c r="G970" s="170"/>
      <c r="H970" s="203"/>
      <c r="I970" s="197" t="str">
        <f t="shared" si="155"/>
        <v/>
      </c>
      <c r="J970" s="197" t="str">
        <f t="shared" si="156"/>
        <v/>
      </c>
      <c r="K970" s="197"/>
      <c r="L970" s="197"/>
      <c r="M970" s="198"/>
      <c r="N970" s="198"/>
      <c r="O970" s="198"/>
      <c r="P970" s="199"/>
      <c r="Q970" s="200"/>
      <c r="R970" s="200"/>
      <c r="S970" s="200"/>
      <c r="T970" s="200" t="str">
        <f t="shared" si="152"/>
        <v/>
      </c>
      <c r="U970" s="200"/>
      <c r="V970" s="201" t="str">
        <f t="shared" si="153"/>
        <v/>
      </c>
      <c r="W970" s="202">
        <f t="shared" si="154"/>
        <v>0</v>
      </c>
      <c r="X970" s="172"/>
    </row>
    <row r="971" spans="1:24" x14ac:dyDescent="0.45">
      <c r="A971" s="193">
        <v>25</v>
      </c>
      <c r="B971" s="194" t="str">
        <f t="shared" si="150"/>
        <v/>
      </c>
      <c r="C971" s="170" t="str">
        <f t="shared" si="151"/>
        <v/>
      </c>
      <c r="D971" s="170"/>
      <c r="E971" s="195"/>
      <c r="F971" s="170"/>
      <c r="G971" s="170"/>
      <c r="H971" s="203"/>
      <c r="I971" s="197" t="str">
        <f t="shared" si="155"/>
        <v/>
      </c>
      <c r="J971" s="197" t="str">
        <f t="shared" si="156"/>
        <v/>
      </c>
      <c r="K971" s="197"/>
      <c r="L971" s="197"/>
      <c r="M971" s="198"/>
      <c r="N971" s="198"/>
      <c r="O971" s="198"/>
      <c r="P971" s="199"/>
      <c r="Q971" s="200"/>
      <c r="R971" s="200"/>
      <c r="S971" s="200"/>
      <c r="T971" s="200" t="str">
        <f t="shared" si="152"/>
        <v/>
      </c>
      <c r="U971" s="200"/>
      <c r="V971" s="201" t="str">
        <f t="shared" si="153"/>
        <v/>
      </c>
      <c r="W971" s="202">
        <f t="shared" si="154"/>
        <v>0</v>
      </c>
      <c r="X971" s="172"/>
    </row>
    <row r="972" spans="1:24" x14ac:dyDescent="0.45">
      <c r="A972" s="193">
        <v>26</v>
      </c>
      <c r="B972" s="194" t="str">
        <f t="shared" si="150"/>
        <v/>
      </c>
      <c r="C972" s="170" t="str">
        <f t="shared" si="151"/>
        <v/>
      </c>
      <c r="D972" s="170"/>
      <c r="E972" s="195"/>
      <c r="F972" s="170"/>
      <c r="G972" s="170"/>
      <c r="H972" s="203"/>
      <c r="I972" s="197" t="str">
        <f t="shared" si="155"/>
        <v/>
      </c>
      <c r="J972" s="197" t="str">
        <f t="shared" si="156"/>
        <v/>
      </c>
      <c r="K972" s="197"/>
      <c r="L972" s="197"/>
      <c r="M972" s="198"/>
      <c r="N972" s="198"/>
      <c r="O972" s="198"/>
      <c r="P972" s="199"/>
      <c r="Q972" s="200"/>
      <c r="R972" s="200"/>
      <c r="S972" s="200"/>
      <c r="T972" s="200" t="str">
        <f t="shared" si="152"/>
        <v/>
      </c>
      <c r="U972" s="200"/>
      <c r="V972" s="201" t="str">
        <f t="shared" si="153"/>
        <v/>
      </c>
      <c r="W972" s="202">
        <f t="shared" si="154"/>
        <v>0</v>
      </c>
      <c r="X972" s="172"/>
    </row>
    <row r="973" spans="1:24" x14ac:dyDescent="0.45">
      <c r="A973" s="193">
        <v>27</v>
      </c>
      <c r="B973" s="194" t="str">
        <f t="shared" si="150"/>
        <v/>
      </c>
      <c r="C973" s="170" t="str">
        <f t="shared" si="151"/>
        <v/>
      </c>
      <c r="D973" s="170"/>
      <c r="E973" s="195"/>
      <c r="F973" s="170"/>
      <c r="G973" s="170"/>
      <c r="H973" s="203"/>
      <c r="I973" s="197" t="str">
        <f t="shared" si="155"/>
        <v/>
      </c>
      <c r="J973" s="197" t="str">
        <f t="shared" si="156"/>
        <v/>
      </c>
      <c r="K973" s="197"/>
      <c r="L973" s="197"/>
      <c r="M973" s="198"/>
      <c r="N973" s="198"/>
      <c r="O973" s="198"/>
      <c r="P973" s="199"/>
      <c r="Q973" s="200"/>
      <c r="R973" s="200"/>
      <c r="S973" s="200"/>
      <c r="T973" s="200" t="str">
        <f t="shared" si="152"/>
        <v/>
      </c>
      <c r="U973" s="200"/>
      <c r="V973" s="201" t="str">
        <f t="shared" si="153"/>
        <v/>
      </c>
      <c r="W973" s="202">
        <f t="shared" si="154"/>
        <v>0</v>
      </c>
      <c r="X973" s="172"/>
    </row>
    <row r="974" spans="1:24" x14ac:dyDescent="0.45">
      <c r="A974" s="193">
        <v>28</v>
      </c>
      <c r="B974" s="194" t="str">
        <f t="shared" si="150"/>
        <v/>
      </c>
      <c r="C974" s="170" t="str">
        <f t="shared" si="151"/>
        <v/>
      </c>
      <c r="D974" s="170"/>
      <c r="E974" s="195"/>
      <c r="F974" s="170"/>
      <c r="G974" s="170"/>
      <c r="H974" s="203"/>
      <c r="I974" s="197" t="str">
        <f t="shared" si="155"/>
        <v/>
      </c>
      <c r="J974" s="197" t="str">
        <f t="shared" si="156"/>
        <v/>
      </c>
      <c r="K974" s="197"/>
      <c r="L974" s="197"/>
      <c r="M974" s="198"/>
      <c r="N974" s="198"/>
      <c r="O974" s="198"/>
      <c r="P974" s="199"/>
      <c r="Q974" s="200"/>
      <c r="R974" s="200"/>
      <c r="S974" s="200"/>
      <c r="T974" s="200" t="str">
        <f t="shared" si="152"/>
        <v/>
      </c>
      <c r="U974" s="200"/>
      <c r="V974" s="201" t="str">
        <f t="shared" si="153"/>
        <v/>
      </c>
      <c r="W974" s="202">
        <f t="shared" si="154"/>
        <v>0</v>
      </c>
      <c r="X974" s="172"/>
    </row>
    <row r="975" spans="1:24" x14ac:dyDescent="0.45">
      <c r="A975" s="193">
        <v>29</v>
      </c>
      <c r="B975" s="194" t="str">
        <f t="shared" si="150"/>
        <v/>
      </c>
      <c r="C975" s="170" t="str">
        <f t="shared" si="151"/>
        <v/>
      </c>
      <c r="D975" s="170"/>
      <c r="E975" s="195"/>
      <c r="F975" s="170"/>
      <c r="G975" s="170"/>
      <c r="H975" s="203"/>
      <c r="I975" s="197" t="str">
        <f t="shared" si="155"/>
        <v/>
      </c>
      <c r="J975" s="197" t="str">
        <f t="shared" si="156"/>
        <v/>
      </c>
      <c r="K975" s="197"/>
      <c r="L975" s="197"/>
      <c r="M975" s="198"/>
      <c r="N975" s="198"/>
      <c r="O975" s="198"/>
      <c r="P975" s="199"/>
      <c r="Q975" s="200"/>
      <c r="R975" s="200"/>
      <c r="S975" s="200"/>
      <c r="T975" s="200" t="str">
        <f t="shared" si="152"/>
        <v/>
      </c>
      <c r="U975" s="200"/>
      <c r="V975" s="201" t="str">
        <f t="shared" si="153"/>
        <v/>
      </c>
      <c r="W975" s="202">
        <f t="shared" si="154"/>
        <v>0</v>
      </c>
      <c r="X975" s="172"/>
    </row>
    <row r="976" spans="1:24" x14ac:dyDescent="0.45">
      <c r="A976" s="193">
        <v>30</v>
      </c>
      <c r="B976" s="194" t="str">
        <f t="shared" si="150"/>
        <v/>
      </c>
      <c r="C976" s="170" t="str">
        <f t="shared" si="151"/>
        <v/>
      </c>
      <c r="D976" s="170"/>
      <c r="E976" s="195"/>
      <c r="F976" s="170"/>
      <c r="G976" s="170"/>
      <c r="H976" s="203"/>
      <c r="I976" s="197" t="str">
        <f t="shared" si="155"/>
        <v/>
      </c>
      <c r="J976" s="197" t="str">
        <f t="shared" si="156"/>
        <v/>
      </c>
      <c r="K976" s="197"/>
      <c r="L976" s="197"/>
      <c r="M976" s="198"/>
      <c r="N976" s="198"/>
      <c r="O976" s="198"/>
      <c r="P976" s="199"/>
      <c r="Q976" s="200"/>
      <c r="R976" s="200"/>
      <c r="S976" s="200"/>
      <c r="T976" s="200" t="str">
        <f t="shared" si="152"/>
        <v/>
      </c>
      <c r="U976" s="200"/>
      <c r="V976" s="201" t="str">
        <f t="shared" si="153"/>
        <v/>
      </c>
      <c r="W976" s="202">
        <f t="shared" si="154"/>
        <v>0</v>
      </c>
      <c r="X976" s="172"/>
    </row>
    <row r="977" spans="1:24" x14ac:dyDescent="0.45">
      <c r="A977" s="193">
        <v>31</v>
      </c>
      <c r="B977" s="194" t="str">
        <f t="shared" si="150"/>
        <v/>
      </c>
      <c r="C977" s="170" t="str">
        <f t="shared" si="151"/>
        <v/>
      </c>
      <c r="D977" s="170"/>
      <c r="E977" s="195"/>
      <c r="F977" s="170"/>
      <c r="G977" s="170"/>
      <c r="H977" s="203"/>
      <c r="I977" s="197" t="str">
        <f t="shared" si="155"/>
        <v/>
      </c>
      <c r="J977" s="197" t="str">
        <f t="shared" si="156"/>
        <v/>
      </c>
      <c r="K977" s="197"/>
      <c r="L977" s="197"/>
      <c r="M977" s="198"/>
      <c r="N977" s="198"/>
      <c r="O977" s="198"/>
      <c r="P977" s="199"/>
      <c r="Q977" s="200"/>
      <c r="R977" s="200"/>
      <c r="S977" s="200"/>
      <c r="T977" s="200" t="str">
        <f t="shared" si="152"/>
        <v/>
      </c>
      <c r="U977" s="200"/>
      <c r="V977" s="201" t="str">
        <f t="shared" si="153"/>
        <v/>
      </c>
      <c r="W977" s="202">
        <f t="shared" si="154"/>
        <v>0</v>
      </c>
      <c r="X977" s="172"/>
    </row>
    <row r="978" spans="1:24" x14ac:dyDescent="0.45">
      <c r="A978" s="193">
        <v>32</v>
      </c>
      <c r="B978" s="194" t="str">
        <f t="shared" si="150"/>
        <v/>
      </c>
      <c r="C978" s="170" t="str">
        <f t="shared" si="151"/>
        <v/>
      </c>
      <c r="D978" s="170"/>
      <c r="E978" s="195"/>
      <c r="F978" s="170"/>
      <c r="G978" s="170"/>
      <c r="H978" s="203"/>
      <c r="I978" s="197" t="str">
        <f t="shared" si="155"/>
        <v/>
      </c>
      <c r="J978" s="197" t="str">
        <f t="shared" si="156"/>
        <v/>
      </c>
      <c r="K978" s="197"/>
      <c r="L978" s="197"/>
      <c r="M978" s="198"/>
      <c r="N978" s="198"/>
      <c r="O978" s="198"/>
      <c r="P978" s="199"/>
      <c r="Q978" s="200"/>
      <c r="R978" s="200"/>
      <c r="S978" s="200"/>
      <c r="T978" s="200" t="str">
        <f t="shared" si="152"/>
        <v/>
      </c>
      <c r="U978" s="200"/>
      <c r="V978" s="201" t="str">
        <f t="shared" si="153"/>
        <v/>
      </c>
      <c r="W978" s="202">
        <f t="shared" si="154"/>
        <v>0</v>
      </c>
      <c r="X978" s="172"/>
    </row>
    <row r="979" spans="1:24" x14ac:dyDescent="0.45">
      <c r="A979" s="193">
        <v>33</v>
      </c>
      <c r="B979" s="194" t="str">
        <f t="shared" ref="B979:B1012" si="157">IF(OR($C$927="",U979=""),"",LEFT($C$927,FIND("_",$C$927)-1))</f>
        <v/>
      </c>
      <c r="C979" s="170" t="str">
        <f t="shared" ref="C979:C1012" si="158">IF(OR($C$927="",U979=""),"",$B$927)</f>
        <v/>
      </c>
      <c r="D979" s="170"/>
      <c r="E979" s="195"/>
      <c r="F979" s="170"/>
      <c r="G979" s="170"/>
      <c r="H979" s="203"/>
      <c r="I979" s="197" t="str">
        <f t="shared" si="155"/>
        <v/>
      </c>
      <c r="J979" s="197" t="str">
        <f t="shared" si="156"/>
        <v/>
      </c>
      <c r="K979" s="197"/>
      <c r="L979" s="197"/>
      <c r="M979" s="198"/>
      <c r="N979" s="198"/>
      <c r="O979" s="198"/>
      <c r="P979" s="199"/>
      <c r="Q979" s="200"/>
      <c r="R979" s="200"/>
      <c r="S979" s="200"/>
      <c r="T979" s="200" t="str">
        <f t="shared" ref="T979:T1012" si="159">IF(K979="","",((K979*20)+L979)-((I979*20)+J979))</f>
        <v/>
      </c>
      <c r="U979" s="200"/>
      <c r="V979" s="201" t="str">
        <f t="shared" ref="V979:V1010" si="160">IF(U979="","",$V$927)</f>
        <v/>
      </c>
      <c r="W979" s="202">
        <f t="shared" ref="W979:W1012" si="161">IF(OR(T979="",U979=""),0,T979*U979)</f>
        <v>0</v>
      </c>
      <c r="X979" s="172"/>
    </row>
    <row r="980" spans="1:24" x14ac:dyDescent="0.45">
      <c r="A980" s="193">
        <v>34</v>
      </c>
      <c r="B980" s="194" t="str">
        <f t="shared" si="157"/>
        <v/>
      </c>
      <c r="C980" s="170" t="str">
        <f t="shared" si="158"/>
        <v/>
      </c>
      <c r="D980" s="170"/>
      <c r="E980" s="195"/>
      <c r="F980" s="170"/>
      <c r="G980" s="170"/>
      <c r="H980" s="203"/>
      <c r="I980" s="197" t="str">
        <f t="shared" ref="I980:I1012" si="162">IF(K979="","",K979)</f>
        <v/>
      </c>
      <c r="J980" s="197" t="str">
        <f t="shared" ref="J980:J1012" si="163">IF(L979="","",L979)</f>
        <v/>
      </c>
      <c r="K980" s="197"/>
      <c r="L980" s="197"/>
      <c r="M980" s="198"/>
      <c r="N980" s="198"/>
      <c r="O980" s="198"/>
      <c r="P980" s="199"/>
      <c r="Q980" s="200"/>
      <c r="R980" s="200"/>
      <c r="S980" s="200"/>
      <c r="T980" s="200" t="str">
        <f t="shared" si="159"/>
        <v/>
      </c>
      <c r="U980" s="200"/>
      <c r="V980" s="201" t="str">
        <f t="shared" si="160"/>
        <v/>
      </c>
      <c r="W980" s="202">
        <f t="shared" si="161"/>
        <v>0</v>
      </c>
      <c r="X980" s="172"/>
    </row>
    <row r="981" spans="1:24" x14ac:dyDescent="0.45">
      <c r="A981" s="193">
        <v>35</v>
      </c>
      <c r="B981" s="194" t="str">
        <f t="shared" si="157"/>
        <v/>
      </c>
      <c r="C981" s="170" t="str">
        <f t="shared" si="158"/>
        <v/>
      </c>
      <c r="D981" s="170"/>
      <c r="E981" s="195"/>
      <c r="F981" s="170"/>
      <c r="G981" s="170"/>
      <c r="H981" s="203"/>
      <c r="I981" s="197" t="str">
        <f t="shared" si="162"/>
        <v/>
      </c>
      <c r="J981" s="197" t="str">
        <f t="shared" si="163"/>
        <v/>
      </c>
      <c r="K981" s="197"/>
      <c r="L981" s="197"/>
      <c r="M981" s="198"/>
      <c r="N981" s="198"/>
      <c r="O981" s="198"/>
      <c r="P981" s="199"/>
      <c r="Q981" s="200"/>
      <c r="R981" s="200"/>
      <c r="S981" s="200"/>
      <c r="T981" s="200" t="str">
        <f t="shared" si="159"/>
        <v/>
      </c>
      <c r="U981" s="200"/>
      <c r="V981" s="201" t="str">
        <f t="shared" si="160"/>
        <v/>
      </c>
      <c r="W981" s="202">
        <f t="shared" si="161"/>
        <v>0</v>
      </c>
      <c r="X981" s="172"/>
    </row>
    <row r="982" spans="1:24" x14ac:dyDescent="0.45">
      <c r="A982" s="193">
        <v>36</v>
      </c>
      <c r="B982" s="194" t="str">
        <f t="shared" si="157"/>
        <v/>
      </c>
      <c r="C982" s="170" t="str">
        <f t="shared" si="158"/>
        <v/>
      </c>
      <c r="D982" s="170"/>
      <c r="E982" s="195"/>
      <c r="F982" s="170"/>
      <c r="G982" s="170"/>
      <c r="H982" s="203"/>
      <c r="I982" s="197" t="str">
        <f t="shared" si="162"/>
        <v/>
      </c>
      <c r="J982" s="197" t="str">
        <f t="shared" si="163"/>
        <v/>
      </c>
      <c r="K982" s="197"/>
      <c r="L982" s="197"/>
      <c r="M982" s="198"/>
      <c r="N982" s="198"/>
      <c r="O982" s="198"/>
      <c r="P982" s="199"/>
      <c r="Q982" s="200"/>
      <c r="R982" s="200"/>
      <c r="S982" s="200"/>
      <c r="T982" s="200" t="str">
        <f t="shared" si="159"/>
        <v/>
      </c>
      <c r="U982" s="200"/>
      <c r="V982" s="201" t="str">
        <f t="shared" si="160"/>
        <v/>
      </c>
      <c r="W982" s="202">
        <f t="shared" si="161"/>
        <v>0</v>
      </c>
      <c r="X982" s="172"/>
    </row>
    <row r="983" spans="1:24" x14ac:dyDescent="0.45">
      <c r="A983" s="193">
        <v>37</v>
      </c>
      <c r="B983" s="194" t="str">
        <f t="shared" si="157"/>
        <v/>
      </c>
      <c r="C983" s="170" t="str">
        <f t="shared" si="158"/>
        <v/>
      </c>
      <c r="D983" s="170"/>
      <c r="E983" s="195"/>
      <c r="F983" s="170"/>
      <c r="G983" s="170"/>
      <c r="H983" s="203"/>
      <c r="I983" s="197" t="str">
        <f t="shared" si="162"/>
        <v/>
      </c>
      <c r="J983" s="197" t="str">
        <f t="shared" si="163"/>
        <v/>
      </c>
      <c r="K983" s="197"/>
      <c r="L983" s="197"/>
      <c r="M983" s="198"/>
      <c r="N983" s="198"/>
      <c r="O983" s="198"/>
      <c r="P983" s="199"/>
      <c r="Q983" s="200"/>
      <c r="R983" s="200"/>
      <c r="S983" s="200"/>
      <c r="T983" s="200" t="str">
        <f t="shared" si="159"/>
        <v/>
      </c>
      <c r="U983" s="200"/>
      <c r="V983" s="201" t="str">
        <f t="shared" si="160"/>
        <v/>
      </c>
      <c r="W983" s="202">
        <f t="shared" si="161"/>
        <v>0</v>
      </c>
      <c r="X983" s="172"/>
    </row>
    <row r="984" spans="1:24" x14ac:dyDescent="0.45">
      <c r="A984" s="193">
        <v>38</v>
      </c>
      <c r="B984" s="194" t="str">
        <f t="shared" si="157"/>
        <v/>
      </c>
      <c r="C984" s="170" t="str">
        <f t="shared" si="158"/>
        <v/>
      </c>
      <c r="D984" s="170"/>
      <c r="E984" s="195"/>
      <c r="F984" s="170"/>
      <c r="G984" s="170"/>
      <c r="H984" s="203"/>
      <c r="I984" s="197" t="str">
        <f t="shared" si="162"/>
        <v/>
      </c>
      <c r="J984" s="197" t="str">
        <f t="shared" si="163"/>
        <v/>
      </c>
      <c r="K984" s="197"/>
      <c r="L984" s="197"/>
      <c r="M984" s="198"/>
      <c r="N984" s="198"/>
      <c r="O984" s="198"/>
      <c r="P984" s="199"/>
      <c r="Q984" s="200"/>
      <c r="R984" s="200"/>
      <c r="S984" s="200"/>
      <c r="T984" s="200" t="str">
        <f t="shared" si="159"/>
        <v/>
      </c>
      <c r="U984" s="200"/>
      <c r="V984" s="201" t="str">
        <f t="shared" si="160"/>
        <v/>
      </c>
      <c r="W984" s="202">
        <f t="shared" si="161"/>
        <v>0</v>
      </c>
      <c r="X984" s="172"/>
    </row>
    <row r="985" spans="1:24" x14ac:dyDescent="0.45">
      <c r="A985" s="193">
        <v>39</v>
      </c>
      <c r="B985" s="194" t="str">
        <f t="shared" si="157"/>
        <v/>
      </c>
      <c r="C985" s="170" t="str">
        <f t="shared" si="158"/>
        <v/>
      </c>
      <c r="D985" s="170"/>
      <c r="E985" s="195"/>
      <c r="F985" s="170"/>
      <c r="G985" s="170"/>
      <c r="H985" s="203"/>
      <c r="I985" s="197" t="str">
        <f t="shared" si="162"/>
        <v/>
      </c>
      <c r="J985" s="197" t="str">
        <f t="shared" si="163"/>
        <v/>
      </c>
      <c r="K985" s="197"/>
      <c r="L985" s="197"/>
      <c r="M985" s="198"/>
      <c r="N985" s="198"/>
      <c r="O985" s="198"/>
      <c r="P985" s="199"/>
      <c r="Q985" s="200"/>
      <c r="R985" s="200"/>
      <c r="S985" s="200"/>
      <c r="T985" s="200" t="str">
        <f t="shared" si="159"/>
        <v/>
      </c>
      <c r="U985" s="200"/>
      <c r="V985" s="201" t="str">
        <f t="shared" si="160"/>
        <v/>
      </c>
      <c r="W985" s="202">
        <f t="shared" si="161"/>
        <v>0</v>
      </c>
      <c r="X985" s="172"/>
    </row>
    <row r="986" spans="1:24" x14ac:dyDescent="0.45">
      <c r="A986" s="193">
        <v>40</v>
      </c>
      <c r="B986" s="194" t="str">
        <f t="shared" si="157"/>
        <v/>
      </c>
      <c r="C986" s="170" t="str">
        <f t="shared" si="158"/>
        <v/>
      </c>
      <c r="D986" s="170"/>
      <c r="E986" s="195"/>
      <c r="F986" s="170"/>
      <c r="G986" s="170"/>
      <c r="H986" s="203"/>
      <c r="I986" s="197" t="str">
        <f t="shared" si="162"/>
        <v/>
      </c>
      <c r="J986" s="197" t="str">
        <f t="shared" si="163"/>
        <v/>
      </c>
      <c r="K986" s="197"/>
      <c r="L986" s="197"/>
      <c r="M986" s="198"/>
      <c r="N986" s="198"/>
      <c r="O986" s="198"/>
      <c r="P986" s="199"/>
      <c r="Q986" s="200"/>
      <c r="R986" s="200"/>
      <c r="S986" s="200"/>
      <c r="T986" s="200" t="str">
        <f t="shared" si="159"/>
        <v/>
      </c>
      <c r="U986" s="200"/>
      <c r="V986" s="201" t="str">
        <f t="shared" si="160"/>
        <v/>
      </c>
      <c r="W986" s="202">
        <f t="shared" si="161"/>
        <v>0</v>
      </c>
      <c r="X986" s="172"/>
    </row>
    <row r="987" spans="1:24" x14ac:dyDescent="0.45">
      <c r="A987" s="193">
        <v>41</v>
      </c>
      <c r="B987" s="194" t="str">
        <f t="shared" si="157"/>
        <v/>
      </c>
      <c r="C987" s="170" t="str">
        <f t="shared" si="158"/>
        <v/>
      </c>
      <c r="D987" s="170"/>
      <c r="E987" s="195"/>
      <c r="F987" s="170"/>
      <c r="G987" s="170"/>
      <c r="H987" s="203"/>
      <c r="I987" s="197" t="str">
        <f t="shared" si="162"/>
        <v/>
      </c>
      <c r="J987" s="197" t="str">
        <f t="shared" si="163"/>
        <v/>
      </c>
      <c r="K987" s="197"/>
      <c r="L987" s="197"/>
      <c r="M987" s="198"/>
      <c r="N987" s="198"/>
      <c r="O987" s="198"/>
      <c r="P987" s="199"/>
      <c r="Q987" s="200"/>
      <c r="R987" s="200"/>
      <c r="S987" s="200"/>
      <c r="T987" s="200" t="str">
        <f t="shared" si="159"/>
        <v/>
      </c>
      <c r="U987" s="200"/>
      <c r="V987" s="201" t="str">
        <f t="shared" si="160"/>
        <v/>
      </c>
      <c r="W987" s="202">
        <f t="shared" si="161"/>
        <v>0</v>
      </c>
      <c r="X987" s="172"/>
    </row>
    <row r="988" spans="1:24" x14ac:dyDescent="0.45">
      <c r="A988" s="193">
        <v>42</v>
      </c>
      <c r="B988" s="194" t="str">
        <f t="shared" si="157"/>
        <v/>
      </c>
      <c r="C988" s="170" t="str">
        <f t="shared" si="158"/>
        <v/>
      </c>
      <c r="D988" s="170"/>
      <c r="E988" s="195"/>
      <c r="F988" s="170"/>
      <c r="G988" s="170"/>
      <c r="H988" s="203"/>
      <c r="I988" s="197" t="str">
        <f t="shared" si="162"/>
        <v/>
      </c>
      <c r="J988" s="197" t="str">
        <f t="shared" si="163"/>
        <v/>
      </c>
      <c r="K988" s="197"/>
      <c r="L988" s="197"/>
      <c r="M988" s="198"/>
      <c r="N988" s="198"/>
      <c r="O988" s="198"/>
      <c r="P988" s="199"/>
      <c r="Q988" s="200"/>
      <c r="R988" s="200"/>
      <c r="S988" s="200"/>
      <c r="T988" s="200" t="str">
        <f t="shared" si="159"/>
        <v/>
      </c>
      <c r="U988" s="200"/>
      <c r="V988" s="201" t="str">
        <f t="shared" si="160"/>
        <v/>
      </c>
      <c r="W988" s="202">
        <f t="shared" si="161"/>
        <v>0</v>
      </c>
      <c r="X988" s="172"/>
    </row>
    <row r="989" spans="1:24" x14ac:dyDescent="0.45">
      <c r="A989" s="193">
        <v>43</v>
      </c>
      <c r="B989" s="194" t="str">
        <f t="shared" si="157"/>
        <v/>
      </c>
      <c r="C989" s="170" t="str">
        <f t="shared" si="158"/>
        <v/>
      </c>
      <c r="D989" s="170"/>
      <c r="E989" s="195"/>
      <c r="F989" s="170"/>
      <c r="G989" s="170"/>
      <c r="H989" s="203"/>
      <c r="I989" s="197" t="str">
        <f t="shared" si="162"/>
        <v/>
      </c>
      <c r="J989" s="197" t="str">
        <f t="shared" si="163"/>
        <v/>
      </c>
      <c r="K989" s="197"/>
      <c r="L989" s="197"/>
      <c r="M989" s="198"/>
      <c r="N989" s="198"/>
      <c r="O989" s="198"/>
      <c r="P989" s="199"/>
      <c r="Q989" s="200"/>
      <c r="R989" s="200"/>
      <c r="S989" s="200"/>
      <c r="T989" s="200" t="str">
        <f t="shared" si="159"/>
        <v/>
      </c>
      <c r="U989" s="200"/>
      <c r="V989" s="201" t="str">
        <f t="shared" si="160"/>
        <v/>
      </c>
      <c r="W989" s="202">
        <f t="shared" si="161"/>
        <v>0</v>
      </c>
      <c r="X989" s="172"/>
    </row>
    <row r="990" spans="1:24" x14ac:dyDescent="0.45">
      <c r="A990" s="193">
        <v>44</v>
      </c>
      <c r="B990" s="194" t="str">
        <f t="shared" si="157"/>
        <v/>
      </c>
      <c r="C990" s="170" t="str">
        <f t="shared" si="158"/>
        <v/>
      </c>
      <c r="D990" s="170"/>
      <c r="E990" s="195"/>
      <c r="F990" s="170"/>
      <c r="G990" s="170"/>
      <c r="H990" s="203"/>
      <c r="I990" s="197" t="str">
        <f t="shared" si="162"/>
        <v/>
      </c>
      <c r="J990" s="197" t="str">
        <f t="shared" si="163"/>
        <v/>
      </c>
      <c r="K990" s="197"/>
      <c r="L990" s="197"/>
      <c r="M990" s="198"/>
      <c r="N990" s="198"/>
      <c r="O990" s="198"/>
      <c r="P990" s="199"/>
      <c r="Q990" s="200"/>
      <c r="R990" s="200"/>
      <c r="S990" s="200"/>
      <c r="T990" s="200" t="str">
        <f t="shared" si="159"/>
        <v/>
      </c>
      <c r="U990" s="200"/>
      <c r="V990" s="201" t="str">
        <f t="shared" si="160"/>
        <v/>
      </c>
      <c r="W990" s="202">
        <f t="shared" si="161"/>
        <v>0</v>
      </c>
      <c r="X990" s="172"/>
    </row>
    <row r="991" spans="1:24" x14ac:dyDescent="0.45">
      <c r="A991" s="193">
        <v>45</v>
      </c>
      <c r="B991" s="194" t="str">
        <f t="shared" si="157"/>
        <v/>
      </c>
      <c r="C991" s="170" t="str">
        <f t="shared" si="158"/>
        <v/>
      </c>
      <c r="D991" s="170"/>
      <c r="E991" s="195"/>
      <c r="F991" s="170"/>
      <c r="G991" s="170"/>
      <c r="H991" s="203"/>
      <c r="I991" s="197" t="str">
        <f t="shared" si="162"/>
        <v/>
      </c>
      <c r="J991" s="197" t="str">
        <f t="shared" si="163"/>
        <v/>
      </c>
      <c r="K991" s="197"/>
      <c r="L991" s="197"/>
      <c r="M991" s="198"/>
      <c r="N991" s="198"/>
      <c r="O991" s="198"/>
      <c r="P991" s="199"/>
      <c r="Q991" s="200"/>
      <c r="R991" s="200"/>
      <c r="S991" s="200"/>
      <c r="T991" s="200" t="str">
        <f t="shared" si="159"/>
        <v/>
      </c>
      <c r="U991" s="200"/>
      <c r="V991" s="201" t="str">
        <f t="shared" si="160"/>
        <v/>
      </c>
      <c r="W991" s="202">
        <f t="shared" si="161"/>
        <v>0</v>
      </c>
      <c r="X991" s="172"/>
    </row>
    <row r="992" spans="1:24" x14ac:dyDescent="0.45">
      <c r="A992" s="193">
        <v>46</v>
      </c>
      <c r="B992" s="194" t="str">
        <f t="shared" si="157"/>
        <v/>
      </c>
      <c r="C992" s="170" t="str">
        <f t="shared" si="158"/>
        <v/>
      </c>
      <c r="D992" s="170"/>
      <c r="E992" s="195"/>
      <c r="F992" s="170"/>
      <c r="G992" s="170"/>
      <c r="H992" s="203"/>
      <c r="I992" s="197" t="str">
        <f t="shared" si="162"/>
        <v/>
      </c>
      <c r="J992" s="197" t="str">
        <f t="shared" si="163"/>
        <v/>
      </c>
      <c r="K992" s="197"/>
      <c r="L992" s="197"/>
      <c r="M992" s="198"/>
      <c r="N992" s="198"/>
      <c r="O992" s="198"/>
      <c r="P992" s="199"/>
      <c r="Q992" s="200"/>
      <c r="R992" s="200"/>
      <c r="S992" s="200"/>
      <c r="T992" s="200" t="str">
        <f t="shared" si="159"/>
        <v/>
      </c>
      <c r="U992" s="200"/>
      <c r="V992" s="201" t="str">
        <f t="shared" si="160"/>
        <v/>
      </c>
      <c r="W992" s="202">
        <f t="shared" si="161"/>
        <v>0</v>
      </c>
      <c r="X992" s="172"/>
    </row>
    <row r="993" spans="1:24" x14ac:dyDescent="0.45">
      <c r="A993" s="193">
        <v>47</v>
      </c>
      <c r="B993" s="194" t="str">
        <f t="shared" si="157"/>
        <v/>
      </c>
      <c r="C993" s="170" t="str">
        <f t="shared" si="158"/>
        <v/>
      </c>
      <c r="D993" s="170"/>
      <c r="E993" s="195"/>
      <c r="F993" s="170"/>
      <c r="G993" s="170"/>
      <c r="H993" s="203"/>
      <c r="I993" s="197" t="str">
        <f t="shared" si="162"/>
        <v/>
      </c>
      <c r="J993" s="197" t="str">
        <f t="shared" si="163"/>
        <v/>
      </c>
      <c r="K993" s="197"/>
      <c r="L993" s="197"/>
      <c r="M993" s="198"/>
      <c r="N993" s="198"/>
      <c r="O993" s="198"/>
      <c r="P993" s="199"/>
      <c r="Q993" s="200"/>
      <c r="R993" s="200"/>
      <c r="S993" s="200"/>
      <c r="T993" s="200" t="str">
        <f t="shared" si="159"/>
        <v/>
      </c>
      <c r="U993" s="200"/>
      <c r="V993" s="201" t="str">
        <f t="shared" si="160"/>
        <v/>
      </c>
      <c r="W993" s="202">
        <f t="shared" si="161"/>
        <v>0</v>
      </c>
      <c r="X993" s="172"/>
    </row>
    <row r="994" spans="1:24" x14ac:dyDescent="0.45">
      <c r="A994" s="193">
        <v>48</v>
      </c>
      <c r="B994" s="194" t="str">
        <f t="shared" si="157"/>
        <v/>
      </c>
      <c r="C994" s="170" t="str">
        <f t="shared" si="158"/>
        <v/>
      </c>
      <c r="D994" s="170"/>
      <c r="E994" s="195"/>
      <c r="F994" s="170"/>
      <c r="G994" s="170"/>
      <c r="H994" s="203"/>
      <c r="I994" s="197" t="str">
        <f t="shared" si="162"/>
        <v/>
      </c>
      <c r="J994" s="197" t="str">
        <f t="shared" si="163"/>
        <v/>
      </c>
      <c r="K994" s="197"/>
      <c r="L994" s="197"/>
      <c r="M994" s="198"/>
      <c r="N994" s="198"/>
      <c r="O994" s="198"/>
      <c r="P994" s="199"/>
      <c r="Q994" s="200"/>
      <c r="R994" s="200"/>
      <c r="S994" s="200"/>
      <c r="T994" s="200" t="str">
        <f t="shared" si="159"/>
        <v/>
      </c>
      <c r="U994" s="200"/>
      <c r="V994" s="201" t="str">
        <f t="shared" si="160"/>
        <v/>
      </c>
      <c r="W994" s="202">
        <f t="shared" si="161"/>
        <v>0</v>
      </c>
      <c r="X994" s="172"/>
    </row>
    <row r="995" spans="1:24" x14ac:dyDescent="0.45">
      <c r="A995" s="193">
        <v>49</v>
      </c>
      <c r="B995" s="194" t="str">
        <f t="shared" si="157"/>
        <v/>
      </c>
      <c r="C995" s="170" t="str">
        <f t="shared" si="158"/>
        <v/>
      </c>
      <c r="D995" s="170"/>
      <c r="E995" s="195"/>
      <c r="F995" s="170"/>
      <c r="G995" s="170"/>
      <c r="H995" s="203"/>
      <c r="I995" s="197" t="str">
        <f t="shared" si="162"/>
        <v/>
      </c>
      <c r="J995" s="197" t="str">
        <f t="shared" si="163"/>
        <v/>
      </c>
      <c r="K995" s="197"/>
      <c r="L995" s="197"/>
      <c r="M995" s="198"/>
      <c r="N995" s="198"/>
      <c r="O995" s="198"/>
      <c r="P995" s="199"/>
      <c r="Q995" s="200"/>
      <c r="R995" s="200"/>
      <c r="S995" s="200"/>
      <c r="T995" s="200" t="str">
        <f t="shared" si="159"/>
        <v/>
      </c>
      <c r="U995" s="200"/>
      <c r="V995" s="201" t="str">
        <f t="shared" si="160"/>
        <v/>
      </c>
      <c r="W995" s="202">
        <f t="shared" si="161"/>
        <v>0</v>
      </c>
      <c r="X995" s="172"/>
    </row>
    <row r="996" spans="1:24" x14ac:dyDescent="0.45">
      <c r="A996" s="193">
        <v>50</v>
      </c>
      <c r="B996" s="194" t="str">
        <f t="shared" si="157"/>
        <v/>
      </c>
      <c r="C996" s="170" t="str">
        <f t="shared" si="158"/>
        <v/>
      </c>
      <c r="D996" s="170"/>
      <c r="E996" s="195"/>
      <c r="F996" s="170"/>
      <c r="G996" s="170"/>
      <c r="H996" s="203"/>
      <c r="I996" s="197" t="str">
        <f t="shared" si="162"/>
        <v/>
      </c>
      <c r="J996" s="197" t="str">
        <f t="shared" si="163"/>
        <v/>
      </c>
      <c r="K996" s="197"/>
      <c r="L996" s="197"/>
      <c r="M996" s="198"/>
      <c r="N996" s="198"/>
      <c r="O996" s="198"/>
      <c r="P996" s="199"/>
      <c r="Q996" s="200"/>
      <c r="R996" s="200"/>
      <c r="S996" s="200"/>
      <c r="T996" s="200" t="str">
        <f t="shared" si="159"/>
        <v/>
      </c>
      <c r="U996" s="200"/>
      <c r="V996" s="201" t="str">
        <f t="shared" si="160"/>
        <v/>
      </c>
      <c r="W996" s="202">
        <f t="shared" si="161"/>
        <v>0</v>
      </c>
      <c r="X996" s="172"/>
    </row>
    <row r="997" spans="1:24" x14ac:dyDescent="0.45">
      <c r="A997" s="193">
        <v>51</v>
      </c>
      <c r="B997" s="194" t="str">
        <f t="shared" si="157"/>
        <v/>
      </c>
      <c r="C997" s="170" t="str">
        <f t="shared" si="158"/>
        <v/>
      </c>
      <c r="D997" s="170"/>
      <c r="E997" s="195"/>
      <c r="F997" s="170"/>
      <c r="G997" s="170"/>
      <c r="H997" s="203"/>
      <c r="I997" s="197" t="str">
        <f t="shared" si="162"/>
        <v/>
      </c>
      <c r="J997" s="197" t="str">
        <f t="shared" si="163"/>
        <v/>
      </c>
      <c r="K997" s="197"/>
      <c r="L997" s="197"/>
      <c r="M997" s="198"/>
      <c r="N997" s="198"/>
      <c r="O997" s="198"/>
      <c r="P997" s="199"/>
      <c r="Q997" s="200"/>
      <c r="R997" s="200"/>
      <c r="S997" s="200"/>
      <c r="T997" s="200" t="str">
        <f t="shared" si="159"/>
        <v/>
      </c>
      <c r="U997" s="200"/>
      <c r="V997" s="201" t="str">
        <f t="shared" si="160"/>
        <v/>
      </c>
      <c r="W997" s="202">
        <f t="shared" si="161"/>
        <v>0</v>
      </c>
      <c r="X997" s="172"/>
    </row>
    <row r="998" spans="1:24" x14ac:dyDescent="0.45">
      <c r="A998" s="193">
        <v>52</v>
      </c>
      <c r="B998" s="194" t="str">
        <f t="shared" si="157"/>
        <v/>
      </c>
      <c r="C998" s="170" t="str">
        <f t="shared" si="158"/>
        <v/>
      </c>
      <c r="D998" s="170"/>
      <c r="E998" s="195"/>
      <c r="F998" s="170"/>
      <c r="G998" s="170"/>
      <c r="H998" s="203"/>
      <c r="I998" s="197" t="str">
        <f t="shared" si="162"/>
        <v/>
      </c>
      <c r="J998" s="197" t="str">
        <f t="shared" si="163"/>
        <v/>
      </c>
      <c r="K998" s="197"/>
      <c r="L998" s="197"/>
      <c r="M998" s="198"/>
      <c r="N998" s="198"/>
      <c r="O998" s="198"/>
      <c r="P998" s="199"/>
      <c r="Q998" s="200"/>
      <c r="R998" s="200"/>
      <c r="S998" s="200"/>
      <c r="T998" s="200" t="str">
        <f t="shared" si="159"/>
        <v/>
      </c>
      <c r="U998" s="200"/>
      <c r="V998" s="201" t="str">
        <f t="shared" si="160"/>
        <v/>
      </c>
      <c r="W998" s="202">
        <f t="shared" si="161"/>
        <v>0</v>
      </c>
      <c r="X998" s="172"/>
    </row>
    <row r="999" spans="1:24" x14ac:dyDescent="0.45">
      <c r="A999" s="193">
        <v>53</v>
      </c>
      <c r="B999" s="194" t="str">
        <f t="shared" si="157"/>
        <v/>
      </c>
      <c r="C999" s="170" t="str">
        <f t="shared" si="158"/>
        <v/>
      </c>
      <c r="D999" s="170"/>
      <c r="E999" s="195"/>
      <c r="F999" s="170"/>
      <c r="G999" s="170"/>
      <c r="H999" s="203"/>
      <c r="I999" s="197" t="str">
        <f t="shared" si="162"/>
        <v/>
      </c>
      <c r="J999" s="197" t="str">
        <f t="shared" si="163"/>
        <v/>
      </c>
      <c r="K999" s="197"/>
      <c r="L999" s="197"/>
      <c r="M999" s="198"/>
      <c r="N999" s="198"/>
      <c r="O999" s="198"/>
      <c r="P999" s="199"/>
      <c r="Q999" s="200"/>
      <c r="R999" s="200"/>
      <c r="S999" s="200"/>
      <c r="T999" s="200" t="str">
        <f t="shared" si="159"/>
        <v/>
      </c>
      <c r="U999" s="200"/>
      <c r="V999" s="201" t="str">
        <f t="shared" si="160"/>
        <v/>
      </c>
      <c r="W999" s="202">
        <f t="shared" si="161"/>
        <v>0</v>
      </c>
      <c r="X999" s="172"/>
    </row>
    <row r="1000" spans="1:24" x14ac:dyDescent="0.45">
      <c r="A1000" s="193">
        <v>54</v>
      </c>
      <c r="B1000" s="194" t="str">
        <f t="shared" si="157"/>
        <v/>
      </c>
      <c r="C1000" s="170" t="str">
        <f t="shared" si="158"/>
        <v/>
      </c>
      <c r="D1000" s="170"/>
      <c r="E1000" s="195"/>
      <c r="F1000" s="170"/>
      <c r="G1000" s="170"/>
      <c r="H1000" s="203"/>
      <c r="I1000" s="197" t="str">
        <f t="shared" si="162"/>
        <v/>
      </c>
      <c r="J1000" s="197" t="str">
        <f t="shared" si="163"/>
        <v/>
      </c>
      <c r="K1000" s="197"/>
      <c r="L1000" s="197"/>
      <c r="M1000" s="198"/>
      <c r="N1000" s="198"/>
      <c r="O1000" s="198"/>
      <c r="P1000" s="199"/>
      <c r="Q1000" s="200"/>
      <c r="R1000" s="200"/>
      <c r="S1000" s="200"/>
      <c r="T1000" s="200" t="str">
        <f t="shared" si="159"/>
        <v/>
      </c>
      <c r="U1000" s="200"/>
      <c r="V1000" s="201" t="str">
        <f t="shared" si="160"/>
        <v/>
      </c>
      <c r="W1000" s="202">
        <f t="shared" si="161"/>
        <v>0</v>
      </c>
      <c r="X1000" s="172"/>
    </row>
    <row r="1001" spans="1:24" x14ac:dyDescent="0.45">
      <c r="A1001" s="193">
        <v>55</v>
      </c>
      <c r="B1001" s="194" t="str">
        <f t="shared" si="157"/>
        <v/>
      </c>
      <c r="C1001" s="170" t="str">
        <f t="shared" si="158"/>
        <v/>
      </c>
      <c r="D1001" s="170"/>
      <c r="E1001" s="195"/>
      <c r="F1001" s="170"/>
      <c r="G1001" s="170"/>
      <c r="H1001" s="203"/>
      <c r="I1001" s="197" t="str">
        <f t="shared" si="162"/>
        <v/>
      </c>
      <c r="J1001" s="197" t="str">
        <f t="shared" si="163"/>
        <v/>
      </c>
      <c r="K1001" s="197"/>
      <c r="L1001" s="197"/>
      <c r="M1001" s="198"/>
      <c r="N1001" s="198"/>
      <c r="O1001" s="198"/>
      <c r="P1001" s="199"/>
      <c r="Q1001" s="200"/>
      <c r="R1001" s="200"/>
      <c r="S1001" s="200"/>
      <c r="T1001" s="200" t="str">
        <f t="shared" si="159"/>
        <v/>
      </c>
      <c r="U1001" s="200"/>
      <c r="V1001" s="201" t="str">
        <f t="shared" si="160"/>
        <v/>
      </c>
      <c r="W1001" s="202">
        <f t="shared" si="161"/>
        <v>0</v>
      </c>
      <c r="X1001" s="172"/>
    </row>
    <row r="1002" spans="1:24" x14ac:dyDescent="0.45">
      <c r="A1002" s="193">
        <v>56</v>
      </c>
      <c r="B1002" s="194" t="str">
        <f t="shared" si="157"/>
        <v/>
      </c>
      <c r="C1002" s="170" t="str">
        <f t="shared" si="158"/>
        <v/>
      </c>
      <c r="D1002" s="170"/>
      <c r="E1002" s="195"/>
      <c r="F1002" s="170"/>
      <c r="G1002" s="170"/>
      <c r="H1002" s="203"/>
      <c r="I1002" s="197" t="str">
        <f t="shared" si="162"/>
        <v/>
      </c>
      <c r="J1002" s="197" t="str">
        <f t="shared" si="163"/>
        <v/>
      </c>
      <c r="K1002" s="197"/>
      <c r="L1002" s="197"/>
      <c r="M1002" s="198"/>
      <c r="N1002" s="198"/>
      <c r="O1002" s="198"/>
      <c r="P1002" s="199"/>
      <c r="Q1002" s="200"/>
      <c r="R1002" s="200"/>
      <c r="S1002" s="200"/>
      <c r="T1002" s="200" t="str">
        <f t="shared" si="159"/>
        <v/>
      </c>
      <c r="U1002" s="200"/>
      <c r="V1002" s="201" t="str">
        <f t="shared" si="160"/>
        <v/>
      </c>
      <c r="W1002" s="202">
        <f t="shared" si="161"/>
        <v>0</v>
      </c>
      <c r="X1002" s="172"/>
    </row>
    <row r="1003" spans="1:24" x14ac:dyDescent="0.45">
      <c r="A1003" s="193">
        <v>57</v>
      </c>
      <c r="B1003" s="194" t="str">
        <f t="shared" si="157"/>
        <v/>
      </c>
      <c r="C1003" s="170" t="str">
        <f t="shared" si="158"/>
        <v/>
      </c>
      <c r="D1003" s="170"/>
      <c r="E1003" s="195"/>
      <c r="F1003" s="170"/>
      <c r="G1003" s="170"/>
      <c r="H1003" s="203"/>
      <c r="I1003" s="197" t="str">
        <f t="shared" si="162"/>
        <v/>
      </c>
      <c r="J1003" s="197" t="str">
        <f t="shared" si="163"/>
        <v/>
      </c>
      <c r="K1003" s="197"/>
      <c r="L1003" s="197"/>
      <c r="M1003" s="198"/>
      <c r="N1003" s="198"/>
      <c r="O1003" s="198"/>
      <c r="P1003" s="199"/>
      <c r="Q1003" s="200"/>
      <c r="R1003" s="200"/>
      <c r="S1003" s="200"/>
      <c r="T1003" s="200" t="str">
        <f t="shared" si="159"/>
        <v/>
      </c>
      <c r="U1003" s="200"/>
      <c r="V1003" s="201" t="str">
        <f t="shared" si="160"/>
        <v/>
      </c>
      <c r="W1003" s="202">
        <f t="shared" si="161"/>
        <v>0</v>
      </c>
      <c r="X1003" s="172"/>
    </row>
    <row r="1004" spans="1:24" x14ac:dyDescent="0.45">
      <c r="A1004" s="193">
        <v>58</v>
      </c>
      <c r="B1004" s="194" t="str">
        <f t="shared" si="157"/>
        <v/>
      </c>
      <c r="C1004" s="170" t="str">
        <f t="shared" si="158"/>
        <v/>
      </c>
      <c r="D1004" s="170"/>
      <c r="E1004" s="195"/>
      <c r="F1004" s="170"/>
      <c r="G1004" s="170"/>
      <c r="H1004" s="203"/>
      <c r="I1004" s="197" t="str">
        <f t="shared" si="162"/>
        <v/>
      </c>
      <c r="J1004" s="197" t="str">
        <f t="shared" si="163"/>
        <v/>
      </c>
      <c r="K1004" s="197"/>
      <c r="L1004" s="197"/>
      <c r="M1004" s="198"/>
      <c r="N1004" s="198"/>
      <c r="O1004" s="198"/>
      <c r="P1004" s="199"/>
      <c r="Q1004" s="200"/>
      <c r="R1004" s="200"/>
      <c r="S1004" s="200"/>
      <c r="T1004" s="200" t="str">
        <f t="shared" si="159"/>
        <v/>
      </c>
      <c r="U1004" s="200"/>
      <c r="V1004" s="201" t="str">
        <f t="shared" si="160"/>
        <v/>
      </c>
      <c r="W1004" s="202">
        <f t="shared" si="161"/>
        <v>0</v>
      </c>
      <c r="X1004" s="172"/>
    </row>
    <row r="1005" spans="1:24" x14ac:dyDescent="0.45">
      <c r="A1005" s="193">
        <v>59</v>
      </c>
      <c r="B1005" s="194" t="str">
        <f t="shared" si="157"/>
        <v/>
      </c>
      <c r="C1005" s="170" t="str">
        <f t="shared" si="158"/>
        <v/>
      </c>
      <c r="D1005" s="170"/>
      <c r="E1005" s="195"/>
      <c r="F1005" s="170"/>
      <c r="G1005" s="170"/>
      <c r="H1005" s="203"/>
      <c r="I1005" s="197" t="str">
        <f t="shared" si="162"/>
        <v/>
      </c>
      <c r="J1005" s="197" t="str">
        <f t="shared" si="163"/>
        <v/>
      </c>
      <c r="K1005" s="197"/>
      <c r="L1005" s="197"/>
      <c r="M1005" s="198"/>
      <c r="N1005" s="198"/>
      <c r="O1005" s="198"/>
      <c r="P1005" s="199"/>
      <c r="Q1005" s="200"/>
      <c r="R1005" s="200"/>
      <c r="S1005" s="200"/>
      <c r="T1005" s="200" t="str">
        <f t="shared" si="159"/>
        <v/>
      </c>
      <c r="U1005" s="200"/>
      <c r="V1005" s="201" t="str">
        <f t="shared" si="160"/>
        <v/>
      </c>
      <c r="W1005" s="202">
        <f t="shared" si="161"/>
        <v>0</v>
      </c>
      <c r="X1005" s="172"/>
    </row>
    <row r="1006" spans="1:24" x14ac:dyDescent="0.45">
      <c r="A1006" s="193">
        <v>60</v>
      </c>
      <c r="B1006" s="194" t="str">
        <f t="shared" si="157"/>
        <v/>
      </c>
      <c r="C1006" s="170" t="str">
        <f t="shared" si="158"/>
        <v/>
      </c>
      <c r="D1006" s="170"/>
      <c r="E1006" s="195"/>
      <c r="F1006" s="170"/>
      <c r="G1006" s="170"/>
      <c r="H1006" s="203"/>
      <c r="I1006" s="197" t="str">
        <f t="shared" si="162"/>
        <v/>
      </c>
      <c r="J1006" s="197" t="str">
        <f t="shared" si="163"/>
        <v/>
      </c>
      <c r="K1006" s="197"/>
      <c r="L1006" s="197"/>
      <c r="M1006" s="198"/>
      <c r="N1006" s="198"/>
      <c r="O1006" s="198"/>
      <c r="P1006" s="199"/>
      <c r="Q1006" s="200"/>
      <c r="R1006" s="200"/>
      <c r="S1006" s="200"/>
      <c r="T1006" s="200" t="str">
        <f t="shared" si="159"/>
        <v/>
      </c>
      <c r="U1006" s="200"/>
      <c r="V1006" s="201" t="str">
        <f t="shared" si="160"/>
        <v/>
      </c>
      <c r="W1006" s="202">
        <f t="shared" si="161"/>
        <v>0</v>
      </c>
      <c r="X1006" s="172"/>
    </row>
    <row r="1007" spans="1:24" x14ac:dyDescent="0.45">
      <c r="A1007" s="193">
        <v>61</v>
      </c>
      <c r="B1007" s="194" t="str">
        <f t="shared" si="157"/>
        <v/>
      </c>
      <c r="C1007" s="170" t="str">
        <f t="shared" si="158"/>
        <v/>
      </c>
      <c r="D1007" s="170"/>
      <c r="E1007" s="195"/>
      <c r="F1007" s="170"/>
      <c r="G1007" s="170"/>
      <c r="H1007" s="203"/>
      <c r="I1007" s="197" t="str">
        <f t="shared" si="162"/>
        <v/>
      </c>
      <c r="J1007" s="197" t="str">
        <f t="shared" si="163"/>
        <v/>
      </c>
      <c r="K1007" s="197"/>
      <c r="L1007" s="197"/>
      <c r="M1007" s="198"/>
      <c r="N1007" s="198"/>
      <c r="O1007" s="198"/>
      <c r="P1007" s="199"/>
      <c r="Q1007" s="200"/>
      <c r="R1007" s="200"/>
      <c r="S1007" s="200"/>
      <c r="T1007" s="200" t="str">
        <f t="shared" si="159"/>
        <v/>
      </c>
      <c r="U1007" s="200"/>
      <c r="V1007" s="201" t="str">
        <f t="shared" si="160"/>
        <v/>
      </c>
      <c r="W1007" s="202">
        <f t="shared" si="161"/>
        <v>0</v>
      </c>
      <c r="X1007" s="172"/>
    </row>
    <row r="1008" spans="1:24" x14ac:dyDescent="0.45">
      <c r="A1008" s="193">
        <v>62</v>
      </c>
      <c r="B1008" s="194" t="str">
        <f t="shared" si="157"/>
        <v/>
      </c>
      <c r="C1008" s="170" t="str">
        <f t="shared" si="158"/>
        <v/>
      </c>
      <c r="D1008" s="170"/>
      <c r="E1008" s="195"/>
      <c r="F1008" s="170"/>
      <c r="G1008" s="170"/>
      <c r="H1008" s="203"/>
      <c r="I1008" s="197" t="str">
        <f t="shared" si="162"/>
        <v/>
      </c>
      <c r="J1008" s="197" t="str">
        <f t="shared" si="163"/>
        <v/>
      </c>
      <c r="K1008" s="197"/>
      <c r="L1008" s="197"/>
      <c r="M1008" s="198"/>
      <c r="N1008" s="198"/>
      <c r="O1008" s="198"/>
      <c r="P1008" s="199"/>
      <c r="Q1008" s="200"/>
      <c r="R1008" s="200"/>
      <c r="S1008" s="200"/>
      <c r="T1008" s="200" t="str">
        <f t="shared" si="159"/>
        <v/>
      </c>
      <c r="U1008" s="200"/>
      <c r="V1008" s="201" t="str">
        <f t="shared" si="160"/>
        <v/>
      </c>
      <c r="W1008" s="202">
        <f t="shared" si="161"/>
        <v>0</v>
      </c>
      <c r="X1008" s="172"/>
    </row>
    <row r="1009" spans="1:24" x14ac:dyDescent="0.45">
      <c r="A1009" s="193">
        <v>63</v>
      </c>
      <c r="B1009" s="194" t="str">
        <f t="shared" si="157"/>
        <v/>
      </c>
      <c r="C1009" s="170" t="str">
        <f t="shared" si="158"/>
        <v/>
      </c>
      <c r="D1009" s="170"/>
      <c r="E1009" s="195"/>
      <c r="F1009" s="170"/>
      <c r="G1009" s="170"/>
      <c r="H1009" s="203"/>
      <c r="I1009" s="197" t="str">
        <f t="shared" si="162"/>
        <v/>
      </c>
      <c r="J1009" s="197" t="str">
        <f t="shared" si="163"/>
        <v/>
      </c>
      <c r="K1009" s="197"/>
      <c r="L1009" s="197"/>
      <c r="M1009" s="198"/>
      <c r="N1009" s="198"/>
      <c r="O1009" s="198"/>
      <c r="P1009" s="199"/>
      <c r="Q1009" s="200"/>
      <c r="R1009" s="200"/>
      <c r="S1009" s="200"/>
      <c r="T1009" s="200" t="str">
        <f t="shared" si="159"/>
        <v/>
      </c>
      <c r="U1009" s="200"/>
      <c r="V1009" s="201" t="str">
        <f t="shared" si="160"/>
        <v/>
      </c>
      <c r="W1009" s="202">
        <f t="shared" si="161"/>
        <v>0</v>
      </c>
      <c r="X1009" s="172"/>
    </row>
    <row r="1010" spans="1:24" x14ac:dyDescent="0.45">
      <c r="A1010" s="193">
        <v>64</v>
      </c>
      <c r="B1010" s="194" t="str">
        <f t="shared" si="157"/>
        <v/>
      </c>
      <c r="C1010" s="170" t="str">
        <f t="shared" si="158"/>
        <v/>
      </c>
      <c r="D1010" s="170"/>
      <c r="E1010" s="195"/>
      <c r="F1010" s="170"/>
      <c r="G1010" s="170"/>
      <c r="H1010" s="203"/>
      <c r="I1010" s="197" t="str">
        <f t="shared" si="162"/>
        <v/>
      </c>
      <c r="J1010" s="197" t="str">
        <f t="shared" si="163"/>
        <v/>
      </c>
      <c r="K1010" s="197"/>
      <c r="L1010" s="197"/>
      <c r="M1010" s="198"/>
      <c r="N1010" s="198"/>
      <c r="O1010" s="198"/>
      <c r="P1010" s="199"/>
      <c r="Q1010" s="200"/>
      <c r="R1010" s="200"/>
      <c r="S1010" s="200"/>
      <c r="T1010" s="200" t="str">
        <f t="shared" si="159"/>
        <v/>
      </c>
      <c r="U1010" s="200"/>
      <c r="V1010" s="201" t="str">
        <f t="shared" si="160"/>
        <v/>
      </c>
      <c r="W1010" s="202">
        <f t="shared" si="161"/>
        <v>0</v>
      </c>
      <c r="X1010" s="172"/>
    </row>
    <row r="1011" spans="1:24" x14ac:dyDescent="0.45">
      <c r="A1011" s="193">
        <v>65</v>
      </c>
      <c r="B1011" s="194" t="str">
        <f t="shared" si="157"/>
        <v/>
      </c>
      <c r="C1011" s="170" t="str">
        <f t="shared" si="158"/>
        <v/>
      </c>
      <c r="D1011" s="170"/>
      <c r="E1011" s="195"/>
      <c r="F1011" s="170"/>
      <c r="G1011" s="170"/>
      <c r="H1011" s="203"/>
      <c r="I1011" s="197" t="str">
        <f t="shared" si="162"/>
        <v/>
      </c>
      <c r="J1011" s="197" t="str">
        <f t="shared" si="163"/>
        <v/>
      </c>
      <c r="K1011" s="197"/>
      <c r="L1011" s="197"/>
      <c r="M1011" s="198"/>
      <c r="N1011" s="198"/>
      <c r="O1011" s="198"/>
      <c r="P1011" s="199"/>
      <c r="Q1011" s="200"/>
      <c r="R1011" s="200"/>
      <c r="S1011" s="200"/>
      <c r="T1011" s="200" t="str">
        <f t="shared" si="159"/>
        <v/>
      </c>
      <c r="U1011" s="200"/>
      <c r="V1011" s="201" t="str">
        <f t="shared" ref="V1011:V1012" si="164">IF(U1011="","",$V$927)</f>
        <v/>
      </c>
      <c r="W1011" s="202">
        <f t="shared" si="161"/>
        <v>0</v>
      </c>
      <c r="X1011" s="172"/>
    </row>
    <row r="1012" spans="1:24" ht="14.25" customHeight="1" x14ac:dyDescent="0.45">
      <c r="A1012" s="193">
        <v>66</v>
      </c>
      <c r="B1012" s="204" t="str">
        <f t="shared" si="157"/>
        <v/>
      </c>
      <c r="C1012" s="205" t="str">
        <f t="shared" si="158"/>
        <v/>
      </c>
      <c r="D1012" s="205"/>
      <c r="E1012" s="205"/>
      <c r="F1012" s="205"/>
      <c r="G1012" s="205"/>
      <c r="H1012" s="205"/>
      <c r="I1012" s="206" t="str">
        <f t="shared" si="162"/>
        <v/>
      </c>
      <c r="J1012" s="206" t="str">
        <f t="shared" si="163"/>
        <v/>
      </c>
      <c r="K1012" s="206"/>
      <c r="L1012" s="206"/>
      <c r="M1012" s="205"/>
      <c r="N1012" s="205"/>
      <c r="O1012" s="205"/>
      <c r="P1012" s="205"/>
      <c r="Q1012" s="205"/>
      <c r="R1012" s="205"/>
      <c r="S1012" s="205"/>
      <c r="T1012" s="205" t="str">
        <f t="shared" si="159"/>
        <v/>
      </c>
      <c r="U1012" s="205"/>
      <c r="V1012" s="205" t="str">
        <f t="shared" si="164"/>
        <v/>
      </c>
      <c r="W1012" s="207">
        <f t="shared" si="161"/>
        <v>0</v>
      </c>
      <c r="X1012" s="207"/>
    </row>
    <row r="1013" spans="1:24" ht="24.75" customHeight="1" x14ac:dyDescent="0.45">
      <c r="B1013" s="428" t="s">
        <v>1519</v>
      </c>
      <c r="C1013" s="429" t="s">
        <v>1494</v>
      </c>
      <c r="D1013" s="429"/>
      <c r="E1013" s="429"/>
      <c r="F1013" s="429"/>
      <c r="G1013" s="429"/>
      <c r="H1013" s="429"/>
      <c r="I1013" s="429"/>
      <c r="J1013" s="429"/>
      <c r="K1013" s="429"/>
      <c r="L1013" s="429"/>
      <c r="M1013" s="429"/>
      <c r="N1013" s="429"/>
      <c r="O1013" s="429"/>
      <c r="P1013" s="429"/>
      <c r="Q1013" s="429"/>
      <c r="R1013" s="145" t="s">
        <v>1</v>
      </c>
      <c r="S1013" s="146"/>
      <c r="T1013" s="145" t="s">
        <v>8</v>
      </c>
      <c r="U1013" s="147"/>
      <c r="V1013" s="148" t="s">
        <v>3</v>
      </c>
      <c r="W1013" s="146"/>
      <c r="X1013" s="149"/>
    </row>
    <row r="1014" spans="1:24" ht="24.75" customHeight="1" x14ac:dyDescent="0.45">
      <c r="B1014" s="428"/>
      <c r="C1014" s="429"/>
      <c r="D1014" s="429"/>
      <c r="E1014" s="429"/>
      <c r="F1014" s="429"/>
      <c r="G1014" s="429"/>
      <c r="H1014" s="429"/>
      <c r="I1014" s="429"/>
      <c r="J1014" s="429"/>
      <c r="K1014" s="429"/>
      <c r="L1014" s="429"/>
      <c r="M1014" s="429"/>
      <c r="N1014" s="429"/>
      <c r="O1014" s="429"/>
      <c r="P1014" s="429"/>
      <c r="Q1014" s="429"/>
      <c r="R1014" s="430" t="s">
        <v>1495</v>
      </c>
      <c r="S1014" s="430"/>
      <c r="T1014" s="431" t="str">
        <f>'BM MORRO DA CRUZ - VERTICAL'!$V$4</f>
        <v>01-10-26 A 31-10-26</v>
      </c>
      <c r="U1014" s="431"/>
      <c r="V1014" s="432" t="str">
        <f>IF('BM MORRO DA CRUZ - VERTICAL'!$BF$2="","",'BM MORRO DA CRUZ - VERTICAL'!$BF$2)</f>
        <v/>
      </c>
      <c r="W1014" s="432"/>
      <c r="X1014" s="150"/>
    </row>
    <row r="1015" spans="1:24" ht="24.75" customHeight="1" x14ac:dyDescent="0.45">
      <c r="B1015" s="151" t="s">
        <v>5</v>
      </c>
      <c r="C1015" s="152"/>
      <c r="D1015" s="152"/>
      <c r="E1015" s="152"/>
      <c r="F1015" s="152"/>
      <c r="G1015" s="152"/>
      <c r="H1015" s="152"/>
      <c r="I1015" s="152"/>
      <c r="J1015" s="152"/>
      <c r="K1015" s="152"/>
      <c r="L1015" s="152"/>
      <c r="M1015" s="152"/>
      <c r="N1015" s="152"/>
      <c r="O1015" s="152"/>
      <c r="P1015" s="153"/>
      <c r="Q1015" s="154"/>
      <c r="R1015" s="155"/>
      <c r="S1015" s="155"/>
      <c r="T1015" s="156" t="s">
        <v>1496</v>
      </c>
      <c r="U1015" s="157"/>
      <c r="V1015" s="158" t="s">
        <v>9</v>
      </c>
      <c r="W1015" s="159"/>
      <c r="X1015" s="433"/>
    </row>
    <row r="1016" spans="1:24" ht="24.75" customHeight="1" x14ac:dyDescent="0.45">
      <c r="B1016" s="17" t="s">
        <v>11</v>
      </c>
      <c r="C1016" s="160"/>
      <c r="D1016" s="160"/>
      <c r="E1016" s="160"/>
      <c r="F1016" s="160"/>
      <c r="G1016" s="160"/>
      <c r="H1016" s="160"/>
      <c r="I1016" s="160"/>
      <c r="J1016" s="160"/>
      <c r="K1016" s="160"/>
      <c r="L1016" s="160"/>
      <c r="M1016" s="160"/>
      <c r="N1016" s="160"/>
      <c r="O1016" s="160"/>
      <c r="P1016" s="161"/>
      <c r="Q1016" s="162"/>
      <c r="R1016" s="163"/>
      <c r="S1016" s="163"/>
      <c r="T1016" s="434" t="str">
        <f>'BM MORRO DA CRUZ - VERTICAL'!$V$2</f>
        <v>1ª MEDIÇÃO</v>
      </c>
      <c r="U1016" s="434"/>
      <c r="V1016" s="435" t="s">
        <v>13</v>
      </c>
      <c r="W1016" s="435"/>
      <c r="X1016" s="433"/>
    </row>
    <row r="1017" spans="1:24" ht="24.75" customHeight="1" x14ac:dyDescent="0.45">
      <c r="B1017" s="164" t="s">
        <v>1459</v>
      </c>
      <c r="C1017" s="165" t="s">
        <v>14</v>
      </c>
      <c r="D1017" s="165" t="s">
        <v>24</v>
      </c>
      <c r="E1017" s="165" t="s">
        <v>25</v>
      </c>
      <c r="F1017" s="166" t="s">
        <v>1461</v>
      </c>
      <c r="G1017" s="165"/>
      <c r="H1017" s="165"/>
      <c r="I1017" s="165"/>
      <c r="J1017" s="165"/>
      <c r="K1017" s="165"/>
      <c r="L1017" s="165"/>
      <c r="M1017" s="165"/>
      <c r="N1017" s="165"/>
      <c r="O1017" s="165"/>
      <c r="P1017" s="165"/>
      <c r="Q1017" s="165"/>
      <c r="R1017" s="165"/>
      <c r="S1017" s="165"/>
      <c r="T1017" s="165"/>
      <c r="U1017" s="165"/>
      <c r="V1017" s="165" t="s">
        <v>26</v>
      </c>
      <c r="W1017" s="167" t="s">
        <v>29</v>
      </c>
      <c r="X1017" s="168"/>
    </row>
    <row r="1018" spans="1:24" ht="24.75" customHeight="1" x14ac:dyDescent="0.45">
      <c r="B1018" s="169"/>
      <c r="C1018" s="170"/>
      <c r="D1018" s="170"/>
      <c r="E1018" s="170"/>
      <c r="F1018" s="170"/>
      <c r="G1018" s="170"/>
      <c r="H1018" s="170"/>
      <c r="I1018" s="170"/>
      <c r="J1018" s="170"/>
      <c r="K1018" s="170"/>
      <c r="L1018" s="170"/>
      <c r="M1018" s="170"/>
      <c r="N1018" s="170"/>
      <c r="O1018" s="170"/>
      <c r="P1018" s="170"/>
      <c r="Q1018" s="170"/>
      <c r="R1018" s="170"/>
      <c r="S1018" s="170"/>
      <c r="T1018" s="170"/>
      <c r="U1018" s="170"/>
      <c r="V1018" s="170"/>
      <c r="W1018" s="171"/>
      <c r="X1018" s="172"/>
    </row>
    <row r="1019" spans="1:24" ht="24.75" customHeight="1" x14ac:dyDescent="0.45">
      <c r="B1019" s="173" t="str">
        <f>IF($C$1019="","",IFERROR(INDEX('BM MORRO DA CRUZ - VERTICAL'!$C$6:$C$546,MATCH($C$1019,'BM MORRO DA CRUZ - VERTICAL'!$D$6:$D$546,0)),"CHAVE NÃO ENCONTRADA NO VERTICAL"))</f>
        <v/>
      </c>
      <c r="C1019" s="174"/>
      <c r="D1019" s="175" t="str">
        <f>IF($C$1019="","",IFERROR(INDEX('BM MORRO DA CRUZ - VERTICAL'!$O$6:$O$546,MATCH($C$1019,'BM MORRO DA CRUZ - VERTICAL'!$D$6:$D$546,0)),"CHAVE NÃO ENCONTRADA NO VERTICAL"))</f>
        <v/>
      </c>
      <c r="E1019" s="175" t="str">
        <f>IF($C$1019="","",IFERROR(INDEX('BM MORRO DA CRUZ - VERTICAL'!$P$6:$P$546,MATCH($C$1019,'BM MORRO DA CRUZ - VERTICAL'!$D$6:$D$546,0)),"CHAVE NÃO ENCONTRADA NO VERTICAL"))</f>
        <v/>
      </c>
      <c r="F1019" s="175" t="str">
        <f>IF($C$1019="","",IFERROR(INDEX('BM MORRO DA CRUZ - VERTICAL'!$Q$6:$Q$546,MATCH($C$1019,'BM MORRO DA CRUZ - VERTICAL'!$D$6:$D$546,0)),"CHAVE NÃO ENCONTRADA NO VERTICAL"))</f>
        <v/>
      </c>
      <c r="G1019" s="176"/>
      <c r="H1019" s="176"/>
      <c r="I1019" s="176"/>
      <c r="J1019" s="176"/>
      <c r="K1019" s="176"/>
      <c r="L1019" s="176"/>
      <c r="M1019" s="176"/>
      <c r="N1019" s="176"/>
      <c r="O1019" s="176"/>
      <c r="P1019" s="176"/>
      <c r="Q1019" s="176"/>
      <c r="R1019" s="176"/>
      <c r="S1019" s="176"/>
      <c r="T1019" s="176"/>
      <c r="U1019" s="176"/>
      <c r="V1019" s="177" t="str">
        <f>IF($C$1019="","",IFERROR(INDEX('BM MORRO DA CRUZ - VERTICAL'!$R$6:$R$546,MATCH($C$1019,'BM MORRO DA CRUZ - VERTICAL'!$D$6:$D$546,0)),"CHAVE NÃO ENCONTRADA NO VERTICAL"))</f>
        <v/>
      </c>
      <c r="W1019" s="178">
        <f>SUM($W1039:$W1104)</f>
        <v>0</v>
      </c>
      <c r="X1019" s="179"/>
    </row>
    <row r="1020" spans="1:24" ht="24.75" customHeight="1" x14ac:dyDescent="0.45">
      <c r="B1020" s="426" t="s">
        <v>1497</v>
      </c>
      <c r="C1020" s="426"/>
      <c r="D1020" s="426"/>
      <c r="E1020" s="426"/>
      <c r="F1020" s="426"/>
      <c r="G1020" s="426"/>
      <c r="H1020" s="426"/>
      <c r="I1020" s="426"/>
      <c r="J1020" s="426"/>
      <c r="K1020" s="426"/>
      <c r="L1020" s="426"/>
      <c r="M1020" s="426"/>
      <c r="N1020" s="426"/>
      <c r="O1020" s="426"/>
      <c r="P1020" s="426"/>
      <c r="Q1020" s="426"/>
      <c r="R1020" s="426"/>
      <c r="S1020" s="426"/>
      <c r="T1020" s="426"/>
      <c r="U1020" s="426"/>
      <c r="V1020" s="426"/>
      <c r="W1020" s="426"/>
      <c r="X1020" s="180" t="s">
        <v>1498</v>
      </c>
    </row>
    <row r="1021" spans="1:24" ht="14.25" customHeight="1" x14ac:dyDescent="0.45">
      <c r="B1021" s="181"/>
      <c r="C1021" s="182"/>
      <c r="D1021" s="182"/>
      <c r="E1021" s="182"/>
      <c r="F1021" s="182"/>
      <c r="G1021" s="182"/>
      <c r="H1021" s="182"/>
      <c r="I1021" s="182"/>
      <c r="J1021" s="182"/>
      <c r="K1021" s="182"/>
      <c r="L1021" s="182"/>
      <c r="M1021" s="182"/>
      <c r="N1021" s="182"/>
      <c r="O1021" s="182"/>
      <c r="P1021" s="182"/>
      <c r="Q1021" s="182"/>
      <c r="R1021" s="182"/>
      <c r="S1021" s="182"/>
      <c r="T1021" s="182"/>
      <c r="U1021" s="182"/>
      <c r="V1021" s="182"/>
      <c r="W1021" s="183"/>
      <c r="X1021" s="427"/>
    </row>
    <row r="1022" spans="1:24" x14ac:dyDescent="0.45">
      <c r="B1022" s="181"/>
      <c r="C1022" s="182"/>
      <c r="D1022" s="182"/>
      <c r="E1022" s="182"/>
      <c r="F1022" s="182"/>
      <c r="G1022" s="182"/>
      <c r="H1022" s="182"/>
      <c r="I1022" s="182"/>
      <c r="J1022" s="182"/>
      <c r="K1022" s="182"/>
      <c r="L1022" s="182"/>
      <c r="M1022" s="182"/>
      <c r="N1022" s="182"/>
      <c r="O1022" s="182"/>
      <c r="P1022" s="182"/>
      <c r="Q1022" s="182"/>
      <c r="R1022" s="182"/>
      <c r="S1022" s="182"/>
      <c r="T1022" s="182"/>
      <c r="U1022" s="182"/>
      <c r="V1022" s="182"/>
      <c r="W1022" s="183"/>
      <c r="X1022" s="427"/>
    </row>
    <row r="1023" spans="1:24" x14ac:dyDescent="0.45">
      <c r="B1023" s="181"/>
      <c r="C1023" s="182"/>
      <c r="D1023" s="182"/>
      <c r="E1023" s="182"/>
      <c r="F1023" s="182"/>
      <c r="G1023" s="182"/>
      <c r="H1023" s="182"/>
      <c r="I1023" s="182"/>
      <c r="J1023" s="182"/>
      <c r="K1023" s="182"/>
      <c r="L1023" s="182"/>
      <c r="M1023" s="182"/>
      <c r="N1023" s="182"/>
      <c r="O1023" s="182"/>
      <c r="P1023" s="182"/>
      <c r="Q1023" s="182"/>
      <c r="R1023" s="182"/>
      <c r="S1023" s="182"/>
      <c r="T1023" s="182"/>
      <c r="U1023" s="182"/>
      <c r="V1023" s="182"/>
      <c r="W1023" s="183"/>
      <c r="X1023" s="427"/>
    </row>
    <row r="1024" spans="1:24" x14ac:dyDescent="0.45">
      <c r="B1024" s="181"/>
      <c r="C1024" s="182"/>
      <c r="D1024" s="182"/>
      <c r="E1024" s="182"/>
      <c r="F1024" s="182"/>
      <c r="G1024" s="182"/>
      <c r="H1024" s="182"/>
      <c r="I1024" s="182"/>
      <c r="J1024" s="182"/>
      <c r="K1024" s="182"/>
      <c r="L1024" s="182"/>
      <c r="M1024" s="182"/>
      <c r="N1024" s="182"/>
      <c r="O1024" s="182"/>
      <c r="P1024" s="182"/>
      <c r="Q1024" s="182"/>
      <c r="R1024" s="182"/>
      <c r="S1024" s="182"/>
      <c r="T1024" s="182"/>
      <c r="U1024" s="182"/>
      <c r="V1024" s="182"/>
      <c r="W1024" s="183"/>
      <c r="X1024" s="427"/>
    </row>
    <row r="1025" spans="1:24" x14ac:dyDescent="0.45">
      <c r="B1025" s="181"/>
      <c r="C1025" s="182"/>
      <c r="D1025" s="182"/>
      <c r="E1025" s="182"/>
      <c r="F1025" s="182"/>
      <c r="G1025" s="182"/>
      <c r="H1025" s="182"/>
      <c r="I1025" s="182"/>
      <c r="J1025" s="182"/>
      <c r="K1025" s="182"/>
      <c r="L1025" s="182"/>
      <c r="M1025" s="182"/>
      <c r="N1025" s="182"/>
      <c r="O1025" s="182"/>
      <c r="P1025" s="182"/>
      <c r="Q1025" s="182"/>
      <c r="R1025" s="182"/>
      <c r="S1025" s="182"/>
      <c r="T1025" s="182"/>
      <c r="U1025" s="182"/>
      <c r="V1025" s="182"/>
      <c r="W1025" s="183"/>
      <c r="X1025" s="427"/>
    </row>
    <row r="1026" spans="1:24" x14ac:dyDescent="0.45">
      <c r="B1026" s="181"/>
      <c r="C1026" s="182"/>
      <c r="D1026" s="182"/>
      <c r="E1026" s="182"/>
      <c r="F1026" s="182"/>
      <c r="G1026" s="182"/>
      <c r="H1026" s="182"/>
      <c r="I1026" s="182"/>
      <c r="J1026" s="182"/>
      <c r="K1026" s="182"/>
      <c r="L1026" s="182"/>
      <c r="M1026" s="182"/>
      <c r="N1026" s="182"/>
      <c r="O1026" s="182"/>
      <c r="P1026" s="182"/>
      <c r="Q1026" s="182"/>
      <c r="R1026" s="182"/>
      <c r="S1026" s="182"/>
      <c r="T1026" s="182"/>
      <c r="U1026" s="182"/>
      <c r="V1026" s="182"/>
      <c r="W1026" s="183"/>
      <c r="X1026" s="427"/>
    </row>
    <row r="1027" spans="1:24" x14ac:dyDescent="0.45">
      <c r="B1027" s="181"/>
      <c r="C1027" s="182"/>
      <c r="D1027" s="182"/>
      <c r="E1027" s="182"/>
      <c r="F1027" s="182"/>
      <c r="G1027" s="182"/>
      <c r="H1027" s="182"/>
      <c r="I1027" s="182"/>
      <c r="J1027" s="182"/>
      <c r="K1027" s="182"/>
      <c r="L1027" s="182"/>
      <c r="M1027" s="182"/>
      <c r="N1027" s="182"/>
      <c r="O1027" s="182"/>
      <c r="P1027" s="182"/>
      <c r="Q1027" s="182"/>
      <c r="R1027" s="182"/>
      <c r="S1027" s="182"/>
      <c r="T1027" s="182"/>
      <c r="U1027" s="182"/>
      <c r="V1027" s="182"/>
      <c r="W1027" s="183"/>
      <c r="X1027" s="427"/>
    </row>
    <row r="1028" spans="1:24" x14ac:dyDescent="0.45">
      <c r="B1028" s="181"/>
      <c r="C1028" s="182"/>
      <c r="D1028" s="182"/>
      <c r="E1028" s="182"/>
      <c r="F1028" s="182"/>
      <c r="G1028" s="182"/>
      <c r="H1028" s="182"/>
      <c r="I1028" s="182"/>
      <c r="J1028" s="182"/>
      <c r="K1028" s="182"/>
      <c r="L1028" s="182"/>
      <c r="M1028" s="182"/>
      <c r="N1028" s="182"/>
      <c r="O1028" s="182"/>
      <c r="P1028" s="182"/>
      <c r="Q1028" s="182"/>
      <c r="R1028" s="182"/>
      <c r="S1028" s="182"/>
      <c r="T1028" s="182"/>
      <c r="U1028" s="182"/>
      <c r="V1028" s="182"/>
      <c r="W1028" s="183"/>
      <c r="X1028" s="427"/>
    </row>
    <row r="1029" spans="1:24" x14ac:dyDescent="0.45">
      <c r="B1029" s="181"/>
      <c r="C1029" s="182"/>
      <c r="D1029" s="182"/>
      <c r="E1029" s="182"/>
      <c r="F1029" s="182"/>
      <c r="G1029" s="182"/>
      <c r="H1029" s="182"/>
      <c r="I1029" s="182"/>
      <c r="J1029" s="182"/>
      <c r="K1029" s="182"/>
      <c r="L1029" s="182"/>
      <c r="M1029" s="182"/>
      <c r="N1029" s="182"/>
      <c r="O1029" s="182"/>
      <c r="P1029" s="182"/>
      <c r="Q1029" s="182"/>
      <c r="R1029" s="182"/>
      <c r="S1029" s="182"/>
      <c r="T1029" s="182"/>
      <c r="U1029" s="182"/>
      <c r="V1029" s="182"/>
      <c r="W1029" s="183"/>
      <c r="X1029" s="427"/>
    </row>
    <row r="1030" spans="1:24" x14ac:dyDescent="0.45">
      <c r="B1030" s="181"/>
      <c r="C1030" s="182"/>
      <c r="D1030" s="182"/>
      <c r="E1030" s="182"/>
      <c r="F1030" s="182"/>
      <c r="G1030" s="182"/>
      <c r="H1030" s="182"/>
      <c r="I1030" s="182"/>
      <c r="J1030" s="182"/>
      <c r="K1030" s="182"/>
      <c r="L1030" s="182"/>
      <c r="M1030" s="182"/>
      <c r="N1030" s="182"/>
      <c r="O1030" s="182"/>
      <c r="P1030" s="182"/>
      <c r="Q1030" s="182"/>
      <c r="R1030" s="182"/>
      <c r="S1030" s="182"/>
      <c r="T1030" s="182"/>
      <c r="U1030" s="182"/>
      <c r="V1030" s="182"/>
      <c r="W1030" s="183"/>
      <c r="X1030" s="427"/>
    </row>
    <row r="1031" spans="1:24" x14ac:dyDescent="0.45">
      <c r="B1031" s="181"/>
      <c r="C1031" s="182"/>
      <c r="D1031" s="182"/>
      <c r="E1031" s="182"/>
      <c r="F1031" s="182"/>
      <c r="G1031" s="182"/>
      <c r="H1031" s="182"/>
      <c r="I1031" s="182"/>
      <c r="J1031" s="182"/>
      <c r="K1031" s="182"/>
      <c r="L1031" s="182"/>
      <c r="M1031" s="182"/>
      <c r="N1031" s="182"/>
      <c r="O1031" s="182"/>
      <c r="P1031" s="182"/>
      <c r="Q1031" s="182"/>
      <c r="R1031" s="182"/>
      <c r="S1031" s="182"/>
      <c r="T1031" s="182"/>
      <c r="U1031" s="182"/>
      <c r="V1031" s="182"/>
      <c r="W1031" s="183"/>
      <c r="X1031" s="427"/>
    </row>
    <row r="1032" spans="1:24" x14ac:dyDescent="0.45">
      <c r="B1032" s="181"/>
      <c r="C1032" s="182"/>
      <c r="D1032" s="182"/>
      <c r="E1032" s="182"/>
      <c r="F1032" s="182"/>
      <c r="G1032" s="182"/>
      <c r="H1032" s="182"/>
      <c r="I1032" s="182"/>
      <c r="J1032" s="182"/>
      <c r="K1032" s="182"/>
      <c r="L1032" s="182"/>
      <c r="M1032" s="182"/>
      <c r="N1032" s="182"/>
      <c r="O1032" s="182"/>
      <c r="P1032" s="182"/>
      <c r="Q1032" s="182"/>
      <c r="R1032" s="182"/>
      <c r="S1032" s="182"/>
      <c r="T1032" s="182"/>
      <c r="U1032" s="182"/>
      <c r="V1032" s="182"/>
      <c r="W1032" s="183"/>
      <c r="X1032" s="427"/>
    </row>
    <row r="1033" spans="1:24" x14ac:dyDescent="0.45">
      <c r="B1033" s="181"/>
      <c r="C1033" s="182"/>
      <c r="D1033" s="182"/>
      <c r="E1033" s="182"/>
      <c r="F1033" s="182"/>
      <c r="G1033" s="182"/>
      <c r="H1033" s="182"/>
      <c r="I1033" s="182"/>
      <c r="J1033" s="182"/>
      <c r="K1033" s="182"/>
      <c r="L1033" s="182"/>
      <c r="M1033" s="182"/>
      <c r="N1033" s="182"/>
      <c r="O1033" s="182"/>
      <c r="P1033" s="182"/>
      <c r="Q1033" s="182"/>
      <c r="R1033" s="182"/>
      <c r="S1033" s="182"/>
      <c r="T1033" s="182"/>
      <c r="U1033" s="182"/>
      <c r="V1033" s="182"/>
      <c r="W1033" s="183"/>
      <c r="X1033" s="427"/>
    </row>
    <row r="1034" spans="1:24" x14ac:dyDescent="0.45">
      <c r="B1034" s="181"/>
      <c r="C1034" s="182"/>
      <c r="D1034" s="182"/>
      <c r="E1034" s="182"/>
      <c r="F1034" s="182"/>
      <c r="G1034" s="182"/>
      <c r="H1034" s="182"/>
      <c r="I1034" s="182"/>
      <c r="J1034" s="182"/>
      <c r="K1034" s="182"/>
      <c r="L1034" s="182"/>
      <c r="M1034" s="182"/>
      <c r="N1034" s="182"/>
      <c r="O1034" s="182"/>
      <c r="P1034" s="182"/>
      <c r="Q1034" s="182"/>
      <c r="R1034" s="182"/>
      <c r="S1034" s="182"/>
      <c r="T1034" s="182"/>
      <c r="U1034" s="182"/>
      <c r="V1034" s="182"/>
      <c r="W1034" s="183"/>
      <c r="X1034" s="427"/>
    </row>
    <row r="1035" spans="1:24" x14ac:dyDescent="0.45">
      <c r="B1035" s="181"/>
      <c r="C1035" s="182"/>
      <c r="D1035" s="182"/>
      <c r="E1035" s="182"/>
      <c r="F1035" s="182"/>
      <c r="G1035" s="182"/>
      <c r="H1035" s="182"/>
      <c r="I1035" s="182"/>
      <c r="J1035" s="182"/>
      <c r="K1035" s="182"/>
      <c r="L1035" s="182"/>
      <c r="M1035" s="182"/>
      <c r="N1035" s="182"/>
      <c r="O1035" s="182"/>
      <c r="P1035" s="182"/>
      <c r="Q1035" s="182"/>
      <c r="R1035" s="182"/>
      <c r="S1035" s="182"/>
      <c r="T1035" s="182"/>
      <c r="U1035" s="182"/>
      <c r="V1035" s="182"/>
      <c r="W1035" s="183"/>
      <c r="X1035" s="427"/>
    </row>
    <row r="1036" spans="1:24" x14ac:dyDescent="0.45">
      <c r="B1036" s="181"/>
      <c r="C1036" s="182"/>
      <c r="D1036" s="182"/>
      <c r="E1036" s="182"/>
      <c r="F1036" s="182"/>
      <c r="G1036" s="182"/>
      <c r="H1036" s="182"/>
      <c r="I1036" s="182"/>
      <c r="J1036" s="182"/>
      <c r="K1036" s="182"/>
      <c r="L1036" s="182"/>
      <c r="M1036" s="182"/>
      <c r="N1036" s="182"/>
      <c r="O1036" s="182"/>
      <c r="P1036" s="182"/>
      <c r="Q1036" s="182"/>
      <c r="R1036" s="182"/>
      <c r="S1036" s="182"/>
      <c r="T1036" s="182"/>
      <c r="U1036" s="182"/>
      <c r="V1036" s="182"/>
      <c r="W1036" s="183"/>
      <c r="X1036" s="427"/>
    </row>
    <row r="1037" spans="1:24" x14ac:dyDescent="0.45">
      <c r="B1037" s="184"/>
      <c r="C1037" s="185" t="s">
        <v>1499</v>
      </c>
      <c r="D1037" s="185"/>
      <c r="E1037" s="185"/>
      <c r="F1037" s="185"/>
      <c r="G1037" s="185"/>
      <c r="H1037" s="185"/>
      <c r="I1037" s="185"/>
      <c r="J1037" s="185"/>
      <c r="K1037" s="185"/>
      <c r="L1037" s="185"/>
      <c r="M1037" s="185"/>
      <c r="N1037" s="185"/>
      <c r="O1037" s="185"/>
      <c r="P1037" s="185"/>
      <c r="Q1037" s="185"/>
      <c r="R1037" s="185"/>
      <c r="S1037" s="185"/>
      <c r="T1037" s="185"/>
      <c r="U1037" s="185"/>
      <c r="V1037" s="185"/>
      <c r="W1037" s="186"/>
      <c r="X1037" s="187"/>
    </row>
    <row r="1038" spans="1:24" ht="26.65" x14ac:dyDescent="0.45">
      <c r="B1038" s="188" t="s">
        <v>1458</v>
      </c>
      <c r="C1038" s="185" t="s">
        <v>1459</v>
      </c>
      <c r="D1038" s="185"/>
      <c r="E1038" s="185" t="s">
        <v>1500</v>
      </c>
      <c r="F1038" s="185"/>
      <c r="G1038" s="185" t="s">
        <v>1501</v>
      </c>
      <c r="H1038" s="189" t="s">
        <v>1502</v>
      </c>
      <c r="I1038" s="185" t="s">
        <v>1503</v>
      </c>
      <c r="J1038" s="185" t="s">
        <v>1504</v>
      </c>
      <c r="K1038" s="189" t="s">
        <v>1505</v>
      </c>
      <c r="L1038" s="189" t="s">
        <v>1504</v>
      </c>
      <c r="M1038" s="189"/>
      <c r="N1038" s="189" t="s">
        <v>1506</v>
      </c>
      <c r="O1038" s="189"/>
      <c r="P1038" s="190"/>
      <c r="Q1038" s="189"/>
      <c r="R1038" s="189"/>
      <c r="S1038" s="189"/>
      <c r="T1038" s="189" t="s">
        <v>1507</v>
      </c>
      <c r="U1038" s="189" t="s">
        <v>27</v>
      </c>
      <c r="V1038" s="189" t="s">
        <v>26</v>
      </c>
      <c r="W1038" s="191" t="s">
        <v>1508</v>
      </c>
      <c r="X1038" s="192"/>
    </row>
    <row r="1039" spans="1:24" x14ac:dyDescent="0.45">
      <c r="A1039" s="193">
        <v>1</v>
      </c>
      <c r="B1039" s="194" t="str">
        <f t="shared" ref="B1039:B1070" si="165">IF(OR($C$1019="",U1039=""),"",LEFT($C$1019,FIND("_",$C$1019)-1))</f>
        <v/>
      </c>
      <c r="C1039" s="170" t="str">
        <f t="shared" ref="C1039:C1070" si="166">IF(OR($C$1019="",U1039=""),"",$B$1019)</f>
        <v/>
      </c>
      <c r="D1039" s="170"/>
      <c r="E1039" s="195"/>
      <c r="F1039" s="195"/>
      <c r="G1039" s="196"/>
      <c r="H1039" s="197"/>
      <c r="I1039" s="197"/>
      <c r="J1039" s="197"/>
      <c r="K1039" s="197"/>
      <c r="L1039" s="197"/>
      <c r="M1039" s="198"/>
      <c r="N1039" s="198"/>
      <c r="O1039" s="198"/>
      <c r="P1039" s="199"/>
      <c r="Q1039" s="200"/>
      <c r="R1039" s="200"/>
      <c r="S1039" s="200"/>
      <c r="T1039" s="200" t="str">
        <f t="shared" ref="T1039:T1070" si="167">IF(K1039="","",((K1039*20)+L1039)-((I1039*20)+J1039))</f>
        <v/>
      </c>
      <c r="U1039" s="200"/>
      <c r="V1039" s="201" t="str">
        <f t="shared" ref="V1039:V1070" si="168">IF(U1039="","",$V$1019)</f>
        <v/>
      </c>
      <c r="W1039" s="202">
        <f t="shared" ref="W1039:W1070" si="169">IF(OR(T1039="",U1039=""),0,T1039*U1039)</f>
        <v>0</v>
      </c>
      <c r="X1039" s="172"/>
    </row>
    <row r="1040" spans="1:24" x14ac:dyDescent="0.45">
      <c r="A1040" s="193">
        <v>2</v>
      </c>
      <c r="B1040" s="194" t="str">
        <f t="shared" si="165"/>
        <v/>
      </c>
      <c r="C1040" s="170" t="str">
        <f t="shared" si="166"/>
        <v/>
      </c>
      <c r="D1040" s="170"/>
      <c r="E1040" s="195"/>
      <c r="F1040" s="195"/>
      <c r="G1040" s="196"/>
      <c r="H1040" s="197"/>
      <c r="I1040" s="197" t="str">
        <f t="shared" ref="I1040:I1071" si="170">IF(K1039="","",K1039)</f>
        <v/>
      </c>
      <c r="J1040" s="197" t="str">
        <f t="shared" ref="J1040:J1071" si="171">IF(L1039="","",L1039)</f>
        <v/>
      </c>
      <c r="K1040" s="197"/>
      <c r="L1040" s="197"/>
      <c r="M1040" s="198"/>
      <c r="N1040" s="198"/>
      <c r="O1040" s="198"/>
      <c r="P1040" s="199"/>
      <c r="Q1040" s="200"/>
      <c r="R1040" s="200"/>
      <c r="S1040" s="200"/>
      <c r="T1040" s="200" t="str">
        <f t="shared" si="167"/>
        <v/>
      </c>
      <c r="U1040" s="200"/>
      <c r="V1040" s="201" t="str">
        <f t="shared" si="168"/>
        <v/>
      </c>
      <c r="W1040" s="202">
        <f t="shared" si="169"/>
        <v>0</v>
      </c>
      <c r="X1040" s="172"/>
    </row>
    <row r="1041" spans="1:24" x14ac:dyDescent="0.45">
      <c r="A1041" s="193">
        <v>3</v>
      </c>
      <c r="B1041" s="194" t="str">
        <f t="shared" si="165"/>
        <v/>
      </c>
      <c r="C1041" s="170" t="str">
        <f t="shared" si="166"/>
        <v/>
      </c>
      <c r="D1041" s="170"/>
      <c r="E1041" s="195"/>
      <c r="F1041" s="195"/>
      <c r="G1041" s="196"/>
      <c r="H1041" s="197"/>
      <c r="I1041" s="197" t="str">
        <f t="shared" si="170"/>
        <v/>
      </c>
      <c r="J1041" s="197" t="str">
        <f t="shared" si="171"/>
        <v/>
      </c>
      <c r="K1041" s="197"/>
      <c r="L1041" s="197"/>
      <c r="M1041" s="198"/>
      <c r="N1041" s="198"/>
      <c r="O1041" s="198"/>
      <c r="P1041" s="199"/>
      <c r="Q1041" s="200"/>
      <c r="R1041" s="200"/>
      <c r="S1041" s="200"/>
      <c r="T1041" s="200" t="str">
        <f t="shared" si="167"/>
        <v/>
      </c>
      <c r="U1041" s="200"/>
      <c r="V1041" s="201" t="str">
        <f t="shared" si="168"/>
        <v/>
      </c>
      <c r="W1041" s="202">
        <f t="shared" si="169"/>
        <v>0</v>
      </c>
      <c r="X1041" s="172"/>
    </row>
    <row r="1042" spans="1:24" x14ac:dyDescent="0.45">
      <c r="A1042" s="193">
        <v>4</v>
      </c>
      <c r="B1042" s="194" t="str">
        <f t="shared" si="165"/>
        <v/>
      </c>
      <c r="C1042" s="170" t="str">
        <f t="shared" si="166"/>
        <v/>
      </c>
      <c r="D1042" s="170"/>
      <c r="E1042" s="195"/>
      <c r="F1042" s="195"/>
      <c r="G1042" s="196"/>
      <c r="H1042" s="197"/>
      <c r="I1042" s="197" t="str">
        <f t="shared" si="170"/>
        <v/>
      </c>
      <c r="J1042" s="197" t="str">
        <f t="shared" si="171"/>
        <v/>
      </c>
      <c r="K1042" s="197"/>
      <c r="L1042" s="197"/>
      <c r="M1042" s="198"/>
      <c r="N1042" s="198"/>
      <c r="O1042" s="198"/>
      <c r="P1042" s="199"/>
      <c r="Q1042" s="200"/>
      <c r="R1042" s="200"/>
      <c r="S1042" s="200"/>
      <c r="T1042" s="200" t="str">
        <f t="shared" si="167"/>
        <v/>
      </c>
      <c r="U1042" s="200"/>
      <c r="V1042" s="201" t="str">
        <f t="shared" si="168"/>
        <v/>
      </c>
      <c r="W1042" s="202">
        <f t="shared" si="169"/>
        <v>0</v>
      </c>
      <c r="X1042" s="172"/>
    </row>
    <row r="1043" spans="1:24" x14ac:dyDescent="0.45">
      <c r="A1043" s="193">
        <v>5</v>
      </c>
      <c r="B1043" s="194" t="str">
        <f t="shared" si="165"/>
        <v/>
      </c>
      <c r="C1043" s="170" t="str">
        <f t="shared" si="166"/>
        <v/>
      </c>
      <c r="D1043" s="170"/>
      <c r="E1043" s="195"/>
      <c r="F1043" s="195"/>
      <c r="G1043" s="196"/>
      <c r="H1043" s="197"/>
      <c r="I1043" s="197" t="str">
        <f t="shared" si="170"/>
        <v/>
      </c>
      <c r="J1043" s="197" t="str">
        <f t="shared" si="171"/>
        <v/>
      </c>
      <c r="K1043" s="197"/>
      <c r="L1043" s="197"/>
      <c r="M1043" s="198"/>
      <c r="N1043" s="198"/>
      <c r="O1043" s="198"/>
      <c r="P1043" s="199"/>
      <c r="Q1043" s="200"/>
      <c r="R1043" s="200"/>
      <c r="S1043" s="200"/>
      <c r="T1043" s="200" t="str">
        <f t="shared" si="167"/>
        <v/>
      </c>
      <c r="U1043" s="200"/>
      <c r="V1043" s="201" t="str">
        <f t="shared" si="168"/>
        <v/>
      </c>
      <c r="W1043" s="202">
        <f t="shared" si="169"/>
        <v>0</v>
      </c>
      <c r="X1043" s="172"/>
    </row>
    <row r="1044" spans="1:24" x14ac:dyDescent="0.45">
      <c r="A1044" s="193">
        <v>6</v>
      </c>
      <c r="B1044" s="194" t="str">
        <f t="shared" si="165"/>
        <v/>
      </c>
      <c r="C1044" s="170" t="str">
        <f t="shared" si="166"/>
        <v/>
      </c>
      <c r="D1044" s="170"/>
      <c r="E1044" s="195"/>
      <c r="F1044" s="195"/>
      <c r="G1044" s="196"/>
      <c r="H1044" s="197"/>
      <c r="I1044" s="197" t="str">
        <f t="shared" si="170"/>
        <v/>
      </c>
      <c r="J1044" s="197" t="str">
        <f t="shared" si="171"/>
        <v/>
      </c>
      <c r="K1044" s="197"/>
      <c r="L1044" s="197"/>
      <c r="M1044" s="198"/>
      <c r="N1044" s="198"/>
      <c r="O1044" s="198"/>
      <c r="P1044" s="199"/>
      <c r="Q1044" s="200"/>
      <c r="R1044" s="200"/>
      <c r="S1044" s="200"/>
      <c r="T1044" s="200" t="str">
        <f t="shared" si="167"/>
        <v/>
      </c>
      <c r="U1044" s="200"/>
      <c r="V1044" s="201" t="str">
        <f t="shared" si="168"/>
        <v/>
      </c>
      <c r="W1044" s="202">
        <f t="shared" si="169"/>
        <v>0</v>
      </c>
      <c r="X1044" s="172"/>
    </row>
    <row r="1045" spans="1:24" x14ac:dyDescent="0.45">
      <c r="A1045" s="193">
        <v>7</v>
      </c>
      <c r="B1045" s="194" t="str">
        <f t="shared" si="165"/>
        <v/>
      </c>
      <c r="C1045" s="170" t="str">
        <f t="shared" si="166"/>
        <v/>
      </c>
      <c r="D1045" s="170"/>
      <c r="E1045" s="195"/>
      <c r="F1045" s="195"/>
      <c r="G1045" s="196"/>
      <c r="H1045" s="197"/>
      <c r="I1045" s="197" t="str">
        <f t="shared" si="170"/>
        <v/>
      </c>
      <c r="J1045" s="197" t="str">
        <f t="shared" si="171"/>
        <v/>
      </c>
      <c r="K1045" s="197"/>
      <c r="L1045" s="197"/>
      <c r="M1045" s="198"/>
      <c r="N1045" s="198"/>
      <c r="O1045" s="198"/>
      <c r="P1045" s="199"/>
      <c r="Q1045" s="200"/>
      <c r="R1045" s="200"/>
      <c r="S1045" s="200"/>
      <c r="T1045" s="200" t="str">
        <f t="shared" si="167"/>
        <v/>
      </c>
      <c r="U1045" s="200"/>
      <c r="V1045" s="201" t="str">
        <f t="shared" si="168"/>
        <v/>
      </c>
      <c r="W1045" s="202">
        <f t="shared" si="169"/>
        <v>0</v>
      </c>
      <c r="X1045" s="172"/>
    </row>
    <row r="1046" spans="1:24" x14ac:dyDescent="0.45">
      <c r="A1046" s="193">
        <v>8</v>
      </c>
      <c r="B1046" s="194" t="str">
        <f t="shared" si="165"/>
        <v/>
      </c>
      <c r="C1046" s="170" t="str">
        <f t="shared" si="166"/>
        <v/>
      </c>
      <c r="D1046" s="170"/>
      <c r="E1046" s="195"/>
      <c r="F1046" s="195"/>
      <c r="G1046" s="196"/>
      <c r="H1046" s="197"/>
      <c r="I1046" s="197" t="str">
        <f t="shared" si="170"/>
        <v/>
      </c>
      <c r="J1046" s="197" t="str">
        <f t="shared" si="171"/>
        <v/>
      </c>
      <c r="K1046" s="197"/>
      <c r="L1046" s="197"/>
      <c r="M1046" s="198"/>
      <c r="N1046" s="198"/>
      <c r="O1046" s="198"/>
      <c r="P1046" s="199"/>
      <c r="Q1046" s="200"/>
      <c r="R1046" s="200"/>
      <c r="S1046" s="200"/>
      <c r="T1046" s="200" t="str">
        <f t="shared" si="167"/>
        <v/>
      </c>
      <c r="U1046" s="200"/>
      <c r="V1046" s="201" t="str">
        <f t="shared" si="168"/>
        <v/>
      </c>
      <c r="W1046" s="202">
        <f t="shared" si="169"/>
        <v>0</v>
      </c>
      <c r="X1046" s="172"/>
    </row>
    <row r="1047" spans="1:24" x14ac:dyDescent="0.45">
      <c r="A1047" s="193">
        <v>9</v>
      </c>
      <c r="B1047" s="194" t="str">
        <f t="shared" si="165"/>
        <v/>
      </c>
      <c r="C1047" s="170" t="str">
        <f t="shared" si="166"/>
        <v/>
      </c>
      <c r="D1047" s="170"/>
      <c r="E1047" s="195"/>
      <c r="F1047" s="195"/>
      <c r="G1047" s="196"/>
      <c r="H1047" s="197"/>
      <c r="I1047" s="197" t="str">
        <f t="shared" si="170"/>
        <v/>
      </c>
      <c r="J1047" s="197" t="str">
        <f t="shared" si="171"/>
        <v/>
      </c>
      <c r="K1047" s="197"/>
      <c r="L1047" s="197"/>
      <c r="M1047" s="198"/>
      <c r="N1047" s="198"/>
      <c r="O1047" s="198"/>
      <c r="P1047" s="199"/>
      <c r="Q1047" s="200"/>
      <c r="R1047" s="200"/>
      <c r="S1047" s="200"/>
      <c r="T1047" s="200" t="str">
        <f t="shared" si="167"/>
        <v/>
      </c>
      <c r="U1047" s="200"/>
      <c r="V1047" s="201" t="str">
        <f t="shared" si="168"/>
        <v/>
      </c>
      <c r="W1047" s="202">
        <f t="shared" si="169"/>
        <v>0</v>
      </c>
      <c r="X1047" s="172"/>
    </row>
    <row r="1048" spans="1:24" x14ac:dyDescent="0.45">
      <c r="A1048" s="193">
        <v>10</v>
      </c>
      <c r="B1048" s="194" t="str">
        <f t="shared" si="165"/>
        <v/>
      </c>
      <c r="C1048" s="170" t="str">
        <f t="shared" si="166"/>
        <v/>
      </c>
      <c r="D1048" s="170"/>
      <c r="E1048" s="195"/>
      <c r="F1048" s="195"/>
      <c r="G1048" s="196"/>
      <c r="H1048" s="197"/>
      <c r="I1048" s="197" t="str">
        <f t="shared" si="170"/>
        <v/>
      </c>
      <c r="J1048" s="197" t="str">
        <f t="shared" si="171"/>
        <v/>
      </c>
      <c r="K1048" s="197"/>
      <c r="L1048" s="197"/>
      <c r="M1048" s="198"/>
      <c r="N1048" s="198"/>
      <c r="O1048" s="198"/>
      <c r="P1048" s="199"/>
      <c r="Q1048" s="200"/>
      <c r="R1048" s="200"/>
      <c r="S1048" s="200"/>
      <c r="T1048" s="200" t="str">
        <f t="shared" si="167"/>
        <v/>
      </c>
      <c r="U1048" s="200"/>
      <c r="V1048" s="201" t="str">
        <f t="shared" si="168"/>
        <v/>
      </c>
      <c r="W1048" s="202">
        <f t="shared" si="169"/>
        <v>0</v>
      </c>
      <c r="X1048" s="172"/>
    </row>
    <row r="1049" spans="1:24" x14ac:dyDescent="0.45">
      <c r="A1049" s="193">
        <v>11</v>
      </c>
      <c r="B1049" s="194" t="str">
        <f t="shared" si="165"/>
        <v/>
      </c>
      <c r="C1049" s="170" t="str">
        <f t="shared" si="166"/>
        <v/>
      </c>
      <c r="D1049" s="170"/>
      <c r="E1049" s="195"/>
      <c r="F1049" s="195"/>
      <c r="G1049" s="196"/>
      <c r="H1049" s="197"/>
      <c r="I1049" s="197" t="str">
        <f t="shared" si="170"/>
        <v/>
      </c>
      <c r="J1049" s="197" t="str">
        <f t="shared" si="171"/>
        <v/>
      </c>
      <c r="K1049" s="197"/>
      <c r="L1049" s="197"/>
      <c r="M1049" s="198"/>
      <c r="N1049" s="198"/>
      <c r="O1049" s="198"/>
      <c r="P1049" s="199"/>
      <c r="Q1049" s="200"/>
      <c r="R1049" s="200"/>
      <c r="S1049" s="200"/>
      <c r="T1049" s="200" t="str">
        <f t="shared" si="167"/>
        <v/>
      </c>
      <c r="U1049" s="200"/>
      <c r="V1049" s="201" t="str">
        <f t="shared" si="168"/>
        <v/>
      </c>
      <c r="W1049" s="202">
        <f t="shared" si="169"/>
        <v>0</v>
      </c>
      <c r="X1049" s="172"/>
    </row>
    <row r="1050" spans="1:24" x14ac:dyDescent="0.45">
      <c r="A1050" s="193">
        <v>12</v>
      </c>
      <c r="B1050" s="194" t="str">
        <f t="shared" si="165"/>
        <v/>
      </c>
      <c r="C1050" s="170" t="str">
        <f t="shared" si="166"/>
        <v/>
      </c>
      <c r="D1050" s="170"/>
      <c r="E1050" s="195"/>
      <c r="F1050" s="195"/>
      <c r="G1050" s="196"/>
      <c r="H1050" s="197"/>
      <c r="I1050" s="197" t="str">
        <f t="shared" si="170"/>
        <v/>
      </c>
      <c r="J1050" s="197" t="str">
        <f t="shared" si="171"/>
        <v/>
      </c>
      <c r="K1050" s="197"/>
      <c r="L1050" s="197"/>
      <c r="M1050" s="198"/>
      <c r="N1050" s="198"/>
      <c r="O1050" s="198"/>
      <c r="P1050" s="199"/>
      <c r="Q1050" s="200"/>
      <c r="R1050" s="200"/>
      <c r="S1050" s="200"/>
      <c r="T1050" s="200" t="str">
        <f t="shared" si="167"/>
        <v/>
      </c>
      <c r="U1050" s="200"/>
      <c r="V1050" s="201" t="str">
        <f t="shared" si="168"/>
        <v/>
      </c>
      <c r="W1050" s="202">
        <f t="shared" si="169"/>
        <v>0</v>
      </c>
      <c r="X1050" s="172"/>
    </row>
    <row r="1051" spans="1:24" x14ac:dyDescent="0.45">
      <c r="A1051" s="193">
        <v>13</v>
      </c>
      <c r="B1051" s="194" t="str">
        <f t="shared" si="165"/>
        <v/>
      </c>
      <c r="C1051" s="170" t="str">
        <f t="shared" si="166"/>
        <v/>
      </c>
      <c r="D1051" s="170"/>
      <c r="E1051" s="195"/>
      <c r="F1051" s="195"/>
      <c r="G1051" s="196"/>
      <c r="H1051" s="197"/>
      <c r="I1051" s="197" t="str">
        <f t="shared" si="170"/>
        <v/>
      </c>
      <c r="J1051" s="197" t="str">
        <f t="shared" si="171"/>
        <v/>
      </c>
      <c r="K1051" s="197"/>
      <c r="L1051" s="197"/>
      <c r="M1051" s="198"/>
      <c r="N1051" s="198"/>
      <c r="O1051" s="198"/>
      <c r="P1051" s="199"/>
      <c r="Q1051" s="200"/>
      <c r="R1051" s="200"/>
      <c r="S1051" s="200"/>
      <c r="T1051" s="200" t="str">
        <f t="shared" si="167"/>
        <v/>
      </c>
      <c r="U1051" s="200"/>
      <c r="V1051" s="201" t="str">
        <f t="shared" si="168"/>
        <v/>
      </c>
      <c r="W1051" s="202">
        <f t="shared" si="169"/>
        <v>0</v>
      </c>
      <c r="X1051" s="172"/>
    </row>
    <row r="1052" spans="1:24" x14ac:dyDescent="0.45">
      <c r="A1052" s="193">
        <v>14</v>
      </c>
      <c r="B1052" s="194" t="str">
        <f t="shared" si="165"/>
        <v/>
      </c>
      <c r="C1052" s="170" t="str">
        <f t="shared" si="166"/>
        <v/>
      </c>
      <c r="D1052" s="170"/>
      <c r="E1052" s="195"/>
      <c r="F1052" s="195"/>
      <c r="G1052" s="196"/>
      <c r="H1052" s="197"/>
      <c r="I1052" s="197" t="str">
        <f t="shared" si="170"/>
        <v/>
      </c>
      <c r="J1052" s="197" t="str">
        <f t="shared" si="171"/>
        <v/>
      </c>
      <c r="K1052" s="197"/>
      <c r="L1052" s="197"/>
      <c r="M1052" s="198"/>
      <c r="N1052" s="198"/>
      <c r="O1052" s="198"/>
      <c r="P1052" s="199"/>
      <c r="Q1052" s="200"/>
      <c r="R1052" s="200"/>
      <c r="S1052" s="200"/>
      <c r="T1052" s="200" t="str">
        <f t="shared" si="167"/>
        <v/>
      </c>
      <c r="U1052" s="200"/>
      <c r="V1052" s="201" t="str">
        <f t="shared" si="168"/>
        <v/>
      </c>
      <c r="W1052" s="202">
        <f t="shared" si="169"/>
        <v>0</v>
      </c>
      <c r="X1052" s="172"/>
    </row>
    <row r="1053" spans="1:24" x14ac:dyDescent="0.45">
      <c r="A1053" s="193">
        <v>15</v>
      </c>
      <c r="B1053" s="194" t="str">
        <f t="shared" si="165"/>
        <v/>
      </c>
      <c r="C1053" s="170" t="str">
        <f t="shared" si="166"/>
        <v/>
      </c>
      <c r="D1053" s="170"/>
      <c r="E1053" s="195"/>
      <c r="F1053" s="195"/>
      <c r="G1053" s="196"/>
      <c r="H1053" s="197"/>
      <c r="I1053" s="197" t="str">
        <f t="shared" si="170"/>
        <v/>
      </c>
      <c r="J1053" s="197" t="str">
        <f t="shared" si="171"/>
        <v/>
      </c>
      <c r="K1053" s="197"/>
      <c r="L1053" s="197"/>
      <c r="M1053" s="198"/>
      <c r="N1053" s="198"/>
      <c r="O1053" s="198"/>
      <c r="P1053" s="199"/>
      <c r="Q1053" s="200"/>
      <c r="R1053" s="200"/>
      <c r="S1053" s="200"/>
      <c r="T1053" s="200" t="str">
        <f t="shared" si="167"/>
        <v/>
      </c>
      <c r="U1053" s="200"/>
      <c r="V1053" s="201" t="str">
        <f t="shared" si="168"/>
        <v/>
      </c>
      <c r="W1053" s="202">
        <f t="shared" si="169"/>
        <v>0</v>
      </c>
      <c r="X1053" s="172"/>
    </row>
    <row r="1054" spans="1:24" x14ac:dyDescent="0.45">
      <c r="A1054" s="193">
        <v>16</v>
      </c>
      <c r="B1054" s="194" t="str">
        <f t="shared" si="165"/>
        <v/>
      </c>
      <c r="C1054" s="170" t="str">
        <f t="shared" si="166"/>
        <v/>
      </c>
      <c r="D1054" s="170"/>
      <c r="E1054" s="195"/>
      <c r="F1054" s="195"/>
      <c r="G1054" s="196"/>
      <c r="H1054" s="197"/>
      <c r="I1054" s="197" t="str">
        <f t="shared" si="170"/>
        <v/>
      </c>
      <c r="J1054" s="197" t="str">
        <f t="shared" si="171"/>
        <v/>
      </c>
      <c r="K1054" s="197"/>
      <c r="L1054" s="197"/>
      <c r="M1054" s="198"/>
      <c r="N1054" s="198"/>
      <c r="O1054" s="198"/>
      <c r="P1054" s="199"/>
      <c r="Q1054" s="200"/>
      <c r="R1054" s="200"/>
      <c r="S1054" s="200"/>
      <c r="T1054" s="200" t="str">
        <f t="shared" si="167"/>
        <v/>
      </c>
      <c r="U1054" s="200"/>
      <c r="V1054" s="201" t="str">
        <f t="shared" si="168"/>
        <v/>
      </c>
      <c r="W1054" s="202">
        <f t="shared" si="169"/>
        <v>0</v>
      </c>
      <c r="X1054" s="172"/>
    </row>
    <row r="1055" spans="1:24" x14ac:dyDescent="0.45">
      <c r="A1055" s="193">
        <v>17</v>
      </c>
      <c r="B1055" s="194" t="str">
        <f t="shared" si="165"/>
        <v/>
      </c>
      <c r="C1055" s="170" t="str">
        <f t="shared" si="166"/>
        <v/>
      </c>
      <c r="D1055" s="170"/>
      <c r="E1055" s="195"/>
      <c r="F1055" s="195"/>
      <c r="G1055" s="196"/>
      <c r="H1055" s="197"/>
      <c r="I1055" s="197" t="str">
        <f t="shared" si="170"/>
        <v/>
      </c>
      <c r="J1055" s="197" t="str">
        <f t="shared" si="171"/>
        <v/>
      </c>
      <c r="K1055" s="197"/>
      <c r="L1055" s="197"/>
      <c r="M1055" s="198"/>
      <c r="N1055" s="198"/>
      <c r="O1055" s="198"/>
      <c r="P1055" s="199"/>
      <c r="Q1055" s="200"/>
      <c r="R1055" s="200"/>
      <c r="S1055" s="200"/>
      <c r="T1055" s="200" t="str">
        <f t="shared" si="167"/>
        <v/>
      </c>
      <c r="U1055" s="200"/>
      <c r="V1055" s="201" t="str">
        <f t="shared" si="168"/>
        <v/>
      </c>
      <c r="W1055" s="202">
        <f t="shared" si="169"/>
        <v>0</v>
      </c>
      <c r="X1055" s="172"/>
    </row>
    <row r="1056" spans="1:24" x14ac:dyDescent="0.45">
      <c r="A1056" s="193">
        <v>18</v>
      </c>
      <c r="B1056" s="194" t="str">
        <f t="shared" si="165"/>
        <v/>
      </c>
      <c r="C1056" s="170" t="str">
        <f t="shared" si="166"/>
        <v/>
      </c>
      <c r="D1056" s="170"/>
      <c r="E1056" s="195"/>
      <c r="F1056" s="195"/>
      <c r="G1056" s="196"/>
      <c r="H1056" s="197"/>
      <c r="I1056" s="197" t="str">
        <f t="shared" si="170"/>
        <v/>
      </c>
      <c r="J1056" s="197" t="str">
        <f t="shared" si="171"/>
        <v/>
      </c>
      <c r="K1056" s="197"/>
      <c r="L1056" s="197"/>
      <c r="M1056" s="198"/>
      <c r="N1056" s="198"/>
      <c r="O1056" s="198"/>
      <c r="P1056" s="199"/>
      <c r="Q1056" s="200"/>
      <c r="R1056" s="200"/>
      <c r="S1056" s="200"/>
      <c r="T1056" s="200" t="str">
        <f t="shared" si="167"/>
        <v/>
      </c>
      <c r="U1056" s="200"/>
      <c r="V1056" s="201" t="str">
        <f t="shared" si="168"/>
        <v/>
      </c>
      <c r="W1056" s="202">
        <f t="shared" si="169"/>
        <v>0</v>
      </c>
      <c r="X1056" s="172"/>
    </row>
    <row r="1057" spans="1:24" x14ac:dyDescent="0.45">
      <c r="A1057" s="193">
        <v>19</v>
      </c>
      <c r="B1057" s="194" t="str">
        <f t="shared" si="165"/>
        <v/>
      </c>
      <c r="C1057" s="170" t="str">
        <f t="shared" si="166"/>
        <v/>
      </c>
      <c r="D1057" s="170"/>
      <c r="E1057" s="195"/>
      <c r="F1057" s="195"/>
      <c r="G1057" s="196"/>
      <c r="H1057" s="197"/>
      <c r="I1057" s="197" t="str">
        <f t="shared" si="170"/>
        <v/>
      </c>
      <c r="J1057" s="197" t="str">
        <f t="shared" si="171"/>
        <v/>
      </c>
      <c r="K1057" s="197"/>
      <c r="L1057" s="197"/>
      <c r="M1057" s="198"/>
      <c r="N1057" s="198"/>
      <c r="O1057" s="198"/>
      <c r="P1057" s="199"/>
      <c r="Q1057" s="200"/>
      <c r="R1057" s="200"/>
      <c r="S1057" s="200"/>
      <c r="T1057" s="200" t="str">
        <f t="shared" si="167"/>
        <v/>
      </c>
      <c r="U1057" s="200"/>
      <c r="V1057" s="201" t="str">
        <f t="shared" si="168"/>
        <v/>
      </c>
      <c r="W1057" s="202">
        <f t="shared" si="169"/>
        <v>0</v>
      </c>
      <c r="X1057" s="172"/>
    </row>
    <row r="1058" spans="1:24" x14ac:dyDescent="0.45">
      <c r="A1058" s="193">
        <v>20</v>
      </c>
      <c r="B1058" s="194" t="str">
        <f t="shared" si="165"/>
        <v/>
      </c>
      <c r="C1058" s="170" t="str">
        <f t="shared" si="166"/>
        <v/>
      </c>
      <c r="D1058" s="170"/>
      <c r="E1058" s="195"/>
      <c r="F1058" s="195"/>
      <c r="G1058" s="196"/>
      <c r="H1058" s="197"/>
      <c r="I1058" s="197" t="str">
        <f t="shared" si="170"/>
        <v/>
      </c>
      <c r="J1058" s="197" t="str">
        <f t="shared" si="171"/>
        <v/>
      </c>
      <c r="K1058" s="197"/>
      <c r="L1058" s="197"/>
      <c r="M1058" s="198"/>
      <c r="N1058" s="198"/>
      <c r="O1058" s="198"/>
      <c r="P1058" s="199"/>
      <c r="Q1058" s="200"/>
      <c r="R1058" s="200"/>
      <c r="S1058" s="200"/>
      <c r="T1058" s="200" t="str">
        <f t="shared" si="167"/>
        <v/>
      </c>
      <c r="U1058" s="200"/>
      <c r="V1058" s="201" t="str">
        <f t="shared" si="168"/>
        <v/>
      </c>
      <c r="W1058" s="202">
        <f t="shared" si="169"/>
        <v>0</v>
      </c>
      <c r="X1058" s="172"/>
    </row>
    <row r="1059" spans="1:24" x14ac:dyDescent="0.45">
      <c r="A1059" s="193">
        <v>21</v>
      </c>
      <c r="B1059" s="194" t="str">
        <f t="shared" si="165"/>
        <v/>
      </c>
      <c r="C1059" s="170" t="str">
        <f t="shared" si="166"/>
        <v/>
      </c>
      <c r="D1059" s="170"/>
      <c r="E1059" s="195"/>
      <c r="F1059" s="195"/>
      <c r="G1059" s="196"/>
      <c r="H1059" s="197"/>
      <c r="I1059" s="197" t="str">
        <f t="shared" si="170"/>
        <v/>
      </c>
      <c r="J1059" s="197" t="str">
        <f t="shared" si="171"/>
        <v/>
      </c>
      <c r="K1059" s="197"/>
      <c r="L1059" s="197"/>
      <c r="M1059" s="198"/>
      <c r="N1059" s="198"/>
      <c r="O1059" s="198"/>
      <c r="P1059" s="199"/>
      <c r="Q1059" s="200"/>
      <c r="R1059" s="200"/>
      <c r="S1059" s="200"/>
      <c r="T1059" s="200" t="str">
        <f t="shared" si="167"/>
        <v/>
      </c>
      <c r="U1059" s="200"/>
      <c r="V1059" s="201" t="str">
        <f t="shared" si="168"/>
        <v/>
      </c>
      <c r="W1059" s="202">
        <f t="shared" si="169"/>
        <v>0</v>
      </c>
      <c r="X1059" s="172"/>
    </row>
    <row r="1060" spans="1:24" x14ac:dyDescent="0.45">
      <c r="A1060" s="193">
        <v>22</v>
      </c>
      <c r="B1060" s="194" t="str">
        <f t="shared" si="165"/>
        <v/>
      </c>
      <c r="C1060" s="170" t="str">
        <f t="shared" si="166"/>
        <v/>
      </c>
      <c r="D1060" s="170"/>
      <c r="E1060" s="195"/>
      <c r="F1060" s="170"/>
      <c r="G1060" s="170"/>
      <c r="H1060" s="203"/>
      <c r="I1060" s="197" t="str">
        <f t="shared" si="170"/>
        <v/>
      </c>
      <c r="J1060" s="197" t="str">
        <f t="shared" si="171"/>
        <v/>
      </c>
      <c r="K1060" s="197"/>
      <c r="L1060" s="197"/>
      <c r="M1060" s="198"/>
      <c r="N1060" s="198"/>
      <c r="O1060" s="198"/>
      <c r="P1060" s="199"/>
      <c r="Q1060" s="200"/>
      <c r="R1060" s="200"/>
      <c r="S1060" s="200"/>
      <c r="T1060" s="200" t="str">
        <f t="shared" si="167"/>
        <v/>
      </c>
      <c r="U1060" s="200"/>
      <c r="V1060" s="201" t="str">
        <f t="shared" si="168"/>
        <v/>
      </c>
      <c r="W1060" s="202">
        <f t="shared" si="169"/>
        <v>0</v>
      </c>
      <c r="X1060" s="172"/>
    </row>
    <row r="1061" spans="1:24" x14ac:dyDescent="0.45">
      <c r="A1061" s="193">
        <v>23</v>
      </c>
      <c r="B1061" s="194" t="str">
        <f t="shared" si="165"/>
        <v/>
      </c>
      <c r="C1061" s="170" t="str">
        <f t="shared" si="166"/>
        <v/>
      </c>
      <c r="D1061" s="170"/>
      <c r="E1061" s="195"/>
      <c r="F1061" s="170"/>
      <c r="G1061" s="170"/>
      <c r="H1061" s="203"/>
      <c r="I1061" s="197" t="str">
        <f t="shared" si="170"/>
        <v/>
      </c>
      <c r="J1061" s="197" t="str">
        <f t="shared" si="171"/>
        <v/>
      </c>
      <c r="K1061" s="197"/>
      <c r="L1061" s="197"/>
      <c r="M1061" s="198"/>
      <c r="N1061" s="198"/>
      <c r="O1061" s="198"/>
      <c r="P1061" s="199"/>
      <c r="Q1061" s="200"/>
      <c r="R1061" s="200"/>
      <c r="S1061" s="200"/>
      <c r="T1061" s="200" t="str">
        <f t="shared" si="167"/>
        <v/>
      </c>
      <c r="U1061" s="200"/>
      <c r="V1061" s="201" t="str">
        <f t="shared" si="168"/>
        <v/>
      </c>
      <c r="W1061" s="202">
        <f t="shared" si="169"/>
        <v>0</v>
      </c>
      <c r="X1061" s="172"/>
    </row>
    <row r="1062" spans="1:24" x14ac:dyDescent="0.45">
      <c r="A1062" s="193">
        <v>24</v>
      </c>
      <c r="B1062" s="194" t="str">
        <f t="shared" si="165"/>
        <v/>
      </c>
      <c r="C1062" s="170" t="str">
        <f t="shared" si="166"/>
        <v/>
      </c>
      <c r="D1062" s="170"/>
      <c r="E1062" s="195"/>
      <c r="F1062" s="170"/>
      <c r="G1062" s="170"/>
      <c r="H1062" s="203"/>
      <c r="I1062" s="197" t="str">
        <f t="shared" si="170"/>
        <v/>
      </c>
      <c r="J1062" s="197" t="str">
        <f t="shared" si="171"/>
        <v/>
      </c>
      <c r="K1062" s="197"/>
      <c r="L1062" s="197"/>
      <c r="M1062" s="198"/>
      <c r="N1062" s="198"/>
      <c r="O1062" s="198"/>
      <c r="P1062" s="199"/>
      <c r="Q1062" s="200"/>
      <c r="R1062" s="200"/>
      <c r="S1062" s="200"/>
      <c r="T1062" s="200" t="str">
        <f t="shared" si="167"/>
        <v/>
      </c>
      <c r="U1062" s="200"/>
      <c r="V1062" s="201" t="str">
        <f t="shared" si="168"/>
        <v/>
      </c>
      <c r="W1062" s="202">
        <f t="shared" si="169"/>
        <v>0</v>
      </c>
      <c r="X1062" s="172"/>
    </row>
    <row r="1063" spans="1:24" x14ac:dyDescent="0.45">
      <c r="A1063" s="193">
        <v>25</v>
      </c>
      <c r="B1063" s="194" t="str">
        <f t="shared" si="165"/>
        <v/>
      </c>
      <c r="C1063" s="170" t="str">
        <f t="shared" si="166"/>
        <v/>
      </c>
      <c r="D1063" s="170"/>
      <c r="E1063" s="195"/>
      <c r="F1063" s="170"/>
      <c r="G1063" s="170"/>
      <c r="H1063" s="203"/>
      <c r="I1063" s="197" t="str">
        <f t="shared" si="170"/>
        <v/>
      </c>
      <c r="J1063" s="197" t="str">
        <f t="shared" si="171"/>
        <v/>
      </c>
      <c r="K1063" s="197"/>
      <c r="L1063" s="197"/>
      <c r="M1063" s="198"/>
      <c r="N1063" s="198"/>
      <c r="O1063" s="198"/>
      <c r="P1063" s="199"/>
      <c r="Q1063" s="200"/>
      <c r="R1063" s="200"/>
      <c r="S1063" s="200"/>
      <c r="T1063" s="200" t="str">
        <f t="shared" si="167"/>
        <v/>
      </c>
      <c r="U1063" s="200"/>
      <c r="V1063" s="201" t="str">
        <f t="shared" si="168"/>
        <v/>
      </c>
      <c r="W1063" s="202">
        <f t="shared" si="169"/>
        <v>0</v>
      </c>
      <c r="X1063" s="172"/>
    </row>
    <row r="1064" spans="1:24" x14ac:dyDescent="0.45">
      <c r="A1064" s="193">
        <v>26</v>
      </c>
      <c r="B1064" s="194" t="str">
        <f t="shared" si="165"/>
        <v/>
      </c>
      <c r="C1064" s="170" t="str">
        <f t="shared" si="166"/>
        <v/>
      </c>
      <c r="D1064" s="170"/>
      <c r="E1064" s="195"/>
      <c r="F1064" s="170"/>
      <c r="G1064" s="170"/>
      <c r="H1064" s="203"/>
      <c r="I1064" s="197" t="str">
        <f t="shared" si="170"/>
        <v/>
      </c>
      <c r="J1064" s="197" t="str">
        <f t="shared" si="171"/>
        <v/>
      </c>
      <c r="K1064" s="197"/>
      <c r="L1064" s="197"/>
      <c r="M1064" s="198"/>
      <c r="N1064" s="198"/>
      <c r="O1064" s="198"/>
      <c r="P1064" s="199"/>
      <c r="Q1064" s="200"/>
      <c r="R1064" s="200"/>
      <c r="S1064" s="200"/>
      <c r="T1064" s="200" t="str">
        <f t="shared" si="167"/>
        <v/>
      </c>
      <c r="U1064" s="200"/>
      <c r="V1064" s="201" t="str">
        <f t="shared" si="168"/>
        <v/>
      </c>
      <c r="W1064" s="202">
        <f t="shared" si="169"/>
        <v>0</v>
      </c>
      <c r="X1064" s="172"/>
    </row>
    <row r="1065" spans="1:24" x14ac:dyDescent="0.45">
      <c r="A1065" s="193">
        <v>27</v>
      </c>
      <c r="B1065" s="194" t="str">
        <f t="shared" si="165"/>
        <v/>
      </c>
      <c r="C1065" s="170" t="str">
        <f t="shared" si="166"/>
        <v/>
      </c>
      <c r="D1065" s="170"/>
      <c r="E1065" s="195"/>
      <c r="F1065" s="170"/>
      <c r="G1065" s="170"/>
      <c r="H1065" s="203"/>
      <c r="I1065" s="197" t="str">
        <f t="shared" si="170"/>
        <v/>
      </c>
      <c r="J1065" s="197" t="str">
        <f t="shared" si="171"/>
        <v/>
      </c>
      <c r="K1065" s="197"/>
      <c r="L1065" s="197"/>
      <c r="M1065" s="198"/>
      <c r="N1065" s="198"/>
      <c r="O1065" s="198"/>
      <c r="P1065" s="199"/>
      <c r="Q1065" s="200"/>
      <c r="R1065" s="200"/>
      <c r="S1065" s="200"/>
      <c r="T1065" s="200" t="str">
        <f t="shared" si="167"/>
        <v/>
      </c>
      <c r="U1065" s="200"/>
      <c r="V1065" s="201" t="str">
        <f t="shared" si="168"/>
        <v/>
      </c>
      <c r="W1065" s="202">
        <f t="shared" si="169"/>
        <v>0</v>
      </c>
      <c r="X1065" s="172"/>
    </row>
    <row r="1066" spans="1:24" x14ac:dyDescent="0.45">
      <c r="A1066" s="193">
        <v>28</v>
      </c>
      <c r="B1066" s="194" t="str">
        <f t="shared" si="165"/>
        <v/>
      </c>
      <c r="C1066" s="170" t="str">
        <f t="shared" si="166"/>
        <v/>
      </c>
      <c r="D1066" s="170"/>
      <c r="E1066" s="195"/>
      <c r="F1066" s="170"/>
      <c r="G1066" s="170"/>
      <c r="H1066" s="203"/>
      <c r="I1066" s="197" t="str">
        <f t="shared" si="170"/>
        <v/>
      </c>
      <c r="J1066" s="197" t="str">
        <f t="shared" si="171"/>
        <v/>
      </c>
      <c r="K1066" s="197"/>
      <c r="L1066" s="197"/>
      <c r="M1066" s="198"/>
      <c r="N1066" s="198"/>
      <c r="O1066" s="198"/>
      <c r="P1066" s="199"/>
      <c r="Q1066" s="200"/>
      <c r="R1066" s="200"/>
      <c r="S1066" s="200"/>
      <c r="T1066" s="200" t="str">
        <f t="shared" si="167"/>
        <v/>
      </c>
      <c r="U1066" s="200"/>
      <c r="V1066" s="201" t="str">
        <f t="shared" si="168"/>
        <v/>
      </c>
      <c r="W1066" s="202">
        <f t="shared" si="169"/>
        <v>0</v>
      </c>
      <c r="X1066" s="172"/>
    </row>
    <row r="1067" spans="1:24" x14ac:dyDescent="0.45">
      <c r="A1067" s="193">
        <v>29</v>
      </c>
      <c r="B1067" s="194" t="str">
        <f t="shared" si="165"/>
        <v/>
      </c>
      <c r="C1067" s="170" t="str">
        <f t="shared" si="166"/>
        <v/>
      </c>
      <c r="D1067" s="170"/>
      <c r="E1067" s="195"/>
      <c r="F1067" s="170"/>
      <c r="G1067" s="170"/>
      <c r="H1067" s="203"/>
      <c r="I1067" s="197" t="str">
        <f t="shared" si="170"/>
        <v/>
      </c>
      <c r="J1067" s="197" t="str">
        <f t="shared" si="171"/>
        <v/>
      </c>
      <c r="K1067" s="197"/>
      <c r="L1067" s="197"/>
      <c r="M1067" s="198"/>
      <c r="N1067" s="198"/>
      <c r="O1067" s="198"/>
      <c r="P1067" s="199"/>
      <c r="Q1067" s="200"/>
      <c r="R1067" s="200"/>
      <c r="S1067" s="200"/>
      <c r="T1067" s="200" t="str">
        <f t="shared" si="167"/>
        <v/>
      </c>
      <c r="U1067" s="200"/>
      <c r="V1067" s="201" t="str">
        <f t="shared" si="168"/>
        <v/>
      </c>
      <c r="W1067" s="202">
        <f t="shared" si="169"/>
        <v>0</v>
      </c>
      <c r="X1067" s="172"/>
    </row>
    <row r="1068" spans="1:24" x14ac:dyDescent="0.45">
      <c r="A1068" s="193">
        <v>30</v>
      </c>
      <c r="B1068" s="194" t="str">
        <f t="shared" si="165"/>
        <v/>
      </c>
      <c r="C1068" s="170" t="str">
        <f t="shared" si="166"/>
        <v/>
      </c>
      <c r="D1068" s="170"/>
      <c r="E1068" s="195"/>
      <c r="F1068" s="170"/>
      <c r="G1068" s="170"/>
      <c r="H1068" s="203"/>
      <c r="I1068" s="197" t="str">
        <f t="shared" si="170"/>
        <v/>
      </c>
      <c r="J1068" s="197" t="str">
        <f t="shared" si="171"/>
        <v/>
      </c>
      <c r="K1068" s="197"/>
      <c r="L1068" s="197"/>
      <c r="M1068" s="198"/>
      <c r="N1068" s="198"/>
      <c r="O1068" s="198"/>
      <c r="P1068" s="199"/>
      <c r="Q1068" s="200"/>
      <c r="R1068" s="200"/>
      <c r="S1068" s="200"/>
      <c r="T1068" s="200" t="str">
        <f t="shared" si="167"/>
        <v/>
      </c>
      <c r="U1068" s="200"/>
      <c r="V1068" s="201" t="str">
        <f t="shared" si="168"/>
        <v/>
      </c>
      <c r="W1068" s="202">
        <f t="shared" si="169"/>
        <v>0</v>
      </c>
      <c r="X1068" s="172"/>
    </row>
    <row r="1069" spans="1:24" x14ac:dyDescent="0.45">
      <c r="A1069" s="193">
        <v>31</v>
      </c>
      <c r="B1069" s="194" t="str">
        <f t="shared" si="165"/>
        <v/>
      </c>
      <c r="C1069" s="170" t="str">
        <f t="shared" si="166"/>
        <v/>
      </c>
      <c r="D1069" s="170"/>
      <c r="E1069" s="195"/>
      <c r="F1069" s="170"/>
      <c r="G1069" s="170"/>
      <c r="H1069" s="203"/>
      <c r="I1069" s="197" t="str">
        <f t="shared" si="170"/>
        <v/>
      </c>
      <c r="J1069" s="197" t="str">
        <f t="shared" si="171"/>
        <v/>
      </c>
      <c r="K1069" s="197"/>
      <c r="L1069" s="197"/>
      <c r="M1069" s="198"/>
      <c r="N1069" s="198"/>
      <c r="O1069" s="198"/>
      <c r="P1069" s="199"/>
      <c r="Q1069" s="200"/>
      <c r="R1069" s="200"/>
      <c r="S1069" s="200"/>
      <c r="T1069" s="200" t="str">
        <f t="shared" si="167"/>
        <v/>
      </c>
      <c r="U1069" s="200"/>
      <c r="V1069" s="201" t="str">
        <f t="shared" si="168"/>
        <v/>
      </c>
      <c r="W1069" s="202">
        <f t="shared" si="169"/>
        <v>0</v>
      </c>
      <c r="X1069" s="172"/>
    </row>
    <row r="1070" spans="1:24" x14ac:dyDescent="0.45">
      <c r="A1070" s="193">
        <v>32</v>
      </c>
      <c r="B1070" s="194" t="str">
        <f t="shared" si="165"/>
        <v/>
      </c>
      <c r="C1070" s="170" t="str">
        <f t="shared" si="166"/>
        <v/>
      </c>
      <c r="D1070" s="170"/>
      <c r="E1070" s="195"/>
      <c r="F1070" s="170"/>
      <c r="G1070" s="170"/>
      <c r="H1070" s="203"/>
      <c r="I1070" s="197" t="str">
        <f t="shared" si="170"/>
        <v/>
      </c>
      <c r="J1070" s="197" t="str">
        <f t="shared" si="171"/>
        <v/>
      </c>
      <c r="K1070" s="197"/>
      <c r="L1070" s="197"/>
      <c r="M1070" s="198"/>
      <c r="N1070" s="198"/>
      <c r="O1070" s="198"/>
      <c r="P1070" s="199"/>
      <c r="Q1070" s="200"/>
      <c r="R1070" s="200"/>
      <c r="S1070" s="200"/>
      <c r="T1070" s="200" t="str">
        <f t="shared" si="167"/>
        <v/>
      </c>
      <c r="U1070" s="200"/>
      <c r="V1070" s="201" t="str">
        <f t="shared" si="168"/>
        <v/>
      </c>
      <c r="W1070" s="202">
        <f t="shared" si="169"/>
        <v>0</v>
      </c>
      <c r="X1070" s="172"/>
    </row>
    <row r="1071" spans="1:24" x14ac:dyDescent="0.45">
      <c r="A1071" s="193">
        <v>33</v>
      </c>
      <c r="B1071" s="194" t="str">
        <f t="shared" ref="B1071:B1104" si="172">IF(OR($C$1019="",U1071=""),"",LEFT($C$1019,FIND("_",$C$1019)-1))</f>
        <v/>
      </c>
      <c r="C1071" s="170" t="str">
        <f t="shared" ref="C1071:C1104" si="173">IF(OR($C$1019="",U1071=""),"",$B$1019)</f>
        <v/>
      </c>
      <c r="D1071" s="170"/>
      <c r="E1071" s="195"/>
      <c r="F1071" s="170"/>
      <c r="G1071" s="170"/>
      <c r="H1071" s="203"/>
      <c r="I1071" s="197" t="str">
        <f t="shared" si="170"/>
        <v/>
      </c>
      <c r="J1071" s="197" t="str">
        <f t="shared" si="171"/>
        <v/>
      </c>
      <c r="K1071" s="197"/>
      <c r="L1071" s="197"/>
      <c r="M1071" s="198"/>
      <c r="N1071" s="198"/>
      <c r="O1071" s="198"/>
      <c r="P1071" s="199"/>
      <c r="Q1071" s="200"/>
      <c r="R1071" s="200"/>
      <c r="S1071" s="200"/>
      <c r="T1071" s="200" t="str">
        <f t="shared" ref="T1071:T1104" si="174">IF(K1071="","",((K1071*20)+L1071)-((I1071*20)+J1071))</f>
        <v/>
      </c>
      <c r="U1071" s="200"/>
      <c r="V1071" s="201" t="str">
        <f t="shared" ref="V1071:V1102" si="175">IF(U1071="","",$V$1019)</f>
        <v/>
      </c>
      <c r="W1071" s="202">
        <f t="shared" ref="W1071:W1104" si="176">IF(OR(T1071="",U1071=""),0,T1071*U1071)</f>
        <v>0</v>
      </c>
      <c r="X1071" s="172"/>
    </row>
    <row r="1072" spans="1:24" x14ac:dyDescent="0.45">
      <c r="A1072" s="193">
        <v>34</v>
      </c>
      <c r="B1072" s="194" t="str">
        <f t="shared" si="172"/>
        <v/>
      </c>
      <c r="C1072" s="170" t="str">
        <f t="shared" si="173"/>
        <v/>
      </c>
      <c r="D1072" s="170"/>
      <c r="E1072" s="195"/>
      <c r="F1072" s="170"/>
      <c r="G1072" s="170"/>
      <c r="H1072" s="203"/>
      <c r="I1072" s="197" t="str">
        <f t="shared" ref="I1072:I1104" si="177">IF(K1071="","",K1071)</f>
        <v/>
      </c>
      <c r="J1072" s="197" t="str">
        <f t="shared" ref="J1072:J1104" si="178">IF(L1071="","",L1071)</f>
        <v/>
      </c>
      <c r="K1072" s="197"/>
      <c r="L1072" s="197"/>
      <c r="M1072" s="198"/>
      <c r="N1072" s="198"/>
      <c r="O1072" s="198"/>
      <c r="P1072" s="199"/>
      <c r="Q1072" s="200"/>
      <c r="R1072" s="200"/>
      <c r="S1072" s="200"/>
      <c r="T1072" s="200" t="str">
        <f t="shared" si="174"/>
        <v/>
      </c>
      <c r="U1072" s="200"/>
      <c r="V1072" s="201" t="str">
        <f t="shared" si="175"/>
        <v/>
      </c>
      <c r="W1072" s="202">
        <f t="shared" si="176"/>
        <v>0</v>
      </c>
      <c r="X1072" s="172"/>
    </row>
    <row r="1073" spans="1:24" x14ac:dyDescent="0.45">
      <c r="A1073" s="193">
        <v>35</v>
      </c>
      <c r="B1073" s="194" t="str">
        <f t="shared" si="172"/>
        <v/>
      </c>
      <c r="C1073" s="170" t="str">
        <f t="shared" si="173"/>
        <v/>
      </c>
      <c r="D1073" s="170"/>
      <c r="E1073" s="195"/>
      <c r="F1073" s="170"/>
      <c r="G1073" s="170"/>
      <c r="H1073" s="203"/>
      <c r="I1073" s="197" t="str">
        <f t="shared" si="177"/>
        <v/>
      </c>
      <c r="J1073" s="197" t="str">
        <f t="shared" si="178"/>
        <v/>
      </c>
      <c r="K1073" s="197"/>
      <c r="L1073" s="197"/>
      <c r="M1073" s="198"/>
      <c r="N1073" s="198"/>
      <c r="O1073" s="198"/>
      <c r="P1073" s="199"/>
      <c r="Q1073" s="200"/>
      <c r="R1073" s="200"/>
      <c r="S1073" s="200"/>
      <c r="T1073" s="200" t="str">
        <f t="shared" si="174"/>
        <v/>
      </c>
      <c r="U1073" s="200"/>
      <c r="V1073" s="201" t="str">
        <f t="shared" si="175"/>
        <v/>
      </c>
      <c r="W1073" s="202">
        <f t="shared" si="176"/>
        <v>0</v>
      </c>
      <c r="X1073" s="172"/>
    </row>
    <row r="1074" spans="1:24" x14ac:dyDescent="0.45">
      <c r="A1074" s="193">
        <v>36</v>
      </c>
      <c r="B1074" s="194" t="str">
        <f t="shared" si="172"/>
        <v/>
      </c>
      <c r="C1074" s="170" t="str">
        <f t="shared" si="173"/>
        <v/>
      </c>
      <c r="D1074" s="170"/>
      <c r="E1074" s="195"/>
      <c r="F1074" s="170"/>
      <c r="G1074" s="170"/>
      <c r="H1074" s="203"/>
      <c r="I1074" s="197" t="str">
        <f t="shared" si="177"/>
        <v/>
      </c>
      <c r="J1074" s="197" t="str">
        <f t="shared" si="178"/>
        <v/>
      </c>
      <c r="K1074" s="197"/>
      <c r="L1074" s="197"/>
      <c r="M1074" s="198"/>
      <c r="N1074" s="198"/>
      <c r="O1074" s="198"/>
      <c r="P1074" s="199"/>
      <c r="Q1074" s="200"/>
      <c r="R1074" s="200"/>
      <c r="S1074" s="200"/>
      <c r="T1074" s="200" t="str">
        <f t="shared" si="174"/>
        <v/>
      </c>
      <c r="U1074" s="200"/>
      <c r="V1074" s="201" t="str">
        <f t="shared" si="175"/>
        <v/>
      </c>
      <c r="W1074" s="202">
        <f t="shared" si="176"/>
        <v>0</v>
      </c>
      <c r="X1074" s="172"/>
    </row>
    <row r="1075" spans="1:24" x14ac:dyDescent="0.45">
      <c r="A1075" s="193">
        <v>37</v>
      </c>
      <c r="B1075" s="194" t="str">
        <f t="shared" si="172"/>
        <v/>
      </c>
      <c r="C1075" s="170" t="str">
        <f t="shared" si="173"/>
        <v/>
      </c>
      <c r="D1075" s="170"/>
      <c r="E1075" s="195"/>
      <c r="F1075" s="170"/>
      <c r="G1075" s="170"/>
      <c r="H1075" s="203"/>
      <c r="I1075" s="197" t="str">
        <f t="shared" si="177"/>
        <v/>
      </c>
      <c r="J1075" s="197" t="str">
        <f t="shared" si="178"/>
        <v/>
      </c>
      <c r="K1075" s="197"/>
      <c r="L1075" s="197"/>
      <c r="M1075" s="198"/>
      <c r="N1075" s="198"/>
      <c r="O1075" s="198"/>
      <c r="P1075" s="199"/>
      <c r="Q1075" s="200"/>
      <c r="R1075" s="200"/>
      <c r="S1075" s="200"/>
      <c r="T1075" s="200" t="str">
        <f t="shared" si="174"/>
        <v/>
      </c>
      <c r="U1075" s="200"/>
      <c r="V1075" s="201" t="str">
        <f t="shared" si="175"/>
        <v/>
      </c>
      <c r="W1075" s="202">
        <f t="shared" si="176"/>
        <v>0</v>
      </c>
      <c r="X1075" s="172"/>
    </row>
    <row r="1076" spans="1:24" x14ac:dyDescent="0.45">
      <c r="A1076" s="193">
        <v>38</v>
      </c>
      <c r="B1076" s="194" t="str">
        <f t="shared" si="172"/>
        <v/>
      </c>
      <c r="C1076" s="170" t="str">
        <f t="shared" si="173"/>
        <v/>
      </c>
      <c r="D1076" s="170"/>
      <c r="E1076" s="195"/>
      <c r="F1076" s="170"/>
      <c r="G1076" s="170"/>
      <c r="H1076" s="203"/>
      <c r="I1076" s="197" t="str">
        <f t="shared" si="177"/>
        <v/>
      </c>
      <c r="J1076" s="197" t="str">
        <f t="shared" si="178"/>
        <v/>
      </c>
      <c r="K1076" s="197"/>
      <c r="L1076" s="197"/>
      <c r="M1076" s="198"/>
      <c r="N1076" s="198"/>
      <c r="O1076" s="198"/>
      <c r="P1076" s="199"/>
      <c r="Q1076" s="200"/>
      <c r="R1076" s="200"/>
      <c r="S1076" s="200"/>
      <c r="T1076" s="200" t="str">
        <f t="shared" si="174"/>
        <v/>
      </c>
      <c r="U1076" s="200"/>
      <c r="V1076" s="201" t="str">
        <f t="shared" si="175"/>
        <v/>
      </c>
      <c r="W1076" s="202">
        <f t="shared" si="176"/>
        <v>0</v>
      </c>
      <c r="X1076" s="172"/>
    </row>
    <row r="1077" spans="1:24" x14ac:dyDescent="0.45">
      <c r="A1077" s="193">
        <v>39</v>
      </c>
      <c r="B1077" s="194" t="str">
        <f t="shared" si="172"/>
        <v/>
      </c>
      <c r="C1077" s="170" t="str">
        <f t="shared" si="173"/>
        <v/>
      </c>
      <c r="D1077" s="170"/>
      <c r="E1077" s="195"/>
      <c r="F1077" s="170"/>
      <c r="G1077" s="170"/>
      <c r="H1077" s="203"/>
      <c r="I1077" s="197" t="str">
        <f t="shared" si="177"/>
        <v/>
      </c>
      <c r="J1077" s="197" t="str">
        <f t="shared" si="178"/>
        <v/>
      </c>
      <c r="K1077" s="197"/>
      <c r="L1077" s="197"/>
      <c r="M1077" s="198"/>
      <c r="N1077" s="198"/>
      <c r="O1077" s="198"/>
      <c r="P1077" s="199"/>
      <c r="Q1077" s="200"/>
      <c r="R1077" s="200"/>
      <c r="S1077" s="200"/>
      <c r="T1077" s="200" t="str">
        <f t="shared" si="174"/>
        <v/>
      </c>
      <c r="U1077" s="200"/>
      <c r="V1077" s="201" t="str">
        <f t="shared" si="175"/>
        <v/>
      </c>
      <c r="W1077" s="202">
        <f t="shared" si="176"/>
        <v>0</v>
      </c>
      <c r="X1077" s="172"/>
    </row>
    <row r="1078" spans="1:24" x14ac:dyDescent="0.45">
      <c r="A1078" s="193">
        <v>40</v>
      </c>
      <c r="B1078" s="194" t="str">
        <f t="shared" si="172"/>
        <v/>
      </c>
      <c r="C1078" s="170" t="str">
        <f t="shared" si="173"/>
        <v/>
      </c>
      <c r="D1078" s="170"/>
      <c r="E1078" s="195"/>
      <c r="F1078" s="170"/>
      <c r="G1078" s="170"/>
      <c r="H1078" s="203"/>
      <c r="I1078" s="197" t="str">
        <f t="shared" si="177"/>
        <v/>
      </c>
      <c r="J1078" s="197" t="str">
        <f t="shared" si="178"/>
        <v/>
      </c>
      <c r="K1078" s="197"/>
      <c r="L1078" s="197"/>
      <c r="M1078" s="198"/>
      <c r="N1078" s="198"/>
      <c r="O1078" s="198"/>
      <c r="P1078" s="199"/>
      <c r="Q1078" s="200"/>
      <c r="R1078" s="200"/>
      <c r="S1078" s="200"/>
      <c r="T1078" s="200" t="str">
        <f t="shared" si="174"/>
        <v/>
      </c>
      <c r="U1078" s="200"/>
      <c r="V1078" s="201" t="str">
        <f t="shared" si="175"/>
        <v/>
      </c>
      <c r="W1078" s="202">
        <f t="shared" si="176"/>
        <v>0</v>
      </c>
      <c r="X1078" s="172"/>
    </row>
    <row r="1079" spans="1:24" x14ac:dyDescent="0.45">
      <c r="A1079" s="193">
        <v>41</v>
      </c>
      <c r="B1079" s="194" t="str">
        <f t="shared" si="172"/>
        <v/>
      </c>
      <c r="C1079" s="170" t="str">
        <f t="shared" si="173"/>
        <v/>
      </c>
      <c r="D1079" s="170"/>
      <c r="E1079" s="195"/>
      <c r="F1079" s="170"/>
      <c r="G1079" s="170"/>
      <c r="H1079" s="203"/>
      <c r="I1079" s="197" t="str">
        <f t="shared" si="177"/>
        <v/>
      </c>
      <c r="J1079" s="197" t="str">
        <f t="shared" si="178"/>
        <v/>
      </c>
      <c r="K1079" s="197"/>
      <c r="L1079" s="197"/>
      <c r="M1079" s="198"/>
      <c r="N1079" s="198"/>
      <c r="O1079" s="198"/>
      <c r="P1079" s="199"/>
      <c r="Q1079" s="200"/>
      <c r="R1079" s="200"/>
      <c r="S1079" s="200"/>
      <c r="T1079" s="200" t="str">
        <f t="shared" si="174"/>
        <v/>
      </c>
      <c r="U1079" s="200"/>
      <c r="V1079" s="201" t="str">
        <f t="shared" si="175"/>
        <v/>
      </c>
      <c r="W1079" s="202">
        <f t="shared" si="176"/>
        <v>0</v>
      </c>
      <c r="X1079" s="172"/>
    </row>
    <row r="1080" spans="1:24" x14ac:dyDescent="0.45">
      <c r="A1080" s="193">
        <v>42</v>
      </c>
      <c r="B1080" s="194" t="str">
        <f t="shared" si="172"/>
        <v/>
      </c>
      <c r="C1080" s="170" t="str">
        <f t="shared" si="173"/>
        <v/>
      </c>
      <c r="D1080" s="170"/>
      <c r="E1080" s="195"/>
      <c r="F1080" s="170"/>
      <c r="G1080" s="170"/>
      <c r="H1080" s="203"/>
      <c r="I1080" s="197" t="str">
        <f t="shared" si="177"/>
        <v/>
      </c>
      <c r="J1080" s="197" t="str">
        <f t="shared" si="178"/>
        <v/>
      </c>
      <c r="K1080" s="197"/>
      <c r="L1080" s="197"/>
      <c r="M1080" s="198"/>
      <c r="N1080" s="198"/>
      <c r="O1080" s="198"/>
      <c r="P1080" s="199"/>
      <c r="Q1080" s="200"/>
      <c r="R1080" s="200"/>
      <c r="S1080" s="200"/>
      <c r="T1080" s="200" t="str">
        <f t="shared" si="174"/>
        <v/>
      </c>
      <c r="U1080" s="200"/>
      <c r="V1080" s="201" t="str">
        <f t="shared" si="175"/>
        <v/>
      </c>
      <c r="W1080" s="202">
        <f t="shared" si="176"/>
        <v>0</v>
      </c>
      <c r="X1080" s="172"/>
    </row>
    <row r="1081" spans="1:24" x14ac:dyDescent="0.45">
      <c r="A1081" s="193">
        <v>43</v>
      </c>
      <c r="B1081" s="194" t="str">
        <f t="shared" si="172"/>
        <v/>
      </c>
      <c r="C1081" s="170" t="str">
        <f t="shared" si="173"/>
        <v/>
      </c>
      <c r="D1081" s="170"/>
      <c r="E1081" s="195"/>
      <c r="F1081" s="170"/>
      <c r="G1081" s="170"/>
      <c r="H1081" s="203"/>
      <c r="I1081" s="197" t="str">
        <f t="shared" si="177"/>
        <v/>
      </c>
      <c r="J1081" s="197" t="str">
        <f t="shared" si="178"/>
        <v/>
      </c>
      <c r="K1081" s="197"/>
      <c r="L1081" s="197"/>
      <c r="M1081" s="198"/>
      <c r="N1081" s="198"/>
      <c r="O1081" s="198"/>
      <c r="P1081" s="199"/>
      <c r="Q1081" s="200"/>
      <c r="R1081" s="200"/>
      <c r="S1081" s="200"/>
      <c r="T1081" s="200" t="str">
        <f t="shared" si="174"/>
        <v/>
      </c>
      <c r="U1081" s="200"/>
      <c r="V1081" s="201" t="str">
        <f t="shared" si="175"/>
        <v/>
      </c>
      <c r="W1081" s="202">
        <f t="shared" si="176"/>
        <v>0</v>
      </c>
      <c r="X1081" s="172"/>
    </row>
    <row r="1082" spans="1:24" x14ac:dyDescent="0.45">
      <c r="A1082" s="193">
        <v>44</v>
      </c>
      <c r="B1082" s="194" t="str">
        <f t="shared" si="172"/>
        <v/>
      </c>
      <c r="C1082" s="170" t="str">
        <f t="shared" si="173"/>
        <v/>
      </c>
      <c r="D1082" s="170"/>
      <c r="E1082" s="195"/>
      <c r="F1082" s="170"/>
      <c r="G1082" s="170"/>
      <c r="H1082" s="203"/>
      <c r="I1082" s="197" t="str">
        <f t="shared" si="177"/>
        <v/>
      </c>
      <c r="J1082" s="197" t="str">
        <f t="shared" si="178"/>
        <v/>
      </c>
      <c r="K1082" s="197"/>
      <c r="L1082" s="197"/>
      <c r="M1082" s="198"/>
      <c r="N1082" s="198"/>
      <c r="O1082" s="198"/>
      <c r="P1082" s="199"/>
      <c r="Q1082" s="200"/>
      <c r="R1082" s="200"/>
      <c r="S1082" s="200"/>
      <c r="T1082" s="200" t="str">
        <f t="shared" si="174"/>
        <v/>
      </c>
      <c r="U1082" s="200"/>
      <c r="V1082" s="201" t="str">
        <f t="shared" si="175"/>
        <v/>
      </c>
      <c r="W1082" s="202">
        <f t="shared" si="176"/>
        <v>0</v>
      </c>
      <c r="X1082" s="172"/>
    </row>
    <row r="1083" spans="1:24" x14ac:dyDescent="0.45">
      <c r="A1083" s="193">
        <v>45</v>
      </c>
      <c r="B1083" s="194" t="str">
        <f t="shared" si="172"/>
        <v/>
      </c>
      <c r="C1083" s="170" t="str">
        <f t="shared" si="173"/>
        <v/>
      </c>
      <c r="D1083" s="170"/>
      <c r="E1083" s="195"/>
      <c r="F1083" s="170"/>
      <c r="G1083" s="170"/>
      <c r="H1083" s="203"/>
      <c r="I1083" s="197" t="str">
        <f t="shared" si="177"/>
        <v/>
      </c>
      <c r="J1083" s="197" t="str">
        <f t="shared" si="178"/>
        <v/>
      </c>
      <c r="K1083" s="197"/>
      <c r="L1083" s="197"/>
      <c r="M1083" s="198"/>
      <c r="N1083" s="198"/>
      <c r="O1083" s="198"/>
      <c r="P1083" s="199"/>
      <c r="Q1083" s="200"/>
      <c r="R1083" s="200"/>
      <c r="S1083" s="200"/>
      <c r="T1083" s="200" t="str">
        <f t="shared" si="174"/>
        <v/>
      </c>
      <c r="U1083" s="200"/>
      <c r="V1083" s="201" t="str">
        <f t="shared" si="175"/>
        <v/>
      </c>
      <c r="W1083" s="202">
        <f t="shared" si="176"/>
        <v>0</v>
      </c>
      <c r="X1083" s="172"/>
    </row>
    <row r="1084" spans="1:24" x14ac:dyDescent="0.45">
      <c r="A1084" s="193">
        <v>46</v>
      </c>
      <c r="B1084" s="194" t="str">
        <f t="shared" si="172"/>
        <v/>
      </c>
      <c r="C1084" s="170" t="str">
        <f t="shared" si="173"/>
        <v/>
      </c>
      <c r="D1084" s="170"/>
      <c r="E1084" s="195"/>
      <c r="F1084" s="170"/>
      <c r="G1084" s="170"/>
      <c r="H1084" s="203"/>
      <c r="I1084" s="197" t="str">
        <f t="shared" si="177"/>
        <v/>
      </c>
      <c r="J1084" s="197" t="str">
        <f t="shared" si="178"/>
        <v/>
      </c>
      <c r="K1084" s="197"/>
      <c r="L1084" s="197"/>
      <c r="M1084" s="198"/>
      <c r="N1084" s="198"/>
      <c r="O1084" s="198"/>
      <c r="P1084" s="199"/>
      <c r="Q1084" s="200"/>
      <c r="R1084" s="200"/>
      <c r="S1084" s="200"/>
      <c r="T1084" s="200" t="str">
        <f t="shared" si="174"/>
        <v/>
      </c>
      <c r="U1084" s="200"/>
      <c r="V1084" s="201" t="str">
        <f t="shared" si="175"/>
        <v/>
      </c>
      <c r="W1084" s="202">
        <f t="shared" si="176"/>
        <v>0</v>
      </c>
      <c r="X1084" s="172"/>
    </row>
    <row r="1085" spans="1:24" x14ac:dyDescent="0.45">
      <c r="A1085" s="193">
        <v>47</v>
      </c>
      <c r="B1085" s="194" t="str">
        <f t="shared" si="172"/>
        <v/>
      </c>
      <c r="C1085" s="170" t="str">
        <f t="shared" si="173"/>
        <v/>
      </c>
      <c r="D1085" s="170"/>
      <c r="E1085" s="195"/>
      <c r="F1085" s="170"/>
      <c r="G1085" s="170"/>
      <c r="H1085" s="203"/>
      <c r="I1085" s="197" t="str">
        <f t="shared" si="177"/>
        <v/>
      </c>
      <c r="J1085" s="197" t="str">
        <f t="shared" si="178"/>
        <v/>
      </c>
      <c r="K1085" s="197"/>
      <c r="L1085" s="197"/>
      <c r="M1085" s="198"/>
      <c r="N1085" s="198"/>
      <c r="O1085" s="198"/>
      <c r="P1085" s="199"/>
      <c r="Q1085" s="200"/>
      <c r="R1085" s="200"/>
      <c r="S1085" s="200"/>
      <c r="T1085" s="200" t="str">
        <f t="shared" si="174"/>
        <v/>
      </c>
      <c r="U1085" s="200"/>
      <c r="V1085" s="201" t="str">
        <f t="shared" si="175"/>
        <v/>
      </c>
      <c r="W1085" s="202">
        <f t="shared" si="176"/>
        <v>0</v>
      </c>
      <c r="X1085" s="172"/>
    </row>
    <row r="1086" spans="1:24" x14ac:dyDescent="0.45">
      <c r="A1086" s="193">
        <v>48</v>
      </c>
      <c r="B1086" s="194" t="str">
        <f t="shared" si="172"/>
        <v/>
      </c>
      <c r="C1086" s="170" t="str">
        <f t="shared" si="173"/>
        <v/>
      </c>
      <c r="D1086" s="170"/>
      <c r="E1086" s="195"/>
      <c r="F1086" s="170"/>
      <c r="G1086" s="170"/>
      <c r="H1086" s="203"/>
      <c r="I1086" s="197" t="str">
        <f t="shared" si="177"/>
        <v/>
      </c>
      <c r="J1086" s="197" t="str">
        <f t="shared" si="178"/>
        <v/>
      </c>
      <c r="K1086" s="197"/>
      <c r="L1086" s="197"/>
      <c r="M1086" s="198"/>
      <c r="N1086" s="198"/>
      <c r="O1086" s="198"/>
      <c r="P1086" s="199"/>
      <c r="Q1086" s="200"/>
      <c r="R1086" s="200"/>
      <c r="S1086" s="200"/>
      <c r="T1086" s="200" t="str">
        <f t="shared" si="174"/>
        <v/>
      </c>
      <c r="U1086" s="200"/>
      <c r="V1086" s="201" t="str">
        <f t="shared" si="175"/>
        <v/>
      </c>
      <c r="W1086" s="202">
        <f t="shared" si="176"/>
        <v>0</v>
      </c>
      <c r="X1086" s="172"/>
    </row>
    <row r="1087" spans="1:24" x14ac:dyDescent="0.45">
      <c r="A1087" s="193">
        <v>49</v>
      </c>
      <c r="B1087" s="194" t="str">
        <f t="shared" si="172"/>
        <v/>
      </c>
      <c r="C1087" s="170" t="str">
        <f t="shared" si="173"/>
        <v/>
      </c>
      <c r="D1087" s="170"/>
      <c r="E1087" s="195"/>
      <c r="F1087" s="170"/>
      <c r="G1087" s="170"/>
      <c r="H1087" s="203"/>
      <c r="I1087" s="197" t="str">
        <f t="shared" si="177"/>
        <v/>
      </c>
      <c r="J1087" s="197" t="str">
        <f t="shared" si="178"/>
        <v/>
      </c>
      <c r="K1087" s="197"/>
      <c r="L1087" s="197"/>
      <c r="M1087" s="198"/>
      <c r="N1087" s="198"/>
      <c r="O1087" s="198"/>
      <c r="P1087" s="199"/>
      <c r="Q1087" s="200"/>
      <c r="R1087" s="200"/>
      <c r="S1087" s="200"/>
      <c r="T1087" s="200" t="str">
        <f t="shared" si="174"/>
        <v/>
      </c>
      <c r="U1087" s="200"/>
      <c r="V1087" s="201" t="str">
        <f t="shared" si="175"/>
        <v/>
      </c>
      <c r="W1087" s="202">
        <f t="shared" si="176"/>
        <v>0</v>
      </c>
      <c r="X1087" s="172"/>
    </row>
    <row r="1088" spans="1:24" x14ac:dyDescent="0.45">
      <c r="A1088" s="193">
        <v>50</v>
      </c>
      <c r="B1088" s="194" t="str">
        <f t="shared" si="172"/>
        <v/>
      </c>
      <c r="C1088" s="170" t="str">
        <f t="shared" si="173"/>
        <v/>
      </c>
      <c r="D1088" s="170"/>
      <c r="E1088" s="195"/>
      <c r="F1088" s="170"/>
      <c r="G1088" s="170"/>
      <c r="H1088" s="203"/>
      <c r="I1088" s="197" t="str">
        <f t="shared" si="177"/>
        <v/>
      </c>
      <c r="J1088" s="197" t="str">
        <f t="shared" si="178"/>
        <v/>
      </c>
      <c r="K1088" s="197"/>
      <c r="L1088" s="197"/>
      <c r="M1088" s="198"/>
      <c r="N1088" s="198"/>
      <c r="O1088" s="198"/>
      <c r="P1088" s="199"/>
      <c r="Q1088" s="200"/>
      <c r="R1088" s="200"/>
      <c r="S1088" s="200"/>
      <c r="T1088" s="200" t="str">
        <f t="shared" si="174"/>
        <v/>
      </c>
      <c r="U1088" s="200"/>
      <c r="V1088" s="201" t="str">
        <f t="shared" si="175"/>
        <v/>
      </c>
      <c r="W1088" s="202">
        <f t="shared" si="176"/>
        <v>0</v>
      </c>
      <c r="X1088" s="172"/>
    </row>
    <row r="1089" spans="1:24" x14ac:dyDescent="0.45">
      <c r="A1089" s="193">
        <v>51</v>
      </c>
      <c r="B1089" s="194" t="str">
        <f t="shared" si="172"/>
        <v/>
      </c>
      <c r="C1089" s="170" t="str">
        <f t="shared" si="173"/>
        <v/>
      </c>
      <c r="D1089" s="170"/>
      <c r="E1089" s="195"/>
      <c r="F1089" s="170"/>
      <c r="G1089" s="170"/>
      <c r="H1089" s="203"/>
      <c r="I1089" s="197" t="str">
        <f t="shared" si="177"/>
        <v/>
      </c>
      <c r="J1089" s="197" t="str">
        <f t="shared" si="178"/>
        <v/>
      </c>
      <c r="K1089" s="197"/>
      <c r="L1089" s="197"/>
      <c r="M1089" s="198"/>
      <c r="N1089" s="198"/>
      <c r="O1089" s="198"/>
      <c r="P1089" s="199"/>
      <c r="Q1089" s="200"/>
      <c r="R1089" s="200"/>
      <c r="S1089" s="200"/>
      <c r="T1089" s="200" t="str">
        <f t="shared" si="174"/>
        <v/>
      </c>
      <c r="U1089" s="200"/>
      <c r="V1089" s="201" t="str">
        <f t="shared" si="175"/>
        <v/>
      </c>
      <c r="W1089" s="202">
        <f t="shared" si="176"/>
        <v>0</v>
      </c>
      <c r="X1089" s="172"/>
    </row>
    <row r="1090" spans="1:24" x14ac:dyDescent="0.45">
      <c r="A1090" s="193">
        <v>52</v>
      </c>
      <c r="B1090" s="194" t="str">
        <f t="shared" si="172"/>
        <v/>
      </c>
      <c r="C1090" s="170" t="str">
        <f t="shared" si="173"/>
        <v/>
      </c>
      <c r="D1090" s="170"/>
      <c r="E1090" s="195"/>
      <c r="F1090" s="170"/>
      <c r="G1090" s="170"/>
      <c r="H1090" s="203"/>
      <c r="I1090" s="197" t="str">
        <f t="shared" si="177"/>
        <v/>
      </c>
      <c r="J1090" s="197" t="str">
        <f t="shared" si="178"/>
        <v/>
      </c>
      <c r="K1090" s="197"/>
      <c r="L1090" s="197"/>
      <c r="M1090" s="198"/>
      <c r="N1090" s="198"/>
      <c r="O1090" s="198"/>
      <c r="P1090" s="199"/>
      <c r="Q1090" s="200"/>
      <c r="R1090" s="200"/>
      <c r="S1090" s="200"/>
      <c r="T1090" s="200" t="str">
        <f t="shared" si="174"/>
        <v/>
      </c>
      <c r="U1090" s="200"/>
      <c r="V1090" s="201" t="str">
        <f t="shared" si="175"/>
        <v/>
      </c>
      <c r="W1090" s="202">
        <f t="shared" si="176"/>
        <v>0</v>
      </c>
      <c r="X1090" s="172"/>
    </row>
    <row r="1091" spans="1:24" x14ac:dyDescent="0.45">
      <c r="A1091" s="193">
        <v>53</v>
      </c>
      <c r="B1091" s="194" t="str">
        <f t="shared" si="172"/>
        <v/>
      </c>
      <c r="C1091" s="170" t="str">
        <f t="shared" si="173"/>
        <v/>
      </c>
      <c r="D1091" s="170"/>
      <c r="E1091" s="195"/>
      <c r="F1091" s="170"/>
      <c r="G1091" s="170"/>
      <c r="H1091" s="203"/>
      <c r="I1091" s="197" t="str">
        <f t="shared" si="177"/>
        <v/>
      </c>
      <c r="J1091" s="197" t="str">
        <f t="shared" si="178"/>
        <v/>
      </c>
      <c r="K1091" s="197"/>
      <c r="L1091" s="197"/>
      <c r="M1091" s="198"/>
      <c r="N1091" s="198"/>
      <c r="O1091" s="198"/>
      <c r="P1091" s="199"/>
      <c r="Q1091" s="200"/>
      <c r="R1091" s="200"/>
      <c r="S1091" s="200"/>
      <c r="T1091" s="200" t="str">
        <f t="shared" si="174"/>
        <v/>
      </c>
      <c r="U1091" s="200"/>
      <c r="V1091" s="201" t="str">
        <f t="shared" si="175"/>
        <v/>
      </c>
      <c r="W1091" s="202">
        <f t="shared" si="176"/>
        <v>0</v>
      </c>
      <c r="X1091" s="172"/>
    </row>
    <row r="1092" spans="1:24" x14ac:dyDescent="0.45">
      <c r="A1092" s="193">
        <v>54</v>
      </c>
      <c r="B1092" s="194" t="str">
        <f t="shared" si="172"/>
        <v/>
      </c>
      <c r="C1092" s="170" t="str">
        <f t="shared" si="173"/>
        <v/>
      </c>
      <c r="D1092" s="170"/>
      <c r="E1092" s="195"/>
      <c r="F1092" s="170"/>
      <c r="G1092" s="170"/>
      <c r="H1092" s="203"/>
      <c r="I1092" s="197" t="str">
        <f t="shared" si="177"/>
        <v/>
      </c>
      <c r="J1092" s="197" t="str">
        <f t="shared" si="178"/>
        <v/>
      </c>
      <c r="K1092" s="197"/>
      <c r="L1092" s="197"/>
      <c r="M1092" s="198"/>
      <c r="N1092" s="198"/>
      <c r="O1092" s="198"/>
      <c r="P1092" s="199"/>
      <c r="Q1092" s="200"/>
      <c r="R1092" s="200"/>
      <c r="S1092" s="200"/>
      <c r="T1092" s="200" t="str">
        <f t="shared" si="174"/>
        <v/>
      </c>
      <c r="U1092" s="200"/>
      <c r="V1092" s="201" t="str">
        <f t="shared" si="175"/>
        <v/>
      </c>
      <c r="W1092" s="202">
        <f t="shared" si="176"/>
        <v>0</v>
      </c>
      <c r="X1092" s="172"/>
    </row>
    <row r="1093" spans="1:24" x14ac:dyDescent="0.45">
      <c r="A1093" s="193">
        <v>55</v>
      </c>
      <c r="B1093" s="194" t="str">
        <f t="shared" si="172"/>
        <v/>
      </c>
      <c r="C1093" s="170" t="str">
        <f t="shared" si="173"/>
        <v/>
      </c>
      <c r="D1093" s="170"/>
      <c r="E1093" s="195"/>
      <c r="F1093" s="170"/>
      <c r="G1093" s="170"/>
      <c r="H1093" s="203"/>
      <c r="I1093" s="197" t="str">
        <f t="shared" si="177"/>
        <v/>
      </c>
      <c r="J1093" s="197" t="str">
        <f t="shared" si="178"/>
        <v/>
      </c>
      <c r="K1093" s="197"/>
      <c r="L1093" s="197"/>
      <c r="M1093" s="198"/>
      <c r="N1093" s="198"/>
      <c r="O1093" s="198"/>
      <c r="P1093" s="199"/>
      <c r="Q1093" s="200"/>
      <c r="R1093" s="200"/>
      <c r="S1093" s="200"/>
      <c r="T1093" s="200" t="str">
        <f t="shared" si="174"/>
        <v/>
      </c>
      <c r="U1093" s="200"/>
      <c r="V1093" s="201" t="str">
        <f t="shared" si="175"/>
        <v/>
      </c>
      <c r="W1093" s="202">
        <f t="shared" si="176"/>
        <v>0</v>
      </c>
      <c r="X1093" s="172"/>
    </row>
    <row r="1094" spans="1:24" x14ac:dyDescent="0.45">
      <c r="A1094" s="193">
        <v>56</v>
      </c>
      <c r="B1094" s="194" t="str">
        <f t="shared" si="172"/>
        <v/>
      </c>
      <c r="C1094" s="170" t="str">
        <f t="shared" si="173"/>
        <v/>
      </c>
      <c r="D1094" s="170"/>
      <c r="E1094" s="195"/>
      <c r="F1094" s="170"/>
      <c r="G1094" s="170"/>
      <c r="H1094" s="203"/>
      <c r="I1094" s="197" t="str">
        <f t="shared" si="177"/>
        <v/>
      </c>
      <c r="J1094" s="197" t="str">
        <f t="shared" si="178"/>
        <v/>
      </c>
      <c r="K1094" s="197"/>
      <c r="L1094" s="197"/>
      <c r="M1094" s="198"/>
      <c r="N1094" s="198"/>
      <c r="O1094" s="198"/>
      <c r="P1094" s="199"/>
      <c r="Q1094" s="200"/>
      <c r="R1094" s="200"/>
      <c r="S1094" s="200"/>
      <c r="T1094" s="200" t="str">
        <f t="shared" si="174"/>
        <v/>
      </c>
      <c r="U1094" s="200"/>
      <c r="V1094" s="201" t="str">
        <f t="shared" si="175"/>
        <v/>
      </c>
      <c r="W1094" s="202">
        <f t="shared" si="176"/>
        <v>0</v>
      </c>
      <c r="X1094" s="172"/>
    </row>
    <row r="1095" spans="1:24" x14ac:dyDescent="0.45">
      <c r="A1095" s="193">
        <v>57</v>
      </c>
      <c r="B1095" s="194" t="str">
        <f t="shared" si="172"/>
        <v/>
      </c>
      <c r="C1095" s="170" t="str">
        <f t="shared" si="173"/>
        <v/>
      </c>
      <c r="D1095" s="170"/>
      <c r="E1095" s="195"/>
      <c r="F1095" s="170"/>
      <c r="G1095" s="170"/>
      <c r="H1095" s="203"/>
      <c r="I1095" s="197" t="str">
        <f t="shared" si="177"/>
        <v/>
      </c>
      <c r="J1095" s="197" t="str">
        <f t="shared" si="178"/>
        <v/>
      </c>
      <c r="K1095" s="197"/>
      <c r="L1095" s="197"/>
      <c r="M1095" s="198"/>
      <c r="N1095" s="198"/>
      <c r="O1095" s="198"/>
      <c r="P1095" s="199"/>
      <c r="Q1095" s="200"/>
      <c r="R1095" s="200"/>
      <c r="S1095" s="200"/>
      <c r="T1095" s="200" t="str">
        <f t="shared" si="174"/>
        <v/>
      </c>
      <c r="U1095" s="200"/>
      <c r="V1095" s="201" t="str">
        <f t="shared" si="175"/>
        <v/>
      </c>
      <c r="W1095" s="202">
        <f t="shared" si="176"/>
        <v>0</v>
      </c>
      <c r="X1095" s="172"/>
    </row>
    <row r="1096" spans="1:24" x14ac:dyDescent="0.45">
      <c r="A1096" s="193">
        <v>58</v>
      </c>
      <c r="B1096" s="194" t="str">
        <f t="shared" si="172"/>
        <v/>
      </c>
      <c r="C1096" s="170" t="str">
        <f t="shared" si="173"/>
        <v/>
      </c>
      <c r="D1096" s="170"/>
      <c r="E1096" s="195"/>
      <c r="F1096" s="170"/>
      <c r="G1096" s="170"/>
      <c r="H1096" s="203"/>
      <c r="I1096" s="197" t="str">
        <f t="shared" si="177"/>
        <v/>
      </c>
      <c r="J1096" s="197" t="str">
        <f t="shared" si="178"/>
        <v/>
      </c>
      <c r="K1096" s="197"/>
      <c r="L1096" s="197"/>
      <c r="M1096" s="198"/>
      <c r="N1096" s="198"/>
      <c r="O1096" s="198"/>
      <c r="P1096" s="199"/>
      <c r="Q1096" s="200"/>
      <c r="R1096" s="200"/>
      <c r="S1096" s="200"/>
      <c r="T1096" s="200" t="str">
        <f t="shared" si="174"/>
        <v/>
      </c>
      <c r="U1096" s="200"/>
      <c r="V1096" s="201" t="str">
        <f t="shared" si="175"/>
        <v/>
      </c>
      <c r="W1096" s="202">
        <f t="shared" si="176"/>
        <v>0</v>
      </c>
      <c r="X1096" s="172"/>
    </row>
    <row r="1097" spans="1:24" x14ac:dyDescent="0.45">
      <c r="A1097" s="193">
        <v>59</v>
      </c>
      <c r="B1097" s="194" t="str">
        <f t="shared" si="172"/>
        <v/>
      </c>
      <c r="C1097" s="170" t="str">
        <f t="shared" si="173"/>
        <v/>
      </c>
      <c r="D1097" s="170"/>
      <c r="E1097" s="195"/>
      <c r="F1097" s="170"/>
      <c r="G1097" s="170"/>
      <c r="H1097" s="203"/>
      <c r="I1097" s="197" t="str">
        <f t="shared" si="177"/>
        <v/>
      </c>
      <c r="J1097" s="197" t="str">
        <f t="shared" si="178"/>
        <v/>
      </c>
      <c r="K1097" s="197"/>
      <c r="L1097" s="197"/>
      <c r="M1097" s="198"/>
      <c r="N1097" s="198"/>
      <c r="O1097" s="198"/>
      <c r="P1097" s="199"/>
      <c r="Q1097" s="200"/>
      <c r="R1097" s="200"/>
      <c r="S1097" s="200"/>
      <c r="T1097" s="200" t="str">
        <f t="shared" si="174"/>
        <v/>
      </c>
      <c r="U1097" s="200"/>
      <c r="V1097" s="201" t="str">
        <f t="shared" si="175"/>
        <v/>
      </c>
      <c r="W1097" s="202">
        <f t="shared" si="176"/>
        <v>0</v>
      </c>
      <c r="X1097" s="172"/>
    </row>
    <row r="1098" spans="1:24" x14ac:dyDescent="0.45">
      <c r="A1098" s="193">
        <v>60</v>
      </c>
      <c r="B1098" s="194" t="str">
        <f t="shared" si="172"/>
        <v/>
      </c>
      <c r="C1098" s="170" t="str">
        <f t="shared" si="173"/>
        <v/>
      </c>
      <c r="D1098" s="170"/>
      <c r="E1098" s="195"/>
      <c r="F1098" s="170"/>
      <c r="G1098" s="170"/>
      <c r="H1098" s="203"/>
      <c r="I1098" s="197" t="str">
        <f t="shared" si="177"/>
        <v/>
      </c>
      <c r="J1098" s="197" t="str">
        <f t="shared" si="178"/>
        <v/>
      </c>
      <c r="K1098" s="197"/>
      <c r="L1098" s="197"/>
      <c r="M1098" s="198"/>
      <c r="N1098" s="198"/>
      <c r="O1098" s="198"/>
      <c r="P1098" s="199"/>
      <c r="Q1098" s="200"/>
      <c r="R1098" s="200"/>
      <c r="S1098" s="200"/>
      <c r="T1098" s="200" t="str">
        <f t="shared" si="174"/>
        <v/>
      </c>
      <c r="U1098" s="200"/>
      <c r="V1098" s="201" t="str">
        <f t="shared" si="175"/>
        <v/>
      </c>
      <c r="W1098" s="202">
        <f t="shared" si="176"/>
        <v>0</v>
      </c>
      <c r="X1098" s="172"/>
    </row>
    <row r="1099" spans="1:24" x14ac:dyDescent="0.45">
      <c r="A1099" s="193">
        <v>61</v>
      </c>
      <c r="B1099" s="194" t="str">
        <f t="shared" si="172"/>
        <v/>
      </c>
      <c r="C1099" s="170" t="str">
        <f t="shared" si="173"/>
        <v/>
      </c>
      <c r="D1099" s="170"/>
      <c r="E1099" s="195"/>
      <c r="F1099" s="170"/>
      <c r="G1099" s="170"/>
      <c r="H1099" s="203"/>
      <c r="I1099" s="197" t="str">
        <f t="shared" si="177"/>
        <v/>
      </c>
      <c r="J1099" s="197" t="str">
        <f t="shared" si="178"/>
        <v/>
      </c>
      <c r="K1099" s="197"/>
      <c r="L1099" s="197"/>
      <c r="M1099" s="198"/>
      <c r="N1099" s="198"/>
      <c r="O1099" s="198"/>
      <c r="P1099" s="199"/>
      <c r="Q1099" s="200"/>
      <c r="R1099" s="200"/>
      <c r="S1099" s="200"/>
      <c r="T1099" s="200" t="str">
        <f t="shared" si="174"/>
        <v/>
      </c>
      <c r="U1099" s="200"/>
      <c r="V1099" s="201" t="str">
        <f t="shared" si="175"/>
        <v/>
      </c>
      <c r="W1099" s="202">
        <f t="shared" si="176"/>
        <v>0</v>
      </c>
      <c r="X1099" s="172"/>
    </row>
    <row r="1100" spans="1:24" x14ac:dyDescent="0.45">
      <c r="A1100" s="193">
        <v>62</v>
      </c>
      <c r="B1100" s="194" t="str">
        <f t="shared" si="172"/>
        <v/>
      </c>
      <c r="C1100" s="170" t="str">
        <f t="shared" si="173"/>
        <v/>
      </c>
      <c r="D1100" s="170"/>
      <c r="E1100" s="195"/>
      <c r="F1100" s="170"/>
      <c r="G1100" s="170"/>
      <c r="H1100" s="203"/>
      <c r="I1100" s="197" t="str">
        <f t="shared" si="177"/>
        <v/>
      </c>
      <c r="J1100" s="197" t="str">
        <f t="shared" si="178"/>
        <v/>
      </c>
      <c r="K1100" s="197"/>
      <c r="L1100" s="197"/>
      <c r="M1100" s="198"/>
      <c r="N1100" s="198"/>
      <c r="O1100" s="198"/>
      <c r="P1100" s="199"/>
      <c r="Q1100" s="200"/>
      <c r="R1100" s="200"/>
      <c r="S1100" s="200"/>
      <c r="T1100" s="200" t="str">
        <f t="shared" si="174"/>
        <v/>
      </c>
      <c r="U1100" s="200"/>
      <c r="V1100" s="201" t="str">
        <f t="shared" si="175"/>
        <v/>
      </c>
      <c r="W1100" s="202">
        <f t="shared" si="176"/>
        <v>0</v>
      </c>
      <c r="X1100" s="172"/>
    </row>
    <row r="1101" spans="1:24" x14ac:dyDescent="0.45">
      <c r="A1101" s="193">
        <v>63</v>
      </c>
      <c r="B1101" s="194" t="str">
        <f t="shared" si="172"/>
        <v/>
      </c>
      <c r="C1101" s="170" t="str">
        <f t="shared" si="173"/>
        <v/>
      </c>
      <c r="D1101" s="170"/>
      <c r="E1101" s="195"/>
      <c r="F1101" s="170"/>
      <c r="G1101" s="170"/>
      <c r="H1101" s="203"/>
      <c r="I1101" s="197" t="str">
        <f t="shared" si="177"/>
        <v/>
      </c>
      <c r="J1101" s="197" t="str">
        <f t="shared" si="178"/>
        <v/>
      </c>
      <c r="K1101" s="197"/>
      <c r="L1101" s="197"/>
      <c r="M1101" s="198"/>
      <c r="N1101" s="198"/>
      <c r="O1101" s="198"/>
      <c r="P1101" s="199"/>
      <c r="Q1101" s="200"/>
      <c r="R1101" s="200"/>
      <c r="S1101" s="200"/>
      <c r="T1101" s="200" t="str">
        <f t="shared" si="174"/>
        <v/>
      </c>
      <c r="U1101" s="200"/>
      <c r="V1101" s="201" t="str">
        <f t="shared" si="175"/>
        <v/>
      </c>
      <c r="W1101" s="202">
        <f t="shared" si="176"/>
        <v>0</v>
      </c>
      <c r="X1101" s="172"/>
    </row>
    <row r="1102" spans="1:24" x14ac:dyDescent="0.45">
      <c r="A1102" s="193">
        <v>64</v>
      </c>
      <c r="B1102" s="194" t="str">
        <f t="shared" si="172"/>
        <v/>
      </c>
      <c r="C1102" s="170" t="str">
        <f t="shared" si="173"/>
        <v/>
      </c>
      <c r="D1102" s="170"/>
      <c r="E1102" s="195"/>
      <c r="F1102" s="170"/>
      <c r="G1102" s="170"/>
      <c r="H1102" s="203"/>
      <c r="I1102" s="197" t="str">
        <f t="shared" si="177"/>
        <v/>
      </c>
      <c r="J1102" s="197" t="str">
        <f t="shared" si="178"/>
        <v/>
      </c>
      <c r="K1102" s="197"/>
      <c r="L1102" s="197"/>
      <c r="M1102" s="198"/>
      <c r="N1102" s="198"/>
      <c r="O1102" s="198"/>
      <c r="P1102" s="199"/>
      <c r="Q1102" s="200"/>
      <c r="R1102" s="200"/>
      <c r="S1102" s="200"/>
      <c r="T1102" s="200" t="str">
        <f t="shared" si="174"/>
        <v/>
      </c>
      <c r="U1102" s="200"/>
      <c r="V1102" s="201" t="str">
        <f t="shared" si="175"/>
        <v/>
      </c>
      <c r="W1102" s="202">
        <f t="shared" si="176"/>
        <v>0</v>
      </c>
      <c r="X1102" s="172"/>
    </row>
    <row r="1103" spans="1:24" x14ac:dyDescent="0.45">
      <c r="A1103" s="193">
        <v>65</v>
      </c>
      <c r="B1103" s="194" t="str">
        <f t="shared" si="172"/>
        <v/>
      </c>
      <c r="C1103" s="170" t="str">
        <f t="shared" si="173"/>
        <v/>
      </c>
      <c r="D1103" s="170"/>
      <c r="E1103" s="195"/>
      <c r="F1103" s="170"/>
      <c r="G1103" s="170"/>
      <c r="H1103" s="203"/>
      <c r="I1103" s="197" t="str">
        <f t="shared" si="177"/>
        <v/>
      </c>
      <c r="J1103" s="197" t="str">
        <f t="shared" si="178"/>
        <v/>
      </c>
      <c r="K1103" s="197"/>
      <c r="L1103" s="197"/>
      <c r="M1103" s="198"/>
      <c r="N1103" s="198"/>
      <c r="O1103" s="198"/>
      <c r="P1103" s="199"/>
      <c r="Q1103" s="200"/>
      <c r="R1103" s="200"/>
      <c r="S1103" s="200"/>
      <c r="T1103" s="200" t="str">
        <f t="shared" si="174"/>
        <v/>
      </c>
      <c r="U1103" s="200"/>
      <c r="V1103" s="201" t="str">
        <f t="shared" ref="V1103:V1104" si="179">IF(U1103="","",$V$1019)</f>
        <v/>
      </c>
      <c r="W1103" s="202">
        <f t="shared" si="176"/>
        <v>0</v>
      </c>
      <c r="X1103" s="172"/>
    </row>
    <row r="1104" spans="1:24" ht="14.25" customHeight="1" x14ac:dyDescent="0.45">
      <c r="A1104" s="193">
        <v>66</v>
      </c>
      <c r="B1104" s="204" t="str">
        <f t="shared" si="172"/>
        <v/>
      </c>
      <c r="C1104" s="205" t="str">
        <f t="shared" si="173"/>
        <v/>
      </c>
      <c r="D1104" s="205"/>
      <c r="E1104" s="205"/>
      <c r="F1104" s="205"/>
      <c r="G1104" s="205"/>
      <c r="H1104" s="205"/>
      <c r="I1104" s="206" t="str">
        <f t="shared" si="177"/>
        <v/>
      </c>
      <c r="J1104" s="206" t="str">
        <f t="shared" si="178"/>
        <v/>
      </c>
      <c r="K1104" s="206"/>
      <c r="L1104" s="206"/>
      <c r="M1104" s="205"/>
      <c r="N1104" s="205"/>
      <c r="O1104" s="205"/>
      <c r="P1104" s="205"/>
      <c r="Q1104" s="205"/>
      <c r="R1104" s="205"/>
      <c r="S1104" s="205"/>
      <c r="T1104" s="205" t="str">
        <f t="shared" si="174"/>
        <v/>
      </c>
      <c r="U1104" s="205"/>
      <c r="V1104" s="205" t="str">
        <f t="shared" si="179"/>
        <v/>
      </c>
      <c r="W1104" s="207">
        <f t="shared" si="176"/>
        <v>0</v>
      </c>
      <c r="X1104" s="207"/>
    </row>
    <row r="1105" spans="2:24" ht="24.75" customHeight="1" x14ac:dyDescent="0.45">
      <c r="B1105" s="428" t="s">
        <v>1520</v>
      </c>
      <c r="C1105" s="429" t="s">
        <v>1494</v>
      </c>
      <c r="D1105" s="429"/>
      <c r="E1105" s="429"/>
      <c r="F1105" s="429"/>
      <c r="G1105" s="429"/>
      <c r="H1105" s="429"/>
      <c r="I1105" s="429"/>
      <c r="J1105" s="429"/>
      <c r="K1105" s="429"/>
      <c r="L1105" s="429"/>
      <c r="M1105" s="429"/>
      <c r="N1105" s="429"/>
      <c r="O1105" s="429"/>
      <c r="P1105" s="429"/>
      <c r="Q1105" s="429"/>
      <c r="R1105" s="145" t="s">
        <v>1</v>
      </c>
      <c r="S1105" s="146"/>
      <c r="T1105" s="145" t="s">
        <v>8</v>
      </c>
      <c r="U1105" s="147"/>
      <c r="V1105" s="148" t="s">
        <v>3</v>
      </c>
      <c r="W1105" s="146"/>
      <c r="X1105" s="149"/>
    </row>
    <row r="1106" spans="2:24" ht="24.75" customHeight="1" x14ac:dyDescent="0.45">
      <c r="B1106" s="428"/>
      <c r="C1106" s="429"/>
      <c r="D1106" s="429"/>
      <c r="E1106" s="429"/>
      <c r="F1106" s="429"/>
      <c r="G1106" s="429"/>
      <c r="H1106" s="429"/>
      <c r="I1106" s="429"/>
      <c r="J1106" s="429"/>
      <c r="K1106" s="429"/>
      <c r="L1106" s="429"/>
      <c r="M1106" s="429"/>
      <c r="N1106" s="429"/>
      <c r="O1106" s="429"/>
      <c r="P1106" s="429"/>
      <c r="Q1106" s="429"/>
      <c r="R1106" s="430" t="s">
        <v>1495</v>
      </c>
      <c r="S1106" s="430"/>
      <c r="T1106" s="431" t="str">
        <f>'BM MORRO DA CRUZ - VERTICAL'!$V$4</f>
        <v>01-10-26 A 31-10-26</v>
      </c>
      <c r="U1106" s="431"/>
      <c r="V1106" s="432" t="str">
        <f>IF('BM MORRO DA CRUZ - VERTICAL'!$BF$2="","",'BM MORRO DA CRUZ - VERTICAL'!$BF$2)</f>
        <v/>
      </c>
      <c r="W1106" s="432"/>
      <c r="X1106" s="150"/>
    </row>
    <row r="1107" spans="2:24" ht="24.75" customHeight="1" x14ac:dyDescent="0.45">
      <c r="B1107" s="151" t="s">
        <v>5</v>
      </c>
      <c r="C1107" s="152"/>
      <c r="D1107" s="152"/>
      <c r="E1107" s="152"/>
      <c r="F1107" s="152"/>
      <c r="G1107" s="152"/>
      <c r="H1107" s="152"/>
      <c r="I1107" s="152"/>
      <c r="J1107" s="152"/>
      <c r="K1107" s="152"/>
      <c r="L1107" s="152"/>
      <c r="M1107" s="152"/>
      <c r="N1107" s="152"/>
      <c r="O1107" s="152"/>
      <c r="P1107" s="153"/>
      <c r="Q1107" s="154"/>
      <c r="R1107" s="155"/>
      <c r="S1107" s="155"/>
      <c r="T1107" s="156" t="s">
        <v>1496</v>
      </c>
      <c r="U1107" s="157"/>
      <c r="V1107" s="158" t="s">
        <v>9</v>
      </c>
      <c r="W1107" s="159"/>
      <c r="X1107" s="433"/>
    </row>
    <row r="1108" spans="2:24" ht="24.75" customHeight="1" x14ac:dyDescent="0.45">
      <c r="B1108" s="17" t="s">
        <v>11</v>
      </c>
      <c r="C1108" s="160"/>
      <c r="D1108" s="160"/>
      <c r="E1108" s="160"/>
      <c r="F1108" s="160"/>
      <c r="G1108" s="160"/>
      <c r="H1108" s="160"/>
      <c r="I1108" s="160"/>
      <c r="J1108" s="160"/>
      <c r="K1108" s="160"/>
      <c r="L1108" s="160"/>
      <c r="M1108" s="160"/>
      <c r="N1108" s="160"/>
      <c r="O1108" s="160"/>
      <c r="P1108" s="161"/>
      <c r="Q1108" s="162"/>
      <c r="R1108" s="163"/>
      <c r="S1108" s="163"/>
      <c r="T1108" s="434" t="str">
        <f>'BM MORRO DA CRUZ - VERTICAL'!$V$2</f>
        <v>1ª MEDIÇÃO</v>
      </c>
      <c r="U1108" s="434"/>
      <c r="V1108" s="435" t="s">
        <v>13</v>
      </c>
      <c r="W1108" s="435"/>
      <c r="X1108" s="433"/>
    </row>
    <row r="1109" spans="2:24" ht="24.75" customHeight="1" x14ac:dyDescent="0.45">
      <c r="B1109" s="164" t="s">
        <v>1459</v>
      </c>
      <c r="C1109" s="165" t="s">
        <v>14</v>
      </c>
      <c r="D1109" s="165" t="s">
        <v>24</v>
      </c>
      <c r="E1109" s="165" t="s">
        <v>25</v>
      </c>
      <c r="F1109" s="166" t="s">
        <v>1461</v>
      </c>
      <c r="G1109" s="165"/>
      <c r="H1109" s="165"/>
      <c r="I1109" s="165"/>
      <c r="J1109" s="165"/>
      <c r="K1109" s="165"/>
      <c r="L1109" s="165"/>
      <c r="M1109" s="165"/>
      <c r="N1109" s="165"/>
      <c r="O1109" s="165"/>
      <c r="P1109" s="165"/>
      <c r="Q1109" s="165"/>
      <c r="R1109" s="165"/>
      <c r="S1109" s="165"/>
      <c r="T1109" s="165"/>
      <c r="U1109" s="165"/>
      <c r="V1109" s="165" t="s">
        <v>26</v>
      </c>
      <c r="W1109" s="167" t="s">
        <v>29</v>
      </c>
      <c r="X1109" s="168"/>
    </row>
    <row r="1110" spans="2:24" ht="24.75" customHeight="1" x14ac:dyDescent="0.45">
      <c r="B1110" s="169"/>
      <c r="C1110" s="170"/>
      <c r="D1110" s="170"/>
      <c r="E1110" s="170"/>
      <c r="F1110" s="170"/>
      <c r="G1110" s="170"/>
      <c r="H1110" s="170"/>
      <c r="I1110" s="170"/>
      <c r="J1110" s="170"/>
      <c r="K1110" s="170"/>
      <c r="L1110" s="170"/>
      <c r="M1110" s="170"/>
      <c r="N1110" s="170"/>
      <c r="O1110" s="170"/>
      <c r="P1110" s="170"/>
      <c r="Q1110" s="170"/>
      <c r="R1110" s="170"/>
      <c r="S1110" s="170"/>
      <c r="T1110" s="170"/>
      <c r="U1110" s="170"/>
      <c r="V1110" s="170"/>
      <c r="W1110" s="171"/>
      <c r="X1110" s="172"/>
    </row>
    <row r="1111" spans="2:24" ht="24.75" customHeight="1" x14ac:dyDescent="0.45">
      <c r="B1111" s="173" t="str">
        <f>IF($C$1111="","",IFERROR(INDEX('BM MORRO DA CRUZ - VERTICAL'!$C$6:$C$546,MATCH($C$1111,'BM MORRO DA CRUZ - VERTICAL'!$D$6:$D$546,0)),"CHAVE NÃO ENCONTRADA NO VERTICAL"))</f>
        <v/>
      </c>
      <c r="C1111" s="174"/>
      <c r="D1111" s="175" t="str">
        <f>IF($C$1111="","",IFERROR(INDEX('BM MORRO DA CRUZ - VERTICAL'!$O$6:$O$546,MATCH($C$1111,'BM MORRO DA CRUZ - VERTICAL'!$D$6:$D$546,0)),"CHAVE NÃO ENCONTRADA NO VERTICAL"))</f>
        <v/>
      </c>
      <c r="E1111" s="175" t="str">
        <f>IF($C$1111="","",IFERROR(INDEX('BM MORRO DA CRUZ - VERTICAL'!$P$6:$P$546,MATCH($C$1111,'BM MORRO DA CRUZ - VERTICAL'!$D$6:$D$546,0)),"CHAVE NÃO ENCONTRADA NO VERTICAL"))</f>
        <v/>
      </c>
      <c r="F1111" s="175" t="str">
        <f>IF($C$1111="","",IFERROR(INDEX('BM MORRO DA CRUZ - VERTICAL'!$Q$6:$Q$546,MATCH($C$1111,'BM MORRO DA CRUZ - VERTICAL'!$D$6:$D$546,0)),"CHAVE NÃO ENCONTRADA NO VERTICAL"))</f>
        <v/>
      </c>
      <c r="G1111" s="176"/>
      <c r="H1111" s="176"/>
      <c r="I1111" s="176"/>
      <c r="J1111" s="176"/>
      <c r="K1111" s="176"/>
      <c r="L1111" s="176"/>
      <c r="M1111" s="176"/>
      <c r="N1111" s="176"/>
      <c r="O1111" s="176"/>
      <c r="P1111" s="176"/>
      <c r="Q1111" s="176"/>
      <c r="R1111" s="176"/>
      <c r="S1111" s="176"/>
      <c r="T1111" s="176"/>
      <c r="U1111" s="176"/>
      <c r="V1111" s="177" t="str">
        <f>IF($C$1111="","",IFERROR(INDEX('BM MORRO DA CRUZ - VERTICAL'!$R$6:$R$546,MATCH($C$1111,'BM MORRO DA CRUZ - VERTICAL'!$D$6:$D$546,0)),"CHAVE NÃO ENCONTRADA NO VERTICAL"))</f>
        <v/>
      </c>
      <c r="W1111" s="178">
        <f>SUM($W1131:$W1196)</f>
        <v>0</v>
      </c>
      <c r="X1111" s="179"/>
    </row>
    <row r="1112" spans="2:24" ht="24.75" customHeight="1" x14ac:dyDescent="0.45">
      <c r="B1112" s="426" t="s">
        <v>1497</v>
      </c>
      <c r="C1112" s="426"/>
      <c r="D1112" s="426"/>
      <c r="E1112" s="426"/>
      <c r="F1112" s="426"/>
      <c r="G1112" s="426"/>
      <c r="H1112" s="426"/>
      <c r="I1112" s="426"/>
      <c r="J1112" s="426"/>
      <c r="K1112" s="426"/>
      <c r="L1112" s="426"/>
      <c r="M1112" s="426"/>
      <c r="N1112" s="426"/>
      <c r="O1112" s="426"/>
      <c r="P1112" s="426"/>
      <c r="Q1112" s="426"/>
      <c r="R1112" s="426"/>
      <c r="S1112" s="426"/>
      <c r="T1112" s="426"/>
      <c r="U1112" s="426"/>
      <c r="V1112" s="426"/>
      <c r="W1112" s="426"/>
      <c r="X1112" s="180" t="s">
        <v>1498</v>
      </c>
    </row>
    <row r="1113" spans="2:24" ht="14.25" customHeight="1" x14ac:dyDescent="0.45">
      <c r="B1113" s="181"/>
      <c r="C1113" s="182"/>
      <c r="D1113" s="182"/>
      <c r="E1113" s="182"/>
      <c r="F1113" s="182"/>
      <c r="G1113" s="182"/>
      <c r="H1113" s="182"/>
      <c r="I1113" s="182"/>
      <c r="J1113" s="182"/>
      <c r="K1113" s="182"/>
      <c r="L1113" s="182"/>
      <c r="M1113" s="182"/>
      <c r="N1113" s="182"/>
      <c r="O1113" s="182"/>
      <c r="P1113" s="182"/>
      <c r="Q1113" s="182"/>
      <c r="R1113" s="182"/>
      <c r="S1113" s="182"/>
      <c r="T1113" s="182"/>
      <c r="U1113" s="182"/>
      <c r="V1113" s="182"/>
      <c r="W1113" s="183"/>
      <c r="X1113" s="427"/>
    </row>
    <row r="1114" spans="2:24" x14ac:dyDescent="0.45">
      <c r="B1114" s="181"/>
      <c r="C1114" s="182"/>
      <c r="D1114" s="182"/>
      <c r="E1114" s="182"/>
      <c r="F1114" s="182"/>
      <c r="G1114" s="182"/>
      <c r="H1114" s="182"/>
      <c r="I1114" s="182"/>
      <c r="J1114" s="182"/>
      <c r="K1114" s="182"/>
      <c r="L1114" s="182"/>
      <c r="M1114" s="182"/>
      <c r="N1114" s="182"/>
      <c r="O1114" s="182"/>
      <c r="P1114" s="182"/>
      <c r="Q1114" s="182"/>
      <c r="R1114" s="182"/>
      <c r="S1114" s="182"/>
      <c r="T1114" s="182"/>
      <c r="U1114" s="182"/>
      <c r="V1114" s="182"/>
      <c r="W1114" s="183"/>
      <c r="X1114" s="427"/>
    </row>
    <row r="1115" spans="2:24" x14ac:dyDescent="0.45">
      <c r="B1115" s="181"/>
      <c r="C1115" s="182"/>
      <c r="D1115" s="182"/>
      <c r="E1115" s="182"/>
      <c r="F1115" s="182"/>
      <c r="G1115" s="182"/>
      <c r="H1115" s="182"/>
      <c r="I1115" s="182"/>
      <c r="J1115" s="182"/>
      <c r="K1115" s="182"/>
      <c r="L1115" s="182"/>
      <c r="M1115" s="182"/>
      <c r="N1115" s="182"/>
      <c r="O1115" s="182"/>
      <c r="P1115" s="182"/>
      <c r="Q1115" s="182"/>
      <c r="R1115" s="182"/>
      <c r="S1115" s="182"/>
      <c r="T1115" s="182"/>
      <c r="U1115" s="182"/>
      <c r="V1115" s="182"/>
      <c r="W1115" s="183"/>
      <c r="X1115" s="427"/>
    </row>
    <row r="1116" spans="2:24" x14ac:dyDescent="0.45">
      <c r="B1116" s="181"/>
      <c r="C1116" s="182"/>
      <c r="D1116" s="182"/>
      <c r="E1116" s="182"/>
      <c r="F1116" s="182"/>
      <c r="G1116" s="182"/>
      <c r="H1116" s="182"/>
      <c r="I1116" s="182"/>
      <c r="J1116" s="182"/>
      <c r="K1116" s="182"/>
      <c r="L1116" s="182"/>
      <c r="M1116" s="182"/>
      <c r="N1116" s="182"/>
      <c r="O1116" s="182"/>
      <c r="P1116" s="182"/>
      <c r="Q1116" s="182"/>
      <c r="R1116" s="182"/>
      <c r="S1116" s="182"/>
      <c r="T1116" s="182"/>
      <c r="U1116" s="182"/>
      <c r="V1116" s="182"/>
      <c r="W1116" s="183"/>
      <c r="X1116" s="427"/>
    </row>
    <row r="1117" spans="2:24" x14ac:dyDescent="0.45">
      <c r="B1117" s="181"/>
      <c r="C1117" s="182"/>
      <c r="D1117" s="182"/>
      <c r="E1117" s="182"/>
      <c r="F1117" s="182"/>
      <c r="G1117" s="182"/>
      <c r="H1117" s="182"/>
      <c r="I1117" s="182"/>
      <c r="J1117" s="182"/>
      <c r="K1117" s="182"/>
      <c r="L1117" s="182"/>
      <c r="M1117" s="182"/>
      <c r="N1117" s="182"/>
      <c r="O1117" s="182"/>
      <c r="P1117" s="182"/>
      <c r="Q1117" s="182"/>
      <c r="R1117" s="182"/>
      <c r="S1117" s="182"/>
      <c r="T1117" s="182"/>
      <c r="U1117" s="182"/>
      <c r="V1117" s="182"/>
      <c r="W1117" s="183"/>
      <c r="X1117" s="427"/>
    </row>
    <row r="1118" spans="2:24" x14ac:dyDescent="0.45">
      <c r="B1118" s="181"/>
      <c r="C1118" s="182"/>
      <c r="D1118" s="182"/>
      <c r="E1118" s="182"/>
      <c r="F1118" s="182"/>
      <c r="G1118" s="182"/>
      <c r="H1118" s="182"/>
      <c r="I1118" s="182"/>
      <c r="J1118" s="182"/>
      <c r="K1118" s="182"/>
      <c r="L1118" s="182"/>
      <c r="M1118" s="182"/>
      <c r="N1118" s="182"/>
      <c r="O1118" s="182"/>
      <c r="P1118" s="182"/>
      <c r="Q1118" s="182"/>
      <c r="R1118" s="182"/>
      <c r="S1118" s="182"/>
      <c r="T1118" s="182"/>
      <c r="U1118" s="182"/>
      <c r="V1118" s="182"/>
      <c r="W1118" s="183"/>
      <c r="X1118" s="427"/>
    </row>
    <row r="1119" spans="2:24" x14ac:dyDescent="0.45">
      <c r="B1119" s="181"/>
      <c r="C1119" s="182"/>
      <c r="D1119" s="182"/>
      <c r="E1119" s="182"/>
      <c r="F1119" s="182"/>
      <c r="G1119" s="182"/>
      <c r="H1119" s="182"/>
      <c r="I1119" s="182"/>
      <c r="J1119" s="182"/>
      <c r="K1119" s="182"/>
      <c r="L1119" s="182"/>
      <c r="M1119" s="182"/>
      <c r="N1119" s="182"/>
      <c r="O1119" s="182"/>
      <c r="P1119" s="182"/>
      <c r="Q1119" s="182"/>
      <c r="R1119" s="182"/>
      <c r="S1119" s="182"/>
      <c r="T1119" s="182"/>
      <c r="U1119" s="182"/>
      <c r="V1119" s="182"/>
      <c r="W1119" s="183"/>
      <c r="X1119" s="427"/>
    </row>
    <row r="1120" spans="2:24" x14ac:dyDescent="0.45">
      <c r="B1120" s="181"/>
      <c r="C1120" s="182"/>
      <c r="D1120" s="182"/>
      <c r="E1120" s="182"/>
      <c r="F1120" s="182"/>
      <c r="G1120" s="182"/>
      <c r="H1120" s="182"/>
      <c r="I1120" s="182"/>
      <c r="J1120" s="182"/>
      <c r="K1120" s="182"/>
      <c r="L1120" s="182"/>
      <c r="M1120" s="182"/>
      <c r="N1120" s="182"/>
      <c r="O1120" s="182"/>
      <c r="P1120" s="182"/>
      <c r="Q1120" s="182"/>
      <c r="R1120" s="182"/>
      <c r="S1120" s="182"/>
      <c r="T1120" s="182"/>
      <c r="U1120" s="182"/>
      <c r="V1120" s="182"/>
      <c r="W1120" s="183"/>
      <c r="X1120" s="427"/>
    </row>
    <row r="1121" spans="1:24" x14ac:dyDescent="0.45">
      <c r="B1121" s="181"/>
      <c r="C1121" s="182"/>
      <c r="D1121" s="182"/>
      <c r="E1121" s="182"/>
      <c r="F1121" s="182"/>
      <c r="G1121" s="182"/>
      <c r="H1121" s="182"/>
      <c r="I1121" s="182"/>
      <c r="J1121" s="182"/>
      <c r="K1121" s="182"/>
      <c r="L1121" s="182"/>
      <c r="M1121" s="182"/>
      <c r="N1121" s="182"/>
      <c r="O1121" s="182"/>
      <c r="P1121" s="182"/>
      <c r="Q1121" s="182"/>
      <c r="R1121" s="182"/>
      <c r="S1121" s="182"/>
      <c r="T1121" s="182"/>
      <c r="U1121" s="182"/>
      <c r="V1121" s="182"/>
      <c r="W1121" s="183"/>
      <c r="X1121" s="427"/>
    </row>
    <row r="1122" spans="1:24" x14ac:dyDescent="0.45">
      <c r="B1122" s="181"/>
      <c r="C1122" s="182"/>
      <c r="D1122" s="182"/>
      <c r="E1122" s="182"/>
      <c r="F1122" s="182"/>
      <c r="G1122" s="182"/>
      <c r="H1122" s="182"/>
      <c r="I1122" s="182"/>
      <c r="J1122" s="182"/>
      <c r="K1122" s="182"/>
      <c r="L1122" s="182"/>
      <c r="M1122" s="182"/>
      <c r="N1122" s="182"/>
      <c r="O1122" s="182"/>
      <c r="P1122" s="182"/>
      <c r="Q1122" s="182"/>
      <c r="R1122" s="182"/>
      <c r="S1122" s="182"/>
      <c r="T1122" s="182"/>
      <c r="U1122" s="182"/>
      <c r="V1122" s="182"/>
      <c r="W1122" s="183"/>
      <c r="X1122" s="427"/>
    </row>
    <row r="1123" spans="1:24" x14ac:dyDescent="0.45">
      <c r="B1123" s="181"/>
      <c r="C1123" s="182"/>
      <c r="D1123" s="182"/>
      <c r="E1123" s="182"/>
      <c r="F1123" s="182"/>
      <c r="G1123" s="182"/>
      <c r="H1123" s="182"/>
      <c r="I1123" s="182"/>
      <c r="J1123" s="182"/>
      <c r="K1123" s="182"/>
      <c r="L1123" s="182"/>
      <c r="M1123" s="182"/>
      <c r="N1123" s="182"/>
      <c r="O1123" s="182"/>
      <c r="P1123" s="182"/>
      <c r="Q1123" s="182"/>
      <c r="R1123" s="182"/>
      <c r="S1123" s="182"/>
      <c r="T1123" s="182"/>
      <c r="U1123" s="182"/>
      <c r="V1123" s="182"/>
      <c r="W1123" s="183"/>
      <c r="X1123" s="427"/>
    </row>
    <row r="1124" spans="1:24" x14ac:dyDescent="0.45">
      <c r="B1124" s="181"/>
      <c r="C1124" s="182"/>
      <c r="D1124" s="182"/>
      <c r="E1124" s="182"/>
      <c r="F1124" s="182"/>
      <c r="G1124" s="182"/>
      <c r="H1124" s="182"/>
      <c r="I1124" s="182"/>
      <c r="J1124" s="182"/>
      <c r="K1124" s="182"/>
      <c r="L1124" s="182"/>
      <c r="M1124" s="182"/>
      <c r="N1124" s="182"/>
      <c r="O1124" s="182"/>
      <c r="P1124" s="182"/>
      <c r="Q1124" s="182"/>
      <c r="R1124" s="182"/>
      <c r="S1124" s="182"/>
      <c r="T1124" s="182"/>
      <c r="U1124" s="182"/>
      <c r="V1124" s="182"/>
      <c r="W1124" s="183"/>
      <c r="X1124" s="427"/>
    </row>
    <row r="1125" spans="1:24" x14ac:dyDescent="0.45">
      <c r="B1125" s="181"/>
      <c r="C1125" s="182"/>
      <c r="D1125" s="182"/>
      <c r="E1125" s="182"/>
      <c r="F1125" s="182"/>
      <c r="G1125" s="182"/>
      <c r="H1125" s="182"/>
      <c r="I1125" s="182"/>
      <c r="J1125" s="182"/>
      <c r="K1125" s="182"/>
      <c r="L1125" s="182"/>
      <c r="M1125" s="182"/>
      <c r="N1125" s="182"/>
      <c r="O1125" s="182"/>
      <c r="P1125" s="182"/>
      <c r="Q1125" s="182"/>
      <c r="R1125" s="182"/>
      <c r="S1125" s="182"/>
      <c r="T1125" s="182"/>
      <c r="U1125" s="182"/>
      <c r="V1125" s="182"/>
      <c r="W1125" s="183"/>
      <c r="X1125" s="427"/>
    </row>
    <row r="1126" spans="1:24" x14ac:dyDescent="0.45">
      <c r="B1126" s="181"/>
      <c r="C1126" s="182"/>
      <c r="D1126" s="182"/>
      <c r="E1126" s="182"/>
      <c r="F1126" s="182"/>
      <c r="G1126" s="182"/>
      <c r="H1126" s="182"/>
      <c r="I1126" s="182"/>
      <c r="J1126" s="182"/>
      <c r="K1126" s="182"/>
      <c r="L1126" s="182"/>
      <c r="M1126" s="182"/>
      <c r="N1126" s="182"/>
      <c r="O1126" s="182"/>
      <c r="P1126" s="182"/>
      <c r="Q1126" s="182"/>
      <c r="R1126" s="182"/>
      <c r="S1126" s="182"/>
      <c r="T1126" s="182"/>
      <c r="U1126" s="182"/>
      <c r="V1126" s="182"/>
      <c r="W1126" s="183"/>
      <c r="X1126" s="427"/>
    </row>
    <row r="1127" spans="1:24" x14ac:dyDescent="0.45">
      <c r="B1127" s="181"/>
      <c r="C1127" s="182"/>
      <c r="D1127" s="182"/>
      <c r="E1127" s="182"/>
      <c r="F1127" s="182"/>
      <c r="G1127" s="182"/>
      <c r="H1127" s="182"/>
      <c r="I1127" s="182"/>
      <c r="J1127" s="182"/>
      <c r="K1127" s="182"/>
      <c r="L1127" s="182"/>
      <c r="M1127" s="182"/>
      <c r="N1127" s="182"/>
      <c r="O1127" s="182"/>
      <c r="P1127" s="182"/>
      <c r="Q1127" s="182"/>
      <c r="R1127" s="182"/>
      <c r="S1127" s="182"/>
      <c r="T1127" s="182"/>
      <c r="U1127" s="182"/>
      <c r="V1127" s="182"/>
      <c r="W1127" s="183"/>
      <c r="X1127" s="427"/>
    </row>
    <row r="1128" spans="1:24" x14ac:dyDescent="0.45">
      <c r="B1128" s="181"/>
      <c r="C1128" s="182"/>
      <c r="D1128" s="182"/>
      <c r="E1128" s="182"/>
      <c r="F1128" s="182"/>
      <c r="G1128" s="182"/>
      <c r="H1128" s="182"/>
      <c r="I1128" s="182"/>
      <c r="J1128" s="182"/>
      <c r="K1128" s="182"/>
      <c r="L1128" s="182"/>
      <c r="M1128" s="182"/>
      <c r="N1128" s="182"/>
      <c r="O1128" s="182"/>
      <c r="P1128" s="182"/>
      <c r="Q1128" s="182"/>
      <c r="R1128" s="182"/>
      <c r="S1128" s="182"/>
      <c r="T1128" s="182"/>
      <c r="U1128" s="182"/>
      <c r="V1128" s="182"/>
      <c r="W1128" s="183"/>
      <c r="X1128" s="427"/>
    </row>
    <row r="1129" spans="1:24" x14ac:dyDescent="0.45">
      <c r="B1129" s="184"/>
      <c r="C1129" s="185" t="s">
        <v>1499</v>
      </c>
      <c r="D1129" s="185"/>
      <c r="E1129" s="185"/>
      <c r="F1129" s="185"/>
      <c r="G1129" s="185"/>
      <c r="H1129" s="185"/>
      <c r="I1129" s="185"/>
      <c r="J1129" s="185"/>
      <c r="K1129" s="185"/>
      <c r="L1129" s="185"/>
      <c r="M1129" s="185"/>
      <c r="N1129" s="185"/>
      <c r="O1129" s="185"/>
      <c r="P1129" s="185"/>
      <c r="Q1129" s="185"/>
      <c r="R1129" s="185"/>
      <c r="S1129" s="185"/>
      <c r="T1129" s="185"/>
      <c r="U1129" s="185"/>
      <c r="V1129" s="185"/>
      <c r="W1129" s="186"/>
      <c r="X1129" s="187"/>
    </row>
    <row r="1130" spans="1:24" ht="26.65" x14ac:dyDescent="0.45">
      <c r="B1130" s="188" t="s">
        <v>1458</v>
      </c>
      <c r="C1130" s="185" t="s">
        <v>1459</v>
      </c>
      <c r="D1130" s="185"/>
      <c r="E1130" s="185" t="s">
        <v>1500</v>
      </c>
      <c r="F1130" s="185"/>
      <c r="G1130" s="185" t="s">
        <v>1501</v>
      </c>
      <c r="H1130" s="189" t="s">
        <v>1502</v>
      </c>
      <c r="I1130" s="185" t="s">
        <v>1503</v>
      </c>
      <c r="J1130" s="185" t="s">
        <v>1504</v>
      </c>
      <c r="K1130" s="189" t="s">
        <v>1505</v>
      </c>
      <c r="L1130" s="189" t="s">
        <v>1504</v>
      </c>
      <c r="M1130" s="189"/>
      <c r="N1130" s="189" t="s">
        <v>1506</v>
      </c>
      <c r="O1130" s="189"/>
      <c r="P1130" s="190"/>
      <c r="Q1130" s="189"/>
      <c r="R1130" s="189"/>
      <c r="S1130" s="189"/>
      <c r="T1130" s="189" t="s">
        <v>1507</v>
      </c>
      <c r="U1130" s="189" t="s">
        <v>27</v>
      </c>
      <c r="V1130" s="189" t="s">
        <v>26</v>
      </c>
      <c r="W1130" s="191" t="s">
        <v>1508</v>
      </c>
      <c r="X1130" s="192"/>
    </row>
    <row r="1131" spans="1:24" x14ac:dyDescent="0.45">
      <c r="A1131" s="193">
        <v>1</v>
      </c>
      <c r="B1131" s="194" t="str">
        <f t="shared" ref="B1131:B1162" si="180">IF(OR($C$1111="",U1131=""),"",LEFT($C$1111,FIND("_",$C$1111)-1))</f>
        <v/>
      </c>
      <c r="C1131" s="170" t="str">
        <f t="shared" ref="C1131:C1162" si="181">IF(OR($C$1111="",U1131=""),"",$B$1111)</f>
        <v/>
      </c>
      <c r="D1131" s="170"/>
      <c r="E1131" s="195"/>
      <c r="F1131" s="195"/>
      <c r="G1131" s="196"/>
      <c r="H1131" s="197"/>
      <c r="I1131" s="197"/>
      <c r="J1131" s="197"/>
      <c r="K1131" s="197"/>
      <c r="L1131" s="197"/>
      <c r="M1131" s="198"/>
      <c r="N1131" s="198"/>
      <c r="O1131" s="198"/>
      <c r="P1131" s="199"/>
      <c r="Q1131" s="200"/>
      <c r="R1131" s="200"/>
      <c r="S1131" s="200"/>
      <c r="T1131" s="200" t="str">
        <f t="shared" ref="T1131:T1162" si="182">IF(K1131="","",((K1131*20)+L1131)-((I1131*20)+J1131))</f>
        <v/>
      </c>
      <c r="U1131" s="200"/>
      <c r="V1131" s="201" t="str">
        <f t="shared" ref="V1131:V1162" si="183">IF(U1131="","",$V$1111)</f>
        <v/>
      </c>
      <c r="W1131" s="202">
        <f t="shared" ref="W1131:W1162" si="184">IF(OR(T1131="",U1131=""),0,T1131*U1131)</f>
        <v>0</v>
      </c>
      <c r="X1131" s="172"/>
    </row>
    <row r="1132" spans="1:24" x14ac:dyDescent="0.45">
      <c r="A1132" s="193">
        <v>2</v>
      </c>
      <c r="B1132" s="194" t="str">
        <f t="shared" si="180"/>
        <v/>
      </c>
      <c r="C1132" s="170" t="str">
        <f t="shared" si="181"/>
        <v/>
      </c>
      <c r="D1132" s="170"/>
      <c r="E1132" s="195"/>
      <c r="F1132" s="195"/>
      <c r="G1132" s="196"/>
      <c r="H1132" s="197"/>
      <c r="I1132" s="197" t="str">
        <f t="shared" ref="I1132:I1163" si="185">IF(K1131="","",K1131)</f>
        <v/>
      </c>
      <c r="J1132" s="197" t="str">
        <f t="shared" ref="J1132:J1163" si="186">IF(L1131="","",L1131)</f>
        <v/>
      </c>
      <c r="K1132" s="197"/>
      <c r="L1132" s="197"/>
      <c r="M1132" s="198"/>
      <c r="N1132" s="198"/>
      <c r="O1132" s="198"/>
      <c r="P1132" s="199"/>
      <c r="Q1132" s="200"/>
      <c r="R1132" s="200"/>
      <c r="S1132" s="200"/>
      <c r="T1132" s="200" t="str">
        <f t="shared" si="182"/>
        <v/>
      </c>
      <c r="U1132" s="200"/>
      <c r="V1132" s="201" t="str">
        <f t="shared" si="183"/>
        <v/>
      </c>
      <c r="W1132" s="202">
        <f t="shared" si="184"/>
        <v>0</v>
      </c>
      <c r="X1132" s="172"/>
    </row>
    <row r="1133" spans="1:24" x14ac:dyDescent="0.45">
      <c r="A1133" s="193">
        <v>3</v>
      </c>
      <c r="B1133" s="194" t="str">
        <f t="shared" si="180"/>
        <v/>
      </c>
      <c r="C1133" s="170" t="str">
        <f t="shared" si="181"/>
        <v/>
      </c>
      <c r="D1133" s="170"/>
      <c r="E1133" s="195"/>
      <c r="F1133" s="195"/>
      <c r="G1133" s="196"/>
      <c r="H1133" s="197"/>
      <c r="I1133" s="197" t="str">
        <f t="shared" si="185"/>
        <v/>
      </c>
      <c r="J1133" s="197" t="str">
        <f t="shared" si="186"/>
        <v/>
      </c>
      <c r="K1133" s="197"/>
      <c r="L1133" s="197"/>
      <c r="M1133" s="198"/>
      <c r="N1133" s="198"/>
      <c r="O1133" s="198"/>
      <c r="P1133" s="199"/>
      <c r="Q1133" s="200"/>
      <c r="R1133" s="200"/>
      <c r="S1133" s="200"/>
      <c r="T1133" s="200" t="str">
        <f t="shared" si="182"/>
        <v/>
      </c>
      <c r="U1133" s="200"/>
      <c r="V1133" s="201" t="str">
        <f t="shared" si="183"/>
        <v/>
      </c>
      <c r="W1133" s="202">
        <f t="shared" si="184"/>
        <v>0</v>
      </c>
      <c r="X1133" s="172"/>
    </row>
    <row r="1134" spans="1:24" x14ac:dyDescent="0.45">
      <c r="A1134" s="193">
        <v>4</v>
      </c>
      <c r="B1134" s="194" t="str">
        <f t="shared" si="180"/>
        <v/>
      </c>
      <c r="C1134" s="170" t="str">
        <f t="shared" si="181"/>
        <v/>
      </c>
      <c r="D1134" s="170"/>
      <c r="E1134" s="195"/>
      <c r="F1134" s="195"/>
      <c r="G1134" s="196"/>
      <c r="H1134" s="197"/>
      <c r="I1134" s="197" t="str">
        <f t="shared" si="185"/>
        <v/>
      </c>
      <c r="J1134" s="197" t="str">
        <f t="shared" si="186"/>
        <v/>
      </c>
      <c r="K1134" s="197"/>
      <c r="L1134" s="197"/>
      <c r="M1134" s="198"/>
      <c r="N1134" s="198"/>
      <c r="O1134" s="198"/>
      <c r="P1134" s="199"/>
      <c r="Q1134" s="200"/>
      <c r="R1134" s="200"/>
      <c r="S1134" s="200"/>
      <c r="T1134" s="200" t="str">
        <f t="shared" si="182"/>
        <v/>
      </c>
      <c r="U1134" s="200"/>
      <c r="V1134" s="201" t="str">
        <f t="shared" si="183"/>
        <v/>
      </c>
      <c r="W1134" s="202">
        <f t="shared" si="184"/>
        <v>0</v>
      </c>
      <c r="X1134" s="172"/>
    </row>
    <row r="1135" spans="1:24" x14ac:dyDescent="0.45">
      <c r="A1135" s="193">
        <v>5</v>
      </c>
      <c r="B1135" s="194" t="str">
        <f t="shared" si="180"/>
        <v/>
      </c>
      <c r="C1135" s="170" t="str">
        <f t="shared" si="181"/>
        <v/>
      </c>
      <c r="D1135" s="170"/>
      <c r="E1135" s="195"/>
      <c r="F1135" s="195"/>
      <c r="G1135" s="196"/>
      <c r="H1135" s="197"/>
      <c r="I1135" s="197" t="str">
        <f t="shared" si="185"/>
        <v/>
      </c>
      <c r="J1135" s="197" t="str">
        <f t="shared" si="186"/>
        <v/>
      </c>
      <c r="K1135" s="197"/>
      <c r="L1135" s="197"/>
      <c r="M1135" s="198"/>
      <c r="N1135" s="198"/>
      <c r="O1135" s="198"/>
      <c r="P1135" s="199"/>
      <c r="Q1135" s="200"/>
      <c r="R1135" s="200"/>
      <c r="S1135" s="200"/>
      <c r="T1135" s="200" t="str">
        <f t="shared" si="182"/>
        <v/>
      </c>
      <c r="U1135" s="200"/>
      <c r="V1135" s="201" t="str">
        <f t="shared" si="183"/>
        <v/>
      </c>
      <c r="W1135" s="202">
        <f t="shared" si="184"/>
        <v>0</v>
      </c>
      <c r="X1135" s="172"/>
    </row>
    <row r="1136" spans="1:24" x14ac:dyDescent="0.45">
      <c r="A1136" s="193">
        <v>6</v>
      </c>
      <c r="B1136" s="194" t="str">
        <f t="shared" si="180"/>
        <v/>
      </c>
      <c r="C1136" s="170" t="str">
        <f t="shared" si="181"/>
        <v/>
      </c>
      <c r="D1136" s="170"/>
      <c r="E1136" s="195"/>
      <c r="F1136" s="195"/>
      <c r="G1136" s="196"/>
      <c r="H1136" s="197"/>
      <c r="I1136" s="197" t="str">
        <f t="shared" si="185"/>
        <v/>
      </c>
      <c r="J1136" s="197" t="str">
        <f t="shared" si="186"/>
        <v/>
      </c>
      <c r="K1136" s="197"/>
      <c r="L1136" s="197"/>
      <c r="M1136" s="198"/>
      <c r="N1136" s="198"/>
      <c r="O1136" s="198"/>
      <c r="P1136" s="199"/>
      <c r="Q1136" s="200"/>
      <c r="R1136" s="200"/>
      <c r="S1136" s="200"/>
      <c r="T1136" s="200" t="str">
        <f t="shared" si="182"/>
        <v/>
      </c>
      <c r="U1136" s="200"/>
      <c r="V1136" s="201" t="str">
        <f t="shared" si="183"/>
        <v/>
      </c>
      <c r="W1136" s="202">
        <f t="shared" si="184"/>
        <v>0</v>
      </c>
      <c r="X1136" s="172"/>
    </row>
    <row r="1137" spans="1:24" x14ac:dyDescent="0.45">
      <c r="A1137" s="193">
        <v>7</v>
      </c>
      <c r="B1137" s="194" t="str">
        <f t="shared" si="180"/>
        <v/>
      </c>
      <c r="C1137" s="170" t="str">
        <f t="shared" si="181"/>
        <v/>
      </c>
      <c r="D1137" s="170"/>
      <c r="E1137" s="195"/>
      <c r="F1137" s="195"/>
      <c r="G1137" s="196"/>
      <c r="H1137" s="197"/>
      <c r="I1137" s="197" t="str">
        <f t="shared" si="185"/>
        <v/>
      </c>
      <c r="J1137" s="197" t="str">
        <f t="shared" si="186"/>
        <v/>
      </c>
      <c r="K1137" s="197"/>
      <c r="L1137" s="197"/>
      <c r="M1137" s="198"/>
      <c r="N1137" s="198"/>
      <c r="O1137" s="198"/>
      <c r="P1137" s="199"/>
      <c r="Q1137" s="200"/>
      <c r="R1137" s="200"/>
      <c r="S1137" s="200"/>
      <c r="T1137" s="200" t="str">
        <f t="shared" si="182"/>
        <v/>
      </c>
      <c r="U1137" s="200"/>
      <c r="V1137" s="201" t="str">
        <f t="shared" si="183"/>
        <v/>
      </c>
      <c r="W1137" s="202">
        <f t="shared" si="184"/>
        <v>0</v>
      </c>
      <c r="X1137" s="172"/>
    </row>
    <row r="1138" spans="1:24" x14ac:dyDescent="0.45">
      <c r="A1138" s="193">
        <v>8</v>
      </c>
      <c r="B1138" s="194" t="str">
        <f t="shared" si="180"/>
        <v/>
      </c>
      <c r="C1138" s="170" t="str">
        <f t="shared" si="181"/>
        <v/>
      </c>
      <c r="D1138" s="170"/>
      <c r="E1138" s="195"/>
      <c r="F1138" s="195"/>
      <c r="G1138" s="196"/>
      <c r="H1138" s="197"/>
      <c r="I1138" s="197" t="str">
        <f t="shared" si="185"/>
        <v/>
      </c>
      <c r="J1138" s="197" t="str">
        <f t="shared" si="186"/>
        <v/>
      </c>
      <c r="K1138" s="197"/>
      <c r="L1138" s="197"/>
      <c r="M1138" s="198"/>
      <c r="N1138" s="198"/>
      <c r="O1138" s="198"/>
      <c r="P1138" s="199"/>
      <c r="Q1138" s="200"/>
      <c r="R1138" s="200"/>
      <c r="S1138" s="200"/>
      <c r="T1138" s="200" t="str">
        <f t="shared" si="182"/>
        <v/>
      </c>
      <c r="U1138" s="200"/>
      <c r="V1138" s="201" t="str">
        <f t="shared" si="183"/>
        <v/>
      </c>
      <c r="W1138" s="202">
        <f t="shared" si="184"/>
        <v>0</v>
      </c>
      <c r="X1138" s="172"/>
    </row>
    <row r="1139" spans="1:24" x14ac:dyDescent="0.45">
      <c r="A1139" s="193">
        <v>9</v>
      </c>
      <c r="B1139" s="194" t="str">
        <f t="shared" si="180"/>
        <v/>
      </c>
      <c r="C1139" s="170" t="str">
        <f t="shared" si="181"/>
        <v/>
      </c>
      <c r="D1139" s="170"/>
      <c r="E1139" s="195"/>
      <c r="F1139" s="195"/>
      <c r="G1139" s="196"/>
      <c r="H1139" s="197"/>
      <c r="I1139" s="197" t="str">
        <f t="shared" si="185"/>
        <v/>
      </c>
      <c r="J1139" s="197" t="str">
        <f t="shared" si="186"/>
        <v/>
      </c>
      <c r="K1139" s="197"/>
      <c r="L1139" s="197"/>
      <c r="M1139" s="198"/>
      <c r="N1139" s="198"/>
      <c r="O1139" s="198"/>
      <c r="P1139" s="199"/>
      <c r="Q1139" s="200"/>
      <c r="R1139" s="200"/>
      <c r="S1139" s="200"/>
      <c r="T1139" s="200" t="str">
        <f t="shared" si="182"/>
        <v/>
      </c>
      <c r="U1139" s="200"/>
      <c r="V1139" s="201" t="str">
        <f t="shared" si="183"/>
        <v/>
      </c>
      <c r="W1139" s="202">
        <f t="shared" si="184"/>
        <v>0</v>
      </c>
      <c r="X1139" s="172"/>
    </row>
    <row r="1140" spans="1:24" x14ac:dyDescent="0.45">
      <c r="A1140" s="193">
        <v>10</v>
      </c>
      <c r="B1140" s="194" t="str">
        <f t="shared" si="180"/>
        <v/>
      </c>
      <c r="C1140" s="170" t="str">
        <f t="shared" si="181"/>
        <v/>
      </c>
      <c r="D1140" s="170"/>
      <c r="E1140" s="195"/>
      <c r="F1140" s="195"/>
      <c r="G1140" s="196"/>
      <c r="H1140" s="197"/>
      <c r="I1140" s="197" t="str">
        <f t="shared" si="185"/>
        <v/>
      </c>
      <c r="J1140" s="197" t="str">
        <f t="shared" si="186"/>
        <v/>
      </c>
      <c r="K1140" s="197"/>
      <c r="L1140" s="197"/>
      <c r="M1140" s="198"/>
      <c r="N1140" s="198"/>
      <c r="O1140" s="198"/>
      <c r="P1140" s="199"/>
      <c r="Q1140" s="200"/>
      <c r="R1140" s="200"/>
      <c r="S1140" s="200"/>
      <c r="T1140" s="200" t="str">
        <f t="shared" si="182"/>
        <v/>
      </c>
      <c r="U1140" s="200"/>
      <c r="V1140" s="201" t="str">
        <f t="shared" si="183"/>
        <v/>
      </c>
      <c r="W1140" s="202">
        <f t="shared" si="184"/>
        <v>0</v>
      </c>
      <c r="X1140" s="172"/>
    </row>
    <row r="1141" spans="1:24" x14ac:dyDescent="0.45">
      <c r="A1141" s="193">
        <v>11</v>
      </c>
      <c r="B1141" s="194" t="str">
        <f t="shared" si="180"/>
        <v/>
      </c>
      <c r="C1141" s="170" t="str">
        <f t="shared" si="181"/>
        <v/>
      </c>
      <c r="D1141" s="170"/>
      <c r="E1141" s="195"/>
      <c r="F1141" s="195"/>
      <c r="G1141" s="196"/>
      <c r="H1141" s="197"/>
      <c r="I1141" s="197" t="str">
        <f t="shared" si="185"/>
        <v/>
      </c>
      <c r="J1141" s="197" t="str">
        <f t="shared" si="186"/>
        <v/>
      </c>
      <c r="K1141" s="197"/>
      <c r="L1141" s="197"/>
      <c r="M1141" s="198"/>
      <c r="N1141" s="198"/>
      <c r="O1141" s="198"/>
      <c r="P1141" s="199"/>
      <c r="Q1141" s="200"/>
      <c r="R1141" s="200"/>
      <c r="S1141" s="200"/>
      <c r="T1141" s="200" t="str">
        <f t="shared" si="182"/>
        <v/>
      </c>
      <c r="U1141" s="200"/>
      <c r="V1141" s="201" t="str">
        <f t="shared" si="183"/>
        <v/>
      </c>
      <c r="W1141" s="202">
        <f t="shared" si="184"/>
        <v>0</v>
      </c>
      <c r="X1141" s="172"/>
    </row>
    <row r="1142" spans="1:24" x14ac:dyDescent="0.45">
      <c r="A1142" s="193">
        <v>12</v>
      </c>
      <c r="B1142" s="194" t="str">
        <f t="shared" si="180"/>
        <v/>
      </c>
      <c r="C1142" s="170" t="str">
        <f t="shared" si="181"/>
        <v/>
      </c>
      <c r="D1142" s="170"/>
      <c r="E1142" s="195"/>
      <c r="F1142" s="195"/>
      <c r="G1142" s="196"/>
      <c r="H1142" s="197"/>
      <c r="I1142" s="197" t="str">
        <f t="shared" si="185"/>
        <v/>
      </c>
      <c r="J1142" s="197" t="str">
        <f t="shared" si="186"/>
        <v/>
      </c>
      <c r="K1142" s="197"/>
      <c r="L1142" s="197"/>
      <c r="M1142" s="198"/>
      <c r="N1142" s="198"/>
      <c r="O1142" s="198"/>
      <c r="P1142" s="199"/>
      <c r="Q1142" s="200"/>
      <c r="R1142" s="200"/>
      <c r="S1142" s="200"/>
      <c r="T1142" s="200" t="str">
        <f t="shared" si="182"/>
        <v/>
      </c>
      <c r="U1142" s="200"/>
      <c r="V1142" s="201" t="str">
        <f t="shared" si="183"/>
        <v/>
      </c>
      <c r="W1142" s="202">
        <f t="shared" si="184"/>
        <v>0</v>
      </c>
      <c r="X1142" s="172"/>
    </row>
    <row r="1143" spans="1:24" x14ac:dyDescent="0.45">
      <c r="A1143" s="193">
        <v>13</v>
      </c>
      <c r="B1143" s="194" t="str">
        <f t="shared" si="180"/>
        <v/>
      </c>
      <c r="C1143" s="170" t="str">
        <f t="shared" si="181"/>
        <v/>
      </c>
      <c r="D1143" s="170"/>
      <c r="E1143" s="195"/>
      <c r="F1143" s="195"/>
      <c r="G1143" s="196"/>
      <c r="H1143" s="197"/>
      <c r="I1143" s="197" t="str">
        <f t="shared" si="185"/>
        <v/>
      </c>
      <c r="J1143" s="197" t="str">
        <f t="shared" si="186"/>
        <v/>
      </c>
      <c r="K1143" s="197"/>
      <c r="L1143" s="197"/>
      <c r="M1143" s="198"/>
      <c r="N1143" s="198"/>
      <c r="O1143" s="198"/>
      <c r="P1143" s="199"/>
      <c r="Q1143" s="200"/>
      <c r="R1143" s="200"/>
      <c r="S1143" s="200"/>
      <c r="T1143" s="200" t="str">
        <f t="shared" si="182"/>
        <v/>
      </c>
      <c r="U1143" s="200"/>
      <c r="V1143" s="201" t="str">
        <f t="shared" si="183"/>
        <v/>
      </c>
      <c r="W1143" s="202">
        <f t="shared" si="184"/>
        <v>0</v>
      </c>
      <c r="X1143" s="172"/>
    </row>
    <row r="1144" spans="1:24" x14ac:dyDescent="0.45">
      <c r="A1144" s="193">
        <v>14</v>
      </c>
      <c r="B1144" s="194" t="str">
        <f t="shared" si="180"/>
        <v/>
      </c>
      <c r="C1144" s="170" t="str">
        <f t="shared" si="181"/>
        <v/>
      </c>
      <c r="D1144" s="170"/>
      <c r="E1144" s="195"/>
      <c r="F1144" s="195"/>
      <c r="G1144" s="196"/>
      <c r="H1144" s="197"/>
      <c r="I1144" s="197" t="str">
        <f t="shared" si="185"/>
        <v/>
      </c>
      <c r="J1144" s="197" t="str">
        <f t="shared" si="186"/>
        <v/>
      </c>
      <c r="K1144" s="197"/>
      <c r="L1144" s="197"/>
      <c r="M1144" s="198"/>
      <c r="N1144" s="198"/>
      <c r="O1144" s="198"/>
      <c r="P1144" s="199"/>
      <c r="Q1144" s="200"/>
      <c r="R1144" s="200"/>
      <c r="S1144" s="200"/>
      <c r="T1144" s="200" t="str">
        <f t="shared" si="182"/>
        <v/>
      </c>
      <c r="U1144" s="200"/>
      <c r="V1144" s="201" t="str">
        <f t="shared" si="183"/>
        <v/>
      </c>
      <c r="W1144" s="202">
        <f t="shared" si="184"/>
        <v>0</v>
      </c>
      <c r="X1144" s="172"/>
    </row>
    <row r="1145" spans="1:24" x14ac:dyDescent="0.45">
      <c r="A1145" s="193">
        <v>15</v>
      </c>
      <c r="B1145" s="194" t="str">
        <f t="shared" si="180"/>
        <v/>
      </c>
      <c r="C1145" s="170" t="str">
        <f t="shared" si="181"/>
        <v/>
      </c>
      <c r="D1145" s="170"/>
      <c r="E1145" s="195"/>
      <c r="F1145" s="195"/>
      <c r="G1145" s="196"/>
      <c r="H1145" s="197"/>
      <c r="I1145" s="197" t="str">
        <f t="shared" si="185"/>
        <v/>
      </c>
      <c r="J1145" s="197" t="str">
        <f t="shared" si="186"/>
        <v/>
      </c>
      <c r="K1145" s="197"/>
      <c r="L1145" s="197"/>
      <c r="M1145" s="198"/>
      <c r="N1145" s="198"/>
      <c r="O1145" s="198"/>
      <c r="P1145" s="199"/>
      <c r="Q1145" s="200"/>
      <c r="R1145" s="200"/>
      <c r="S1145" s="200"/>
      <c r="T1145" s="200" t="str">
        <f t="shared" si="182"/>
        <v/>
      </c>
      <c r="U1145" s="200"/>
      <c r="V1145" s="201" t="str">
        <f t="shared" si="183"/>
        <v/>
      </c>
      <c r="W1145" s="202">
        <f t="shared" si="184"/>
        <v>0</v>
      </c>
      <c r="X1145" s="172"/>
    </row>
    <row r="1146" spans="1:24" x14ac:dyDescent="0.45">
      <c r="A1146" s="193">
        <v>16</v>
      </c>
      <c r="B1146" s="194" t="str">
        <f t="shared" si="180"/>
        <v/>
      </c>
      <c r="C1146" s="170" t="str">
        <f t="shared" si="181"/>
        <v/>
      </c>
      <c r="D1146" s="170"/>
      <c r="E1146" s="195"/>
      <c r="F1146" s="195"/>
      <c r="G1146" s="196"/>
      <c r="H1146" s="197"/>
      <c r="I1146" s="197" t="str">
        <f t="shared" si="185"/>
        <v/>
      </c>
      <c r="J1146" s="197" t="str">
        <f t="shared" si="186"/>
        <v/>
      </c>
      <c r="K1146" s="197"/>
      <c r="L1146" s="197"/>
      <c r="M1146" s="198"/>
      <c r="N1146" s="198"/>
      <c r="O1146" s="198"/>
      <c r="P1146" s="199"/>
      <c r="Q1146" s="200"/>
      <c r="R1146" s="200"/>
      <c r="S1146" s="200"/>
      <c r="T1146" s="200" t="str">
        <f t="shared" si="182"/>
        <v/>
      </c>
      <c r="U1146" s="200"/>
      <c r="V1146" s="201" t="str">
        <f t="shared" si="183"/>
        <v/>
      </c>
      <c r="W1146" s="202">
        <f t="shared" si="184"/>
        <v>0</v>
      </c>
      <c r="X1146" s="172"/>
    </row>
    <row r="1147" spans="1:24" x14ac:dyDescent="0.45">
      <c r="A1147" s="193">
        <v>17</v>
      </c>
      <c r="B1147" s="194" t="str">
        <f t="shared" si="180"/>
        <v/>
      </c>
      <c r="C1147" s="170" t="str">
        <f t="shared" si="181"/>
        <v/>
      </c>
      <c r="D1147" s="170"/>
      <c r="E1147" s="195"/>
      <c r="F1147" s="195"/>
      <c r="G1147" s="196"/>
      <c r="H1147" s="197"/>
      <c r="I1147" s="197" t="str">
        <f t="shared" si="185"/>
        <v/>
      </c>
      <c r="J1147" s="197" t="str">
        <f t="shared" si="186"/>
        <v/>
      </c>
      <c r="K1147" s="197"/>
      <c r="L1147" s="197"/>
      <c r="M1147" s="198"/>
      <c r="N1147" s="198"/>
      <c r="O1147" s="198"/>
      <c r="P1147" s="199"/>
      <c r="Q1147" s="200"/>
      <c r="R1147" s="200"/>
      <c r="S1147" s="200"/>
      <c r="T1147" s="200" t="str">
        <f t="shared" si="182"/>
        <v/>
      </c>
      <c r="U1147" s="200"/>
      <c r="V1147" s="201" t="str">
        <f t="shared" si="183"/>
        <v/>
      </c>
      <c r="W1147" s="202">
        <f t="shared" si="184"/>
        <v>0</v>
      </c>
      <c r="X1147" s="172"/>
    </row>
    <row r="1148" spans="1:24" x14ac:dyDescent="0.45">
      <c r="A1148" s="193">
        <v>18</v>
      </c>
      <c r="B1148" s="194" t="str">
        <f t="shared" si="180"/>
        <v/>
      </c>
      <c r="C1148" s="170" t="str">
        <f t="shared" si="181"/>
        <v/>
      </c>
      <c r="D1148" s="170"/>
      <c r="E1148" s="195"/>
      <c r="F1148" s="195"/>
      <c r="G1148" s="196"/>
      <c r="H1148" s="197"/>
      <c r="I1148" s="197" t="str">
        <f t="shared" si="185"/>
        <v/>
      </c>
      <c r="J1148" s="197" t="str">
        <f t="shared" si="186"/>
        <v/>
      </c>
      <c r="K1148" s="197"/>
      <c r="L1148" s="197"/>
      <c r="M1148" s="198"/>
      <c r="N1148" s="198"/>
      <c r="O1148" s="198"/>
      <c r="P1148" s="199"/>
      <c r="Q1148" s="200"/>
      <c r="R1148" s="200"/>
      <c r="S1148" s="200"/>
      <c r="T1148" s="200" t="str">
        <f t="shared" si="182"/>
        <v/>
      </c>
      <c r="U1148" s="200"/>
      <c r="V1148" s="201" t="str">
        <f t="shared" si="183"/>
        <v/>
      </c>
      <c r="W1148" s="202">
        <f t="shared" si="184"/>
        <v>0</v>
      </c>
      <c r="X1148" s="172"/>
    </row>
    <row r="1149" spans="1:24" x14ac:dyDescent="0.45">
      <c r="A1149" s="193">
        <v>19</v>
      </c>
      <c r="B1149" s="194" t="str">
        <f t="shared" si="180"/>
        <v/>
      </c>
      <c r="C1149" s="170" t="str">
        <f t="shared" si="181"/>
        <v/>
      </c>
      <c r="D1149" s="170"/>
      <c r="E1149" s="195"/>
      <c r="F1149" s="195"/>
      <c r="G1149" s="196"/>
      <c r="H1149" s="197"/>
      <c r="I1149" s="197" t="str">
        <f t="shared" si="185"/>
        <v/>
      </c>
      <c r="J1149" s="197" t="str">
        <f t="shared" si="186"/>
        <v/>
      </c>
      <c r="K1149" s="197"/>
      <c r="L1149" s="197"/>
      <c r="M1149" s="198"/>
      <c r="N1149" s="198"/>
      <c r="O1149" s="198"/>
      <c r="P1149" s="199"/>
      <c r="Q1149" s="200"/>
      <c r="R1149" s="200"/>
      <c r="S1149" s="200"/>
      <c r="T1149" s="200" t="str">
        <f t="shared" si="182"/>
        <v/>
      </c>
      <c r="U1149" s="200"/>
      <c r="V1149" s="201" t="str">
        <f t="shared" si="183"/>
        <v/>
      </c>
      <c r="W1149" s="202">
        <f t="shared" si="184"/>
        <v>0</v>
      </c>
      <c r="X1149" s="172"/>
    </row>
    <row r="1150" spans="1:24" x14ac:dyDescent="0.45">
      <c r="A1150" s="193">
        <v>20</v>
      </c>
      <c r="B1150" s="194" t="str">
        <f t="shared" si="180"/>
        <v/>
      </c>
      <c r="C1150" s="170" t="str">
        <f t="shared" si="181"/>
        <v/>
      </c>
      <c r="D1150" s="170"/>
      <c r="E1150" s="195"/>
      <c r="F1150" s="195"/>
      <c r="G1150" s="196"/>
      <c r="H1150" s="197"/>
      <c r="I1150" s="197" t="str">
        <f t="shared" si="185"/>
        <v/>
      </c>
      <c r="J1150" s="197" t="str">
        <f t="shared" si="186"/>
        <v/>
      </c>
      <c r="K1150" s="197"/>
      <c r="L1150" s="197"/>
      <c r="M1150" s="198"/>
      <c r="N1150" s="198"/>
      <c r="O1150" s="198"/>
      <c r="P1150" s="199"/>
      <c r="Q1150" s="200"/>
      <c r="R1150" s="200"/>
      <c r="S1150" s="200"/>
      <c r="T1150" s="200" t="str">
        <f t="shared" si="182"/>
        <v/>
      </c>
      <c r="U1150" s="200"/>
      <c r="V1150" s="201" t="str">
        <f t="shared" si="183"/>
        <v/>
      </c>
      <c r="W1150" s="202">
        <f t="shared" si="184"/>
        <v>0</v>
      </c>
      <c r="X1150" s="172"/>
    </row>
    <row r="1151" spans="1:24" x14ac:dyDescent="0.45">
      <c r="A1151" s="193">
        <v>21</v>
      </c>
      <c r="B1151" s="194" t="str">
        <f t="shared" si="180"/>
        <v/>
      </c>
      <c r="C1151" s="170" t="str">
        <f t="shared" si="181"/>
        <v/>
      </c>
      <c r="D1151" s="170"/>
      <c r="E1151" s="195"/>
      <c r="F1151" s="195"/>
      <c r="G1151" s="196"/>
      <c r="H1151" s="197"/>
      <c r="I1151" s="197" t="str">
        <f t="shared" si="185"/>
        <v/>
      </c>
      <c r="J1151" s="197" t="str">
        <f t="shared" si="186"/>
        <v/>
      </c>
      <c r="K1151" s="197"/>
      <c r="L1151" s="197"/>
      <c r="M1151" s="198"/>
      <c r="N1151" s="198"/>
      <c r="O1151" s="198"/>
      <c r="P1151" s="199"/>
      <c r="Q1151" s="200"/>
      <c r="R1151" s="200"/>
      <c r="S1151" s="200"/>
      <c r="T1151" s="200" t="str">
        <f t="shared" si="182"/>
        <v/>
      </c>
      <c r="U1151" s="200"/>
      <c r="V1151" s="201" t="str">
        <f t="shared" si="183"/>
        <v/>
      </c>
      <c r="W1151" s="202">
        <f t="shared" si="184"/>
        <v>0</v>
      </c>
      <c r="X1151" s="172"/>
    </row>
    <row r="1152" spans="1:24" x14ac:dyDescent="0.45">
      <c r="A1152" s="193">
        <v>22</v>
      </c>
      <c r="B1152" s="194" t="str">
        <f t="shared" si="180"/>
        <v/>
      </c>
      <c r="C1152" s="170" t="str">
        <f t="shared" si="181"/>
        <v/>
      </c>
      <c r="D1152" s="170"/>
      <c r="E1152" s="195"/>
      <c r="F1152" s="170"/>
      <c r="G1152" s="170"/>
      <c r="H1152" s="203"/>
      <c r="I1152" s="197" t="str">
        <f t="shared" si="185"/>
        <v/>
      </c>
      <c r="J1152" s="197" t="str">
        <f t="shared" si="186"/>
        <v/>
      </c>
      <c r="K1152" s="197"/>
      <c r="L1152" s="197"/>
      <c r="M1152" s="198"/>
      <c r="N1152" s="198"/>
      <c r="O1152" s="198"/>
      <c r="P1152" s="199"/>
      <c r="Q1152" s="200"/>
      <c r="R1152" s="200"/>
      <c r="S1152" s="200"/>
      <c r="T1152" s="200" t="str">
        <f t="shared" si="182"/>
        <v/>
      </c>
      <c r="U1152" s="200"/>
      <c r="V1152" s="201" t="str">
        <f t="shared" si="183"/>
        <v/>
      </c>
      <c r="W1152" s="202">
        <f t="shared" si="184"/>
        <v>0</v>
      </c>
      <c r="X1152" s="172"/>
    </row>
    <row r="1153" spans="1:24" x14ac:dyDescent="0.45">
      <c r="A1153" s="193">
        <v>23</v>
      </c>
      <c r="B1153" s="194" t="str">
        <f t="shared" si="180"/>
        <v/>
      </c>
      <c r="C1153" s="170" t="str">
        <f t="shared" si="181"/>
        <v/>
      </c>
      <c r="D1153" s="170"/>
      <c r="E1153" s="195"/>
      <c r="F1153" s="170"/>
      <c r="G1153" s="170"/>
      <c r="H1153" s="203"/>
      <c r="I1153" s="197" t="str">
        <f t="shared" si="185"/>
        <v/>
      </c>
      <c r="J1153" s="197" t="str">
        <f t="shared" si="186"/>
        <v/>
      </c>
      <c r="K1153" s="197"/>
      <c r="L1153" s="197"/>
      <c r="M1153" s="198"/>
      <c r="N1153" s="198"/>
      <c r="O1153" s="198"/>
      <c r="P1153" s="199"/>
      <c r="Q1153" s="200"/>
      <c r="R1153" s="200"/>
      <c r="S1153" s="200"/>
      <c r="T1153" s="200" t="str">
        <f t="shared" si="182"/>
        <v/>
      </c>
      <c r="U1153" s="200"/>
      <c r="V1153" s="201" t="str">
        <f t="shared" si="183"/>
        <v/>
      </c>
      <c r="W1153" s="202">
        <f t="shared" si="184"/>
        <v>0</v>
      </c>
      <c r="X1153" s="172"/>
    </row>
    <row r="1154" spans="1:24" x14ac:dyDescent="0.45">
      <c r="A1154" s="193">
        <v>24</v>
      </c>
      <c r="B1154" s="194" t="str">
        <f t="shared" si="180"/>
        <v/>
      </c>
      <c r="C1154" s="170" t="str">
        <f t="shared" si="181"/>
        <v/>
      </c>
      <c r="D1154" s="170"/>
      <c r="E1154" s="195"/>
      <c r="F1154" s="170"/>
      <c r="G1154" s="170"/>
      <c r="H1154" s="203"/>
      <c r="I1154" s="197" t="str">
        <f t="shared" si="185"/>
        <v/>
      </c>
      <c r="J1154" s="197" t="str">
        <f t="shared" si="186"/>
        <v/>
      </c>
      <c r="K1154" s="197"/>
      <c r="L1154" s="197"/>
      <c r="M1154" s="198"/>
      <c r="N1154" s="198"/>
      <c r="O1154" s="198"/>
      <c r="P1154" s="199"/>
      <c r="Q1154" s="200"/>
      <c r="R1154" s="200"/>
      <c r="S1154" s="200"/>
      <c r="T1154" s="200" t="str">
        <f t="shared" si="182"/>
        <v/>
      </c>
      <c r="U1154" s="200"/>
      <c r="V1154" s="201" t="str">
        <f t="shared" si="183"/>
        <v/>
      </c>
      <c r="W1154" s="202">
        <f t="shared" si="184"/>
        <v>0</v>
      </c>
      <c r="X1154" s="172"/>
    </row>
    <row r="1155" spans="1:24" x14ac:dyDescent="0.45">
      <c r="A1155" s="193">
        <v>25</v>
      </c>
      <c r="B1155" s="194" t="str">
        <f t="shared" si="180"/>
        <v/>
      </c>
      <c r="C1155" s="170" t="str">
        <f t="shared" si="181"/>
        <v/>
      </c>
      <c r="D1155" s="170"/>
      <c r="E1155" s="195"/>
      <c r="F1155" s="170"/>
      <c r="G1155" s="170"/>
      <c r="H1155" s="203"/>
      <c r="I1155" s="197" t="str">
        <f t="shared" si="185"/>
        <v/>
      </c>
      <c r="J1155" s="197" t="str">
        <f t="shared" si="186"/>
        <v/>
      </c>
      <c r="K1155" s="197"/>
      <c r="L1155" s="197"/>
      <c r="M1155" s="198"/>
      <c r="N1155" s="198"/>
      <c r="O1155" s="198"/>
      <c r="P1155" s="199"/>
      <c r="Q1155" s="200"/>
      <c r="R1155" s="200"/>
      <c r="S1155" s="200"/>
      <c r="T1155" s="200" t="str">
        <f t="shared" si="182"/>
        <v/>
      </c>
      <c r="U1155" s="200"/>
      <c r="V1155" s="201" t="str">
        <f t="shared" si="183"/>
        <v/>
      </c>
      <c r="W1155" s="202">
        <f t="shared" si="184"/>
        <v>0</v>
      </c>
      <c r="X1155" s="172"/>
    </row>
    <row r="1156" spans="1:24" x14ac:dyDescent="0.45">
      <c r="A1156" s="193">
        <v>26</v>
      </c>
      <c r="B1156" s="194" t="str">
        <f t="shared" si="180"/>
        <v/>
      </c>
      <c r="C1156" s="170" t="str">
        <f t="shared" si="181"/>
        <v/>
      </c>
      <c r="D1156" s="170"/>
      <c r="E1156" s="195"/>
      <c r="F1156" s="170"/>
      <c r="G1156" s="170"/>
      <c r="H1156" s="203"/>
      <c r="I1156" s="197" t="str">
        <f t="shared" si="185"/>
        <v/>
      </c>
      <c r="J1156" s="197" t="str">
        <f t="shared" si="186"/>
        <v/>
      </c>
      <c r="K1156" s="197"/>
      <c r="L1156" s="197"/>
      <c r="M1156" s="198"/>
      <c r="N1156" s="198"/>
      <c r="O1156" s="198"/>
      <c r="P1156" s="199"/>
      <c r="Q1156" s="200"/>
      <c r="R1156" s="200"/>
      <c r="S1156" s="200"/>
      <c r="T1156" s="200" t="str">
        <f t="shared" si="182"/>
        <v/>
      </c>
      <c r="U1156" s="200"/>
      <c r="V1156" s="201" t="str">
        <f t="shared" si="183"/>
        <v/>
      </c>
      <c r="W1156" s="202">
        <f t="shared" si="184"/>
        <v>0</v>
      </c>
      <c r="X1156" s="172"/>
    </row>
    <row r="1157" spans="1:24" x14ac:dyDescent="0.45">
      <c r="A1157" s="193">
        <v>27</v>
      </c>
      <c r="B1157" s="194" t="str">
        <f t="shared" si="180"/>
        <v/>
      </c>
      <c r="C1157" s="170" t="str">
        <f t="shared" si="181"/>
        <v/>
      </c>
      <c r="D1157" s="170"/>
      <c r="E1157" s="195"/>
      <c r="F1157" s="170"/>
      <c r="G1157" s="170"/>
      <c r="H1157" s="203"/>
      <c r="I1157" s="197" t="str">
        <f t="shared" si="185"/>
        <v/>
      </c>
      <c r="J1157" s="197" t="str">
        <f t="shared" si="186"/>
        <v/>
      </c>
      <c r="K1157" s="197"/>
      <c r="L1157" s="197"/>
      <c r="M1157" s="198"/>
      <c r="N1157" s="198"/>
      <c r="O1157" s="198"/>
      <c r="P1157" s="199"/>
      <c r="Q1157" s="200"/>
      <c r="R1157" s="200"/>
      <c r="S1157" s="200"/>
      <c r="T1157" s="200" t="str">
        <f t="shared" si="182"/>
        <v/>
      </c>
      <c r="U1157" s="200"/>
      <c r="V1157" s="201" t="str">
        <f t="shared" si="183"/>
        <v/>
      </c>
      <c r="W1157" s="202">
        <f t="shared" si="184"/>
        <v>0</v>
      </c>
      <c r="X1157" s="172"/>
    </row>
    <row r="1158" spans="1:24" x14ac:dyDescent="0.45">
      <c r="A1158" s="193">
        <v>28</v>
      </c>
      <c r="B1158" s="194" t="str">
        <f t="shared" si="180"/>
        <v/>
      </c>
      <c r="C1158" s="170" t="str">
        <f t="shared" si="181"/>
        <v/>
      </c>
      <c r="D1158" s="170"/>
      <c r="E1158" s="195"/>
      <c r="F1158" s="170"/>
      <c r="G1158" s="170"/>
      <c r="H1158" s="203"/>
      <c r="I1158" s="197" t="str">
        <f t="shared" si="185"/>
        <v/>
      </c>
      <c r="J1158" s="197" t="str">
        <f t="shared" si="186"/>
        <v/>
      </c>
      <c r="K1158" s="197"/>
      <c r="L1158" s="197"/>
      <c r="M1158" s="198"/>
      <c r="N1158" s="198"/>
      <c r="O1158" s="198"/>
      <c r="P1158" s="199"/>
      <c r="Q1158" s="200"/>
      <c r="R1158" s="200"/>
      <c r="S1158" s="200"/>
      <c r="T1158" s="200" t="str">
        <f t="shared" si="182"/>
        <v/>
      </c>
      <c r="U1158" s="200"/>
      <c r="V1158" s="201" t="str">
        <f t="shared" si="183"/>
        <v/>
      </c>
      <c r="W1158" s="202">
        <f t="shared" si="184"/>
        <v>0</v>
      </c>
      <c r="X1158" s="172"/>
    </row>
    <row r="1159" spans="1:24" x14ac:dyDescent="0.45">
      <c r="A1159" s="193">
        <v>29</v>
      </c>
      <c r="B1159" s="194" t="str">
        <f t="shared" si="180"/>
        <v/>
      </c>
      <c r="C1159" s="170" t="str">
        <f t="shared" si="181"/>
        <v/>
      </c>
      <c r="D1159" s="170"/>
      <c r="E1159" s="195"/>
      <c r="F1159" s="170"/>
      <c r="G1159" s="170"/>
      <c r="H1159" s="203"/>
      <c r="I1159" s="197" t="str">
        <f t="shared" si="185"/>
        <v/>
      </c>
      <c r="J1159" s="197" t="str">
        <f t="shared" si="186"/>
        <v/>
      </c>
      <c r="K1159" s="197"/>
      <c r="L1159" s="197"/>
      <c r="M1159" s="198"/>
      <c r="N1159" s="198"/>
      <c r="O1159" s="198"/>
      <c r="P1159" s="199"/>
      <c r="Q1159" s="200"/>
      <c r="R1159" s="200"/>
      <c r="S1159" s="200"/>
      <c r="T1159" s="200" t="str">
        <f t="shared" si="182"/>
        <v/>
      </c>
      <c r="U1159" s="200"/>
      <c r="V1159" s="201" t="str">
        <f t="shared" si="183"/>
        <v/>
      </c>
      <c r="W1159" s="202">
        <f t="shared" si="184"/>
        <v>0</v>
      </c>
      <c r="X1159" s="172"/>
    </row>
    <row r="1160" spans="1:24" x14ac:dyDescent="0.45">
      <c r="A1160" s="193">
        <v>30</v>
      </c>
      <c r="B1160" s="194" t="str">
        <f t="shared" si="180"/>
        <v/>
      </c>
      <c r="C1160" s="170" t="str">
        <f t="shared" si="181"/>
        <v/>
      </c>
      <c r="D1160" s="170"/>
      <c r="E1160" s="195"/>
      <c r="F1160" s="170"/>
      <c r="G1160" s="170"/>
      <c r="H1160" s="203"/>
      <c r="I1160" s="197" t="str">
        <f t="shared" si="185"/>
        <v/>
      </c>
      <c r="J1160" s="197" t="str">
        <f t="shared" si="186"/>
        <v/>
      </c>
      <c r="K1160" s="197"/>
      <c r="L1160" s="197"/>
      <c r="M1160" s="198"/>
      <c r="N1160" s="198"/>
      <c r="O1160" s="198"/>
      <c r="P1160" s="199"/>
      <c r="Q1160" s="200"/>
      <c r="R1160" s="200"/>
      <c r="S1160" s="200"/>
      <c r="T1160" s="200" t="str">
        <f t="shared" si="182"/>
        <v/>
      </c>
      <c r="U1160" s="200"/>
      <c r="V1160" s="201" t="str">
        <f t="shared" si="183"/>
        <v/>
      </c>
      <c r="W1160" s="202">
        <f t="shared" si="184"/>
        <v>0</v>
      </c>
      <c r="X1160" s="172"/>
    </row>
    <row r="1161" spans="1:24" x14ac:dyDescent="0.45">
      <c r="A1161" s="193">
        <v>31</v>
      </c>
      <c r="B1161" s="194" t="str">
        <f t="shared" si="180"/>
        <v/>
      </c>
      <c r="C1161" s="170" t="str">
        <f t="shared" si="181"/>
        <v/>
      </c>
      <c r="D1161" s="170"/>
      <c r="E1161" s="195"/>
      <c r="F1161" s="170"/>
      <c r="G1161" s="170"/>
      <c r="H1161" s="203"/>
      <c r="I1161" s="197" t="str">
        <f t="shared" si="185"/>
        <v/>
      </c>
      <c r="J1161" s="197" t="str">
        <f t="shared" si="186"/>
        <v/>
      </c>
      <c r="K1161" s="197"/>
      <c r="L1161" s="197"/>
      <c r="M1161" s="198"/>
      <c r="N1161" s="198"/>
      <c r="O1161" s="198"/>
      <c r="P1161" s="199"/>
      <c r="Q1161" s="200"/>
      <c r="R1161" s="200"/>
      <c r="S1161" s="200"/>
      <c r="T1161" s="200" t="str">
        <f t="shared" si="182"/>
        <v/>
      </c>
      <c r="U1161" s="200"/>
      <c r="V1161" s="201" t="str">
        <f t="shared" si="183"/>
        <v/>
      </c>
      <c r="W1161" s="202">
        <f t="shared" si="184"/>
        <v>0</v>
      </c>
      <c r="X1161" s="172"/>
    </row>
    <row r="1162" spans="1:24" x14ac:dyDescent="0.45">
      <c r="A1162" s="193">
        <v>32</v>
      </c>
      <c r="B1162" s="194" t="str">
        <f t="shared" si="180"/>
        <v/>
      </c>
      <c r="C1162" s="170" t="str">
        <f t="shared" si="181"/>
        <v/>
      </c>
      <c r="D1162" s="170"/>
      <c r="E1162" s="195"/>
      <c r="F1162" s="170"/>
      <c r="G1162" s="170"/>
      <c r="H1162" s="203"/>
      <c r="I1162" s="197" t="str">
        <f t="shared" si="185"/>
        <v/>
      </c>
      <c r="J1162" s="197" t="str">
        <f t="shared" si="186"/>
        <v/>
      </c>
      <c r="K1162" s="197"/>
      <c r="L1162" s="197"/>
      <c r="M1162" s="198"/>
      <c r="N1162" s="198"/>
      <c r="O1162" s="198"/>
      <c r="P1162" s="199"/>
      <c r="Q1162" s="200"/>
      <c r="R1162" s="200"/>
      <c r="S1162" s="200"/>
      <c r="T1162" s="200" t="str">
        <f t="shared" si="182"/>
        <v/>
      </c>
      <c r="U1162" s="200"/>
      <c r="V1162" s="201" t="str">
        <f t="shared" si="183"/>
        <v/>
      </c>
      <c r="W1162" s="202">
        <f t="shared" si="184"/>
        <v>0</v>
      </c>
      <c r="X1162" s="172"/>
    </row>
    <row r="1163" spans="1:24" x14ac:dyDescent="0.45">
      <c r="A1163" s="193">
        <v>33</v>
      </c>
      <c r="B1163" s="194" t="str">
        <f t="shared" ref="B1163:B1196" si="187">IF(OR($C$1111="",U1163=""),"",LEFT($C$1111,FIND("_",$C$1111)-1))</f>
        <v/>
      </c>
      <c r="C1163" s="170" t="str">
        <f t="shared" ref="C1163:C1196" si="188">IF(OR($C$1111="",U1163=""),"",$B$1111)</f>
        <v/>
      </c>
      <c r="D1163" s="170"/>
      <c r="E1163" s="195"/>
      <c r="F1163" s="170"/>
      <c r="G1163" s="170"/>
      <c r="H1163" s="203"/>
      <c r="I1163" s="197" t="str">
        <f t="shared" si="185"/>
        <v/>
      </c>
      <c r="J1163" s="197" t="str">
        <f t="shared" si="186"/>
        <v/>
      </c>
      <c r="K1163" s="197"/>
      <c r="L1163" s="197"/>
      <c r="M1163" s="198"/>
      <c r="N1163" s="198"/>
      <c r="O1163" s="198"/>
      <c r="P1163" s="199"/>
      <c r="Q1163" s="200"/>
      <c r="R1163" s="200"/>
      <c r="S1163" s="200"/>
      <c r="T1163" s="200" t="str">
        <f t="shared" ref="T1163:T1196" si="189">IF(K1163="","",((K1163*20)+L1163)-((I1163*20)+J1163))</f>
        <v/>
      </c>
      <c r="U1163" s="200"/>
      <c r="V1163" s="201" t="str">
        <f t="shared" ref="V1163:V1194" si="190">IF(U1163="","",$V$1111)</f>
        <v/>
      </c>
      <c r="W1163" s="202">
        <f t="shared" ref="W1163:W1196" si="191">IF(OR(T1163="",U1163=""),0,T1163*U1163)</f>
        <v>0</v>
      </c>
      <c r="X1163" s="172"/>
    </row>
    <row r="1164" spans="1:24" x14ac:dyDescent="0.45">
      <c r="A1164" s="193">
        <v>34</v>
      </c>
      <c r="B1164" s="194" t="str">
        <f t="shared" si="187"/>
        <v/>
      </c>
      <c r="C1164" s="170" t="str">
        <f t="shared" si="188"/>
        <v/>
      </c>
      <c r="D1164" s="170"/>
      <c r="E1164" s="195"/>
      <c r="F1164" s="170"/>
      <c r="G1164" s="170"/>
      <c r="H1164" s="203"/>
      <c r="I1164" s="197" t="str">
        <f t="shared" ref="I1164:I1196" si="192">IF(K1163="","",K1163)</f>
        <v/>
      </c>
      <c r="J1164" s="197" t="str">
        <f t="shared" ref="J1164:J1196" si="193">IF(L1163="","",L1163)</f>
        <v/>
      </c>
      <c r="K1164" s="197"/>
      <c r="L1164" s="197"/>
      <c r="M1164" s="198"/>
      <c r="N1164" s="198"/>
      <c r="O1164" s="198"/>
      <c r="P1164" s="199"/>
      <c r="Q1164" s="200"/>
      <c r="R1164" s="200"/>
      <c r="S1164" s="200"/>
      <c r="T1164" s="200" t="str">
        <f t="shared" si="189"/>
        <v/>
      </c>
      <c r="U1164" s="200"/>
      <c r="V1164" s="201" t="str">
        <f t="shared" si="190"/>
        <v/>
      </c>
      <c r="W1164" s="202">
        <f t="shared" si="191"/>
        <v>0</v>
      </c>
      <c r="X1164" s="172"/>
    </row>
    <row r="1165" spans="1:24" x14ac:dyDescent="0.45">
      <c r="A1165" s="193">
        <v>35</v>
      </c>
      <c r="B1165" s="194" t="str">
        <f t="shared" si="187"/>
        <v/>
      </c>
      <c r="C1165" s="170" t="str">
        <f t="shared" si="188"/>
        <v/>
      </c>
      <c r="D1165" s="170"/>
      <c r="E1165" s="195"/>
      <c r="F1165" s="170"/>
      <c r="G1165" s="170"/>
      <c r="H1165" s="203"/>
      <c r="I1165" s="197" t="str">
        <f t="shared" si="192"/>
        <v/>
      </c>
      <c r="J1165" s="197" t="str">
        <f t="shared" si="193"/>
        <v/>
      </c>
      <c r="K1165" s="197"/>
      <c r="L1165" s="197"/>
      <c r="M1165" s="198"/>
      <c r="N1165" s="198"/>
      <c r="O1165" s="198"/>
      <c r="P1165" s="199"/>
      <c r="Q1165" s="200"/>
      <c r="R1165" s="200"/>
      <c r="S1165" s="200"/>
      <c r="T1165" s="200" t="str">
        <f t="shared" si="189"/>
        <v/>
      </c>
      <c r="U1165" s="200"/>
      <c r="V1165" s="201" t="str">
        <f t="shared" si="190"/>
        <v/>
      </c>
      <c r="W1165" s="202">
        <f t="shared" si="191"/>
        <v>0</v>
      </c>
      <c r="X1165" s="172"/>
    </row>
    <row r="1166" spans="1:24" x14ac:dyDescent="0.45">
      <c r="A1166" s="193">
        <v>36</v>
      </c>
      <c r="B1166" s="194" t="str">
        <f t="shared" si="187"/>
        <v/>
      </c>
      <c r="C1166" s="170" t="str">
        <f t="shared" si="188"/>
        <v/>
      </c>
      <c r="D1166" s="170"/>
      <c r="E1166" s="195"/>
      <c r="F1166" s="170"/>
      <c r="G1166" s="170"/>
      <c r="H1166" s="203"/>
      <c r="I1166" s="197" t="str">
        <f t="shared" si="192"/>
        <v/>
      </c>
      <c r="J1166" s="197" t="str">
        <f t="shared" si="193"/>
        <v/>
      </c>
      <c r="K1166" s="197"/>
      <c r="L1166" s="197"/>
      <c r="M1166" s="198"/>
      <c r="N1166" s="198"/>
      <c r="O1166" s="198"/>
      <c r="P1166" s="199"/>
      <c r="Q1166" s="200"/>
      <c r="R1166" s="200"/>
      <c r="S1166" s="200"/>
      <c r="T1166" s="200" t="str">
        <f t="shared" si="189"/>
        <v/>
      </c>
      <c r="U1166" s="200"/>
      <c r="V1166" s="201" t="str">
        <f t="shared" si="190"/>
        <v/>
      </c>
      <c r="W1166" s="202">
        <f t="shared" si="191"/>
        <v>0</v>
      </c>
      <c r="X1166" s="172"/>
    </row>
    <row r="1167" spans="1:24" x14ac:dyDescent="0.45">
      <c r="A1167" s="193">
        <v>37</v>
      </c>
      <c r="B1167" s="194" t="str">
        <f t="shared" si="187"/>
        <v/>
      </c>
      <c r="C1167" s="170" t="str">
        <f t="shared" si="188"/>
        <v/>
      </c>
      <c r="D1167" s="170"/>
      <c r="E1167" s="195"/>
      <c r="F1167" s="170"/>
      <c r="G1167" s="170"/>
      <c r="H1167" s="203"/>
      <c r="I1167" s="197" t="str">
        <f t="shared" si="192"/>
        <v/>
      </c>
      <c r="J1167" s="197" t="str">
        <f t="shared" si="193"/>
        <v/>
      </c>
      <c r="K1167" s="197"/>
      <c r="L1167" s="197"/>
      <c r="M1167" s="198"/>
      <c r="N1167" s="198"/>
      <c r="O1167" s="198"/>
      <c r="P1167" s="199"/>
      <c r="Q1167" s="200"/>
      <c r="R1167" s="200"/>
      <c r="S1167" s="200"/>
      <c r="T1167" s="200" t="str">
        <f t="shared" si="189"/>
        <v/>
      </c>
      <c r="U1167" s="200"/>
      <c r="V1167" s="201" t="str">
        <f t="shared" si="190"/>
        <v/>
      </c>
      <c r="W1167" s="202">
        <f t="shared" si="191"/>
        <v>0</v>
      </c>
      <c r="X1167" s="172"/>
    </row>
    <row r="1168" spans="1:24" x14ac:dyDescent="0.45">
      <c r="A1168" s="193">
        <v>38</v>
      </c>
      <c r="B1168" s="194" t="str">
        <f t="shared" si="187"/>
        <v/>
      </c>
      <c r="C1168" s="170" t="str">
        <f t="shared" si="188"/>
        <v/>
      </c>
      <c r="D1168" s="170"/>
      <c r="E1168" s="195"/>
      <c r="F1168" s="170"/>
      <c r="G1168" s="170"/>
      <c r="H1168" s="203"/>
      <c r="I1168" s="197" t="str">
        <f t="shared" si="192"/>
        <v/>
      </c>
      <c r="J1168" s="197" t="str">
        <f t="shared" si="193"/>
        <v/>
      </c>
      <c r="K1168" s="197"/>
      <c r="L1168" s="197"/>
      <c r="M1168" s="198"/>
      <c r="N1168" s="198"/>
      <c r="O1168" s="198"/>
      <c r="P1168" s="199"/>
      <c r="Q1168" s="200"/>
      <c r="R1168" s="200"/>
      <c r="S1168" s="200"/>
      <c r="T1168" s="200" t="str">
        <f t="shared" si="189"/>
        <v/>
      </c>
      <c r="U1168" s="200"/>
      <c r="V1168" s="201" t="str">
        <f t="shared" si="190"/>
        <v/>
      </c>
      <c r="W1168" s="202">
        <f t="shared" si="191"/>
        <v>0</v>
      </c>
      <c r="X1168" s="172"/>
    </row>
    <row r="1169" spans="1:24" x14ac:dyDescent="0.45">
      <c r="A1169" s="193">
        <v>39</v>
      </c>
      <c r="B1169" s="194" t="str">
        <f t="shared" si="187"/>
        <v/>
      </c>
      <c r="C1169" s="170" t="str">
        <f t="shared" si="188"/>
        <v/>
      </c>
      <c r="D1169" s="170"/>
      <c r="E1169" s="195"/>
      <c r="F1169" s="170"/>
      <c r="G1169" s="170"/>
      <c r="H1169" s="203"/>
      <c r="I1169" s="197" t="str">
        <f t="shared" si="192"/>
        <v/>
      </c>
      <c r="J1169" s="197" t="str">
        <f t="shared" si="193"/>
        <v/>
      </c>
      <c r="K1169" s="197"/>
      <c r="L1169" s="197"/>
      <c r="M1169" s="198"/>
      <c r="N1169" s="198"/>
      <c r="O1169" s="198"/>
      <c r="P1169" s="199"/>
      <c r="Q1169" s="200"/>
      <c r="R1169" s="200"/>
      <c r="S1169" s="200"/>
      <c r="T1169" s="200" t="str">
        <f t="shared" si="189"/>
        <v/>
      </c>
      <c r="U1169" s="200"/>
      <c r="V1169" s="201" t="str">
        <f t="shared" si="190"/>
        <v/>
      </c>
      <c r="W1169" s="202">
        <f t="shared" si="191"/>
        <v>0</v>
      </c>
      <c r="X1169" s="172"/>
    </row>
    <row r="1170" spans="1:24" x14ac:dyDescent="0.45">
      <c r="A1170" s="193">
        <v>40</v>
      </c>
      <c r="B1170" s="194" t="str">
        <f t="shared" si="187"/>
        <v/>
      </c>
      <c r="C1170" s="170" t="str">
        <f t="shared" si="188"/>
        <v/>
      </c>
      <c r="D1170" s="170"/>
      <c r="E1170" s="195"/>
      <c r="F1170" s="170"/>
      <c r="G1170" s="170"/>
      <c r="H1170" s="203"/>
      <c r="I1170" s="197" t="str">
        <f t="shared" si="192"/>
        <v/>
      </c>
      <c r="J1170" s="197" t="str">
        <f t="shared" si="193"/>
        <v/>
      </c>
      <c r="K1170" s="197"/>
      <c r="L1170" s="197"/>
      <c r="M1170" s="198"/>
      <c r="N1170" s="198"/>
      <c r="O1170" s="198"/>
      <c r="P1170" s="199"/>
      <c r="Q1170" s="200"/>
      <c r="R1170" s="200"/>
      <c r="S1170" s="200"/>
      <c r="T1170" s="200" t="str">
        <f t="shared" si="189"/>
        <v/>
      </c>
      <c r="U1170" s="200"/>
      <c r="V1170" s="201" t="str">
        <f t="shared" si="190"/>
        <v/>
      </c>
      <c r="W1170" s="202">
        <f t="shared" si="191"/>
        <v>0</v>
      </c>
      <c r="X1170" s="172"/>
    </row>
    <row r="1171" spans="1:24" x14ac:dyDescent="0.45">
      <c r="A1171" s="193">
        <v>41</v>
      </c>
      <c r="B1171" s="194" t="str">
        <f t="shared" si="187"/>
        <v/>
      </c>
      <c r="C1171" s="170" t="str">
        <f t="shared" si="188"/>
        <v/>
      </c>
      <c r="D1171" s="170"/>
      <c r="E1171" s="195"/>
      <c r="F1171" s="170"/>
      <c r="G1171" s="170"/>
      <c r="H1171" s="203"/>
      <c r="I1171" s="197" t="str">
        <f t="shared" si="192"/>
        <v/>
      </c>
      <c r="J1171" s="197" t="str">
        <f t="shared" si="193"/>
        <v/>
      </c>
      <c r="K1171" s="197"/>
      <c r="L1171" s="197"/>
      <c r="M1171" s="198"/>
      <c r="N1171" s="198"/>
      <c r="O1171" s="198"/>
      <c r="P1171" s="199"/>
      <c r="Q1171" s="200"/>
      <c r="R1171" s="200"/>
      <c r="S1171" s="200"/>
      <c r="T1171" s="200" t="str">
        <f t="shared" si="189"/>
        <v/>
      </c>
      <c r="U1171" s="200"/>
      <c r="V1171" s="201" t="str">
        <f t="shared" si="190"/>
        <v/>
      </c>
      <c r="W1171" s="202">
        <f t="shared" si="191"/>
        <v>0</v>
      </c>
      <c r="X1171" s="172"/>
    </row>
    <row r="1172" spans="1:24" x14ac:dyDescent="0.45">
      <c r="A1172" s="193">
        <v>42</v>
      </c>
      <c r="B1172" s="194" t="str">
        <f t="shared" si="187"/>
        <v/>
      </c>
      <c r="C1172" s="170" t="str">
        <f t="shared" si="188"/>
        <v/>
      </c>
      <c r="D1172" s="170"/>
      <c r="E1172" s="195"/>
      <c r="F1172" s="170"/>
      <c r="G1172" s="170"/>
      <c r="H1172" s="203"/>
      <c r="I1172" s="197" t="str">
        <f t="shared" si="192"/>
        <v/>
      </c>
      <c r="J1172" s="197" t="str">
        <f t="shared" si="193"/>
        <v/>
      </c>
      <c r="K1172" s="197"/>
      <c r="L1172" s="197"/>
      <c r="M1172" s="198"/>
      <c r="N1172" s="198"/>
      <c r="O1172" s="198"/>
      <c r="P1172" s="199"/>
      <c r="Q1172" s="200"/>
      <c r="R1172" s="200"/>
      <c r="S1172" s="200"/>
      <c r="T1172" s="200" t="str">
        <f t="shared" si="189"/>
        <v/>
      </c>
      <c r="U1172" s="200"/>
      <c r="V1172" s="201" t="str">
        <f t="shared" si="190"/>
        <v/>
      </c>
      <c r="W1172" s="202">
        <f t="shared" si="191"/>
        <v>0</v>
      </c>
      <c r="X1172" s="172"/>
    </row>
    <row r="1173" spans="1:24" x14ac:dyDescent="0.45">
      <c r="A1173" s="193">
        <v>43</v>
      </c>
      <c r="B1173" s="194" t="str">
        <f t="shared" si="187"/>
        <v/>
      </c>
      <c r="C1173" s="170" t="str">
        <f t="shared" si="188"/>
        <v/>
      </c>
      <c r="D1173" s="170"/>
      <c r="E1173" s="195"/>
      <c r="F1173" s="170"/>
      <c r="G1173" s="170"/>
      <c r="H1173" s="203"/>
      <c r="I1173" s="197" t="str">
        <f t="shared" si="192"/>
        <v/>
      </c>
      <c r="J1173" s="197" t="str">
        <f t="shared" si="193"/>
        <v/>
      </c>
      <c r="K1173" s="197"/>
      <c r="L1173" s="197"/>
      <c r="M1173" s="198"/>
      <c r="N1173" s="198"/>
      <c r="O1173" s="198"/>
      <c r="P1173" s="199"/>
      <c r="Q1173" s="200"/>
      <c r="R1173" s="200"/>
      <c r="S1173" s="200"/>
      <c r="T1173" s="200" t="str">
        <f t="shared" si="189"/>
        <v/>
      </c>
      <c r="U1173" s="200"/>
      <c r="V1173" s="201" t="str">
        <f t="shared" si="190"/>
        <v/>
      </c>
      <c r="W1173" s="202">
        <f t="shared" si="191"/>
        <v>0</v>
      </c>
      <c r="X1173" s="172"/>
    </row>
    <row r="1174" spans="1:24" x14ac:dyDescent="0.45">
      <c r="A1174" s="193">
        <v>44</v>
      </c>
      <c r="B1174" s="194" t="str">
        <f t="shared" si="187"/>
        <v/>
      </c>
      <c r="C1174" s="170" t="str">
        <f t="shared" si="188"/>
        <v/>
      </c>
      <c r="D1174" s="170"/>
      <c r="E1174" s="195"/>
      <c r="F1174" s="170"/>
      <c r="G1174" s="170"/>
      <c r="H1174" s="203"/>
      <c r="I1174" s="197" t="str">
        <f t="shared" si="192"/>
        <v/>
      </c>
      <c r="J1174" s="197" t="str">
        <f t="shared" si="193"/>
        <v/>
      </c>
      <c r="K1174" s="197"/>
      <c r="L1174" s="197"/>
      <c r="M1174" s="198"/>
      <c r="N1174" s="198"/>
      <c r="O1174" s="198"/>
      <c r="P1174" s="199"/>
      <c r="Q1174" s="200"/>
      <c r="R1174" s="200"/>
      <c r="S1174" s="200"/>
      <c r="T1174" s="200" t="str">
        <f t="shared" si="189"/>
        <v/>
      </c>
      <c r="U1174" s="200"/>
      <c r="V1174" s="201" t="str">
        <f t="shared" si="190"/>
        <v/>
      </c>
      <c r="W1174" s="202">
        <f t="shared" si="191"/>
        <v>0</v>
      </c>
      <c r="X1174" s="172"/>
    </row>
    <row r="1175" spans="1:24" x14ac:dyDescent="0.45">
      <c r="A1175" s="193">
        <v>45</v>
      </c>
      <c r="B1175" s="194" t="str">
        <f t="shared" si="187"/>
        <v/>
      </c>
      <c r="C1175" s="170" t="str">
        <f t="shared" si="188"/>
        <v/>
      </c>
      <c r="D1175" s="170"/>
      <c r="E1175" s="195"/>
      <c r="F1175" s="170"/>
      <c r="G1175" s="170"/>
      <c r="H1175" s="203"/>
      <c r="I1175" s="197" t="str">
        <f t="shared" si="192"/>
        <v/>
      </c>
      <c r="J1175" s="197" t="str">
        <f t="shared" si="193"/>
        <v/>
      </c>
      <c r="K1175" s="197"/>
      <c r="L1175" s="197"/>
      <c r="M1175" s="198"/>
      <c r="N1175" s="198"/>
      <c r="O1175" s="198"/>
      <c r="P1175" s="199"/>
      <c r="Q1175" s="200"/>
      <c r="R1175" s="200"/>
      <c r="S1175" s="200"/>
      <c r="T1175" s="200" t="str">
        <f t="shared" si="189"/>
        <v/>
      </c>
      <c r="U1175" s="200"/>
      <c r="V1175" s="201" t="str">
        <f t="shared" si="190"/>
        <v/>
      </c>
      <c r="W1175" s="202">
        <f t="shared" si="191"/>
        <v>0</v>
      </c>
      <c r="X1175" s="172"/>
    </row>
    <row r="1176" spans="1:24" x14ac:dyDescent="0.45">
      <c r="A1176" s="193">
        <v>46</v>
      </c>
      <c r="B1176" s="194" t="str">
        <f t="shared" si="187"/>
        <v/>
      </c>
      <c r="C1176" s="170" t="str">
        <f t="shared" si="188"/>
        <v/>
      </c>
      <c r="D1176" s="170"/>
      <c r="E1176" s="195"/>
      <c r="F1176" s="170"/>
      <c r="G1176" s="170"/>
      <c r="H1176" s="203"/>
      <c r="I1176" s="197" t="str">
        <f t="shared" si="192"/>
        <v/>
      </c>
      <c r="J1176" s="197" t="str">
        <f t="shared" si="193"/>
        <v/>
      </c>
      <c r="K1176" s="197"/>
      <c r="L1176" s="197"/>
      <c r="M1176" s="198"/>
      <c r="N1176" s="198"/>
      <c r="O1176" s="198"/>
      <c r="P1176" s="199"/>
      <c r="Q1176" s="200"/>
      <c r="R1176" s="200"/>
      <c r="S1176" s="200"/>
      <c r="T1176" s="200" t="str">
        <f t="shared" si="189"/>
        <v/>
      </c>
      <c r="U1176" s="200"/>
      <c r="V1176" s="201" t="str">
        <f t="shared" si="190"/>
        <v/>
      </c>
      <c r="W1176" s="202">
        <f t="shared" si="191"/>
        <v>0</v>
      </c>
      <c r="X1176" s="172"/>
    </row>
    <row r="1177" spans="1:24" x14ac:dyDescent="0.45">
      <c r="A1177" s="193">
        <v>47</v>
      </c>
      <c r="B1177" s="194" t="str">
        <f t="shared" si="187"/>
        <v/>
      </c>
      <c r="C1177" s="170" t="str">
        <f t="shared" si="188"/>
        <v/>
      </c>
      <c r="D1177" s="170"/>
      <c r="E1177" s="195"/>
      <c r="F1177" s="170"/>
      <c r="G1177" s="170"/>
      <c r="H1177" s="203"/>
      <c r="I1177" s="197" t="str">
        <f t="shared" si="192"/>
        <v/>
      </c>
      <c r="J1177" s="197" t="str">
        <f t="shared" si="193"/>
        <v/>
      </c>
      <c r="K1177" s="197"/>
      <c r="L1177" s="197"/>
      <c r="M1177" s="198"/>
      <c r="N1177" s="198"/>
      <c r="O1177" s="198"/>
      <c r="P1177" s="199"/>
      <c r="Q1177" s="200"/>
      <c r="R1177" s="200"/>
      <c r="S1177" s="200"/>
      <c r="T1177" s="200" t="str">
        <f t="shared" si="189"/>
        <v/>
      </c>
      <c r="U1177" s="200"/>
      <c r="V1177" s="201" t="str">
        <f t="shared" si="190"/>
        <v/>
      </c>
      <c r="W1177" s="202">
        <f t="shared" si="191"/>
        <v>0</v>
      </c>
      <c r="X1177" s="172"/>
    </row>
    <row r="1178" spans="1:24" x14ac:dyDescent="0.45">
      <c r="A1178" s="193">
        <v>48</v>
      </c>
      <c r="B1178" s="194" t="str">
        <f t="shared" si="187"/>
        <v/>
      </c>
      <c r="C1178" s="170" t="str">
        <f t="shared" si="188"/>
        <v/>
      </c>
      <c r="D1178" s="170"/>
      <c r="E1178" s="195"/>
      <c r="F1178" s="170"/>
      <c r="G1178" s="170"/>
      <c r="H1178" s="203"/>
      <c r="I1178" s="197" t="str">
        <f t="shared" si="192"/>
        <v/>
      </c>
      <c r="J1178" s="197" t="str">
        <f t="shared" si="193"/>
        <v/>
      </c>
      <c r="K1178" s="197"/>
      <c r="L1178" s="197"/>
      <c r="M1178" s="198"/>
      <c r="N1178" s="198"/>
      <c r="O1178" s="198"/>
      <c r="P1178" s="199"/>
      <c r="Q1178" s="200"/>
      <c r="R1178" s="200"/>
      <c r="S1178" s="200"/>
      <c r="T1178" s="200" t="str">
        <f t="shared" si="189"/>
        <v/>
      </c>
      <c r="U1178" s="200"/>
      <c r="V1178" s="201" t="str">
        <f t="shared" si="190"/>
        <v/>
      </c>
      <c r="W1178" s="202">
        <f t="shared" si="191"/>
        <v>0</v>
      </c>
      <c r="X1178" s="172"/>
    </row>
    <row r="1179" spans="1:24" x14ac:dyDescent="0.45">
      <c r="A1179" s="193">
        <v>49</v>
      </c>
      <c r="B1179" s="194" t="str">
        <f t="shared" si="187"/>
        <v/>
      </c>
      <c r="C1179" s="170" t="str">
        <f t="shared" si="188"/>
        <v/>
      </c>
      <c r="D1179" s="170"/>
      <c r="E1179" s="195"/>
      <c r="F1179" s="170"/>
      <c r="G1179" s="170"/>
      <c r="H1179" s="203"/>
      <c r="I1179" s="197" t="str">
        <f t="shared" si="192"/>
        <v/>
      </c>
      <c r="J1179" s="197" t="str">
        <f t="shared" si="193"/>
        <v/>
      </c>
      <c r="K1179" s="197"/>
      <c r="L1179" s="197"/>
      <c r="M1179" s="198"/>
      <c r="N1179" s="198"/>
      <c r="O1179" s="198"/>
      <c r="P1179" s="199"/>
      <c r="Q1179" s="200"/>
      <c r="R1179" s="200"/>
      <c r="S1179" s="200"/>
      <c r="T1179" s="200" t="str">
        <f t="shared" si="189"/>
        <v/>
      </c>
      <c r="U1179" s="200"/>
      <c r="V1179" s="201" t="str">
        <f t="shared" si="190"/>
        <v/>
      </c>
      <c r="W1179" s="202">
        <f t="shared" si="191"/>
        <v>0</v>
      </c>
      <c r="X1179" s="172"/>
    </row>
    <row r="1180" spans="1:24" x14ac:dyDescent="0.45">
      <c r="A1180" s="193">
        <v>50</v>
      </c>
      <c r="B1180" s="194" t="str">
        <f t="shared" si="187"/>
        <v/>
      </c>
      <c r="C1180" s="170" t="str">
        <f t="shared" si="188"/>
        <v/>
      </c>
      <c r="D1180" s="170"/>
      <c r="E1180" s="195"/>
      <c r="F1180" s="170"/>
      <c r="G1180" s="170"/>
      <c r="H1180" s="203"/>
      <c r="I1180" s="197" t="str">
        <f t="shared" si="192"/>
        <v/>
      </c>
      <c r="J1180" s="197" t="str">
        <f t="shared" si="193"/>
        <v/>
      </c>
      <c r="K1180" s="197"/>
      <c r="L1180" s="197"/>
      <c r="M1180" s="198"/>
      <c r="N1180" s="198"/>
      <c r="O1180" s="198"/>
      <c r="P1180" s="199"/>
      <c r="Q1180" s="200"/>
      <c r="R1180" s="200"/>
      <c r="S1180" s="200"/>
      <c r="T1180" s="200" t="str">
        <f t="shared" si="189"/>
        <v/>
      </c>
      <c r="U1180" s="200"/>
      <c r="V1180" s="201" t="str">
        <f t="shared" si="190"/>
        <v/>
      </c>
      <c r="W1180" s="202">
        <f t="shared" si="191"/>
        <v>0</v>
      </c>
      <c r="X1180" s="172"/>
    </row>
    <row r="1181" spans="1:24" x14ac:dyDescent="0.45">
      <c r="A1181" s="193">
        <v>51</v>
      </c>
      <c r="B1181" s="194" t="str">
        <f t="shared" si="187"/>
        <v/>
      </c>
      <c r="C1181" s="170" t="str">
        <f t="shared" si="188"/>
        <v/>
      </c>
      <c r="D1181" s="170"/>
      <c r="E1181" s="195"/>
      <c r="F1181" s="170"/>
      <c r="G1181" s="170"/>
      <c r="H1181" s="203"/>
      <c r="I1181" s="197" t="str">
        <f t="shared" si="192"/>
        <v/>
      </c>
      <c r="J1181" s="197" t="str">
        <f t="shared" si="193"/>
        <v/>
      </c>
      <c r="K1181" s="197"/>
      <c r="L1181" s="197"/>
      <c r="M1181" s="198"/>
      <c r="N1181" s="198"/>
      <c r="O1181" s="198"/>
      <c r="P1181" s="199"/>
      <c r="Q1181" s="200"/>
      <c r="R1181" s="200"/>
      <c r="S1181" s="200"/>
      <c r="T1181" s="200" t="str">
        <f t="shared" si="189"/>
        <v/>
      </c>
      <c r="U1181" s="200"/>
      <c r="V1181" s="201" t="str">
        <f t="shared" si="190"/>
        <v/>
      </c>
      <c r="W1181" s="202">
        <f t="shared" si="191"/>
        <v>0</v>
      </c>
      <c r="X1181" s="172"/>
    </row>
    <row r="1182" spans="1:24" x14ac:dyDescent="0.45">
      <c r="A1182" s="193">
        <v>52</v>
      </c>
      <c r="B1182" s="194" t="str">
        <f t="shared" si="187"/>
        <v/>
      </c>
      <c r="C1182" s="170" t="str">
        <f t="shared" si="188"/>
        <v/>
      </c>
      <c r="D1182" s="170"/>
      <c r="E1182" s="195"/>
      <c r="F1182" s="170"/>
      <c r="G1182" s="170"/>
      <c r="H1182" s="203"/>
      <c r="I1182" s="197" t="str">
        <f t="shared" si="192"/>
        <v/>
      </c>
      <c r="J1182" s="197" t="str">
        <f t="shared" si="193"/>
        <v/>
      </c>
      <c r="K1182" s="197"/>
      <c r="L1182" s="197"/>
      <c r="M1182" s="198"/>
      <c r="N1182" s="198"/>
      <c r="O1182" s="198"/>
      <c r="P1182" s="199"/>
      <c r="Q1182" s="200"/>
      <c r="R1182" s="200"/>
      <c r="S1182" s="200"/>
      <c r="T1182" s="200" t="str">
        <f t="shared" si="189"/>
        <v/>
      </c>
      <c r="U1182" s="200"/>
      <c r="V1182" s="201" t="str">
        <f t="shared" si="190"/>
        <v/>
      </c>
      <c r="W1182" s="202">
        <f t="shared" si="191"/>
        <v>0</v>
      </c>
      <c r="X1182" s="172"/>
    </row>
    <row r="1183" spans="1:24" x14ac:dyDescent="0.45">
      <c r="A1183" s="193">
        <v>53</v>
      </c>
      <c r="B1183" s="194" t="str">
        <f t="shared" si="187"/>
        <v/>
      </c>
      <c r="C1183" s="170" t="str">
        <f t="shared" si="188"/>
        <v/>
      </c>
      <c r="D1183" s="170"/>
      <c r="E1183" s="195"/>
      <c r="F1183" s="170"/>
      <c r="G1183" s="170"/>
      <c r="H1183" s="203"/>
      <c r="I1183" s="197" t="str">
        <f t="shared" si="192"/>
        <v/>
      </c>
      <c r="J1183" s="197" t="str">
        <f t="shared" si="193"/>
        <v/>
      </c>
      <c r="K1183" s="197"/>
      <c r="L1183" s="197"/>
      <c r="M1183" s="198"/>
      <c r="N1183" s="198"/>
      <c r="O1183" s="198"/>
      <c r="P1183" s="199"/>
      <c r="Q1183" s="200"/>
      <c r="R1183" s="200"/>
      <c r="S1183" s="200"/>
      <c r="T1183" s="200" t="str">
        <f t="shared" si="189"/>
        <v/>
      </c>
      <c r="U1183" s="200"/>
      <c r="V1183" s="201" t="str">
        <f t="shared" si="190"/>
        <v/>
      </c>
      <c r="W1183" s="202">
        <f t="shared" si="191"/>
        <v>0</v>
      </c>
      <c r="X1183" s="172"/>
    </row>
    <row r="1184" spans="1:24" x14ac:dyDescent="0.45">
      <c r="A1184" s="193">
        <v>54</v>
      </c>
      <c r="B1184" s="194" t="str">
        <f t="shared" si="187"/>
        <v/>
      </c>
      <c r="C1184" s="170" t="str">
        <f t="shared" si="188"/>
        <v/>
      </c>
      <c r="D1184" s="170"/>
      <c r="E1184" s="195"/>
      <c r="F1184" s="170"/>
      <c r="G1184" s="170"/>
      <c r="H1184" s="203"/>
      <c r="I1184" s="197" t="str">
        <f t="shared" si="192"/>
        <v/>
      </c>
      <c r="J1184" s="197" t="str">
        <f t="shared" si="193"/>
        <v/>
      </c>
      <c r="K1184" s="197"/>
      <c r="L1184" s="197"/>
      <c r="M1184" s="198"/>
      <c r="N1184" s="198"/>
      <c r="O1184" s="198"/>
      <c r="P1184" s="199"/>
      <c r="Q1184" s="200"/>
      <c r="R1184" s="200"/>
      <c r="S1184" s="200"/>
      <c r="T1184" s="200" t="str">
        <f t="shared" si="189"/>
        <v/>
      </c>
      <c r="U1184" s="200"/>
      <c r="V1184" s="201" t="str">
        <f t="shared" si="190"/>
        <v/>
      </c>
      <c r="W1184" s="202">
        <f t="shared" si="191"/>
        <v>0</v>
      </c>
      <c r="X1184" s="172"/>
    </row>
    <row r="1185" spans="1:24" x14ac:dyDescent="0.45">
      <c r="A1185" s="193">
        <v>55</v>
      </c>
      <c r="B1185" s="194" t="str">
        <f t="shared" si="187"/>
        <v/>
      </c>
      <c r="C1185" s="170" t="str">
        <f t="shared" si="188"/>
        <v/>
      </c>
      <c r="D1185" s="170"/>
      <c r="E1185" s="195"/>
      <c r="F1185" s="170"/>
      <c r="G1185" s="170"/>
      <c r="H1185" s="203"/>
      <c r="I1185" s="197" t="str">
        <f t="shared" si="192"/>
        <v/>
      </c>
      <c r="J1185" s="197" t="str">
        <f t="shared" si="193"/>
        <v/>
      </c>
      <c r="K1185" s="197"/>
      <c r="L1185" s="197"/>
      <c r="M1185" s="198"/>
      <c r="N1185" s="198"/>
      <c r="O1185" s="198"/>
      <c r="P1185" s="199"/>
      <c r="Q1185" s="200"/>
      <c r="R1185" s="200"/>
      <c r="S1185" s="200"/>
      <c r="T1185" s="200" t="str">
        <f t="shared" si="189"/>
        <v/>
      </c>
      <c r="U1185" s="200"/>
      <c r="V1185" s="201" t="str">
        <f t="shared" si="190"/>
        <v/>
      </c>
      <c r="W1185" s="202">
        <f t="shared" si="191"/>
        <v>0</v>
      </c>
      <c r="X1185" s="172"/>
    </row>
    <row r="1186" spans="1:24" x14ac:dyDescent="0.45">
      <c r="A1186" s="193">
        <v>56</v>
      </c>
      <c r="B1186" s="194" t="str">
        <f t="shared" si="187"/>
        <v/>
      </c>
      <c r="C1186" s="170" t="str">
        <f t="shared" si="188"/>
        <v/>
      </c>
      <c r="D1186" s="170"/>
      <c r="E1186" s="195"/>
      <c r="F1186" s="170"/>
      <c r="G1186" s="170"/>
      <c r="H1186" s="203"/>
      <c r="I1186" s="197" t="str">
        <f t="shared" si="192"/>
        <v/>
      </c>
      <c r="J1186" s="197" t="str">
        <f t="shared" si="193"/>
        <v/>
      </c>
      <c r="K1186" s="197"/>
      <c r="L1186" s="197"/>
      <c r="M1186" s="198"/>
      <c r="N1186" s="198"/>
      <c r="O1186" s="198"/>
      <c r="P1186" s="199"/>
      <c r="Q1186" s="200"/>
      <c r="R1186" s="200"/>
      <c r="S1186" s="200"/>
      <c r="T1186" s="200" t="str">
        <f t="shared" si="189"/>
        <v/>
      </c>
      <c r="U1186" s="200"/>
      <c r="V1186" s="201" t="str">
        <f t="shared" si="190"/>
        <v/>
      </c>
      <c r="W1186" s="202">
        <f t="shared" si="191"/>
        <v>0</v>
      </c>
      <c r="X1186" s="172"/>
    </row>
    <row r="1187" spans="1:24" x14ac:dyDescent="0.45">
      <c r="A1187" s="193">
        <v>57</v>
      </c>
      <c r="B1187" s="194" t="str">
        <f t="shared" si="187"/>
        <v/>
      </c>
      <c r="C1187" s="170" t="str">
        <f t="shared" si="188"/>
        <v/>
      </c>
      <c r="D1187" s="170"/>
      <c r="E1187" s="195"/>
      <c r="F1187" s="170"/>
      <c r="G1187" s="170"/>
      <c r="H1187" s="203"/>
      <c r="I1187" s="197" t="str">
        <f t="shared" si="192"/>
        <v/>
      </c>
      <c r="J1187" s="197" t="str">
        <f t="shared" si="193"/>
        <v/>
      </c>
      <c r="K1187" s="197"/>
      <c r="L1187" s="197"/>
      <c r="M1187" s="198"/>
      <c r="N1187" s="198"/>
      <c r="O1187" s="198"/>
      <c r="P1187" s="199"/>
      <c r="Q1187" s="200"/>
      <c r="R1187" s="200"/>
      <c r="S1187" s="200"/>
      <c r="T1187" s="200" t="str">
        <f t="shared" si="189"/>
        <v/>
      </c>
      <c r="U1187" s="200"/>
      <c r="V1187" s="201" t="str">
        <f t="shared" si="190"/>
        <v/>
      </c>
      <c r="W1187" s="202">
        <f t="shared" si="191"/>
        <v>0</v>
      </c>
      <c r="X1187" s="172"/>
    </row>
    <row r="1188" spans="1:24" x14ac:dyDescent="0.45">
      <c r="A1188" s="193">
        <v>58</v>
      </c>
      <c r="B1188" s="194" t="str">
        <f t="shared" si="187"/>
        <v/>
      </c>
      <c r="C1188" s="170" t="str">
        <f t="shared" si="188"/>
        <v/>
      </c>
      <c r="D1188" s="170"/>
      <c r="E1188" s="195"/>
      <c r="F1188" s="170"/>
      <c r="G1188" s="170"/>
      <c r="H1188" s="203"/>
      <c r="I1188" s="197" t="str">
        <f t="shared" si="192"/>
        <v/>
      </c>
      <c r="J1188" s="197" t="str">
        <f t="shared" si="193"/>
        <v/>
      </c>
      <c r="K1188" s="197"/>
      <c r="L1188" s="197"/>
      <c r="M1188" s="198"/>
      <c r="N1188" s="198"/>
      <c r="O1188" s="198"/>
      <c r="P1188" s="199"/>
      <c r="Q1188" s="200"/>
      <c r="R1188" s="200"/>
      <c r="S1188" s="200"/>
      <c r="T1188" s="200" t="str">
        <f t="shared" si="189"/>
        <v/>
      </c>
      <c r="U1188" s="200"/>
      <c r="V1188" s="201" t="str">
        <f t="shared" si="190"/>
        <v/>
      </c>
      <c r="W1188" s="202">
        <f t="shared" si="191"/>
        <v>0</v>
      </c>
      <c r="X1188" s="172"/>
    </row>
    <row r="1189" spans="1:24" x14ac:dyDescent="0.45">
      <c r="A1189" s="193">
        <v>59</v>
      </c>
      <c r="B1189" s="194" t="str">
        <f t="shared" si="187"/>
        <v/>
      </c>
      <c r="C1189" s="170" t="str">
        <f t="shared" si="188"/>
        <v/>
      </c>
      <c r="D1189" s="170"/>
      <c r="E1189" s="195"/>
      <c r="F1189" s="170"/>
      <c r="G1189" s="170"/>
      <c r="H1189" s="203"/>
      <c r="I1189" s="197" t="str">
        <f t="shared" si="192"/>
        <v/>
      </c>
      <c r="J1189" s="197" t="str">
        <f t="shared" si="193"/>
        <v/>
      </c>
      <c r="K1189" s="197"/>
      <c r="L1189" s="197"/>
      <c r="M1189" s="198"/>
      <c r="N1189" s="198"/>
      <c r="O1189" s="198"/>
      <c r="P1189" s="199"/>
      <c r="Q1189" s="200"/>
      <c r="R1189" s="200"/>
      <c r="S1189" s="200"/>
      <c r="T1189" s="200" t="str">
        <f t="shared" si="189"/>
        <v/>
      </c>
      <c r="U1189" s="200"/>
      <c r="V1189" s="201" t="str">
        <f t="shared" si="190"/>
        <v/>
      </c>
      <c r="W1189" s="202">
        <f t="shared" si="191"/>
        <v>0</v>
      </c>
      <c r="X1189" s="172"/>
    </row>
    <row r="1190" spans="1:24" x14ac:dyDescent="0.45">
      <c r="A1190" s="193">
        <v>60</v>
      </c>
      <c r="B1190" s="194" t="str">
        <f t="shared" si="187"/>
        <v/>
      </c>
      <c r="C1190" s="170" t="str">
        <f t="shared" si="188"/>
        <v/>
      </c>
      <c r="D1190" s="170"/>
      <c r="E1190" s="195"/>
      <c r="F1190" s="170"/>
      <c r="G1190" s="170"/>
      <c r="H1190" s="203"/>
      <c r="I1190" s="197" t="str">
        <f t="shared" si="192"/>
        <v/>
      </c>
      <c r="J1190" s="197" t="str">
        <f t="shared" si="193"/>
        <v/>
      </c>
      <c r="K1190" s="197"/>
      <c r="L1190" s="197"/>
      <c r="M1190" s="198"/>
      <c r="N1190" s="198"/>
      <c r="O1190" s="198"/>
      <c r="P1190" s="199"/>
      <c r="Q1190" s="200"/>
      <c r="R1190" s="200"/>
      <c r="S1190" s="200"/>
      <c r="T1190" s="200" t="str">
        <f t="shared" si="189"/>
        <v/>
      </c>
      <c r="U1190" s="200"/>
      <c r="V1190" s="201" t="str">
        <f t="shared" si="190"/>
        <v/>
      </c>
      <c r="W1190" s="202">
        <f t="shared" si="191"/>
        <v>0</v>
      </c>
      <c r="X1190" s="172"/>
    </row>
    <row r="1191" spans="1:24" x14ac:dyDescent="0.45">
      <c r="A1191" s="193">
        <v>61</v>
      </c>
      <c r="B1191" s="194" t="str">
        <f t="shared" si="187"/>
        <v/>
      </c>
      <c r="C1191" s="170" t="str">
        <f t="shared" si="188"/>
        <v/>
      </c>
      <c r="D1191" s="170"/>
      <c r="E1191" s="195"/>
      <c r="F1191" s="170"/>
      <c r="G1191" s="170"/>
      <c r="H1191" s="203"/>
      <c r="I1191" s="197" t="str">
        <f t="shared" si="192"/>
        <v/>
      </c>
      <c r="J1191" s="197" t="str">
        <f t="shared" si="193"/>
        <v/>
      </c>
      <c r="K1191" s="197"/>
      <c r="L1191" s="197"/>
      <c r="M1191" s="198"/>
      <c r="N1191" s="198"/>
      <c r="O1191" s="198"/>
      <c r="P1191" s="199"/>
      <c r="Q1191" s="200"/>
      <c r="R1191" s="200"/>
      <c r="S1191" s="200"/>
      <c r="T1191" s="200" t="str">
        <f t="shared" si="189"/>
        <v/>
      </c>
      <c r="U1191" s="200"/>
      <c r="V1191" s="201" t="str">
        <f t="shared" si="190"/>
        <v/>
      </c>
      <c r="W1191" s="202">
        <f t="shared" si="191"/>
        <v>0</v>
      </c>
      <c r="X1191" s="172"/>
    </row>
    <row r="1192" spans="1:24" x14ac:dyDescent="0.45">
      <c r="A1192" s="193">
        <v>62</v>
      </c>
      <c r="B1192" s="194" t="str">
        <f t="shared" si="187"/>
        <v/>
      </c>
      <c r="C1192" s="170" t="str">
        <f t="shared" si="188"/>
        <v/>
      </c>
      <c r="D1192" s="170"/>
      <c r="E1192" s="195"/>
      <c r="F1192" s="170"/>
      <c r="G1192" s="170"/>
      <c r="H1192" s="203"/>
      <c r="I1192" s="197" t="str">
        <f t="shared" si="192"/>
        <v/>
      </c>
      <c r="J1192" s="197" t="str">
        <f t="shared" si="193"/>
        <v/>
      </c>
      <c r="K1192" s="197"/>
      <c r="L1192" s="197"/>
      <c r="M1192" s="198"/>
      <c r="N1192" s="198"/>
      <c r="O1192" s="198"/>
      <c r="P1192" s="199"/>
      <c r="Q1192" s="200"/>
      <c r="R1192" s="200"/>
      <c r="S1192" s="200"/>
      <c r="T1192" s="200" t="str">
        <f t="shared" si="189"/>
        <v/>
      </c>
      <c r="U1192" s="200"/>
      <c r="V1192" s="201" t="str">
        <f t="shared" si="190"/>
        <v/>
      </c>
      <c r="W1192" s="202">
        <f t="shared" si="191"/>
        <v>0</v>
      </c>
      <c r="X1192" s="172"/>
    </row>
    <row r="1193" spans="1:24" x14ac:dyDescent="0.45">
      <c r="A1193" s="193">
        <v>63</v>
      </c>
      <c r="B1193" s="194" t="str">
        <f t="shared" si="187"/>
        <v/>
      </c>
      <c r="C1193" s="170" t="str">
        <f t="shared" si="188"/>
        <v/>
      </c>
      <c r="D1193" s="170"/>
      <c r="E1193" s="195"/>
      <c r="F1193" s="170"/>
      <c r="G1193" s="170"/>
      <c r="H1193" s="203"/>
      <c r="I1193" s="197" t="str">
        <f t="shared" si="192"/>
        <v/>
      </c>
      <c r="J1193" s="197" t="str">
        <f t="shared" si="193"/>
        <v/>
      </c>
      <c r="K1193" s="197"/>
      <c r="L1193" s="197"/>
      <c r="M1193" s="198"/>
      <c r="N1193" s="198"/>
      <c r="O1193" s="198"/>
      <c r="P1193" s="199"/>
      <c r="Q1193" s="200"/>
      <c r="R1193" s="200"/>
      <c r="S1193" s="200"/>
      <c r="T1193" s="200" t="str">
        <f t="shared" si="189"/>
        <v/>
      </c>
      <c r="U1193" s="200"/>
      <c r="V1193" s="201" t="str">
        <f t="shared" si="190"/>
        <v/>
      </c>
      <c r="W1193" s="202">
        <f t="shared" si="191"/>
        <v>0</v>
      </c>
      <c r="X1193" s="172"/>
    </row>
    <row r="1194" spans="1:24" x14ac:dyDescent="0.45">
      <c r="A1194" s="193">
        <v>64</v>
      </c>
      <c r="B1194" s="194" t="str">
        <f t="shared" si="187"/>
        <v/>
      </c>
      <c r="C1194" s="170" t="str">
        <f t="shared" si="188"/>
        <v/>
      </c>
      <c r="D1194" s="170"/>
      <c r="E1194" s="195"/>
      <c r="F1194" s="170"/>
      <c r="G1194" s="170"/>
      <c r="H1194" s="203"/>
      <c r="I1194" s="197" t="str">
        <f t="shared" si="192"/>
        <v/>
      </c>
      <c r="J1194" s="197" t="str">
        <f t="shared" si="193"/>
        <v/>
      </c>
      <c r="K1194" s="197"/>
      <c r="L1194" s="197"/>
      <c r="M1194" s="198"/>
      <c r="N1194" s="198"/>
      <c r="O1194" s="198"/>
      <c r="P1194" s="199"/>
      <c r="Q1194" s="200"/>
      <c r="R1194" s="200"/>
      <c r="S1194" s="200"/>
      <c r="T1194" s="200" t="str">
        <f t="shared" si="189"/>
        <v/>
      </c>
      <c r="U1194" s="200"/>
      <c r="V1194" s="201" t="str">
        <f t="shared" si="190"/>
        <v/>
      </c>
      <c r="W1194" s="202">
        <f t="shared" si="191"/>
        <v>0</v>
      </c>
      <c r="X1194" s="172"/>
    </row>
    <row r="1195" spans="1:24" x14ac:dyDescent="0.45">
      <c r="A1195" s="193">
        <v>65</v>
      </c>
      <c r="B1195" s="194" t="str">
        <f t="shared" si="187"/>
        <v/>
      </c>
      <c r="C1195" s="170" t="str">
        <f t="shared" si="188"/>
        <v/>
      </c>
      <c r="D1195" s="170"/>
      <c r="E1195" s="195"/>
      <c r="F1195" s="170"/>
      <c r="G1195" s="170"/>
      <c r="H1195" s="203"/>
      <c r="I1195" s="197" t="str">
        <f t="shared" si="192"/>
        <v/>
      </c>
      <c r="J1195" s="197" t="str">
        <f t="shared" si="193"/>
        <v/>
      </c>
      <c r="K1195" s="197"/>
      <c r="L1195" s="197"/>
      <c r="M1195" s="198"/>
      <c r="N1195" s="198"/>
      <c r="O1195" s="198"/>
      <c r="P1195" s="199"/>
      <c r="Q1195" s="200"/>
      <c r="R1195" s="200"/>
      <c r="S1195" s="200"/>
      <c r="T1195" s="200" t="str">
        <f t="shared" si="189"/>
        <v/>
      </c>
      <c r="U1195" s="200"/>
      <c r="V1195" s="201" t="str">
        <f t="shared" ref="V1195:V1196" si="194">IF(U1195="","",$V$1111)</f>
        <v/>
      </c>
      <c r="W1195" s="202">
        <f t="shared" si="191"/>
        <v>0</v>
      </c>
      <c r="X1195" s="172"/>
    </row>
    <row r="1196" spans="1:24" ht="14.25" customHeight="1" x14ac:dyDescent="0.45">
      <c r="A1196" s="193">
        <v>66</v>
      </c>
      <c r="B1196" s="204" t="str">
        <f t="shared" si="187"/>
        <v/>
      </c>
      <c r="C1196" s="205" t="str">
        <f t="shared" si="188"/>
        <v/>
      </c>
      <c r="D1196" s="205"/>
      <c r="E1196" s="205"/>
      <c r="F1196" s="205"/>
      <c r="G1196" s="205"/>
      <c r="H1196" s="205"/>
      <c r="I1196" s="206" t="str">
        <f t="shared" si="192"/>
        <v/>
      </c>
      <c r="J1196" s="206" t="str">
        <f t="shared" si="193"/>
        <v/>
      </c>
      <c r="K1196" s="206"/>
      <c r="L1196" s="206"/>
      <c r="M1196" s="205"/>
      <c r="N1196" s="205"/>
      <c r="O1196" s="205"/>
      <c r="P1196" s="205"/>
      <c r="Q1196" s="205"/>
      <c r="R1196" s="205"/>
      <c r="S1196" s="205"/>
      <c r="T1196" s="205" t="str">
        <f t="shared" si="189"/>
        <v/>
      </c>
      <c r="U1196" s="205"/>
      <c r="V1196" s="205" t="str">
        <f t="shared" si="194"/>
        <v/>
      </c>
      <c r="W1196" s="207">
        <f t="shared" si="191"/>
        <v>0</v>
      </c>
      <c r="X1196" s="207"/>
    </row>
    <row r="1197" spans="1:24" ht="24.75" customHeight="1" x14ac:dyDescent="0.45">
      <c r="B1197" s="428" t="s">
        <v>1521</v>
      </c>
      <c r="C1197" s="429" t="s">
        <v>1494</v>
      </c>
      <c r="D1197" s="429"/>
      <c r="E1197" s="429"/>
      <c r="F1197" s="429"/>
      <c r="G1197" s="429"/>
      <c r="H1197" s="429"/>
      <c r="I1197" s="429"/>
      <c r="J1197" s="429"/>
      <c r="K1197" s="429"/>
      <c r="L1197" s="429"/>
      <c r="M1197" s="429"/>
      <c r="N1197" s="429"/>
      <c r="O1197" s="429"/>
      <c r="P1197" s="429"/>
      <c r="Q1197" s="429"/>
      <c r="R1197" s="145" t="s">
        <v>1</v>
      </c>
      <c r="S1197" s="146"/>
      <c r="T1197" s="145" t="s">
        <v>8</v>
      </c>
      <c r="U1197" s="147"/>
      <c r="V1197" s="148" t="s">
        <v>3</v>
      </c>
      <c r="W1197" s="146"/>
      <c r="X1197" s="149"/>
    </row>
    <row r="1198" spans="1:24" ht="24.75" customHeight="1" x14ac:dyDescent="0.45">
      <c r="B1198" s="428"/>
      <c r="C1198" s="429"/>
      <c r="D1198" s="429"/>
      <c r="E1198" s="429"/>
      <c r="F1198" s="429"/>
      <c r="G1198" s="429"/>
      <c r="H1198" s="429"/>
      <c r="I1198" s="429"/>
      <c r="J1198" s="429"/>
      <c r="K1198" s="429"/>
      <c r="L1198" s="429"/>
      <c r="M1198" s="429"/>
      <c r="N1198" s="429"/>
      <c r="O1198" s="429"/>
      <c r="P1198" s="429"/>
      <c r="Q1198" s="429"/>
      <c r="R1198" s="430" t="s">
        <v>1495</v>
      </c>
      <c r="S1198" s="430"/>
      <c r="T1198" s="431" t="str">
        <f>'BM MORRO DA CRUZ - VERTICAL'!$V$4</f>
        <v>01-10-26 A 31-10-26</v>
      </c>
      <c r="U1198" s="431"/>
      <c r="V1198" s="432" t="str">
        <f>IF('BM MORRO DA CRUZ - VERTICAL'!$BF$2="","",'BM MORRO DA CRUZ - VERTICAL'!$BF$2)</f>
        <v/>
      </c>
      <c r="W1198" s="432"/>
      <c r="X1198" s="150"/>
    </row>
    <row r="1199" spans="1:24" ht="24.75" customHeight="1" x14ac:dyDescent="0.45">
      <c r="B1199" s="151" t="s">
        <v>5</v>
      </c>
      <c r="C1199" s="152"/>
      <c r="D1199" s="152"/>
      <c r="E1199" s="152"/>
      <c r="F1199" s="152"/>
      <c r="G1199" s="152"/>
      <c r="H1199" s="152"/>
      <c r="I1199" s="152"/>
      <c r="J1199" s="152"/>
      <c r="K1199" s="152"/>
      <c r="L1199" s="152"/>
      <c r="M1199" s="152"/>
      <c r="N1199" s="152"/>
      <c r="O1199" s="152"/>
      <c r="P1199" s="153"/>
      <c r="Q1199" s="154"/>
      <c r="R1199" s="155"/>
      <c r="S1199" s="155"/>
      <c r="T1199" s="156" t="s">
        <v>1496</v>
      </c>
      <c r="U1199" s="157"/>
      <c r="V1199" s="158" t="s">
        <v>9</v>
      </c>
      <c r="W1199" s="159"/>
      <c r="X1199" s="433"/>
    </row>
    <row r="1200" spans="1:24" ht="24.75" customHeight="1" x14ac:dyDescent="0.45">
      <c r="B1200" s="17" t="s">
        <v>11</v>
      </c>
      <c r="C1200" s="160"/>
      <c r="D1200" s="160"/>
      <c r="E1200" s="160"/>
      <c r="F1200" s="160"/>
      <c r="G1200" s="160"/>
      <c r="H1200" s="160"/>
      <c r="I1200" s="160"/>
      <c r="J1200" s="160"/>
      <c r="K1200" s="160"/>
      <c r="L1200" s="160"/>
      <c r="M1200" s="160"/>
      <c r="N1200" s="160"/>
      <c r="O1200" s="160"/>
      <c r="P1200" s="161"/>
      <c r="Q1200" s="162"/>
      <c r="R1200" s="163"/>
      <c r="S1200" s="163"/>
      <c r="T1200" s="434" t="str">
        <f>'BM MORRO DA CRUZ - VERTICAL'!$V$2</f>
        <v>1ª MEDIÇÃO</v>
      </c>
      <c r="U1200" s="434"/>
      <c r="V1200" s="435" t="s">
        <v>13</v>
      </c>
      <c r="W1200" s="435"/>
      <c r="X1200" s="433"/>
    </row>
    <row r="1201" spans="2:24" ht="24.75" customHeight="1" x14ac:dyDescent="0.45">
      <c r="B1201" s="164" t="s">
        <v>1459</v>
      </c>
      <c r="C1201" s="165" t="s">
        <v>14</v>
      </c>
      <c r="D1201" s="165" t="s">
        <v>24</v>
      </c>
      <c r="E1201" s="165" t="s">
        <v>25</v>
      </c>
      <c r="F1201" s="166" t="s">
        <v>1461</v>
      </c>
      <c r="G1201" s="165"/>
      <c r="H1201" s="165"/>
      <c r="I1201" s="165"/>
      <c r="J1201" s="165"/>
      <c r="K1201" s="165"/>
      <c r="L1201" s="165"/>
      <c r="M1201" s="165"/>
      <c r="N1201" s="165"/>
      <c r="O1201" s="165"/>
      <c r="P1201" s="165"/>
      <c r="Q1201" s="165"/>
      <c r="R1201" s="165"/>
      <c r="S1201" s="165"/>
      <c r="T1201" s="165"/>
      <c r="U1201" s="165"/>
      <c r="V1201" s="165" t="s">
        <v>26</v>
      </c>
      <c r="W1201" s="167" t="s">
        <v>29</v>
      </c>
      <c r="X1201" s="168"/>
    </row>
    <row r="1202" spans="2:24" ht="24.75" customHeight="1" x14ac:dyDescent="0.45">
      <c r="B1202" s="169"/>
      <c r="C1202" s="170"/>
      <c r="D1202" s="170"/>
      <c r="E1202" s="170"/>
      <c r="F1202" s="170"/>
      <c r="G1202" s="170"/>
      <c r="H1202" s="170"/>
      <c r="I1202" s="170"/>
      <c r="J1202" s="170"/>
      <c r="K1202" s="170"/>
      <c r="L1202" s="170"/>
      <c r="M1202" s="170"/>
      <c r="N1202" s="170"/>
      <c r="O1202" s="170"/>
      <c r="P1202" s="170"/>
      <c r="Q1202" s="170"/>
      <c r="R1202" s="170"/>
      <c r="S1202" s="170"/>
      <c r="T1202" s="170"/>
      <c r="U1202" s="170"/>
      <c r="V1202" s="170"/>
      <c r="W1202" s="171"/>
      <c r="X1202" s="172"/>
    </row>
    <row r="1203" spans="2:24" ht="24.75" customHeight="1" x14ac:dyDescent="0.45">
      <c r="B1203" s="173" t="str">
        <f>IF($C$1203="","",IFERROR(INDEX('BM MORRO DA CRUZ - VERTICAL'!$C$6:$C$546,MATCH($C$1203,'BM MORRO DA CRUZ - VERTICAL'!$D$6:$D$546,0)),"CHAVE NÃO ENCONTRADA NO VERTICAL"))</f>
        <v/>
      </c>
      <c r="C1203" s="174"/>
      <c r="D1203" s="175" t="str">
        <f>IF($C$1203="","",IFERROR(INDEX('BM MORRO DA CRUZ - VERTICAL'!$O$6:$O$546,MATCH($C$1203,'BM MORRO DA CRUZ - VERTICAL'!$D$6:$D$546,0)),"CHAVE NÃO ENCONTRADA NO VERTICAL"))</f>
        <v/>
      </c>
      <c r="E1203" s="175" t="str">
        <f>IF($C$1203="","",IFERROR(INDEX('BM MORRO DA CRUZ - VERTICAL'!$P$6:$P$546,MATCH($C$1203,'BM MORRO DA CRUZ - VERTICAL'!$D$6:$D$546,0)),"CHAVE NÃO ENCONTRADA NO VERTICAL"))</f>
        <v/>
      </c>
      <c r="F1203" s="175" t="str">
        <f>IF($C$1203="","",IFERROR(INDEX('BM MORRO DA CRUZ - VERTICAL'!$Q$6:$Q$546,MATCH($C$1203,'BM MORRO DA CRUZ - VERTICAL'!$D$6:$D$546,0)),"CHAVE NÃO ENCONTRADA NO VERTICAL"))</f>
        <v/>
      </c>
      <c r="G1203" s="176"/>
      <c r="H1203" s="176"/>
      <c r="I1203" s="176"/>
      <c r="J1203" s="176"/>
      <c r="K1203" s="176"/>
      <c r="L1203" s="176"/>
      <c r="M1203" s="176"/>
      <c r="N1203" s="176"/>
      <c r="O1203" s="176"/>
      <c r="P1203" s="176"/>
      <c r="Q1203" s="176"/>
      <c r="R1203" s="176"/>
      <c r="S1203" s="176"/>
      <c r="T1203" s="176"/>
      <c r="U1203" s="176"/>
      <c r="V1203" s="177" t="str">
        <f>IF($C$1203="","",IFERROR(INDEX('BM MORRO DA CRUZ - VERTICAL'!$R$6:$R$546,MATCH($C$1203,'BM MORRO DA CRUZ - VERTICAL'!$D$6:$D$546,0)),"CHAVE NÃO ENCONTRADA NO VERTICAL"))</f>
        <v/>
      </c>
      <c r="W1203" s="178">
        <f>SUM($W1223:$W1288)</f>
        <v>0</v>
      </c>
      <c r="X1203" s="179"/>
    </row>
    <row r="1204" spans="2:24" ht="24.75" customHeight="1" x14ac:dyDescent="0.45">
      <c r="B1204" s="426" t="s">
        <v>1497</v>
      </c>
      <c r="C1204" s="426"/>
      <c r="D1204" s="426"/>
      <c r="E1204" s="426"/>
      <c r="F1204" s="426"/>
      <c r="G1204" s="426"/>
      <c r="H1204" s="426"/>
      <c r="I1204" s="426"/>
      <c r="J1204" s="426"/>
      <c r="K1204" s="426"/>
      <c r="L1204" s="426"/>
      <c r="M1204" s="426"/>
      <c r="N1204" s="426"/>
      <c r="O1204" s="426"/>
      <c r="P1204" s="426"/>
      <c r="Q1204" s="426"/>
      <c r="R1204" s="426"/>
      <c r="S1204" s="426"/>
      <c r="T1204" s="426"/>
      <c r="U1204" s="426"/>
      <c r="V1204" s="426"/>
      <c r="W1204" s="426"/>
      <c r="X1204" s="180" t="s">
        <v>1498</v>
      </c>
    </row>
    <row r="1205" spans="2:24" ht="14.25" customHeight="1" x14ac:dyDescent="0.45">
      <c r="B1205" s="181"/>
      <c r="C1205" s="182"/>
      <c r="D1205" s="182"/>
      <c r="E1205" s="182"/>
      <c r="F1205" s="182"/>
      <c r="G1205" s="182"/>
      <c r="H1205" s="182"/>
      <c r="I1205" s="182"/>
      <c r="J1205" s="182"/>
      <c r="K1205" s="182"/>
      <c r="L1205" s="182"/>
      <c r="M1205" s="182"/>
      <c r="N1205" s="182"/>
      <c r="O1205" s="182"/>
      <c r="P1205" s="182"/>
      <c r="Q1205" s="182"/>
      <c r="R1205" s="182"/>
      <c r="S1205" s="182"/>
      <c r="T1205" s="182"/>
      <c r="U1205" s="182"/>
      <c r="V1205" s="182"/>
      <c r="W1205" s="183"/>
      <c r="X1205" s="427"/>
    </row>
    <row r="1206" spans="2:24" x14ac:dyDescent="0.45">
      <c r="B1206" s="181"/>
      <c r="C1206" s="182"/>
      <c r="D1206" s="182"/>
      <c r="E1206" s="182"/>
      <c r="F1206" s="182"/>
      <c r="G1206" s="182"/>
      <c r="H1206" s="182"/>
      <c r="I1206" s="182"/>
      <c r="J1206" s="182"/>
      <c r="K1206" s="182"/>
      <c r="L1206" s="182"/>
      <c r="M1206" s="182"/>
      <c r="N1206" s="182"/>
      <c r="O1206" s="182"/>
      <c r="P1206" s="182"/>
      <c r="Q1206" s="182"/>
      <c r="R1206" s="182"/>
      <c r="S1206" s="182"/>
      <c r="T1206" s="182"/>
      <c r="U1206" s="182"/>
      <c r="V1206" s="182"/>
      <c r="W1206" s="183"/>
      <c r="X1206" s="427"/>
    </row>
    <row r="1207" spans="2:24" x14ac:dyDescent="0.45">
      <c r="B1207" s="181"/>
      <c r="C1207" s="182"/>
      <c r="D1207" s="182"/>
      <c r="E1207" s="182"/>
      <c r="F1207" s="182"/>
      <c r="G1207" s="182"/>
      <c r="H1207" s="182"/>
      <c r="I1207" s="182"/>
      <c r="J1207" s="182"/>
      <c r="K1207" s="182"/>
      <c r="L1207" s="182"/>
      <c r="M1207" s="182"/>
      <c r="N1207" s="182"/>
      <c r="O1207" s="182"/>
      <c r="P1207" s="182"/>
      <c r="Q1207" s="182"/>
      <c r="R1207" s="182"/>
      <c r="S1207" s="182"/>
      <c r="T1207" s="182"/>
      <c r="U1207" s="182"/>
      <c r="V1207" s="182"/>
      <c r="W1207" s="183"/>
      <c r="X1207" s="427"/>
    </row>
    <row r="1208" spans="2:24" x14ac:dyDescent="0.45">
      <c r="B1208" s="181"/>
      <c r="C1208" s="182"/>
      <c r="D1208" s="182"/>
      <c r="E1208" s="182"/>
      <c r="F1208" s="182"/>
      <c r="G1208" s="182"/>
      <c r="H1208" s="182"/>
      <c r="I1208" s="182"/>
      <c r="J1208" s="182"/>
      <c r="K1208" s="182"/>
      <c r="L1208" s="182"/>
      <c r="M1208" s="182"/>
      <c r="N1208" s="182"/>
      <c r="O1208" s="182"/>
      <c r="P1208" s="182"/>
      <c r="Q1208" s="182"/>
      <c r="R1208" s="182"/>
      <c r="S1208" s="182"/>
      <c r="T1208" s="182"/>
      <c r="U1208" s="182"/>
      <c r="V1208" s="182"/>
      <c r="W1208" s="183"/>
      <c r="X1208" s="427"/>
    </row>
    <row r="1209" spans="2:24" x14ac:dyDescent="0.45">
      <c r="B1209" s="181"/>
      <c r="C1209" s="182"/>
      <c r="D1209" s="182"/>
      <c r="E1209" s="182"/>
      <c r="F1209" s="182"/>
      <c r="G1209" s="182"/>
      <c r="H1209" s="182"/>
      <c r="I1209" s="182"/>
      <c r="J1209" s="182"/>
      <c r="K1209" s="182"/>
      <c r="L1209" s="182"/>
      <c r="M1209" s="182"/>
      <c r="N1209" s="182"/>
      <c r="O1209" s="182"/>
      <c r="P1209" s="182"/>
      <c r="Q1209" s="182"/>
      <c r="R1209" s="182"/>
      <c r="S1209" s="182"/>
      <c r="T1209" s="182"/>
      <c r="U1209" s="182"/>
      <c r="V1209" s="182"/>
      <c r="W1209" s="183"/>
      <c r="X1209" s="427"/>
    </row>
    <row r="1210" spans="2:24" x14ac:dyDescent="0.45">
      <c r="B1210" s="181"/>
      <c r="C1210" s="182"/>
      <c r="D1210" s="182"/>
      <c r="E1210" s="182"/>
      <c r="F1210" s="182"/>
      <c r="G1210" s="182"/>
      <c r="H1210" s="182"/>
      <c r="I1210" s="182"/>
      <c r="J1210" s="182"/>
      <c r="K1210" s="182"/>
      <c r="L1210" s="182"/>
      <c r="M1210" s="182"/>
      <c r="N1210" s="182"/>
      <c r="O1210" s="182"/>
      <c r="P1210" s="182"/>
      <c r="Q1210" s="182"/>
      <c r="R1210" s="182"/>
      <c r="S1210" s="182"/>
      <c r="T1210" s="182"/>
      <c r="U1210" s="182"/>
      <c r="V1210" s="182"/>
      <c r="W1210" s="183"/>
      <c r="X1210" s="427"/>
    </row>
    <row r="1211" spans="2:24" x14ac:dyDescent="0.45">
      <c r="B1211" s="181"/>
      <c r="C1211" s="182"/>
      <c r="D1211" s="182"/>
      <c r="E1211" s="182"/>
      <c r="F1211" s="182"/>
      <c r="G1211" s="182"/>
      <c r="H1211" s="182"/>
      <c r="I1211" s="182"/>
      <c r="J1211" s="182"/>
      <c r="K1211" s="182"/>
      <c r="L1211" s="182"/>
      <c r="M1211" s="182"/>
      <c r="N1211" s="182"/>
      <c r="O1211" s="182"/>
      <c r="P1211" s="182"/>
      <c r="Q1211" s="182"/>
      <c r="R1211" s="182"/>
      <c r="S1211" s="182"/>
      <c r="T1211" s="182"/>
      <c r="U1211" s="182"/>
      <c r="V1211" s="182"/>
      <c r="W1211" s="183"/>
      <c r="X1211" s="427"/>
    </row>
    <row r="1212" spans="2:24" x14ac:dyDescent="0.45">
      <c r="B1212" s="181"/>
      <c r="C1212" s="182"/>
      <c r="D1212" s="182"/>
      <c r="E1212" s="182"/>
      <c r="F1212" s="182"/>
      <c r="G1212" s="182"/>
      <c r="H1212" s="182"/>
      <c r="I1212" s="182"/>
      <c r="J1212" s="182"/>
      <c r="K1212" s="182"/>
      <c r="L1212" s="182"/>
      <c r="M1212" s="182"/>
      <c r="N1212" s="182"/>
      <c r="O1212" s="182"/>
      <c r="P1212" s="182"/>
      <c r="Q1212" s="182"/>
      <c r="R1212" s="182"/>
      <c r="S1212" s="182"/>
      <c r="T1212" s="182"/>
      <c r="U1212" s="182"/>
      <c r="V1212" s="182"/>
      <c r="W1212" s="183"/>
      <c r="X1212" s="427"/>
    </row>
    <row r="1213" spans="2:24" x14ac:dyDescent="0.45">
      <c r="B1213" s="181"/>
      <c r="C1213" s="182"/>
      <c r="D1213" s="182"/>
      <c r="E1213" s="182"/>
      <c r="F1213" s="182"/>
      <c r="G1213" s="182"/>
      <c r="H1213" s="182"/>
      <c r="I1213" s="182"/>
      <c r="J1213" s="182"/>
      <c r="K1213" s="182"/>
      <c r="L1213" s="182"/>
      <c r="M1213" s="182"/>
      <c r="N1213" s="182"/>
      <c r="O1213" s="182"/>
      <c r="P1213" s="182"/>
      <c r="Q1213" s="182"/>
      <c r="R1213" s="182"/>
      <c r="S1213" s="182"/>
      <c r="T1213" s="182"/>
      <c r="U1213" s="182"/>
      <c r="V1213" s="182"/>
      <c r="W1213" s="183"/>
      <c r="X1213" s="427"/>
    </row>
    <row r="1214" spans="2:24" x14ac:dyDescent="0.45">
      <c r="B1214" s="181"/>
      <c r="C1214" s="182"/>
      <c r="D1214" s="182"/>
      <c r="E1214" s="182"/>
      <c r="F1214" s="182"/>
      <c r="G1214" s="182"/>
      <c r="H1214" s="182"/>
      <c r="I1214" s="182"/>
      <c r="J1214" s="182"/>
      <c r="K1214" s="182"/>
      <c r="L1214" s="182"/>
      <c r="M1214" s="182"/>
      <c r="N1214" s="182"/>
      <c r="O1214" s="182"/>
      <c r="P1214" s="182"/>
      <c r="Q1214" s="182"/>
      <c r="R1214" s="182"/>
      <c r="S1214" s="182"/>
      <c r="T1214" s="182"/>
      <c r="U1214" s="182"/>
      <c r="V1214" s="182"/>
      <c r="W1214" s="183"/>
      <c r="X1214" s="427"/>
    </row>
    <row r="1215" spans="2:24" x14ac:dyDescent="0.45">
      <c r="B1215" s="181"/>
      <c r="C1215" s="182"/>
      <c r="D1215" s="182"/>
      <c r="E1215" s="182"/>
      <c r="F1215" s="182"/>
      <c r="G1215" s="182"/>
      <c r="H1215" s="182"/>
      <c r="I1215" s="182"/>
      <c r="J1215" s="182"/>
      <c r="K1215" s="182"/>
      <c r="L1215" s="182"/>
      <c r="M1215" s="182"/>
      <c r="N1215" s="182"/>
      <c r="O1215" s="182"/>
      <c r="P1215" s="182"/>
      <c r="Q1215" s="182"/>
      <c r="R1215" s="182"/>
      <c r="S1215" s="182"/>
      <c r="T1215" s="182"/>
      <c r="U1215" s="182"/>
      <c r="V1215" s="182"/>
      <c r="W1215" s="183"/>
      <c r="X1215" s="427"/>
    </row>
    <row r="1216" spans="2:24" x14ac:dyDescent="0.45">
      <c r="B1216" s="181"/>
      <c r="C1216" s="182"/>
      <c r="D1216" s="182"/>
      <c r="E1216" s="182"/>
      <c r="F1216" s="182"/>
      <c r="G1216" s="182"/>
      <c r="H1216" s="182"/>
      <c r="I1216" s="182"/>
      <c r="J1216" s="182"/>
      <c r="K1216" s="182"/>
      <c r="L1216" s="182"/>
      <c r="M1216" s="182"/>
      <c r="N1216" s="182"/>
      <c r="O1216" s="182"/>
      <c r="P1216" s="182"/>
      <c r="Q1216" s="182"/>
      <c r="R1216" s="182"/>
      <c r="S1216" s="182"/>
      <c r="T1216" s="182"/>
      <c r="U1216" s="182"/>
      <c r="V1216" s="182"/>
      <c r="W1216" s="183"/>
      <c r="X1216" s="427"/>
    </row>
    <row r="1217" spans="1:24" x14ac:dyDescent="0.45">
      <c r="B1217" s="181"/>
      <c r="C1217" s="182"/>
      <c r="D1217" s="182"/>
      <c r="E1217" s="182"/>
      <c r="F1217" s="182"/>
      <c r="G1217" s="182"/>
      <c r="H1217" s="182"/>
      <c r="I1217" s="182"/>
      <c r="J1217" s="182"/>
      <c r="K1217" s="182"/>
      <c r="L1217" s="182"/>
      <c r="M1217" s="182"/>
      <c r="N1217" s="182"/>
      <c r="O1217" s="182"/>
      <c r="P1217" s="182"/>
      <c r="Q1217" s="182"/>
      <c r="R1217" s="182"/>
      <c r="S1217" s="182"/>
      <c r="T1217" s="182"/>
      <c r="U1217" s="182"/>
      <c r="V1217" s="182"/>
      <c r="W1217" s="183"/>
      <c r="X1217" s="427"/>
    </row>
    <row r="1218" spans="1:24" x14ac:dyDescent="0.45">
      <c r="B1218" s="181"/>
      <c r="C1218" s="182"/>
      <c r="D1218" s="182"/>
      <c r="E1218" s="182"/>
      <c r="F1218" s="182"/>
      <c r="G1218" s="182"/>
      <c r="H1218" s="182"/>
      <c r="I1218" s="182"/>
      <c r="J1218" s="182"/>
      <c r="K1218" s="182"/>
      <c r="L1218" s="182"/>
      <c r="M1218" s="182"/>
      <c r="N1218" s="182"/>
      <c r="O1218" s="182"/>
      <c r="P1218" s="182"/>
      <c r="Q1218" s="182"/>
      <c r="R1218" s="182"/>
      <c r="S1218" s="182"/>
      <c r="T1218" s="182"/>
      <c r="U1218" s="182"/>
      <c r="V1218" s="182"/>
      <c r="W1218" s="183"/>
      <c r="X1218" s="427"/>
    </row>
    <row r="1219" spans="1:24" x14ac:dyDescent="0.45">
      <c r="B1219" s="181"/>
      <c r="C1219" s="182"/>
      <c r="D1219" s="182"/>
      <c r="E1219" s="182"/>
      <c r="F1219" s="182"/>
      <c r="G1219" s="182"/>
      <c r="H1219" s="182"/>
      <c r="I1219" s="182"/>
      <c r="J1219" s="182"/>
      <c r="K1219" s="182"/>
      <c r="L1219" s="182"/>
      <c r="M1219" s="182"/>
      <c r="N1219" s="182"/>
      <c r="O1219" s="182"/>
      <c r="P1219" s="182"/>
      <c r="Q1219" s="182"/>
      <c r="R1219" s="182"/>
      <c r="S1219" s="182"/>
      <c r="T1219" s="182"/>
      <c r="U1219" s="182"/>
      <c r="V1219" s="182"/>
      <c r="W1219" s="183"/>
      <c r="X1219" s="427"/>
    </row>
    <row r="1220" spans="1:24" x14ac:dyDescent="0.45">
      <c r="B1220" s="181"/>
      <c r="C1220" s="182"/>
      <c r="D1220" s="182"/>
      <c r="E1220" s="182"/>
      <c r="F1220" s="182"/>
      <c r="G1220" s="182"/>
      <c r="H1220" s="182"/>
      <c r="I1220" s="182"/>
      <c r="J1220" s="182"/>
      <c r="K1220" s="182"/>
      <c r="L1220" s="182"/>
      <c r="M1220" s="182"/>
      <c r="N1220" s="182"/>
      <c r="O1220" s="182"/>
      <c r="P1220" s="182"/>
      <c r="Q1220" s="182"/>
      <c r="R1220" s="182"/>
      <c r="S1220" s="182"/>
      <c r="T1220" s="182"/>
      <c r="U1220" s="182"/>
      <c r="V1220" s="182"/>
      <c r="W1220" s="183"/>
      <c r="X1220" s="427"/>
    </row>
    <row r="1221" spans="1:24" x14ac:dyDescent="0.45">
      <c r="B1221" s="184"/>
      <c r="C1221" s="185" t="s">
        <v>1499</v>
      </c>
      <c r="D1221" s="185"/>
      <c r="E1221" s="185"/>
      <c r="F1221" s="185"/>
      <c r="G1221" s="185"/>
      <c r="H1221" s="185"/>
      <c r="I1221" s="185"/>
      <c r="J1221" s="185"/>
      <c r="K1221" s="185"/>
      <c r="L1221" s="185"/>
      <c r="M1221" s="185"/>
      <c r="N1221" s="185"/>
      <c r="O1221" s="185"/>
      <c r="P1221" s="185"/>
      <c r="Q1221" s="185"/>
      <c r="R1221" s="185"/>
      <c r="S1221" s="185"/>
      <c r="T1221" s="185"/>
      <c r="U1221" s="185"/>
      <c r="V1221" s="185"/>
      <c r="W1221" s="186"/>
      <c r="X1221" s="187"/>
    </row>
    <row r="1222" spans="1:24" ht="26.65" x14ac:dyDescent="0.45">
      <c r="B1222" s="188" t="s">
        <v>1458</v>
      </c>
      <c r="C1222" s="185" t="s">
        <v>1459</v>
      </c>
      <c r="D1222" s="185"/>
      <c r="E1222" s="185" t="s">
        <v>1500</v>
      </c>
      <c r="F1222" s="185"/>
      <c r="G1222" s="185" t="s">
        <v>1501</v>
      </c>
      <c r="H1222" s="189" t="s">
        <v>1502</v>
      </c>
      <c r="I1222" s="185" t="s">
        <v>1503</v>
      </c>
      <c r="J1222" s="185" t="s">
        <v>1504</v>
      </c>
      <c r="K1222" s="189" t="s">
        <v>1505</v>
      </c>
      <c r="L1222" s="189" t="s">
        <v>1504</v>
      </c>
      <c r="M1222" s="189"/>
      <c r="N1222" s="189" t="s">
        <v>1506</v>
      </c>
      <c r="O1222" s="189"/>
      <c r="P1222" s="190"/>
      <c r="Q1222" s="189"/>
      <c r="R1222" s="189"/>
      <c r="S1222" s="189"/>
      <c r="T1222" s="189" t="s">
        <v>1507</v>
      </c>
      <c r="U1222" s="189" t="s">
        <v>27</v>
      </c>
      <c r="V1222" s="189" t="s">
        <v>26</v>
      </c>
      <c r="W1222" s="191" t="s">
        <v>1508</v>
      </c>
      <c r="X1222" s="192"/>
    </row>
    <row r="1223" spans="1:24" x14ac:dyDescent="0.45">
      <c r="A1223" s="193">
        <v>1</v>
      </c>
      <c r="B1223" s="194" t="str">
        <f t="shared" ref="B1223:B1254" si="195">IF(OR($C$1203="",U1223=""),"",LEFT($C$1203,FIND("_",$C$1203)-1))</f>
        <v/>
      </c>
      <c r="C1223" s="170" t="str">
        <f t="shared" ref="C1223:C1254" si="196">IF(OR($C$1203="",U1223=""),"",$B$1203)</f>
        <v/>
      </c>
      <c r="D1223" s="170"/>
      <c r="E1223" s="195"/>
      <c r="F1223" s="195"/>
      <c r="G1223" s="196"/>
      <c r="H1223" s="197"/>
      <c r="I1223" s="197"/>
      <c r="J1223" s="197"/>
      <c r="K1223" s="197"/>
      <c r="L1223" s="197"/>
      <c r="M1223" s="198"/>
      <c r="N1223" s="198"/>
      <c r="O1223" s="198"/>
      <c r="P1223" s="199"/>
      <c r="Q1223" s="200"/>
      <c r="R1223" s="200"/>
      <c r="S1223" s="200"/>
      <c r="T1223" s="200" t="str">
        <f t="shared" ref="T1223:T1254" si="197">IF(K1223="","",((K1223*20)+L1223)-((I1223*20)+J1223))</f>
        <v/>
      </c>
      <c r="U1223" s="200"/>
      <c r="V1223" s="201" t="str">
        <f t="shared" ref="V1223:V1254" si="198">IF(U1223="","",$V$1203)</f>
        <v/>
      </c>
      <c r="W1223" s="202">
        <f t="shared" ref="W1223:W1254" si="199">IF(OR(T1223="",U1223=""),0,T1223*U1223)</f>
        <v>0</v>
      </c>
      <c r="X1223" s="172"/>
    </row>
    <row r="1224" spans="1:24" x14ac:dyDescent="0.45">
      <c r="A1224" s="193">
        <v>2</v>
      </c>
      <c r="B1224" s="194" t="str">
        <f t="shared" si="195"/>
        <v/>
      </c>
      <c r="C1224" s="170" t="str">
        <f t="shared" si="196"/>
        <v/>
      </c>
      <c r="D1224" s="170"/>
      <c r="E1224" s="195"/>
      <c r="F1224" s="195"/>
      <c r="G1224" s="196"/>
      <c r="H1224" s="197"/>
      <c r="I1224" s="197" t="str">
        <f t="shared" ref="I1224:I1255" si="200">IF(K1223="","",K1223)</f>
        <v/>
      </c>
      <c r="J1224" s="197" t="str">
        <f t="shared" ref="J1224:J1255" si="201">IF(L1223="","",L1223)</f>
        <v/>
      </c>
      <c r="K1224" s="197"/>
      <c r="L1224" s="197"/>
      <c r="M1224" s="198"/>
      <c r="N1224" s="198"/>
      <c r="O1224" s="198"/>
      <c r="P1224" s="199"/>
      <c r="Q1224" s="200"/>
      <c r="R1224" s="200"/>
      <c r="S1224" s="200"/>
      <c r="T1224" s="200" t="str">
        <f t="shared" si="197"/>
        <v/>
      </c>
      <c r="U1224" s="200"/>
      <c r="V1224" s="201" t="str">
        <f t="shared" si="198"/>
        <v/>
      </c>
      <c r="W1224" s="202">
        <f t="shared" si="199"/>
        <v>0</v>
      </c>
      <c r="X1224" s="172"/>
    </row>
    <row r="1225" spans="1:24" x14ac:dyDescent="0.45">
      <c r="A1225" s="193">
        <v>3</v>
      </c>
      <c r="B1225" s="194" t="str">
        <f t="shared" si="195"/>
        <v/>
      </c>
      <c r="C1225" s="170" t="str">
        <f t="shared" si="196"/>
        <v/>
      </c>
      <c r="D1225" s="170"/>
      <c r="E1225" s="195"/>
      <c r="F1225" s="195"/>
      <c r="G1225" s="196"/>
      <c r="H1225" s="197"/>
      <c r="I1225" s="197" t="str">
        <f t="shared" si="200"/>
        <v/>
      </c>
      <c r="J1225" s="197" t="str">
        <f t="shared" si="201"/>
        <v/>
      </c>
      <c r="K1225" s="197"/>
      <c r="L1225" s="197"/>
      <c r="M1225" s="198"/>
      <c r="N1225" s="198"/>
      <c r="O1225" s="198"/>
      <c r="P1225" s="199"/>
      <c r="Q1225" s="200"/>
      <c r="R1225" s="200"/>
      <c r="S1225" s="200"/>
      <c r="T1225" s="200" t="str">
        <f t="shared" si="197"/>
        <v/>
      </c>
      <c r="U1225" s="200"/>
      <c r="V1225" s="201" t="str">
        <f t="shared" si="198"/>
        <v/>
      </c>
      <c r="W1225" s="202">
        <f t="shared" si="199"/>
        <v>0</v>
      </c>
      <c r="X1225" s="172"/>
    </row>
    <row r="1226" spans="1:24" x14ac:dyDescent="0.45">
      <c r="A1226" s="193">
        <v>4</v>
      </c>
      <c r="B1226" s="194" t="str">
        <f t="shared" si="195"/>
        <v/>
      </c>
      <c r="C1226" s="170" t="str">
        <f t="shared" si="196"/>
        <v/>
      </c>
      <c r="D1226" s="170"/>
      <c r="E1226" s="195"/>
      <c r="F1226" s="195"/>
      <c r="G1226" s="196"/>
      <c r="H1226" s="197"/>
      <c r="I1226" s="197" t="str">
        <f t="shared" si="200"/>
        <v/>
      </c>
      <c r="J1226" s="197" t="str">
        <f t="shared" si="201"/>
        <v/>
      </c>
      <c r="K1226" s="197"/>
      <c r="L1226" s="197"/>
      <c r="M1226" s="198"/>
      <c r="N1226" s="198"/>
      <c r="O1226" s="198"/>
      <c r="P1226" s="199"/>
      <c r="Q1226" s="200"/>
      <c r="R1226" s="200"/>
      <c r="S1226" s="200"/>
      <c r="T1226" s="200" t="str">
        <f t="shared" si="197"/>
        <v/>
      </c>
      <c r="U1226" s="200"/>
      <c r="V1226" s="201" t="str">
        <f t="shared" si="198"/>
        <v/>
      </c>
      <c r="W1226" s="202">
        <f t="shared" si="199"/>
        <v>0</v>
      </c>
      <c r="X1226" s="172"/>
    </row>
    <row r="1227" spans="1:24" x14ac:dyDescent="0.45">
      <c r="A1227" s="193">
        <v>5</v>
      </c>
      <c r="B1227" s="194" t="str">
        <f t="shared" si="195"/>
        <v/>
      </c>
      <c r="C1227" s="170" t="str">
        <f t="shared" si="196"/>
        <v/>
      </c>
      <c r="D1227" s="170"/>
      <c r="E1227" s="195"/>
      <c r="F1227" s="195"/>
      <c r="G1227" s="196"/>
      <c r="H1227" s="197"/>
      <c r="I1227" s="197" t="str">
        <f t="shared" si="200"/>
        <v/>
      </c>
      <c r="J1227" s="197" t="str">
        <f t="shared" si="201"/>
        <v/>
      </c>
      <c r="K1227" s="197"/>
      <c r="L1227" s="197"/>
      <c r="M1227" s="198"/>
      <c r="N1227" s="198"/>
      <c r="O1227" s="198"/>
      <c r="P1227" s="199"/>
      <c r="Q1227" s="200"/>
      <c r="R1227" s="200"/>
      <c r="S1227" s="200"/>
      <c r="T1227" s="200" t="str">
        <f t="shared" si="197"/>
        <v/>
      </c>
      <c r="U1227" s="200"/>
      <c r="V1227" s="201" t="str">
        <f t="shared" si="198"/>
        <v/>
      </c>
      <c r="W1227" s="202">
        <f t="shared" si="199"/>
        <v>0</v>
      </c>
      <c r="X1227" s="172"/>
    </row>
    <row r="1228" spans="1:24" x14ac:dyDescent="0.45">
      <c r="A1228" s="193">
        <v>6</v>
      </c>
      <c r="B1228" s="194" t="str">
        <f t="shared" si="195"/>
        <v/>
      </c>
      <c r="C1228" s="170" t="str">
        <f t="shared" si="196"/>
        <v/>
      </c>
      <c r="D1228" s="170"/>
      <c r="E1228" s="195"/>
      <c r="F1228" s="195"/>
      <c r="G1228" s="196"/>
      <c r="H1228" s="197"/>
      <c r="I1228" s="197" t="str">
        <f t="shared" si="200"/>
        <v/>
      </c>
      <c r="J1228" s="197" t="str">
        <f t="shared" si="201"/>
        <v/>
      </c>
      <c r="K1228" s="197"/>
      <c r="L1228" s="197"/>
      <c r="M1228" s="198"/>
      <c r="N1228" s="198"/>
      <c r="O1228" s="198"/>
      <c r="P1228" s="199"/>
      <c r="Q1228" s="200"/>
      <c r="R1228" s="200"/>
      <c r="S1228" s="200"/>
      <c r="T1228" s="200" t="str">
        <f t="shared" si="197"/>
        <v/>
      </c>
      <c r="U1228" s="200"/>
      <c r="V1228" s="201" t="str">
        <f t="shared" si="198"/>
        <v/>
      </c>
      <c r="W1228" s="202">
        <f t="shared" si="199"/>
        <v>0</v>
      </c>
      <c r="X1228" s="172"/>
    </row>
    <row r="1229" spans="1:24" x14ac:dyDescent="0.45">
      <c r="A1229" s="193">
        <v>7</v>
      </c>
      <c r="B1229" s="194" t="str">
        <f t="shared" si="195"/>
        <v/>
      </c>
      <c r="C1229" s="170" t="str">
        <f t="shared" si="196"/>
        <v/>
      </c>
      <c r="D1229" s="170"/>
      <c r="E1229" s="195"/>
      <c r="F1229" s="195"/>
      <c r="G1229" s="196"/>
      <c r="H1229" s="197"/>
      <c r="I1229" s="197" t="str">
        <f t="shared" si="200"/>
        <v/>
      </c>
      <c r="J1229" s="197" t="str">
        <f t="shared" si="201"/>
        <v/>
      </c>
      <c r="K1229" s="197"/>
      <c r="L1229" s="197"/>
      <c r="M1229" s="198"/>
      <c r="N1229" s="198"/>
      <c r="O1229" s="198"/>
      <c r="P1229" s="199"/>
      <c r="Q1229" s="200"/>
      <c r="R1229" s="200"/>
      <c r="S1229" s="200"/>
      <c r="T1229" s="200" t="str">
        <f t="shared" si="197"/>
        <v/>
      </c>
      <c r="U1229" s="200"/>
      <c r="V1229" s="201" t="str">
        <f t="shared" si="198"/>
        <v/>
      </c>
      <c r="W1229" s="202">
        <f t="shared" si="199"/>
        <v>0</v>
      </c>
      <c r="X1229" s="172"/>
    </row>
    <row r="1230" spans="1:24" x14ac:dyDescent="0.45">
      <c r="A1230" s="193">
        <v>8</v>
      </c>
      <c r="B1230" s="194" t="str">
        <f t="shared" si="195"/>
        <v/>
      </c>
      <c r="C1230" s="170" t="str">
        <f t="shared" si="196"/>
        <v/>
      </c>
      <c r="D1230" s="170"/>
      <c r="E1230" s="195"/>
      <c r="F1230" s="195"/>
      <c r="G1230" s="196"/>
      <c r="H1230" s="197"/>
      <c r="I1230" s="197" t="str">
        <f t="shared" si="200"/>
        <v/>
      </c>
      <c r="J1230" s="197" t="str">
        <f t="shared" si="201"/>
        <v/>
      </c>
      <c r="K1230" s="197"/>
      <c r="L1230" s="197"/>
      <c r="M1230" s="198"/>
      <c r="N1230" s="198"/>
      <c r="O1230" s="198"/>
      <c r="P1230" s="199"/>
      <c r="Q1230" s="200"/>
      <c r="R1230" s="200"/>
      <c r="S1230" s="200"/>
      <c r="T1230" s="200" t="str">
        <f t="shared" si="197"/>
        <v/>
      </c>
      <c r="U1230" s="200"/>
      <c r="V1230" s="201" t="str">
        <f t="shared" si="198"/>
        <v/>
      </c>
      <c r="W1230" s="202">
        <f t="shared" si="199"/>
        <v>0</v>
      </c>
      <c r="X1230" s="172"/>
    </row>
    <row r="1231" spans="1:24" x14ac:dyDescent="0.45">
      <c r="A1231" s="193">
        <v>9</v>
      </c>
      <c r="B1231" s="194" t="str">
        <f t="shared" si="195"/>
        <v/>
      </c>
      <c r="C1231" s="170" t="str">
        <f t="shared" si="196"/>
        <v/>
      </c>
      <c r="D1231" s="170"/>
      <c r="E1231" s="195"/>
      <c r="F1231" s="195"/>
      <c r="G1231" s="196"/>
      <c r="H1231" s="197"/>
      <c r="I1231" s="197" t="str">
        <f t="shared" si="200"/>
        <v/>
      </c>
      <c r="J1231" s="197" t="str">
        <f t="shared" si="201"/>
        <v/>
      </c>
      <c r="K1231" s="197"/>
      <c r="L1231" s="197"/>
      <c r="M1231" s="198"/>
      <c r="N1231" s="198"/>
      <c r="O1231" s="198"/>
      <c r="P1231" s="199"/>
      <c r="Q1231" s="200"/>
      <c r="R1231" s="200"/>
      <c r="S1231" s="200"/>
      <c r="T1231" s="200" t="str">
        <f t="shared" si="197"/>
        <v/>
      </c>
      <c r="U1231" s="200"/>
      <c r="V1231" s="201" t="str">
        <f t="shared" si="198"/>
        <v/>
      </c>
      <c r="W1231" s="202">
        <f t="shared" si="199"/>
        <v>0</v>
      </c>
      <c r="X1231" s="172"/>
    </row>
    <row r="1232" spans="1:24" x14ac:dyDescent="0.45">
      <c r="A1232" s="193">
        <v>10</v>
      </c>
      <c r="B1232" s="194" t="str">
        <f t="shared" si="195"/>
        <v/>
      </c>
      <c r="C1232" s="170" t="str">
        <f t="shared" si="196"/>
        <v/>
      </c>
      <c r="D1232" s="170"/>
      <c r="E1232" s="195"/>
      <c r="F1232" s="195"/>
      <c r="G1232" s="196"/>
      <c r="H1232" s="197"/>
      <c r="I1232" s="197" t="str">
        <f t="shared" si="200"/>
        <v/>
      </c>
      <c r="J1232" s="197" t="str">
        <f t="shared" si="201"/>
        <v/>
      </c>
      <c r="K1232" s="197"/>
      <c r="L1232" s="197"/>
      <c r="M1232" s="198"/>
      <c r="N1232" s="198"/>
      <c r="O1232" s="198"/>
      <c r="P1232" s="199"/>
      <c r="Q1232" s="200"/>
      <c r="R1232" s="200"/>
      <c r="S1232" s="200"/>
      <c r="T1232" s="200" t="str">
        <f t="shared" si="197"/>
        <v/>
      </c>
      <c r="U1232" s="200"/>
      <c r="V1232" s="201" t="str">
        <f t="shared" si="198"/>
        <v/>
      </c>
      <c r="W1232" s="202">
        <f t="shared" si="199"/>
        <v>0</v>
      </c>
      <c r="X1232" s="172"/>
    </row>
    <row r="1233" spans="1:24" x14ac:dyDescent="0.45">
      <c r="A1233" s="193">
        <v>11</v>
      </c>
      <c r="B1233" s="194" t="str">
        <f t="shared" si="195"/>
        <v/>
      </c>
      <c r="C1233" s="170" t="str">
        <f t="shared" si="196"/>
        <v/>
      </c>
      <c r="D1233" s="170"/>
      <c r="E1233" s="195"/>
      <c r="F1233" s="195"/>
      <c r="G1233" s="196"/>
      <c r="H1233" s="197"/>
      <c r="I1233" s="197" t="str">
        <f t="shared" si="200"/>
        <v/>
      </c>
      <c r="J1233" s="197" t="str">
        <f t="shared" si="201"/>
        <v/>
      </c>
      <c r="K1233" s="197"/>
      <c r="L1233" s="197"/>
      <c r="M1233" s="198"/>
      <c r="N1233" s="198"/>
      <c r="O1233" s="198"/>
      <c r="P1233" s="199"/>
      <c r="Q1233" s="200"/>
      <c r="R1233" s="200"/>
      <c r="S1233" s="200"/>
      <c r="T1233" s="200" t="str">
        <f t="shared" si="197"/>
        <v/>
      </c>
      <c r="U1233" s="200"/>
      <c r="V1233" s="201" t="str">
        <f t="shared" si="198"/>
        <v/>
      </c>
      <c r="W1233" s="202">
        <f t="shared" si="199"/>
        <v>0</v>
      </c>
      <c r="X1233" s="172"/>
    </row>
    <row r="1234" spans="1:24" x14ac:dyDescent="0.45">
      <c r="A1234" s="193">
        <v>12</v>
      </c>
      <c r="B1234" s="194" t="str">
        <f t="shared" si="195"/>
        <v/>
      </c>
      <c r="C1234" s="170" t="str">
        <f t="shared" si="196"/>
        <v/>
      </c>
      <c r="D1234" s="170"/>
      <c r="E1234" s="195"/>
      <c r="F1234" s="195"/>
      <c r="G1234" s="196"/>
      <c r="H1234" s="197"/>
      <c r="I1234" s="197" t="str">
        <f t="shared" si="200"/>
        <v/>
      </c>
      <c r="J1234" s="197" t="str">
        <f t="shared" si="201"/>
        <v/>
      </c>
      <c r="K1234" s="197"/>
      <c r="L1234" s="197"/>
      <c r="M1234" s="198"/>
      <c r="N1234" s="198"/>
      <c r="O1234" s="198"/>
      <c r="P1234" s="199"/>
      <c r="Q1234" s="200"/>
      <c r="R1234" s="200"/>
      <c r="S1234" s="200"/>
      <c r="T1234" s="200" t="str">
        <f t="shared" si="197"/>
        <v/>
      </c>
      <c r="U1234" s="200"/>
      <c r="V1234" s="201" t="str">
        <f t="shared" si="198"/>
        <v/>
      </c>
      <c r="W1234" s="202">
        <f t="shared" si="199"/>
        <v>0</v>
      </c>
      <c r="X1234" s="172"/>
    </row>
    <row r="1235" spans="1:24" x14ac:dyDescent="0.45">
      <c r="A1235" s="193">
        <v>13</v>
      </c>
      <c r="B1235" s="194" t="str">
        <f t="shared" si="195"/>
        <v/>
      </c>
      <c r="C1235" s="170" t="str">
        <f t="shared" si="196"/>
        <v/>
      </c>
      <c r="D1235" s="170"/>
      <c r="E1235" s="195"/>
      <c r="F1235" s="195"/>
      <c r="G1235" s="196"/>
      <c r="H1235" s="197"/>
      <c r="I1235" s="197" t="str">
        <f t="shared" si="200"/>
        <v/>
      </c>
      <c r="J1235" s="197" t="str">
        <f t="shared" si="201"/>
        <v/>
      </c>
      <c r="K1235" s="197"/>
      <c r="L1235" s="197"/>
      <c r="M1235" s="198"/>
      <c r="N1235" s="198"/>
      <c r="O1235" s="198"/>
      <c r="P1235" s="199"/>
      <c r="Q1235" s="200"/>
      <c r="R1235" s="200"/>
      <c r="S1235" s="200"/>
      <c r="T1235" s="200" t="str">
        <f t="shared" si="197"/>
        <v/>
      </c>
      <c r="U1235" s="200"/>
      <c r="V1235" s="201" t="str">
        <f t="shared" si="198"/>
        <v/>
      </c>
      <c r="W1235" s="202">
        <f t="shared" si="199"/>
        <v>0</v>
      </c>
      <c r="X1235" s="172"/>
    </row>
    <row r="1236" spans="1:24" x14ac:dyDescent="0.45">
      <c r="A1236" s="193">
        <v>14</v>
      </c>
      <c r="B1236" s="194" t="str">
        <f t="shared" si="195"/>
        <v/>
      </c>
      <c r="C1236" s="170" t="str">
        <f t="shared" si="196"/>
        <v/>
      </c>
      <c r="D1236" s="170"/>
      <c r="E1236" s="195"/>
      <c r="F1236" s="195"/>
      <c r="G1236" s="196"/>
      <c r="H1236" s="197"/>
      <c r="I1236" s="197" t="str">
        <f t="shared" si="200"/>
        <v/>
      </c>
      <c r="J1236" s="197" t="str">
        <f t="shared" si="201"/>
        <v/>
      </c>
      <c r="K1236" s="197"/>
      <c r="L1236" s="197"/>
      <c r="M1236" s="198"/>
      <c r="N1236" s="198"/>
      <c r="O1236" s="198"/>
      <c r="P1236" s="199"/>
      <c r="Q1236" s="200"/>
      <c r="R1236" s="200"/>
      <c r="S1236" s="200"/>
      <c r="T1236" s="200" t="str">
        <f t="shared" si="197"/>
        <v/>
      </c>
      <c r="U1236" s="200"/>
      <c r="V1236" s="201" t="str">
        <f t="shared" si="198"/>
        <v/>
      </c>
      <c r="W1236" s="202">
        <f t="shared" si="199"/>
        <v>0</v>
      </c>
      <c r="X1236" s="172"/>
    </row>
    <row r="1237" spans="1:24" x14ac:dyDescent="0.45">
      <c r="A1237" s="193">
        <v>15</v>
      </c>
      <c r="B1237" s="194" t="str">
        <f t="shared" si="195"/>
        <v/>
      </c>
      <c r="C1237" s="170" t="str">
        <f t="shared" si="196"/>
        <v/>
      </c>
      <c r="D1237" s="170"/>
      <c r="E1237" s="195"/>
      <c r="F1237" s="195"/>
      <c r="G1237" s="196"/>
      <c r="H1237" s="197"/>
      <c r="I1237" s="197" t="str">
        <f t="shared" si="200"/>
        <v/>
      </c>
      <c r="J1237" s="197" t="str">
        <f t="shared" si="201"/>
        <v/>
      </c>
      <c r="K1237" s="197"/>
      <c r="L1237" s="197"/>
      <c r="M1237" s="198"/>
      <c r="N1237" s="198"/>
      <c r="O1237" s="198"/>
      <c r="P1237" s="199"/>
      <c r="Q1237" s="200"/>
      <c r="R1237" s="200"/>
      <c r="S1237" s="200"/>
      <c r="T1237" s="200" t="str">
        <f t="shared" si="197"/>
        <v/>
      </c>
      <c r="U1237" s="200"/>
      <c r="V1237" s="201" t="str">
        <f t="shared" si="198"/>
        <v/>
      </c>
      <c r="W1237" s="202">
        <f t="shared" si="199"/>
        <v>0</v>
      </c>
      <c r="X1237" s="172"/>
    </row>
    <row r="1238" spans="1:24" x14ac:dyDescent="0.45">
      <c r="A1238" s="193">
        <v>16</v>
      </c>
      <c r="B1238" s="194" t="str">
        <f t="shared" si="195"/>
        <v/>
      </c>
      <c r="C1238" s="170" t="str">
        <f t="shared" si="196"/>
        <v/>
      </c>
      <c r="D1238" s="170"/>
      <c r="E1238" s="195"/>
      <c r="F1238" s="195"/>
      <c r="G1238" s="196"/>
      <c r="H1238" s="197"/>
      <c r="I1238" s="197" t="str">
        <f t="shared" si="200"/>
        <v/>
      </c>
      <c r="J1238" s="197" t="str">
        <f t="shared" si="201"/>
        <v/>
      </c>
      <c r="K1238" s="197"/>
      <c r="L1238" s="197"/>
      <c r="M1238" s="198"/>
      <c r="N1238" s="198"/>
      <c r="O1238" s="198"/>
      <c r="P1238" s="199"/>
      <c r="Q1238" s="200"/>
      <c r="R1238" s="200"/>
      <c r="S1238" s="200"/>
      <c r="T1238" s="200" t="str">
        <f t="shared" si="197"/>
        <v/>
      </c>
      <c r="U1238" s="200"/>
      <c r="V1238" s="201" t="str">
        <f t="shared" si="198"/>
        <v/>
      </c>
      <c r="W1238" s="202">
        <f t="shared" si="199"/>
        <v>0</v>
      </c>
      <c r="X1238" s="172"/>
    </row>
    <row r="1239" spans="1:24" x14ac:dyDescent="0.45">
      <c r="A1239" s="193">
        <v>17</v>
      </c>
      <c r="B1239" s="194" t="str">
        <f t="shared" si="195"/>
        <v/>
      </c>
      <c r="C1239" s="170" t="str">
        <f t="shared" si="196"/>
        <v/>
      </c>
      <c r="D1239" s="170"/>
      <c r="E1239" s="195"/>
      <c r="F1239" s="195"/>
      <c r="G1239" s="196"/>
      <c r="H1239" s="197"/>
      <c r="I1239" s="197" t="str">
        <f t="shared" si="200"/>
        <v/>
      </c>
      <c r="J1239" s="197" t="str">
        <f t="shared" si="201"/>
        <v/>
      </c>
      <c r="K1239" s="197"/>
      <c r="L1239" s="197"/>
      <c r="M1239" s="198"/>
      <c r="N1239" s="198"/>
      <c r="O1239" s="198"/>
      <c r="P1239" s="199"/>
      <c r="Q1239" s="200"/>
      <c r="R1239" s="200"/>
      <c r="S1239" s="200"/>
      <c r="T1239" s="200" t="str">
        <f t="shared" si="197"/>
        <v/>
      </c>
      <c r="U1239" s="200"/>
      <c r="V1239" s="201" t="str">
        <f t="shared" si="198"/>
        <v/>
      </c>
      <c r="W1239" s="202">
        <f t="shared" si="199"/>
        <v>0</v>
      </c>
      <c r="X1239" s="172"/>
    </row>
    <row r="1240" spans="1:24" x14ac:dyDescent="0.45">
      <c r="A1240" s="193">
        <v>18</v>
      </c>
      <c r="B1240" s="194" t="str">
        <f t="shared" si="195"/>
        <v/>
      </c>
      <c r="C1240" s="170" t="str">
        <f t="shared" si="196"/>
        <v/>
      </c>
      <c r="D1240" s="170"/>
      <c r="E1240" s="195"/>
      <c r="F1240" s="195"/>
      <c r="G1240" s="196"/>
      <c r="H1240" s="197"/>
      <c r="I1240" s="197" t="str">
        <f t="shared" si="200"/>
        <v/>
      </c>
      <c r="J1240" s="197" t="str">
        <f t="shared" si="201"/>
        <v/>
      </c>
      <c r="K1240" s="197"/>
      <c r="L1240" s="197"/>
      <c r="M1240" s="198"/>
      <c r="N1240" s="198"/>
      <c r="O1240" s="198"/>
      <c r="P1240" s="199"/>
      <c r="Q1240" s="200"/>
      <c r="R1240" s="200"/>
      <c r="S1240" s="200"/>
      <c r="T1240" s="200" t="str">
        <f t="shared" si="197"/>
        <v/>
      </c>
      <c r="U1240" s="200"/>
      <c r="V1240" s="201" t="str">
        <f t="shared" si="198"/>
        <v/>
      </c>
      <c r="W1240" s="202">
        <f t="shared" si="199"/>
        <v>0</v>
      </c>
      <c r="X1240" s="172"/>
    </row>
    <row r="1241" spans="1:24" x14ac:dyDescent="0.45">
      <c r="A1241" s="193">
        <v>19</v>
      </c>
      <c r="B1241" s="194" t="str">
        <f t="shared" si="195"/>
        <v/>
      </c>
      <c r="C1241" s="170" t="str">
        <f t="shared" si="196"/>
        <v/>
      </c>
      <c r="D1241" s="170"/>
      <c r="E1241" s="195"/>
      <c r="F1241" s="195"/>
      <c r="G1241" s="196"/>
      <c r="H1241" s="197"/>
      <c r="I1241" s="197" t="str">
        <f t="shared" si="200"/>
        <v/>
      </c>
      <c r="J1241" s="197" t="str">
        <f t="shared" si="201"/>
        <v/>
      </c>
      <c r="K1241" s="197"/>
      <c r="L1241" s="197"/>
      <c r="M1241" s="198"/>
      <c r="N1241" s="198"/>
      <c r="O1241" s="198"/>
      <c r="P1241" s="199"/>
      <c r="Q1241" s="200"/>
      <c r="R1241" s="200"/>
      <c r="S1241" s="200"/>
      <c r="T1241" s="200" t="str">
        <f t="shared" si="197"/>
        <v/>
      </c>
      <c r="U1241" s="200"/>
      <c r="V1241" s="201" t="str">
        <f t="shared" si="198"/>
        <v/>
      </c>
      <c r="W1241" s="202">
        <f t="shared" si="199"/>
        <v>0</v>
      </c>
      <c r="X1241" s="172"/>
    </row>
    <row r="1242" spans="1:24" x14ac:dyDescent="0.45">
      <c r="A1242" s="193">
        <v>20</v>
      </c>
      <c r="B1242" s="194" t="str">
        <f t="shared" si="195"/>
        <v/>
      </c>
      <c r="C1242" s="170" t="str">
        <f t="shared" si="196"/>
        <v/>
      </c>
      <c r="D1242" s="170"/>
      <c r="E1242" s="195"/>
      <c r="F1242" s="195"/>
      <c r="G1242" s="196"/>
      <c r="H1242" s="197"/>
      <c r="I1242" s="197" t="str">
        <f t="shared" si="200"/>
        <v/>
      </c>
      <c r="J1242" s="197" t="str">
        <f t="shared" si="201"/>
        <v/>
      </c>
      <c r="K1242" s="197"/>
      <c r="L1242" s="197"/>
      <c r="M1242" s="198"/>
      <c r="N1242" s="198"/>
      <c r="O1242" s="198"/>
      <c r="P1242" s="199"/>
      <c r="Q1242" s="200"/>
      <c r="R1242" s="200"/>
      <c r="S1242" s="200"/>
      <c r="T1242" s="200" t="str">
        <f t="shared" si="197"/>
        <v/>
      </c>
      <c r="U1242" s="200"/>
      <c r="V1242" s="201" t="str">
        <f t="shared" si="198"/>
        <v/>
      </c>
      <c r="W1242" s="202">
        <f t="shared" si="199"/>
        <v>0</v>
      </c>
      <c r="X1242" s="172"/>
    </row>
    <row r="1243" spans="1:24" x14ac:dyDescent="0.45">
      <c r="A1243" s="193">
        <v>21</v>
      </c>
      <c r="B1243" s="194" t="str">
        <f t="shared" si="195"/>
        <v/>
      </c>
      <c r="C1243" s="170" t="str">
        <f t="shared" si="196"/>
        <v/>
      </c>
      <c r="D1243" s="170"/>
      <c r="E1243" s="195"/>
      <c r="F1243" s="195"/>
      <c r="G1243" s="196"/>
      <c r="H1243" s="197"/>
      <c r="I1243" s="197" t="str">
        <f t="shared" si="200"/>
        <v/>
      </c>
      <c r="J1243" s="197" t="str">
        <f t="shared" si="201"/>
        <v/>
      </c>
      <c r="K1243" s="197"/>
      <c r="L1243" s="197"/>
      <c r="M1243" s="198"/>
      <c r="N1243" s="198"/>
      <c r="O1243" s="198"/>
      <c r="P1243" s="199"/>
      <c r="Q1243" s="200"/>
      <c r="R1243" s="200"/>
      <c r="S1243" s="200"/>
      <c r="T1243" s="200" t="str">
        <f t="shared" si="197"/>
        <v/>
      </c>
      <c r="U1243" s="200"/>
      <c r="V1243" s="201" t="str">
        <f t="shared" si="198"/>
        <v/>
      </c>
      <c r="W1243" s="202">
        <f t="shared" si="199"/>
        <v>0</v>
      </c>
      <c r="X1243" s="172"/>
    </row>
    <row r="1244" spans="1:24" x14ac:dyDescent="0.45">
      <c r="A1244" s="193">
        <v>22</v>
      </c>
      <c r="B1244" s="194" t="str">
        <f t="shared" si="195"/>
        <v/>
      </c>
      <c r="C1244" s="170" t="str">
        <f t="shared" si="196"/>
        <v/>
      </c>
      <c r="D1244" s="170"/>
      <c r="E1244" s="195"/>
      <c r="F1244" s="170"/>
      <c r="G1244" s="170"/>
      <c r="H1244" s="203"/>
      <c r="I1244" s="197" t="str">
        <f t="shared" si="200"/>
        <v/>
      </c>
      <c r="J1244" s="197" t="str">
        <f t="shared" si="201"/>
        <v/>
      </c>
      <c r="K1244" s="197"/>
      <c r="L1244" s="197"/>
      <c r="M1244" s="198"/>
      <c r="N1244" s="198"/>
      <c r="O1244" s="198"/>
      <c r="P1244" s="199"/>
      <c r="Q1244" s="200"/>
      <c r="R1244" s="200"/>
      <c r="S1244" s="200"/>
      <c r="T1244" s="200" t="str">
        <f t="shared" si="197"/>
        <v/>
      </c>
      <c r="U1244" s="200"/>
      <c r="V1244" s="201" t="str">
        <f t="shared" si="198"/>
        <v/>
      </c>
      <c r="W1244" s="202">
        <f t="shared" si="199"/>
        <v>0</v>
      </c>
      <c r="X1244" s="172"/>
    </row>
    <row r="1245" spans="1:24" x14ac:dyDescent="0.45">
      <c r="A1245" s="193">
        <v>23</v>
      </c>
      <c r="B1245" s="194" t="str">
        <f t="shared" si="195"/>
        <v/>
      </c>
      <c r="C1245" s="170" t="str">
        <f t="shared" si="196"/>
        <v/>
      </c>
      <c r="D1245" s="170"/>
      <c r="E1245" s="195"/>
      <c r="F1245" s="170"/>
      <c r="G1245" s="170"/>
      <c r="H1245" s="203"/>
      <c r="I1245" s="197" t="str">
        <f t="shared" si="200"/>
        <v/>
      </c>
      <c r="J1245" s="197" t="str">
        <f t="shared" si="201"/>
        <v/>
      </c>
      <c r="K1245" s="197"/>
      <c r="L1245" s="197"/>
      <c r="M1245" s="198"/>
      <c r="N1245" s="198"/>
      <c r="O1245" s="198"/>
      <c r="P1245" s="199"/>
      <c r="Q1245" s="200"/>
      <c r="R1245" s="200"/>
      <c r="S1245" s="200"/>
      <c r="T1245" s="200" t="str">
        <f t="shared" si="197"/>
        <v/>
      </c>
      <c r="U1245" s="200"/>
      <c r="V1245" s="201" t="str">
        <f t="shared" si="198"/>
        <v/>
      </c>
      <c r="W1245" s="202">
        <f t="shared" si="199"/>
        <v>0</v>
      </c>
      <c r="X1245" s="172"/>
    </row>
    <row r="1246" spans="1:24" x14ac:dyDescent="0.45">
      <c r="A1246" s="193">
        <v>24</v>
      </c>
      <c r="B1246" s="194" t="str">
        <f t="shared" si="195"/>
        <v/>
      </c>
      <c r="C1246" s="170" t="str">
        <f t="shared" si="196"/>
        <v/>
      </c>
      <c r="D1246" s="170"/>
      <c r="E1246" s="195"/>
      <c r="F1246" s="170"/>
      <c r="G1246" s="170"/>
      <c r="H1246" s="203"/>
      <c r="I1246" s="197" t="str">
        <f t="shared" si="200"/>
        <v/>
      </c>
      <c r="J1246" s="197" t="str">
        <f t="shared" si="201"/>
        <v/>
      </c>
      <c r="K1246" s="197"/>
      <c r="L1246" s="197"/>
      <c r="M1246" s="198"/>
      <c r="N1246" s="198"/>
      <c r="O1246" s="198"/>
      <c r="P1246" s="199"/>
      <c r="Q1246" s="200"/>
      <c r="R1246" s="200"/>
      <c r="S1246" s="200"/>
      <c r="T1246" s="200" t="str">
        <f t="shared" si="197"/>
        <v/>
      </c>
      <c r="U1246" s="200"/>
      <c r="V1246" s="201" t="str">
        <f t="shared" si="198"/>
        <v/>
      </c>
      <c r="W1246" s="202">
        <f t="shared" si="199"/>
        <v>0</v>
      </c>
      <c r="X1246" s="172"/>
    </row>
    <row r="1247" spans="1:24" x14ac:dyDescent="0.45">
      <c r="A1247" s="193">
        <v>25</v>
      </c>
      <c r="B1247" s="194" t="str">
        <f t="shared" si="195"/>
        <v/>
      </c>
      <c r="C1247" s="170" t="str">
        <f t="shared" si="196"/>
        <v/>
      </c>
      <c r="D1247" s="170"/>
      <c r="E1247" s="195"/>
      <c r="F1247" s="170"/>
      <c r="G1247" s="170"/>
      <c r="H1247" s="203"/>
      <c r="I1247" s="197" t="str">
        <f t="shared" si="200"/>
        <v/>
      </c>
      <c r="J1247" s="197" t="str">
        <f t="shared" si="201"/>
        <v/>
      </c>
      <c r="K1247" s="197"/>
      <c r="L1247" s="197"/>
      <c r="M1247" s="198"/>
      <c r="N1247" s="198"/>
      <c r="O1247" s="198"/>
      <c r="P1247" s="199"/>
      <c r="Q1247" s="200"/>
      <c r="R1247" s="200"/>
      <c r="S1247" s="200"/>
      <c r="T1247" s="200" t="str">
        <f t="shared" si="197"/>
        <v/>
      </c>
      <c r="U1247" s="200"/>
      <c r="V1247" s="201" t="str">
        <f t="shared" si="198"/>
        <v/>
      </c>
      <c r="W1247" s="202">
        <f t="shared" si="199"/>
        <v>0</v>
      </c>
      <c r="X1247" s="172"/>
    </row>
    <row r="1248" spans="1:24" x14ac:dyDescent="0.45">
      <c r="A1248" s="193">
        <v>26</v>
      </c>
      <c r="B1248" s="194" t="str">
        <f t="shared" si="195"/>
        <v/>
      </c>
      <c r="C1248" s="170" t="str">
        <f t="shared" si="196"/>
        <v/>
      </c>
      <c r="D1248" s="170"/>
      <c r="E1248" s="195"/>
      <c r="F1248" s="170"/>
      <c r="G1248" s="170"/>
      <c r="H1248" s="203"/>
      <c r="I1248" s="197" t="str">
        <f t="shared" si="200"/>
        <v/>
      </c>
      <c r="J1248" s="197" t="str">
        <f t="shared" si="201"/>
        <v/>
      </c>
      <c r="K1248" s="197"/>
      <c r="L1248" s="197"/>
      <c r="M1248" s="198"/>
      <c r="N1248" s="198"/>
      <c r="O1248" s="198"/>
      <c r="P1248" s="199"/>
      <c r="Q1248" s="200"/>
      <c r="R1248" s="200"/>
      <c r="S1248" s="200"/>
      <c r="T1248" s="200" t="str">
        <f t="shared" si="197"/>
        <v/>
      </c>
      <c r="U1248" s="200"/>
      <c r="V1248" s="201" t="str">
        <f t="shared" si="198"/>
        <v/>
      </c>
      <c r="W1248" s="202">
        <f t="shared" si="199"/>
        <v>0</v>
      </c>
      <c r="X1248" s="172"/>
    </row>
    <row r="1249" spans="1:24" x14ac:dyDescent="0.45">
      <c r="A1249" s="193">
        <v>27</v>
      </c>
      <c r="B1249" s="194" t="str">
        <f t="shared" si="195"/>
        <v/>
      </c>
      <c r="C1249" s="170" t="str">
        <f t="shared" si="196"/>
        <v/>
      </c>
      <c r="D1249" s="170"/>
      <c r="E1249" s="195"/>
      <c r="F1249" s="170"/>
      <c r="G1249" s="170"/>
      <c r="H1249" s="203"/>
      <c r="I1249" s="197" t="str">
        <f t="shared" si="200"/>
        <v/>
      </c>
      <c r="J1249" s="197" t="str">
        <f t="shared" si="201"/>
        <v/>
      </c>
      <c r="K1249" s="197"/>
      <c r="L1249" s="197"/>
      <c r="M1249" s="198"/>
      <c r="N1249" s="198"/>
      <c r="O1249" s="198"/>
      <c r="P1249" s="199"/>
      <c r="Q1249" s="200"/>
      <c r="R1249" s="200"/>
      <c r="S1249" s="200"/>
      <c r="T1249" s="200" t="str">
        <f t="shared" si="197"/>
        <v/>
      </c>
      <c r="U1249" s="200"/>
      <c r="V1249" s="201" t="str">
        <f t="shared" si="198"/>
        <v/>
      </c>
      <c r="W1249" s="202">
        <f t="shared" si="199"/>
        <v>0</v>
      </c>
      <c r="X1249" s="172"/>
    </row>
    <row r="1250" spans="1:24" x14ac:dyDescent="0.45">
      <c r="A1250" s="193">
        <v>28</v>
      </c>
      <c r="B1250" s="194" t="str">
        <f t="shared" si="195"/>
        <v/>
      </c>
      <c r="C1250" s="170" t="str">
        <f t="shared" si="196"/>
        <v/>
      </c>
      <c r="D1250" s="170"/>
      <c r="E1250" s="195"/>
      <c r="F1250" s="170"/>
      <c r="G1250" s="170"/>
      <c r="H1250" s="203"/>
      <c r="I1250" s="197" t="str">
        <f t="shared" si="200"/>
        <v/>
      </c>
      <c r="J1250" s="197" t="str">
        <f t="shared" si="201"/>
        <v/>
      </c>
      <c r="K1250" s="197"/>
      <c r="L1250" s="197"/>
      <c r="M1250" s="198"/>
      <c r="N1250" s="198"/>
      <c r="O1250" s="198"/>
      <c r="P1250" s="199"/>
      <c r="Q1250" s="200"/>
      <c r="R1250" s="200"/>
      <c r="S1250" s="200"/>
      <c r="T1250" s="200" t="str">
        <f t="shared" si="197"/>
        <v/>
      </c>
      <c r="U1250" s="200"/>
      <c r="V1250" s="201" t="str">
        <f t="shared" si="198"/>
        <v/>
      </c>
      <c r="W1250" s="202">
        <f t="shared" si="199"/>
        <v>0</v>
      </c>
      <c r="X1250" s="172"/>
    </row>
    <row r="1251" spans="1:24" x14ac:dyDescent="0.45">
      <c r="A1251" s="193">
        <v>29</v>
      </c>
      <c r="B1251" s="194" t="str">
        <f t="shared" si="195"/>
        <v/>
      </c>
      <c r="C1251" s="170" t="str">
        <f t="shared" si="196"/>
        <v/>
      </c>
      <c r="D1251" s="170"/>
      <c r="E1251" s="195"/>
      <c r="F1251" s="170"/>
      <c r="G1251" s="170"/>
      <c r="H1251" s="203"/>
      <c r="I1251" s="197" t="str">
        <f t="shared" si="200"/>
        <v/>
      </c>
      <c r="J1251" s="197" t="str">
        <f t="shared" si="201"/>
        <v/>
      </c>
      <c r="K1251" s="197"/>
      <c r="L1251" s="197"/>
      <c r="M1251" s="198"/>
      <c r="N1251" s="198"/>
      <c r="O1251" s="198"/>
      <c r="P1251" s="199"/>
      <c r="Q1251" s="200"/>
      <c r="R1251" s="200"/>
      <c r="S1251" s="200"/>
      <c r="T1251" s="200" t="str">
        <f t="shared" si="197"/>
        <v/>
      </c>
      <c r="U1251" s="200"/>
      <c r="V1251" s="201" t="str">
        <f t="shared" si="198"/>
        <v/>
      </c>
      <c r="W1251" s="202">
        <f t="shared" si="199"/>
        <v>0</v>
      </c>
      <c r="X1251" s="172"/>
    </row>
    <row r="1252" spans="1:24" x14ac:dyDescent="0.45">
      <c r="A1252" s="193">
        <v>30</v>
      </c>
      <c r="B1252" s="194" t="str">
        <f t="shared" si="195"/>
        <v/>
      </c>
      <c r="C1252" s="170" t="str">
        <f t="shared" si="196"/>
        <v/>
      </c>
      <c r="D1252" s="170"/>
      <c r="E1252" s="195"/>
      <c r="F1252" s="170"/>
      <c r="G1252" s="170"/>
      <c r="H1252" s="203"/>
      <c r="I1252" s="197" t="str">
        <f t="shared" si="200"/>
        <v/>
      </c>
      <c r="J1252" s="197" t="str">
        <f t="shared" si="201"/>
        <v/>
      </c>
      <c r="K1252" s="197"/>
      <c r="L1252" s="197"/>
      <c r="M1252" s="198"/>
      <c r="N1252" s="198"/>
      <c r="O1252" s="198"/>
      <c r="P1252" s="199"/>
      <c r="Q1252" s="200"/>
      <c r="R1252" s="200"/>
      <c r="S1252" s="200"/>
      <c r="T1252" s="200" t="str">
        <f t="shared" si="197"/>
        <v/>
      </c>
      <c r="U1252" s="200"/>
      <c r="V1252" s="201" t="str">
        <f t="shared" si="198"/>
        <v/>
      </c>
      <c r="W1252" s="202">
        <f t="shared" si="199"/>
        <v>0</v>
      </c>
      <c r="X1252" s="172"/>
    </row>
    <row r="1253" spans="1:24" x14ac:dyDescent="0.45">
      <c r="A1253" s="193">
        <v>31</v>
      </c>
      <c r="B1253" s="194" t="str">
        <f t="shared" si="195"/>
        <v/>
      </c>
      <c r="C1253" s="170" t="str">
        <f t="shared" si="196"/>
        <v/>
      </c>
      <c r="D1253" s="170"/>
      <c r="E1253" s="195"/>
      <c r="F1253" s="170"/>
      <c r="G1253" s="170"/>
      <c r="H1253" s="203"/>
      <c r="I1253" s="197" t="str">
        <f t="shared" si="200"/>
        <v/>
      </c>
      <c r="J1253" s="197" t="str">
        <f t="shared" si="201"/>
        <v/>
      </c>
      <c r="K1253" s="197"/>
      <c r="L1253" s="197"/>
      <c r="M1253" s="198"/>
      <c r="N1253" s="198"/>
      <c r="O1253" s="198"/>
      <c r="P1253" s="199"/>
      <c r="Q1253" s="200"/>
      <c r="R1253" s="200"/>
      <c r="S1253" s="200"/>
      <c r="T1253" s="200" t="str">
        <f t="shared" si="197"/>
        <v/>
      </c>
      <c r="U1253" s="200"/>
      <c r="V1253" s="201" t="str">
        <f t="shared" si="198"/>
        <v/>
      </c>
      <c r="W1253" s="202">
        <f t="shared" si="199"/>
        <v>0</v>
      </c>
      <c r="X1253" s="172"/>
    </row>
    <row r="1254" spans="1:24" x14ac:dyDescent="0.45">
      <c r="A1254" s="193">
        <v>32</v>
      </c>
      <c r="B1254" s="194" t="str">
        <f t="shared" si="195"/>
        <v/>
      </c>
      <c r="C1254" s="170" t="str">
        <f t="shared" si="196"/>
        <v/>
      </c>
      <c r="D1254" s="170"/>
      <c r="E1254" s="195"/>
      <c r="F1254" s="170"/>
      <c r="G1254" s="170"/>
      <c r="H1254" s="203"/>
      <c r="I1254" s="197" t="str">
        <f t="shared" si="200"/>
        <v/>
      </c>
      <c r="J1254" s="197" t="str">
        <f t="shared" si="201"/>
        <v/>
      </c>
      <c r="K1254" s="197"/>
      <c r="L1254" s="197"/>
      <c r="M1254" s="198"/>
      <c r="N1254" s="198"/>
      <c r="O1254" s="198"/>
      <c r="P1254" s="199"/>
      <c r="Q1254" s="200"/>
      <c r="R1254" s="200"/>
      <c r="S1254" s="200"/>
      <c r="T1254" s="200" t="str">
        <f t="shared" si="197"/>
        <v/>
      </c>
      <c r="U1254" s="200"/>
      <c r="V1254" s="201" t="str">
        <f t="shared" si="198"/>
        <v/>
      </c>
      <c r="W1254" s="202">
        <f t="shared" si="199"/>
        <v>0</v>
      </c>
      <c r="X1254" s="172"/>
    </row>
    <row r="1255" spans="1:24" x14ac:dyDescent="0.45">
      <c r="A1255" s="193">
        <v>33</v>
      </c>
      <c r="B1255" s="194" t="str">
        <f t="shared" ref="B1255:B1288" si="202">IF(OR($C$1203="",U1255=""),"",LEFT($C$1203,FIND("_",$C$1203)-1))</f>
        <v/>
      </c>
      <c r="C1255" s="170" t="str">
        <f t="shared" ref="C1255:C1288" si="203">IF(OR($C$1203="",U1255=""),"",$B$1203)</f>
        <v/>
      </c>
      <c r="D1255" s="170"/>
      <c r="E1255" s="195"/>
      <c r="F1255" s="170"/>
      <c r="G1255" s="170"/>
      <c r="H1255" s="203"/>
      <c r="I1255" s="197" t="str">
        <f t="shared" si="200"/>
        <v/>
      </c>
      <c r="J1255" s="197" t="str">
        <f t="shared" si="201"/>
        <v/>
      </c>
      <c r="K1255" s="197"/>
      <c r="L1255" s="197"/>
      <c r="M1255" s="198"/>
      <c r="N1255" s="198"/>
      <c r="O1255" s="198"/>
      <c r="P1255" s="199"/>
      <c r="Q1255" s="200"/>
      <c r="R1255" s="200"/>
      <c r="S1255" s="200"/>
      <c r="T1255" s="200" t="str">
        <f t="shared" ref="T1255:T1288" si="204">IF(K1255="","",((K1255*20)+L1255)-((I1255*20)+J1255))</f>
        <v/>
      </c>
      <c r="U1255" s="200"/>
      <c r="V1255" s="201" t="str">
        <f t="shared" ref="V1255:V1286" si="205">IF(U1255="","",$V$1203)</f>
        <v/>
      </c>
      <c r="W1255" s="202">
        <f t="shared" ref="W1255:W1288" si="206">IF(OR(T1255="",U1255=""),0,T1255*U1255)</f>
        <v>0</v>
      </c>
      <c r="X1255" s="172"/>
    </row>
    <row r="1256" spans="1:24" x14ac:dyDescent="0.45">
      <c r="A1256" s="193">
        <v>34</v>
      </c>
      <c r="B1256" s="194" t="str">
        <f t="shared" si="202"/>
        <v/>
      </c>
      <c r="C1256" s="170" t="str">
        <f t="shared" si="203"/>
        <v/>
      </c>
      <c r="D1256" s="170"/>
      <c r="E1256" s="195"/>
      <c r="F1256" s="170"/>
      <c r="G1256" s="170"/>
      <c r="H1256" s="203"/>
      <c r="I1256" s="197" t="str">
        <f t="shared" ref="I1256:I1288" si="207">IF(K1255="","",K1255)</f>
        <v/>
      </c>
      <c r="J1256" s="197" t="str">
        <f t="shared" ref="J1256:J1288" si="208">IF(L1255="","",L1255)</f>
        <v/>
      </c>
      <c r="K1256" s="197"/>
      <c r="L1256" s="197"/>
      <c r="M1256" s="198"/>
      <c r="N1256" s="198"/>
      <c r="O1256" s="198"/>
      <c r="P1256" s="199"/>
      <c r="Q1256" s="200"/>
      <c r="R1256" s="200"/>
      <c r="S1256" s="200"/>
      <c r="T1256" s="200" t="str">
        <f t="shared" si="204"/>
        <v/>
      </c>
      <c r="U1256" s="200"/>
      <c r="V1256" s="201" t="str">
        <f t="shared" si="205"/>
        <v/>
      </c>
      <c r="W1256" s="202">
        <f t="shared" si="206"/>
        <v>0</v>
      </c>
      <c r="X1256" s="172"/>
    </row>
    <row r="1257" spans="1:24" x14ac:dyDescent="0.45">
      <c r="A1257" s="193">
        <v>35</v>
      </c>
      <c r="B1257" s="194" t="str">
        <f t="shared" si="202"/>
        <v/>
      </c>
      <c r="C1257" s="170" t="str">
        <f t="shared" si="203"/>
        <v/>
      </c>
      <c r="D1257" s="170"/>
      <c r="E1257" s="195"/>
      <c r="F1257" s="170"/>
      <c r="G1257" s="170"/>
      <c r="H1257" s="203"/>
      <c r="I1257" s="197" t="str">
        <f t="shared" si="207"/>
        <v/>
      </c>
      <c r="J1257" s="197" t="str">
        <f t="shared" si="208"/>
        <v/>
      </c>
      <c r="K1257" s="197"/>
      <c r="L1257" s="197"/>
      <c r="M1257" s="198"/>
      <c r="N1257" s="198"/>
      <c r="O1257" s="198"/>
      <c r="P1257" s="199"/>
      <c r="Q1257" s="200"/>
      <c r="R1257" s="200"/>
      <c r="S1257" s="200"/>
      <c r="T1257" s="200" t="str">
        <f t="shared" si="204"/>
        <v/>
      </c>
      <c r="U1257" s="200"/>
      <c r="V1257" s="201" t="str">
        <f t="shared" si="205"/>
        <v/>
      </c>
      <c r="W1257" s="202">
        <f t="shared" si="206"/>
        <v>0</v>
      </c>
      <c r="X1257" s="172"/>
    </row>
    <row r="1258" spans="1:24" x14ac:dyDescent="0.45">
      <c r="A1258" s="193">
        <v>36</v>
      </c>
      <c r="B1258" s="194" t="str">
        <f t="shared" si="202"/>
        <v/>
      </c>
      <c r="C1258" s="170" t="str">
        <f t="shared" si="203"/>
        <v/>
      </c>
      <c r="D1258" s="170"/>
      <c r="E1258" s="195"/>
      <c r="F1258" s="170"/>
      <c r="G1258" s="170"/>
      <c r="H1258" s="203"/>
      <c r="I1258" s="197" t="str">
        <f t="shared" si="207"/>
        <v/>
      </c>
      <c r="J1258" s="197" t="str">
        <f t="shared" si="208"/>
        <v/>
      </c>
      <c r="K1258" s="197"/>
      <c r="L1258" s="197"/>
      <c r="M1258" s="198"/>
      <c r="N1258" s="198"/>
      <c r="O1258" s="198"/>
      <c r="P1258" s="199"/>
      <c r="Q1258" s="200"/>
      <c r="R1258" s="200"/>
      <c r="S1258" s="200"/>
      <c r="T1258" s="200" t="str">
        <f t="shared" si="204"/>
        <v/>
      </c>
      <c r="U1258" s="200"/>
      <c r="V1258" s="201" t="str">
        <f t="shared" si="205"/>
        <v/>
      </c>
      <c r="W1258" s="202">
        <f t="shared" si="206"/>
        <v>0</v>
      </c>
      <c r="X1258" s="172"/>
    </row>
    <row r="1259" spans="1:24" x14ac:dyDescent="0.45">
      <c r="A1259" s="193">
        <v>37</v>
      </c>
      <c r="B1259" s="194" t="str">
        <f t="shared" si="202"/>
        <v/>
      </c>
      <c r="C1259" s="170" t="str">
        <f t="shared" si="203"/>
        <v/>
      </c>
      <c r="D1259" s="170"/>
      <c r="E1259" s="195"/>
      <c r="F1259" s="170"/>
      <c r="G1259" s="170"/>
      <c r="H1259" s="203"/>
      <c r="I1259" s="197" t="str">
        <f t="shared" si="207"/>
        <v/>
      </c>
      <c r="J1259" s="197" t="str">
        <f t="shared" si="208"/>
        <v/>
      </c>
      <c r="K1259" s="197"/>
      <c r="L1259" s="197"/>
      <c r="M1259" s="198"/>
      <c r="N1259" s="198"/>
      <c r="O1259" s="198"/>
      <c r="P1259" s="199"/>
      <c r="Q1259" s="200"/>
      <c r="R1259" s="200"/>
      <c r="S1259" s="200"/>
      <c r="T1259" s="200" t="str">
        <f t="shared" si="204"/>
        <v/>
      </c>
      <c r="U1259" s="200"/>
      <c r="V1259" s="201" t="str">
        <f t="shared" si="205"/>
        <v/>
      </c>
      <c r="W1259" s="202">
        <f t="shared" si="206"/>
        <v>0</v>
      </c>
      <c r="X1259" s="172"/>
    </row>
    <row r="1260" spans="1:24" x14ac:dyDescent="0.45">
      <c r="A1260" s="193">
        <v>38</v>
      </c>
      <c r="B1260" s="194" t="str">
        <f t="shared" si="202"/>
        <v/>
      </c>
      <c r="C1260" s="170" t="str">
        <f t="shared" si="203"/>
        <v/>
      </c>
      <c r="D1260" s="170"/>
      <c r="E1260" s="195"/>
      <c r="F1260" s="170"/>
      <c r="G1260" s="170"/>
      <c r="H1260" s="203"/>
      <c r="I1260" s="197" t="str">
        <f t="shared" si="207"/>
        <v/>
      </c>
      <c r="J1260" s="197" t="str">
        <f t="shared" si="208"/>
        <v/>
      </c>
      <c r="K1260" s="197"/>
      <c r="L1260" s="197"/>
      <c r="M1260" s="198"/>
      <c r="N1260" s="198"/>
      <c r="O1260" s="198"/>
      <c r="P1260" s="199"/>
      <c r="Q1260" s="200"/>
      <c r="R1260" s="200"/>
      <c r="S1260" s="200"/>
      <c r="T1260" s="200" t="str">
        <f t="shared" si="204"/>
        <v/>
      </c>
      <c r="U1260" s="200"/>
      <c r="V1260" s="201" t="str">
        <f t="shared" si="205"/>
        <v/>
      </c>
      <c r="W1260" s="202">
        <f t="shared" si="206"/>
        <v>0</v>
      </c>
      <c r="X1260" s="172"/>
    </row>
    <row r="1261" spans="1:24" x14ac:dyDescent="0.45">
      <c r="A1261" s="193">
        <v>39</v>
      </c>
      <c r="B1261" s="194" t="str">
        <f t="shared" si="202"/>
        <v/>
      </c>
      <c r="C1261" s="170" t="str">
        <f t="shared" si="203"/>
        <v/>
      </c>
      <c r="D1261" s="170"/>
      <c r="E1261" s="195"/>
      <c r="F1261" s="170"/>
      <c r="G1261" s="170"/>
      <c r="H1261" s="203"/>
      <c r="I1261" s="197" t="str">
        <f t="shared" si="207"/>
        <v/>
      </c>
      <c r="J1261" s="197" t="str">
        <f t="shared" si="208"/>
        <v/>
      </c>
      <c r="K1261" s="197"/>
      <c r="L1261" s="197"/>
      <c r="M1261" s="198"/>
      <c r="N1261" s="198"/>
      <c r="O1261" s="198"/>
      <c r="P1261" s="199"/>
      <c r="Q1261" s="200"/>
      <c r="R1261" s="200"/>
      <c r="S1261" s="200"/>
      <c r="T1261" s="200" t="str">
        <f t="shared" si="204"/>
        <v/>
      </c>
      <c r="U1261" s="200"/>
      <c r="V1261" s="201" t="str">
        <f t="shared" si="205"/>
        <v/>
      </c>
      <c r="W1261" s="202">
        <f t="shared" si="206"/>
        <v>0</v>
      </c>
      <c r="X1261" s="172"/>
    </row>
    <row r="1262" spans="1:24" x14ac:dyDescent="0.45">
      <c r="A1262" s="193">
        <v>40</v>
      </c>
      <c r="B1262" s="194" t="str">
        <f t="shared" si="202"/>
        <v/>
      </c>
      <c r="C1262" s="170" t="str">
        <f t="shared" si="203"/>
        <v/>
      </c>
      <c r="D1262" s="170"/>
      <c r="E1262" s="195"/>
      <c r="F1262" s="170"/>
      <c r="G1262" s="170"/>
      <c r="H1262" s="203"/>
      <c r="I1262" s="197" t="str">
        <f t="shared" si="207"/>
        <v/>
      </c>
      <c r="J1262" s="197" t="str">
        <f t="shared" si="208"/>
        <v/>
      </c>
      <c r="K1262" s="197"/>
      <c r="L1262" s="197"/>
      <c r="M1262" s="198"/>
      <c r="N1262" s="198"/>
      <c r="O1262" s="198"/>
      <c r="P1262" s="199"/>
      <c r="Q1262" s="200"/>
      <c r="R1262" s="200"/>
      <c r="S1262" s="200"/>
      <c r="T1262" s="200" t="str">
        <f t="shared" si="204"/>
        <v/>
      </c>
      <c r="U1262" s="200"/>
      <c r="V1262" s="201" t="str">
        <f t="shared" si="205"/>
        <v/>
      </c>
      <c r="W1262" s="202">
        <f t="shared" si="206"/>
        <v>0</v>
      </c>
      <c r="X1262" s="172"/>
    </row>
    <row r="1263" spans="1:24" x14ac:dyDescent="0.45">
      <c r="A1263" s="193">
        <v>41</v>
      </c>
      <c r="B1263" s="194" t="str">
        <f t="shared" si="202"/>
        <v/>
      </c>
      <c r="C1263" s="170" t="str">
        <f t="shared" si="203"/>
        <v/>
      </c>
      <c r="D1263" s="170"/>
      <c r="E1263" s="195"/>
      <c r="F1263" s="170"/>
      <c r="G1263" s="170"/>
      <c r="H1263" s="203"/>
      <c r="I1263" s="197" t="str">
        <f t="shared" si="207"/>
        <v/>
      </c>
      <c r="J1263" s="197" t="str">
        <f t="shared" si="208"/>
        <v/>
      </c>
      <c r="K1263" s="197"/>
      <c r="L1263" s="197"/>
      <c r="M1263" s="198"/>
      <c r="N1263" s="198"/>
      <c r="O1263" s="198"/>
      <c r="P1263" s="199"/>
      <c r="Q1263" s="200"/>
      <c r="R1263" s="200"/>
      <c r="S1263" s="200"/>
      <c r="T1263" s="200" t="str">
        <f t="shared" si="204"/>
        <v/>
      </c>
      <c r="U1263" s="200"/>
      <c r="V1263" s="201" t="str">
        <f t="shared" si="205"/>
        <v/>
      </c>
      <c r="W1263" s="202">
        <f t="shared" si="206"/>
        <v>0</v>
      </c>
      <c r="X1263" s="172"/>
    </row>
    <row r="1264" spans="1:24" x14ac:dyDescent="0.45">
      <c r="A1264" s="193">
        <v>42</v>
      </c>
      <c r="B1264" s="194" t="str">
        <f t="shared" si="202"/>
        <v/>
      </c>
      <c r="C1264" s="170" t="str">
        <f t="shared" si="203"/>
        <v/>
      </c>
      <c r="D1264" s="170"/>
      <c r="E1264" s="195"/>
      <c r="F1264" s="170"/>
      <c r="G1264" s="170"/>
      <c r="H1264" s="203"/>
      <c r="I1264" s="197" t="str">
        <f t="shared" si="207"/>
        <v/>
      </c>
      <c r="J1264" s="197" t="str">
        <f t="shared" si="208"/>
        <v/>
      </c>
      <c r="K1264" s="197"/>
      <c r="L1264" s="197"/>
      <c r="M1264" s="198"/>
      <c r="N1264" s="198"/>
      <c r="O1264" s="198"/>
      <c r="P1264" s="199"/>
      <c r="Q1264" s="200"/>
      <c r="R1264" s="200"/>
      <c r="S1264" s="200"/>
      <c r="T1264" s="200" t="str">
        <f t="shared" si="204"/>
        <v/>
      </c>
      <c r="U1264" s="200"/>
      <c r="V1264" s="201" t="str">
        <f t="shared" si="205"/>
        <v/>
      </c>
      <c r="W1264" s="202">
        <f t="shared" si="206"/>
        <v>0</v>
      </c>
      <c r="X1264" s="172"/>
    </row>
    <row r="1265" spans="1:24" x14ac:dyDescent="0.45">
      <c r="A1265" s="193">
        <v>43</v>
      </c>
      <c r="B1265" s="194" t="str">
        <f t="shared" si="202"/>
        <v/>
      </c>
      <c r="C1265" s="170" t="str">
        <f t="shared" si="203"/>
        <v/>
      </c>
      <c r="D1265" s="170"/>
      <c r="E1265" s="195"/>
      <c r="F1265" s="170"/>
      <c r="G1265" s="170"/>
      <c r="H1265" s="203"/>
      <c r="I1265" s="197" t="str">
        <f t="shared" si="207"/>
        <v/>
      </c>
      <c r="J1265" s="197" t="str">
        <f t="shared" si="208"/>
        <v/>
      </c>
      <c r="K1265" s="197"/>
      <c r="L1265" s="197"/>
      <c r="M1265" s="198"/>
      <c r="N1265" s="198"/>
      <c r="O1265" s="198"/>
      <c r="P1265" s="199"/>
      <c r="Q1265" s="200"/>
      <c r="R1265" s="200"/>
      <c r="S1265" s="200"/>
      <c r="T1265" s="200" t="str">
        <f t="shared" si="204"/>
        <v/>
      </c>
      <c r="U1265" s="200"/>
      <c r="V1265" s="201" t="str">
        <f t="shared" si="205"/>
        <v/>
      </c>
      <c r="W1265" s="202">
        <f t="shared" si="206"/>
        <v>0</v>
      </c>
      <c r="X1265" s="172"/>
    </row>
    <row r="1266" spans="1:24" x14ac:dyDescent="0.45">
      <c r="A1266" s="193">
        <v>44</v>
      </c>
      <c r="B1266" s="194" t="str">
        <f t="shared" si="202"/>
        <v/>
      </c>
      <c r="C1266" s="170" t="str">
        <f t="shared" si="203"/>
        <v/>
      </c>
      <c r="D1266" s="170"/>
      <c r="E1266" s="195"/>
      <c r="F1266" s="170"/>
      <c r="G1266" s="170"/>
      <c r="H1266" s="203"/>
      <c r="I1266" s="197" t="str">
        <f t="shared" si="207"/>
        <v/>
      </c>
      <c r="J1266" s="197" t="str">
        <f t="shared" si="208"/>
        <v/>
      </c>
      <c r="K1266" s="197"/>
      <c r="L1266" s="197"/>
      <c r="M1266" s="198"/>
      <c r="N1266" s="198"/>
      <c r="O1266" s="198"/>
      <c r="P1266" s="199"/>
      <c r="Q1266" s="200"/>
      <c r="R1266" s="200"/>
      <c r="S1266" s="200"/>
      <c r="T1266" s="200" t="str">
        <f t="shared" si="204"/>
        <v/>
      </c>
      <c r="U1266" s="200"/>
      <c r="V1266" s="201" t="str">
        <f t="shared" si="205"/>
        <v/>
      </c>
      <c r="W1266" s="202">
        <f t="shared" si="206"/>
        <v>0</v>
      </c>
      <c r="X1266" s="172"/>
    </row>
    <row r="1267" spans="1:24" x14ac:dyDescent="0.45">
      <c r="A1267" s="193">
        <v>45</v>
      </c>
      <c r="B1267" s="194" t="str">
        <f t="shared" si="202"/>
        <v/>
      </c>
      <c r="C1267" s="170" t="str">
        <f t="shared" si="203"/>
        <v/>
      </c>
      <c r="D1267" s="170"/>
      <c r="E1267" s="195"/>
      <c r="F1267" s="170"/>
      <c r="G1267" s="170"/>
      <c r="H1267" s="203"/>
      <c r="I1267" s="197" t="str">
        <f t="shared" si="207"/>
        <v/>
      </c>
      <c r="J1267" s="197" t="str">
        <f t="shared" si="208"/>
        <v/>
      </c>
      <c r="K1267" s="197"/>
      <c r="L1267" s="197"/>
      <c r="M1267" s="198"/>
      <c r="N1267" s="198"/>
      <c r="O1267" s="198"/>
      <c r="P1267" s="199"/>
      <c r="Q1267" s="200"/>
      <c r="R1267" s="200"/>
      <c r="S1267" s="200"/>
      <c r="T1267" s="200" t="str">
        <f t="shared" si="204"/>
        <v/>
      </c>
      <c r="U1267" s="200"/>
      <c r="V1267" s="201" t="str">
        <f t="shared" si="205"/>
        <v/>
      </c>
      <c r="W1267" s="202">
        <f t="shared" si="206"/>
        <v>0</v>
      </c>
      <c r="X1267" s="172"/>
    </row>
    <row r="1268" spans="1:24" x14ac:dyDescent="0.45">
      <c r="A1268" s="193">
        <v>46</v>
      </c>
      <c r="B1268" s="194" t="str">
        <f t="shared" si="202"/>
        <v/>
      </c>
      <c r="C1268" s="170" t="str">
        <f t="shared" si="203"/>
        <v/>
      </c>
      <c r="D1268" s="170"/>
      <c r="E1268" s="195"/>
      <c r="F1268" s="170"/>
      <c r="G1268" s="170"/>
      <c r="H1268" s="203"/>
      <c r="I1268" s="197" t="str">
        <f t="shared" si="207"/>
        <v/>
      </c>
      <c r="J1268" s="197" t="str">
        <f t="shared" si="208"/>
        <v/>
      </c>
      <c r="K1268" s="197"/>
      <c r="L1268" s="197"/>
      <c r="M1268" s="198"/>
      <c r="N1268" s="198"/>
      <c r="O1268" s="198"/>
      <c r="P1268" s="199"/>
      <c r="Q1268" s="200"/>
      <c r="R1268" s="200"/>
      <c r="S1268" s="200"/>
      <c r="T1268" s="200" t="str">
        <f t="shared" si="204"/>
        <v/>
      </c>
      <c r="U1268" s="200"/>
      <c r="V1268" s="201" t="str">
        <f t="shared" si="205"/>
        <v/>
      </c>
      <c r="W1268" s="202">
        <f t="shared" si="206"/>
        <v>0</v>
      </c>
      <c r="X1268" s="172"/>
    </row>
    <row r="1269" spans="1:24" x14ac:dyDescent="0.45">
      <c r="A1269" s="193">
        <v>47</v>
      </c>
      <c r="B1269" s="194" t="str">
        <f t="shared" si="202"/>
        <v/>
      </c>
      <c r="C1269" s="170" t="str">
        <f t="shared" si="203"/>
        <v/>
      </c>
      <c r="D1269" s="170"/>
      <c r="E1269" s="195"/>
      <c r="F1269" s="170"/>
      <c r="G1269" s="170"/>
      <c r="H1269" s="203"/>
      <c r="I1269" s="197" t="str">
        <f t="shared" si="207"/>
        <v/>
      </c>
      <c r="J1269" s="197" t="str">
        <f t="shared" si="208"/>
        <v/>
      </c>
      <c r="K1269" s="197"/>
      <c r="L1269" s="197"/>
      <c r="M1269" s="198"/>
      <c r="N1269" s="198"/>
      <c r="O1269" s="198"/>
      <c r="P1269" s="199"/>
      <c r="Q1269" s="200"/>
      <c r="R1269" s="200"/>
      <c r="S1269" s="200"/>
      <c r="T1269" s="200" t="str">
        <f t="shared" si="204"/>
        <v/>
      </c>
      <c r="U1269" s="200"/>
      <c r="V1269" s="201" t="str">
        <f t="shared" si="205"/>
        <v/>
      </c>
      <c r="W1269" s="202">
        <f t="shared" si="206"/>
        <v>0</v>
      </c>
      <c r="X1269" s="172"/>
    </row>
    <row r="1270" spans="1:24" x14ac:dyDescent="0.45">
      <c r="A1270" s="193">
        <v>48</v>
      </c>
      <c r="B1270" s="194" t="str">
        <f t="shared" si="202"/>
        <v/>
      </c>
      <c r="C1270" s="170" t="str">
        <f t="shared" si="203"/>
        <v/>
      </c>
      <c r="D1270" s="170"/>
      <c r="E1270" s="195"/>
      <c r="F1270" s="170"/>
      <c r="G1270" s="170"/>
      <c r="H1270" s="203"/>
      <c r="I1270" s="197" t="str">
        <f t="shared" si="207"/>
        <v/>
      </c>
      <c r="J1270" s="197" t="str">
        <f t="shared" si="208"/>
        <v/>
      </c>
      <c r="K1270" s="197"/>
      <c r="L1270" s="197"/>
      <c r="M1270" s="198"/>
      <c r="N1270" s="198"/>
      <c r="O1270" s="198"/>
      <c r="P1270" s="199"/>
      <c r="Q1270" s="200"/>
      <c r="R1270" s="200"/>
      <c r="S1270" s="200"/>
      <c r="T1270" s="200" t="str">
        <f t="shared" si="204"/>
        <v/>
      </c>
      <c r="U1270" s="200"/>
      <c r="V1270" s="201" t="str">
        <f t="shared" si="205"/>
        <v/>
      </c>
      <c r="W1270" s="202">
        <f t="shared" si="206"/>
        <v>0</v>
      </c>
      <c r="X1270" s="172"/>
    </row>
    <row r="1271" spans="1:24" x14ac:dyDescent="0.45">
      <c r="A1271" s="193">
        <v>49</v>
      </c>
      <c r="B1271" s="194" t="str">
        <f t="shared" si="202"/>
        <v/>
      </c>
      <c r="C1271" s="170" t="str">
        <f t="shared" si="203"/>
        <v/>
      </c>
      <c r="D1271" s="170"/>
      <c r="E1271" s="195"/>
      <c r="F1271" s="170"/>
      <c r="G1271" s="170"/>
      <c r="H1271" s="203"/>
      <c r="I1271" s="197" t="str">
        <f t="shared" si="207"/>
        <v/>
      </c>
      <c r="J1271" s="197" t="str">
        <f t="shared" si="208"/>
        <v/>
      </c>
      <c r="K1271" s="197"/>
      <c r="L1271" s="197"/>
      <c r="M1271" s="198"/>
      <c r="N1271" s="198"/>
      <c r="O1271" s="198"/>
      <c r="P1271" s="199"/>
      <c r="Q1271" s="200"/>
      <c r="R1271" s="200"/>
      <c r="S1271" s="200"/>
      <c r="T1271" s="200" t="str">
        <f t="shared" si="204"/>
        <v/>
      </c>
      <c r="U1271" s="200"/>
      <c r="V1271" s="201" t="str">
        <f t="shared" si="205"/>
        <v/>
      </c>
      <c r="W1271" s="202">
        <f t="shared" si="206"/>
        <v>0</v>
      </c>
      <c r="X1271" s="172"/>
    </row>
    <row r="1272" spans="1:24" x14ac:dyDescent="0.45">
      <c r="A1272" s="193">
        <v>50</v>
      </c>
      <c r="B1272" s="194" t="str">
        <f t="shared" si="202"/>
        <v/>
      </c>
      <c r="C1272" s="170" t="str">
        <f t="shared" si="203"/>
        <v/>
      </c>
      <c r="D1272" s="170"/>
      <c r="E1272" s="195"/>
      <c r="F1272" s="170"/>
      <c r="G1272" s="170"/>
      <c r="H1272" s="203"/>
      <c r="I1272" s="197" t="str">
        <f t="shared" si="207"/>
        <v/>
      </c>
      <c r="J1272" s="197" t="str">
        <f t="shared" si="208"/>
        <v/>
      </c>
      <c r="K1272" s="197"/>
      <c r="L1272" s="197"/>
      <c r="M1272" s="198"/>
      <c r="N1272" s="198"/>
      <c r="O1272" s="198"/>
      <c r="P1272" s="199"/>
      <c r="Q1272" s="200"/>
      <c r="R1272" s="200"/>
      <c r="S1272" s="200"/>
      <c r="T1272" s="200" t="str">
        <f t="shared" si="204"/>
        <v/>
      </c>
      <c r="U1272" s="200"/>
      <c r="V1272" s="201" t="str">
        <f t="shared" si="205"/>
        <v/>
      </c>
      <c r="W1272" s="202">
        <f t="shared" si="206"/>
        <v>0</v>
      </c>
      <c r="X1272" s="172"/>
    </row>
    <row r="1273" spans="1:24" x14ac:dyDescent="0.45">
      <c r="A1273" s="193">
        <v>51</v>
      </c>
      <c r="B1273" s="194" t="str">
        <f t="shared" si="202"/>
        <v/>
      </c>
      <c r="C1273" s="170" t="str">
        <f t="shared" si="203"/>
        <v/>
      </c>
      <c r="D1273" s="170"/>
      <c r="E1273" s="195"/>
      <c r="F1273" s="170"/>
      <c r="G1273" s="170"/>
      <c r="H1273" s="203"/>
      <c r="I1273" s="197" t="str">
        <f t="shared" si="207"/>
        <v/>
      </c>
      <c r="J1273" s="197" t="str">
        <f t="shared" si="208"/>
        <v/>
      </c>
      <c r="K1273" s="197"/>
      <c r="L1273" s="197"/>
      <c r="M1273" s="198"/>
      <c r="N1273" s="198"/>
      <c r="O1273" s="198"/>
      <c r="P1273" s="199"/>
      <c r="Q1273" s="200"/>
      <c r="R1273" s="200"/>
      <c r="S1273" s="200"/>
      <c r="T1273" s="200" t="str">
        <f t="shared" si="204"/>
        <v/>
      </c>
      <c r="U1273" s="200"/>
      <c r="V1273" s="201" t="str">
        <f t="shared" si="205"/>
        <v/>
      </c>
      <c r="W1273" s="202">
        <f t="shared" si="206"/>
        <v>0</v>
      </c>
      <c r="X1273" s="172"/>
    </row>
    <row r="1274" spans="1:24" x14ac:dyDescent="0.45">
      <c r="A1274" s="193">
        <v>52</v>
      </c>
      <c r="B1274" s="194" t="str">
        <f t="shared" si="202"/>
        <v/>
      </c>
      <c r="C1274" s="170" t="str">
        <f t="shared" si="203"/>
        <v/>
      </c>
      <c r="D1274" s="170"/>
      <c r="E1274" s="195"/>
      <c r="F1274" s="170"/>
      <c r="G1274" s="170"/>
      <c r="H1274" s="203"/>
      <c r="I1274" s="197" t="str">
        <f t="shared" si="207"/>
        <v/>
      </c>
      <c r="J1274" s="197" t="str">
        <f t="shared" si="208"/>
        <v/>
      </c>
      <c r="K1274" s="197"/>
      <c r="L1274" s="197"/>
      <c r="M1274" s="198"/>
      <c r="N1274" s="198"/>
      <c r="O1274" s="198"/>
      <c r="P1274" s="199"/>
      <c r="Q1274" s="200"/>
      <c r="R1274" s="200"/>
      <c r="S1274" s="200"/>
      <c r="T1274" s="200" t="str">
        <f t="shared" si="204"/>
        <v/>
      </c>
      <c r="U1274" s="200"/>
      <c r="V1274" s="201" t="str">
        <f t="shared" si="205"/>
        <v/>
      </c>
      <c r="W1274" s="202">
        <f t="shared" si="206"/>
        <v>0</v>
      </c>
      <c r="X1274" s="172"/>
    </row>
    <row r="1275" spans="1:24" x14ac:dyDescent="0.45">
      <c r="A1275" s="193">
        <v>53</v>
      </c>
      <c r="B1275" s="194" t="str">
        <f t="shared" si="202"/>
        <v/>
      </c>
      <c r="C1275" s="170" t="str">
        <f t="shared" si="203"/>
        <v/>
      </c>
      <c r="D1275" s="170"/>
      <c r="E1275" s="195"/>
      <c r="F1275" s="170"/>
      <c r="G1275" s="170"/>
      <c r="H1275" s="203"/>
      <c r="I1275" s="197" t="str">
        <f t="shared" si="207"/>
        <v/>
      </c>
      <c r="J1275" s="197" t="str">
        <f t="shared" si="208"/>
        <v/>
      </c>
      <c r="K1275" s="197"/>
      <c r="L1275" s="197"/>
      <c r="M1275" s="198"/>
      <c r="N1275" s="198"/>
      <c r="O1275" s="198"/>
      <c r="P1275" s="199"/>
      <c r="Q1275" s="200"/>
      <c r="R1275" s="200"/>
      <c r="S1275" s="200"/>
      <c r="T1275" s="200" t="str">
        <f t="shared" si="204"/>
        <v/>
      </c>
      <c r="U1275" s="200"/>
      <c r="V1275" s="201" t="str">
        <f t="shared" si="205"/>
        <v/>
      </c>
      <c r="W1275" s="202">
        <f t="shared" si="206"/>
        <v>0</v>
      </c>
      <c r="X1275" s="172"/>
    </row>
    <row r="1276" spans="1:24" x14ac:dyDescent="0.45">
      <c r="A1276" s="193">
        <v>54</v>
      </c>
      <c r="B1276" s="194" t="str">
        <f t="shared" si="202"/>
        <v/>
      </c>
      <c r="C1276" s="170" t="str">
        <f t="shared" si="203"/>
        <v/>
      </c>
      <c r="D1276" s="170"/>
      <c r="E1276" s="195"/>
      <c r="F1276" s="170"/>
      <c r="G1276" s="170"/>
      <c r="H1276" s="203"/>
      <c r="I1276" s="197" t="str">
        <f t="shared" si="207"/>
        <v/>
      </c>
      <c r="J1276" s="197" t="str">
        <f t="shared" si="208"/>
        <v/>
      </c>
      <c r="K1276" s="197"/>
      <c r="L1276" s="197"/>
      <c r="M1276" s="198"/>
      <c r="N1276" s="198"/>
      <c r="O1276" s="198"/>
      <c r="P1276" s="199"/>
      <c r="Q1276" s="200"/>
      <c r="R1276" s="200"/>
      <c r="S1276" s="200"/>
      <c r="T1276" s="200" t="str">
        <f t="shared" si="204"/>
        <v/>
      </c>
      <c r="U1276" s="200"/>
      <c r="V1276" s="201" t="str">
        <f t="shared" si="205"/>
        <v/>
      </c>
      <c r="W1276" s="202">
        <f t="shared" si="206"/>
        <v>0</v>
      </c>
      <c r="X1276" s="172"/>
    </row>
    <row r="1277" spans="1:24" x14ac:dyDescent="0.45">
      <c r="A1277" s="193">
        <v>55</v>
      </c>
      <c r="B1277" s="194" t="str">
        <f t="shared" si="202"/>
        <v/>
      </c>
      <c r="C1277" s="170" t="str">
        <f t="shared" si="203"/>
        <v/>
      </c>
      <c r="D1277" s="170"/>
      <c r="E1277" s="195"/>
      <c r="F1277" s="170"/>
      <c r="G1277" s="170"/>
      <c r="H1277" s="203"/>
      <c r="I1277" s="197" t="str">
        <f t="shared" si="207"/>
        <v/>
      </c>
      <c r="J1277" s="197" t="str">
        <f t="shared" si="208"/>
        <v/>
      </c>
      <c r="K1277" s="197"/>
      <c r="L1277" s="197"/>
      <c r="M1277" s="198"/>
      <c r="N1277" s="198"/>
      <c r="O1277" s="198"/>
      <c r="P1277" s="199"/>
      <c r="Q1277" s="200"/>
      <c r="R1277" s="200"/>
      <c r="S1277" s="200"/>
      <c r="T1277" s="200" t="str">
        <f t="shared" si="204"/>
        <v/>
      </c>
      <c r="U1277" s="200"/>
      <c r="V1277" s="201" t="str">
        <f t="shared" si="205"/>
        <v/>
      </c>
      <c r="W1277" s="202">
        <f t="shared" si="206"/>
        <v>0</v>
      </c>
      <c r="X1277" s="172"/>
    </row>
    <row r="1278" spans="1:24" x14ac:dyDescent="0.45">
      <c r="A1278" s="193">
        <v>56</v>
      </c>
      <c r="B1278" s="194" t="str">
        <f t="shared" si="202"/>
        <v/>
      </c>
      <c r="C1278" s="170" t="str">
        <f t="shared" si="203"/>
        <v/>
      </c>
      <c r="D1278" s="170"/>
      <c r="E1278" s="195"/>
      <c r="F1278" s="170"/>
      <c r="G1278" s="170"/>
      <c r="H1278" s="203"/>
      <c r="I1278" s="197" t="str">
        <f t="shared" si="207"/>
        <v/>
      </c>
      <c r="J1278" s="197" t="str">
        <f t="shared" si="208"/>
        <v/>
      </c>
      <c r="K1278" s="197"/>
      <c r="L1278" s="197"/>
      <c r="M1278" s="198"/>
      <c r="N1278" s="198"/>
      <c r="O1278" s="198"/>
      <c r="P1278" s="199"/>
      <c r="Q1278" s="200"/>
      <c r="R1278" s="200"/>
      <c r="S1278" s="200"/>
      <c r="T1278" s="200" t="str">
        <f t="shared" si="204"/>
        <v/>
      </c>
      <c r="U1278" s="200"/>
      <c r="V1278" s="201" t="str">
        <f t="shared" si="205"/>
        <v/>
      </c>
      <c r="W1278" s="202">
        <f t="shared" si="206"/>
        <v>0</v>
      </c>
      <c r="X1278" s="172"/>
    </row>
    <row r="1279" spans="1:24" x14ac:dyDescent="0.45">
      <c r="A1279" s="193">
        <v>57</v>
      </c>
      <c r="B1279" s="194" t="str">
        <f t="shared" si="202"/>
        <v/>
      </c>
      <c r="C1279" s="170" t="str">
        <f t="shared" si="203"/>
        <v/>
      </c>
      <c r="D1279" s="170"/>
      <c r="E1279" s="195"/>
      <c r="F1279" s="170"/>
      <c r="G1279" s="170"/>
      <c r="H1279" s="203"/>
      <c r="I1279" s="197" t="str">
        <f t="shared" si="207"/>
        <v/>
      </c>
      <c r="J1279" s="197" t="str">
        <f t="shared" si="208"/>
        <v/>
      </c>
      <c r="K1279" s="197"/>
      <c r="L1279" s="197"/>
      <c r="M1279" s="198"/>
      <c r="N1279" s="198"/>
      <c r="O1279" s="198"/>
      <c r="P1279" s="199"/>
      <c r="Q1279" s="200"/>
      <c r="R1279" s="200"/>
      <c r="S1279" s="200"/>
      <c r="T1279" s="200" t="str">
        <f t="shared" si="204"/>
        <v/>
      </c>
      <c r="U1279" s="200"/>
      <c r="V1279" s="201" t="str">
        <f t="shared" si="205"/>
        <v/>
      </c>
      <c r="W1279" s="202">
        <f t="shared" si="206"/>
        <v>0</v>
      </c>
      <c r="X1279" s="172"/>
    </row>
    <row r="1280" spans="1:24" x14ac:dyDescent="0.45">
      <c r="A1280" s="193">
        <v>58</v>
      </c>
      <c r="B1280" s="194" t="str">
        <f t="shared" si="202"/>
        <v/>
      </c>
      <c r="C1280" s="170" t="str">
        <f t="shared" si="203"/>
        <v/>
      </c>
      <c r="D1280" s="170"/>
      <c r="E1280" s="195"/>
      <c r="F1280" s="170"/>
      <c r="G1280" s="170"/>
      <c r="H1280" s="203"/>
      <c r="I1280" s="197" t="str">
        <f t="shared" si="207"/>
        <v/>
      </c>
      <c r="J1280" s="197" t="str">
        <f t="shared" si="208"/>
        <v/>
      </c>
      <c r="K1280" s="197"/>
      <c r="L1280" s="197"/>
      <c r="M1280" s="198"/>
      <c r="N1280" s="198"/>
      <c r="O1280" s="198"/>
      <c r="P1280" s="199"/>
      <c r="Q1280" s="200"/>
      <c r="R1280" s="200"/>
      <c r="S1280" s="200"/>
      <c r="T1280" s="200" t="str">
        <f t="shared" si="204"/>
        <v/>
      </c>
      <c r="U1280" s="200"/>
      <c r="V1280" s="201" t="str">
        <f t="shared" si="205"/>
        <v/>
      </c>
      <c r="W1280" s="202">
        <f t="shared" si="206"/>
        <v>0</v>
      </c>
      <c r="X1280" s="172"/>
    </row>
    <row r="1281" spans="1:24" x14ac:dyDescent="0.45">
      <c r="A1281" s="193">
        <v>59</v>
      </c>
      <c r="B1281" s="194" t="str">
        <f t="shared" si="202"/>
        <v/>
      </c>
      <c r="C1281" s="170" t="str">
        <f t="shared" si="203"/>
        <v/>
      </c>
      <c r="D1281" s="170"/>
      <c r="E1281" s="195"/>
      <c r="F1281" s="170"/>
      <c r="G1281" s="170"/>
      <c r="H1281" s="203"/>
      <c r="I1281" s="197" t="str">
        <f t="shared" si="207"/>
        <v/>
      </c>
      <c r="J1281" s="197" t="str">
        <f t="shared" si="208"/>
        <v/>
      </c>
      <c r="K1281" s="197"/>
      <c r="L1281" s="197"/>
      <c r="M1281" s="198"/>
      <c r="N1281" s="198"/>
      <c r="O1281" s="198"/>
      <c r="P1281" s="199"/>
      <c r="Q1281" s="200"/>
      <c r="R1281" s="200"/>
      <c r="S1281" s="200"/>
      <c r="T1281" s="200" t="str">
        <f t="shared" si="204"/>
        <v/>
      </c>
      <c r="U1281" s="200"/>
      <c r="V1281" s="201" t="str">
        <f t="shared" si="205"/>
        <v/>
      </c>
      <c r="W1281" s="202">
        <f t="shared" si="206"/>
        <v>0</v>
      </c>
      <c r="X1281" s="172"/>
    </row>
    <row r="1282" spans="1:24" x14ac:dyDescent="0.45">
      <c r="A1282" s="193">
        <v>60</v>
      </c>
      <c r="B1282" s="194" t="str">
        <f t="shared" si="202"/>
        <v/>
      </c>
      <c r="C1282" s="170" t="str">
        <f t="shared" si="203"/>
        <v/>
      </c>
      <c r="D1282" s="170"/>
      <c r="E1282" s="195"/>
      <c r="F1282" s="170"/>
      <c r="G1282" s="170"/>
      <c r="H1282" s="203"/>
      <c r="I1282" s="197" t="str">
        <f t="shared" si="207"/>
        <v/>
      </c>
      <c r="J1282" s="197" t="str">
        <f t="shared" si="208"/>
        <v/>
      </c>
      <c r="K1282" s="197"/>
      <c r="L1282" s="197"/>
      <c r="M1282" s="198"/>
      <c r="N1282" s="198"/>
      <c r="O1282" s="198"/>
      <c r="P1282" s="199"/>
      <c r="Q1282" s="200"/>
      <c r="R1282" s="200"/>
      <c r="S1282" s="200"/>
      <c r="T1282" s="200" t="str">
        <f t="shared" si="204"/>
        <v/>
      </c>
      <c r="U1282" s="200"/>
      <c r="V1282" s="201" t="str">
        <f t="shared" si="205"/>
        <v/>
      </c>
      <c r="W1282" s="202">
        <f t="shared" si="206"/>
        <v>0</v>
      </c>
      <c r="X1282" s="172"/>
    </row>
    <row r="1283" spans="1:24" x14ac:dyDescent="0.45">
      <c r="A1283" s="193">
        <v>61</v>
      </c>
      <c r="B1283" s="194" t="str">
        <f t="shared" si="202"/>
        <v/>
      </c>
      <c r="C1283" s="170" t="str">
        <f t="shared" si="203"/>
        <v/>
      </c>
      <c r="D1283" s="170"/>
      <c r="E1283" s="195"/>
      <c r="F1283" s="170"/>
      <c r="G1283" s="170"/>
      <c r="H1283" s="203"/>
      <c r="I1283" s="197" t="str">
        <f t="shared" si="207"/>
        <v/>
      </c>
      <c r="J1283" s="197" t="str">
        <f t="shared" si="208"/>
        <v/>
      </c>
      <c r="K1283" s="197"/>
      <c r="L1283" s="197"/>
      <c r="M1283" s="198"/>
      <c r="N1283" s="198"/>
      <c r="O1283" s="198"/>
      <c r="P1283" s="199"/>
      <c r="Q1283" s="200"/>
      <c r="R1283" s="200"/>
      <c r="S1283" s="200"/>
      <c r="T1283" s="200" t="str">
        <f t="shared" si="204"/>
        <v/>
      </c>
      <c r="U1283" s="200"/>
      <c r="V1283" s="201" t="str">
        <f t="shared" si="205"/>
        <v/>
      </c>
      <c r="W1283" s="202">
        <f t="shared" si="206"/>
        <v>0</v>
      </c>
      <c r="X1283" s="172"/>
    </row>
    <row r="1284" spans="1:24" x14ac:dyDescent="0.45">
      <c r="A1284" s="193">
        <v>62</v>
      </c>
      <c r="B1284" s="194" t="str">
        <f t="shared" si="202"/>
        <v/>
      </c>
      <c r="C1284" s="170" t="str">
        <f t="shared" si="203"/>
        <v/>
      </c>
      <c r="D1284" s="170"/>
      <c r="E1284" s="195"/>
      <c r="F1284" s="170"/>
      <c r="G1284" s="170"/>
      <c r="H1284" s="203"/>
      <c r="I1284" s="197" t="str">
        <f t="shared" si="207"/>
        <v/>
      </c>
      <c r="J1284" s="197" t="str">
        <f t="shared" si="208"/>
        <v/>
      </c>
      <c r="K1284" s="197"/>
      <c r="L1284" s="197"/>
      <c r="M1284" s="198"/>
      <c r="N1284" s="198"/>
      <c r="O1284" s="198"/>
      <c r="P1284" s="199"/>
      <c r="Q1284" s="200"/>
      <c r="R1284" s="200"/>
      <c r="S1284" s="200"/>
      <c r="T1284" s="200" t="str">
        <f t="shared" si="204"/>
        <v/>
      </c>
      <c r="U1284" s="200"/>
      <c r="V1284" s="201" t="str">
        <f t="shared" si="205"/>
        <v/>
      </c>
      <c r="W1284" s="202">
        <f t="shared" si="206"/>
        <v>0</v>
      </c>
      <c r="X1284" s="172"/>
    </row>
    <row r="1285" spans="1:24" x14ac:dyDescent="0.45">
      <c r="A1285" s="193">
        <v>63</v>
      </c>
      <c r="B1285" s="194" t="str">
        <f t="shared" si="202"/>
        <v/>
      </c>
      <c r="C1285" s="170" t="str">
        <f t="shared" si="203"/>
        <v/>
      </c>
      <c r="D1285" s="170"/>
      <c r="E1285" s="195"/>
      <c r="F1285" s="170"/>
      <c r="G1285" s="170"/>
      <c r="H1285" s="203"/>
      <c r="I1285" s="197" t="str">
        <f t="shared" si="207"/>
        <v/>
      </c>
      <c r="J1285" s="197" t="str">
        <f t="shared" si="208"/>
        <v/>
      </c>
      <c r="K1285" s="197"/>
      <c r="L1285" s="197"/>
      <c r="M1285" s="198"/>
      <c r="N1285" s="198"/>
      <c r="O1285" s="198"/>
      <c r="P1285" s="199"/>
      <c r="Q1285" s="200"/>
      <c r="R1285" s="200"/>
      <c r="S1285" s="200"/>
      <c r="T1285" s="200" t="str">
        <f t="shared" si="204"/>
        <v/>
      </c>
      <c r="U1285" s="200"/>
      <c r="V1285" s="201" t="str">
        <f t="shared" si="205"/>
        <v/>
      </c>
      <c r="W1285" s="202">
        <f t="shared" si="206"/>
        <v>0</v>
      </c>
      <c r="X1285" s="172"/>
    </row>
    <row r="1286" spans="1:24" x14ac:dyDescent="0.45">
      <c r="A1286" s="193">
        <v>64</v>
      </c>
      <c r="B1286" s="194" t="str">
        <f t="shared" si="202"/>
        <v/>
      </c>
      <c r="C1286" s="170" t="str">
        <f t="shared" si="203"/>
        <v/>
      </c>
      <c r="D1286" s="170"/>
      <c r="E1286" s="195"/>
      <c r="F1286" s="170"/>
      <c r="G1286" s="170"/>
      <c r="H1286" s="203"/>
      <c r="I1286" s="197" t="str">
        <f t="shared" si="207"/>
        <v/>
      </c>
      <c r="J1286" s="197" t="str">
        <f t="shared" si="208"/>
        <v/>
      </c>
      <c r="K1286" s="197"/>
      <c r="L1286" s="197"/>
      <c r="M1286" s="198"/>
      <c r="N1286" s="198"/>
      <c r="O1286" s="198"/>
      <c r="P1286" s="199"/>
      <c r="Q1286" s="200"/>
      <c r="R1286" s="200"/>
      <c r="S1286" s="200"/>
      <c r="T1286" s="200" t="str">
        <f t="shared" si="204"/>
        <v/>
      </c>
      <c r="U1286" s="200"/>
      <c r="V1286" s="201" t="str">
        <f t="shared" si="205"/>
        <v/>
      </c>
      <c r="W1286" s="202">
        <f t="shared" si="206"/>
        <v>0</v>
      </c>
      <c r="X1286" s="172"/>
    </row>
    <row r="1287" spans="1:24" x14ac:dyDescent="0.45">
      <c r="A1287" s="193">
        <v>65</v>
      </c>
      <c r="B1287" s="194" t="str">
        <f t="shared" si="202"/>
        <v/>
      </c>
      <c r="C1287" s="170" t="str">
        <f t="shared" si="203"/>
        <v/>
      </c>
      <c r="D1287" s="170"/>
      <c r="E1287" s="195"/>
      <c r="F1287" s="170"/>
      <c r="G1287" s="170"/>
      <c r="H1287" s="203"/>
      <c r="I1287" s="197" t="str">
        <f t="shared" si="207"/>
        <v/>
      </c>
      <c r="J1287" s="197" t="str">
        <f t="shared" si="208"/>
        <v/>
      </c>
      <c r="K1287" s="197"/>
      <c r="L1287" s="197"/>
      <c r="M1287" s="198"/>
      <c r="N1287" s="198"/>
      <c r="O1287" s="198"/>
      <c r="P1287" s="199"/>
      <c r="Q1287" s="200"/>
      <c r="R1287" s="200"/>
      <c r="S1287" s="200"/>
      <c r="T1287" s="200" t="str">
        <f t="shared" si="204"/>
        <v/>
      </c>
      <c r="U1287" s="200"/>
      <c r="V1287" s="201" t="str">
        <f t="shared" ref="V1287:V1288" si="209">IF(U1287="","",$V$1203)</f>
        <v/>
      </c>
      <c r="W1287" s="202">
        <f t="shared" si="206"/>
        <v>0</v>
      </c>
      <c r="X1287" s="172"/>
    </row>
    <row r="1288" spans="1:24" ht="14.25" customHeight="1" x14ac:dyDescent="0.45">
      <c r="A1288" s="193">
        <v>66</v>
      </c>
      <c r="B1288" s="204" t="str">
        <f t="shared" si="202"/>
        <v/>
      </c>
      <c r="C1288" s="205" t="str">
        <f t="shared" si="203"/>
        <v/>
      </c>
      <c r="D1288" s="205"/>
      <c r="E1288" s="205"/>
      <c r="F1288" s="205"/>
      <c r="G1288" s="205"/>
      <c r="H1288" s="205"/>
      <c r="I1288" s="206" t="str">
        <f t="shared" si="207"/>
        <v/>
      </c>
      <c r="J1288" s="206" t="str">
        <f t="shared" si="208"/>
        <v/>
      </c>
      <c r="K1288" s="206"/>
      <c r="L1288" s="206"/>
      <c r="M1288" s="205"/>
      <c r="N1288" s="205"/>
      <c r="O1288" s="205"/>
      <c r="P1288" s="205"/>
      <c r="Q1288" s="205"/>
      <c r="R1288" s="205"/>
      <c r="S1288" s="205"/>
      <c r="T1288" s="205" t="str">
        <f t="shared" si="204"/>
        <v/>
      </c>
      <c r="U1288" s="205"/>
      <c r="V1288" s="205" t="str">
        <f t="shared" si="209"/>
        <v/>
      </c>
      <c r="W1288" s="207">
        <f t="shared" si="206"/>
        <v>0</v>
      </c>
      <c r="X1288" s="207"/>
    </row>
    <row r="1289" spans="1:24" ht="24.75" customHeight="1" x14ac:dyDescent="0.45">
      <c r="B1289" s="428" t="s">
        <v>1522</v>
      </c>
      <c r="C1289" s="429" t="s">
        <v>1494</v>
      </c>
      <c r="D1289" s="429"/>
      <c r="E1289" s="429"/>
      <c r="F1289" s="429"/>
      <c r="G1289" s="429"/>
      <c r="H1289" s="429"/>
      <c r="I1289" s="429"/>
      <c r="J1289" s="429"/>
      <c r="K1289" s="429"/>
      <c r="L1289" s="429"/>
      <c r="M1289" s="429"/>
      <c r="N1289" s="429"/>
      <c r="O1289" s="429"/>
      <c r="P1289" s="429"/>
      <c r="Q1289" s="429"/>
      <c r="R1289" s="145" t="s">
        <v>1</v>
      </c>
      <c r="S1289" s="146"/>
      <c r="T1289" s="145" t="s">
        <v>8</v>
      </c>
      <c r="U1289" s="147"/>
      <c r="V1289" s="148" t="s">
        <v>3</v>
      </c>
      <c r="W1289" s="146"/>
      <c r="X1289" s="149"/>
    </row>
    <row r="1290" spans="1:24" ht="24.75" customHeight="1" x14ac:dyDescent="0.45">
      <c r="B1290" s="428"/>
      <c r="C1290" s="429"/>
      <c r="D1290" s="429"/>
      <c r="E1290" s="429"/>
      <c r="F1290" s="429"/>
      <c r="G1290" s="429"/>
      <c r="H1290" s="429"/>
      <c r="I1290" s="429"/>
      <c r="J1290" s="429"/>
      <c r="K1290" s="429"/>
      <c r="L1290" s="429"/>
      <c r="M1290" s="429"/>
      <c r="N1290" s="429"/>
      <c r="O1290" s="429"/>
      <c r="P1290" s="429"/>
      <c r="Q1290" s="429"/>
      <c r="R1290" s="430" t="s">
        <v>1495</v>
      </c>
      <c r="S1290" s="430"/>
      <c r="T1290" s="431" t="str">
        <f>'BM MORRO DA CRUZ - VERTICAL'!$V$4</f>
        <v>01-10-26 A 31-10-26</v>
      </c>
      <c r="U1290" s="431"/>
      <c r="V1290" s="432" t="str">
        <f>IF('BM MORRO DA CRUZ - VERTICAL'!$BF$2="","",'BM MORRO DA CRUZ - VERTICAL'!$BF$2)</f>
        <v/>
      </c>
      <c r="W1290" s="432"/>
      <c r="X1290" s="150"/>
    </row>
    <row r="1291" spans="1:24" ht="24.75" customHeight="1" x14ac:dyDescent="0.45">
      <c r="B1291" s="151" t="s">
        <v>5</v>
      </c>
      <c r="C1291" s="152"/>
      <c r="D1291" s="152"/>
      <c r="E1291" s="152"/>
      <c r="F1291" s="152"/>
      <c r="G1291" s="152"/>
      <c r="H1291" s="152"/>
      <c r="I1291" s="152"/>
      <c r="J1291" s="152"/>
      <c r="K1291" s="152"/>
      <c r="L1291" s="152"/>
      <c r="M1291" s="152"/>
      <c r="N1291" s="152"/>
      <c r="O1291" s="152"/>
      <c r="P1291" s="153"/>
      <c r="Q1291" s="154"/>
      <c r="R1291" s="155"/>
      <c r="S1291" s="155"/>
      <c r="T1291" s="156" t="s">
        <v>1496</v>
      </c>
      <c r="U1291" s="157"/>
      <c r="V1291" s="158" t="s">
        <v>9</v>
      </c>
      <c r="W1291" s="159"/>
      <c r="X1291" s="433"/>
    </row>
    <row r="1292" spans="1:24" ht="24.75" customHeight="1" x14ac:dyDescent="0.45">
      <c r="B1292" s="17" t="s">
        <v>11</v>
      </c>
      <c r="C1292" s="160"/>
      <c r="D1292" s="160"/>
      <c r="E1292" s="160"/>
      <c r="F1292" s="160"/>
      <c r="G1292" s="160"/>
      <c r="H1292" s="160"/>
      <c r="I1292" s="160"/>
      <c r="J1292" s="160"/>
      <c r="K1292" s="160"/>
      <c r="L1292" s="160"/>
      <c r="M1292" s="160"/>
      <c r="N1292" s="160"/>
      <c r="O1292" s="160"/>
      <c r="P1292" s="161"/>
      <c r="Q1292" s="162"/>
      <c r="R1292" s="163"/>
      <c r="S1292" s="163"/>
      <c r="T1292" s="434" t="str">
        <f>'BM MORRO DA CRUZ - VERTICAL'!$V$2</f>
        <v>1ª MEDIÇÃO</v>
      </c>
      <c r="U1292" s="434"/>
      <c r="V1292" s="435" t="s">
        <v>13</v>
      </c>
      <c r="W1292" s="435"/>
      <c r="X1292" s="433"/>
    </row>
    <row r="1293" spans="1:24" ht="24.75" customHeight="1" x14ac:dyDescent="0.45">
      <c r="B1293" s="164" t="s">
        <v>1459</v>
      </c>
      <c r="C1293" s="165" t="s">
        <v>14</v>
      </c>
      <c r="D1293" s="165" t="s">
        <v>24</v>
      </c>
      <c r="E1293" s="165" t="s">
        <v>25</v>
      </c>
      <c r="F1293" s="166" t="s">
        <v>1461</v>
      </c>
      <c r="G1293" s="165"/>
      <c r="H1293" s="165"/>
      <c r="I1293" s="165"/>
      <c r="J1293" s="165"/>
      <c r="K1293" s="165"/>
      <c r="L1293" s="165"/>
      <c r="M1293" s="165"/>
      <c r="N1293" s="165"/>
      <c r="O1293" s="165"/>
      <c r="P1293" s="165"/>
      <c r="Q1293" s="165"/>
      <c r="R1293" s="165"/>
      <c r="S1293" s="165"/>
      <c r="T1293" s="165"/>
      <c r="U1293" s="165"/>
      <c r="V1293" s="165" t="s">
        <v>26</v>
      </c>
      <c r="W1293" s="167" t="s">
        <v>29</v>
      </c>
      <c r="X1293" s="168"/>
    </row>
    <row r="1294" spans="1:24" ht="24.75" customHeight="1" x14ac:dyDescent="0.45">
      <c r="B1294" s="169"/>
      <c r="C1294" s="170"/>
      <c r="D1294" s="170"/>
      <c r="E1294" s="170"/>
      <c r="F1294" s="170"/>
      <c r="G1294" s="170"/>
      <c r="H1294" s="170"/>
      <c r="I1294" s="170"/>
      <c r="J1294" s="170"/>
      <c r="K1294" s="170"/>
      <c r="L1294" s="170"/>
      <c r="M1294" s="170"/>
      <c r="N1294" s="170"/>
      <c r="O1294" s="170"/>
      <c r="P1294" s="170"/>
      <c r="Q1294" s="170"/>
      <c r="R1294" s="170"/>
      <c r="S1294" s="170"/>
      <c r="T1294" s="170"/>
      <c r="U1294" s="170"/>
      <c r="V1294" s="170"/>
      <c r="W1294" s="171"/>
      <c r="X1294" s="172"/>
    </row>
    <row r="1295" spans="1:24" ht="24.75" customHeight="1" x14ac:dyDescent="0.45">
      <c r="B1295" s="173" t="str">
        <f>IF($C$1295="","",IFERROR(INDEX('BM MORRO DA CRUZ - VERTICAL'!$C$6:$C$546,MATCH($C$1295,'BM MORRO DA CRUZ - VERTICAL'!$D$6:$D$546,0)),"CHAVE NÃO ENCONTRADA NO VERTICAL"))</f>
        <v/>
      </c>
      <c r="C1295" s="174"/>
      <c r="D1295" s="175" t="str">
        <f>IF($C$1295="","",IFERROR(INDEX('BM MORRO DA CRUZ - VERTICAL'!$O$6:$O$546,MATCH($C$1295,'BM MORRO DA CRUZ - VERTICAL'!$D$6:$D$546,0)),"CHAVE NÃO ENCONTRADA NO VERTICAL"))</f>
        <v/>
      </c>
      <c r="E1295" s="175" t="str">
        <f>IF($C$1295="","",IFERROR(INDEX('BM MORRO DA CRUZ - VERTICAL'!$P$6:$P$546,MATCH($C$1295,'BM MORRO DA CRUZ - VERTICAL'!$D$6:$D$546,0)),"CHAVE NÃO ENCONTRADA NO VERTICAL"))</f>
        <v/>
      </c>
      <c r="F1295" s="175" t="str">
        <f>IF($C$1295="","",IFERROR(INDEX('BM MORRO DA CRUZ - VERTICAL'!$Q$6:$Q$546,MATCH($C$1295,'BM MORRO DA CRUZ - VERTICAL'!$D$6:$D$546,0)),"CHAVE NÃO ENCONTRADA NO VERTICAL"))</f>
        <v/>
      </c>
      <c r="G1295" s="176"/>
      <c r="H1295" s="176"/>
      <c r="I1295" s="176"/>
      <c r="J1295" s="176"/>
      <c r="K1295" s="176"/>
      <c r="L1295" s="176"/>
      <c r="M1295" s="176"/>
      <c r="N1295" s="176"/>
      <c r="O1295" s="176"/>
      <c r="P1295" s="176"/>
      <c r="Q1295" s="176"/>
      <c r="R1295" s="176"/>
      <c r="S1295" s="176"/>
      <c r="T1295" s="176"/>
      <c r="U1295" s="176"/>
      <c r="V1295" s="177" t="str">
        <f>IF($C$1295="","",IFERROR(INDEX('BM MORRO DA CRUZ - VERTICAL'!$R$6:$R$546,MATCH($C$1295,'BM MORRO DA CRUZ - VERTICAL'!$D$6:$D$546,0)),"CHAVE NÃO ENCONTRADA NO VERTICAL"))</f>
        <v/>
      </c>
      <c r="W1295" s="178">
        <f>SUM($W1315:$W1380)</f>
        <v>0</v>
      </c>
      <c r="X1295" s="179"/>
    </row>
    <row r="1296" spans="1:24" ht="24.75" customHeight="1" x14ac:dyDescent="0.45">
      <c r="B1296" s="426" t="s">
        <v>1497</v>
      </c>
      <c r="C1296" s="426"/>
      <c r="D1296" s="426"/>
      <c r="E1296" s="426"/>
      <c r="F1296" s="426"/>
      <c r="G1296" s="426"/>
      <c r="H1296" s="426"/>
      <c r="I1296" s="426"/>
      <c r="J1296" s="426"/>
      <c r="K1296" s="426"/>
      <c r="L1296" s="426"/>
      <c r="M1296" s="426"/>
      <c r="N1296" s="426"/>
      <c r="O1296" s="426"/>
      <c r="P1296" s="426"/>
      <c r="Q1296" s="426"/>
      <c r="R1296" s="426"/>
      <c r="S1296" s="426"/>
      <c r="T1296" s="426"/>
      <c r="U1296" s="426"/>
      <c r="V1296" s="426"/>
      <c r="W1296" s="426"/>
      <c r="X1296" s="180" t="s">
        <v>1498</v>
      </c>
    </row>
    <row r="1297" spans="2:24" ht="14.25" customHeight="1" x14ac:dyDescent="0.45">
      <c r="B1297" s="181"/>
      <c r="C1297" s="182"/>
      <c r="D1297" s="182"/>
      <c r="E1297" s="182"/>
      <c r="F1297" s="182"/>
      <c r="G1297" s="182"/>
      <c r="H1297" s="182"/>
      <c r="I1297" s="182"/>
      <c r="J1297" s="182"/>
      <c r="K1297" s="182"/>
      <c r="L1297" s="182"/>
      <c r="M1297" s="182"/>
      <c r="N1297" s="182"/>
      <c r="O1297" s="182"/>
      <c r="P1297" s="182"/>
      <c r="Q1297" s="182"/>
      <c r="R1297" s="182"/>
      <c r="S1297" s="182"/>
      <c r="T1297" s="182"/>
      <c r="U1297" s="182"/>
      <c r="V1297" s="182"/>
      <c r="W1297" s="183"/>
      <c r="X1297" s="427"/>
    </row>
    <row r="1298" spans="2:24" x14ac:dyDescent="0.45">
      <c r="B1298" s="181"/>
      <c r="C1298" s="182"/>
      <c r="D1298" s="182"/>
      <c r="E1298" s="182"/>
      <c r="F1298" s="182"/>
      <c r="G1298" s="182"/>
      <c r="H1298" s="182"/>
      <c r="I1298" s="182"/>
      <c r="J1298" s="182"/>
      <c r="K1298" s="182"/>
      <c r="L1298" s="182"/>
      <c r="M1298" s="182"/>
      <c r="N1298" s="182"/>
      <c r="O1298" s="182"/>
      <c r="P1298" s="182"/>
      <c r="Q1298" s="182"/>
      <c r="R1298" s="182"/>
      <c r="S1298" s="182"/>
      <c r="T1298" s="182"/>
      <c r="U1298" s="182"/>
      <c r="V1298" s="182"/>
      <c r="W1298" s="183"/>
      <c r="X1298" s="427"/>
    </row>
    <row r="1299" spans="2:24" x14ac:dyDescent="0.45">
      <c r="B1299" s="181"/>
      <c r="C1299" s="182"/>
      <c r="D1299" s="182"/>
      <c r="E1299" s="182"/>
      <c r="F1299" s="182"/>
      <c r="G1299" s="182"/>
      <c r="H1299" s="182"/>
      <c r="I1299" s="182"/>
      <c r="J1299" s="182"/>
      <c r="K1299" s="182"/>
      <c r="L1299" s="182"/>
      <c r="M1299" s="182"/>
      <c r="N1299" s="182"/>
      <c r="O1299" s="182"/>
      <c r="P1299" s="182"/>
      <c r="Q1299" s="182"/>
      <c r="R1299" s="182"/>
      <c r="S1299" s="182"/>
      <c r="T1299" s="182"/>
      <c r="U1299" s="182"/>
      <c r="V1299" s="182"/>
      <c r="W1299" s="183"/>
      <c r="X1299" s="427"/>
    </row>
    <row r="1300" spans="2:24" x14ac:dyDescent="0.45">
      <c r="B1300" s="181"/>
      <c r="C1300" s="182"/>
      <c r="D1300" s="182"/>
      <c r="E1300" s="182"/>
      <c r="F1300" s="182"/>
      <c r="G1300" s="182"/>
      <c r="H1300" s="182"/>
      <c r="I1300" s="182"/>
      <c r="J1300" s="182"/>
      <c r="K1300" s="182"/>
      <c r="L1300" s="182"/>
      <c r="M1300" s="182"/>
      <c r="N1300" s="182"/>
      <c r="O1300" s="182"/>
      <c r="P1300" s="182"/>
      <c r="Q1300" s="182"/>
      <c r="R1300" s="182"/>
      <c r="S1300" s="182"/>
      <c r="T1300" s="182"/>
      <c r="U1300" s="182"/>
      <c r="V1300" s="182"/>
      <c r="W1300" s="183"/>
      <c r="X1300" s="427"/>
    </row>
    <row r="1301" spans="2:24" x14ac:dyDescent="0.45">
      <c r="B1301" s="181"/>
      <c r="C1301" s="182"/>
      <c r="D1301" s="182"/>
      <c r="E1301" s="182"/>
      <c r="F1301" s="182"/>
      <c r="G1301" s="182"/>
      <c r="H1301" s="182"/>
      <c r="I1301" s="182"/>
      <c r="J1301" s="182"/>
      <c r="K1301" s="182"/>
      <c r="L1301" s="182"/>
      <c r="M1301" s="182"/>
      <c r="N1301" s="182"/>
      <c r="O1301" s="182"/>
      <c r="P1301" s="182"/>
      <c r="Q1301" s="182"/>
      <c r="R1301" s="182"/>
      <c r="S1301" s="182"/>
      <c r="T1301" s="182"/>
      <c r="U1301" s="182"/>
      <c r="V1301" s="182"/>
      <c r="W1301" s="183"/>
      <c r="X1301" s="427"/>
    </row>
    <row r="1302" spans="2:24" x14ac:dyDescent="0.45">
      <c r="B1302" s="181"/>
      <c r="C1302" s="182"/>
      <c r="D1302" s="182"/>
      <c r="E1302" s="182"/>
      <c r="F1302" s="182"/>
      <c r="G1302" s="182"/>
      <c r="H1302" s="182"/>
      <c r="I1302" s="182"/>
      <c r="J1302" s="182"/>
      <c r="K1302" s="182"/>
      <c r="L1302" s="182"/>
      <c r="M1302" s="182"/>
      <c r="N1302" s="182"/>
      <c r="O1302" s="182"/>
      <c r="P1302" s="182"/>
      <c r="Q1302" s="182"/>
      <c r="R1302" s="182"/>
      <c r="S1302" s="182"/>
      <c r="T1302" s="182"/>
      <c r="U1302" s="182"/>
      <c r="V1302" s="182"/>
      <c r="W1302" s="183"/>
      <c r="X1302" s="427"/>
    </row>
    <row r="1303" spans="2:24" x14ac:dyDescent="0.45">
      <c r="B1303" s="181"/>
      <c r="C1303" s="182"/>
      <c r="D1303" s="182"/>
      <c r="E1303" s="182"/>
      <c r="F1303" s="182"/>
      <c r="G1303" s="182"/>
      <c r="H1303" s="182"/>
      <c r="I1303" s="182"/>
      <c r="J1303" s="182"/>
      <c r="K1303" s="182"/>
      <c r="L1303" s="182"/>
      <c r="M1303" s="182"/>
      <c r="N1303" s="182"/>
      <c r="O1303" s="182"/>
      <c r="P1303" s="182"/>
      <c r="Q1303" s="182"/>
      <c r="R1303" s="182"/>
      <c r="S1303" s="182"/>
      <c r="T1303" s="182"/>
      <c r="U1303" s="182"/>
      <c r="V1303" s="182"/>
      <c r="W1303" s="183"/>
      <c r="X1303" s="427"/>
    </row>
    <row r="1304" spans="2:24" x14ac:dyDescent="0.45">
      <c r="B1304" s="181"/>
      <c r="C1304" s="182"/>
      <c r="D1304" s="182"/>
      <c r="E1304" s="182"/>
      <c r="F1304" s="182"/>
      <c r="G1304" s="182"/>
      <c r="H1304" s="182"/>
      <c r="I1304" s="182"/>
      <c r="J1304" s="182"/>
      <c r="K1304" s="182"/>
      <c r="L1304" s="182"/>
      <c r="M1304" s="182"/>
      <c r="N1304" s="182"/>
      <c r="O1304" s="182"/>
      <c r="P1304" s="182"/>
      <c r="Q1304" s="182"/>
      <c r="R1304" s="182"/>
      <c r="S1304" s="182"/>
      <c r="T1304" s="182"/>
      <c r="U1304" s="182"/>
      <c r="V1304" s="182"/>
      <c r="W1304" s="183"/>
      <c r="X1304" s="427"/>
    </row>
    <row r="1305" spans="2:24" x14ac:dyDescent="0.45">
      <c r="B1305" s="181"/>
      <c r="C1305" s="182"/>
      <c r="D1305" s="182"/>
      <c r="E1305" s="182"/>
      <c r="F1305" s="182"/>
      <c r="G1305" s="182"/>
      <c r="H1305" s="182"/>
      <c r="I1305" s="182"/>
      <c r="J1305" s="182"/>
      <c r="K1305" s="182"/>
      <c r="L1305" s="182"/>
      <c r="M1305" s="182"/>
      <c r="N1305" s="182"/>
      <c r="O1305" s="182"/>
      <c r="P1305" s="182"/>
      <c r="Q1305" s="182"/>
      <c r="R1305" s="182"/>
      <c r="S1305" s="182"/>
      <c r="T1305" s="182"/>
      <c r="U1305" s="182"/>
      <c r="V1305" s="182"/>
      <c r="W1305" s="183"/>
      <c r="X1305" s="427"/>
    </row>
    <row r="1306" spans="2:24" x14ac:dyDescent="0.45">
      <c r="B1306" s="181"/>
      <c r="C1306" s="182"/>
      <c r="D1306" s="182"/>
      <c r="E1306" s="182"/>
      <c r="F1306" s="182"/>
      <c r="G1306" s="182"/>
      <c r="H1306" s="182"/>
      <c r="I1306" s="182"/>
      <c r="J1306" s="182"/>
      <c r="K1306" s="182"/>
      <c r="L1306" s="182"/>
      <c r="M1306" s="182"/>
      <c r="N1306" s="182"/>
      <c r="O1306" s="182"/>
      <c r="P1306" s="182"/>
      <c r="Q1306" s="182"/>
      <c r="R1306" s="182"/>
      <c r="S1306" s="182"/>
      <c r="T1306" s="182"/>
      <c r="U1306" s="182"/>
      <c r="V1306" s="182"/>
      <c r="W1306" s="183"/>
      <c r="X1306" s="427"/>
    </row>
    <row r="1307" spans="2:24" x14ac:dyDescent="0.45">
      <c r="B1307" s="181"/>
      <c r="C1307" s="182"/>
      <c r="D1307" s="182"/>
      <c r="E1307" s="182"/>
      <c r="F1307" s="182"/>
      <c r="G1307" s="182"/>
      <c r="H1307" s="182"/>
      <c r="I1307" s="182"/>
      <c r="J1307" s="182"/>
      <c r="K1307" s="182"/>
      <c r="L1307" s="182"/>
      <c r="M1307" s="182"/>
      <c r="N1307" s="182"/>
      <c r="O1307" s="182"/>
      <c r="P1307" s="182"/>
      <c r="Q1307" s="182"/>
      <c r="R1307" s="182"/>
      <c r="S1307" s="182"/>
      <c r="T1307" s="182"/>
      <c r="U1307" s="182"/>
      <c r="V1307" s="182"/>
      <c r="W1307" s="183"/>
      <c r="X1307" s="427"/>
    </row>
    <row r="1308" spans="2:24" x14ac:dyDescent="0.45">
      <c r="B1308" s="181"/>
      <c r="C1308" s="182"/>
      <c r="D1308" s="182"/>
      <c r="E1308" s="182"/>
      <c r="F1308" s="182"/>
      <c r="G1308" s="182"/>
      <c r="H1308" s="182"/>
      <c r="I1308" s="182"/>
      <c r="J1308" s="182"/>
      <c r="K1308" s="182"/>
      <c r="L1308" s="182"/>
      <c r="M1308" s="182"/>
      <c r="N1308" s="182"/>
      <c r="O1308" s="182"/>
      <c r="P1308" s="182"/>
      <c r="Q1308" s="182"/>
      <c r="R1308" s="182"/>
      <c r="S1308" s="182"/>
      <c r="T1308" s="182"/>
      <c r="U1308" s="182"/>
      <c r="V1308" s="182"/>
      <c r="W1308" s="183"/>
      <c r="X1308" s="427"/>
    </row>
    <row r="1309" spans="2:24" x14ac:dyDescent="0.45">
      <c r="B1309" s="181"/>
      <c r="C1309" s="182"/>
      <c r="D1309" s="182"/>
      <c r="E1309" s="182"/>
      <c r="F1309" s="182"/>
      <c r="G1309" s="182"/>
      <c r="H1309" s="182"/>
      <c r="I1309" s="182"/>
      <c r="J1309" s="182"/>
      <c r="K1309" s="182"/>
      <c r="L1309" s="182"/>
      <c r="M1309" s="182"/>
      <c r="N1309" s="182"/>
      <c r="O1309" s="182"/>
      <c r="P1309" s="182"/>
      <c r="Q1309" s="182"/>
      <c r="R1309" s="182"/>
      <c r="S1309" s="182"/>
      <c r="T1309" s="182"/>
      <c r="U1309" s="182"/>
      <c r="V1309" s="182"/>
      <c r="W1309" s="183"/>
      <c r="X1309" s="427"/>
    </row>
    <row r="1310" spans="2:24" x14ac:dyDescent="0.45">
      <c r="B1310" s="181"/>
      <c r="C1310" s="182"/>
      <c r="D1310" s="182"/>
      <c r="E1310" s="182"/>
      <c r="F1310" s="182"/>
      <c r="G1310" s="182"/>
      <c r="H1310" s="182"/>
      <c r="I1310" s="182"/>
      <c r="J1310" s="182"/>
      <c r="K1310" s="182"/>
      <c r="L1310" s="182"/>
      <c r="M1310" s="182"/>
      <c r="N1310" s="182"/>
      <c r="O1310" s="182"/>
      <c r="P1310" s="182"/>
      <c r="Q1310" s="182"/>
      <c r="R1310" s="182"/>
      <c r="S1310" s="182"/>
      <c r="T1310" s="182"/>
      <c r="U1310" s="182"/>
      <c r="V1310" s="182"/>
      <c r="W1310" s="183"/>
      <c r="X1310" s="427"/>
    </row>
    <row r="1311" spans="2:24" x14ac:dyDescent="0.45">
      <c r="B1311" s="181"/>
      <c r="C1311" s="182"/>
      <c r="D1311" s="182"/>
      <c r="E1311" s="182"/>
      <c r="F1311" s="182"/>
      <c r="G1311" s="182"/>
      <c r="H1311" s="182"/>
      <c r="I1311" s="182"/>
      <c r="J1311" s="182"/>
      <c r="K1311" s="182"/>
      <c r="L1311" s="182"/>
      <c r="M1311" s="182"/>
      <c r="N1311" s="182"/>
      <c r="O1311" s="182"/>
      <c r="P1311" s="182"/>
      <c r="Q1311" s="182"/>
      <c r="R1311" s="182"/>
      <c r="S1311" s="182"/>
      <c r="T1311" s="182"/>
      <c r="U1311" s="182"/>
      <c r="V1311" s="182"/>
      <c r="W1311" s="183"/>
      <c r="X1311" s="427"/>
    </row>
    <row r="1312" spans="2:24" x14ac:dyDescent="0.45">
      <c r="B1312" s="181"/>
      <c r="C1312" s="182"/>
      <c r="D1312" s="182"/>
      <c r="E1312" s="182"/>
      <c r="F1312" s="182"/>
      <c r="G1312" s="182"/>
      <c r="H1312" s="182"/>
      <c r="I1312" s="182"/>
      <c r="J1312" s="182"/>
      <c r="K1312" s="182"/>
      <c r="L1312" s="182"/>
      <c r="M1312" s="182"/>
      <c r="N1312" s="182"/>
      <c r="O1312" s="182"/>
      <c r="P1312" s="182"/>
      <c r="Q1312" s="182"/>
      <c r="R1312" s="182"/>
      <c r="S1312" s="182"/>
      <c r="T1312" s="182"/>
      <c r="U1312" s="182"/>
      <c r="V1312" s="182"/>
      <c r="W1312" s="183"/>
      <c r="X1312" s="427"/>
    </row>
    <row r="1313" spans="1:24" x14ac:dyDescent="0.45">
      <c r="B1313" s="184"/>
      <c r="C1313" s="185" t="s">
        <v>1499</v>
      </c>
      <c r="D1313" s="185"/>
      <c r="E1313" s="185"/>
      <c r="F1313" s="185"/>
      <c r="G1313" s="185"/>
      <c r="H1313" s="185"/>
      <c r="I1313" s="185"/>
      <c r="J1313" s="185"/>
      <c r="K1313" s="185"/>
      <c r="L1313" s="185"/>
      <c r="M1313" s="185"/>
      <c r="N1313" s="185"/>
      <c r="O1313" s="185"/>
      <c r="P1313" s="185"/>
      <c r="Q1313" s="185"/>
      <c r="R1313" s="185"/>
      <c r="S1313" s="185"/>
      <c r="T1313" s="185"/>
      <c r="U1313" s="185"/>
      <c r="V1313" s="185"/>
      <c r="W1313" s="186"/>
      <c r="X1313" s="187"/>
    </row>
    <row r="1314" spans="1:24" ht="26.65" x14ac:dyDescent="0.45">
      <c r="B1314" s="188" t="s">
        <v>1458</v>
      </c>
      <c r="C1314" s="185" t="s">
        <v>1459</v>
      </c>
      <c r="D1314" s="185"/>
      <c r="E1314" s="185" t="s">
        <v>1500</v>
      </c>
      <c r="F1314" s="185"/>
      <c r="G1314" s="185" t="s">
        <v>1501</v>
      </c>
      <c r="H1314" s="189" t="s">
        <v>1502</v>
      </c>
      <c r="I1314" s="185" t="s">
        <v>1503</v>
      </c>
      <c r="J1314" s="185" t="s">
        <v>1504</v>
      </c>
      <c r="K1314" s="189" t="s">
        <v>1505</v>
      </c>
      <c r="L1314" s="189" t="s">
        <v>1504</v>
      </c>
      <c r="M1314" s="189"/>
      <c r="N1314" s="189" t="s">
        <v>1506</v>
      </c>
      <c r="O1314" s="189"/>
      <c r="P1314" s="190"/>
      <c r="Q1314" s="189"/>
      <c r="R1314" s="189"/>
      <c r="S1314" s="189"/>
      <c r="T1314" s="189" t="s">
        <v>1507</v>
      </c>
      <c r="U1314" s="189" t="s">
        <v>27</v>
      </c>
      <c r="V1314" s="189" t="s">
        <v>26</v>
      </c>
      <c r="W1314" s="191" t="s">
        <v>1508</v>
      </c>
      <c r="X1314" s="192"/>
    </row>
    <row r="1315" spans="1:24" x14ac:dyDescent="0.45">
      <c r="A1315" s="193">
        <v>1</v>
      </c>
      <c r="B1315" s="194" t="str">
        <f t="shared" ref="B1315:B1346" si="210">IF(OR($C$1295="",U1315=""),"",LEFT($C$1295,FIND("_",$C$1295)-1))</f>
        <v/>
      </c>
      <c r="C1315" s="170" t="str">
        <f t="shared" ref="C1315:C1346" si="211">IF(OR($C$1295="",U1315=""),"",$B$1295)</f>
        <v/>
      </c>
      <c r="D1315" s="170"/>
      <c r="E1315" s="195"/>
      <c r="F1315" s="195"/>
      <c r="G1315" s="196"/>
      <c r="H1315" s="197"/>
      <c r="I1315" s="197"/>
      <c r="J1315" s="197"/>
      <c r="K1315" s="197"/>
      <c r="L1315" s="197"/>
      <c r="M1315" s="198"/>
      <c r="N1315" s="198"/>
      <c r="O1315" s="198"/>
      <c r="P1315" s="199"/>
      <c r="Q1315" s="200"/>
      <c r="R1315" s="200"/>
      <c r="S1315" s="200"/>
      <c r="T1315" s="200" t="str">
        <f t="shared" ref="T1315:T1346" si="212">IF(K1315="","",((K1315*20)+L1315)-((I1315*20)+J1315))</f>
        <v/>
      </c>
      <c r="U1315" s="200"/>
      <c r="V1315" s="201" t="str">
        <f t="shared" ref="V1315:V1346" si="213">IF(U1315="","",$V$1295)</f>
        <v/>
      </c>
      <c r="W1315" s="202">
        <f t="shared" ref="W1315:W1346" si="214">IF(OR(T1315="",U1315=""),0,T1315*U1315)</f>
        <v>0</v>
      </c>
      <c r="X1315" s="172"/>
    </row>
    <row r="1316" spans="1:24" x14ac:dyDescent="0.45">
      <c r="A1316" s="193">
        <v>2</v>
      </c>
      <c r="B1316" s="194" t="str">
        <f t="shared" si="210"/>
        <v/>
      </c>
      <c r="C1316" s="170" t="str">
        <f t="shared" si="211"/>
        <v/>
      </c>
      <c r="D1316" s="170"/>
      <c r="E1316" s="195"/>
      <c r="F1316" s="195"/>
      <c r="G1316" s="196"/>
      <c r="H1316" s="197"/>
      <c r="I1316" s="197" t="str">
        <f t="shared" ref="I1316:I1347" si="215">IF(K1315="","",K1315)</f>
        <v/>
      </c>
      <c r="J1316" s="197" t="str">
        <f t="shared" ref="J1316:J1347" si="216">IF(L1315="","",L1315)</f>
        <v/>
      </c>
      <c r="K1316" s="197"/>
      <c r="L1316" s="197"/>
      <c r="M1316" s="198"/>
      <c r="N1316" s="198"/>
      <c r="O1316" s="198"/>
      <c r="P1316" s="199"/>
      <c r="Q1316" s="200"/>
      <c r="R1316" s="200"/>
      <c r="S1316" s="200"/>
      <c r="T1316" s="200" t="str">
        <f t="shared" si="212"/>
        <v/>
      </c>
      <c r="U1316" s="200"/>
      <c r="V1316" s="201" t="str">
        <f t="shared" si="213"/>
        <v/>
      </c>
      <c r="W1316" s="202">
        <f t="shared" si="214"/>
        <v>0</v>
      </c>
      <c r="X1316" s="172"/>
    </row>
    <row r="1317" spans="1:24" x14ac:dyDescent="0.45">
      <c r="A1317" s="193">
        <v>3</v>
      </c>
      <c r="B1317" s="194" t="str">
        <f t="shared" si="210"/>
        <v/>
      </c>
      <c r="C1317" s="170" t="str">
        <f t="shared" si="211"/>
        <v/>
      </c>
      <c r="D1317" s="170"/>
      <c r="E1317" s="195"/>
      <c r="F1317" s="195"/>
      <c r="G1317" s="196"/>
      <c r="H1317" s="197"/>
      <c r="I1317" s="197" t="str">
        <f t="shared" si="215"/>
        <v/>
      </c>
      <c r="J1317" s="197" t="str">
        <f t="shared" si="216"/>
        <v/>
      </c>
      <c r="K1317" s="197"/>
      <c r="L1317" s="197"/>
      <c r="M1317" s="198"/>
      <c r="N1317" s="198"/>
      <c r="O1317" s="198"/>
      <c r="P1317" s="199"/>
      <c r="Q1317" s="200"/>
      <c r="R1317" s="200"/>
      <c r="S1317" s="200"/>
      <c r="T1317" s="200" t="str">
        <f t="shared" si="212"/>
        <v/>
      </c>
      <c r="U1317" s="200"/>
      <c r="V1317" s="201" t="str">
        <f t="shared" si="213"/>
        <v/>
      </c>
      <c r="W1317" s="202">
        <f t="shared" si="214"/>
        <v>0</v>
      </c>
      <c r="X1317" s="172"/>
    </row>
    <row r="1318" spans="1:24" x14ac:dyDescent="0.45">
      <c r="A1318" s="193">
        <v>4</v>
      </c>
      <c r="B1318" s="194" t="str">
        <f t="shared" si="210"/>
        <v/>
      </c>
      <c r="C1318" s="170" t="str">
        <f t="shared" si="211"/>
        <v/>
      </c>
      <c r="D1318" s="170"/>
      <c r="E1318" s="195"/>
      <c r="F1318" s="195"/>
      <c r="G1318" s="196"/>
      <c r="H1318" s="197"/>
      <c r="I1318" s="197" t="str">
        <f t="shared" si="215"/>
        <v/>
      </c>
      <c r="J1318" s="197" t="str">
        <f t="shared" si="216"/>
        <v/>
      </c>
      <c r="K1318" s="197"/>
      <c r="L1318" s="197"/>
      <c r="M1318" s="198"/>
      <c r="N1318" s="198"/>
      <c r="O1318" s="198"/>
      <c r="P1318" s="199"/>
      <c r="Q1318" s="200"/>
      <c r="R1318" s="200"/>
      <c r="S1318" s="200"/>
      <c r="T1318" s="200" t="str">
        <f t="shared" si="212"/>
        <v/>
      </c>
      <c r="U1318" s="200"/>
      <c r="V1318" s="201" t="str">
        <f t="shared" si="213"/>
        <v/>
      </c>
      <c r="W1318" s="202">
        <f t="shared" si="214"/>
        <v>0</v>
      </c>
      <c r="X1318" s="172"/>
    </row>
    <row r="1319" spans="1:24" x14ac:dyDescent="0.45">
      <c r="A1319" s="193">
        <v>5</v>
      </c>
      <c r="B1319" s="194" t="str">
        <f t="shared" si="210"/>
        <v/>
      </c>
      <c r="C1319" s="170" t="str">
        <f t="shared" si="211"/>
        <v/>
      </c>
      <c r="D1319" s="170"/>
      <c r="E1319" s="195"/>
      <c r="F1319" s="195"/>
      <c r="G1319" s="196"/>
      <c r="H1319" s="197"/>
      <c r="I1319" s="197" t="str">
        <f t="shared" si="215"/>
        <v/>
      </c>
      <c r="J1319" s="197" t="str">
        <f t="shared" si="216"/>
        <v/>
      </c>
      <c r="K1319" s="197"/>
      <c r="L1319" s="197"/>
      <c r="M1319" s="198"/>
      <c r="N1319" s="198"/>
      <c r="O1319" s="198"/>
      <c r="P1319" s="199"/>
      <c r="Q1319" s="200"/>
      <c r="R1319" s="200"/>
      <c r="S1319" s="200"/>
      <c r="T1319" s="200" t="str">
        <f t="shared" si="212"/>
        <v/>
      </c>
      <c r="U1319" s="200"/>
      <c r="V1319" s="201" t="str">
        <f t="shared" si="213"/>
        <v/>
      </c>
      <c r="W1319" s="202">
        <f t="shared" si="214"/>
        <v>0</v>
      </c>
      <c r="X1319" s="172"/>
    </row>
    <row r="1320" spans="1:24" x14ac:dyDescent="0.45">
      <c r="A1320" s="193">
        <v>6</v>
      </c>
      <c r="B1320" s="194" t="str">
        <f t="shared" si="210"/>
        <v/>
      </c>
      <c r="C1320" s="170" t="str">
        <f t="shared" si="211"/>
        <v/>
      </c>
      <c r="D1320" s="170"/>
      <c r="E1320" s="195"/>
      <c r="F1320" s="195"/>
      <c r="G1320" s="196"/>
      <c r="H1320" s="197"/>
      <c r="I1320" s="197" t="str">
        <f t="shared" si="215"/>
        <v/>
      </c>
      <c r="J1320" s="197" t="str">
        <f t="shared" si="216"/>
        <v/>
      </c>
      <c r="K1320" s="197"/>
      <c r="L1320" s="197"/>
      <c r="M1320" s="198"/>
      <c r="N1320" s="198"/>
      <c r="O1320" s="198"/>
      <c r="P1320" s="199"/>
      <c r="Q1320" s="200"/>
      <c r="R1320" s="200"/>
      <c r="S1320" s="200"/>
      <c r="T1320" s="200" t="str">
        <f t="shared" si="212"/>
        <v/>
      </c>
      <c r="U1320" s="200"/>
      <c r="V1320" s="201" t="str">
        <f t="shared" si="213"/>
        <v/>
      </c>
      <c r="W1320" s="202">
        <f t="shared" si="214"/>
        <v>0</v>
      </c>
      <c r="X1320" s="172"/>
    </row>
    <row r="1321" spans="1:24" x14ac:dyDescent="0.45">
      <c r="A1321" s="193">
        <v>7</v>
      </c>
      <c r="B1321" s="194" t="str">
        <f t="shared" si="210"/>
        <v/>
      </c>
      <c r="C1321" s="170" t="str">
        <f t="shared" si="211"/>
        <v/>
      </c>
      <c r="D1321" s="170"/>
      <c r="E1321" s="195"/>
      <c r="F1321" s="195"/>
      <c r="G1321" s="196"/>
      <c r="H1321" s="197"/>
      <c r="I1321" s="197" t="str">
        <f t="shared" si="215"/>
        <v/>
      </c>
      <c r="J1321" s="197" t="str">
        <f t="shared" si="216"/>
        <v/>
      </c>
      <c r="K1321" s="197"/>
      <c r="L1321" s="197"/>
      <c r="M1321" s="198"/>
      <c r="N1321" s="198"/>
      <c r="O1321" s="198"/>
      <c r="P1321" s="199"/>
      <c r="Q1321" s="200"/>
      <c r="R1321" s="200"/>
      <c r="S1321" s="200"/>
      <c r="T1321" s="200" t="str">
        <f t="shared" si="212"/>
        <v/>
      </c>
      <c r="U1321" s="200"/>
      <c r="V1321" s="201" t="str">
        <f t="shared" si="213"/>
        <v/>
      </c>
      <c r="W1321" s="202">
        <f t="shared" si="214"/>
        <v>0</v>
      </c>
      <c r="X1321" s="172"/>
    </row>
    <row r="1322" spans="1:24" x14ac:dyDescent="0.45">
      <c r="A1322" s="193">
        <v>8</v>
      </c>
      <c r="B1322" s="194" t="str">
        <f t="shared" si="210"/>
        <v/>
      </c>
      <c r="C1322" s="170" t="str">
        <f t="shared" si="211"/>
        <v/>
      </c>
      <c r="D1322" s="170"/>
      <c r="E1322" s="195"/>
      <c r="F1322" s="195"/>
      <c r="G1322" s="196"/>
      <c r="H1322" s="197"/>
      <c r="I1322" s="197" t="str">
        <f t="shared" si="215"/>
        <v/>
      </c>
      <c r="J1322" s="197" t="str">
        <f t="shared" si="216"/>
        <v/>
      </c>
      <c r="K1322" s="197"/>
      <c r="L1322" s="197"/>
      <c r="M1322" s="198"/>
      <c r="N1322" s="198"/>
      <c r="O1322" s="198"/>
      <c r="P1322" s="199"/>
      <c r="Q1322" s="200"/>
      <c r="R1322" s="200"/>
      <c r="S1322" s="200"/>
      <c r="T1322" s="200" t="str">
        <f t="shared" si="212"/>
        <v/>
      </c>
      <c r="U1322" s="200"/>
      <c r="V1322" s="201" t="str">
        <f t="shared" si="213"/>
        <v/>
      </c>
      <c r="W1322" s="202">
        <f t="shared" si="214"/>
        <v>0</v>
      </c>
      <c r="X1322" s="172"/>
    </row>
    <row r="1323" spans="1:24" x14ac:dyDescent="0.45">
      <c r="A1323" s="193">
        <v>9</v>
      </c>
      <c r="B1323" s="194" t="str">
        <f t="shared" si="210"/>
        <v/>
      </c>
      <c r="C1323" s="170" t="str">
        <f t="shared" si="211"/>
        <v/>
      </c>
      <c r="D1323" s="170"/>
      <c r="E1323" s="195"/>
      <c r="F1323" s="195"/>
      <c r="G1323" s="196"/>
      <c r="H1323" s="197"/>
      <c r="I1323" s="197" t="str">
        <f t="shared" si="215"/>
        <v/>
      </c>
      <c r="J1323" s="197" t="str">
        <f t="shared" si="216"/>
        <v/>
      </c>
      <c r="K1323" s="197"/>
      <c r="L1323" s="197"/>
      <c r="M1323" s="198"/>
      <c r="N1323" s="198"/>
      <c r="O1323" s="198"/>
      <c r="P1323" s="199"/>
      <c r="Q1323" s="200"/>
      <c r="R1323" s="200"/>
      <c r="S1323" s="200"/>
      <c r="T1323" s="200" t="str">
        <f t="shared" si="212"/>
        <v/>
      </c>
      <c r="U1323" s="200"/>
      <c r="V1323" s="201" t="str">
        <f t="shared" si="213"/>
        <v/>
      </c>
      <c r="W1323" s="202">
        <f t="shared" si="214"/>
        <v>0</v>
      </c>
      <c r="X1323" s="172"/>
    </row>
    <row r="1324" spans="1:24" x14ac:dyDescent="0.45">
      <c r="A1324" s="193">
        <v>10</v>
      </c>
      <c r="B1324" s="194" t="str">
        <f t="shared" si="210"/>
        <v/>
      </c>
      <c r="C1324" s="170" t="str">
        <f t="shared" si="211"/>
        <v/>
      </c>
      <c r="D1324" s="170"/>
      <c r="E1324" s="195"/>
      <c r="F1324" s="195"/>
      <c r="G1324" s="196"/>
      <c r="H1324" s="197"/>
      <c r="I1324" s="197" t="str">
        <f t="shared" si="215"/>
        <v/>
      </c>
      <c r="J1324" s="197" t="str">
        <f t="shared" si="216"/>
        <v/>
      </c>
      <c r="K1324" s="197"/>
      <c r="L1324" s="197"/>
      <c r="M1324" s="198"/>
      <c r="N1324" s="198"/>
      <c r="O1324" s="198"/>
      <c r="P1324" s="199"/>
      <c r="Q1324" s="200"/>
      <c r="R1324" s="200"/>
      <c r="S1324" s="200"/>
      <c r="T1324" s="200" t="str">
        <f t="shared" si="212"/>
        <v/>
      </c>
      <c r="U1324" s="200"/>
      <c r="V1324" s="201" t="str">
        <f t="shared" si="213"/>
        <v/>
      </c>
      <c r="W1324" s="202">
        <f t="shared" si="214"/>
        <v>0</v>
      </c>
      <c r="X1324" s="172"/>
    </row>
    <row r="1325" spans="1:24" x14ac:dyDescent="0.45">
      <c r="A1325" s="193">
        <v>11</v>
      </c>
      <c r="B1325" s="194" t="str">
        <f t="shared" si="210"/>
        <v/>
      </c>
      <c r="C1325" s="170" t="str">
        <f t="shared" si="211"/>
        <v/>
      </c>
      <c r="D1325" s="170"/>
      <c r="E1325" s="195"/>
      <c r="F1325" s="195"/>
      <c r="G1325" s="196"/>
      <c r="H1325" s="197"/>
      <c r="I1325" s="197" t="str">
        <f t="shared" si="215"/>
        <v/>
      </c>
      <c r="J1325" s="197" t="str">
        <f t="shared" si="216"/>
        <v/>
      </c>
      <c r="K1325" s="197"/>
      <c r="L1325" s="197"/>
      <c r="M1325" s="198"/>
      <c r="N1325" s="198"/>
      <c r="O1325" s="198"/>
      <c r="P1325" s="199"/>
      <c r="Q1325" s="200"/>
      <c r="R1325" s="200"/>
      <c r="S1325" s="200"/>
      <c r="T1325" s="200" t="str">
        <f t="shared" si="212"/>
        <v/>
      </c>
      <c r="U1325" s="200"/>
      <c r="V1325" s="201" t="str">
        <f t="shared" si="213"/>
        <v/>
      </c>
      <c r="W1325" s="202">
        <f t="shared" si="214"/>
        <v>0</v>
      </c>
      <c r="X1325" s="172"/>
    </row>
    <row r="1326" spans="1:24" x14ac:dyDescent="0.45">
      <c r="A1326" s="193">
        <v>12</v>
      </c>
      <c r="B1326" s="194" t="str">
        <f t="shared" si="210"/>
        <v/>
      </c>
      <c r="C1326" s="170" t="str">
        <f t="shared" si="211"/>
        <v/>
      </c>
      <c r="D1326" s="170"/>
      <c r="E1326" s="195"/>
      <c r="F1326" s="195"/>
      <c r="G1326" s="196"/>
      <c r="H1326" s="197"/>
      <c r="I1326" s="197" t="str">
        <f t="shared" si="215"/>
        <v/>
      </c>
      <c r="J1326" s="197" t="str">
        <f t="shared" si="216"/>
        <v/>
      </c>
      <c r="K1326" s="197"/>
      <c r="L1326" s="197"/>
      <c r="M1326" s="198"/>
      <c r="N1326" s="198"/>
      <c r="O1326" s="198"/>
      <c r="P1326" s="199"/>
      <c r="Q1326" s="200"/>
      <c r="R1326" s="200"/>
      <c r="S1326" s="200"/>
      <c r="T1326" s="200" t="str">
        <f t="shared" si="212"/>
        <v/>
      </c>
      <c r="U1326" s="200"/>
      <c r="V1326" s="201" t="str">
        <f t="shared" si="213"/>
        <v/>
      </c>
      <c r="W1326" s="202">
        <f t="shared" si="214"/>
        <v>0</v>
      </c>
      <c r="X1326" s="172"/>
    </row>
    <row r="1327" spans="1:24" x14ac:dyDescent="0.45">
      <c r="A1327" s="193">
        <v>13</v>
      </c>
      <c r="B1327" s="194" t="str">
        <f t="shared" si="210"/>
        <v/>
      </c>
      <c r="C1327" s="170" t="str">
        <f t="shared" si="211"/>
        <v/>
      </c>
      <c r="D1327" s="170"/>
      <c r="E1327" s="195"/>
      <c r="F1327" s="195"/>
      <c r="G1327" s="196"/>
      <c r="H1327" s="197"/>
      <c r="I1327" s="197" t="str">
        <f t="shared" si="215"/>
        <v/>
      </c>
      <c r="J1327" s="197" t="str">
        <f t="shared" si="216"/>
        <v/>
      </c>
      <c r="K1327" s="197"/>
      <c r="L1327" s="197"/>
      <c r="M1327" s="198"/>
      <c r="N1327" s="198"/>
      <c r="O1327" s="198"/>
      <c r="P1327" s="199"/>
      <c r="Q1327" s="200"/>
      <c r="R1327" s="200"/>
      <c r="S1327" s="200"/>
      <c r="T1327" s="200" t="str">
        <f t="shared" si="212"/>
        <v/>
      </c>
      <c r="U1327" s="200"/>
      <c r="V1327" s="201" t="str">
        <f t="shared" si="213"/>
        <v/>
      </c>
      <c r="W1327" s="202">
        <f t="shared" si="214"/>
        <v>0</v>
      </c>
      <c r="X1327" s="172"/>
    </row>
    <row r="1328" spans="1:24" x14ac:dyDescent="0.45">
      <c r="A1328" s="193">
        <v>14</v>
      </c>
      <c r="B1328" s="194" t="str">
        <f t="shared" si="210"/>
        <v/>
      </c>
      <c r="C1328" s="170" t="str">
        <f t="shared" si="211"/>
        <v/>
      </c>
      <c r="D1328" s="170"/>
      <c r="E1328" s="195"/>
      <c r="F1328" s="195"/>
      <c r="G1328" s="196"/>
      <c r="H1328" s="197"/>
      <c r="I1328" s="197" t="str">
        <f t="shared" si="215"/>
        <v/>
      </c>
      <c r="J1328" s="197" t="str">
        <f t="shared" si="216"/>
        <v/>
      </c>
      <c r="K1328" s="197"/>
      <c r="L1328" s="197"/>
      <c r="M1328" s="198"/>
      <c r="N1328" s="198"/>
      <c r="O1328" s="198"/>
      <c r="P1328" s="199"/>
      <c r="Q1328" s="200"/>
      <c r="R1328" s="200"/>
      <c r="S1328" s="200"/>
      <c r="T1328" s="200" t="str">
        <f t="shared" si="212"/>
        <v/>
      </c>
      <c r="U1328" s="200"/>
      <c r="V1328" s="201" t="str">
        <f t="shared" si="213"/>
        <v/>
      </c>
      <c r="W1328" s="202">
        <f t="shared" si="214"/>
        <v>0</v>
      </c>
      <c r="X1328" s="172"/>
    </row>
    <row r="1329" spans="1:24" x14ac:dyDescent="0.45">
      <c r="A1329" s="193">
        <v>15</v>
      </c>
      <c r="B1329" s="194" t="str">
        <f t="shared" si="210"/>
        <v/>
      </c>
      <c r="C1329" s="170" t="str">
        <f t="shared" si="211"/>
        <v/>
      </c>
      <c r="D1329" s="170"/>
      <c r="E1329" s="195"/>
      <c r="F1329" s="195"/>
      <c r="G1329" s="196"/>
      <c r="H1329" s="197"/>
      <c r="I1329" s="197" t="str">
        <f t="shared" si="215"/>
        <v/>
      </c>
      <c r="J1329" s="197" t="str">
        <f t="shared" si="216"/>
        <v/>
      </c>
      <c r="K1329" s="197"/>
      <c r="L1329" s="197"/>
      <c r="M1329" s="198"/>
      <c r="N1329" s="198"/>
      <c r="O1329" s="198"/>
      <c r="P1329" s="199"/>
      <c r="Q1329" s="200"/>
      <c r="R1329" s="200"/>
      <c r="S1329" s="200"/>
      <c r="T1329" s="200" t="str">
        <f t="shared" si="212"/>
        <v/>
      </c>
      <c r="U1329" s="200"/>
      <c r="V1329" s="201" t="str">
        <f t="shared" si="213"/>
        <v/>
      </c>
      <c r="W1329" s="202">
        <f t="shared" si="214"/>
        <v>0</v>
      </c>
      <c r="X1329" s="172"/>
    </row>
    <row r="1330" spans="1:24" x14ac:dyDescent="0.45">
      <c r="A1330" s="193">
        <v>16</v>
      </c>
      <c r="B1330" s="194" t="str">
        <f t="shared" si="210"/>
        <v/>
      </c>
      <c r="C1330" s="170" t="str">
        <f t="shared" si="211"/>
        <v/>
      </c>
      <c r="D1330" s="170"/>
      <c r="E1330" s="195"/>
      <c r="F1330" s="195"/>
      <c r="G1330" s="196"/>
      <c r="H1330" s="197"/>
      <c r="I1330" s="197" t="str">
        <f t="shared" si="215"/>
        <v/>
      </c>
      <c r="J1330" s="197" t="str">
        <f t="shared" si="216"/>
        <v/>
      </c>
      <c r="K1330" s="197"/>
      <c r="L1330" s="197"/>
      <c r="M1330" s="198"/>
      <c r="N1330" s="198"/>
      <c r="O1330" s="198"/>
      <c r="P1330" s="199"/>
      <c r="Q1330" s="200"/>
      <c r="R1330" s="200"/>
      <c r="S1330" s="200"/>
      <c r="T1330" s="200" t="str">
        <f t="shared" si="212"/>
        <v/>
      </c>
      <c r="U1330" s="200"/>
      <c r="V1330" s="201" t="str">
        <f t="shared" si="213"/>
        <v/>
      </c>
      <c r="W1330" s="202">
        <f t="shared" si="214"/>
        <v>0</v>
      </c>
      <c r="X1330" s="172"/>
    </row>
    <row r="1331" spans="1:24" x14ac:dyDescent="0.45">
      <c r="A1331" s="193">
        <v>17</v>
      </c>
      <c r="B1331" s="194" t="str">
        <f t="shared" si="210"/>
        <v/>
      </c>
      <c r="C1331" s="170" t="str">
        <f t="shared" si="211"/>
        <v/>
      </c>
      <c r="D1331" s="170"/>
      <c r="E1331" s="195"/>
      <c r="F1331" s="195"/>
      <c r="G1331" s="196"/>
      <c r="H1331" s="197"/>
      <c r="I1331" s="197" t="str">
        <f t="shared" si="215"/>
        <v/>
      </c>
      <c r="J1331" s="197" t="str">
        <f t="shared" si="216"/>
        <v/>
      </c>
      <c r="K1331" s="197"/>
      <c r="L1331" s="197"/>
      <c r="M1331" s="198"/>
      <c r="N1331" s="198"/>
      <c r="O1331" s="198"/>
      <c r="P1331" s="199"/>
      <c r="Q1331" s="200"/>
      <c r="R1331" s="200"/>
      <c r="S1331" s="200"/>
      <c r="T1331" s="200" t="str">
        <f t="shared" si="212"/>
        <v/>
      </c>
      <c r="U1331" s="200"/>
      <c r="V1331" s="201" t="str">
        <f t="shared" si="213"/>
        <v/>
      </c>
      <c r="W1331" s="202">
        <f t="shared" si="214"/>
        <v>0</v>
      </c>
      <c r="X1331" s="172"/>
    </row>
    <row r="1332" spans="1:24" x14ac:dyDescent="0.45">
      <c r="A1332" s="193">
        <v>18</v>
      </c>
      <c r="B1332" s="194" t="str">
        <f t="shared" si="210"/>
        <v/>
      </c>
      <c r="C1332" s="170" t="str">
        <f t="shared" si="211"/>
        <v/>
      </c>
      <c r="D1332" s="170"/>
      <c r="E1332" s="195"/>
      <c r="F1332" s="195"/>
      <c r="G1332" s="196"/>
      <c r="H1332" s="197"/>
      <c r="I1332" s="197" t="str">
        <f t="shared" si="215"/>
        <v/>
      </c>
      <c r="J1332" s="197" t="str">
        <f t="shared" si="216"/>
        <v/>
      </c>
      <c r="K1332" s="197"/>
      <c r="L1332" s="197"/>
      <c r="M1332" s="198"/>
      <c r="N1332" s="198"/>
      <c r="O1332" s="198"/>
      <c r="P1332" s="199"/>
      <c r="Q1332" s="200"/>
      <c r="R1332" s="200"/>
      <c r="S1332" s="200"/>
      <c r="T1332" s="200" t="str">
        <f t="shared" si="212"/>
        <v/>
      </c>
      <c r="U1332" s="200"/>
      <c r="V1332" s="201" t="str">
        <f t="shared" si="213"/>
        <v/>
      </c>
      <c r="W1332" s="202">
        <f t="shared" si="214"/>
        <v>0</v>
      </c>
      <c r="X1332" s="172"/>
    </row>
    <row r="1333" spans="1:24" x14ac:dyDescent="0.45">
      <c r="A1333" s="193">
        <v>19</v>
      </c>
      <c r="B1333" s="194" t="str">
        <f t="shared" si="210"/>
        <v/>
      </c>
      <c r="C1333" s="170" t="str">
        <f t="shared" si="211"/>
        <v/>
      </c>
      <c r="D1333" s="170"/>
      <c r="E1333" s="195"/>
      <c r="F1333" s="195"/>
      <c r="G1333" s="196"/>
      <c r="H1333" s="197"/>
      <c r="I1333" s="197" t="str">
        <f t="shared" si="215"/>
        <v/>
      </c>
      <c r="J1333" s="197" t="str">
        <f t="shared" si="216"/>
        <v/>
      </c>
      <c r="K1333" s="197"/>
      <c r="L1333" s="197"/>
      <c r="M1333" s="198"/>
      <c r="N1333" s="198"/>
      <c r="O1333" s="198"/>
      <c r="P1333" s="199"/>
      <c r="Q1333" s="200"/>
      <c r="R1333" s="200"/>
      <c r="S1333" s="200"/>
      <c r="T1333" s="200" t="str">
        <f t="shared" si="212"/>
        <v/>
      </c>
      <c r="U1333" s="200"/>
      <c r="V1333" s="201" t="str">
        <f t="shared" si="213"/>
        <v/>
      </c>
      <c r="W1333" s="202">
        <f t="shared" si="214"/>
        <v>0</v>
      </c>
      <c r="X1333" s="172"/>
    </row>
    <row r="1334" spans="1:24" x14ac:dyDescent="0.45">
      <c r="A1334" s="193">
        <v>20</v>
      </c>
      <c r="B1334" s="194" t="str">
        <f t="shared" si="210"/>
        <v/>
      </c>
      <c r="C1334" s="170" t="str">
        <f t="shared" si="211"/>
        <v/>
      </c>
      <c r="D1334" s="170"/>
      <c r="E1334" s="195"/>
      <c r="F1334" s="195"/>
      <c r="G1334" s="196"/>
      <c r="H1334" s="197"/>
      <c r="I1334" s="197" t="str">
        <f t="shared" si="215"/>
        <v/>
      </c>
      <c r="J1334" s="197" t="str">
        <f t="shared" si="216"/>
        <v/>
      </c>
      <c r="K1334" s="197"/>
      <c r="L1334" s="197"/>
      <c r="M1334" s="198"/>
      <c r="N1334" s="198"/>
      <c r="O1334" s="198"/>
      <c r="P1334" s="199"/>
      <c r="Q1334" s="200"/>
      <c r="R1334" s="200"/>
      <c r="S1334" s="200"/>
      <c r="T1334" s="200" t="str">
        <f t="shared" si="212"/>
        <v/>
      </c>
      <c r="U1334" s="200"/>
      <c r="V1334" s="201" t="str">
        <f t="shared" si="213"/>
        <v/>
      </c>
      <c r="W1334" s="202">
        <f t="shared" si="214"/>
        <v>0</v>
      </c>
      <c r="X1334" s="172"/>
    </row>
    <row r="1335" spans="1:24" x14ac:dyDescent="0.45">
      <c r="A1335" s="193">
        <v>21</v>
      </c>
      <c r="B1335" s="194" t="str">
        <f t="shared" si="210"/>
        <v/>
      </c>
      <c r="C1335" s="170" t="str">
        <f t="shared" si="211"/>
        <v/>
      </c>
      <c r="D1335" s="170"/>
      <c r="E1335" s="195"/>
      <c r="F1335" s="195"/>
      <c r="G1335" s="196"/>
      <c r="H1335" s="197"/>
      <c r="I1335" s="197" t="str">
        <f t="shared" si="215"/>
        <v/>
      </c>
      <c r="J1335" s="197" t="str">
        <f t="shared" si="216"/>
        <v/>
      </c>
      <c r="K1335" s="197"/>
      <c r="L1335" s="197"/>
      <c r="M1335" s="198"/>
      <c r="N1335" s="198"/>
      <c r="O1335" s="198"/>
      <c r="P1335" s="199"/>
      <c r="Q1335" s="200"/>
      <c r="R1335" s="200"/>
      <c r="S1335" s="200"/>
      <c r="T1335" s="200" t="str">
        <f t="shared" si="212"/>
        <v/>
      </c>
      <c r="U1335" s="200"/>
      <c r="V1335" s="201" t="str">
        <f t="shared" si="213"/>
        <v/>
      </c>
      <c r="W1335" s="202">
        <f t="shared" si="214"/>
        <v>0</v>
      </c>
      <c r="X1335" s="172"/>
    </row>
    <row r="1336" spans="1:24" x14ac:dyDescent="0.45">
      <c r="A1336" s="193">
        <v>22</v>
      </c>
      <c r="B1336" s="194" t="str">
        <f t="shared" si="210"/>
        <v/>
      </c>
      <c r="C1336" s="170" t="str">
        <f t="shared" si="211"/>
        <v/>
      </c>
      <c r="D1336" s="170"/>
      <c r="E1336" s="195"/>
      <c r="F1336" s="170"/>
      <c r="G1336" s="170"/>
      <c r="H1336" s="203"/>
      <c r="I1336" s="197" t="str">
        <f t="shared" si="215"/>
        <v/>
      </c>
      <c r="J1336" s="197" t="str">
        <f t="shared" si="216"/>
        <v/>
      </c>
      <c r="K1336" s="197"/>
      <c r="L1336" s="197"/>
      <c r="M1336" s="198"/>
      <c r="N1336" s="198"/>
      <c r="O1336" s="198"/>
      <c r="P1336" s="199"/>
      <c r="Q1336" s="200"/>
      <c r="R1336" s="200"/>
      <c r="S1336" s="200"/>
      <c r="T1336" s="200" t="str">
        <f t="shared" si="212"/>
        <v/>
      </c>
      <c r="U1336" s="200"/>
      <c r="V1336" s="201" t="str">
        <f t="shared" si="213"/>
        <v/>
      </c>
      <c r="W1336" s="202">
        <f t="shared" si="214"/>
        <v>0</v>
      </c>
      <c r="X1336" s="172"/>
    </row>
    <row r="1337" spans="1:24" x14ac:dyDescent="0.45">
      <c r="A1337" s="193">
        <v>23</v>
      </c>
      <c r="B1337" s="194" t="str">
        <f t="shared" si="210"/>
        <v/>
      </c>
      <c r="C1337" s="170" t="str">
        <f t="shared" si="211"/>
        <v/>
      </c>
      <c r="D1337" s="170"/>
      <c r="E1337" s="195"/>
      <c r="F1337" s="170"/>
      <c r="G1337" s="170"/>
      <c r="H1337" s="203"/>
      <c r="I1337" s="197" t="str">
        <f t="shared" si="215"/>
        <v/>
      </c>
      <c r="J1337" s="197" t="str">
        <f t="shared" si="216"/>
        <v/>
      </c>
      <c r="K1337" s="197"/>
      <c r="L1337" s="197"/>
      <c r="M1337" s="198"/>
      <c r="N1337" s="198"/>
      <c r="O1337" s="198"/>
      <c r="P1337" s="199"/>
      <c r="Q1337" s="200"/>
      <c r="R1337" s="200"/>
      <c r="S1337" s="200"/>
      <c r="T1337" s="200" t="str">
        <f t="shared" si="212"/>
        <v/>
      </c>
      <c r="U1337" s="200"/>
      <c r="V1337" s="201" t="str">
        <f t="shared" si="213"/>
        <v/>
      </c>
      <c r="W1337" s="202">
        <f t="shared" si="214"/>
        <v>0</v>
      </c>
      <c r="X1337" s="172"/>
    </row>
    <row r="1338" spans="1:24" x14ac:dyDescent="0.45">
      <c r="A1338" s="193">
        <v>24</v>
      </c>
      <c r="B1338" s="194" t="str">
        <f t="shared" si="210"/>
        <v/>
      </c>
      <c r="C1338" s="170" t="str">
        <f t="shared" si="211"/>
        <v/>
      </c>
      <c r="D1338" s="170"/>
      <c r="E1338" s="195"/>
      <c r="F1338" s="170"/>
      <c r="G1338" s="170"/>
      <c r="H1338" s="203"/>
      <c r="I1338" s="197" t="str">
        <f t="shared" si="215"/>
        <v/>
      </c>
      <c r="J1338" s="197" t="str">
        <f t="shared" si="216"/>
        <v/>
      </c>
      <c r="K1338" s="197"/>
      <c r="L1338" s="197"/>
      <c r="M1338" s="198"/>
      <c r="N1338" s="198"/>
      <c r="O1338" s="198"/>
      <c r="P1338" s="199"/>
      <c r="Q1338" s="200"/>
      <c r="R1338" s="200"/>
      <c r="S1338" s="200"/>
      <c r="T1338" s="200" t="str">
        <f t="shared" si="212"/>
        <v/>
      </c>
      <c r="U1338" s="200"/>
      <c r="V1338" s="201" t="str">
        <f t="shared" si="213"/>
        <v/>
      </c>
      <c r="W1338" s="202">
        <f t="shared" si="214"/>
        <v>0</v>
      </c>
      <c r="X1338" s="172"/>
    </row>
    <row r="1339" spans="1:24" x14ac:dyDescent="0.45">
      <c r="A1339" s="193">
        <v>25</v>
      </c>
      <c r="B1339" s="194" t="str">
        <f t="shared" si="210"/>
        <v/>
      </c>
      <c r="C1339" s="170" t="str">
        <f t="shared" si="211"/>
        <v/>
      </c>
      <c r="D1339" s="170"/>
      <c r="E1339" s="195"/>
      <c r="F1339" s="170"/>
      <c r="G1339" s="170"/>
      <c r="H1339" s="203"/>
      <c r="I1339" s="197" t="str">
        <f t="shared" si="215"/>
        <v/>
      </c>
      <c r="J1339" s="197" t="str">
        <f t="shared" si="216"/>
        <v/>
      </c>
      <c r="K1339" s="197"/>
      <c r="L1339" s="197"/>
      <c r="M1339" s="198"/>
      <c r="N1339" s="198"/>
      <c r="O1339" s="198"/>
      <c r="P1339" s="199"/>
      <c r="Q1339" s="200"/>
      <c r="R1339" s="200"/>
      <c r="S1339" s="200"/>
      <c r="T1339" s="200" t="str">
        <f t="shared" si="212"/>
        <v/>
      </c>
      <c r="U1339" s="200"/>
      <c r="V1339" s="201" t="str">
        <f t="shared" si="213"/>
        <v/>
      </c>
      <c r="W1339" s="202">
        <f t="shared" si="214"/>
        <v>0</v>
      </c>
      <c r="X1339" s="172"/>
    </row>
    <row r="1340" spans="1:24" x14ac:dyDescent="0.45">
      <c r="A1340" s="193">
        <v>26</v>
      </c>
      <c r="B1340" s="194" t="str">
        <f t="shared" si="210"/>
        <v/>
      </c>
      <c r="C1340" s="170" t="str">
        <f t="shared" si="211"/>
        <v/>
      </c>
      <c r="D1340" s="170"/>
      <c r="E1340" s="195"/>
      <c r="F1340" s="170"/>
      <c r="G1340" s="170"/>
      <c r="H1340" s="203"/>
      <c r="I1340" s="197" t="str">
        <f t="shared" si="215"/>
        <v/>
      </c>
      <c r="J1340" s="197" t="str">
        <f t="shared" si="216"/>
        <v/>
      </c>
      <c r="K1340" s="197"/>
      <c r="L1340" s="197"/>
      <c r="M1340" s="198"/>
      <c r="N1340" s="198"/>
      <c r="O1340" s="198"/>
      <c r="P1340" s="199"/>
      <c r="Q1340" s="200"/>
      <c r="R1340" s="200"/>
      <c r="S1340" s="200"/>
      <c r="T1340" s="200" t="str">
        <f t="shared" si="212"/>
        <v/>
      </c>
      <c r="U1340" s="200"/>
      <c r="V1340" s="201" t="str">
        <f t="shared" si="213"/>
        <v/>
      </c>
      <c r="W1340" s="202">
        <f t="shared" si="214"/>
        <v>0</v>
      </c>
      <c r="X1340" s="172"/>
    </row>
    <row r="1341" spans="1:24" x14ac:dyDescent="0.45">
      <c r="A1341" s="193">
        <v>27</v>
      </c>
      <c r="B1341" s="194" t="str">
        <f t="shared" si="210"/>
        <v/>
      </c>
      <c r="C1341" s="170" t="str">
        <f t="shared" si="211"/>
        <v/>
      </c>
      <c r="D1341" s="170"/>
      <c r="E1341" s="195"/>
      <c r="F1341" s="170"/>
      <c r="G1341" s="170"/>
      <c r="H1341" s="203"/>
      <c r="I1341" s="197" t="str">
        <f t="shared" si="215"/>
        <v/>
      </c>
      <c r="J1341" s="197" t="str">
        <f t="shared" si="216"/>
        <v/>
      </c>
      <c r="K1341" s="197"/>
      <c r="L1341" s="197"/>
      <c r="M1341" s="198"/>
      <c r="N1341" s="198"/>
      <c r="O1341" s="198"/>
      <c r="P1341" s="199"/>
      <c r="Q1341" s="200"/>
      <c r="R1341" s="200"/>
      <c r="S1341" s="200"/>
      <c r="T1341" s="200" t="str">
        <f t="shared" si="212"/>
        <v/>
      </c>
      <c r="U1341" s="200"/>
      <c r="V1341" s="201" t="str">
        <f t="shared" si="213"/>
        <v/>
      </c>
      <c r="W1341" s="202">
        <f t="shared" si="214"/>
        <v>0</v>
      </c>
      <c r="X1341" s="172"/>
    </row>
    <row r="1342" spans="1:24" x14ac:dyDescent="0.45">
      <c r="A1342" s="193">
        <v>28</v>
      </c>
      <c r="B1342" s="194" t="str">
        <f t="shared" si="210"/>
        <v/>
      </c>
      <c r="C1342" s="170" t="str">
        <f t="shared" si="211"/>
        <v/>
      </c>
      <c r="D1342" s="170"/>
      <c r="E1342" s="195"/>
      <c r="F1342" s="170"/>
      <c r="G1342" s="170"/>
      <c r="H1342" s="203"/>
      <c r="I1342" s="197" t="str">
        <f t="shared" si="215"/>
        <v/>
      </c>
      <c r="J1342" s="197" t="str">
        <f t="shared" si="216"/>
        <v/>
      </c>
      <c r="K1342" s="197"/>
      <c r="L1342" s="197"/>
      <c r="M1342" s="198"/>
      <c r="N1342" s="198"/>
      <c r="O1342" s="198"/>
      <c r="P1342" s="199"/>
      <c r="Q1342" s="200"/>
      <c r="R1342" s="200"/>
      <c r="S1342" s="200"/>
      <c r="T1342" s="200" t="str">
        <f t="shared" si="212"/>
        <v/>
      </c>
      <c r="U1342" s="200"/>
      <c r="V1342" s="201" t="str">
        <f t="shared" si="213"/>
        <v/>
      </c>
      <c r="W1342" s="202">
        <f t="shared" si="214"/>
        <v>0</v>
      </c>
      <c r="X1342" s="172"/>
    </row>
    <row r="1343" spans="1:24" x14ac:dyDescent="0.45">
      <c r="A1343" s="193">
        <v>29</v>
      </c>
      <c r="B1343" s="194" t="str">
        <f t="shared" si="210"/>
        <v/>
      </c>
      <c r="C1343" s="170" t="str">
        <f t="shared" si="211"/>
        <v/>
      </c>
      <c r="D1343" s="170"/>
      <c r="E1343" s="195"/>
      <c r="F1343" s="170"/>
      <c r="G1343" s="170"/>
      <c r="H1343" s="203"/>
      <c r="I1343" s="197" t="str">
        <f t="shared" si="215"/>
        <v/>
      </c>
      <c r="J1343" s="197" t="str">
        <f t="shared" si="216"/>
        <v/>
      </c>
      <c r="K1343" s="197"/>
      <c r="L1343" s="197"/>
      <c r="M1343" s="198"/>
      <c r="N1343" s="198"/>
      <c r="O1343" s="198"/>
      <c r="P1343" s="199"/>
      <c r="Q1343" s="200"/>
      <c r="R1343" s="200"/>
      <c r="S1343" s="200"/>
      <c r="T1343" s="200" t="str">
        <f t="shared" si="212"/>
        <v/>
      </c>
      <c r="U1343" s="200"/>
      <c r="V1343" s="201" t="str">
        <f t="shared" si="213"/>
        <v/>
      </c>
      <c r="W1343" s="202">
        <f t="shared" si="214"/>
        <v>0</v>
      </c>
      <c r="X1343" s="172"/>
    </row>
    <row r="1344" spans="1:24" x14ac:dyDescent="0.45">
      <c r="A1344" s="193">
        <v>30</v>
      </c>
      <c r="B1344" s="194" t="str">
        <f t="shared" si="210"/>
        <v/>
      </c>
      <c r="C1344" s="170" t="str">
        <f t="shared" si="211"/>
        <v/>
      </c>
      <c r="D1344" s="170"/>
      <c r="E1344" s="195"/>
      <c r="F1344" s="170"/>
      <c r="G1344" s="170"/>
      <c r="H1344" s="203"/>
      <c r="I1344" s="197" t="str">
        <f t="shared" si="215"/>
        <v/>
      </c>
      <c r="J1344" s="197" t="str">
        <f t="shared" si="216"/>
        <v/>
      </c>
      <c r="K1344" s="197"/>
      <c r="L1344" s="197"/>
      <c r="M1344" s="198"/>
      <c r="N1344" s="198"/>
      <c r="O1344" s="198"/>
      <c r="P1344" s="199"/>
      <c r="Q1344" s="200"/>
      <c r="R1344" s="200"/>
      <c r="S1344" s="200"/>
      <c r="T1344" s="200" t="str">
        <f t="shared" si="212"/>
        <v/>
      </c>
      <c r="U1344" s="200"/>
      <c r="V1344" s="201" t="str">
        <f t="shared" si="213"/>
        <v/>
      </c>
      <c r="W1344" s="202">
        <f t="shared" si="214"/>
        <v>0</v>
      </c>
      <c r="X1344" s="172"/>
    </row>
    <row r="1345" spans="1:24" x14ac:dyDescent="0.45">
      <c r="A1345" s="193">
        <v>31</v>
      </c>
      <c r="B1345" s="194" t="str">
        <f t="shared" si="210"/>
        <v/>
      </c>
      <c r="C1345" s="170" t="str">
        <f t="shared" si="211"/>
        <v/>
      </c>
      <c r="D1345" s="170"/>
      <c r="E1345" s="195"/>
      <c r="F1345" s="170"/>
      <c r="G1345" s="170"/>
      <c r="H1345" s="203"/>
      <c r="I1345" s="197" t="str">
        <f t="shared" si="215"/>
        <v/>
      </c>
      <c r="J1345" s="197" t="str">
        <f t="shared" si="216"/>
        <v/>
      </c>
      <c r="K1345" s="197"/>
      <c r="L1345" s="197"/>
      <c r="M1345" s="198"/>
      <c r="N1345" s="198"/>
      <c r="O1345" s="198"/>
      <c r="P1345" s="199"/>
      <c r="Q1345" s="200"/>
      <c r="R1345" s="200"/>
      <c r="S1345" s="200"/>
      <c r="T1345" s="200" t="str">
        <f t="shared" si="212"/>
        <v/>
      </c>
      <c r="U1345" s="200"/>
      <c r="V1345" s="201" t="str">
        <f t="shared" si="213"/>
        <v/>
      </c>
      <c r="W1345" s="202">
        <f t="shared" si="214"/>
        <v>0</v>
      </c>
      <c r="X1345" s="172"/>
    </row>
    <row r="1346" spans="1:24" x14ac:dyDescent="0.45">
      <c r="A1346" s="193">
        <v>32</v>
      </c>
      <c r="B1346" s="194" t="str">
        <f t="shared" si="210"/>
        <v/>
      </c>
      <c r="C1346" s="170" t="str">
        <f t="shared" si="211"/>
        <v/>
      </c>
      <c r="D1346" s="170"/>
      <c r="E1346" s="195"/>
      <c r="F1346" s="170"/>
      <c r="G1346" s="170"/>
      <c r="H1346" s="203"/>
      <c r="I1346" s="197" t="str">
        <f t="shared" si="215"/>
        <v/>
      </c>
      <c r="J1346" s="197" t="str">
        <f t="shared" si="216"/>
        <v/>
      </c>
      <c r="K1346" s="197"/>
      <c r="L1346" s="197"/>
      <c r="M1346" s="198"/>
      <c r="N1346" s="198"/>
      <c r="O1346" s="198"/>
      <c r="P1346" s="199"/>
      <c r="Q1346" s="200"/>
      <c r="R1346" s="200"/>
      <c r="S1346" s="200"/>
      <c r="T1346" s="200" t="str">
        <f t="shared" si="212"/>
        <v/>
      </c>
      <c r="U1346" s="200"/>
      <c r="V1346" s="201" t="str">
        <f t="shared" si="213"/>
        <v/>
      </c>
      <c r="W1346" s="202">
        <f t="shared" si="214"/>
        <v>0</v>
      </c>
      <c r="X1346" s="172"/>
    </row>
    <row r="1347" spans="1:24" x14ac:dyDescent="0.45">
      <c r="A1347" s="193">
        <v>33</v>
      </c>
      <c r="B1347" s="194" t="str">
        <f t="shared" ref="B1347:B1380" si="217">IF(OR($C$1295="",U1347=""),"",LEFT($C$1295,FIND("_",$C$1295)-1))</f>
        <v/>
      </c>
      <c r="C1347" s="170" t="str">
        <f t="shared" ref="C1347:C1380" si="218">IF(OR($C$1295="",U1347=""),"",$B$1295)</f>
        <v/>
      </c>
      <c r="D1347" s="170"/>
      <c r="E1347" s="195"/>
      <c r="F1347" s="170"/>
      <c r="G1347" s="170"/>
      <c r="H1347" s="203"/>
      <c r="I1347" s="197" t="str">
        <f t="shared" si="215"/>
        <v/>
      </c>
      <c r="J1347" s="197" t="str">
        <f t="shared" si="216"/>
        <v/>
      </c>
      <c r="K1347" s="197"/>
      <c r="L1347" s="197"/>
      <c r="M1347" s="198"/>
      <c r="N1347" s="198"/>
      <c r="O1347" s="198"/>
      <c r="P1347" s="199"/>
      <c r="Q1347" s="200"/>
      <c r="R1347" s="200"/>
      <c r="S1347" s="200"/>
      <c r="T1347" s="200" t="str">
        <f t="shared" ref="T1347:T1380" si="219">IF(K1347="","",((K1347*20)+L1347)-((I1347*20)+J1347))</f>
        <v/>
      </c>
      <c r="U1347" s="200"/>
      <c r="V1347" s="201" t="str">
        <f t="shared" ref="V1347:V1378" si="220">IF(U1347="","",$V$1295)</f>
        <v/>
      </c>
      <c r="W1347" s="202">
        <f t="shared" ref="W1347:W1380" si="221">IF(OR(T1347="",U1347=""),0,T1347*U1347)</f>
        <v>0</v>
      </c>
      <c r="X1347" s="172"/>
    </row>
    <row r="1348" spans="1:24" x14ac:dyDescent="0.45">
      <c r="A1348" s="193">
        <v>34</v>
      </c>
      <c r="B1348" s="194" t="str">
        <f t="shared" si="217"/>
        <v/>
      </c>
      <c r="C1348" s="170" t="str">
        <f t="shared" si="218"/>
        <v/>
      </c>
      <c r="D1348" s="170"/>
      <c r="E1348" s="195"/>
      <c r="F1348" s="170"/>
      <c r="G1348" s="170"/>
      <c r="H1348" s="203"/>
      <c r="I1348" s="197" t="str">
        <f t="shared" ref="I1348:I1380" si="222">IF(K1347="","",K1347)</f>
        <v/>
      </c>
      <c r="J1348" s="197" t="str">
        <f t="shared" ref="J1348:J1380" si="223">IF(L1347="","",L1347)</f>
        <v/>
      </c>
      <c r="K1348" s="197"/>
      <c r="L1348" s="197"/>
      <c r="M1348" s="198"/>
      <c r="N1348" s="198"/>
      <c r="O1348" s="198"/>
      <c r="P1348" s="199"/>
      <c r="Q1348" s="200"/>
      <c r="R1348" s="200"/>
      <c r="S1348" s="200"/>
      <c r="T1348" s="200" t="str">
        <f t="shared" si="219"/>
        <v/>
      </c>
      <c r="U1348" s="200"/>
      <c r="V1348" s="201" t="str">
        <f t="shared" si="220"/>
        <v/>
      </c>
      <c r="W1348" s="202">
        <f t="shared" si="221"/>
        <v>0</v>
      </c>
      <c r="X1348" s="172"/>
    </row>
    <row r="1349" spans="1:24" x14ac:dyDescent="0.45">
      <c r="A1349" s="193">
        <v>35</v>
      </c>
      <c r="B1349" s="194" t="str">
        <f t="shared" si="217"/>
        <v/>
      </c>
      <c r="C1349" s="170" t="str">
        <f t="shared" si="218"/>
        <v/>
      </c>
      <c r="D1349" s="170"/>
      <c r="E1349" s="195"/>
      <c r="F1349" s="170"/>
      <c r="G1349" s="170"/>
      <c r="H1349" s="203"/>
      <c r="I1349" s="197" t="str">
        <f t="shared" si="222"/>
        <v/>
      </c>
      <c r="J1349" s="197" t="str">
        <f t="shared" si="223"/>
        <v/>
      </c>
      <c r="K1349" s="197"/>
      <c r="L1349" s="197"/>
      <c r="M1349" s="198"/>
      <c r="N1349" s="198"/>
      <c r="O1349" s="198"/>
      <c r="P1349" s="199"/>
      <c r="Q1349" s="200"/>
      <c r="R1349" s="200"/>
      <c r="S1349" s="200"/>
      <c r="T1349" s="200" t="str">
        <f t="shared" si="219"/>
        <v/>
      </c>
      <c r="U1349" s="200"/>
      <c r="V1349" s="201" t="str">
        <f t="shared" si="220"/>
        <v/>
      </c>
      <c r="W1349" s="202">
        <f t="shared" si="221"/>
        <v>0</v>
      </c>
      <c r="X1349" s="172"/>
    </row>
    <row r="1350" spans="1:24" x14ac:dyDescent="0.45">
      <c r="A1350" s="193">
        <v>36</v>
      </c>
      <c r="B1350" s="194" t="str">
        <f t="shared" si="217"/>
        <v/>
      </c>
      <c r="C1350" s="170" t="str">
        <f t="shared" si="218"/>
        <v/>
      </c>
      <c r="D1350" s="170"/>
      <c r="E1350" s="195"/>
      <c r="F1350" s="170"/>
      <c r="G1350" s="170"/>
      <c r="H1350" s="203"/>
      <c r="I1350" s="197" t="str">
        <f t="shared" si="222"/>
        <v/>
      </c>
      <c r="J1350" s="197" t="str">
        <f t="shared" si="223"/>
        <v/>
      </c>
      <c r="K1350" s="197"/>
      <c r="L1350" s="197"/>
      <c r="M1350" s="198"/>
      <c r="N1350" s="198"/>
      <c r="O1350" s="198"/>
      <c r="P1350" s="199"/>
      <c r="Q1350" s="200"/>
      <c r="R1350" s="200"/>
      <c r="S1350" s="200"/>
      <c r="T1350" s="200" t="str">
        <f t="shared" si="219"/>
        <v/>
      </c>
      <c r="U1350" s="200"/>
      <c r="V1350" s="201" t="str">
        <f t="shared" si="220"/>
        <v/>
      </c>
      <c r="W1350" s="202">
        <f t="shared" si="221"/>
        <v>0</v>
      </c>
      <c r="X1350" s="172"/>
    </row>
    <row r="1351" spans="1:24" x14ac:dyDescent="0.45">
      <c r="A1351" s="193">
        <v>37</v>
      </c>
      <c r="B1351" s="194" t="str">
        <f t="shared" si="217"/>
        <v/>
      </c>
      <c r="C1351" s="170" t="str">
        <f t="shared" si="218"/>
        <v/>
      </c>
      <c r="D1351" s="170"/>
      <c r="E1351" s="195"/>
      <c r="F1351" s="170"/>
      <c r="G1351" s="170"/>
      <c r="H1351" s="203"/>
      <c r="I1351" s="197" t="str">
        <f t="shared" si="222"/>
        <v/>
      </c>
      <c r="J1351" s="197" t="str">
        <f t="shared" si="223"/>
        <v/>
      </c>
      <c r="K1351" s="197"/>
      <c r="L1351" s="197"/>
      <c r="M1351" s="198"/>
      <c r="N1351" s="198"/>
      <c r="O1351" s="198"/>
      <c r="P1351" s="199"/>
      <c r="Q1351" s="200"/>
      <c r="R1351" s="200"/>
      <c r="S1351" s="200"/>
      <c r="T1351" s="200" t="str">
        <f t="shared" si="219"/>
        <v/>
      </c>
      <c r="U1351" s="200"/>
      <c r="V1351" s="201" t="str">
        <f t="shared" si="220"/>
        <v/>
      </c>
      <c r="W1351" s="202">
        <f t="shared" si="221"/>
        <v>0</v>
      </c>
      <c r="X1351" s="172"/>
    </row>
    <row r="1352" spans="1:24" x14ac:dyDescent="0.45">
      <c r="A1352" s="193">
        <v>38</v>
      </c>
      <c r="B1352" s="194" t="str">
        <f t="shared" si="217"/>
        <v/>
      </c>
      <c r="C1352" s="170" t="str">
        <f t="shared" si="218"/>
        <v/>
      </c>
      <c r="D1352" s="170"/>
      <c r="E1352" s="195"/>
      <c r="F1352" s="170"/>
      <c r="G1352" s="170"/>
      <c r="H1352" s="203"/>
      <c r="I1352" s="197" t="str">
        <f t="shared" si="222"/>
        <v/>
      </c>
      <c r="J1352" s="197" t="str">
        <f t="shared" si="223"/>
        <v/>
      </c>
      <c r="K1352" s="197"/>
      <c r="L1352" s="197"/>
      <c r="M1352" s="198"/>
      <c r="N1352" s="198"/>
      <c r="O1352" s="198"/>
      <c r="P1352" s="199"/>
      <c r="Q1352" s="200"/>
      <c r="R1352" s="200"/>
      <c r="S1352" s="200"/>
      <c r="T1352" s="200" t="str">
        <f t="shared" si="219"/>
        <v/>
      </c>
      <c r="U1352" s="200"/>
      <c r="V1352" s="201" t="str">
        <f t="shared" si="220"/>
        <v/>
      </c>
      <c r="W1352" s="202">
        <f t="shared" si="221"/>
        <v>0</v>
      </c>
      <c r="X1352" s="172"/>
    </row>
    <row r="1353" spans="1:24" x14ac:dyDescent="0.45">
      <c r="A1353" s="193">
        <v>39</v>
      </c>
      <c r="B1353" s="194" t="str">
        <f t="shared" si="217"/>
        <v/>
      </c>
      <c r="C1353" s="170" t="str">
        <f t="shared" si="218"/>
        <v/>
      </c>
      <c r="D1353" s="170"/>
      <c r="E1353" s="195"/>
      <c r="F1353" s="170"/>
      <c r="G1353" s="170"/>
      <c r="H1353" s="203"/>
      <c r="I1353" s="197" t="str">
        <f t="shared" si="222"/>
        <v/>
      </c>
      <c r="J1353" s="197" t="str">
        <f t="shared" si="223"/>
        <v/>
      </c>
      <c r="K1353" s="197"/>
      <c r="L1353" s="197"/>
      <c r="M1353" s="198"/>
      <c r="N1353" s="198"/>
      <c r="O1353" s="198"/>
      <c r="P1353" s="199"/>
      <c r="Q1353" s="200"/>
      <c r="R1353" s="200"/>
      <c r="S1353" s="200"/>
      <c r="T1353" s="200" t="str">
        <f t="shared" si="219"/>
        <v/>
      </c>
      <c r="U1353" s="200"/>
      <c r="V1353" s="201" t="str">
        <f t="shared" si="220"/>
        <v/>
      </c>
      <c r="W1353" s="202">
        <f t="shared" si="221"/>
        <v>0</v>
      </c>
      <c r="X1353" s="172"/>
    </row>
    <row r="1354" spans="1:24" x14ac:dyDescent="0.45">
      <c r="A1354" s="193">
        <v>40</v>
      </c>
      <c r="B1354" s="194" t="str">
        <f t="shared" si="217"/>
        <v/>
      </c>
      <c r="C1354" s="170" t="str">
        <f t="shared" si="218"/>
        <v/>
      </c>
      <c r="D1354" s="170"/>
      <c r="E1354" s="195"/>
      <c r="F1354" s="170"/>
      <c r="G1354" s="170"/>
      <c r="H1354" s="203"/>
      <c r="I1354" s="197" t="str">
        <f t="shared" si="222"/>
        <v/>
      </c>
      <c r="J1354" s="197" t="str">
        <f t="shared" si="223"/>
        <v/>
      </c>
      <c r="K1354" s="197"/>
      <c r="L1354" s="197"/>
      <c r="M1354" s="198"/>
      <c r="N1354" s="198"/>
      <c r="O1354" s="198"/>
      <c r="P1354" s="199"/>
      <c r="Q1354" s="200"/>
      <c r="R1354" s="200"/>
      <c r="S1354" s="200"/>
      <c r="T1354" s="200" t="str">
        <f t="shared" si="219"/>
        <v/>
      </c>
      <c r="U1354" s="200"/>
      <c r="V1354" s="201" t="str">
        <f t="shared" si="220"/>
        <v/>
      </c>
      <c r="W1354" s="202">
        <f t="shared" si="221"/>
        <v>0</v>
      </c>
      <c r="X1354" s="172"/>
    </row>
    <row r="1355" spans="1:24" x14ac:dyDescent="0.45">
      <c r="A1355" s="193">
        <v>41</v>
      </c>
      <c r="B1355" s="194" t="str">
        <f t="shared" si="217"/>
        <v/>
      </c>
      <c r="C1355" s="170" t="str">
        <f t="shared" si="218"/>
        <v/>
      </c>
      <c r="D1355" s="170"/>
      <c r="E1355" s="195"/>
      <c r="F1355" s="170"/>
      <c r="G1355" s="170"/>
      <c r="H1355" s="203"/>
      <c r="I1355" s="197" t="str">
        <f t="shared" si="222"/>
        <v/>
      </c>
      <c r="J1355" s="197" t="str">
        <f t="shared" si="223"/>
        <v/>
      </c>
      <c r="K1355" s="197"/>
      <c r="L1355" s="197"/>
      <c r="M1355" s="198"/>
      <c r="N1355" s="198"/>
      <c r="O1355" s="198"/>
      <c r="P1355" s="199"/>
      <c r="Q1355" s="200"/>
      <c r="R1355" s="200"/>
      <c r="S1355" s="200"/>
      <c r="T1355" s="200" t="str">
        <f t="shared" si="219"/>
        <v/>
      </c>
      <c r="U1355" s="200"/>
      <c r="V1355" s="201" t="str">
        <f t="shared" si="220"/>
        <v/>
      </c>
      <c r="W1355" s="202">
        <f t="shared" si="221"/>
        <v>0</v>
      </c>
      <c r="X1355" s="172"/>
    </row>
    <row r="1356" spans="1:24" x14ac:dyDescent="0.45">
      <c r="A1356" s="193">
        <v>42</v>
      </c>
      <c r="B1356" s="194" t="str">
        <f t="shared" si="217"/>
        <v/>
      </c>
      <c r="C1356" s="170" t="str">
        <f t="shared" si="218"/>
        <v/>
      </c>
      <c r="D1356" s="170"/>
      <c r="E1356" s="195"/>
      <c r="F1356" s="170"/>
      <c r="G1356" s="170"/>
      <c r="H1356" s="203"/>
      <c r="I1356" s="197" t="str">
        <f t="shared" si="222"/>
        <v/>
      </c>
      <c r="J1356" s="197" t="str">
        <f t="shared" si="223"/>
        <v/>
      </c>
      <c r="K1356" s="197"/>
      <c r="L1356" s="197"/>
      <c r="M1356" s="198"/>
      <c r="N1356" s="198"/>
      <c r="O1356" s="198"/>
      <c r="P1356" s="199"/>
      <c r="Q1356" s="200"/>
      <c r="R1356" s="200"/>
      <c r="S1356" s="200"/>
      <c r="T1356" s="200" t="str">
        <f t="shared" si="219"/>
        <v/>
      </c>
      <c r="U1356" s="200"/>
      <c r="V1356" s="201" t="str">
        <f t="shared" si="220"/>
        <v/>
      </c>
      <c r="W1356" s="202">
        <f t="shared" si="221"/>
        <v>0</v>
      </c>
      <c r="X1356" s="172"/>
    </row>
    <row r="1357" spans="1:24" x14ac:dyDescent="0.45">
      <c r="A1357" s="193">
        <v>43</v>
      </c>
      <c r="B1357" s="194" t="str">
        <f t="shared" si="217"/>
        <v/>
      </c>
      <c r="C1357" s="170" t="str">
        <f t="shared" si="218"/>
        <v/>
      </c>
      <c r="D1357" s="170"/>
      <c r="E1357" s="195"/>
      <c r="F1357" s="170"/>
      <c r="G1357" s="170"/>
      <c r="H1357" s="203"/>
      <c r="I1357" s="197" t="str">
        <f t="shared" si="222"/>
        <v/>
      </c>
      <c r="J1357" s="197" t="str">
        <f t="shared" si="223"/>
        <v/>
      </c>
      <c r="K1357" s="197"/>
      <c r="L1357" s="197"/>
      <c r="M1357" s="198"/>
      <c r="N1357" s="198"/>
      <c r="O1357" s="198"/>
      <c r="P1357" s="199"/>
      <c r="Q1357" s="200"/>
      <c r="R1357" s="200"/>
      <c r="S1357" s="200"/>
      <c r="T1357" s="200" t="str">
        <f t="shared" si="219"/>
        <v/>
      </c>
      <c r="U1357" s="200"/>
      <c r="V1357" s="201" t="str">
        <f t="shared" si="220"/>
        <v/>
      </c>
      <c r="W1357" s="202">
        <f t="shared" si="221"/>
        <v>0</v>
      </c>
      <c r="X1357" s="172"/>
    </row>
    <row r="1358" spans="1:24" x14ac:dyDescent="0.45">
      <c r="A1358" s="193">
        <v>44</v>
      </c>
      <c r="B1358" s="194" t="str">
        <f t="shared" si="217"/>
        <v/>
      </c>
      <c r="C1358" s="170" t="str">
        <f t="shared" si="218"/>
        <v/>
      </c>
      <c r="D1358" s="170"/>
      <c r="E1358" s="195"/>
      <c r="F1358" s="170"/>
      <c r="G1358" s="170"/>
      <c r="H1358" s="203"/>
      <c r="I1358" s="197" t="str">
        <f t="shared" si="222"/>
        <v/>
      </c>
      <c r="J1358" s="197" t="str">
        <f t="shared" si="223"/>
        <v/>
      </c>
      <c r="K1358" s="197"/>
      <c r="L1358" s="197"/>
      <c r="M1358" s="198"/>
      <c r="N1358" s="198"/>
      <c r="O1358" s="198"/>
      <c r="P1358" s="199"/>
      <c r="Q1358" s="200"/>
      <c r="R1358" s="200"/>
      <c r="S1358" s="200"/>
      <c r="T1358" s="200" t="str">
        <f t="shared" si="219"/>
        <v/>
      </c>
      <c r="U1358" s="200"/>
      <c r="V1358" s="201" t="str">
        <f t="shared" si="220"/>
        <v/>
      </c>
      <c r="W1358" s="202">
        <f t="shared" si="221"/>
        <v>0</v>
      </c>
      <c r="X1358" s="172"/>
    </row>
    <row r="1359" spans="1:24" x14ac:dyDescent="0.45">
      <c r="A1359" s="193">
        <v>45</v>
      </c>
      <c r="B1359" s="194" t="str">
        <f t="shared" si="217"/>
        <v/>
      </c>
      <c r="C1359" s="170" t="str">
        <f t="shared" si="218"/>
        <v/>
      </c>
      <c r="D1359" s="170"/>
      <c r="E1359" s="195"/>
      <c r="F1359" s="170"/>
      <c r="G1359" s="170"/>
      <c r="H1359" s="203"/>
      <c r="I1359" s="197" t="str">
        <f t="shared" si="222"/>
        <v/>
      </c>
      <c r="J1359" s="197" t="str">
        <f t="shared" si="223"/>
        <v/>
      </c>
      <c r="K1359" s="197"/>
      <c r="L1359" s="197"/>
      <c r="M1359" s="198"/>
      <c r="N1359" s="198"/>
      <c r="O1359" s="198"/>
      <c r="P1359" s="199"/>
      <c r="Q1359" s="200"/>
      <c r="R1359" s="200"/>
      <c r="S1359" s="200"/>
      <c r="T1359" s="200" t="str">
        <f t="shared" si="219"/>
        <v/>
      </c>
      <c r="U1359" s="200"/>
      <c r="V1359" s="201" t="str">
        <f t="shared" si="220"/>
        <v/>
      </c>
      <c r="W1359" s="202">
        <f t="shared" si="221"/>
        <v>0</v>
      </c>
      <c r="X1359" s="172"/>
    </row>
    <row r="1360" spans="1:24" x14ac:dyDescent="0.45">
      <c r="A1360" s="193">
        <v>46</v>
      </c>
      <c r="B1360" s="194" t="str">
        <f t="shared" si="217"/>
        <v/>
      </c>
      <c r="C1360" s="170" t="str">
        <f t="shared" si="218"/>
        <v/>
      </c>
      <c r="D1360" s="170"/>
      <c r="E1360" s="195"/>
      <c r="F1360" s="170"/>
      <c r="G1360" s="170"/>
      <c r="H1360" s="203"/>
      <c r="I1360" s="197" t="str">
        <f t="shared" si="222"/>
        <v/>
      </c>
      <c r="J1360" s="197" t="str">
        <f t="shared" si="223"/>
        <v/>
      </c>
      <c r="K1360" s="197"/>
      <c r="L1360" s="197"/>
      <c r="M1360" s="198"/>
      <c r="N1360" s="198"/>
      <c r="O1360" s="198"/>
      <c r="P1360" s="199"/>
      <c r="Q1360" s="200"/>
      <c r="R1360" s="200"/>
      <c r="S1360" s="200"/>
      <c r="T1360" s="200" t="str">
        <f t="shared" si="219"/>
        <v/>
      </c>
      <c r="U1360" s="200"/>
      <c r="V1360" s="201" t="str">
        <f t="shared" si="220"/>
        <v/>
      </c>
      <c r="W1360" s="202">
        <f t="shared" si="221"/>
        <v>0</v>
      </c>
      <c r="X1360" s="172"/>
    </row>
    <row r="1361" spans="1:24" x14ac:dyDescent="0.45">
      <c r="A1361" s="193">
        <v>47</v>
      </c>
      <c r="B1361" s="194" t="str">
        <f t="shared" si="217"/>
        <v/>
      </c>
      <c r="C1361" s="170" t="str">
        <f t="shared" si="218"/>
        <v/>
      </c>
      <c r="D1361" s="170"/>
      <c r="E1361" s="195"/>
      <c r="F1361" s="170"/>
      <c r="G1361" s="170"/>
      <c r="H1361" s="203"/>
      <c r="I1361" s="197" t="str">
        <f t="shared" si="222"/>
        <v/>
      </c>
      <c r="J1361" s="197" t="str">
        <f t="shared" si="223"/>
        <v/>
      </c>
      <c r="K1361" s="197"/>
      <c r="L1361" s="197"/>
      <c r="M1361" s="198"/>
      <c r="N1361" s="198"/>
      <c r="O1361" s="198"/>
      <c r="P1361" s="199"/>
      <c r="Q1361" s="200"/>
      <c r="R1361" s="200"/>
      <c r="S1361" s="200"/>
      <c r="T1361" s="200" t="str">
        <f t="shared" si="219"/>
        <v/>
      </c>
      <c r="U1361" s="200"/>
      <c r="V1361" s="201" t="str">
        <f t="shared" si="220"/>
        <v/>
      </c>
      <c r="W1361" s="202">
        <f t="shared" si="221"/>
        <v>0</v>
      </c>
      <c r="X1361" s="172"/>
    </row>
    <row r="1362" spans="1:24" x14ac:dyDescent="0.45">
      <c r="A1362" s="193">
        <v>48</v>
      </c>
      <c r="B1362" s="194" t="str">
        <f t="shared" si="217"/>
        <v/>
      </c>
      <c r="C1362" s="170" t="str">
        <f t="shared" si="218"/>
        <v/>
      </c>
      <c r="D1362" s="170"/>
      <c r="E1362" s="195"/>
      <c r="F1362" s="170"/>
      <c r="G1362" s="170"/>
      <c r="H1362" s="203"/>
      <c r="I1362" s="197" t="str">
        <f t="shared" si="222"/>
        <v/>
      </c>
      <c r="J1362" s="197" t="str">
        <f t="shared" si="223"/>
        <v/>
      </c>
      <c r="K1362" s="197"/>
      <c r="L1362" s="197"/>
      <c r="M1362" s="198"/>
      <c r="N1362" s="198"/>
      <c r="O1362" s="198"/>
      <c r="P1362" s="199"/>
      <c r="Q1362" s="200"/>
      <c r="R1362" s="200"/>
      <c r="S1362" s="200"/>
      <c r="T1362" s="200" t="str">
        <f t="shared" si="219"/>
        <v/>
      </c>
      <c r="U1362" s="200"/>
      <c r="V1362" s="201" t="str">
        <f t="shared" si="220"/>
        <v/>
      </c>
      <c r="W1362" s="202">
        <f t="shared" si="221"/>
        <v>0</v>
      </c>
      <c r="X1362" s="172"/>
    </row>
    <row r="1363" spans="1:24" x14ac:dyDescent="0.45">
      <c r="A1363" s="193">
        <v>49</v>
      </c>
      <c r="B1363" s="194" t="str">
        <f t="shared" si="217"/>
        <v/>
      </c>
      <c r="C1363" s="170" t="str">
        <f t="shared" si="218"/>
        <v/>
      </c>
      <c r="D1363" s="170"/>
      <c r="E1363" s="195"/>
      <c r="F1363" s="170"/>
      <c r="G1363" s="170"/>
      <c r="H1363" s="203"/>
      <c r="I1363" s="197" t="str">
        <f t="shared" si="222"/>
        <v/>
      </c>
      <c r="J1363" s="197" t="str">
        <f t="shared" si="223"/>
        <v/>
      </c>
      <c r="K1363" s="197"/>
      <c r="L1363" s="197"/>
      <c r="M1363" s="198"/>
      <c r="N1363" s="198"/>
      <c r="O1363" s="198"/>
      <c r="P1363" s="199"/>
      <c r="Q1363" s="200"/>
      <c r="R1363" s="200"/>
      <c r="S1363" s="200"/>
      <c r="T1363" s="200" t="str">
        <f t="shared" si="219"/>
        <v/>
      </c>
      <c r="U1363" s="200"/>
      <c r="V1363" s="201" t="str">
        <f t="shared" si="220"/>
        <v/>
      </c>
      <c r="W1363" s="202">
        <f t="shared" si="221"/>
        <v>0</v>
      </c>
      <c r="X1363" s="172"/>
    </row>
    <row r="1364" spans="1:24" x14ac:dyDescent="0.45">
      <c r="A1364" s="193">
        <v>50</v>
      </c>
      <c r="B1364" s="194" t="str">
        <f t="shared" si="217"/>
        <v/>
      </c>
      <c r="C1364" s="170" t="str">
        <f t="shared" si="218"/>
        <v/>
      </c>
      <c r="D1364" s="170"/>
      <c r="E1364" s="195"/>
      <c r="F1364" s="170"/>
      <c r="G1364" s="170"/>
      <c r="H1364" s="203"/>
      <c r="I1364" s="197" t="str">
        <f t="shared" si="222"/>
        <v/>
      </c>
      <c r="J1364" s="197" t="str">
        <f t="shared" si="223"/>
        <v/>
      </c>
      <c r="K1364" s="197"/>
      <c r="L1364" s="197"/>
      <c r="M1364" s="198"/>
      <c r="N1364" s="198"/>
      <c r="O1364" s="198"/>
      <c r="P1364" s="199"/>
      <c r="Q1364" s="200"/>
      <c r="R1364" s="200"/>
      <c r="S1364" s="200"/>
      <c r="T1364" s="200" t="str">
        <f t="shared" si="219"/>
        <v/>
      </c>
      <c r="U1364" s="200"/>
      <c r="V1364" s="201" t="str">
        <f t="shared" si="220"/>
        <v/>
      </c>
      <c r="W1364" s="202">
        <f t="shared" si="221"/>
        <v>0</v>
      </c>
      <c r="X1364" s="172"/>
    </row>
    <row r="1365" spans="1:24" x14ac:dyDescent="0.45">
      <c r="A1365" s="193">
        <v>51</v>
      </c>
      <c r="B1365" s="194" t="str">
        <f t="shared" si="217"/>
        <v/>
      </c>
      <c r="C1365" s="170" t="str">
        <f t="shared" si="218"/>
        <v/>
      </c>
      <c r="D1365" s="170"/>
      <c r="E1365" s="195"/>
      <c r="F1365" s="170"/>
      <c r="G1365" s="170"/>
      <c r="H1365" s="203"/>
      <c r="I1365" s="197" t="str">
        <f t="shared" si="222"/>
        <v/>
      </c>
      <c r="J1365" s="197" t="str">
        <f t="shared" si="223"/>
        <v/>
      </c>
      <c r="K1365" s="197"/>
      <c r="L1365" s="197"/>
      <c r="M1365" s="198"/>
      <c r="N1365" s="198"/>
      <c r="O1365" s="198"/>
      <c r="P1365" s="199"/>
      <c r="Q1365" s="200"/>
      <c r="R1365" s="200"/>
      <c r="S1365" s="200"/>
      <c r="T1365" s="200" t="str">
        <f t="shared" si="219"/>
        <v/>
      </c>
      <c r="U1365" s="200"/>
      <c r="V1365" s="201" t="str">
        <f t="shared" si="220"/>
        <v/>
      </c>
      <c r="W1365" s="202">
        <f t="shared" si="221"/>
        <v>0</v>
      </c>
      <c r="X1365" s="172"/>
    </row>
    <row r="1366" spans="1:24" x14ac:dyDescent="0.45">
      <c r="A1366" s="193">
        <v>52</v>
      </c>
      <c r="B1366" s="194" t="str">
        <f t="shared" si="217"/>
        <v/>
      </c>
      <c r="C1366" s="170" t="str">
        <f t="shared" si="218"/>
        <v/>
      </c>
      <c r="D1366" s="170"/>
      <c r="E1366" s="195"/>
      <c r="F1366" s="170"/>
      <c r="G1366" s="170"/>
      <c r="H1366" s="203"/>
      <c r="I1366" s="197" t="str">
        <f t="shared" si="222"/>
        <v/>
      </c>
      <c r="J1366" s="197" t="str">
        <f t="shared" si="223"/>
        <v/>
      </c>
      <c r="K1366" s="197"/>
      <c r="L1366" s="197"/>
      <c r="M1366" s="198"/>
      <c r="N1366" s="198"/>
      <c r="O1366" s="198"/>
      <c r="P1366" s="199"/>
      <c r="Q1366" s="200"/>
      <c r="R1366" s="200"/>
      <c r="S1366" s="200"/>
      <c r="T1366" s="200" t="str">
        <f t="shared" si="219"/>
        <v/>
      </c>
      <c r="U1366" s="200"/>
      <c r="V1366" s="201" t="str">
        <f t="shared" si="220"/>
        <v/>
      </c>
      <c r="W1366" s="202">
        <f t="shared" si="221"/>
        <v>0</v>
      </c>
      <c r="X1366" s="172"/>
    </row>
    <row r="1367" spans="1:24" x14ac:dyDescent="0.45">
      <c r="A1367" s="193">
        <v>53</v>
      </c>
      <c r="B1367" s="194" t="str">
        <f t="shared" si="217"/>
        <v/>
      </c>
      <c r="C1367" s="170" t="str">
        <f t="shared" si="218"/>
        <v/>
      </c>
      <c r="D1367" s="170"/>
      <c r="E1367" s="195"/>
      <c r="F1367" s="170"/>
      <c r="G1367" s="170"/>
      <c r="H1367" s="203"/>
      <c r="I1367" s="197" t="str">
        <f t="shared" si="222"/>
        <v/>
      </c>
      <c r="J1367" s="197" t="str">
        <f t="shared" si="223"/>
        <v/>
      </c>
      <c r="K1367" s="197"/>
      <c r="L1367" s="197"/>
      <c r="M1367" s="198"/>
      <c r="N1367" s="198"/>
      <c r="O1367" s="198"/>
      <c r="P1367" s="199"/>
      <c r="Q1367" s="200"/>
      <c r="R1367" s="200"/>
      <c r="S1367" s="200"/>
      <c r="T1367" s="200" t="str">
        <f t="shared" si="219"/>
        <v/>
      </c>
      <c r="U1367" s="200"/>
      <c r="V1367" s="201" t="str">
        <f t="shared" si="220"/>
        <v/>
      </c>
      <c r="W1367" s="202">
        <f t="shared" si="221"/>
        <v>0</v>
      </c>
      <c r="X1367" s="172"/>
    </row>
    <row r="1368" spans="1:24" x14ac:dyDescent="0.45">
      <c r="A1368" s="193">
        <v>54</v>
      </c>
      <c r="B1368" s="194" t="str">
        <f t="shared" si="217"/>
        <v/>
      </c>
      <c r="C1368" s="170" t="str">
        <f t="shared" si="218"/>
        <v/>
      </c>
      <c r="D1368" s="170"/>
      <c r="E1368" s="195"/>
      <c r="F1368" s="170"/>
      <c r="G1368" s="170"/>
      <c r="H1368" s="203"/>
      <c r="I1368" s="197" t="str">
        <f t="shared" si="222"/>
        <v/>
      </c>
      <c r="J1368" s="197" t="str">
        <f t="shared" si="223"/>
        <v/>
      </c>
      <c r="K1368" s="197"/>
      <c r="L1368" s="197"/>
      <c r="M1368" s="198"/>
      <c r="N1368" s="198"/>
      <c r="O1368" s="198"/>
      <c r="P1368" s="199"/>
      <c r="Q1368" s="200"/>
      <c r="R1368" s="200"/>
      <c r="S1368" s="200"/>
      <c r="T1368" s="200" t="str">
        <f t="shared" si="219"/>
        <v/>
      </c>
      <c r="U1368" s="200"/>
      <c r="V1368" s="201" t="str">
        <f t="shared" si="220"/>
        <v/>
      </c>
      <c r="W1368" s="202">
        <f t="shared" si="221"/>
        <v>0</v>
      </c>
      <c r="X1368" s="172"/>
    </row>
    <row r="1369" spans="1:24" x14ac:dyDescent="0.45">
      <c r="A1369" s="193">
        <v>55</v>
      </c>
      <c r="B1369" s="194" t="str">
        <f t="shared" si="217"/>
        <v/>
      </c>
      <c r="C1369" s="170" t="str">
        <f t="shared" si="218"/>
        <v/>
      </c>
      <c r="D1369" s="170"/>
      <c r="E1369" s="195"/>
      <c r="F1369" s="170"/>
      <c r="G1369" s="170"/>
      <c r="H1369" s="203"/>
      <c r="I1369" s="197" t="str">
        <f t="shared" si="222"/>
        <v/>
      </c>
      <c r="J1369" s="197" t="str">
        <f t="shared" si="223"/>
        <v/>
      </c>
      <c r="K1369" s="197"/>
      <c r="L1369" s="197"/>
      <c r="M1369" s="198"/>
      <c r="N1369" s="198"/>
      <c r="O1369" s="198"/>
      <c r="P1369" s="199"/>
      <c r="Q1369" s="200"/>
      <c r="R1369" s="200"/>
      <c r="S1369" s="200"/>
      <c r="T1369" s="200" t="str">
        <f t="shared" si="219"/>
        <v/>
      </c>
      <c r="U1369" s="200"/>
      <c r="V1369" s="201" t="str">
        <f t="shared" si="220"/>
        <v/>
      </c>
      <c r="W1369" s="202">
        <f t="shared" si="221"/>
        <v>0</v>
      </c>
      <c r="X1369" s="172"/>
    </row>
    <row r="1370" spans="1:24" x14ac:dyDescent="0.45">
      <c r="A1370" s="193">
        <v>56</v>
      </c>
      <c r="B1370" s="194" t="str">
        <f t="shared" si="217"/>
        <v/>
      </c>
      <c r="C1370" s="170" t="str">
        <f t="shared" si="218"/>
        <v/>
      </c>
      <c r="D1370" s="170"/>
      <c r="E1370" s="195"/>
      <c r="F1370" s="170"/>
      <c r="G1370" s="170"/>
      <c r="H1370" s="203"/>
      <c r="I1370" s="197" t="str">
        <f t="shared" si="222"/>
        <v/>
      </c>
      <c r="J1370" s="197" t="str">
        <f t="shared" si="223"/>
        <v/>
      </c>
      <c r="K1370" s="197"/>
      <c r="L1370" s="197"/>
      <c r="M1370" s="198"/>
      <c r="N1370" s="198"/>
      <c r="O1370" s="198"/>
      <c r="P1370" s="199"/>
      <c r="Q1370" s="200"/>
      <c r="R1370" s="200"/>
      <c r="S1370" s="200"/>
      <c r="T1370" s="200" t="str">
        <f t="shared" si="219"/>
        <v/>
      </c>
      <c r="U1370" s="200"/>
      <c r="V1370" s="201" t="str">
        <f t="shared" si="220"/>
        <v/>
      </c>
      <c r="W1370" s="202">
        <f t="shared" si="221"/>
        <v>0</v>
      </c>
      <c r="X1370" s="172"/>
    </row>
    <row r="1371" spans="1:24" x14ac:dyDescent="0.45">
      <c r="A1371" s="193">
        <v>57</v>
      </c>
      <c r="B1371" s="194" t="str">
        <f t="shared" si="217"/>
        <v/>
      </c>
      <c r="C1371" s="170" t="str">
        <f t="shared" si="218"/>
        <v/>
      </c>
      <c r="D1371" s="170"/>
      <c r="E1371" s="195"/>
      <c r="F1371" s="170"/>
      <c r="G1371" s="170"/>
      <c r="H1371" s="203"/>
      <c r="I1371" s="197" t="str">
        <f t="shared" si="222"/>
        <v/>
      </c>
      <c r="J1371" s="197" t="str">
        <f t="shared" si="223"/>
        <v/>
      </c>
      <c r="K1371" s="197"/>
      <c r="L1371" s="197"/>
      <c r="M1371" s="198"/>
      <c r="N1371" s="198"/>
      <c r="O1371" s="198"/>
      <c r="P1371" s="199"/>
      <c r="Q1371" s="200"/>
      <c r="R1371" s="200"/>
      <c r="S1371" s="200"/>
      <c r="T1371" s="200" t="str">
        <f t="shared" si="219"/>
        <v/>
      </c>
      <c r="U1371" s="200"/>
      <c r="V1371" s="201" t="str">
        <f t="shared" si="220"/>
        <v/>
      </c>
      <c r="W1371" s="202">
        <f t="shared" si="221"/>
        <v>0</v>
      </c>
      <c r="X1371" s="172"/>
    </row>
    <row r="1372" spans="1:24" x14ac:dyDescent="0.45">
      <c r="A1372" s="193">
        <v>58</v>
      </c>
      <c r="B1372" s="194" t="str">
        <f t="shared" si="217"/>
        <v/>
      </c>
      <c r="C1372" s="170" t="str">
        <f t="shared" si="218"/>
        <v/>
      </c>
      <c r="D1372" s="170"/>
      <c r="E1372" s="195"/>
      <c r="F1372" s="170"/>
      <c r="G1372" s="170"/>
      <c r="H1372" s="203"/>
      <c r="I1372" s="197" t="str">
        <f t="shared" si="222"/>
        <v/>
      </c>
      <c r="J1372" s="197" t="str">
        <f t="shared" si="223"/>
        <v/>
      </c>
      <c r="K1372" s="197"/>
      <c r="L1372" s="197"/>
      <c r="M1372" s="198"/>
      <c r="N1372" s="198"/>
      <c r="O1372" s="198"/>
      <c r="P1372" s="199"/>
      <c r="Q1372" s="200"/>
      <c r="R1372" s="200"/>
      <c r="S1372" s="200"/>
      <c r="T1372" s="200" t="str">
        <f t="shared" si="219"/>
        <v/>
      </c>
      <c r="U1372" s="200"/>
      <c r="V1372" s="201" t="str">
        <f t="shared" si="220"/>
        <v/>
      </c>
      <c r="W1372" s="202">
        <f t="shared" si="221"/>
        <v>0</v>
      </c>
      <c r="X1372" s="172"/>
    </row>
    <row r="1373" spans="1:24" x14ac:dyDescent="0.45">
      <c r="A1373" s="193">
        <v>59</v>
      </c>
      <c r="B1373" s="194" t="str">
        <f t="shared" si="217"/>
        <v/>
      </c>
      <c r="C1373" s="170" t="str">
        <f t="shared" si="218"/>
        <v/>
      </c>
      <c r="D1373" s="170"/>
      <c r="E1373" s="195"/>
      <c r="F1373" s="170"/>
      <c r="G1373" s="170"/>
      <c r="H1373" s="203"/>
      <c r="I1373" s="197" t="str">
        <f t="shared" si="222"/>
        <v/>
      </c>
      <c r="J1373" s="197" t="str">
        <f t="shared" si="223"/>
        <v/>
      </c>
      <c r="K1373" s="197"/>
      <c r="L1373" s="197"/>
      <c r="M1373" s="198"/>
      <c r="N1373" s="198"/>
      <c r="O1373" s="198"/>
      <c r="P1373" s="199"/>
      <c r="Q1373" s="200"/>
      <c r="R1373" s="200"/>
      <c r="S1373" s="200"/>
      <c r="T1373" s="200" t="str">
        <f t="shared" si="219"/>
        <v/>
      </c>
      <c r="U1373" s="200"/>
      <c r="V1373" s="201" t="str">
        <f t="shared" si="220"/>
        <v/>
      </c>
      <c r="W1373" s="202">
        <f t="shared" si="221"/>
        <v>0</v>
      </c>
      <c r="X1373" s="172"/>
    </row>
    <row r="1374" spans="1:24" x14ac:dyDescent="0.45">
      <c r="A1374" s="193">
        <v>60</v>
      </c>
      <c r="B1374" s="194" t="str">
        <f t="shared" si="217"/>
        <v/>
      </c>
      <c r="C1374" s="170" t="str">
        <f t="shared" si="218"/>
        <v/>
      </c>
      <c r="D1374" s="170"/>
      <c r="E1374" s="195"/>
      <c r="F1374" s="170"/>
      <c r="G1374" s="170"/>
      <c r="H1374" s="203"/>
      <c r="I1374" s="197" t="str">
        <f t="shared" si="222"/>
        <v/>
      </c>
      <c r="J1374" s="197" t="str">
        <f t="shared" si="223"/>
        <v/>
      </c>
      <c r="K1374" s="197"/>
      <c r="L1374" s="197"/>
      <c r="M1374" s="198"/>
      <c r="N1374" s="198"/>
      <c r="O1374" s="198"/>
      <c r="P1374" s="199"/>
      <c r="Q1374" s="200"/>
      <c r="R1374" s="200"/>
      <c r="S1374" s="200"/>
      <c r="T1374" s="200" t="str">
        <f t="shared" si="219"/>
        <v/>
      </c>
      <c r="U1374" s="200"/>
      <c r="V1374" s="201" t="str">
        <f t="shared" si="220"/>
        <v/>
      </c>
      <c r="W1374" s="202">
        <f t="shared" si="221"/>
        <v>0</v>
      </c>
      <c r="X1374" s="172"/>
    </row>
    <row r="1375" spans="1:24" x14ac:dyDescent="0.45">
      <c r="A1375" s="193">
        <v>61</v>
      </c>
      <c r="B1375" s="194" t="str">
        <f t="shared" si="217"/>
        <v/>
      </c>
      <c r="C1375" s="170" t="str">
        <f t="shared" si="218"/>
        <v/>
      </c>
      <c r="D1375" s="170"/>
      <c r="E1375" s="195"/>
      <c r="F1375" s="170"/>
      <c r="G1375" s="170"/>
      <c r="H1375" s="203"/>
      <c r="I1375" s="197" t="str">
        <f t="shared" si="222"/>
        <v/>
      </c>
      <c r="J1375" s="197" t="str">
        <f t="shared" si="223"/>
        <v/>
      </c>
      <c r="K1375" s="197"/>
      <c r="L1375" s="197"/>
      <c r="M1375" s="198"/>
      <c r="N1375" s="198"/>
      <c r="O1375" s="198"/>
      <c r="P1375" s="199"/>
      <c r="Q1375" s="200"/>
      <c r="R1375" s="200"/>
      <c r="S1375" s="200"/>
      <c r="T1375" s="200" t="str">
        <f t="shared" si="219"/>
        <v/>
      </c>
      <c r="U1375" s="200"/>
      <c r="V1375" s="201" t="str">
        <f t="shared" si="220"/>
        <v/>
      </c>
      <c r="W1375" s="202">
        <f t="shared" si="221"/>
        <v>0</v>
      </c>
      <c r="X1375" s="172"/>
    </row>
    <row r="1376" spans="1:24" x14ac:dyDescent="0.45">
      <c r="A1376" s="193">
        <v>62</v>
      </c>
      <c r="B1376" s="194" t="str">
        <f t="shared" si="217"/>
        <v/>
      </c>
      <c r="C1376" s="170" t="str">
        <f t="shared" si="218"/>
        <v/>
      </c>
      <c r="D1376" s="170"/>
      <c r="E1376" s="195"/>
      <c r="F1376" s="170"/>
      <c r="G1376" s="170"/>
      <c r="H1376" s="203"/>
      <c r="I1376" s="197" t="str">
        <f t="shared" si="222"/>
        <v/>
      </c>
      <c r="J1376" s="197" t="str">
        <f t="shared" si="223"/>
        <v/>
      </c>
      <c r="K1376" s="197"/>
      <c r="L1376" s="197"/>
      <c r="M1376" s="198"/>
      <c r="N1376" s="198"/>
      <c r="O1376" s="198"/>
      <c r="P1376" s="199"/>
      <c r="Q1376" s="200"/>
      <c r="R1376" s="200"/>
      <c r="S1376" s="200"/>
      <c r="T1376" s="200" t="str">
        <f t="shared" si="219"/>
        <v/>
      </c>
      <c r="U1376" s="200"/>
      <c r="V1376" s="201" t="str">
        <f t="shared" si="220"/>
        <v/>
      </c>
      <c r="W1376" s="202">
        <f t="shared" si="221"/>
        <v>0</v>
      </c>
      <c r="X1376" s="172"/>
    </row>
    <row r="1377" spans="1:24" x14ac:dyDescent="0.45">
      <c r="A1377" s="193">
        <v>63</v>
      </c>
      <c r="B1377" s="194" t="str">
        <f t="shared" si="217"/>
        <v/>
      </c>
      <c r="C1377" s="170" t="str">
        <f t="shared" si="218"/>
        <v/>
      </c>
      <c r="D1377" s="170"/>
      <c r="E1377" s="195"/>
      <c r="F1377" s="170"/>
      <c r="G1377" s="170"/>
      <c r="H1377" s="203"/>
      <c r="I1377" s="197" t="str">
        <f t="shared" si="222"/>
        <v/>
      </c>
      <c r="J1377" s="197" t="str">
        <f t="shared" si="223"/>
        <v/>
      </c>
      <c r="K1377" s="197"/>
      <c r="L1377" s="197"/>
      <c r="M1377" s="198"/>
      <c r="N1377" s="198"/>
      <c r="O1377" s="198"/>
      <c r="P1377" s="199"/>
      <c r="Q1377" s="200"/>
      <c r="R1377" s="200"/>
      <c r="S1377" s="200"/>
      <c r="T1377" s="200" t="str">
        <f t="shared" si="219"/>
        <v/>
      </c>
      <c r="U1377" s="200"/>
      <c r="V1377" s="201" t="str">
        <f t="shared" si="220"/>
        <v/>
      </c>
      <c r="W1377" s="202">
        <f t="shared" si="221"/>
        <v>0</v>
      </c>
      <c r="X1377" s="172"/>
    </row>
    <row r="1378" spans="1:24" x14ac:dyDescent="0.45">
      <c r="A1378" s="193">
        <v>64</v>
      </c>
      <c r="B1378" s="194" t="str">
        <f t="shared" si="217"/>
        <v/>
      </c>
      <c r="C1378" s="170" t="str">
        <f t="shared" si="218"/>
        <v/>
      </c>
      <c r="D1378" s="170"/>
      <c r="E1378" s="195"/>
      <c r="F1378" s="170"/>
      <c r="G1378" s="170"/>
      <c r="H1378" s="203"/>
      <c r="I1378" s="197" t="str">
        <f t="shared" si="222"/>
        <v/>
      </c>
      <c r="J1378" s="197" t="str">
        <f t="shared" si="223"/>
        <v/>
      </c>
      <c r="K1378" s="197"/>
      <c r="L1378" s="197"/>
      <c r="M1378" s="198"/>
      <c r="N1378" s="198"/>
      <c r="O1378" s="198"/>
      <c r="P1378" s="199"/>
      <c r="Q1378" s="200"/>
      <c r="R1378" s="200"/>
      <c r="S1378" s="200"/>
      <c r="T1378" s="200" t="str">
        <f t="shared" si="219"/>
        <v/>
      </c>
      <c r="U1378" s="200"/>
      <c r="V1378" s="201" t="str">
        <f t="shared" si="220"/>
        <v/>
      </c>
      <c r="W1378" s="202">
        <f t="shared" si="221"/>
        <v>0</v>
      </c>
      <c r="X1378" s="172"/>
    </row>
    <row r="1379" spans="1:24" x14ac:dyDescent="0.45">
      <c r="A1379" s="193">
        <v>65</v>
      </c>
      <c r="B1379" s="194" t="str">
        <f t="shared" si="217"/>
        <v/>
      </c>
      <c r="C1379" s="170" t="str">
        <f t="shared" si="218"/>
        <v/>
      </c>
      <c r="D1379" s="170"/>
      <c r="E1379" s="195"/>
      <c r="F1379" s="170"/>
      <c r="G1379" s="170"/>
      <c r="H1379" s="203"/>
      <c r="I1379" s="197" t="str">
        <f t="shared" si="222"/>
        <v/>
      </c>
      <c r="J1379" s="197" t="str">
        <f t="shared" si="223"/>
        <v/>
      </c>
      <c r="K1379" s="197"/>
      <c r="L1379" s="197"/>
      <c r="M1379" s="198"/>
      <c r="N1379" s="198"/>
      <c r="O1379" s="198"/>
      <c r="P1379" s="199"/>
      <c r="Q1379" s="200"/>
      <c r="R1379" s="200"/>
      <c r="S1379" s="200"/>
      <c r="T1379" s="200" t="str">
        <f t="shared" si="219"/>
        <v/>
      </c>
      <c r="U1379" s="200"/>
      <c r="V1379" s="201" t="str">
        <f t="shared" ref="V1379:V1380" si="224">IF(U1379="","",$V$1295)</f>
        <v/>
      </c>
      <c r="W1379" s="202">
        <f t="shared" si="221"/>
        <v>0</v>
      </c>
      <c r="X1379" s="172"/>
    </row>
    <row r="1380" spans="1:24" ht="14.25" customHeight="1" x14ac:dyDescent="0.45">
      <c r="A1380" s="193">
        <v>66</v>
      </c>
      <c r="B1380" s="204" t="str">
        <f t="shared" si="217"/>
        <v/>
      </c>
      <c r="C1380" s="205" t="str">
        <f t="shared" si="218"/>
        <v/>
      </c>
      <c r="D1380" s="205"/>
      <c r="E1380" s="205"/>
      <c r="F1380" s="205"/>
      <c r="G1380" s="205"/>
      <c r="H1380" s="205"/>
      <c r="I1380" s="206" t="str">
        <f t="shared" si="222"/>
        <v/>
      </c>
      <c r="J1380" s="206" t="str">
        <f t="shared" si="223"/>
        <v/>
      </c>
      <c r="K1380" s="206"/>
      <c r="L1380" s="206"/>
      <c r="M1380" s="205"/>
      <c r="N1380" s="205"/>
      <c r="O1380" s="205"/>
      <c r="P1380" s="205"/>
      <c r="Q1380" s="205"/>
      <c r="R1380" s="205"/>
      <c r="S1380" s="205"/>
      <c r="T1380" s="205" t="str">
        <f t="shared" si="219"/>
        <v/>
      </c>
      <c r="U1380" s="205"/>
      <c r="V1380" s="205" t="str">
        <f t="shared" si="224"/>
        <v/>
      </c>
      <c r="W1380" s="207">
        <f t="shared" si="221"/>
        <v>0</v>
      </c>
      <c r="X1380" s="207"/>
    </row>
    <row r="1381" spans="1:24" ht="24.75" customHeight="1" x14ac:dyDescent="0.45">
      <c r="B1381" s="428" t="s">
        <v>1523</v>
      </c>
      <c r="C1381" s="429" t="s">
        <v>1494</v>
      </c>
      <c r="D1381" s="429"/>
      <c r="E1381" s="429"/>
      <c r="F1381" s="429"/>
      <c r="G1381" s="429"/>
      <c r="H1381" s="429"/>
      <c r="I1381" s="429"/>
      <c r="J1381" s="429"/>
      <c r="K1381" s="429"/>
      <c r="L1381" s="429"/>
      <c r="M1381" s="429"/>
      <c r="N1381" s="429"/>
      <c r="O1381" s="429"/>
      <c r="P1381" s="429"/>
      <c r="Q1381" s="429"/>
      <c r="R1381" s="145" t="s">
        <v>1</v>
      </c>
      <c r="S1381" s="146"/>
      <c r="T1381" s="145" t="s">
        <v>8</v>
      </c>
      <c r="U1381" s="147"/>
      <c r="V1381" s="148" t="s">
        <v>3</v>
      </c>
      <c r="W1381" s="146"/>
      <c r="X1381" s="149"/>
    </row>
    <row r="1382" spans="1:24" ht="24.75" customHeight="1" x14ac:dyDescent="0.45">
      <c r="B1382" s="428"/>
      <c r="C1382" s="429"/>
      <c r="D1382" s="429"/>
      <c r="E1382" s="429"/>
      <c r="F1382" s="429"/>
      <c r="G1382" s="429"/>
      <c r="H1382" s="429"/>
      <c r="I1382" s="429"/>
      <c r="J1382" s="429"/>
      <c r="K1382" s="429"/>
      <c r="L1382" s="429"/>
      <c r="M1382" s="429"/>
      <c r="N1382" s="429"/>
      <c r="O1382" s="429"/>
      <c r="P1382" s="429"/>
      <c r="Q1382" s="429"/>
      <c r="R1382" s="430" t="s">
        <v>1495</v>
      </c>
      <c r="S1382" s="430"/>
      <c r="T1382" s="431" t="str">
        <f>'BM MORRO DA CRUZ - VERTICAL'!$V$4</f>
        <v>01-10-26 A 31-10-26</v>
      </c>
      <c r="U1382" s="431"/>
      <c r="V1382" s="432" t="str">
        <f>IF('BM MORRO DA CRUZ - VERTICAL'!$BF$2="","",'BM MORRO DA CRUZ - VERTICAL'!$BF$2)</f>
        <v/>
      </c>
      <c r="W1382" s="432"/>
      <c r="X1382" s="150"/>
    </row>
    <row r="1383" spans="1:24" ht="24.75" customHeight="1" x14ac:dyDescent="0.45">
      <c r="B1383" s="151" t="s">
        <v>5</v>
      </c>
      <c r="C1383" s="152"/>
      <c r="D1383" s="152"/>
      <c r="E1383" s="152"/>
      <c r="F1383" s="152"/>
      <c r="G1383" s="152"/>
      <c r="H1383" s="152"/>
      <c r="I1383" s="152"/>
      <c r="J1383" s="152"/>
      <c r="K1383" s="152"/>
      <c r="L1383" s="152"/>
      <c r="M1383" s="152"/>
      <c r="N1383" s="152"/>
      <c r="O1383" s="152"/>
      <c r="P1383" s="153"/>
      <c r="Q1383" s="154"/>
      <c r="R1383" s="155"/>
      <c r="S1383" s="155"/>
      <c r="T1383" s="156" t="s">
        <v>1496</v>
      </c>
      <c r="U1383" s="157"/>
      <c r="V1383" s="158" t="s">
        <v>9</v>
      </c>
      <c r="W1383" s="159"/>
      <c r="X1383" s="433"/>
    </row>
    <row r="1384" spans="1:24" ht="24.75" customHeight="1" x14ac:dyDescent="0.45">
      <c r="B1384" s="17" t="s">
        <v>11</v>
      </c>
      <c r="C1384" s="160"/>
      <c r="D1384" s="160"/>
      <c r="E1384" s="160"/>
      <c r="F1384" s="160"/>
      <c r="G1384" s="160"/>
      <c r="H1384" s="160"/>
      <c r="I1384" s="160"/>
      <c r="J1384" s="160"/>
      <c r="K1384" s="160"/>
      <c r="L1384" s="160"/>
      <c r="M1384" s="160"/>
      <c r="N1384" s="160"/>
      <c r="O1384" s="160"/>
      <c r="P1384" s="161"/>
      <c r="Q1384" s="162"/>
      <c r="R1384" s="163"/>
      <c r="S1384" s="163"/>
      <c r="T1384" s="434" t="str">
        <f>'BM MORRO DA CRUZ - VERTICAL'!$V$2</f>
        <v>1ª MEDIÇÃO</v>
      </c>
      <c r="U1384" s="434"/>
      <c r="V1384" s="435" t="s">
        <v>13</v>
      </c>
      <c r="W1384" s="435"/>
      <c r="X1384" s="433"/>
    </row>
    <row r="1385" spans="1:24" ht="24.75" customHeight="1" x14ac:dyDescent="0.45">
      <c r="B1385" s="164" t="s">
        <v>1459</v>
      </c>
      <c r="C1385" s="165" t="s">
        <v>14</v>
      </c>
      <c r="D1385" s="165" t="s">
        <v>24</v>
      </c>
      <c r="E1385" s="165" t="s">
        <v>25</v>
      </c>
      <c r="F1385" s="166" t="s">
        <v>1461</v>
      </c>
      <c r="G1385" s="165"/>
      <c r="H1385" s="165"/>
      <c r="I1385" s="165"/>
      <c r="J1385" s="165"/>
      <c r="K1385" s="165"/>
      <c r="L1385" s="165"/>
      <c r="M1385" s="165"/>
      <c r="N1385" s="165"/>
      <c r="O1385" s="165"/>
      <c r="P1385" s="165"/>
      <c r="Q1385" s="165"/>
      <c r="R1385" s="165"/>
      <c r="S1385" s="165"/>
      <c r="T1385" s="165"/>
      <c r="U1385" s="165"/>
      <c r="V1385" s="165" t="s">
        <v>26</v>
      </c>
      <c r="W1385" s="167" t="s">
        <v>29</v>
      </c>
      <c r="X1385" s="168"/>
    </row>
    <row r="1386" spans="1:24" ht="24.75" customHeight="1" x14ac:dyDescent="0.45">
      <c r="B1386" s="169"/>
      <c r="C1386" s="170"/>
      <c r="D1386" s="170"/>
      <c r="E1386" s="170"/>
      <c r="F1386" s="170"/>
      <c r="G1386" s="170"/>
      <c r="H1386" s="170"/>
      <c r="I1386" s="170"/>
      <c r="J1386" s="170"/>
      <c r="K1386" s="170"/>
      <c r="L1386" s="170"/>
      <c r="M1386" s="170"/>
      <c r="N1386" s="170"/>
      <c r="O1386" s="170"/>
      <c r="P1386" s="170"/>
      <c r="Q1386" s="170"/>
      <c r="R1386" s="170"/>
      <c r="S1386" s="170"/>
      <c r="T1386" s="170"/>
      <c r="U1386" s="170"/>
      <c r="V1386" s="170"/>
      <c r="W1386" s="171"/>
      <c r="X1386" s="172"/>
    </row>
    <row r="1387" spans="1:24" ht="24.75" customHeight="1" x14ac:dyDescent="0.45">
      <c r="B1387" s="173" t="str">
        <f>IF($C$1387="","",IFERROR(INDEX('BM MORRO DA CRUZ - VERTICAL'!$C$6:$C$546,MATCH($C$1387,'BM MORRO DA CRUZ - VERTICAL'!$D$6:$D$546,0)),"CHAVE NÃO ENCONTRADA NO VERTICAL"))</f>
        <v/>
      </c>
      <c r="C1387" s="174"/>
      <c r="D1387" s="175" t="str">
        <f>IF($C$1387="","",IFERROR(INDEX('BM MORRO DA CRUZ - VERTICAL'!$O$6:$O$546,MATCH($C$1387,'BM MORRO DA CRUZ - VERTICAL'!$D$6:$D$546,0)),"CHAVE NÃO ENCONTRADA NO VERTICAL"))</f>
        <v/>
      </c>
      <c r="E1387" s="175" t="str">
        <f>IF($C$1387="","",IFERROR(INDEX('BM MORRO DA CRUZ - VERTICAL'!$P$6:$P$546,MATCH($C$1387,'BM MORRO DA CRUZ - VERTICAL'!$D$6:$D$546,0)),"CHAVE NÃO ENCONTRADA NO VERTICAL"))</f>
        <v/>
      </c>
      <c r="F1387" s="175" t="str">
        <f>IF($C$1387="","",IFERROR(INDEX('BM MORRO DA CRUZ - VERTICAL'!$Q$6:$Q$546,MATCH($C$1387,'BM MORRO DA CRUZ - VERTICAL'!$D$6:$D$546,0)),"CHAVE NÃO ENCONTRADA NO VERTICAL"))</f>
        <v/>
      </c>
      <c r="G1387" s="176"/>
      <c r="H1387" s="176"/>
      <c r="I1387" s="176"/>
      <c r="J1387" s="176"/>
      <c r="K1387" s="176"/>
      <c r="L1387" s="176"/>
      <c r="M1387" s="176"/>
      <c r="N1387" s="176"/>
      <c r="O1387" s="176"/>
      <c r="P1387" s="176"/>
      <c r="Q1387" s="176"/>
      <c r="R1387" s="176"/>
      <c r="S1387" s="176"/>
      <c r="T1387" s="176"/>
      <c r="U1387" s="176"/>
      <c r="V1387" s="177" t="str">
        <f>IF($C$1387="","",IFERROR(INDEX('BM MORRO DA CRUZ - VERTICAL'!$R$6:$R$546,MATCH($C$1387,'BM MORRO DA CRUZ - VERTICAL'!$D$6:$D$546,0)),"CHAVE NÃO ENCONTRADA NO VERTICAL"))</f>
        <v/>
      </c>
      <c r="W1387" s="178">
        <f>SUM($W1407:$W1472)</f>
        <v>0</v>
      </c>
      <c r="X1387" s="179"/>
    </row>
    <row r="1388" spans="1:24" ht="24.75" customHeight="1" x14ac:dyDescent="0.45">
      <c r="B1388" s="426" t="s">
        <v>1497</v>
      </c>
      <c r="C1388" s="426"/>
      <c r="D1388" s="426"/>
      <c r="E1388" s="426"/>
      <c r="F1388" s="426"/>
      <c r="G1388" s="426"/>
      <c r="H1388" s="426"/>
      <c r="I1388" s="426"/>
      <c r="J1388" s="426"/>
      <c r="K1388" s="426"/>
      <c r="L1388" s="426"/>
      <c r="M1388" s="426"/>
      <c r="N1388" s="426"/>
      <c r="O1388" s="426"/>
      <c r="P1388" s="426"/>
      <c r="Q1388" s="426"/>
      <c r="R1388" s="426"/>
      <c r="S1388" s="426"/>
      <c r="T1388" s="426"/>
      <c r="U1388" s="426"/>
      <c r="V1388" s="426"/>
      <c r="W1388" s="426"/>
      <c r="X1388" s="180" t="s">
        <v>1498</v>
      </c>
    </row>
    <row r="1389" spans="1:24" ht="14.25" customHeight="1" x14ac:dyDescent="0.45">
      <c r="B1389" s="181"/>
      <c r="C1389" s="182"/>
      <c r="D1389" s="182"/>
      <c r="E1389" s="182"/>
      <c r="F1389" s="182"/>
      <c r="G1389" s="182"/>
      <c r="H1389" s="182"/>
      <c r="I1389" s="182"/>
      <c r="J1389" s="182"/>
      <c r="K1389" s="182"/>
      <c r="L1389" s="182"/>
      <c r="M1389" s="182"/>
      <c r="N1389" s="182"/>
      <c r="O1389" s="182"/>
      <c r="P1389" s="182"/>
      <c r="Q1389" s="182"/>
      <c r="R1389" s="182"/>
      <c r="S1389" s="182"/>
      <c r="T1389" s="182"/>
      <c r="U1389" s="182"/>
      <c r="V1389" s="182"/>
      <c r="W1389" s="183"/>
      <c r="X1389" s="427"/>
    </row>
    <row r="1390" spans="1:24" x14ac:dyDescent="0.45">
      <c r="B1390" s="181"/>
      <c r="C1390" s="182"/>
      <c r="D1390" s="182"/>
      <c r="E1390" s="182"/>
      <c r="F1390" s="182"/>
      <c r="G1390" s="182"/>
      <c r="H1390" s="182"/>
      <c r="I1390" s="182"/>
      <c r="J1390" s="182"/>
      <c r="K1390" s="182"/>
      <c r="L1390" s="182"/>
      <c r="M1390" s="182"/>
      <c r="N1390" s="182"/>
      <c r="O1390" s="182"/>
      <c r="P1390" s="182"/>
      <c r="Q1390" s="182"/>
      <c r="R1390" s="182"/>
      <c r="S1390" s="182"/>
      <c r="T1390" s="182"/>
      <c r="U1390" s="182"/>
      <c r="V1390" s="182"/>
      <c r="W1390" s="183"/>
      <c r="X1390" s="427"/>
    </row>
    <row r="1391" spans="1:24" x14ac:dyDescent="0.45">
      <c r="B1391" s="181"/>
      <c r="C1391" s="182"/>
      <c r="D1391" s="182"/>
      <c r="E1391" s="182"/>
      <c r="F1391" s="182"/>
      <c r="G1391" s="182"/>
      <c r="H1391" s="182"/>
      <c r="I1391" s="182"/>
      <c r="J1391" s="182"/>
      <c r="K1391" s="182"/>
      <c r="L1391" s="182"/>
      <c r="M1391" s="182"/>
      <c r="N1391" s="182"/>
      <c r="O1391" s="182"/>
      <c r="P1391" s="182"/>
      <c r="Q1391" s="182"/>
      <c r="R1391" s="182"/>
      <c r="S1391" s="182"/>
      <c r="T1391" s="182"/>
      <c r="U1391" s="182"/>
      <c r="V1391" s="182"/>
      <c r="W1391" s="183"/>
      <c r="X1391" s="427"/>
    </row>
    <row r="1392" spans="1:24" x14ac:dyDescent="0.45">
      <c r="B1392" s="181"/>
      <c r="C1392" s="182"/>
      <c r="D1392" s="182"/>
      <c r="E1392" s="182"/>
      <c r="F1392" s="182"/>
      <c r="G1392" s="182"/>
      <c r="H1392" s="182"/>
      <c r="I1392" s="182"/>
      <c r="J1392" s="182"/>
      <c r="K1392" s="182"/>
      <c r="L1392" s="182"/>
      <c r="M1392" s="182"/>
      <c r="N1392" s="182"/>
      <c r="O1392" s="182"/>
      <c r="P1392" s="182"/>
      <c r="Q1392" s="182"/>
      <c r="R1392" s="182"/>
      <c r="S1392" s="182"/>
      <c r="T1392" s="182"/>
      <c r="U1392" s="182"/>
      <c r="V1392" s="182"/>
      <c r="W1392" s="183"/>
      <c r="X1392" s="427"/>
    </row>
    <row r="1393" spans="1:24" x14ac:dyDescent="0.45">
      <c r="B1393" s="181"/>
      <c r="C1393" s="182"/>
      <c r="D1393" s="182"/>
      <c r="E1393" s="182"/>
      <c r="F1393" s="182"/>
      <c r="G1393" s="182"/>
      <c r="H1393" s="182"/>
      <c r="I1393" s="182"/>
      <c r="J1393" s="182"/>
      <c r="K1393" s="182"/>
      <c r="L1393" s="182"/>
      <c r="M1393" s="182"/>
      <c r="N1393" s="182"/>
      <c r="O1393" s="182"/>
      <c r="P1393" s="182"/>
      <c r="Q1393" s="182"/>
      <c r="R1393" s="182"/>
      <c r="S1393" s="182"/>
      <c r="T1393" s="182"/>
      <c r="U1393" s="182"/>
      <c r="V1393" s="182"/>
      <c r="W1393" s="183"/>
      <c r="X1393" s="427"/>
    </row>
    <row r="1394" spans="1:24" x14ac:dyDescent="0.45">
      <c r="B1394" s="181"/>
      <c r="C1394" s="182"/>
      <c r="D1394" s="182"/>
      <c r="E1394" s="182"/>
      <c r="F1394" s="182"/>
      <c r="G1394" s="182"/>
      <c r="H1394" s="182"/>
      <c r="I1394" s="182"/>
      <c r="J1394" s="182"/>
      <c r="K1394" s="182"/>
      <c r="L1394" s="182"/>
      <c r="M1394" s="182"/>
      <c r="N1394" s="182"/>
      <c r="O1394" s="182"/>
      <c r="P1394" s="182"/>
      <c r="Q1394" s="182"/>
      <c r="R1394" s="182"/>
      <c r="S1394" s="182"/>
      <c r="T1394" s="182"/>
      <c r="U1394" s="182"/>
      <c r="V1394" s="182"/>
      <c r="W1394" s="183"/>
      <c r="X1394" s="427"/>
    </row>
    <row r="1395" spans="1:24" x14ac:dyDescent="0.45">
      <c r="B1395" s="181"/>
      <c r="C1395" s="182"/>
      <c r="D1395" s="182"/>
      <c r="E1395" s="182"/>
      <c r="F1395" s="182"/>
      <c r="G1395" s="182"/>
      <c r="H1395" s="182"/>
      <c r="I1395" s="182"/>
      <c r="J1395" s="182"/>
      <c r="K1395" s="182"/>
      <c r="L1395" s="182"/>
      <c r="M1395" s="182"/>
      <c r="N1395" s="182"/>
      <c r="O1395" s="182"/>
      <c r="P1395" s="182"/>
      <c r="Q1395" s="182"/>
      <c r="R1395" s="182"/>
      <c r="S1395" s="182"/>
      <c r="T1395" s="182"/>
      <c r="U1395" s="182"/>
      <c r="V1395" s="182"/>
      <c r="W1395" s="183"/>
      <c r="X1395" s="427"/>
    </row>
    <row r="1396" spans="1:24" x14ac:dyDescent="0.45">
      <c r="B1396" s="181"/>
      <c r="C1396" s="182"/>
      <c r="D1396" s="182"/>
      <c r="E1396" s="182"/>
      <c r="F1396" s="182"/>
      <c r="G1396" s="182"/>
      <c r="H1396" s="182"/>
      <c r="I1396" s="182"/>
      <c r="J1396" s="182"/>
      <c r="K1396" s="182"/>
      <c r="L1396" s="182"/>
      <c r="M1396" s="182"/>
      <c r="N1396" s="182"/>
      <c r="O1396" s="182"/>
      <c r="P1396" s="182"/>
      <c r="Q1396" s="182"/>
      <c r="R1396" s="182"/>
      <c r="S1396" s="182"/>
      <c r="T1396" s="182"/>
      <c r="U1396" s="182"/>
      <c r="V1396" s="182"/>
      <c r="W1396" s="183"/>
      <c r="X1396" s="427"/>
    </row>
    <row r="1397" spans="1:24" x14ac:dyDescent="0.45">
      <c r="B1397" s="181"/>
      <c r="C1397" s="182"/>
      <c r="D1397" s="182"/>
      <c r="E1397" s="182"/>
      <c r="F1397" s="182"/>
      <c r="G1397" s="182"/>
      <c r="H1397" s="182"/>
      <c r="I1397" s="182"/>
      <c r="J1397" s="182"/>
      <c r="K1397" s="182"/>
      <c r="L1397" s="182"/>
      <c r="M1397" s="182"/>
      <c r="N1397" s="182"/>
      <c r="O1397" s="182"/>
      <c r="P1397" s="182"/>
      <c r="Q1397" s="182"/>
      <c r="R1397" s="182"/>
      <c r="S1397" s="182"/>
      <c r="T1397" s="182"/>
      <c r="U1397" s="182"/>
      <c r="V1397" s="182"/>
      <c r="W1397" s="183"/>
      <c r="X1397" s="427"/>
    </row>
    <row r="1398" spans="1:24" x14ac:dyDescent="0.45">
      <c r="B1398" s="181"/>
      <c r="C1398" s="182"/>
      <c r="D1398" s="182"/>
      <c r="E1398" s="182"/>
      <c r="F1398" s="182"/>
      <c r="G1398" s="182"/>
      <c r="H1398" s="182"/>
      <c r="I1398" s="182"/>
      <c r="J1398" s="182"/>
      <c r="K1398" s="182"/>
      <c r="L1398" s="182"/>
      <c r="M1398" s="182"/>
      <c r="N1398" s="182"/>
      <c r="O1398" s="182"/>
      <c r="P1398" s="182"/>
      <c r="Q1398" s="182"/>
      <c r="R1398" s="182"/>
      <c r="S1398" s="182"/>
      <c r="T1398" s="182"/>
      <c r="U1398" s="182"/>
      <c r="V1398" s="182"/>
      <c r="W1398" s="183"/>
      <c r="X1398" s="427"/>
    </row>
    <row r="1399" spans="1:24" x14ac:dyDescent="0.45">
      <c r="B1399" s="181"/>
      <c r="C1399" s="182"/>
      <c r="D1399" s="182"/>
      <c r="E1399" s="182"/>
      <c r="F1399" s="182"/>
      <c r="G1399" s="182"/>
      <c r="H1399" s="182"/>
      <c r="I1399" s="182"/>
      <c r="J1399" s="182"/>
      <c r="K1399" s="182"/>
      <c r="L1399" s="182"/>
      <c r="M1399" s="182"/>
      <c r="N1399" s="182"/>
      <c r="O1399" s="182"/>
      <c r="P1399" s="182"/>
      <c r="Q1399" s="182"/>
      <c r="R1399" s="182"/>
      <c r="S1399" s="182"/>
      <c r="T1399" s="182"/>
      <c r="U1399" s="182"/>
      <c r="V1399" s="182"/>
      <c r="W1399" s="183"/>
      <c r="X1399" s="427"/>
    </row>
    <row r="1400" spans="1:24" x14ac:dyDescent="0.45">
      <c r="B1400" s="181"/>
      <c r="C1400" s="182"/>
      <c r="D1400" s="182"/>
      <c r="E1400" s="182"/>
      <c r="F1400" s="182"/>
      <c r="G1400" s="182"/>
      <c r="H1400" s="182"/>
      <c r="I1400" s="182"/>
      <c r="J1400" s="182"/>
      <c r="K1400" s="182"/>
      <c r="L1400" s="182"/>
      <c r="M1400" s="182"/>
      <c r="N1400" s="182"/>
      <c r="O1400" s="182"/>
      <c r="P1400" s="182"/>
      <c r="Q1400" s="182"/>
      <c r="R1400" s="182"/>
      <c r="S1400" s="182"/>
      <c r="T1400" s="182"/>
      <c r="U1400" s="182"/>
      <c r="V1400" s="182"/>
      <c r="W1400" s="183"/>
      <c r="X1400" s="427"/>
    </row>
    <row r="1401" spans="1:24" x14ac:dyDescent="0.45">
      <c r="B1401" s="181"/>
      <c r="C1401" s="182"/>
      <c r="D1401" s="182"/>
      <c r="E1401" s="182"/>
      <c r="F1401" s="182"/>
      <c r="G1401" s="182"/>
      <c r="H1401" s="182"/>
      <c r="I1401" s="182"/>
      <c r="J1401" s="182"/>
      <c r="K1401" s="182"/>
      <c r="L1401" s="182"/>
      <c r="M1401" s="182"/>
      <c r="N1401" s="182"/>
      <c r="O1401" s="182"/>
      <c r="P1401" s="182"/>
      <c r="Q1401" s="182"/>
      <c r="R1401" s="182"/>
      <c r="S1401" s="182"/>
      <c r="T1401" s="182"/>
      <c r="U1401" s="182"/>
      <c r="V1401" s="182"/>
      <c r="W1401" s="183"/>
      <c r="X1401" s="427"/>
    </row>
    <row r="1402" spans="1:24" x14ac:dyDescent="0.45">
      <c r="B1402" s="181"/>
      <c r="C1402" s="182"/>
      <c r="D1402" s="182"/>
      <c r="E1402" s="182"/>
      <c r="F1402" s="182"/>
      <c r="G1402" s="182"/>
      <c r="H1402" s="182"/>
      <c r="I1402" s="182"/>
      <c r="J1402" s="182"/>
      <c r="K1402" s="182"/>
      <c r="L1402" s="182"/>
      <c r="M1402" s="182"/>
      <c r="N1402" s="182"/>
      <c r="O1402" s="182"/>
      <c r="P1402" s="182"/>
      <c r="Q1402" s="182"/>
      <c r="R1402" s="182"/>
      <c r="S1402" s="182"/>
      <c r="T1402" s="182"/>
      <c r="U1402" s="182"/>
      <c r="V1402" s="182"/>
      <c r="W1402" s="183"/>
      <c r="X1402" s="427"/>
    </row>
    <row r="1403" spans="1:24" x14ac:dyDescent="0.45">
      <c r="B1403" s="181"/>
      <c r="C1403" s="182"/>
      <c r="D1403" s="182"/>
      <c r="E1403" s="182"/>
      <c r="F1403" s="182"/>
      <c r="G1403" s="182"/>
      <c r="H1403" s="182"/>
      <c r="I1403" s="182"/>
      <c r="J1403" s="182"/>
      <c r="K1403" s="182"/>
      <c r="L1403" s="182"/>
      <c r="M1403" s="182"/>
      <c r="N1403" s="182"/>
      <c r="O1403" s="182"/>
      <c r="P1403" s="182"/>
      <c r="Q1403" s="182"/>
      <c r="R1403" s="182"/>
      <c r="S1403" s="182"/>
      <c r="T1403" s="182"/>
      <c r="U1403" s="182"/>
      <c r="V1403" s="182"/>
      <c r="W1403" s="183"/>
      <c r="X1403" s="427"/>
    </row>
    <row r="1404" spans="1:24" x14ac:dyDescent="0.45">
      <c r="B1404" s="181"/>
      <c r="C1404" s="182"/>
      <c r="D1404" s="182"/>
      <c r="E1404" s="182"/>
      <c r="F1404" s="182"/>
      <c r="G1404" s="182"/>
      <c r="H1404" s="182"/>
      <c r="I1404" s="182"/>
      <c r="J1404" s="182"/>
      <c r="K1404" s="182"/>
      <c r="L1404" s="182"/>
      <c r="M1404" s="182"/>
      <c r="N1404" s="182"/>
      <c r="O1404" s="182"/>
      <c r="P1404" s="182"/>
      <c r="Q1404" s="182"/>
      <c r="R1404" s="182"/>
      <c r="S1404" s="182"/>
      <c r="T1404" s="182"/>
      <c r="U1404" s="182"/>
      <c r="V1404" s="182"/>
      <c r="W1404" s="183"/>
      <c r="X1404" s="427"/>
    </row>
    <row r="1405" spans="1:24" x14ac:dyDescent="0.45">
      <c r="B1405" s="184"/>
      <c r="C1405" s="185" t="s">
        <v>1499</v>
      </c>
      <c r="D1405" s="185"/>
      <c r="E1405" s="185"/>
      <c r="F1405" s="185"/>
      <c r="G1405" s="185"/>
      <c r="H1405" s="185"/>
      <c r="I1405" s="185"/>
      <c r="J1405" s="185"/>
      <c r="K1405" s="185"/>
      <c r="L1405" s="185"/>
      <c r="M1405" s="185"/>
      <c r="N1405" s="185"/>
      <c r="O1405" s="185"/>
      <c r="P1405" s="185"/>
      <c r="Q1405" s="185"/>
      <c r="R1405" s="185"/>
      <c r="S1405" s="185"/>
      <c r="T1405" s="185"/>
      <c r="U1405" s="185"/>
      <c r="V1405" s="185"/>
      <c r="W1405" s="186"/>
      <c r="X1405" s="187"/>
    </row>
    <row r="1406" spans="1:24" ht="26.65" x14ac:dyDescent="0.45">
      <c r="B1406" s="188" t="s">
        <v>1458</v>
      </c>
      <c r="C1406" s="185" t="s">
        <v>1459</v>
      </c>
      <c r="D1406" s="185"/>
      <c r="E1406" s="185" t="s">
        <v>1500</v>
      </c>
      <c r="F1406" s="185"/>
      <c r="G1406" s="185" t="s">
        <v>1501</v>
      </c>
      <c r="H1406" s="189" t="s">
        <v>1502</v>
      </c>
      <c r="I1406" s="185" t="s">
        <v>1503</v>
      </c>
      <c r="J1406" s="185" t="s">
        <v>1504</v>
      </c>
      <c r="K1406" s="189" t="s">
        <v>1505</v>
      </c>
      <c r="L1406" s="189" t="s">
        <v>1504</v>
      </c>
      <c r="M1406" s="189"/>
      <c r="N1406" s="189" t="s">
        <v>1506</v>
      </c>
      <c r="O1406" s="189"/>
      <c r="P1406" s="190"/>
      <c r="Q1406" s="189"/>
      <c r="R1406" s="189"/>
      <c r="S1406" s="189"/>
      <c r="T1406" s="189" t="s">
        <v>1507</v>
      </c>
      <c r="U1406" s="189" t="s">
        <v>27</v>
      </c>
      <c r="V1406" s="189" t="s">
        <v>26</v>
      </c>
      <c r="W1406" s="191" t="s">
        <v>1508</v>
      </c>
      <c r="X1406" s="192"/>
    </row>
    <row r="1407" spans="1:24" x14ac:dyDescent="0.45">
      <c r="A1407" s="193">
        <v>1</v>
      </c>
      <c r="B1407" s="194" t="str">
        <f t="shared" ref="B1407:B1438" si="225">IF(OR($C$1387="",U1407=""),"",LEFT($C$1387,FIND("_",$C$1387)-1))</f>
        <v/>
      </c>
      <c r="C1407" s="170" t="str">
        <f t="shared" ref="C1407:C1438" si="226">IF(OR($C$1387="",U1407=""),"",$B$1387)</f>
        <v/>
      </c>
      <c r="D1407" s="170"/>
      <c r="E1407" s="195"/>
      <c r="F1407" s="195"/>
      <c r="G1407" s="196"/>
      <c r="H1407" s="197"/>
      <c r="I1407" s="197"/>
      <c r="J1407" s="197"/>
      <c r="K1407" s="197"/>
      <c r="L1407" s="197"/>
      <c r="M1407" s="198"/>
      <c r="N1407" s="198"/>
      <c r="O1407" s="198"/>
      <c r="P1407" s="199"/>
      <c r="Q1407" s="200"/>
      <c r="R1407" s="200"/>
      <c r="S1407" s="200"/>
      <c r="T1407" s="200" t="str">
        <f t="shared" ref="T1407:T1438" si="227">IF(K1407="","",((K1407*20)+L1407)-((I1407*20)+J1407))</f>
        <v/>
      </c>
      <c r="U1407" s="200"/>
      <c r="V1407" s="201" t="str">
        <f t="shared" ref="V1407:V1438" si="228">IF(U1407="","",$V$1387)</f>
        <v/>
      </c>
      <c r="W1407" s="202">
        <f t="shared" ref="W1407:W1438" si="229">IF(OR(T1407="",U1407=""),0,T1407*U1407)</f>
        <v>0</v>
      </c>
      <c r="X1407" s="172"/>
    </row>
    <row r="1408" spans="1:24" x14ac:dyDescent="0.45">
      <c r="A1408" s="193">
        <v>2</v>
      </c>
      <c r="B1408" s="194" t="str">
        <f t="shared" si="225"/>
        <v/>
      </c>
      <c r="C1408" s="170" t="str">
        <f t="shared" si="226"/>
        <v/>
      </c>
      <c r="D1408" s="170"/>
      <c r="E1408" s="195"/>
      <c r="F1408" s="195"/>
      <c r="G1408" s="196"/>
      <c r="H1408" s="197"/>
      <c r="I1408" s="197" t="str">
        <f t="shared" ref="I1408:I1439" si="230">IF(K1407="","",K1407)</f>
        <v/>
      </c>
      <c r="J1408" s="197" t="str">
        <f t="shared" ref="J1408:J1439" si="231">IF(L1407="","",L1407)</f>
        <v/>
      </c>
      <c r="K1408" s="197"/>
      <c r="L1408" s="197"/>
      <c r="M1408" s="198"/>
      <c r="N1408" s="198"/>
      <c r="O1408" s="198"/>
      <c r="P1408" s="199"/>
      <c r="Q1408" s="200"/>
      <c r="R1408" s="200"/>
      <c r="S1408" s="200"/>
      <c r="T1408" s="200" t="str">
        <f t="shared" si="227"/>
        <v/>
      </c>
      <c r="U1408" s="200"/>
      <c r="V1408" s="201" t="str">
        <f t="shared" si="228"/>
        <v/>
      </c>
      <c r="W1408" s="202">
        <f t="shared" si="229"/>
        <v>0</v>
      </c>
      <c r="X1408" s="172"/>
    </row>
    <row r="1409" spans="1:24" x14ac:dyDescent="0.45">
      <c r="A1409" s="193">
        <v>3</v>
      </c>
      <c r="B1409" s="194" t="str">
        <f t="shared" si="225"/>
        <v/>
      </c>
      <c r="C1409" s="170" t="str">
        <f t="shared" si="226"/>
        <v/>
      </c>
      <c r="D1409" s="170"/>
      <c r="E1409" s="195"/>
      <c r="F1409" s="195"/>
      <c r="G1409" s="196"/>
      <c r="H1409" s="197"/>
      <c r="I1409" s="197" t="str">
        <f t="shared" si="230"/>
        <v/>
      </c>
      <c r="J1409" s="197" t="str">
        <f t="shared" si="231"/>
        <v/>
      </c>
      <c r="K1409" s="197"/>
      <c r="L1409" s="197"/>
      <c r="M1409" s="198"/>
      <c r="N1409" s="198"/>
      <c r="O1409" s="198"/>
      <c r="P1409" s="199"/>
      <c r="Q1409" s="200"/>
      <c r="R1409" s="200"/>
      <c r="S1409" s="200"/>
      <c r="T1409" s="200" t="str">
        <f t="shared" si="227"/>
        <v/>
      </c>
      <c r="U1409" s="200"/>
      <c r="V1409" s="201" t="str">
        <f t="shared" si="228"/>
        <v/>
      </c>
      <c r="W1409" s="202">
        <f t="shared" si="229"/>
        <v>0</v>
      </c>
      <c r="X1409" s="172"/>
    </row>
    <row r="1410" spans="1:24" x14ac:dyDescent="0.45">
      <c r="A1410" s="193">
        <v>4</v>
      </c>
      <c r="B1410" s="194" t="str">
        <f t="shared" si="225"/>
        <v/>
      </c>
      <c r="C1410" s="170" t="str">
        <f t="shared" si="226"/>
        <v/>
      </c>
      <c r="D1410" s="170"/>
      <c r="E1410" s="195"/>
      <c r="F1410" s="195"/>
      <c r="G1410" s="196"/>
      <c r="H1410" s="197"/>
      <c r="I1410" s="197" t="str">
        <f t="shared" si="230"/>
        <v/>
      </c>
      <c r="J1410" s="197" t="str">
        <f t="shared" si="231"/>
        <v/>
      </c>
      <c r="K1410" s="197"/>
      <c r="L1410" s="197"/>
      <c r="M1410" s="198"/>
      <c r="N1410" s="198"/>
      <c r="O1410" s="198"/>
      <c r="P1410" s="199"/>
      <c r="Q1410" s="200"/>
      <c r="R1410" s="200"/>
      <c r="S1410" s="200"/>
      <c r="T1410" s="200" t="str">
        <f t="shared" si="227"/>
        <v/>
      </c>
      <c r="U1410" s="200"/>
      <c r="V1410" s="201" t="str">
        <f t="shared" si="228"/>
        <v/>
      </c>
      <c r="W1410" s="202">
        <f t="shared" si="229"/>
        <v>0</v>
      </c>
      <c r="X1410" s="172"/>
    </row>
    <row r="1411" spans="1:24" x14ac:dyDescent="0.45">
      <c r="A1411" s="193">
        <v>5</v>
      </c>
      <c r="B1411" s="194" t="str">
        <f t="shared" si="225"/>
        <v/>
      </c>
      <c r="C1411" s="170" t="str">
        <f t="shared" si="226"/>
        <v/>
      </c>
      <c r="D1411" s="170"/>
      <c r="E1411" s="195"/>
      <c r="F1411" s="195"/>
      <c r="G1411" s="196"/>
      <c r="H1411" s="197"/>
      <c r="I1411" s="197" t="str">
        <f t="shared" si="230"/>
        <v/>
      </c>
      <c r="J1411" s="197" t="str">
        <f t="shared" si="231"/>
        <v/>
      </c>
      <c r="K1411" s="197"/>
      <c r="L1411" s="197"/>
      <c r="M1411" s="198"/>
      <c r="N1411" s="198"/>
      <c r="O1411" s="198"/>
      <c r="P1411" s="199"/>
      <c r="Q1411" s="200"/>
      <c r="R1411" s="200"/>
      <c r="S1411" s="200"/>
      <c r="T1411" s="200" t="str">
        <f t="shared" si="227"/>
        <v/>
      </c>
      <c r="U1411" s="200"/>
      <c r="V1411" s="201" t="str">
        <f t="shared" si="228"/>
        <v/>
      </c>
      <c r="W1411" s="202">
        <f t="shared" si="229"/>
        <v>0</v>
      </c>
      <c r="X1411" s="172"/>
    </row>
    <row r="1412" spans="1:24" x14ac:dyDescent="0.45">
      <c r="A1412" s="193">
        <v>6</v>
      </c>
      <c r="B1412" s="194" t="str">
        <f t="shared" si="225"/>
        <v/>
      </c>
      <c r="C1412" s="170" t="str">
        <f t="shared" si="226"/>
        <v/>
      </c>
      <c r="D1412" s="170"/>
      <c r="E1412" s="195"/>
      <c r="F1412" s="195"/>
      <c r="G1412" s="196"/>
      <c r="H1412" s="197"/>
      <c r="I1412" s="197" t="str">
        <f t="shared" si="230"/>
        <v/>
      </c>
      <c r="J1412" s="197" t="str">
        <f t="shared" si="231"/>
        <v/>
      </c>
      <c r="K1412" s="197"/>
      <c r="L1412" s="197"/>
      <c r="M1412" s="198"/>
      <c r="N1412" s="198"/>
      <c r="O1412" s="198"/>
      <c r="P1412" s="199"/>
      <c r="Q1412" s="200"/>
      <c r="R1412" s="200"/>
      <c r="S1412" s="200"/>
      <c r="T1412" s="200" t="str">
        <f t="shared" si="227"/>
        <v/>
      </c>
      <c r="U1412" s="200"/>
      <c r="V1412" s="201" t="str">
        <f t="shared" si="228"/>
        <v/>
      </c>
      <c r="W1412" s="202">
        <f t="shared" si="229"/>
        <v>0</v>
      </c>
      <c r="X1412" s="172"/>
    </row>
    <row r="1413" spans="1:24" x14ac:dyDescent="0.45">
      <c r="A1413" s="193">
        <v>7</v>
      </c>
      <c r="B1413" s="194" t="str">
        <f t="shared" si="225"/>
        <v/>
      </c>
      <c r="C1413" s="170" t="str">
        <f t="shared" si="226"/>
        <v/>
      </c>
      <c r="D1413" s="170"/>
      <c r="E1413" s="195"/>
      <c r="F1413" s="195"/>
      <c r="G1413" s="196"/>
      <c r="H1413" s="197"/>
      <c r="I1413" s="197" t="str">
        <f t="shared" si="230"/>
        <v/>
      </c>
      <c r="J1413" s="197" t="str">
        <f t="shared" si="231"/>
        <v/>
      </c>
      <c r="K1413" s="197"/>
      <c r="L1413" s="197"/>
      <c r="M1413" s="198"/>
      <c r="N1413" s="198"/>
      <c r="O1413" s="198"/>
      <c r="P1413" s="199"/>
      <c r="Q1413" s="200"/>
      <c r="R1413" s="200"/>
      <c r="S1413" s="200"/>
      <c r="T1413" s="200" t="str">
        <f t="shared" si="227"/>
        <v/>
      </c>
      <c r="U1413" s="200"/>
      <c r="V1413" s="201" t="str">
        <f t="shared" si="228"/>
        <v/>
      </c>
      <c r="W1413" s="202">
        <f t="shared" si="229"/>
        <v>0</v>
      </c>
      <c r="X1413" s="172"/>
    </row>
    <row r="1414" spans="1:24" x14ac:dyDescent="0.45">
      <c r="A1414" s="193">
        <v>8</v>
      </c>
      <c r="B1414" s="194" t="str">
        <f t="shared" si="225"/>
        <v/>
      </c>
      <c r="C1414" s="170" t="str">
        <f t="shared" si="226"/>
        <v/>
      </c>
      <c r="D1414" s="170"/>
      <c r="E1414" s="195"/>
      <c r="F1414" s="195"/>
      <c r="G1414" s="196"/>
      <c r="H1414" s="197"/>
      <c r="I1414" s="197" t="str">
        <f t="shared" si="230"/>
        <v/>
      </c>
      <c r="J1414" s="197" t="str">
        <f t="shared" si="231"/>
        <v/>
      </c>
      <c r="K1414" s="197"/>
      <c r="L1414" s="197"/>
      <c r="M1414" s="198"/>
      <c r="N1414" s="198"/>
      <c r="O1414" s="198"/>
      <c r="P1414" s="199"/>
      <c r="Q1414" s="200"/>
      <c r="R1414" s="200"/>
      <c r="S1414" s="200"/>
      <c r="T1414" s="200" t="str">
        <f t="shared" si="227"/>
        <v/>
      </c>
      <c r="U1414" s="200"/>
      <c r="V1414" s="201" t="str">
        <f t="shared" si="228"/>
        <v/>
      </c>
      <c r="W1414" s="202">
        <f t="shared" si="229"/>
        <v>0</v>
      </c>
      <c r="X1414" s="172"/>
    </row>
    <row r="1415" spans="1:24" x14ac:dyDescent="0.45">
      <c r="A1415" s="193">
        <v>9</v>
      </c>
      <c r="B1415" s="194" t="str">
        <f t="shared" si="225"/>
        <v/>
      </c>
      <c r="C1415" s="170" t="str">
        <f t="shared" si="226"/>
        <v/>
      </c>
      <c r="D1415" s="170"/>
      <c r="E1415" s="195"/>
      <c r="F1415" s="195"/>
      <c r="G1415" s="196"/>
      <c r="H1415" s="197"/>
      <c r="I1415" s="197" t="str">
        <f t="shared" si="230"/>
        <v/>
      </c>
      <c r="J1415" s="197" t="str">
        <f t="shared" si="231"/>
        <v/>
      </c>
      <c r="K1415" s="197"/>
      <c r="L1415" s="197"/>
      <c r="M1415" s="198"/>
      <c r="N1415" s="198"/>
      <c r="O1415" s="198"/>
      <c r="P1415" s="199"/>
      <c r="Q1415" s="200"/>
      <c r="R1415" s="200"/>
      <c r="S1415" s="200"/>
      <c r="T1415" s="200" t="str">
        <f t="shared" si="227"/>
        <v/>
      </c>
      <c r="U1415" s="200"/>
      <c r="V1415" s="201" t="str">
        <f t="shared" si="228"/>
        <v/>
      </c>
      <c r="W1415" s="202">
        <f t="shared" si="229"/>
        <v>0</v>
      </c>
      <c r="X1415" s="172"/>
    </row>
    <row r="1416" spans="1:24" x14ac:dyDescent="0.45">
      <c r="A1416" s="193">
        <v>10</v>
      </c>
      <c r="B1416" s="194" t="str">
        <f t="shared" si="225"/>
        <v/>
      </c>
      <c r="C1416" s="170" t="str">
        <f t="shared" si="226"/>
        <v/>
      </c>
      <c r="D1416" s="170"/>
      <c r="E1416" s="195"/>
      <c r="F1416" s="195"/>
      <c r="G1416" s="196"/>
      <c r="H1416" s="197"/>
      <c r="I1416" s="197" t="str">
        <f t="shared" si="230"/>
        <v/>
      </c>
      <c r="J1416" s="197" t="str">
        <f t="shared" si="231"/>
        <v/>
      </c>
      <c r="K1416" s="197"/>
      <c r="L1416" s="197"/>
      <c r="M1416" s="198"/>
      <c r="N1416" s="198"/>
      <c r="O1416" s="198"/>
      <c r="P1416" s="199"/>
      <c r="Q1416" s="200"/>
      <c r="R1416" s="200"/>
      <c r="S1416" s="200"/>
      <c r="T1416" s="200" t="str">
        <f t="shared" si="227"/>
        <v/>
      </c>
      <c r="U1416" s="200"/>
      <c r="V1416" s="201" t="str">
        <f t="shared" si="228"/>
        <v/>
      </c>
      <c r="W1416" s="202">
        <f t="shared" si="229"/>
        <v>0</v>
      </c>
      <c r="X1416" s="172"/>
    </row>
    <row r="1417" spans="1:24" x14ac:dyDescent="0.45">
      <c r="A1417" s="193">
        <v>11</v>
      </c>
      <c r="B1417" s="194" t="str">
        <f t="shared" si="225"/>
        <v/>
      </c>
      <c r="C1417" s="170" t="str">
        <f t="shared" si="226"/>
        <v/>
      </c>
      <c r="D1417" s="170"/>
      <c r="E1417" s="195"/>
      <c r="F1417" s="195"/>
      <c r="G1417" s="196"/>
      <c r="H1417" s="197"/>
      <c r="I1417" s="197" t="str">
        <f t="shared" si="230"/>
        <v/>
      </c>
      <c r="J1417" s="197" t="str">
        <f t="shared" si="231"/>
        <v/>
      </c>
      <c r="K1417" s="197"/>
      <c r="L1417" s="197"/>
      <c r="M1417" s="198"/>
      <c r="N1417" s="198"/>
      <c r="O1417" s="198"/>
      <c r="P1417" s="199"/>
      <c r="Q1417" s="200"/>
      <c r="R1417" s="200"/>
      <c r="S1417" s="200"/>
      <c r="T1417" s="200" t="str">
        <f t="shared" si="227"/>
        <v/>
      </c>
      <c r="U1417" s="200"/>
      <c r="V1417" s="201" t="str">
        <f t="shared" si="228"/>
        <v/>
      </c>
      <c r="W1417" s="202">
        <f t="shared" si="229"/>
        <v>0</v>
      </c>
      <c r="X1417" s="172"/>
    </row>
    <row r="1418" spans="1:24" x14ac:dyDescent="0.45">
      <c r="A1418" s="193">
        <v>12</v>
      </c>
      <c r="B1418" s="194" t="str">
        <f t="shared" si="225"/>
        <v/>
      </c>
      <c r="C1418" s="170" t="str">
        <f t="shared" si="226"/>
        <v/>
      </c>
      <c r="D1418" s="170"/>
      <c r="E1418" s="195"/>
      <c r="F1418" s="195"/>
      <c r="G1418" s="196"/>
      <c r="H1418" s="197"/>
      <c r="I1418" s="197" t="str">
        <f t="shared" si="230"/>
        <v/>
      </c>
      <c r="J1418" s="197" t="str">
        <f t="shared" si="231"/>
        <v/>
      </c>
      <c r="K1418" s="197"/>
      <c r="L1418" s="197"/>
      <c r="M1418" s="198"/>
      <c r="N1418" s="198"/>
      <c r="O1418" s="198"/>
      <c r="P1418" s="199"/>
      <c r="Q1418" s="200"/>
      <c r="R1418" s="200"/>
      <c r="S1418" s="200"/>
      <c r="T1418" s="200" t="str">
        <f t="shared" si="227"/>
        <v/>
      </c>
      <c r="U1418" s="200"/>
      <c r="V1418" s="201" t="str">
        <f t="shared" si="228"/>
        <v/>
      </c>
      <c r="W1418" s="202">
        <f t="shared" si="229"/>
        <v>0</v>
      </c>
      <c r="X1418" s="172"/>
    </row>
    <row r="1419" spans="1:24" x14ac:dyDescent="0.45">
      <c r="A1419" s="193">
        <v>13</v>
      </c>
      <c r="B1419" s="194" t="str">
        <f t="shared" si="225"/>
        <v/>
      </c>
      <c r="C1419" s="170" t="str">
        <f t="shared" si="226"/>
        <v/>
      </c>
      <c r="D1419" s="170"/>
      <c r="E1419" s="195"/>
      <c r="F1419" s="195"/>
      <c r="G1419" s="196"/>
      <c r="H1419" s="197"/>
      <c r="I1419" s="197" t="str">
        <f t="shared" si="230"/>
        <v/>
      </c>
      <c r="J1419" s="197" t="str">
        <f t="shared" si="231"/>
        <v/>
      </c>
      <c r="K1419" s="197"/>
      <c r="L1419" s="197"/>
      <c r="M1419" s="198"/>
      <c r="N1419" s="198"/>
      <c r="O1419" s="198"/>
      <c r="P1419" s="199"/>
      <c r="Q1419" s="200"/>
      <c r="R1419" s="200"/>
      <c r="S1419" s="200"/>
      <c r="T1419" s="200" t="str">
        <f t="shared" si="227"/>
        <v/>
      </c>
      <c r="U1419" s="200"/>
      <c r="V1419" s="201" t="str">
        <f t="shared" si="228"/>
        <v/>
      </c>
      <c r="W1419" s="202">
        <f t="shared" si="229"/>
        <v>0</v>
      </c>
      <c r="X1419" s="172"/>
    </row>
    <row r="1420" spans="1:24" x14ac:dyDescent="0.45">
      <c r="A1420" s="193">
        <v>14</v>
      </c>
      <c r="B1420" s="194" t="str">
        <f t="shared" si="225"/>
        <v/>
      </c>
      <c r="C1420" s="170" t="str">
        <f t="shared" si="226"/>
        <v/>
      </c>
      <c r="D1420" s="170"/>
      <c r="E1420" s="195"/>
      <c r="F1420" s="195"/>
      <c r="G1420" s="196"/>
      <c r="H1420" s="197"/>
      <c r="I1420" s="197" t="str">
        <f t="shared" si="230"/>
        <v/>
      </c>
      <c r="J1420" s="197" t="str">
        <f t="shared" si="231"/>
        <v/>
      </c>
      <c r="K1420" s="197"/>
      <c r="L1420" s="197"/>
      <c r="M1420" s="198"/>
      <c r="N1420" s="198"/>
      <c r="O1420" s="198"/>
      <c r="P1420" s="199"/>
      <c r="Q1420" s="200"/>
      <c r="R1420" s="200"/>
      <c r="S1420" s="200"/>
      <c r="T1420" s="200" t="str">
        <f t="shared" si="227"/>
        <v/>
      </c>
      <c r="U1420" s="200"/>
      <c r="V1420" s="201" t="str">
        <f t="shared" si="228"/>
        <v/>
      </c>
      <c r="W1420" s="202">
        <f t="shared" si="229"/>
        <v>0</v>
      </c>
      <c r="X1420" s="172"/>
    </row>
    <row r="1421" spans="1:24" x14ac:dyDescent="0.45">
      <c r="A1421" s="193">
        <v>15</v>
      </c>
      <c r="B1421" s="194" t="str">
        <f t="shared" si="225"/>
        <v/>
      </c>
      <c r="C1421" s="170" t="str">
        <f t="shared" si="226"/>
        <v/>
      </c>
      <c r="D1421" s="170"/>
      <c r="E1421" s="195"/>
      <c r="F1421" s="195"/>
      <c r="G1421" s="196"/>
      <c r="H1421" s="197"/>
      <c r="I1421" s="197" t="str">
        <f t="shared" si="230"/>
        <v/>
      </c>
      <c r="J1421" s="197" t="str">
        <f t="shared" si="231"/>
        <v/>
      </c>
      <c r="K1421" s="197"/>
      <c r="L1421" s="197"/>
      <c r="M1421" s="198"/>
      <c r="N1421" s="198"/>
      <c r="O1421" s="198"/>
      <c r="P1421" s="199"/>
      <c r="Q1421" s="200"/>
      <c r="R1421" s="200"/>
      <c r="S1421" s="200"/>
      <c r="T1421" s="200" t="str">
        <f t="shared" si="227"/>
        <v/>
      </c>
      <c r="U1421" s="200"/>
      <c r="V1421" s="201" t="str">
        <f t="shared" si="228"/>
        <v/>
      </c>
      <c r="W1421" s="202">
        <f t="shared" si="229"/>
        <v>0</v>
      </c>
      <c r="X1421" s="172"/>
    </row>
    <row r="1422" spans="1:24" x14ac:dyDescent="0.45">
      <c r="A1422" s="193">
        <v>16</v>
      </c>
      <c r="B1422" s="194" t="str">
        <f t="shared" si="225"/>
        <v/>
      </c>
      <c r="C1422" s="170" t="str">
        <f t="shared" si="226"/>
        <v/>
      </c>
      <c r="D1422" s="170"/>
      <c r="E1422" s="195"/>
      <c r="F1422" s="195"/>
      <c r="G1422" s="196"/>
      <c r="H1422" s="197"/>
      <c r="I1422" s="197" t="str">
        <f t="shared" si="230"/>
        <v/>
      </c>
      <c r="J1422" s="197" t="str">
        <f t="shared" si="231"/>
        <v/>
      </c>
      <c r="K1422" s="197"/>
      <c r="L1422" s="197"/>
      <c r="M1422" s="198"/>
      <c r="N1422" s="198"/>
      <c r="O1422" s="198"/>
      <c r="P1422" s="199"/>
      <c r="Q1422" s="200"/>
      <c r="R1422" s="200"/>
      <c r="S1422" s="200"/>
      <c r="T1422" s="200" t="str">
        <f t="shared" si="227"/>
        <v/>
      </c>
      <c r="U1422" s="200"/>
      <c r="V1422" s="201" t="str">
        <f t="shared" si="228"/>
        <v/>
      </c>
      <c r="W1422" s="202">
        <f t="shared" si="229"/>
        <v>0</v>
      </c>
      <c r="X1422" s="172"/>
    </row>
    <row r="1423" spans="1:24" x14ac:dyDescent="0.45">
      <c r="A1423" s="193">
        <v>17</v>
      </c>
      <c r="B1423" s="194" t="str">
        <f t="shared" si="225"/>
        <v/>
      </c>
      <c r="C1423" s="170" t="str">
        <f t="shared" si="226"/>
        <v/>
      </c>
      <c r="D1423" s="170"/>
      <c r="E1423" s="195"/>
      <c r="F1423" s="195"/>
      <c r="G1423" s="196"/>
      <c r="H1423" s="197"/>
      <c r="I1423" s="197" t="str">
        <f t="shared" si="230"/>
        <v/>
      </c>
      <c r="J1423" s="197" t="str">
        <f t="shared" si="231"/>
        <v/>
      </c>
      <c r="K1423" s="197"/>
      <c r="L1423" s="197"/>
      <c r="M1423" s="198"/>
      <c r="N1423" s="198"/>
      <c r="O1423" s="198"/>
      <c r="P1423" s="199"/>
      <c r="Q1423" s="200"/>
      <c r="R1423" s="200"/>
      <c r="S1423" s="200"/>
      <c r="T1423" s="200" t="str">
        <f t="shared" si="227"/>
        <v/>
      </c>
      <c r="U1423" s="200"/>
      <c r="V1423" s="201" t="str">
        <f t="shared" si="228"/>
        <v/>
      </c>
      <c r="W1423" s="202">
        <f t="shared" si="229"/>
        <v>0</v>
      </c>
      <c r="X1423" s="172"/>
    </row>
    <row r="1424" spans="1:24" x14ac:dyDescent="0.45">
      <c r="A1424" s="193">
        <v>18</v>
      </c>
      <c r="B1424" s="194" t="str">
        <f t="shared" si="225"/>
        <v/>
      </c>
      <c r="C1424" s="170" t="str">
        <f t="shared" si="226"/>
        <v/>
      </c>
      <c r="D1424" s="170"/>
      <c r="E1424" s="195"/>
      <c r="F1424" s="195"/>
      <c r="G1424" s="196"/>
      <c r="H1424" s="197"/>
      <c r="I1424" s="197" t="str">
        <f t="shared" si="230"/>
        <v/>
      </c>
      <c r="J1424" s="197" t="str">
        <f t="shared" si="231"/>
        <v/>
      </c>
      <c r="K1424" s="197"/>
      <c r="L1424" s="197"/>
      <c r="M1424" s="198"/>
      <c r="N1424" s="198"/>
      <c r="O1424" s="198"/>
      <c r="P1424" s="199"/>
      <c r="Q1424" s="200"/>
      <c r="R1424" s="200"/>
      <c r="S1424" s="200"/>
      <c r="T1424" s="200" t="str">
        <f t="shared" si="227"/>
        <v/>
      </c>
      <c r="U1424" s="200"/>
      <c r="V1424" s="201" t="str">
        <f t="shared" si="228"/>
        <v/>
      </c>
      <c r="W1424" s="202">
        <f t="shared" si="229"/>
        <v>0</v>
      </c>
      <c r="X1424" s="172"/>
    </row>
    <row r="1425" spans="1:24" x14ac:dyDescent="0.45">
      <c r="A1425" s="193">
        <v>19</v>
      </c>
      <c r="B1425" s="194" t="str">
        <f t="shared" si="225"/>
        <v/>
      </c>
      <c r="C1425" s="170" t="str">
        <f t="shared" si="226"/>
        <v/>
      </c>
      <c r="D1425" s="170"/>
      <c r="E1425" s="195"/>
      <c r="F1425" s="195"/>
      <c r="G1425" s="196"/>
      <c r="H1425" s="197"/>
      <c r="I1425" s="197" t="str">
        <f t="shared" si="230"/>
        <v/>
      </c>
      <c r="J1425" s="197" t="str">
        <f t="shared" si="231"/>
        <v/>
      </c>
      <c r="K1425" s="197"/>
      <c r="L1425" s="197"/>
      <c r="M1425" s="198"/>
      <c r="N1425" s="198"/>
      <c r="O1425" s="198"/>
      <c r="P1425" s="199"/>
      <c r="Q1425" s="200"/>
      <c r="R1425" s="200"/>
      <c r="S1425" s="200"/>
      <c r="T1425" s="200" t="str">
        <f t="shared" si="227"/>
        <v/>
      </c>
      <c r="U1425" s="200"/>
      <c r="V1425" s="201" t="str">
        <f t="shared" si="228"/>
        <v/>
      </c>
      <c r="W1425" s="202">
        <f t="shared" si="229"/>
        <v>0</v>
      </c>
      <c r="X1425" s="172"/>
    </row>
    <row r="1426" spans="1:24" x14ac:dyDescent="0.45">
      <c r="A1426" s="193">
        <v>20</v>
      </c>
      <c r="B1426" s="194" t="str">
        <f t="shared" si="225"/>
        <v/>
      </c>
      <c r="C1426" s="170" t="str">
        <f t="shared" si="226"/>
        <v/>
      </c>
      <c r="D1426" s="170"/>
      <c r="E1426" s="195"/>
      <c r="F1426" s="195"/>
      <c r="G1426" s="196"/>
      <c r="H1426" s="197"/>
      <c r="I1426" s="197" t="str">
        <f t="shared" si="230"/>
        <v/>
      </c>
      <c r="J1426" s="197" t="str">
        <f t="shared" si="231"/>
        <v/>
      </c>
      <c r="K1426" s="197"/>
      <c r="L1426" s="197"/>
      <c r="M1426" s="198"/>
      <c r="N1426" s="198"/>
      <c r="O1426" s="198"/>
      <c r="P1426" s="199"/>
      <c r="Q1426" s="200"/>
      <c r="R1426" s="200"/>
      <c r="S1426" s="200"/>
      <c r="T1426" s="200" t="str">
        <f t="shared" si="227"/>
        <v/>
      </c>
      <c r="U1426" s="200"/>
      <c r="V1426" s="201" t="str">
        <f t="shared" si="228"/>
        <v/>
      </c>
      <c r="W1426" s="202">
        <f t="shared" si="229"/>
        <v>0</v>
      </c>
      <c r="X1426" s="172"/>
    </row>
    <row r="1427" spans="1:24" x14ac:dyDescent="0.45">
      <c r="A1427" s="193">
        <v>21</v>
      </c>
      <c r="B1427" s="194" t="str">
        <f t="shared" si="225"/>
        <v/>
      </c>
      <c r="C1427" s="170" t="str">
        <f t="shared" si="226"/>
        <v/>
      </c>
      <c r="D1427" s="170"/>
      <c r="E1427" s="195"/>
      <c r="F1427" s="195"/>
      <c r="G1427" s="196"/>
      <c r="H1427" s="197"/>
      <c r="I1427" s="197" t="str">
        <f t="shared" si="230"/>
        <v/>
      </c>
      <c r="J1427" s="197" t="str">
        <f t="shared" si="231"/>
        <v/>
      </c>
      <c r="K1427" s="197"/>
      <c r="L1427" s="197"/>
      <c r="M1427" s="198"/>
      <c r="N1427" s="198"/>
      <c r="O1427" s="198"/>
      <c r="P1427" s="199"/>
      <c r="Q1427" s="200"/>
      <c r="R1427" s="200"/>
      <c r="S1427" s="200"/>
      <c r="T1427" s="200" t="str">
        <f t="shared" si="227"/>
        <v/>
      </c>
      <c r="U1427" s="200"/>
      <c r="V1427" s="201" t="str">
        <f t="shared" si="228"/>
        <v/>
      </c>
      <c r="W1427" s="202">
        <f t="shared" si="229"/>
        <v>0</v>
      </c>
      <c r="X1427" s="172"/>
    </row>
    <row r="1428" spans="1:24" x14ac:dyDescent="0.45">
      <c r="A1428" s="193">
        <v>22</v>
      </c>
      <c r="B1428" s="194" t="str">
        <f t="shared" si="225"/>
        <v/>
      </c>
      <c r="C1428" s="170" t="str">
        <f t="shared" si="226"/>
        <v/>
      </c>
      <c r="D1428" s="170"/>
      <c r="E1428" s="195"/>
      <c r="F1428" s="170"/>
      <c r="G1428" s="170"/>
      <c r="H1428" s="203"/>
      <c r="I1428" s="197" t="str">
        <f t="shared" si="230"/>
        <v/>
      </c>
      <c r="J1428" s="197" t="str">
        <f t="shared" si="231"/>
        <v/>
      </c>
      <c r="K1428" s="197"/>
      <c r="L1428" s="197"/>
      <c r="M1428" s="198"/>
      <c r="N1428" s="198"/>
      <c r="O1428" s="198"/>
      <c r="P1428" s="199"/>
      <c r="Q1428" s="200"/>
      <c r="R1428" s="200"/>
      <c r="S1428" s="200"/>
      <c r="T1428" s="200" t="str">
        <f t="shared" si="227"/>
        <v/>
      </c>
      <c r="U1428" s="200"/>
      <c r="V1428" s="201" t="str">
        <f t="shared" si="228"/>
        <v/>
      </c>
      <c r="W1428" s="202">
        <f t="shared" si="229"/>
        <v>0</v>
      </c>
      <c r="X1428" s="172"/>
    </row>
    <row r="1429" spans="1:24" x14ac:dyDescent="0.45">
      <c r="A1429" s="193">
        <v>23</v>
      </c>
      <c r="B1429" s="194" t="str">
        <f t="shared" si="225"/>
        <v/>
      </c>
      <c r="C1429" s="170" t="str">
        <f t="shared" si="226"/>
        <v/>
      </c>
      <c r="D1429" s="170"/>
      <c r="E1429" s="195"/>
      <c r="F1429" s="170"/>
      <c r="G1429" s="170"/>
      <c r="H1429" s="203"/>
      <c r="I1429" s="197" t="str">
        <f t="shared" si="230"/>
        <v/>
      </c>
      <c r="J1429" s="197" t="str">
        <f t="shared" si="231"/>
        <v/>
      </c>
      <c r="K1429" s="197"/>
      <c r="L1429" s="197"/>
      <c r="M1429" s="198"/>
      <c r="N1429" s="198"/>
      <c r="O1429" s="198"/>
      <c r="P1429" s="199"/>
      <c r="Q1429" s="200"/>
      <c r="R1429" s="200"/>
      <c r="S1429" s="200"/>
      <c r="T1429" s="200" t="str">
        <f t="shared" si="227"/>
        <v/>
      </c>
      <c r="U1429" s="200"/>
      <c r="V1429" s="201" t="str">
        <f t="shared" si="228"/>
        <v/>
      </c>
      <c r="W1429" s="202">
        <f t="shared" si="229"/>
        <v>0</v>
      </c>
      <c r="X1429" s="172"/>
    </row>
    <row r="1430" spans="1:24" x14ac:dyDescent="0.45">
      <c r="A1430" s="193">
        <v>24</v>
      </c>
      <c r="B1430" s="194" t="str">
        <f t="shared" si="225"/>
        <v/>
      </c>
      <c r="C1430" s="170" t="str">
        <f t="shared" si="226"/>
        <v/>
      </c>
      <c r="D1430" s="170"/>
      <c r="E1430" s="195"/>
      <c r="F1430" s="170"/>
      <c r="G1430" s="170"/>
      <c r="H1430" s="203"/>
      <c r="I1430" s="197" t="str">
        <f t="shared" si="230"/>
        <v/>
      </c>
      <c r="J1430" s="197" t="str">
        <f t="shared" si="231"/>
        <v/>
      </c>
      <c r="K1430" s="197"/>
      <c r="L1430" s="197"/>
      <c r="M1430" s="198"/>
      <c r="N1430" s="198"/>
      <c r="O1430" s="198"/>
      <c r="P1430" s="199"/>
      <c r="Q1430" s="200"/>
      <c r="R1430" s="200"/>
      <c r="S1430" s="200"/>
      <c r="T1430" s="200" t="str">
        <f t="shared" si="227"/>
        <v/>
      </c>
      <c r="U1430" s="200"/>
      <c r="V1430" s="201" t="str">
        <f t="shared" si="228"/>
        <v/>
      </c>
      <c r="W1430" s="202">
        <f t="shared" si="229"/>
        <v>0</v>
      </c>
      <c r="X1430" s="172"/>
    </row>
    <row r="1431" spans="1:24" x14ac:dyDescent="0.45">
      <c r="A1431" s="193">
        <v>25</v>
      </c>
      <c r="B1431" s="194" t="str">
        <f t="shared" si="225"/>
        <v/>
      </c>
      <c r="C1431" s="170" t="str">
        <f t="shared" si="226"/>
        <v/>
      </c>
      <c r="D1431" s="170"/>
      <c r="E1431" s="195"/>
      <c r="F1431" s="170"/>
      <c r="G1431" s="170"/>
      <c r="H1431" s="203"/>
      <c r="I1431" s="197" t="str">
        <f t="shared" si="230"/>
        <v/>
      </c>
      <c r="J1431" s="197" t="str">
        <f t="shared" si="231"/>
        <v/>
      </c>
      <c r="K1431" s="197"/>
      <c r="L1431" s="197"/>
      <c r="M1431" s="198"/>
      <c r="N1431" s="198"/>
      <c r="O1431" s="198"/>
      <c r="P1431" s="199"/>
      <c r="Q1431" s="200"/>
      <c r="R1431" s="200"/>
      <c r="S1431" s="200"/>
      <c r="T1431" s="200" t="str">
        <f t="shared" si="227"/>
        <v/>
      </c>
      <c r="U1431" s="200"/>
      <c r="V1431" s="201" t="str">
        <f t="shared" si="228"/>
        <v/>
      </c>
      <c r="W1431" s="202">
        <f t="shared" si="229"/>
        <v>0</v>
      </c>
      <c r="X1431" s="172"/>
    </row>
    <row r="1432" spans="1:24" x14ac:dyDescent="0.45">
      <c r="A1432" s="193">
        <v>26</v>
      </c>
      <c r="B1432" s="194" t="str">
        <f t="shared" si="225"/>
        <v/>
      </c>
      <c r="C1432" s="170" t="str">
        <f t="shared" si="226"/>
        <v/>
      </c>
      <c r="D1432" s="170"/>
      <c r="E1432" s="195"/>
      <c r="F1432" s="170"/>
      <c r="G1432" s="170"/>
      <c r="H1432" s="203"/>
      <c r="I1432" s="197" t="str">
        <f t="shared" si="230"/>
        <v/>
      </c>
      <c r="J1432" s="197" t="str">
        <f t="shared" si="231"/>
        <v/>
      </c>
      <c r="K1432" s="197"/>
      <c r="L1432" s="197"/>
      <c r="M1432" s="198"/>
      <c r="N1432" s="198"/>
      <c r="O1432" s="198"/>
      <c r="P1432" s="199"/>
      <c r="Q1432" s="200"/>
      <c r="R1432" s="200"/>
      <c r="S1432" s="200"/>
      <c r="T1432" s="200" t="str">
        <f t="shared" si="227"/>
        <v/>
      </c>
      <c r="U1432" s="200"/>
      <c r="V1432" s="201" t="str">
        <f t="shared" si="228"/>
        <v/>
      </c>
      <c r="W1432" s="202">
        <f t="shared" si="229"/>
        <v>0</v>
      </c>
      <c r="X1432" s="172"/>
    </row>
    <row r="1433" spans="1:24" x14ac:dyDescent="0.45">
      <c r="A1433" s="193">
        <v>27</v>
      </c>
      <c r="B1433" s="194" t="str">
        <f t="shared" si="225"/>
        <v/>
      </c>
      <c r="C1433" s="170" t="str">
        <f t="shared" si="226"/>
        <v/>
      </c>
      <c r="D1433" s="170"/>
      <c r="E1433" s="195"/>
      <c r="F1433" s="170"/>
      <c r="G1433" s="170"/>
      <c r="H1433" s="203"/>
      <c r="I1433" s="197" t="str">
        <f t="shared" si="230"/>
        <v/>
      </c>
      <c r="J1433" s="197" t="str">
        <f t="shared" si="231"/>
        <v/>
      </c>
      <c r="K1433" s="197"/>
      <c r="L1433" s="197"/>
      <c r="M1433" s="198"/>
      <c r="N1433" s="198"/>
      <c r="O1433" s="198"/>
      <c r="P1433" s="199"/>
      <c r="Q1433" s="200"/>
      <c r="R1433" s="200"/>
      <c r="S1433" s="200"/>
      <c r="T1433" s="200" t="str">
        <f t="shared" si="227"/>
        <v/>
      </c>
      <c r="U1433" s="200"/>
      <c r="V1433" s="201" t="str">
        <f t="shared" si="228"/>
        <v/>
      </c>
      <c r="W1433" s="202">
        <f t="shared" si="229"/>
        <v>0</v>
      </c>
      <c r="X1433" s="172"/>
    </row>
    <row r="1434" spans="1:24" x14ac:dyDescent="0.45">
      <c r="A1434" s="193">
        <v>28</v>
      </c>
      <c r="B1434" s="194" t="str">
        <f t="shared" si="225"/>
        <v/>
      </c>
      <c r="C1434" s="170" t="str">
        <f t="shared" si="226"/>
        <v/>
      </c>
      <c r="D1434" s="170"/>
      <c r="E1434" s="195"/>
      <c r="F1434" s="170"/>
      <c r="G1434" s="170"/>
      <c r="H1434" s="203"/>
      <c r="I1434" s="197" t="str">
        <f t="shared" si="230"/>
        <v/>
      </c>
      <c r="J1434" s="197" t="str">
        <f t="shared" si="231"/>
        <v/>
      </c>
      <c r="K1434" s="197"/>
      <c r="L1434" s="197"/>
      <c r="M1434" s="198"/>
      <c r="N1434" s="198"/>
      <c r="O1434" s="198"/>
      <c r="P1434" s="199"/>
      <c r="Q1434" s="200"/>
      <c r="R1434" s="200"/>
      <c r="S1434" s="200"/>
      <c r="T1434" s="200" t="str">
        <f t="shared" si="227"/>
        <v/>
      </c>
      <c r="U1434" s="200"/>
      <c r="V1434" s="201" t="str">
        <f t="shared" si="228"/>
        <v/>
      </c>
      <c r="W1434" s="202">
        <f t="shared" si="229"/>
        <v>0</v>
      </c>
      <c r="X1434" s="172"/>
    </row>
    <row r="1435" spans="1:24" x14ac:dyDescent="0.45">
      <c r="A1435" s="193">
        <v>29</v>
      </c>
      <c r="B1435" s="194" t="str">
        <f t="shared" si="225"/>
        <v/>
      </c>
      <c r="C1435" s="170" t="str">
        <f t="shared" si="226"/>
        <v/>
      </c>
      <c r="D1435" s="170"/>
      <c r="E1435" s="195"/>
      <c r="F1435" s="170"/>
      <c r="G1435" s="170"/>
      <c r="H1435" s="203"/>
      <c r="I1435" s="197" t="str">
        <f t="shared" si="230"/>
        <v/>
      </c>
      <c r="J1435" s="197" t="str">
        <f t="shared" si="231"/>
        <v/>
      </c>
      <c r="K1435" s="197"/>
      <c r="L1435" s="197"/>
      <c r="M1435" s="198"/>
      <c r="N1435" s="198"/>
      <c r="O1435" s="198"/>
      <c r="P1435" s="199"/>
      <c r="Q1435" s="200"/>
      <c r="R1435" s="200"/>
      <c r="S1435" s="200"/>
      <c r="T1435" s="200" t="str">
        <f t="shared" si="227"/>
        <v/>
      </c>
      <c r="U1435" s="200"/>
      <c r="V1435" s="201" t="str">
        <f t="shared" si="228"/>
        <v/>
      </c>
      <c r="W1435" s="202">
        <f t="shared" si="229"/>
        <v>0</v>
      </c>
      <c r="X1435" s="172"/>
    </row>
    <row r="1436" spans="1:24" x14ac:dyDescent="0.45">
      <c r="A1436" s="193">
        <v>30</v>
      </c>
      <c r="B1436" s="194" t="str">
        <f t="shared" si="225"/>
        <v/>
      </c>
      <c r="C1436" s="170" t="str">
        <f t="shared" si="226"/>
        <v/>
      </c>
      <c r="D1436" s="170"/>
      <c r="E1436" s="195"/>
      <c r="F1436" s="170"/>
      <c r="G1436" s="170"/>
      <c r="H1436" s="203"/>
      <c r="I1436" s="197" t="str">
        <f t="shared" si="230"/>
        <v/>
      </c>
      <c r="J1436" s="197" t="str">
        <f t="shared" si="231"/>
        <v/>
      </c>
      <c r="K1436" s="197"/>
      <c r="L1436" s="197"/>
      <c r="M1436" s="198"/>
      <c r="N1436" s="198"/>
      <c r="O1436" s="198"/>
      <c r="P1436" s="199"/>
      <c r="Q1436" s="200"/>
      <c r="R1436" s="200"/>
      <c r="S1436" s="200"/>
      <c r="T1436" s="200" t="str">
        <f t="shared" si="227"/>
        <v/>
      </c>
      <c r="U1436" s="200"/>
      <c r="V1436" s="201" t="str">
        <f t="shared" si="228"/>
        <v/>
      </c>
      <c r="W1436" s="202">
        <f t="shared" si="229"/>
        <v>0</v>
      </c>
      <c r="X1436" s="172"/>
    </row>
    <row r="1437" spans="1:24" x14ac:dyDescent="0.45">
      <c r="A1437" s="193">
        <v>31</v>
      </c>
      <c r="B1437" s="194" t="str">
        <f t="shared" si="225"/>
        <v/>
      </c>
      <c r="C1437" s="170" t="str">
        <f t="shared" si="226"/>
        <v/>
      </c>
      <c r="D1437" s="170"/>
      <c r="E1437" s="195"/>
      <c r="F1437" s="170"/>
      <c r="G1437" s="170"/>
      <c r="H1437" s="203"/>
      <c r="I1437" s="197" t="str">
        <f t="shared" si="230"/>
        <v/>
      </c>
      <c r="J1437" s="197" t="str">
        <f t="shared" si="231"/>
        <v/>
      </c>
      <c r="K1437" s="197"/>
      <c r="L1437" s="197"/>
      <c r="M1437" s="198"/>
      <c r="N1437" s="198"/>
      <c r="O1437" s="198"/>
      <c r="P1437" s="199"/>
      <c r="Q1437" s="200"/>
      <c r="R1437" s="200"/>
      <c r="S1437" s="200"/>
      <c r="T1437" s="200" t="str">
        <f t="shared" si="227"/>
        <v/>
      </c>
      <c r="U1437" s="200"/>
      <c r="V1437" s="201" t="str">
        <f t="shared" si="228"/>
        <v/>
      </c>
      <c r="W1437" s="202">
        <f t="shared" si="229"/>
        <v>0</v>
      </c>
      <c r="X1437" s="172"/>
    </row>
    <row r="1438" spans="1:24" x14ac:dyDescent="0.45">
      <c r="A1438" s="193">
        <v>32</v>
      </c>
      <c r="B1438" s="194" t="str">
        <f t="shared" si="225"/>
        <v/>
      </c>
      <c r="C1438" s="170" t="str">
        <f t="shared" si="226"/>
        <v/>
      </c>
      <c r="D1438" s="170"/>
      <c r="E1438" s="195"/>
      <c r="F1438" s="170"/>
      <c r="G1438" s="170"/>
      <c r="H1438" s="203"/>
      <c r="I1438" s="197" t="str">
        <f t="shared" si="230"/>
        <v/>
      </c>
      <c r="J1438" s="197" t="str">
        <f t="shared" si="231"/>
        <v/>
      </c>
      <c r="K1438" s="197"/>
      <c r="L1438" s="197"/>
      <c r="M1438" s="198"/>
      <c r="N1438" s="198"/>
      <c r="O1438" s="198"/>
      <c r="P1438" s="199"/>
      <c r="Q1438" s="200"/>
      <c r="R1438" s="200"/>
      <c r="S1438" s="200"/>
      <c r="T1438" s="200" t="str">
        <f t="shared" si="227"/>
        <v/>
      </c>
      <c r="U1438" s="200"/>
      <c r="V1438" s="201" t="str">
        <f t="shared" si="228"/>
        <v/>
      </c>
      <c r="W1438" s="202">
        <f t="shared" si="229"/>
        <v>0</v>
      </c>
      <c r="X1438" s="172"/>
    </row>
    <row r="1439" spans="1:24" x14ac:dyDescent="0.45">
      <c r="A1439" s="193">
        <v>33</v>
      </c>
      <c r="B1439" s="194" t="str">
        <f t="shared" ref="B1439:B1472" si="232">IF(OR($C$1387="",U1439=""),"",LEFT($C$1387,FIND("_",$C$1387)-1))</f>
        <v/>
      </c>
      <c r="C1439" s="170" t="str">
        <f t="shared" ref="C1439:C1472" si="233">IF(OR($C$1387="",U1439=""),"",$B$1387)</f>
        <v/>
      </c>
      <c r="D1439" s="170"/>
      <c r="E1439" s="195"/>
      <c r="F1439" s="170"/>
      <c r="G1439" s="170"/>
      <c r="H1439" s="203"/>
      <c r="I1439" s="197" t="str">
        <f t="shared" si="230"/>
        <v/>
      </c>
      <c r="J1439" s="197" t="str">
        <f t="shared" si="231"/>
        <v/>
      </c>
      <c r="K1439" s="197"/>
      <c r="L1439" s="197"/>
      <c r="M1439" s="198"/>
      <c r="N1439" s="198"/>
      <c r="O1439" s="198"/>
      <c r="P1439" s="199"/>
      <c r="Q1439" s="200"/>
      <c r="R1439" s="200"/>
      <c r="S1439" s="200"/>
      <c r="T1439" s="200" t="str">
        <f t="shared" ref="T1439:T1472" si="234">IF(K1439="","",((K1439*20)+L1439)-((I1439*20)+J1439))</f>
        <v/>
      </c>
      <c r="U1439" s="200"/>
      <c r="V1439" s="201" t="str">
        <f t="shared" ref="V1439:V1470" si="235">IF(U1439="","",$V$1387)</f>
        <v/>
      </c>
      <c r="W1439" s="202">
        <f t="shared" ref="W1439:W1472" si="236">IF(OR(T1439="",U1439=""),0,T1439*U1439)</f>
        <v>0</v>
      </c>
      <c r="X1439" s="172"/>
    </row>
    <row r="1440" spans="1:24" x14ac:dyDescent="0.45">
      <c r="A1440" s="193">
        <v>34</v>
      </c>
      <c r="B1440" s="194" t="str">
        <f t="shared" si="232"/>
        <v/>
      </c>
      <c r="C1440" s="170" t="str">
        <f t="shared" si="233"/>
        <v/>
      </c>
      <c r="D1440" s="170"/>
      <c r="E1440" s="195"/>
      <c r="F1440" s="170"/>
      <c r="G1440" s="170"/>
      <c r="H1440" s="203"/>
      <c r="I1440" s="197" t="str">
        <f t="shared" ref="I1440:I1472" si="237">IF(K1439="","",K1439)</f>
        <v/>
      </c>
      <c r="J1440" s="197" t="str">
        <f t="shared" ref="J1440:J1472" si="238">IF(L1439="","",L1439)</f>
        <v/>
      </c>
      <c r="K1440" s="197"/>
      <c r="L1440" s="197"/>
      <c r="M1440" s="198"/>
      <c r="N1440" s="198"/>
      <c r="O1440" s="198"/>
      <c r="P1440" s="199"/>
      <c r="Q1440" s="200"/>
      <c r="R1440" s="200"/>
      <c r="S1440" s="200"/>
      <c r="T1440" s="200" t="str">
        <f t="shared" si="234"/>
        <v/>
      </c>
      <c r="U1440" s="200"/>
      <c r="V1440" s="201" t="str">
        <f t="shared" si="235"/>
        <v/>
      </c>
      <c r="W1440" s="202">
        <f t="shared" si="236"/>
        <v>0</v>
      </c>
      <c r="X1440" s="172"/>
    </row>
    <row r="1441" spans="1:24" x14ac:dyDescent="0.45">
      <c r="A1441" s="193">
        <v>35</v>
      </c>
      <c r="B1441" s="194" t="str">
        <f t="shared" si="232"/>
        <v/>
      </c>
      <c r="C1441" s="170" t="str">
        <f t="shared" si="233"/>
        <v/>
      </c>
      <c r="D1441" s="170"/>
      <c r="E1441" s="195"/>
      <c r="F1441" s="170"/>
      <c r="G1441" s="170"/>
      <c r="H1441" s="203"/>
      <c r="I1441" s="197" t="str">
        <f t="shared" si="237"/>
        <v/>
      </c>
      <c r="J1441" s="197" t="str">
        <f t="shared" si="238"/>
        <v/>
      </c>
      <c r="K1441" s="197"/>
      <c r="L1441" s="197"/>
      <c r="M1441" s="198"/>
      <c r="N1441" s="198"/>
      <c r="O1441" s="198"/>
      <c r="P1441" s="199"/>
      <c r="Q1441" s="200"/>
      <c r="R1441" s="200"/>
      <c r="S1441" s="200"/>
      <c r="T1441" s="200" t="str">
        <f t="shared" si="234"/>
        <v/>
      </c>
      <c r="U1441" s="200"/>
      <c r="V1441" s="201" t="str">
        <f t="shared" si="235"/>
        <v/>
      </c>
      <c r="W1441" s="202">
        <f t="shared" si="236"/>
        <v>0</v>
      </c>
      <c r="X1441" s="172"/>
    </row>
    <row r="1442" spans="1:24" x14ac:dyDescent="0.45">
      <c r="A1442" s="193">
        <v>36</v>
      </c>
      <c r="B1442" s="194" t="str">
        <f t="shared" si="232"/>
        <v/>
      </c>
      <c r="C1442" s="170" t="str">
        <f t="shared" si="233"/>
        <v/>
      </c>
      <c r="D1442" s="170"/>
      <c r="E1442" s="195"/>
      <c r="F1442" s="170"/>
      <c r="G1442" s="170"/>
      <c r="H1442" s="203"/>
      <c r="I1442" s="197" t="str">
        <f t="shared" si="237"/>
        <v/>
      </c>
      <c r="J1442" s="197" t="str">
        <f t="shared" si="238"/>
        <v/>
      </c>
      <c r="K1442" s="197"/>
      <c r="L1442" s="197"/>
      <c r="M1442" s="198"/>
      <c r="N1442" s="198"/>
      <c r="O1442" s="198"/>
      <c r="P1442" s="199"/>
      <c r="Q1442" s="200"/>
      <c r="R1442" s="200"/>
      <c r="S1442" s="200"/>
      <c r="T1442" s="200" t="str">
        <f t="shared" si="234"/>
        <v/>
      </c>
      <c r="U1442" s="200"/>
      <c r="V1442" s="201" t="str">
        <f t="shared" si="235"/>
        <v/>
      </c>
      <c r="W1442" s="202">
        <f t="shared" si="236"/>
        <v>0</v>
      </c>
      <c r="X1442" s="172"/>
    </row>
    <row r="1443" spans="1:24" x14ac:dyDescent="0.45">
      <c r="A1443" s="193">
        <v>37</v>
      </c>
      <c r="B1443" s="194" t="str">
        <f t="shared" si="232"/>
        <v/>
      </c>
      <c r="C1443" s="170" t="str">
        <f t="shared" si="233"/>
        <v/>
      </c>
      <c r="D1443" s="170"/>
      <c r="E1443" s="195"/>
      <c r="F1443" s="170"/>
      <c r="G1443" s="170"/>
      <c r="H1443" s="203"/>
      <c r="I1443" s="197" t="str">
        <f t="shared" si="237"/>
        <v/>
      </c>
      <c r="J1443" s="197" t="str">
        <f t="shared" si="238"/>
        <v/>
      </c>
      <c r="K1443" s="197"/>
      <c r="L1443" s="197"/>
      <c r="M1443" s="198"/>
      <c r="N1443" s="198"/>
      <c r="O1443" s="198"/>
      <c r="P1443" s="199"/>
      <c r="Q1443" s="200"/>
      <c r="R1443" s="200"/>
      <c r="S1443" s="200"/>
      <c r="T1443" s="200" t="str">
        <f t="shared" si="234"/>
        <v/>
      </c>
      <c r="U1443" s="200"/>
      <c r="V1443" s="201" t="str">
        <f t="shared" si="235"/>
        <v/>
      </c>
      <c r="W1443" s="202">
        <f t="shared" si="236"/>
        <v>0</v>
      </c>
      <c r="X1443" s="172"/>
    </row>
    <row r="1444" spans="1:24" x14ac:dyDescent="0.45">
      <c r="A1444" s="193">
        <v>38</v>
      </c>
      <c r="B1444" s="194" t="str">
        <f t="shared" si="232"/>
        <v/>
      </c>
      <c r="C1444" s="170" t="str">
        <f t="shared" si="233"/>
        <v/>
      </c>
      <c r="D1444" s="170"/>
      <c r="E1444" s="195"/>
      <c r="F1444" s="170"/>
      <c r="G1444" s="170"/>
      <c r="H1444" s="203"/>
      <c r="I1444" s="197" t="str">
        <f t="shared" si="237"/>
        <v/>
      </c>
      <c r="J1444" s="197" t="str">
        <f t="shared" si="238"/>
        <v/>
      </c>
      <c r="K1444" s="197"/>
      <c r="L1444" s="197"/>
      <c r="M1444" s="198"/>
      <c r="N1444" s="198"/>
      <c r="O1444" s="198"/>
      <c r="P1444" s="199"/>
      <c r="Q1444" s="200"/>
      <c r="R1444" s="200"/>
      <c r="S1444" s="200"/>
      <c r="T1444" s="200" t="str">
        <f t="shared" si="234"/>
        <v/>
      </c>
      <c r="U1444" s="200"/>
      <c r="V1444" s="201" t="str">
        <f t="shared" si="235"/>
        <v/>
      </c>
      <c r="W1444" s="202">
        <f t="shared" si="236"/>
        <v>0</v>
      </c>
      <c r="X1444" s="172"/>
    </row>
    <row r="1445" spans="1:24" x14ac:dyDescent="0.45">
      <c r="A1445" s="193">
        <v>39</v>
      </c>
      <c r="B1445" s="194" t="str">
        <f t="shared" si="232"/>
        <v/>
      </c>
      <c r="C1445" s="170" t="str">
        <f t="shared" si="233"/>
        <v/>
      </c>
      <c r="D1445" s="170"/>
      <c r="E1445" s="195"/>
      <c r="F1445" s="170"/>
      <c r="G1445" s="170"/>
      <c r="H1445" s="203"/>
      <c r="I1445" s="197" t="str">
        <f t="shared" si="237"/>
        <v/>
      </c>
      <c r="J1445" s="197" t="str">
        <f t="shared" si="238"/>
        <v/>
      </c>
      <c r="K1445" s="197"/>
      <c r="L1445" s="197"/>
      <c r="M1445" s="198"/>
      <c r="N1445" s="198"/>
      <c r="O1445" s="198"/>
      <c r="P1445" s="199"/>
      <c r="Q1445" s="200"/>
      <c r="R1445" s="200"/>
      <c r="S1445" s="200"/>
      <c r="T1445" s="200" t="str">
        <f t="shared" si="234"/>
        <v/>
      </c>
      <c r="U1445" s="200"/>
      <c r="V1445" s="201" t="str">
        <f t="shared" si="235"/>
        <v/>
      </c>
      <c r="W1445" s="202">
        <f t="shared" si="236"/>
        <v>0</v>
      </c>
      <c r="X1445" s="172"/>
    </row>
    <row r="1446" spans="1:24" x14ac:dyDescent="0.45">
      <c r="A1446" s="193">
        <v>40</v>
      </c>
      <c r="B1446" s="194" t="str">
        <f t="shared" si="232"/>
        <v/>
      </c>
      <c r="C1446" s="170" t="str">
        <f t="shared" si="233"/>
        <v/>
      </c>
      <c r="D1446" s="170"/>
      <c r="E1446" s="195"/>
      <c r="F1446" s="170"/>
      <c r="G1446" s="170"/>
      <c r="H1446" s="203"/>
      <c r="I1446" s="197" t="str">
        <f t="shared" si="237"/>
        <v/>
      </c>
      <c r="J1446" s="197" t="str">
        <f t="shared" si="238"/>
        <v/>
      </c>
      <c r="K1446" s="197"/>
      <c r="L1446" s="197"/>
      <c r="M1446" s="198"/>
      <c r="N1446" s="198"/>
      <c r="O1446" s="198"/>
      <c r="P1446" s="199"/>
      <c r="Q1446" s="200"/>
      <c r="R1446" s="200"/>
      <c r="S1446" s="200"/>
      <c r="T1446" s="200" t="str">
        <f t="shared" si="234"/>
        <v/>
      </c>
      <c r="U1446" s="200"/>
      <c r="V1446" s="201" t="str">
        <f t="shared" si="235"/>
        <v/>
      </c>
      <c r="W1446" s="202">
        <f t="shared" si="236"/>
        <v>0</v>
      </c>
      <c r="X1446" s="172"/>
    </row>
    <row r="1447" spans="1:24" x14ac:dyDescent="0.45">
      <c r="A1447" s="193">
        <v>41</v>
      </c>
      <c r="B1447" s="194" t="str">
        <f t="shared" si="232"/>
        <v/>
      </c>
      <c r="C1447" s="170" t="str">
        <f t="shared" si="233"/>
        <v/>
      </c>
      <c r="D1447" s="170"/>
      <c r="E1447" s="195"/>
      <c r="F1447" s="170"/>
      <c r="G1447" s="170"/>
      <c r="H1447" s="203"/>
      <c r="I1447" s="197" t="str">
        <f t="shared" si="237"/>
        <v/>
      </c>
      <c r="J1447" s="197" t="str">
        <f t="shared" si="238"/>
        <v/>
      </c>
      <c r="K1447" s="197"/>
      <c r="L1447" s="197"/>
      <c r="M1447" s="198"/>
      <c r="N1447" s="198"/>
      <c r="O1447" s="198"/>
      <c r="P1447" s="199"/>
      <c r="Q1447" s="200"/>
      <c r="R1447" s="200"/>
      <c r="S1447" s="200"/>
      <c r="T1447" s="200" t="str">
        <f t="shared" si="234"/>
        <v/>
      </c>
      <c r="U1447" s="200"/>
      <c r="V1447" s="201" t="str">
        <f t="shared" si="235"/>
        <v/>
      </c>
      <c r="W1447" s="202">
        <f t="shared" si="236"/>
        <v>0</v>
      </c>
      <c r="X1447" s="172"/>
    </row>
    <row r="1448" spans="1:24" x14ac:dyDescent="0.45">
      <c r="A1448" s="193">
        <v>42</v>
      </c>
      <c r="B1448" s="194" t="str">
        <f t="shared" si="232"/>
        <v/>
      </c>
      <c r="C1448" s="170" t="str">
        <f t="shared" si="233"/>
        <v/>
      </c>
      <c r="D1448" s="170"/>
      <c r="E1448" s="195"/>
      <c r="F1448" s="170"/>
      <c r="G1448" s="170"/>
      <c r="H1448" s="203"/>
      <c r="I1448" s="197" t="str">
        <f t="shared" si="237"/>
        <v/>
      </c>
      <c r="J1448" s="197" t="str">
        <f t="shared" si="238"/>
        <v/>
      </c>
      <c r="K1448" s="197"/>
      <c r="L1448" s="197"/>
      <c r="M1448" s="198"/>
      <c r="N1448" s="198"/>
      <c r="O1448" s="198"/>
      <c r="P1448" s="199"/>
      <c r="Q1448" s="200"/>
      <c r="R1448" s="200"/>
      <c r="S1448" s="200"/>
      <c r="T1448" s="200" t="str">
        <f t="shared" si="234"/>
        <v/>
      </c>
      <c r="U1448" s="200"/>
      <c r="V1448" s="201" t="str">
        <f t="shared" si="235"/>
        <v/>
      </c>
      <c r="W1448" s="202">
        <f t="shared" si="236"/>
        <v>0</v>
      </c>
      <c r="X1448" s="172"/>
    </row>
    <row r="1449" spans="1:24" x14ac:dyDescent="0.45">
      <c r="A1449" s="193">
        <v>43</v>
      </c>
      <c r="B1449" s="194" t="str">
        <f t="shared" si="232"/>
        <v/>
      </c>
      <c r="C1449" s="170" t="str">
        <f t="shared" si="233"/>
        <v/>
      </c>
      <c r="D1449" s="170"/>
      <c r="E1449" s="195"/>
      <c r="F1449" s="170"/>
      <c r="G1449" s="170"/>
      <c r="H1449" s="203"/>
      <c r="I1449" s="197" t="str">
        <f t="shared" si="237"/>
        <v/>
      </c>
      <c r="J1449" s="197" t="str">
        <f t="shared" si="238"/>
        <v/>
      </c>
      <c r="K1449" s="197"/>
      <c r="L1449" s="197"/>
      <c r="M1449" s="198"/>
      <c r="N1449" s="198"/>
      <c r="O1449" s="198"/>
      <c r="P1449" s="199"/>
      <c r="Q1449" s="200"/>
      <c r="R1449" s="200"/>
      <c r="S1449" s="200"/>
      <c r="T1449" s="200" t="str">
        <f t="shared" si="234"/>
        <v/>
      </c>
      <c r="U1449" s="200"/>
      <c r="V1449" s="201" t="str">
        <f t="shared" si="235"/>
        <v/>
      </c>
      <c r="W1449" s="202">
        <f t="shared" si="236"/>
        <v>0</v>
      </c>
      <c r="X1449" s="172"/>
    </row>
    <row r="1450" spans="1:24" x14ac:dyDescent="0.45">
      <c r="A1450" s="193">
        <v>44</v>
      </c>
      <c r="B1450" s="194" t="str">
        <f t="shared" si="232"/>
        <v/>
      </c>
      <c r="C1450" s="170" t="str">
        <f t="shared" si="233"/>
        <v/>
      </c>
      <c r="D1450" s="170"/>
      <c r="E1450" s="195"/>
      <c r="F1450" s="170"/>
      <c r="G1450" s="170"/>
      <c r="H1450" s="203"/>
      <c r="I1450" s="197" t="str">
        <f t="shared" si="237"/>
        <v/>
      </c>
      <c r="J1450" s="197" t="str">
        <f t="shared" si="238"/>
        <v/>
      </c>
      <c r="K1450" s="197"/>
      <c r="L1450" s="197"/>
      <c r="M1450" s="198"/>
      <c r="N1450" s="198"/>
      <c r="O1450" s="198"/>
      <c r="P1450" s="199"/>
      <c r="Q1450" s="200"/>
      <c r="R1450" s="200"/>
      <c r="S1450" s="200"/>
      <c r="T1450" s="200" t="str">
        <f t="shared" si="234"/>
        <v/>
      </c>
      <c r="U1450" s="200"/>
      <c r="V1450" s="201" t="str">
        <f t="shared" si="235"/>
        <v/>
      </c>
      <c r="W1450" s="202">
        <f t="shared" si="236"/>
        <v>0</v>
      </c>
      <c r="X1450" s="172"/>
    </row>
    <row r="1451" spans="1:24" x14ac:dyDescent="0.45">
      <c r="A1451" s="193">
        <v>45</v>
      </c>
      <c r="B1451" s="194" t="str">
        <f t="shared" si="232"/>
        <v/>
      </c>
      <c r="C1451" s="170" t="str">
        <f t="shared" si="233"/>
        <v/>
      </c>
      <c r="D1451" s="170"/>
      <c r="E1451" s="195"/>
      <c r="F1451" s="170"/>
      <c r="G1451" s="170"/>
      <c r="H1451" s="203"/>
      <c r="I1451" s="197" t="str">
        <f t="shared" si="237"/>
        <v/>
      </c>
      <c r="J1451" s="197" t="str">
        <f t="shared" si="238"/>
        <v/>
      </c>
      <c r="K1451" s="197"/>
      <c r="L1451" s="197"/>
      <c r="M1451" s="198"/>
      <c r="N1451" s="198"/>
      <c r="O1451" s="198"/>
      <c r="P1451" s="199"/>
      <c r="Q1451" s="200"/>
      <c r="R1451" s="200"/>
      <c r="S1451" s="200"/>
      <c r="T1451" s="200" t="str">
        <f t="shared" si="234"/>
        <v/>
      </c>
      <c r="U1451" s="200"/>
      <c r="V1451" s="201" t="str">
        <f t="shared" si="235"/>
        <v/>
      </c>
      <c r="W1451" s="202">
        <f t="shared" si="236"/>
        <v>0</v>
      </c>
      <c r="X1451" s="172"/>
    </row>
    <row r="1452" spans="1:24" x14ac:dyDescent="0.45">
      <c r="A1452" s="193">
        <v>46</v>
      </c>
      <c r="B1452" s="194" t="str">
        <f t="shared" si="232"/>
        <v/>
      </c>
      <c r="C1452" s="170" t="str">
        <f t="shared" si="233"/>
        <v/>
      </c>
      <c r="D1452" s="170"/>
      <c r="E1452" s="195"/>
      <c r="F1452" s="170"/>
      <c r="G1452" s="170"/>
      <c r="H1452" s="203"/>
      <c r="I1452" s="197" t="str">
        <f t="shared" si="237"/>
        <v/>
      </c>
      <c r="J1452" s="197" t="str">
        <f t="shared" si="238"/>
        <v/>
      </c>
      <c r="K1452" s="197"/>
      <c r="L1452" s="197"/>
      <c r="M1452" s="198"/>
      <c r="N1452" s="198"/>
      <c r="O1452" s="198"/>
      <c r="P1452" s="199"/>
      <c r="Q1452" s="200"/>
      <c r="R1452" s="200"/>
      <c r="S1452" s="200"/>
      <c r="T1452" s="200" t="str">
        <f t="shared" si="234"/>
        <v/>
      </c>
      <c r="U1452" s="200"/>
      <c r="V1452" s="201" t="str">
        <f t="shared" si="235"/>
        <v/>
      </c>
      <c r="W1452" s="202">
        <f t="shared" si="236"/>
        <v>0</v>
      </c>
      <c r="X1452" s="172"/>
    </row>
    <row r="1453" spans="1:24" x14ac:dyDescent="0.45">
      <c r="A1453" s="193">
        <v>47</v>
      </c>
      <c r="B1453" s="194" t="str">
        <f t="shared" si="232"/>
        <v/>
      </c>
      <c r="C1453" s="170" t="str">
        <f t="shared" si="233"/>
        <v/>
      </c>
      <c r="D1453" s="170"/>
      <c r="E1453" s="195"/>
      <c r="F1453" s="170"/>
      <c r="G1453" s="170"/>
      <c r="H1453" s="203"/>
      <c r="I1453" s="197" t="str">
        <f t="shared" si="237"/>
        <v/>
      </c>
      <c r="J1453" s="197" t="str">
        <f t="shared" si="238"/>
        <v/>
      </c>
      <c r="K1453" s="197"/>
      <c r="L1453" s="197"/>
      <c r="M1453" s="198"/>
      <c r="N1453" s="198"/>
      <c r="O1453" s="198"/>
      <c r="P1453" s="199"/>
      <c r="Q1453" s="200"/>
      <c r="R1453" s="200"/>
      <c r="S1453" s="200"/>
      <c r="T1453" s="200" t="str">
        <f t="shared" si="234"/>
        <v/>
      </c>
      <c r="U1453" s="200"/>
      <c r="V1453" s="201" t="str">
        <f t="shared" si="235"/>
        <v/>
      </c>
      <c r="W1453" s="202">
        <f t="shared" si="236"/>
        <v>0</v>
      </c>
      <c r="X1453" s="172"/>
    </row>
    <row r="1454" spans="1:24" x14ac:dyDescent="0.45">
      <c r="A1454" s="193">
        <v>48</v>
      </c>
      <c r="B1454" s="194" t="str">
        <f t="shared" si="232"/>
        <v/>
      </c>
      <c r="C1454" s="170" t="str">
        <f t="shared" si="233"/>
        <v/>
      </c>
      <c r="D1454" s="170"/>
      <c r="E1454" s="195"/>
      <c r="F1454" s="170"/>
      <c r="G1454" s="170"/>
      <c r="H1454" s="203"/>
      <c r="I1454" s="197" t="str">
        <f t="shared" si="237"/>
        <v/>
      </c>
      <c r="J1454" s="197" t="str">
        <f t="shared" si="238"/>
        <v/>
      </c>
      <c r="K1454" s="197"/>
      <c r="L1454" s="197"/>
      <c r="M1454" s="198"/>
      <c r="N1454" s="198"/>
      <c r="O1454" s="198"/>
      <c r="P1454" s="199"/>
      <c r="Q1454" s="200"/>
      <c r="R1454" s="200"/>
      <c r="S1454" s="200"/>
      <c r="T1454" s="200" t="str">
        <f t="shared" si="234"/>
        <v/>
      </c>
      <c r="U1454" s="200"/>
      <c r="V1454" s="201" t="str">
        <f t="shared" si="235"/>
        <v/>
      </c>
      <c r="W1454" s="202">
        <f t="shared" si="236"/>
        <v>0</v>
      </c>
      <c r="X1454" s="172"/>
    </row>
    <row r="1455" spans="1:24" x14ac:dyDescent="0.45">
      <c r="A1455" s="193">
        <v>49</v>
      </c>
      <c r="B1455" s="194" t="str">
        <f t="shared" si="232"/>
        <v/>
      </c>
      <c r="C1455" s="170" t="str">
        <f t="shared" si="233"/>
        <v/>
      </c>
      <c r="D1455" s="170"/>
      <c r="E1455" s="195"/>
      <c r="F1455" s="170"/>
      <c r="G1455" s="170"/>
      <c r="H1455" s="203"/>
      <c r="I1455" s="197" t="str">
        <f t="shared" si="237"/>
        <v/>
      </c>
      <c r="J1455" s="197" t="str">
        <f t="shared" si="238"/>
        <v/>
      </c>
      <c r="K1455" s="197"/>
      <c r="L1455" s="197"/>
      <c r="M1455" s="198"/>
      <c r="N1455" s="198"/>
      <c r="O1455" s="198"/>
      <c r="P1455" s="199"/>
      <c r="Q1455" s="200"/>
      <c r="R1455" s="200"/>
      <c r="S1455" s="200"/>
      <c r="T1455" s="200" t="str">
        <f t="shared" si="234"/>
        <v/>
      </c>
      <c r="U1455" s="200"/>
      <c r="V1455" s="201" t="str">
        <f t="shared" si="235"/>
        <v/>
      </c>
      <c r="W1455" s="202">
        <f t="shared" si="236"/>
        <v>0</v>
      </c>
      <c r="X1455" s="172"/>
    </row>
    <row r="1456" spans="1:24" x14ac:dyDescent="0.45">
      <c r="A1456" s="193">
        <v>50</v>
      </c>
      <c r="B1456" s="194" t="str">
        <f t="shared" si="232"/>
        <v/>
      </c>
      <c r="C1456" s="170" t="str">
        <f t="shared" si="233"/>
        <v/>
      </c>
      <c r="D1456" s="170"/>
      <c r="E1456" s="195"/>
      <c r="F1456" s="170"/>
      <c r="G1456" s="170"/>
      <c r="H1456" s="203"/>
      <c r="I1456" s="197" t="str">
        <f t="shared" si="237"/>
        <v/>
      </c>
      <c r="J1456" s="197" t="str">
        <f t="shared" si="238"/>
        <v/>
      </c>
      <c r="K1456" s="197"/>
      <c r="L1456" s="197"/>
      <c r="M1456" s="198"/>
      <c r="N1456" s="198"/>
      <c r="O1456" s="198"/>
      <c r="P1456" s="199"/>
      <c r="Q1456" s="200"/>
      <c r="R1456" s="200"/>
      <c r="S1456" s="200"/>
      <c r="T1456" s="200" t="str">
        <f t="shared" si="234"/>
        <v/>
      </c>
      <c r="U1456" s="200"/>
      <c r="V1456" s="201" t="str">
        <f t="shared" si="235"/>
        <v/>
      </c>
      <c r="W1456" s="202">
        <f t="shared" si="236"/>
        <v>0</v>
      </c>
      <c r="X1456" s="172"/>
    </row>
    <row r="1457" spans="1:24" x14ac:dyDescent="0.45">
      <c r="A1457" s="193">
        <v>51</v>
      </c>
      <c r="B1457" s="194" t="str">
        <f t="shared" si="232"/>
        <v/>
      </c>
      <c r="C1457" s="170" t="str">
        <f t="shared" si="233"/>
        <v/>
      </c>
      <c r="D1457" s="170"/>
      <c r="E1457" s="195"/>
      <c r="F1457" s="170"/>
      <c r="G1457" s="170"/>
      <c r="H1457" s="203"/>
      <c r="I1457" s="197" t="str">
        <f t="shared" si="237"/>
        <v/>
      </c>
      <c r="J1457" s="197" t="str">
        <f t="shared" si="238"/>
        <v/>
      </c>
      <c r="K1457" s="197"/>
      <c r="L1457" s="197"/>
      <c r="M1457" s="198"/>
      <c r="N1457" s="198"/>
      <c r="O1457" s="198"/>
      <c r="P1457" s="199"/>
      <c r="Q1457" s="200"/>
      <c r="R1457" s="200"/>
      <c r="S1457" s="200"/>
      <c r="T1457" s="200" t="str">
        <f t="shared" si="234"/>
        <v/>
      </c>
      <c r="U1457" s="200"/>
      <c r="V1457" s="201" t="str">
        <f t="shared" si="235"/>
        <v/>
      </c>
      <c r="W1457" s="202">
        <f t="shared" si="236"/>
        <v>0</v>
      </c>
      <c r="X1457" s="172"/>
    </row>
    <row r="1458" spans="1:24" x14ac:dyDescent="0.45">
      <c r="A1458" s="193">
        <v>52</v>
      </c>
      <c r="B1458" s="194" t="str">
        <f t="shared" si="232"/>
        <v/>
      </c>
      <c r="C1458" s="170" t="str">
        <f t="shared" si="233"/>
        <v/>
      </c>
      <c r="D1458" s="170"/>
      <c r="E1458" s="195"/>
      <c r="F1458" s="170"/>
      <c r="G1458" s="170"/>
      <c r="H1458" s="203"/>
      <c r="I1458" s="197" t="str">
        <f t="shared" si="237"/>
        <v/>
      </c>
      <c r="J1458" s="197" t="str">
        <f t="shared" si="238"/>
        <v/>
      </c>
      <c r="K1458" s="197"/>
      <c r="L1458" s="197"/>
      <c r="M1458" s="198"/>
      <c r="N1458" s="198"/>
      <c r="O1458" s="198"/>
      <c r="P1458" s="199"/>
      <c r="Q1458" s="200"/>
      <c r="R1458" s="200"/>
      <c r="S1458" s="200"/>
      <c r="T1458" s="200" t="str">
        <f t="shared" si="234"/>
        <v/>
      </c>
      <c r="U1458" s="200"/>
      <c r="V1458" s="201" t="str">
        <f t="shared" si="235"/>
        <v/>
      </c>
      <c r="W1458" s="202">
        <f t="shared" si="236"/>
        <v>0</v>
      </c>
      <c r="X1458" s="172"/>
    </row>
    <row r="1459" spans="1:24" x14ac:dyDescent="0.45">
      <c r="A1459" s="193">
        <v>53</v>
      </c>
      <c r="B1459" s="194" t="str">
        <f t="shared" si="232"/>
        <v/>
      </c>
      <c r="C1459" s="170" t="str">
        <f t="shared" si="233"/>
        <v/>
      </c>
      <c r="D1459" s="170"/>
      <c r="E1459" s="195"/>
      <c r="F1459" s="170"/>
      <c r="G1459" s="170"/>
      <c r="H1459" s="203"/>
      <c r="I1459" s="197" t="str">
        <f t="shared" si="237"/>
        <v/>
      </c>
      <c r="J1459" s="197" t="str">
        <f t="shared" si="238"/>
        <v/>
      </c>
      <c r="K1459" s="197"/>
      <c r="L1459" s="197"/>
      <c r="M1459" s="198"/>
      <c r="N1459" s="198"/>
      <c r="O1459" s="198"/>
      <c r="P1459" s="199"/>
      <c r="Q1459" s="200"/>
      <c r="R1459" s="200"/>
      <c r="S1459" s="200"/>
      <c r="T1459" s="200" t="str">
        <f t="shared" si="234"/>
        <v/>
      </c>
      <c r="U1459" s="200"/>
      <c r="V1459" s="201" t="str">
        <f t="shared" si="235"/>
        <v/>
      </c>
      <c r="W1459" s="202">
        <f t="shared" si="236"/>
        <v>0</v>
      </c>
      <c r="X1459" s="172"/>
    </row>
    <row r="1460" spans="1:24" x14ac:dyDescent="0.45">
      <c r="A1460" s="193">
        <v>54</v>
      </c>
      <c r="B1460" s="194" t="str">
        <f t="shared" si="232"/>
        <v/>
      </c>
      <c r="C1460" s="170" t="str">
        <f t="shared" si="233"/>
        <v/>
      </c>
      <c r="D1460" s="170"/>
      <c r="E1460" s="195"/>
      <c r="F1460" s="170"/>
      <c r="G1460" s="170"/>
      <c r="H1460" s="203"/>
      <c r="I1460" s="197" t="str">
        <f t="shared" si="237"/>
        <v/>
      </c>
      <c r="J1460" s="197" t="str">
        <f t="shared" si="238"/>
        <v/>
      </c>
      <c r="K1460" s="197"/>
      <c r="L1460" s="197"/>
      <c r="M1460" s="198"/>
      <c r="N1460" s="198"/>
      <c r="O1460" s="198"/>
      <c r="P1460" s="199"/>
      <c r="Q1460" s="200"/>
      <c r="R1460" s="200"/>
      <c r="S1460" s="200"/>
      <c r="T1460" s="200" t="str">
        <f t="shared" si="234"/>
        <v/>
      </c>
      <c r="U1460" s="200"/>
      <c r="V1460" s="201" t="str">
        <f t="shared" si="235"/>
        <v/>
      </c>
      <c r="W1460" s="202">
        <f t="shared" si="236"/>
        <v>0</v>
      </c>
      <c r="X1460" s="172"/>
    </row>
    <row r="1461" spans="1:24" x14ac:dyDescent="0.45">
      <c r="A1461" s="193">
        <v>55</v>
      </c>
      <c r="B1461" s="194" t="str">
        <f t="shared" si="232"/>
        <v/>
      </c>
      <c r="C1461" s="170" t="str">
        <f t="shared" si="233"/>
        <v/>
      </c>
      <c r="D1461" s="170"/>
      <c r="E1461" s="195"/>
      <c r="F1461" s="170"/>
      <c r="G1461" s="170"/>
      <c r="H1461" s="203"/>
      <c r="I1461" s="197" t="str">
        <f t="shared" si="237"/>
        <v/>
      </c>
      <c r="J1461" s="197" t="str">
        <f t="shared" si="238"/>
        <v/>
      </c>
      <c r="K1461" s="197"/>
      <c r="L1461" s="197"/>
      <c r="M1461" s="198"/>
      <c r="N1461" s="198"/>
      <c r="O1461" s="198"/>
      <c r="P1461" s="199"/>
      <c r="Q1461" s="200"/>
      <c r="R1461" s="200"/>
      <c r="S1461" s="200"/>
      <c r="T1461" s="200" t="str">
        <f t="shared" si="234"/>
        <v/>
      </c>
      <c r="U1461" s="200"/>
      <c r="V1461" s="201" t="str">
        <f t="shared" si="235"/>
        <v/>
      </c>
      <c r="W1461" s="202">
        <f t="shared" si="236"/>
        <v>0</v>
      </c>
      <c r="X1461" s="172"/>
    </row>
    <row r="1462" spans="1:24" x14ac:dyDescent="0.45">
      <c r="A1462" s="193">
        <v>56</v>
      </c>
      <c r="B1462" s="194" t="str">
        <f t="shared" si="232"/>
        <v/>
      </c>
      <c r="C1462" s="170" t="str">
        <f t="shared" si="233"/>
        <v/>
      </c>
      <c r="D1462" s="170"/>
      <c r="E1462" s="195"/>
      <c r="F1462" s="170"/>
      <c r="G1462" s="170"/>
      <c r="H1462" s="203"/>
      <c r="I1462" s="197" t="str">
        <f t="shared" si="237"/>
        <v/>
      </c>
      <c r="J1462" s="197" t="str">
        <f t="shared" si="238"/>
        <v/>
      </c>
      <c r="K1462" s="197"/>
      <c r="L1462" s="197"/>
      <c r="M1462" s="198"/>
      <c r="N1462" s="198"/>
      <c r="O1462" s="198"/>
      <c r="P1462" s="199"/>
      <c r="Q1462" s="200"/>
      <c r="R1462" s="200"/>
      <c r="S1462" s="200"/>
      <c r="T1462" s="200" t="str">
        <f t="shared" si="234"/>
        <v/>
      </c>
      <c r="U1462" s="200"/>
      <c r="V1462" s="201" t="str">
        <f t="shared" si="235"/>
        <v/>
      </c>
      <c r="W1462" s="202">
        <f t="shared" si="236"/>
        <v>0</v>
      </c>
      <c r="X1462" s="172"/>
    </row>
    <row r="1463" spans="1:24" x14ac:dyDescent="0.45">
      <c r="A1463" s="193">
        <v>57</v>
      </c>
      <c r="B1463" s="194" t="str">
        <f t="shared" si="232"/>
        <v/>
      </c>
      <c r="C1463" s="170" t="str">
        <f t="shared" si="233"/>
        <v/>
      </c>
      <c r="D1463" s="170"/>
      <c r="E1463" s="195"/>
      <c r="F1463" s="170"/>
      <c r="G1463" s="170"/>
      <c r="H1463" s="203"/>
      <c r="I1463" s="197" t="str">
        <f t="shared" si="237"/>
        <v/>
      </c>
      <c r="J1463" s="197" t="str">
        <f t="shared" si="238"/>
        <v/>
      </c>
      <c r="K1463" s="197"/>
      <c r="L1463" s="197"/>
      <c r="M1463" s="198"/>
      <c r="N1463" s="198"/>
      <c r="O1463" s="198"/>
      <c r="P1463" s="199"/>
      <c r="Q1463" s="200"/>
      <c r="R1463" s="200"/>
      <c r="S1463" s="200"/>
      <c r="T1463" s="200" t="str">
        <f t="shared" si="234"/>
        <v/>
      </c>
      <c r="U1463" s="200"/>
      <c r="V1463" s="201" t="str">
        <f t="shared" si="235"/>
        <v/>
      </c>
      <c r="W1463" s="202">
        <f t="shared" si="236"/>
        <v>0</v>
      </c>
      <c r="X1463" s="172"/>
    </row>
    <row r="1464" spans="1:24" x14ac:dyDescent="0.45">
      <c r="A1464" s="193">
        <v>58</v>
      </c>
      <c r="B1464" s="194" t="str">
        <f t="shared" si="232"/>
        <v/>
      </c>
      <c r="C1464" s="170" t="str">
        <f t="shared" si="233"/>
        <v/>
      </c>
      <c r="D1464" s="170"/>
      <c r="E1464" s="195"/>
      <c r="F1464" s="170"/>
      <c r="G1464" s="170"/>
      <c r="H1464" s="203"/>
      <c r="I1464" s="197" t="str">
        <f t="shared" si="237"/>
        <v/>
      </c>
      <c r="J1464" s="197" t="str">
        <f t="shared" si="238"/>
        <v/>
      </c>
      <c r="K1464" s="197"/>
      <c r="L1464" s="197"/>
      <c r="M1464" s="198"/>
      <c r="N1464" s="198"/>
      <c r="O1464" s="198"/>
      <c r="P1464" s="199"/>
      <c r="Q1464" s="200"/>
      <c r="R1464" s="200"/>
      <c r="S1464" s="200"/>
      <c r="T1464" s="200" t="str">
        <f t="shared" si="234"/>
        <v/>
      </c>
      <c r="U1464" s="200"/>
      <c r="V1464" s="201" t="str">
        <f t="shared" si="235"/>
        <v/>
      </c>
      <c r="W1464" s="202">
        <f t="shared" si="236"/>
        <v>0</v>
      </c>
      <c r="X1464" s="172"/>
    </row>
    <row r="1465" spans="1:24" x14ac:dyDescent="0.45">
      <c r="A1465" s="193">
        <v>59</v>
      </c>
      <c r="B1465" s="194" t="str">
        <f t="shared" si="232"/>
        <v/>
      </c>
      <c r="C1465" s="170" t="str">
        <f t="shared" si="233"/>
        <v/>
      </c>
      <c r="D1465" s="170"/>
      <c r="E1465" s="195"/>
      <c r="F1465" s="170"/>
      <c r="G1465" s="170"/>
      <c r="H1465" s="203"/>
      <c r="I1465" s="197" t="str">
        <f t="shared" si="237"/>
        <v/>
      </c>
      <c r="J1465" s="197" t="str">
        <f t="shared" si="238"/>
        <v/>
      </c>
      <c r="K1465" s="197"/>
      <c r="L1465" s="197"/>
      <c r="M1465" s="198"/>
      <c r="N1465" s="198"/>
      <c r="O1465" s="198"/>
      <c r="P1465" s="199"/>
      <c r="Q1465" s="200"/>
      <c r="R1465" s="200"/>
      <c r="S1465" s="200"/>
      <c r="T1465" s="200" t="str">
        <f t="shared" si="234"/>
        <v/>
      </c>
      <c r="U1465" s="200"/>
      <c r="V1465" s="201" t="str">
        <f t="shared" si="235"/>
        <v/>
      </c>
      <c r="W1465" s="202">
        <f t="shared" si="236"/>
        <v>0</v>
      </c>
      <c r="X1465" s="172"/>
    </row>
    <row r="1466" spans="1:24" x14ac:dyDescent="0.45">
      <c r="A1466" s="193">
        <v>60</v>
      </c>
      <c r="B1466" s="194" t="str">
        <f t="shared" si="232"/>
        <v/>
      </c>
      <c r="C1466" s="170" t="str">
        <f t="shared" si="233"/>
        <v/>
      </c>
      <c r="D1466" s="170"/>
      <c r="E1466" s="195"/>
      <c r="F1466" s="170"/>
      <c r="G1466" s="170"/>
      <c r="H1466" s="203"/>
      <c r="I1466" s="197" t="str">
        <f t="shared" si="237"/>
        <v/>
      </c>
      <c r="J1466" s="197" t="str">
        <f t="shared" si="238"/>
        <v/>
      </c>
      <c r="K1466" s="197"/>
      <c r="L1466" s="197"/>
      <c r="M1466" s="198"/>
      <c r="N1466" s="198"/>
      <c r="O1466" s="198"/>
      <c r="P1466" s="199"/>
      <c r="Q1466" s="200"/>
      <c r="R1466" s="200"/>
      <c r="S1466" s="200"/>
      <c r="T1466" s="200" t="str">
        <f t="shared" si="234"/>
        <v/>
      </c>
      <c r="U1466" s="200"/>
      <c r="V1466" s="201" t="str">
        <f t="shared" si="235"/>
        <v/>
      </c>
      <c r="W1466" s="202">
        <f t="shared" si="236"/>
        <v>0</v>
      </c>
      <c r="X1466" s="172"/>
    </row>
    <row r="1467" spans="1:24" x14ac:dyDescent="0.45">
      <c r="A1467" s="193">
        <v>61</v>
      </c>
      <c r="B1467" s="194" t="str">
        <f t="shared" si="232"/>
        <v/>
      </c>
      <c r="C1467" s="170" t="str">
        <f t="shared" si="233"/>
        <v/>
      </c>
      <c r="D1467" s="170"/>
      <c r="E1467" s="195"/>
      <c r="F1467" s="170"/>
      <c r="G1467" s="170"/>
      <c r="H1467" s="203"/>
      <c r="I1467" s="197" t="str">
        <f t="shared" si="237"/>
        <v/>
      </c>
      <c r="J1467" s="197" t="str">
        <f t="shared" si="238"/>
        <v/>
      </c>
      <c r="K1467" s="197"/>
      <c r="L1467" s="197"/>
      <c r="M1467" s="198"/>
      <c r="N1467" s="198"/>
      <c r="O1467" s="198"/>
      <c r="P1467" s="199"/>
      <c r="Q1467" s="200"/>
      <c r="R1467" s="200"/>
      <c r="S1467" s="200"/>
      <c r="T1467" s="200" t="str">
        <f t="shared" si="234"/>
        <v/>
      </c>
      <c r="U1467" s="200"/>
      <c r="V1467" s="201" t="str">
        <f t="shared" si="235"/>
        <v/>
      </c>
      <c r="W1467" s="202">
        <f t="shared" si="236"/>
        <v>0</v>
      </c>
      <c r="X1467" s="172"/>
    </row>
    <row r="1468" spans="1:24" x14ac:dyDescent="0.45">
      <c r="A1468" s="193">
        <v>62</v>
      </c>
      <c r="B1468" s="194" t="str">
        <f t="shared" si="232"/>
        <v/>
      </c>
      <c r="C1468" s="170" t="str">
        <f t="shared" si="233"/>
        <v/>
      </c>
      <c r="D1468" s="170"/>
      <c r="E1468" s="195"/>
      <c r="F1468" s="170"/>
      <c r="G1468" s="170"/>
      <c r="H1468" s="203"/>
      <c r="I1468" s="197" t="str">
        <f t="shared" si="237"/>
        <v/>
      </c>
      <c r="J1468" s="197" t="str">
        <f t="shared" si="238"/>
        <v/>
      </c>
      <c r="K1468" s="197"/>
      <c r="L1468" s="197"/>
      <c r="M1468" s="198"/>
      <c r="N1468" s="198"/>
      <c r="O1468" s="198"/>
      <c r="P1468" s="199"/>
      <c r="Q1468" s="200"/>
      <c r="R1468" s="200"/>
      <c r="S1468" s="200"/>
      <c r="T1468" s="200" t="str">
        <f t="shared" si="234"/>
        <v/>
      </c>
      <c r="U1468" s="200"/>
      <c r="V1468" s="201" t="str">
        <f t="shared" si="235"/>
        <v/>
      </c>
      <c r="W1468" s="202">
        <f t="shared" si="236"/>
        <v>0</v>
      </c>
      <c r="X1468" s="172"/>
    </row>
    <row r="1469" spans="1:24" x14ac:dyDescent="0.45">
      <c r="A1469" s="193">
        <v>63</v>
      </c>
      <c r="B1469" s="194" t="str">
        <f t="shared" si="232"/>
        <v/>
      </c>
      <c r="C1469" s="170" t="str">
        <f t="shared" si="233"/>
        <v/>
      </c>
      <c r="D1469" s="170"/>
      <c r="E1469" s="195"/>
      <c r="F1469" s="170"/>
      <c r="G1469" s="170"/>
      <c r="H1469" s="203"/>
      <c r="I1469" s="197" t="str">
        <f t="shared" si="237"/>
        <v/>
      </c>
      <c r="J1469" s="197" t="str">
        <f t="shared" si="238"/>
        <v/>
      </c>
      <c r="K1469" s="197"/>
      <c r="L1469" s="197"/>
      <c r="M1469" s="198"/>
      <c r="N1469" s="198"/>
      <c r="O1469" s="198"/>
      <c r="P1469" s="199"/>
      <c r="Q1469" s="200"/>
      <c r="R1469" s="200"/>
      <c r="S1469" s="200"/>
      <c r="T1469" s="200" t="str">
        <f t="shared" si="234"/>
        <v/>
      </c>
      <c r="U1469" s="200"/>
      <c r="V1469" s="201" t="str">
        <f t="shared" si="235"/>
        <v/>
      </c>
      <c r="W1469" s="202">
        <f t="shared" si="236"/>
        <v>0</v>
      </c>
      <c r="X1469" s="172"/>
    </row>
    <row r="1470" spans="1:24" x14ac:dyDescent="0.45">
      <c r="A1470" s="193">
        <v>64</v>
      </c>
      <c r="B1470" s="194" t="str">
        <f t="shared" si="232"/>
        <v/>
      </c>
      <c r="C1470" s="170" t="str">
        <f t="shared" si="233"/>
        <v/>
      </c>
      <c r="D1470" s="170"/>
      <c r="E1470" s="195"/>
      <c r="F1470" s="170"/>
      <c r="G1470" s="170"/>
      <c r="H1470" s="203"/>
      <c r="I1470" s="197" t="str">
        <f t="shared" si="237"/>
        <v/>
      </c>
      <c r="J1470" s="197" t="str">
        <f t="shared" si="238"/>
        <v/>
      </c>
      <c r="K1470" s="197"/>
      <c r="L1470" s="197"/>
      <c r="M1470" s="198"/>
      <c r="N1470" s="198"/>
      <c r="O1470" s="198"/>
      <c r="P1470" s="199"/>
      <c r="Q1470" s="200"/>
      <c r="R1470" s="200"/>
      <c r="S1470" s="200"/>
      <c r="T1470" s="200" t="str">
        <f t="shared" si="234"/>
        <v/>
      </c>
      <c r="U1470" s="200"/>
      <c r="V1470" s="201" t="str">
        <f t="shared" si="235"/>
        <v/>
      </c>
      <c r="W1470" s="202">
        <f t="shared" si="236"/>
        <v>0</v>
      </c>
      <c r="X1470" s="172"/>
    </row>
    <row r="1471" spans="1:24" x14ac:dyDescent="0.45">
      <c r="A1471" s="193">
        <v>65</v>
      </c>
      <c r="B1471" s="194" t="str">
        <f t="shared" si="232"/>
        <v/>
      </c>
      <c r="C1471" s="170" t="str">
        <f t="shared" si="233"/>
        <v/>
      </c>
      <c r="D1471" s="170"/>
      <c r="E1471" s="195"/>
      <c r="F1471" s="170"/>
      <c r="G1471" s="170"/>
      <c r="H1471" s="203"/>
      <c r="I1471" s="197" t="str">
        <f t="shared" si="237"/>
        <v/>
      </c>
      <c r="J1471" s="197" t="str">
        <f t="shared" si="238"/>
        <v/>
      </c>
      <c r="K1471" s="197"/>
      <c r="L1471" s="197"/>
      <c r="M1471" s="198"/>
      <c r="N1471" s="198"/>
      <c r="O1471" s="198"/>
      <c r="P1471" s="199"/>
      <c r="Q1471" s="200"/>
      <c r="R1471" s="200"/>
      <c r="S1471" s="200"/>
      <c r="T1471" s="200" t="str">
        <f t="shared" si="234"/>
        <v/>
      </c>
      <c r="U1471" s="200"/>
      <c r="V1471" s="201" t="str">
        <f t="shared" ref="V1471:V1472" si="239">IF(U1471="","",$V$1387)</f>
        <v/>
      </c>
      <c r="W1471" s="202">
        <f t="shared" si="236"/>
        <v>0</v>
      </c>
      <c r="X1471" s="172"/>
    </row>
    <row r="1472" spans="1:24" ht="14.25" customHeight="1" x14ac:dyDescent="0.45">
      <c r="A1472" s="193">
        <v>66</v>
      </c>
      <c r="B1472" s="204" t="str">
        <f t="shared" si="232"/>
        <v/>
      </c>
      <c r="C1472" s="205" t="str">
        <f t="shared" si="233"/>
        <v/>
      </c>
      <c r="D1472" s="205"/>
      <c r="E1472" s="205"/>
      <c r="F1472" s="205"/>
      <c r="G1472" s="205"/>
      <c r="H1472" s="205"/>
      <c r="I1472" s="206" t="str">
        <f t="shared" si="237"/>
        <v/>
      </c>
      <c r="J1472" s="206" t="str">
        <f t="shared" si="238"/>
        <v/>
      </c>
      <c r="K1472" s="206"/>
      <c r="L1472" s="206"/>
      <c r="M1472" s="205"/>
      <c r="N1472" s="205"/>
      <c r="O1472" s="205"/>
      <c r="P1472" s="205"/>
      <c r="Q1472" s="205"/>
      <c r="R1472" s="205"/>
      <c r="S1472" s="205"/>
      <c r="T1472" s="205" t="str">
        <f t="shared" si="234"/>
        <v/>
      </c>
      <c r="U1472" s="205"/>
      <c r="V1472" s="205" t="str">
        <f t="shared" si="239"/>
        <v/>
      </c>
      <c r="W1472" s="207">
        <f t="shared" si="236"/>
        <v>0</v>
      </c>
      <c r="X1472" s="207"/>
    </row>
    <row r="1473" spans="2:24" ht="24.75" customHeight="1" x14ac:dyDescent="0.45">
      <c r="B1473" s="428" t="s">
        <v>1524</v>
      </c>
      <c r="C1473" s="429" t="s">
        <v>1494</v>
      </c>
      <c r="D1473" s="429"/>
      <c r="E1473" s="429"/>
      <c r="F1473" s="429"/>
      <c r="G1473" s="429"/>
      <c r="H1473" s="429"/>
      <c r="I1473" s="429"/>
      <c r="J1473" s="429"/>
      <c r="K1473" s="429"/>
      <c r="L1473" s="429"/>
      <c r="M1473" s="429"/>
      <c r="N1473" s="429"/>
      <c r="O1473" s="429"/>
      <c r="P1473" s="429"/>
      <c r="Q1473" s="429"/>
      <c r="R1473" s="145" t="s">
        <v>1</v>
      </c>
      <c r="S1473" s="146"/>
      <c r="T1473" s="145" t="s">
        <v>8</v>
      </c>
      <c r="U1473" s="147"/>
      <c r="V1473" s="148" t="s">
        <v>3</v>
      </c>
      <c r="W1473" s="146"/>
      <c r="X1473" s="149"/>
    </row>
    <row r="1474" spans="2:24" ht="24.75" customHeight="1" x14ac:dyDescent="0.45">
      <c r="B1474" s="428"/>
      <c r="C1474" s="429"/>
      <c r="D1474" s="429"/>
      <c r="E1474" s="429"/>
      <c r="F1474" s="429"/>
      <c r="G1474" s="429"/>
      <c r="H1474" s="429"/>
      <c r="I1474" s="429"/>
      <c r="J1474" s="429"/>
      <c r="K1474" s="429"/>
      <c r="L1474" s="429"/>
      <c r="M1474" s="429"/>
      <c r="N1474" s="429"/>
      <c r="O1474" s="429"/>
      <c r="P1474" s="429"/>
      <c r="Q1474" s="429"/>
      <c r="R1474" s="430" t="s">
        <v>1495</v>
      </c>
      <c r="S1474" s="430"/>
      <c r="T1474" s="431" t="str">
        <f>'BM MORRO DA CRUZ - VERTICAL'!$V$4</f>
        <v>01-10-26 A 31-10-26</v>
      </c>
      <c r="U1474" s="431"/>
      <c r="V1474" s="432" t="str">
        <f>IF('BM MORRO DA CRUZ - VERTICAL'!$BF$2="","",'BM MORRO DA CRUZ - VERTICAL'!$BF$2)</f>
        <v/>
      </c>
      <c r="W1474" s="432"/>
      <c r="X1474" s="150"/>
    </row>
    <row r="1475" spans="2:24" ht="24.75" customHeight="1" x14ac:dyDescent="0.45">
      <c r="B1475" s="151" t="s">
        <v>5</v>
      </c>
      <c r="C1475" s="152"/>
      <c r="D1475" s="152"/>
      <c r="E1475" s="152"/>
      <c r="F1475" s="152"/>
      <c r="G1475" s="152"/>
      <c r="H1475" s="152"/>
      <c r="I1475" s="152"/>
      <c r="J1475" s="152"/>
      <c r="K1475" s="152"/>
      <c r="L1475" s="152"/>
      <c r="M1475" s="152"/>
      <c r="N1475" s="152"/>
      <c r="O1475" s="152"/>
      <c r="P1475" s="153"/>
      <c r="Q1475" s="154"/>
      <c r="R1475" s="155"/>
      <c r="S1475" s="155"/>
      <c r="T1475" s="156" t="s">
        <v>1496</v>
      </c>
      <c r="U1475" s="157"/>
      <c r="V1475" s="158" t="s">
        <v>9</v>
      </c>
      <c r="W1475" s="159"/>
      <c r="X1475" s="433"/>
    </row>
    <row r="1476" spans="2:24" ht="24.75" customHeight="1" x14ac:dyDescent="0.45">
      <c r="B1476" s="17" t="s">
        <v>11</v>
      </c>
      <c r="C1476" s="160"/>
      <c r="D1476" s="160"/>
      <c r="E1476" s="160"/>
      <c r="F1476" s="160"/>
      <c r="G1476" s="160"/>
      <c r="H1476" s="160"/>
      <c r="I1476" s="160"/>
      <c r="J1476" s="160"/>
      <c r="K1476" s="160"/>
      <c r="L1476" s="160"/>
      <c r="M1476" s="160"/>
      <c r="N1476" s="160"/>
      <c r="O1476" s="160"/>
      <c r="P1476" s="161"/>
      <c r="Q1476" s="162"/>
      <c r="R1476" s="163"/>
      <c r="S1476" s="163"/>
      <c r="T1476" s="434" t="str">
        <f>'BM MORRO DA CRUZ - VERTICAL'!$V$2</f>
        <v>1ª MEDIÇÃO</v>
      </c>
      <c r="U1476" s="434"/>
      <c r="V1476" s="435" t="s">
        <v>13</v>
      </c>
      <c r="W1476" s="435"/>
      <c r="X1476" s="433"/>
    </row>
    <row r="1477" spans="2:24" ht="24.75" customHeight="1" x14ac:dyDescent="0.45">
      <c r="B1477" s="164" t="s">
        <v>1459</v>
      </c>
      <c r="C1477" s="165" t="s">
        <v>14</v>
      </c>
      <c r="D1477" s="165" t="s">
        <v>24</v>
      </c>
      <c r="E1477" s="165" t="s">
        <v>25</v>
      </c>
      <c r="F1477" s="166" t="s">
        <v>1461</v>
      </c>
      <c r="G1477" s="165"/>
      <c r="H1477" s="165"/>
      <c r="I1477" s="165"/>
      <c r="J1477" s="165"/>
      <c r="K1477" s="165"/>
      <c r="L1477" s="165"/>
      <c r="M1477" s="165"/>
      <c r="N1477" s="165"/>
      <c r="O1477" s="165"/>
      <c r="P1477" s="165"/>
      <c r="Q1477" s="165"/>
      <c r="R1477" s="165"/>
      <c r="S1477" s="165"/>
      <c r="T1477" s="165"/>
      <c r="U1477" s="165"/>
      <c r="V1477" s="165" t="s">
        <v>26</v>
      </c>
      <c r="W1477" s="167" t="s">
        <v>29</v>
      </c>
      <c r="X1477" s="168"/>
    </row>
    <row r="1478" spans="2:24" ht="24.75" customHeight="1" x14ac:dyDescent="0.45">
      <c r="B1478" s="169"/>
      <c r="C1478" s="170"/>
      <c r="D1478" s="170"/>
      <c r="E1478" s="170"/>
      <c r="F1478" s="170"/>
      <c r="G1478" s="170"/>
      <c r="H1478" s="170"/>
      <c r="I1478" s="170"/>
      <c r="J1478" s="170"/>
      <c r="K1478" s="170"/>
      <c r="L1478" s="170"/>
      <c r="M1478" s="170"/>
      <c r="N1478" s="170"/>
      <c r="O1478" s="170"/>
      <c r="P1478" s="170"/>
      <c r="Q1478" s="170"/>
      <c r="R1478" s="170"/>
      <c r="S1478" s="170"/>
      <c r="T1478" s="170"/>
      <c r="U1478" s="170"/>
      <c r="V1478" s="170"/>
      <c r="W1478" s="171"/>
      <c r="X1478" s="172"/>
    </row>
    <row r="1479" spans="2:24" ht="24.75" customHeight="1" x14ac:dyDescent="0.45">
      <c r="B1479" s="173" t="str">
        <f>IF($C$1479="","",IFERROR(INDEX('BM MORRO DA CRUZ - VERTICAL'!$C$6:$C$546,MATCH($C$1479,'BM MORRO DA CRUZ - VERTICAL'!$D$6:$D$546,0)),"CHAVE NÃO ENCONTRADA NO VERTICAL"))</f>
        <v/>
      </c>
      <c r="C1479" s="174"/>
      <c r="D1479" s="175" t="str">
        <f>IF($C$1479="","",IFERROR(INDEX('BM MORRO DA CRUZ - VERTICAL'!$O$6:$O$546,MATCH($C$1479,'BM MORRO DA CRUZ - VERTICAL'!$D$6:$D$546,0)),"CHAVE NÃO ENCONTRADA NO VERTICAL"))</f>
        <v/>
      </c>
      <c r="E1479" s="175" t="str">
        <f>IF($C$1479="","",IFERROR(INDEX('BM MORRO DA CRUZ - VERTICAL'!$P$6:$P$546,MATCH($C$1479,'BM MORRO DA CRUZ - VERTICAL'!$D$6:$D$546,0)),"CHAVE NÃO ENCONTRADA NO VERTICAL"))</f>
        <v/>
      </c>
      <c r="F1479" s="175" t="str">
        <f>IF($C$1479="","",IFERROR(INDEX('BM MORRO DA CRUZ - VERTICAL'!$Q$6:$Q$546,MATCH($C$1479,'BM MORRO DA CRUZ - VERTICAL'!$D$6:$D$546,0)),"CHAVE NÃO ENCONTRADA NO VERTICAL"))</f>
        <v/>
      </c>
      <c r="G1479" s="176"/>
      <c r="H1479" s="176"/>
      <c r="I1479" s="176"/>
      <c r="J1479" s="176"/>
      <c r="K1479" s="176"/>
      <c r="L1479" s="176"/>
      <c r="M1479" s="176"/>
      <c r="N1479" s="176"/>
      <c r="O1479" s="176"/>
      <c r="P1479" s="176"/>
      <c r="Q1479" s="176"/>
      <c r="R1479" s="176"/>
      <c r="S1479" s="176"/>
      <c r="T1479" s="176"/>
      <c r="U1479" s="176"/>
      <c r="V1479" s="177" t="str">
        <f>IF($C$1479="","",IFERROR(INDEX('BM MORRO DA CRUZ - VERTICAL'!$R$6:$R$546,MATCH($C$1479,'BM MORRO DA CRUZ - VERTICAL'!$D$6:$D$546,0)),"CHAVE NÃO ENCONTRADA NO VERTICAL"))</f>
        <v/>
      </c>
      <c r="W1479" s="178">
        <f>SUM($W1499:$W1564)</f>
        <v>0</v>
      </c>
      <c r="X1479" s="179"/>
    </row>
    <row r="1480" spans="2:24" ht="24.75" customHeight="1" x14ac:dyDescent="0.45">
      <c r="B1480" s="426" t="s">
        <v>1497</v>
      </c>
      <c r="C1480" s="426"/>
      <c r="D1480" s="426"/>
      <c r="E1480" s="426"/>
      <c r="F1480" s="426"/>
      <c r="G1480" s="426"/>
      <c r="H1480" s="426"/>
      <c r="I1480" s="426"/>
      <c r="J1480" s="426"/>
      <c r="K1480" s="426"/>
      <c r="L1480" s="426"/>
      <c r="M1480" s="426"/>
      <c r="N1480" s="426"/>
      <c r="O1480" s="426"/>
      <c r="P1480" s="426"/>
      <c r="Q1480" s="426"/>
      <c r="R1480" s="426"/>
      <c r="S1480" s="426"/>
      <c r="T1480" s="426"/>
      <c r="U1480" s="426"/>
      <c r="V1480" s="426"/>
      <c r="W1480" s="426"/>
      <c r="X1480" s="180" t="s">
        <v>1498</v>
      </c>
    </row>
    <row r="1481" spans="2:24" ht="14.25" customHeight="1" x14ac:dyDescent="0.45">
      <c r="B1481" s="181"/>
      <c r="C1481" s="182"/>
      <c r="D1481" s="182"/>
      <c r="E1481" s="182"/>
      <c r="F1481" s="182"/>
      <c r="G1481" s="182"/>
      <c r="H1481" s="182"/>
      <c r="I1481" s="182"/>
      <c r="J1481" s="182"/>
      <c r="K1481" s="182"/>
      <c r="L1481" s="182"/>
      <c r="M1481" s="182"/>
      <c r="N1481" s="182"/>
      <c r="O1481" s="182"/>
      <c r="P1481" s="182"/>
      <c r="Q1481" s="182"/>
      <c r="R1481" s="182"/>
      <c r="S1481" s="182"/>
      <c r="T1481" s="182"/>
      <c r="U1481" s="182"/>
      <c r="V1481" s="182"/>
      <c r="W1481" s="183"/>
      <c r="X1481" s="427"/>
    </row>
    <row r="1482" spans="2:24" x14ac:dyDescent="0.45">
      <c r="B1482" s="181"/>
      <c r="C1482" s="182"/>
      <c r="D1482" s="182"/>
      <c r="E1482" s="182"/>
      <c r="F1482" s="182"/>
      <c r="G1482" s="182"/>
      <c r="H1482" s="182"/>
      <c r="I1482" s="182"/>
      <c r="J1482" s="182"/>
      <c r="K1482" s="182"/>
      <c r="L1482" s="182"/>
      <c r="M1482" s="182"/>
      <c r="N1482" s="182"/>
      <c r="O1482" s="182"/>
      <c r="P1482" s="182"/>
      <c r="Q1482" s="182"/>
      <c r="R1482" s="182"/>
      <c r="S1482" s="182"/>
      <c r="T1482" s="182"/>
      <c r="U1482" s="182"/>
      <c r="V1482" s="182"/>
      <c r="W1482" s="183"/>
      <c r="X1482" s="427"/>
    </row>
    <row r="1483" spans="2:24" x14ac:dyDescent="0.45">
      <c r="B1483" s="181"/>
      <c r="C1483" s="182"/>
      <c r="D1483" s="182"/>
      <c r="E1483" s="182"/>
      <c r="F1483" s="182"/>
      <c r="G1483" s="182"/>
      <c r="H1483" s="182"/>
      <c r="I1483" s="182"/>
      <c r="J1483" s="182"/>
      <c r="K1483" s="182"/>
      <c r="L1483" s="182"/>
      <c r="M1483" s="182"/>
      <c r="N1483" s="182"/>
      <c r="O1483" s="182"/>
      <c r="P1483" s="182"/>
      <c r="Q1483" s="182"/>
      <c r="R1483" s="182"/>
      <c r="S1483" s="182"/>
      <c r="T1483" s="182"/>
      <c r="U1483" s="182"/>
      <c r="V1483" s="182"/>
      <c r="W1483" s="183"/>
      <c r="X1483" s="427"/>
    </row>
    <row r="1484" spans="2:24" x14ac:dyDescent="0.45">
      <c r="B1484" s="181"/>
      <c r="C1484" s="182"/>
      <c r="D1484" s="182"/>
      <c r="E1484" s="182"/>
      <c r="F1484" s="182"/>
      <c r="G1484" s="182"/>
      <c r="H1484" s="182"/>
      <c r="I1484" s="182"/>
      <c r="J1484" s="182"/>
      <c r="K1484" s="182"/>
      <c r="L1484" s="182"/>
      <c r="M1484" s="182"/>
      <c r="N1484" s="182"/>
      <c r="O1484" s="182"/>
      <c r="P1484" s="182"/>
      <c r="Q1484" s="182"/>
      <c r="R1484" s="182"/>
      <c r="S1484" s="182"/>
      <c r="T1484" s="182"/>
      <c r="U1484" s="182"/>
      <c r="V1484" s="182"/>
      <c r="W1484" s="183"/>
      <c r="X1484" s="427"/>
    </row>
    <row r="1485" spans="2:24" x14ac:dyDescent="0.45">
      <c r="B1485" s="181"/>
      <c r="C1485" s="182"/>
      <c r="D1485" s="182"/>
      <c r="E1485" s="182"/>
      <c r="F1485" s="182"/>
      <c r="G1485" s="182"/>
      <c r="H1485" s="182"/>
      <c r="I1485" s="182"/>
      <c r="J1485" s="182"/>
      <c r="K1485" s="182"/>
      <c r="L1485" s="182"/>
      <c r="M1485" s="182"/>
      <c r="N1485" s="182"/>
      <c r="O1485" s="182"/>
      <c r="P1485" s="182"/>
      <c r="Q1485" s="182"/>
      <c r="R1485" s="182"/>
      <c r="S1485" s="182"/>
      <c r="T1485" s="182"/>
      <c r="U1485" s="182"/>
      <c r="V1485" s="182"/>
      <c r="W1485" s="183"/>
      <c r="X1485" s="427"/>
    </row>
    <row r="1486" spans="2:24" x14ac:dyDescent="0.45">
      <c r="B1486" s="181"/>
      <c r="C1486" s="182"/>
      <c r="D1486" s="182"/>
      <c r="E1486" s="182"/>
      <c r="F1486" s="182"/>
      <c r="G1486" s="182"/>
      <c r="H1486" s="182"/>
      <c r="I1486" s="182"/>
      <c r="J1486" s="182"/>
      <c r="K1486" s="182"/>
      <c r="L1486" s="182"/>
      <c r="M1486" s="182"/>
      <c r="N1486" s="182"/>
      <c r="O1486" s="182"/>
      <c r="P1486" s="182"/>
      <c r="Q1486" s="182"/>
      <c r="R1486" s="182"/>
      <c r="S1486" s="182"/>
      <c r="T1486" s="182"/>
      <c r="U1486" s="182"/>
      <c r="V1486" s="182"/>
      <c r="W1486" s="183"/>
      <c r="X1486" s="427"/>
    </row>
    <row r="1487" spans="2:24" x14ac:dyDescent="0.45">
      <c r="B1487" s="181"/>
      <c r="C1487" s="182"/>
      <c r="D1487" s="182"/>
      <c r="E1487" s="182"/>
      <c r="F1487" s="182"/>
      <c r="G1487" s="182"/>
      <c r="H1487" s="182"/>
      <c r="I1487" s="182"/>
      <c r="J1487" s="182"/>
      <c r="K1487" s="182"/>
      <c r="L1487" s="182"/>
      <c r="M1487" s="182"/>
      <c r="N1487" s="182"/>
      <c r="O1487" s="182"/>
      <c r="P1487" s="182"/>
      <c r="Q1487" s="182"/>
      <c r="R1487" s="182"/>
      <c r="S1487" s="182"/>
      <c r="T1487" s="182"/>
      <c r="U1487" s="182"/>
      <c r="V1487" s="182"/>
      <c r="W1487" s="183"/>
      <c r="X1487" s="427"/>
    </row>
    <row r="1488" spans="2:24" x14ac:dyDescent="0.45">
      <c r="B1488" s="181"/>
      <c r="C1488" s="182"/>
      <c r="D1488" s="182"/>
      <c r="E1488" s="182"/>
      <c r="F1488" s="182"/>
      <c r="G1488" s="182"/>
      <c r="H1488" s="182"/>
      <c r="I1488" s="182"/>
      <c r="J1488" s="182"/>
      <c r="K1488" s="182"/>
      <c r="L1488" s="182"/>
      <c r="M1488" s="182"/>
      <c r="N1488" s="182"/>
      <c r="O1488" s="182"/>
      <c r="P1488" s="182"/>
      <c r="Q1488" s="182"/>
      <c r="R1488" s="182"/>
      <c r="S1488" s="182"/>
      <c r="T1488" s="182"/>
      <c r="U1488" s="182"/>
      <c r="V1488" s="182"/>
      <c r="W1488" s="183"/>
      <c r="X1488" s="427"/>
    </row>
    <row r="1489" spans="1:24" x14ac:dyDescent="0.45">
      <c r="B1489" s="181"/>
      <c r="C1489" s="182"/>
      <c r="D1489" s="182"/>
      <c r="E1489" s="182"/>
      <c r="F1489" s="182"/>
      <c r="G1489" s="182"/>
      <c r="H1489" s="182"/>
      <c r="I1489" s="182"/>
      <c r="J1489" s="182"/>
      <c r="K1489" s="182"/>
      <c r="L1489" s="182"/>
      <c r="M1489" s="182"/>
      <c r="N1489" s="182"/>
      <c r="O1489" s="182"/>
      <c r="P1489" s="182"/>
      <c r="Q1489" s="182"/>
      <c r="R1489" s="182"/>
      <c r="S1489" s="182"/>
      <c r="T1489" s="182"/>
      <c r="U1489" s="182"/>
      <c r="V1489" s="182"/>
      <c r="W1489" s="183"/>
      <c r="X1489" s="427"/>
    </row>
    <row r="1490" spans="1:24" x14ac:dyDescent="0.45">
      <c r="B1490" s="181"/>
      <c r="C1490" s="182"/>
      <c r="D1490" s="182"/>
      <c r="E1490" s="182"/>
      <c r="F1490" s="182"/>
      <c r="G1490" s="182"/>
      <c r="H1490" s="182"/>
      <c r="I1490" s="182"/>
      <c r="J1490" s="182"/>
      <c r="K1490" s="182"/>
      <c r="L1490" s="182"/>
      <c r="M1490" s="182"/>
      <c r="N1490" s="182"/>
      <c r="O1490" s="182"/>
      <c r="P1490" s="182"/>
      <c r="Q1490" s="182"/>
      <c r="R1490" s="182"/>
      <c r="S1490" s="182"/>
      <c r="T1490" s="182"/>
      <c r="U1490" s="182"/>
      <c r="V1490" s="182"/>
      <c r="W1490" s="183"/>
      <c r="X1490" s="427"/>
    </row>
    <row r="1491" spans="1:24" x14ac:dyDescent="0.45">
      <c r="B1491" s="181"/>
      <c r="C1491" s="182"/>
      <c r="D1491" s="182"/>
      <c r="E1491" s="182"/>
      <c r="F1491" s="182"/>
      <c r="G1491" s="182"/>
      <c r="H1491" s="182"/>
      <c r="I1491" s="182"/>
      <c r="J1491" s="182"/>
      <c r="K1491" s="182"/>
      <c r="L1491" s="182"/>
      <c r="M1491" s="182"/>
      <c r="N1491" s="182"/>
      <c r="O1491" s="182"/>
      <c r="P1491" s="182"/>
      <c r="Q1491" s="182"/>
      <c r="R1491" s="182"/>
      <c r="S1491" s="182"/>
      <c r="T1491" s="182"/>
      <c r="U1491" s="182"/>
      <c r="V1491" s="182"/>
      <c r="W1491" s="183"/>
      <c r="X1491" s="427"/>
    </row>
    <row r="1492" spans="1:24" x14ac:dyDescent="0.45">
      <c r="B1492" s="181"/>
      <c r="C1492" s="182"/>
      <c r="D1492" s="182"/>
      <c r="E1492" s="182"/>
      <c r="F1492" s="182"/>
      <c r="G1492" s="182"/>
      <c r="H1492" s="182"/>
      <c r="I1492" s="182"/>
      <c r="J1492" s="182"/>
      <c r="K1492" s="182"/>
      <c r="L1492" s="182"/>
      <c r="M1492" s="182"/>
      <c r="N1492" s="182"/>
      <c r="O1492" s="182"/>
      <c r="P1492" s="182"/>
      <c r="Q1492" s="182"/>
      <c r="R1492" s="182"/>
      <c r="S1492" s="182"/>
      <c r="T1492" s="182"/>
      <c r="U1492" s="182"/>
      <c r="V1492" s="182"/>
      <c r="W1492" s="183"/>
      <c r="X1492" s="427"/>
    </row>
    <row r="1493" spans="1:24" x14ac:dyDescent="0.45">
      <c r="B1493" s="181"/>
      <c r="C1493" s="182"/>
      <c r="D1493" s="182"/>
      <c r="E1493" s="182"/>
      <c r="F1493" s="182"/>
      <c r="G1493" s="182"/>
      <c r="H1493" s="182"/>
      <c r="I1493" s="182"/>
      <c r="J1493" s="182"/>
      <c r="K1493" s="182"/>
      <c r="L1493" s="182"/>
      <c r="M1493" s="182"/>
      <c r="N1493" s="182"/>
      <c r="O1493" s="182"/>
      <c r="P1493" s="182"/>
      <c r="Q1493" s="182"/>
      <c r="R1493" s="182"/>
      <c r="S1493" s="182"/>
      <c r="T1493" s="182"/>
      <c r="U1493" s="182"/>
      <c r="V1493" s="182"/>
      <c r="W1493" s="183"/>
      <c r="X1493" s="427"/>
    </row>
    <row r="1494" spans="1:24" x14ac:dyDescent="0.45">
      <c r="B1494" s="181"/>
      <c r="C1494" s="182"/>
      <c r="D1494" s="182"/>
      <c r="E1494" s="182"/>
      <c r="F1494" s="182"/>
      <c r="G1494" s="182"/>
      <c r="H1494" s="182"/>
      <c r="I1494" s="182"/>
      <c r="J1494" s="182"/>
      <c r="K1494" s="182"/>
      <c r="L1494" s="182"/>
      <c r="M1494" s="182"/>
      <c r="N1494" s="182"/>
      <c r="O1494" s="182"/>
      <c r="P1494" s="182"/>
      <c r="Q1494" s="182"/>
      <c r="R1494" s="182"/>
      <c r="S1494" s="182"/>
      <c r="T1494" s="182"/>
      <c r="U1494" s="182"/>
      <c r="V1494" s="182"/>
      <c r="W1494" s="183"/>
      <c r="X1494" s="427"/>
    </row>
    <row r="1495" spans="1:24" x14ac:dyDescent="0.45">
      <c r="B1495" s="181"/>
      <c r="C1495" s="182"/>
      <c r="D1495" s="182"/>
      <c r="E1495" s="182"/>
      <c r="F1495" s="182"/>
      <c r="G1495" s="182"/>
      <c r="H1495" s="182"/>
      <c r="I1495" s="182"/>
      <c r="J1495" s="182"/>
      <c r="K1495" s="182"/>
      <c r="L1495" s="182"/>
      <c r="M1495" s="182"/>
      <c r="N1495" s="182"/>
      <c r="O1495" s="182"/>
      <c r="P1495" s="182"/>
      <c r="Q1495" s="182"/>
      <c r="R1495" s="182"/>
      <c r="S1495" s="182"/>
      <c r="T1495" s="182"/>
      <c r="U1495" s="182"/>
      <c r="V1495" s="182"/>
      <c r="W1495" s="183"/>
      <c r="X1495" s="427"/>
    </row>
    <row r="1496" spans="1:24" x14ac:dyDescent="0.45">
      <c r="B1496" s="181"/>
      <c r="C1496" s="182"/>
      <c r="D1496" s="182"/>
      <c r="E1496" s="182"/>
      <c r="F1496" s="182"/>
      <c r="G1496" s="182"/>
      <c r="H1496" s="182"/>
      <c r="I1496" s="182"/>
      <c r="J1496" s="182"/>
      <c r="K1496" s="182"/>
      <c r="L1496" s="182"/>
      <c r="M1496" s="182"/>
      <c r="N1496" s="182"/>
      <c r="O1496" s="182"/>
      <c r="P1496" s="182"/>
      <c r="Q1496" s="182"/>
      <c r="R1496" s="182"/>
      <c r="S1496" s="182"/>
      <c r="T1496" s="182"/>
      <c r="U1496" s="182"/>
      <c r="V1496" s="182"/>
      <c r="W1496" s="183"/>
      <c r="X1496" s="427"/>
    </row>
    <row r="1497" spans="1:24" x14ac:dyDescent="0.45">
      <c r="B1497" s="184"/>
      <c r="C1497" s="185" t="s">
        <v>1499</v>
      </c>
      <c r="D1497" s="185"/>
      <c r="E1497" s="185"/>
      <c r="F1497" s="185"/>
      <c r="G1497" s="185"/>
      <c r="H1497" s="185"/>
      <c r="I1497" s="185"/>
      <c r="J1497" s="185"/>
      <c r="K1497" s="185"/>
      <c r="L1497" s="185"/>
      <c r="M1497" s="185"/>
      <c r="N1497" s="185"/>
      <c r="O1497" s="185"/>
      <c r="P1497" s="185"/>
      <c r="Q1497" s="185"/>
      <c r="R1497" s="185"/>
      <c r="S1497" s="185"/>
      <c r="T1497" s="185"/>
      <c r="U1497" s="185"/>
      <c r="V1497" s="185"/>
      <c r="W1497" s="186"/>
      <c r="X1497" s="187"/>
    </row>
    <row r="1498" spans="1:24" ht="26.65" x14ac:dyDescent="0.45">
      <c r="B1498" s="188" t="s">
        <v>1458</v>
      </c>
      <c r="C1498" s="185" t="s">
        <v>1459</v>
      </c>
      <c r="D1498" s="185"/>
      <c r="E1498" s="185" t="s">
        <v>1500</v>
      </c>
      <c r="F1498" s="185"/>
      <c r="G1498" s="185" t="s">
        <v>1501</v>
      </c>
      <c r="H1498" s="189" t="s">
        <v>1502</v>
      </c>
      <c r="I1498" s="185" t="s">
        <v>1503</v>
      </c>
      <c r="J1498" s="185" t="s">
        <v>1504</v>
      </c>
      <c r="K1498" s="189" t="s">
        <v>1505</v>
      </c>
      <c r="L1498" s="189" t="s">
        <v>1504</v>
      </c>
      <c r="M1498" s="189"/>
      <c r="N1498" s="189" t="s">
        <v>1506</v>
      </c>
      <c r="O1498" s="189"/>
      <c r="P1498" s="190"/>
      <c r="Q1498" s="189"/>
      <c r="R1498" s="189"/>
      <c r="S1498" s="189"/>
      <c r="T1498" s="189" t="s">
        <v>1507</v>
      </c>
      <c r="U1498" s="189" t="s">
        <v>27</v>
      </c>
      <c r="V1498" s="189" t="s">
        <v>26</v>
      </c>
      <c r="W1498" s="191" t="s">
        <v>1508</v>
      </c>
      <c r="X1498" s="192"/>
    </row>
    <row r="1499" spans="1:24" x14ac:dyDescent="0.45">
      <c r="A1499" s="193">
        <v>1</v>
      </c>
      <c r="B1499" s="194" t="str">
        <f t="shared" ref="B1499:B1530" si="240">IF(OR($C$1479="",U1499=""),"",LEFT($C$1479,FIND("_",$C$1479)-1))</f>
        <v/>
      </c>
      <c r="C1499" s="170" t="str">
        <f t="shared" ref="C1499:C1530" si="241">IF(OR($C$1479="",U1499=""),"",$B$1479)</f>
        <v/>
      </c>
      <c r="D1499" s="170"/>
      <c r="E1499" s="195"/>
      <c r="F1499" s="195"/>
      <c r="G1499" s="196"/>
      <c r="H1499" s="197"/>
      <c r="I1499" s="197"/>
      <c r="J1499" s="197"/>
      <c r="K1499" s="197"/>
      <c r="L1499" s="197"/>
      <c r="M1499" s="198"/>
      <c r="N1499" s="198"/>
      <c r="O1499" s="198"/>
      <c r="P1499" s="199"/>
      <c r="Q1499" s="200"/>
      <c r="R1499" s="200"/>
      <c r="S1499" s="200"/>
      <c r="T1499" s="200" t="str">
        <f t="shared" ref="T1499:T1530" si="242">IF(K1499="","",((K1499*20)+L1499)-((I1499*20)+J1499))</f>
        <v/>
      </c>
      <c r="U1499" s="200"/>
      <c r="V1499" s="201" t="str">
        <f t="shared" ref="V1499:V1530" si="243">IF(U1499="","",$V$1479)</f>
        <v/>
      </c>
      <c r="W1499" s="202">
        <f t="shared" ref="W1499:W1530" si="244">IF(OR(T1499="",U1499=""),0,T1499*U1499)</f>
        <v>0</v>
      </c>
      <c r="X1499" s="172"/>
    </row>
    <row r="1500" spans="1:24" x14ac:dyDescent="0.45">
      <c r="A1500" s="193">
        <v>2</v>
      </c>
      <c r="B1500" s="194" t="str">
        <f t="shared" si="240"/>
        <v/>
      </c>
      <c r="C1500" s="170" t="str">
        <f t="shared" si="241"/>
        <v/>
      </c>
      <c r="D1500" s="170"/>
      <c r="E1500" s="195"/>
      <c r="F1500" s="195"/>
      <c r="G1500" s="196"/>
      <c r="H1500" s="197"/>
      <c r="I1500" s="197" t="str">
        <f t="shared" ref="I1500:I1531" si="245">IF(K1499="","",K1499)</f>
        <v/>
      </c>
      <c r="J1500" s="197" t="str">
        <f t="shared" ref="J1500:J1531" si="246">IF(L1499="","",L1499)</f>
        <v/>
      </c>
      <c r="K1500" s="197"/>
      <c r="L1500" s="197"/>
      <c r="M1500" s="198"/>
      <c r="N1500" s="198"/>
      <c r="O1500" s="198"/>
      <c r="P1500" s="199"/>
      <c r="Q1500" s="200"/>
      <c r="R1500" s="200"/>
      <c r="S1500" s="200"/>
      <c r="T1500" s="200" t="str">
        <f t="shared" si="242"/>
        <v/>
      </c>
      <c r="U1500" s="200"/>
      <c r="V1500" s="201" t="str">
        <f t="shared" si="243"/>
        <v/>
      </c>
      <c r="W1500" s="202">
        <f t="shared" si="244"/>
        <v>0</v>
      </c>
      <c r="X1500" s="172"/>
    </row>
    <row r="1501" spans="1:24" x14ac:dyDescent="0.45">
      <c r="A1501" s="193">
        <v>3</v>
      </c>
      <c r="B1501" s="194" t="str">
        <f t="shared" si="240"/>
        <v/>
      </c>
      <c r="C1501" s="170" t="str">
        <f t="shared" si="241"/>
        <v/>
      </c>
      <c r="D1501" s="170"/>
      <c r="E1501" s="195"/>
      <c r="F1501" s="195"/>
      <c r="G1501" s="196"/>
      <c r="H1501" s="197"/>
      <c r="I1501" s="197" t="str">
        <f t="shared" si="245"/>
        <v/>
      </c>
      <c r="J1501" s="197" t="str">
        <f t="shared" si="246"/>
        <v/>
      </c>
      <c r="K1501" s="197"/>
      <c r="L1501" s="197"/>
      <c r="M1501" s="198"/>
      <c r="N1501" s="198"/>
      <c r="O1501" s="198"/>
      <c r="P1501" s="199"/>
      <c r="Q1501" s="200"/>
      <c r="R1501" s="200"/>
      <c r="S1501" s="200"/>
      <c r="T1501" s="200" t="str">
        <f t="shared" si="242"/>
        <v/>
      </c>
      <c r="U1501" s="200"/>
      <c r="V1501" s="201" t="str">
        <f t="shared" si="243"/>
        <v/>
      </c>
      <c r="W1501" s="202">
        <f t="shared" si="244"/>
        <v>0</v>
      </c>
      <c r="X1501" s="172"/>
    </row>
    <row r="1502" spans="1:24" x14ac:dyDescent="0.45">
      <c r="A1502" s="193">
        <v>4</v>
      </c>
      <c r="B1502" s="194" t="str">
        <f t="shared" si="240"/>
        <v/>
      </c>
      <c r="C1502" s="170" t="str">
        <f t="shared" si="241"/>
        <v/>
      </c>
      <c r="D1502" s="170"/>
      <c r="E1502" s="195"/>
      <c r="F1502" s="195"/>
      <c r="G1502" s="196"/>
      <c r="H1502" s="197"/>
      <c r="I1502" s="197" t="str">
        <f t="shared" si="245"/>
        <v/>
      </c>
      <c r="J1502" s="197" t="str">
        <f t="shared" si="246"/>
        <v/>
      </c>
      <c r="K1502" s="197"/>
      <c r="L1502" s="197"/>
      <c r="M1502" s="198"/>
      <c r="N1502" s="198"/>
      <c r="O1502" s="198"/>
      <c r="P1502" s="199"/>
      <c r="Q1502" s="200"/>
      <c r="R1502" s="200"/>
      <c r="S1502" s="200"/>
      <c r="T1502" s="200" t="str">
        <f t="shared" si="242"/>
        <v/>
      </c>
      <c r="U1502" s="200"/>
      <c r="V1502" s="201" t="str">
        <f t="shared" si="243"/>
        <v/>
      </c>
      <c r="W1502" s="202">
        <f t="shared" si="244"/>
        <v>0</v>
      </c>
      <c r="X1502" s="172"/>
    </row>
    <row r="1503" spans="1:24" x14ac:dyDescent="0.45">
      <c r="A1503" s="193">
        <v>5</v>
      </c>
      <c r="B1503" s="194" t="str">
        <f t="shared" si="240"/>
        <v/>
      </c>
      <c r="C1503" s="170" t="str">
        <f t="shared" si="241"/>
        <v/>
      </c>
      <c r="D1503" s="170"/>
      <c r="E1503" s="195"/>
      <c r="F1503" s="195"/>
      <c r="G1503" s="196"/>
      <c r="H1503" s="197"/>
      <c r="I1503" s="197" t="str">
        <f t="shared" si="245"/>
        <v/>
      </c>
      <c r="J1503" s="197" t="str">
        <f t="shared" si="246"/>
        <v/>
      </c>
      <c r="K1503" s="197"/>
      <c r="L1503" s="197"/>
      <c r="M1503" s="198"/>
      <c r="N1503" s="198"/>
      <c r="O1503" s="198"/>
      <c r="P1503" s="199"/>
      <c r="Q1503" s="200"/>
      <c r="R1503" s="200"/>
      <c r="S1503" s="200"/>
      <c r="T1503" s="200" t="str">
        <f t="shared" si="242"/>
        <v/>
      </c>
      <c r="U1503" s="200"/>
      <c r="V1503" s="201" t="str">
        <f t="shared" si="243"/>
        <v/>
      </c>
      <c r="W1503" s="202">
        <f t="shared" si="244"/>
        <v>0</v>
      </c>
      <c r="X1503" s="172"/>
    </row>
    <row r="1504" spans="1:24" x14ac:dyDescent="0.45">
      <c r="A1504" s="193">
        <v>6</v>
      </c>
      <c r="B1504" s="194" t="str">
        <f t="shared" si="240"/>
        <v/>
      </c>
      <c r="C1504" s="170" t="str">
        <f t="shared" si="241"/>
        <v/>
      </c>
      <c r="D1504" s="170"/>
      <c r="E1504" s="195"/>
      <c r="F1504" s="195"/>
      <c r="G1504" s="196"/>
      <c r="H1504" s="197"/>
      <c r="I1504" s="197" t="str">
        <f t="shared" si="245"/>
        <v/>
      </c>
      <c r="J1504" s="197" t="str">
        <f t="shared" si="246"/>
        <v/>
      </c>
      <c r="K1504" s="197"/>
      <c r="L1504" s="197"/>
      <c r="M1504" s="198"/>
      <c r="N1504" s="198"/>
      <c r="O1504" s="198"/>
      <c r="P1504" s="199"/>
      <c r="Q1504" s="200"/>
      <c r="R1504" s="200"/>
      <c r="S1504" s="200"/>
      <c r="T1504" s="200" t="str">
        <f t="shared" si="242"/>
        <v/>
      </c>
      <c r="U1504" s="200"/>
      <c r="V1504" s="201" t="str">
        <f t="shared" si="243"/>
        <v/>
      </c>
      <c r="W1504" s="202">
        <f t="shared" si="244"/>
        <v>0</v>
      </c>
      <c r="X1504" s="172"/>
    </row>
    <row r="1505" spans="1:24" x14ac:dyDescent="0.45">
      <c r="A1505" s="193">
        <v>7</v>
      </c>
      <c r="B1505" s="194" t="str">
        <f t="shared" si="240"/>
        <v/>
      </c>
      <c r="C1505" s="170" t="str">
        <f t="shared" si="241"/>
        <v/>
      </c>
      <c r="D1505" s="170"/>
      <c r="E1505" s="195"/>
      <c r="F1505" s="195"/>
      <c r="G1505" s="196"/>
      <c r="H1505" s="197"/>
      <c r="I1505" s="197" t="str">
        <f t="shared" si="245"/>
        <v/>
      </c>
      <c r="J1505" s="197" t="str">
        <f t="shared" si="246"/>
        <v/>
      </c>
      <c r="K1505" s="197"/>
      <c r="L1505" s="197"/>
      <c r="M1505" s="198"/>
      <c r="N1505" s="198"/>
      <c r="O1505" s="198"/>
      <c r="P1505" s="199"/>
      <c r="Q1505" s="200"/>
      <c r="R1505" s="200"/>
      <c r="S1505" s="200"/>
      <c r="T1505" s="200" t="str">
        <f t="shared" si="242"/>
        <v/>
      </c>
      <c r="U1505" s="200"/>
      <c r="V1505" s="201" t="str">
        <f t="shared" si="243"/>
        <v/>
      </c>
      <c r="W1505" s="202">
        <f t="shared" si="244"/>
        <v>0</v>
      </c>
      <c r="X1505" s="172"/>
    </row>
    <row r="1506" spans="1:24" x14ac:dyDescent="0.45">
      <c r="A1506" s="193">
        <v>8</v>
      </c>
      <c r="B1506" s="194" t="str">
        <f t="shared" si="240"/>
        <v/>
      </c>
      <c r="C1506" s="170" t="str">
        <f t="shared" si="241"/>
        <v/>
      </c>
      <c r="D1506" s="170"/>
      <c r="E1506" s="195"/>
      <c r="F1506" s="195"/>
      <c r="G1506" s="196"/>
      <c r="H1506" s="197"/>
      <c r="I1506" s="197" t="str">
        <f t="shared" si="245"/>
        <v/>
      </c>
      <c r="J1506" s="197" t="str">
        <f t="shared" si="246"/>
        <v/>
      </c>
      <c r="K1506" s="197"/>
      <c r="L1506" s="197"/>
      <c r="M1506" s="198"/>
      <c r="N1506" s="198"/>
      <c r="O1506" s="198"/>
      <c r="P1506" s="199"/>
      <c r="Q1506" s="200"/>
      <c r="R1506" s="200"/>
      <c r="S1506" s="200"/>
      <c r="T1506" s="200" t="str">
        <f t="shared" si="242"/>
        <v/>
      </c>
      <c r="U1506" s="200"/>
      <c r="V1506" s="201" t="str">
        <f t="shared" si="243"/>
        <v/>
      </c>
      <c r="W1506" s="202">
        <f t="shared" si="244"/>
        <v>0</v>
      </c>
      <c r="X1506" s="172"/>
    </row>
    <row r="1507" spans="1:24" x14ac:dyDescent="0.45">
      <c r="A1507" s="193">
        <v>9</v>
      </c>
      <c r="B1507" s="194" t="str">
        <f t="shared" si="240"/>
        <v/>
      </c>
      <c r="C1507" s="170" t="str">
        <f t="shared" si="241"/>
        <v/>
      </c>
      <c r="D1507" s="170"/>
      <c r="E1507" s="195"/>
      <c r="F1507" s="195"/>
      <c r="G1507" s="196"/>
      <c r="H1507" s="197"/>
      <c r="I1507" s="197" t="str">
        <f t="shared" si="245"/>
        <v/>
      </c>
      <c r="J1507" s="197" t="str">
        <f t="shared" si="246"/>
        <v/>
      </c>
      <c r="K1507" s="197"/>
      <c r="L1507" s="197"/>
      <c r="M1507" s="198"/>
      <c r="N1507" s="198"/>
      <c r="O1507" s="198"/>
      <c r="P1507" s="199"/>
      <c r="Q1507" s="200"/>
      <c r="R1507" s="200"/>
      <c r="S1507" s="200"/>
      <c r="T1507" s="200" t="str">
        <f t="shared" si="242"/>
        <v/>
      </c>
      <c r="U1507" s="200"/>
      <c r="V1507" s="201" t="str">
        <f t="shared" si="243"/>
        <v/>
      </c>
      <c r="W1507" s="202">
        <f t="shared" si="244"/>
        <v>0</v>
      </c>
      <c r="X1507" s="172"/>
    </row>
    <row r="1508" spans="1:24" x14ac:dyDescent="0.45">
      <c r="A1508" s="193">
        <v>10</v>
      </c>
      <c r="B1508" s="194" t="str">
        <f t="shared" si="240"/>
        <v/>
      </c>
      <c r="C1508" s="170" t="str">
        <f t="shared" si="241"/>
        <v/>
      </c>
      <c r="D1508" s="170"/>
      <c r="E1508" s="195"/>
      <c r="F1508" s="195"/>
      <c r="G1508" s="196"/>
      <c r="H1508" s="197"/>
      <c r="I1508" s="197" t="str">
        <f t="shared" si="245"/>
        <v/>
      </c>
      <c r="J1508" s="197" t="str">
        <f t="shared" si="246"/>
        <v/>
      </c>
      <c r="K1508" s="197"/>
      <c r="L1508" s="197"/>
      <c r="M1508" s="198"/>
      <c r="N1508" s="198"/>
      <c r="O1508" s="198"/>
      <c r="P1508" s="199"/>
      <c r="Q1508" s="200"/>
      <c r="R1508" s="200"/>
      <c r="S1508" s="200"/>
      <c r="T1508" s="200" t="str">
        <f t="shared" si="242"/>
        <v/>
      </c>
      <c r="U1508" s="200"/>
      <c r="V1508" s="201" t="str">
        <f t="shared" si="243"/>
        <v/>
      </c>
      <c r="W1508" s="202">
        <f t="shared" si="244"/>
        <v>0</v>
      </c>
      <c r="X1508" s="172"/>
    </row>
    <row r="1509" spans="1:24" x14ac:dyDescent="0.45">
      <c r="A1509" s="193">
        <v>11</v>
      </c>
      <c r="B1509" s="194" t="str">
        <f t="shared" si="240"/>
        <v/>
      </c>
      <c r="C1509" s="170" t="str">
        <f t="shared" si="241"/>
        <v/>
      </c>
      <c r="D1509" s="170"/>
      <c r="E1509" s="195"/>
      <c r="F1509" s="195"/>
      <c r="G1509" s="196"/>
      <c r="H1509" s="197"/>
      <c r="I1509" s="197" t="str">
        <f t="shared" si="245"/>
        <v/>
      </c>
      <c r="J1509" s="197" t="str">
        <f t="shared" si="246"/>
        <v/>
      </c>
      <c r="K1509" s="197"/>
      <c r="L1509" s="197"/>
      <c r="M1509" s="198"/>
      <c r="N1509" s="198"/>
      <c r="O1509" s="198"/>
      <c r="P1509" s="199"/>
      <c r="Q1509" s="200"/>
      <c r="R1509" s="200"/>
      <c r="S1509" s="200"/>
      <c r="T1509" s="200" t="str">
        <f t="shared" si="242"/>
        <v/>
      </c>
      <c r="U1509" s="200"/>
      <c r="V1509" s="201" t="str">
        <f t="shared" si="243"/>
        <v/>
      </c>
      <c r="W1509" s="202">
        <f t="shared" si="244"/>
        <v>0</v>
      </c>
      <c r="X1509" s="172"/>
    </row>
    <row r="1510" spans="1:24" x14ac:dyDescent="0.45">
      <c r="A1510" s="193">
        <v>12</v>
      </c>
      <c r="B1510" s="194" t="str">
        <f t="shared" si="240"/>
        <v/>
      </c>
      <c r="C1510" s="170" t="str">
        <f t="shared" si="241"/>
        <v/>
      </c>
      <c r="D1510" s="170"/>
      <c r="E1510" s="195"/>
      <c r="F1510" s="195"/>
      <c r="G1510" s="196"/>
      <c r="H1510" s="197"/>
      <c r="I1510" s="197" t="str">
        <f t="shared" si="245"/>
        <v/>
      </c>
      <c r="J1510" s="197" t="str">
        <f t="shared" si="246"/>
        <v/>
      </c>
      <c r="K1510" s="197"/>
      <c r="L1510" s="197"/>
      <c r="M1510" s="198"/>
      <c r="N1510" s="198"/>
      <c r="O1510" s="198"/>
      <c r="P1510" s="199"/>
      <c r="Q1510" s="200"/>
      <c r="R1510" s="200"/>
      <c r="S1510" s="200"/>
      <c r="T1510" s="200" t="str">
        <f t="shared" si="242"/>
        <v/>
      </c>
      <c r="U1510" s="200"/>
      <c r="V1510" s="201" t="str">
        <f t="shared" si="243"/>
        <v/>
      </c>
      <c r="W1510" s="202">
        <f t="shared" si="244"/>
        <v>0</v>
      </c>
      <c r="X1510" s="172"/>
    </row>
    <row r="1511" spans="1:24" x14ac:dyDescent="0.45">
      <c r="A1511" s="193">
        <v>13</v>
      </c>
      <c r="B1511" s="194" t="str">
        <f t="shared" si="240"/>
        <v/>
      </c>
      <c r="C1511" s="170" t="str">
        <f t="shared" si="241"/>
        <v/>
      </c>
      <c r="D1511" s="170"/>
      <c r="E1511" s="195"/>
      <c r="F1511" s="195"/>
      <c r="G1511" s="196"/>
      <c r="H1511" s="197"/>
      <c r="I1511" s="197" t="str">
        <f t="shared" si="245"/>
        <v/>
      </c>
      <c r="J1511" s="197" t="str">
        <f t="shared" si="246"/>
        <v/>
      </c>
      <c r="K1511" s="197"/>
      <c r="L1511" s="197"/>
      <c r="M1511" s="198"/>
      <c r="N1511" s="198"/>
      <c r="O1511" s="198"/>
      <c r="P1511" s="199"/>
      <c r="Q1511" s="200"/>
      <c r="R1511" s="200"/>
      <c r="S1511" s="200"/>
      <c r="T1511" s="200" t="str">
        <f t="shared" si="242"/>
        <v/>
      </c>
      <c r="U1511" s="200"/>
      <c r="V1511" s="201" t="str">
        <f t="shared" si="243"/>
        <v/>
      </c>
      <c r="W1511" s="202">
        <f t="shared" si="244"/>
        <v>0</v>
      </c>
      <c r="X1511" s="172"/>
    </row>
    <row r="1512" spans="1:24" x14ac:dyDescent="0.45">
      <c r="A1512" s="193">
        <v>14</v>
      </c>
      <c r="B1512" s="194" t="str">
        <f t="shared" si="240"/>
        <v/>
      </c>
      <c r="C1512" s="170" t="str">
        <f t="shared" si="241"/>
        <v/>
      </c>
      <c r="D1512" s="170"/>
      <c r="E1512" s="195"/>
      <c r="F1512" s="195"/>
      <c r="G1512" s="196"/>
      <c r="H1512" s="197"/>
      <c r="I1512" s="197" t="str">
        <f t="shared" si="245"/>
        <v/>
      </c>
      <c r="J1512" s="197" t="str">
        <f t="shared" si="246"/>
        <v/>
      </c>
      <c r="K1512" s="197"/>
      <c r="L1512" s="197"/>
      <c r="M1512" s="198"/>
      <c r="N1512" s="198"/>
      <c r="O1512" s="198"/>
      <c r="P1512" s="199"/>
      <c r="Q1512" s="200"/>
      <c r="R1512" s="200"/>
      <c r="S1512" s="200"/>
      <c r="T1512" s="200" t="str">
        <f t="shared" si="242"/>
        <v/>
      </c>
      <c r="U1512" s="200"/>
      <c r="V1512" s="201" t="str">
        <f t="shared" si="243"/>
        <v/>
      </c>
      <c r="W1512" s="202">
        <f t="shared" si="244"/>
        <v>0</v>
      </c>
      <c r="X1512" s="172"/>
    </row>
    <row r="1513" spans="1:24" x14ac:dyDescent="0.45">
      <c r="A1513" s="193">
        <v>15</v>
      </c>
      <c r="B1513" s="194" t="str">
        <f t="shared" si="240"/>
        <v/>
      </c>
      <c r="C1513" s="170" t="str">
        <f t="shared" si="241"/>
        <v/>
      </c>
      <c r="D1513" s="170"/>
      <c r="E1513" s="195"/>
      <c r="F1513" s="195"/>
      <c r="G1513" s="196"/>
      <c r="H1513" s="197"/>
      <c r="I1513" s="197" t="str">
        <f t="shared" si="245"/>
        <v/>
      </c>
      <c r="J1513" s="197" t="str">
        <f t="shared" si="246"/>
        <v/>
      </c>
      <c r="K1513" s="197"/>
      <c r="L1513" s="197"/>
      <c r="M1513" s="198"/>
      <c r="N1513" s="198"/>
      <c r="O1513" s="198"/>
      <c r="P1513" s="199"/>
      <c r="Q1513" s="200"/>
      <c r="R1513" s="200"/>
      <c r="S1513" s="200"/>
      <c r="T1513" s="200" t="str">
        <f t="shared" si="242"/>
        <v/>
      </c>
      <c r="U1513" s="200"/>
      <c r="V1513" s="201" t="str">
        <f t="shared" si="243"/>
        <v/>
      </c>
      <c r="W1513" s="202">
        <f t="shared" si="244"/>
        <v>0</v>
      </c>
      <c r="X1513" s="172"/>
    </row>
    <row r="1514" spans="1:24" x14ac:dyDescent="0.45">
      <c r="A1514" s="193">
        <v>16</v>
      </c>
      <c r="B1514" s="194" t="str">
        <f t="shared" si="240"/>
        <v/>
      </c>
      <c r="C1514" s="170" t="str">
        <f t="shared" si="241"/>
        <v/>
      </c>
      <c r="D1514" s="170"/>
      <c r="E1514" s="195"/>
      <c r="F1514" s="195"/>
      <c r="G1514" s="196"/>
      <c r="H1514" s="197"/>
      <c r="I1514" s="197" t="str">
        <f t="shared" si="245"/>
        <v/>
      </c>
      <c r="J1514" s="197" t="str">
        <f t="shared" si="246"/>
        <v/>
      </c>
      <c r="K1514" s="197"/>
      <c r="L1514" s="197"/>
      <c r="M1514" s="198"/>
      <c r="N1514" s="198"/>
      <c r="O1514" s="198"/>
      <c r="P1514" s="199"/>
      <c r="Q1514" s="200"/>
      <c r="R1514" s="200"/>
      <c r="S1514" s="200"/>
      <c r="T1514" s="200" t="str">
        <f t="shared" si="242"/>
        <v/>
      </c>
      <c r="U1514" s="200"/>
      <c r="V1514" s="201" t="str">
        <f t="shared" si="243"/>
        <v/>
      </c>
      <c r="W1514" s="202">
        <f t="shared" si="244"/>
        <v>0</v>
      </c>
      <c r="X1514" s="172"/>
    </row>
    <row r="1515" spans="1:24" x14ac:dyDescent="0.45">
      <c r="A1515" s="193">
        <v>17</v>
      </c>
      <c r="B1515" s="194" t="str">
        <f t="shared" si="240"/>
        <v/>
      </c>
      <c r="C1515" s="170" t="str">
        <f t="shared" si="241"/>
        <v/>
      </c>
      <c r="D1515" s="170"/>
      <c r="E1515" s="195"/>
      <c r="F1515" s="195"/>
      <c r="G1515" s="196"/>
      <c r="H1515" s="197"/>
      <c r="I1515" s="197" t="str">
        <f t="shared" si="245"/>
        <v/>
      </c>
      <c r="J1515" s="197" t="str">
        <f t="shared" si="246"/>
        <v/>
      </c>
      <c r="K1515" s="197"/>
      <c r="L1515" s="197"/>
      <c r="M1515" s="198"/>
      <c r="N1515" s="198"/>
      <c r="O1515" s="198"/>
      <c r="P1515" s="199"/>
      <c r="Q1515" s="200"/>
      <c r="R1515" s="200"/>
      <c r="S1515" s="200"/>
      <c r="T1515" s="200" t="str">
        <f t="shared" si="242"/>
        <v/>
      </c>
      <c r="U1515" s="200"/>
      <c r="V1515" s="201" t="str">
        <f t="shared" si="243"/>
        <v/>
      </c>
      <c r="W1515" s="202">
        <f t="shared" si="244"/>
        <v>0</v>
      </c>
      <c r="X1515" s="172"/>
    </row>
    <row r="1516" spans="1:24" x14ac:dyDescent="0.45">
      <c r="A1516" s="193">
        <v>18</v>
      </c>
      <c r="B1516" s="194" t="str">
        <f t="shared" si="240"/>
        <v/>
      </c>
      <c r="C1516" s="170" t="str">
        <f t="shared" si="241"/>
        <v/>
      </c>
      <c r="D1516" s="170"/>
      <c r="E1516" s="195"/>
      <c r="F1516" s="195"/>
      <c r="G1516" s="196"/>
      <c r="H1516" s="197"/>
      <c r="I1516" s="197" t="str">
        <f t="shared" si="245"/>
        <v/>
      </c>
      <c r="J1516" s="197" t="str">
        <f t="shared" si="246"/>
        <v/>
      </c>
      <c r="K1516" s="197"/>
      <c r="L1516" s="197"/>
      <c r="M1516" s="198"/>
      <c r="N1516" s="198"/>
      <c r="O1516" s="198"/>
      <c r="P1516" s="199"/>
      <c r="Q1516" s="200"/>
      <c r="R1516" s="200"/>
      <c r="S1516" s="200"/>
      <c r="T1516" s="200" t="str">
        <f t="shared" si="242"/>
        <v/>
      </c>
      <c r="U1516" s="200"/>
      <c r="V1516" s="201" t="str">
        <f t="shared" si="243"/>
        <v/>
      </c>
      <c r="W1516" s="202">
        <f t="shared" si="244"/>
        <v>0</v>
      </c>
      <c r="X1516" s="172"/>
    </row>
    <row r="1517" spans="1:24" x14ac:dyDescent="0.45">
      <c r="A1517" s="193">
        <v>19</v>
      </c>
      <c r="B1517" s="194" t="str">
        <f t="shared" si="240"/>
        <v/>
      </c>
      <c r="C1517" s="170" t="str">
        <f t="shared" si="241"/>
        <v/>
      </c>
      <c r="D1517" s="170"/>
      <c r="E1517" s="195"/>
      <c r="F1517" s="195"/>
      <c r="G1517" s="196"/>
      <c r="H1517" s="197"/>
      <c r="I1517" s="197" t="str">
        <f t="shared" si="245"/>
        <v/>
      </c>
      <c r="J1517" s="197" t="str">
        <f t="shared" si="246"/>
        <v/>
      </c>
      <c r="K1517" s="197"/>
      <c r="L1517" s="197"/>
      <c r="M1517" s="198"/>
      <c r="N1517" s="198"/>
      <c r="O1517" s="198"/>
      <c r="P1517" s="199"/>
      <c r="Q1517" s="200"/>
      <c r="R1517" s="200"/>
      <c r="S1517" s="200"/>
      <c r="T1517" s="200" t="str">
        <f t="shared" si="242"/>
        <v/>
      </c>
      <c r="U1517" s="200"/>
      <c r="V1517" s="201" t="str">
        <f t="shared" si="243"/>
        <v/>
      </c>
      <c r="W1517" s="202">
        <f t="shared" si="244"/>
        <v>0</v>
      </c>
      <c r="X1517" s="172"/>
    </row>
    <row r="1518" spans="1:24" x14ac:dyDescent="0.45">
      <c r="A1518" s="193">
        <v>20</v>
      </c>
      <c r="B1518" s="194" t="str">
        <f t="shared" si="240"/>
        <v/>
      </c>
      <c r="C1518" s="170" t="str">
        <f t="shared" si="241"/>
        <v/>
      </c>
      <c r="D1518" s="170"/>
      <c r="E1518" s="195"/>
      <c r="F1518" s="195"/>
      <c r="G1518" s="196"/>
      <c r="H1518" s="197"/>
      <c r="I1518" s="197" t="str">
        <f t="shared" si="245"/>
        <v/>
      </c>
      <c r="J1518" s="197" t="str">
        <f t="shared" si="246"/>
        <v/>
      </c>
      <c r="K1518" s="197"/>
      <c r="L1518" s="197"/>
      <c r="M1518" s="198"/>
      <c r="N1518" s="198"/>
      <c r="O1518" s="198"/>
      <c r="P1518" s="199"/>
      <c r="Q1518" s="200"/>
      <c r="R1518" s="200"/>
      <c r="S1518" s="200"/>
      <c r="T1518" s="200" t="str">
        <f t="shared" si="242"/>
        <v/>
      </c>
      <c r="U1518" s="200"/>
      <c r="V1518" s="201" t="str">
        <f t="shared" si="243"/>
        <v/>
      </c>
      <c r="W1518" s="202">
        <f t="shared" si="244"/>
        <v>0</v>
      </c>
      <c r="X1518" s="172"/>
    </row>
    <row r="1519" spans="1:24" x14ac:dyDescent="0.45">
      <c r="A1519" s="193">
        <v>21</v>
      </c>
      <c r="B1519" s="194" t="str">
        <f t="shared" si="240"/>
        <v/>
      </c>
      <c r="C1519" s="170" t="str">
        <f t="shared" si="241"/>
        <v/>
      </c>
      <c r="D1519" s="170"/>
      <c r="E1519" s="195"/>
      <c r="F1519" s="195"/>
      <c r="G1519" s="196"/>
      <c r="H1519" s="197"/>
      <c r="I1519" s="197" t="str">
        <f t="shared" si="245"/>
        <v/>
      </c>
      <c r="J1519" s="197" t="str">
        <f t="shared" si="246"/>
        <v/>
      </c>
      <c r="K1519" s="197"/>
      <c r="L1519" s="197"/>
      <c r="M1519" s="198"/>
      <c r="N1519" s="198"/>
      <c r="O1519" s="198"/>
      <c r="P1519" s="199"/>
      <c r="Q1519" s="200"/>
      <c r="R1519" s="200"/>
      <c r="S1519" s="200"/>
      <c r="T1519" s="200" t="str">
        <f t="shared" si="242"/>
        <v/>
      </c>
      <c r="U1519" s="200"/>
      <c r="V1519" s="201" t="str">
        <f t="shared" si="243"/>
        <v/>
      </c>
      <c r="W1519" s="202">
        <f t="shared" si="244"/>
        <v>0</v>
      </c>
      <c r="X1519" s="172"/>
    </row>
    <row r="1520" spans="1:24" x14ac:dyDescent="0.45">
      <c r="A1520" s="193">
        <v>22</v>
      </c>
      <c r="B1520" s="194" t="str">
        <f t="shared" si="240"/>
        <v/>
      </c>
      <c r="C1520" s="170" t="str">
        <f t="shared" si="241"/>
        <v/>
      </c>
      <c r="D1520" s="170"/>
      <c r="E1520" s="195"/>
      <c r="F1520" s="170"/>
      <c r="G1520" s="170"/>
      <c r="H1520" s="203"/>
      <c r="I1520" s="197" t="str">
        <f t="shared" si="245"/>
        <v/>
      </c>
      <c r="J1520" s="197" t="str">
        <f t="shared" si="246"/>
        <v/>
      </c>
      <c r="K1520" s="197"/>
      <c r="L1520" s="197"/>
      <c r="M1520" s="198"/>
      <c r="N1520" s="198"/>
      <c r="O1520" s="198"/>
      <c r="P1520" s="199"/>
      <c r="Q1520" s="200"/>
      <c r="R1520" s="200"/>
      <c r="S1520" s="200"/>
      <c r="T1520" s="200" t="str">
        <f t="shared" si="242"/>
        <v/>
      </c>
      <c r="U1520" s="200"/>
      <c r="V1520" s="201" t="str">
        <f t="shared" si="243"/>
        <v/>
      </c>
      <c r="W1520" s="202">
        <f t="shared" si="244"/>
        <v>0</v>
      </c>
      <c r="X1520" s="172"/>
    </row>
    <row r="1521" spans="1:24" x14ac:dyDescent="0.45">
      <c r="A1521" s="193">
        <v>23</v>
      </c>
      <c r="B1521" s="194" t="str">
        <f t="shared" si="240"/>
        <v/>
      </c>
      <c r="C1521" s="170" t="str">
        <f t="shared" si="241"/>
        <v/>
      </c>
      <c r="D1521" s="170"/>
      <c r="E1521" s="195"/>
      <c r="F1521" s="170"/>
      <c r="G1521" s="170"/>
      <c r="H1521" s="203"/>
      <c r="I1521" s="197" t="str">
        <f t="shared" si="245"/>
        <v/>
      </c>
      <c r="J1521" s="197" t="str">
        <f t="shared" si="246"/>
        <v/>
      </c>
      <c r="K1521" s="197"/>
      <c r="L1521" s="197"/>
      <c r="M1521" s="198"/>
      <c r="N1521" s="198"/>
      <c r="O1521" s="198"/>
      <c r="P1521" s="199"/>
      <c r="Q1521" s="200"/>
      <c r="R1521" s="200"/>
      <c r="S1521" s="200"/>
      <c r="T1521" s="200" t="str">
        <f t="shared" si="242"/>
        <v/>
      </c>
      <c r="U1521" s="200"/>
      <c r="V1521" s="201" t="str">
        <f t="shared" si="243"/>
        <v/>
      </c>
      <c r="W1521" s="202">
        <f t="shared" si="244"/>
        <v>0</v>
      </c>
      <c r="X1521" s="172"/>
    </row>
    <row r="1522" spans="1:24" x14ac:dyDescent="0.45">
      <c r="A1522" s="193">
        <v>24</v>
      </c>
      <c r="B1522" s="194" t="str">
        <f t="shared" si="240"/>
        <v/>
      </c>
      <c r="C1522" s="170" t="str">
        <f t="shared" si="241"/>
        <v/>
      </c>
      <c r="D1522" s="170"/>
      <c r="E1522" s="195"/>
      <c r="F1522" s="170"/>
      <c r="G1522" s="170"/>
      <c r="H1522" s="203"/>
      <c r="I1522" s="197" t="str">
        <f t="shared" si="245"/>
        <v/>
      </c>
      <c r="J1522" s="197" t="str">
        <f t="shared" si="246"/>
        <v/>
      </c>
      <c r="K1522" s="197"/>
      <c r="L1522" s="197"/>
      <c r="M1522" s="198"/>
      <c r="N1522" s="198"/>
      <c r="O1522" s="198"/>
      <c r="P1522" s="199"/>
      <c r="Q1522" s="200"/>
      <c r="R1522" s="200"/>
      <c r="S1522" s="200"/>
      <c r="T1522" s="200" t="str">
        <f t="shared" si="242"/>
        <v/>
      </c>
      <c r="U1522" s="200"/>
      <c r="V1522" s="201" t="str">
        <f t="shared" si="243"/>
        <v/>
      </c>
      <c r="W1522" s="202">
        <f t="shared" si="244"/>
        <v>0</v>
      </c>
      <c r="X1522" s="172"/>
    </row>
    <row r="1523" spans="1:24" x14ac:dyDescent="0.45">
      <c r="A1523" s="193">
        <v>25</v>
      </c>
      <c r="B1523" s="194" t="str">
        <f t="shared" si="240"/>
        <v/>
      </c>
      <c r="C1523" s="170" t="str">
        <f t="shared" si="241"/>
        <v/>
      </c>
      <c r="D1523" s="170"/>
      <c r="E1523" s="195"/>
      <c r="F1523" s="170"/>
      <c r="G1523" s="170"/>
      <c r="H1523" s="203"/>
      <c r="I1523" s="197" t="str">
        <f t="shared" si="245"/>
        <v/>
      </c>
      <c r="J1523" s="197" t="str">
        <f t="shared" si="246"/>
        <v/>
      </c>
      <c r="K1523" s="197"/>
      <c r="L1523" s="197"/>
      <c r="M1523" s="198"/>
      <c r="N1523" s="198"/>
      <c r="O1523" s="198"/>
      <c r="P1523" s="199"/>
      <c r="Q1523" s="200"/>
      <c r="R1523" s="200"/>
      <c r="S1523" s="200"/>
      <c r="T1523" s="200" t="str">
        <f t="shared" si="242"/>
        <v/>
      </c>
      <c r="U1523" s="200"/>
      <c r="V1523" s="201" t="str">
        <f t="shared" si="243"/>
        <v/>
      </c>
      <c r="W1523" s="202">
        <f t="shared" si="244"/>
        <v>0</v>
      </c>
      <c r="X1523" s="172"/>
    </row>
    <row r="1524" spans="1:24" x14ac:dyDescent="0.45">
      <c r="A1524" s="193">
        <v>26</v>
      </c>
      <c r="B1524" s="194" t="str">
        <f t="shared" si="240"/>
        <v/>
      </c>
      <c r="C1524" s="170" t="str">
        <f t="shared" si="241"/>
        <v/>
      </c>
      <c r="D1524" s="170"/>
      <c r="E1524" s="195"/>
      <c r="F1524" s="170"/>
      <c r="G1524" s="170"/>
      <c r="H1524" s="203"/>
      <c r="I1524" s="197" t="str">
        <f t="shared" si="245"/>
        <v/>
      </c>
      <c r="J1524" s="197" t="str">
        <f t="shared" si="246"/>
        <v/>
      </c>
      <c r="K1524" s="197"/>
      <c r="L1524" s="197"/>
      <c r="M1524" s="198"/>
      <c r="N1524" s="198"/>
      <c r="O1524" s="198"/>
      <c r="P1524" s="199"/>
      <c r="Q1524" s="200"/>
      <c r="R1524" s="200"/>
      <c r="S1524" s="200"/>
      <c r="T1524" s="200" t="str">
        <f t="shared" si="242"/>
        <v/>
      </c>
      <c r="U1524" s="200"/>
      <c r="V1524" s="201" t="str">
        <f t="shared" si="243"/>
        <v/>
      </c>
      <c r="W1524" s="202">
        <f t="shared" si="244"/>
        <v>0</v>
      </c>
      <c r="X1524" s="172"/>
    </row>
    <row r="1525" spans="1:24" x14ac:dyDescent="0.45">
      <c r="A1525" s="193">
        <v>27</v>
      </c>
      <c r="B1525" s="194" t="str">
        <f t="shared" si="240"/>
        <v/>
      </c>
      <c r="C1525" s="170" t="str">
        <f t="shared" si="241"/>
        <v/>
      </c>
      <c r="D1525" s="170"/>
      <c r="E1525" s="195"/>
      <c r="F1525" s="170"/>
      <c r="G1525" s="170"/>
      <c r="H1525" s="203"/>
      <c r="I1525" s="197" t="str">
        <f t="shared" si="245"/>
        <v/>
      </c>
      <c r="J1525" s="197" t="str">
        <f t="shared" si="246"/>
        <v/>
      </c>
      <c r="K1525" s="197"/>
      <c r="L1525" s="197"/>
      <c r="M1525" s="198"/>
      <c r="N1525" s="198"/>
      <c r="O1525" s="198"/>
      <c r="P1525" s="199"/>
      <c r="Q1525" s="200"/>
      <c r="R1525" s="200"/>
      <c r="S1525" s="200"/>
      <c r="T1525" s="200" t="str">
        <f t="shared" si="242"/>
        <v/>
      </c>
      <c r="U1525" s="200"/>
      <c r="V1525" s="201" t="str">
        <f t="shared" si="243"/>
        <v/>
      </c>
      <c r="W1525" s="202">
        <f t="shared" si="244"/>
        <v>0</v>
      </c>
      <c r="X1525" s="172"/>
    </row>
    <row r="1526" spans="1:24" x14ac:dyDescent="0.45">
      <c r="A1526" s="193">
        <v>28</v>
      </c>
      <c r="B1526" s="194" t="str">
        <f t="shared" si="240"/>
        <v/>
      </c>
      <c r="C1526" s="170" t="str">
        <f t="shared" si="241"/>
        <v/>
      </c>
      <c r="D1526" s="170"/>
      <c r="E1526" s="195"/>
      <c r="F1526" s="170"/>
      <c r="G1526" s="170"/>
      <c r="H1526" s="203"/>
      <c r="I1526" s="197" t="str">
        <f t="shared" si="245"/>
        <v/>
      </c>
      <c r="J1526" s="197" t="str">
        <f t="shared" si="246"/>
        <v/>
      </c>
      <c r="K1526" s="197"/>
      <c r="L1526" s="197"/>
      <c r="M1526" s="198"/>
      <c r="N1526" s="198"/>
      <c r="O1526" s="198"/>
      <c r="P1526" s="199"/>
      <c r="Q1526" s="200"/>
      <c r="R1526" s="200"/>
      <c r="S1526" s="200"/>
      <c r="T1526" s="200" t="str">
        <f t="shared" si="242"/>
        <v/>
      </c>
      <c r="U1526" s="200"/>
      <c r="V1526" s="201" t="str">
        <f t="shared" si="243"/>
        <v/>
      </c>
      <c r="W1526" s="202">
        <f t="shared" si="244"/>
        <v>0</v>
      </c>
      <c r="X1526" s="172"/>
    </row>
    <row r="1527" spans="1:24" x14ac:dyDescent="0.45">
      <c r="A1527" s="193">
        <v>29</v>
      </c>
      <c r="B1527" s="194" t="str">
        <f t="shared" si="240"/>
        <v/>
      </c>
      <c r="C1527" s="170" t="str">
        <f t="shared" si="241"/>
        <v/>
      </c>
      <c r="D1527" s="170"/>
      <c r="E1527" s="195"/>
      <c r="F1527" s="170"/>
      <c r="G1527" s="170"/>
      <c r="H1527" s="203"/>
      <c r="I1527" s="197" t="str">
        <f t="shared" si="245"/>
        <v/>
      </c>
      <c r="J1527" s="197" t="str">
        <f t="shared" si="246"/>
        <v/>
      </c>
      <c r="K1527" s="197"/>
      <c r="L1527" s="197"/>
      <c r="M1527" s="198"/>
      <c r="N1527" s="198"/>
      <c r="O1527" s="198"/>
      <c r="P1527" s="199"/>
      <c r="Q1527" s="200"/>
      <c r="R1527" s="200"/>
      <c r="S1527" s="200"/>
      <c r="T1527" s="200" t="str">
        <f t="shared" si="242"/>
        <v/>
      </c>
      <c r="U1527" s="200"/>
      <c r="V1527" s="201" t="str">
        <f t="shared" si="243"/>
        <v/>
      </c>
      <c r="W1527" s="202">
        <f t="shared" si="244"/>
        <v>0</v>
      </c>
      <c r="X1527" s="172"/>
    </row>
    <row r="1528" spans="1:24" x14ac:dyDescent="0.45">
      <c r="A1528" s="193">
        <v>30</v>
      </c>
      <c r="B1528" s="194" t="str">
        <f t="shared" si="240"/>
        <v/>
      </c>
      <c r="C1528" s="170" t="str">
        <f t="shared" si="241"/>
        <v/>
      </c>
      <c r="D1528" s="170"/>
      <c r="E1528" s="195"/>
      <c r="F1528" s="170"/>
      <c r="G1528" s="170"/>
      <c r="H1528" s="203"/>
      <c r="I1528" s="197" t="str">
        <f t="shared" si="245"/>
        <v/>
      </c>
      <c r="J1528" s="197" t="str">
        <f t="shared" si="246"/>
        <v/>
      </c>
      <c r="K1528" s="197"/>
      <c r="L1528" s="197"/>
      <c r="M1528" s="198"/>
      <c r="N1528" s="198"/>
      <c r="O1528" s="198"/>
      <c r="P1528" s="199"/>
      <c r="Q1528" s="200"/>
      <c r="R1528" s="200"/>
      <c r="S1528" s="200"/>
      <c r="T1528" s="200" t="str">
        <f t="shared" si="242"/>
        <v/>
      </c>
      <c r="U1528" s="200"/>
      <c r="V1528" s="201" t="str">
        <f t="shared" si="243"/>
        <v/>
      </c>
      <c r="W1528" s="202">
        <f t="shared" si="244"/>
        <v>0</v>
      </c>
      <c r="X1528" s="172"/>
    </row>
    <row r="1529" spans="1:24" x14ac:dyDescent="0.45">
      <c r="A1529" s="193">
        <v>31</v>
      </c>
      <c r="B1529" s="194" t="str">
        <f t="shared" si="240"/>
        <v/>
      </c>
      <c r="C1529" s="170" t="str">
        <f t="shared" si="241"/>
        <v/>
      </c>
      <c r="D1529" s="170"/>
      <c r="E1529" s="195"/>
      <c r="F1529" s="170"/>
      <c r="G1529" s="170"/>
      <c r="H1529" s="203"/>
      <c r="I1529" s="197" t="str">
        <f t="shared" si="245"/>
        <v/>
      </c>
      <c r="J1529" s="197" t="str">
        <f t="shared" si="246"/>
        <v/>
      </c>
      <c r="K1529" s="197"/>
      <c r="L1529" s="197"/>
      <c r="M1529" s="198"/>
      <c r="N1529" s="198"/>
      <c r="O1529" s="198"/>
      <c r="P1529" s="199"/>
      <c r="Q1529" s="200"/>
      <c r="R1529" s="200"/>
      <c r="S1529" s="200"/>
      <c r="T1529" s="200" t="str">
        <f t="shared" si="242"/>
        <v/>
      </c>
      <c r="U1529" s="200"/>
      <c r="V1529" s="201" t="str">
        <f t="shared" si="243"/>
        <v/>
      </c>
      <c r="W1529" s="202">
        <f t="shared" si="244"/>
        <v>0</v>
      </c>
      <c r="X1529" s="172"/>
    </row>
    <row r="1530" spans="1:24" x14ac:dyDescent="0.45">
      <c r="A1530" s="193">
        <v>32</v>
      </c>
      <c r="B1530" s="194" t="str">
        <f t="shared" si="240"/>
        <v/>
      </c>
      <c r="C1530" s="170" t="str">
        <f t="shared" si="241"/>
        <v/>
      </c>
      <c r="D1530" s="170"/>
      <c r="E1530" s="195"/>
      <c r="F1530" s="170"/>
      <c r="G1530" s="170"/>
      <c r="H1530" s="203"/>
      <c r="I1530" s="197" t="str">
        <f t="shared" si="245"/>
        <v/>
      </c>
      <c r="J1530" s="197" t="str">
        <f t="shared" si="246"/>
        <v/>
      </c>
      <c r="K1530" s="197"/>
      <c r="L1530" s="197"/>
      <c r="M1530" s="198"/>
      <c r="N1530" s="198"/>
      <c r="O1530" s="198"/>
      <c r="P1530" s="199"/>
      <c r="Q1530" s="200"/>
      <c r="R1530" s="200"/>
      <c r="S1530" s="200"/>
      <c r="T1530" s="200" t="str">
        <f t="shared" si="242"/>
        <v/>
      </c>
      <c r="U1530" s="200"/>
      <c r="V1530" s="201" t="str">
        <f t="shared" si="243"/>
        <v/>
      </c>
      <c r="W1530" s="202">
        <f t="shared" si="244"/>
        <v>0</v>
      </c>
      <c r="X1530" s="172"/>
    </row>
    <row r="1531" spans="1:24" x14ac:dyDescent="0.45">
      <c r="A1531" s="193">
        <v>33</v>
      </c>
      <c r="B1531" s="194" t="str">
        <f t="shared" ref="B1531:B1564" si="247">IF(OR($C$1479="",U1531=""),"",LEFT($C$1479,FIND("_",$C$1479)-1))</f>
        <v/>
      </c>
      <c r="C1531" s="170" t="str">
        <f t="shared" ref="C1531:C1564" si="248">IF(OR($C$1479="",U1531=""),"",$B$1479)</f>
        <v/>
      </c>
      <c r="D1531" s="170"/>
      <c r="E1531" s="195"/>
      <c r="F1531" s="170"/>
      <c r="G1531" s="170"/>
      <c r="H1531" s="203"/>
      <c r="I1531" s="197" t="str">
        <f t="shared" si="245"/>
        <v/>
      </c>
      <c r="J1531" s="197" t="str">
        <f t="shared" si="246"/>
        <v/>
      </c>
      <c r="K1531" s="197"/>
      <c r="L1531" s="197"/>
      <c r="M1531" s="198"/>
      <c r="N1531" s="198"/>
      <c r="O1531" s="198"/>
      <c r="P1531" s="199"/>
      <c r="Q1531" s="200"/>
      <c r="R1531" s="200"/>
      <c r="S1531" s="200"/>
      <c r="T1531" s="200" t="str">
        <f t="shared" ref="T1531:T1564" si="249">IF(K1531="","",((K1531*20)+L1531)-((I1531*20)+J1531))</f>
        <v/>
      </c>
      <c r="U1531" s="200"/>
      <c r="V1531" s="201" t="str">
        <f t="shared" ref="V1531:V1562" si="250">IF(U1531="","",$V$1479)</f>
        <v/>
      </c>
      <c r="W1531" s="202">
        <f t="shared" ref="W1531:W1564" si="251">IF(OR(T1531="",U1531=""),0,T1531*U1531)</f>
        <v>0</v>
      </c>
      <c r="X1531" s="172"/>
    </row>
    <row r="1532" spans="1:24" x14ac:dyDescent="0.45">
      <c r="A1532" s="193">
        <v>34</v>
      </c>
      <c r="B1532" s="194" t="str">
        <f t="shared" si="247"/>
        <v/>
      </c>
      <c r="C1532" s="170" t="str">
        <f t="shared" si="248"/>
        <v/>
      </c>
      <c r="D1532" s="170"/>
      <c r="E1532" s="195"/>
      <c r="F1532" s="170"/>
      <c r="G1532" s="170"/>
      <c r="H1532" s="203"/>
      <c r="I1532" s="197" t="str">
        <f t="shared" ref="I1532:I1564" si="252">IF(K1531="","",K1531)</f>
        <v/>
      </c>
      <c r="J1532" s="197" t="str">
        <f t="shared" ref="J1532:J1564" si="253">IF(L1531="","",L1531)</f>
        <v/>
      </c>
      <c r="K1532" s="197"/>
      <c r="L1532" s="197"/>
      <c r="M1532" s="198"/>
      <c r="N1532" s="198"/>
      <c r="O1532" s="198"/>
      <c r="P1532" s="199"/>
      <c r="Q1532" s="200"/>
      <c r="R1532" s="200"/>
      <c r="S1532" s="200"/>
      <c r="T1532" s="200" t="str">
        <f t="shared" si="249"/>
        <v/>
      </c>
      <c r="U1532" s="200"/>
      <c r="V1532" s="201" t="str">
        <f t="shared" si="250"/>
        <v/>
      </c>
      <c r="W1532" s="202">
        <f t="shared" si="251"/>
        <v>0</v>
      </c>
      <c r="X1532" s="172"/>
    </row>
    <row r="1533" spans="1:24" x14ac:dyDescent="0.45">
      <c r="A1533" s="193">
        <v>35</v>
      </c>
      <c r="B1533" s="194" t="str">
        <f t="shared" si="247"/>
        <v/>
      </c>
      <c r="C1533" s="170" t="str">
        <f t="shared" si="248"/>
        <v/>
      </c>
      <c r="D1533" s="170"/>
      <c r="E1533" s="195"/>
      <c r="F1533" s="170"/>
      <c r="G1533" s="170"/>
      <c r="H1533" s="203"/>
      <c r="I1533" s="197" t="str">
        <f t="shared" si="252"/>
        <v/>
      </c>
      <c r="J1533" s="197" t="str">
        <f t="shared" si="253"/>
        <v/>
      </c>
      <c r="K1533" s="197"/>
      <c r="L1533" s="197"/>
      <c r="M1533" s="198"/>
      <c r="N1533" s="198"/>
      <c r="O1533" s="198"/>
      <c r="P1533" s="199"/>
      <c r="Q1533" s="200"/>
      <c r="R1533" s="200"/>
      <c r="S1533" s="200"/>
      <c r="T1533" s="200" t="str">
        <f t="shared" si="249"/>
        <v/>
      </c>
      <c r="U1533" s="200"/>
      <c r="V1533" s="201" t="str">
        <f t="shared" si="250"/>
        <v/>
      </c>
      <c r="W1533" s="202">
        <f t="shared" si="251"/>
        <v>0</v>
      </c>
      <c r="X1533" s="172"/>
    </row>
    <row r="1534" spans="1:24" x14ac:dyDescent="0.45">
      <c r="A1534" s="193">
        <v>36</v>
      </c>
      <c r="B1534" s="194" t="str">
        <f t="shared" si="247"/>
        <v/>
      </c>
      <c r="C1534" s="170" t="str">
        <f t="shared" si="248"/>
        <v/>
      </c>
      <c r="D1534" s="170"/>
      <c r="E1534" s="195"/>
      <c r="F1534" s="170"/>
      <c r="G1534" s="170"/>
      <c r="H1534" s="203"/>
      <c r="I1534" s="197" t="str">
        <f t="shared" si="252"/>
        <v/>
      </c>
      <c r="J1534" s="197" t="str">
        <f t="shared" si="253"/>
        <v/>
      </c>
      <c r="K1534" s="197"/>
      <c r="L1534" s="197"/>
      <c r="M1534" s="198"/>
      <c r="N1534" s="198"/>
      <c r="O1534" s="198"/>
      <c r="P1534" s="199"/>
      <c r="Q1534" s="200"/>
      <c r="R1534" s="200"/>
      <c r="S1534" s="200"/>
      <c r="T1534" s="200" t="str">
        <f t="shared" si="249"/>
        <v/>
      </c>
      <c r="U1534" s="200"/>
      <c r="V1534" s="201" t="str">
        <f t="shared" si="250"/>
        <v/>
      </c>
      <c r="W1534" s="202">
        <f t="shared" si="251"/>
        <v>0</v>
      </c>
      <c r="X1534" s="172"/>
    </row>
    <row r="1535" spans="1:24" x14ac:dyDescent="0.45">
      <c r="A1535" s="193">
        <v>37</v>
      </c>
      <c r="B1535" s="194" t="str">
        <f t="shared" si="247"/>
        <v/>
      </c>
      <c r="C1535" s="170" t="str">
        <f t="shared" si="248"/>
        <v/>
      </c>
      <c r="D1535" s="170"/>
      <c r="E1535" s="195"/>
      <c r="F1535" s="170"/>
      <c r="G1535" s="170"/>
      <c r="H1535" s="203"/>
      <c r="I1535" s="197" t="str">
        <f t="shared" si="252"/>
        <v/>
      </c>
      <c r="J1535" s="197" t="str">
        <f t="shared" si="253"/>
        <v/>
      </c>
      <c r="K1535" s="197"/>
      <c r="L1535" s="197"/>
      <c r="M1535" s="198"/>
      <c r="N1535" s="198"/>
      <c r="O1535" s="198"/>
      <c r="P1535" s="199"/>
      <c r="Q1535" s="200"/>
      <c r="R1535" s="200"/>
      <c r="S1535" s="200"/>
      <c r="T1535" s="200" t="str">
        <f t="shared" si="249"/>
        <v/>
      </c>
      <c r="U1535" s="200"/>
      <c r="V1535" s="201" t="str">
        <f t="shared" si="250"/>
        <v/>
      </c>
      <c r="W1535" s="202">
        <f t="shared" si="251"/>
        <v>0</v>
      </c>
      <c r="X1535" s="172"/>
    </row>
    <row r="1536" spans="1:24" x14ac:dyDescent="0.45">
      <c r="A1536" s="193">
        <v>38</v>
      </c>
      <c r="B1536" s="194" t="str">
        <f t="shared" si="247"/>
        <v/>
      </c>
      <c r="C1536" s="170" t="str">
        <f t="shared" si="248"/>
        <v/>
      </c>
      <c r="D1536" s="170"/>
      <c r="E1536" s="195"/>
      <c r="F1536" s="170"/>
      <c r="G1536" s="170"/>
      <c r="H1536" s="203"/>
      <c r="I1536" s="197" t="str">
        <f t="shared" si="252"/>
        <v/>
      </c>
      <c r="J1536" s="197" t="str">
        <f t="shared" si="253"/>
        <v/>
      </c>
      <c r="K1536" s="197"/>
      <c r="L1536" s="197"/>
      <c r="M1536" s="198"/>
      <c r="N1536" s="198"/>
      <c r="O1536" s="198"/>
      <c r="P1536" s="199"/>
      <c r="Q1536" s="200"/>
      <c r="R1536" s="200"/>
      <c r="S1536" s="200"/>
      <c r="T1536" s="200" t="str">
        <f t="shared" si="249"/>
        <v/>
      </c>
      <c r="U1536" s="200"/>
      <c r="V1536" s="201" t="str">
        <f t="shared" si="250"/>
        <v/>
      </c>
      <c r="W1536" s="202">
        <f t="shared" si="251"/>
        <v>0</v>
      </c>
      <c r="X1536" s="172"/>
    </row>
    <row r="1537" spans="1:24" x14ac:dyDescent="0.45">
      <c r="A1537" s="193">
        <v>39</v>
      </c>
      <c r="B1537" s="194" t="str">
        <f t="shared" si="247"/>
        <v/>
      </c>
      <c r="C1537" s="170" t="str">
        <f t="shared" si="248"/>
        <v/>
      </c>
      <c r="D1537" s="170"/>
      <c r="E1537" s="195"/>
      <c r="F1537" s="170"/>
      <c r="G1537" s="170"/>
      <c r="H1537" s="203"/>
      <c r="I1537" s="197" t="str">
        <f t="shared" si="252"/>
        <v/>
      </c>
      <c r="J1537" s="197" t="str">
        <f t="shared" si="253"/>
        <v/>
      </c>
      <c r="K1537" s="197"/>
      <c r="L1537" s="197"/>
      <c r="M1537" s="198"/>
      <c r="N1537" s="198"/>
      <c r="O1537" s="198"/>
      <c r="P1537" s="199"/>
      <c r="Q1537" s="200"/>
      <c r="R1537" s="200"/>
      <c r="S1537" s="200"/>
      <c r="T1537" s="200" t="str">
        <f t="shared" si="249"/>
        <v/>
      </c>
      <c r="U1537" s="200"/>
      <c r="V1537" s="201" t="str">
        <f t="shared" si="250"/>
        <v/>
      </c>
      <c r="W1537" s="202">
        <f t="shared" si="251"/>
        <v>0</v>
      </c>
      <c r="X1537" s="172"/>
    </row>
    <row r="1538" spans="1:24" x14ac:dyDescent="0.45">
      <c r="A1538" s="193">
        <v>40</v>
      </c>
      <c r="B1538" s="194" t="str">
        <f t="shared" si="247"/>
        <v/>
      </c>
      <c r="C1538" s="170" t="str">
        <f t="shared" si="248"/>
        <v/>
      </c>
      <c r="D1538" s="170"/>
      <c r="E1538" s="195"/>
      <c r="F1538" s="170"/>
      <c r="G1538" s="170"/>
      <c r="H1538" s="203"/>
      <c r="I1538" s="197" t="str">
        <f t="shared" si="252"/>
        <v/>
      </c>
      <c r="J1538" s="197" t="str">
        <f t="shared" si="253"/>
        <v/>
      </c>
      <c r="K1538" s="197"/>
      <c r="L1538" s="197"/>
      <c r="M1538" s="198"/>
      <c r="N1538" s="198"/>
      <c r="O1538" s="198"/>
      <c r="P1538" s="199"/>
      <c r="Q1538" s="200"/>
      <c r="R1538" s="200"/>
      <c r="S1538" s="200"/>
      <c r="T1538" s="200" t="str">
        <f t="shared" si="249"/>
        <v/>
      </c>
      <c r="U1538" s="200"/>
      <c r="V1538" s="201" t="str">
        <f t="shared" si="250"/>
        <v/>
      </c>
      <c r="W1538" s="202">
        <f t="shared" si="251"/>
        <v>0</v>
      </c>
      <c r="X1538" s="172"/>
    </row>
    <row r="1539" spans="1:24" x14ac:dyDescent="0.45">
      <c r="A1539" s="193">
        <v>41</v>
      </c>
      <c r="B1539" s="194" t="str">
        <f t="shared" si="247"/>
        <v/>
      </c>
      <c r="C1539" s="170" t="str">
        <f t="shared" si="248"/>
        <v/>
      </c>
      <c r="D1539" s="170"/>
      <c r="E1539" s="195"/>
      <c r="F1539" s="170"/>
      <c r="G1539" s="170"/>
      <c r="H1539" s="203"/>
      <c r="I1539" s="197" t="str">
        <f t="shared" si="252"/>
        <v/>
      </c>
      <c r="J1539" s="197" t="str">
        <f t="shared" si="253"/>
        <v/>
      </c>
      <c r="K1539" s="197"/>
      <c r="L1539" s="197"/>
      <c r="M1539" s="198"/>
      <c r="N1539" s="198"/>
      <c r="O1539" s="198"/>
      <c r="P1539" s="199"/>
      <c r="Q1539" s="200"/>
      <c r="R1539" s="200"/>
      <c r="S1539" s="200"/>
      <c r="T1539" s="200" t="str">
        <f t="shared" si="249"/>
        <v/>
      </c>
      <c r="U1539" s="200"/>
      <c r="V1539" s="201" t="str">
        <f t="shared" si="250"/>
        <v/>
      </c>
      <c r="W1539" s="202">
        <f t="shared" si="251"/>
        <v>0</v>
      </c>
      <c r="X1539" s="172"/>
    </row>
    <row r="1540" spans="1:24" x14ac:dyDescent="0.45">
      <c r="A1540" s="193">
        <v>42</v>
      </c>
      <c r="B1540" s="194" t="str">
        <f t="shared" si="247"/>
        <v/>
      </c>
      <c r="C1540" s="170" t="str">
        <f t="shared" si="248"/>
        <v/>
      </c>
      <c r="D1540" s="170"/>
      <c r="E1540" s="195"/>
      <c r="F1540" s="170"/>
      <c r="G1540" s="170"/>
      <c r="H1540" s="203"/>
      <c r="I1540" s="197" t="str">
        <f t="shared" si="252"/>
        <v/>
      </c>
      <c r="J1540" s="197" t="str">
        <f t="shared" si="253"/>
        <v/>
      </c>
      <c r="K1540" s="197"/>
      <c r="L1540" s="197"/>
      <c r="M1540" s="198"/>
      <c r="N1540" s="198"/>
      <c r="O1540" s="198"/>
      <c r="P1540" s="199"/>
      <c r="Q1540" s="200"/>
      <c r="R1540" s="200"/>
      <c r="S1540" s="200"/>
      <c r="T1540" s="200" t="str">
        <f t="shared" si="249"/>
        <v/>
      </c>
      <c r="U1540" s="200"/>
      <c r="V1540" s="201" t="str">
        <f t="shared" si="250"/>
        <v/>
      </c>
      <c r="W1540" s="202">
        <f t="shared" si="251"/>
        <v>0</v>
      </c>
      <c r="X1540" s="172"/>
    </row>
    <row r="1541" spans="1:24" x14ac:dyDescent="0.45">
      <c r="A1541" s="193">
        <v>43</v>
      </c>
      <c r="B1541" s="194" t="str">
        <f t="shared" si="247"/>
        <v/>
      </c>
      <c r="C1541" s="170" t="str">
        <f t="shared" si="248"/>
        <v/>
      </c>
      <c r="D1541" s="170"/>
      <c r="E1541" s="195"/>
      <c r="F1541" s="170"/>
      <c r="G1541" s="170"/>
      <c r="H1541" s="203"/>
      <c r="I1541" s="197" t="str">
        <f t="shared" si="252"/>
        <v/>
      </c>
      <c r="J1541" s="197" t="str">
        <f t="shared" si="253"/>
        <v/>
      </c>
      <c r="K1541" s="197"/>
      <c r="L1541" s="197"/>
      <c r="M1541" s="198"/>
      <c r="N1541" s="198"/>
      <c r="O1541" s="198"/>
      <c r="P1541" s="199"/>
      <c r="Q1541" s="200"/>
      <c r="R1541" s="200"/>
      <c r="S1541" s="200"/>
      <c r="T1541" s="200" t="str">
        <f t="shared" si="249"/>
        <v/>
      </c>
      <c r="U1541" s="200"/>
      <c r="V1541" s="201" t="str">
        <f t="shared" si="250"/>
        <v/>
      </c>
      <c r="W1541" s="202">
        <f t="shared" si="251"/>
        <v>0</v>
      </c>
      <c r="X1541" s="172"/>
    </row>
    <row r="1542" spans="1:24" x14ac:dyDescent="0.45">
      <c r="A1542" s="193">
        <v>44</v>
      </c>
      <c r="B1542" s="194" t="str">
        <f t="shared" si="247"/>
        <v/>
      </c>
      <c r="C1542" s="170" t="str">
        <f t="shared" si="248"/>
        <v/>
      </c>
      <c r="D1542" s="170"/>
      <c r="E1542" s="195"/>
      <c r="F1542" s="170"/>
      <c r="G1542" s="170"/>
      <c r="H1542" s="203"/>
      <c r="I1542" s="197" t="str">
        <f t="shared" si="252"/>
        <v/>
      </c>
      <c r="J1542" s="197" t="str">
        <f t="shared" si="253"/>
        <v/>
      </c>
      <c r="K1542" s="197"/>
      <c r="L1542" s="197"/>
      <c r="M1542" s="198"/>
      <c r="N1542" s="198"/>
      <c r="O1542" s="198"/>
      <c r="P1542" s="199"/>
      <c r="Q1542" s="200"/>
      <c r="R1542" s="200"/>
      <c r="S1542" s="200"/>
      <c r="T1542" s="200" t="str">
        <f t="shared" si="249"/>
        <v/>
      </c>
      <c r="U1542" s="200"/>
      <c r="V1542" s="201" t="str">
        <f t="shared" si="250"/>
        <v/>
      </c>
      <c r="W1542" s="202">
        <f t="shared" si="251"/>
        <v>0</v>
      </c>
      <c r="X1542" s="172"/>
    </row>
    <row r="1543" spans="1:24" x14ac:dyDescent="0.45">
      <c r="A1543" s="193">
        <v>45</v>
      </c>
      <c r="B1543" s="194" t="str">
        <f t="shared" si="247"/>
        <v/>
      </c>
      <c r="C1543" s="170" t="str">
        <f t="shared" si="248"/>
        <v/>
      </c>
      <c r="D1543" s="170"/>
      <c r="E1543" s="195"/>
      <c r="F1543" s="170"/>
      <c r="G1543" s="170"/>
      <c r="H1543" s="203"/>
      <c r="I1543" s="197" t="str">
        <f t="shared" si="252"/>
        <v/>
      </c>
      <c r="J1543" s="197" t="str">
        <f t="shared" si="253"/>
        <v/>
      </c>
      <c r="K1543" s="197"/>
      <c r="L1543" s="197"/>
      <c r="M1543" s="198"/>
      <c r="N1543" s="198"/>
      <c r="O1543" s="198"/>
      <c r="P1543" s="199"/>
      <c r="Q1543" s="200"/>
      <c r="R1543" s="200"/>
      <c r="S1543" s="200"/>
      <c r="T1543" s="200" t="str">
        <f t="shared" si="249"/>
        <v/>
      </c>
      <c r="U1543" s="200"/>
      <c r="V1543" s="201" t="str">
        <f t="shared" si="250"/>
        <v/>
      </c>
      <c r="W1543" s="202">
        <f t="shared" si="251"/>
        <v>0</v>
      </c>
      <c r="X1543" s="172"/>
    </row>
    <row r="1544" spans="1:24" x14ac:dyDescent="0.45">
      <c r="A1544" s="193">
        <v>46</v>
      </c>
      <c r="B1544" s="194" t="str">
        <f t="shared" si="247"/>
        <v/>
      </c>
      <c r="C1544" s="170" t="str">
        <f t="shared" si="248"/>
        <v/>
      </c>
      <c r="D1544" s="170"/>
      <c r="E1544" s="195"/>
      <c r="F1544" s="170"/>
      <c r="G1544" s="170"/>
      <c r="H1544" s="203"/>
      <c r="I1544" s="197" t="str">
        <f t="shared" si="252"/>
        <v/>
      </c>
      <c r="J1544" s="197" t="str">
        <f t="shared" si="253"/>
        <v/>
      </c>
      <c r="K1544" s="197"/>
      <c r="L1544" s="197"/>
      <c r="M1544" s="198"/>
      <c r="N1544" s="198"/>
      <c r="O1544" s="198"/>
      <c r="P1544" s="199"/>
      <c r="Q1544" s="200"/>
      <c r="R1544" s="200"/>
      <c r="S1544" s="200"/>
      <c r="T1544" s="200" t="str">
        <f t="shared" si="249"/>
        <v/>
      </c>
      <c r="U1544" s="200"/>
      <c r="V1544" s="201" t="str">
        <f t="shared" si="250"/>
        <v/>
      </c>
      <c r="W1544" s="202">
        <f t="shared" si="251"/>
        <v>0</v>
      </c>
      <c r="X1544" s="172"/>
    </row>
    <row r="1545" spans="1:24" x14ac:dyDescent="0.45">
      <c r="A1545" s="193">
        <v>47</v>
      </c>
      <c r="B1545" s="194" t="str">
        <f t="shared" si="247"/>
        <v/>
      </c>
      <c r="C1545" s="170" t="str">
        <f t="shared" si="248"/>
        <v/>
      </c>
      <c r="D1545" s="170"/>
      <c r="E1545" s="195"/>
      <c r="F1545" s="170"/>
      <c r="G1545" s="170"/>
      <c r="H1545" s="203"/>
      <c r="I1545" s="197" t="str">
        <f t="shared" si="252"/>
        <v/>
      </c>
      <c r="J1545" s="197" t="str">
        <f t="shared" si="253"/>
        <v/>
      </c>
      <c r="K1545" s="197"/>
      <c r="L1545" s="197"/>
      <c r="M1545" s="198"/>
      <c r="N1545" s="198"/>
      <c r="O1545" s="198"/>
      <c r="P1545" s="199"/>
      <c r="Q1545" s="200"/>
      <c r="R1545" s="200"/>
      <c r="S1545" s="200"/>
      <c r="T1545" s="200" t="str">
        <f t="shared" si="249"/>
        <v/>
      </c>
      <c r="U1545" s="200"/>
      <c r="V1545" s="201" t="str">
        <f t="shared" si="250"/>
        <v/>
      </c>
      <c r="W1545" s="202">
        <f t="shared" si="251"/>
        <v>0</v>
      </c>
      <c r="X1545" s="172"/>
    </row>
    <row r="1546" spans="1:24" x14ac:dyDescent="0.45">
      <c r="A1546" s="193">
        <v>48</v>
      </c>
      <c r="B1546" s="194" t="str">
        <f t="shared" si="247"/>
        <v/>
      </c>
      <c r="C1546" s="170" t="str">
        <f t="shared" si="248"/>
        <v/>
      </c>
      <c r="D1546" s="170"/>
      <c r="E1546" s="195"/>
      <c r="F1546" s="170"/>
      <c r="G1546" s="170"/>
      <c r="H1546" s="203"/>
      <c r="I1546" s="197" t="str">
        <f t="shared" si="252"/>
        <v/>
      </c>
      <c r="J1546" s="197" t="str">
        <f t="shared" si="253"/>
        <v/>
      </c>
      <c r="K1546" s="197"/>
      <c r="L1546" s="197"/>
      <c r="M1546" s="198"/>
      <c r="N1546" s="198"/>
      <c r="O1546" s="198"/>
      <c r="P1546" s="199"/>
      <c r="Q1546" s="200"/>
      <c r="R1546" s="200"/>
      <c r="S1546" s="200"/>
      <c r="T1546" s="200" t="str">
        <f t="shared" si="249"/>
        <v/>
      </c>
      <c r="U1546" s="200"/>
      <c r="V1546" s="201" t="str">
        <f t="shared" si="250"/>
        <v/>
      </c>
      <c r="W1546" s="202">
        <f t="shared" si="251"/>
        <v>0</v>
      </c>
      <c r="X1546" s="172"/>
    </row>
    <row r="1547" spans="1:24" x14ac:dyDescent="0.45">
      <c r="A1547" s="193">
        <v>49</v>
      </c>
      <c r="B1547" s="194" t="str">
        <f t="shared" si="247"/>
        <v/>
      </c>
      <c r="C1547" s="170" t="str">
        <f t="shared" si="248"/>
        <v/>
      </c>
      <c r="D1547" s="170"/>
      <c r="E1547" s="195"/>
      <c r="F1547" s="170"/>
      <c r="G1547" s="170"/>
      <c r="H1547" s="203"/>
      <c r="I1547" s="197" t="str">
        <f t="shared" si="252"/>
        <v/>
      </c>
      <c r="J1547" s="197" t="str">
        <f t="shared" si="253"/>
        <v/>
      </c>
      <c r="K1547" s="197"/>
      <c r="L1547" s="197"/>
      <c r="M1547" s="198"/>
      <c r="N1547" s="198"/>
      <c r="O1547" s="198"/>
      <c r="P1547" s="199"/>
      <c r="Q1547" s="200"/>
      <c r="R1547" s="200"/>
      <c r="S1547" s="200"/>
      <c r="T1547" s="200" t="str">
        <f t="shared" si="249"/>
        <v/>
      </c>
      <c r="U1547" s="200"/>
      <c r="V1547" s="201" t="str">
        <f t="shared" si="250"/>
        <v/>
      </c>
      <c r="W1547" s="202">
        <f t="shared" si="251"/>
        <v>0</v>
      </c>
      <c r="X1547" s="172"/>
    </row>
    <row r="1548" spans="1:24" x14ac:dyDescent="0.45">
      <c r="A1548" s="193">
        <v>50</v>
      </c>
      <c r="B1548" s="194" t="str">
        <f t="shared" si="247"/>
        <v/>
      </c>
      <c r="C1548" s="170" t="str">
        <f t="shared" si="248"/>
        <v/>
      </c>
      <c r="D1548" s="170"/>
      <c r="E1548" s="195"/>
      <c r="F1548" s="170"/>
      <c r="G1548" s="170"/>
      <c r="H1548" s="203"/>
      <c r="I1548" s="197" t="str">
        <f t="shared" si="252"/>
        <v/>
      </c>
      <c r="J1548" s="197" t="str">
        <f t="shared" si="253"/>
        <v/>
      </c>
      <c r="K1548" s="197"/>
      <c r="L1548" s="197"/>
      <c r="M1548" s="198"/>
      <c r="N1548" s="198"/>
      <c r="O1548" s="198"/>
      <c r="P1548" s="199"/>
      <c r="Q1548" s="200"/>
      <c r="R1548" s="200"/>
      <c r="S1548" s="200"/>
      <c r="T1548" s="200" t="str">
        <f t="shared" si="249"/>
        <v/>
      </c>
      <c r="U1548" s="200"/>
      <c r="V1548" s="201" t="str">
        <f t="shared" si="250"/>
        <v/>
      </c>
      <c r="W1548" s="202">
        <f t="shared" si="251"/>
        <v>0</v>
      </c>
      <c r="X1548" s="172"/>
    </row>
    <row r="1549" spans="1:24" x14ac:dyDescent="0.45">
      <c r="A1549" s="193">
        <v>51</v>
      </c>
      <c r="B1549" s="194" t="str">
        <f t="shared" si="247"/>
        <v/>
      </c>
      <c r="C1549" s="170" t="str">
        <f t="shared" si="248"/>
        <v/>
      </c>
      <c r="D1549" s="170"/>
      <c r="E1549" s="195"/>
      <c r="F1549" s="170"/>
      <c r="G1549" s="170"/>
      <c r="H1549" s="203"/>
      <c r="I1549" s="197" t="str">
        <f t="shared" si="252"/>
        <v/>
      </c>
      <c r="J1549" s="197" t="str">
        <f t="shared" si="253"/>
        <v/>
      </c>
      <c r="K1549" s="197"/>
      <c r="L1549" s="197"/>
      <c r="M1549" s="198"/>
      <c r="N1549" s="198"/>
      <c r="O1549" s="198"/>
      <c r="P1549" s="199"/>
      <c r="Q1549" s="200"/>
      <c r="R1549" s="200"/>
      <c r="S1549" s="200"/>
      <c r="T1549" s="200" t="str">
        <f t="shared" si="249"/>
        <v/>
      </c>
      <c r="U1549" s="200"/>
      <c r="V1549" s="201" t="str">
        <f t="shared" si="250"/>
        <v/>
      </c>
      <c r="W1549" s="202">
        <f t="shared" si="251"/>
        <v>0</v>
      </c>
      <c r="X1549" s="172"/>
    </row>
    <row r="1550" spans="1:24" x14ac:dyDescent="0.45">
      <c r="A1550" s="193">
        <v>52</v>
      </c>
      <c r="B1550" s="194" t="str">
        <f t="shared" si="247"/>
        <v/>
      </c>
      <c r="C1550" s="170" t="str">
        <f t="shared" si="248"/>
        <v/>
      </c>
      <c r="D1550" s="170"/>
      <c r="E1550" s="195"/>
      <c r="F1550" s="170"/>
      <c r="G1550" s="170"/>
      <c r="H1550" s="203"/>
      <c r="I1550" s="197" t="str">
        <f t="shared" si="252"/>
        <v/>
      </c>
      <c r="J1550" s="197" t="str">
        <f t="shared" si="253"/>
        <v/>
      </c>
      <c r="K1550" s="197"/>
      <c r="L1550" s="197"/>
      <c r="M1550" s="198"/>
      <c r="N1550" s="198"/>
      <c r="O1550" s="198"/>
      <c r="P1550" s="199"/>
      <c r="Q1550" s="200"/>
      <c r="R1550" s="200"/>
      <c r="S1550" s="200"/>
      <c r="T1550" s="200" t="str">
        <f t="shared" si="249"/>
        <v/>
      </c>
      <c r="U1550" s="200"/>
      <c r="V1550" s="201" t="str">
        <f t="shared" si="250"/>
        <v/>
      </c>
      <c r="W1550" s="202">
        <f t="shared" si="251"/>
        <v>0</v>
      </c>
      <c r="X1550" s="172"/>
    </row>
    <row r="1551" spans="1:24" x14ac:dyDescent="0.45">
      <c r="A1551" s="193">
        <v>53</v>
      </c>
      <c r="B1551" s="194" t="str">
        <f t="shared" si="247"/>
        <v/>
      </c>
      <c r="C1551" s="170" t="str">
        <f t="shared" si="248"/>
        <v/>
      </c>
      <c r="D1551" s="170"/>
      <c r="E1551" s="195"/>
      <c r="F1551" s="170"/>
      <c r="G1551" s="170"/>
      <c r="H1551" s="203"/>
      <c r="I1551" s="197" t="str">
        <f t="shared" si="252"/>
        <v/>
      </c>
      <c r="J1551" s="197" t="str">
        <f t="shared" si="253"/>
        <v/>
      </c>
      <c r="K1551" s="197"/>
      <c r="L1551" s="197"/>
      <c r="M1551" s="198"/>
      <c r="N1551" s="198"/>
      <c r="O1551" s="198"/>
      <c r="P1551" s="199"/>
      <c r="Q1551" s="200"/>
      <c r="R1551" s="200"/>
      <c r="S1551" s="200"/>
      <c r="T1551" s="200" t="str">
        <f t="shared" si="249"/>
        <v/>
      </c>
      <c r="U1551" s="200"/>
      <c r="V1551" s="201" t="str">
        <f t="shared" si="250"/>
        <v/>
      </c>
      <c r="W1551" s="202">
        <f t="shared" si="251"/>
        <v>0</v>
      </c>
      <c r="X1551" s="172"/>
    </row>
    <row r="1552" spans="1:24" x14ac:dyDescent="0.45">
      <c r="A1552" s="193">
        <v>54</v>
      </c>
      <c r="B1552" s="194" t="str">
        <f t="shared" si="247"/>
        <v/>
      </c>
      <c r="C1552" s="170" t="str">
        <f t="shared" si="248"/>
        <v/>
      </c>
      <c r="D1552" s="170"/>
      <c r="E1552" s="195"/>
      <c r="F1552" s="170"/>
      <c r="G1552" s="170"/>
      <c r="H1552" s="203"/>
      <c r="I1552" s="197" t="str">
        <f t="shared" si="252"/>
        <v/>
      </c>
      <c r="J1552" s="197" t="str">
        <f t="shared" si="253"/>
        <v/>
      </c>
      <c r="K1552" s="197"/>
      <c r="L1552" s="197"/>
      <c r="M1552" s="198"/>
      <c r="N1552" s="198"/>
      <c r="O1552" s="198"/>
      <c r="P1552" s="199"/>
      <c r="Q1552" s="200"/>
      <c r="R1552" s="200"/>
      <c r="S1552" s="200"/>
      <c r="T1552" s="200" t="str">
        <f t="shared" si="249"/>
        <v/>
      </c>
      <c r="U1552" s="200"/>
      <c r="V1552" s="201" t="str">
        <f t="shared" si="250"/>
        <v/>
      </c>
      <c r="W1552" s="202">
        <f t="shared" si="251"/>
        <v>0</v>
      </c>
      <c r="X1552" s="172"/>
    </row>
    <row r="1553" spans="1:24" x14ac:dyDescent="0.45">
      <c r="A1553" s="193">
        <v>55</v>
      </c>
      <c r="B1553" s="194" t="str">
        <f t="shared" si="247"/>
        <v/>
      </c>
      <c r="C1553" s="170" t="str">
        <f t="shared" si="248"/>
        <v/>
      </c>
      <c r="D1553" s="170"/>
      <c r="E1553" s="195"/>
      <c r="F1553" s="170"/>
      <c r="G1553" s="170"/>
      <c r="H1553" s="203"/>
      <c r="I1553" s="197" t="str">
        <f t="shared" si="252"/>
        <v/>
      </c>
      <c r="J1553" s="197" t="str">
        <f t="shared" si="253"/>
        <v/>
      </c>
      <c r="K1553" s="197"/>
      <c r="L1553" s="197"/>
      <c r="M1553" s="198"/>
      <c r="N1553" s="198"/>
      <c r="O1553" s="198"/>
      <c r="P1553" s="199"/>
      <c r="Q1553" s="200"/>
      <c r="R1553" s="200"/>
      <c r="S1553" s="200"/>
      <c r="T1553" s="200" t="str">
        <f t="shared" si="249"/>
        <v/>
      </c>
      <c r="U1553" s="200"/>
      <c r="V1553" s="201" t="str">
        <f t="shared" si="250"/>
        <v/>
      </c>
      <c r="W1553" s="202">
        <f t="shared" si="251"/>
        <v>0</v>
      </c>
      <c r="X1553" s="172"/>
    </row>
    <row r="1554" spans="1:24" x14ac:dyDescent="0.45">
      <c r="A1554" s="193">
        <v>56</v>
      </c>
      <c r="B1554" s="194" t="str">
        <f t="shared" si="247"/>
        <v/>
      </c>
      <c r="C1554" s="170" t="str">
        <f t="shared" si="248"/>
        <v/>
      </c>
      <c r="D1554" s="170"/>
      <c r="E1554" s="195"/>
      <c r="F1554" s="170"/>
      <c r="G1554" s="170"/>
      <c r="H1554" s="203"/>
      <c r="I1554" s="197" t="str">
        <f t="shared" si="252"/>
        <v/>
      </c>
      <c r="J1554" s="197" t="str">
        <f t="shared" si="253"/>
        <v/>
      </c>
      <c r="K1554" s="197"/>
      <c r="L1554" s="197"/>
      <c r="M1554" s="198"/>
      <c r="N1554" s="198"/>
      <c r="O1554" s="198"/>
      <c r="P1554" s="199"/>
      <c r="Q1554" s="200"/>
      <c r="R1554" s="200"/>
      <c r="S1554" s="200"/>
      <c r="T1554" s="200" t="str">
        <f t="shared" si="249"/>
        <v/>
      </c>
      <c r="U1554" s="200"/>
      <c r="V1554" s="201" t="str">
        <f t="shared" si="250"/>
        <v/>
      </c>
      <c r="W1554" s="202">
        <f t="shared" si="251"/>
        <v>0</v>
      </c>
      <c r="X1554" s="172"/>
    </row>
    <row r="1555" spans="1:24" x14ac:dyDescent="0.45">
      <c r="A1555" s="193">
        <v>57</v>
      </c>
      <c r="B1555" s="194" t="str">
        <f t="shared" si="247"/>
        <v/>
      </c>
      <c r="C1555" s="170" t="str">
        <f t="shared" si="248"/>
        <v/>
      </c>
      <c r="D1555" s="170"/>
      <c r="E1555" s="195"/>
      <c r="F1555" s="170"/>
      <c r="G1555" s="170"/>
      <c r="H1555" s="203"/>
      <c r="I1555" s="197" t="str">
        <f t="shared" si="252"/>
        <v/>
      </c>
      <c r="J1555" s="197" t="str">
        <f t="shared" si="253"/>
        <v/>
      </c>
      <c r="K1555" s="197"/>
      <c r="L1555" s="197"/>
      <c r="M1555" s="198"/>
      <c r="N1555" s="198"/>
      <c r="O1555" s="198"/>
      <c r="P1555" s="199"/>
      <c r="Q1555" s="200"/>
      <c r="R1555" s="200"/>
      <c r="S1555" s="200"/>
      <c r="T1555" s="200" t="str">
        <f t="shared" si="249"/>
        <v/>
      </c>
      <c r="U1555" s="200"/>
      <c r="V1555" s="201" t="str">
        <f t="shared" si="250"/>
        <v/>
      </c>
      <c r="W1555" s="202">
        <f t="shared" si="251"/>
        <v>0</v>
      </c>
      <c r="X1555" s="172"/>
    </row>
    <row r="1556" spans="1:24" x14ac:dyDescent="0.45">
      <c r="A1556" s="193">
        <v>58</v>
      </c>
      <c r="B1556" s="194" t="str">
        <f t="shared" si="247"/>
        <v/>
      </c>
      <c r="C1556" s="170" t="str">
        <f t="shared" si="248"/>
        <v/>
      </c>
      <c r="D1556" s="170"/>
      <c r="E1556" s="195"/>
      <c r="F1556" s="170"/>
      <c r="G1556" s="170"/>
      <c r="H1556" s="203"/>
      <c r="I1556" s="197" t="str">
        <f t="shared" si="252"/>
        <v/>
      </c>
      <c r="J1556" s="197" t="str">
        <f t="shared" si="253"/>
        <v/>
      </c>
      <c r="K1556" s="197"/>
      <c r="L1556" s="197"/>
      <c r="M1556" s="198"/>
      <c r="N1556" s="198"/>
      <c r="O1556" s="198"/>
      <c r="P1556" s="199"/>
      <c r="Q1556" s="200"/>
      <c r="R1556" s="200"/>
      <c r="S1556" s="200"/>
      <c r="T1556" s="200" t="str">
        <f t="shared" si="249"/>
        <v/>
      </c>
      <c r="U1556" s="200"/>
      <c r="V1556" s="201" t="str">
        <f t="shared" si="250"/>
        <v/>
      </c>
      <c r="W1556" s="202">
        <f t="shared" si="251"/>
        <v>0</v>
      </c>
      <c r="X1556" s="172"/>
    </row>
    <row r="1557" spans="1:24" x14ac:dyDescent="0.45">
      <c r="A1557" s="193">
        <v>59</v>
      </c>
      <c r="B1557" s="194" t="str">
        <f t="shared" si="247"/>
        <v/>
      </c>
      <c r="C1557" s="170" t="str">
        <f t="shared" si="248"/>
        <v/>
      </c>
      <c r="D1557" s="170"/>
      <c r="E1557" s="195"/>
      <c r="F1557" s="170"/>
      <c r="G1557" s="170"/>
      <c r="H1557" s="203"/>
      <c r="I1557" s="197" t="str">
        <f t="shared" si="252"/>
        <v/>
      </c>
      <c r="J1557" s="197" t="str">
        <f t="shared" si="253"/>
        <v/>
      </c>
      <c r="K1557" s="197"/>
      <c r="L1557" s="197"/>
      <c r="M1557" s="198"/>
      <c r="N1557" s="198"/>
      <c r="O1557" s="198"/>
      <c r="P1557" s="199"/>
      <c r="Q1557" s="200"/>
      <c r="R1557" s="200"/>
      <c r="S1557" s="200"/>
      <c r="T1557" s="200" t="str">
        <f t="shared" si="249"/>
        <v/>
      </c>
      <c r="U1557" s="200"/>
      <c r="V1557" s="201" t="str">
        <f t="shared" si="250"/>
        <v/>
      </c>
      <c r="W1557" s="202">
        <f t="shared" si="251"/>
        <v>0</v>
      </c>
      <c r="X1557" s="172"/>
    </row>
    <row r="1558" spans="1:24" x14ac:dyDescent="0.45">
      <c r="A1558" s="193">
        <v>60</v>
      </c>
      <c r="B1558" s="194" t="str">
        <f t="shared" si="247"/>
        <v/>
      </c>
      <c r="C1558" s="170" t="str">
        <f t="shared" si="248"/>
        <v/>
      </c>
      <c r="D1558" s="170"/>
      <c r="E1558" s="195"/>
      <c r="F1558" s="170"/>
      <c r="G1558" s="170"/>
      <c r="H1558" s="203"/>
      <c r="I1558" s="197" t="str">
        <f t="shared" si="252"/>
        <v/>
      </c>
      <c r="J1558" s="197" t="str">
        <f t="shared" si="253"/>
        <v/>
      </c>
      <c r="K1558" s="197"/>
      <c r="L1558" s="197"/>
      <c r="M1558" s="198"/>
      <c r="N1558" s="198"/>
      <c r="O1558" s="198"/>
      <c r="P1558" s="199"/>
      <c r="Q1558" s="200"/>
      <c r="R1558" s="200"/>
      <c r="S1558" s="200"/>
      <c r="T1558" s="200" t="str">
        <f t="shared" si="249"/>
        <v/>
      </c>
      <c r="U1558" s="200"/>
      <c r="V1558" s="201" t="str">
        <f t="shared" si="250"/>
        <v/>
      </c>
      <c r="W1558" s="202">
        <f t="shared" si="251"/>
        <v>0</v>
      </c>
      <c r="X1558" s="172"/>
    </row>
    <row r="1559" spans="1:24" x14ac:dyDescent="0.45">
      <c r="A1559" s="193">
        <v>61</v>
      </c>
      <c r="B1559" s="194" t="str">
        <f t="shared" si="247"/>
        <v/>
      </c>
      <c r="C1559" s="170" t="str">
        <f t="shared" si="248"/>
        <v/>
      </c>
      <c r="D1559" s="170"/>
      <c r="E1559" s="195"/>
      <c r="F1559" s="170"/>
      <c r="G1559" s="170"/>
      <c r="H1559" s="203"/>
      <c r="I1559" s="197" t="str">
        <f t="shared" si="252"/>
        <v/>
      </c>
      <c r="J1559" s="197" t="str">
        <f t="shared" si="253"/>
        <v/>
      </c>
      <c r="K1559" s="197"/>
      <c r="L1559" s="197"/>
      <c r="M1559" s="198"/>
      <c r="N1559" s="198"/>
      <c r="O1559" s="198"/>
      <c r="P1559" s="199"/>
      <c r="Q1559" s="200"/>
      <c r="R1559" s="200"/>
      <c r="S1559" s="200"/>
      <c r="T1559" s="200" t="str">
        <f t="shared" si="249"/>
        <v/>
      </c>
      <c r="U1559" s="200"/>
      <c r="V1559" s="201" t="str">
        <f t="shared" si="250"/>
        <v/>
      </c>
      <c r="W1559" s="202">
        <f t="shared" si="251"/>
        <v>0</v>
      </c>
      <c r="X1559" s="172"/>
    </row>
    <row r="1560" spans="1:24" x14ac:dyDescent="0.45">
      <c r="A1560" s="193">
        <v>62</v>
      </c>
      <c r="B1560" s="194" t="str">
        <f t="shared" si="247"/>
        <v/>
      </c>
      <c r="C1560" s="170" t="str">
        <f t="shared" si="248"/>
        <v/>
      </c>
      <c r="D1560" s="170"/>
      <c r="E1560" s="195"/>
      <c r="F1560" s="170"/>
      <c r="G1560" s="170"/>
      <c r="H1560" s="203"/>
      <c r="I1560" s="197" t="str">
        <f t="shared" si="252"/>
        <v/>
      </c>
      <c r="J1560" s="197" t="str">
        <f t="shared" si="253"/>
        <v/>
      </c>
      <c r="K1560" s="197"/>
      <c r="L1560" s="197"/>
      <c r="M1560" s="198"/>
      <c r="N1560" s="198"/>
      <c r="O1560" s="198"/>
      <c r="P1560" s="199"/>
      <c r="Q1560" s="200"/>
      <c r="R1560" s="200"/>
      <c r="S1560" s="200"/>
      <c r="T1560" s="200" t="str">
        <f t="shared" si="249"/>
        <v/>
      </c>
      <c r="U1560" s="200"/>
      <c r="V1560" s="201" t="str">
        <f t="shared" si="250"/>
        <v/>
      </c>
      <c r="W1560" s="202">
        <f t="shared" si="251"/>
        <v>0</v>
      </c>
      <c r="X1560" s="172"/>
    </row>
    <row r="1561" spans="1:24" x14ac:dyDescent="0.45">
      <c r="A1561" s="193">
        <v>63</v>
      </c>
      <c r="B1561" s="194" t="str">
        <f t="shared" si="247"/>
        <v/>
      </c>
      <c r="C1561" s="170" t="str">
        <f t="shared" si="248"/>
        <v/>
      </c>
      <c r="D1561" s="170"/>
      <c r="E1561" s="195"/>
      <c r="F1561" s="170"/>
      <c r="G1561" s="170"/>
      <c r="H1561" s="203"/>
      <c r="I1561" s="197" t="str">
        <f t="shared" si="252"/>
        <v/>
      </c>
      <c r="J1561" s="197" t="str">
        <f t="shared" si="253"/>
        <v/>
      </c>
      <c r="K1561" s="197"/>
      <c r="L1561" s="197"/>
      <c r="M1561" s="198"/>
      <c r="N1561" s="198"/>
      <c r="O1561" s="198"/>
      <c r="P1561" s="199"/>
      <c r="Q1561" s="200"/>
      <c r="R1561" s="200"/>
      <c r="S1561" s="200"/>
      <c r="T1561" s="200" t="str">
        <f t="shared" si="249"/>
        <v/>
      </c>
      <c r="U1561" s="200"/>
      <c r="V1561" s="201" t="str">
        <f t="shared" si="250"/>
        <v/>
      </c>
      <c r="W1561" s="202">
        <f t="shared" si="251"/>
        <v>0</v>
      </c>
      <c r="X1561" s="172"/>
    </row>
    <row r="1562" spans="1:24" x14ac:dyDescent="0.45">
      <c r="A1562" s="193">
        <v>64</v>
      </c>
      <c r="B1562" s="194" t="str">
        <f t="shared" si="247"/>
        <v/>
      </c>
      <c r="C1562" s="170" t="str">
        <f t="shared" si="248"/>
        <v/>
      </c>
      <c r="D1562" s="170"/>
      <c r="E1562" s="195"/>
      <c r="F1562" s="170"/>
      <c r="G1562" s="170"/>
      <c r="H1562" s="203"/>
      <c r="I1562" s="197" t="str">
        <f t="shared" si="252"/>
        <v/>
      </c>
      <c r="J1562" s="197" t="str">
        <f t="shared" si="253"/>
        <v/>
      </c>
      <c r="K1562" s="197"/>
      <c r="L1562" s="197"/>
      <c r="M1562" s="198"/>
      <c r="N1562" s="198"/>
      <c r="O1562" s="198"/>
      <c r="P1562" s="199"/>
      <c r="Q1562" s="200"/>
      <c r="R1562" s="200"/>
      <c r="S1562" s="200"/>
      <c r="T1562" s="200" t="str">
        <f t="shared" si="249"/>
        <v/>
      </c>
      <c r="U1562" s="200"/>
      <c r="V1562" s="201" t="str">
        <f t="shared" si="250"/>
        <v/>
      </c>
      <c r="W1562" s="202">
        <f t="shared" si="251"/>
        <v>0</v>
      </c>
      <c r="X1562" s="172"/>
    </row>
    <row r="1563" spans="1:24" x14ac:dyDescent="0.45">
      <c r="A1563" s="193">
        <v>65</v>
      </c>
      <c r="B1563" s="194" t="str">
        <f t="shared" si="247"/>
        <v/>
      </c>
      <c r="C1563" s="170" t="str">
        <f t="shared" si="248"/>
        <v/>
      </c>
      <c r="D1563" s="170"/>
      <c r="E1563" s="195"/>
      <c r="F1563" s="170"/>
      <c r="G1563" s="170"/>
      <c r="H1563" s="203"/>
      <c r="I1563" s="197" t="str">
        <f t="shared" si="252"/>
        <v/>
      </c>
      <c r="J1563" s="197" t="str">
        <f t="shared" si="253"/>
        <v/>
      </c>
      <c r="K1563" s="197"/>
      <c r="L1563" s="197"/>
      <c r="M1563" s="198"/>
      <c r="N1563" s="198"/>
      <c r="O1563" s="198"/>
      <c r="P1563" s="199"/>
      <c r="Q1563" s="200"/>
      <c r="R1563" s="200"/>
      <c r="S1563" s="200"/>
      <c r="T1563" s="200" t="str">
        <f t="shared" si="249"/>
        <v/>
      </c>
      <c r="U1563" s="200"/>
      <c r="V1563" s="201" t="str">
        <f t="shared" ref="V1563:V1564" si="254">IF(U1563="","",$V$1479)</f>
        <v/>
      </c>
      <c r="W1563" s="202">
        <f t="shared" si="251"/>
        <v>0</v>
      </c>
      <c r="X1563" s="172"/>
    </row>
    <row r="1564" spans="1:24" ht="14.25" customHeight="1" x14ac:dyDescent="0.45">
      <c r="A1564" s="193">
        <v>66</v>
      </c>
      <c r="B1564" s="204" t="str">
        <f t="shared" si="247"/>
        <v/>
      </c>
      <c r="C1564" s="205" t="str">
        <f t="shared" si="248"/>
        <v/>
      </c>
      <c r="D1564" s="205"/>
      <c r="E1564" s="205"/>
      <c r="F1564" s="205"/>
      <c r="G1564" s="205"/>
      <c r="H1564" s="205"/>
      <c r="I1564" s="206" t="str">
        <f t="shared" si="252"/>
        <v/>
      </c>
      <c r="J1564" s="206" t="str">
        <f t="shared" si="253"/>
        <v/>
      </c>
      <c r="K1564" s="206"/>
      <c r="L1564" s="206"/>
      <c r="M1564" s="205"/>
      <c r="N1564" s="205"/>
      <c r="O1564" s="205"/>
      <c r="P1564" s="205"/>
      <c r="Q1564" s="205"/>
      <c r="R1564" s="205"/>
      <c r="S1564" s="205"/>
      <c r="T1564" s="205" t="str">
        <f t="shared" si="249"/>
        <v/>
      </c>
      <c r="U1564" s="205"/>
      <c r="V1564" s="205" t="str">
        <f t="shared" si="254"/>
        <v/>
      </c>
      <c r="W1564" s="207">
        <f t="shared" si="251"/>
        <v>0</v>
      </c>
      <c r="X1564" s="207"/>
    </row>
    <row r="1565" spans="1:24" ht="24.75" customHeight="1" x14ac:dyDescent="0.45">
      <c r="B1565" s="428" t="s">
        <v>1525</v>
      </c>
      <c r="C1565" s="429" t="s">
        <v>1494</v>
      </c>
      <c r="D1565" s="429"/>
      <c r="E1565" s="429"/>
      <c r="F1565" s="429"/>
      <c r="G1565" s="429"/>
      <c r="H1565" s="429"/>
      <c r="I1565" s="429"/>
      <c r="J1565" s="429"/>
      <c r="K1565" s="429"/>
      <c r="L1565" s="429"/>
      <c r="M1565" s="429"/>
      <c r="N1565" s="429"/>
      <c r="O1565" s="429"/>
      <c r="P1565" s="429"/>
      <c r="Q1565" s="429"/>
      <c r="R1565" s="145" t="s">
        <v>1</v>
      </c>
      <c r="S1565" s="146"/>
      <c r="T1565" s="145" t="s">
        <v>8</v>
      </c>
      <c r="U1565" s="147"/>
      <c r="V1565" s="148" t="s">
        <v>3</v>
      </c>
      <c r="W1565" s="146"/>
      <c r="X1565" s="149"/>
    </row>
    <row r="1566" spans="1:24" ht="24.75" customHeight="1" x14ac:dyDescent="0.45">
      <c r="B1566" s="428"/>
      <c r="C1566" s="429"/>
      <c r="D1566" s="429"/>
      <c r="E1566" s="429"/>
      <c r="F1566" s="429"/>
      <c r="G1566" s="429"/>
      <c r="H1566" s="429"/>
      <c r="I1566" s="429"/>
      <c r="J1566" s="429"/>
      <c r="K1566" s="429"/>
      <c r="L1566" s="429"/>
      <c r="M1566" s="429"/>
      <c r="N1566" s="429"/>
      <c r="O1566" s="429"/>
      <c r="P1566" s="429"/>
      <c r="Q1566" s="429"/>
      <c r="R1566" s="430" t="s">
        <v>1495</v>
      </c>
      <c r="S1566" s="430"/>
      <c r="T1566" s="431" t="str">
        <f>'BM MORRO DA CRUZ - VERTICAL'!$V$4</f>
        <v>01-10-26 A 31-10-26</v>
      </c>
      <c r="U1566" s="431"/>
      <c r="V1566" s="432" t="str">
        <f>IF('BM MORRO DA CRUZ - VERTICAL'!$BF$2="","",'BM MORRO DA CRUZ - VERTICAL'!$BF$2)</f>
        <v/>
      </c>
      <c r="W1566" s="432"/>
      <c r="X1566" s="150"/>
    </row>
    <row r="1567" spans="1:24" ht="24.75" customHeight="1" x14ac:dyDescent="0.45">
      <c r="B1567" s="151" t="s">
        <v>5</v>
      </c>
      <c r="C1567" s="152"/>
      <c r="D1567" s="152"/>
      <c r="E1567" s="152"/>
      <c r="F1567" s="152"/>
      <c r="G1567" s="152"/>
      <c r="H1567" s="152"/>
      <c r="I1567" s="152"/>
      <c r="J1567" s="152"/>
      <c r="K1567" s="152"/>
      <c r="L1567" s="152"/>
      <c r="M1567" s="152"/>
      <c r="N1567" s="152"/>
      <c r="O1567" s="152"/>
      <c r="P1567" s="153"/>
      <c r="Q1567" s="154"/>
      <c r="R1567" s="155"/>
      <c r="S1567" s="155"/>
      <c r="T1567" s="156" t="s">
        <v>1496</v>
      </c>
      <c r="U1567" s="157"/>
      <c r="V1567" s="158" t="s">
        <v>9</v>
      </c>
      <c r="W1567" s="159"/>
      <c r="X1567" s="433"/>
    </row>
    <row r="1568" spans="1:24" ht="24.75" customHeight="1" x14ac:dyDescent="0.45">
      <c r="B1568" s="17" t="s">
        <v>11</v>
      </c>
      <c r="C1568" s="160"/>
      <c r="D1568" s="160"/>
      <c r="E1568" s="160"/>
      <c r="F1568" s="160"/>
      <c r="G1568" s="160"/>
      <c r="H1568" s="160"/>
      <c r="I1568" s="160"/>
      <c r="J1568" s="160"/>
      <c r="K1568" s="160"/>
      <c r="L1568" s="160"/>
      <c r="M1568" s="160"/>
      <c r="N1568" s="160"/>
      <c r="O1568" s="160"/>
      <c r="P1568" s="161"/>
      <c r="Q1568" s="162"/>
      <c r="R1568" s="163"/>
      <c r="S1568" s="163"/>
      <c r="T1568" s="434" t="str">
        <f>'BM MORRO DA CRUZ - VERTICAL'!$V$2</f>
        <v>1ª MEDIÇÃO</v>
      </c>
      <c r="U1568" s="434"/>
      <c r="V1568" s="435" t="s">
        <v>13</v>
      </c>
      <c r="W1568" s="435"/>
      <c r="X1568" s="433"/>
    </row>
    <row r="1569" spans="2:24" ht="24.75" customHeight="1" x14ac:dyDescent="0.45">
      <c r="B1569" s="164" t="s">
        <v>1459</v>
      </c>
      <c r="C1569" s="165" t="s">
        <v>14</v>
      </c>
      <c r="D1569" s="165" t="s">
        <v>24</v>
      </c>
      <c r="E1569" s="165" t="s">
        <v>25</v>
      </c>
      <c r="F1569" s="166" t="s">
        <v>1461</v>
      </c>
      <c r="G1569" s="165"/>
      <c r="H1569" s="165"/>
      <c r="I1569" s="165"/>
      <c r="J1569" s="165"/>
      <c r="K1569" s="165"/>
      <c r="L1569" s="165"/>
      <c r="M1569" s="165"/>
      <c r="N1569" s="165"/>
      <c r="O1569" s="165"/>
      <c r="P1569" s="165"/>
      <c r="Q1569" s="165"/>
      <c r="R1569" s="165"/>
      <c r="S1569" s="165"/>
      <c r="T1569" s="165"/>
      <c r="U1569" s="165"/>
      <c r="V1569" s="165" t="s">
        <v>26</v>
      </c>
      <c r="W1569" s="167" t="s">
        <v>29</v>
      </c>
      <c r="X1569" s="168"/>
    </row>
    <row r="1570" spans="2:24" ht="24.75" customHeight="1" x14ac:dyDescent="0.45">
      <c r="B1570" s="169"/>
      <c r="C1570" s="170"/>
      <c r="D1570" s="170"/>
      <c r="E1570" s="170"/>
      <c r="F1570" s="170"/>
      <c r="G1570" s="170"/>
      <c r="H1570" s="170"/>
      <c r="I1570" s="170"/>
      <c r="J1570" s="170"/>
      <c r="K1570" s="170"/>
      <c r="L1570" s="170"/>
      <c r="M1570" s="170"/>
      <c r="N1570" s="170"/>
      <c r="O1570" s="170"/>
      <c r="P1570" s="170"/>
      <c r="Q1570" s="170"/>
      <c r="R1570" s="170"/>
      <c r="S1570" s="170"/>
      <c r="T1570" s="170"/>
      <c r="U1570" s="170"/>
      <c r="V1570" s="170"/>
      <c r="W1570" s="171"/>
      <c r="X1570" s="172"/>
    </row>
    <row r="1571" spans="2:24" ht="24.75" customHeight="1" x14ac:dyDescent="0.45">
      <c r="B1571" s="173" t="str">
        <f>IF($C$1571="","",IFERROR(INDEX('BM MORRO DA CRUZ - VERTICAL'!$C$6:$C$546,MATCH($C$1571,'BM MORRO DA CRUZ - VERTICAL'!$D$6:$D$546,0)),"CHAVE NÃO ENCONTRADA NO VERTICAL"))</f>
        <v/>
      </c>
      <c r="C1571" s="174"/>
      <c r="D1571" s="175" t="str">
        <f>IF($C$1571="","",IFERROR(INDEX('BM MORRO DA CRUZ - VERTICAL'!$O$6:$O$546,MATCH($C$1571,'BM MORRO DA CRUZ - VERTICAL'!$D$6:$D$546,0)),"CHAVE NÃO ENCONTRADA NO VERTICAL"))</f>
        <v/>
      </c>
      <c r="E1571" s="175" t="str">
        <f>IF($C$1571="","",IFERROR(INDEX('BM MORRO DA CRUZ - VERTICAL'!$P$6:$P$546,MATCH($C$1571,'BM MORRO DA CRUZ - VERTICAL'!$D$6:$D$546,0)),"CHAVE NÃO ENCONTRADA NO VERTICAL"))</f>
        <v/>
      </c>
      <c r="F1571" s="175" t="str">
        <f>IF($C$1571="","",IFERROR(INDEX('BM MORRO DA CRUZ - VERTICAL'!$Q$6:$Q$546,MATCH($C$1571,'BM MORRO DA CRUZ - VERTICAL'!$D$6:$D$546,0)),"CHAVE NÃO ENCONTRADA NO VERTICAL"))</f>
        <v/>
      </c>
      <c r="G1571" s="176"/>
      <c r="H1571" s="176"/>
      <c r="I1571" s="176"/>
      <c r="J1571" s="176"/>
      <c r="K1571" s="176"/>
      <c r="L1571" s="176"/>
      <c r="M1571" s="176"/>
      <c r="N1571" s="176"/>
      <c r="O1571" s="176"/>
      <c r="P1571" s="176"/>
      <c r="Q1571" s="176"/>
      <c r="R1571" s="176"/>
      <c r="S1571" s="176"/>
      <c r="T1571" s="176"/>
      <c r="U1571" s="176"/>
      <c r="V1571" s="177" t="str">
        <f>IF($C$1571="","",IFERROR(INDEX('BM MORRO DA CRUZ - VERTICAL'!$R$6:$R$546,MATCH($C$1571,'BM MORRO DA CRUZ - VERTICAL'!$D$6:$D$546,0)),"CHAVE NÃO ENCONTRADA NO VERTICAL"))</f>
        <v/>
      </c>
      <c r="W1571" s="178">
        <f>SUM($W1591:$W1656)</f>
        <v>0</v>
      </c>
      <c r="X1571" s="179"/>
    </row>
    <row r="1572" spans="2:24" ht="24.75" customHeight="1" x14ac:dyDescent="0.45">
      <c r="B1572" s="426" t="s">
        <v>1497</v>
      </c>
      <c r="C1572" s="426"/>
      <c r="D1572" s="426"/>
      <c r="E1572" s="426"/>
      <c r="F1572" s="426"/>
      <c r="G1572" s="426"/>
      <c r="H1572" s="426"/>
      <c r="I1572" s="426"/>
      <c r="J1572" s="426"/>
      <c r="K1572" s="426"/>
      <c r="L1572" s="426"/>
      <c r="M1572" s="426"/>
      <c r="N1572" s="426"/>
      <c r="O1572" s="426"/>
      <c r="P1572" s="426"/>
      <c r="Q1572" s="426"/>
      <c r="R1572" s="426"/>
      <c r="S1572" s="426"/>
      <c r="T1572" s="426"/>
      <c r="U1572" s="426"/>
      <c r="V1572" s="426"/>
      <c r="W1572" s="426"/>
      <c r="X1572" s="180" t="s">
        <v>1498</v>
      </c>
    </row>
    <row r="1573" spans="2:24" ht="14.25" customHeight="1" x14ac:dyDescent="0.45">
      <c r="B1573" s="181"/>
      <c r="C1573" s="182"/>
      <c r="D1573" s="182"/>
      <c r="E1573" s="182"/>
      <c r="F1573" s="182"/>
      <c r="G1573" s="182"/>
      <c r="H1573" s="182"/>
      <c r="I1573" s="182"/>
      <c r="J1573" s="182"/>
      <c r="K1573" s="182"/>
      <c r="L1573" s="182"/>
      <c r="M1573" s="182"/>
      <c r="N1573" s="182"/>
      <c r="O1573" s="182"/>
      <c r="P1573" s="182"/>
      <c r="Q1573" s="182"/>
      <c r="R1573" s="182"/>
      <c r="S1573" s="182"/>
      <c r="T1573" s="182"/>
      <c r="U1573" s="182"/>
      <c r="V1573" s="182"/>
      <c r="W1573" s="183"/>
      <c r="X1573" s="427"/>
    </row>
    <row r="1574" spans="2:24" x14ac:dyDescent="0.45">
      <c r="B1574" s="181"/>
      <c r="C1574" s="182"/>
      <c r="D1574" s="182"/>
      <c r="E1574" s="182"/>
      <c r="F1574" s="182"/>
      <c r="G1574" s="182"/>
      <c r="H1574" s="182"/>
      <c r="I1574" s="182"/>
      <c r="J1574" s="182"/>
      <c r="K1574" s="182"/>
      <c r="L1574" s="182"/>
      <c r="M1574" s="182"/>
      <c r="N1574" s="182"/>
      <c r="O1574" s="182"/>
      <c r="P1574" s="182"/>
      <c r="Q1574" s="182"/>
      <c r="R1574" s="182"/>
      <c r="S1574" s="182"/>
      <c r="T1574" s="182"/>
      <c r="U1574" s="182"/>
      <c r="V1574" s="182"/>
      <c r="W1574" s="183"/>
      <c r="X1574" s="427"/>
    </row>
    <row r="1575" spans="2:24" x14ac:dyDescent="0.45">
      <c r="B1575" s="181"/>
      <c r="C1575" s="182"/>
      <c r="D1575" s="182"/>
      <c r="E1575" s="182"/>
      <c r="F1575" s="182"/>
      <c r="G1575" s="182"/>
      <c r="H1575" s="182"/>
      <c r="I1575" s="182"/>
      <c r="J1575" s="182"/>
      <c r="K1575" s="182"/>
      <c r="L1575" s="182"/>
      <c r="M1575" s="182"/>
      <c r="N1575" s="182"/>
      <c r="O1575" s="182"/>
      <c r="P1575" s="182"/>
      <c r="Q1575" s="182"/>
      <c r="R1575" s="182"/>
      <c r="S1575" s="182"/>
      <c r="T1575" s="182"/>
      <c r="U1575" s="182"/>
      <c r="V1575" s="182"/>
      <c r="W1575" s="183"/>
      <c r="X1575" s="427"/>
    </row>
    <row r="1576" spans="2:24" x14ac:dyDescent="0.45">
      <c r="B1576" s="181"/>
      <c r="C1576" s="182"/>
      <c r="D1576" s="182"/>
      <c r="E1576" s="182"/>
      <c r="F1576" s="182"/>
      <c r="G1576" s="182"/>
      <c r="H1576" s="182"/>
      <c r="I1576" s="182"/>
      <c r="J1576" s="182"/>
      <c r="K1576" s="182"/>
      <c r="L1576" s="182"/>
      <c r="M1576" s="182"/>
      <c r="N1576" s="182"/>
      <c r="O1576" s="182"/>
      <c r="P1576" s="182"/>
      <c r="Q1576" s="182"/>
      <c r="R1576" s="182"/>
      <c r="S1576" s="182"/>
      <c r="T1576" s="182"/>
      <c r="U1576" s="182"/>
      <c r="V1576" s="182"/>
      <c r="W1576" s="183"/>
      <c r="X1576" s="427"/>
    </row>
    <row r="1577" spans="2:24" x14ac:dyDescent="0.45">
      <c r="B1577" s="181"/>
      <c r="C1577" s="182"/>
      <c r="D1577" s="182"/>
      <c r="E1577" s="182"/>
      <c r="F1577" s="182"/>
      <c r="G1577" s="182"/>
      <c r="H1577" s="182"/>
      <c r="I1577" s="182"/>
      <c r="J1577" s="182"/>
      <c r="K1577" s="182"/>
      <c r="L1577" s="182"/>
      <c r="M1577" s="182"/>
      <c r="N1577" s="182"/>
      <c r="O1577" s="182"/>
      <c r="P1577" s="182"/>
      <c r="Q1577" s="182"/>
      <c r="R1577" s="182"/>
      <c r="S1577" s="182"/>
      <c r="T1577" s="182"/>
      <c r="U1577" s="182"/>
      <c r="V1577" s="182"/>
      <c r="W1577" s="183"/>
      <c r="X1577" s="427"/>
    </row>
    <row r="1578" spans="2:24" x14ac:dyDescent="0.45">
      <c r="B1578" s="181"/>
      <c r="C1578" s="182"/>
      <c r="D1578" s="182"/>
      <c r="E1578" s="182"/>
      <c r="F1578" s="182"/>
      <c r="G1578" s="182"/>
      <c r="H1578" s="182"/>
      <c r="I1578" s="182"/>
      <c r="J1578" s="182"/>
      <c r="K1578" s="182"/>
      <c r="L1578" s="182"/>
      <c r="M1578" s="182"/>
      <c r="N1578" s="182"/>
      <c r="O1578" s="182"/>
      <c r="P1578" s="182"/>
      <c r="Q1578" s="182"/>
      <c r="R1578" s="182"/>
      <c r="S1578" s="182"/>
      <c r="T1578" s="182"/>
      <c r="U1578" s="182"/>
      <c r="V1578" s="182"/>
      <c r="W1578" s="183"/>
      <c r="X1578" s="427"/>
    </row>
    <row r="1579" spans="2:24" x14ac:dyDescent="0.45">
      <c r="B1579" s="181"/>
      <c r="C1579" s="182"/>
      <c r="D1579" s="182"/>
      <c r="E1579" s="182"/>
      <c r="F1579" s="182"/>
      <c r="G1579" s="182"/>
      <c r="H1579" s="182"/>
      <c r="I1579" s="182"/>
      <c r="J1579" s="182"/>
      <c r="K1579" s="182"/>
      <c r="L1579" s="182"/>
      <c r="M1579" s="182"/>
      <c r="N1579" s="182"/>
      <c r="O1579" s="182"/>
      <c r="P1579" s="182"/>
      <c r="Q1579" s="182"/>
      <c r="R1579" s="182"/>
      <c r="S1579" s="182"/>
      <c r="T1579" s="182"/>
      <c r="U1579" s="182"/>
      <c r="V1579" s="182"/>
      <c r="W1579" s="183"/>
      <c r="X1579" s="427"/>
    </row>
    <row r="1580" spans="2:24" x14ac:dyDescent="0.45">
      <c r="B1580" s="181"/>
      <c r="C1580" s="182"/>
      <c r="D1580" s="182"/>
      <c r="E1580" s="182"/>
      <c r="F1580" s="182"/>
      <c r="G1580" s="182"/>
      <c r="H1580" s="182"/>
      <c r="I1580" s="182"/>
      <c r="J1580" s="182"/>
      <c r="K1580" s="182"/>
      <c r="L1580" s="182"/>
      <c r="M1580" s="182"/>
      <c r="N1580" s="182"/>
      <c r="O1580" s="182"/>
      <c r="P1580" s="182"/>
      <c r="Q1580" s="182"/>
      <c r="R1580" s="182"/>
      <c r="S1580" s="182"/>
      <c r="T1580" s="182"/>
      <c r="U1580" s="182"/>
      <c r="V1580" s="182"/>
      <c r="W1580" s="183"/>
      <c r="X1580" s="427"/>
    </row>
    <row r="1581" spans="2:24" x14ac:dyDescent="0.45">
      <c r="B1581" s="181"/>
      <c r="C1581" s="182"/>
      <c r="D1581" s="182"/>
      <c r="E1581" s="182"/>
      <c r="F1581" s="182"/>
      <c r="G1581" s="182"/>
      <c r="H1581" s="182"/>
      <c r="I1581" s="182"/>
      <c r="J1581" s="182"/>
      <c r="K1581" s="182"/>
      <c r="L1581" s="182"/>
      <c r="M1581" s="182"/>
      <c r="N1581" s="182"/>
      <c r="O1581" s="182"/>
      <c r="P1581" s="182"/>
      <c r="Q1581" s="182"/>
      <c r="R1581" s="182"/>
      <c r="S1581" s="182"/>
      <c r="T1581" s="182"/>
      <c r="U1581" s="182"/>
      <c r="V1581" s="182"/>
      <c r="W1581" s="183"/>
      <c r="X1581" s="427"/>
    </row>
    <row r="1582" spans="2:24" x14ac:dyDescent="0.45">
      <c r="B1582" s="181"/>
      <c r="C1582" s="182"/>
      <c r="D1582" s="182"/>
      <c r="E1582" s="182"/>
      <c r="F1582" s="182"/>
      <c r="G1582" s="182"/>
      <c r="H1582" s="182"/>
      <c r="I1582" s="182"/>
      <c r="J1582" s="182"/>
      <c r="K1582" s="182"/>
      <c r="L1582" s="182"/>
      <c r="M1582" s="182"/>
      <c r="N1582" s="182"/>
      <c r="O1582" s="182"/>
      <c r="P1582" s="182"/>
      <c r="Q1582" s="182"/>
      <c r="R1582" s="182"/>
      <c r="S1582" s="182"/>
      <c r="T1582" s="182"/>
      <c r="U1582" s="182"/>
      <c r="V1582" s="182"/>
      <c r="W1582" s="183"/>
      <c r="X1582" s="427"/>
    </row>
    <row r="1583" spans="2:24" x14ac:dyDescent="0.45">
      <c r="B1583" s="181"/>
      <c r="C1583" s="182"/>
      <c r="D1583" s="182"/>
      <c r="E1583" s="182"/>
      <c r="F1583" s="182"/>
      <c r="G1583" s="182"/>
      <c r="H1583" s="182"/>
      <c r="I1583" s="182"/>
      <c r="J1583" s="182"/>
      <c r="K1583" s="182"/>
      <c r="L1583" s="182"/>
      <c r="M1583" s="182"/>
      <c r="N1583" s="182"/>
      <c r="O1583" s="182"/>
      <c r="P1583" s="182"/>
      <c r="Q1583" s="182"/>
      <c r="R1583" s="182"/>
      <c r="S1583" s="182"/>
      <c r="T1583" s="182"/>
      <c r="U1583" s="182"/>
      <c r="V1583" s="182"/>
      <c r="W1583" s="183"/>
      <c r="X1583" s="427"/>
    </row>
    <row r="1584" spans="2:24" x14ac:dyDescent="0.45">
      <c r="B1584" s="181"/>
      <c r="C1584" s="182"/>
      <c r="D1584" s="182"/>
      <c r="E1584" s="182"/>
      <c r="F1584" s="182"/>
      <c r="G1584" s="182"/>
      <c r="H1584" s="182"/>
      <c r="I1584" s="182"/>
      <c r="J1584" s="182"/>
      <c r="K1584" s="182"/>
      <c r="L1584" s="182"/>
      <c r="M1584" s="182"/>
      <c r="N1584" s="182"/>
      <c r="O1584" s="182"/>
      <c r="P1584" s="182"/>
      <c r="Q1584" s="182"/>
      <c r="R1584" s="182"/>
      <c r="S1584" s="182"/>
      <c r="T1584" s="182"/>
      <c r="U1584" s="182"/>
      <c r="V1584" s="182"/>
      <c r="W1584" s="183"/>
      <c r="X1584" s="427"/>
    </row>
    <row r="1585" spans="1:24" x14ac:dyDescent="0.45">
      <c r="B1585" s="181"/>
      <c r="C1585" s="182"/>
      <c r="D1585" s="182"/>
      <c r="E1585" s="182"/>
      <c r="F1585" s="182"/>
      <c r="G1585" s="182"/>
      <c r="H1585" s="182"/>
      <c r="I1585" s="182"/>
      <c r="J1585" s="182"/>
      <c r="K1585" s="182"/>
      <c r="L1585" s="182"/>
      <c r="M1585" s="182"/>
      <c r="N1585" s="182"/>
      <c r="O1585" s="182"/>
      <c r="P1585" s="182"/>
      <c r="Q1585" s="182"/>
      <c r="R1585" s="182"/>
      <c r="S1585" s="182"/>
      <c r="T1585" s="182"/>
      <c r="U1585" s="182"/>
      <c r="V1585" s="182"/>
      <c r="W1585" s="183"/>
      <c r="X1585" s="427"/>
    </row>
    <row r="1586" spans="1:24" x14ac:dyDescent="0.45">
      <c r="B1586" s="181"/>
      <c r="C1586" s="182"/>
      <c r="D1586" s="182"/>
      <c r="E1586" s="182"/>
      <c r="F1586" s="182"/>
      <c r="G1586" s="182"/>
      <c r="H1586" s="182"/>
      <c r="I1586" s="182"/>
      <c r="J1586" s="182"/>
      <c r="K1586" s="182"/>
      <c r="L1586" s="182"/>
      <c r="M1586" s="182"/>
      <c r="N1586" s="182"/>
      <c r="O1586" s="182"/>
      <c r="P1586" s="182"/>
      <c r="Q1586" s="182"/>
      <c r="R1586" s="182"/>
      <c r="S1586" s="182"/>
      <c r="T1586" s="182"/>
      <c r="U1586" s="182"/>
      <c r="V1586" s="182"/>
      <c r="W1586" s="183"/>
      <c r="X1586" s="427"/>
    </row>
    <row r="1587" spans="1:24" x14ac:dyDescent="0.45">
      <c r="B1587" s="181"/>
      <c r="C1587" s="182"/>
      <c r="D1587" s="182"/>
      <c r="E1587" s="182"/>
      <c r="F1587" s="182"/>
      <c r="G1587" s="182"/>
      <c r="H1587" s="182"/>
      <c r="I1587" s="182"/>
      <c r="J1587" s="182"/>
      <c r="K1587" s="182"/>
      <c r="L1587" s="182"/>
      <c r="M1587" s="182"/>
      <c r="N1587" s="182"/>
      <c r="O1587" s="182"/>
      <c r="P1587" s="182"/>
      <c r="Q1587" s="182"/>
      <c r="R1587" s="182"/>
      <c r="S1587" s="182"/>
      <c r="T1587" s="182"/>
      <c r="U1587" s="182"/>
      <c r="V1587" s="182"/>
      <c r="W1587" s="183"/>
      <c r="X1587" s="427"/>
    </row>
    <row r="1588" spans="1:24" x14ac:dyDescent="0.45">
      <c r="B1588" s="181"/>
      <c r="C1588" s="182"/>
      <c r="D1588" s="182"/>
      <c r="E1588" s="182"/>
      <c r="F1588" s="182"/>
      <c r="G1588" s="182"/>
      <c r="H1588" s="182"/>
      <c r="I1588" s="182"/>
      <c r="J1588" s="182"/>
      <c r="K1588" s="182"/>
      <c r="L1588" s="182"/>
      <c r="M1588" s="182"/>
      <c r="N1588" s="182"/>
      <c r="O1588" s="182"/>
      <c r="P1588" s="182"/>
      <c r="Q1588" s="182"/>
      <c r="R1588" s="182"/>
      <c r="S1588" s="182"/>
      <c r="T1588" s="182"/>
      <c r="U1588" s="182"/>
      <c r="V1588" s="182"/>
      <c r="W1588" s="183"/>
      <c r="X1588" s="427"/>
    </row>
    <row r="1589" spans="1:24" x14ac:dyDescent="0.45">
      <c r="B1589" s="184"/>
      <c r="C1589" s="185" t="s">
        <v>1499</v>
      </c>
      <c r="D1589" s="185"/>
      <c r="E1589" s="185"/>
      <c r="F1589" s="185"/>
      <c r="G1589" s="185"/>
      <c r="H1589" s="185"/>
      <c r="I1589" s="185"/>
      <c r="J1589" s="185"/>
      <c r="K1589" s="185"/>
      <c r="L1589" s="185"/>
      <c r="M1589" s="185"/>
      <c r="N1589" s="185"/>
      <c r="O1589" s="185"/>
      <c r="P1589" s="185"/>
      <c r="Q1589" s="185"/>
      <c r="R1589" s="185"/>
      <c r="S1589" s="185"/>
      <c r="T1589" s="185"/>
      <c r="U1589" s="185"/>
      <c r="V1589" s="185"/>
      <c r="W1589" s="186"/>
      <c r="X1589" s="187"/>
    </row>
    <row r="1590" spans="1:24" ht="26.65" x14ac:dyDescent="0.45">
      <c r="B1590" s="188" t="s">
        <v>1458</v>
      </c>
      <c r="C1590" s="185" t="s">
        <v>1459</v>
      </c>
      <c r="D1590" s="185"/>
      <c r="E1590" s="185" t="s">
        <v>1500</v>
      </c>
      <c r="F1590" s="185"/>
      <c r="G1590" s="185" t="s">
        <v>1501</v>
      </c>
      <c r="H1590" s="189" t="s">
        <v>1502</v>
      </c>
      <c r="I1590" s="185" t="s">
        <v>1503</v>
      </c>
      <c r="J1590" s="185" t="s">
        <v>1504</v>
      </c>
      <c r="K1590" s="189" t="s">
        <v>1505</v>
      </c>
      <c r="L1590" s="189" t="s">
        <v>1504</v>
      </c>
      <c r="M1590" s="189"/>
      <c r="N1590" s="189" t="s">
        <v>1506</v>
      </c>
      <c r="O1590" s="189"/>
      <c r="P1590" s="190"/>
      <c r="Q1590" s="189"/>
      <c r="R1590" s="189"/>
      <c r="S1590" s="189"/>
      <c r="T1590" s="189" t="s">
        <v>1507</v>
      </c>
      <c r="U1590" s="189" t="s">
        <v>27</v>
      </c>
      <c r="V1590" s="189" t="s">
        <v>26</v>
      </c>
      <c r="W1590" s="191" t="s">
        <v>1508</v>
      </c>
      <c r="X1590" s="192"/>
    </row>
    <row r="1591" spans="1:24" x14ac:dyDescent="0.45">
      <c r="A1591" s="193">
        <v>1</v>
      </c>
      <c r="B1591" s="194" t="str">
        <f t="shared" ref="B1591:B1622" si="255">IF(OR($C$1571="",U1591=""),"",LEFT($C$1571,FIND("_",$C$1571)-1))</f>
        <v/>
      </c>
      <c r="C1591" s="170" t="str">
        <f t="shared" ref="C1591:C1622" si="256">IF(OR($C$1571="",U1591=""),"",$B$1571)</f>
        <v/>
      </c>
      <c r="D1591" s="170"/>
      <c r="E1591" s="195"/>
      <c r="F1591" s="195"/>
      <c r="G1591" s="196"/>
      <c r="H1591" s="197"/>
      <c r="I1591" s="197"/>
      <c r="J1591" s="197"/>
      <c r="K1591" s="197"/>
      <c r="L1591" s="197"/>
      <c r="M1591" s="198"/>
      <c r="N1591" s="198"/>
      <c r="O1591" s="198"/>
      <c r="P1591" s="199"/>
      <c r="Q1591" s="200"/>
      <c r="R1591" s="200"/>
      <c r="S1591" s="200"/>
      <c r="T1591" s="200" t="str">
        <f t="shared" ref="T1591:T1622" si="257">IF(K1591="","",((K1591*20)+L1591)-((I1591*20)+J1591))</f>
        <v/>
      </c>
      <c r="U1591" s="200"/>
      <c r="V1591" s="201" t="str">
        <f t="shared" ref="V1591:V1622" si="258">IF(U1591="","",$V$1571)</f>
        <v/>
      </c>
      <c r="W1591" s="202">
        <f t="shared" ref="W1591:W1622" si="259">IF(OR(T1591="",U1591=""),0,T1591*U1591)</f>
        <v>0</v>
      </c>
      <c r="X1591" s="172"/>
    </row>
    <row r="1592" spans="1:24" x14ac:dyDescent="0.45">
      <c r="A1592" s="193">
        <v>2</v>
      </c>
      <c r="B1592" s="194" t="str">
        <f t="shared" si="255"/>
        <v/>
      </c>
      <c r="C1592" s="170" t="str">
        <f t="shared" si="256"/>
        <v/>
      </c>
      <c r="D1592" s="170"/>
      <c r="E1592" s="195"/>
      <c r="F1592" s="195"/>
      <c r="G1592" s="196"/>
      <c r="H1592" s="197"/>
      <c r="I1592" s="197" t="str">
        <f t="shared" ref="I1592:I1623" si="260">IF(K1591="","",K1591)</f>
        <v/>
      </c>
      <c r="J1592" s="197" t="str">
        <f t="shared" ref="J1592:J1623" si="261">IF(L1591="","",L1591)</f>
        <v/>
      </c>
      <c r="K1592" s="197"/>
      <c r="L1592" s="197"/>
      <c r="M1592" s="198"/>
      <c r="N1592" s="198"/>
      <c r="O1592" s="198"/>
      <c r="P1592" s="199"/>
      <c r="Q1592" s="200"/>
      <c r="R1592" s="200"/>
      <c r="S1592" s="200"/>
      <c r="T1592" s="200" t="str">
        <f t="shared" si="257"/>
        <v/>
      </c>
      <c r="U1592" s="200"/>
      <c r="V1592" s="201" t="str">
        <f t="shared" si="258"/>
        <v/>
      </c>
      <c r="W1592" s="202">
        <f t="shared" si="259"/>
        <v>0</v>
      </c>
      <c r="X1592" s="172"/>
    </row>
    <row r="1593" spans="1:24" x14ac:dyDescent="0.45">
      <c r="A1593" s="193">
        <v>3</v>
      </c>
      <c r="B1593" s="194" t="str">
        <f t="shared" si="255"/>
        <v/>
      </c>
      <c r="C1593" s="170" t="str">
        <f t="shared" si="256"/>
        <v/>
      </c>
      <c r="D1593" s="170"/>
      <c r="E1593" s="195"/>
      <c r="F1593" s="195"/>
      <c r="G1593" s="196"/>
      <c r="H1593" s="197"/>
      <c r="I1593" s="197" t="str">
        <f t="shared" si="260"/>
        <v/>
      </c>
      <c r="J1593" s="197" t="str">
        <f t="shared" si="261"/>
        <v/>
      </c>
      <c r="K1593" s="197"/>
      <c r="L1593" s="197"/>
      <c r="M1593" s="198"/>
      <c r="N1593" s="198"/>
      <c r="O1593" s="198"/>
      <c r="P1593" s="199"/>
      <c r="Q1593" s="200"/>
      <c r="R1593" s="200"/>
      <c r="S1593" s="200"/>
      <c r="T1593" s="200" t="str">
        <f t="shared" si="257"/>
        <v/>
      </c>
      <c r="U1593" s="200"/>
      <c r="V1593" s="201" t="str">
        <f t="shared" si="258"/>
        <v/>
      </c>
      <c r="W1593" s="202">
        <f t="shared" si="259"/>
        <v>0</v>
      </c>
      <c r="X1593" s="172"/>
    </row>
    <row r="1594" spans="1:24" x14ac:dyDescent="0.45">
      <c r="A1594" s="193">
        <v>4</v>
      </c>
      <c r="B1594" s="194" t="str">
        <f t="shared" si="255"/>
        <v/>
      </c>
      <c r="C1594" s="170" t="str">
        <f t="shared" si="256"/>
        <v/>
      </c>
      <c r="D1594" s="170"/>
      <c r="E1594" s="195"/>
      <c r="F1594" s="195"/>
      <c r="G1594" s="196"/>
      <c r="H1594" s="197"/>
      <c r="I1594" s="197" t="str">
        <f t="shared" si="260"/>
        <v/>
      </c>
      <c r="J1594" s="197" t="str">
        <f t="shared" si="261"/>
        <v/>
      </c>
      <c r="K1594" s="197"/>
      <c r="L1594" s="197"/>
      <c r="M1594" s="198"/>
      <c r="N1594" s="198"/>
      <c r="O1594" s="198"/>
      <c r="P1594" s="199"/>
      <c r="Q1594" s="200"/>
      <c r="R1594" s="200"/>
      <c r="S1594" s="200"/>
      <c r="T1594" s="200" t="str">
        <f t="shared" si="257"/>
        <v/>
      </c>
      <c r="U1594" s="200"/>
      <c r="V1594" s="201" t="str">
        <f t="shared" si="258"/>
        <v/>
      </c>
      <c r="W1594" s="202">
        <f t="shared" si="259"/>
        <v>0</v>
      </c>
      <c r="X1594" s="172"/>
    </row>
    <row r="1595" spans="1:24" x14ac:dyDescent="0.45">
      <c r="A1595" s="193">
        <v>5</v>
      </c>
      <c r="B1595" s="194" t="str">
        <f t="shared" si="255"/>
        <v/>
      </c>
      <c r="C1595" s="170" t="str">
        <f t="shared" si="256"/>
        <v/>
      </c>
      <c r="D1595" s="170"/>
      <c r="E1595" s="195"/>
      <c r="F1595" s="195"/>
      <c r="G1595" s="196"/>
      <c r="H1595" s="197"/>
      <c r="I1595" s="197" t="str">
        <f t="shared" si="260"/>
        <v/>
      </c>
      <c r="J1595" s="197" t="str">
        <f t="shared" si="261"/>
        <v/>
      </c>
      <c r="K1595" s="197"/>
      <c r="L1595" s="197"/>
      <c r="M1595" s="198"/>
      <c r="N1595" s="198"/>
      <c r="O1595" s="198"/>
      <c r="P1595" s="199"/>
      <c r="Q1595" s="200"/>
      <c r="R1595" s="200"/>
      <c r="S1595" s="200"/>
      <c r="T1595" s="200" t="str">
        <f t="shared" si="257"/>
        <v/>
      </c>
      <c r="U1595" s="200"/>
      <c r="V1595" s="201" t="str">
        <f t="shared" si="258"/>
        <v/>
      </c>
      <c r="W1595" s="202">
        <f t="shared" si="259"/>
        <v>0</v>
      </c>
      <c r="X1595" s="172"/>
    </row>
    <row r="1596" spans="1:24" x14ac:dyDescent="0.45">
      <c r="A1596" s="193">
        <v>6</v>
      </c>
      <c r="B1596" s="194" t="str">
        <f t="shared" si="255"/>
        <v/>
      </c>
      <c r="C1596" s="170" t="str">
        <f t="shared" si="256"/>
        <v/>
      </c>
      <c r="D1596" s="170"/>
      <c r="E1596" s="195"/>
      <c r="F1596" s="195"/>
      <c r="G1596" s="196"/>
      <c r="H1596" s="197"/>
      <c r="I1596" s="197" t="str">
        <f t="shared" si="260"/>
        <v/>
      </c>
      <c r="J1596" s="197" t="str">
        <f t="shared" si="261"/>
        <v/>
      </c>
      <c r="K1596" s="197"/>
      <c r="L1596" s="197"/>
      <c r="M1596" s="198"/>
      <c r="N1596" s="198"/>
      <c r="O1596" s="198"/>
      <c r="P1596" s="199"/>
      <c r="Q1596" s="200"/>
      <c r="R1596" s="200"/>
      <c r="S1596" s="200"/>
      <c r="T1596" s="200" t="str">
        <f t="shared" si="257"/>
        <v/>
      </c>
      <c r="U1596" s="200"/>
      <c r="V1596" s="201" t="str">
        <f t="shared" si="258"/>
        <v/>
      </c>
      <c r="W1596" s="202">
        <f t="shared" si="259"/>
        <v>0</v>
      </c>
      <c r="X1596" s="172"/>
    </row>
    <row r="1597" spans="1:24" x14ac:dyDescent="0.45">
      <c r="A1597" s="193">
        <v>7</v>
      </c>
      <c r="B1597" s="194" t="str">
        <f t="shared" si="255"/>
        <v/>
      </c>
      <c r="C1597" s="170" t="str">
        <f t="shared" si="256"/>
        <v/>
      </c>
      <c r="D1597" s="170"/>
      <c r="E1597" s="195"/>
      <c r="F1597" s="195"/>
      <c r="G1597" s="196"/>
      <c r="H1597" s="197"/>
      <c r="I1597" s="197" t="str">
        <f t="shared" si="260"/>
        <v/>
      </c>
      <c r="J1597" s="197" t="str">
        <f t="shared" si="261"/>
        <v/>
      </c>
      <c r="K1597" s="197"/>
      <c r="L1597" s="197"/>
      <c r="M1597" s="198"/>
      <c r="N1597" s="198"/>
      <c r="O1597" s="198"/>
      <c r="P1597" s="199"/>
      <c r="Q1597" s="200"/>
      <c r="R1597" s="200"/>
      <c r="S1597" s="200"/>
      <c r="T1597" s="200" t="str">
        <f t="shared" si="257"/>
        <v/>
      </c>
      <c r="U1597" s="200"/>
      <c r="V1597" s="201" t="str">
        <f t="shared" si="258"/>
        <v/>
      </c>
      <c r="W1597" s="202">
        <f t="shared" si="259"/>
        <v>0</v>
      </c>
      <c r="X1597" s="172"/>
    </row>
    <row r="1598" spans="1:24" x14ac:dyDescent="0.45">
      <c r="A1598" s="193">
        <v>8</v>
      </c>
      <c r="B1598" s="194" t="str">
        <f t="shared" si="255"/>
        <v/>
      </c>
      <c r="C1598" s="170" t="str">
        <f t="shared" si="256"/>
        <v/>
      </c>
      <c r="D1598" s="170"/>
      <c r="E1598" s="195"/>
      <c r="F1598" s="195"/>
      <c r="G1598" s="196"/>
      <c r="H1598" s="197"/>
      <c r="I1598" s="197" t="str">
        <f t="shared" si="260"/>
        <v/>
      </c>
      <c r="J1598" s="197" t="str">
        <f t="shared" si="261"/>
        <v/>
      </c>
      <c r="K1598" s="197"/>
      <c r="L1598" s="197"/>
      <c r="M1598" s="198"/>
      <c r="N1598" s="198"/>
      <c r="O1598" s="198"/>
      <c r="P1598" s="199"/>
      <c r="Q1598" s="200"/>
      <c r="R1598" s="200"/>
      <c r="S1598" s="200"/>
      <c r="T1598" s="200" t="str">
        <f t="shared" si="257"/>
        <v/>
      </c>
      <c r="U1598" s="200"/>
      <c r="V1598" s="201" t="str">
        <f t="shared" si="258"/>
        <v/>
      </c>
      <c r="W1598" s="202">
        <f t="shared" si="259"/>
        <v>0</v>
      </c>
      <c r="X1598" s="172"/>
    </row>
    <row r="1599" spans="1:24" x14ac:dyDescent="0.45">
      <c r="A1599" s="193">
        <v>9</v>
      </c>
      <c r="B1599" s="194" t="str">
        <f t="shared" si="255"/>
        <v/>
      </c>
      <c r="C1599" s="170" t="str">
        <f t="shared" si="256"/>
        <v/>
      </c>
      <c r="D1599" s="170"/>
      <c r="E1599" s="195"/>
      <c r="F1599" s="195"/>
      <c r="G1599" s="196"/>
      <c r="H1599" s="197"/>
      <c r="I1599" s="197" t="str">
        <f t="shared" si="260"/>
        <v/>
      </c>
      <c r="J1599" s="197" t="str">
        <f t="shared" si="261"/>
        <v/>
      </c>
      <c r="K1599" s="197"/>
      <c r="L1599" s="197"/>
      <c r="M1599" s="198"/>
      <c r="N1599" s="198"/>
      <c r="O1599" s="198"/>
      <c r="P1599" s="199"/>
      <c r="Q1599" s="200"/>
      <c r="R1599" s="200"/>
      <c r="S1599" s="200"/>
      <c r="T1599" s="200" t="str">
        <f t="shared" si="257"/>
        <v/>
      </c>
      <c r="U1599" s="200"/>
      <c r="V1599" s="201" t="str">
        <f t="shared" si="258"/>
        <v/>
      </c>
      <c r="W1599" s="202">
        <f t="shared" si="259"/>
        <v>0</v>
      </c>
      <c r="X1599" s="172"/>
    </row>
    <row r="1600" spans="1:24" x14ac:dyDescent="0.45">
      <c r="A1600" s="193">
        <v>10</v>
      </c>
      <c r="B1600" s="194" t="str">
        <f t="shared" si="255"/>
        <v/>
      </c>
      <c r="C1600" s="170" t="str">
        <f t="shared" si="256"/>
        <v/>
      </c>
      <c r="D1600" s="170"/>
      <c r="E1600" s="195"/>
      <c r="F1600" s="195"/>
      <c r="G1600" s="196"/>
      <c r="H1600" s="197"/>
      <c r="I1600" s="197" t="str">
        <f t="shared" si="260"/>
        <v/>
      </c>
      <c r="J1600" s="197" t="str">
        <f t="shared" si="261"/>
        <v/>
      </c>
      <c r="K1600" s="197"/>
      <c r="L1600" s="197"/>
      <c r="M1600" s="198"/>
      <c r="N1600" s="198"/>
      <c r="O1600" s="198"/>
      <c r="P1600" s="199"/>
      <c r="Q1600" s="200"/>
      <c r="R1600" s="200"/>
      <c r="S1600" s="200"/>
      <c r="T1600" s="200" t="str">
        <f t="shared" si="257"/>
        <v/>
      </c>
      <c r="U1600" s="200"/>
      <c r="V1600" s="201" t="str">
        <f t="shared" si="258"/>
        <v/>
      </c>
      <c r="W1600" s="202">
        <f t="shared" si="259"/>
        <v>0</v>
      </c>
      <c r="X1600" s="172"/>
    </row>
    <row r="1601" spans="1:24" x14ac:dyDescent="0.45">
      <c r="A1601" s="193">
        <v>11</v>
      </c>
      <c r="B1601" s="194" t="str">
        <f t="shared" si="255"/>
        <v/>
      </c>
      <c r="C1601" s="170" t="str">
        <f t="shared" si="256"/>
        <v/>
      </c>
      <c r="D1601" s="170"/>
      <c r="E1601" s="195"/>
      <c r="F1601" s="195"/>
      <c r="G1601" s="196"/>
      <c r="H1601" s="197"/>
      <c r="I1601" s="197" t="str">
        <f t="shared" si="260"/>
        <v/>
      </c>
      <c r="J1601" s="197" t="str">
        <f t="shared" si="261"/>
        <v/>
      </c>
      <c r="K1601" s="197"/>
      <c r="L1601" s="197"/>
      <c r="M1601" s="198"/>
      <c r="N1601" s="198"/>
      <c r="O1601" s="198"/>
      <c r="P1601" s="199"/>
      <c r="Q1601" s="200"/>
      <c r="R1601" s="200"/>
      <c r="S1601" s="200"/>
      <c r="T1601" s="200" t="str">
        <f t="shared" si="257"/>
        <v/>
      </c>
      <c r="U1601" s="200"/>
      <c r="V1601" s="201" t="str">
        <f t="shared" si="258"/>
        <v/>
      </c>
      <c r="W1601" s="202">
        <f t="shared" si="259"/>
        <v>0</v>
      </c>
      <c r="X1601" s="172"/>
    </row>
    <row r="1602" spans="1:24" x14ac:dyDescent="0.45">
      <c r="A1602" s="193">
        <v>12</v>
      </c>
      <c r="B1602" s="194" t="str">
        <f t="shared" si="255"/>
        <v/>
      </c>
      <c r="C1602" s="170" t="str">
        <f t="shared" si="256"/>
        <v/>
      </c>
      <c r="D1602" s="170"/>
      <c r="E1602" s="195"/>
      <c r="F1602" s="195"/>
      <c r="G1602" s="196"/>
      <c r="H1602" s="197"/>
      <c r="I1602" s="197" t="str">
        <f t="shared" si="260"/>
        <v/>
      </c>
      <c r="J1602" s="197" t="str">
        <f t="shared" si="261"/>
        <v/>
      </c>
      <c r="K1602" s="197"/>
      <c r="L1602" s="197"/>
      <c r="M1602" s="198"/>
      <c r="N1602" s="198"/>
      <c r="O1602" s="198"/>
      <c r="P1602" s="199"/>
      <c r="Q1602" s="200"/>
      <c r="R1602" s="200"/>
      <c r="S1602" s="200"/>
      <c r="T1602" s="200" t="str">
        <f t="shared" si="257"/>
        <v/>
      </c>
      <c r="U1602" s="200"/>
      <c r="V1602" s="201" t="str">
        <f t="shared" si="258"/>
        <v/>
      </c>
      <c r="W1602" s="202">
        <f t="shared" si="259"/>
        <v>0</v>
      </c>
      <c r="X1602" s="172"/>
    </row>
    <row r="1603" spans="1:24" x14ac:dyDescent="0.45">
      <c r="A1603" s="193">
        <v>13</v>
      </c>
      <c r="B1603" s="194" t="str">
        <f t="shared" si="255"/>
        <v/>
      </c>
      <c r="C1603" s="170" t="str">
        <f t="shared" si="256"/>
        <v/>
      </c>
      <c r="D1603" s="170"/>
      <c r="E1603" s="195"/>
      <c r="F1603" s="195"/>
      <c r="G1603" s="196"/>
      <c r="H1603" s="197"/>
      <c r="I1603" s="197" t="str">
        <f t="shared" si="260"/>
        <v/>
      </c>
      <c r="J1603" s="197" t="str">
        <f t="shared" si="261"/>
        <v/>
      </c>
      <c r="K1603" s="197"/>
      <c r="L1603" s="197"/>
      <c r="M1603" s="198"/>
      <c r="N1603" s="198"/>
      <c r="O1603" s="198"/>
      <c r="P1603" s="199"/>
      <c r="Q1603" s="200"/>
      <c r="R1603" s="200"/>
      <c r="S1603" s="200"/>
      <c r="T1603" s="200" t="str">
        <f t="shared" si="257"/>
        <v/>
      </c>
      <c r="U1603" s="200"/>
      <c r="V1603" s="201" t="str">
        <f t="shared" si="258"/>
        <v/>
      </c>
      <c r="W1603" s="202">
        <f t="shared" si="259"/>
        <v>0</v>
      </c>
      <c r="X1603" s="172"/>
    </row>
    <row r="1604" spans="1:24" x14ac:dyDescent="0.45">
      <c r="A1604" s="193">
        <v>14</v>
      </c>
      <c r="B1604" s="194" t="str">
        <f t="shared" si="255"/>
        <v/>
      </c>
      <c r="C1604" s="170" t="str">
        <f t="shared" si="256"/>
        <v/>
      </c>
      <c r="D1604" s="170"/>
      <c r="E1604" s="195"/>
      <c r="F1604" s="195"/>
      <c r="G1604" s="196"/>
      <c r="H1604" s="197"/>
      <c r="I1604" s="197" t="str">
        <f t="shared" si="260"/>
        <v/>
      </c>
      <c r="J1604" s="197" t="str">
        <f t="shared" si="261"/>
        <v/>
      </c>
      <c r="K1604" s="197"/>
      <c r="L1604" s="197"/>
      <c r="M1604" s="198"/>
      <c r="N1604" s="198"/>
      <c r="O1604" s="198"/>
      <c r="P1604" s="199"/>
      <c r="Q1604" s="200"/>
      <c r="R1604" s="200"/>
      <c r="S1604" s="200"/>
      <c r="T1604" s="200" t="str">
        <f t="shared" si="257"/>
        <v/>
      </c>
      <c r="U1604" s="200"/>
      <c r="V1604" s="201" t="str">
        <f t="shared" si="258"/>
        <v/>
      </c>
      <c r="W1604" s="202">
        <f t="shared" si="259"/>
        <v>0</v>
      </c>
      <c r="X1604" s="172"/>
    </row>
    <row r="1605" spans="1:24" x14ac:dyDescent="0.45">
      <c r="A1605" s="193">
        <v>15</v>
      </c>
      <c r="B1605" s="194" t="str">
        <f t="shared" si="255"/>
        <v/>
      </c>
      <c r="C1605" s="170" t="str">
        <f t="shared" si="256"/>
        <v/>
      </c>
      <c r="D1605" s="170"/>
      <c r="E1605" s="195"/>
      <c r="F1605" s="195"/>
      <c r="G1605" s="196"/>
      <c r="H1605" s="197"/>
      <c r="I1605" s="197" t="str">
        <f t="shared" si="260"/>
        <v/>
      </c>
      <c r="J1605" s="197" t="str">
        <f t="shared" si="261"/>
        <v/>
      </c>
      <c r="K1605" s="197"/>
      <c r="L1605" s="197"/>
      <c r="M1605" s="198"/>
      <c r="N1605" s="198"/>
      <c r="O1605" s="198"/>
      <c r="P1605" s="199"/>
      <c r="Q1605" s="200"/>
      <c r="R1605" s="200"/>
      <c r="S1605" s="200"/>
      <c r="T1605" s="200" t="str">
        <f t="shared" si="257"/>
        <v/>
      </c>
      <c r="U1605" s="200"/>
      <c r="V1605" s="201" t="str">
        <f t="shared" si="258"/>
        <v/>
      </c>
      <c r="W1605" s="202">
        <f t="shared" si="259"/>
        <v>0</v>
      </c>
      <c r="X1605" s="172"/>
    </row>
    <row r="1606" spans="1:24" x14ac:dyDescent="0.45">
      <c r="A1606" s="193">
        <v>16</v>
      </c>
      <c r="B1606" s="194" t="str">
        <f t="shared" si="255"/>
        <v/>
      </c>
      <c r="C1606" s="170" t="str">
        <f t="shared" si="256"/>
        <v/>
      </c>
      <c r="D1606" s="170"/>
      <c r="E1606" s="195"/>
      <c r="F1606" s="195"/>
      <c r="G1606" s="196"/>
      <c r="H1606" s="197"/>
      <c r="I1606" s="197" t="str">
        <f t="shared" si="260"/>
        <v/>
      </c>
      <c r="J1606" s="197" t="str">
        <f t="shared" si="261"/>
        <v/>
      </c>
      <c r="K1606" s="197"/>
      <c r="L1606" s="197"/>
      <c r="M1606" s="198"/>
      <c r="N1606" s="198"/>
      <c r="O1606" s="198"/>
      <c r="P1606" s="199"/>
      <c r="Q1606" s="200"/>
      <c r="R1606" s="200"/>
      <c r="S1606" s="200"/>
      <c r="T1606" s="200" t="str">
        <f t="shared" si="257"/>
        <v/>
      </c>
      <c r="U1606" s="200"/>
      <c r="V1606" s="201" t="str">
        <f t="shared" si="258"/>
        <v/>
      </c>
      <c r="W1606" s="202">
        <f t="shared" si="259"/>
        <v>0</v>
      </c>
      <c r="X1606" s="172"/>
    </row>
    <row r="1607" spans="1:24" x14ac:dyDescent="0.45">
      <c r="A1607" s="193">
        <v>17</v>
      </c>
      <c r="B1607" s="194" t="str">
        <f t="shared" si="255"/>
        <v/>
      </c>
      <c r="C1607" s="170" t="str">
        <f t="shared" si="256"/>
        <v/>
      </c>
      <c r="D1607" s="170"/>
      <c r="E1607" s="195"/>
      <c r="F1607" s="195"/>
      <c r="G1607" s="196"/>
      <c r="H1607" s="197"/>
      <c r="I1607" s="197" t="str">
        <f t="shared" si="260"/>
        <v/>
      </c>
      <c r="J1607" s="197" t="str">
        <f t="shared" si="261"/>
        <v/>
      </c>
      <c r="K1607" s="197"/>
      <c r="L1607" s="197"/>
      <c r="M1607" s="198"/>
      <c r="N1607" s="198"/>
      <c r="O1607" s="198"/>
      <c r="P1607" s="199"/>
      <c r="Q1607" s="200"/>
      <c r="R1607" s="200"/>
      <c r="S1607" s="200"/>
      <c r="T1607" s="200" t="str">
        <f t="shared" si="257"/>
        <v/>
      </c>
      <c r="U1607" s="200"/>
      <c r="V1607" s="201" t="str">
        <f t="shared" si="258"/>
        <v/>
      </c>
      <c r="W1607" s="202">
        <f t="shared" si="259"/>
        <v>0</v>
      </c>
      <c r="X1607" s="172"/>
    </row>
    <row r="1608" spans="1:24" x14ac:dyDescent="0.45">
      <c r="A1608" s="193">
        <v>18</v>
      </c>
      <c r="B1608" s="194" t="str">
        <f t="shared" si="255"/>
        <v/>
      </c>
      <c r="C1608" s="170" t="str">
        <f t="shared" si="256"/>
        <v/>
      </c>
      <c r="D1608" s="170"/>
      <c r="E1608" s="195"/>
      <c r="F1608" s="195"/>
      <c r="G1608" s="196"/>
      <c r="H1608" s="197"/>
      <c r="I1608" s="197" t="str">
        <f t="shared" si="260"/>
        <v/>
      </c>
      <c r="J1608" s="197" t="str">
        <f t="shared" si="261"/>
        <v/>
      </c>
      <c r="K1608" s="197"/>
      <c r="L1608" s="197"/>
      <c r="M1608" s="198"/>
      <c r="N1608" s="198"/>
      <c r="O1608" s="198"/>
      <c r="P1608" s="199"/>
      <c r="Q1608" s="200"/>
      <c r="R1608" s="200"/>
      <c r="S1608" s="200"/>
      <c r="T1608" s="200" t="str">
        <f t="shared" si="257"/>
        <v/>
      </c>
      <c r="U1608" s="200"/>
      <c r="V1608" s="201" t="str">
        <f t="shared" si="258"/>
        <v/>
      </c>
      <c r="W1608" s="202">
        <f t="shared" si="259"/>
        <v>0</v>
      </c>
      <c r="X1608" s="172"/>
    </row>
    <row r="1609" spans="1:24" x14ac:dyDescent="0.45">
      <c r="A1609" s="193">
        <v>19</v>
      </c>
      <c r="B1609" s="194" t="str">
        <f t="shared" si="255"/>
        <v/>
      </c>
      <c r="C1609" s="170" t="str">
        <f t="shared" si="256"/>
        <v/>
      </c>
      <c r="D1609" s="170"/>
      <c r="E1609" s="195"/>
      <c r="F1609" s="195"/>
      <c r="G1609" s="196"/>
      <c r="H1609" s="197"/>
      <c r="I1609" s="197" t="str">
        <f t="shared" si="260"/>
        <v/>
      </c>
      <c r="J1609" s="197" t="str">
        <f t="shared" si="261"/>
        <v/>
      </c>
      <c r="K1609" s="197"/>
      <c r="L1609" s="197"/>
      <c r="M1609" s="198"/>
      <c r="N1609" s="198"/>
      <c r="O1609" s="198"/>
      <c r="P1609" s="199"/>
      <c r="Q1609" s="200"/>
      <c r="R1609" s="200"/>
      <c r="S1609" s="200"/>
      <c r="T1609" s="200" t="str">
        <f t="shared" si="257"/>
        <v/>
      </c>
      <c r="U1609" s="200"/>
      <c r="V1609" s="201" t="str">
        <f t="shared" si="258"/>
        <v/>
      </c>
      <c r="W1609" s="202">
        <f t="shared" si="259"/>
        <v>0</v>
      </c>
      <c r="X1609" s="172"/>
    </row>
    <row r="1610" spans="1:24" x14ac:dyDescent="0.45">
      <c r="A1610" s="193">
        <v>20</v>
      </c>
      <c r="B1610" s="194" t="str">
        <f t="shared" si="255"/>
        <v/>
      </c>
      <c r="C1610" s="170" t="str">
        <f t="shared" si="256"/>
        <v/>
      </c>
      <c r="D1610" s="170"/>
      <c r="E1610" s="195"/>
      <c r="F1610" s="195"/>
      <c r="G1610" s="196"/>
      <c r="H1610" s="197"/>
      <c r="I1610" s="197" t="str">
        <f t="shared" si="260"/>
        <v/>
      </c>
      <c r="J1610" s="197" t="str">
        <f t="shared" si="261"/>
        <v/>
      </c>
      <c r="K1610" s="197"/>
      <c r="L1610" s="197"/>
      <c r="M1610" s="198"/>
      <c r="N1610" s="198"/>
      <c r="O1610" s="198"/>
      <c r="P1610" s="199"/>
      <c r="Q1610" s="200"/>
      <c r="R1610" s="200"/>
      <c r="S1610" s="200"/>
      <c r="T1610" s="200" t="str">
        <f t="shared" si="257"/>
        <v/>
      </c>
      <c r="U1610" s="200"/>
      <c r="V1610" s="201" t="str">
        <f t="shared" si="258"/>
        <v/>
      </c>
      <c r="W1610" s="202">
        <f t="shared" si="259"/>
        <v>0</v>
      </c>
      <c r="X1610" s="172"/>
    </row>
    <row r="1611" spans="1:24" x14ac:dyDescent="0.45">
      <c r="A1611" s="193">
        <v>21</v>
      </c>
      <c r="B1611" s="194" t="str">
        <f t="shared" si="255"/>
        <v/>
      </c>
      <c r="C1611" s="170" t="str">
        <f t="shared" si="256"/>
        <v/>
      </c>
      <c r="D1611" s="170"/>
      <c r="E1611" s="195"/>
      <c r="F1611" s="195"/>
      <c r="G1611" s="196"/>
      <c r="H1611" s="197"/>
      <c r="I1611" s="197" t="str">
        <f t="shared" si="260"/>
        <v/>
      </c>
      <c r="J1611" s="197" t="str">
        <f t="shared" si="261"/>
        <v/>
      </c>
      <c r="K1611" s="197"/>
      <c r="L1611" s="197"/>
      <c r="M1611" s="198"/>
      <c r="N1611" s="198"/>
      <c r="O1611" s="198"/>
      <c r="P1611" s="199"/>
      <c r="Q1611" s="200"/>
      <c r="R1611" s="200"/>
      <c r="S1611" s="200"/>
      <c r="T1611" s="200" t="str">
        <f t="shared" si="257"/>
        <v/>
      </c>
      <c r="U1611" s="200"/>
      <c r="V1611" s="201" t="str">
        <f t="shared" si="258"/>
        <v/>
      </c>
      <c r="W1611" s="202">
        <f t="shared" si="259"/>
        <v>0</v>
      </c>
      <c r="X1611" s="172"/>
    </row>
    <row r="1612" spans="1:24" x14ac:dyDescent="0.45">
      <c r="A1612" s="193">
        <v>22</v>
      </c>
      <c r="B1612" s="194" t="str">
        <f t="shared" si="255"/>
        <v/>
      </c>
      <c r="C1612" s="170" t="str">
        <f t="shared" si="256"/>
        <v/>
      </c>
      <c r="D1612" s="170"/>
      <c r="E1612" s="195"/>
      <c r="F1612" s="170"/>
      <c r="G1612" s="170"/>
      <c r="H1612" s="203"/>
      <c r="I1612" s="197" t="str">
        <f t="shared" si="260"/>
        <v/>
      </c>
      <c r="J1612" s="197" t="str">
        <f t="shared" si="261"/>
        <v/>
      </c>
      <c r="K1612" s="197"/>
      <c r="L1612" s="197"/>
      <c r="M1612" s="198"/>
      <c r="N1612" s="198"/>
      <c r="O1612" s="198"/>
      <c r="P1612" s="199"/>
      <c r="Q1612" s="200"/>
      <c r="R1612" s="200"/>
      <c r="S1612" s="200"/>
      <c r="T1612" s="200" t="str">
        <f t="shared" si="257"/>
        <v/>
      </c>
      <c r="U1612" s="200"/>
      <c r="V1612" s="201" t="str">
        <f t="shared" si="258"/>
        <v/>
      </c>
      <c r="W1612" s="202">
        <f t="shared" si="259"/>
        <v>0</v>
      </c>
      <c r="X1612" s="172"/>
    </row>
    <row r="1613" spans="1:24" x14ac:dyDescent="0.45">
      <c r="A1613" s="193">
        <v>23</v>
      </c>
      <c r="B1613" s="194" t="str">
        <f t="shared" si="255"/>
        <v/>
      </c>
      <c r="C1613" s="170" t="str">
        <f t="shared" si="256"/>
        <v/>
      </c>
      <c r="D1613" s="170"/>
      <c r="E1613" s="195"/>
      <c r="F1613" s="170"/>
      <c r="G1613" s="170"/>
      <c r="H1613" s="203"/>
      <c r="I1613" s="197" t="str">
        <f t="shared" si="260"/>
        <v/>
      </c>
      <c r="J1613" s="197" t="str">
        <f t="shared" si="261"/>
        <v/>
      </c>
      <c r="K1613" s="197"/>
      <c r="L1613" s="197"/>
      <c r="M1613" s="198"/>
      <c r="N1613" s="198"/>
      <c r="O1613" s="198"/>
      <c r="P1613" s="199"/>
      <c r="Q1613" s="200"/>
      <c r="R1613" s="200"/>
      <c r="S1613" s="200"/>
      <c r="T1613" s="200" t="str">
        <f t="shared" si="257"/>
        <v/>
      </c>
      <c r="U1613" s="200"/>
      <c r="V1613" s="201" t="str">
        <f t="shared" si="258"/>
        <v/>
      </c>
      <c r="W1613" s="202">
        <f t="shared" si="259"/>
        <v>0</v>
      </c>
      <c r="X1613" s="172"/>
    </row>
    <row r="1614" spans="1:24" x14ac:dyDescent="0.45">
      <c r="A1614" s="193">
        <v>24</v>
      </c>
      <c r="B1614" s="194" t="str">
        <f t="shared" si="255"/>
        <v/>
      </c>
      <c r="C1614" s="170" t="str">
        <f t="shared" si="256"/>
        <v/>
      </c>
      <c r="D1614" s="170"/>
      <c r="E1614" s="195"/>
      <c r="F1614" s="170"/>
      <c r="G1614" s="170"/>
      <c r="H1614" s="203"/>
      <c r="I1614" s="197" t="str">
        <f t="shared" si="260"/>
        <v/>
      </c>
      <c r="J1614" s="197" t="str">
        <f t="shared" si="261"/>
        <v/>
      </c>
      <c r="K1614" s="197"/>
      <c r="L1614" s="197"/>
      <c r="M1614" s="198"/>
      <c r="N1614" s="198"/>
      <c r="O1614" s="198"/>
      <c r="P1614" s="199"/>
      <c r="Q1614" s="200"/>
      <c r="R1614" s="200"/>
      <c r="S1614" s="200"/>
      <c r="T1614" s="200" t="str">
        <f t="shared" si="257"/>
        <v/>
      </c>
      <c r="U1614" s="200"/>
      <c r="V1614" s="201" t="str">
        <f t="shared" si="258"/>
        <v/>
      </c>
      <c r="W1614" s="202">
        <f t="shared" si="259"/>
        <v>0</v>
      </c>
      <c r="X1614" s="172"/>
    </row>
    <row r="1615" spans="1:24" x14ac:dyDescent="0.45">
      <c r="A1615" s="193">
        <v>25</v>
      </c>
      <c r="B1615" s="194" t="str">
        <f t="shared" si="255"/>
        <v/>
      </c>
      <c r="C1615" s="170" t="str">
        <f t="shared" si="256"/>
        <v/>
      </c>
      <c r="D1615" s="170"/>
      <c r="E1615" s="195"/>
      <c r="F1615" s="170"/>
      <c r="G1615" s="170"/>
      <c r="H1615" s="203"/>
      <c r="I1615" s="197" t="str">
        <f t="shared" si="260"/>
        <v/>
      </c>
      <c r="J1615" s="197" t="str">
        <f t="shared" si="261"/>
        <v/>
      </c>
      <c r="K1615" s="197"/>
      <c r="L1615" s="197"/>
      <c r="M1615" s="198"/>
      <c r="N1615" s="198"/>
      <c r="O1615" s="198"/>
      <c r="P1615" s="199"/>
      <c r="Q1615" s="200"/>
      <c r="R1615" s="200"/>
      <c r="S1615" s="200"/>
      <c r="T1615" s="200" t="str">
        <f t="shared" si="257"/>
        <v/>
      </c>
      <c r="U1615" s="200"/>
      <c r="V1615" s="201" t="str">
        <f t="shared" si="258"/>
        <v/>
      </c>
      <c r="W1615" s="202">
        <f t="shared" si="259"/>
        <v>0</v>
      </c>
      <c r="X1615" s="172"/>
    </row>
    <row r="1616" spans="1:24" x14ac:dyDescent="0.45">
      <c r="A1616" s="193">
        <v>26</v>
      </c>
      <c r="B1616" s="194" t="str">
        <f t="shared" si="255"/>
        <v/>
      </c>
      <c r="C1616" s="170" t="str">
        <f t="shared" si="256"/>
        <v/>
      </c>
      <c r="D1616" s="170"/>
      <c r="E1616" s="195"/>
      <c r="F1616" s="170"/>
      <c r="G1616" s="170"/>
      <c r="H1616" s="203"/>
      <c r="I1616" s="197" t="str">
        <f t="shared" si="260"/>
        <v/>
      </c>
      <c r="J1616" s="197" t="str">
        <f t="shared" si="261"/>
        <v/>
      </c>
      <c r="K1616" s="197"/>
      <c r="L1616" s="197"/>
      <c r="M1616" s="198"/>
      <c r="N1616" s="198"/>
      <c r="O1616" s="198"/>
      <c r="P1616" s="199"/>
      <c r="Q1616" s="200"/>
      <c r="R1616" s="200"/>
      <c r="S1616" s="200"/>
      <c r="T1616" s="200" t="str">
        <f t="shared" si="257"/>
        <v/>
      </c>
      <c r="U1616" s="200"/>
      <c r="V1616" s="201" t="str">
        <f t="shared" si="258"/>
        <v/>
      </c>
      <c r="W1616" s="202">
        <f t="shared" si="259"/>
        <v>0</v>
      </c>
      <c r="X1616" s="172"/>
    </row>
    <row r="1617" spans="1:24" x14ac:dyDescent="0.45">
      <c r="A1617" s="193">
        <v>27</v>
      </c>
      <c r="B1617" s="194" t="str">
        <f t="shared" si="255"/>
        <v/>
      </c>
      <c r="C1617" s="170" t="str">
        <f t="shared" si="256"/>
        <v/>
      </c>
      <c r="D1617" s="170"/>
      <c r="E1617" s="195"/>
      <c r="F1617" s="170"/>
      <c r="G1617" s="170"/>
      <c r="H1617" s="203"/>
      <c r="I1617" s="197" t="str">
        <f t="shared" si="260"/>
        <v/>
      </c>
      <c r="J1617" s="197" t="str">
        <f t="shared" si="261"/>
        <v/>
      </c>
      <c r="K1617" s="197"/>
      <c r="L1617" s="197"/>
      <c r="M1617" s="198"/>
      <c r="N1617" s="198"/>
      <c r="O1617" s="198"/>
      <c r="P1617" s="199"/>
      <c r="Q1617" s="200"/>
      <c r="R1617" s="200"/>
      <c r="S1617" s="200"/>
      <c r="T1617" s="200" t="str">
        <f t="shared" si="257"/>
        <v/>
      </c>
      <c r="U1617" s="200"/>
      <c r="V1617" s="201" t="str">
        <f t="shared" si="258"/>
        <v/>
      </c>
      <c r="W1617" s="202">
        <f t="shared" si="259"/>
        <v>0</v>
      </c>
      <c r="X1617" s="172"/>
    </row>
    <row r="1618" spans="1:24" x14ac:dyDescent="0.45">
      <c r="A1618" s="193">
        <v>28</v>
      </c>
      <c r="B1618" s="194" t="str">
        <f t="shared" si="255"/>
        <v/>
      </c>
      <c r="C1618" s="170" t="str">
        <f t="shared" si="256"/>
        <v/>
      </c>
      <c r="D1618" s="170"/>
      <c r="E1618" s="195"/>
      <c r="F1618" s="170"/>
      <c r="G1618" s="170"/>
      <c r="H1618" s="203"/>
      <c r="I1618" s="197" t="str">
        <f t="shared" si="260"/>
        <v/>
      </c>
      <c r="J1618" s="197" t="str">
        <f t="shared" si="261"/>
        <v/>
      </c>
      <c r="K1618" s="197"/>
      <c r="L1618" s="197"/>
      <c r="M1618" s="198"/>
      <c r="N1618" s="198"/>
      <c r="O1618" s="198"/>
      <c r="P1618" s="199"/>
      <c r="Q1618" s="200"/>
      <c r="R1618" s="200"/>
      <c r="S1618" s="200"/>
      <c r="T1618" s="200" t="str">
        <f t="shared" si="257"/>
        <v/>
      </c>
      <c r="U1618" s="200"/>
      <c r="V1618" s="201" t="str">
        <f t="shared" si="258"/>
        <v/>
      </c>
      <c r="W1618" s="202">
        <f t="shared" si="259"/>
        <v>0</v>
      </c>
      <c r="X1618" s="172"/>
    </row>
    <row r="1619" spans="1:24" x14ac:dyDescent="0.45">
      <c r="A1619" s="193">
        <v>29</v>
      </c>
      <c r="B1619" s="194" t="str">
        <f t="shared" si="255"/>
        <v/>
      </c>
      <c r="C1619" s="170" t="str">
        <f t="shared" si="256"/>
        <v/>
      </c>
      <c r="D1619" s="170"/>
      <c r="E1619" s="195"/>
      <c r="F1619" s="170"/>
      <c r="G1619" s="170"/>
      <c r="H1619" s="203"/>
      <c r="I1619" s="197" t="str">
        <f t="shared" si="260"/>
        <v/>
      </c>
      <c r="J1619" s="197" t="str">
        <f t="shared" si="261"/>
        <v/>
      </c>
      <c r="K1619" s="197"/>
      <c r="L1619" s="197"/>
      <c r="M1619" s="198"/>
      <c r="N1619" s="198"/>
      <c r="O1619" s="198"/>
      <c r="P1619" s="199"/>
      <c r="Q1619" s="200"/>
      <c r="R1619" s="200"/>
      <c r="S1619" s="200"/>
      <c r="T1619" s="200" t="str">
        <f t="shared" si="257"/>
        <v/>
      </c>
      <c r="U1619" s="200"/>
      <c r="V1619" s="201" t="str">
        <f t="shared" si="258"/>
        <v/>
      </c>
      <c r="W1619" s="202">
        <f t="shared" si="259"/>
        <v>0</v>
      </c>
      <c r="X1619" s="172"/>
    </row>
    <row r="1620" spans="1:24" x14ac:dyDescent="0.45">
      <c r="A1620" s="193">
        <v>30</v>
      </c>
      <c r="B1620" s="194" t="str">
        <f t="shared" si="255"/>
        <v/>
      </c>
      <c r="C1620" s="170" t="str">
        <f t="shared" si="256"/>
        <v/>
      </c>
      <c r="D1620" s="170"/>
      <c r="E1620" s="195"/>
      <c r="F1620" s="170"/>
      <c r="G1620" s="170"/>
      <c r="H1620" s="203"/>
      <c r="I1620" s="197" t="str">
        <f t="shared" si="260"/>
        <v/>
      </c>
      <c r="J1620" s="197" t="str">
        <f t="shared" si="261"/>
        <v/>
      </c>
      <c r="K1620" s="197"/>
      <c r="L1620" s="197"/>
      <c r="M1620" s="198"/>
      <c r="N1620" s="198"/>
      <c r="O1620" s="198"/>
      <c r="P1620" s="199"/>
      <c r="Q1620" s="200"/>
      <c r="R1620" s="200"/>
      <c r="S1620" s="200"/>
      <c r="T1620" s="200" t="str">
        <f t="shared" si="257"/>
        <v/>
      </c>
      <c r="U1620" s="200"/>
      <c r="V1620" s="201" t="str">
        <f t="shared" si="258"/>
        <v/>
      </c>
      <c r="W1620" s="202">
        <f t="shared" si="259"/>
        <v>0</v>
      </c>
      <c r="X1620" s="172"/>
    </row>
    <row r="1621" spans="1:24" x14ac:dyDescent="0.45">
      <c r="A1621" s="193">
        <v>31</v>
      </c>
      <c r="B1621" s="194" t="str">
        <f t="shared" si="255"/>
        <v/>
      </c>
      <c r="C1621" s="170" t="str">
        <f t="shared" si="256"/>
        <v/>
      </c>
      <c r="D1621" s="170"/>
      <c r="E1621" s="195"/>
      <c r="F1621" s="170"/>
      <c r="G1621" s="170"/>
      <c r="H1621" s="203"/>
      <c r="I1621" s="197" t="str">
        <f t="shared" si="260"/>
        <v/>
      </c>
      <c r="J1621" s="197" t="str">
        <f t="shared" si="261"/>
        <v/>
      </c>
      <c r="K1621" s="197"/>
      <c r="L1621" s="197"/>
      <c r="M1621" s="198"/>
      <c r="N1621" s="198"/>
      <c r="O1621" s="198"/>
      <c r="P1621" s="199"/>
      <c r="Q1621" s="200"/>
      <c r="R1621" s="200"/>
      <c r="S1621" s="200"/>
      <c r="T1621" s="200" t="str">
        <f t="shared" si="257"/>
        <v/>
      </c>
      <c r="U1621" s="200"/>
      <c r="V1621" s="201" t="str">
        <f t="shared" si="258"/>
        <v/>
      </c>
      <c r="W1621" s="202">
        <f t="shared" si="259"/>
        <v>0</v>
      </c>
      <c r="X1621" s="172"/>
    </row>
    <row r="1622" spans="1:24" x14ac:dyDescent="0.45">
      <c r="A1622" s="193">
        <v>32</v>
      </c>
      <c r="B1622" s="194" t="str">
        <f t="shared" si="255"/>
        <v/>
      </c>
      <c r="C1622" s="170" t="str">
        <f t="shared" si="256"/>
        <v/>
      </c>
      <c r="D1622" s="170"/>
      <c r="E1622" s="195"/>
      <c r="F1622" s="170"/>
      <c r="G1622" s="170"/>
      <c r="H1622" s="203"/>
      <c r="I1622" s="197" t="str">
        <f t="shared" si="260"/>
        <v/>
      </c>
      <c r="J1622" s="197" t="str">
        <f t="shared" si="261"/>
        <v/>
      </c>
      <c r="K1622" s="197"/>
      <c r="L1622" s="197"/>
      <c r="M1622" s="198"/>
      <c r="N1622" s="198"/>
      <c r="O1622" s="198"/>
      <c r="P1622" s="199"/>
      <c r="Q1622" s="200"/>
      <c r="R1622" s="200"/>
      <c r="S1622" s="200"/>
      <c r="T1622" s="200" t="str">
        <f t="shared" si="257"/>
        <v/>
      </c>
      <c r="U1622" s="200"/>
      <c r="V1622" s="201" t="str">
        <f t="shared" si="258"/>
        <v/>
      </c>
      <c r="W1622" s="202">
        <f t="shared" si="259"/>
        <v>0</v>
      </c>
      <c r="X1622" s="172"/>
    </row>
    <row r="1623" spans="1:24" x14ac:dyDescent="0.45">
      <c r="A1623" s="193">
        <v>33</v>
      </c>
      <c r="B1623" s="194" t="str">
        <f t="shared" ref="B1623:B1656" si="262">IF(OR($C$1571="",U1623=""),"",LEFT($C$1571,FIND("_",$C$1571)-1))</f>
        <v/>
      </c>
      <c r="C1623" s="170" t="str">
        <f t="shared" ref="C1623:C1656" si="263">IF(OR($C$1571="",U1623=""),"",$B$1571)</f>
        <v/>
      </c>
      <c r="D1623" s="170"/>
      <c r="E1623" s="195"/>
      <c r="F1623" s="170"/>
      <c r="G1623" s="170"/>
      <c r="H1623" s="203"/>
      <c r="I1623" s="197" t="str">
        <f t="shared" si="260"/>
        <v/>
      </c>
      <c r="J1623" s="197" t="str">
        <f t="shared" si="261"/>
        <v/>
      </c>
      <c r="K1623" s="197"/>
      <c r="L1623" s="197"/>
      <c r="M1623" s="198"/>
      <c r="N1623" s="198"/>
      <c r="O1623" s="198"/>
      <c r="P1623" s="199"/>
      <c r="Q1623" s="200"/>
      <c r="R1623" s="200"/>
      <c r="S1623" s="200"/>
      <c r="T1623" s="200" t="str">
        <f t="shared" ref="T1623:T1656" si="264">IF(K1623="","",((K1623*20)+L1623)-((I1623*20)+J1623))</f>
        <v/>
      </c>
      <c r="U1623" s="200"/>
      <c r="V1623" s="201" t="str">
        <f t="shared" ref="V1623:V1654" si="265">IF(U1623="","",$V$1571)</f>
        <v/>
      </c>
      <c r="W1623" s="202">
        <f t="shared" ref="W1623:W1656" si="266">IF(OR(T1623="",U1623=""),0,T1623*U1623)</f>
        <v>0</v>
      </c>
      <c r="X1623" s="172"/>
    </row>
    <row r="1624" spans="1:24" x14ac:dyDescent="0.45">
      <c r="A1624" s="193">
        <v>34</v>
      </c>
      <c r="B1624" s="194" t="str">
        <f t="shared" si="262"/>
        <v/>
      </c>
      <c r="C1624" s="170" t="str">
        <f t="shared" si="263"/>
        <v/>
      </c>
      <c r="D1624" s="170"/>
      <c r="E1624" s="195"/>
      <c r="F1624" s="170"/>
      <c r="G1624" s="170"/>
      <c r="H1624" s="203"/>
      <c r="I1624" s="197" t="str">
        <f t="shared" ref="I1624:I1656" si="267">IF(K1623="","",K1623)</f>
        <v/>
      </c>
      <c r="J1624" s="197" t="str">
        <f t="shared" ref="J1624:J1656" si="268">IF(L1623="","",L1623)</f>
        <v/>
      </c>
      <c r="K1624" s="197"/>
      <c r="L1624" s="197"/>
      <c r="M1624" s="198"/>
      <c r="N1624" s="198"/>
      <c r="O1624" s="198"/>
      <c r="P1624" s="199"/>
      <c r="Q1624" s="200"/>
      <c r="R1624" s="200"/>
      <c r="S1624" s="200"/>
      <c r="T1624" s="200" t="str">
        <f t="shared" si="264"/>
        <v/>
      </c>
      <c r="U1624" s="200"/>
      <c r="V1624" s="201" t="str">
        <f t="shared" si="265"/>
        <v/>
      </c>
      <c r="W1624" s="202">
        <f t="shared" si="266"/>
        <v>0</v>
      </c>
      <c r="X1624" s="172"/>
    </row>
    <row r="1625" spans="1:24" x14ac:dyDescent="0.45">
      <c r="A1625" s="193">
        <v>35</v>
      </c>
      <c r="B1625" s="194" t="str">
        <f t="shared" si="262"/>
        <v/>
      </c>
      <c r="C1625" s="170" t="str">
        <f t="shared" si="263"/>
        <v/>
      </c>
      <c r="D1625" s="170"/>
      <c r="E1625" s="195"/>
      <c r="F1625" s="170"/>
      <c r="G1625" s="170"/>
      <c r="H1625" s="203"/>
      <c r="I1625" s="197" t="str">
        <f t="shared" si="267"/>
        <v/>
      </c>
      <c r="J1625" s="197" t="str">
        <f t="shared" si="268"/>
        <v/>
      </c>
      <c r="K1625" s="197"/>
      <c r="L1625" s="197"/>
      <c r="M1625" s="198"/>
      <c r="N1625" s="198"/>
      <c r="O1625" s="198"/>
      <c r="P1625" s="199"/>
      <c r="Q1625" s="200"/>
      <c r="R1625" s="200"/>
      <c r="S1625" s="200"/>
      <c r="T1625" s="200" t="str">
        <f t="shared" si="264"/>
        <v/>
      </c>
      <c r="U1625" s="200"/>
      <c r="V1625" s="201" t="str">
        <f t="shared" si="265"/>
        <v/>
      </c>
      <c r="W1625" s="202">
        <f t="shared" si="266"/>
        <v>0</v>
      </c>
      <c r="X1625" s="172"/>
    </row>
    <row r="1626" spans="1:24" x14ac:dyDescent="0.45">
      <c r="A1626" s="193">
        <v>36</v>
      </c>
      <c r="B1626" s="194" t="str">
        <f t="shared" si="262"/>
        <v/>
      </c>
      <c r="C1626" s="170" t="str">
        <f t="shared" si="263"/>
        <v/>
      </c>
      <c r="D1626" s="170"/>
      <c r="E1626" s="195"/>
      <c r="F1626" s="170"/>
      <c r="G1626" s="170"/>
      <c r="H1626" s="203"/>
      <c r="I1626" s="197" t="str">
        <f t="shared" si="267"/>
        <v/>
      </c>
      <c r="J1626" s="197" t="str">
        <f t="shared" si="268"/>
        <v/>
      </c>
      <c r="K1626" s="197"/>
      <c r="L1626" s="197"/>
      <c r="M1626" s="198"/>
      <c r="N1626" s="198"/>
      <c r="O1626" s="198"/>
      <c r="P1626" s="199"/>
      <c r="Q1626" s="200"/>
      <c r="R1626" s="200"/>
      <c r="S1626" s="200"/>
      <c r="T1626" s="200" t="str">
        <f t="shared" si="264"/>
        <v/>
      </c>
      <c r="U1626" s="200"/>
      <c r="V1626" s="201" t="str">
        <f t="shared" si="265"/>
        <v/>
      </c>
      <c r="W1626" s="202">
        <f t="shared" si="266"/>
        <v>0</v>
      </c>
      <c r="X1626" s="172"/>
    </row>
    <row r="1627" spans="1:24" x14ac:dyDescent="0.45">
      <c r="A1627" s="193">
        <v>37</v>
      </c>
      <c r="B1627" s="194" t="str">
        <f t="shared" si="262"/>
        <v/>
      </c>
      <c r="C1627" s="170" t="str">
        <f t="shared" si="263"/>
        <v/>
      </c>
      <c r="D1627" s="170"/>
      <c r="E1627" s="195"/>
      <c r="F1627" s="170"/>
      <c r="G1627" s="170"/>
      <c r="H1627" s="203"/>
      <c r="I1627" s="197" t="str">
        <f t="shared" si="267"/>
        <v/>
      </c>
      <c r="J1627" s="197" t="str">
        <f t="shared" si="268"/>
        <v/>
      </c>
      <c r="K1627" s="197"/>
      <c r="L1627" s="197"/>
      <c r="M1627" s="198"/>
      <c r="N1627" s="198"/>
      <c r="O1627" s="198"/>
      <c r="P1627" s="199"/>
      <c r="Q1627" s="200"/>
      <c r="R1627" s="200"/>
      <c r="S1627" s="200"/>
      <c r="T1627" s="200" t="str">
        <f t="shared" si="264"/>
        <v/>
      </c>
      <c r="U1627" s="200"/>
      <c r="V1627" s="201" t="str">
        <f t="shared" si="265"/>
        <v/>
      </c>
      <c r="W1627" s="202">
        <f t="shared" si="266"/>
        <v>0</v>
      </c>
      <c r="X1627" s="172"/>
    </row>
    <row r="1628" spans="1:24" x14ac:dyDescent="0.45">
      <c r="A1628" s="193">
        <v>38</v>
      </c>
      <c r="B1628" s="194" t="str">
        <f t="shared" si="262"/>
        <v/>
      </c>
      <c r="C1628" s="170" t="str">
        <f t="shared" si="263"/>
        <v/>
      </c>
      <c r="D1628" s="170"/>
      <c r="E1628" s="195"/>
      <c r="F1628" s="170"/>
      <c r="G1628" s="170"/>
      <c r="H1628" s="203"/>
      <c r="I1628" s="197" t="str">
        <f t="shared" si="267"/>
        <v/>
      </c>
      <c r="J1628" s="197" t="str">
        <f t="shared" si="268"/>
        <v/>
      </c>
      <c r="K1628" s="197"/>
      <c r="L1628" s="197"/>
      <c r="M1628" s="198"/>
      <c r="N1628" s="198"/>
      <c r="O1628" s="198"/>
      <c r="P1628" s="199"/>
      <c r="Q1628" s="200"/>
      <c r="R1628" s="200"/>
      <c r="S1628" s="200"/>
      <c r="T1628" s="200" t="str">
        <f t="shared" si="264"/>
        <v/>
      </c>
      <c r="U1628" s="200"/>
      <c r="V1628" s="201" t="str">
        <f t="shared" si="265"/>
        <v/>
      </c>
      <c r="W1628" s="202">
        <f t="shared" si="266"/>
        <v>0</v>
      </c>
      <c r="X1628" s="172"/>
    </row>
    <row r="1629" spans="1:24" x14ac:dyDescent="0.45">
      <c r="A1629" s="193">
        <v>39</v>
      </c>
      <c r="B1629" s="194" t="str">
        <f t="shared" si="262"/>
        <v/>
      </c>
      <c r="C1629" s="170" t="str">
        <f t="shared" si="263"/>
        <v/>
      </c>
      <c r="D1629" s="170"/>
      <c r="E1629" s="195"/>
      <c r="F1629" s="170"/>
      <c r="G1629" s="170"/>
      <c r="H1629" s="203"/>
      <c r="I1629" s="197" t="str">
        <f t="shared" si="267"/>
        <v/>
      </c>
      <c r="J1629" s="197" t="str">
        <f t="shared" si="268"/>
        <v/>
      </c>
      <c r="K1629" s="197"/>
      <c r="L1629" s="197"/>
      <c r="M1629" s="198"/>
      <c r="N1629" s="198"/>
      <c r="O1629" s="198"/>
      <c r="P1629" s="199"/>
      <c r="Q1629" s="200"/>
      <c r="R1629" s="200"/>
      <c r="S1629" s="200"/>
      <c r="T1629" s="200" t="str">
        <f t="shared" si="264"/>
        <v/>
      </c>
      <c r="U1629" s="200"/>
      <c r="V1629" s="201" t="str">
        <f t="shared" si="265"/>
        <v/>
      </c>
      <c r="W1629" s="202">
        <f t="shared" si="266"/>
        <v>0</v>
      </c>
      <c r="X1629" s="172"/>
    </row>
    <row r="1630" spans="1:24" x14ac:dyDescent="0.45">
      <c r="A1630" s="193">
        <v>40</v>
      </c>
      <c r="B1630" s="194" t="str">
        <f t="shared" si="262"/>
        <v/>
      </c>
      <c r="C1630" s="170" t="str">
        <f t="shared" si="263"/>
        <v/>
      </c>
      <c r="D1630" s="170"/>
      <c r="E1630" s="195"/>
      <c r="F1630" s="170"/>
      <c r="G1630" s="170"/>
      <c r="H1630" s="203"/>
      <c r="I1630" s="197" t="str">
        <f t="shared" si="267"/>
        <v/>
      </c>
      <c r="J1630" s="197" t="str">
        <f t="shared" si="268"/>
        <v/>
      </c>
      <c r="K1630" s="197"/>
      <c r="L1630" s="197"/>
      <c r="M1630" s="198"/>
      <c r="N1630" s="198"/>
      <c r="O1630" s="198"/>
      <c r="P1630" s="199"/>
      <c r="Q1630" s="200"/>
      <c r="R1630" s="200"/>
      <c r="S1630" s="200"/>
      <c r="T1630" s="200" t="str">
        <f t="shared" si="264"/>
        <v/>
      </c>
      <c r="U1630" s="200"/>
      <c r="V1630" s="201" t="str">
        <f t="shared" si="265"/>
        <v/>
      </c>
      <c r="W1630" s="202">
        <f t="shared" si="266"/>
        <v>0</v>
      </c>
      <c r="X1630" s="172"/>
    </row>
    <row r="1631" spans="1:24" x14ac:dyDescent="0.45">
      <c r="A1631" s="193">
        <v>41</v>
      </c>
      <c r="B1631" s="194" t="str">
        <f t="shared" si="262"/>
        <v/>
      </c>
      <c r="C1631" s="170" t="str">
        <f t="shared" si="263"/>
        <v/>
      </c>
      <c r="D1631" s="170"/>
      <c r="E1631" s="195"/>
      <c r="F1631" s="170"/>
      <c r="G1631" s="170"/>
      <c r="H1631" s="203"/>
      <c r="I1631" s="197" t="str">
        <f t="shared" si="267"/>
        <v/>
      </c>
      <c r="J1631" s="197" t="str">
        <f t="shared" si="268"/>
        <v/>
      </c>
      <c r="K1631" s="197"/>
      <c r="L1631" s="197"/>
      <c r="M1631" s="198"/>
      <c r="N1631" s="198"/>
      <c r="O1631" s="198"/>
      <c r="P1631" s="199"/>
      <c r="Q1631" s="200"/>
      <c r="R1631" s="200"/>
      <c r="S1631" s="200"/>
      <c r="T1631" s="200" t="str">
        <f t="shared" si="264"/>
        <v/>
      </c>
      <c r="U1631" s="200"/>
      <c r="V1631" s="201" t="str">
        <f t="shared" si="265"/>
        <v/>
      </c>
      <c r="W1631" s="202">
        <f t="shared" si="266"/>
        <v>0</v>
      </c>
      <c r="X1631" s="172"/>
    </row>
    <row r="1632" spans="1:24" x14ac:dyDescent="0.45">
      <c r="A1632" s="193">
        <v>42</v>
      </c>
      <c r="B1632" s="194" t="str">
        <f t="shared" si="262"/>
        <v/>
      </c>
      <c r="C1632" s="170" t="str">
        <f t="shared" si="263"/>
        <v/>
      </c>
      <c r="D1632" s="170"/>
      <c r="E1632" s="195"/>
      <c r="F1632" s="170"/>
      <c r="G1632" s="170"/>
      <c r="H1632" s="203"/>
      <c r="I1632" s="197" t="str">
        <f t="shared" si="267"/>
        <v/>
      </c>
      <c r="J1632" s="197" t="str">
        <f t="shared" si="268"/>
        <v/>
      </c>
      <c r="K1632" s="197"/>
      <c r="L1632" s="197"/>
      <c r="M1632" s="198"/>
      <c r="N1632" s="198"/>
      <c r="O1632" s="198"/>
      <c r="P1632" s="199"/>
      <c r="Q1632" s="200"/>
      <c r="R1632" s="200"/>
      <c r="S1632" s="200"/>
      <c r="T1632" s="200" t="str">
        <f t="shared" si="264"/>
        <v/>
      </c>
      <c r="U1632" s="200"/>
      <c r="V1632" s="201" t="str">
        <f t="shared" si="265"/>
        <v/>
      </c>
      <c r="W1632" s="202">
        <f t="shared" si="266"/>
        <v>0</v>
      </c>
      <c r="X1632" s="172"/>
    </row>
    <row r="1633" spans="1:24" x14ac:dyDescent="0.45">
      <c r="A1633" s="193">
        <v>43</v>
      </c>
      <c r="B1633" s="194" t="str">
        <f t="shared" si="262"/>
        <v/>
      </c>
      <c r="C1633" s="170" t="str">
        <f t="shared" si="263"/>
        <v/>
      </c>
      <c r="D1633" s="170"/>
      <c r="E1633" s="195"/>
      <c r="F1633" s="170"/>
      <c r="G1633" s="170"/>
      <c r="H1633" s="203"/>
      <c r="I1633" s="197" t="str">
        <f t="shared" si="267"/>
        <v/>
      </c>
      <c r="J1633" s="197" t="str">
        <f t="shared" si="268"/>
        <v/>
      </c>
      <c r="K1633" s="197"/>
      <c r="L1633" s="197"/>
      <c r="M1633" s="198"/>
      <c r="N1633" s="198"/>
      <c r="O1633" s="198"/>
      <c r="P1633" s="199"/>
      <c r="Q1633" s="200"/>
      <c r="R1633" s="200"/>
      <c r="S1633" s="200"/>
      <c r="T1633" s="200" t="str">
        <f t="shared" si="264"/>
        <v/>
      </c>
      <c r="U1633" s="200"/>
      <c r="V1633" s="201" t="str">
        <f t="shared" si="265"/>
        <v/>
      </c>
      <c r="W1633" s="202">
        <f t="shared" si="266"/>
        <v>0</v>
      </c>
      <c r="X1633" s="172"/>
    </row>
    <row r="1634" spans="1:24" x14ac:dyDescent="0.45">
      <c r="A1634" s="193">
        <v>44</v>
      </c>
      <c r="B1634" s="194" t="str">
        <f t="shared" si="262"/>
        <v/>
      </c>
      <c r="C1634" s="170" t="str">
        <f t="shared" si="263"/>
        <v/>
      </c>
      <c r="D1634" s="170"/>
      <c r="E1634" s="195"/>
      <c r="F1634" s="170"/>
      <c r="G1634" s="170"/>
      <c r="H1634" s="203"/>
      <c r="I1634" s="197" t="str">
        <f t="shared" si="267"/>
        <v/>
      </c>
      <c r="J1634" s="197" t="str">
        <f t="shared" si="268"/>
        <v/>
      </c>
      <c r="K1634" s="197"/>
      <c r="L1634" s="197"/>
      <c r="M1634" s="198"/>
      <c r="N1634" s="198"/>
      <c r="O1634" s="198"/>
      <c r="P1634" s="199"/>
      <c r="Q1634" s="200"/>
      <c r="R1634" s="200"/>
      <c r="S1634" s="200"/>
      <c r="T1634" s="200" t="str">
        <f t="shared" si="264"/>
        <v/>
      </c>
      <c r="U1634" s="200"/>
      <c r="V1634" s="201" t="str">
        <f t="shared" si="265"/>
        <v/>
      </c>
      <c r="W1634" s="202">
        <f t="shared" si="266"/>
        <v>0</v>
      </c>
      <c r="X1634" s="172"/>
    </row>
    <row r="1635" spans="1:24" x14ac:dyDescent="0.45">
      <c r="A1635" s="193">
        <v>45</v>
      </c>
      <c r="B1635" s="194" t="str">
        <f t="shared" si="262"/>
        <v/>
      </c>
      <c r="C1635" s="170" t="str">
        <f t="shared" si="263"/>
        <v/>
      </c>
      <c r="D1635" s="170"/>
      <c r="E1635" s="195"/>
      <c r="F1635" s="170"/>
      <c r="G1635" s="170"/>
      <c r="H1635" s="203"/>
      <c r="I1635" s="197" t="str">
        <f t="shared" si="267"/>
        <v/>
      </c>
      <c r="J1635" s="197" t="str">
        <f t="shared" si="268"/>
        <v/>
      </c>
      <c r="K1635" s="197"/>
      <c r="L1635" s="197"/>
      <c r="M1635" s="198"/>
      <c r="N1635" s="198"/>
      <c r="O1635" s="198"/>
      <c r="P1635" s="199"/>
      <c r="Q1635" s="200"/>
      <c r="R1635" s="200"/>
      <c r="S1635" s="200"/>
      <c r="T1635" s="200" t="str">
        <f t="shared" si="264"/>
        <v/>
      </c>
      <c r="U1635" s="200"/>
      <c r="V1635" s="201" t="str">
        <f t="shared" si="265"/>
        <v/>
      </c>
      <c r="W1635" s="202">
        <f t="shared" si="266"/>
        <v>0</v>
      </c>
      <c r="X1635" s="172"/>
    </row>
    <row r="1636" spans="1:24" x14ac:dyDescent="0.45">
      <c r="A1636" s="193">
        <v>46</v>
      </c>
      <c r="B1636" s="194" t="str">
        <f t="shared" si="262"/>
        <v/>
      </c>
      <c r="C1636" s="170" t="str">
        <f t="shared" si="263"/>
        <v/>
      </c>
      <c r="D1636" s="170"/>
      <c r="E1636" s="195"/>
      <c r="F1636" s="170"/>
      <c r="G1636" s="170"/>
      <c r="H1636" s="203"/>
      <c r="I1636" s="197" t="str">
        <f t="shared" si="267"/>
        <v/>
      </c>
      <c r="J1636" s="197" t="str">
        <f t="shared" si="268"/>
        <v/>
      </c>
      <c r="K1636" s="197"/>
      <c r="L1636" s="197"/>
      <c r="M1636" s="198"/>
      <c r="N1636" s="198"/>
      <c r="O1636" s="198"/>
      <c r="P1636" s="199"/>
      <c r="Q1636" s="200"/>
      <c r="R1636" s="200"/>
      <c r="S1636" s="200"/>
      <c r="T1636" s="200" t="str">
        <f t="shared" si="264"/>
        <v/>
      </c>
      <c r="U1636" s="200"/>
      <c r="V1636" s="201" t="str">
        <f t="shared" si="265"/>
        <v/>
      </c>
      <c r="W1636" s="202">
        <f t="shared" si="266"/>
        <v>0</v>
      </c>
      <c r="X1636" s="172"/>
    </row>
    <row r="1637" spans="1:24" x14ac:dyDescent="0.45">
      <c r="A1637" s="193">
        <v>47</v>
      </c>
      <c r="B1637" s="194" t="str">
        <f t="shared" si="262"/>
        <v/>
      </c>
      <c r="C1637" s="170" t="str">
        <f t="shared" si="263"/>
        <v/>
      </c>
      <c r="D1637" s="170"/>
      <c r="E1637" s="195"/>
      <c r="F1637" s="170"/>
      <c r="G1637" s="170"/>
      <c r="H1637" s="203"/>
      <c r="I1637" s="197" t="str">
        <f t="shared" si="267"/>
        <v/>
      </c>
      <c r="J1637" s="197" t="str">
        <f t="shared" si="268"/>
        <v/>
      </c>
      <c r="K1637" s="197"/>
      <c r="L1637" s="197"/>
      <c r="M1637" s="198"/>
      <c r="N1637" s="198"/>
      <c r="O1637" s="198"/>
      <c r="P1637" s="199"/>
      <c r="Q1637" s="200"/>
      <c r="R1637" s="200"/>
      <c r="S1637" s="200"/>
      <c r="T1637" s="200" t="str">
        <f t="shared" si="264"/>
        <v/>
      </c>
      <c r="U1637" s="200"/>
      <c r="V1637" s="201" t="str">
        <f t="shared" si="265"/>
        <v/>
      </c>
      <c r="W1637" s="202">
        <f t="shared" si="266"/>
        <v>0</v>
      </c>
      <c r="X1637" s="172"/>
    </row>
    <row r="1638" spans="1:24" x14ac:dyDescent="0.45">
      <c r="A1638" s="193">
        <v>48</v>
      </c>
      <c r="B1638" s="194" t="str">
        <f t="shared" si="262"/>
        <v/>
      </c>
      <c r="C1638" s="170" t="str">
        <f t="shared" si="263"/>
        <v/>
      </c>
      <c r="D1638" s="170"/>
      <c r="E1638" s="195"/>
      <c r="F1638" s="170"/>
      <c r="G1638" s="170"/>
      <c r="H1638" s="203"/>
      <c r="I1638" s="197" t="str">
        <f t="shared" si="267"/>
        <v/>
      </c>
      <c r="J1638" s="197" t="str">
        <f t="shared" si="268"/>
        <v/>
      </c>
      <c r="K1638" s="197"/>
      <c r="L1638" s="197"/>
      <c r="M1638" s="198"/>
      <c r="N1638" s="198"/>
      <c r="O1638" s="198"/>
      <c r="P1638" s="199"/>
      <c r="Q1638" s="200"/>
      <c r="R1638" s="200"/>
      <c r="S1638" s="200"/>
      <c r="T1638" s="200" t="str">
        <f t="shared" si="264"/>
        <v/>
      </c>
      <c r="U1638" s="200"/>
      <c r="V1638" s="201" t="str">
        <f t="shared" si="265"/>
        <v/>
      </c>
      <c r="W1638" s="202">
        <f t="shared" si="266"/>
        <v>0</v>
      </c>
      <c r="X1638" s="172"/>
    </row>
    <row r="1639" spans="1:24" x14ac:dyDescent="0.45">
      <c r="A1639" s="193">
        <v>49</v>
      </c>
      <c r="B1639" s="194" t="str">
        <f t="shared" si="262"/>
        <v/>
      </c>
      <c r="C1639" s="170" t="str">
        <f t="shared" si="263"/>
        <v/>
      </c>
      <c r="D1639" s="170"/>
      <c r="E1639" s="195"/>
      <c r="F1639" s="170"/>
      <c r="G1639" s="170"/>
      <c r="H1639" s="203"/>
      <c r="I1639" s="197" t="str">
        <f t="shared" si="267"/>
        <v/>
      </c>
      <c r="J1639" s="197" t="str">
        <f t="shared" si="268"/>
        <v/>
      </c>
      <c r="K1639" s="197"/>
      <c r="L1639" s="197"/>
      <c r="M1639" s="198"/>
      <c r="N1639" s="198"/>
      <c r="O1639" s="198"/>
      <c r="P1639" s="199"/>
      <c r="Q1639" s="200"/>
      <c r="R1639" s="200"/>
      <c r="S1639" s="200"/>
      <c r="T1639" s="200" t="str">
        <f t="shared" si="264"/>
        <v/>
      </c>
      <c r="U1639" s="200"/>
      <c r="V1639" s="201" t="str">
        <f t="shared" si="265"/>
        <v/>
      </c>
      <c r="W1639" s="202">
        <f t="shared" si="266"/>
        <v>0</v>
      </c>
      <c r="X1639" s="172"/>
    </row>
    <row r="1640" spans="1:24" x14ac:dyDescent="0.45">
      <c r="A1640" s="193">
        <v>50</v>
      </c>
      <c r="B1640" s="194" t="str">
        <f t="shared" si="262"/>
        <v/>
      </c>
      <c r="C1640" s="170" t="str">
        <f t="shared" si="263"/>
        <v/>
      </c>
      <c r="D1640" s="170"/>
      <c r="E1640" s="195"/>
      <c r="F1640" s="170"/>
      <c r="G1640" s="170"/>
      <c r="H1640" s="203"/>
      <c r="I1640" s="197" t="str">
        <f t="shared" si="267"/>
        <v/>
      </c>
      <c r="J1640" s="197" t="str">
        <f t="shared" si="268"/>
        <v/>
      </c>
      <c r="K1640" s="197"/>
      <c r="L1640" s="197"/>
      <c r="M1640" s="198"/>
      <c r="N1640" s="198"/>
      <c r="O1640" s="198"/>
      <c r="P1640" s="199"/>
      <c r="Q1640" s="200"/>
      <c r="R1640" s="200"/>
      <c r="S1640" s="200"/>
      <c r="T1640" s="200" t="str">
        <f t="shared" si="264"/>
        <v/>
      </c>
      <c r="U1640" s="200"/>
      <c r="V1640" s="201" t="str">
        <f t="shared" si="265"/>
        <v/>
      </c>
      <c r="W1640" s="202">
        <f t="shared" si="266"/>
        <v>0</v>
      </c>
      <c r="X1640" s="172"/>
    </row>
    <row r="1641" spans="1:24" x14ac:dyDescent="0.45">
      <c r="A1641" s="193">
        <v>51</v>
      </c>
      <c r="B1641" s="194" t="str">
        <f t="shared" si="262"/>
        <v/>
      </c>
      <c r="C1641" s="170" t="str">
        <f t="shared" si="263"/>
        <v/>
      </c>
      <c r="D1641" s="170"/>
      <c r="E1641" s="195"/>
      <c r="F1641" s="170"/>
      <c r="G1641" s="170"/>
      <c r="H1641" s="203"/>
      <c r="I1641" s="197" t="str">
        <f t="shared" si="267"/>
        <v/>
      </c>
      <c r="J1641" s="197" t="str">
        <f t="shared" si="268"/>
        <v/>
      </c>
      <c r="K1641" s="197"/>
      <c r="L1641" s="197"/>
      <c r="M1641" s="198"/>
      <c r="N1641" s="198"/>
      <c r="O1641" s="198"/>
      <c r="P1641" s="199"/>
      <c r="Q1641" s="200"/>
      <c r="R1641" s="200"/>
      <c r="S1641" s="200"/>
      <c r="T1641" s="200" t="str">
        <f t="shared" si="264"/>
        <v/>
      </c>
      <c r="U1641" s="200"/>
      <c r="V1641" s="201" t="str">
        <f t="shared" si="265"/>
        <v/>
      </c>
      <c r="W1641" s="202">
        <f t="shared" si="266"/>
        <v>0</v>
      </c>
      <c r="X1641" s="172"/>
    </row>
    <row r="1642" spans="1:24" x14ac:dyDescent="0.45">
      <c r="A1642" s="193">
        <v>52</v>
      </c>
      <c r="B1642" s="194" t="str">
        <f t="shared" si="262"/>
        <v/>
      </c>
      <c r="C1642" s="170" t="str">
        <f t="shared" si="263"/>
        <v/>
      </c>
      <c r="D1642" s="170"/>
      <c r="E1642" s="195"/>
      <c r="F1642" s="170"/>
      <c r="G1642" s="170"/>
      <c r="H1642" s="203"/>
      <c r="I1642" s="197" t="str">
        <f t="shared" si="267"/>
        <v/>
      </c>
      <c r="J1642" s="197" t="str">
        <f t="shared" si="268"/>
        <v/>
      </c>
      <c r="K1642" s="197"/>
      <c r="L1642" s="197"/>
      <c r="M1642" s="198"/>
      <c r="N1642" s="198"/>
      <c r="O1642" s="198"/>
      <c r="P1642" s="199"/>
      <c r="Q1642" s="200"/>
      <c r="R1642" s="200"/>
      <c r="S1642" s="200"/>
      <c r="T1642" s="200" t="str">
        <f t="shared" si="264"/>
        <v/>
      </c>
      <c r="U1642" s="200"/>
      <c r="V1642" s="201" t="str">
        <f t="shared" si="265"/>
        <v/>
      </c>
      <c r="W1642" s="202">
        <f t="shared" si="266"/>
        <v>0</v>
      </c>
      <c r="X1642" s="172"/>
    </row>
    <row r="1643" spans="1:24" x14ac:dyDescent="0.45">
      <c r="A1643" s="193">
        <v>53</v>
      </c>
      <c r="B1643" s="194" t="str">
        <f t="shared" si="262"/>
        <v/>
      </c>
      <c r="C1643" s="170" t="str">
        <f t="shared" si="263"/>
        <v/>
      </c>
      <c r="D1643" s="170"/>
      <c r="E1643" s="195"/>
      <c r="F1643" s="170"/>
      <c r="G1643" s="170"/>
      <c r="H1643" s="203"/>
      <c r="I1643" s="197" t="str">
        <f t="shared" si="267"/>
        <v/>
      </c>
      <c r="J1643" s="197" t="str">
        <f t="shared" si="268"/>
        <v/>
      </c>
      <c r="K1643" s="197"/>
      <c r="L1643" s="197"/>
      <c r="M1643" s="198"/>
      <c r="N1643" s="198"/>
      <c r="O1643" s="198"/>
      <c r="P1643" s="199"/>
      <c r="Q1643" s="200"/>
      <c r="R1643" s="200"/>
      <c r="S1643" s="200"/>
      <c r="T1643" s="200" t="str">
        <f t="shared" si="264"/>
        <v/>
      </c>
      <c r="U1643" s="200"/>
      <c r="V1643" s="201" t="str">
        <f t="shared" si="265"/>
        <v/>
      </c>
      <c r="W1643" s="202">
        <f t="shared" si="266"/>
        <v>0</v>
      </c>
      <c r="X1643" s="172"/>
    </row>
    <row r="1644" spans="1:24" x14ac:dyDescent="0.45">
      <c r="A1644" s="193">
        <v>54</v>
      </c>
      <c r="B1644" s="194" t="str">
        <f t="shared" si="262"/>
        <v/>
      </c>
      <c r="C1644" s="170" t="str">
        <f t="shared" si="263"/>
        <v/>
      </c>
      <c r="D1644" s="170"/>
      <c r="E1644" s="195"/>
      <c r="F1644" s="170"/>
      <c r="G1644" s="170"/>
      <c r="H1644" s="203"/>
      <c r="I1644" s="197" t="str">
        <f t="shared" si="267"/>
        <v/>
      </c>
      <c r="J1644" s="197" t="str">
        <f t="shared" si="268"/>
        <v/>
      </c>
      <c r="K1644" s="197"/>
      <c r="L1644" s="197"/>
      <c r="M1644" s="198"/>
      <c r="N1644" s="198"/>
      <c r="O1644" s="198"/>
      <c r="P1644" s="199"/>
      <c r="Q1644" s="200"/>
      <c r="R1644" s="200"/>
      <c r="S1644" s="200"/>
      <c r="T1644" s="200" t="str">
        <f t="shared" si="264"/>
        <v/>
      </c>
      <c r="U1644" s="200"/>
      <c r="V1644" s="201" t="str">
        <f t="shared" si="265"/>
        <v/>
      </c>
      <c r="W1644" s="202">
        <f t="shared" si="266"/>
        <v>0</v>
      </c>
      <c r="X1644" s="172"/>
    </row>
    <row r="1645" spans="1:24" x14ac:dyDescent="0.45">
      <c r="A1645" s="193">
        <v>55</v>
      </c>
      <c r="B1645" s="194" t="str">
        <f t="shared" si="262"/>
        <v/>
      </c>
      <c r="C1645" s="170" t="str">
        <f t="shared" si="263"/>
        <v/>
      </c>
      <c r="D1645" s="170"/>
      <c r="E1645" s="195"/>
      <c r="F1645" s="170"/>
      <c r="G1645" s="170"/>
      <c r="H1645" s="203"/>
      <c r="I1645" s="197" t="str">
        <f t="shared" si="267"/>
        <v/>
      </c>
      <c r="J1645" s="197" t="str">
        <f t="shared" si="268"/>
        <v/>
      </c>
      <c r="K1645" s="197"/>
      <c r="L1645" s="197"/>
      <c r="M1645" s="198"/>
      <c r="N1645" s="198"/>
      <c r="O1645" s="198"/>
      <c r="P1645" s="199"/>
      <c r="Q1645" s="200"/>
      <c r="R1645" s="200"/>
      <c r="S1645" s="200"/>
      <c r="T1645" s="200" t="str">
        <f t="shared" si="264"/>
        <v/>
      </c>
      <c r="U1645" s="200"/>
      <c r="V1645" s="201" t="str">
        <f t="shared" si="265"/>
        <v/>
      </c>
      <c r="W1645" s="202">
        <f t="shared" si="266"/>
        <v>0</v>
      </c>
      <c r="X1645" s="172"/>
    </row>
    <row r="1646" spans="1:24" x14ac:dyDescent="0.45">
      <c r="A1646" s="193">
        <v>56</v>
      </c>
      <c r="B1646" s="194" t="str">
        <f t="shared" si="262"/>
        <v/>
      </c>
      <c r="C1646" s="170" t="str">
        <f t="shared" si="263"/>
        <v/>
      </c>
      <c r="D1646" s="170"/>
      <c r="E1646" s="195"/>
      <c r="F1646" s="170"/>
      <c r="G1646" s="170"/>
      <c r="H1646" s="203"/>
      <c r="I1646" s="197" t="str">
        <f t="shared" si="267"/>
        <v/>
      </c>
      <c r="J1646" s="197" t="str">
        <f t="shared" si="268"/>
        <v/>
      </c>
      <c r="K1646" s="197"/>
      <c r="L1646" s="197"/>
      <c r="M1646" s="198"/>
      <c r="N1646" s="198"/>
      <c r="O1646" s="198"/>
      <c r="P1646" s="199"/>
      <c r="Q1646" s="200"/>
      <c r="R1646" s="200"/>
      <c r="S1646" s="200"/>
      <c r="T1646" s="200" t="str">
        <f t="shared" si="264"/>
        <v/>
      </c>
      <c r="U1646" s="200"/>
      <c r="V1646" s="201" t="str">
        <f t="shared" si="265"/>
        <v/>
      </c>
      <c r="W1646" s="202">
        <f t="shared" si="266"/>
        <v>0</v>
      </c>
      <c r="X1646" s="172"/>
    </row>
    <row r="1647" spans="1:24" x14ac:dyDescent="0.45">
      <c r="A1647" s="193">
        <v>57</v>
      </c>
      <c r="B1647" s="194" t="str">
        <f t="shared" si="262"/>
        <v/>
      </c>
      <c r="C1647" s="170" t="str">
        <f t="shared" si="263"/>
        <v/>
      </c>
      <c r="D1647" s="170"/>
      <c r="E1647" s="195"/>
      <c r="F1647" s="170"/>
      <c r="G1647" s="170"/>
      <c r="H1647" s="203"/>
      <c r="I1647" s="197" t="str">
        <f t="shared" si="267"/>
        <v/>
      </c>
      <c r="J1647" s="197" t="str">
        <f t="shared" si="268"/>
        <v/>
      </c>
      <c r="K1647" s="197"/>
      <c r="L1647" s="197"/>
      <c r="M1647" s="198"/>
      <c r="N1647" s="198"/>
      <c r="O1647" s="198"/>
      <c r="P1647" s="199"/>
      <c r="Q1647" s="200"/>
      <c r="R1647" s="200"/>
      <c r="S1647" s="200"/>
      <c r="T1647" s="200" t="str">
        <f t="shared" si="264"/>
        <v/>
      </c>
      <c r="U1647" s="200"/>
      <c r="V1647" s="201" t="str">
        <f t="shared" si="265"/>
        <v/>
      </c>
      <c r="W1647" s="202">
        <f t="shared" si="266"/>
        <v>0</v>
      </c>
      <c r="X1647" s="172"/>
    </row>
    <row r="1648" spans="1:24" x14ac:dyDescent="0.45">
      <c r="A1648" s="193">
        <v>58</v>
      </c>
      <c r="B1648" s="194" t="str">
        <f t="shared" si="262"/>
        <v/>
      </c>
      <c r="C1648" s="170" t="str">
        <f t="shared" si="263"/>
        <v/>
      </c>
      <c r="D1648" s="170"/>
      <c r="E1648" s="195"/>
      <c r="F1648" s="170"/>
      <c r="G1648" s="170"/>
      <c r="H1648" s="203"/>
      <c r="I1648" s="197" t="str">
        <f t="shared" si="267"/>
        <v/>
      </c>
      <c r="J1648" s="197" t="str">
        <f t="shared" si="268"/>
        <v/>
      </c>
      <c r="K1648" s="197"/>
      <c r="L1648" s="197"/>
      <c r="M1648" s="198"/>
      <c r="N1648" s="198"/>
      <c r="O1648" s="198"/>
      <c r="P1648" s="199"/>
      <c r="Q1648" s="200"/>
      <c r="R1648" s="200"/>
      <c r="S1648" s="200"/>
      <c r="T1648" s="200" t="str">
        <f t="shared" si="264"/>
        <v/>
      </c>
      <c r="U1648" s="200"/>
      <c r="V1648" s="201" t="str">
        <f t="shared" si="265"/>
        <v/>
      </c>
      <c r="W1648" s="202">
        <f t="shared" si="266"/>
        <v>0</v>
      </c>
      <c r="X1648" s="172"/>
    </row>
    <row r="1649" spans="1:24" x14ac:dyDescent="0.45">
      <c r="A1649" s="193">
        <v>59</v>
      </c>
      <c r="B1649" s="194" t="str">
        <f t="shared" si="262"/>
        <v/>
      </c>
      <c r="C1649" s="170" t="str">
        <f t="shared" si="263"/>
        <v/>
      </c>
      <c r="D1649" s="170"/>
      <c r="E1649" s="195"/>
      <c r="F1649" s="170"/>
      <c r="G1649" s="170"/>
      <c r="H1649" s="203"/>
      <c r="I1649" s="197" t="str">
        <f t="shared" si="267"/>
        <v/>
      </c>
      <c r="J1649" s="197" t="str">
        <f t="shared" si="268"/>
        <v/>
      </c>
      <c r="K1649" s="197"/>
      <c r="L1649" s="197"/>
      <c r="M1649" s="198"/>
      <c r="N1649" s="198"/>
      <c r="O1649" s="198"/>
      <c r="P1649" s="199"/>
      <c r="Q1649" s="200"/>
      <c r="R1649" s="200"/>
      <c r="S1649" s="200"/>
      <c r="T1649" s="200" t="str">
        <f t="shared" si="264"/>
        <v/>
      </c>
      <c r="U1649" s="200"/>
      <c r="V1649" s="201" t="str">
        <f t="shared" si="265"/>
        <v/>
      </c>
      <c r="W1649" s="202">
        <f t="shared" si="266"/>
        <v>0</v>
      </c>
      <c r="X1649" s="172"/>
    </row>
    <row r="1650" spans="1:24" x14ac:dyDescent="0.45">
      <c r="A1650" s="193">
        <v>60</v>
      </c>
      <c r="B1650" s="194" t="str">
        <f t="shared" si="262"/>
        <v/>
      </c>
      <c r="C1650" s="170" t="str">
        <f t="shared" si="263"/>
        <v/>
      </c>
      <c r="D1650" s="170"/>
      <c r="E1650" s="195"/>
      <c r="F1650" s="170"/>
      <c r="G1650" s="170"/>
      <c r="H1650" s="203"/>
      <c r="I1650" s="197" t="str">
        <f t="shared" si="267"/>
        <v/>
      </c>
      <c r="J1650" s="197" t="str">
        <f t="shared" si="268"/>
        <v/>
      </c>
      <c r="K1650" s="197"/>
      <c r="L1650" s="197"/>
      <c r="M1650" s="198"/>
      <c r="N1650" s="198"/>
      <c r="O1650" s="198"/>
      <c r="P1650" s="199"/>
      <c r="Q1650" s="200"/>
      <c r="R1650" s="200"/>
      <c r="S1650" s="200"/>
      <c r="T1650" s="200" t="str">
        <f t="shared" si="264"/>
        <v/>
      </c>
      <c r="U1650" s="200"/>
      <c r="V1650" s="201" t="str">
        <f t="shared" si="265"/>
        <v/>
      </c>
      <c r="W1650" s="202">
        <f t="shared" si="266"/>
        <v>0</v>
      </c>
      <c r="X1650" s="172"/>
    </row>
    <row r="1651" spans="1:24" x14ac:dyDescent="0.45">
      <c r="A1651" s="193">
        <v>61</v>
      </c>
      <c r="B1651" s="194" t="str">
        <f t="shared" si="262"/>
        <v/>
      </c>
      <c r="C1651" s="170" t="str">
        <f t="shared" si="263"/>
        <v/>
      </c>
      <c r="D1651" s="170"/>
      <c r="E1651" s="195"/>
      <c r="F1651" s="170"/>
      <c r="G1651" s="170"/>
      <c r="H1651" s="203"/>
      <c r="I1651" s="197" t="str">
        <f t="shared" si="267"/>
        <v/>
      </c>
      <c r="J1651" s="197" t="str">
        <f t="shared" si="268"/>
        <v/>
      </c>
      <c r="K1651" s="197"/>
      <c r="L1651" s="197"/>
      <c r="M1651" s="198"/>
      <c r="N1651" s="198"/>
      <c r="O1651" s="198"/>
      <c r="P1651" s="199"/>
      <c r="Q1651" s="200"/>
      <c r="R1651" s="200"/>
      <c r="S1651" s="200"/>
      <c r="T1651" s="200" t="str">
        <f t="shared" si="264"/>
        <v/>
      </c>
      <c r="U1651" s="200"/>
      <c r="V1651" s="201" t="str">
        <f t="shared" si="265"/>
        <v/>
      </c>
      <c r="W1651" s="202">
        <f t="shared" si="266"/>
        <v>0</v>
      </c>
      <c r="X1651" s="172"/>
    </row>
    <row r="1652" spans="1:24" x14ac:dyDescent="0.45">
      <c r="A1652" s="193">
        <v>62</v>
      </c>
      <c r="B1652" s="194" t="str">
        <f t="shared" si="262"/>
        <v/>
      </c>
      <c r="C1652" s="170" t="str">
        <f t="shared" si="263"/>
        <v/>
      </c>
      <c r="D1652" s="170"/>
      <c r="E1652" s="195"/>
      <c r="F1652" s="170"/>
      <c r="G1652" s="170"/>
      <c r="H1652" s="203"/>
      <c r="I1652" s="197" t="str">
        <f t="shared" si="267"/>
        <v/>
      </c>
      <c r="J1652" s="197" t="str">
        <f t="shared" si="268"/>
        <v/>
      </c>
      <c r="K1652" s="197"/>
      <c r="L1652" s="197"/>
      <c r="M1652" s="198"/>
      <c r="N1652" s="198"/>
      <c r="O1652" s="198"/>
      <c r="P1652" s="199"/>
      <c r="Q1652" s="200"/>
      <c r="R1652" s="200"/>
      <c r="S1652" s="200"/>
      <c r="T1652" s="200" t="str">
        <f t="shared" si="264"/>
        <v/>
      </c>
      <c r="U1652" s="200"/>
      <c r="V1652" s="201" t="str">
        <f t="shared" si="265"/>
        <v/>
      </c>
      <c r="W1652" s="202">
        <f t="shared" si="266"/>
        <v>0</v>
      </c>
      <c r="X1652" s="172"/>
    </row>
    <row r="1653" spans="1:24" x14ac:dyDescent="0.45">
      <c r="A1653" s="193">
        <v>63</v>
      </c>
      <c r="B1653" s="194" t="str">
        <f t="shared" si="262"/>
        <v/>
      </c>
      <c r="C1653" s="170" t="str">
        <f t="shared" si="263"/>
        <v/>
      </c>
      <c r="D1653" s="170"/>
      <c r="E1653" s="195"/>
      <c r="F1653" s="170"/>
      <c r="G1653" s="170"/>
      <c r="H1653" s="203"/>
      <c r="I1653" s="197" t="str">
        <f t="shared" si="267"/>
        <v/>
      </c>
      <c r="J1653" s="197" t="str">
        <f t="shared" si="268"/>
        <v/>
      </c>
      <c r="K1653" s="197"/>
      <c r="L1653" s="197"/>
      <c r="M1653" s="198"/>
      <c r="N1653" s="198"/>
      <c r="O1653" s="198"/>
      <c r="P1653" s="199"/>
      <c r="Q1653" s="200"/>
      <c r="R1653" s="200"/>
      <c r="S1653" s="200"/>
      <c r="T1653" s="200" t="str">
        <f t="shared" si="264"/>
        <v/>
      </c>
      <c r="U1653" s="200"/>
      <c r="V1653" s="201" t="str">
        <f t="shared" si="265"/>
        <v/>
      </c>
      <c r="W1653" s="202">
        <f t="shared" si="266"/>
        <v>0</v>
      </c>
      <c r="X1653" s="172"/>
    </row>
    <row r="1654" spans="1:24" x14ac:dyDescent="0.45">
      <c r="A1654" s="193">
        <v>64</v>
      </c>
      <c r="B1654" s="194" t="str">
        <f t="shared" si="262"/>
        <v/>
      </c>
      <c r="C1654" s="170" t="str">
        <f t="shared" si="263"/>
        <v/>
      </c>
      <c r="D1654" s="170"/>
      <c r="E1654" s="195"/>
      <c r="F1654" s="170"/>
      <c r="G1654" s="170"/>
      <c r="H1654" s="203"/>
      <c r="I1654" s="197" t="str">
        <f t="shared" si="267"/>
        <v/>
      </c>
      <c r="J1654" s="197" t="str">
        <f t="shared" si="268"/>
        <v/>
      </c>
      <c r="K1654" s="197"/>
      <c r="L1654" s="197"/>
      <c r="M1654" s="198"/>
      <c r="N1654" s="198"/>
      <c r="O1654" s="198"/>
      <c r="P1654" s="199"/>
      <c r="Q1654" s="200"/>
      <c r="R1654" s="200"/>
      <c r="S1654" s="200"/>
      <c r="T1654" s="200" t="str">
        <f t="shared" si="264"/>
        <v/>
      </c>
      <c r="U1654" s="200"/>
      <c r="V1654" s="201" t="str">
        <f t="shared" si="265"/>
        <v/>
      </c>
      <c r="W1654" s="202">
        <f t="shared" si="266"/>
        <v>0</v>
      </c>
      <c r="X1654" s="172"/>
    </row>
    <row r="1655" spans="1:24" x14ac:dyDescent="0.45">
      <c r="A1655" s="193">
        <v>65</v>
      </c>
      <c r="B1655" s="194" t="str">
        <f t="shared" si="262"/>
        <v/>
      </c>
      <c r="C1655" s="170" t="str">
        <f t="shared" si="263"/>
        <v/>
      </c>
      <c r="D1655" s="170"/>
      <c r="E1655" s="195"/>
      <c r="F1655" s="170"/>
      <c r="G1655" s="170"/>
      <c r="H1655" s="203"/>
      <c r="I1655" s="197" t="str">
        <f t="shared" si="267"/>
        <v/>
      </c>
      <c r="J1655" s="197" t="str">
        <f t="shared" si="268"/>
        <v/>
      </c>
      <c r="K1655" s="197"/>
      <c r="L1655" s="197"/>
      <c r="M1655" s="198"/>
      <c r="N1655" s="198"/>
      <c r="O1655" s="198"/>
      <c r="P1655" s="199"/>
      <c r="Q1655" s="200"/>
      <c r="R1655" s="200"/>
      <c r="S1655" s="200"/>
      <c r="T1655" s="200" t="str">
        <f t="shared" si="264"/>
        <v/>
      </c>
      <c r="U1655" s="200"/>
      <c r="V1655" s="201" t="str">
        <f t="shared" ref="V1655:V1656" si="269">IF(U1655="","",$V$1571)</f>
        <v/>
      </c>
      <c r="W1655" s="202">
        <f t="shared" si="266"/>
        <v>0</v>
      </c>
      <c r="X1655" s="172"/>
    </row>
    <row r="1656" spans="1:24" ht="14.25" customHeight="1" x14ac:dyDescent="0.45">
      <c r="A1656" s="193">
        <v>66</v>
      </c>
      <c r="B1656" s="204" t="str">
        <f t="shared" si="262"/>
        <v/>
      </c>
      <c r="C1656" s="205" t="str">
        <f t="shared" si="263"/>
        <v/>
      </c>
      <c r="D1656" s="205"/>
      <c r="E1656" s="205"/>
      <c r="F1656" s="205"/>
      <c r="G1656" s="205"/>
      <c r="H1656" s="205"/>
      <c r="I1656" s="206" t="str">
        <f t="shared" si="267"/>
        <v/>
      </c>
      <c r="J1656" s="206" t="str">
        <f t="shared" si="268"/>
        <v/>
      </c>
      <c r="K1656" s="206"/>
      <c r="L1656" s="206"/>
      <c r="M1656" s="205"/>
      <c r="N1656" s="205"/>
      <c r="O1656" s="205"/>
      <c r="P1656" s="205"/>
      <c r="Q1656" s="205"/>
      <c r="R1656" s="205"/>
      <c r="S1656" s="205"/>
      <c r="T1656" s="205" t="str">
        <f t="shared" si="264"/>
        <v/>
      </c>
      <c r="U1656" s="205"/>
      <c r="V1656" s="205" t="str">
        <f t="shared" si="269"/>
        <v/>
      </c>
      <c r="W1656" s="207">
        <f t="shared" si="266"/>
        <v>0</v>
      </c>
      <c r="X1656" s="207"/>
    </row>
    <row r="1657" spans="1:24" ht="24.75" customHeight="1" x14ac:dyDescent="0.45">
      <c r="B1657" s="428" t="s">
        <v>1526</v>
      </c>
      <c r="C1657" s="429" t="s">
        <v>1494</v>
      </c>
      <c r="D1657" s="429"/>
      <c r="E1657" s="429"/>
      <c r="F1657" s="429"/>
      <c r="G1657" s="429"/>
      <c r="H1657" s="429"/>
      <c r="I1657" s="429"/>
      <c r="J1657" s="429"/>
      <c r="K1657" s="429"/>
      <c r="L1657" s="429"/>
      <c r="M1657" s="429"/>
      <c r="N1657" s="429"/>
      <c r="O1657" s="429"/>
      <c r="P1657" s="429"/>
      <c r="Q1657" s="429"/>
      <c r="R1657" s="145" t="s">
        <v>1</v>
      </c>
      <c r="S1657" s="146"/>
      <c r="T1657" s="145" t="s">
        <v>8</v>
      </c>
      <c r="U1657" s="147"/>
      <c r="V1657" s="148" t="s">
        <v>3</v>
      </c>
      <c r="W1657" s="146"/>
      <c r="X1657" s="149"/>
    </row>
    <row r="1658" spans="1:24" ht="24.75" customHeight="1" x14ac:dyDescent="0.45">
      <c r="B1658" s="428"/>
      <c r="C1658" s="429"/>
      <c r="D1658" s="429"/>
      <c r="E1658" s="429"/>
      <c r="F1658" s="429"/>
      <c r="G1658" s="429"/>
      <c r="H1658" s="429"/>
      <c r="I1658" s="429"/>
      <c r="J1658" s="429"/>
      <c r="K1658" s="429"/>
      <c r="L1658" s="429"/>
      <c r="M1658" s="429"/>
      <c r="N1658" s="429"/>
      <c r="O1658" s="429"/>
      <c r="P1658" s="429"/>
      <c r="Q1658" s="429"/>
      <c r="R1658" s="430" t="s">
        <v>1495</v>
      </c>
      <c r="S1658" s="430"/>
      <c r="T1658" s="431" t="str">
        <f>'BM MORRO DA CRUZ - VERTICAL'!$V$4</f>
        <v>01-10-26 A 31-10-26</v>
      </c>
      <c r="U1658" s="431"/>
      <c r="V1658" s="432" t="str">
        <f>IF('BM MORRO DA CRUZ - VERTICAL'!$BF$2="","",'BM MORRO DA CRUZ - VERTICAL'!$BF$2)</f>
        <v/>
      </c>
      <c r="W1658" s="432"/>
      <c r="X1658" s="150"/>
    </row>
    <row r="1659" spans="1:24" ht="24.75" customHeight="1" x14ac:dyDescent="0.45">
      <c r="B1659" s="151" t="s">
        <v>5</v>
      </c>
      <c r="C1659" s="152"/>
      <c r="D1659" s="152"/>
      <c r="E1659" s="152"/>
      <c r="F1659" s="152"/>
      <c r="G1659" s="152"/>
      <c r="H1659" s="152"/>
      <c r="I1659" s="152"/>
      <c r="J1659" s="152"/>
      <c r="K1659" s="152"/>
      <c r="L1659" s="152"/>
      <c r="M1659" s="152"/>
      <c r="N1659" s="152"/>
      <c r="O1659" s="152"/>
      <c r="P1659" s="153"/>
      <c r="Q1659" s="154"/>
      <c r="R1659" s="155"/>
      <c r="S1659" s="155"/>
      <c r="T1659" s="156" t="s">
        <v>1496</v>
      </c>
      <c r="U1659" s="157"/>
      <c r="V1659" s="158" t="s">
        <v>9</v>
      </c>
      <c r="W1659" s="159"/>
      <c r="X1659" s="433"/>
    </row>
    <row r="1660" spans="1:24" ht="24.75" customHeight="1" x14ac:dyDescent="0.45">
      <c r="B1660" s="17" t="s">
        <v>11</v>
      </c>
      <c r="C1660" s="160"/>
      <c r="D1660" s="160"/>
      <c r="E1660" s="160"/>
      <c r="F1660" s="160"/>
      <c r="G1660" s="160"/>
      <c r="H1660" s="160"/>
      <c r="I1660" s="160"/>
      <c r="J1660" s="160"/>
      <c r="K1660" s="160"/>
      <c r="L1660" s="160"/>
      <c r="M1660" s="160"/>
      <c r="N1660" s="160"/>
      <c r="O1660" s="160"/>
      <c r="P1660" s="161"/>
      <c r="Q1660" s="162"/>
      <c r="R1660" s="163"/>
      <c r="S1660" s="163"/>
      <c r="T1660" s="434" t="str">
        <f>'BM MORRO DA CRUZ - VERTICAL'!$V$2</f>
        <v>1ª MEDIÇÃO</v>
      </c>
      <c r="U1660" s="434"/>
      <c r="V1660" s="435" t="s">
        <v>13</v>
      </c>
      <c r="W1660" s="435"/>
      <c r="X1660" s="433"/>
    </row>
    <row r="1661" spans="1:24" ht="24.75" customHeight="1" x14ac:dyDescent="0.45">
      <c r="B1661" s="164" t="s">
        <v>1459</v>
      </c>
      <c r="C1661" s="165" t="s">
        <v>14</v>
      </c>
      <c r="D1661" s="165" t="s">
        <v>24</v>
      </c>
      <c r="E1661" s="165" t="s">
        <v>25</v>
      </c>
      <c r="F1661" s="166" t="s">
        <v>1461</v>
      </c>
      <c r="G1661" s="165"/>
      <c r="H1661" s="165"/>
      <c r="I1661" s="165"/>
      <c r="J1661" s="165"/>
      <c r="K1661" s="165"/>
      <c r="L1661" s="165"/>
      <c r="M1661" s="165"/>
      <c r="N1661" s="165"/>
      <c r="O1661" s="165"/>
      <c r="P1661" s="165"/>
      <c r="Q1661" s="165"/>
      <c r="R1661" s="165"/>
      <c r="S1661" s="165"/>
      <c r="T1661" s="165"/>
      <c r="U1661" s="165"/>
      <c r="V1661" s="165" t="s">
        <v>26</v>
      </c>
      <c r="W1661" s="167" t="s">
        <v>29</v>
      </c>
      <c r="X1661" s="168"/>
    </row>
    <row r="1662" spans="1:24" ht="24.75" customHeight="1" x14ac:dyDescent="0.45">
      <c r="B1662" s="169"/>
      <c r="C1662" s="170"/>
      <c r="D1662" s="170"/>
      <c r="E1662" s="170"/>
      <c r="F1662" s="170"/>
      <c r="G1662" s="170"/>
      <c r="H1662" s="170"/>
      <c r="I1662" s="170"/>
      <c r="J1662" s="170"/>
      <c r="K1662" s="170"/>
      <c r="L1662" s="170"/>
      <c r="M1662" s="170"/>
      <c r="N1662" s="170"/>
      <c r="O1662" s="170"/>
      <c r="P1662" s="170"/>
      <c r="Q1662" s="170"/>
      <c r="R1662" s="170"/>
      <c r="S1662" s="170"/>
      <c r="T1662" s="170"/>
      <c r="U1662" s="170"/>
      <c r="V1662" s="170"/>
      <c r="W1662" s="171"/>
      <c r="X1662" s="172"/>
    </row>
    <row r="1663" spans="1:24" ht="24.75" customHeight="1" x14ac:dyDescent="0.45">
      <c r="B1663" s="173" t="str">
        <f>IF($C$1663="","",IFERROR(INDEX('BM MORRO DA CRUZ - VERTICAL'!$C$6:$C$546,MATCH($C$1663,'BM MORRO DA CRUZ - VERTICAL'!$D$6:$D$546,0)),"CHAVE NÃO ENCONTRADA NO VERTICAL"))</f>
        <v/>
      </c>
      <c r="C1663" s="174"/>
      <c r="D1663" s="175" t="str">
        <f>IF($C$1663="","",IFERROR(INDEX('BM MORRO DA CRUZ - VERTICAL'!$O$6:$O$546,MATCH($C$1663,'BM MORRO DA CRUZ - VERTICAL'!$D$6:$D$546,0)),"CHAVE NÃO ENCONTRADA NO VERTICAL"))</f>
        <v/>
      </c>
      <c r="E1663" s="175" t="str">
        <f>IF($C$1663="","",IFERROR(INDEX('BM MORRO DA CRUZ - VERTICAL'!$P$6:$P$546,MATCH($C$1663,'BM MORRO DA CRUZ - VERTICAL'!$D$6:$D$546,0)),"CHAVE NÃO ENCONTRADA NO VERTICAL"))</f>
        <v/>
      </c>
      <c r="F1663" s="175" t="str">
        <f>IF($C$1663="","",IFERROR(INDEX('BM MORRO DA CRUZ - VERTICAL'!$Q$6:$Q$546,MATCH($C$1663,'BM MORRO DA CRUZ - VERTICAL'!$D$6:$D$546,0)),"CHAVE NÃO ENCONTRADA NO VERTICAL"))</f>
        <v/>
      </c>
      <c r="G1663" s="176"/>
      <c r="H1663" s="176"/>
      <c r="I1663" s="176"/>
      <c r="J1663" s="176"/>
      <c r="K1663" s="176"/>
      <c r="L1663" s="176"/>
      <c r="M1663" s="176"/>
      <c r="N1663" s="176"/>
      <c r="O1663" s="176"/>
      <c r="P1663" s="176"/>
      <c r="Q1663" s="176"/>
      <c r="R1663" s="176"/>
      <c r="S1663" s="176"/>
      <c r="T1663" s="176"/>
      <c r="U1663" s="176"/>
      <c r="V1663" s="177" t="str">
        <f>IF($C$1663="","",IFERROR(INDEX('BM MORRO DA CRUZ - VERTICAL'!$R$6:$R$546,MATCH($C$1663,'BM MORRO DA CRUZ - VERTICAL'!$D$6:$D$546,0)),"CHAVE NÃO ENCONTRADA NO VERTICAL"))</f>
        <v/>
      </c>
      <c r="W1663" s="178">
        <f>SUM($W1683:$W1748)</f>
        <v>0</v>
      </c>
      <c r="X1663" s="179"/>
    </row>
    <row r="1664" spans="1:24" ht="24.75" customHeight="1" x14ac:dyDescent="0.45">
      <c r="B1664" s="426" t="s">
        <v>1497</v>
      </c>
      <c r="C1664" s="426"/>
      <c r="D1664" s="426"/>
      <c r="E1664" s="426"/>
      <c r="F1664" s="426"/>
      <c r="G1664" s="426"/>
      <c r="H1664" s="426"/>
      <c r="I1664" s="426"/>
      <c r="J1664" s="426"/>
      <c r="K1664" s="426"/>
      <c r="L1664" s="426"/>
      <c r="M1664" s="426"/>
      <c r="N1664" s="426"/>
      <c r="O1664" s="426"/>
      <c r="P1664" s="426"/>
      <c r="Q1664" s="426"/>
      <c r="R1664" s="426"/>
      <c r="S1664" s="426"/>
      <c r="T1664" s="426"/>
      <c r="U1664" s="426"/>
      <c r="V1664" s="426"/>
      <c r="W1664" s="426"/>
      <c r="X1664" s="180" t="s">
        <v>1498</v>
      </c>
    </row>
    <row r="1665" spans="2:24" ht="14.25" customHeight="1" x14ac:dyDescent="0.45">
      <c r="B1665" s="181"/>
      <c r="C1665" s="182"/>
      <c r="D1665" s="182"/>
      <c r="E1665" s="182"/>
      <c r="F1665" s="182"/>
      <c r="G1665" s="182"/>
      <c r="H1665" s="182"/>
      <c r="I1665" s="182"/>
      <c r="J1665" s="182"/>
      <c r="K1665" s="182"/>
      <c r="L1665" s="182"/>
      <c r="M1665" s="182"/>
      <c r="N1665" s="182"/>
      <c r="O1665" s="182"/>
      <c r="P1665" s="182"/>
      <c r="Q1665" s="182"/>
      <c r="R1665" s="182"/>
      <c r="S1665" s="182"/>
      <c r="T1665" s="182"/>
      <c r="U1665" s="182"/>
      <c r="V1665" s="182"/>
      <c r="W1665" s="183"/>
      <c r="X1665" s="427"/>
    </row>
    <row r="1666" spans="2:24" x14ac:dyDescent="0.45">
      <c r="B1666" s="181"/>
      <c r="C1666" s="182"/>
      <c r="D1666" s="182"/>
      <c r="E1666" s="182"/>
      <c r="F1666" s="182"/>
      <c r="G1666" s="182"/>
      <c r="H1666" s="182"/>
      <c r="I1666" s="182"/>
      <c r="J1666" s="182"/>
      <c r="K1666" s="182"/>
      <c r="L1666" s="182"/>
      <c r="M1666" s="182"/>
      <c r="N1666" s="182"/>
      <c r="O1666" s="182"/>
      <c r="P1666" s="182"/>
      <c r="Q1666" s="182"/>
      <c r="R1666" s="182"/>
      <c r="S1666" s="182"/>
      <c r="T1666" s="182"/>
      <c r="U1666" s="182"/>
      <c r="V1666" s="182"/>
      <c r="W1666" s="183"/>
      <c r="X1666" s="427"/>
    </row>
    <row r="1667" spans="2:24" x14ac:dyDescent="0.45">
      <c r="B1667" s="181"/>
      <c r="C1667" s="182"/>
      <c r="D1667" s="182"/>
      <c r="E1667" s="182"/>
      <c r="F1667" s="182"/>
      <c r="G1667" s="182"/>
      <c r="H1667" s="182"/>
      <c r="I1667" s="182"/>
      <c r="J1667" s="182"/>
      <c r="K1667" s="182"/>
      <c r="L1667" s="182"/>
      <c r="M1667" s="182"/>
      <c r="N1667" s="182"/>
      <c r="O1667" s="182"/>
      <c r="P1667" s="182"/>
      <c r="Q1667" s="182"/>
      <c r="R1667" s="182"/>
      <c r="S1667" s="182"/>
      <c r="T1667" s="182"/>
      <c r="U1667" s="182"/>
      <c r="V1667" s="182"/>
      <c r="W1667" s="183"/>
      <c r="X1667" s="427"/>
    </row>
    <row r="1668" spans="2:24" x14ac:dyDescent="0.45">
      <c r="B1668" s="181"/>
      <c r="C1668" s="182"/>
      <c r="D1668" s="182"/>
      <c r="E1668" s="182"/>
      <c r="F1668" s="182"/>
      <c r="G1668" s="182"/>
      <c r="H1668" s="182"/>
      <c r="I1668" s="182"/>
      <c r="J1668" s="182"/>
      <c r="K1668" s="182"/>
      <c r="L1668" s="182"/>
      <c r="M1668" s="182"/>
      <c r="N1668" s="182"/>
      <c r="O1668" s="182"/>
      <c r="P1668" s="182"/>
      <c r="Q1668" s="182"/>
      <c r="R1668" s="182"/>
      <c r="S1668" s="182"/>
      <c r="T1668" s="182"/>
      <c r="U1668" s="182"/>
      <c r="V1668" s="182"/>
      <c r="W1668" s="183"/>
      <c r="X1668" s="427"/>
    </row>
    <row r="1669" spans="2:24" x14ac:dyDescent="0.45">
      <c r="B1669" s="181"/>
      <c r="C1669" s="182"/>
      <c r="D1669" s="182"/>
      <c r="E1669" s="182"/>
      <c r="F1669" s="182"/>
      <c r="G1669" s="182"/>
      <c r="H1669" s="182"/>
      <c r="I1669" s="182"/>
      <c r="J1669" s="182"/>
      <c r="K1669" s="182"/>
      <c r="L1669" s="182"/>
      <c r="M1669" s="182"/>
      <c r="N1669" s="182"/>
      <c r="O1669" s="182"/>
      <c r="P1669" s="182"/>
      <c r="Q1669" s="182"/>
      <c r="R1669" s="182"/>
      <c r="S1669" s="182"/>
      <c r="T1669" s="182"/>
      <c r="U1669" s="182"/>
      <c r="V1669" s="182"/>
      <c r="W1669" s="183"/>
      <c r="X1669" s="427"/>
    </row>
    <row r="1670" spans="2:24" x14ac:dyDescent="0.45">
      <c r="B1670" s="181"/>
      <c r="C1670" s="182"/>
      <c r="D1670" s="182"/>
      <c r="E1670" s="182"/>
      <c r="F1670" s="182"/>
      <c r="G1670" s="182"/>
      <c r="H1670" s="182"/>
      <c r="I1670" s="182"/>
      <c r="J1670" s="182"/>
      <c r="K1670" s="182"/>
      <c r="L1670" s="182"/>
      <c r="M1670" s="182"/>
      <c r="N1670" s="182"/>
      <c r="O1670" s="182"/>
      <c r="P1670" s="182"/>
      <c r="Q1670" s="182"/>
      <c r="R1670" s="182"/>
      <c r="S1670" s="182"/>
      <c r="T1670" s="182"/>
      <c r="U1670" s="182"/>
      <c r="V1670" s="182"/>
      <c r="W1670" s="183"/>
      <c r="X1670" s="427"/>
    </row>
    <row r="1671" spans="2:24" x14ac:dyDescent="0.45">
      <c r="B1671" s="181"/>
      <c r="C1671" s="182"/>
      <c r="D1671" s="182"/>
      <c r="E1671" s="182"/>
      <c r="F1671" s="182"/>
      <c r="G1671" s="182"/>
      <c r="H1671" s="182"/>
      <c r="I1671" s="182"/>
      <c r="J1671" s="182"/>
      <c r="K1671" s="182"/>
      <c r="L1671" s="182"/>
      <c r="M1671" s="182"/>
      <c r="N1671" s="182"/>
      <c r="O1671" s="182"/>
      <c r="P1671" s="182"/>
      <c r="Q1671" s="182"/>
      <c r="R1671" s="182"/>
      <c r="S1671" s="182"/>
      <c r="T1671" s="182"/>
      <c r="U1671" s="182"/>
      <c r="V1671" s="182"/>
      <c r="W1671" s="183"/>
      <c r="X1671" s="427"/>
    </row>
    <row r="1672" spans="2:24" x14ac:dyDescent="0.45">
      <c r="B1672" s="181"/>
      <c r="C1672" s="182"/>
      <c r="D1672" s="182"/>
      <c r="E1672" s="182"/>
      <c r="F1672" s="182"/>
      <c r="G1672" s="182"/>
      <c r="H1672" s="182"/>
      <c r="I1672" s="182"/>
      <c r="J1672" s="182"/>
      <c r="K1672" s="182"/>
      <c r="L1672" s="182"/>
      <c r="M1672" s="182"/>
      <c r="N1672" s="182"/>
      <c r="O1672" s="182"/>
      <c r="P1672" s="182"/>
      <c r="Q1672" s="182"/>
      <c r="R1672" s="182"/>
      <c r="S1672" s="182"/>
      <c r="T1672" s="182"/>
      <c r="U1672" s="182"/>
      <c r="V1672" s="182"/>
      <c r="W1672" s="183"/>
      <c r="X1672" s="427"/>
    </row>
    <row r="1673" spans="2:24" x14ac:dyDescent="0.45">
      <c r="B1673" s="181"/>
      <c r="C1673" s="182"/>
      <c r="D1673" s="182"/>
      <c r="E1673" s="182"/>
      <c r="F1673" s="182"/>
      <c r="G1673" s="182"/>
      <c r="H1673" s="182"/>
      <c r="I1673" s="182"/>
      <c r="J1673" s="182"/>
      <c r="K1673" s="182"/>
      <c r="L1673" s="182"/>
      <c r="M1673" s="182"/>
      <c r="N1673" s="182"/>
      <c r="O1673" s="182"/>
      <c r="P1673" s="182"/>
      <c r="Q1673" s="182"/>
      <c r="R1673" s="182"/>
      <c r="S1673" s="182"/>
      <c r="T1673" s="182"/>
      <c r="U1673" s="182"/>
      <c r="V1673" s="182"/>
      <c r="W1673" s="183"/>
      <c r="X1673" s="427"/>
    </row>
    <row r="1674" spans="2:24" x14ac:dyDescent="0.45">
      <c r="B1674" s="181"/>
      <c r="C1674" s="182"/>
      <c r="D1674" s="182"/>
      <c r="E1674" s="182"/>
      <c r="F1674" s="182"/>
      <c r="G1674" s="182"/>
      <c r="H1674" s="182"/>
      <c r="I1674" s="182"/>
      <c r="J1674" s="182"/>
      <c r="K1674" s="182"/>
      <c r="L1674" s="182"/>
      <c r="M1674" s="182"/>
      <c r="N1674" s="182"/>
      <c r="O1674" s="182"/>
      <c r="P1674" s="182"/>
      <c r="Q1674" s="182"/>
      <c r="R1674" s="182"/>
      <c r="S1674" s="182"/>
      <c r="T1674" s="182"/>
      <c r="U1674" s="182"/>
      <c r="V1674" s="182"/>
      <c r="W1674" s="183"/>
      <c r="X1674" s="427"/>
    </row>
    <row r="1675" spans="2:24" x14ac:dyDescent="0.45">
      <c r="B1675" s="181"/>
      <c r="C1675" s="182"/>
      <c r="D1675" s="182"/>
      <c r="E1675" s="182"/>
      <c r="F1675" s="182"/>
      <c r="G1675" s="182"/>
      <c r="H1675" s="182"/>
      <c r="I1675" s="182"/>
      <c r="J1675" s="182"/>
      <c r="K1675" s="182"/>
      <c r="L1675" s="182"/>
      <c r="M1675" s="182"/>
      <c r="N1675" s="182"/>
      <c r="O1675" s="182"/>
      <c r="P1675" s="182"/>
      <c r="Q1675" s="182"/>
      <c r="R1675" s="182"/>
      <c r="S1675" s="182"/>
      <c r="T1675" s="182"/>
      <c r="U1675" s="182"/>
      <c r="V1675" s="182"/>
      <c r="W1675" s="183"/>
      <c r="X1675" s="427"/>
    </row>
    <row r="1676" spans="2:24" x14ac:dyDescent="0.45">
      <c r="B1676" s="181"/>
      <c r="C1676" s="182"/>
      <c r="D1676" s="182"/>
      <c r="E1676" s="182"/>
      <c r="F1676" s="182"/>
      <c r="G1676" s="182"/>
      <c r="H1676" s="182"/>
      <c r="I1676" s="182"/>
      <c r="J1676" s="182"/>
      <c r="K1676" s="182"/>
      <c r="L1676" s="182"/>
      <c r="M1676" s="182"/>
      <c r="N1676" s="182"/>
      <c r="O1676" s="182"/>
      <c r="P1676" s="182"/>
      <c r="Q1676" s="182"/>
      <c r="R1676" s="182"/>
      <c r="S1676" s="182"/>
      <c r="T1676" s="182"/>
      <c r="U1676" s="182"/>
      <c r="V1676" s="182"/>
      <c r="W1676" s="183"/>
      <c r="X1676" s="427"/>
    </row>
    <row r="1677" spans="2:24" x14ac:dyDescent="0.45">
      <c r="B1677" s="181"/>
      <c r="C1677" s="182"/>
      <c r="D1677" s="182"/>
      <c r="E1677" s="182"/>
      <c r="F1677" s="182"/>
      <c r="G1677" s="182"/>
      <c r="H1677" s="182"/>
      <c r="I1677" s="182"/>
      <c r="J1677" s="182"/>
      <c r="K1677" s="182"/>
      <c r="L1677" s="182"/>
      <c r="M1677" s="182"/>
      <c r="N1677" s="182"/>
      <c r="O1677" s="182"/>
      <c r="P1677" s="182"/>
      <c r="Q1677" s="182"/>
      <c r="R1677" s="182"/>
      <c r="S1677" s="182"/>
      <c r="T1677" s="182"/>
      <c r="U1677" s="182"/>
      <c r="V1677" s="182"/>
      <c r="W1677" s="183"/>
      <c r="X1677" s="427"/>
    </row>
    <row r="1678" spans="2:24" x14ac:dyDescent="0.45">
      <c r="B1678" s="181"/>
      <c r="C1678" s="182"/>
      <c r="D1678" s="182"/>
      <c r="E1678" s="182"/>
      <c r="F1678" s="182"/>
      <c r="G1678" s="182"/>
      <c r="H1678" s="182"/>
      <c r="I1678" s="182"/>
      <c r="J1678" s="182"/>
      <c r="K1678" s="182"/>
      <c r="L1678" s="182"/>
      <c r="M1678" s="182"/>
      <c r="N1678" s="182"/>
      <c r="O1678" s="182"/>
      <c r="P1678" s="182"/>
      <c r="Q1678" s="182"/>
      <c r="R1678" s="182"/>
      <c r="S1678" s="182"/>
      <c r="T1678" s="182"/>
      <c r="U1678" s="182"/>
      <c r="V1678" s="182"/>
      <c r="W1678" s="183"/>
      <c r="X1678" s="427"/>
    </row>
    <row r="1679" spans="2:24" x14ac:dyDescent="0.45">
      <c r="B1679" s="181"/>
      <c r="C1679" s="182"/>
      <c r="D1679" s="182"/>
      <c r="E1679" s="182"/>
      <c r="F1679" s="182"/>
      <c r="G1679" s="182"/>
      <c r="H1679" s="182"/>
      <c r="I1679" s="182"/>
      <c r="J1679" s="182"/>
      <c r="K1679" s="182"/>
      <c r="L1679" s="182"/>
      <c r="M1679" s="182"/>
      <c r="N1679" s="182"/>
      <c r="O1679" s="182"/>
      <c r="P1679" s="182"/>
      <c r="Q1679" s="182"/>
      <c r="R1679" s="182"/>
      <c r="S1679" s="182"/>
      <c r="T1679" s="182"/>
      <c r="U1679" s="182"/>
      <c r="V1679" s="182"/>
      <c r="W1679" s="183"/>
      <c r="X1679" s="427"/>
    </row>
    <row r="1680" spans="2:24" x14ac:dyDescent="0.45">
      <c r="B1680" s="181"/>
      <c r="C1680" s="182"/>
      <c r="D1680" s="182"/>
      <c r="E1680" s="182"/>
      <c r="F1680" s="182"/>
      <c r="G1680" s="182"/>
      <c r="H1680" s="182"/>
      <c r="I1680" s="182"/>
      <c r="J1680" s="182"/>
      <c r="K1680" s="182"/>
      <c r="L1680" s="182"/>
      <c r="M1680" s="182"/>
      <c r="N1680" s="182"/>
      <c r="O1680" s="182"/>
      <c r="P1680" s="182"/>
      <c r="Q1680" s="182"/>
      <c r="R1680" s="182"/>
      <c r="S1680" s="182"/>
      <c r="T1680" s="182"/>
      <c r="U1680" s="182"/>
      <c r="V1680" s="182"/>
      <c r="W1680" s="183"/>
      <c r="X1680" s="427"/>
    </row>
    <row r="1681" spans="1:24" x14ac:dyDescent="0.45">
      <c r="B1681" s="184"/>
      <c r="C1681" s="185" t="s">
        <v>1499</v>
      </c>
      <c r="D1681" s="185"/>
      <c r="E1681" s="185"/>
      <c r="F1681" s="185"/>
      <c r="G1681" s="185"/>
      <c r="H1681" s="185"/>
      <c r="I1681" s="185"/>
      <c r="J1681" s="185"/>
      <c r="K1681" s="185"/>
      <c r="L1681" s="185"/>
      <c r="M1681" s="185"/>
      <c r="N1681" s="185"/>
      <c r="O1681" s="185"/>
      <c r="P1681" s="185"/>
      <c r="Q1681" s="185"/>
      <c r="R1681" s="185"/>
      <c r="S1681" s="185"/>
      <c r="T1681" s="185"/>
      <c r="U1681" s="185"/>
      <c r="V1681" s="185"/>
      <c r="W1681" s="186"/>
      <c r="X1681" s="187"/>
    </row>
    <row r="1682" spans="1:24" ht="26.65" x14ac:dyDescent="0.45">
      <c r="B1682" s="188" t="s">
        <v>1458</v>
      </c>
      <c r="C1682" s="185" t="s">
        <v>1459</v>
      </c>
      <c r="D1682" s="185"/>
      <c r="E1682" s="185" t="s">
        <v>1500</v>
      </c>
      <c r="F1682" s="185"/>
      <c r="G1682" s="185" t="s">
        <v>1501</v>
      </c>
      <c r="H1682" s="189" t="s">
        <v>1502</v>
      </c>
      <c r="I1682" s="185" t="s">
        <v>1503</v>
      </c>
      <c r="J1682" s="185" t="s">
        <v>1504</v>
      </c>
      <c r="K1682" s="189" t="s">
        <v>1505</v>
      </c>
      <c r="L1682" s="189" t="s">
        <v>1504</v>
      </c>
      <c r="M1682" s="189"/>
      <c r="N1682" s="189" t="s">
        <v>1506</v>
      </c>
      <c r="O1682" s="189"/>
      <c r="P1682" s="190"/>
      <c r="Q1682" s="189"/>
      <c r="R1682" s="189"/>
      <c r="S1682" s="189"/>
      <c r="T1682" s="189" t="s">
        <v>1507</v>
      </c>
      <c r="U1682" s="189" t="s">
        <v>27</v>
      </c>
      <c r="V1682" s="189" t="s">
        <v>26</v>
      </c>
      <c r="W1682" s="191" t="s">
        <v>1508</v>
      </c>
      <c r="X1682" s="192"/>
    </row>
    <row r="1683" spans="1:24" x14ac:dyDescent="0.45">
      <c r="A1683" s="193">
        <v>1</v>
      </c>
      <c r="B1683" s="194" t="str">
        <f t="shared" ref="B1683:B1714" si="270">IF(OR($C$1663="",U1683=""),"",LEFT($C$1663,FIND("_",$C$1663)-1))</f>
        <v/>
      </c>
      <c r="C1683" s="170" t="str">
        <f t="shared" ref="C1683:C1714" si="271">IF(OR($C$1663="",U1683=""),"",$B$1663)</f>
        <v/>
      </c>
      <c r="D1683" s="170"/>
      <c r="E1683" s="195"/>
      <c r="F1683" s="195"/>
      <c r="G1683" s="196"/>
      <c r="H1683" s="197"/>
      <c r="I1683" s="197"/>
      <c r="J1683" s="197"/>
      <c r="K1683" s="197"/>
      <c r="L1683" s="197"/>
      <c r="M1683" s="198"/>
      <c r="N1683" s="198"/>
      <c r="O1683" s="198"/>
      <c r="P1683" s="199"/>
      <c r="Q1683" s="200"/>
      <c r="R1683" s="200"/>
      <c r="S1683" s="200"/>
      <c r="T1683" s="200" t="str">
        <f t="shared" ref="T1683:T1714" si="272">IF(K1683="","",((K1683*20)+L1683)-((I1683*20)+J1683))</f>
        <v/>
      </c>
      <c r="U1683" s="200"/>
      <c r="V1683" s="201" t="str">
        <f t="shared" ref="V1683:V1714" si="273">IF(U1683="","",$V$1663)</f>
        <v/>
      </c>
      <c r="W1683" s="202">
        <f t="shared" ref="W1683:W1714" si="274">IF(OR(T1683="",U1683=""),0,T1683*U1683)</f>
        <v>0</v>
      </c>
      <c r="X1683" s="172"/>
    </row>
    <row r="1684" spans="1:24" x14ac:dyDescent="0.45">
      <c r="A1684" s="193">
        <v>2</v>
      </c>
      <c r="B1684" s="194" t="str">
        <f t="shared" si="270"/>
        <v/>
      </c>
      <c r="C1684" s="170" t="str">
        <f t="shared" si="271"/>
        <v/>
      </c>
      <c r="D1684" s="170"/>
      <c r="E1684" s="195"/>
      <c r="F1684" s="195"/>
      <c r="G1684" s="196"/>
      <c r="H1684" s="197"/>
      <c r="I1684" s="197" t="str">
        <f t="shared" ref="I1684:I1715" si="275">IF(K1683="","",K1683)</f>
        <v/>
      </c>
      <c r="J1684" s="197" t="str">
        <f t="shared" ref="J1684:J1715" si="276">IF(L1683="","",L1683)</f>
        <v/>
      </c>
      <c r="K1684" s="197"/>
      <c r="L1684" s="197"/>
      <c r="M1684" s="198"/>
      <c r="N1684" s="198"/>
      <c r="O1684" s="198"/>
      <c r="P1684" s="199"/>
      <c r="Q1684" s="200"/>
      <c r="R1684" s="200"/>
      <c r="S1684" s="200"/>
      <c r="T1684" s="200" t="str">
        <f t="shared" si="272"/>
        <v/>
      </c>
      <c r="U1684" s="200"/>
      <c r="V1684" s="201" t="str">
        <f t="shared" si="273"/>
        <v/>
      </c>
      <c r="W1684" s="202">
        <f t="shared" si="274"/>
        <v>0</v>
      </c>
      <c r="X1684" s="172"/>
    </row>
    <row r="1685" spans="1:24" x14ac:dyDescent="0.45">
      <c r="A1685" s="193">
        <v>3</v>
      </c>
      <c r="B1685" s="194" t="str">
        <f t="shared" si="270"/>
        <v/>
      </c>
      <c r="C1685" s="170" t="str">
        <f t="shared" si="271"/>
        <v/>
      </c>
      <c r="D1685" s="170"/>
      <c r="E1685" s="195"/>
      <c r="F1685" s="195"/>
      <c r="G1685" s="196"/>
      <c r="H1685" s="197"/>
      <c r="I1685" s="197" t="str">
        <f t="shared" si="275"/>
        <v/>
      </c>
      <c r="J1685" s="197" t="str">
        <f t="shared" si="276"/>
        <v/>
      </c>
      <c r="K1685" s="197"/>
      <c r="L1685" s="197"/>
      <c r="M1685" s="198"/>
      <c r="N1685" s="198"/>
      <c r="O1685" s="198"/>
      <c r="P1685" s="199"/>
      <c r="Q1685" s="200"/>
      <c r="R1685" s="200"/>
      <c r="S1685" s="200"/>
      <c r="T1685" s="200" t="str">
        <f t="shared" si="272"/>
        <v/>
      </c>
      <c r="U1685" s="200"/>
      <c r="V1685" s="201" t="str">
        <f t="shared" si="273"/>
        <v/>
      </c>
      <c r="W1685" s="202">
        <f t="shared" si="274"/>
        <v>0</v>
      </c>
      <c r="X1685" s="172"/>
    </row>
    <row r="1686" spans="1:24" x14ac:dyDescent="0.45">
      <c r="A1686" s="193">
        <v>4</v>
      </c>
      <c r="B1686" s="194" t="str">
        <f t="shared" si="270"/>
        <v/>
      </c>
      <c r="C1686" s="170" t="str">
        <f t="shared" si="271"/>
        <v/>
      </c>
      <c r="D1686" s="170"/>
      <c r="E1686" s="195"/>
      <c r="F1686" s="195"/>
      <c r="G1686" s="196"/>
      <c r="H1686" s="197"/>
      <c r="I1686" s="197" t="str">
        <f t="shared" si="275"/>
        <v/>
      </c>
      <c r="J1686" s="197" t="str">
        <f t="shared" si="276"/>
        <v/>
      </c>
      <c r="K1686" s="197"/>
      <c r="L1686" s="197"/>
      <c r="M1686" s="198"/>
      <c r="N1686" s="198"/>
      <c r="O1686" s="198"/>
      <c r="P1686" s="199"/>
      <c r="Q1686" s="200"/>
      <c r="R1686" s="200"/>
      <c r="S1686" s="200"/>
      <c r="T1686" s="200" t="str">
        <f t="shared" si="272"/>
        <v/>
      </c>
      <c r="U1686" s="200"/>
      <c r="V1686" s="201" t="str">
        <f t="shared" si="273"/>
        <v/>
      </c>
      <c r="W1686" s="202">
        <f t="shared" si="274"/>
        <v>0</v>
      </c>
      <c r="X1686" s="172"/>
    </row>
    <row r="1687" spans="1:24" x14ac:dyDescent="0.45">
      <c r="A1687" s="193">
        <v>5</v>
      </c>
      <c r="B1687" s="194" t="str">
        <f t="shared" si="270"/>
        <v/>
      </c>
      <c r="C1687" s="170" t="str">
        <f t="shared" si="271"/>
        <v/>
      </c>
      <c r="D1687" s="170"/>
      <c r="E1687" s="195"/>
      <c r="F1687" s="195"/>
      <c r="G1687" s="196"/>
      <c r="H1687" s="197"/>
      <c r="I1687" s="197" t="str">
        <f t="shared" si="275"/>
        <v/>
      </c>
      <c r="J1687" s="197" t="str">
        <f t="shared" si="276"/>
        <v/>
      </c>
      <c r="K1687" s="197"/>
      <c r="L1687" s="197"/>
      <c r="M1687" s="198"/>
      <c r="N1687" s="198"/>
      <c r="O1687" s="198"/>
      <c r="P1687" s="199"/>
      <c r="Q1687" s="200"/>
      <c r="R1687" s="200"/>
      <c r="S1687" s="200"/>
      <c r="T1687" s="200" t="str">
        <f t="shared" si="272"/>
        <v/>
      </c>
      <c r="U1687" s="200"/>
      <c r="V1687" s="201" t="str">
        <f t="shared" si="273"/>
        <v/>
      </c>
      <c r="W1687" s="202">
        <f t="shared" si="274"/>
        <v>0</v>
      </c>
      <c r="X1687" s="172"/>
    </row>
    <row r="1688" spans="1:24" x14ac:dyDescent="0.45">
      <c r="A1688" s="193">
        <v>6</v>
      </c>
      <c r="B1688" s="194" t="str">
        <f t="shared" si="270"/>
        <v/>
      </c>
      <c r="C1688" s="170" t="str">
        <f t="shared" si="271"/>
        <v/>
      </c>
      <c r="D1688" s="170"/>
      <c r="E1688" s="195"/>
      <c r="F1688" s="195"/>
      <c r="G1688" s="196"/>
      <c r="H1688" s="197"/>
      <c r="I1688" s="197" t="str">
        <f t="shared" si="275"/>
        <v/>
      </c>
      <c r="J1688" s="197" t="str">
        <f t="shared" si="276"/>
        <v/>
      </c>
      <c r="K1688" s="197"/>
      <c r="L1688" s="197"/>
      <c r="M1688" s="198"/>
      <c r="N1688" s="198"/>
      <c r="O1688" s="198"/>
      <c r="P1688" s="199"/>
      <c r="Q1688" s="200"/>
      <c r="R1688" s="200"/>
      <c r="S1688" s="200"/>
      <c r="T1688" s="200" t="str">
        <f t="shared" si="272"/>
        <v/>
      </c>
      <c r="U1688" s="200"/>
      <c r="V1688" s="201" t="str">
        <f t="shared" si="273"/>
        <v/>
      </c>
      <c r="W1688" s="202">
        <f t="shared" si="274"/>
        <v>0</v>
      </c>
      <c r="X1688" s="172"/>
    </row>
    <row r="1689" spans="1:24" x14ac:dyDescent="0.45">
      <c r="A1689" s="193">
        <v>7</v>
      </c>
      <c r="B1689" s="194" t="str">
        <f t="shared" si="270"/>
        <v/>
      </c>
      <c r="C1689" s="170" t="str">
        <f t="shared" si="271"/>
        <v/>
      </c>
      <c r="D1689" s="170"/>
      <c r="E1689" s="195"/>
      <c r="F1689" s="195"/>
      <c r="G1689" s="196"/>
      <c r="H1689" s="197"/>
      <c r="I1689" s="197" t="str">
        <f t="shared" si="275"/>
        <v/>
      </c>
      <c r="J1689" s="197" t="str">
        <f t="shared" si="276"/>
        <v/>
      </c>
      <c r="K1689" s="197"/>
      <c r="L1689" s="197"/>
      <c r="M1689" s="198"/>
      <c r="N1689" s="198"/>
      <c r="O1689" s="198"/>
      <c r="P1689" s="199"/>
      <c r="Q1689" s="200"/>
      <c r="R1689" s="200"/>
      <c r="S1689" s="200"/>
      <c r="T1689" s="200" t="str">
        <f t="shared" si="272"/>
        <v/>
      </c>
      <c r="U1689" s="200"/>
      <c r="V1689" s="201" t="str">
        <f t="shared" si="273"/>
        <v/>
      </c>
      <c r="W1689" s="202">
        <f t="shared" si="274"/>
        <v>0</v>
      </c>
      <c r="X1689" s="172"/>
    </row>
    <row r="1690" spans="1:24" x14ac:dyDescent="0.45">
      <c r="A1690" s="193">
        <v>8</v>
      </c>
      <c r="B1690" s="194" t="str">
        <f t="shared" si="270"/>
        <v/>
      </c>
      <c r="C1690" s="170" t="str">
        <f t="shared" si="271"/>
        <v/>
      </c>
      <c r="D1690" s="170"/>
      <c r="E1690" s="195"/>
      <c r="F1690" s="195"/>
      <c r="G1690" s="196"/>
      <c r="H1690" s="197"/>
      <c r="I1690" s="197" t="str">
        <f t="shared" si="275"/>
        <v/>
      </c>
      <c r="J1690" s="197" t="str">
        <f t="shared" si="276"/>
        <v/>
      </c>
      <c r="K1690" s="197"/>
      <c r="L1690" s="197"/>
      <c r="M1690" s="198"/>
      <c r="N1690" s="198"/>
      <c r="O1690" s="198"/>
      <c r="P1690" s="199"/>
      <c r="Q1690" s="200"/>
      <c r="R1690" s="200"/>
      <c r="S1690" s="200"/>
      <c r="T1690" s="200" t="str">
        <f t="shared" si="272"/>
        <v/>
      </c>
      <c r="U1690" s="200"/>
      <c r="V1690" s="201" t="str">
        <f t="shared" si="273"/>
        <v/>
      </c>
      <c r="W1690" s="202">
        <f t="shared" si="274"/>
        <v>0</v>
      </c>
      <c r="X1690" s="172"/>
    </row>
    <row r="1691" spans="1:24" x14ac:dyDescent="0.45">
      <c r="A1691" s="193">
        <v>9</v>
      </c>
      <c r="B1691" s="194" t="str">
        <f t="shared" si="270"/>
        <v/>
      </c>
      <c r="C1691" s="170" t="str">
        <f t="shared" si="271"/>
        <v/>
      </c>
      <c r="D1691" s="170"/>
      <c r="E1691" s="195"/>
      <c r="F1691" s="195"/>
      <c r="G1691" s="196"/>
      <c r="H1691" s="197"/>
      <c r="I1691" s="197" t="str">
        <f t="shared" si="275"/>
        <v/>
      </c>
      <c r="J1691" s="197" t="str">
        <f t="shared" si="276"/>
        <v/>
      </c>
      <c r="K1691" s="197"/>
      <c r="L1691" s="197"/>
      <c r="M1691" s="198"/>
      <c r="N1691" s="198"/>
      <c r="O1691" s="198"/>
      <c r="P1691" s="199"/>
      <c r="Q1691" s="200"/>
      <c r="R1691" s="200"/>
      <c r="S1691" s="200"/>
      <c r="T1691" s="200" t="str">
        <f t="shared" si="272"/>
        <v/>
      </c>
      <c r="U1691" s="200"/>
      <c r="V1691" s="201" t="str">
        <f t="shared" si="273"/>
        <v/>
      </c>
      <c r="W1691" s="202">
        <f t="shared" si="274"/>
        <v>0</v>
      </c>
      <c r="X1691" s="172"/>
    </row>
    <row r="1692" spans="1:24" x14ac:dyDescent="0.45">
      <c r="A1692" s="193">
        <v>10</v>
      </c>
      <c r="B1692" s="194" t="str">
        <f t="shared" si="270"/>
        <v/>
      </c>
      <c r="C1692" s="170" t="str">
        <f t="shared" si="271"/>
        <v/>
      </c>
      <c r="D1692" s="170"/>
      <c r="E1692" s="195"/>
      <c r="F1692" s="195"/>
      <c r="G1692" s="196"/>
      <c r="H1692" s="197"/>
      <c r="I1692" s="197" t="str">
        <f t="shared" si="275"/>
        <v/>
      </c>
      <c r="J1692" s="197" t="str">
        <f t="shared" si="276"/>
        <v/>
      </c>
      <c r="K1692" s="197"/>
      <c r="L1692" s="197"/>
      <c r="M1692" s="198"/>
      <c r="N1692" s="198"/>
      <c r="O1692" s="198"/>
      <c r="P1692" s="199"/>
      <c r="Q1692" s="200"/>
      <c r="R1692" s="200"/>
      <c r="S1692" s="200"/>
      <c r="T1692" s="200" t="str">
        <f t="shared" si="272"/>
        <v/>
      </c>
      <c r="U1692" s="200"/>
      <c r="V1692" s="201" t="str">
        <f t="shared" si="273"/>
        <v/>
      </c>
      <c r="W1692" s="202">
        <f t="shared" si="274"/>
        <v>0</v>
      </c>
      <c r="X1692" s="172"/>
    </row>
    <row r="1693" spans="1:24" x14ac:dyDescent="0.45">
      <c r="A1693" s="193">
        <v>11</v>
      </c>
      <c r="B1693" s="194" t="str">
        <f t="shared" si="270"/>
        <v/>
      </c>
      <c r="C1693" s="170" t="str">
        <f t="shared" si="271"/>
        <v/>
      </c>
      <c r="D1693" s="170"/>
      <c r="E1693" s="195"/>
      <c r="F1693" s="195"/>
      <c r="G1693" s="196"/>
      <c r="H1693" s="197"/>
      <c r="I1693" s="197" t="str">
        <f t="shared" si="275"/>
        <v/>
      </c>
      <c r="J1693" s="197" t="str">
        <f t="shared" si="276"/>
        <v/>
      </c>
      <c r="K1693" s="197"/>
      <c r="L1693" s="197"/>
      <c r="M1693" s="198"/>
      <c r="N1693" s="198"/>
      <c r="O1693" s="198"/>
      <c r="P1693" s="199"/>
      <c r="Q1693" s="200"/>
      <c r="R1693" s="200"/>
      <c r="S1693" s="200"/>
      <c r="T1693" s="200" t="str">
        <f t="shared" si="272"/>
        <v/>
      </c>
      <c r="U1693" s="200"/>
      <c r="V1693" s="201" t="str">
        <f t="shared" si="273"/>
        <v/>
      </c>
      <c r="W1693" s="202">
        <f t="shared" si="274"/>
        <v>0</v>
      </c>
      <c r="X1693" s="172"/>
    </row>
    <row r="1694" spans="1:24" x14ac:dyDescent="0.45">
      <c r="A1694" s="193">
        <v>12</v>
      </c>
      <c r="B1694" s="194" t="str">
        <f t="shared" si="270"/>
        <v/>
      </c>
      <c r="C1694" s="170" t="str">
        <f t="shared" si="271"/>
        <v/>
      </c>
      <c r="D1694" s="170"/>
      <c r="E1694" s="195"/>
      <c r="F1694" s="195"/>
      <c r="G1694" s="196"/>
      <c r="H1694" s="197"/>
      <c r="I1694" s="197" t="str">
        <f t="shared" si="275"/>
        <v/>
      </c>
      <c r="J1694" s="197" t="str">
        <f t="shared" si="276"/>
        <v/>
      </c>
      <c r="K1694" s="197"/>
      <c r="L1694" s="197"/>
      <c r="M1694" s="198"/>
      <c r="N1694" s="198"/>
      <c r="O1694" s="198"/>
      <c r="P1694" s="199"/>
      <c r="Q1694" s="200"/>
      <c r="R1694" s="200"/>
      <c r="S1694" s="200"/>
      <c r="T1694" s="200" t="str">
        <f t="shared" si="272"/>
        <v/>
      </c>
      <c r="U1694" s="200"/>
      <c r="V1694" s="201" t="str">
        <f t="shared" si="273"/>
        <v/>
      </c>
      <c r="W1694" s="202">
        <f t="shared" si="274"/>
        <v>0</v>
      </c>
      <c r="X1694" s="172"/>
    </row>
    <row r="1695" spans="1:24" x14ac:dyDescent="0.45">
      <c r="A1695" s="193">
        <v>13</v>
      </c>
      <c r="B1695" s="194" t="str">
        <f t="shared" si="270"/>
        <v/>
      </c>
      <c r="C1695" s="170" t="str">
        <f t="shared" si="271"/>
        <v/>
      </c>
      <c r="D1695" s="170"/>
      <c r="E1695" s="195"/>
      <c r="F1695" s="195"/>
      <c r="G1695" s="196"/>
      <c r="H1695" s="197"/>
      <c r="I1695" s="197" t="str">
        <f t="shared" si="275"/>
        <v/>
      </c>
      <c r="J1695" s="197" t="str">
        <f t="shared" si="276"/>
        <v/>
      </c>
      <c r="K1695" s="197"/>
      <c r="L1695" s="197"/>
      <c r="M1695" s="198"/>
      <c r="N1695" s="198"/>
      <c r="O1695" s="198"/>
      <c r="P1695" s="199"/>
      <c r="Q1695" s="200"/>
      <c r="R1695" s="200"/>
      <c r="S1695" s="200"/>
      <c r="T1695" s="200" t="str">
        <f t="shared" si="272"/>
        <v/>
      </c>
      <c r="U1695" s="200"/>
      <c r="V1695" s="201" t="str">
        <f t="shared" si="273"/>
        <v/>
      </c>
      <c r="W1695" s="202">
        <f t="shared" si="274"/>
        <v>0</v>
      </c>
      <c r="X1695" s="172"/>
    </row>
    <row r="1696" spans="1:24" x14ac:dyDescent="0.45">
      <c r="A1696" s="193">
        <v>14</v>
      </c>
      <c r="B1696" s="194" t="str">
        <f t="shared" si="270"/>
        <v/>
      </c>
      <c r="C1696" s="170" t="str">
        <f t="shared" si="271"/>
        <v/>
      </c>
      <c r="D1696" s="170"/>
      <c r="E1696" s="195"/>
      <c r="F1696" s="195"/>
      <c r="G1696" s="196"/>
      <c r="H1696" s="197"/>
      <c r="I1696" s="197" t="str">
        <f t="shared" si="275"/>
        <v/>
      </c>
      <c r="J1696" s="197" t="str">
        <f t="shared" si="276"/>
        <v/>
      </c>
      <c r="K1696" s="197"/>
      <c r="L1696" s="197"/>
      <c r="M1696" s="198"/>
      <c r="N1696" s="198"/>
      <c r="O1696" s="198"/>
      <c r="P1696" s="199"/>
      <c r="Q1696" s="200"/>
      <c r="R1696" s="200"/>
      <c r="S1696" s="200"/>
      <c r="T1696" s="200" t="str">
        <f t="shared" si="272"/>
        <v/>
      </c>
      <c r="U1696" s="200"/>
      <c r="V1696" s="201" t="str">
        <f t="shared" si="273"/>
        <v/>
      </c>
      <c r="W1696" s="202">
        <f t="shared" si="274"/>
        <v>0</v>
      </c>
      <c r="X1696" s="172"/>
    </row>
    <row r="1697" spans="1:24" x14ac:dyDescent="0.45">
      <c r="A1697" s="193">
        <v>15</v>
      </c>
      <c r="B1697" s="194" t="str">
        <f t="shared" si="270"/>
        <v/>
      </c>
      <c r="C1697" s="170" t="str">
        <f t="shared" si="271"/>
        <v/>
      </c>
      <c r="D1697" s="170"/>
      <c r="E1697" s="195"/>
      <c r="F1697" s="195"/>
      <c r="G1697" s="196"/>
      <c r="H1697" s="197"/>
      <c r="I1697" s="197" t="str">
        <f t="shared" si="275"/>
        <v/>
      </c>
      <c r="J1697" s="197" t="str">
        <f t="shared" si="276"/>
        <v/>
      </c>
      <c r="K1697" s="197"/>
      <c r="L1697" s="197"/>
      <c r="M1697" s="198"/>
      <c r="N1697" s="198"/>
      <c r="O1697" s="198"/>
      <c r="P1697" s="199"/>
      <c r="Q1697" s="200"/>
      <c r="R1697" s="200"/>
      <c r="S1697" s="200"/>
      <c r="T1697" s="200" t="str">
        <f t="shared" si="272"/>
        <v/>
      </c>
      <c r="U1697" s="200"/>
      <c r="V1697" s="201" t="str">
        <f t="shared" si="273"/>
        <v/>
      </c>
      <c r="W1697" s="202">
        <f t="shared" si="274"/>
        <v>0</v>
      </c>
      <c r="X1697" s="172"/>
    </row>
    <row r="1698" spans="1:24" x14ac:dyDescent="0.45">
      <c r="A1698" s="193">
        <v>16</v>
      </c>
      <c r="B1698" s="194" t="str">
        <f t="shared" si="270"/>
        <v/>
      </c>
      <c r="C1698" s="170" t="str">
        <f t="shared" si="271"/>
        <v/>
      </c>
      <c r="D1698" s="170"/>
      <c r="E1698" s="195"/>
      <c r="F1698" s="195"/>
      <c r="G1698" s="196"/>
      <c r="H1698" s="197"/>
      <c r="I1698" s="197" t="str">
        <f t="shared" si="275"/>
        <v/>
      </c>
      <c r="J1698" s="197" t="str">
        <f t="shared" si="276"/>
        <v/>
      </c>
      <c r="K1698" s="197"/>
      <c r="L1698" s="197"/>
      <c r="M1698" s="198"/>
      <c r="N1698" s="198"/>
      <c r="O1698" s="198"/>
      <c r="P1698" s="199"/>
      <c r="Q1698" s="200"/>
      <c r="R1698" s="200"/>
      <c r="S1698" s="200"/>
      <c r="T1698" s="200" t="str">
        <f t="shared" si="272"/>
        <v/>
      </c>
      <c r="U1698" s="200"/>
      <c r="V1698" s="201" t="str">
        <f t="shared" si="273"/>
        <v/>
      </c>
      <c r="W1698" s="202">
        <f t="shared" si="274"/>
        <v>0</v>
      </c>
      <c r="X1698" s="172"/>
    </row>
    <row r="1699" spans="1:24" x14ac:dyDescent="0.45">
      <c r="A1699" s="193">
        <v>17</v>
      </c>
      <c r="B1699" s="194" t="str">
        <f t="shared" si="270"/>
        <v/>
      </c>
      <c r="C1699" s="170" t="str">
        <f t="shared" si="271"/>
        <v/>
      </c>
      <c r="D1699" s="170"/>
      <c r="E1699" s="195"/>
      <c r="F1699" s="195"/>
      <c r="G1699" s="196"/>
      <c r="H1699" s="197"/>
      <c r="I1699" s="197" t="str">
        <f t="shared" si="275"/>
        <v/>
      </c>
      <c r="J1699" s="197" t="str">
        <f t="shared" si="276"/>
        <v/>
      </c>
      <c r="K1699" s="197"/>
      <c r="L1699" s="197"/>
      <c r="M1699" s="198"/>
      <c r="N1699" s="198"/>
      <c r="O1699" s="198"/>
      <c r="P1699" s="199"/>
      <c r="Q1699" s="200"/>
      <c r="R1699" s="200"/>
      <c r="S1699" s="200"/>
      <c r="T1699" s="200" t="str">
        <f t="shared" si="272"/>
        <v/>
      </c>
      <c r="U1699" s="200"/>
      <c r="V1699" s="201" t="str">
        <f t="shared" si="273"/>
        <v/>
      </c>
      <c r="W1699" s="202">
        <f t="shared" si="274"/>
        <v>0</v>
      </c>
      <c r="X1699" s="172"/>
    </row>
    <row r="1700" spans="1:24" x14ac:dyDescent="0.45">
      <c r="A1700" s="193">
        <v>18</v>
      </c>
      <c r="B1700" s="194" t="str">
        <f t="shared" si="270"/>
        <v/>
      </c>
      <c r="C1700" s="170" t="str">
        <f t="shared" si="271"/>
        <v/>
      </c>
      <c r="D1700" s="170"/>
      <c r="E1700" s="195"/>
      <c r="F1700" s="195"/>
      <c r="G1700" s="196"/>
      <c r="H1700" s="197"/>
      <c r="I1700" s="197" t="str">
        <f t="shared" si="275"/>
        <v/>
      </c>
      <c r="J1700" s="197" t="str">
        <f t="shared" si="276"/>
        <v/>
      </c>
      <c r="K1700" s="197"/>
      <c r="L1700" s="197"/>
      <c r="M1700" s="198"/>
      <c r="N1700" s="198"/>
      <c r="O1700" s="198"/>
      <c r="P1700" s="199"/>
      <c r="Q1700" s="200"/>
      <c r="R1700" s="200"/>
      <c r="S1700" s="200"/>
      <c r="T1700" s="200" t="str">
        <f t="shared" si="272"/>
        <v/>
      </c>
      <c r="U1700" s="200"/>
      <c r="V1700" s="201" t="str">
        <f t="shared" si="273"/>
        <v/>
      </c>
      <c r="W1700" s="202">
        <f t="shared" si="274"/>
        <v>0</v>
      </c>
      <c r="X1700" s="172"/>
    </row>
    <row r="1701" spans="1:24" x14ac:dyDescent="0.45">
      <c r="A1701" s="193">
        <v>19</v>
      </c>
      <c r="B1701" s="194" t="str">
        <f t="shared" si="270"/>
        <v/>
      </c>
      <c r="C1701" s="170" t="str">
        <f t="shared" si="271"/>
        <v/>
      </c>
      <c r="D1701" s="170"/>
      <c r="E1701" s="195"/>
      <c r="F1701" s="195"/>
      <c r="G1701" s="196"/>
      <c r="H1701" s="197"/>
      <c r="I1701" s="197" t="str">
        <f t="shared" si="275"/>
        <v/>
      </c>
      <c r="J1701" s="197" t="str">
        <f t="shared" si="276"/>
        <v/>
      </c>
      <c r="K1701" s="197"/>
      <c r="L1701" s="197"/>
      <c r="M1701" s="198"/>
      <c r="N1701" s="198"/>
      <c r="O1701" s="198"/>
      <c r="P1701" s="199"/>
      <c r="Q1701" s="200"/>
      <c r="R1701" s="200"/>
      <c r="S1701" s="200"/>
      <c r="T1701" s="200" t="str">
        <f t="shared" si="272"/>
        <v/>
      </c>
      <c r="U1701" s="200"/>
      <c r="V1701" s="201" t="str">
        <f t="shared" si="273"/>
        <v/>
      </c>
      <c r="W1701" s="202">
        <f t="shared" si="274"/>
        <v>0</v>
      </c>
      <c r="X1701" s="172"/>
    </row>
    <row r="1702" spans="1:24" x14ac:dyDescent="0.45">
      <c r="A1702" s="193">
        <v>20</v>
      </c>
      <c r="B1702" s="194" t="str">
        <f t="shared" si="270"/>
        <v/>
      </c>
      <c r="C1702" s="170" t="str">
        <f t="shared" si="271"/>
        <v/>
      </c>
      <c r="D1702" s="170"/>
      <c r="E1702" s="195"/>
      <c r="F1702" s="195"/>
      <c r="G1702" s="196"/>
      <c r="H1702" s="197"/>
      <c r="I1702" s="197" t="str">
        <f t="shared" si="275"/>
        <v/>
      </c>
      <c r="J1702" s="197" t="str">
        <f t="shared" si="276"/>
        <v/>
      </c>
      <c r="K1702" s="197"/>
      <c r="L1702" s="197"/>
      <c r="M1702" s="198"/>
      <c r="N1702" s="198"/>
      <c r="O1702" s="198"/>
      <c r="P1702" s="199"/>
      <c r="Q1702" s="200"/>
      <c r="R1702" s="200"/>
      <c r="S1702" s="200"/>
      <c r="T1702" s="200" t="str">
        <f t="shared" si="272"/>
        <v/>
      </c>
      <c r="U1702" s="200"/>
      <c r="V1702" s="201" t="str">
        <f t="shared" si="273"/>
        <v/>
      </c>
      <c r="W1702" s="202">
        <f t="shared" si="274"/>
        <v>0</v>
      </c>
      <c r="X1702" s="172"/>
    </row>
    <row r="1703" spans="1:24" x14ac:dyDescent="0.45">
      <c r="A1703" s="193">
        <v>21</v>
      </c>
      <c r="B1703" s="194" t="str">
        <f t="shared" si="270"/>
        <v/>
      </c>
      <c r="C1703" s="170" t="str">
        <f t="shared" si="271"/>
        <v/>
      </c>
      <c r="D1703" s="170"/>
      <c r="E1703" s="195"/>
      <c r="F1703" s="195"/>
      <c r="G1703" s="196"/>
      <c r="H1703" s="197"/>
      <c r="I1703" s="197" t="str">
        <f t="shared" si="275"/>
        <v/>
      </c>
      <c r="J1703" s="197" t="str">
        <f t="shared" si="276"/>
        <v/>
      </c>
      <c r="K1703" s="197"/>
      <c r="L1703" s="197"/>
      <c r="M1703" s="198"/>
      <c r="N1703" s="198"/>
      <c r="O1703" s="198"/>
      <c r="P1703" s="199"/>
      <c r="Q1703" s="200"/>
      <c r="R1703" s="200"/>
      <c r="S1703" s="200"/>
      <c r="T1703" s="200" t="str">
        <f t="shared" si="272"/>
        <v/>
      </c>
      <c r="U1703" s="200"/>
      <c r="V1703" s="201" t="str">
        <f t="shared" si="273"/>
        <v/>
      </c>
      <c r="W1703" s="202">
        <f t="shared" si="274"/>
        <v>0</v>
      </c>
      <c r="X1703" s="172"/>
    </row>
    <row r="1704" spans="1:24" x14ac:dyDescent="0.45">
      <c r="A1704" s="193">
        <v>22</v>
      </c>
      <c r="B1704" s="194" t="str">
        <f t="shared" si="270"/>
        <v/>
      </c>
      <c r="C1704" s="170" t="str">
        <f t="shared" si="271"/>
        <v/>
      </c>
      <c r="D1704" s="170"/>
      <c r="E1704" s="195"/>
      <c r="F1704" s="170"/>
      <c r="G1704" s="170"/>
      <c r="H1704" s="203"/>
      <c r="I1704" s="197" t="str">
        <f t="shared" si="275"/>
        <v/>
      </c>
      <c r="J1704" s="197" t="str">
        <f t="shared" si="276"/>
        <v/>
      </c>
      <c r="K1704" s="197"/>
      <c r="L1704" s="197"/>
      <c r="M1704" s="198"/>
      <c r="N1704" s="198"/>
      <c r="O1704" s="198"/>
      <c r="P1704" s="199"/>
      <c r="Q1704" s="200"/>
      <c r="R1704" s="200"/>
      <c r="S1704" s="200"/>
      <c r="T1704" s="200" t="str">
        <f t="shared" si="272"/>
        <v/>
      </c>
      <c r="U1704" s="200"/>
      <c r="V1704" s="201" t="str">
        <f t="shared" si="273"/>
        <v/>
      </c>
      <c r="W1704" s="202">
        <f t="shared" si="274"/>
        <v>0</v>
      </c>
      <c r="X1704" s="172"/>
    </row>
    <row r="1705" spans="1:24" x14ac:dyDescent="0.45">
      <c r="A1705" s="193">
        <v>23</v>
      </c>
      <c r="B1705" s="194" t="str">
        <f t="shared" si="270"/>
        <v/>
      </c>
      <c r="C1705" s="170" t="str">
        <f t="shared" si="271"/>
        <v/>
      </c>
      <c r="D1705" s="170"/>
      <c r="E1705" s="195"/>
      <c r="F1705" s="170"/>
      <c r="G1705" s="170"/>
      <c r="H1705" s="203"/>
      <c r="I1705" s="197" t="str">
        <f t="shared" si="275"/>
        <v/>
      </c>
      <c r="J1705" s="197" t="str">
        <f t="shared" si="276"/>
        <v/>
      </c>
      <c r="K1705" s="197"/>
      <c r="L1705" s="197"/>
      <c r="M1705" s="198"/>
      <c r="N1705" s="198"/>
      <c r="O1705" s="198"/>
      <c r="P1705" s="199"/>
      <c r="Q1705" s="200"/>
      <c r="R1705" s="200"/>
      <c r="S1705" s="200"/>
      <c r="T1705" s="200" t="str">
        <f t="shared" si="272"/>
        <v/>
      </c>
      <c r="U1705" s="200"/>
      <c r="V1705" s="201" t="str">
        <f t="shared" si="273"/>
        <v/>
      </c>
      <c r="W1705" s="202">
        <f t="shared" si="274"/>
        <v>0</v>
      </c>
      <c r="X1705" s="172"/>
    </row>
    <row r="1706" spans="1:24" x14ac:dyDescent="0.45">
      <c r="A1706" s="193">
        <v>24</v>
      </c>
      <c r="B1706" s="194" t="str">
        <f t="shared" si="270"/>
        <v/>
      </c>
      <c r="C1706" s="170" t="str">
        <f t="shared" si="271"/>
        <v/>
      </c>
      <c r="D1706" s="170"/>
      <c r="E1706" s="195"/>
      <c r="F1706" s="170"/>
      <c r="G1706" s="170"/>
      <c r="H1706" s="203"/>
      <c r="I1706" s="197" t="str">
        <f t="shared" si="275"/>
        <v/>
      </c>
      <c r="J1706" s="197" t="str">
        <f t="shared" si="276"/>
        <v/>
      </c>
      <c r="K1706" s="197"/>
      <c r="L1706" s="197"/>
      <c r="M1706" s="198"/>
      <c r="N1706" s="198"/>
      <c r="O1706" s="198"/>
      <c r="P1706" s="199"/>
      <c r="Q1706" s="200"/>
      <c r="R1706" s="200"/>
      <c r="S1706" s="200"/>
      <c r="T1706" s="200" t="str">
        <f t="shared" si="272"/>
        <v/>
      </c>
      <c r="U1706" s="200"/>
      <c r="V1706" s="201" t="str">
        <f t="shared" si="273"/>
        <v/>
      </c>
      <c r="W1706" s="202">
        <f t="shared" si="274"/>
        <v>0</v>
      </c>
      <c r="X1706" s="172"/>
    </row>
    <row r="1707" spans="1:24" x14ac:dyDescent="0.45">
      <c r="A1707" s="193">
        <v>25</v>
      </c>
      <c r="B1707" s="194" t="str">
        <f t="shared" si="270"/>
        <v/>
      </c>
      <c r="C1707" s="170" t="str">
        <f t="shared" si="271"/>
        <v/>
      </c>
      <c r="D1707" s="170"/>
      <c r="E1707" s="195"/>
      <c r="F1707" s="170"/>
      <c r="G1707" s="170"/>
      <c r="H1707" s="203"/>
      <c r="I1707" s="197" t="str">
        <f t="shared" si="275"/>
        <v/>
      </c>
      <c r="J1707" s="197" t="str">
        <f t="shared" si="276"/>
        <v/>
      </c>
      <c r="K1707" s="197"/>
      <c r="L1707" s="197"/>
      <c r="M1707" s="198"/>
      <c r="N1707" s="198"/>
      <c r="O1707" s="198"/>
      <c r="P1707" s="199"/>
      <c r="Q1707" s="200"/>
      <c r="R1707" s="200"/>
      <c r="S1707" s="200"/>
      <c r="T1707" s="200" t="str">
        <f t="shared" si="272"/>
        <v/>
      </c>
      <c r="U1707" s="200"/>
      <c r="V1707" s="201" t="str">
        <f t="shared" si="273"/>
        <v/>
      </c>
      <c r="W1707" s="202">
        <f t="shared" si="274"/>
        <v>0</v>
      </c>
      <c r="X1707" s="172"/>
    </row>
    <row r="1708" spans="1:24" x14ac:dyDescent="0.45">
      <c r="A1708" s="193">
        <v>26</v>
      </c>
      <c r="B1708" s="194" t="str">
        <f t="shared" si="270"/>
        <v/>
      </c>
      <c r="C1708" s="170" t="str">
        <f t="shared" si="271"/>
        <v/>
      </c>
      <c r="D1708" s="170"/>
      <c r="E1708" s="195"/>
      <c r="F1708" s="170"/>
      <c r="G1708" s="170"/>
      <c r="H1708" s="203"/>
      <c r="I1708" s="197" t="str">
        <f t="shared" si="275"/>
        <v/>
      </c>
      <c r="J1708" s="197" t="str">
        <f t="shared" si="276"/>
        <v/>
      </c>
      <c r="K1708" s="197"/>
      <c r="L1708" s="197"/>
      <c r="M1708" s="198"/>
      <c r="N1708" s="198"/>
      <c r="O1708" s="198"/>
      <c r="P1708" s="199"/>
      <c r="Q1708" s="200"/>
      <c r="R1708" s="200"/>
      <c r="S1708" s="200"/>
      <c r="T1708" s="200" t="str">
        <f t="shared" si="272"/>
        <v/>
      </c>
      <c r="U1708" s="200"/>
      <c r="V1708" s="201" t="str">
        <f t="shared" si="273"/>
        <v/>
      </c>
      <c r="W1708" s="202">
        <f t="shared" si="274"/>
        <v>0</v>
      </c>
      <c r="X1708" s="172"/>
    </row>
    <row r="1709" spans="1:24" x14ac:dyDescent="0.45">
      <c r="A1709" s="193">
        <v>27</v>
      </c>
      <c r="B1709" s="194" t="str">
        <f t="shared" si="270"/>
        <v/>
      </c>
      <c r="C1709" s="170" t="str">
        <f t="shared" si="271"/>
        <v/>
      </c>
      <c r="D1709" s="170"/>
      <c r="E1709" s="195"/>
      <c r="F1709" s="170"/>
      <c r="G1709" s="170"/>
      <c r="H1709" s="203"/>
      <c r="I1709" s="197" t="str">
        <f t="shared" si="275"/>
        <v/>
      </c>
      <c r="J1709" s="197" t="str">
        <f t="shared" si="276"/>
        <v/>
      </c>
      <c r="K1709" s="197"/>
      <c r="L1709" s="197"/>
      <c r="M1709" s="198"/>
      <c r="N1709" s="198"/>
      <c r="O1709" s="198"/>
      <c r="P1709" s="199"/>
      <c r="Q1709" s="200"/>
      <c r="R1709" s="200"/>
      <c r="S1709" s="200"/>
      <c r="T1709" s="200" t="str">
        <f t="shared" si="272"/>
        <v/>
      </c>
      <c r="U1709" s="200"/>
      <c r="V1709" s="201" t="str">
        <f t="shared" si="273"/>
        <v/>
      </c>
      <c r="W1709" s="202">
        <f t="shared" si="274"/>
        <v>0</v>
      </c>
      <c r="X1709" s="172"/>
    </row>
    <row r="1710" spans="1:24" x14ac:dyDescent="0.45">
      <c r="A1710" s="193">
        <v>28</v>
      </c>
      <c r="B1710" s="194" t="str">
        <f t="shared" si="270"/>
        <v/>
      </c>
      <c r="C1710" s="170" t="str">
        <f t="shared" si="271"/>
        <v/>
      </c>
      <c r="D1710" s="170"/>
      <c r="E1710" s="195"/>
      <c r="F1710" s="170"/>
      <c r="G1710" s="170"/>
      <c r="H1710" s="203"/>
      <c r="I1710" s="197" t="str">
        <f t="shared" si="275"/>
        <v/>
      </c>
      <c r="J1710" s="197" t="str">
        <f t="shared" si="276"/>
        <v/>
      </c>
      <c r="K1710" s="197"/>
      <c r="L1710" s="197"/>
      <c r="M1710" s="198"/>
      <c r="N1710" s="198"/>
      <c r="O1710" s="198"/>
      <c r="P1710" s="199"/>
      <c r="Q1710" s="200"/>
      <c r="R1710" s="200"/>
      <c r="S1710" s="200"/>
      <c r="T1710" s="200" t="str">
        <f t="shared" si="272"/>
        <v/>
      </c>
      <c r="U1710" s="200"/>
      <c r="V1710" s="201" t="str">
        <f t="shared" si="273"/>
        <v/>
      </c>
      <c r="W1710" s="202">
        <f t="shared" si="274"/>
        <v>0</v>
      </c>
      <c r="X1710" s="172"/>
    </row>
    <row r="1711" spans="1:24" x14ac:dyDescent="0.45">
      <c r="A1711" s="193">
        <v>29</v>
      </c>
      <c r="B1711" s="194" t="str">
        <f t="shared" si="270"/>
        <v/>
      </c>
      <c r="C1711" s="170" t="str">
        <f t="shared" si="271"/>
        <v/>
      </c>
      <c r="D1711" s="170"/>
      <c r="E1711" s="195"/>
      <c r="F1711" s="170"/>
      <c r="G1711" s="170"/>
      <c r="H1711" s="203"/>
      <c r="I1711" s="197" t="str">
        <f t="shared" si="275"/>
        <v/>
      </c>
      <c r="J1711" s="197" t="str">
        <f t="shared" si="276"/>
        <v/>
      </c>
      <c r="K1711" s="197"/>
      <c r="L1711" s="197"/>
      <c r="M1711" s="198"/>
      <c r="N1711" s="198"/>
      <c r="O1711" s="198"/>
      <c r="P1711" s="199"/>
      <c r="Q1711" s="200"/>
      <c r="R1711" s="200"/>
      <c r="S1711" s="200"/>
      <c r="T1711" s="200" t="str">
        <f t="shared" si="272"/>
        <v/>
      </c>
      <c r="U1711" s="200"/>
      <c r="V1711" s="201" t="str">
        <f t="shared" si="273"/>
        <v/>
      </c>
      <c r="W1711" s="202">
        <f t="shared" si="274"/>
        <v>0</v>
      </c>
      <c r="X1711" s="172"/>
    </row>
    <row r="1712" spans="1:24" x14ac:dyDescent="0.45">
      <c r="A1712" s="193">
        <v>30</v>
      </c>
      <c r="B1712" s="194" t="str">
        <f t="shared" si="270"/>
        <v/>
      </c>
      <c r="C1712" s="170" t="str">
        <f t="shared" si="271"/>
        <v/>
      </c>
      <c r="D1712" s="170"/>
      <c r="E1712" s="195"/>
      <c r="F1712" s="170"/>
      <c r="G1712" s="170"/>
      <c r="H1712" s="203"/>
      <c r="I1712" s="197" t="str">
        <f t="shared" si="275"/>
        <v/>
      </c>
      <c r="J1712" s="197" t="str">
        <f t="shared" si="276"/>
        <v/>
      </c>
      <c r="K1712" s="197"/>
      <c r="L1712" s="197"/>
      <c r="M1712" s="198"/>
      <c r="N1712" s="198"/>
      <c r="O1712" s="198"/>
      <c r="P1712" s="199"/>
      <c r="Q1712" s="200"/>
      <c r="R1712" s="200"/>
      <c r="S1712" s="200"/>
      <c r="T1712" s="200" t="str">
        <f t="shared" si="272"/>
        <v/>
      </c>
      <c r="U1712" s="200"/>
      <c r="V1712" s="201" t="str">
        <f t="shared" si="273"/>
        <v/>
      </c>
      <c r="W1712" s="202">
        <f t="shared" si="274"/>
        <v>0</v>
      </c>
      <c r="X1712" s="172"/>
    </row>
    <row r="1713" spans="1:24" x14ac:dyDescent="0.45">
      <c r="A1713" s="193">
        <v>31</v>
      </c>
      <c r="B1713" s="194" t="str">
        <f t="shared" si="270"/>
        <v/>
      </c>
      <c r="C1713" s="170" t="str">
        <f t="shared" si="271"/>
        <v/>
      </c>
      <c r="D1713" s="170"/>
      <c r="E1713" s="195"/>
      <c r="F1713" s="170"/>
      <c r="G1713" s="170"/>
      <c r="H1713" s="203"/>
      <c r="I1713" s="197" t="str">
        <f t="shared" si="275"/>
        <v/>
      </c>
      <c r="J1713" s="197" t="str">
        <f t="shared" si="276"/>
        <v/>
      </c>
      <c r="K1713" s="197"/>
      <c r="L1713" s="197"/>
      <c r="M1713" s="198"/>
      <c r="N1713" s="198"/>
      <c r="O1713" s="198"/>
      <c r="P1713" s="199"/>
      <c r="Q1713" s="200"/>
      <c r="R1713" s="200"/>
      <c r="S1713" s="200"/>
      <c r="T1713" s="200" t="str">
        <f t="shared" si="272"/>
        <v/>
      </c>
      <c r="U1713" s="200"/>
      <c r="V1713" s="201" t="str">
        <f t="shared" si="273"/>
        <v/>
      </c>
      <c r="W1713" s="202">
        <f t="shared" si="274"/>
        <v>0</v>
      </c>
      <c r="X1713" s="172"/>
    </row>
    <row r="1714" spans="1:24" x14ac:dyDescent="0.45">
      <c r="A1714" s="193">
        <v>32</v>
      </c>
      <c r="B1714" s="194" t="str">
        <f t="shared" si="270"/>
        <v/>
      </c>
      <c r="C1714" s="170" t="str">
        <f t="shared" si="271"/>
        <v/>
      </c>
      <c r="D1714" s="170"/>
      <c r="E1714" s="195"/>
      <c r="F1714" s="170"/>
      <c r="G1714" s="170"/>
      <c r="H1714" s="203"/>
      <c r="I1714" s="197" t="str">
        <f t="shared" si="275"/>
        <v/>
      </c>
      <c r="J1714" s="197" t="str">
        <f t="shared" si="276"/>
        <v/>
      </c>
      <c r="K1714" s="197"/>
      <c r="L1714" s="197"/>
      <c r="M1714" s="198"/>
      <c r="N1714" s="198"/>
      <c r="O1714" s="198"/>
      <c r="P1714" s="199"/>
      <c r="Q1714" s="200"/>
      <c r="R1714" s="200"/>
      <c r="S1714" s="200"/>
      <c r="T1714" s="200" t="str">
        <f t="shared" si="272"/>
        <v/>
      </c>
      <c r="U1714" s="200"/>
      <c r="V1714" s="201" t="str">
        <f t="shared" si="273"/>
        <v/>
      </c>
      <c r="W1714" s="202">
        <f t="shared" si="274"/>
        <v>0</v>
      </c>
      <c r="X1714" s="172"/>
    </row>
    <row r="1715" spans="1:24" x14ac:dyDescent="0.45">
      <c r="A1715" s="193">
        <v>33</v>
      </c>
      <c r="B1715" s="194" t="str">
        <f t="shared" ref="B1715:B1748" si="277">IF(OR($C$1663="",U1715=""),"",LEFT($C$1663,FIND("_",$C$1663)-1))</f>
        <v/>
      </c>
      <c r="C1715" s="170" t="str">
        <f t="shared" ref="C1715:C1748" si="278">IF(OR($C$1663="",U1715=""),"",$B$1663)</f>
        <v/>
      </c>
      <c r="D1715" s="170"/>
      <c r="E1715" s="195"/>
      <c r="F1715" s="170"/>
      <c r="G1715" s="170"/>
      <c r="H1715" s="203"/>
      <c r="I1715" s="197" t="str">
        <f t="shared" si="275"/>
        <v/>
      </c>
      <c r="J1715" s="197" t="str">
        <f t="shared" si="276"/>
        <v/>
      </c>
      <c r="K1715" s="197"/>
      <c r="L1715" s="197"/>
      <c r="M1715" s="198"/>
      <c r="N1715" s="198"/>
      <c r="O1715" s="198"/>
      <c r="P1715" s="199"/>
      <c r="Q1715" s="200"/>
      <c r="R1715" s="200"/>
      <c r="S1715" s="200"/>
      <c r="T1715" s="200" t="str">
        <f t="shared" ref="T1715:T1748" si="279">IF(K1715="","",((K1715*20)+L1715)-((I1715*20)+J1715))</f>
        <v/>
      </c>
      <c r="U1715" s="200"/>
      <c r="V1715" s="201" t="str">
        <f t="shared" ref="V1715:V1746" si="280">IF(U1715="","",$V$1663)</f>
        <v/>
      </c>
      <c r="W1715" s="202">
        <f t="shared" ref="W1715:W1748" si="281">IF(OR(T1715="",U1715=""),0,T1715*U1715)</f>
        <v>0</v>
      </c>
      <c r="X1715" s="172"/>
    </row>
    <row r="1716" spans="1:24" x14ac:dyDescent="0.45">
      <c r="A1716" s="193">
        <v>34</v>
      </c>
      <c r="B1716" s="194" t="str">
        <f t="shared" si="277"/>
        <v/>
      </c>
      <c r="C1716" s="170" t="str">
        <f t="shared" si="278"/>
        <v/>
      </c>
      <c r="D1716" s="170"/>
      <c r="E1716" s="195"/>
      <c r="F1716" s="170"/>
      <c r="G1716" s="170"/>
      <c r="H1716" s="203"/>
      <c r="I1716" s="197" t="str">
        <f t="shared" ref="I1716:I1748" si="282">IF(K1715="","",K1715)</f>
        <v/>
      </c>
      <c r="J1716" s="197" t="str">
        <f t="shared" ref="J1716:J1748" si="283">IF(L1715="","",L1715)</f>
        <v/>
      </c>
      <c r="K1716" s="197"/>
      <c r="L1716" s="197"/>
      <c r="M1716" s="198"/>
      <c r="N1716" s="198"/>
      <c r="O1716" s="198"/>
      <c r="P1716" s="199"/>
      <c r="Q1716" s="200"/>
      <c r="R1716" s="200"/>
      <c r="S1716" s="200"/>
      <c r="T1716" s="200" t="str">
        <f t="shared" si="279"/>
        <v/>
      </c>
      <c r="U1716" s="200"/>
      <c r="V1716" s="201" t="str">
        <f t="shared" si="280"/>
        <v/>
      </c>
      <c r="W1716" s="202">
        <f t="shared" si="281"/>
        <v>0</v>
      </c>
      <c r="X1716" s="172"/>
    </row>
    <row r="1717" spans="1:24" x14ac:dyDescent="0.45">
      <c r="A1717" s="193">
        <v>35</v>
      </c>
      <c r="B1717" s="194" t="str">
        <f t="shared" si="277"/>
        <v/>
      </c>
      <c r="C1717" s="170" t="str">
        <f t="shared" si="278"/>
        <v/>
      </c>
      <c r="D1717" s="170"/>
      <c r="E1717" s="195"/>
      <c r="F1717" s="170"/>
      <c r="G1717" s="170"/>
      <c r="H1717" s="203"/>
      <c r="I1717" s="197" t="str">
        <f t="shared" si="282"/>
        <v/>
      </c>
      <c r="J1717" s="197" t="str">
        <f t="shared" si="283"/>
        <v/>
      </c>
      <c r="K1717" s="197"/>
      <c r="L1717" s="197"/>
      <c r="M1717" s="198"/>
      <c r="N1717" s="198"/>
      <c r="O1717" s="198"/>
      <c r="P1717" s="199"/>
      <c r="Q1717" s="200"/>
      <c r="R1717" s="200"/>
      <c r="S1717" s="200"/>
      <c r="T1717" s="200" t="str">
        <f t="shared" si="279"/>
        <v/>
      </c>
      <c r="U1717" s="200"/>
      <c r="V1717" s="201" t="str">
        <f t="shared" si="280"/>
        <v/>
      </c>
      <c r="W1717" s="202">
        <f t="shared" si="281"/>
        <v>0</v>
      </c>
      <c r="X1717" s="172"/>
    </row>
    <row r="1718" spans="1:24" x14ac:dyDescent="0.45">
      <c r="A1718" s="193">
        <v>36</v>
      </c>
      <c r="B1718" s="194" t="str">
        <f t="shared" si="277"/>
        <v/>
      </c>
      <c r="C1718" s="170" t="str">
        <f t="shared" si="278"/>
        <v/>
      </c>
      <c r="D1718" s="170"/>
      <c r="E1718" s="195"/>
      <c r="F1718" s="170"/>
      <c r="G1718" s="170"/>
      <c r="H1718" s="203"/>
      <c r="I1718" s="197" t="str">
        <f t="shared" si="282"/>
        <v/>
      </c>
      <c r="J1718" s="197" t="str">
        <f t="shared" si="283"/>
        <v/>
      </c>
      <c r="K1718" s="197"/>
      <c r="L1718" s="197"/>
      <c r="M1718" s="198"/>
      <c r="N1718" s="198"/>
      <c r="O1718" s="198"/>
      <c r="P1718" s="199"/>
      <c r="Q1718" s="200"/>
      <c r="R1718" s="200"/>
      <c r="S1718" s="200"/>
      <c r="T1718" s="200" t="str">
        <f t="shared" si="279"/>
        <v/>
      </c>
      <c r="U1718" s="200"/>
      <c r="V1718" s="201" t="str">
        <f t="shared" si="280"/>
        <v/>
      </c>
      <c r="W1718" s="202">
        <f t="shared" si="281"/>
        <v>0</v>
      </c>
      <c r="X1718" s="172"/>
    </row>
    <row r="1719" spans="1:24" x14ac:dyDescent="0.45">
      <c r="A1719" s="193">
        <v>37</v>
      </c>
      <c r="B1719" s="194" t="str">
        <f t="shared" si="277"/>
        <v/>
      </c>
      <c r="C1719" s="170" t="str">
        <f t="shared" si="278"/>
        <v/>
      </c>
      <c r="D1719" s="170"/>
      <c r="E1719" s="195"/>
      <c r="F1719" s="170"/>
      <c r="G1719" s="170"/>
      <c r="H1719" s="203"/>
      <c r="I1719" s="197" t="str">
        <f t="shared" si="282"/>
        <v/>
      </c>
      <c r="J1719" s="197" t="str">
        <f t="shared" si="283"/>
        <v/>
      </c>
      <c r="K1719" s="197"/>
      <c r="L1719" s="197"/>
      <c r="M1719" s="198"/>
      <c r="N1719" s="198"/>
      <c r="O1719" s="198"/>
      <c r="P1719" s="199"/>
      <c r="Q1719" s="200"/>
      <c r="R1719" s="200"/>
      <c r="S1719" s="200"/>
      <c r="T1719" s="200" t="str">
        <f t="shared" si="279"/>
        <v/>
      </c>
      <c r="U1719" s="200"/>
      <c r="V1719" s="201" t="str">
        <f t="shared" si="280"/>
        <v/>
      </c>
      <c r="W1719" s="202">
        <f t="shared" si="281"/>
        <v>0</v>
      </c>
      <c r="X1719" s="172"/>
    </row>
    <row r="1720" spans="1:24" x14ac:dyDescent="0.45">
      <c r="A1720" s="193">
        <v>38</v>
      </c>
      <c r="B1720" s="194" t="str">
        <f t="shared" si="277"/>
        <v/>
      </c>
      <c r="C1720" s="170" t="str">
        <f t="shared" si="278"/>
        <v/>
      </c>
      <c r="D1720" s="170"/>
      <c r="E1720" s="195"/>
      <c r="F1720" s="170"/>
      <c r="G1720" s="170"/>
      <c r="H1720" s="203"/>
      <c r="I1720" s="197" t="str">
        <f t="shared" si="282"/>
        <v/>
      </c>
      <c r="J1720" s="197" t="str">
        <f t="shared" si="283"/>
        <v/>
      </c>
      <c r="K1720" s="197"/>
      <c r="L1720" s="197"/>
      <c r="M1720" s="198"/>
      <c r="N1720" s="198"/>
      <c r="O1720" s="198"/>
      <c r="P1720" s="199"/>
      <c r="Q1720" s="200"/>
      <c r="R1720" s="200"/>
      <c r="S1720" s="200"/>
      <c r="T1720" s="200" t="str">
        <f t="shared" si="279"/>
        <v/>
      </c>
      <c r="U1720" s="200"/>
      <c r="V1720" s="201" t="str">
        <f t="shared" si="280"/>
        <v/>
      </c>
      <c r="W1720" s="202">
        <f t="shared" si="281"/>
        <v>0</v>
      </c>
      <c r="X1720" s="172"/>
    </row>
    <row r="1721" spans="1:24" x14ac:dyDescent="0.45">
      <c r="A1721" s="193">
        <v>39</v>
      </c>
      <c r="B1721" s="194" t="str">
        <f t="shared" si="277"/>
        <v/>
      </c>
      <c r="C1721" s="170" t="str">
        <f t="shared" si="278"/>
        <v/>
      </c>
      <c r="D1721" s="170"/>
      <c r="E1721" s="195"/>
      <c r="F1721" s="170"/>
      <c r="G1721" s="170"/>
      <c r="H1721" s="203"/>
      <c r="I1721" s="197" t="str">
        <f t="shared" si="282"/>
        <v/>
      </c>
      <c r="J1721" s="197" t="str">
        <f t="shared" si="283"/>
        <v/>
      </c>
      <c r="K1721" s="197"/>
      <c r="L1721" s="197"/>
      <c r="M1721" s="198"/>
      <c r="N1721" s="198"/>
      <c r="O1721" s="198"/>
      <c r="P1721" s="199"/>
      <c r="Q1721" s="200"/>
      <c r="R1721" s="200"/>
      <c r="S1721" s="200"/>
      <c r="T1721" s="200" t="str">
        <f t="shared" si="279"/>
        <v/>
      </c>
      <c r="U1721" s="200"/>
      <c r="V1721" s="201" t="str">
        <f t="shared" si="280"/>
        <v/>
      </c>
      <c r="W1721" s="202">
        <f t="shared" si="281"/>
        <v>0</v>
      </c>
      <c r="X1721" s="172"/>
    </row>
    <row r="1722" spans="1:24" x14ac:dyDescent="0.45">
      <c r="A1722" s="193">
        <v>40</v>
      </c>
      <c r="B1722" s="194" t="str">
        <f t="shared" si="277"/>
        <v/>
      </c>
      <c r="C1722" s="170" t="str">
        <f t="shared" si="278"/>
        <v/>
      </c>
      <c r="D1722" s="170"/>
      <c r="E1722" s="195"/>
      <c r="F1722" s="170"/>
      <c r="G1722" s="170"/>
      <c r="H1722" s="203"/>
      <c r="I1722" s="197" t="str">
        <f t="shared" si="282"/>
        <v/>
      </c>
      <c r="J1722" s="197" t="str">
        <f t="shared" si="283"/>
        <v/>
      </c>
      <c r="K1722" s="197"/>
      <c r="L1722" s="197"/>
      <c r="M1722" s="198"/>
      <c r="N1722" s="198"/>
      <c r="O1722" s="198"/>
      <c r="P1722" s="199"/>
      <c r="Q1722" s="200"/>
      <c r="R1722" s="200"/>
      <c r="S1722" s="200"/>
      <c r="T1722" s="200" t="str">
        <f t="shared" si="279"/>
        <v/>
      </c>
      <c r="U1722" s="200"/>
      <c r="V1722" s="201" t="str">
        <f t="shared" si="280"/>
        <v/>
      </c>
      <c r="W1722" s="202">
        <f t="shared" si="281"/>
        <v>0</v>
      </c>
      <c r="X1722" s="172"/>
    </row>
    <row r="1723" spans="1:24" x14ac:dyDescent="0.45">
      <c r="A1723" s="193">
        <v>41</v>
      </c>
      <c r="B1723" s="194" t="str">
        <f t="shared" si="277"/>
        <v/>
      </c>
      <c r="C1723" s="170" t="str">
        <f t="shared" si="278"/>
        <v/>
      </c>
      <c r="D1723" s="170"/>
      <c r="E1723" s="195"/>
      <c r="F1723" s="170"/>
      <c r="G1723" s="170"/>
      <c r="H1723" s="203"/>
      <c r="I1723" s="197" t="str">
        <f t="shared" si="282"/>
        <v/>
      </c>
      <c r="J1723" s="197" t="str">
        <f t="shared" si="283"/>
        <v/>
      </c>
      <c r="K1723" s="197"/>
      <c r="L1723" s="197"/>
      <c r="M1723" s="198"/>
      <c r="N1723" s="198"/>
      <c r="O1723" s="198"/>
      <c r="P1723" s="199"/>
      <c r="Q1723" s="200"/>
      <c r="R1723" s="200"/>
      <c r="S1723" s="200"/>
      <c r="T1723" s="200" t="str">
        <f t="shared" si="279"/>
        <v/>
      </c>
      <c r="U1723" s="200"/>
      <c r="V1723" s="201" t="str">
        <f t="shared" si="280"/>
        <v/>
      </c>
      <c r="W1723" s="202">
        <f t="shared" si="281"/>
        <v>0</v>
      </c>
      <c r="X1723" s="172"/>
    </row>
    <row r="1724" spans="1:24" x14ac:dyDescent="0.45">
      <c r="A1724" s="193">
        <v>42</v>
      </c>
      <c r="B1724" s="194" t="str">
        <f t="shared" si="277"/>
        <v/>
      </c>
      <c r="C1724" s="170" t="str">
        <f t="shared" si="278"/>
        <v/>
      </c>
      <c r="D1724" s="170"/>
      <c r="E1724" s="195"/>
      <c r="F1724" s="170"/>
      <c r="G1724" s="170"/>
      <c r="H1724" s="203"/>
      <c r="I1724" s="197" t="str">
        <f t="shared" si="282"/>
        <v/>
      </c>
      <c r="J1724" s="197" t="str">
        <f t="shared" si="283"/>
        <v/>
      </c>
      <c r="K1724" s="197"/>
      <c r="L1724" s="197"/>
      <c r="M1724" s="198"/>
      <c r="N1724" s="198"/>
      <c r="O1724" s="198"/>
      <c r="P1724" s="199"/>
      <c r="Q1724" s="200"/>
      <c r="R1724" s="200"/>
      <c r="S1724" s="200"/>
      <c r="T1724" s="200" t="str">
        <f t="shared" si="279"/>
        <v/>
      </c>
      <c r="U1724" s="200"/>
      <c r="V1724" s="201" t="str">
        <f t="shared" si="280"/>
        <v/>
      </c>
      <c r="W1724" s="202">
        <f t="shared" si="281"/>
        <v>0</v>
      </c>
      <c r="X1724" s="172"/>
    </row>
    <row r="1725" spans="1:24" x14ac:dyDescent="0.45">
      <c r="A1725" s="193">
        <v>43</v>
      </c>
      <c r="B1725" s="194" t="str">
        <f t="shared" si="277"/>
        <v/>
      </c>
      <c r="C1725" s="170" t="str">
        <f t="shared" si="278"/>
        <v/>
      </c>
      <c r="D1725" s="170"/>
      <c r="E1725" s="195"/>
      <c r="F1725" s="170"/>
      <c r="G1725" s="170"/>
      <c r="H1725" s="203"/>
      <c r="I1725" s="197" t="str">
        <f t="shared" si="282"/>
        <v/>
      </c>
      <c r="J1725" s="197" t="str">
        <f t="shared" si="283"/>
        <v/>
      </c>
      <c r="K1725" s="197"/>
      <c r="L1725" s="197"/>
      <c r="M1725" s="198"/>
      <c r="N1725" s="198"/>
      <c r="O1725" s="198"/>
      <c r="P1725" s="199"/>
      <c r="Q1725" s="200"/>
      <c r="R1725" s="200"/>
      <c r="S1725" s="200"/>
      <c r="T1725" s="200" t="str">
        <f t="shared" si="279"/>
        <v/>
      </c>
      <c r="U1725" s="200"/>
      <c r="V1725" s="201" t="str">
        <f t="shared" si="280"/>
        <v/>
      </c>
      <c r="W1725" s="202">
        <f t="shared" si="281"/>
        <v>0</v>
      </c>
      <c r="X1725" s="172"/>
    </row>
    <row r="1726" spans="1:24" x14ac:dyDescent="0.45">
      <c r="A1726" s="193">
        <v>44</v>
      </c>
      <c r="B1726" s="194" t="str">
        <f t="shared" si="277"/>
        <v/>
      </c>
      <c r="C1726" s="170" t="str">
        <f t="shared" si="278"/>
        <v/>
      </c>
      <c r="D1726" s="170"/>
      <c r="E1726" s="195"/>
      <c r="F1726" s="170"/>
      <c r="G1726" s="170"/>
      <c r="H1726" s="203"/>
      <c r="I1726" s="197" t="str">
        <f t="shared" si="282"/>
        <v/>
      </c>
      <c r="J1726" s="197" t="str">
        <f t="shared" si="283"/>
        <v/>
      </c>
      <c r="K1726" s="197"/>
      <c r="L1726" s="197"/>
      <c r="M1726" s="198"/>
      <c r="N1726" s="198"/>
      <c r="O1726" s="198"/>
      <c r="P1726" s="199"/>
      <c r="Q1726" s="200"/>
      <c r="R1726" s="200"/>
      <c r="S1726" s="200"/>
      <c r="T1726" s="200" t="str">
        <f t="shared" si="279"/>
        <v/>
      </c>
      <c r="U1726" s="200"/>
      <c r="V1726" s="201" t="str">
        <f t="shared" si="280"/>
        <v/>
      </c>
      <c r="W1726" s="202">
        <f t="shared" si="281"/>
        <v>0</v>
      </c>
      <c r="X1726" s="172"/>
    </row>
    <row r="1727" spans="1:24" x14ac:dyDescent="0.45">
      <c r="A1727" s="193">
        <v>45</v>
      </c>
      <c r="B1727" s="194" t="str">
        <f t="shared" si="277"/>
        <v/>
      </c>
      <c r="C1727" s="170" t="str">
        <f t="shared" si="278"/>
        <v/>
      </c>
      <c r="D1727" s="170"/>
      <c r="E1727" s="195"/>
      <c r="F1727" s="170"/>
      <c r="G1727" s="170"/>
      <c r="H1727" s="203"/>
      <c r="I1727" s="197" t="str">
        <f t="shared" si="282"/>
        <v/>
      </c>
      <c r="J1727" s="197" t="str">
        <f t="shared" si="283"/>
        <v/>
      </c>
      <c r="K1727" s="197"/>
      <c r="L1727" s="197"/>
      <c r="M1727" s="198"/>
      <c r="N1727" s="198"/>
      <c r="O1727" s="198"/>
      <c r="P1727" s="199"/>
      <c r="Q1727" s="200"/>
      <c r="R1727" s="200"/>
      <c r="S1727" s="200"/>
      <c r="T1727" s="200" t="str">
        <f t="shared" si="279"/>
        <v/>
      </c>
      <c r="U1727" s="200"/>
      <c r="V1727" s="201" t="str">
        <f t="shared" si="280"/>
        <v/>
      </c>
      <c r="W1727" s="202">
        <f t="shared" si="281"/>
        <v>0</v>
      </c>
      <c r="X1727" s="172"/>
    </row>
    <row r="1728" spans="1:24" x14ac:dyDescent="0.45">
      <c r="A1728" s="193">
        <v>46</v>
      </c>
      <c r="B1728" s="194" t="str">
        <f t="shared" si="277"/>
        <v/>
      </c>
      <c r="C1728" s="170" t="str">
        <f t="shared" si="278"/>
        <v/>
      </c>
      <c r="D1728" s="170"/>
      <c r="E1728" s="195"/>
      <c r="F1728" s="170"/>
      <c r="G1728" s="170"/>
      <c r="H1728" s="203"/>
      <c r="I1728" s="197" t="str">
        <f t="shared" si="282"/>
        <v/>
      </c>
      <c r="J1728" s="197" t="str">
        <f t="shared" si="283"/>
        <v/>
      </c>
      <c r="K1728" s="197"/>
      <c r="L1728" s="197"/>
      <c r="M1728" s="198"/>
      <c r="N1728" s="198"/>
      <c r="O1728" s="198"/>
      <c r="P1728" s="199"/>
      <c r="Q1728" s="200"/>
      <c r="R1728" s="200"/>
      <c r="S1728" s="200"/>
      <c r="T1728" s="200" t="str">
        <f t="shared" si="279"/>
        <v/>
      </c>
      <c r="U1728" s="200"/>
      <c r="V1728" s="201" t="str">
        <f t="shared" si="280"/>
        <v/>
      </c>
      <c r="W1728" s="202">
        <f t="shared" si="281"/>
        <v>0</v>
      </c>
      <c r="X1728" s="172"/>
    </row>
    <row r="1729" spans="1:24" x14ac:dyDescent="0.45">
      <c r="A1729" s="193">
        <v>47</v>
      </c>
      <c r="B1729" s="194" t="str">
        <f t="shared" si="277"/>
        <v/>
      </c>
      <c r="C1729" s="170" t="str">
        <f t="shared" si="278"/>
        <v/>
      </c>
      <c r="D1729" s="170"/>
      <c r="E1729" s="195"/>
      <c r="F1729" s="170"/>
      <c r="G1729" s="170"/>
      <c r="H1729" s="203"/>
      <c r="I1729" s="197" t="str">
        <f t="shared" si="282"/>
        <v/>
      </c>
      <c r="J1729" s="197" t="str">
        <f t="shared" si="283"/>
        <v/>
      </c>
      <c r="K1729" s="197"/>
      <c r="L1729" s="197"/>
      <c r="M1729" s="198"/>
      <c r="N1729" s="198"/>
      <c r="O1729" s="198"/>
      <c r="P1729" s="199"/>
      <c r="Q1729" s="200"/>
      <c r="R1729" s="200"/>
      <c r="S1729" s="200"/>
      <c r="T1729" s="200" t="str">
        <f t="shared" si="279"/>
        <v/>
      </c>
      <c r="U1729" s="200"/>
      <c r="V1729" s="201" t="str">
        <f t="shared" si="280"/>
        <v/>
      </c>
      <c r="W1729" s="202">
        <f t="shared" si="281"/>
        <v>0</v>
      </c>
      <c r="X1729" s="172"/>
    </row>
    <row r="1730" spans="1:24" x14ac:dyDescent="0.45">
      <c r="A1730" s="193">
        <v>48</v>
      </c>
      <c r="B1730" s="194" t="str">
        <f t="shared" si="277"/>
        <v/>
      </c>
      <c r="C1730" s="170" t="str">
        <f t="shared" si="278"/>
        <v/>
      </c>
      <c r="D1730" s="170"/>
      <c r="E1730" s="195"/>
      <c r="F1730" s="170"/>
      <c r="G1730" s="170"/>
      <c r="H1730" s="203"/>
      <c r="I1730" s="197" t="str">
        <f t="shared" si="282"/>
        <v/>
      </c>
      <c r="J1730" s="197" t="str">
        <f t="shared" si="283"/>
        <v/>
      </c>
      <c r="K1730" s="197"/>
      <c r="L1730" s="197"/>
      <c r="M1730" s="198"/>
      <c r="N1730" s="198"/>
      <c r="O1730" s="198"/>
      <c r="P1730" s="199"/>
      <c r="Q1730" s="200"/>
      <c r="R1730" s="200"/>
      <c r="S1730" s="200"/>
      <c r="T1730" s="200" t="str">
        <f t="shared" si="279"/>
        <v/>
      </c>
      <c r="U1730" s="200"/>
      <c r="V1730" s="201" t="str">
        <f t="shared" si="280"/>
        <v/>
      </c>
      <c r="W1730" s="202">
        <f t="shared" si="281"/>
        <v>0</v>
      </c>
      <c r="X1730" s="172"/>
    </row>
    <row r="1731" spans="1:24" x14ac:dyDescent="0.45">
      <c r="A1731" s="193">
        <v>49</v>
      </c>
      <c r="B1731" s="194" t="str">
        <f t="shared" si="277"/>
        <v/>
      </c>
      <c r="C1731" s="170" t="str">
        <f t="shared" si="278"/>
        <v/>
      </c>
      <c r="D1731" s="170"/>
      <c r="E1731" s="195"/>
      <c r="F1731" s="170"/>
      <c r="G1731" s="170"/>
      <c r="H1731" s="203"/>
      <c r="I1731" s="197" t="str">
        <f t="shared" si="282"/>
        <v/>
      </c>
      <c r="J1731" s="197" t="str">
        <f t="shared" si="283"/>
        <v/>
      </c>
      <c r="K1731" s="197"/>
      <c r="L1731" s="197"/>
      <c r="M1731" s="198"/>
      <c r="N1731" s="198"/>
      <c r="O1731" s="198"/>
      <c r="P1731" s="199"/>
      <c r="Q1731" s="200"/>
      <c r="R1731" s="200"/>
      <c r="S1731" s="200"/>
      <c r="T1731" s="200" t="str">
        <f t="shared" si="279"/>
        <v/>
      </c>
      <c r="U1731" s="200"/>
      <c r="V1731" s="201" t="str">
        <f t="shared" si="280"/>
        <v/>
      </c>
      <c r="W1731" s="202">
        <f t="shared" si="281"/>
        <v>0</v>
      </c>
      <c r="X1731" s="172"/>
    </row>
    <row r="1732" spans="1:24" x14ac:dyDescent="0.45">
      <c r="A1732" s="193">
        <v>50</v>
      </c>
      <c r="B1732" s="194" t="str">
        <f t="shared" si="277"/>
        <v/>
      </c>
      <c r="C1732" s="170" t="str">
        <f t="shared" si="278"/>
        <v/>
      </c>
      <c r="D1732" s="170"/>
      <c r="E1732" s="195"/>
      <c r="F1732" s="170"/>
      <c r="G1732" s="170"/>
      <c r="H1732" s="203"/>
      <c r="I1732" s="197" t="str">
        <f t="shared" si="282"/>
        <v/>
      </c>
      <c r="J1732" s="197" t="str">
        <f t="shared" si="283"/>
        <v/>
      </c>
      <c r="K1732" s="197"/>
      <c r="L1732" s="197"/>
      <c r="M1732" s="198"/>
      <c r="N1732" s="198"/>
      <c r="O1732" s="198"/>
      <c r="P1732" s="199"/>
      <c r="Q1732" s="200"/>
      <c r="R1732" s="200"/>
      <c r="S1732" s="200"/>
      <c r="T1732" s="200" t="str">
        <f t="shared" si="279"/>
        <v/>
      </c>
      <c r="U1732" s="200"/>
      <c r="V1732" s="201" t="str">
        <f t="shared" si="280"/>
        <v/>
      </c>
      <c r="W1732" s="202">
        <f t="shared" si="281"/>
        <v>0</v>
      </c>
      <c r="X1732" s="172"/>
    </row>
    <row r="1733" spans="1:24" x14ac:dyDescent="0.45">
      <c r="A1733" s="193">
        <v>51</v>
      </c>
      <c r="B1733" s="194" t="str">
        <f t="shared" si="277"/>
        <v/>
      </c>
      <c r="C1733" s="170" t="str">
        <f t="shared" si="278"/>
        <v/>
      </c>
      <c r="D1733" s="170"/>
      <c r="E1733" s="195"/>
      <c r="F1733" s="170"/>
      <c r="G1733" s="170"/>
      <c r="H1733" s="203"/>
      <c r="I1733" s="197" t="str">
        <f t="shared" si="282"/>
        <v/>
      </c>
      <c r="J1733" s="197" t="str">
        <f t="shared" si="283"/>
        <v/>
      </c>
      <c r="K1733" s="197"/>
      <c r="L1733" s="197"/>
      <c r="M1733" s="198"/>
      <c r="N1733" s="198"/>
      <c r="O1733" s="198"/>
      <c r="P1733" s="199"/>
      <c r="Q1733" s="200"/>
      <c r="R1733" s="200"/>
      <c r="S1733" s="200"/>
      <c r="T1733" s="200" t="str">
        <f t="shared" si="279"/>
        <v/>
      </c>
      <c r="U1733" s="200"/>
      <c r="V1733" s="201" t="str">
        <f t="shared" si="280"/>
        <v/>
      </c>
      <c r="W1733" s="202">
        <f t="shared" si="281"/>
        <v>0</v>
      </c>
      <c r="X1733" s="172"/>
    </row>
    <row r="1734" spans="1:24" x14ac:dyDescent="0.45">
      <c r="A1734" s="193">
        <v>52</v>
      </c>
      <c r="B1734" s="194" t="str">
        <f t="shared" si="277"/>
        <v/>
      </c>
      <c r="C1734" s="170" t="str">
        <f t="shared" si="278"/>
        <v/>
      </c>
      <c r="D1734" s="170"/>
      <c r="E1734" s="195"/>
      <c r="F1734" s="170"/>
      <c r="G1734" s="170"/>
      <c r="H1734" s="203"/>
      <c r="I1734" s="197" t="str">
        <f t="shared" si="282"/>
        <v/>
      </c>
      <c r="J1734" s="197" t="str">
        <f t="shared" si="283"/>
        <v/>
      </c>
      <c r="K1734" s="197"/>
      <c r="L1734" s="197"/>
      <c r="M1734" s="198"/>
      <c r="N1734" s="198"/>
      <c r="O1734" s="198"/>
      <c r="P1734" s="199"/>
      <c r="Q1734" s="200"/>
      <c r="R1734" s="200"/>
      <c r="S1734" s="200"/>
      <c r="T1734" s="200" t="str">
        <f t="shared" si="279"/>
        <v/>
      </c>
      <c r="U1734" s="200"/>
      <c r="V1734" s="201" t="str">
        <f t="shared" si="280"/>
        <v/>
      </c>
      <c r="W1734" s="202">
        <f t="shared" si="281"/>
        <v>0</v>
      </c>
      <c r="X1734" s="172"/>
    </row>
    <row r="1735" spans="1:24" x14ac:dyDescent="0.45">
      <c r="A1735" s="193">
        <v>53</v>
      </c>
      <c r="B1735" s="194" t="str">
        <f t="shared" si="277"/>
        <v/>
      </c>
      <c r="C1735" s="170" t="str">
        <f t="shared" si="278"/>
        <v/>
      </c>
      <c r="D1735" s="170"/>
      <c r="E1735" s="195"/>
      <c r="F1735" s="170"/>
      <c r="G1735" s="170"/>
      <c r="H1735" s="203"/>
      <c r="I1735" s="197" t="str">
        <f t="shared" si="282"/>
        <v/>
      </c>
      <c r="J1735" s="197" t="str">
        <f t="shared" si="283"/>
        <v/>
      </c>
      <c r="K1735" s="197"/>
      <c r="L1735" s="197"/>
      <c r="M1735" s="198"/>
      <c r="N1735" s="198"/>
      <c r="O1735" s="198"/>
      <c r="P1735" s="199"/>
      <c r="Q1735" s="200"/>
      <c r="R1735" s="200"/>
      <c r="S1735" s="200"/>
      <c r="T1735" s="200" t="str">
        <f t="shared" si="279"/>
        <v/>
      </c>
      <c r="U1735" s="200"/>
      <c r="V1735" s="201" t="str">
        <f t="shared" si="280"/>
        <v/>
      </c>
      <c r="W1735" s="202">
        <f t="shared" si="281"/>
        <v>0</v>
      </c>
      <c r="X1735" s="172"/>
    </row>
    <row r="1736" spans="1:24" x14ac:dyDescent="0.45">
      <c r="A1736" s="193">
        <v>54</v>
      </c>
      <c r="B1736" s="194" t="str">
        <f t="shared" si="277"/>
        <v/>
      </c>
      <c r="C1736" s="170" t="str">
        <f t="shared" si="278"/>
        <v/>
      </c>
      <c r="D1736" s="170"/>
      <c r="E1736" s="195"/>
      <c r="F1736" s="170"/>
      <c r="G1736" s="170"/>
      <c r="H1736" s="203"/>
      <c r="I1736" s="197" t="str">
        <f t="shared" si="282"/>
        <v/>
      </c>
      <c r="J1736" s="197" t="str">
        <f t="shared" si="283"/>
        <v/>
      </c>
      <c r="K1736" s="197"/>
      <c r="L1736" s="197"/>
      <c r="M1736" s="198"/>
      <c r="N1736" s="198"/>
      <c r="O1736" s="198"/>
      <c r="P1736" s="199"/>
      <c r="Q1736" s="200"/>
      <c r="R1736" s="200"/>
      <c r="S1736" s="200"/>
      <c r="T1736" s="200" t="str">
        <f t="shared" si="279"/>
        <v/>
      </c>
      <c r="U1736" s="200"/>
      <c r="V1736" s="201" t="str">
        <f t="shared" si="280"/>
        <v/>
      </c>
      <c r="W1736" s="202">
        <f t="shared" si="281"/>
        <v>0</v>
      </c>
      <c r="X1736" s="172"/>
    </row>
    <row r="1737" spans="1:24" x14ac:dyDescent="0.45">
      <c r="A1737" s="193">
        <v>55</v>
      </c>
      <c r="B1737" s="194" t="str">
        <f t="shared" si="277"/>
        <v/>
      </c>
      <c r="C1737" s="170" t="str">
        <f t="shared" si="278"/>
        <v/>
      </c>
      <c r="D1737" s="170"/>
      <c r="E1737" s="195"/>
      <c r="F1737" s="170"/>
      <c r="G1737" s="170"/>
      <c r="H1737" s="203"/>
      <c r="I1737" s="197" t="str">
        <f t="shared" si="282"/>
        <v/>
      </c>
      <c r="J1737" s="197" t="str">
        <f t="shared" si="283"/>
        <v/>
      </c>
      <c r="K1737" s="197"/>
      <c r="L1737" s="197"/>
      <c r="M1737" s="198"/>
      <c r="N1737" s="198"/>
      <c r="O1737" s="198"/>
      <c r="P1737" s="199"/>
      <c r="Q1737" s="200"/>
      <c r="R1737" s="200"/>
      <c r="S1737" s="200"/>
      <c r="T1737" s="200" t="str">
        <f t="shared" si="279"/>
        <v/>
      </c>
      <c r="U1737" s="200"/>
      <c r="V1737" s="201" t="str">
        <f t="shared" si="280"/>
        <v/>
      </c>
      <c r="W1737" s="202">
        <f t="shared" si="281"/>
        <v>0</v>
      </c>
      <c r="X1737" s="172"/>
    </row>
    <row r="1738" spans="1:24" x14ac:dyDescent="0.45">
      <c r="A1738" s="193">
        <v>56</v>
      </c>
      <c r="B1738" s="194" t="str">
        <f t="shared" si="277"/>
        <v/>
      </c>
      <c r="C1738" s="170" t="str">
        <f t="shared" si="278"/>
        <v/>
      </c>
      <c r="D1738" s="170"/>
      <c r="E1738" s="195"/>
      <c r="F1738" s="170"/>
      <c r="G1738" s="170"/>
      <c r="H1738" s="203"/>
      <c r="I1738" s="197" t="str">
        <f t="shared" si="282"/>
        <v/>
      </c>
      <c r="J1738" s="197" t="str">
        <f t="shared" si="283"/>
        <v/>
      </c>
      <c r="K1738" s="197"/>
      <c r="L1738" s="197"/>
      <c r="M1738" s="198"/>
      <c r="N1738" s="198"/>
      <c r="O1738" s="198"/>
      <c r="P1738" s="199"/>
      <c r="Q1738" s="200"/>
      <c r="R1738" s="200"/>
      <c r="S1738" s="200"/>
      <c r="T1738" s="200" t="str">
        <f t="shared" si="279"/>
        <v/>
      </c>
      <c r="U1738" s="200"/>
      <c r="V1738" s="201" t="str">
        <f t="shared" si="280"/>
        <v/>
      </c>
      <c r="W1738" s="202">
        <f t="shared" si="281"/>
        <v>0</v>
      </c>
      <c r="X1738" s="172"/>
    </row>
    <row r="1739" spans="1:24" x14ac:dyDescent="0.45">
      <c r="A1739" s="193">
        <v>57</v>
      </c>
      <c r="B1739" s="194" t="str">
        <f t="shared" si="277"/>
        <v/>
      </c>
      <c r="C1739" s="170" t="str">
        <f t="shared" si="278"/>
        <v/>
      </c>
      <c r="D1739" s="170"/>
      <c r="E1739" s="195"/>
      <c r="F1739" s="170"/>
      <c r="G1739" s="170"/>
      <c r="H1739" s="203"/>
      <c r="I1739" s="197" t="str">
        <f t="shared" si="282"/>
        <v/>
      </c>
      <c r="J1739" s="197" t="str">
        <f t="shared" si="283"/>
        <v/>
      </c>
      <c r="K1739" s="197"/>
      <c r="L1739" s="197"/>
      <c r="M1739" s="198"/>
      <c r="N1739" s="198"/>
      <c r="O1739" s="198"/>
      <c r="P1739" s="199"/>
      <c r="Q1739" s="200"/>
      <c r="R1739" s="200"/>
      <c r="S1739" s="200"/>
      <c r="T1739" s="200" t="str">
        <f t="shared" si="279"/>
        <v/>
      </c>
      <c r="U1739" s="200"/>
      <c r="V1739" s="201" t="str">
        <f t="shared" si="280"/>
        <v/>
      </c>
      <c r="W1739" s="202">
        <f t="shared" si="281"/>
        <v>0</v>
      </c>
      <c r="X1739" s="172"/>
    </row>
    <row r="1740" spans="1:24" x14ac:dyDescent="0.45">
      <c r="A1740" s="193">
        <v>58</v>
      </c>
      <c r="B1740" s="194" t="str">
        <f t="shared" si="277"/>
        <v/>
      </c>
      <c r="C1740" s="170" t="str">
        <f t="shared" si="278"/>
        <v/>
      </c>
      <c r="D1740" s="170"/>
      <c r="E1740" s="195"/>
      <c r="F1740" s="170"/>
      <c r="G1740" s="170"/>
      <c r="H1740" s="203"/>
      <c r="I1740" s="197" t="str">
        <f t="shared" si="282"/>
        <v/>
      </c>
      <c r="J1740" s="197" t="str">
        <f t="shared" si="283"/>
        <v/>
      </c>
      <c r="K1740" s="197"/>
      <c r="L1740" s="197"/>
      <c r="M1740" s="198"/>
      <c r="N1740" s="198"/>
      <c r="O1740" s="198"/>
      <c r="P1740" s="199"/>
      <c r="Q1740" s="200"/>
      <c r="R1740" s="200"/>
      <c r="S1740" s="200"/>
      <c r="T1740" s="200" t="str">
        <f t="shared" si="279"/>
        <v/>
      </c>
      <c r="U1740" s="200"/>
      <c r="V1740" s="201" t="str">
        <f t="shared" si="280"/>
        <v/>
      </c>
      <c r="W1740" s="202">
        <f t="shared" si="281"/>
        <v>0</v>
      </c>
      <c r="X1740" s="172"/>
    </row>
    <row r="1741" spans="1:24" x14ac:dyDescent="0.45">
      <c r="A1741" s="193">
        <v>59</v>
      </c>
      <c r="B1741" s="194" t="str">
        <f t="shared" si="277"/>
        <v/>
      </c>
      <c r="C1741" s="170" t="str">
        <f t="shared" si="278"/>
        <v/>
      </c>
      <c r="D1741" s="170"/>
      <c r="E1741" s="195"/>
      <c r="F1741" s="170"/>
      <c r="G1741" s="170"/>
      <c r="H1741" s="203"/>
      <c r="I1741" s="197" t="str">
        <f t="shared" si="282"/>
        <v/>
      </c>
      <c r="J1741" s="197" t="str">
        <f t="shared" si="283"/>
        <v/>
      </c>
      <c r="K1741" s="197"/>
      <c r="L1741" s="197"/>
      <c r="M1741" s="198"/>
      <c r="N1741" s="198"/>
      <c r="O1741" s="198"/>
      <c r="P1741" s="199"/>
      <c r="Q1741" s="200"/>
      <c r="R1741" s="200"/>
      <c r="S1741" s="200"/>
      <c r="T1741" s="200" t="str">
        <f t="shared" si="279"/>
        <v/>
      </c>
      <c r="U1741" s="200"/>
      <c r="V1741" s="201" t="str">
        <f t="shared" si="280"/>
        <v/>
      </c>
      <c r="W1741" s="202">
        <f t="shared" si="281"/>
        <v>0</v>
      </c>
      <c r="X1741" s="172"/>
    </row>
    <row r="1742" spans="1:24" x14ac:dyDescent="0.45">
      <c r="A1742" s="193">
        <v>60</v>
      </c>
      <c r="B1742" s="194" t="str">
        <f t="shared" si="277"/>
        <v/>
      </c>
      <c r="C1742" s="170" t="str">
        <f t="shared" si="278"/>
        <v/>
      </c>
      <c r="D1742" s="170"/>
      <c r="E1742" s="195"/>
      <c r="F1742" s="170"/>
      <c r="G1742" s="170"/>
      <c r="H1742" s="203"/>
      <c r="I1742" s="197" t="str">
        <f t="shared" si="282"/>
        <v/>
      </c>
      <c r="J1742" s="197" t="str">
        <f t="shared" si="283"/>
        <v/>
      </c>
      <c r="K1742" s="197"/>
      <c r="L1742" s="197"/>
      <c r="M1742" s="198"/>
      <c r="N1742" s="198"/>
      <c r="O1742" s="198"/>
      <c r="P1742" s="199"/>
      <c r="Q1742" s="200"/>
      <c r="R1742" s="200"/>
      <c r="S1742" s="200"/>
      <c r="T1742" s="200" t="str">
        <f t="shared" si="279"/>
        <v/>
      </c>
      <c r="U1742" s="200"/>
      <c r="V1742" s="201" t="str">
        <f t="shared" si="280"/>
        <v/>
      </c>
      <c r="W1742" s="202">
        <f t="shared" si="281"/>
        <v>0</v>
      </c>
      <c r="X1742" s="172"/>
    </row>
    <row r="1743" spans="1:24" x14ac:dyDescent="0.45">
      <c r="A1743" s="193">
        <v>61</v>
      </c>
      <c r="B1743" s="194" t="str">
        <f t="shared" si="277"/>
        <v/>
      </c>
      <c r="C1743" s="170" t="str">
        <f t="shared" si="278"/>
        <v/>
      </c>
      <c r="D1743" s="170"/>
      <c r="E1743" s="195"/>
      <c r="F1743" s="170"/>
      <c r="G1743" s="170"/>
      <c r="H1743" s="203"/>
      <c r="I1743" s="197" t="str">
        <f t="shared" si="282"/>
        <v/>
      </c>
      <c r="J1743" s="197" t="str">
        <f t="shared" si="283"/>
        <v/>
      </c>
      <c r="K1743" s="197"/>
      <c r="L1743" s="197"/>
      <c r="M1743" s="198"/>
      <c r="N1743" s="198"/>
      <c r="O1743" s="198"/>
      <c r="P1743" s="199"/>
      <c r="Q1743" s="200"/>
      <c r="R1743" s="200"/>
      <c r="S1743" s="200"/>
      <c r="T1743" s="200" t="str">
        <f t="shared" si="279"/>
        <v/>
      </c>
      <c r="U1743" s="200"/>
      <c r="V1743" s="201" t="str">
        <f t="shared" si="280"/>
        <v/>
      </c>
      <c r="W1743" s="202">
        <f t="shared" si="281"/>
        <v>0</v>
      </c>
      <c r="X1743" s="172"/>
    </row>
    <row r="1744" spans="1:24" x14ac:dyDescent="0.45">
      <c r="A1744" s="193">
        <v>62</v>
      </c>
      <c r="B1744" s="194" t="str">
        <f t="shared" si="277"/>
        <v/>
      </c>
      <c r="C1744" s="170" t="str">
        <f t="shared" si="278"/>
        <v/>
      </c>
      <c r="D1744" s="170"/>
      <c r="E1744" s="195"/>
      <c r="F1744" s="170"/>
      <c r="G1744" s="170"/>
      <c r="H1744" s="203"/>
      <c r="I1744" s="197" t="str">
        <f t="shared" si="282"/>
        <v/>
      </c>
      <c r="J1744" s="197" t="str">
        <f t="shared" si="283"/>
        <v/>
      </c>
      <c r="K1744" s="197"/>
      <c r="L1744" s="197"/>
      <c r="M1744" s="198"/>
      <c r="N1744" s="198"/>
      <c r="O1744" s="198"/>
      <c r="P1744" s="199"/>
      <c r="Q1744" s="200"/>
      <c r="R1744" s="200"/>
      <c r="S1744" s="200"/>
      <c r="T1744" s="200" t="str">
        <f t="shared" si="279"/>
        <v/>
      </c>
      <c r="U1744" s="200"/>
      <c r="V1744" s="201" t="str">
        <f t="shared" si="280"/>
        <v/>
      </c>
      <c r="W1744" s="202">
        <f t="shared" si="281"/>
        <v>0</v>
      </c>
      <c r="X1744" s="172"/>
    </row>
    <row r="1745" spans="1:24" x14ac:dyDescent="0.45">
      <c r="A1745" s="193">
        <v>63</v>
      </c>
      <c r="B1745" s="194" t="str">
        <f t="shared" si="277"/>
        <v/>
      </c>
      <c r="C1745" s="170" t="str">
        <f t="shared" si="278"/>
        <v/>
      </c>
      <c r="D1745" s="170"/>
      <c r="E1745" s="195"/>
      <c r="F1745" s="170"/>
      <c r="G1745" s="170"/>
      <c r="H1745" s="203"/>
      <c r="I1745" s="197" t="str">
        <f t="shared" si="282"/>
        <v/>
      </c>
      <c r="J1745" s="197" t="str">
        <f t="shared" si="283"/>
        <v/>
      </c>
      <c r="K1745" s="197"/>
      <c r="L1745" s="197"/>
      <c r="M1745" s="198"/>
      <c r="N1745" s="198"/>
      <c r="O1745" s="198"/>
      <c r="P1745" s="199"/>
      <c r="Q1745" s="200"/>
      <c r="R1745" s="200"/>
      <c r="S1745" s="200"/>
      <c r="T1745" s="200" t="str">
        <f t="shared" si="279"/>
        <v/>
      </c>
      <c r="U1745" s="200"/>
      <c r="V1745" s="201" t="str">
        <f t="shared" si="280"/>
        <v/>
      </c>
      <c r="W1745" s="202">
        <f t="shared" si="281"/>
        <v>0</v>
      </c>
      <c r="X1745" s="172"/>
    </row>
    <row r="1746" spans="1:24" x14ac:dyDescent="0.45">
      <c r="A1746" s="193">
        <v>64</v>
      </c>
      <c r="B1746" s="194" t="str">
        <f t="shared" si="277"/>
        <v/>
      </c>
      <c r="C1746" s="170" t="str">
        <f t="shared" si="278"/>
        <v/>
      </c>
      <c r="D1746" s="170"/>
      <c r="E1746" s="195"/>
      <c r="F1746" s="170"/>
      <c r="G1746" s="170"/>
      <c r="H1746" s="203"/>
      <c r="I1746" s="197" t="str">
        <f t="shared" si="282"/>
        <v/>
      </c>
      <c r="J1746" s="197" t="str">
        <f t="shared" si="283"/>
        <v/>
      </c>
      <c r="K1746" s="197"/>
      <c r="L1746" s="197"/>
      <c r="M1746" s="198"/>
      <c r="N1746" s="198"/>
      <c r="O1746" s="198"/>
      <c r="P1746" s="199"/>
      <c r="Q1746" s="200"/>
      <c r="R1746" s="200"/>
      <c r="S1746" s="200"/>
      <c r="T1746" s="200" t="str">
        <f t="shared" si="279"/>
        <v/>
      </c>
      <c r="U1746" s="200"/>
      <c r="V1746" s="201" t="str">
        <f t="shared" si="280"/>
        <v/>
      </c>
      <c r="W1746" s="202">
        <f t="shared" si="281"/>
        <v>0</v>
      </c>
      <c r="X1746" s="172"/>
    </row>
    <row r="1747" spans="1:24" x14ac:dyDescent="0.45">
      <c r="A1747" s="193">
        <v>65</v>
      </c>
      <c r="B1747" s="194" t="str">
        <f t="shared" si="277"/>
        <v/>
      </c>
      <c r="C1747" s="170" t="str">
        <f t="shared" si="278"/>
        <v/>
      </c>
      <c r="D1747" s="170"/>
      <c r="E1747" s="195"/>
      <c r="F1747" s="170"/>
      <c r="G1747" s="170"/>
      <c r="H1747" s="203"/>
      <c r="I1747" s="197" t="str">
        <f t="shared" si="282"/>
        <v/>
      </c>
      <c r="J1747" s="197" t="str">
        <f t="shared" si="283"/>
        <v/>
      </c>
      <c r="K1747" s="197"/>
      <c r="L1747" s="197"/>
      <c r="M1747" s="198"/>
      <c r="N1747" s="198"/>
      <c r="O1747" s="198"/>
      <c r="P1747" s="199"/>
      <c r="Q1747" s="200"/>
      <c r="R1747" s="200"/>
      <c r="S1747" s="200"/>
      <c r="T1747" s="200" t="str">
        <f t="shared" si="279"/>
        <v/>
      </c>
      <c r="U1747" s="200"/>
      <c r="V1747" s="201" t="str">
        <f t="shared" ref="V1747:V1748" si="284">IF(U1747="","",$V$1663)</f>
        <v/>
      </c>
      <c r="W1747" s="202">
        <f t="shared" si="281"/>
        <v>0</v>
      </c>
      <c r="X1747" s="172"/>
    </row>
    <row r="1748" spans="1:24" ht="14.25" customHeight="1" x14ac:dyDescent="0.45">
      <c r="A1748" s="193">
        <v>66</v>
      </c>
      <c r="B1748" s="204" t="str">
        <f t="shared" si="277"/>
        <v/>
      </c>
      <c r="C1748" s="205" t="str">
        <f t="shared" si="278"/>
        <v/>
      </c>
      <c r="D1748" s="205"/>
      <c r="E1748" s="205"/>
      <c r="F1748" s="205"/>
      <c r="G1748" s="205"/>
      <c r="H1748" s="205"/>
      <c r="I1748" s="206" t="str">
        <f t="shared" si="282"/>
        <v/>
      </c>
      <c r="J1748" s="206" t="str">
        <f t="shared" si="283"/>
        <v/>
      </c>
      <c r="K1748" s="206"/>
      <c r="L1748" s="206"/>
      <c r="M1748" s="205"/>
      <c r="N1748" s="205"/>
      <c r="O1748" s="205"/>
      <c r="P1748" s="205"/>
      <c r="Q1748" s="205"/>
      <c r="R1748" s="205"/>
      <c r="S1748" s="205"/>
      <c r="T1748" s="205" t="str">
        <f t="shared" si="279"/>
        <v/>
      </c>
      <c r="U1748" s="205"/>
      <c r="V1748" s="205" t="str">
        <f t="shared" si="284"/>
        <v/>
      </c>
      <c r="W1748" s="207">
        <f t="shared" si="281"/>
        <v>0</v>
      </c>
      <c r="X1748" s="207"/>
    </row>
    <row r="1749" spans="1:24" ht="24.75" customHeight="1" x14ac:dyDescent="0.45">
      <c r="B1749" s="428" t="s">
        <v>1527</v>
      </c>
      <c r="C1749" s="429" t="s">
        <v>1494</v>
      </c>
      <c r="D1749" s="429"/>
      <c r="E1749" s="429"/>
      <c r="F1749" s="429"/>
      <c r="G1749" s="429"/>
      <c r="H1749" s="429"/>
      <c r="I1749" s="429"/>
      <c r="J1749" s="429"/>
      <c r="K1749" s="429"/>
      <c r="L1749" s="429"/>
      <c r="M1749" s="429"/>
      <c r="N1749" s="429"/>
      <c r="O1749" s="429"/>
      <c r="P1749" s="429"/>
      <c r="Q1749" s="429"/>
      <c r="R1749" s="145" t="s">
        <v>1</v>
      </c>
      <c r="S1749" s="146"/>
      <c r="T1749" s="145" t="s">
        <v>8</v>
      </c>
      <c r="U1749" s="147"/>
      <c r="V1749" s="148" t="s">
        <v>3</v>
      </c>
      <c r="W1749" s="146"/>
      <c r="X1749" s="149"/>
    </row>
    <row r="1750" spans="1:24" ht="24.75" customHeight="1" x14ac:dyDescent="0.45">
      <c r="B1750" s="428"/>
      <c r="C1750" s="429"/>
      <c r="D1750" s="429"/>
      <c r="E1750" s="429"/>
      <c r="F1750" s="429"/>
      <c r="G1750" s="429"/>
      <c r="H1750" s="429"/>
      <c r="I1750" s="429"/>
      <c r="J1750" s="429"/>
      <c r="K1750" s="429"/>
      <c r="L1750" s="429"/>
      <c r="M1750" s="429"/>
      <c r="N1750" s="429"/>
      <c r="O1750" s="429"/>
      <c r="P1750" s="429"/>
      <c r="Q1750" s="429"/>
      <c r="R1750" s="430" t="s">
        <v>1495</v>
      </c>
      <c r="S1750" s="430"/>
      <c r="T1750" s="431" t="str">
        <f>'BM MORRO DA CRUZ - VERTICAL'!$V$4</f>
        <v>01-10-26 A 31-10-26</v>
      </c>
      <c r="U1750" s="431"/>
      <c r="V1750" s="432" t="str">
        <f>IF('BM MORRO DA CRUZ - VERTICAL'!$BF$2="","",'BM MORRO DA CRUZ - VERTICAL'!$BF$2)</f>
        <v/>
      </c>
      <c r="W1750" s="432"/>
      <c r="X1750" s="150"/>
    </row>
    <row r="1751" spans="1:24" ht="24.75" customHeight="1" x14ac:dyDescent="0.45">
      <c r="B1751" s="151" t="s">
        <v>5</v>
      </c>
      <c r="C1751" s="152"/>
      <c r="D1751" s="152"/>
      <c r="E1751" s="152"/>
      <c r="F1751" s="152"/>
      <c r="G1751" s="152"/>
      <c r="H1751" s="152"/>
      <c r="I1751" s="152"/>
      <c r="J1751" s="152"/>
      <c r="K1751" s="152"/>
      <c r="L1751" s="152"/>
      <c r="M1751" s="152"/>
      <c r="N1751" s="152"/>
      <c r="O1751" s="152"/>
      <c r="P1751" s="153"/>
      <c r="Q1751" s="154"/>
      <c r="R1751" s="155"/>
      <c r="S1751" s="155"/>
      <c r="T1751" s="156" t="s">
        <v>1496</v>
      </c>
      <c r="U1751" s="157"/>
      <c r="V1751" s="158" t="s">
        <v>9</v>
      </c>
      <c r="W1751" s="159"/>
      <c r="X1751" s="433"/>
    </row>
    <row r="1752" spans="1:24" ht="24.75" customHeight="1" x14ac:dyDescent="0.45">
      <c r="B1752" s="17" t="s">
        <v>11</v>
      </c>
      <c r="C1752" s="160"/>
      <c r="D1752" s="160"/>
      <c r="E1752" s="160"/>
      <c r="F1752" s="160"/>
      <c r="G1752" s="160"/>
      <c r="H1752" s="160"/>
      <c r="I1752" s="160"/>
      <c r="J1752" s="160"/>
      <c r="K1752" s="160"/>
      <c r="L1752" s="160"/>
      <c r="M1752" s="160"/>
      <c r="N1752" s="160"/>
      <c r="O1752" s="160"/>
      <c r="P1752" s="161"/>
      <c r="Q1752" s="162"/>
      <c r="R1752" s="163"/>
      <c r="S1752" s="163"/>
      <c r="T1752" s="434" t="str">
        <f>'BM MORRO DA CRUZ - VERTICAL'!$V$2</f>
        <v>1ª MEDIÇÃO</v>
      </c>
      <c r="U1752" s="434"/>
      <c r="V1752" s="435" t="s">
        <v>13</v>
      </c>
      <c r="W1752" s="435"/>
      <c r="X1752" s="433"/>
    </row>
    <row r="1753" spans="1:24" ht="24.75" customHeight="1" x14ac:dyDescent="0.45">
      <c r="B1753" s="164" t="s">
        <v>1459</v>
      </c>
      <c r="C1753" s="165" t="s">
        <v>14</v>
      </c>
      <c r="D1753" s="165" t="s">
        <v>24</v>
      </c>
      <c r="E1753" s="165" t="s">
        <v>25</v>
      </c>
      <c r="F1753" s="166" t="s">
        <v>1461</v>
      </c>
      <c r="G1753" s="165"/>
      <c r="H1753" s="165"/>
      <c r="I1753" s="165"/>
      <c r="J1753" s="165"/>
      <c r="K1753" s="165"/>
      <c r="L1753" s="165"/>
      <c r="M1753" s="165"/>
      <c r="N1753" s="165"/>
      <c r="O1753" s="165"/>
      <c r="P1753" s="165"/>
      <c r="Q1753" s="165"/>
      <c r="R1753" s="165"/>
      <c r="S1753" s="165"/>
      <c r="T1753" s="165"/>
      <c r="U1753" s="165"/>
      <c r="V1753" s="165" t="s">
        <v>26</v>
      </c>
      <c r="W1753" s="167" t="s">
        <v>29</v>
      </c>
      <c r="X1753" s="168"/>
    </row>
    <row r="1754" spans="1:24" ht="24.75" customHeight="1" x14ac:dyDescent="0.45">
      <c r="B1754" s="169"/>
      <c r="C1754" s="170"/>
      <c r="D1754" s="170"/>
      <c r="E1754" s="170"/>
      <c r="F1754" s="170"/>
      <c r="G1754" s="170"/>
      <c r="H1754" s="170"/>
      <c r="I1754" s="170"/>
      <c r="J1754" s="170"/>
      <c r="K1754" s="170"/>
      <c r="L1754" s="170"/>
      <c r="M1754" s="170"/>
      <c r="N1754" s="170"/>
      <c r="O1754" s="170"/>
      <c r="P1754" s="170"/>
      <c r="Q1754" s="170"/>
      <c r="R1754" s="170"/>
      <c r="S1754" s="170"/>
      <c r="T1754" s="170"/>
      <c r="U1754" s="170"/>
      <c r="V1754" s="170"/>
      <c r="W1754" s="171"/>
      <c r="X1754" s="172"/>
    </row>
    <row r="1755" spans="1:24" ht="24.75" customHeight="1" x14ac:dyDescent="0.45">
      <c r="B1755" s="173" t="str">
        <f>IF($C$1755="","",IFERROR(INDEX('BM MORRO DA CRUZ - VERTICAL'!$C$6:$C$546,MATCH($C$1755,'BM MORRO DA CRUZ - VERTICAL'!$D$6:$D$546,0)),"CHAVE NÃO ENCONTRADA NO VERTICAL"))</f>
        <v/>
      </c>
      <c r="C1755" s="174"/>
      <c r="D1755" s="175" t="str">
        <f>IF($C$1755="","",IFERROR(INDEX('BM MORRO DA CRUZ - VERTICAL'!$O$6:$O$546,MATCH($C$1755,'BM MORRO DA CRUZ - VERTICAL'!$D$6:$D$546,0)),"CHAVE NÃO ENCONTRADA NO VERTICAL"))</f>
        <v/>
      </c>
      <c r="E1755" s="175" t="str">
        <f>IF($C$1755="","",IFERROR(INDEX('BM MORRO DA CRUZ - VERTICAL'!$P$6:$P$546,MATCH($C$1755,'BM MORRO DA CRUZ - VERTICAL'!$D$6:$D$546,0)),"CHAVE NÃO ENCONTRADA NO VERTICAL"))</f>
        <v/>
      </c>
      <c r="F1755" s="175" t="str">
        <f>IF($C$1755="","",IFERROR(INDEX('BM MORRO DA CRUZ - VERTICAL'!$Q$6:$Q$546,MATCH($C$1755,'BM MORRO DA CRUZ - VERTICAL'!$D$6:$D$546,0)),"CHAVE NÃO ENCONTRADA NO VERTICAL"))</f>
        <v/>
      </c>
      <c r="G1755" s="176"/>
      <c r="H1755" s="176"/>
      <c r="I1755" s="176"/>
      <c r="J1755" s="176"/>
      <c r="K1755" s="176"/>
      <c r="L1755" s="176"/>
      <c r="M1755" s="176"/>
      <c r="N1755" s="176"/>
      <c r="O1755" s="176"/>
      <c r="P1755" s="176"/>
      <c r="Q1755" s="176"/>
      <c r="R1755" s="176"/>
      <c r="S1755" s="176"/>
      <c r="T1755" s="176"/>
      <c r="U1755" s="176"/>
      <c r="V1755" s="177" t="str">
        <f>IF($C$1755="","",IFERROR(INDEX('BM MORRO DA CRUZ - VERTICAL'!$R$6:$R$546,MATCH($C$1755,'BM MORRO DA CRUZ - VERTICAL'!$D$6:$D$546,0)),"CHAVE NÃO ENCONTRADA NO VERTICAL"))</f>
        <v/>
      </c>
      <c r="W1755" s="178">
        <f>SUM($W1775:$W1840)</f>
        <v>0</v>
      </c>
      <c r="X1755" s="179"/>
    </row>
    <row r="1756" spans="1:24" ht="24.75" customHeight="1" x14ac:dyDescent="0.45">
      <c r="B1756" s="426" t="s">
        <v>1497</v>
      </c>
      <c r="C1756" s="426"/>
      <c r="D1756" s="426"/>
      <c r="E1756" s="426"/>
      <c r="F1756" s="426"/>
      <c r="G1756" s="426"/>
      <c r="H1756" s="426"/>
      <c r="I1756" s="426"/>
      <c r="J1756" s="426"/>
      <c r="K1756" s="426"/>
      <c r="L1756" s="426"/>
      <c r="M1756" s="426"/>
      <c r="N1756" s="426"/>
      <c r="O1756" s="426"/>
      <c r="P1756" s="426"/>
      <c r="Q1756" s="426"/>
      <c r="R1756" s="426"/>
      <c r="S1756" s="426"/>
      <c r="T1756" s="426"/>
      <c r="U1756" s="426"/>
      <c r="V1756" s="426"/>
      <c r="W1756" s="426"/>
      <c r="X1756" s="180" t="s">
        <v>1498</v>
      </c>
    </row>
    <row r="1757" spans="1:24" ht="14.25" customHeight="1" x14ac:dyDescent="0.45">
      <c r="B1757" s="181"/>
      <c r="C1757" s="182"/>
      <c r="D1757" s="182"/>
      <c r="E1757" s="182"/>
      <c r="F1757" s="182"/>
      <c r="G1757" s="182"/>
      <c r="H1757" s="182"/>
      <c r="I1757" s="182"/>
      <c r="J1757" s="182"/>
      <c r="K1757" s="182"/>
      <c r="L1757" s="182"/>
      <c r="M1757" s="182"/>
      <c r="N1757" s="182"/>
      <c r="O1757" s="182"/>
      <c r="P1757" s="182"/>
      <c r="Q1757" s="182"/>
      <c r="R1757" s="182"/>
      <c r="S1757" s="182"/>
      <c r="T1757" s="182"/>
      <c r="U1757" s="182"/>
      <c r="V1757" s="182"/>
      <c r="W1757" s="183"/>
      <c r="X1757" s="427"/>
    </row>
    <row r="1758" spans="1:24" x14ac:dyDescent="0.45">
      <c r="B1758" s="181"/>
      <c r="C1758" s="182"/>
      <c r="D1758" s="182"/>
      <c r="E1758" s="182"/>
      <c r="F1758" s="182"/>
      <c r="G1758" s="182"/>
      <c r="H1758" s="182"/>
      <c r="I1758" s="182"/>
      <c r="J1758" s="182"/>
      <c r="K1758" s="182"/>
      <c r="L1758" s="182"/>
      <c r="M1758" s="182"/>
      <c r="N1758" s="182"/>
      <c r="O1758" s="182"/>
      <c r="P1758" s="182"/>
      <c r="Q1758" s="182"/>
      <c r="R1758" s="182"/>
      <c r="S1758" s="182"/>
      <c r="T1758" s="182"/>
      <c r="U1758" s="182"/>
      <c r="V1758" s="182"/>
      <c r="W1758" s="183"/>
      <c r="X1758" s="427"/>
    </row>
    <row r="1759" spans="1:24" x14ac:dyDescent="0.45">
      <c r="B1759" s="181"/>
      <c r="C1759" s="182"/>
      <c r="D1759" s="182"/>
      <c r="E1759" s="182"/>
      <c r="F1759" s="182"/>
      <c r="G1759" s="182"/>
      <c r="H1759" s="182"/>
      <c r="I1759" s="182"/>
      <c r="J1759" s="182"/>
      <c r="K1759" s="182"/>
      <c r="L1759" s="182"/>
      <c r="M1759" s="182"/>
      <c r="N1759" s="182"/>
      <c r="O1759" s="182"/>
      <c r="P1759" s="182"/>
      <c r="Q1759" s="182"/>
      <c r="R1759" s="182"/>
      <c r="S1759" s="182"/>
      <c r="T1759" s="182"/>
      <c r="U1759" s="182"/>
      <c r="V1759" s="182"/>
      <c r="W1759" s="183"/>
      <c r="X1759" s="427"/>
    </row>
    <row r="1760" spans="1:24" x14ac:dyDescent="0.45">
      <c r="B1760" s="181"/>
      <c r="C1760" s="182"/>
      <c r="D1760" s="182"/>
      <c r="E1760" s="182"/>
      <c r="F1760" s="182"/>
      <c r="G1760" s="182"/>
      <c r="H1760" s="182"/>
      <c r="I1760" s="182"/>
      <c r="J1760" s="182"/>
      <c r="K1760" s="182"/>
      <c r="L1760" s="182"/>
      <c r="M1760" s="182"/>
      <c r="N1760" s="182"/>
      <c r="O1760" s="182"/>
      <c r="P1760" s="182"/>
      <c r="Q1760" s="182"/>
      <c r="R1760" s="182"/>
      <c r="S1760" s="182"/>
      <c r="T1760" s="182"/>
      <c r="U1760" s="182"/>
      <c r="V1760" s="182"/>
      <c r="W1760" s="183"/>
      <c r="X1760" s="427"/>
    </row>
    <row r="1761" spans="1:24" x14ac:dyDescent="0.45">
      <c r="B1761" s="181"/>
      <c r="C1761" s="182"/>
      <c r="D1761" s="182"/>
      <c r="E1761" s="182"/>
      <c r="F1761" s="182"/>
      <c r="G1761" s="182"/>
      <c r="H1761" s="182"/>
      <c r="I1761" s="182"/>
      <c r="J1761" s="182"/>
      <c r="K1761" s="182"/>
      <c r="L1761" s="182"/>
      <c r="M1761" s="182"/>
      <c r="N1761" s="182"/>
      <c r="O1761" s="182"/>
      <c r="P1761" s="182"/>
      <c r="Q1761" s="182"/>
      <c r="R1761" s="182"/>
      <c r="S1761" s="182"/>
      <c r="T1761" s="182"/>
      <c r="U1761" s="182"/>
      <c r="V1761" s="182"/>
      <c r="W1761" s="183"/>
      <c r="X1761" s="427"/>
    </row>
    <row r="1762" spans="1:24" x14ac:dyDescent="0.45">
      <c r="B1762" s="181"/>
      <c r="C1762" s="182"/>
      <c r="D1762" s="182"/>
      <c r="E1762" s="182"/>
      <c r="F1762" s="182"/>
      <c r="G1762" s="182"/>
      <c r="H1762" s="182"/>
      <c r="I1762" s="182"/>
      <c r="J1762" s="182"/>
      <c r="K1762" s="182"/>
      <c r="L1762" s="182"/>
      <c r="M1762" s="182"/>
      <c r="N1762" s="182"/>
      <c r="O1762" s="182"/>
      <c r="P1762" s="182"/>
      <c r="Q1762" s="182"/>
      <c r="R1762" s="182"/>
      <c r="S1762" s="182"/>
      <c r="T1762" s="182"/>
      <c r="U1762" s="182"/>
      <c r="V1762" s="182"/>
      <c r="W1762" s="183"/>
      <c r="X1762" s="427"/>
    </row>
    <row r="1763" spans="1:24" x14ac:dyDescent="0.45">
      <c r="B1763" s="181"/>
      <c r="C1763" s="182"/>
      <c r="D1763" s="182"/>
      <c r="E1763" s="182"/>
      <c r="F1763" s="182"/>
      <c r="G1763" s="182"/>
      <c r="H1763" s="182"/>
      <c r="I1763" s="182"/>
      <c r="J1763" s="182"/>
      <c r="K1763" s="182"/>
      <c r="L1763" s="182"/>
      <c r="M1763" s="182"/>
      <c r="N1763" s="182"/>
      <c r="O1763" s="182"/>
      <c r="P1763" s="182"/>
      <c r="Q1763" s="182"/>
      <c r="R1763" s="182"/>
      <c r="S1763" s="182"/>
      <c r="T1763" s="182"/>
      <c r="U1763" s="182"/>
      <c r="V1763" s="182"/>
      <c r="W1763" s="183"/>
      <c r="X1763" s="427"/>
    </row>
    <row r="1764" spans="1:24" x14ac:dyDescent="0.45">
      <c r="B1764" s="181"/>
      <c r="C1764" s="182"/>
      <c r="D1764" s="182"/>
      <c r="E1764" s="182"/>
      <c r="F1764" s="182"/>
      <c r="G1764" s="182"/>
      <c r="H1764" s="182"/>
      <c r="I1764" s="182"/>
      <c r="J1764" s="182"/>
      <c r="K1764" s="182"/>
      <c r="L1764" s="182"/>
      <c r="M1764" s="182"/>
      <c r="N1764" s="182"/>
      <c r="O1764" s="182"/>
      <c r="P1764" s="182"/>
      <c r="Q1764" s="182"/>
      <c r="R1764" s="182"/>
      <c r="S1764" s="182"/>
      <c r="T1764" s="182"/>
      <c r="U1764" s="182"/>
      <c r="V1764" s="182"/>
      <c r="W1764" s="183"/>
      <c r="X1764" s="427"/>
    </row>
    <row r="1765" spans="1:24" x14ac:dyDescent="0.45">
      <c r="B1765" s="181"/>
      <c r="C1765" s="182"/>
      <c r="D1765" s="182"/>
      <c r="E1765" s="182"/>
      <c r="F1765" s="182"/>
      <c r="G1765" s="182"/>
      <c r="H1765" s="182"/>
      <c r="I1765" s="182"/>
      <c r="J1765" s="182"/>
      <c r="K1765" s="182"/>
      <c r="L1765" s="182"/>
      <c r="M1765" s="182"/>
      <c r="N1765" s="182"/>
      <c r="O1765" s="182"/>
      <c r="P1765" s="182"/>
      <c r="Q1765" s="182"/>
      <c r="R1765" s="182"/>
      <c r="S1765" s="182"/>
      <c r="T1765" s="182"/>
      <c r="U1765" s="182"/>
      <c r="V1765" s="182"/>
      <c r="W1765" s="183"/>
      <c r="X1765" s="427"/>
    </row>
    <row r="1766" spans="1:24" x14ac:dyDescent="0.45">
      <c r="B1766" s="181"/>
      <c r="C1766" s="182"/>
      <c r="D1766" s="182"/>
      <c r="E1766" s="182"/>
      <c r="F1766" s="182"/>
      <c r="G1766" s="182"/>
      <c r="H1766" s="182"/>
      <c r="I1766" s="182"/>
      <c r="J1766" s="182"/>
      <c r="K1766" s="182"/>
      <c r="L1766" s="182"/>
      <c r="M1766" s="182"/>
      <c r="N1766" s="182"/>
      <c r="O1766" s="182"/>
      <c r="P1766" s="182"/>
      <c r="Q1766" s="182"/>
      <c r="R1766" s="182"/>
      <c r="S1766" s="182"/>
      <c r="T1766" s="182"/>
      <c r="U1766" s="182"/>
      <c r="V1766" s="182"/>
      <c r="W1766" s="183"/>
      <c r="X1766" s="427"/>
    </row>
    <row r="1767" spans="1:24" x14ac:dyDescent="0.45">
      <c r="B1767" s="181"/>
      <c r="C1767" s="182"/>
      <c r="D1767" s="182"/>
      <c r="E1767" s="182"/>
      <c r="F1767" s="182"/>
      <c r="G1767" s="182"/>
      <c r="H1767" s="182"/>
      <c r="I1767" s="182"/>
      <c r="J1767" s="182"/>
      <c r="K1767" s="182"/>
      <c r="L1767" s="182"/>
      <c r="M1767" s="182"/>
      <c r="N1767" s="182"/>
      <c r="O1767" s="182"/>
      <c r="P1767" s="182"/>
      <c r="Q1767" s="182"/>
      <c r="R1767" s="182"/>
      <c r="S1767" s="182"/>
      <c r="T1767" s="182"/>
      <c r="U1767" s="182"/>
      <c r="V1767" s="182"/>
      <c r="W1767" s="183"/>
      <c r="X1767" s="427"/>
    </row>
    <row r="1768" spans="1:24" x14ac:dyDescent="0.45">
      <c r="B1768" s="181"/>
      <c r="C1768" s="182"/>
      <c r="D1768" s="182"/>
      <c r="E1768" s="182"/>
      <c r="F1768" s="182"/>
      <c r="G1768" s="182"/>
      <c r="H1768" s="182"/>
      <c r="I1768" s="182"/>
      <c r="J1768" s="182"/>
      <c r="K1768" s="182"/>
      <c r="L1768" s="182"/>
      <c r="M1768" s="182"/>
      <c r="N1768" s="182"/>
      <c r="O1768" s="182"/>
      <c r="P1768" s="182"/>
      <c r="Q1768" s="182"/>
      <c r="R1768" s="182"/>
      <c r="S1768" s="182"/>
      <c r="T1768" s="182"/>
      <c r="U1768" s="182"/>
      <c r="V1768" s="182"/>
      <c r="W1768" s="183"/>
      <c r="X1768" s="427"/>
    </row>
    <row r="1769" spans="1:24" x14ac:dyDescent="0.45">
      <c r="B1769" s="181"/>
      <c r="C1769" s="182"/>
      <c r="D1769" s="182"/>
      <c r="E1769" s="182"/>
      <c r="F1769" s="182"/>
      <c r="G1769" s="182"/>
      <c r="H1769" s="182"/>
      <c r="I1769" s="182"/>
      <c r="J1769" s="182"/>
      <c r="K1769" s="182"/>
      <c r="L1769" s="182"/>
      <c r="M1769" s="182"/>
      <c r="N1769" s="182"/>
      <c r="O1769" s="182"/>
      <c r="P1769" s="182"/>
      <c r="Q1769" s="182"/>
      <c r="R1769" s="182"/>
      <c r="S1769" s="182"/>
      <c r="T1769" s="182"/>
      <c r="U1769" s="182"/>
      <c r="V1769" s="182"/>
      <c r="W1769" s="183"/>
      <c r="X1769" s="427"/>
    </row>
    <row r="1770" spans="1:24" x14ac:dyDescent="0.45">
      <c r="B1770" s="181"/>
      <c r="C1770" s="182"/>
      <c r="D1770" s="182"/>
      <c r="E1770" s="182"/>
      <c r="F1770" s="182"/>
      <c r="G1770" s="182"/>
      <c r="H1770" s="182"/>
      <c r="I1770" s="182"/>
      <c r="J1770" s="182"/>
      <c r="K1770" s="182"/>
      <c r="L1770" s="182"/>
      <c r="M1770" s="182"/>
      <c r="N1770" s="182"/>
      <c r="O1770" s="182"/>
      <c r="P1770" s="182"/>
      <c r="Q1770" s="182"/>
      <c r="R1770" s="182"/>
      <c r="S1770" s="182"/>
      <c r="T1770" s="182"/>
      <c r="U1770" s="182"/>
      <c r="V1770" s="182"/>
      <c r="W1770" s="183"/>
      <c r="X1770" s="427"/>
    </row>
    <row r="1771" spans="1:24" x14ac:dyDescent="0.45">
      <c r="B1771" s="181"/>
      <c r="C1771" s="182"/>
      <c r="D1771" s="182"/>
      <c r="E1771" s="182"/>
      <c r="F1771" s="182"/>
      <c r="G1771" s="182"/>
      <c r="H1771" s="182"/>
      <c r="I1771" s="182"/>
      <c r="J1771" s="182"/>
      <c r="K1771" s="182"/>
      <c r="L1771" s="182"/>
      <c r="M1771" s="182"/>
      <c r="N1771" s="182"/>
      <c r="O1771" s="182"/>
      <c r="P1771" s="182"/>
      <c r="Q1771" s="182"/>
      <c r="R1771" s="182"/>
      <c r="S1771" s="182"/>
      <c r="T1771" s="182"/>
      <c r="U1771" s="182"/>
      <c r="V1771" s="182"/>
      <c r="W1771" s="183"/>
      <c r="X1771" s="427"/>
    </row>
    <row r="1772" spans="1:24" x14ac:dyDescent="0.45">
      <c r="B1772" s="181"/>
      <c r="C1772" s="182"/>
      <c r="D1772" s="182"/>
      <c r="E1772" s="182"/>
      <c r="F1772" s="182"/>
      <c r="G1772" s="182"/>
      <c r="H1772" s="182"/>
      <c r="I1772" s="182"/>
      <c r="J1772" s="182"/>
      <c r="K1772" s="182"/>
      <c r="L1772" s="182"/>
      <c r="M1772" s="182"/>
      <c r="N1772" s="182"/>
      <c r="O1772" s="182"/>
      <c r="P1772" s="182"/>
      <c r="Q1772" s="182"/>
      <c r="R1772" s="182"/>
      <c r="S1772" s="182"/>
      <c r="T1772" s="182"/>
      <c r="U1772" s="182"/>
      <c r="V1772" s="182"/>
      <c r="W1772" s="183"/>
      <c r="X1772" s="427"/>
    </row>
    <row r="1773" spans="1:24" x14ac:dyDescent="0.45">
      <c r="B1773" s="184"/>
      <c r="C1773" s="185" t="s">
        <v>1499</v>
      </c>
      <c r="D1773" s="185"/>
      <c r="E1773" s="185"/>
      <c r="F1773" s="185"/>
      <c r="G1773" s="185"/>
      <c r="H1773" s="185"/>
      <c r="I1773" s="185"/>
      <c r="J1773" s="185"/>
      <c r="K1773" s="185"/>
      <c r="L1773" s="185"/>
      <c r="M1773" s="185"/>
      <c r="N1773" s="185"/>
      <c r="O1773" s="185"/>
      <c r="P1773" s="185"/>
      <c r="Q1773" s="185"/>
      <c r="R1773" s="185"/>
      <c r="S1773" s="185"/>
      <c r="T1773" s="185"/>
      <c r="U1773" s="185"/>
      <c r="V1773" s="185"/>
      <c r="W1773" s="186"/>
      <c r="X1773" s="187"/>
    </row>
    <row r="1774" spans="1:24" ht="26.65" x14ac:dyDescent="0.45">
      <c r="B1774" s="188" t="s">
        <v>1458</v>
      </c>
      <c r="C1774" s="185" t="s">
        <v>1459</v>
      </c>
      <c r="D1774" s="185"/>
      <c r="E1774" s="185" t="s">
        <v>1500</v>
      </c>
      <c r="F1774" s="185"/>
      <c r="G1774" s="185" t="s">
        <v>1501</v>
      </c>
      <c r="H1774" s="189" t="s">
        <v>1502</v>
      </c>
      <c r="I1774" s="185" t="s">
        <v>1503</v>
      </c>
      <c r="J1774" s="185" t="s">
        <v>1504</v>
      </c>
      <c r="K1774" s="189" t="s">
        <v>1505</v>
      </c>
      <c r="L1774" s="189" t="s">
        <v>1504</v>
      </c>
      <c r="M1774" s="189"/>
      <c r="N1774" s="189" t="s">
        <v>1506</v>
      </c>
      <c r="O1774" s="189"/>
      <c r="P1774" s="190"/>
      <c r="Q1774" s="189"/>
      <c r="R1774" s="189"/>
      <c r="S1774" s="189"/>
      <c r="T1774" s="189" t="s">
        <v>1507</v>
      </c>
      <c r="U1774" s="189" t="s">
        <v>27</v>
      </c>
      <c r="V1774" s="189" t="s">
        <v>26</v>
      </c>
      <c r="W1774" s="191" t="s">
        <v>1508</v>
      </c>
      <c r="X1774" s="192"/>
    </row>
    <row r="1775" spans="1:24" x14ac:dyDescent="0.45">
      <c r="A1775" s="193">
        <v>1</v>
      </c>
      <c r="B1775" s="194" t="str">
        <f t="shared" ref="B1775:B1806" si="285">IF(OR($C$1755="",U1775=""),"",LEFT($C$1755,FIND("_",$C$1755)-1))</f>
        <v/>
      </c>
      <c r="C1775" s="170" t="str">
        <f t="shared" ref="C1775:C1806" si="286">IF(OR($C$1755="",U1775=""),"",$B$1755)</f>
        <v/>
      </c>
      <c r="D1775" s="170"/>
      <c r="E1775" s="195"/>
      <c r="F1775" s="195"/>
      <c r="G1775" s="196"/>
      <c r="H1775" s="197"/>
      <c r="I1775" s="197"/>
      <c r="J1775" s="197"/>
      <c r="K1775" s="197"/>
      <c r="L1775" s="197"/>
      <c r="M1775" s="198"/>
      <c r="N1775" s="198"/>
      <c r="O1775" s="198"/>
      <c r="P1775" s="199"/>
      <c r="Q1775" s="200"/>
      <c r="R1775" s="200"/>
      <c r="S1775" s="200"/>
      <c r="T1775" s="200" t="str">
        <f t="shared" ref="T1775:T1806" si="287">IF(K1775="","",((K1775*20)+L1775)-((I1775*20)+J1775))</f>
        <v/>
      </c>
      <c r="U1775" s="200"/>
      <c r="V1775" s="201" t="str">
        <f t="shared" ref="V1775:V1806" si="288">IF(U1775="","",$V$1755)</f>
        <v/>
      </c>
      <c r="W1775" s="202">
        <f t="shared" ref="W1775:W1806" si="289">IF(OR(T1775="",U1775=""),0,T1775*U1775)</f>
        <v>0</v>
      </c>
      <c r="X1775" s="172"/>
    </row>
    <row r="1776" spans="1:24" x14ac:dyDescent="0.45">
      <c r="A1776" s="193">
        <v>2</v>
      </c>
      <c r="B1776" s="194" t="str">
        <f t="shared" si="285"/>
        <v/>
      </c>
      <c r="C1776" s="170" t="str">
        <f t="shared" si="286"/>
        <v/>
      </c>
      <c r="D1776" s="170"/>
      <c r="E1776" s="195"/>
      <c r="F1776" s="195"/>
      <c r="G1776" s="196"/>
      <c r="H1776" s="197"/>
      <c r="I1776" s="197" t="str">
        <f t="shared" ref="I1776:I1807" si="290">IF(K1775="","",K1775)</f>
        <v/>
      </c>
      <c r="J1776" s="197" t="str">
        <f t="shared" ref="J1776:J1807" si="291">IF(L1775="","",L1775)</f>
        <v/>
      </c>
      <c r="K1776" s="197"/>
      <c r="L1776" s="197"/>
      <c r="M1776" s="198"/>
      <c r="N1776" s="198"/>
      <c r="O1776" s="198"/>
      <c r="P1776" s="199"/>
      <c r="Q1776" s="200"/>
      <c r="R1776" s="200"/>
      <c r="S1776" s="200"/>
      <c r="T1776" s="200" t="str">
        <f t="shared" si="287"/>
        <v/>
      </c>
      <c r="U1776" s="200"/>
      <c r="V1776" s="201" t="str">
        <f t="shared" si="288"/>
        <v/>
      </c>
      <c r="W1776" s="202">
        <f t="shared" si="289"/>
        <v>0</v>
      </c>
      <c r="X1776" s="172"/>
    </row>
    <row r="1777" spans="1:24" x14ac:dyDescent="0.45">
      <c r="A1777" s="193">
        <v>3</v>
      </c>
      <c r="B1777" s="194" t="str">
        <f t="shared" si="285"/>
        <v/>
      </c>
      <c r="C1777" s="170" t="str">
        <f t="shared" si="286"/>
        <v/>
      </c>
      <c r="D1777" s="170"/>
      <c r="E1777" s="195"/>
      <c r="F1777" s="195"/>
      <c r="G1777" s="196"/>
      <c r="H1777" s="197"/>
      <c r="I1777" s="197" t="str">
        <f t="shared" si="290"/>
        <v/>
      </c>
      <c r="J1777" s="197" t="str">
        <f t="shared" si="291"/>
        <v/>
      </c>
      <c r="K1777" s="197"/>
      <c r="L1777" s="197"/>
      <c r="M1777" s="198"/>
      <c r="N1777" s="198"/>
      <c r="O1777" s="198"/>
      <c r="P1777" s="199"/>
      <c r="Q1777" s="200"/>
      <c r="R1777" s="200"/>
      <c r="S1777" s="200"/>
      <c r="T1777" s="200" t="str">
        <f t="shared" si="287"/>
        <v/>
      </c>
      <c r="U1777" s="200"/>
      <c r="V1777" s="201" t="str">
        <f t="shared" si="288"/>
        <v/>
      </c>
      <c r="W1777" s="202">
        <f t="shared" si="289"/>
        <v>0</v>
      </c>
      <c r="X1777" s="172"/>
    </row>
    <row r="1778" spans="1:24" x14ac:dyDescent="0.45">
      <c r="A1778" s="193">
        <v>4</v>
      </c>
      <c r="B1778" s="194" t="str">
        <f t="shared" si="285"/>
        <v/>
      </c>
      <c r="C1778" s="170" t="str">
        <f t="shared" si="286"/>
        <v/>
      </c>
      <c r="D1778" s="170"/>
      <c r="E1778" s="195"/>
      <c r="F1778" s="195"/>
      <c r="G1778" s="196"/>
      <c r="H1778" s="197"/>
      <c r="I1778" s="197" t="str">
        <f t="shared" si="290"/>
        <v/>
      </c>
      <c r="J1778" s="197" t="str">
        <f t="shared" si="291"/>
        <v/>
      </c>
      <c r="K1778" s="197"/>
      <c r="L1778" s="197"/>
      <c r="M1778" s="198"/>
      <c r="N1778" s="198"/>
      <c r="O1778" s="198"/>
      <c r="P1778" s="199"/>
      <c r="Q1778" s="200"/>
      <c r="R1778" s="200"/>
      <c r="S1778" s="200"/>
      <c r="T1778" s="200" t="str">
        <f t="shared" si="287"/>
        <v/>
      </c>
      <c r="U1778" s="200"/>
      <c r="V1778" s="201" t="str">
        <f t="shared" si="288"/>
        <v/>
      </c>
      <c r="W1778" s="202">
        <f t="shared" si="289"/>
        <v>0</v>
      </c>
      <c r="X1778" s="172"/>
    </row>
    <row r="1779" spans="1:24" x14ac:dyDescent="0.45">
      <c r="A1779" s="193">
        <v>5</v>
      </c>
      <c r="B1779" s="194" t="str">
        <f t="shared" si="285"/>
        <v/>
      </c>
      <c r="C1779" s="170" t="str">
        <f t="shared" si="286"/>
        <v/>
      </c>
      <c r="D1779" s="170"/>
      <c r="E1779" s="195"/>
      <c r="F1779" s="195"/>
      <c r="G1779" s="196"/>
      <c r="H1779" s="197"/>
      <c r="I1779" s="197" t="str">
        <f t="shared" si="290"/>
        <v/>
      </c>
      <c r="J1779" s="197" t="str">
        <f t="shared" si="291"/>
        <v/>
      </c>
      <c r="K1779" s="197"/>
      <c r="L1779" s="197"/>
      <c r="M1779" s="198"/>
      <c r="N1779" s="198"/>
      <c r="O1779" s="198"/>
      <c r="P1779" s="199"/>
      <c r="Q1779" s="200"/>
      <c r="R1779" s="200"/>
      <c r="S1779" s="200"/>
      <c r="T1779" s="200" t="str">
        <f t="shared" si="287"/>
        <v/>
      </c>
      <c r="U1779" s="200"/>
      <c r="V1779" s="201" t="str">
        <f t="shared" si="288"/>
        <v/>
      </c>
      <c r="W1779" s="202">
        <f t="shared" si="289"/>
        <v>0</v>
      </c>
      <c r="X1779" s="172"/>
    </row>
    <row r="1780" spans="1:24" x14ac:dyDescent="0.45">
      <c r="A1780" s="193">
        <v>6</v>
      </c>
      <c r="B1780" s="194" t="str">
        <f t="shared" si="285"/>
        <v/>
      </c>
      <c r="C1780" s="170" t="str">
        <f t="shared" si="286"/>
        <v/>
      </c>
      <c r="D1780" s="170"/>
      <c r="E1780" s="195"/>
      <c r="F1780" s="195"/>
      <c r="G1780" s="196"/>
      <c r="H1780" s="197"/>
      <c r="I1780" s="197" t="str">
        <f t="shared" si="290"/>
        <v/>
      </c>
      <c r="J1780" s="197" t="str">
        <f t="shared" si="291"/>
        <v/>
      </c>
      <c r="K1780" s="197"/>
      <c r="L1780" s="197"/>
      <c r="M1780" s="198"/>
      <c r="N1780" s="198"/>
      <c r="O1780" s="198"/>
      <c r="P1780" s="199"/>
      <c r="Q1780" s="200"/>
      <c r="R1780" s="200"/>
      <c r="S1780" s="200"/>
      <c r="T1780" s="200" t="str">
        <f t="shared" si="287"/>
        <v/>
      </c>
      <c r="U1780" s="200"/>
      <c r="V1780" s="201" t="str">
        <f t="shared" si="288"/>
        <v/>
      </c>
      <c r="W1780" s="202">
        <f t="shared" si="289"/>
        <v>0</v>
      </c>
      <c r="X1780" s="172"/>
    </row>
    <row r="1781" spans="1:24" x14ac:dyDescent="0.45">
      <c r="A1781" s="193">
        <v>7</v>
      </c>
      <c r="B1781" s="194" t="str">
        <f t="shared" si="285"/>
        <v/>
      </c>
      <c r="C1781" s="170" t="str">
        <f t="shared" si="286"/>
        <v/>
      </c>
      <c r="D1781" s="170"/>
      <c r="E1781" s="195"/>
      <c r="F1781" s="195"/>
      <c r="G1781" s="196"/>
      <c r="H1781" s="197"/>
      <c r="I1781" s="197" t="str">
        <f t="shared" si="290"/>
        <v/>
      </c>
      <c r="J1781" s="197" t="str">
        <f t="shared" si="291"/>
        <v/>
      </c>
      <c r="K1781" s="197"/>
      <c r="L1781" s="197"/>
      <c r="M1781" s="198"/>
      <c r="N1781" s="198"/>
      <c r="O1781" s="198"/>
      <c r="P1781" s="199"/>
      <c r="Q1781" s="200"/>
      <c r="R1781" s="200"/>
      <c r="S1781" s="200"/>
      <c r="T1781" s="200" t="str">
        <f t="shared" si="287"/>
        <v/>
      </c>
      <c r="U1781" s="200"/>
      <c r="V1781" s="201" t="str">
        <f t="shared" si="288"/>
        <v/>
      </c>
      <c r="W1781" s="202">
        <f t="shared" si="289"/>
        <v>0</v>
      </c>
      <c r="X1781" s="172"/>
    </row>
    <row r="1782" spans="1:24" x14ac:dyDescent="0.45">
      <c r="A1782" s="193">
        <v>8</v>
      </c>
      <c r="B1782" s="194" t="str">
        <f t="shared" si="285"/>
        <v/>
      </c>
      <c r="C1782" s="170" t="str">
        <f t="shared" si="286"/>
        <v/>
      </c>
      <c r="D1782" s="170"/>
      <c r="E1782" s="195"/>
      <c r="F1782" s="195"/>
      <c r="G1782" s="196"/>
      <c r="H1782" s="197"/>
      <c r="I1782" s="197" t="str">
        <f t="shared" si="290"/>
        <v/>
      </c>
      <c r="J1782" s="197" t="str">
        <f t="shared" si="291"/>
        <v/>
      </c>
      <c r="K1782" s="197"/>
      <c r="L1782" s="197"/>
      <c r="M1782" s="198"/>
      <c r="N1782" s="198"/>
      <c r="O1782" s="198"/>
      <c r="P1782" s="199"/>
      <c r="Q1782" s="200"/>
      <c r="R1782" s="200"/>
      <c r="S1782" s="200"/>
      <c r="T1782" s="200" t="str">
        <f t="shared" si="287"/>
        <v/>
      </c>
      <c r="U1782" s="200"/>
      <c r="V1782" s="201" t="str">
        <f t="shared" si="288"/>
        <v/>
      </c>
      <c r="W1782" s="202">
        <f t="shared" si="289"/>
        <v>0</v>
      </c>
      <c r="X1782" s="172"/>
    </row>
    <row r="1783" spans="1:24" x14ac:dyDescent="0.45">
      <c r="A1783" s="193">
        <v>9</v>
      </c>
      <c r="B1783" s="194" t="str">
        <f t="shared" si="285"/>
        <v/>
      </c>
      <c r="C1783" s="170" t="str">
        <f t="shared" si="286"/>
        <v/>
      </c>
      <c r="D1783" s="170"/>
      <c r="E1783" s="195"/>
      <c r="F1783" s="195"/>
      <c r="G1783" s="196"/>
      <c r="H1783" s="197"/>
      <c r="I1783" s="197" t="str">
        <f t="shared" si="290"/>
        <v/>
      </c>
      <c r="J1783" s="197" t="str">
        <f t="shared" si="291"/>
        <v/>
      </c>
      <c r="K1783" s="197"/>
      <c r="L1783" s="197"/>
      <c r="M1783" s="198"/>
      <c r="N1783" s="198"/>
      <c r="O1783" s="198"/>
      <c r="P1783" s="199"/>
      <c r="Q1783" s="200"/>
      <c r="R1783" s="200"/>
      <c r="S1783" s="200"/>
      <c r="T1783" s="200" t="str">
        <f t="shared" si="287"/>
        <v/>
      </c>
      <c r="U1783" s="200"/>
      <c r="V1783" s="201" t="str">
        <f t="shared" si="288"/>
        <v/>
      </c>
      <c r="W1783" s="202">
        <f t="shared" si="289"/>
        <v>0</v>
      </c>
      <c r="X1783" s="172"/>
    </row>
    <row r="1784" spans="1:24" x14ac:dyDescent="0.45">
      <c r="A1784" s="193">
        <v>10</v>
      </c>
      <c r="B1784" s="194" t="str">
        <f t="shared" si="285"/>
        <v/>
      </c>
      <c r="C1784" s="170" t="str">
        <f t="shared" si="286"/>
        <v/>
      </c>
      <c r="D1784" s="170"/>
      <c r="E1784" s="195"/>
      <c r="F1784" s="195"/>
      <c r="G1784" s="196"/>
      <c r="H1784" s="197"/>
      <c r="I1784" s="197" t="str">
        <f t="shared" si="290"/>
        <v/>
      </c>
      <c r="J1784" s="197" t="str">
        <f t="shared" si="291"/>
        <v/>
      </c>
      <c r="K1784" s="197"/>
      <c r="L1784" s="197"/>
      <c r="M1784" s="198"/>
      <c r="N1784" s="198"/>
      <c r="O1784" s="198"/>
      <c r="P1784" s="199"/>
      <c r="Q1784" s="200"/>
      <c r="R1784" s="200"/>
      <c r="S1784" s="200"/>
      <c r="T1784" s="200" t="str">
        <f t="shared" si="287"/>
        <v/>
      </c>
      <c r="U1784" s="200"/>
      <c r="V1784" s="201" t="str">
        <f t="shared" si="288"/>
        <v/>
      </c>
      <c r="W1784" s="202">
        <f t="shared" si="289"/>
        <v>0</v>
      </c>
      <c r="X1784" s="172"/>
    </row>
    <row r="1785" spans="1:24" x14ac:dyDescent="0.45">
      <c r="A1785" s="193">
        <v>11</v>
      </c>
      <c r="B1785" s="194" t="str">
        <f t="shared" si="285"/>
        <v/>
      </c>
      <c r="C1785" s="170" t="str">
        <f t="shared" si="286"/>
        <v/>
      </c>
      <c r="D1785" s="170"/>
      <c r="E1785" s="195"/>
      <c r="F1785" s="195"/>
      <c r="G1785" s="196"/>
      <c r="H1785" s="197"/>
      <c r="I1785" s="197" t="str">
        <f t="shared" si="290"/>
        <v/>
      </c>
      <c r="J1785" s="197" t="str">
        <f t="shared" si="291"/>
        <v/>
      </c>
      <c r="K1785" s="197"/>
      <c r="L1785" s="197"/>
      <c r="M1785" s="198"/>
      <c r="N1785" s="198"/>
      <c r="O1785" s="198"/>
      <c r="P1785" s="199"/>
      <c r="Q1785" s="200"/>
      <c r="R1785" s="200"/>
      <c r="S1785" s="200"/>
      <c r="T1785" s="200" t="str">
        <f t="shared" si="287"/>
        <v/>
      </c>
      <c r="U1785" s="200"/>
      <c r="V1785" s="201" t="str">
        <f t="shared" si="288"/>
        <v/>
      </c>
      <c r="W1785" s="202">
        <f t="shared" si="289"/>
        <v>0</v>
      </c>
      <c r="X1785" s="172"/>
    </row>
    <row r="1786" spans="1:24" x14ac:dyDescent="0.45">
      <c r="A1786" s="193">
        <v>12</v>
      </c>
      <c r="B1786" s="194" t="str">
        <f t="shared" si="285"/>
        <v/>
      </c>
      <c r="C1786" s="170" t="str">
        <f t="shared" si="286"/>
        <v/>
      </c>
      <c r="D1786" s="170"/>
      <c r="E1786" s="195"/>
      <c r="F1786" s="195"/>
      <c r="G1786" s="196"/>
      <c r="H1786" s="197"/>
      <c r="I1786" s="197" t="str">
        <f t="shared" si="290"/>
        <v/>
      </c>
      <c r="J1786" s="197" t="str">
        <f t="shared" si="291"/>
        <v/>
      </c>
      <c r="K1786" s="197"/>
      <c r="L1786" s="197"/>
      <c r="M1786" s="198"/>
      <c r="N1786" s="198"/>
      <c r="O1786" s="198"/>
      <c r="P1786" s="199"/>
      <c r="Q1786" s="200"/>
      <c r="R1786" s="200"/>
      <c r="S1786" s="200"/>
      <c r="T1786" s="200" t="str">
        <f t="shared" si="287"/>
        <v/>
      </c>
      <c r="U1786" s="200"/>
      <c r="V1786" s="201" t="str">
        <f t="shared" si="288"/>
        <v/>
      </c>
      <c r="W1786" s="202">
        <f t="shared" si="289"/>
        <v>0</v>
      </c>
      <c r="X1786" s="172"/>
    </row>
    <row r="1787" spans="1:24" x14ac:dyDescent="0.45">
      <c r="A1787" s="193">
        <v>13</v>
      </c>
      <c r="B1787" s="194" t="str">
        <f t="shared" si="285"/>
        <v/>
      </c>
      <c r="C1787" s="170" t="str">
        <f t="shared" si="286"/>
        <v/>
      </c>
      <c r="D1787" s="170"/>
      <c r="E1787" s="195"/>
      <c r="F1787" s="195"/>
      <c r="G1787" s="196"/>
      <c r="H1787" s="197"/>
      <c r="I1787" s="197" t="str">
        <f t="shared" si="290"/>
        <v/>
      </c>
      <c r="J1787" s="197" t="str">
        <f t="shared" si="291"/>
        <v/>
      </c>
      <c r="K1787" s="197"/>
      <c r="L1787" s="197"/>
      <c r="M1787" s="198"/>
      <c r="N1787" s="198"/>
      <c r="O1787" s="198"/>
      <c r="P1787" s="199"/>
      <c r="Q1787" s="200"/>
      <c r="R1787" s="200"/>
      <c r="S1787" s="200"/>
      <c r="T1787" s="200" t="str">
        <f t="shared" si="287"/>
        <v/>
      </c>
      <c r="U1787" s="200"/>
      <c r="V1787" s="201" t="str">
        <f t="shared" si="288"/>
        <v/>
      </c>
      <c r="W1787" s="202">
        <f t="shared" si="289"/>
        <v>0</v>
      </c>
      <c r="X1787" s="172"/>
    </row>
    <row r="1788" spans="1:24" x14ac:dyDescent="0.45">
      <c r="A1788" s="193">
        <v>14</v>
      </c>
      <c r="B1788" s="194" t="str">
        <f t="shared" si="285"/>
        <v/>
      </c>
      <c r="C1788" s="170" t="str">
        <f t="shared" si="286"/>
        <v/>
      </c>
      <c r="D1788" s="170"/>
      <c r="E1788" s="195"/>
      <c r="F1788" s="195"/>
      <c r="G1788" s="196"/>
      <c r="H1788" s="197"/>
      <c r="I1788" s="197" t="str">
        <f t="shared" si="290"/>
        <v/>
      </c>
      <c r="J1788" s="197" t="str">
        <f t="shared" si="291"/>
        <v/>
      </c>
      <c r="K1788" s="197"/>
      <c r="L1788" s="197"/>
      <c r="M1788" s="198"/>
      <c r="N1788" s="198"/>
      <c r="O1788" s="198"/>
      <c r="P1788" s="199"/>
      <c r="Q1788" s="200"/>
      <c r="R1788" s="200"/>
      <c r="S1788" s="200"/>
      <c r="T1788" s="200" t="str">
        <f t="shared" si="287"/>
        <v/>
      </c>
      <c r="U1788" s="200"/>
      <c r="V1788" s="201" t="str">
        <f t="shared" si="288"/>
        <v/>
      </c>
      <c r="W1788" s="202">
        <f t="shared" si="289"/>
        <v>0</v>
      </c>
      <c r="X1788" s="172"/>
    </row>
    <row r="1789" spans="1:24" x14ac:dyDescent="0.45">
      <c r="A1789" s="193">
        <v>15</v>
      </c>
      <c r="B1789" s="194" t="str">
        <f t="shared" si="285"/>
        <v/>
      </c>
      <c r="C1789" s="170" t="str">
        <f t="shared" si="286"/>
        <v/>
      </c>
      <c r="D1789" s="170"/>
      <c r="E1789" s="195"/>
      <c r="F1789" s="195"/>
      <c r="G1789" s="196"/>
      <c r="H1789" s="197"/>
      <c r="I1789" s="197" t="str">
        <f t="shared" si="290"/>
        <v/>
      </c>
      <c r="J1789" s="197" t="str">
        <f t="shared" si="291"/>
        <v/>
      </c>
      <c r="K1789" s="197"/>
      <c r="L1789" s="197"/>
      <c r="M1789" s="198"/>
      <c r="N1789" s="198"/>
      <c r="O1789" s="198"/>
      <c r="P1789" s="199"/>
      <c r="Q1789" s="200"/>
      <c r="R1789" s="200"/>
      <c r="S1789" s="200"/>
      <c r="T1789" s="200" t="str">
        <f t="shared" si="287"/>
        <v/>
      </c>
      <c r="U1789" s="200"/>
      <c r="V1789" s="201" t="str">
        <f t="shared" si="288"/>
        <v/>
      </c>
      <c r="W1789" s="202">
        <f t="shared" si="289"/>
        <v>0</v>
      </c>
      <c r="X1789" s="172"/>
    </row>
    <row r="1790" spans="1:24" x14ac:dyDescent="0.45">
      <c r="A1790" s="193">
        <v>16</v>
      </c>
      <c r="B1790" s="194" t="str">
        <f t="shared" si="285"/>
        <v/>
      </c>
      <c r="C1790" s="170" t="str">
        <f t="shared" si="286"/>
        <v/>
      </c>
      <c r="D1790" s="170"/>
      <c r="E1790" s="195"/>
      <c r="F1790" s="195"/>
      <c r="G1790" s="196"/>
      <c r="H1790" s="197"/>
      <c r="I1790" s="197" t="str">
        <f t="shared" si="290"/>
        <v/>
      </c>
      <c r="J1790" s="197" t="str">
        <f t="shared" si="291"/>
        <v/>
      </c>
      <c r="K1790" s="197"/>
      <c r="L1790" s="197"/>
      <c r="M1790" s="198"/>
      <c r="N1790" s="198"/>
      <c r="O1790" s="198"/>
      <c r="P1790" s="199"/>
      <c r="Q1790" s="200"/>
      <c r="R1790" s="200"/>
      <c r="S1790" s="200"/>
      <c r="T1790" s="200" t="str">
        <f t="shared" si="287"/>
        <v/>
      </c>
      <c r="U1790" s="200"/>
      <c r="V1790" s="201" t="str">
        <f t="shared" si="288"/>
        <v/>
      </c>
      <c r="W1790" s="202">
        <f t="shared" si="289"/>
        <v>0</v>
      </c>
      <c r="X1790" s="172"/>
    </row>
    <row r="1791" spans="1:24" x14ac:dyDescent="0.45">
      <c r="A1791" s="193">
        <v>17</v>
      </c>
      <c r="B1791" s="194" t="str">
        <f t="shared" si="285"/>
        <v/>
      </c>
      <c r="C1791" s="170" t="str">
        <f t="shared" si="286"/>
        <v/>
      </c>
      <c r="D1791" s="170"/>
      <c r="E1791" s="195"/>
      <c r="F1791" s="195"/>
      <c r="G1791" s="196"/>
      <c r="H1791" s="197"/>
      <c r="I1791" s="197" t="str">
        <f t="shared" si="290"/>
        <v/>
      </c>
      <c r="J1791" s="197" t="str">
        <f t="shared" si="291"/>
        <v/>
      </c>
      <c r="K1791" s="197"/>
      <c r="L1791" s="197"/>
      <c r="M1791" s="198"/>
      <c r="N1791" s="198"/>
      <c r="O1791" s="198"/>
      <c r="P1791" s="199"/>
      <c r="Q1791" s="200"/>
      <c r="R1791" s="200"/>
      <c r="S1791" s="200"/>
      <c r="T1791" s="200" t="str">
        <f t="shared" si="287"/>
        <v/>
      </c>
      <c r="U1791" s="200"/>
      <c r="V1791" s="201" t="str">
        <f t="shared" si="288"/>
        <v/>
      </c>
      <c r="W1791" s="202">
        <f t="shared" si="289"/>
        <v>0</v>
      </c>
      <c r="X1791" s="172"/>
    </row>
    <row r="1792" spans="1:24" x14ac:dyDescent="0.45">
      <c r="A1792" s="193">
        <v>18</v>
      </c>
      <c r="B1792" s="194" t="str">
        <f t="shared" si="285"/>
        <v/>
      </c>
      <c r="C1792" s="170" t="str">
        <f t="shared" si="286"/>
        <v/>
      </c>
      <c r="D1792" s="170"/>
      <c r="E1792" s="195"/>
      <c r="F1792" s="195"/>
      <c r="G1792" s="196"/>
      <c r="H1792" s="197"/>
      <c r="I1792" s="197" t="str">
        <f t="shared" si="290"/>
        <v/>
      </c>
      <c r="J1792" s="197" t="str">
        <f t="shared" si="291"/>
        <v/>
      </c>
      <c r="K1792" s="197"/>
      <c r="L1792" s="197"/>
      <c r="M1792" s="198"/>
      <c r="N1792" s="198"/>
      <c r="O1792" s="198"/>
      <c r="P1792" s="199"/>
      <c r="Q1792" s="200"/>
      <c r="R1792" s="200"/>
      <c r="S1792" s="200"/>
      <c r="T1792" s="200" t="str">
        <f t="shared" si="287"/>
        <v/>
      </c>
      <c r="U1792" s="200"/>
      <c r="V1792" s="201" t="str">
        <f t="shared" si="288"/>
        <v/>
      </c>
      <c r="W1792" s="202">
        <f t="shared" si="289"/>
        <v>0</v>
      </c>
      <c r="X1792" s="172"/>
    </row>
    <row r="1793" spans="1:24" x14ac:dyDescent="0.45">
      <c r="A1793" s="193">
        <v>19</v>
      </c>
      <c r="B1793" s="194" t="str">
        <f t="shared" si="285"/>
        <v/>
      </c>
      <c r="C1793" s="170" t="str">
        <f t="shared" si="286"/>
        <v/>
      </c>
      <c r="D1793" s="170"/>
      <c r="E1793" s="195"/>
      <c r="F1793" s="195"/>
      <c r="G1793" s="196"/>
      <c r="H1793" s="197"/>
      <c r="I1793" s="197" t="str">
        <f t="shared" si="290"/>
        <v/>
      </c>
      <c r="J1793" s="197" t="str">
        <f t="shared" si="291"/>
        <v/>
      </c>
      <c r="K1793" s="197"/>
      <c r="L1793" s="197"/>
      <c r="M1793" s="198"/>
      <c r="N1793" s="198"/>
      <c r="O1793" s="198"/>
      <c r="P1793" s="199"/>
      <c r="Q1793" s="200"/>
      <c r="R1793" s="200"/>
      <c r="S1793" s="200"/>
      <c r="T1793" s="200" t="str">
        <f t="shared" si="287"/>
        <v/>
      </c>
      <c r="U1793" s="200"/>
      <c r="V1793" s="201" t="str">
        <f t="shared" si="288"/>
        <v/>
      </c>
      <c r="W1793" s="202">
        <f t="shared" si="289"/>
        <v>0</v>
      </c>
      <c r="X1793" s="172"/>
    </row>
    <row r="1794" spans="1:24" x14ac:dyDescent="0.45">
      <c r="A1794" s="193">
        <v>20</v>
      </c>
      <c r="B1794" s="194" t="str">
        <f t="shared" si="285"/>
        <v/>
      </c>
      <c r="C1794" s="170" t="str">
        <f t="shared" si="286"/>
        <v/>
      </c>
      <c r="D1794" s="170"/>
      <c r="E1794" s="195"/>
      <c r="F1794" s="195"/>
      <c r="G1794" s="196"/>
      <c r="H1794" s="197"/>
      <c r="I1794" s="197" t="str">
        <f t="shared" si="290"/>
        <v/>
      </c>
      <c r="J1794" s="197" t="str">
        <f t="shared" si="291"/>
        <v/>
      </c>
      <c r="K1794" s="197"/>
      <c r="L1794" s="197"/>
      <c r="M1794" s="198"/>
      <c r="N1794" s="198"/>
      <c r="O1794" s="198"/>
      <c r="P1794" s="199"/>
      <c r="Q1794" s="200"/>
      <c r="R1794" s="200"/>
      <c r="S1794" s="200"/>
      <c r="T1794" s="200" t="str">
        <f t="shared" si="287"/>
        <v/>
      </c>
      <c r="U1794" s="200"/>
      <c r="V1794" s="201" t="str">
        <f t="shared" si="288"/>
        <v/>
      </c>
      <c r="W1794" s="202">
        <f t="shared" si="289"/>
        <v>0</v>
      </c>
      <c r="X1794" s="172"/>
    </row>
    <row r="1795" spans="1:24" x14ac:dyDescent="0.45">
      <c r="A1795" s="193">
        <v>21</v>
      </c>
      <c r="B1795" s="194" t="str">
        <f t="shared" si="285"/>
        <v/>
      </c>
      <c r="C1795" s="170" t="str">
        <f t="shared" si="286"/>
        <v/>
      </c>
      <c r="D1795" s="170"/>
      <c r="E1795" s="195"/>
      <c r="F1795" s="195"/>
      <c r="G1795" s="196"/>
      <c r="H1795" s="197"/>
      <c r="I1795" s="197" t="str">
        <f t="shared" si="290"/>
        <v/>
      </c>
      <c r="J1795" s="197" t="str">
        <f t="shared" si="291"/>
        <v/>
      </c>
      <c r="K1795" s="197"/>
      <c r="L1795" s="197"/>
      <c r="M1795" s="198"/>
      <c r="N1795" s="198"/>
      <c r="O1795" s="198"/>
      <c r="P1795" s="199"/>
      <c r="Q1795" s="200"/>
      <c r="R1795" s="200"/>
      <c r="S1795" s="200"/>
      <c r="T1795" s="200" t="str">
        <f t="shared" si="287"/>
        <v/>
      </c>
      <c r="U1795" s="200"/>
      <c r="V1795" s="201" t="str">
        <f t="shared" si="288"/>
        <v/>
      </c>
      <c r="W1795" s="202">
        <f t="shared" si="289"/>
        <v>0</v>
      </c>
      <c r="X1795" s="172"/>
    </row>
    <row r="1796" spans="1:24" x14ac:dyDescent="0.45">
      <c r="A1796" s="193">
        <v>22</v>
      </c>
      <c r="B1796" s="194" t="str">
        <f t="shared" si="285"/>
        <v/>
      </c>
      <c r="C1796" s="170" t="str">
        <f t="shared" si="286"/>
        <v/>
      </c>
      <c r="D1796" s="170"/>
      <c r="E1796" s="195"/>
      <c r="F1796" s="170"/>
      <c r="G1796" s="170"/>
      <c r="H1796" s="203"/>
      <c r="I1796" s="197" t="str">
        <f t="shared" si="290"/>
        <v/>
      </c>
      <c r="J1796" s="197" t="str">
        <f t="shared" si="291"/>
        <v/>
      </c>
      <c r="K1796" s="197"/>
      <c r="L1796" s="197"/>
      <c r="M1796" s="198"/>
      <c r="N1796" s="198"/>
      <c r="O1796" s="198"/>
      <c r="P1796" s="199"/>
      <c r="Q1796" s="200"/>
      <c r="R1796" s="200"/>
      <c r="S1796" s="200"/>
      <c r="T1796" s="200" t="str">
        <f t="shared" si="287"/>
        <v/>
      </c>
      <c r="U1796" s="200"/>
      <c r="V1796" s="201" t="str">
        <f t="shared" si="288"/>
        <v/>
      </c>
      <c r="W1796" s="202">
        <f t="shared" si="289"/>
        <v>0</v>
      </c>
      <c r="X1796" s="172"/>
    </row>
    <row r="1797" spans="1:24" x14ac:dyDescent="0.45">
      <c r="A1797" s="193">
        <v>23</v>
      </c>
      <c r="B1797" s="194" t="str">
        <f t="shared" si="285"/>
        <v/>
      </c>
      <c r="C1797" s="170" t="str">
        <f t="shared" si="286"/>
        <v/>
      </c>
      <c r="D1797" s="170"/>
      <c r="E1797" s="195"/>
      <c r="F1797" s="170"/>
      <c r="G1797" s="170"/>
      <c r="H1797" s="203"/>
      <c r="I1797" s="197" t="str">
        <f t="shared" si="290"/>
        <v/>
      </c>
      <c r="J1797" s="197" t="str">
        <f t="shared" si="291"/>
        <v/>
      </c>
      <c r="K1797" s="197"/>
      <c r="L1797" s="197"/>
      <c r="M1797" s="198"/>
      <c r="N1797" s="198"/>
      <c r="O1797" s="198"/>
      <c r="P1797" s="199"/>
      <c r="Q1797" s="200"/>
      <c r="R1797" s="200"/>
      <c r="S1797" s="200"/>
      <c r="T1797" s="200" t="str">
        <f t="shared" si="287"/>
        <v/>
      </c>
      <c r="U1797" s="200"/>
      <c r="V1797" s="201" t="str">
        <f t="shared" si="288"/>
        <v/>
      </c>
      <c r="W1797" s="202">
        <f t="shared" si="289"/>
        <v>0</v>
      </c>
      <c r="X1797" s="172"/>
    </row>
    <row r="1798" spans="1:24" x14ac:dyDescent="0.45">
      <c r="A1798" s="193">
        <v>24</v>
      </c>
      <c r="B1798" s="194" t="str">
        <f t="shared" si="285"/>
        <v/>
      </c>
      <c r="C1798" s="170" t="str">
        <f t="shared" si="286"/>
        <v/>
      </c>
      <c r="D1798" s="170"/>
      <c r="E1798" s="195"/>
      <c r="F1798" s="170"/>
      <c r="G1798" s="170"/>
      <c r="H1798" s="203"/>
      <c r="I1798" s="197" t="str">
        <f t="shared" si="290"/>
        <v/>
      </c>
      <c r="J1798" s="197" t="str">
        <f t="shared" si="291"/>
        <v/>
      </c>
      <c r="K1798" s="197"/>
      <c r="L1798" s="197"/>
      <c r="M1798" s="198"/>
      <c r="N1798" s="198"/>
      <c r="O1798" s="198"/>
      <c r="P1798" s="199"/>
      <c r="Q1798" s="200"/>
      <c r="R1798" s="200"/>
      <c r="S1798" s="200"/>
      <c r="T1798" s="200" t="str">
        <f t="shared" si="287"/>
        <v/>
      </c>
      <c r="U1798" s="200"/>
      <c r="V1798" s="201" t="str">
        <f t="shared" si="288"/>
        <v/>
      </c>
      <c r="W1798" s="202">
        <f t="shared" si="289"/>
        <v>0</v>
      </c>
      <c r="X1798" s="172"/>
    </row>
    <row r="1799" spans="1:24" x14ac:dyDescent="0.45">
      <c r="A1799" s="193">
        <v>25</v>
      </c>
      <c r="B1799" s="194" t="str">
        <f t="shared" si="285"/>
        <v/>
      </c>
      <c r="C1799" s="170" t="str">
        <f t="shared" si="286"/>
        <v/>
      </c>
      <c r="D1799" s="170"/>
      <c r="E1799" s="195"/>
      <c r="F1799" s="170"/>
      <c r="G1799" s="170"/>
      <c r="H1799" s="203"/>
      <c r="I1799" s="197" t="str">
        <f t="shared" si="290"/>
        <v/>
      </c>
      <c r="J1799" s="197" t="str">
        <f t="shared" si="291"/>
        <v/>
      </c>
      <c r="K1799" s="197"/>
      <c r="L1799" s="197"/>
      <c r="M1799" s="198"/>
      <c r="N1799" s="198"/>
      <c r="O1799" s="198"/>
      <c r="P1799" s="199"/>
      <c r="Q1799" s="200"/>
      <c r="R1799" s="200"/>
      <c r="S1799" s="200"/>
      <c r="T1799" s="200" t="str">
        <f t="shared" si="287"/>
        <v/>
      </c>
      <c r="U1799" s="200"/>
      <c r="V1799" s="201" t="str">
        <f t="shared" si="288"/>
        <v/>
      </c>
      <c r="W1799" s="202">
        <f t="shared" si="289"/>
        <v>0</v>
      </c>
      <c r="X1799" s="172"/>
    </row>
    <row r="1800" spans="1:24" x14ac:dyDescent="0.45">
      <c r="A1800" s="193">
        <v>26</v>
      </c>
      <c r="B1800" s="194" t="str">
        <f t="shared" si="285"/>
        <v/>
      </c>
      <c r="C1800" s="170" t="str">
        <f t="shared" si="286"/>
        <v/>
      </c>
      <c r="D1800" s="170"/>
      <c r="E1800" s="195"/>
      <c r="F1800" s="170"/>
      <c r="G1800" s="170"/>
      <c r="H1800" s="203"/>
      <c r="I1800" s="197" t="str">
        <f t="shared" si="290"/>
        <v/>
      </c>
      <c r="J1800" s="197" t="str">
        <f t="shared" si="291"/>
        <v/>
      </c>
      <c r="K1800" s="197"/>
      <c r="L1800" s="197"/>
      <c r="M1800" s="198"/>
      <c r="N1800" s="198"/>
      <c r="O1800" s="198"/>
      <c r="P1800" s="199"/>
      <c r="Q1800" s="200"/>
      <c r="R1800" s="200"/>
      <c r="S1800" s="200"/>
      <c r="T1800" s="200" t="str">
        <f t="shared" si="287"/>
        <v/>
      </c>
      <c r="U1800" s="200"/>
      <c r="V1800" s="201" t="str">
        <f t="shared" si="288"/>
        <v/>
      </c>
      <c r="W1800" s="202">
        <f t="shared" si="289"/>
        <v>0</v>
      </c>
      <c r="X1800" s="172"/>
    </row>
    <row r="1801" spans="1:24" x14ac:dyDescent="0.45">
      <c r="A1801" s="193">
        <v>27</v>
      </c>
      <c r="B1801" s="194" t="str">
        <f t="shared" si="285"/>
        <v/>
      </c>
      <c r="C1801" s="170" t="str">
        <f t="shared" si="286"/>
        <v/>
      </c>
      <c r="D1801" s="170"/>
      <c r="E1801" s="195"/>
      <c r="F1801" s="170"/>
      <c r="G1801" s="170"/>
      <c r="H1801" s="203"/>
      <c r="I1801" s="197" t="str">
        <f t="shared" si="290"/>
        <v/>
      </c>
      <c r="J1801" s="197" t="str">
        <f t="shared" si="291"/>
        <v/>
      </c>
      <c r="K1801" s="197"/>
      <c r="L1801" s="197"/>
      <c r="M1801" s="198"/>
      <c r="N1801" s="198"/>
      <c r="O1801" s="198"/>
      <c r="P1801" s="199"/>
      <c r="Q1801" s="200"/>
      <c r="R1801" s="200"/>
      <c r="S1801" s="200"/>
      <c r="T1801" s="200" t="str">
        <f t="shared" si="287"/>
        <v/>
      </c>
      <c r="U1801" s="200"/>
      <c r="V1801" s="201" t="str">
        <f t="shared" si="288"/>
        <v/>
      </c>
      <c r="W1801" s="202">
        <f t="shared" si="289"/>
        <v>0</v>
      </c>
      <c r="X1801" s="172"/>
    </row>
    <row r="1802" spans="1:24" x14ac:dyDescent="0.45">
      <c r="A1802" s="193">
        <v>28</v>
      </c>
      <c r="B1802" s="194" t="str">
        <f t="shared" si="285"/>
        <v/>
      </c>
      <c r="C1802" s="170" t="str">
        <f t="shared" si="286"/>
        <v/>
      </c>
      <c r="D1802" s="170"/>
      <c r="E1802" s="195"/>
      <c r="F1802" s="170"/>
      <c r="G1802" s="170"/>
      <c r="H1802" s="203"/>
      <c r="I1802" s="197" t="str">
        <f t="shared" si="290"/>
        <v/>
      </c>
      <c r="J1802" s="197" t="str">
        <f t="shared" si="291"/>
        <v/>
      </c>
      <c r="K1802" s="197"/>
      <c r="L1802" s="197"/>
      <c r="M1802" s="198"/>
      <c r="N1802" s="198"/>
      <c r="O1802" s="198"/>
      <c r="P1802" s="199"/>
      <c r="Q1802" s="200"/>
      <c r="R1802" s="200"/>
      <c r="S1802" s="200"/>
      <c r="T1802" s="200" t="str">
        <f t="shared" si="287"/>
        <v/>
      </c>
      <c r="U1802" s="200"/>
      <c r="V1802" s="201" t="str">
        <f t="shared" si="288"/>
        <v/>
      </c>
      <c r="W1802" s="202">
        <f t="shared" si="289"/>
        <v>0</v>
      </c>
      <c r="X1802" s="172"/>
    </row>
    <row r="1803" spans="1:24" x14ac:dyDescent="0.45">
      <c r="A1803" s="193">
        <v>29</v>
      </c>
      <c r="B1803" s="194" t="str">
        <f t="shared" si="285"/>
        <v/>
      </c>
      <c r="C1803" s="170" t="str">
        <f t="shared" si="286"/>
        <v/>
      </c>
      <c r="D1803" s="170"/>
      <c r="E1803" s="195"/>
      <c r="F1803" s="170"/>
      <c r="G1803" s="170"/>
      <c r="H1803" s="203"/>
      <c r="I1803" s="197" t="str">
        <f t="shared" si="290"/>
        <v/>
      </c>
      <c r="J1803" s="197" t="str">
        <f t="shared" si="291"/>
        <v/>
      </c>
      <c r="K1803" s="197"/>
      <c r="L1803" s="197"/>
      <c r="M1803" s="198"/>
      <c r="N1803" s="198"/>
      <c r="O1803" s="198"/>
      <c r="P1803" s="199"/>
      <c r="Q1803" s="200"/>
      <c r="R1803" s="200"/>
      <c r="S1803" s="200"/>
      <c r="T1803" s="200" t="str">
        <f t="shared" si="287"/>
        <v/>
      </c>
      <c r="U1803" s="200"/>
      <c r="V1803" s="201" t="str">
        <f t="shared" si="288"/>
        <v/>
      </c>
      <c r="W1803" s="202">
        <f t="shared" si="289"/>
        <v>0</v>
      </c>
      <c r="X1803" s="172"/>
    </row>
    <row r="1804" spans="1:24" x14ac:dyDescent="0.45">
      <c r="A1804" s="193">
        <v>30</v>
      </c>
      <c r="B1804" s="194" t="str">
        <f t="shared" si="285"/>
        <v/>
      </c>
      <c r="C1804" s="170" t="str">
        <f t="shared" si="286"/>
        <v/>
      </c>
      <c r="D1804" s="170"/>
      <c r="E1804" s="195"/>
      <c r="F1804" s="170"/>
      <c r="G1804" s="170"/>
      <c r="H1804" s="203"/>
      <c r="I1804" s="197" t="str">
        <f t="shared" si="290"/>
        <v/>
      </c>
      <c r="J1804" s="197" t="str">
        <f t="shared" si="291"/>
        <v/>
      </c>
      <c r="K1804" s="197"/>
      <c r="L1804" s="197"/>
      <c r="M1804" s="198"/>
      <c r="N1804" s="198"/>
      <c r="O1804" s="198"/>
      <c r="P1804" s="199"/>
      <c r="Q1804" s="200"/>
      <c r="R1804" s="200"/>
      <c r="S1804" s="200"/>
      <c r="T1804" s="200" t="str">
        <f t="shared" si="287"/>
        <v/>
      </c>
      <c r="U1804" s="200"/>
      <c r="V1804" s="201" t="str">
        <f t="shared" si="288"/>
        <v/>
      </c>
      <c r="W1804" s="202">
        <f t="shared" si="289"/>
        <v>0</v>
      </c>
      <c r="X1804" s="172"/>
    </row>
    <row r="1805" spans="1:24" x14ac:dyDescent="0.45">
      <c r="A1805" s="193">
        <v>31</v>
      </c>
      <c r="B1805" s="194" t="str">
        <f t="shared" si="285"/>
        <v/>
      </c>
      <c r="C1805" s="170" t="str">
        <f t="shared" si="286"/>
        <v/>
      </c>
      <c r="D1805" s="170"/>
      <c r="E1805" s="195"/>
      <c r="F1805" s="170"/>
      <c r="G1805" s="170"/>
      <c r="H1805" s="203"/>
      <c r="I1805" s="197" t="str">
        <f t="shared" si="290"/>
        <v/>
      </c>
      <c r="J1805" s="197" t="str">
        <f t="shared" si="291"/>
        <v/>
      </c>
      <c r="K1805" s="197"/>
      <c r="L1805" s="197"/>
      <c r="M1805" s="198"/>
      <c r="N1805" s="198"/>
      <c r="O1805" s="198"/>
      <c r="P1805" s="199"/>
      <c r="Q1805" s="200"/>
      <c r="R1805" s="200"/>
      <c r="S1805" s="200"/>
      <c r="T1805" s="200" t="str">
        <f t="shared" si="287"/>
        <v/>
      </c>
      <c r="U1805" s="200"/>
      <c r="V1805" s="201" t="str">
        <f t="shared" si="288"/>
        <v/>
      </c>
      <c r="W1805" s="202">
        <f t="shared" si="289"/>
        <v>0</v>
      </c>
      <c r="X1805" s="172"/>
    </row>
    <row r="1806" spans="1:24" x14ac:dyDescent="0.45">
      <c r="A1806" s="193">
        <v>32</v>
      </c>
      <c r="B1806" s="194" t="str">
        <f t="shared" si="285"/>
        <v/>
      </c>
      <c r="C1806" s="170" t="str">
        <f t="shared" si="286"/>
        <v/>
      </c>
      <c r="D1806" s="170"/>
      <c r="E1806" s="195"/>
      <c r="F1806" s="170"/>
      <c r="G1806" s="170"/>
      <c r="H1806" s="203"/>
      <c r="I1806" s="197" t="str">
        <f t="shared" si="290"/>
        <v/>
      </c>
      <c r="J1806" s="197" t="str">
        <f t="shared" si="291"/>
        <v/>
      </c>
      <c r="K1806" s="197"/>
      <c r="L1806" s="197"/>
      <c r="M1806" s="198"/>
      <c r="N1806" s="198"/>
      <c r="O1806" s="198"/>
      <c r="P1806" s="199"/>
      <c r="Q1806" s="200"/>
      <c r="R1806" s="200"/>
      <c r="S1806" s="200"/>
      <c r="T1806" s="200" t="str">
        <f t="shared" si="287"/>
        <v/>
      </c>
      <c r="U1806" s="200"/>
      <c r="V1806" s="201" t="str">
        <f t="shared" si="288"/>
        <v/>
      </c>
      <c r="W1806" s="202">
        <f t="shared" si="289"/>
        <v>0</v>
      </c>
      <c r="X1806" s="172"/>
    </row>
    <row r="1807" spans="1:24" x14ac:dyDescent="0.45">
      <c r="A1807" s="193">
        <v>33</v>
      </c>
      <c r="B1807" s="194" t="str">
        <f t="shared" ref="B1807:B1840" si="292">IF(OR($C$1755="",U1807=""),"",LEFT($C$1755,FIND("_",$C$1755)-1))</f>
        <v/>
      </c>
      <c r="C1807" s="170" t="str">
        <f t="shared" ref="C1807:C1840" si="293">IF(OR($C$1755="",U1807=""),"",$B$1755)</f>
        <v/>
      </c>
      <c r="D1807" s="170"/>
      <c r="E1807" s="195"/>
      <c r="F1807" s="170"/>
      <c r="G1807" s="170"/>
      <c r="H1807" s="203"/>
      <c r="I1807" s="197" t="str">
        <f t="shared" si="290"/>
        <v/>
      </c>
      <c r="J1807" s="197" t="str">
        <f t="shared" si="291"/>
        <v/>
      </c>
      <c r="K1807" s="197"/>
      <c r="L1807" s="197"/>
      <c r="M1807" s="198"/>
      <c r="N1807" s="198"/>
      <c r="O1807" s="198"/>
      <c r="P1807" s="199"/>
      <c r="Q1807" s="200"/>
      <c r="R1807" s="200"/>
      <c r="S1807" s="200"/>
      <c r="T1807" s="200" t="str">
        <f t="shared" ref="T1807:T1840" si="294">IF(K1807="","",((K1807*20)+L1807)-((I1807*20)+J1807))</f>
        <v/>
      </c>
      <c r="U1807" s="200"/>
      <c r="V1807" s="201" t="str">
        <f t="shared" ref="V1807:V1838" si="295">IF(U1807="","",$V$1755)</f>
        <v/>
      </c>
      <c r="W1807" s="202">
        <f t="shared" ref="W1807:W1840" si="296">IF(OR(T1807="",U1807=""),0,T1807*U1807)</f>
        <v>0</v>
      </c>
      <c r="X1807" s="172"/>
    </row>
    <row r="1808" spans="1:24" x14ac:dyDescent="0.45">
      <c r="A1808" s="193">
        <v>34</v>
      </c>
      <c r="B1808" s="194" t="str">
        <f t="shared" si="292"/>
        <v/>
      </c>
      <c r="C1808" s="170" t="str">
        <f t="shared" si="293"/>
        <v/>
      </c>
      <c r="D1808" s="170"/>
      <c r="E1808" s="195"/>
      <c r="F1808" s="170"/>
      <c r="G1808" s="170"/>
      <c r="H1808" s="203"/>
      <c r="I1808" s="197" t="str">
        <f t="shared" ref="I1808:I1840" si="297">IF(K1807="","",K1807)</f>
        <v/>
      </c>
      <c r="J1808" s="197" t="str">
        <f t="shared" ref="J1808:J1840" si="298">IF(L1807="","",L1807)</f>
        <v/>
      </c>
      <c r="K1808" s="197"/>
      <c r="L1808" s="197"/>
      <c r="M1808" s="198"/>
      <c r="N1808" s="198"/>
      <c r="O1808" s="198"/>
      <c r="P1808" s="199"/>
      <c r="Q1808" s="200"/>
      <c r="R1808" s="200"/>
      <c r="S1808" s="200"/>
      <c r="T1808" s="200" t="str">
        <f t="shared" si="294"/>
        <v/>
      </c>
      <c r="U1808" s="200"/>
      <c r="V1808" s="201" t="str">
        <f t="shared" si="295"/>
        <v/>
      </c>
      <c r="W1808" s="202">
        <f t="shared" si="296"/>
        <v>0</v>
      </c>
      <c r="X1808" s="172"/>
    </row>
    <row r="1809" spans="1:24" x14ac:dyDescent="0.45">
      <c r="A1809" s="193">
        <v>35</v>
      </c>
      <c r="B1809" s="194" t="str">
        <f t="shared" si="292"/>
        <v/>
      </c>
      <c r="C1809" s="170" t="str">
        <f t="shared" si="293"/>
        <v/>
      </c>
      <c r="D1809" s="170"/>
      <c r="E1809" s="195"/>
      <c r="F1809" s="170"/>
      <c r="G1809" s="170"/>
      <c r="H1809" s="203"/>
      <c r="I1809" s="197" t="str">
        <f t="shared" si="297"/>
        <v/>
      </c>
      <c r="J1809" s="197" t="str">
        <f t="shared" si="298"/>
        <v/>
      </c>
      <c r="K1809" s="197"/>
      <c r="L1809" s="197"/>
      <c r="M1809" s="198"/>
      <c r="N1809" s="198"/>
      <c r="O1809" s="198"/>
      <c r="P1809" s="199"/>
      <c r="Q1809" s="200"/>
      <c r="R1809" s="200"/>
      <c r="S1809" s="200"/>
      <c r="T1809" s="200" t="str">
        <f t="shared" si="294"/>
        <v/>
      </c>
      <c r="U1809" s="200"/>
      <c r="V1809" s="201" t="str">
        <f t="shared" si="295"/>
        <v/>
      </c>
      <c r="W1809" s="202">
        <f t="shared" si="296"/>
        <v>0</v>
      </c>
      <c r="X1809" s="172"/>
    </row>
    <row r="1810" spans="1:24" x14ac:dyDescent="0.45">
      <c r="A1810" s="193">
        <v>36</v>
      </c>
      <c r="B1810" s="194" t="str">
        <f t="shared" si="292"/>
        <v/>
      </c>
      <c r="C1810" s="170" t="str">
        <f t="shared" si="293"/>
        <v/>
      </c>
      <c r="D1810" s="170"/>
      <c r="E1810" s="195"/>
      <c r="F1810" s="170"/>
      <c r="G1810" s="170"/>
      <c r="H1810" s="203"/>
      <c r="I1810" s="197" t="str">
        <f t="shared" si="297"/>
        <v/>
      </c>
      <c r="J1810" s="197" t="str">
        <f t="shared" si="298"/>
        <v/>
      </c>
      <c r="K1810" s="197"/>
      <c r="L1810" s="197"/>
      <c r="M1810" s="198"/>
      <c r="N1810" s="198"/>
      <c r="O1810" s="198"/>
      <c r="P1810" s="199"/>
      <c r="Q1810" s="200"/>
      <c r="R1810" s="200"/>
      <c r="S1810" s="200"/>
      <c r="T1810" s="200" t="str">
        <f t="shared" si="294"/>
        <v/>
      </c>
      <c r="U1810" s="200"/>
      <c r="V1810" s="201" t="str">
        <f t="shared" si="295"/>
        <v/>
      </c>
      <c r="W1810" s="202">
        <f t="shared" si="296"/>
        <v>0</v>
      </c>
      <c r="X1810" s="172"/>
    </row>
    <row r="1811" spans="1:24" x14ac:dyDescent="0.45">
      <c r="A1811" s="193">
        <v>37</v>
      </c>
      <c r="B1811" s="194" t="str">
        <f t="shared" si="292"/>
        <v/>
      </c>
      <c r="C1811" s="170" t="str">
        <f t="shared" si="293"/>
        <v/>
      </c>
      <c r="D1811" s="170"/>
      <c r="E1811" s="195"/>
      <c r="F1811" s="170"/>
      <c r="G1811" s="170"/>
      <c r="H1811" s="203"/>
      <c r="I1811" s="197" t="str">
        <f t="shared" si="297"/>
        <v/>
      </c>
      <c r="J1811" s="197" t="str">
        <f t="shared" si="298"/>
        <v/>
      </c>
      <c r="K1811" s="197"/>
      <c r="L1811" s="197"/>
      <c r="M1811" s="198"/>
      <c r="N1811" s="198"/>
      <c r="O1811" s="198"/>
      <c r="P1811" s="199"/>
      <c r="Q1811" s="200"/>
      <c r="R1811" s="200"/>
      <c r="S1811" s="200"/>
      <c r="T1811" s="200" t="str">
        <f t="shared" si="294"/>
        <v/>
      </c>
      <c r="U1811" s="200"/>
      <c r="V1811" s="201" t="str">
        <f t="shared" si="295"/>
        <v/>
      </c>
      <c r="W1811" s="202">
        <f t="shared" si="296"/>
        <v>0</v>
      </c>
      <c r="X1811" s="172"/>
    </row>
    <row r="1812" spans="1:24" x14ac:dyDescent="0.45">
      <c r="A1812" s="193">
        <v>38</v>
      </c>
      <c r="B1812" s="194" t="str">
        <f t="shared" si="292"/>
        <v/>
      </c>
      <c r="C1812" s="170" t="str">
        <f t="shared" si="293"/>
        <v/>
      </c>
      <c r="D1812" s="170"/>
      <c r="E1812" s="195"/>
      <c r="F1812" s="170"/>
      <c r="G1812" s="170"/>
      <c r="H1812" s="203"/>
      <c r="I1812" s="197" t="str">
        <f t="shared" si="297"/>
        <v/>
      </c>
      <c r="J1812" s="197" t="str">
        <f t="shared" si="298"/>
        <v/>
      </c>
      <c r="K1812" s="197"/>
      <c r="L1812" s="197"/>
      <c r="M1812" s="198"/>
      <c r="N1812" s="198"/>
      <c r="O1812" s="198"/>
      <c r="P1812" s="199"/>
      <c r="Q1812" s="200"/>
      <c r="R1812" s="200"/>
      <c r="S1812" s="200"/>
      <c r="T1812" s="200" t="str">
        <f t="shared" si="294"/>
        <v/>
      </c>
      <c r="U1812" s="200"/>
      <c r="V1812" s="201" t="str">
        <f t="shared" si="295"/>
        <v/>
      </c>
      <c r="W1812" s="202">
        <f t="shared" si="296"/>
        <v>0</v>
      </c>
      <c r="X1812" s="172"/>
    </row>
    <row r="1813" spans="1:24" x14ac:dyDescent="0.45">
      <c r="A1813" s="193">
        <v>39</v>
      </c>
      <c r="B1813" s="194" t="str">
        <f t="shared" si="292"/>
        <v/>
      </c>
      <c r="C1813" s="170" t="str">
        <f t="shared" si="293"/>
        <v/>
      </c>
      <c r="D1813" s="170"/>
      <c r="E1813" s="195"/>
      <c r="F1813" s="170"/>
      <c r="G1813" s="170"/>
      <c r="H1813" s="203"/>
      <c r="I1813" s="197" t="str">
        <f t="shared" si="297"/>
        <v/>
      </c>
      <c r="J1813" s="197" t="str">
        <f t="shared" si="298"/>
        <v/>
      </c>
      <c r="K1813" s="197"/>
      <c r="L1813" s="197"/>
      <c r="M1813" s="198"/>
      <c r="N1813" s="198"/>
      <c r="O1813" s="198"/>
      <c r="P1813" s="199"/>
      <c r="Q1813" s="200"/>
      <c r="R1813" s="200"/>
      <c r="S1813" s="200"/>
      <c r="T1813" s="200" t="str">
        <f t="shared" si="294"/>
        <v/>
      </c>
      <c r="U1813" s="200"/>
      <c r="V1813" s="201" t="str">
        <f t="shared" si="295"/>
        <v/>
      </c>
      <c r="W1813" s="202">
        <f t="shared" si="296"/>
        <v>0</v>
      </c>
      <c r="X1813" s="172"/>
    </row>
    <row r="1814" spans="1:24" x14ac:dyDescent="0.45">
      <c r="A1814" s="193">
        <v>40</v>
      </c>
      <c r="B1814" s="194" t="str">
        <f t="shared" si="292"/>
        <v/>
      </c>
      <c r="C1814" s="170" t="str">
        <f t="shared" si="293"/>
        <v/>
      </c>
      <c r="D1814" s="170"/>
      <c r="E1814" s="195"/>
      <c r="F1814" s="170"/>
      <c r="G1814" s="170"/>
      <c r="H1814" s="203"/>
      <c r="I1814" s="197" t="str">
        <f t="shared" si="297"/>
        <v/>
      </c>
      <c r="J1814" s="197" t="str">
        <f t="shared" si="298"/>
        <v/>
      </c>
      <c r="K1814" s="197"/>
      <c r="L1814" s="197"/>
      <c r="M1814" s="198"/>
      <c r="N1814" s="198"/>
      <c r="O1814" s="198"/>
      <c r="P1814" s="199"/>
      <c r="Q1814" s="200"/>
      <c r="R1814" s="200"/>
      <c r="S1814" s="200"/>
      <c r="T1814" s="200" t="str">
        <f t="shared" si="294"/>
        <v/>
      </c>
      <c r="U1814" s="200"/>
      <c r="V1814" s="201" t="str">
        <f t="shared" si="295"/>
        <v/>
      </c>
      <c r="W1814" s="202">
        <f t="shared" si="296"/>
        <v>0</v>
      </c>
      <c r="X1814" s="172"/>
    </row>
    <row r="1815" spans="1:24" x14ac:dyDescent="0.45">
      <c r="A1815" s="193">
        <v>41</v>
      </c>
      <c r="B1815" s="194" t="str">
        <f t="shared" si="292"/>
        <v/>
      </c>
      <c r="C1815" s="170" t="str">
        <f t="shared" si="293"/>
        <v/>
      </c>
      <c r="D1815" s="170"/>
      <c r="E1815" s="195"/>
      <c r="F1815" s="170"/>
      <c r="G1815" s="170"/>
      <c r="H1815" s="203"/>
      <c r="I1815" s="197" t="str">
        <f t="shared" si="297"/>
        <v/>
      </c>
      <c r="J1815" s="197" t="str">
        <f t="shared" si="298"/>
        <v/>
      </c>
      <c r="K1815" s="197"/>
      <c r="L1815" s="197"/>
      <c r="M1815" s="198"/>
      <c r="N1815" s="198"/>
      <c r="O1815" s="198"/>
      <c r="P1815" s="199"/>
      <c r="Q1815" s="200"/>
      <c r="R1815" s="200"/>
      <c r="S1815" s="200"/>
      <c r="T1815" s="200" t="str">
        <f t="shared" si="294"/>
        <v/>
      </c>
      <c r="U1815" s="200"/>
      <c r="V1815" s="201" t="str">
        <f t="shared" si="295"/>
        <v/>
      </c>
      <c r="W1815" s="202">
        <f t="shared" si="296"/>
        <v>0</v>
      </c>
      <c r="X1815" s="172"/>
    </row>
    <row r="1816" spans="1:24" x14ac:dyDescent="0.45">
      <c r="A1816" s="193">
        <v>42</v>
      </c>
      <c r="B1816" s="194" t="str">
        <f t="shared" si="292"/>
        <v/>
      </c>
      <c r="C1816" s="170" t="str">
        <f t="shared" si="293"/>
        <v/>
      </c>
      <c r="D1816" s="170"/>
      <c r="E1816" s="195"/>
      <c r="F1816" s="170"/>
      <c r="G1816" s="170"/>
      <c r="H1816" s="203"/>
      <c r="I1816" s="197" t="str">
        <f t="shared" si="297"/>
        <v/>
      </c>
      <c r="J1816" s="197" t="str">
        <f t="shared" si="298"/>
        <v/>
      </c>
      <c r="K1816" s="197"/>
      <c r="L1816" s="197"/>
      <c r="M1816" s="198"/>
      <c r="N1816" s="198"/>
      <c r="O1816" s="198"/>
      <c r="P1816" s="199"/>
      <c r="Q1816" s="200"/>
      <c r="R1816" s="200"/>
      <c r="S1816" s="200"/>
      <c r="T1816" s="200" t="str">
        <f t="shared" si="294"/>
        <v/>
      </c>
      <c r="U1816" s="200"/>
      <c r="V1816" s="201" t="str">
        <f t="shared" si="295"/>
        <v/>
      </c>
      <c r="W1816" s="202">
        <f t="shared" si="296"/>
        <v>0</v>
      </c>
      <c r="X1816" s="172"/>
    </row>
    <row r="1817" spans="1:24" x14ac:dyDescent="0.45">
      <c r="A1817" s="193">
        <v>43</v>
      </c>
      <c r="B1817" s="194" t="str">
        <f t="shared" si="292"/>
        <v/>
      </c>
      <c r="C1817" s="170" t="str">
        <f t="shared" si="293"/>
        <v/>
      </c>
      <c r="D1817" s="170"/>
      <c r="E1817" s="195"/>
      <c r="F1817" s="170"/>
      <c r="G1817" s="170"/>
      <c r="H1817" s="203"/>
      <c r="I1817" s="197" t="str">
        <f t="shared" si="297"/>
        <v/>
      </c>
      <c r="J1817" s="197" t="str">
        <f t="shared" si="298"/>
        <v/>
      </c>
      <c r="K1817" s="197"/>
      <c r="L1817" s="197"/>
      <c r="M1817" s="198"/>
      <c r="N1817" s="198"/>
      <c r="O1817" s="198"/>
      <c r="P1817" s="199"/>
      <c r="Q1817" s="200"/>
      <c r="R1817" s="200"/>
      <c r="S1817" s="200"/>
      <c r="T1817" s="200" t="str">
        <f t="shared" si="294"/>
        <v/>
      </c>
      <c r="U1817" s="200"/>
      <c r="V1817" s="201" t="str">
        <f t="shared" si="295"/>
        <v/>
      </c>
      <c r="W1817" s="202">
        <f t="shared" si="296"/>
        <v>0</v>
      </c>
      <c r="X1817" s="172"/>
    </row>
    <row r="1818" spans="1:24" x14ac:dyDescent="0.45">
      <c r="A1818" s="193">
        <v>44</v>
      </c>
      <c r="B1818" s="194" t="str">
        <f t="shared" si="292"/>
        <v/>
      </c>
      <c r="C1818" s="170" t="str">
        <f t="shared" si="293"/>
        <v/>
      </c>
      <c r="D1818" s="170"/>
      <c r="E1818" s="195"/>
      <c r="F1818" s="170"/>
      <c r="G1818" s="170"/>
      <c r="H1818" s="203"/>
      <c r="I1818" s="197" t="str">
        <f t="shared" si="297"/>
        <v/>
      </c>
      <c r="J1818" s="197" t="str">
        <f t="shared" si="298"/>
        <v/>
      </c>
      <c r="K1818" s="197"/>
      <c r="L1818" s="197"/>
      <c r="M1818" s="198"/>
      <c r="N1818" s="198"/>
      <c r="O1818" s="198"/>
      <c r="P1818" s="199"/>
      <c r="Q1818" s="200"/>
      <c r="R1818" s="200"/>
      <c r="S1818" s="200"/>
      <c r="T1818" s="200" t="str">
        <f t="shared" si="294"/>
        <v/>
      </c>
      <c r="U1818" s="200"/>
      <c r="V1818" s="201" t="str">
        <f t="shared" si="295"/>
        <v/>
      </c>
      <c r="W1818" s="202">
        <f t="shared" si="296"/>
        <v>0</v>
      </c>
      <c r="X1818" s="172"/>
    </row>
    <row r="1819" spans="1:24" x14ac:dyDescent="0.45">
      <c r="A1819" s="193">
        <v>45</v>
      </c>
      <c r="B1819" s="194" t="str">
        <f t="shared" si="292"/>
        <v/>
      </c>
      <c r="C1819" s="170" t="str">
        <f t="shared" si="293"/>
        <v/>
      </c>
      <c r="D1819" s="170"/>
      <c r="E1819" s="195"/>
      <c r="F1819" s="170"/>
      <c r="G1819" s="170"/>
      <c r="H1819" s="203"/>
      <c r="I1819" s="197" t="str">
        <f t="shared" si="297"/>
        <v/>
      </c>
      <c r="J1819" s="197" t="str">
        <f t="shared" si="298"/>
        <v/>
      </c>
      <c r="K1819" s="197"/>
      <c r="L1819" s="197"/>
      <c r="M1819" s="198"/>
      <c r="N1819" s="198"/>
      <c r="O1819" s="198"/>
      <c r="P1819" s="199"/>
      <c r="Q1819" s="200"/>
      <c r="R1819" s="200"/>
      <c r="S1819" s="200"/>
      <c r="T1819" s="200" t="str">
        <f t="shared" si="294"/>
        <v/>
      </c>
      <c r="U1819" s="200"/>
      <c r="V1819" s="201" t="str">
        <f t="shared" si="295"/>
        <v/>
      </c>
      <c r="W1819" s="202">
        <f t="shared" si="296"/>
        <v>0</v>
      </c>
      <c r="X1819" s="172"/>
    </row>
    <row r="1820" spans="1:24" x14ac:dyDescent="0.45">
      <c r="A1820" s="193">
        <v>46</v>
      </c>
      <c r="B1820" s="194" t="str">
        <f t="shared" si="292"/>
        <v/>
      </c>
      <c r="C1820" s="170" t="str">
        <f t="shared" si="293"/>
        <v/>
      </c>
      <c r="D1820" s="170"/>
      <c r="E1820" s="195"/>
      <c r="F1820" s="170"/>
      <c r="G1820" s="170"/>
      <c r="H1820" s="203"/>
      <c r="I1820" s="197" t="str">
        <f t="shared" si="297"/>
        <v/>
      </c>
      <c r="J1820" s="197" t="str">
        <f t="shared" si="298"/>
        <v/>
      </c>
      <c r="K1820" s="197"/>
      <c r="L1820" s="197"/>
      <c r="M1820" s="198"/>
      <c r="N1820" s="198"/>
      <c r="O1820" s="198"/>
      <c r="P1820" s="199"/>
      <c r="Q1820" s="200"/>
      <c r="R1820" s="200"/>
      <c r="S1820" s="200"/>
      <c r="T1820" s="200" t="str">
        <f t="shared" si="294"/>
        <v/>
      </c>
      <c r="U1820" s="200"/>
      <c r="V1820" s="201" t="str">
        <f t="shared" si="295"/>
        <v/>
      </c>
      <c r="W1820" s="202">
        <f t="shared" si="296"/>
        <v>0</v>
      </c>
      <c r="X1820" s="172"/>
    </row>
    <row r="1821" spans="1:24" x14ac:dyDescent="0.45">
      <c r="A1821" s="193">
        <v>47</v>
      </c>
      <c r="B1821" s="194" t="str">
        <f t="shared" si="292"/>
        <v/>
      </c>
      <c r="C1821" s="170" t="str">
        <f t="shared" si="293"/>
        <v/>
      </c>
      <c r="D1821" s="170"/>
      <c r="E1821" s="195"/>
      <c r="F1821" s="170"/>
      <c r="G1821" s="170"/>
      <c r="H1821" s="203"/>
      <c r="I1821" s="197" t="str">
        <f t="shared" si="297"/>
        <v/>
      </c>
      <c r="J1821" s="197" t="str">
        <f t="shared" si="298"/>
        <v/>
      </c>
      <c r="K1821" s="197"/>
      <c r="L1821" s="197"/>
      <c r="M1821" s="198"/>
      <c r="N1821" s="198"/>
      <c r="O1821" s="198"/>
      <c r="P1821" s="199"/>
      <c r="Q1821" s="200"/>
      <c r="R1821" s="200"/>
      <c r="S1821" s="200"/>
      <c r="T1821" s="200" t="str">
        <f t="shared" si="294"/>
        <v/>
      </c>
      <c r="U1821" s="200"/>
      <c r="V1821" s="201" t="str">
        <f t="shared" si="295"/>
        <v/>
      </c>
      <c r="W1821" s="202">
        <f t="shared" si="296"/>
        <v>0</v>
      </c>
      <c r="X1821" s="172"/>
    </row>
    <row r="1822" spans="1:24" x14ac:dyDescent="0.45">
      <c r="A1822" s="193">
        <v>48</v>
      </c>
      <c r="B1822" s="194" t="str">
        <f t="shared" si="292"/>
        <v/>
      </c>
      <c r="C1822" s="170" t="str">
        <f t="shared" si="293"/>
        <v/>
      </c>
      <c r="D1822" s="170"/>
      <c r="E1822" s="195"/>
      <c r="F1822" s="170"/>
      <c r="G1822" s="170"/>
      <c r="H1822" s="203"/>
      <c r="I1822" s="197" t="str">
        <f t="shared" si="297"/>
        <v/>
      </c>
      <c r="J1822" s="197" t="str">
        <f t="shared" si="298"/>
        <v/>
      </c>
      <c r="K1822" s="197"/>
      <c r="L1822" s="197"/>
      <c r="M1822" s="198"/>
      <c r="N1822" s="198"/>
      <c r="O1822" s="198"/>
      <c r="P1822" s="199"/>
      <c r="Q1822" s="200"/>
      <c r="R1822" s="200"/>
      <c r="S1822" s="200"/>
      <c r="T1822" s="200" t="str">
        <f t="shared" si="294"/>
        <v/>
      </c>
      <c r="U1822" s="200"/>
      <c r="V1822" s="201" t="str">
        <f t="shared" si="295"/>
        <v/>
      </c>
      <c r="W1822" s="202">
        <f t="shared" si="296"/>
        <v>0</v>
      </c>
      <c r="X1822" s="172"/>
    </row>
    <row r="1823" spans="1:24" x14ac:dyDescent="0.45">
      <c r="A1823" s="193">
        <v>49</v>
      </c>
      <c r="B1823" s="194" t="str">
        <f t="shared" si="292"/>
        <v/>
      </c>
      <c r="C1823" s="170" t="str">
        <f t="shared" si="293"/>
        <v/>
      </c>
      <c r="D1823" s="170"/>
      <c r="E1823" s="195"/>
      <c r="F1823" s="170"/>
      <c r="G1823" s="170"/>
      <c r="H1823" s="203"/>
      <c r="I1823" s="197" t="str">
        <f t="shared" si="297"/>
        <v/>
      </c>
      <c r="J1823" s="197" t="str">
        <f t="shared" si="298"/>
        <v/>
      </c>
      <c r="K1823" s="197"/>
      <c r="L1823" s="197"/>
      <c r="M1823" s="198"/>
      <c r="N1823" s="198"/>
      <c r="O1823" s="198"/>
      <c r="P1823" s="199"/>
      <c r="Q1823" s="200"/>
      <c r="R1823" s="200"/>
      <c r="S1823" s="200"/>
      <c r="T1823" s="200" t="str">
        <f t="shared" si="294"/>
        <v/>
      </c>
      <c r="U1823" s="200"/>
      <c r="V1823" s="201" t="str">
        <f t="shared" si="295"/>
        <v/>
      </c>
      <c r="W1823" s="202">
        <f t="shared" si="296"/>
        <v>0</v>
      </c>
      <c r="X1823" s="172"/>
    </row>
    <row r="1824" spans="1:24" x14ac:dyDescent="0.45">
      <c r="A1824" s="193">
        <v>50</v>
      </c>
      <c r="B1824" s="194" t="str">
        <f t="shared" si="292"/>
        <v/>
      </c>
      <c r="C1824" s="170" t="str">
        <f t="shared" si="293"/>
        <v/>
      </c>
      <c r="D1824" s="170"/>
      <c r="E1824" s="195"/>
      <c r="F1824" s="170"/>
      <c r="G1824" s="170"/>
      <c r="H1824" s="203"/>
      <c r="I1824" s="197" t="str">
        <f t="shared" si="297"/>
        <v/>
      </c>
      <c r="J1824" s="197" t="str">
        <f t="shared" si="298"/>
        <v/>
      </c>
      <c r="K1824" s="197"/>
      <c r="L1824" s="197"/>
      <c r="M1824" s="198"/>
      <c r="N1824" s="198"/>
      <c r="O1824" s="198"/>
      <c r="P1824" s="199"/>
      <c r="Q1824" s="200"/>
      <c r="R1824" s="200"/>
      <c r="S1824" s="200"/>
      <c r="T1824" s="200" t="str">
        <f t="shared" si="294"/>
        <v/>
      </c>
      <c r="U1824" s="200"/>
      <c r="V1824" s="201" t="str">
        <f t="shared" si="295"/>
        <v/>
      </c>
      <c r="W1824" s="202">
        <f t="shared" si="296"/>
        <v>0</v>
      </c>
      <c r="X1824" s="172"/>
    </row>
    <row r="1825" spans="1:24" x14ac:dyDescent="0.45">
      <c r="A1825" s="193">
        <v>51</v>
      </c>
      <c r="B1825" s="194" t="str">
        <f t="shared" si="292"/>
        <v/>
      </c>
      <c r="C1825" s="170" t="str">
        <f t="shared" si="293"/>
        <v/>
      </c>
      <c r="D1825" s="170"/>
      <c r="E1825" s="195"/>
      <c r="F1825" s="170"/>
      <c r="G1825" s="170"/>
      <c r="H1825" s="203"/>
      <c r="I1825" s="197" t="str">
        <f t="shared" si="297"/>
        <v/>
      </c>
      <c r="J1825" s="197" t="str">
        <f t="shared" si="298"/>
        <v/>
      </c>
      <c r="K1825" s="197"/>
      <c r="L1825" s="197"/>
      <c r="M1825" s="198"/>
      <c r="N1825" s="198"/>
      <c r="O1825" s="198"/>
      <c r="P1825" s="199"/>
      <c r="Q1825" s="200"/>
      <c r="R1825" s="200"/>
      <c r="S1825" s="200"/>
      <c r="T1825" s="200" t="str">
        <f t="shared" si="294"/>
        <v/>
      </c>
      <c r="U1825" s="200"/>
      <c r="V1825" s="201" t="str">
        <f t="shared" si="295"/>
        <v/>
      </c>
      <c r="W1825" s="202">
        <f t="shared" si="296"/>
        <v>0</v>
      </c>
      <c r="X1825" s="172"/>
    </row>
    <row r="1826" spans="1:24" x14ac:dyDescent="0.45">
      <c r="A1826" s="193">
        <v>52</v>
      </c>
      <c r="B1826" s="194" t="str">
        <f t="shared" si="292"/>
        <v/>
      </c>
      <c r="C1826" s="170" t="str">
        <f t="shared" si="293"/>
        <v/>
      </c>
      <c r="D1826" s="170"/>
      <c r="E1826" s="195"/>
      <c r="F1826" s="170"/>
      <c r="G1826" s="170"/>
      <c r="H1826" s="203"/>
      <c r="I1826" s="197" t="str">
        <f t="shared" si="297"/>
        <v/>
      </c>
      <c r="J1826" s="197" t="str">
        <f t="shared" si="298"/>
        <v/>
      </c>
      <c r="K1826" s="197"/>
      <c r="L1826" s="197"/>
      <c r="M1826" s="198"/>
      <c r="N1826" s="198"/>
      <c r="O1826" s="198"/>
      <c r="P1826" s="199"/>
      <c r="Q1826" s="200"/>
      <c r="R1826" s="200"/>
      <c r="S1826" s="200"/>
      <c r="T1826" s="200" t="str">
        <f t="shared" si="294"/>
        <v/>
      </c>
      <c r="U1826" s="200"/>
      <c r="V1826" s="201" t="str">
        <f t="shared" si="295"/>
        <v/>
      </c>
      <c r="W1826" s="202">
        <f t="shared" si="296"/>
        <v>0</v>
      </c>
      <c r="X1826" s="172"/>
    </row>
    <row r="1827" spans="1:24" x14ac:dyDescent="0.45">
      <c r="A1827" s="193">
        <v>53</v>
      </c>
      <c r="B1827" s="194" t="str">
        <f t="shared" si="292"/>
        <v/>
      </c>
      <c r="C1827" s="170" t="str">
        <f t="shared" si="293"/>
        <v/>
      </c>
      <c r="D1827" s="170"/>
      <c r="E1827" s="195"/>
      <c r="F1827" s="170"/>
      <c r="G1827" s="170"/>
      <c r="H1827" s="203"/>
      <c r="I1827" s="197" t="str">
        <f t="shared" si="297"/>
        <v/>
      </c>
      <c r="J1827" s="197" t="str">
        <f t="shared" si="298"/>
        <v/>
      </c>
      <c r="K1827" s="197"/>
      <c r="L1827" s="197"/>
      <c r="M1827" s="198"/>
      <c r="N1827" s="198"/>
      <c r="O1827" s="198"/>
      <c r="P1827" s="199"/>
      <c r="Q1827" s="200"/>
      <c r="R1827" s="200"/>
      <c r="S1827" s="200"/>
      <c r="T1827" s="200" t="str">
        <f t="shared" si="294"/>
        <v/>
      </c>
      <c r="U1827" s="200"/>
      <c r="V1827" s="201" t="str">
        <f t="shared" si="295"/>
        <v/>
      </c>
      <c r="W1827" s="202">
        <f t="shared" si="296"/>
        <v>0</v>
      </c>
      <c r="X1827" s="172"/>
    </row>
    <row r="1828" spans="1:24" x14ac:dyDescent="0.45">
      <c r="A1828" s="193">
        <v>54</v>
      </c>
      <c r="B1828" s="194" t="str">
        <f t="shared" si="292"/>
        <v/>
      </c>
      <c r="C1828" s="170" t="str">
        <f t="shared" si="293"/>
        <v/>
      </c>
      <c r="D1828" s="170"/>
      <c r="E1828" s="195"/>
      <c r="F1828" s="170"/>
      <c r="G1828" s="170"/>
      <c r="H1828" s="203"/>
      <c r="I1828" s="197" t="str">
        <f t="shared" si="297"/>
        <v/>
      </c>
      <c r="J1828" s="197" t="str">
        <f t="shared" si="298"/>
        <v/>
      </c>
      <c r="K1828" s="197"/>
      <c r="L1828" s="197"/>
      <c r="M1828" s="198"/>
      <c r="N1828" s="198"/>
      <c r="O1828" s="198"/>
      <c r="P1828" s="199"/>
      <c r="Q1828" s="200"/>
      <c r="R1828" s="200"/>
      <c r="S1828" s="200"/>
      <c r="T1828" s="200" t="str">
        <f t="shared" si="294"/>
        <v/>
      </c>
      <c r="U1828" s="200"/>
      <c r="V1828" s="201" t="str">
        <f t="shared" si="295"/>
        <v/>
      </c>
      <c r="W1828" s="202">
        <f t="shared" si="296"/>
        <v>0</v>
      </c>
      <c r="X1828" s="172"/>
    </row>
    <row r="1829" spans="1:24" x14ac:dyDescent="0.45">
      <c r="A1829" s="193">
        <v>55</v>
      </c>
      <c r="B1829" s="194" t="str">
        <f t="shared" si="292"/>
        <v/>
      </c>
      <c r="C1829" s="170" t="str">
        <f t="shared" si="293"/>
        <v/>
      </c>
      <c r="D1829" s="170"/>
      <c r="E1829" s="195"/>
      <c r="F1829" s="170"/>
      <c r="G1829" s="170"/>
      <c r="H1829" s="203"/>
      <c r="I1829" s="197" t="str">
        <f t="shared" si="297"/>
        <v/>
      </c>
      <c r="J1829" s="197" t="str">
        <f t="shared" si="298"/>
        <v/>
      </c>
      <c r="K1829" s="197"/>
      <c r="L1829" s="197"/>
      <c r="M1829" s="198"/>
      <c r="N1829" s="198"/>
      <c r="O1829" s="198"/>
      <c r="P1829" s="199"/>
      <c r="Q1829" s="200"/>
      <c r="R1829" s="200"/>
      <c r="S1829" s="200"/>
      <c r="T1829" s="200" t="str">
        <f t="shared" si="294"/>
        <v/>
      </c>
      <c r="U1829" s="200"/>
      <c r="V1829" s="201" t="str">
        <f t="shared" si="295"/>
        <v/>
      </c>
      <c r="W1829" s="202">
        <f t="shared" si="296"/>
        <v>0</v>
      </c>
      <c r="X1829" s="172"/>
    </row>
    <row r="1830" spans="1:24" x14ac:dyDescent="0.45">
      <c r="A1830" s="193">
        <v>56</v>
      </c>
      <c r="B1830" s="194" t="str">
        <f t="shared" si="292"/>
        <v/>
      </c>
      <c r="C1830" s="170" t="str">
        <f t="shared" si="293"/>
        <v/>
      </c>
      <c r="D1830" s="170"/>
      <c r="E1830" s="195"/>
      <c r="F1830" s="170"/>
      <c r="G1830" s="170"/>
      <c r="H1830" s="203"/>
      <c r="I1830" s="197" t="str">
        <f t="shared" si="297"/>
        <v/>
      </c>
      <c r="J1830" s="197" t="str">
        <f t="shared" si="298"/>
        <v/>
      </c>
      <c r="K1830" s="197"/>
      <c r="L1830" s="197"/>
      <c r="M1830" s="198"/>
      <c r="N1830" s="198"/>
      <c r="O1830" s="198"/>
      <c r="P1830" s="199"/>
      <c r="Q1830" s="200"/>
      <c r="R1830" s="200"/>
      <c r="S1830" s="200"/>
      <c r="T1830" s="200" t="str">
        <f t="shared" si="294"/>
        <v/>
      </c>
      <c r="U1830" s="200"/>
      <c r="V1830" s="201" t="str">
        <f t="shared" si="295"/>
        <v/>
      </c>
      <c r="W1830" s="202">
        <f t="shared" si="296"/>
        <v>0</v>
      </c>
      <c r="X1830" s="172"/>
    </row>
    <row r="1831" spans="1:24" x14ac:dyDescent="0.45">
      <c r="A1831" s="193">
        <v>57</v>
      </c>
      <c r="B1831" s="194" t="str">
        <f t="shared" si="292"/>
        <v/>
      </c>
      <c r="C1831" s="170" t="str">
        <f t="shared" si="293"/>
        <v/>
      </c>
      <c r="D1831" s="170"/>
      <c r="E1831" s="195"/>
      <c r="F1831" s="170"/>
      <c r="G1831" s="170"/>
      <c r="H1831" s="203"/>
      <c r="I1831" s="197" t="str">
        <f t="shared" si="297"/>
        <v/>
      </c>
      <c r="J1831" s="197" t="str">
        <f t="shared" si="298"/>
        <v/>
      </c>
      <c r="K1831" s="197"/>
      <c r="L1831" s="197"/>
      <c r="M1831" s="198"/>
      <c r="N1831" s="198"/>
      <c r="O1831" s="198"/>
      <c r="P1831" s="199"/>
      <c r="Q1831" s="200"/>
      <c r="R1831" s="200"/>
      <c r="S1831" s="200"/>
      <c r="T1831" s="200" t="str">
        <f t="shared" si="294"/>
        <v/>
      </c>
      <c r="U1831" s="200"/>
      <c r="V1831" s="201" t="str">
        <f t="shared" si="295"/>
        <v/>
      </c>
      <c r="W1831" s="202">
        <f t="shared" si="296"/>
        <v>0</v>
      </c>
      <c r="X1831" s="172"/>
    </row>
    <row r="1832" spans="1:24" x14ac:dyDescent="0.45">
      <c r="A1832" s="193">
        <v>58</v>
      </c>
      <c r="B1832" s="194" t="str">
        <f t="shared" si="292"/>
        <v/>
      </c>
      <c r="C1832" s="170" t="str">
        <f t="shared" si="293"/>
        <v/>
      </c>
      <c r="D1832" s="170"/>
      <c r="E1832" s="195"/>
      <c r="F1832" s="170"/>
      <c r="G1832" s="170"/>
      <c r="H1832" s="203"/>
      <c r="I1832" s="197" t="str">
        <f t="shared" si="297"/>
        <v/>
      </c>
      <c r="J1832" s="197" t="str">
        <f t="shared" si="298"/>
        <v/>
      </c>
      <c r="K1832" s="197"/>
      <c r="L1832" s="197"/>
      <c r="M1832" s="198"/>
      <c r="N1832" s="198"/>
      <c r="O1832" s="198"/>
      <c r="P1832" s="199"/>
      <c r="Q1832" s="200"/>
      <c r="R1832" s="200"/>
      <c r="S1832" s="200"/>
      <c r="T1832" s="200" t="str">
        <f t="shared" si="294"/>
        <v/>
      </c>
      <c r="U1832" s="200"/>
      <c r="V1832" s="201" t="str">
        <f t="shared" si="295"/>
        <v/>
      </c>
      <c r="W1832" s="202">
        <f t="shared" si="296"/>
        <v>0</v>
      </c>
      <c r="X1832" s="172"/>
    </row>
    <row r="1833" spans="1:24" x14ac:dyDescent="0.45">
      <c r="A1833" s="193">
        <v>59</v>
      </c>
      <c r="B1833" s="194" t="str">
        <f t="shared" si="292"/>
        <v/>
      </c>
      <c r="C1833" s="170" t="str">
        <f t="shared" si="293"/>
        <v/>
      </c>
      <c r="D1833" s="170"/>
      <c r="E1833" s="195"/>
      <c r="F1833" s="170"/>
      <c r="G1833" s="170"/>
      <c r="H1833" s="203"/>
      <c r="I1833" s="197" t="str">
        <f t="shared" si="297"/>
        <v/>
      </c>
      <c r="J1833" s="197" t="str">
        <f t="shared" si="298"/>
        <v/>
      </c>
      <c r="K1833" s="197"/>
      <c r="L1833" s="197"/>
      <c r="M1833" s="198"/>
      <c r="N1833" s="198"/>
      <c r="O1833" s="198"/>
      <c r="P1833" s="199"/>
      <c r="Q1833" s="200"/>
      <c r="R1833" s="200"/>
      <c r="S1833" s="200"/>
      <c r="T1833" s="200" t="str">
        <f t="shared" si="294"/>
        <v/>
      </c>
      <c r="U1833" s="200"/>
      <c r="V1833" s="201" t="str">
        <f t="shared" si="295"/>
        <v/>
      </c>
      <c r="W1833" s="202">
        <f t="shared" si="296"/>
        <v>0</v>
      </c>
      <c r="X1833" s="172"/>
    </row>
    <row r="1834" spans="1:24" x14ac:dyDescent="0.45">
      <c r="A1834" s="193">
        <v>60</v>
      </c>
      <c r="B1834" s="194" t="str">
        <f t="shared" si="292"/>
        <v/>
      </c>
      <c r="C1834" s="170" t="str">
        <f t="shared" si="293"/>
        <v/>
      </c>
      <c r="D1834" s="170"/>
      <c r="E1834" s="195"/>
      <c r="F1834" s="170"/>
      <c r="G1834" s="170"/>
      <c r="H1834" s="203"/>
      <c r="I1834" s="197" t="str">
        <f t="shared" si="297"/>
        <v/>
      </c>
      <c r="J1834" s="197" t="str">
        <f t="shared" si="298"/>
        <v/>
      </c>
      <c r="K1834" s="197"/>
      <c r="L1834" s="197"/>
      <c r="M1834" s="198"/>
      <c r="N1834" s="198"/>
      <c r="O1834" s="198"/>
      <c r="P1834" s="199"/>
      <c r="Q1834" s="200"/>
      <c r="R1834" s="200"/>
      <c r="S1834" s="200"/>
      <c r="T1834" s="200" t="str">
        <f t="shared" si="294"/>
        <v/>
      </c>
      <c r="U1834" s="200"/>
      <c r="V1834" s="201" t="str">
        <f t="shared" si="295"/>
        <v/>
      </c>
      <c r="W1834" s="202">
        <f t="shared" si="296"/>
        <v>0</v>
      </c>
      <c r="X1834" s="172"/>
    </row>
    <row r="1835" spans="1:24" x14ac:dyDescent="0.45">
      <c r="A1835" s="193">
        <v>61</v>
      </c>
      <c r="B1835" s="194" t="str">
        <f t="shared" si="292"/>
        <v/>
      </c>
      <c r="C1835" s="170" t="str">
        <f t="shared" si="293"/>
        <v/>
      </c>
      <c r="D1835" s="170"/>
      <c r="E1835" s="195"/>
      <c r="F1835" s="170"/>
      <c r="G1835" s="170"/>
      <c r="H1835" s="203"/>
      <c r="I1835" s="197" t="str">
        <f t="shared" si="297"/>
        <v/>
      </c>
      <c r="J1835" s="197" t="str">
        <f t="shared" si="298"/>
        <v/>
      </c>
      <c r="K1835" s="197"/>
      <c r="L1835" s="197"/>
      <c r="M1835" s="198"/>
      <c r="N1835" s="198"/>
      <c r="O1835" s="198"/>
      <c r="P1835" s="199"/>
      <c r="Q1835" s="200"/>
      <c r="R1835" s="200"/>
      <c r="S1835" s="200"/>
      <c r="T1835" s="200" t="str">
        <f t="shared" si="294"/>
        <v/>
      </c>
      <c r="U1835" s="200"/>
      <c r="V1835" s="201" t="str">
        <f t="shared" si="295"/>
        <v/>
      </c>
      <c r="W1835" s="202">
        <f t="shared" si="296"/>
        <v>0</v>
      </c>
      <c r="X1835" s="172"/>
    </row>
    <row r="1836" spans="1:24" x14ac:dyDescent="0.45">
      <c r="A1836" s="193">
        <v>62</v>
      </c>
      <c r="B1836" s="194" t="str">
        <f t="shared" si="292"/>
        <v/>
      </c>
      <c r="C1836" s="170" t="str">
        <f t="shared" si="293"/>
        <v/>
      </c>
      <c r="D1836" s="170"/>
      <c r="E1836" s="195"/>
      <c r="F1836" s="170"/>
      <c r="G1836" s="170"/>
      <c r="H1836" s="203"/>
      <c r="I1836" s="197" t="str">
        <f t="shared" si="297"/>
        <v/>
      </c>
      <c r="J1836" s="197" t="str">
        <f t="shared" si="298"/>
        <v/>
      </c>
      <c r="K1836" s="197"/>
      <c r="L1836" s="197"/>
      <c r="M1836" s="198"/>
      <c r="N1836" s="198"/>
      <c r="O1836" s="198"/>
      <c r="P1836" s="199"/>
      <c r="Q1836" s="200"/>
      <c r="R1836" s="200"/>
      <c r="S1836" s="200"/>
      <c r="T1836" s="200" t="str">
        <f t="shared" si="294"/>
        <v/>
      </c>
      <c r="U1836" s="200"/>
      <c r="V1836" s="201" t="str">
        <f t="shared" si="295"/>
        <v/>
      </c>
      <c r="W1836" s="202">
        <f t="shared" si="296"/>
        <v>0</v>
      </c>
      <c r="X1836" s="172"/>
    </row>
    <row r="1837" spans="1:24" x14ac:dyDescent="0.45">
      <c r="A1837" s="193">
        <v>63</v>
      </c>
      <c r="B1837" s="194" t="str">
        <f t="shared" si="292"/>
        <v/>
      </c>
      <c r="C1837" s="170" t="str">
        <f t="shared" si="293"/>
        <v/>
      </c>
      <c r="D1837" s="170"/>
      <c r="E1837" s="195"/>
      <c r="F1837" s="170"/>
      <c r="G1837" s="170"/>
      <c r="H1837" s="203"/>
      <c r="I1837" s="197" t="str">
        <f t="shared" si="297"/>
        <v/>
      </c>
      <c r="J1837" s="197" t="str">
        <f t="shared" si="298"/>
        <v/>
      </c>
      <c r="K1837" s="197"/>
      <c r="L1837" s="197"/>
      <c r="M1837" s="198"/>
      <c r="N1837" s="198"/>
      <c r="O1837" s="198"/>
      <c r="P1837" s="199"/>
      <c r="Q1837" s="200"/>
      <c r="R1837" s="200"/>
      <c r="S1837" s="200"/>
      <c r="T1837" s="200" t="str">
        <f t="shared" si="294"/>
        <v/>
      </c>
      <c r="U1837" s="200"/>
      <c r="V1837" s="201" t="str">
        <f t="shared" si="295"/>
        <v/>
      </c>
      <c r="W1837" s="202">
        <f t="shared" si="296"/>
        <v>0</v>
      </c>
      <c r="X1837" s="172"/>
    </row>
    <row r="1838" spans="1:24" x14ac:dyDescent="0.45">
      <c r="A1838" s="193">
        <v>64</v>
      </c>
      <c r="B1838" s="194" t="str">
        <f t="shared" si="292"/>
        <v/>
      </c>
      <c r="C1838" s="170" t="str">
        <f t="shared" si="293"/>
        <v/>
      </c>
      <c r="D1838" s="170"/>
      <c r="E1838" s="195"/>
      <c r="F1838" s="170"/>
      <c r="G1838" s="170"/>
      <c r="H1838" s="203"/>
      <c r="I1838" s="197" t="str">
        <f t="shared" si="297"/>
        <v/>
      </c>
      <c r="J1838" s="197" t="str">
        <f t="shared" si="298"/>
        <v/>
      </c>
      <c r="K1838" s="197"/>
      <c r="L1838" s="197"/>
      <c r="M1838" s="198"/>
      <c r="N1838" s="198"/>
      <c r="O1838" s="198"/>
      <c r="P1838" s="199"/>
      <c r="Q1838" s="200"/>
      <c r="R1838" s="200"/>
      <c r="S1838" s="200"/>
      <c r="T1838" s="200" t="str">
        <f t="shared" si="294"/>
        <v/>
      </c>
      <c r="U1838" s="200"/>
      <c r="V1838" s="201" t="str">
        <f t="shared" si="295"/>
        <v/>
      </c>
      <c r="W1838" s="202">
        <f t="shared" si="296"/>
        <v>0</v>
      </c>
      <c r="X1838" s="172"/>
    </row>
    <row r="1839" spans="1:24" x14ac:dyDescent="0.45">
      <c r="A1839" s="193">
        <v>65</v>
      </c>
      <c r="B1839" s="194" t="str">
        <f t="shared" si="292"/>
        <v/>
      </c>
      <c r="C1839" s="170" t="str">
        <f t="shared" si="293"/>
        <v/>
      </c>
      <c r="D1839" s="170"/>
      <c r="E1839" s="195"/>
      <c r="F1839" s="170"/>
      <c r="G1839" s="170"/>
      <c r="H1839" s="203"/>
      <c r="I1839" s="197" t="str">
        <f t="shared" si="297"/>
        <v/>
      </c>
      <c r="J1839" s="197" t="str">
        <f t="shared" si="298"/>
        <v/>
      </c>
      <c r="K1839" s="197"/>
      <c r="L1839" s="197"/>
      <c r="M1839" s="198"/>
      <c r="N1839" s="198"/>
      <c r="O1839" s="198"/>
      <c r="P1839" s="199"/>
      <c r="Q1839" s="200"/>
      <c r="R1839" s="200"/>
      <c r="S1839" s="200"/>
      <c r="T1839" s="200" t="str">
        <f t="shared" si="294"/>
        <v/>
      </c>
      <c r="U1839" s="200"/>
      <c r="V1839" s="201" t="str">
        <f t="shared" ref="V1839:V1840" si="299">IF(U1839="","",$V$1755)</f>
        <v/>
      </c>
      <c r="W1839" s="202">
        <f t="shared" si="296"/>
        <v>0</v>
      </c>
      <c r="X1839" s="172"/>
    </row>
    <row r="1840" spans="1:24" ht="14.25" customHeight="1" x14ac:dyDescent="0.45">
      <c r="A1840" s="193">
        <v>66</v>
      </c>
      <c r="B1840" s="204" t="str">
        <f t="shared" si="292"/>
        <v/>
      </c>
      <c r="C1840" s="205" t="str">
        <f t="shared" si="293"/>
        <v/>
      </c>
      <c r="D1840" s="205"/>
      <c r="E1840" s="205"/>
      <c r="F1840" s="205"/>
      <c r="G1840" s="205"/>
      <c r="H1840" s="205"/>
      <c r="I1840" s="206" t="str">
        <f t="shared" si="297"/>
        <v/>
      </c>
      <c r="J1840" s="206" t="str">
        <f t="shared" si="298"/>
        <v/>
      </c>
      <c r="K1840" s="206"/>
      <c r="L1840" s="206"/>
      <c r="M1840" s="205"/>
      <c r="N1840" s="205"/>
      <c r="O1840" s="205"/>
      <c r="P1840" s="205"/>
      <c r="Q1840" s="205"/>
      <c r="R1840" s="205"/>
      <c r="S1840" s="205"/>
      <c r="T1840" s="205" t="str">
        <f t="shared" si="294"/>
        <v/>
      </c>
      <c r="U1840" s="205"/>
      <c r="V1840" s="205" t="str">
        <f t="shared" si="299"/>
        <v/>
      </c>
      <c r="W1840" s="207">
        <f t="shared" si="296"/>
        <v>0</v>
      </c>
      <c r="X1840" s="207"/>
    </row>
    <row r="1841" spans="2:24" ht="24.75" customHeight="1" x14ac:dyDescent="0.45">
      <c r="B1841" s="428" t="s">
        <v>1528</v>
      </c>
      <c r="C1841" s="429" t="s">
        <v>1494</v>
      </c>
      <c r="D1841" s="429"/>
      <c r="E1841" s="429"/>
      <c r="F1841" s="429"/>
      <c r="G1841" s="429"/>
      <c r="H1841" s="429"/>
      <c r="I1841" s="429"/>
      <c r="J1841" s="429"/>
      <c r="K1841" s="429"/>
      <c r="L1841" s="429"/>
      <c r="M1841" s="429"/>
      <c r="N1841" s="429"/>
      <c r="O1841" s="429"/>
      <c r="P1841" s="429"/>
      <c r="Q1841" s="429"/>
      <c r="R1841" s="145" t="s">
        <v>1</v>
      </c>
      <c r="S1841" s="146"/>
      <c r="T1841" s="145" t="s">
        <v>8</v>
      </c>
      <c r="U1841" s="147"/>
      <c r="V1841" s="148" t="s">
        <v>3</v>
      </c>
      <c r="W1841" s="146"/>
      <c r="X1841" s="149"/>
    </row>
    <row r="1842" spans="2:24" ht="24.75" customHeight="1" x14ac:dyDescent="0.45">
      <c r="B1842" s="428"/>
      <c r="C1842" s="429"/>
      <c r="D1842" s="429"/>
      <c r="E1842" s="429"/>
      <c r="F1842" s="429"/>
      <c r="G1842" s="429"/>
      <c r="H1842" s="429"/>
      <c r="I1842" s="429"/>
      <c r="J1842" s="429"/>
      <c r="K1842" s="429"/>
      <c r="L1842" s="429"/>
      <c r="M1842" s="429"/>
      <c r="N1842" s="429"/>
      <c r="O1842" s="429"/>
      <c r="P1842" s="429"/>
      <c r="Q1842" s="429"/>
      <c r="R1842" s="430" t="s">
        <v>1495</v>
      </c>
      <c r="S1842" s="430"/>
      <c r="T1842" s="431" t="str">
        <f>'BM MORRO DA CRUZ - VERTICAL'!$V$4</f>
        <v>01-10-26 A 31-10-26</v>
      </c>
      <c r="U1842" s="431"/>
      <c r="V1842" s="432" t="str">
        <f>IF('BM MORRO DA CRUZ - VERTICAL'!$BF$2="","",'BM MORRO DA CRUZ - VERTICAL'!$BF$2)</f>
        <v/>
      </c>
      <c r="W1842" s="432"/>
      <c r="X1842" s="150"/>
    </row>
    <row r="1843" spans="2:24" ht="24.75" customHeight="1" x14ac:dyDescent="0.45">
      <c r="B1843" s="151" t="s">
        <v>5</v>
      </c>
      <c r="C1843" s="152"/>
      <c r="D1843" s="152"/>
      <c r="E1843" s="152"/>
      <c r="F1843" s="152"/>
      <c r="G1843" s="152"/>
      <c r="H1843" s="152"/>
      <c r="I1843" s="152"/>
      <c r="J1843" s="152"/>
      <c r="K1843" s="152"/>
      <c r="L1843" s="152"/>
      <c r="M1843" s="152"/>
      <c r="N1843" s="152"/>
      <c r="O1843" s="152"/>
      <c r="P1843" s="153"/>
      <c r="Q1843" s="154"/>
      <c r="R1843" s="155"/>
      <c r="S1843" s="155"/>
      <c r="T1843" s="156" t="s">
        <v>1496</v>
      </c>
      <c r="U1843" s="157"/>
      <c r="V1843" s="158" t="s">
        <v>9</v>
      </c>
      <c r="W1843" s="159"/>
      <c r="X1843" s="433"/>
    </row>
    <row r="1844" spans="2:24" ht="24.75" customHeight="1" x14ac:dyDescent="0.45">
      <c r="B1844" s="17" t="s">
        <v>11</v>
      </c>
      <c r="C1844" s="160"/>
      <c r="D1844" s="160"/>
      <c r="E1844" s="160"/>
      <c r="F1844" s="160"/>
      <c r="G1844" s="160"/>
      <c r="H1844" s="160"/>
      <c r="I1844" s="160"/>
      <c r="J1844" s="160"/>
      <c r="K1844" s="160"/>
      <c r="L1844" s="160"/>
      <c r="M1844" s="160"/>
      <c r="N1844" s="160"/>
      <c r="O1844" s="160"/>
      <c r="P1844" s="161"/>
      <c r="Q1844" s="162"/>
      <c r="R1844" s="163"/>
      <c r="S1844" s="163"/>
      <c r="T1844" s="434" t="str">
        <f>'BM MORRO DA CRUZ - VERTICAL'!$V$2</f>
        <v>1ª MEDIÇÃO</v>
      </c>
      <c r="U1844" s="434"/>
      <c r="V1844" s="435" t="s">
        <v>13</v>
      </c>
      <c r="W1844" s="435"/>
      <c r="X1844" s="433"/>
    </row>
    <row r="1845" spans="2:24" ht="24.75" customHeight="1" x14ac:dyDescent="0.45">
      <c r="B1845" s="164" t="s">
        <v>1459</v>
      </c>
      <c r="C1845" s="165" t="s">
        <v>14</v>
      </c>
      <c r="D1845" s="165" t="s">
        <v>24</v>
      </c>
      <c r="E1845" s="165" t="s">
        <v>25</v>
      </c>
      <c r="F1845" s="166" t="s">
        <v>1461</v>
      </c>
      <c r="G1845" s="165"/>
      <c r="H1845" s="165"/>
      <c r="I1845" s="165"/>
      <c r="J1845" s="165"/>
      <c r="K1845" s="165"/>
      <c r="L1845" s="165"/>
      <c r="M1845" s="165"/>
      <c r="N1845" s="165"/>
      <c r="O1845" s="165"/>
      <c r="P1845" s="165"/>
      <c r="Q1845" s="165"/>
      <c r="R1845" s="165"/>
      <c r="S1845" s="165"/>
      <c r="T1845" s="165"/>
      <c r="U1845" s="165"/>
      <c r="V1845" s="165" t="s">
        <v>26</v>
      </c>
      <c r="W1845" s="167" t="s">
        <v>29</v>
      </c>
      <c r="X1845" s="168" t="s">
        <v>1529</v>
      </c>
    </row>
    <row r="1846" spans="2:24" ht="24.75" customHeight="1" x14ac:dyDescent="0.45">
      <c r="B1846" s="169"/>
      <c r="C1846" s="170"/>
      <c r="D1846" s="170"/>
      <c r="E1846" s="170"/>
      <c r="F1846" s="170"/>
      <c r="G1846" s="170"/>
      <c r="H1846" s="170"/>
      <c r="I1846" s="170"/>
      <c r="J1846" s="170"/>
      <c r="K1846" s="170"/>
      <c r="L1846" s="170"/>
      <c r="M1846" s="170"/>
      <c r="N1846" s="170"/>
      <c r="O1846" s="170"/>
      <c r="P1846" s="170"/>
      <c r="Q1846" s="170"/>
      <c r="R1846" s="170"/>
      <c r="S1846" s="170"/>
      <c r="T1846" s="170"/>
      <c r="U1846" s="170"/>
      <c r="V1846" s="170"/>
      <c r="W1846" s="171"/>
      <c r="X1846" s="172"/>
    </row>
    <row r="1847" spans="2:24" ht="24.75" customHeight="1" x14ac:dyDescent="0.45">
      <c r="B1847" s="173" t="str">
        <f>IF($C$1847="","",IFERROR(INDEX('BM MORRO DA CRUZ - VERTICAL'!$C$6:$C$546,MATCH($C$1847,'BM MORRO DA CRUZ - VERTICAL'!$D$6:$D$546,0)),"CHAVE NÃO ENCONTRADA NO VERTICAL"))</f>
        <v>ADMINISTRAÇÃO LOCAL</v>
      </c>
      <c r="C1847" s="174" t="s">
        <v>1530</v>
      </c>
      <c r="D1847" s="175" t="str">
        <f>IF($C$1847="","",IFERROR(INDEX('BM MORRO DA CRUZ - VERTICAL'!$O$6:$O$546,MATCH($C$1847,'BM MORRO DA CRUZ - VERTICAL'!$D$6:$D$546,0)),"CHAVE NÃO ENCONTRADA NO VERTICAL"))</f>
        <v>0173006019002</v>
      </c>
      <c r="E1847" s="175" t="str">
        <f>IF($C$1847="","",IFERROR(INDEX('BM MORRO DA CRUZ - VERTICAL'!$P$6:$P$546,MATCH($C$1847,'BM MORRO DA CRUZ - VERTICAL'!$D$6:$D$546,0)),"CHAVE NÃO ENCONTRADA NO VERTICAL"))</f>
        <v>SERVIÇO</v>
      </c>
      <c r="F1847" s="175" t="str">
        <f>IF($C$1847="","",IFERROR(INDEX('BM MORRO DA CRUZ - VERTICAL'!$Q$6:$Q$546,MATCH($C$1847,'BM MORRO DA CRUZ - VERTICAL'!$D$6:$D$546,0)),"CHAVE NÃO ENCONTRADA NO VERTICAL"))</f>
        <v>ADMINISTRAÇÃO LOCAL PARA AS OBRAS DE IMPLANTAÇÃO DAS REDES DE ABASTECIMENTO DE ÁGUA NO MORRO DA CRUZ, EM SÃO SEBASTIÃO/DF</v>
      </c>
      <c r="G1847" s="176"/>
      <c r="H1847" s="176"/>
      <c r="I1847" s="176"/>
      <c r="J1847" s="176"/>
      <c r="K1847" s="176"/>
      <c r="L1847" s="176"/>
      <c r="M1847" s="176"/>
      <c r="N1847" s="176"/>
      <c r="O1847" s="176"/>
      <c r="P1847" s="176"/>
      <c r="Q1847" s="176"/>
      <c r="R1847" s="176"/>
      <c r="S1847" s="176"/>
      <c r="T1847" s="176"/>
      <c r="U1847" s="176"/>
      <c r="V1847" s="177" t="str">
        <f>IF($C$1847="","",IFERROR(INDEX('BM MORRO DA CRUZ - VERTICAL'!$R$6:$R$546,MATCH($C$1847,'BM MORRO DA CRUZ - VERTICAL'!$D$6:$D$546,0)),"CHAVE NÃO ENCONTRADA NO VERTICAL"))</f>
        <v>UN</v>
      </c>
      <c r="W1847" s="178">
        <f>SUM($W1867:$W1932)</f>
        <v>0</v>
      </c>
      <c r="X1847" s="179"/>
    </row>
    <row r="1848" spans="2:24" ht="24.75" customHeight="1" x14ac:dyDescent="0.45">
      <c r="B1848" s="426" t="s">
        <v>1497</v>
      </c>
      <c r="C1848" s="426"/>
      <c r="D1848" s="426"/>
      <c r="E1848" s="426"/>
      <c r="F1848" s="426"/>
      <c r="G1848" s="426"/>
      <c r="H1848" s="426"/>
      <c r="I1848" s="426"/>
      <c r="J1848" s="426"/>
      <c r="K1848" s="426"/>
      <c r="L1848" s="426"/>
      <c r="M1848" s="426"/>
      <c r="N1848" s="426"/>
      <c r="O1848" s="426"/>
      <c r="P1848" s="426"/>
      <c r="Q1848" s="426"/>
      <c r="R1848" s="426"/>
      <c r="S1848" s="426"/>
      <c r="T1848" s="426"/>
      <c r="U1848" s="426"/>
      <c r="V1848" s="426"/>
      <c r="W1848" s="426"/>
      <c r="X1848" s="180" t="s">
        <v>1498</v>
      </c>
    </row>
    <row r="1849" spans="2:24" ht="14.25" customHeight="1" x14ac:dyDescent="0.45">
      <c r="B1849" s="181"/>
      <c r="C1849" s="182"/>
      <c r="D1849" s="182"/>
      <c r="E1849" s="182"/>
      <c r="F1849" s="182"/>
      <c r="G1849" s="182"/>
      <c r="H1849" s="182"/>
      <c r="I1849" s="182"/>
      <c r="J1849" s="182"/>
      <c r="K1849" s="182"/>
      <c r="L1849" s="182"/>
      <c r="M1849" s="182"/>
      <c r="N1849" s="182"/>
      <c r="O1849" s="182"/>
      <c r="P1849" s="182"/>
      <c r="Q1849" s="182"/>
      <c r="R1849" s="182"/>
      <c r="S1849" s="182"/>
      <c r="T1849" s="182"/>
      <c r="U1849" s="182"/>
      <c r="V1849" s="182"/>
      <c r="W1849" s="183"/>
      <c r="X1849" s="427"/>
    </row>
    <row r="1850" spans="2:24" x14ac:dyDescent="0.45">
      <c r="B1850" s="181"/>
      <c r="C1850" s="182"/>
      <c r="D1850" s="182"/>
      <c r="E1850" s="182"/>
      <c r="F1850" s="182"/>
      <c r="G1850" s="182"/>
      <c r="H1850" s="182"/>
      <c r="I1850" s="182"/>
      <c r="J1850" s="182"/>
      <c r="K1850" s="182"/>
      <c r="L1850" s="182"/>
      <c r="M1850" s="182"/>
      <c r="N1850" s="182"/>
      <c r="O1850" s="182"/>
      <c r="P1850" s="182"/>
      <c r="Q1850" s="182"/>
      <c r="R1850" s="182"/>
      <c r="S1850" s="182"/>
      <c r="T1850" s="182"/>
      <c r="U1850" s="182"/>
      <c r="V1850" s="182"/>
      <c r="W1850" s="183"/>
      <c r="X1850" s="427"/>
    </row>
    <row r="1851" spans="2:24" x14ac:dyDescent="0.45">
      <c r="B1851" s="181"/>
      <c r="C1851" s="182"/>
      <c r="D1851" s="182"/>
      <c r="E1851" s="182"/>
      <c r="F1851" s="182"/>
      <c r="G1851" s="182"/>
      <c r="H1851" s="182"/>
      <c r="I1851" s="182"/>
      <c r="J1851" s="182"/>
      <c r="K1851" s="182"/>
      <c r="L1851" s="182"/>
      <c r="M1851" s="182"/>
      <c r="N1851" s="182"/>
      <c r="O1851" s="182"/>
      <c r="P1851" s="182"/>
      <c r="Q1851" s="182"/>
      <c r="R1851" s="182"/>
      <c r="S1851" s="182"/>
      <c r="T1851" s="182"/>
      <c r="U1851" s="182"/>
      <c r="V1851" s="182"/>
      <c r="W1851" s="183"/>
      <c r="X1851" s="427"/>
    </row>
    <row r="1852" spans="2:24" x14ac:dyDescent="0.45">
      <c r="B1852" s="181"/>
      <c r="C1852" s="182"/>
      <c r="D1852" s="182"/>
      <c r="E1852" s="182"/>
      <c r="F1852" s="182"/>
      <c r="G1852" s="182"/>
      <c r="H1852" s="182"/>
      <c r="I1852" s="182"/>
      <c r="J1852" s="182"/>
      <c r="K1852" s="182"/>
      <c r="L1852" s="182"/>
      <c r="M1852" s="182"/>
      <c r="N1852" s="182"/>
      <c r="O1852" s="182"/>
      <c r="P1852" s="182"/>
      <c r="Q1852" s="182"/>
      <c r="R1852" s="182"/>
      <c r="S1852" s="182"/>
      <c r="T1852" s="182"/>
      <c r="U1852" s="182"/>
      <c r="V1852" s="182"/>
      <c r="W1852" s="183"/>
      <c r="X1852" s="427"/>
    </row>
    <row r="1853" spans="2:24" x14ac:dyDescent="0.45">
      <c r="B1853" s="181"/>
      <c r="C1853" s="182"/>
      <c r="D1853" s="182"/>
      <c r="E1853" s="182"/>
      <c r="F1853" s="182"/>
      <c r="G1853" s="182"/>
      <c r="H1853" s="182"/>
      <c r="I1853" s="182"/>
      <c r="J1853" s="182"/>
      <c r="K1853" s="182"/>
      <c r="L1853" s="182"/>
      <c r="M1853" s="182"/>
      <c r="N1853" s="182"/>
      <c r="O1853" s="182"/>
      <c r="P1853" s="182"/>
      <c r="Q1853" s="182"/>
      <c r="R1853" s="182"/>
      <c r="S1853" s="182"/>
      <c r="T1853" s="182"/>
      <c r="U1853" s="182"/>
      <c r="V1853" s="182"/>
      <c r="W1853" s="183"/>
      <c r="X1853" s="427"/>
    </row>
    <row r="1854" spans="2:24" x14ac:dyDescent="0.45">
      <c r="B1854" s="181"/>
      <c r="C1854" s="182"/>
      <c r="D1854" s="182"/>
      <c r="E1854" s="182"/>
      <c r="F1854" s="182"/>
      <c r="G1854" s="182"/>
      <c r="H1854" s="182"/>
      <c r="I1854" s="182"/>
      <c r="J1854" s="182"/>
      <c r="K1854" s="182"/>
      <c r="L1854" s="182"/>
      <c r="M1854" s="182"/>
      <c r="N1854" s="182"/>
      <c r="O1854" s="182"/>
      <c r="P1854" s="182"/>
      <c r="Q1854" s="182"/>
      <c r="R1854" s="182"/>
      <c r="S1854" s="182"/>
      <c r="T1854" s="182"/>
      <c r="U1854" s="182"/>
      <c r="V1854" s="182"/>
      <c r="W1854" s="183"/>
      <c r="X1854" s="427"/>
    </row>
    <row r="1855" spans="2:24" x14ac:dyDescent="0.45">
      <c r="B1855" s="181"/>
      <c r="C1855" s="182"/>
      <c r="D1855" s="182"/>
      <c r="E1855" s="182"/>
      <c r="F1855" s="182"/>
      <c r="G1855" s="182"/>
      <c r="H1855" s="182"/>
      <c r="I1855" s="182"/>
      <c r="J1855" s="182"/>
      <c r="K1855" s="182"/>
      <c r="L1855" s="182"/>
      <c r="M1855" s="182"/>
      <c r="N1855" s="182"/>
      <c r="O1855" s="182"/>
      <c r="P1855" s="182"/>
      <c r="Q1855" s="182"/>
      <c r="R1855" s="182"/>
      <c r="S1855" s="182"/>
      <c r="T1855" s="182"/>
      <c r="U1855" s="182"/>
      <c r="V1855" s="182"/>
      <c r="W1855" s="183"/>
      <c r="X1855" s="427"/>
    </row>
    <row r="1856" spans="2:24" x14ac:dyDescent="0.45">
      <c r="B1856" s="181"/>
      <c r="C1856" s="182"/>
      <c r="D1856" s="182"/>
      <c r="E1856" s="182"/>
      <c r="F1856" s="182"/>
      <c r="G1856" s="182"/>
      <c r="H1856" s="182"/>
      <c r="I1856" s="182"/>
      <c r="J1856" s="182"/>
      <c r="K1856" s="182"/>
      <c r="L1856" s="182"/>
      <c r="M1856" s="182"/>
      <c r="N1856" s="182"/>
      <c r="O1856" s="182"/>
      <c r="P1856" s="182"/>
      <c r="Q1856" s="182"/>
      <c r="R1856" s="182"/>
      <c r="S1856" s="182"/>
      <c r="T1856" s="182"/>
      <c r="U1856" s="182"/>
      <c r="V1856" s="182"/>
      <c r="W1856" s="183"/>
      <c r="X1856" s="427"/>
    </row>
    <row r="1857" spans="1:24" x14ac:dyDescent="0.45">
      <c r="B1857" s="181"/>
      <c r="C1857" s="182"/>
      <c r="D1857" s="182"/>
      <c r="E1857" s="182"/>
      <c r="F1857" s="182"/>
      <c r="G1857" s="182"/>
      <c r="H1857" s="182"/>
      <c r="I1857" s="182"/>
      <c r="J1857" s="182"/>
      <c r="K1857" s="182"/>
      <c r="L1857" s="182"/>
      <c r="M1857" s="182"/>
      <c r="N1857" s="182"/>
      <c r="O1857" s="182"/>
      <c r="P1857" s="182"/>
      <c r="Q1857" s="182"/>
      <c r="R1857" s="182"/>
      <c r="S1857" s="182"/>
      <c r="T1857" s="182"/>
      <c r="U1857" s="182"/>
      <c r="V1857" s="182"/>
      <c r="W1857" s="183"/>
      <c r="X1857" s="427"/>
    </row>
    <row r="1858" spans="1:24" x14ac:dyDescent="0.45">
      <c r="B1858" s="181"/>
      <c r="C1858" s="182"/>
      <c r="D1858" s="182"/>
      <c r="E1858" s="182"/>
      <c r="F1858" s="182"/>
      <c r="G1858" s="182"/>
      <c r="H1858" s="182"/>
      <c r="I1858" s="182"/>
      <c r="J1858" s="182"/>
      <c r="K1858" s="182"/>
      <c r="L1858" s="182"/>
      <c r="M1858" s="182"/>
      <c r="N1858" s="182"/>
      <c r="O1858" s="182"/>
      <c r="P1858" s="182"/>
      <c r="Q1858" s="182"/>
      <c r="R1858" s="182"/>
      <c r="S1858" s="182"/>
      <c r="T1858" s="182"/>
      <c r="U1858" s="182"/>
      <c r="V1858" s="182"/>
      <c r="W1858" s="183"/>
      <c r="X1858" s="427"/>
    </row>
    <row r="1859" spans="1:24" x14ac:dyDescent="0.45">
      <c r="B1859" s="181"/>
      <c r="C1859" s="182"/>
      <c r="D1859" s="182"/>
      <c r="E1859" s="182"/>
      <c r="F1859" s="182"/>
      <c r="G1859" s="182"/>
      <c r="H1859" s="182"/>
      <c r="I1859" s="182"/>
      <c r="J1859" s="182"/>
      <c r="K1859" s="182"/>
      <c r="L1859" s="182"/>
      <c r="M1859" s="182"/>
      <c r="N1859" s="182"/>
      <c r="O1859" s="182"/>
      <c r="P1859" s="182"/>
      <c r="Q1859" s="182"/>
      <c r="R1859" s="182"/>
      <c r="S1859" s="182"/>
      <c r="T1859" s="182"/>
      <c r="U1859" s="182"/>
      <c r="V1859" s="182"/>
      <c r="W1859" s="183"/>
      <c r="X1859" s="427"/>
    </row>
    <row r="1860" spans="1:24" x14ac:dyDescent="0.45">
      <c r="B1860" s="181"/>
      <c r="C1860" s="182"/>
      <c r="D1860" s="182"/>
      <c r="E1860" s="182"/>
      <c r="F1860" s="182"/>
      <c r="G1860" s="182"/>
      <c r="H1860" s="182"/>
      <c r="I1860" s="182"/>
      <c r="J1860" s="182"/>
      <c r="K1860" s="182"/>
      <c r="L1860" s="182"/>
      <c r="M1860" s="182"/>
      <c r="N1860" s="182"/>
      <c r="O1860" s="182"/>
      <c r="P1860" s="182"/>
      <c r="Q1860" s="182"/>
      <c r="R1860" s="182"/>
      <c r="S1860" s="182"/>
      <c r="T1860" s="182"/>
      <c r="U1860" s="182"/>
      <c r="V1860" s="182"/>
      <c r="W1860" s="183"/>
      <c r="X1860" s="427"/>
    </row>
    <row r="1861" spans="1:24" x14ac:dyDescent="0.45">
      <c r="B1861" s="181"/>
      <c r="C1861" s="182"/>
      <c r="D1861" s="182"/>
      <c r="E1861" s="182"/>
      <c r="F1861" s="182"/>
      <c r="G1861" s="182"/>
      <c r="H1861" s="182"/>
      <c r="I1861" s="182"/>
      <c r="J1861" s="182"/>
      <c r="K1861" s="182"/>
      <c r="L1861" s="182"/>
      <c r="M1861" s="182"/>
      <c r="N1861" s="182"/>
      <c r="O1861" s="182"/>
      <c r="P1861" s="182"/>
      <c r="Q1861" s="182"/>
      <c r="R1861" s="182"/>
      <c r="S1861" s="182"/>
      <c r="T1861" s="182"/>
      <c r="U1861" s="182"/>
      <c r="V1861" s="182"/>
      <c r="W1861" s="183"/>
      <c r="X1861" s="427"/>
    </row>
    <row r="1862" spans="1:24" x14ac:dyDescent="0.45">
      <c r="B1862" s="181"/>
      <c r="C1862" s="182"/>
      <c r="D1862" s="182"/>
      <c r="E1862" s="182"/>
      <c r="F1862" s="182"/>
      <c r="G1862" s="182"/>
      <c r="H1862" s="182"/>
      <c r="I1862" s="182"/>
      <c r="J1862" s="182"/>
      <c r="K1862" s="182"/>
      <c r="L1862" s="182"/>
      <c r="M1862" s="182"/>
      <c r="N1862" s="182"/>
      <c r="O1862" s="182"/>
      <c r="P1862" s="182"/>
      <c r="Q1862" s="182"/>
      <c r="R1862" s="182"/>
      <c r="S1862" s="182"/>
      <c r="T1862" s="182"/>
      <c r="U1862" s="182"/>
      <c r="V1862" s="182"/>
      <c r="W1862" s="183"/>
      <c r="X1862" s="427"/>
    </row>
    <row r="1863" spans="1:24" x14ac:dyDescent="0.45">
      <c r="B1863" s="181"/>
      <c r="C1863" s="182"/>
      <c r="D1863" s="182"/>
      <c r="E1863" s="182"/>
      <c r="F1863" s="182"/>
      <c r="G1863" s="182"/>
      <c r="H1863" s="182"/>
      <c r="I1863" s="182"/>
      <c r="J1863" s="182"/>
      <c r="K1863" s="182"/>
      <c r="L1863" s="182"/>
      <c r="M1863" s="182"/>
      <c r="N1863" s="182"/>
      <c r="O1863" s="182"/>
      <c r="P1863" s="182"/>
      <c r="Q1863" s="182"/>
      <c r="R1863" s="182"/>
      <c r="S1863" s="182"/>
      <c r="T1863" s="182"/>
      <c r="U1863" s="182"/>
      <c r="V1863" s="182"/>
      <c r="W1863" s="183"/>
      <c r="X1863" s="427"/>
    </row>
    <row r="1864" spans="1:24" x14ac:dyDescent="0.45">
      <c r="B1864" s="181"/>
      <c r="C1864" s="182"/>
      <c r="D1864" s="182"/>
      <c r="E1864" s="182"/>
      <c r="F1864" s="182"/>
      <c r="G1864" s="182"/>
      <c r="H1864" s="182"/>
      <c r="I1864" s="182"/>
      <c r="J1864" s="182"/>
      <c r="K1864" s="182"/>
      <c r="L1864" s="182"/>
      <c r="M1864" s="182"/>
      <c r="N1864" s="182"/>
      <c r="O1864" s="182"/>
      <c r="P1864" s="182"/>
      <c r="Q1864" s="182"/>
      <c r="R1864" s="182"/>
      <c r="S1864" s="182"/>
      <c r="T1864" s="182"/>
      <c r="U1864" s="182"/>
      <c r="V1864" s="182"/>
      <c r="W1864" s="183"/>
      <c r="X1864" s="427"/>
    </row>
    <row r="1865" spans="1:24" x14ac:dyDescent="0.45">
      <c r="B1865" s="184"/>
      <c r="C1865" s="185" t="s">
        <v>1499</v>
      </c>
      <c r="D1865" s="185"/>
      <c r="E1865" s="185"/>
      <c r="F1865" s="185"/>
      <c r="G1865" s="185"/>
      <c r="H1865" s="185"/>
      <c r="I1865" s="185"/>
      <c r="J1865" s="185"/>
      <c r="K1865" s="185"/>
      <c r="L1865" s="185"/>
      <c r="M1865" s="185"/>
      <c r="N1865" s="185"/>
      <c r="O1865" s="185"/>
      <c r="P1865" s="185"/>
      <c r="Q1865" s="185"/>
      <c r="R1865" s="185"/>
      <c r="S1865" s="185"/>
      <c r="T1865" s="185"/>
      <c r="U1865" s="185"/>
      <c r="V1865" s="185"/>
      <c r="W1865" s="186"/>
      <c r="X1865" s="187"/>
    </row>
    <row r="1866" spans="1:24" ht="26.65" x14ac:dyDescent="0.45">
      <c r="B1866" s="188" t="s">
        <v>1458</v>
      </c>
      <c r="C1866" s="185" t="s">
        <v>1459</v>
      </c>
      <c r="D1866" s="185"/>
      <c r="E1866" s="185" t="s">
        <v>1531</v>
      </c>
      <c r="F1866" s="185"/>
      <c r="G1866" s="185"/>
      <c r="H1866" s="189"/>
      <c r="I1866" s="185"/>
      <c r="J1866" s="185"/>
      <c r="K1866" s="189"/>
      <c r="L1866" s="189"/>
      <c r="M1866" s="189"/>
      <c r="N1866" s="190" t="s">
        <v>1532</v>
      </c>
      <c r="O1866" s="189" t="s">
        <v>1533</v>
      </c>
      <c r="P1866" s="208" t="s">
        <v>1534</v>
      </c>
      <c r="Q1866" s="189" t="s">
        <v>1535</v>
      </c>
      <c r="R1866" s="208" t="s">
        <v>1536</v>
      </c>
      <c r="S1866" s="189" t="s">
        <v>1537</v>
      </c>
      <c r="T1866" s="189"/>
      <c r="U1866" s="189" t="s">
        <v>1538</v>
      </c>
      <c r="V1866" s="189" t="s">
        <v>26</v>
      </c>
      <c r="W1866" s="191" t="s">
        <v>1508</v>
      </c>
      <c r="X1866" s="192"/>
    </row>
    <row r="1867" spans="1:24" x14ac:dyDescent="0.45">
      <c r="A1867" s="193">
        <v>1</v>
      </c>
      <c r="B1867" s="194" t="s">
        <v>1492</v>
      </c>
      <c r="C1867" s="170" t="s">
        <v>36</v>
      </c>
      <c r="D1867" s="170"/>
      <c r="E1867" s="195" t="s">
        <v>1539</v>
      </c>
      <c r="F1867" s="195"/>
      <c r="G1867" s="196"/>
      <c r="H1867" s="197"/>
      <c r="I1867" s="197"/>
      <c r="J1867" s="197"/>
      <c r="K1867" s="197"/>
      <c r="L1867" s="197"/>
      <c r="M1867" s="198"/>
      <c r="N1867" s="209">
        <f>'BM MORRO DA CRUZ'!$P$405</f>
        <v>48534308.159999996</v>
      </c>
      <c r="O1867" s="209">
        <f>'BM MORRO DA CRUZ'!$Q$212</f>
        <v>1304685.94</v>
      </c>
      <c r="P1867" s="209">
        <f>N1867-O1867</f>
        <v>47229622.219999999</v>
      </c>
      <c r="Q1867" s="210">
        <f>O1867/P1867</f>
        <v>2.7624314544009071E-2</v>
      </c>
      <c r="R1867" s="200">
        <f>SUMIFS('BM MORRO DA CRUZ - VERTICAL'!$W$7:$W$542,'BM MORRO DA CRUZ - VERTICAL'!$P$7:$P$542,"MATERIAL")+SUMIFS('BM MORRO DA CRUZ - VERTICAL'!$W$7:$W$542,'BM MORRO DA CRUZ - VERTICAL'!$P$7:$P$542,"SERVIÇO")</f>
        <v>0</v>
      </c>
      <c r="S1867" s="209">
        <f>R1867*Q1867</f>
        <v>0</v>
      </c>
      <c r="T1867" s="200"/>
      <c r="U1867" s="211">
        <f>IFERROR(S1867/O1867,0)</f>
        <v>0</v>
      </c>
      <c r="V1867" s="201" t="s">
        <v>71</v>
      </c>
      <c r="W1867" s="202">
        <f>U1867</f>
        <v>0</v>
      </c>
      <c r="X1867" s="172"/>
    </row>
    <row r="1868" spans="1:24" x14ac:dyDescent="0.45">
      <c r="A1868" s="193">
        <v>2</v>
      </c>
      <c r="B1868" s="194"/>
      <c r="C1868" s="170"/>
      <c r="D1868" s="170"/>
      <c r="E1868" s="195"/>
      <c r="F1868" s="195"/>
      <c r="G1868" s="196"/>
      <c r="H1868" s="197"/>
      <c r="I1868" s="197"/>
      <c r="J1868" s="197"/>
      <c r="K1868" s="197"/>
      <c r="L1868" s="197"/>
      <c r="M1868" s="198"/>
      <c r="N1868" s="198"/>
      <c r="O1868" s="198"/>
      <c r="P1868" s="199"/>
      <c r="Q1868" s="209"/>
      <c r="R1868" s="200"/>
      <c r="S1868" s="200"/>
      <c r="T1868" s="200"/>
      <c r="U1868" s="200"/>
      <c r="V1868" s="201"/>
      <c r="W1868" s="202"/>
      <c r="X1868" s="172"/>
    </row>
    <row r="1869" spans="1:24" x14ac:dyDescent="0.45">
      <c r="A1869" s="193">
        <v>3</v>
      </c>
      <c r="B1869" s="194"/>
      <c r="C1869" s="170"/>
      <c r="D1869" s="170"/>
      <c r="E1869" s="195"/>
      <c r="F1869" s="195"/>
      <c r="G1869" s="196"/>
      <c r="H1869" s="197"/>
      <c r="I1869" s="197"/>
      <c r="J1869" s="197"/>
      <c r="K1869" s="197"/>
      <c r="L1869" s="197"/>
      <c r="M1869" s="198"/>
      <c r="N1869" s="198"/>
      <c r="O1869" s="198"/>
      <c r="P1869" s="199"/>
      <c r="Q1869" s="200"/>
      <c r="R1869" s="200"/>
      <c r="S1869" s="200"/>
      <c r="T1869" s="200"/>
      <c r="U1869" s="200"/>
      <c r="V1869" s="201"/>
      <c r="W1869" s="202"/>
      <c r="X1869" s="172"/>
    </row>
    <row r="1870" spans="1:24" x14ac:dyDescent="0.45">
      <c r="A1870" s="193">
        <v>4</v>
      </c>
      <c r="B1870" s="194"/>
      <c r="C1870" s="170"/>
      <c r="D1870" s="170"/>
      <c r="E1870" s="195"/>
      <c r="F1870" s="195"/>
      <c r="G1870" s="196"/>
      <c r="H1870" s="197"/>
      <c r="I1870" s="197"/>
      <c r="J1870" s="197"/>
      <c r="K1870" s="197"/>
      <c r="L1870" s="197"/>
      <c r="M1870" s="198"/>
      <c r="N1870" s="198"/>
      <c r="O1870" s="198"/>
      <c r="P1870" s="199"/>
      <c r="Q1870" s="200"/>
      <c r="R1870" s="200"/>
      <c r="S1870" s="200"/>
      <c r="T1870" s="200"/>
      <c r="U1870" s="200"/>
      <c r="V1870" s="201"/>
      <c r="W1870" s="202"/>
      <c r="X1870" s="172"/>
    </row>
    <row r="1871" spans="1:24" x14ac:dyDescent="0.45">
      <c r="A1871" s="193">
        <v>5</v>
      </c>
      <c r="B1871" s="194"/>
      <c r="C1871" s="170"/>
      <c r="D1871" s="170"/>
      <c r="E1871" s="195"/>
      <c r="F1871" s="195"/>
      <c r="G1871" s="196"/>
      <c r="H1871" s="197"/>
      <c r="I1871" s="197"/>
      <c r="J1871" s="197"/>
      <c r="K1871" s="197"/>
      <c r="L1871" s="197"/>
      <c r="M1871" s="198"/>
      <c r="N1871" s="198"/>
      <c r="O1871" s="198"/>
      <c r="P1871" s="199"/>
      <c r="Q1871" s="200"/>
      <c r="R1871" s="200"/>
      <c r="S1871" s="200"/>
      <c r="T1871" s="200"/>
      <c r="U1871" s="200"/>
      <c r="V1871" s="201"/>
      <c r="W1871" s="202"/>
      <c r="X1871" s="172"/>
    </row>
    <row r="1872" spans="1:24" x14ac:dyDescent="0.45">
      <c r="A1872" s="193">
        <v>6</v>
      </c>
      <c r="B1872" s="194"/>
      <c r="C1872" s="170"/>
      <c r="D1872" s="170"/>
      <c r="E1872" s="195"/>
      <c r="F1872" s="195"/>
      <c r="G1872" s="196"/>
      <c r="H1872" s="197"/>
      <c r="I1872" s="197"/>
      <c r="J1872" s="197"/>
      <c r="K1872" s="197"/>
      <c r="L1872" s="197"/>
      <c r="M1872" s="198"/>
      <c r="N1872" s="198"/>
      <c r="O1872" s="198"/>
      <c r="P1872" s="199"/>
      <c r="Q1872" s="200"/>
      <c r="R1872" s="200"/>
      <c r="S1872" s="200"/>
      <c r="T1872" s="200"/>
      <c r="U1872" s="200"/>
      <c r="V1872" s="201"/>
      <c r="W1872" s="202"/>
      <c r="X1872" s="172"/>
    </row>
    <row r="1873" spans="1:24" x14ac:dyDescent="0.45">
      <c r="A1873" s="193">
        <v>7</v>
      </c>
      <c r="B1873" s="194"/>
      <c r="C1873" s="170"/>
      <c r="D1873" s="170"/>
      <c r="E1873" s="195"/>
      <c r="F1873" s="195"/>
      <c r="G1873" s="196"/>
      <c r="H1873" s="197"/>
      <c r="I1873" s="197"/>
      <c r="J1873" s="197"/>
      <c r="K1873" s="197"/>
      <c r="L1873" s="197"/>
      <c r="M1873" s="198"/>
      <c r="N1873" s="198"/>
      <c r="O1873" s="198"/>
      <c r="P1873" s="199"/>
      <c r="Q1873" s="200"/>
      <c r="R1873" s="200"/>
      <c r="S1873" s="200"/>
      <c r="T1873" s="200"/>
      <c r="U1873" s="200"/>
      <c r="V1873" s="201"/>
      <c r="W1873" s="202"/>
      <c r="X1873" s="172"/>
    </row>
    <row r="1874" spans="1:24" x14ac:dyDescent="0.45">
      <c r="A1874" s="193">
        <v>8</v>
      </c>
      <c r="B1874" s="194"/>
      <c r="C1874" s="170"/>
      <c r="D1874" s="170"/>
      <c r="E1874" s="195"/>
      <c r="F1874" s="195"/>
      <c r="G1874" s="196"/>
      <c r="H1874" s="197"/>
      <c r="I1874" s="197"/>
      <c r="J1874" s="197"/>
      <c r="K1874" s="197"/>
      <c r="L1874" s="197"/>
      <c r="M1874" s="198"/>
      <c r="N1874" s="198"/>
      <c r="O1874" s="198"/>
      <c r="P1874" s="199"/>
      <c r="Q1874" s="200"/>
      <c r="R1874" s="200"/>
      <c r="S1874" s="200"/>
      <c r="T1874" s="200"/>
      <c r="U1874" s="200"/>
      <c r="V1874" s="201"/>
      <c r="W1874" s="202"/>
      <c r="X1874" s="172"/>
    </row>
    <row r="1875" spans="1:24" x14ac:dyDescent="0.45">
      <c r="A1875" s="193">
        <v>9</v>
      </c>
      <c r="B1875" s="194"/>
      <c r="C1875" s="170"/>
      <c r="D1875" s="170"/>
      <c r="E1875" s="195"/>
      <c r="F1875" s="195"/>
      <c r="G1875" s="196"/>
      <c r="H1875" s="197"/>
      <c r="I1875" s="197"/>
      <c r="J1875" s="197"/>
      <c r="K1875" s="197"/>
      <c r="L1875" s="197"/>
      <c r="M1875" s="198"/>
      <c r="N1875" s="198"/>
      <c r="O1875" s="198"/>
      <c r="P1875" s="199"/>
      <c r="Q1875" s="200"/>
      <c r="R1875" s="200"/>
      <c r="S1875" s="200"/>
      <c r="T1875" s="200"/>
      <c r="U1875" s="200"/>
      <c r="V1875" s="201"/>
      <c r="W1875" s="202"/>
      <c r="X1875" s="172"/>
    </row>
    <row r="1876" spans="1:24" x14ac:dyDescent="0.45">
      <c r="A1876" s="193">
        <v>10</v>
      </c>
      <c r="B1876" s="194"/>
      <c r="C1876" s="170"/>
      <c r="D1876" s="170"/>
      <c r="E1876" s="195"/>
      <c r="F1876" s="195"/>
      <c r="G1876" s="196"/>
      <c r="H1876" s="197"/>
      <c r="I1876" s="197"/>
      <c r="J1876" s="197"/>
      <c r="K1876" s="197"/>
      <c r="L1876" s="197"/>
      <c r="M1876" s="198"/>
      <c r="N1876" s="198"/>
      <c r="O1876" s="198"/>
      <c r="P1876" s="199"/>
      <c r="Q1876" s="200"/>
      <c r="R1876" s="200"/>
      <c r="S1876" s="200"/>
      <c r="T1876" s="200"/>
      <c r="U1876" s="200"/>
      <c r="V1876" s="201"/>
      <c r="W1876" s="202"/>
      <c r="X1876" s="172"/>
    </row>
    <row r="1877" spans="1:24" x14ac:dyDescent="0.45">
      <c r="A1877" s="193">
        <v>11</v>
      </c>
      <c r="B1877" s="194"/>
      <c r="C1877" s="170"/>
      <c r="D1877" s="170"/>
      <c r="E1877" s="195"/>
      <c r="F1877" s="195"/>
      <c r="G1877" s="196"/>
      <c r="H1877" s="197"/>
      <c r="I1877" s="197"/>
      <c r="J1877" s="197"/>
      <c r="K1877" s="197"/>
      <c r="L1877" s="197"/>
      <c r="M1877" s="198"/>
      <c r="N1877" s="198"/>
      <c r="O1877" s="198"/>
      <c r="P1877" s="199"/>
      <c r="Q1877" s="200"/>
      <c r="R1877" s="200"/>
      <c r="S1877" s="200"/>
      <c r="T1877" s="200"/>
      <c r="U1877" s="200"/>
      <c r="V1877" s="201"/>
      <c r="W1877" s="202"/>
      <c r="X1877" s="172"/>
    </row>
    <row r="1878" spans="1:24" x14ac:dyDescent="0.45">
      <c r="A1878" s="193">
        <v>12</v>
      </c>
      <c r="B1878" s="194"/>
      <c r="C1878" s="170"/>
      <c r="D1878" s="170"/>
      <c r="E1878" s="195"/>
      <c r="F1878" s="195"/>
      <c r="G1878" s="196"/>
      <c r="H1878" s="197"/>
      <c r="I1878" s="197"/>
      <c r="J1878" s="197"/>
      <c r="K1878" s="197"/>
      <c r="L1878" s="197"/>
      <c r="M1878" s="198"/>
      <c r="N1878" s="198"/>
      <c r="O1878" s="198"/>
      <c r="P1878" s="199"/>
      <c r="Q1878" s="200"/>
      <c r="R1878" s="200"/>
      <c r="S1878" s="200"/>
      <c r="T1878" s="200"/>
      <c r="U1878" s="200"/>
      <c r="V1878" s="201"/>
      <c r="W1878" s="202"/>
      <c r="X1878" s="172"/>
    </row>
    <row r="1879" spans="1:24" x14ac:dyDescent="0.45">
      <c r="A1879" s="193">
        <v>13</v>
      </c>
      <c r="B1879" s="194"/>
      <c r="C1879" s="170"/>
      <c r="D1879" s="170"/>
      <c r="E1879" s="195"/>
      <c r="F1879" s="195"/>
      <c r="G1879" s="196"/>
      <c r="H1879" s="197"/>
      <c r="I1879" s="197"/>
      <c r="J1879" s="197"/>
      <c r="K1879" s="197"/>
      <c r="L1879" s="197"/>
      <c r="M1879" s="198"/>
      <c r="N1879" s="198"/>
      <c r="O1879" s="198"/>
      <c r="P1879" s="199"/>
      <c r="Q1879" s="200"/>
      <c r="R1879" s="200"/>
      <c r="S1879" s="200"/>
      <c r="T1879" s="200"/>
      <c r="U1879" s="200"/>
      <c r="V1879" s="201"/>
      <c r="W1879" s="202"/>
      <c r="X1879" s="172"/>
    </row>
    <row r="1880" spans="1:24" x14ac:dyDescent="0.45">
      <c r="A1880" s="193">
        <v>14</v>
      </c>
      <c r="B1880" s="194"/>
      <c r="C1880" s="170"/>
      <c r="D1880" s="170"/>
      <c r="E1880" s="195"/>
      <c r="F1880" s="195"/>
      <c r="G1880" s="196"/>
      <c r="H1880" s="197"/>
      <c r="I1880" s="197"/>
      <c r="J1880" s="197"/>
      <c r="K1880" s="197"/>
      <c r="L1880" s="197"/>
      <c r="M1880" s="198"/>
      <c r="N1880" s="198"/>
      <c r="O1880" s="198"/>
      <c r="P1880" s="199"/>
      <c r="Q1880" s="200"/>
      <c r="R1880" s="200"/>
      <c r="S1880" s="200"/>
      <c r="T1880" s="200"/>
      <c r="U1880" s="200"/>
      <c r="V1880" s="201"/>
      <c r="W1880" s="202"/>
      <c r="X1880" s="172"/>
    </row>
    <row r="1881" spans="1:24" x14ac:dyDescent="0.45">
      <c r="A1881" s="193">
        <v>15</v>
      </c>
      <c r="B1881" s="194"/>
      <c r="C1881" s="170"/>
      <c r="D1881" s="170"/>
      <c r="E1881" s="195"/>
      <c r="F1881" s="195"/>
      <c r="G1881" s="196"/>
      <c r="H1881" s="197"/>
      <c r="I1881" s="197"/>
      <c r="J1881" s="197"/>
      <c r="K1881" s="197"/>
      <c r="L1881" s="197"/>
      <c r="M1881" s="198"/>
      <c r="N1881" s="198"/>
      <c r="O1881" s="198"/>
      <c r="P1881" s="199"/>
      <c r="Q1881" s="200"/>
      <c r="R1881" s="200"/>
      <c r="S1881" s="200"/>
      <c r="T1881" s="200"/>
      <c r="U1881" s="200"/>
      <c r="V1881" s="201"/>
      <c r="W1881" s="202"/>
      <c r="X1881" s="172"/>
    </row>
    <row r="1882" spans="1:24" x14ac:dyDescent="0.45">
      <c r="A1882" s="193">
        <v>16</v>
      </c>
      <c r="B1882" s="194"/>
      <c r="C1882" s="170"/>
      <c r="D1882" s="170"/>
      <c r="E1882" s="195"/>
      <c r="F1882" s="195"/>
      <c r="G1882" s="196"/>
      <c r="H1882" s="197"/>
      <c r="I1882" s="197"/>
      <c r="J1882" s="197"/>
      <c r="K1882" s="197"/>
      <c r="L1882" s="197"/>
      <c r="M1882" s="198"/>
      <c r="N1882" s="198"/>
      <c r="O1882" s="198"/>
      <c r="P1882" s="199"/>
      <c r="Q1882" s="200"/>
      <c r="R1882" s="200"/>
      <c r="S1882" s="200"/>
      <c r="T1882" s="200"/>
      <c r="U1882" s="200"/>
      <c r="V1882" s="201"/>
      <c r="W1882" s="202"/>
      <c r="X1882" s="172"/>
    </row>
    <row r="1883" spans="1:24" x14ac:dyDescent="0.45">
      <c r="A1883" s="193">
        <v>17</v>
      </c>
      <c r="B1883" s="194"/>
      <c r="C1883" s="170"/>
      <c r="D1883" s="170"/>
      <c r="E1883" s="195"/>
      <c r="F1883" s="195"/>
      <c r="G1883" s="196"/>
      <c r="H1883" s="197"/>
      <c r="I1883" s="197"/>
      <c r="J1883" s="197"/>
      <c r="K1883" s="197"/>
      <c r="L1883" s="197"/>
      <c r="M1883" s="198"/>
      <c r="N1883" s="198"/>
      <c r="O1883" s="198"/>
      <c r="P1883" s="199"/>
      <c r="Q1883" s="200"/>
      <c r="R1883" s="200"/>
      <c r="S1883" s="200"/>
      <c r="T1883" s="200"/>
      <c r="U1883" s="200"/>
      <c r="V1883" s="201"/>
      <c r="W1883" s="202"/>
      <c r="X1883" s="172"/>
    </row>
    <row r="1884" spans="1:24" x14ac:dyDescent="0.45">
      <c r="A1884" s="193">
        <v>18</v>
      </c>
      <c r="B1884" s="194"/>
      <c r="C1884" s="170"/>
      <c r="D1884" s="170"/>
      <c r="E1884" s="195"/>
      <c r="F1884" s="195"/>
      <c r="G1884" s="196"/>
      <c r="H1884" s="197"/>
      <c r="I1884" s="197"/>
      <c r="J1884" s="197"/>
      <c r="K1884" s="197"/>
      <c r="L1884" s="197"/>
      <c r="M1884" s="198"/>
      <c r="N1884" s="198"/>
      <c r="O1884" s="198"/>
      <c r="P1884" s="199"/>
      <c r="Q1884" s="200"/>
      <c r="R1884" s="200"/>
      <c r="S1884" s="200"/>
      <c r="T1884" s="200"/>
      <c r="U1884" s="200"/>
      <c r="V1884" s="201"/>
      <c r="W1884" s="202"/>
      <c r="X1884" s="172"/>
    </row>
    <row r="1885" spans="1:24" x14ac:dyDescent="0.45">
      <c r="A1885" s="193">
        <v>19</v>
      </c>
      <c r="B1885" s="194"/>
      <c r="C1885" s="170"/>
      <c r="D1885" s="170"/>
      <c r="E1885" s="195"/>
      <c r="F1885" s="195"/>
      <c r="G1885" s="196"/>
      <c r="H1885" s="197"/>
      <c r="I1885" s="197"/>
      <c r="J1885" s="197"/>
      <c r="K1885" s="197"/>
      <c r="L1885" s="197"/>
      <c r="M1885" s="198"/>
      <c r="N1885" s="198"/>
      <c r="O1885" s="198"/>
      <c r="P1885" s="199"/>
      <c r="Q1885" s="200"/>
      <c r="R1885" s="200"/>
      <c r="S1885" s="200"/>
      <c r="T1885" s="200"/>
      <c r="U1885" s="200"/>
      <c r="V1885" s="201"/>
      <c r="W1885" s="202"/>
      <c r="X1885" s="172"/>
    </row>
    <row r="1886" spans="1:24" x14ac:dyDescent="0.45">
      <c r="A1886" s="193">
        <v>20</v>
      </c>
      <c r="B1886" s="194"/>
      <c r="C1886" s="170"/>
      <c r="D1886" s="170"/>
      <c r="E1886" s="195"/>
      <c r="F1886" s="195"/>
      <c r="G1886" s="196"/>
      <c r="H1886" s="197"/>
      <c r="I1886" s="197"/>
      <c r="J1886" s="197"/>
      <c r="K1886" s="197"/>
      <c r="L1886" s="197"/>
      <c r="M1886" s="198"/>
      <c r="N1886" s="198"/>
      <c r="O1886" s="198"/>
      <c r="P1886" s="199"/>
      <c r="Q1886" s="200"/>
      <c r="R1886" s="200"/>
      <c r="S1886" s="200"/>
      <c r="T1886" s="200"/>
      <c r="U1886" s="200"/>
      <c r="V1886" s="201"/>
      <c r="W1886" s="202"/>
      <c r="X1886" s="172"/>
    </row>
    <row r="1887" spans="1:24" x14ac:dyDescent="0.45">
      <c r="A1887" s="193">
        <v>21</v>
      </c>
      <c r="B1887" s="194"/>
      <c r="C1887" s="170"/>
      <c r="D1887" s="170"/>
      <c r="E1887" s="195"/>
      <c r="F1887" s="195"/>
      <c r="G1887" s="196"/>
      <c r="H1887" s="197"/>
      <c r="I1887" s="197"/>
      <c r="J1887" s="197"/>
      <c r="K1887" s="197"/>
      <c r="L1887" s="197"/>
      <c r="M1887" s="198"/>
      <c r="N1887" s="198"/>
      <c r="O1887" s="198"/>
      <c r="P1887" s="199"/>
      <c r="Q1887" s="200"/>
      <c r="R1887" s="200"/>
      <c r="S1887" s="200"/>
      <c r="T1887" s="200"/>
      <c r="U1887" s="200"/>
      <c r="V1887" s="201"/>
      <c r="W1887" s="202"/>
      <c r="X1887" s="172"/>
    </row>
    <row r="1888" spans="1:24" x14ac:dyDescent="0.45">
      <c r="A1888" s="193">
        <v>22</v>
      </c>
      <c r="B1888" s="194"/>
      <c r="C1888" s="170"/>
      <c r="D1888" s="170"/>
      <c r="E1888" s="195"/>
      <c r="F1888" s="170"/>
      <c r="G1888" s="170"/>
      <c r="H1888" s="203"/>
      <c r="I1888" s="197"/>
      <c r="J1888" s="197"/>
      <c r="K1888" s="197"/>
      <c r="L1888" s="197"/>
      <c r="M1888" s="198"/>
      <c r="N1888" s="198"/>
      <c r="O1888" s="198"/>
      <c r="P1888" s="199"/>
      <c r="Q1888" s="200"/>
      <c r="R1888" s="200"/>
      <c r="S1888" s="200"/>
      <c r="T1888" s="200"/>
      <c r="U1888" s="200"/>
      <c r="V1888" s="201"/>
      <c r="W1888" s="202"/>
      <c r="X1888" s="172"/>
    </row>
    <row r="1889" spans="1:24" x14ac:dyDescent="0.45">
      <c r="A1889" s="193">
        <v>23</v>
      </c>
      <c r="B1889" s="194"/>
      <c r="C1889" s="170"/>
      <c r="D1889" s="170"/>
      <c r="E1889" s="195"/>
      <c r="F1889" s="170"/>
      <c r="G1889" s="170"/>
      <c r="H1889" s="203"/>
      <c r="I1889" s="197"/>
      <c r="J1889" s="197"/>
      <c r="K1889" s="197"/>
      <c r="L1889" s="197"/>
      <c r="M1889" s="198"/>
      <c r="N1889" s="198"/>
      <c r="O1889" s="198"/>
      <c r="P1889" s="199"/>
      <c r="Q1889" s="200"/>
      <c r="R1889" s="200"/>
      <c r="S1889" s="200"/>
      <c r="T1889" s="200"/>
      <c r="U1889" s="200"/>
      <c r="V1889" s="201"/>
      <c r="W1889" s="202"/>
      <c r="X1889" s="172"/>
    </row>
    <row r="1890" spans="1:24" x14ac:dyDescent="0.45">
      <c r="A1890" s="193">
        <v>24</v>
      </c>
      <c r="B1890" s="194"/>
      <c r="C1890" s="170"/>
      <c r="D1890" s="170"/>
      <c r="E1890" s="195"/>
      <c r="F1890" s="170"/>
      <c r="G1890" s="170"/>
      <c r="H1890" s="203"/>
      <c r="I1890" s="197"/>
      <c r="J1890" s="197"/>
      <c r="K1890" s="197"/>
      <c r="L1890" s="197"/>
      <c r="M1890" s="198"/>
      <c r="N1890" s="198"/>
      <c r="O1890" s="198"/>
      <c r="P1890" s="199"/>
      <c r="Q1890" s="200"/>
      <c r="R1890" s="200"/>
      <c r="S1890" s="200"/>
      <c r="T1890" s="200"/>
      <c r="U1890" s="200"/>
      <c r="V1890" s="201"/>
      <c r="W1890" s="202"/>
      <c r="X1890" s="172"/>
    </row>
    <row r="1891" spans="1:24" x14ac:dyDescent="0.45">
      <c r="A1891" s="193">
        <v>25</v>
      </c>
      <c r="B1891" s="194"/>
      <c r="C1891" s="170"/>
      <c r="D1891" s="170"/>
      <c r="E1891" s="195"/>
      <c r="F1891" s="170"/>
      <c r="G1891" s="170"/>
      <c r="H1891" s="203"/>
      <c r="I1891" s="197"/>
      <c r="J1891" s="197"/>
      <c r="K1891" s="197"/>
      <c r="L1891" s="197"/>
      <c r="M1891" s="198"/>
      <c r="N1891" s="198"/>
      <c r="O1891" s="198"/>
      <c r="P1891" s="199"/>
      <c r="Q1891" s="200"/>
      <c r="R1891" s="200"/>
      <c r="S1891" s="200"/>
      <c r="T1891" s="200"/>
      <c r="U1891" s="200"/>
      <c r="V1891" s="201"/>
      <c r="W1891" s="202"/>
      <c r="X1891" s="172"/>
    </row>
    <row r="1892" spans="1:24" x14ac:dyDescent="0.45">
      <c r="A1892" s="193">
        <v>26</v>
      </c>
      <c r="B1892" s="194"/>
      <c r="C1892" s="170"/>
      <c r="D1892" s="170"/>
      <c r="E1892" s="195"/>
      <c r="F1892" s="170"/>
      <c r="G1892" s="170"/>
      <c r="H1892" s="203"/>
      <c r="I1892" s="197"/>
      <c r="J1892" s="197"/>
      <c r="K1892" s="197"/>
      <c r="L1892" s="197"/>
      <c r="M1892" s="198"/>
      <c r="N1892" s="198"/>
      <c r="O1892" s="198"/>
      <c r="P1892" s="199"/>
      <c r="Q1892" s="200"/>
      <c r="R1892" s="200"/>
      <c r="S1892" s="200"/>
      <c r="T1892" s="200"/>
      <c r="U1892" s="200"/>
      <c r="V1892" s="201"/>
      <c r="W1892" s="202"/>
      <c r="X1892" s="172"/>
    </row>
    <row r="1893" spans="1:24" x14ac:dyDescent="0.45">
      <c r="A1893" s="193">
        <v>27</v>
      </c>
      <c r="B1893" s="194"/>
      <c r="C1893" s="170"/>
      <c r="D1893" s="170"/>
      <c r="E1893" s="195"/>
      <c r="F1893" s="170"/>
      <c r="G1893" s="170"/>
      <c r="H1893" s="203"/>
      <c r="I1893" s="197"/>
      <c r="J1893" s="197"/>
      <c r="K1893" s="197"/>
      <c r="L1893" s="197"/>
      <c r="M1893" s="198"/>
      <c r="N1893" s="198"/>
      <c r="O1893" s="198"/>
      <c r="P1893" s="199"/>
      <c r="Q1893" s="200"/>
      <c r="R1893" s="200"/>
      <c r="S1893" s="200"/>
      <c r="T1893" s="200"/>
      <c r="U1893" s="200"/>
      <c r="V1893" s="201"/>
      <c r="W1893" s="202"/>
      <c r="X1893" s="172"/>
    </row>
    <row r="1894" spans="1:24" x14ac:dyDescent="0.45">
      <c r="A1894" s="193">
        <v>28</v>
      </c>
      <c r="B1894" s="194"/>
      <c r="C1894" s="170"/>
      <c r="D1894" s="170"/>
      <c r="E1894" s="195"/>
      <c r="F1894" s="170"/>
      <c r="G1894" s="170"/>
      <c r="H1894" s="203"/>
      <c r="I1894" s="197"/>
      <c r="J1894" s="197"/>
      <c r="K1894" s="197"/>
      <c r="L1894" s="197"/>
      <c r="M1894" s="198"/>
      <c r="N1894" s="198"/>
      <c r="O1894" s="198"/>
      <c r="P1894" s="199"/>
      <c r="Q1894" s="200"/>
      <c r="R1894" s="200"/>
      <c r="S1894" s="200"/>
      <c r="T1894" s="200"/>
      <c r="U1894" s="200"/>
      <c r="V1894" s="201"/>
      <c r="W1894" s="202"/>
      <c r="X1894" s="172"/>
    </row>
    <row r="1895" spans="1:24" x14ac:dyDescent="0.45">
      <c r="A1895" s="193">
        <v>29</v>
      </c>
      <c r="B1895" s="194"/>
      <c r="C1895" s="170"/>
      <c r="D1895" s="170"/>
      <c r="E1895" s="195"/>
      <c r="F1895" s="170"/>
      <c r="G1895" s="170"/>
      <c r="H1895" s="203"/>
      <c r="I1895" s="197"/>
      <c r="J1895" s="197"/>
      <c r="K1895" s="197"/>
      <c r="L1895" s="197"/>
      <c r="M1895" s="198"/>
      <c r="N1895" s="198"/>
      <c r="O1895" s="198"/>
      <c r="P1895" s="199"/>
      <c r="Q1895" s="200"/>
      <c r="R1895" s="200"/>
      <c r="S1895" s="200"/>
      <c r="T1895" s="200"/>
      <c r="U1895" s="200"/>
      <c r="V1895" s="201"/>
      <c r="W1895" s="202"/>
      <c r="X1895" s="172"/>
    </row>
    <row r="1896" spans="1:24" x14ac:dyDescent="0.45">
      <c r="A1896" s="193">
        <v>30</v>
      </c>
      <c r="B1896" s="194"/>
      <c r="C1896" s="170"/>
      <c r="D1896" s="170"/>
      <c r="E1896" s="195"/>
      <c r="F1896" s="170"/>
      <c r="G1896" s="170"/>
      <c r="H1896" s="203"/>
      <c r="I1896" s="197"/>
      <c r="J1896" s="197"/>
      <c r="K1896" s="197"/>
      <c r="L1896" s="197"/>
      <c r="M1896" s="198"/>
      <c r="N1896" s="198"/>
      <c r="O1896" s="198"/>
      <c r="P1896" s="199"/>
      <c r="Q1896" s="200"/>
      <c r="R1896" s="200"/>
      <c r="S1896" s="200"/>
      <c r="T1896" s="200"/>
      <c r="U1896" s="200"/>
      <c r="V1896" s="201"/>
      <c r="W1896" s="202"/>
      <c r="X1896" s="172"/>
    </row>
    <row r="1897" spans="1:24" x14ac:dyDescent="0.45">
      <c r="A1897" s="193">
        <v>31</v>
      </c>
      <c r="B1897" s="194"/>
      <c r="C1897" s="170"/>
      <c r="D1897" s="170"/>
      <c r="E1897" s="195"/>
      <c r="F1897" s="170"/>
      <c r="G1897" s="170"/>
      <c r="H1897" s="203"/>
      <c r="I1897" s="197"/>
      <c r="J1897" s="197"/>
      <c r="K1897" s="197"/>
      <c r="L1897" s="197"/>
      <c r="M1897" s="198"/>
      <c r="N1897" s="198"/>
      <c r="O1897" s="198"/>
      <c r="P1897" s="199"/>
      <c r="Q1897" s="200"/>
      <c r="R1897" s="200"/>
      <c r="S1897" s="200"/>
      <c r="T1897" s="200"/>
      <c r="U1897" s="200"/>
      <c r="V1897" s="201"/>
      <c r="W1897" s="202"/>
      <c r="X1897" s="172"/>
    </row>
    <row r="1898" spans="1:24" x14ac:dyDescent="0.45">
      <c r="A1898" s="193">
        <v>32</v>
      </c>
      <c r="B1898" s="194"/>
      <c r="C1898" s="170"/>
      <c r="D1898" s="170"/>
      <c r="E1898" s="195"/>
      <c r="F1898" s="170"/>
      <c r="G1898" s="170"/>
      <c r="H1898" s="203"/>
      <c r="I1898" s="197"/>
      <c r="J1898" s="197"/>
      <c r="K1898" s="197"/>
      <c r="L1898" s="197"/>
      <c r="M1898" s="198"/>
      <c r="N1898" s="198"/>
      <c r="O1898" s="198"/>
      <c r="P1898" s="199"/>
      <c r="Q1898" s="200"/>
      <c r="R1898" s="200"/>
      <c r="S1898" s="200"/>
      <c r="T1898" s="200"/>
      <c r="U1898" s="200"/>
      <c r="V1898" s="201"/>
      <c r="W1898" s="202"/>
      <c r="X1898" s="172"/>
    </row>
    <row r="1899" spans="1:24" x14ac:dyDescent="0.45">
      <c r="A1899" s="193">
        <v>33</v>
      </c>
      <c r="B1899" s="194"/>
      <c r="C1899" s="170"/>
      <c r="D1899" s="170"/>
      <c r="E1899" s="195"/>
      <c r="F1899" s="170"/>
      <c r="G1899" s="170"/>
      <c r="H1899" s="203"/>
      <c r="I1899" s="197"/>
      <c r="J1899" s="197"/>
      <c r="K1899" s="197"/>
      <c r="L1899" s="197"/>
      <c r="M1899" s="198"/>
      <c r="N1899" s="198"/>
      <c r="O1899" s="198"/>
      <c r="P1899" s="199"/>
      <c r="Q1899" s="200"/>
      <c r="R1899" s="200"/>
      <c r="S1899" s="200"/>
      <c r="T1899" s="200"/>
      <c r="U1899" s="200"/>
      <c r="V1899" s="201"/>
      <c r="W1899" s="202"/>
      <c r="X1899" s="172"/>
    </row>
    <row r="1900" spans="1:24" x14ac:dyDescent="0.45">
      <c r="A1900" s="193">
        <v>34</v>
      </c>
      <c r="B1900" s="194"/>
      <c r="C1900" s="170"/>
      <c r="D1900" s="170"/>
      <c r="E1900" s="195"/>
      <c r="F1900" s="170"/>
      <c r="G1900" s="170"/>
      <c r="H1900" s="203"/>
      <c r="I1900" s="197"/>
      <c r="J1900" s="197"/>
      <c r="K1900" s="197"/>
      <c r="L1900" s="197"/>
      <c r="M1900" s="198"/>
      <c r="N1900" s="198"/>
      <c r="O1900" s="198"/>
      <c r="P1900" s="199"/>
      <c r="Q1900" s="200"/>
      <c r="R1900" s="200"/>
      <c r="S1900" s="200"/>
      <c r="T1900" s="200"/>
      <c r="U1900" s="200"/>
      <c r="V1900" s="201"/>
      <c r="W1900" s="202"/>
      <c r="X1900" s="172"/>
    </row>
    <row r="1901" spans="1:24" x14ac:dyDescent="0.45">
      <c r="A1901" s="193">
        <v>35</v>
      </c>
      <c r="B1901" s="194"/>
      <c r="C1901" s="170"/>
      <c r="D1901" s="170"/>
      <c r="E1901" s="195"/>
      <c r="F1901" s="170"/>
      <c r="G1901" s="170"/>
      <c r="H1901" s="203"/>
      <c r="I1901" s="197"/>
      <c r="J1901" s="197"/>
      <c r="K1901" s="197"/>
      <c r="L1901" s="197"/>
      <c r="M1901" s="198"/>
      <c r="N1901" s="198"/>
      <c r="O1901" s="198"/>
      <c r="P1901" s="199"/>
      <c r="Q1901" s="200"/>
      <c r="R1901" s="200"/>
      <c r="S1901" s="200"/>
      <c r="T1901" s="200"/>
      <c r="U1901" s="200"/>
      <c r="V1901" s="201"/>
      <c r="W1901" s="202"/>
      <c r="X1901" s="172"/>
    </row>
    <row r="1902" spans="1:24" x14ac:dyDescent="0.45">
      <c r="A1902" s="193">
        <v>36</v>
      </c>
      <c r="B1902" s="194"/>
      <c r="C1902" s="170"/>
      <c r="D1902" s="170"/>
      <c r="E1902" s="195"/>
      <c r="F1902" s="170"/>
      <c r="G1902" s="170"/>
      <c r="H1902" s="203"/>
      <c r="I1902" s="197"/>
      <c r="J1902" s="197"/>
      <c r="K1902" s="197"/>
      <c r="L1902" s="197"/>
      <c r="M1902" s="198"/>
      <c r="N1902" s="198"/>
      <c r="O1902" s="198"/>
      <c r="P1902" s="199"/>
      <c r="Q1902" s="200"/>
      <c r="R1902" s="200"/>
      <c r="S1902" s="200"/>
      <c r="T1902" s="200"/>
      <c r="U1902" s="200"/>
      <c r="V1902" s="201"/>
      <c r="W1902" s="202"/>
      <c r="X1902" s="172"/>
    </row>
    <row r="1903" spans="1:24" x14ac:dyDescent="0.45">
      <c r="A1903" s="193">
        <v>37</v>
      </c>
      <c r="B1903" s="194"/>
      <c r="C1903" s="170"/>
      <c r="D1903" s="170"/>
      <c r="E1903" s="195"/>
      <c r="F1903" s="170"/>
      <c r="G1903" s="170"/>
      <c r="H1903" s="203"/>
      <c r="I1903" s="197"/>
      <c r="J1903" s="197"/>
      <c r="K1903" s="197"/>
      <c r="L1903" s="197"/>
      <c r="M1903" s="198"/>
      <c r="N1903" s="198"/>
      <c r="O1903" s="198"/>
      <c r="P1903" s="199"/>
      <c r="Q1903" s="200"/>
      <c r="R1903" s="200"/>
      <c r="S1903" s="200"/>
      <c r="T1903" s="200"/>
      <c r="U1903" s="200"/>
      <c r="V1903" s="201"/>
      <c r="W1903" s="202"/>
      <c r="X1903" s="172"/>
    </row>
    <row r="1904" spans="1:24" x14ac:dyDescent="0.45">
      <c r="A1904" s="193">
        <v>38</v>
      </c>
      <c r="B1904" s="194"/>
      <c r="C1904" s="170"/>
      <c r="D1904" s="170"/>
      <c r="E1904" s="195"/>
      <c r="F1904" s="170"/>
      <c r="G1904" s="170"/>
      <c r="H1904" s="203"/>
      <c r="I1904" s="197"/>
      <c r="J1904" s="197"/>
      <c r="K1904" s="197"/>
      <c r="L1904" s="197"/>
      <c r="M1904" s="198"/>
      <c r="N1904" s="198"/>
      <c r="O1904" s="198"/>
      <c r="P1904" s="199"/>
      <c r="Q1904" s="200"/>
      <c r="R1904" s="200"/>
      <c r="S1904" s="200"/>
      <c r="T1904" s="200"/>
      <c r="U1904" s="200"/>
      <c r="V1904" s="201"/>
      <c r="W1904" s="202"/>
      <c r="X1904" s="172"/>
    </row>
    <row r="1905" spans="1:24" x14ac:dyDescent="0.45">
      <c r="A1905" s="193">
        <v>39</v>
      </c>
      <c r="B1905" s="194"/>
      <c r="C1905" s="170"/>
      <c r="D1905" s="170"/>
      <c r="E1905" s="195"/>
      <c r="F1905" s="170"/>
      <c r="G1905" s="170"/>
      <c r="H1905" s="203"/>
      <c r="I1905" s="197"/>
      <c r="J1905" s="197"/>
      <c r="K1905" s="197"/>
      <c r="L1905" s="197"/>
      <c r="M1905" s="198"/>
      <c r="N1905" s="198"/>
      <c r="O1905" s="198"/>
      <c r="P1905" s="199"/>
      <c r="Q1905" s="200"/>
      <c r="R1905" s="200"/>
      <c r="S1905" s="200"/>
      <c r="T1905" s="200"/>
      <c r="U1905" s="200"/>
      <c r="V1905" s="201"/>
      <c r="W1905" s="202"/>
      <c r="X1905" s="172"/>
    </row>
    <row r="1906" spans="1:24" x14ac:dyDescent="0.45">
      <c r="A1906" s="193">
        <v>40</v>
      </c>
      <c r="B1906" s="194"/>
      <c r="C1906" s="170"/>
      <c r="D1906" s="170"/>
      <c r="E1906" s="195"/>
      <c r="F1906" s="170"/>
      <c r="G1906" s="170"/>
      <c r="H1906" s="203"/>
      <c r="I1906" s="197"/>
      <c r="J1906" s="197"/>
      <c r="K1906" s="197"/>
      <c r="L1906" s="197"/>
      <c r="M1906" s="198"/>
      <c r="N1906" s="198"/>
      <c r="O1906" s="198"/>
      <c r="P1906" s="199"/>
      <c r="Q1906" s="200"/>
      <c r="R1906" s="200"/>
      <c r="S1906" s="200"/>
      <c r="T1906" s="200"/>
      <c r="U1906" s="200"/>
      <c r="V1906" s="201"/>
      <c r="W1906" s="202"/>
      <c r="X1906" s="172"/>
    </row>
    <row r="1907" spans="1:24" x14ac:dyDescent="0.45">
      <c r="A1907" s="193">
        <v>41</v>
      </c>
      <c r="B1907" s="194"/>
      <c r="C1907" s="170"/>
      <c r="D1907" s="170"/>
      <c r="E1907" s="195"/>
      <c r="F1907" s="170"/>
      <c r="G1907" s="170"/>
      <c r="H1907" s="203"/>
      <c r="I1907" s="197"/>
      <c r="J1907" s="197"/>
      <c r="K1907" s="197"/>
      <c r="L1907" s="197"/>
      <c r="M1907" s="198"/>
      <c r="N1907" s="198"/>
      <c r="O1907" s="198"/>
      <c r="P1907" s="199"/>
      <c r="Q1907" s="200"/>
      <c r="R1907" s="200"/>
      <c r="S1907" s="200"/>
      <c r="T1907" s="200"/>
      <c r="U1907" s="200"/>
      <c r="V1907" s="201"/>
      <c r="W1907" s="202"/>
      <c r="X1907" s="172"/>
    </row>
    <row r="1908" spans="1:24" x14ac:dyDescent="0.45">
      <c r="A1908" s="193">
        <v>42</v>
      </c>
      <c r="B1908" s="194"/>
      <c r="C1908" s="170"/>
      <c r="D1908" s="170"/>
      <c r="E1908" s="195"/>
      <c r="F1908" s="170"/>
      <c r="G1908" s="170"/>
      <c r="H1908" s="203"/>
      <c r="I1908" s="197"/>
      <c r="J1908" s="197"/>
      <c r="K1908" s="197"/>
      <c r="L1908" s="197"/>
      <c r="M1908" s="198"/>
      <c r="N1908" s="198"/>
      <c r="O1908" s="198"/>
      <c r="P1908" s="199"/>
      <c r="Q1908" s="200"/>
      <c r="R1908" s="200"/>
      <c r="S1908" s="200"/>
      <c r="T1908" s="200"/>
      <c r="U1908" s="200"/>
      <c r="V1908" s="201"/>
      <c r="W1908" s="202"/>
      <c r="X1908" s="172"/>
    </row>
    <row r="1909" spans="1:24" x14ac:dyDescent="0.45">
      <c r="A1909" s="193">
        <v>43</v>
      </c>
      <c r="B1909" s="194"/>
      <c r="C1909" s="170"/>
      <c r="D1909" s="170"/>
      <c r="E1909" s="195"/>
      <c r="F1909" s="170"/>
      <c r="G1909" s="170"/>
      <c r="H1909" s="203"/>
      <c r="I1909" s="197"/>
      <c r="J1909" s="197"/>
      <c r="K1909" s="197"/>
      <c r="L1909" s="197"/>
      <c r="M1909" s="198"/>
      <c r="N1909" s="198"/>
      <c r="O1909" s="198"/>
      <c r="P1909" s="199"/>
      <c r="Q1909" s="200"/>
      <c r="R1909" s="200"/>
      <c r="S1909" s="200"/>
      <c r="T1909" s="200"/>
      <c r="U1909" s="200"/>
      <c r="V1909" s="201"/>
      <c r="W1909" s="202"/>
      <c r="X1909" s="172"/>
    </row>
    <row r="1910" spans="1:24" x14ac:dyDescent="0.45">
      <c r="A1910" s="193">
        <v>44</v>
      </c>
      <c r="B1910" s="194"/>
      <c r="C1910" s="170"/>
      <c r="D1910" s="170"/>
      <c r="E1910" s="195"/>
      <c r="F1910" s="170"/>
      <c r="G1910" s="170"/>
      <c r="H1910" s="203"/>
      <c r="I1910" s="197"/>
      <c r="J1910" s="197"/>
      <c r="K1910" s="197"/>
      <c r="L1910" s="197"/>
      <c r="M1910" s="198"/>
      <c r="N1910" s="198"/>
      <c r="O1910" s="198"/>
      <c r="P1910" s="199"/>
      <c r="Q1910" s="200"/>
      <c r="R1910" s="200"/>
      <c r="S1910" s="200"/>
      <c r="T1910" s="200"/>
      <c r="U1910" s="200"/>
      <c r="V1910" s="201"/>
      <c r="W1910" s="202"/>
      <c r="X1910" s="172"/>
    </row>
    <row r="1911" spans="1:24" x14ac:dyDescent="0.45">
      <c r="A1911" s="193">
        <v>45</v>
      </c>
      <c r="B1911" s="194"/>
      <c r="C1911" s="170"/>
      <c r="D1911" s="170"/>
      <c r="E1911" s="195"/>
      <c r="F1911" s="170"/>
      <c r="G1911" s="170"/>
      <c r="H1911" s="203"/>
      <c r="I1911" s="197"/>
      <c r="J1911" s="197"/>
      <c r="K1911" s="197"/>
      <c r="L1911" s="197"/>
      <c r="M1911" s="198"/>
      <c r="N1911" s="198"/>
      <c r="O1911" s="198"/>
      <c r="P1911" s="199"/>
      <c r="Q1911" s="200"/>
      <c r="R1911" s="200"/>
      <c r="S1911" s="200"/>
      <c r="T1911" s="200"/>
      <c r="U1911" s="200"/>
      <c r="V1911" s="201"/>
      <c r="W1911" s="202"/>
      <c r="X1911" s="172"/>
    </row>
    <row r="1912" spans="1:24" x14ac:dyDescent="0.45">
      <c r="A1912" s="193">
        <v>46</v>
      </c>
      <c r="B1912" s="194"/>
      <c r="C1912" s="170"/>
      <c r="D1912" s="170"/>
      <c r="E1912" s="195"/>
      <c r="F1912" s="170"/>
      <c r="G1912" s="170"/>
      <c r="H1912" s="203"/>
      <c r="I1912" s="197"/>
      <c r="J1912" s="197"/>
      <c r="K1912" s="197"/>
      <c r="L1912" s="197"/>
      <c r="M1912" s="198"/>
      <c r="N1912" s="198"/>
      <c r="O1912" s="198"/>
      <c r="P1912" s="199"/>
      <c r="Q1912" s="200"/>
      <c r="R1912" s="200"/>
      <c r="S1912" s="200"/>
      <c r="T1912" s="200"/>
      <c r="U1912" s="200"/>
      <c r="V1912" s="201"/>
      <c r="W1912" s="202"/>
      <c r="X1912" s="172"/>
    </row>
    <row r="1913" spans="1:24" x14ac:dyDescent="0.45">
      <c r="A1913" s="193">
        <v>47</v>
      </c>
      <c r="B1913" s="194"/>
      <c r="C1913" s="170"/>
      <c r="D1913" s="170"/>
      <c r="E1913" s="195"/>
      <c r="F1913" s="170"/>
      <c r="G1913" s="170"/>
      <c r="H1913" s="203"/>
      <c r="I1913" s="197"/>
      <c r="J1913" s="197"/>
      <c r="K1913" s="197"/>
      <c r="L1913" s="197"/>
      <c r="M1913" s="198"/>
      <c r="N1913" s="198"/>
      <c r="O1913" s="198"/>
      <c r="P1913" s="199"/>
      <c r="Q1913" s="200"/>
      <c r="R1913" s="200"/>
      <c r="S1913" s="200"/>
      <c r="T1913" s="200"/>
      <c r="U1913" s="200"/>
      <c r="V1913" s="201"/>
      <c r="W1913" s="202"/>
      <c r="X1913" s="172"/>
    </row>
    <row r="1914" spans="1:24" x14ac:dyDescent="0.45">
      <c r="A1914" s="193">
        <v>48</v>
      </c>
      <c r="B1914" s="194"/>
      <c r="C1914" s="170"/>
      <c r="D1914" s="170"/>
      <c r="E1914" s="195"/>
      <c r="F1914" s="170"/>
      <c r="G1914" s="170"/>
      <c r="H1914" s="203"/>
      <c r="I1914" s="197"/>
      <c r="J1914" s="197"/>
      <c r="K1914" s="197"/>
      <c r="L1914" s="197"/>
      <c r="M1914" s="198"/>
      <c r="N1914" s="198"/>
      <c r="O1914" s="198"/>
      <c r="P1914" s="199"/>
      <c r="Q1914" s="200"/>
      <c r="R1914" s="200"/>
      <c r="S1914" s="200"/>
      <c r="T1914" s="200"/>
      <c r="U1914" s="200"/>
      <c r="V1914" s="201"/>
      <c r="W1914" s="202"/>
      <c r="X1914" s="172"/>
    </row>
    <row r="1915" spans="1:24" x14ac:dyDescent="0.45">
      <c r="A1915" s="193">
        <v>49</v>
      </c>
      <c r="B1915" s="194"/>
      <c r="C1915" s="170"/>
      <c r="D1915" s="170"/>
      <c r="E1915" s="195"/>
      <c r="F1915" s="170"/>
      <c r="G1915" s="170"/>
      <c r="H1915" s="203"/>
      <c r="I1915" s="197"/>
      <c r="J1915" s="197"/>
      <c r="K1915" s="197"/>
      <c r="L1915" s="197"/>
      <c r="M1915" s="198"/>
      <c r="N1915" s="198"/>
      <c r="O1915" s="198"/>
      <c r="P1915" s="199"/>
      <c r="Q1915" s="200"/>
      <c r="R1915" s="200"/>
      <c r="S1915" s="200"/>
      <c r="T1915" s="200"/>
      <c r="U1915" s="200"/>
      <c r="V1915" s="201"/>
      <c r="W1915" s="202"/>
      <c r="X1915" s="172"/>
    </row>
    <row r="1916" spans="1:24" x14ac:dyDescent="0.45">
      <c r="A1916" s="193">
        <v>50</v>
      </c>
      <c r="B1916" s="194"/>
      <c r="C1916" s="170"/>
      <c r="D1916" s="170"/>
      <c r="E1916" s="195"/>
      <c r="F1916" s="170"/>
      <c r="G1916" s="170"/>
      <c r="H1916" s="203"/>
      <c r="I1916" s="197"/>
      <c r="J1916" s="197"/>
      <c r="K1916" s="197"/>
      <c r="L1916" s="197"/>
      <c r="M1916" s="198"/>
      <c r="N1916" s="198"/>
      <c r="O1916" s="198"/>
      <c r="P1916" s="199"/>
      <c r="Q1916" s="200"/>
      <c r="R1916" s="200"/>
      <c r="S1916" s="200"/>
      <c r="T1916" s="200"/>
      <c r="U1916" s="200"/>
      <c r="V1916" s="201"/>
      <c r="W1916" s="202"/>
      <c r="X1916" s="172"/>
    </row>
    <row r="1917" spans="1:24" x14ac:dyDescent="0.45">
      <c r="A1917" s="193">
        <v>51</v>
      </c>
      <c r="B1917" s="194"/>
      <c r="C1917" s="170"/>
      <c r="D1917" s="170"/>
      <c r="E1917" s="195"/>
      <c r="F1917" s="170"/>
      <c r="G1917" s="170"/>
      <c r="H1917" s="203"/>
      <c r="I1917" s="197"/>
      <c r="J1917" s="197"/>
      <c r="K1917" s="197"/>
      <c r="L1917" s="197"/>
      <c r="M1917" s="198"/>
      <c r="N1917" s="198"/>
      <c r="O1917" s="198"/>
      <c r="P1917" s="199"/>
      <c r="Q1917" s="200"/>
      <c r="R1917" s="200"/>
      <c r="S1917" s="200"/>
      <c r="T1917" s="200"/>
      <c r="U1917" s="200"/>
      <c r="V1917" s="201"/>
      <c r="W1917" s="202"/>
      <c r="X1917" s="172"/>
    </row>
    <row r="1918" spans="1:24" x14ac:dyDescent="0.45">
      <c r="A1918" s="193">
        <v>52</v>
      </c>
      <c r="B1918" s="194"/>
      <c r="C1918" s="170"/>
      <c r="D1918" s="170"/>
      <c r="E1918" s="195"/>
      <c r="F1918" s="170"/>
      <c r="G1918" s="170"/>
      <c r="H1918" s="203"/>
      <c r="I1918" s="197"/>
      <c r="J1918" s="197"/>
      <c r="K1918" s="197"/>
      <c r="L1918" s="197"/>
      <c r="M1918" s="198"/>
      <c r="N1918" s="198"/>
      <c r="O1918" s="198"/>
      <c r="P1918" s="199"/>
      <c r="Q1918" s="200"/>
      <c r="R1918" s="200"/>
      <c r="S1918" s="200"/>
      <c r="T1918" s="200"/>
      <c r="U1918" s="200"/>
      <c r="V1918" s="201"/>
      <c r="W1918" s="202"/>
      <c r="X1918" s="172"/>
    </row>
    <row r="1919" spans="1:24" x14ac:dyDescent="0.45">
      <c r="A1919" s="193">
        <v>53</v>
      </c>
      <c r="B1919" s="194"/>
      <c r="C1919" s="170"/>
      <c r="D1919" s="170"/>
      <c r="E1919" s="195"/>
      <c r="F1919" s="170"/>
      <c r="G1919" s="170"/>
      <c r="H1919" s="203"/>
      <c r="I1919" s="197"/>
      <c r="J1919" s="197"/>
      <c r="K1919" s="197"/>
      <c r="L1919" s="197"/>
      <c r="M1919" s="198"/>
      <c r="N1919" s="198"/>
      <c r="O1919" s="198"/>
      <c r="P1919" s="199"/>
      <c r="Q1919" s="200"/>
      <c r="R1919" s="200"/>
      <c r="S1919" s="200"/>
      <c r="T1919" s="200"/>
      <c r="U1919" s="200"/>
      <c r="V1919" s="201"/>
      <c r="W1919" s="202"/>
      <c r="X1919" s="172"/>
    </row>
    <row r="1920" spans="1:24" x14ac:dyDescent="0.45">
      <c r="A1920" s="193">
        <v>54</v>
      </c>
      <c r="B1920" s="194"/>
      <c r="C1920" s="170"/>
      <c r="D1920" s="170"/>
      <c r="E1920" s="195"/>
      <c r="F1920" s="170"/>
      <c r="G1920" s="170"/>
      <c r="H1920" s="203"/>
      <c r="I1920" s="197"/>
      <c r="J1920" s="197"/>
      <c r="K1920" s="197"/>
      <c r="L1920" s="197"/>
      <c r="M1920" s="198"/>
      <c r="N1920" s="198"/>
      <c r="O1920" s="198"/>
      <c r="P1920" s="199"/>
      <c r="Q1920" s="200"/>
      <c r="R1920" s="200"/>
      <c r="S1920" s="200"/>
      <c r="T1920" s="200"/>
      <c r="U1920" s="200"/>
      <c r="V1920" s="201"/>
      <c r="W1920" s="202"/>
      <c r="X1920" s="172"/>
    </row>
    <row r="1921" spans="1:24" x14ac:dyDescent="0.45">
      <c r="A1921" s="193">
        <v>55</v>
      </c>
      <c r="B1921" s="194"/>
      <c r="C1921" s="170"/>
      <c r="D1921" s="170"/>
      <c r="E1921" s="195"/>
      <c r="F1921" s="170"/>
      <c r="G1921" s="170"/>
      <c r="H1921" s="203"/>
      <c r="I1921" s="197"/>
      <c r="J1921" s="197"/>
      <c r="K1921" s="197"/>
      <c r="L1921" s="197"/>
      <c r="M1921" s="198"/>
      <c r="N1921" s="198"/>
      <c r="O1921" s="198"/>
      <c r="P1921" s="199"/>
      <c r="Q1921" s="200"/>
      <c r="R1921" s="200"/>
      <c r="S1921" s="200"/>
      <c r="T1921" s="200"/>
      <c r="U1921" s="200"/>
      <c r="V1921" s="201"/>
      <c r="W1921" s="202"/>
      <c r="X1921" s="172"/>
    </row>
    <row r="1922" spans="1:24" x14ac:dyDescent="0.45">
      <c r="A1922" s="193">
        <v>56</v>
      </c>
      <c r="B1922" s="194"/>
      <c r="C1922" s="170"/>
      <c r="D1922" s="170"/>
      <c r="E1922" s="195"/>
      <c r="F1922" s="170"/>
      <c r="G1922" s="170"/>
      <c r="H1922" s="203"/>
      <c r="I1922" s="197"/>
      <c r="J1922" s="197"/>
      <c r="K1922" s="197"/>
      <c r="L1922" s="197"/>
      <c r="M1922" s="198"/>
      <c r="N1922" s="198"/>
      <c r="O1922" s="198"/>
      <c r="P1922" s="199"/>
      <c r="Q1922" s="200"/>
      <c r="R1922" s="200"/>
      <c r="S1922" s="200"/>
      <c r="T1922" s="200"/>
      <c r="U1922" s="200"/>
      <c r="V1922" s="201"/>
      <c r="W1922" s="202"/>
      <c r="X1922" s="172"/>
    </row>
    <row r="1923" spans="1:24" x14ac:dyDescent="0.45">
      <c r="A1923" s="193">
        <v>57</v>
      </c>
      <c r="B1923" s="194"/>
      <c r="C1923" s="170"/>
      <c r="D1923" s="170"/>
      <c r="E1923" s="195"/>
      <c r="F1923" s="170"/>
      <c r="G1923" s="170"/>
      <c r="H1923" s="203"/>
      <c r="I1923" s="197"/>
      <c r="J1923" s="197"/>
      <c r="K1923" s="197"/>
      <c r="L1923" s="197"/>
      <c r="M1923" s="198"/>
      <c r="N1923" s="198"/>
      <c r="O1923" s="198"/>
      <c r="P1923" s="199"/>
      <c r="Q1923" s="200"/>
      <c r="R1923" s="200"/>
      <c r="S1923" s="200"/>
      <c r="T1923" s="200"/>
      <c r="U1923" s="200"/>
      <c r="V1923" s="201"/>
      <c r="W1923" s="202"/>
      <c r="X1923" s="172"/>
    </row>
    <row r="1924" spans="1:24" x14ac:dyDescent="0.45">
      <c r="A1924" s="193">
        <v>58</v>
      </c>
      <c r="B1924" s="194"/>
      <c r="C1924" s="170"/>
      <c r="D1924" s="170"/>
      <c r="E1924" s="195"/>
      <c r="F1924" s="170"/>
      <c r="G1924" s="170"/>
      <c r="H1924" s="203"/>
      <c r="I1924" s="197"/>
      <c r="J1924" s="197"/>
      <c r="K1924" s="197"/>
      <c r="L1924" s="197"/>
      <c r="M1924" s="198"/>
      <c r="N1924" s="198"/>
      <c r="O1924" s="198"/>
      <c r="P1924" s="199"/>
      <c r="Q1924" s="200"/>
      <c r="R1924" s="200"/>
      <c r="S1924" s="200"/>
      <c r="T1924" s="200"/>
      <c r="U1924" s="200"/>
      <c r="V1924" s="201"/>
      <c r="W1924" s="202"/>
      <c r="X1924" s="172"/>
    </row>
    <row r="1925" spans="1:24" x14ac:dyDescent="0.45">
      <c r="A1925" s="193">
        <v>59</v>
      </c>
      <c r="B1925" s="194"/>
      <c r="C1925" s="170"/>
      <c r="D1925" s="170"/>
      <c r="E1925" s="195"/>
      <c r="F1925" s="170"/>
      <c r="G1925" s="170"/>
      <c r="H1925" s="203"/>
      <c r="I1925" s="197"/>
      <c r="J1925" s="197"/>
      <c r="K1925" s="197"/>
      <c r="L1925" s="197"/>
      <c r="M1925" s="198"/>
      <c r="N1925" s="198"/>
      <c r="O1925" s="198"/>
      <c r="P1925" s="199"/>
      <c r="Q1925" s="200"/>
      <c r="R1925" s="200"/>
      <c r="S1925" s="200"/>
      <c r="T1925" s="200"/>
      <c r="U1925" s="200"/>
      <c r="V1925" s="201"/>
      <c r="W1925" s="202"/>
      <c r="X1925" s="172"/>
    </row>
    <row r="1926" spans="1:24" x14ac:dyDescent="0.45">
      <c r="A1926" s="193">
        <v>60</v>
      </c>
      <c r="B1926" s="194"/>
      <c r="C1926" s="170"/>
      <c r="D1926" s="170"/>
      <c r="E1926" s="195"/>
      <c r="F1926" s="170"/>
      <c r="G1926" s="170"/>
      <c r="H1926" s="203"/>
      <c r="I1926" s="197"/>
      <c r="J1926" s="197"/>
      <c r="K1926" s="197"/>
      <c r="L1926" s="197"/>
      <c r="M1926" s="198"/>
      <c r="N1926" s="198"/>
      <c r="O1926" s="198"/>
      <c r="P1926" s="199"/>
      <c r="Q1926" s="200"/>
      <c r="R1926" s="200"/>
      <c r="S1926" s="200"/>
      <c r="T1926" s="200"/>
      <c r="U1926" s="200"/>
      <c r="V1926" s="201"/>
      <c r="W1926" s="202"/>
      <c r="X1926" s="172"/>
    </row>
    <row r="1927" spans="1:24" x14ac:dyDescent="0.45">
      <c r="A1927" s="193">
        <v>61</v>
      </c>
      <c r="B1927" s="194"/>
      <c r="C1927" s="170"/>
      <c r="D1927" s="170"/>
      <c r="E1927" s="195"/>
      <c r="F1927" s="170"/>
      <c r="G1927" s="170"/>
      <c r="H1927" s="203"/>
      <c r="I1927" s="197"/>
      <c r="J1927" s="197"/>
      <c r="K1927" s="197"/>
      <c r="L1927" s="197"/>
      <c r="M1927" s="198"/>
      <c r="N1927" s="198"/>
      <c r="O1927" s="198"/>
      <c r="P1927" s="199"/>
      <c r="Q1927" s="200"/>
      <c r="R1927" s="200"/>
      <c r="S1927" s="200"/>
      <c r="T1927" s="200"/>
      <c r="U1927" s="200"/>
      <c r="V1927" s="201"/>
      <c r="W1927" s="202"/>
      <c r="X1927" s="172"/>
    </row>
    <row r="1928" spans="1:24" x14ac:dyDescent="0.45">
      <c r="A1928" s="193">
        <v>62</v>
      </c>
      <c r="B1928" s="194"/>
      <c r="C1928" s="170"/>
      <c r="D1928" s="170"/>
      <c r="E1928" s="195"/>
      <c r="F1928" s="170"/>
      <c r="G1928" s="170"/>
      <c r="H1928" s="203"/>
      <c r="I1928" s="197"/>
      <c r="J1928" s="197"/>
      <c r="K1928" s="197"/>
      <c r="L1928" s="197"/>
      <c r="M1928" s="198"/>
      <c r="N1928" s="198"/>
      <c r="O1928" s="198"/>
      <c r="P1928" s="199"/>
      <c r="Q1928" s="200"/>
      <c r="R1928" s="200"/>
      <c r="S1928" s="200"/>
      <c r="T1928" s="200"/>
      <c r="U1928" s="200"/>
      <c r="V1928" s="201"/>
      <c r="W1928" s="202"/>
      <c r="X1928" s="172"/>
    </row>
    <row r="1929" spans="1:24" x14ac:dyDescent="0.45">
      <c r="A1929" s="193">
        <v>63</v>
      </c>
      <c r="B1929" s="194"/>
      <c r="C1929" s="170"/>
      <c r="D1929" s="170"/>
      <c r="E1929" s="195"/>
      <c r="F1929" s="170"/>
      <c r="G1929" s="170"/>
      <c r="H1929" s="203"/>
      <c r="I1929" s="197"/>
      <c r="J1929" s="197"/>
      <c r="K1929" s="197"/>
      <c r="L1929" s="197"/>
      <c r="M1929" s="198"/>
      <c r="N1929" s="198"/>
      <c r="O1929" s="198"/>
      <c r="P1929" s="199"/>
      <c r="Q1929" s="200"/>
      <c r="R1929" s="200"/>
      <c r="S1929" s="200"/>
      <c r="T1929" s="200"/>
      <c r="U1929" s="200"/>
      <c r="V1929" s="201"/>
      <c r="W1929" s="202"/>
      <c r="X1929" s="172"/>
    </row>
    <row r="1930" spans="1:24" x14ac:dyDescent="0.45">
      <c r="A1930" s="193">
        <v>64</v>
      </c>
      <c r="B1930" s="194"/>
      <c r="C1930" s="170"/>
      <c r="D1930" s="170"/>
      <c r="E1930" s="195"/>
      <c r="F1930" s="170"/>
      <c r="G1930" s="170"/>
      <c r="H1930" s="203"/>
      <c r="I1930" s="197"/>
      <c r="J1930" s="197"/>
      <c r="K1930" s="197"/>
      <c r="L1930" s="197"/>
      <c r="M1930" s="198"/>
      <c r="N1930" s="198"/>
      <c r="O1930" s="198"/>
      <c r="P1930" s="199"/>
      <c r="Q1930" s="200"/>
      <c r="R1930" s="200"/>
      <c r="S1930" s="200"/>
      <c r="T1930" s="200"/>
      <c r="U1930" s="200"/>
      <c r="V1930" s="201"/>
      <c r="W1930" s="202"/>
      <c r="X1930" s="172"/>
    </row>
    <row r="1931" spans="1:24" x14ac:dyDescent="0.45">
      <c r="A1931" s="193">
        <v>65</v>
      </c>
      <c r="B1931" s="194"/>
      <c r="C1931" s="170"/>
      <c r="D1931" s="170"/>
      <c r="E1931" s="195"/>
      <c r="F1931" s="170"/>
      <c r="G1931" s="170"/>
      <c r="H1931" s="203"/>
      <c r="I1931" s="197"/>
      <c r="J1931" s="197"/>
      <c r="K1931" s="197"/>
      <c r="L1931" s="197"/>
      <c r="M1931" s="198"/>
      <c r="N1931" s="198"/>
      <c r="O1931" s="198"/>
      <c r="P1931" s="199"/>
      <c r="Q1931" s="200"/>
      <c r="R1931" s="200"/>
      <c r="S1931" s="200"/>
      <c r="T1931" s="200"/>
      <c r="U1931" s="200"/>
      <c r="V1931" s="201"/>
      <c r="W1931" s="202"/>
      <c r="X1931" s="172"/>
    </row>
    <row r="1932" spans="1:24" ht="14.25" customHeight="1" x14ac:dyDescent="0.45">
      <c r="A1932" s="193">
        <v>66</v>
      </c>
      <c r="B1932" s="204"/>
      <c r="C1932" s="205"/>
      <c r="D1932" s="205"/>
      <c r="E1932" s="205"/>
      <c r="F1932" s="205"/>
      <c r="G1932" s="205"/>
      <c r="H1932" s="205"/>
      <c r="I1932" s="206"/>
      <c r="J1932" s="206"/>
      <c r="K1932" s="206"/>
      <c r="L1932" s="206"/>
      <c r="M1932" s="205"/>
      <c r="N1932" s="205"/>
      <c r="O1932" s="205"/>
      <c r="P1932" s="205"/>
      <c r="Q1932" s="205"/>
      <c r="R1932" s="205"/>
      <c r="S1932" s="205"/>
      <c r="T1932" s="205"/>
      <c r="U1932" s="205"/>
      <c r="V1932" s="205"/>
      <c r="W1932" s="207"/>
      <c r="X1932" s="207"/>
    </row>
  </sheetData>
  <mergeCells count="210">
    <mergeCell ref="B1:B2"/>
    <mergeCell ref="C1:Q2"/>
    <mergeCell ref="R2:S2"/>
    <mergeCell ref="T2:U2"/>
    <mergeCell ref="V2:W2"/>
    <mergeCell ref="X3:X4"/>
    <mergeCell ref="T4:U4"/>
    <mergeCell ref="V4:W4"/>
    <mergeCell ref="B8:W8"/>
    <mergeCell ref="X9:X24"/>
    <mergeCell ref="B93:B94"/>
    <mergeCell ref="C93:Q94"/>
    <mergeCell ref="R94:S94"/>
    <mergeCell ref="T94:U94"/>
    <mergeCell ref="V94:W94"/>
    <mergeCell ref="X95:X96"/>
    <mergeCell ref="T96:U96"/>
    <mergeCell ref="V96:W96"/>
    <mergeCell ref="B100:W100"/>
    <mergeCell ref="X101:X116"/>
    <mergeCell ref="B185:B186"/>
    <mergeCell ref="C185:Q186"/>
    <mergeCell ref="R186:S186"/>
    <mergeCell ref="T186:U186"/>
    <mergeCell ref="V186:W186"/>
    <mergeCell ref="X187:X188"/>
    <mergeCell ref="T188:U188"/>
    <mergeCell ref="V188:W188"/>
    <mergeCell ref="B192:W192"/>
    <mergeCell ref="X193:X208"/>
    <mergeCell ref="B277:B278"/>
    <mergeCell ref="C277:Q278"/>
    <mergeCell ref="R278:S278"/>
    <mergeCell ref="T278:U278"/>
    <mergeCell ref="V278:W278"/>
    <mergeCell ref="X279:X280"/>
    <mergeCell ref="T280:U280"/>
    <mergeCell ref="V280:W280"/>
    <mergeCell ref="B284:W284"/>
    <mergeCell ref="X285:X300"/>
    <mergeCell ref="B369:B370"/>
    <mergeCell ref="C369:Q370"/>
    <mergeCell ref="R370:S370"/>
    <mergeCell ref="T370:U370"/>
    <mergeCell ref="V370:W370"/>
    <mergeCell ref="X371:X372"/>
    <mergeCell ref="T372:U372"/>
    <mergeCell ref="V372:W372"/>
    <mergeCell ref="B376:W376"/>
    <mergeCell ref="X377:X392"/>
    <mergeCell ref="B461:B462"/>
    <mergeCell ref="C461:Q462"/>
    <mergeCell ref="R462:S462"/>
    <mergeCell ref="T462:U462"/>
    <mergeCell ref="V462:W462"/>
    <mergeCell ref="X463:X464"/>
    <mergeCell ref="T464:U464"/>
    <mergeCell ref="V464:W464"/>
    <mergeCell ref="B468:W468"/>
    <mergeCell ref="X469:X484"/>
    <mergeCell ref="B553:B554"/>
    <mergeCell ref="C553:Q554"/>
    <mergeCell ref="R554:S554"/>
    <mergeCell ref="T554:U554"/>
    <mergeCell ref="V554:W554"/>
    <mergeCell ref="X555:X556"/>
    <mergeCell ref="T556:U556"/>
    <mergeCell ref="V556:W556"/>
    <mergeCell ref="B560:W560"/>
    <mergeCell ref="X561:X576"/>
    <mergeCell ref="B645:B646"/>
    <mergeCell ref="C645:Q646"/>
    <mergeCell ref="R646:S646"/>
    <mergeCell ref="T646:U646"/>
    <mergeCell ref="V646:W646"/>
    <mergeCell ref="X647:X648"/>
    <mergeCell ref="T648:U648"/>
    <mergeCell ref="V648:W648"/>
    <mergeCell ref="B652:W652"/>
    <mergeCell ref="X653:X668"/>
    <mergeCell ref="B737:B738"/>
    <mergeCell ref="C737:Q738"/>
    <mergeCell ref="R738:S738"/>
    <mergeCell ref="T738:U738"/>
    <mergeCell ref="V738:W738"/>
    <mergeCell ref="X739:X740"/>
    <mergeCell ref="T740:U740"/>
    <mergeCell ref="V740:W740"/>
    <mergeCell ref="B744:W744"/>
    <mergeCell ref="X745:X760"/>
    <mergeCell ref="B829:B830"/>
    <mergeCell ref="C829:Q830"/>
    <mergeCell ref="R830:S830"/>
    <mergeCell ref="T830:U830"/>
    <mergeCell ref="V830:W830"/>
    <mergeCell ref="X831:X832"/>
    <mergeCell ref="T832:U832"/>
    <mergeCell ref="V832:W832"/>
    <mergeCell ref="B836:W836"/>
    <mergeCell ref="X837:X852"/>
    <mergeCell ref="B921:B922"/>
    <mergeCell ref="C921:Q922"/>
    <mergeCell ref="R922:S922"/>
    <mergeCell ref="T922:U922"/>
    <mergeCell ref="V922:W922"/>
    <mergeCell ref="X923:X924"/>
    <mergeCell ref="T924:U924"/>
    <mergeCell ref="V924:W924"/>
    <mergeCell ref="B928:W928"/>
    <mergeCell ref="X929:X944"/>
    <mergeCell ref="B1013:B1014"/>
    <mergeCell ref="C1013:Q1014"/>
    <mergeCell ref="R1014:S1014"/>
    <mergeCell ref="T1014:U1014"/>
    <mergeCell ref="V1014:W1014"/>
    <mergeCell ref="X1015:X1016"/>
    <mergeCell ref="T1016:U1016"/>
    <mergeCell ref="V1016:W1016"/>
    <mergeCell ref="B1020:W1020"/>
    <mergeCell ref="X1021:X1036"/>
    <mergeCell ref="B1105:B1106"/>
    <mergeCell ref="C1105:Q1106"/>
    <mergeCell ref="R1106:S1106"/>
    <mergeCell ref="T1106:U1106"/>
    <mergeCell ref="V1106:W1106"/>
    <mergeCell ref="X1107:X1108"/>
    <mergeCell ref="T1108:U1108"/>
    <mergeCell ref="V1108:W1108"/>
    <mergeCell ref="B1112:W1112"/>
    <mergeCell ref="X1113:X1128"/>
    <mergeCell ref="B1197:B1198"/>
    <mergeCell ref="C1197:Q1198"/>
    <mergeCell ref="R1198:S1198"/>
    <mergeCell ref="T1198:U1198"/>
    <mergeCell ref="V1198:W1198"/>
    <mergeCell ref="X1199:X1200"/>
    <mergeCell ref="T1200:U1200"/>
    <mergeCell ref="V1200:W1200"/>
    <mergeCell ref="B1204:W1204"/>
    <mergeCell ref="X1205:X1220"/>
    <mergeCell ref="B1289:B1290"/>
    <mergeCell ref="C1289:Q1290"/>
    <mergeCell ref="R1290:S1290"/>
    <mergeCell ref="T1290:U1290"/>
    <mergeCell ref="V1290:W1290"/>
    <mergeCell ref="X1291:X1292"/>
    <mergeCell ref="T1292:U1292"/>
    <mergeCell ref="V1292:W1292"/>
    <mergeCell ref="B1296:W1296"/>
    <mergeCell ref="X1297:X1312"/>
    <mergeCell ref="B1381:B1382"/>
    <mergeCell ref="C1381:Q1382"/>
    <mergeCell ref="R1382:S1382"/>
    <mergeCell ref="T1382:U1382"/>
    <mergeCell ref="V1382:W1382"/>
    <mergeCell ref="X1383:X1384"/>
    <mergeCell ref="T1384:U1384"/>
    <mergeCell ref="V1384:W1384"/>
    <mergeCell ref="B1388:W1388"/>
    <mergeCell ref="X1389:X1404"/>
    <mergeCell ref="B1473:B1474"/>
    <mergeCell ref="C1473:Q1474"/>
    <mergeCell ref="R1474:S1474"/>
    <mergeCell ref="T1474:U1474"/>
    <mergeCell ref="V1474:W1474"/>
    <mergeCell ref="X1475:X1476"/>
    <mergeCell ref="T1476:U1476"/>
    <mergeCell ref="V1476:W1476"/>
    <mergeCell ref="B1480:W1480"/>
    <mergeCell ref="X1481:X1496"/>
    <mergeCell ref="B1565:B1566"/>
    <mergeCell ref="C1565:Q1566"/>
    <mergeCell ref="R1566:S1566"/>
    <mergeCell ref="T1566:U1566"/>
    <mergeCell ref="V1566:W1566"/>
    <mergeCell ref="X1567:X1568"/>
    <mergeCell ref="T1568:U1568"/>
    <mergeCell ref="V1568:W1568"/>
    <mergeCell ref="B1572:W1572"/>
    <mergeCell ref="X1573:X1588"/>
    <mergeCell ref="B1657:B1658"/>
    <mergeCell ref="C1657:Q1658"/>
    <mergeCell ref="R1658:S1658"/>
    <mergeCell ref="T1658:U1658"/>
    <mergeCell ref="V1658:W1658"/>
    <mergeCell ref="X1659:X1660"/>
    <mergeCell ref="T1660:U1660"/>
    <mergeCell ref="V1660:W1660"/>
    <mergeCell ref="B1664:W1664"/>
    <mergeCell ref="X1665:X1680"/>
    <mergeCell ref="B1749:B1750"/>
    <mergeCell ref="C1749:Q1750"/>
    <mergeCell ref="R1750:S1750"/>
    <mergeCell ref="T1750:U1750"/>
    <mergeCell ref="V1750:W1750"/>
    <mergeCell ref="X1751:X1752"/>
    <mergeCell ref="T1752:U1752"/>
    <mergeCell ref="V1752:W1752"/>
    <mergeCell ref="B1848:W1848"/>
    <mergeCell ref="X1849:X1864"/>
    <mergeCell ref="B1756:W1756"/>
    <mergeCell ref="X1757:X1772"/>
    <mergeCell ref="B1841:B1842"/>
    <mergeCell ref="C1841:Q1842"/>
    <mergeCell ref="R1842:S1842"/>
    <mergeCell ref="T1842:U1842"/>
    <mergeCell ref="V1842:W1842"/>
    <mergeCell ref="X1843:X1844"/>
    <mergeCell ref="T1844:U1844"/>
    <mergeCell ref="V1844:W1844"/>
  </mergeCells>
  <printOptions horizontalCentered="1"/>
  <pageMargins left="0.196527777777778" right="0.196527777777778" top="0.78749999999999998" bottom="0.78749999999999998" header="0.511811023622047" footer="0.511811023622047"/>
  <pageSetup paperSize="8" scale="50" orientation="landscape" horizontalDpi="300" verticalDpi="30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59"/>
  <sheetViews>
    <sheetView showGridLines="0" zoomScale="70" zoomScaleNormal="70" workbookViewId="0">
      <pane xSplit="5" ySplit="7" topLeftCell="F8" activePane="bottomRight" state="frozen"/>
      <selection pane="topRight" activeCell="F1" sqref="F1"/>
      <selection pane="bottomLeft" activeCell="A8" sqref="A8"/>
      <selection pane="bottomRight" sqref="A1:B1"/>
    </sheetView>
  </sheetViews>
  <sheetFormatPr defaultColWidth="8.6640625" defaultRowHeight="14.25" x14ac:dyDescent="0.45"/>
  <cols>
    <col min="1" max="1" width="10.796875" customWidth="1"/>
    <col min="2" max="2" width="45.796875" customWidth="1"/>
    <col min="3" max="4" width="20.796875" customWidth="1"/>
    <col min="5" max="5" width="38.796875" customWidth="1"/>
    <col min="6" max="23" width="20.796875" customWidth="1"/>
    <col min="24" max="24" width="15.796875" customWidth="1"/>
    <col min="25" max="26" width="25.796875" customWidth="1"/>
    <col min="27" max="27" width="15.6640625" customWidth="1"/>
    <col min="28" max="28" width="14" customWidth="1"/>
    <col min="29" max="29" width="13" customWidth="1"/>
    <col min="30" max="200" width="8.86328125" customWidth="1"/>
  </cols>
  <sheetData>
    <row r="1" spans="1:26" ht="15" customHeight="1" x14ac:dyDescent="0.45">
      <c r="A1" s="475" t="s">
        <v>1540</v>
      </c>
      <c r="B1" s="475"/>
      <c r="C1" s="212"/>
      <c r="D1" s="212"/>
      <c r="E1" s="213"/>
      <c r="F1" s="214" t="s">
        <v>1541</v>
      </c>
      <c r="G1" s="213"/>
      <c r="H1" s="215" t="s">
        <v>1542</v>
      </c>
      <c r="I1" s="216"/>
      <c r="J1" s="216"/>
      <c r="K1" s="212"/>
      <c r="L1" s="212"/>
      <c r="M1" s="212"/>
      <c r="N1" s="213"/>
      <c r="O1" s="476" t="s">
        <v>1543</v>
      </c>
      <c r="P1" s="476"/>
      <c r="Q1" s="217"/>
      <c r="R1" s="218"/>
      <c r="S1" s="218"/>
      <c r="T1" s="218"/>
      <c r="U1" s="218"/>
      <c r="V1" s="218"/>
      <c r="W1" s="219"/>
    </row>
    <row r="2" spans="1:26" ht="15" customHeight="1" x14ac:dyDescent="0.45">
      <c r="A2" s="477" t="s">
        <v>1544</v>
      </c>
      <c r="B2" s="477"/>
      <c r="C2" s="477"/>
      <c r="D2" s="220"/>
      <c r="E2" s="221"/>
      <c r="F2" s="478" t="s">
        <v>1495</v>
      </c>
      <c r="G2" s="478"/>
      <c r="H2" s="479" t="s">
        <v>11</v>
      </c>
      <c r="I2" s="479"/>
      <c r="J2" s="479"/>
      <c r="K2" s="479"/>
      <c r="L2" s="479"/>
      <c r="M2" s="479"/>
      <c r="N2" s="479"/>
      <c r="O2" s="480" t="s">
        <v>1545</v>
      </c>
      <c r="P2" s="480"/>
      <c r="Q2" s="222"/>
      <c r="R2" s="223"/>
      <c r="S2" s="223"/>
      <c r="T2" s="223"/>
      <c r="U2" s="223"/>
      <c r="V2" s="223"/>
      <c r="W2" s="224"/>
    </row>
    <row r="3" spans="1:26" ht="15" customHeight="1" x14ac:dyDescent="0.45">
      <c r="A3" s="477"/>
      <c r="B3" s="477"/>
      <c r="C3" s="477"/>
      <c r="D3" s="225"/>
      <c r="E3" s="226"/>
      <c r="F3" s="478"/>
      <c r="G3" s="478"/>
      <c r="H3" s="479"/>
      <c r="I3" s="479"/>
      <c r="J3" s="479"/>
      <c r="K3" s="479"/>
      <c r="L3" s="479"/>
      <c r="M3" s="479"/>
      <c r="N3" s="479"/>
      <c r="O3" s="480"/>
      <c r="P3" s="480"/>
      <c r="Q3" s="227"/>
      <c r="R3" s="228"/>
      <c r="S3" s="228"/>
      <c r="T3" s="228"/>
      <c r="U3" s="228"/>
      <c r="V3" s="228"/>
      <c r="W3" s="229"/>
    </row>
    <row r="4" spans="1:26" ht="15" customHeight="1" x14ac:dyDescent="0.45">
      <c r="A4" s="481" t="s">
        <v>1546</v>
      </c>
      <c r="B4" s="482" t="s">
        <v>15</v>
      </c>
      <c r="C4" s="483" t="s">
        <v>1547</v>
      </c>
      <c r="D4" s="483"/>
      <c r="E4" s="483"/>
      <c r="F4" s="230" t="s">
        <v>8</v>
      </c>
      <c r="G4" s="231"/>
      <c r="H4" s="231"/>
      <c r="I4" s="231"/>
      <c r="J4" s="231"/>
      <c r="K4" s="231"/>
      <c r="L4" s="231"/>
      <c r="M4" s="231"/>
      <c r="N4" s="231"/>
      <c r="O4" s="231"/>
      <c r="P4" s="231"/>
      <c r="Q4" s="231"/>
      <c r="R4" s="231"/>
      <c r="S4" s="231"/>
      <c r="T4" s="231"/>
      <c r="U4" s="231"/>
      <c r="V4" s="231"/>
      <c r="W4" s="232"/>
    </row>
    <row r="5" spans="1:26" ht="15" customHeight="1" x14ac:dyDescent="0.45">
      <c r="A5" s="481"/>
      <c r="B5" s="481"/>
      <c r="C5" s="483"/>
      <c r="D5" s="483"/>
      <c r="E5" s="483"/>
      <c r="F5" s="233" t="s">
        <v>1548</v>
      </c>
      <c r="G5" s="234" t="s">
        <v>1549</v>
      </c>
      <c r="H5" s="234" t="s">
        <v>1550</v>
      </c>
      <c r="I5" s="234" t="s">
        <v>1551</v>
      </c>
      <c r="J5" s="234" t="s">
        <v>1552</v>
      </c>
      <c r="K5" s="234" t="s">
        <v>1553</v>
      </c>
      <c r="L5" s="234" t="s">
        <v>1554</v>
      </c>
      <c r="M5" s="234" t="s">
        <v>1555</v>
      </c>
      <c r="N5" s="234" t="s">
        <v>1556</v>
      </c>
      <c r="O5" s="234" t="s">
        <v>1557</v>
      </c>
      <c r="P5" s="234" t="s">
        <v>1558</v>
      </c>
      <c r="Q5" s="234" t="s">
        <v>1559</v>
      </c>
      <c r="R5" s="234" t="s">
        <v>1560</v>
      </c>
      <c r="S5" s="234" t="s">
        <v>1561</v>
      </c>
      <c r="T5" s="234" t="s">
        <v>1562</v>
      </c>
      <c r="U5" s="234" t="s">
        <v>1563</v>
      </c>
      <c r="V5" s="234" t="s">
        <v>1564</v>
      </c>
      <c r="W5" s="234" t="s">
        <v>1565</v>
      </c>
      <c r="X5" s="235" t="s">
        <v>1566</v>
      </c>
    </row>
    <row r="6" spans="1:26" ht="15" customHeight="1" x14ac:dyDescent="0.45">
      <c r="A6" s="481"/>
      <c r="B6" s="481"/>
      <c r="C6" s="483"/>
      <c r="D6" s="483"/>
      <c r="E6" s="483"/>
      <c r="F6" s="236" t="str">
        <f>IF(REAJUSTE!$B$24="","",TEXT(DAY(REAJUSTE!$B$24),"00")&amp;"-"&amp;TEXT(MONTH(REAJUSTE!$B$24),"00")&amp;"-"&amp;RIGHT(YEAR(REAJUSTE!$B$24),2)&amp;" A "&amp;TEXT(DAY(REAJUSTE!$C$24),"00")&amp;"-"&amp;TEXT(MONTH(REAJUSTE!$C$24),"00")&amp;"-"&amp;RIGHT(YEAR(REAJUSTE!$C$24),2))</f>
        <v>01-10-26 A 31-10-26</v>
      </c>
      <c r="G6" s="237" t="str">
        <f>IF(REAJUSTE!$B$25="","",TEXT(DAY(REAJUSTE!$B$25),"00")&amp;"-"&amp;TEXT(MONTH(REAJUSTE!$B$25),"00")&amp;"-"&amp;RIGHT(YEAR(REAJUSTE!$B$25),2)&amp;" A "&amp;TEXT(DAY(REAJUSTE!$C$25),"00")&amp;"-"&amp;TEXT(MONTH(REAJUSTE!$C$25),"00")&amp;"-"&amp;RIGHT(YEAR(REAJUSTE!$C$25),2))</f>
        <v>01-11-26 A 30-11-26</v>
      </c>
      <c r="H6" s="237" t="str">
        <f>IF(REAJUSTE!$B$26="","",TEXT(DAY(REAJUSTE!$B$26),"00")&amp;"-"&amp;TEXT(MONTH(REAJUSTE!$B$26),"00")&amp;"-"&amp;RIGHT(YEAR(REAJUSTE!$B$26),2)&amp;" A "&amp;TEXT(DAY(REAJUSTE!$C$26),"00")&amp;"-"&amp;TEXT(MONTH(REAJUSTE!$C$26),"00")&amp;"-"&amp;RIGHT(YEAR(REAJUSTE!$C$26),2))</f>
        <v>01-12-26 A 31-12-26</v>
      </c>
      <c r="I6" s="237" t="str">
        <f>IF(REAJUSTE!$B$27="","",TEXT(DAY(REAJUSTE!$B$27),"00")&amp;"-"&amp;TEXT(MONTH(REAJUSTE!$B$27),"00")&amp;"-"&amp;RIGHT(YEAR(REAJUSTE!$B$27),2)&amp;" A "&amp;TEXT(DAY(REAJUSTE!$C$27),"00")&amp;"-"&amp;TEXT(MONTH(REAJUSTE!$C$27),"00")&amp;"-"&amp;RIGHT(YEAR(REAJUSTE!$C$27),2))</f>
        <v>01-01-27 A 31-01-27</v>
      </c>
      <c r="J6" s="237" t="str">
        <f>IF(REAJUSTE!$B$28="","",TEXT(DAY(REAJUSTE!$B$28),"00")&amp;"-"&amp;TEXT(MONTH(REAJUSTE!$B$28),"00")&amp;"-"&amp;RIGHT(YEAR(REAJUSTE!$B$28),2)&amp;" A "&amp;TEXT(DAY(REAJUSTE!$C$28),"00")&amp;"-"&amp;TEXT(MONTH(REAJUSTE!$C$28),"00")&amp;"-"&amp;RIGHT(YEAR(REAJUSTE!$C$28),2))</f>
        <v>01-02-27 A 28-02-27</v>
      </c>
      <c r="K6" s="237" t="str">
        <f>IF(REAJUSTE!$B$29="","",TEXT(DAY(REAJUSTE!$B$29),"00")&amp;"-"&amp;TEXT(MONTH(REAJUSTE!$B$29),"00")&amp;"-"&amp;RIGHT(YEAR(REAJUSTE!$B$29),2)&amp;" A "&amp;TEXT(DAY(REAJUSTE!$C$29),"00")&amp;"-"&amp;TEXT(MONTH(REAJUSTE!$C$29),"00")&amp;"-"&amp;RIGHT(YEAR(REAJUSTE!$C$29),2))</f>
        <v>01-03-27 A 31-03-27</v>
      </c>
      <c r="L6" s="237" t="str">
        <f>IF(REAJUSTE!$B$30="","",TEXT(DAY(REAJUSTE!$B$30),"00")&amp;"-"&amp;TEXT(MONTH(REAJUSTE!$B$30),"00")&amp;"-"&amp;RIGHT(YEAR(REAJUSTE!$B$30),2)&amp;" A "&amp;TEXT(DAY(REAJUSTE!$C$30),"00")&amp;"-"&amp;TEXT(MONTH(REAJUSTE!$C$30),"00")&amp;"-"&amp;RIGHT(YEAR(REAJUSTE!$C$30),2))</f>
        <v>01-04-27 A 30-04-27</v>
      </c>
      <c r="M6" s="237" t="str">
        <f>IF(REAJUSTE!$B$31="","",TEXT(DAY(REAJUSTE!$B$31),"00")&amp;"-"&amp;TEXT(MONTH(REAJUSTE!$B$31),"00")&amp;"-"&amp;RIGHT(YEAR(REAJUSTE!$B$31),2)&amp;" A "&amp;TEXT(DAY(REAJUSTE!$C$31),"00")&amp;"-"&amp;TEXT(MONTH(REAJUSTE!$C$31),"00")&amp;"-"&amp;RIGHT(YEAR(REAJUSTE!$C$31),2))</f>
        <v>01-05-27 A 31-05-27</v>
      </c>
      <c r="N6" s="237" t="str">
        <f>IF(REAJUSTE!$B$32="","",TEXT(DAY(REAJUSTE!$B$32),"00")&amp;"-"&amp;TEXT(MONTH(REAJUSTE!$B$32),"00")&amp;"-"&amp;RIGHT(YEAR(REAJUSTE!$B$32),2)&amp;" A "&amp;TEXT(DAY(REAJUSTE!$C$32),"00")&amp;"-"&amp;TEXT(MONTH(REAJUSTE!$C$32),"00")&amp;"-"&amp;RIGHT(YEAR(REAJUSTE!$C$32),2))</f>
        <v>01-06-27 A 30-06-27</v>
      </c>
      <c r="O6" s="237" t="str">
        <f>IF(REAJUSTE!$B$33="","",TEXT(DAY(REAJUSTE!$B$33),"00")&amp;"-"&amp;TEXT(MONTH(REAJUSTE!$B$33),"00")&amp;"-"&amp;RIGHT(YEAR(REAJUSTE!$B$33),2)&amp;" A "&amp;TEXT(DAY(REAJUSTE!$C$33),"00")&amp;"-"&amp;TEXT(MONTH(REAJUSTE!$C$33),"00")&amp;"-"&amp;RIGHT(YEAR(REAJUSTE!$C$33),2))</f>
        <v>01-07-27 A 31-07-27</v>
      </c>
      <c r="P6" s="237" t="str">
        <f>IF(REAJUSTE!$B$34="","",TEXT(DAY(REAJUSTE!$B$34),"00")&amp;"-"&amp;TEXT(MONTH(REAJUSTE!$B$34),"00")&amp;"-"&amp;RIGHT(YEAR(REAJUSTE!$B$34),2)&amp;" A "&amp;TEXT(DAY(REAJUSTE!$C$34),"00")&amp;"-"&amp;TEXT(MONTH(REAJUSTE!$C$34),"00")&amp;"-"&amp;RIGHT(YEAR(REAJUSTE!$C$34),2))</f>
        <v>01-08-27 A 31-08-27</v>
      </c>
      <c r="Q6" s="237" t="str">
        <f>IF(REAJUSTE!$B$35="","",TEXT(DAY(REAJUSTE!$B$35),"00")&amp;"-"&amp;TEXT(MONTH(REAJUSTE!$B$35),"00")&amp;"-"&amp;RIGHT(YEAR(REAJUSTE!$B$35),2)&amp;" A "&amp;TEXT(DAY(REAJUSTE!$C$35),"00")&amp;"-"&amp;TEXT(MONTH(REAJUSTE!$C$35),"00")&amp;"-"&amp;RIGHT(YEAR(REAJUSTE!$C$35),2))</f>
        <v>01-09-27 A 30-09-27</v>
      </c>
      <c r="R6" s="237" t="str">
        <f>IF(REAJUSTE!$B$36="","",TEXT(DAY(REAJUSTE!$B$36),"00")&amp;"-"&amp;TEXT(MONTH(REAJUSTE!$B$36),"00")&amp;"-"&amp;RIGHT(YEAR(REAJUSTE!$B$36),2)&amp;" A "&amp;TEXT(DAY(REAJUSTE!$C$36),"00")&amp;"-"&amp;TEXT(MONTH(REAJUSTE!$C$36),"00")&amp;"-"&amp;RIGHT(YEAR(REAJUSTE!$C$36),2))</f>
        <v>01-10-27 A 31-10-27</v>
      </c>
      <c r="S6" s="237" t="str">
        <f>IF(REAJUSTE!$B$37="","",TEXT(DAY(REAJUSTE!$B$37),"00")&amp;"-"&amp;TEXT(MONTH(REAJUSTE!$B$37),"00")&amp;"-"&amp;RIGHT(YEAR(REAJUSTE!$B$37),2)&amp;" A "&amp;TEXT(DAY(REAJUSTE!$C$37),"00")&amp;"-"&amp;TEXT(MONTH(REAJUSTE!$C$37),"00")&amp;"-"&amp;RIGHT(YEAR(REAJUSTE!$C$37),2))</f>
        <v>01-11-27 A 30-11-27</v>
      </c>
      <c r="T6" s="237" t="str">
        <f>IF(REAJUSTE!$B$38="","",TEXT(DAY(REAJUSTE!$B$38),"00")&amp;"-"&amp;TEXT(MONTH(REAJUSTE!$B$38),"00")&amp;"-"&amp;RIGHT(YEAR(REAJUSTE!$B$38),2)&amp;" A "&amp;TEXT(DAY(REAJUSTE!$C$38),"00")&amp;"-"&amp;TEXT(MONTH(REAJUSTE!$C$38),"00")&amp;"-"&amp;RIGHT(YEAR(REAJUSTE!$C$38),2))</f>
        <v>01-12-27 A 31-12-27</v>
      </c>
      <c r="U6" s="237" t="str">
        <f>IF(REAJUSTE!$B$39="","",TEXT(DAY(REAJUSTE!$B$39),"00")&amp;"-"&amp;TEXT(MONTH(REAJUSTE!$B$39),"00")&amp;"-"&amp;RIGHT(YEAR(REAJUSTE!$B$39),2)&amp;" A "&amp;TEXT(DAY(REAJUSTE!$C$39),"00")&amp;"-"&amp;TEXT(MONTH(REAJUSTE!$C$39),"00")&amp;"-"&amp;RIGHT(YEAR(REAJUSTE!$C$39),2))</f>
        <v>01-01-28 A 31-01-28</v>
      </c>
      <c r="V6" s="237" t="str">
        <f>IF(REAJUSTE!$B$40="","",TEXT(DAY(REAJUSTE!$B$40),"00")&amp;"-"&amp;TEXT(MONTH(REAJUSTE!$B$40),"00")&amp;"-"&amp;RIGHT(YEAR(REAJUSTE!$B$40),2)&amp;" A "&amp;TEXT(DAY(REAJUSTE!$C$40),"00")&amp;"-"&amp;TEXT(MONTH(REAJUSTE!$C$40),"00")&amp;"-"&amp;RIGHT(YEAR(REAJUSTE!$C$40),2))</f>
        <v>01-02-28 A 29-02-28</v>
      </c>
      <c r="W6" s="237" t="str">
        <f>IF(REAJUSTE!$B$41="","",TEXT(DAY(REAJUSTE!$B$41),"00")&amp;"-"&amp;TEXT(MONTH(REAJUSTE!$B$41),"00")&amp;"-"&amp;RIGHT(YEAR(REAJUSTE!$B$41),2)&amp;" A "&amp;TEXT(DAY(REAJUSTE!$C$41),"00")&amp;"-"&amp;TEXT(MONTH(REAJUSTE!$C$41),"00")&amp;"-"&amp;RIGHT(YEAR(REAJUSTE!$C$41),2))</f>
        <v>01-03-28 A 23-03-28</v>
      </c>
      <c r="X6" s="238">
        <f>COUNTIF(F6:W6,"?*")</f>
        <v>18</v>
      </c>
      <c r="Y6" s="239"/>
    </row>
    <row r="7" spans="1:26" ht="15" customHeight="1" x14ac:dyDescent="0.45">
      <c r="A7" s="481"/>
      <c r="B7" s="482"/>
      <c r="C7" s="483"/>
      <c r="D7" s="483"/>
      <c r="E7" s="483"/>
      <c r="F7" s="240">
        <f>IF(REAJUSTE!$B$24="","",REAJUSTE!$D$24)</f>
        <v>31</v>
      </c>
      <c r="G7" s="241">
        <f>IF(REAJUSTE!$B$25="","",REAJUSTE!$D$25)</f>
        <v>30</v>
      </c>
      <c r="H7" s="241">
        <f>IF(REAJUSTE!$B$26="","",REAJUSTE!$D$26)</f>
        <v>31</v>
      </c>
      <c r="I7" s="241">
        <f>IF(REAJUSTE!$B$27="","",REAJUSTE!$D$27)</f>
        <v>31</v>
      </c>
      <c r="J7" s="241">
        <f>IF(REAJUSTE!$B$28="","",REAJUSTE!$D$28)</f>
        <v>28</v>
      </c>
      <c r="K7" s="241">
        <f>IF(REAJUSTE!$B$29="","",REAJUSTE!$D$29)</f>
        <v>31</v>
      </c>
      <c r="L7" s="241">
        <f>IF(REAJUSTE!$B$30="","",REAJUSTE!$D$30)</f>
        <v>30</v>
      </c>
      <c r="M7" s="241">
        <f>IF(REAJUSTE!$B$31="","",REAJUSTE!$D$31)</f>
        <v>31</v>
      </c>
      <c r="N7" s="241">
        <f>IF(REAJUSTE!$B$32="","",REAJUSTE!$D$32)</f>
        <v>30</v>
      </c>
      <c r="O7" s="241">
        <f>IF(REAJUSTE!$B$33="","",REAJUSTE!$D$33)</f>
        <v>31</v>
      </c>
      <c r="P7" s="241">
        <f>IF(REAJUSTE!$B$34="","",REAJUSTE!$D$34)</f>
        <v>31</v>
      </c>
      <c r="Q7" s="241">
        <f>IF(REAJUSTE!$B$35="","",REAJUSTE!$D$35)</f>
        <v>30</v>
      </c>
      <c r="R7" s="241">
        <f>IF(REAJUSTE!$B$36="","",REAJUSTE!$D$36)</f>
        <v>31</v>
      </c>
      <c r="S7" s="241">
        <f>IF(REAJUSTE!$B$37="","",REAJUSTE!$D$37)</f>
        <v>30</v>
      </c>
      <c r="T7" s="241">
        <f>IF(REAJUSTE!$B$38="","",REAJUSTE!$D$38)</f>
        <v>31</v>
      </c>
      <c r="U7" s="241">
        <f>IF(REAJUSTE!$B$39="","",REAJUSTE!$D$39)</f>
        <v>31</v>
      </c>
      <c r="V7" s="241">
        <f>IF(REAJUSTE!$B$40="","",REAJUSTE!$D$40)</f>
        <v>29</v>
      </c>
      <c r="W7" s="241">
        <f>IF(REAJUSTE!$B$41="","",REAJUSTE!$D$41)</f>
        <v>23</v>
      </c>
      <c r="X7" s="242">
        <f>SUM(F7:W7)</f>
        <v>540</v>
      </c>
      <c r="Y7" s="243" t="s">
        <v>1567</v>
      </c>
      <c r="Z7" s="244"/>
    </row>
    <row r="8" spans="1:26" ht="7.5" customHeight="1" x14ac:dyDescent="0.45">
      <c r="A8" s="245"/>
      <c r="B8" s="246"/>
      <c r="C8" s="247"/>
      <c r="D8" s="247"/>
      <c r="E8" s="248"/>
      <c r="F8" s="249"/>
      <c r="G8" s="249"/>
      <c r="H8" s="249"/>
      <c r="I8" s="249"/>
      <c r="J8" s="249"/>
      <c r="K8" s="249"/>
      <c r="L8" s="249"/>
      <c r="M8" s="249"/>
      <c r="N8" s="249"/>
      <c r="O8" s="249"/>
      <c r="P8" s="249"/>
      <c r="Q8" s="249"/>
      <c r="R8" s="249"/>
      <c r="S8" s="249"/>
      <c r="T8" s="249"/>
      <c r="U8" s="249"/>
      <c r="V8" s="249"/>
      <c r="W8" s="250"/>
    </row>
    <row r="9" spans="1:26" ht="15" customHeight="1" x14ac:dyDescent="0.45">
      <c r="A9" s="471">
        <v>1</v>
      </c>
      <c r="B9" s="472" t="s">
        <v>1568</v>
      </c>
      <c r="C9" s="473">
        <f>SUM(C16:C49)</f>
        <v>15063612.619999999</v>
      </c>
      <c r="D9" s="474">
        <f>C9/$C$128</f>
        <v>0.30200462171596038</v>
      </c>
      <c r="E9" s="251" t="s">
        <v>1569</v>
      </c>
      <c r="F9" s="252">
        <f t="shared" ref="F9:W9" si="0">IF(SUM(F16,F23,F30,F37,F44)&gt;0,SUM(F16,F23,F30,F37,F44),"")</f>
        <v>32705.158888888916</v>
      </c>
      <c r="G9" s="252">
        <f t="shared" si="0"/>
        <v>937387.64388888888</v>
      </c>
      <c r="H9" s="252">
        <f t="shared" si="0"/>
        <v>937387.64388888888</v>
      </c>
      <c r="I9" s="252">
        <f t="shared" si="0"/>
        <v>937387.64388888888</v>
      </c>
      <c r="J9" s="252">
        <f t="shared" si="0"/>
        <v>937387.64388888888</v>
      </c>
      <c r="K9" s="252">
        <f t="shared" si="0"/>
        <v>937387.64388888888</v>
      </c>
      <c r="L9" s="252">
        <f t="shared" si="0"/>
        <v>937387.64388888888</v>
      </c>
      <c r="M9" s="252">
        <f t="shared" si="0"/>
        <v>937387.64388888888</v>
      </c>
      <c r="N9" s="252">
        <f t="shared" si="0"/>
        <v>937387.64388888888</v>
      </c>
      <c r="O9" s="252">
        <f t="shared" si="0"/>
        <v>937387.64388888888</v>
      </c>
      <c r="P9" s="252">
        <f t="shared" si="0"/>
        <v>937387.64388888888</v>
      </c>
      <c r="Q9" s="252">
        <f t="shared" si="0"/>
        <v>937387.64388888888</v>
      </c>
      <c r="R9" s="252">
        <f t="shared" si="0"/>
        <v>937387.64388888888</v>
      </c>
      <c r="S9" s="252">
        <f t="shared" si="0"/>
        <v>937387.64388888888</v>
      </c>
      <c r="T9" s="252">
        <f t="shared" si="0"/>
        <v>937387.64388888888</v>
      </c>
      <c r="U9" s="252">
        <f t="shared" si="0"/>
        <v>937387.64388888888</v>
      </c>
      <c r="V9" s="252">
        <f t="shared" si="0"/>
        <v>937387.64388888888</v>
      </c>
      <c r="W9" s="252">
        <f t="shared" si="0"/>
        <v>32705.158888888916</v>
      </c>
      <c r="Y9" s="253">
        <f>SUM(F9:W9)</f>
        <v>15063612.620000001</v>
      </c>
      <c r="Z9" s="253">
        <f>Y9-C9</f>
        <v>0</v>
      </c>
    </row>
    <row r="10" spans="1:26" ht="15" customHeight="1" x14ac:dyDescent="0.45">
      <c r="A10" s="471"/>
      <c r="B10" s="471"/>
      <c r="C10" s="473"/>
      <c r="D10" s="474"/>
      <c r="E10" s="254" t="s">
        <v>1570</v>
      </c>
      <c r="F10" s="255" t="str">
        <f t="shared" ref="F10:W10" si="1">IF(SUM(F17,F24,F31,F38,F45)&gt;0,SUM(F17,F24,F31,F38,F45),"")</f>
        <v/>
      </c>
      <c r="G10" s="256" t="str">
        <f t="shared" si="1"/>
        <v/>
      </c>
      <c r="H10" s="256" t="str">
        <f t="shared" si="1"/>
        <v/>
      </c>
      <c r="I10" s="256" t="str">
        <f t="shared" si="1"/>
        <v/>
      </c>
      <c r="J10" s="256" t="str">
        <f t="shared" si="1"/>
        <v/>
      </c>
      <c r="K10" s="256" t="str">
        <f t="shared" si="1"/>
        <v/>
      </c>
      <c r="L10" s="256" t="str">
        <f t="shared" si="1"/>
        <v/>
      </c>
      <c r="M10" s="256" t="str">
        <f t="shared" si="1"/>
        <v/>
      </c>
      <c r="N10" s="256" t="str">
        <f t="shared" si="1"/>
        <v/>
      </c>
      <c r="O10" s="256" t="str">
        <f t="shared" si="1"/>
        <v/>
      </c>
      <c r="P10" s="256" t="str">
        <f t="shared" si="1"/>
        <v/>
      </c>
      <c r="Q10" s="256" t="str">
        <f t="shared" si="1"/>
        <v/>
      </c>
      <c r="R10" s="256" t="str">
        <f t="shared" si="1"/>
        <v/>
      </c>
      <c r="S10" s="256" t="str">
        <f t="shared" si="1"/>
        <v/>
      </c>
      <c r="T10" s="256" t="str">
        <f t="shared" si="1"/>
        <v/>
      </c>
      <c r="U10" s="256" t="str">
        <f t="shared" si="1"/>
        <v/>
      </c>
      <c r="V10" s="256" t="str">
        <f t="shared" si="1"/>
        <v/>
      </c>
      <c r="W10" s="256" t="str">
        <f t="shared" si="1"/>
        <v/>
      </c>
      <c r="Y10" s="257">
        <f>SUM(F10:W10)</f>
        <v>0</v>
      </c>
      <c r="Z10" s="257">
        <f>Y10-C9</f>
        <v>-15063612.619999999</v>
      </c>
    </row>
    <row r="11" spans="1:26" ht="9.75" customHeight="1" x14ac:dyDescent="0.45">
      <c r="A11" s="471"/>
      <c r="B11" s="471"/>
      <c r="C11" s="473"/>
      <c r="D11" s="474"/>
      <c r="E11" s="258"/>
      <c r="F11" s="259"/>
      <c r="G11" s="259"/>
      <c r="H11" s="259"/>
      <c r="I11" s="259"/>
      <c r="J11" s="259"/>
      <c r="K11" s="259"/>
      <c r="L11" s="259"/>
      <c r="M11" s="259"/>
      <c r="N11" s="259"/>
      <c r="O11" s="259"/>
      <c r="P11" s="259"/>
      <c r="Q11" s="259"/>
      <c r="R11" s="259"/>
      <c r="S11" s="259"/>
      <c r="T11" s="259"/>
      <c r="U11" s="259"/>
      <c r="V11" s="259"/>
      <c r="W11" s="259"/>
    </row>
    <row r="12" spans="1:26" ht="9.75" customHeight="1" x14ac:dyDescent="0.45">
      <c r="A12" s="471"/>
      <c r="B12" s="471"/>
      <c r="C12" s="473"/>
      <c r="D12" s="474"/>
      <c r="E12" s="258"/>
      <c r="F12" s="259"/>
      <c r="G12" s="259"/>
      <c r="H12" s="259"/>
      <c r="I12" s="259"/>
      <c r="J12" s="259"/>
      <c r="K12" s="259"/>
      <c r="L12" s="259"/>
      <c r="M12" s="259"/>
      <c r="N12" s="259"/>
      <c r="O12" s="259"/>
      <c r="P12" s="259"/>
      <c r="Q12" s="259"/>
      <c r="R12" s="259"/>
      <c r="S12" s="259"/>
      <c r="T12" s="259"/>
      <c r="U12" s="259"/>
      <c r="V12" s="259"/>
      <c r="W12" s="259"/>
    </row>
    <row r="13" spans="1:26" ht="15" customHeight="1" x14ac:dyDescent="0.45">
      <c r="A13" s="471"/>
      <c r="B13" s="471"/>
      <c r="C13" s="473"/>
      <c r="D13" s="474"/>
      <c r="E13" s="260" t="s">
        <v>1571</v>
      </c>
      <c r="F13" s="261">
        <f t="shared" ref="F13:W13" si="2">IFERROR(F9/$C9,0)</f>
        <v>2.1711364805986968E-3</v>
      </c>
      <c r="G13" s="261">
        <f t="shared" si="2"/>
        <v>6.2228607939925164E-2</v>
      </c>
      <c r="H13" s="261">
        <f t="shared" si="2"/>
        <v>6.2228607939925164E-2</v>
      </c>
      <c r="I13" s="261">
        <f t="shared" si="2"/>
        <v>6.2228607939925164E-2</v>
      </c>
      <c r="J13" s="261">
        <f t="shared" si="2"/>
        <v>6.2228607939925164E-2</v>
      </c>
      <c r="K13" s="261">
        <f t="shared" si="2"/>
        <v>6.2228607939925164E-2</v>
      </c>
      <c r="L13" s="261">
        <f t="shared" si="2"/>
        <v>6.2228607939925164E-2</v>
      </c>
      <c r="M13" s="261">
        <f t="shared" si="2"/>
        <v>6.2228607939925164E-2</v>
      </c>
      <c r="N13" s="261">
        <f t="shared" si="2"/>
        <v>6.2228607939925164E-2</v>
      </c>
      <c r="O13" s="261">
        <f t="shared" si="2"/>
        <v>6.2228607939925164E-2</v>
      </c>
      <c r="P13" s="261">
        <f t="shared" si="2"/>
        <v>6.2228607939925164E-2</v>
      </c>
      <c r="Q13" s="261">
        <f t="shared" si="2"/>
        <v>6.2228607939925164E-2</v>
      </c>
      <c r="R13" s="261">
        <f t="shared" si="2"/>
        <v>6.2228607939925164E-2</v>
      </c>
      <c r="S13" s="261">
        <f t="shared" si="2"/>
        <v>6.2228607939925164E-2</v>
      </c>
      <c r="T13" s="261">
        <f t="shared" si="2"/>
        <v>6.2228607939925164E-2</v>
      </c>
      <c r="U13" s="261">
        <f t="shared" si="2"/>
        <v>6.2228607939925164E-2</v>
      </c>
      <c r="V13" s="261">
        <f t="shared" si="2"/>
        <v>6.2228607939925164E-2</v>
      </c>
      <c r="W13" s="261">
        <f t="shared" si="2"/>
        <v>2.1711364805986968E-3</v>
      </c>
      <c r="Y13" s="262">
        <f>SUM(F13:W13)</f>
        <v>0.99999999999999989</v>
      </c>
      <c r="Z13" s="262">
        <f>Y13-C13</f>
        <v>0.99999999999999989</v>
      </c>
    </row>
    <row r="14" spans="1:26" ht="15" customHeight="1" x14ac:dyDescent="0.45">
      <c r="A14" s="471"/>
      <c r="B14" s="471"/>
      <c r="C14" s="473"/>
      <c r="D14" s="474"/>
      <c r="E14" s="263" t="s">
        <v>1572</v>
      </c>
      <c r="F14" s="264">
        <f t="shared" ref="F14:W14" si="3">IFERROR(F10/$C9,0)</f>
        <v>0</v>
      </c>
      <c r="G14" s="264">
        <f t="shared" si="3"/>
        <v>0</v>
      </c>
      <c r="H14" s="264">
        <f t="shared" si="3"/>
        <v>0</v>
      </c>
      <c r="I14" s="264">
        <f t="shared" si="3"/>
        <v>0</v>
      </c>
      <c r="J14" s="264">
        <f t="shared" si="3"/>
        <v>0</v>
      </c>
      <c r="K14" s="264">
        <f t="shared" si="3"/>
        <v>0</v>
      </c>
      <c r="L14" s="264">
        <f t="shared" si="3"/>
        <v>0</v>
      </c>
      <c r="M14" s="264">
        <f t="shared" si="3"/>
        <v>0</v>
      </c>
      <c r="N14" s="264">
        <f t="shared" si="3"/>
        <v>0</v>
      </c>
      <c r="O14" s="264">
        <f t="shared" si="3"/>
        <v>0</v>
      </c>
      <c r="P14" s="264">
        <f t="shared" si="3"/>
        <v>0</v>
      </c>
      <c r="Q14" s="264">
        <f t="shared" si="3"/>
        <v>0</v>
      </c>
      <c r="R14" s="264">
        <f t="shared" si="3"/>
        <v>0</v>
      </c>
      <c r="S14" s="264">
        <f t="shared" si="3"/>
        <v>0</v>
      </c>
      <c r="T14" s="264">
        <f t="shared" si="3"/>
        <v>0</v>
      </c>
      <c r="U14" s="264">
        <f t="shared" si="3"/>
        <v>0</v>
      </c>
      <c r="V14" s="264">
        <f t="shared" si="3"/>
        <v>0</v>
      </c>
      <c r="W14" s="264">
        <f t="shared" si="3"/>
        <v>0</v>
      </c>
      <c r="Y14" s="265">
        <f>SUM(F14:W14)</f>
        <v>0</v>
      </c>
      <c r="Z14" s="265">
        <f>Y14-C13</f>
        <v>0</v>
      </c>
    </row>
    <row r="15" spans="1:26" ht="7.5" customHeight="1" x14ac:dyDescent="0.45">
      <c r="A15" s="266"/>
      <c r="B15" s="267"/>
      <c r="C15" s="268"/>
      <c r="D15" s="269"/>
      <c r="E15" s="270"/>
      <c r="F15" s="271"/>
      <c r="G15" s="271"/>
      <c r="H15" s="271"/>
      <c r="I15" s="271"/>
      <c r="J15" s="271"/>
      <c r="K15" s="271"/>
      <c r="L15" s="271"/>
      <c r="M15" s="271"/>
      <c r="N15" s="271"/>
      <c r="O15" s="271"/>
      <c r="P15" s="271"/>
      <c r="Q15" s="271"/>
      <c r="R15" s="271"/>
      <c r="S15" s="272"/>
      <c r="T15" s="271"/>
      <c r="U15" s="271"/>
      <c r="V15" s="271"/>
      <c r="W15" s="271"/>
    </row>
    <row r="16" spans="1:26" ht="15" customHeight="1" x14ac:dyDescent="0.45">
      <c r="A16" s="467" t="s">
        <v>34</v>
      </c>
      <c r="B16" s="468" t="s">
        <v>1573</v>
      </c>
      <c r="C16" s="469">
        <f>IFERROR(SUMIFS('BM MORRO DA CRUZ - VERTICAL'!$U$6:$U$546,'BM MORRO DA CRUZ - VERTICAL'!$B$6:$B$546,$A16),0)</f>
        <v>588692.86</v>
      </c>
      <c r="D16" s="470">
        <f>C16/$C$128</f>
        <v>1.1802478527304748E-2</v>
      </c>
      <c r="E16" s="251" t="s">
        <v>1569</v>
      </c>
      <c r="F16" s="253">
        <f t="shared" ref="F16:W16" si="4">IF(F20*$C16&gt;0,F20*$C16,"")</f>
        <v>32705.158888888916</v>
      </c>
      <c r="G16" s="253">
        <f t="shared" si="4"/>
        <v>32705.158888888916</v>
      </c>
      <c r="H16" s="253">
        <f t="shared" si="4"/>
        <v>32705.158888888916</v>
      </c>
      <c r="I16" s="253">
        <f t="shared" si="4"/>
        <v>32705.158888888916</v>
      </c>
      <c r="J16" s="253">
        <f t="shared" si="4"/>
        <v>32705.158888888916</v>
      </c>
      <c r="K16" s="253">
        <f t="shared" si="4"/>
        <v>32705.158888888916</v>
      </c>
      <c r="L16" s="253">
        <f t="shared" si="4"/>
        <v>32705.158888888916</v>
      </c>
      <c r="M16" s="253">
        <f t="shared" si="4"/>
        <v>32705.158888888916</v>
      </c>
      <c r="N16" s="253">
        <f t="shared" si="4"/>
        <v>32705.158888888916</v>
      </c>
      <c r="O16" s="253">
        <f t="shared" si="4"/>
        <v>32705.158888888916</v>
      </c>
      <c r="P16" s="253">
        <f t="shared" si="4"/>
        <v>32705.158888888916</v>
      </c>
      <c r="Q16" s="253">
        <f t="shared" si="4"/>
        <v>32705.158888888916</v>
      </c>
      <c r="R16" s="253">
        <f t="shared" si="4"/>
        <v>32705.158888888916</v>
      </c>
      <c r="S16" s="253">
        <f t="shared" si="4"/>
        <v>32705.158888888916</v>
      </c>
      <c r="T16" s="253">
        <f t="shared" si="4"/>
        <v>32705.158888888916</v>
      </c>
      <c r="U16" s="253">
        <f t="shared" si="4"/>
        <v>32705.158888888916</v>
      </c>
      <c r="V16" s="253">
        <f t="shared" si="4"/>
        <v>32705.158888888916</v>
      </c>
      <c r="W16" s="253">
        <f t="shared" si="4"/>
        <v>32705.158888888916</v>
      </c>
      <c r="Y16" s="253">
        <f>SUM(F16:W16)</f>
        <v>588692.86000000034</v>
      </c>
      <c r="Z16" s="253">
        <f>Y16-C16</f>
        <v>0</v>
      </c>
    </row>
    <row r="17" spans="1:26" ht="15" customHeight="1" x14ac:dyDescent="0.45">
      <c r="A17" s="467"/>
      <c r="B17" s="467"/>
      <c r="C17" s="469"/>
      <c r="D17" s="470"/>
      <c r="E17" s="254" t="s">
        <v>1570</v>
      </c>
      <c r="F17" s="273" t="str">
        <f>IF(SUMIFS('BM MORRO DA CRUZ - VERTICAL'!$W$6:$W$546,'BM MORRO DA CRUZ - VERTICAL'!$B$6:$B$546,$A16)&gt;0,SUMIFS('BM MORRO DA CRUZ - VERTICAL'!$W$6:$W$546,'BM MORRO DA CRUZ - VERTICAL'!$B$6:$B$546,$A16),"")</f>
        <v/>
      </c>
      <c r="G17" s="273" t="str">
        <f>IF(SUMIFS('BM MORRO DA CRUZ - VERTICAL'!$Y$6:$Y$546,'BM MORRO DA CRUZ - VERTICAL'!$B$6:$B$546,$A16)&gt;0,SUMIFS('BM MORRO DA CRUZ - VERTICAL'!$Y$6:$Y$546,'BM MORRO DA CRUZ - VERTICAL'!$B$6:$B$546,$A16),"")</f>
        <v/>
      </c>
      <c r="H17" s="273" t="str">
        <f>IF(SUMIFS('BM MORRO DA CRUZ - VERTICAL'!$AA$6:$AA$546,'BM MORRO DA CRUZ - VERTICAL'!$B$6:$B$546,$A16)&gt;0,SUMIFS('BM MORRO DA CRUZ - VERTICAL'!$AA$6:$AA$546,'BM MORRO DA CRUZ - VERTICAL'!$B$6:$B$546,$A16),"")</f>
        <v/>
      </c>
      <c r="I17" s="273" t="str">
        <f>IF(SUMIFS('BM MORRO DA CRUZ - VERTICAL'!$AC$6:$AC$546,'BM MORRO DA CRUZ - VERTICAL'!$B$6:$B$546,$A16)&gt;0,SUMIFS('BM MORRO DA CRUZ - VERTICAL'!$AC$6:$AC$546,'BM MORRO DA CRUZ - VERTICAL'!$B$6:$B$546,$A16),"")</f>
        <v/>
      </c>
      <c r="J17" s="273" t="str">
        <f>IF(SUMIFS('BM MORRO DA CRUZ - VERTICAL'!$AE$6:$AE$546,'BM MORRO DA CRUZ - VERTICAL'!$B$6:$B$546,$A16)&gt;0,SUMIFS('BM MORRO DA CRUZ - VERTICAL'!$AE$6:$AE$546,'BM MORRO DA CRUZ - VERTICAL'!$B$6:$B$546,$A16),"")</f>
        <v/>
      </c>
      <c r="K17" s="273" t="str">
        <f>IF(SUMIFS('BM MORRO DA CRUZ - VERTICAL'!$AG$6:$AG$546,'BM MORRO DA CRUZ - VERTICAL'!$B$6:$B$546,$A16)&gt;0,SUMIFS('BM MORRO DA CRUZ - VERTICAL'!$AG$6:$AG$546,'BM MORRO DA CRUZ - VERTICAL'!$B$6:$B$546,$A16),"")</f>
        <v/>
      </c>
      <c r="L17" s="273" t="str">
        <f>IF(SUMIFS('BM MORRO DA CRUZ - VERTICAL'!$AI$6:$AI$546,'BM MORRO DA CRUZ - VERTICAL'!$B$6:$B$546,$A16)&gt;0,SUMIFS('BM MORRO DA CRUZ - VERTICAL'!$AI$6:$AI$546,'BM MORRO DA CRUZ - VERTICAL'!$B$6:$B$546,$A16),"")</f>
        <v/>
      </c>
      <c r="M17" s="273" t="str">
        <f>IF(SUMIFS('BM MORRO DA CRUZ - VERTICAL'!$AK$6:$AK$546,'BM MORRO DA CRUZ - VERTICAL'!$B$6:$B$546,$A16)&gt;0,SUMIFS('BM MORRO DA CRUZ - VERTICAL'!$AK$6:$AK$546,'BM MORRO DA CRUZ - VERTICAL'!$B$6:$B$546,$A16),"")</f>
        <v/>
      </c>
      <c r="N17" s="273" t="str">
        <f>IF(SUMIFS('BM MORRO DA CRUZ - VERTICAL'!$AM$6:$AM$546,'BM MORRO DA CRUZ - VERTICAL'!$B$6:$B$546,$A16)&gt;0,SUMIFS('BM MORRO DA CRUZ - VERTICAL'!$AM$6:$AM$546,'BM MORRO DA CRUZ - VERTICAL'!$B$6:$B$546,$A16),"")</f>
        <v/>
      </c>
      <c r="O17" s="273" t="str">
        <f>IF(SUMIFS('BM MORRO DA CRUZ - VERTICAL'!$AO$6:$AO$546,'BM MORRO DA CRUZ - VERTICAL'!$B$6:$B$546,$A16)&gt;0,SUMIFS('BM MORRO DA CRUZ - VERTICAL'!$AO$6:$AO$546,'BM MORRO DA CRUZ - VERTICAL'!$B$6:$B$546,$A16),"")</f>
        <v/>
      </c>
      <c r="P17" s="273" t="str">
        <f>IF(SUMIFS('BM MORRO DA CRUZ - VERTICAL'!$AQ$6:$AQ$546,'BM MORRO DA CRUZ - VERTICAL'!$B$6:$B$546,$A16)&gt;0,SUMIFS('BM MORRO DA CRUZ - VERTICAL'!$AQ$6:$AQ$546,'BM MORRO DA CRUZ - VERTICAL'!$B$6:$B$546,$A16),"")</f>
        <v/>
      </c>
      <c r="Q17" s="273" t="str">
        <f>IF(SUMIFS('BM MORRO DA CRUZ - VERTICAL'!$AS$6:$AS$546,'BM MORRO DA CRUZ - VERTICAL'!$B$6:$B$546,$A16)&gt;0,SUMIFS('BM MORRO DA CRUZ - VERTICAL'!$AS$6:$AS$546,'BM MORRO DA CRUZ - VERTICAL'!$B$6:$B$546,$A16),"")</f>
        <v/>
      </c>
      <c r="R17" s="273" t="str">
        <f>IF(SUMIFS('BM MORRO DA CRUZ - VERTICAL'!$AU$6:$AU$546,'BM MORRO DA CRUZ - VERTICAL'!$B$6:$B$546,$A16)&gt;0,SUMIFS('BM MORRO DA CRUZ - VERTICAL'!$AU$6:$AU$546,'BM MORRO DA CRUZ - VERTICAL'!$B$6:$B$546,$A16),"")</f>
        <v/>
      </c>
      <c r="S17" s="273" t="str">
        <f>IF(SUMIFS('BM MORRO DA CRUZ - VERTICAL'!$AW$6:$AW$546,'BM MORRO DA CRUZ - VERTICAL'!$B$6:$B$546,$A16)&gt;0,SUMIFS('BM MORRO DA CRUZ - VERTICAL'!$AW$6:$AW$546,'BM MORRO DA CRUZ - VERTICAL'!$B$6:$B$546,$A16),"")</f>
        <v/>
      </c>
      <c r="T17" s="273" t="str">
        <f>IF(SUMIFS('BM MORRO DA CRUZ - VERTICAL'!$AY$6:$AY$546,'BM MORRO DA CRUZ - VERTICAL'!$B$6:$B$546,$A16)&gt;0,SUMIFS('BM MORRO DA CRUZ - VERTICAL'!$AY$6:$AY$546,'BM MORRO DA CRUZ - VERTICAL'!$B$6:$B$546,$A16),"")</f>
        <v/>
      </c>
      <c r="U17" s="273" t="str">
        <f>IF(SUMIFS('BM MORRO DA CRUZ - VERTICAL'!$BA$6:$BA$546,'BM MORRO DA CRUZ - VERTICAL'!$B$6:$B$546,$A16)&gt;0,SUMIFS('BM MORRO DA CRUZ - VERTICAL'!$BA$6:$BA$546,'BM MORRO DA CRUZ - VERTICAL'!$B$6:$B$546,$A16),"")</f>
        <v/>
      </c>
      <c r="V17" s="273" t="str">
        <f>IF(SUMIFS('BM MORRO DA CRUZ - VERTICAL'!$BC$6:$BC$546,'BM MORRO DA CRUZ - VERTICAL'!$B$6:$B$546,$A16)&gt;0,SUMIFS('BM MORRO DA CRUZ - VERTICAL'!$BC$6:$BC$546,'BM MORRO DA CRUZ - VERTICAL'!$B$6:$B$546,$A16),"")</f>
        <v/>
      </c>
      <c r="W17" s="273" t="str">
        <f>IF(SUMIFS('BM MORRO DA CRUZ - VERTICAL'!$BE$6:$BE$546,'BM MORRO DA CRUZ - VERTICAL'!$B$6:$B$546,$A16)&gt;0,SUMIFS('BM MORRO DA CRUZ - VERTICAL'!$BE$6:$BE$546,'BM MORRO DA CRUZ - VERTICAL'!$B$6:$B$546,$A16),"")</f>
        <v/>
      </c>
      <c r="Y17" s="257">
        <f>SUM(F17:W17)</f>
        <v>0</v>
      </c>
      <c r="Z17" s="257">
        <f>Y17-C16</f>
        <v>-588692.86</v>
      </c>
    </row>
    <row r="18" spans="1:26" ht="9.75" customHeight="1" x14ac:dyDescent="0.45">
      <c r="A18" s="467"/>
      <c r="B18" s="467"/>
      <c r="C18" s="469"/>
      <c r="D18" s="470"/>
      <c r="E18" s="258"/>
      <c r="F18" s="274"/>
      <c r="G18" s="274"/>
      <c r="H18" s="274"/>
      <c r="I18" s="274"/>
      <c r="J18" s="274"/>
      <c r="K18" s="274"/>
      <c r="L18" s="274"/>
      <c r="M18" s="274"/>
      <c r="N18" s="274"/>
      <c r="O18" s="274"/>
      <c r="P18" s="274"/>
      <c r="Q18" s="274"/>
      <c r="R18" s="274"/>
      <c r="S18" s="274"/>
      <c r="T18" s="274"/>
      <c r="U18" s="274"/>
      <c r="V18" s="274"/>
      <c r="W18" s="274"/>
      <c r="Y18" s="275"/>
      <c r="Z18" s="275"/>
    </row>
    <row r="19" spans="1:26" ht="9.75" customHeight="1" x14ac:dyDescent="0.45">
      <c r="A19" s="467"/>
      <c r="B19" s="467"/>
      <c r="C19" s="469"/>
      <c r="D19" s="470"/>
      <c r="E19" s="258"/>
      <c r="F19" s="274"/>
      <c r="G19" s="274"/>
      <c r="H19" s="274"/>
      <c r="I19" s="274"/>
      <c r="J19" s="274"/>
      <c r="K19" s="274"/>
      <c r="L19" s="274"/>
      <c r="M19" s="274"/>
      <c r="N19" s="274"/>
      <c r="O19" s="274"/>
      <c r="P19" s="274"/>
      <c r="Q19" s="274"/>
      <c r="R19" s="274"/>
      <c r="S19" s="274"/>
      <c r="T19" s="274"/>
      <c r="U19" s="274"/>
      <c r="V19" s="274"/>
      <c r="W19" s="274"/>
      <c r="Y19" s="275"/>
      <c r="Z19" s="275"/>
    </row>
    <row r="20" spans="1:26" ht="15" customHeight="1" x14ac:dyDescent="0.45">
      <c r="A20" s="467"/>
      <c r="B20" s="467"/>
      <c r="C20" s="469"/>
      <c r="D20" s="470"/>
      <c r="E20" s="260" t="s">
        <v>1571</v>
      </c>
      <c r="F20" s="276">
        <v>5.5555555555555601E-2</v>
      </c>
      <c r="G20" s="276">
        <v>5.5555555555555601E-2</v>
      </c>
      <c r="H20" s="276">
        <v>5.5555555555555601E-2</v>
      </c>
      <c r="I20" s="276">
        <v>5.5555555555555601E-2</v>
      </c>
      <c r="J20" s="276">
        <v>5.5555555555555601E-2</v>
      </c>
      <c r="K20" s="276">
        <v>5.5555555555555601E-2</v>
      </c>
      <c r="L20" s="276">
        <v>5.5555555555555601E-2</v>
      </c>
      <c r="M20" s="276">
        <v>5.5555555555555601E-2</v>
      </c>
      <c r="N20" s="276">
        <v>5.5555555555555601E-2</v>
      </c>
      <c r="O20" s="276">
        <v>5.5555555555555601E-2</v>
      </c>
      <c r="P20" s="276">
        <v>5.5555555555555601E-2</v>
      </c>
      <c r="Q20" s="276">
        <v>5.5555555555555601E-2</v>
      </c>
      <c r="R20" s="276">
        <v>5.5555555555555601E-2</v>
      </c>
      <c r="S20" s="276">
        <v>5.5555555555555601E-2</v>
      </c>
      <c r="T20" s="276">
        <v>5.5555555555555601E-2</v>
      </c>
      <c r="U20" s="276">
        <v>5.5555555555555601E-2</v>
      </c>
      <c r="V20" s="276">
        <v>5.5555555555555601E-2</v>
      </c>
      <c r="W20" s="276">
        <v>5.5555555555555601E-2</v>
      </c>
      <c r="Y20" s="275"/>
      <c r="Z20" s="275"/>
    </row>
    <row r="21" spans="1:26" ht="15" customHeight="1" x14ac:dyDescent="0.45">
      <c r="A21" s="467"/>
      <c r="B21" s="467"/>
      <c r="C21" s="469"/>
      <c r="D21" s="470"/>
      <c r="E21" s="263" t="s">
        <v>1572</v>
      </c>
      <c r="F21" s="265">
        <f t="shared" ref="F21:W21" si="5">IFERROR(F17/$C16,0)</f>
        <v>0</v>
      </c>
      <c r="G21" s="265">
        <f t="shared" si="5"/>
        <v>0</v>
      </c>
      <c r="H21" s="265">
        <f t="shared" si="5"/>
        <v>0</v>
      </c>
      <c r="I21" s="265">
        <f t="shared" si="5"/>
        <v>0</v>
      </c>
      <c r="J21" s="265">
        <f t="shared" si="5"/>
        <v>0</v>
      </c>
      <c r="K21" s="265">
        <f t="shared" si="5"/>
        <v>0</v>
      </c>
      <c r="L21" s="265">
        <f t="shared" si="5"/>
        <v>0</v>
      </c>
      <c r="M21" s="265">
        <f t="shared" si="5"/>
        <v>0</v>
      </c>
      <c r="N21" s="265">
        <f t="shared" si="5"/>
        <v>0</v>
      </c>
      <c r="O21" s="265">
        <f t="shared" si="5"/>
        <v>0</v>
      </c>
      <c r="P21" s="265">
        <f t="shared" si="5"/>
        <v>0</v>
      </c>
      <c r="Q21" s="265">
        <f t="shared" si="5"/>
        <v>0</v>
      </c>
      <c r="R21" s="265">
        <f t="shared" si="5"/>
        <v>0</v>
      </c>
      <c r="S21" s="265">
        <f t="shared" si="5"/>
        <v>0</v>
      </c>
      <c r="T21" s="265">
        <f t="shared" si="5"/>
        <v>0</v>
      </c>
      <c r="U21" s="265">
        <f t="shared" si="5"/>
        <v>0</v>
      </c>
      <c r="V21" s="265">
        <f t="shared" si="5"/>
        <v>0</v>
      </c>
      <c r="W21" s="265">
        <f t="shared" si="5"/>
        <v>0</v>
      </c>
      <c r="Y21" s="275"/>
      <c r="Z21" s="275"/>
    </row>
    <row r="22" spans="1:26" ht="7.5" customHeight="1" x14ac:dyDescent="0.45">
      <c r="A22" s="266"/>
      <c r="B22" s="267"/>
      <c r="C22" s="268"/>
      <c r="D22" s="269"/>
      <c r="E22" s="270"/>
      <c r="F22" s="271"/>
      <c r="G22" s="271"/>
      <c r="H22" s="271"/>
      <c r="I22" s="271"/>
      <c r="J22" s="271"/>
      <c r="K22" s="271"/>
      <c r="L22" s="271"/>
      <c r="M22" s="271"/>
      <c r="N22" s="271"/>
      <c r="O22" s="271"/>
      <c r="P22" s="271"/>
      <c r="Q22" s="271"/>
      <c r="R22" s="271"/>
      <c r="S22" s="272"/>
      <c r="T22" s="271"/>
      <c r="U22" s="271"/>
      <c r="V22" s="271"/>
      <c r="W22" s="271"/>
    </row>
    <row r="23" spans="1:26" ht="15" customHeight="1" x14ac:dyDescent="0.45">
      <c r="A23" s="467" t="s">
        <v>824</v>
      </c>
      <c r="B23" s="468" t="s">
        <v>1471</v>
      </c>
      <c r="C23" s="469">
        <f>IFERROR(SUMIFS('BM MORRO DA CRUZ - VERTICAL'!$U$6:$U$546,'BM MORRO DA CRUZ - VERTICAL'!$B$6:$B$546,$A23),0)</f>
        <v>1083366.3199999998</v>
      </c>
      <c r="D23" s="470">
        <f>C23/$C$128</f>
        <v>2.1719997978241427E-2</v>
      </c>
      <c r="E23" s="251" t="s">
        <v>1569</v>
      </c>
      <c r="F23" s="253" t="str">
        <f t="shared" ref="F23:W23" si="6">IF(F27*$C23&gt;0,F27*$C23,"")</f>
        <v/>
      </c>
      <c r="G23" s="253">
        <f t="shared" si="6"/>
        <v>67710.39499999999</v>
      </c>
      <c r="H23" s="253">
        <f t="shared" si="6"/>
        <v>67710.39499999999</v>
      </c>
      <c r="I23" s="253">
        <f t="shared" si="6"/>
        <v>67710.39499999999</v>
      </c>
      <c r="J23" s="253">
        <f t="shared" si="6"/>
        <v>67710.39499999999</v>
      </c>
      <c r="K23" s="253">
        <f t="shared" si="6"/>
        <v>67710.39499999999</v>
      </c>
      <c r="L23" s="253">
        <f t="shared" si="6"/>
        <v>67710.39499999999</v>
      </c>
      <c r="M23" s="253">
        <f t="shared" si="6"/>
        <v>67710.39499999999</v>
      </c>
      <c r="N23" s="253">
        <f t="shared" si="6"/>
        <v>67710.39499999999</v>
      </c>
      <c r="O23" s="253">
        <f t="shared" si="6"/>
        <v>67710.39499999999</v>
      </c>
      <c r="P23" s="253">
        <f t="shared" si="6"/>
        <v>67710.39499999999</v>
      </c>
      <c r="Q23" s="253">
        <f t="shared" si="6"/>
        <v>67710.39499999999</v>
      </c>
      <c r="R23" s="253">
        <f t="shared" si="6"/>
        <v>67710.39499999999</v>
      </c>
      <c r="S23" s="253">
        <f t="shared" si="6"/>
        <v>67710.39499999999</v>
      </c>
      <c r="T23" s="253">
        <f t="shared" si="6"/>
        <v>67710.39499999999</v>
      </c>
      <c r="U23" s="253">
        <f t="shared" si="6"/>
        <v>67710.39499999999</v>
      </c>
      <c r="V23" s="253">
        <f t="shared" si="6"/>
        <v>67710.39499999999</v>
      </c>
      <c r="W23" s="253" t="str">
        <f t="shared" si="6"/>
        <v/>
      </c>
      <c r="Y23" s="253">
        <f>SUM(F23:W23)</f>
        <v>1083366.32</v>
      </c>
      <c r="Z23" s="253">
        <f>Y23-C23</f>
        <v>0</v>
      </c>
    </row>
    <row r="24" spans="1:26" ht="15" customHeight="1" x14ac:dyDescent="0.45">
      <c r="A24" s="467"/>
      <c r="B24" s="467"/>
      <c r="C24" s="469"/>
      <c r="D24" s="470"/>
      <c r="E24" s="254" t="s">
        <v>1570</v>
      </c>
      <c r="F24" s="273" t="str">
        <f>IF(SUMIFS('BM MORRO DA CRUZ - VERTICAL'!$W$6:$W$546,'BM MORRO DA CRUZ - VERTICAL'!$B$6:$B$546,$A23)&gt;0,SUMIFS('BM MORRO DA CRUZ - VERTICAL'!$W$6:$W$546,'BM MORRO DA CRUZ - VERTICAL'!$B$6:$B$546,$A23),"")</f>
        <v/>
      </c>
      <c r="G24" s="273" t="str">
        <f>IF(SUMIFS('BM MORRO DA CRUZ - VERTICAL'!$Y$6:$Y$546,'BM MORRO DA CRUZ - VERTICAL'!$B$6:$B$546,$A23)&gt;0,SUMIFS('BM MORRO DA CRUZ - VERTICAL'!$Y$6:$Y$546,'BM MORRO DA CRUZ - VERTICAL'!$B$6:$B$546,$A23),"")</f>
        <v/>
      </c>
      <c r="H24" s="273" t="str">
        <f>IF(SUMIFS('BM MORRO DA CRUZ - VERTICAL'!$AA$6:$AA$546,'BM MORRO DA CRUZ - VERTICAL'!$B$6:$B$546,$A23)&gt;0,SUMIFS('BM MORRO DA CRUZ - VERTICAL'!$AA$6:$AA$546,'BM MORRO DA CRUZ - VERTICAL'!$B$6:$B$546,$A23),"")</f>
        <v/>
      </c>
      <c r="I24" s="273" t="str">
        <f>IF(SUMIFS('BM MORRO DA CRUZ - VERTICAL'!$AC$6:$AC$546,'BM MORRO DA CRUZ - VERTICAL'!$B$6:$B$546,$A23)&gt;0,SUMIFS('BM MORRO DA CRUZ - VERTICAL'!$AC$6:$AC$546,'BM MORRO DA CRUZ - VERTICAL'!$B$6:$B$546,$A23),"")</f>
        <v/>
      </c>
      <c r="J24" s="273" t="str">
        <f>IF(SUMIFS('BM MORRO DA CRUZ - VERTICAL'!$AE$6:$AE$546,'BM MORRO DA CRUZ - VERTICAL'!$B$6:$B$546,$A23)&gt;0,SUMIFS('BM MORRO DA CRUZ - VERTICAL'!$AE$6:$AE$546,'BM MORRO DA CRUZ - VERTICAL'!$B$6:$B$546,$A23),"")</f>
        <v/>
      </c>
      <c r="K24" s="273" t="str">
        <f>IF(SUMIFS('BM MORRO DA CRUZ - VERTICAL'!$AG$6:$AG$546,'BM MORRO DA CRUZ - VERTICAL'!$B$6:$B$546,$A23)&gt;0,SUMIFS('BM MORRO DA CRUZ - VERTICAL'!$AG$6:$AG$546,'BM MORRO DA CRUZ - VERTICAL'!$B$6:$B$546,$A23),"")</f>
        <v/>
      </c>
      <c r="L24" s="273" t="str">
        <f>IF(SUMIFS('BM MORRO DA CRUZ - VERTICAL'!$AI$6:$AI$546,'BM MORRO DA CRUZ - VERTICAL'!$B$6:$B$546,$A23)&gt;0,SUMIFS('BM MORRO DA CRUZ - VERTICAL'!$AI$6:$AI$546,'BM MORRO DA CRUZ - VERTICAL'!$B$6:$B$546,$A23),"")</f>
        <v/>
      </c>
      <c r="M24" s="273" t="str">
        <f>IF(SUMIFS('BM MORRO DA CRUZ - VERTICAL'!$AK$6:$AK$546,'BM MORRO DA CRUZ - VERTICAL'!$B$6:$B$546,$A23)&gt;0,SUMIFS('BM MORRO DA CRUZ - VERTICAL'!$AK$6:$AK$546,'BM MORRO DA CRUZ - VERTICAL'!$B$6:$B$546,$A23),"")</f>
        <v/>
      </c>
      <c r="N24" s="273" t="str">
        <f>IF(SUMIFS('BM MORRO DA CRUZ - VERTICAL'!$AM$6:$AM$546,'BM MORRO DA CRUZ - VERTICAL'!$B$6:$B$546,$A23)&gt;0,SUMIFS('BM MORRO DA CRUZ - VERTICAL'!$AM$6:$AM$546,'BM MORRO DA CRUZ - VERTICAL'!$B$6:$B$546,$A23),"")</f>
        <v/>
      </c>
      <c r="O24" s="273" t="str">
        <f>IF(SUMIFS('BM MORRO DA CRUZ - VERTICAL'!$AO$6:$AO$546,'BM MORRO DA CRUZ - VERTICAL'!$B$6:$B$546,$A23)&gt;0,SUMIFS('BM MORRO DA CRUZ - VERTICAL'!$AO$6:$AO$546,'BM MORRO DA CRUZ - VERTICAL'!$B$6:$B$546,$A23),"")</f>
        <v/>
      </c>
      <c r="P24" s="273" t="str">
        <f>IF(SUMIFS('BM MORRO DA CRUZ - VERTICAL'!$AQ$6:$AQ$546,'BM MORRO DA CRUZ - VERTICAL'!$B$6:$B$546,$A23)&gt;0,SUMIFS('BM MORRO DA CRUZ - VERTICAL'!$AQ$6:$AQ$546,'BM MORRO DA CRUZ - VERTICAL'!$B$6:$B$546,$A23),"")</f>
        <v/>
      </c>
      <c r="Q24" s="273" t="str">
        <f>IF(SUMIFS('BM MORRO DA CRUZ - VERTICAL'!$AS$6:$AS$546,'BM MORRO DA CRUZ - VERTICAL'!$B$6:$B$546,$A23)&gt;0,SUMIFS('BM MORRO DA CRUZ - VERTICAL'!$AS$6:$AS$546,'BM MORRO DA CRUZ - VERTICAL'!$B$6:$B$546,$A23),"")</f>
        <v/>
      </c>
      <c r="R24" s="273" t="str">
        <f>IF(SUMIFS('BM MORRO DA CRUZ - VERTICAL'!$AU$6:$AU$546,'BM MORRO DA CRUZ - VERTICAL'!$B$6:$B$546,$A23)&gt;0,SUMIFS('BM MORRO DA CRUZ - VERTICAL'!$AU$6:$AU$546,'BM MORRO DA CRUZ - VERTICAL'!$B$6:$B$546,$A23),"")</f>
        <v/>
      </c>
      <c r="S24" s="273" t="str">
        <f>IF(SUMIFS('BM MORRO DA CRUZ - VERTICAL'!$AW$6:$AW$546,'BM MORRO DA CRUZ - VERTICAL'!$B$6:$B$546,$A23)&gt;0,SUMIFS('BM MORRO DA CRUZ - VERTICAL'!$AW$6:$AW$546,'BM MORRO DA CRUZ - VERTICAL'!$B$6:$B$546,$A23),"")</f>
        <v/>
      </c>
      <c r="T24" s="273" t="str">
        <f>IF(SUMIFS('BM MORRO DA CRUZ - VERTICAL'!$AY$6:$AY$546,'BM MORRO DA CRUZ - VERTICAL'!$B$6:$B$546,$A23)&gt;0,SUMIFS('BM MORRO DA CRUZ - VERTICAL'!$AY$6:$AY$546,'BM MORRO DA CRUZ - VERTICAL'!$B$6:$B$546,$A23),"")</f>
        <v/>
      </c>
      <c r="U24" s="273" t="str">
        <f>IF(SUMIFS('BM MORRO DA CRUZ - VERTICAL'!$BA$6:$BA$546,'BM MORRO DA CRUZ - VERTICAL'!$B$6:$B$546,$A23)&gt;0,SUMIFS('BM MORRO DA CRUZ - VERTICAL'!$BA$6:$BA$546,'BM MORRO DA CRUZ - VERTICAL'!$B$6:$B$546,$A23),"")</f>
        <v/>
      </c>
      <c r="V24" s="273" t="str">
        <f>IF(SUMIFS('BM MORRO DA CRUZ - VERTICAL'!$BC$6:$BC$546,'BM MORRO DA CRUZ - VERTICAL'!$B$6:$B$546,$A23)&gt;0,SUMIFS('BM MORRO DA CRUZ - VERTICAL'!$BC$6:$BC$546,'BM MORRO DA CRUZ - VERTICAL'!$B$6:$B$546,$A23),"")</f>
        <v/>
      </c>
      <c r="W24" s="273" t="str">
        <f>IF(SUMIFS('BM MORRO DA CRUZ - VERTICAL'!$BE$6:$BE$546,'BM MORRO DA CRUZ - VERTICAL'!$B$6:$B$546,$A23)&gt;0,SUMIFS('BM MORRO DA CRUZ - VERTICAL'!$BE$6:$BE$546,'BM MORRO DA CRUZ - VERTICAL'!$B$6:$B$546,$A23),"")</f>
        <v/>
      </c>
      <c r="Y24" s="257">
        <f>SUM(F24:W24)</f>
        <v>0</v>
      </c>
      <c r="Z24" s="257">
        <f>Y24-C23</f>
        <v>-1083366.3199999998</v>
      </c>
    </row>
    <row r="25" spans="1:26" ht="9.75" customHeight="1" x14ac:dyDescent="0.45">
      <c r="A25" s="467"/>
      <c r="B25" s="467"/>
      <c r="C25" s="469"/>
      <c r="D25" s="470"/>
      <c r="E25" s="258"/>
      <c r="F25" s="274"/>
      <c r="G25" s="274"/>
      <c r="H25" s="274"/>
      <c r="I25" s="274"/>
      <c r="J25" s="274"/>
      <c r="K25" s="274"/>
      <c r="L25" s="274"/>
      <c r="M25" s="274"/>
      <c r="N25" s="274"/>
      <c r="O25" s="274"/>
      <c r="P25" s="274"/>
      <c r="Q25" s="274"/>
      <c r="R25" s="274"/>
      <c r="S25" s="274"/>
      <c r="T25" s="274"/>
      <c r="U25" s="274"/>
      <c r="V25" s="274"/>
      <c r="W25" s="274"/>
      <c r="Y25" s="275"/>
      <c r="Z25" s="275"/>
    </row>
    <row r="26" spans="1:26" ht="9.75" customHeight="1" x14ac:dyDescent="0.45">
      <c r="A26" s="467"/>
      <c r="B26" s="467"/>
      <c r="C26" s="469"/>
      <c r="D26" s="470"/>
      <c r="E26" s="258"/>
      <c r="F26" s="274"/>
      <c r="G26" s="274"/>
      <c r="H26" s="274"/>
      <c r="I26" s="274"/>
      <c r="J26" s="274"/>
      <c r="K26" s="274"/>
      <c r="L26" s="274"/>
      <c r="M26" s="274"/>
      <c r="N26" s="274"/>
      <c r="O26" s="274"/>
      <c r="P26" s="274"/>
      <c r="Q26" s="274"/>
      <c r="R26" s="274"/>
      <c r="S26" s="274"/>
      <c r="T26" s="274"/>
      <c r="U26" s="274"/>
      <c r="V26" s="274"/>
      <c r="W26" s="274"/>
      <c r="Y26" s="275"/>
      <c r="Z26" s="275"/>
    </row>
    <row r="27" spans="1:26" ht="15" customHeight="1" x14ac:dyDescent="0.45">
      <c r="A27" s="467"/>
      <c r="B27" s="467"/>
      <c r="C27" s="469"/>
      <c r="D27" s="470"/>
      <c r="E27" s="260" t="s">
        <v>1571</v>
      </c>
      <c r="F27" s="276"/>
      <c r="G27" s="276">
        <v>6.25E-2</v>
      </c>
      <c r="H27" s="276">
        <v>6.25E-2</v>
      </c>
      <c r="I27" s="276">
        <v>6.25E-2</v>
      </c>
      <c r="J27" s="276">
        <v>6.25E-2</v>
      </c>
      <c r="K27" s="276">
        <v>6.25E-2</v>
      </c>
      <c r="L27" s="276">
        <v>6.25E-2</v>
      </c>
      <c r="M27" s="276">
        <v>6.25E-2</v>
      </c>
      <c r="N27" s="276">
        <v>6.25E-2</v>
      </c>
      <c r="O27" s="276">
        <v>6.25E-2</v>
      </c>
      <c r="P27" s="276">
        <v>6.25E-2</v>
      </c>
      <c r="Q27" s="276">
        <v>6.25E-2</v>
      </c>
      <c r="R27" s="276">
        <v>6.25E-2</v>
      </c>
      <c r="S27" s="276">
        <v>6.25E-2</v>
      </c>
      <c r="T27" s="276">
        <v>6.25E-2</v>
      </c>
      <c r="U27" s="276">
        <v>6.25E-2</v>
      </c>
      <c r="V27" s="276">
        <v>6.25E-2</v>
      </c>
      <c r="W27" s="276"/>
      <c r="Y27" s="275"/>
      <c r="Z27" s="275"/>
    </row>
    <row r="28" spans="1:26" ht="15" customHeight="1" x14ac:dyDescent="0.45">
      <c r="A28" s="467"/>
      <c r="B28" s="467"/>
      <c r="C28" s="469"/>
      <c r="D28" s="470"/>
      <c r="E28" s="263" t="s">
        <v>1572</v>
      </c>
      <c r="F28" s="265">
        <f t="shared" ref="F28:W28" si="7">IFERROR(F24/$C23,0)</f>
        <v>0</v>
      </c>
      <c r="G28" s="265">
        <f t="shared" si="7"/>
        <v>0</v>
      </c>
      <c r="H28" s="265">
        <f t="shared" si="7"/>
        <v>0</v>
      </c>
      <c r="I28" s="265">
        <f t="shared" si="7"/>
        <v>0</v>
      </c>
      <c r="J28" s="265">
        <f t="shared" si="7"/>
        <v>0</v>
      </c>
      <c r="K28" s="265">
        <f t="shared" si="7"/>
        <v>0</v>
      </c>
      <c r="L28" s="265">
        <f t="shared" si="7"/>
        <v>0</v>
      </c>
      <c r="M28" s="265">
        <f t="shared" si="7"/>
        <v>0</v>
      </c>
      <c r="N28" s="265">
        <f t="shared" si="7"/>
        <v>0</v>
      </c>
      <c r="O28" s="265">
        <f t="shared" si="7"/>
        <v>0</v>
      </c>
      <c r="P28" s="265">
        <f t="shared" si="7"/>
        <v>0</v>
      </c>
      <c r="Q28" s="265">
        <f t="shared" si="7"/>
        <v>0</v>
      </c>
      <c r="R28" s="265">
        <f t="shared" si="7"/>
        <v>0</v>
      </c>
      <c r="S28" s="265">
        <f t="shared" si="7"/>
        <v>0</v>
      </c>
      <c r="T28" s="265">
        <f t="shared" si="7"/>
        <v>0</v>
      </c>
      <c r="U28" s="265">
        <f t="shared" si="7"/>
        <v>0</v>
      </c>
      <c r="V28" s="265">
        <f t="shared" si="7"/>
        <v>0</v>
      </c>
      <c r="W28" s="265">
        <f t="shared" si="7"/>
        <v>0</v>
      </c>
      <c r="Y28" s="275"/>
      <c r="Z28" s="275"/>
    </row>
    <row r="29" spans="1:26" ht="7.5" customHeight="1" x14ac:dyDescent="0.45">
      <c r="A29" s="266"/>
      <c r="B29" s="267"/>
      <c r="C29" s="268"/>
      <c r="D29" s="269"/>
      <c r="E29" s="270"/>
      <c r="F29" s="271"/>
      <c r="G29" s="271"/>
      <c r="H29" s="271"/>
      <c r="I29" s="271"/>
      <c r="J29" s="271"/>
      <c r="K29" s="271"/>
      <c r="L29" s="271"/>
      <c r="M29" s="271"/>
      <c r="N29" s="271"/>
      <c r="O29" s="271"/>
      <c r="P29" s="271"/>
      <c r="Q29" s="271"/>
      <c r="R29" s="271"/>
      <c r="S29" s="272"/>
      <c r="T29" s="271"/>
      <c r="U29" s="271"/>
      <c r="V29" s="271"/>
      <c r="W29" s="271"/>
    </row>
    <row r="30" spans="1:26" ht="15" customHeight="1" x14ac:dyDescent="0.45">
      <c r="A30" s="467" t="s">
        <v>833</v>
      </c>
      <c r="B30" s="468" t="s">
        <v>1475</v>
      </c>
      <c r="C30" s="469">
        <f>IFERROR(SUMIFS('BM MORRO DA CRUZ - VERTICAL'!$U$6:$U$546,'BM MORRO DA CRUZ - VERTICAL'!$B$6:$B$546,$A30),0)</f>
        <v>328293.02999999997</v>
      </c>
      <c r="D30" s="470">
        <f>C30/$C$128</f>
        <v>6.5818216943191966E-3</v>
      </c>
      <c r="E30" s="251" t="s">
        <v>1569</v>
      </c>
      <c r="F30" s="253" t="str">
        <f t="shared" ref="F30:W30" si="8">IF(F34*$C30&gt;0,F34*$C30,"")</f>
        <v/>
      </c>
      <c r="G30" s="253">
        <f t="shared" si="8"/>
        <v>20518.314374999998</v>
      </c>
      <c r="H30" s="253">
        <f t="shared" si="8"/>
        <v>20518.314374999998</v>
      </c>
      <c r="I30" s="253">
        <f t="shared" si="8"/>
        <v>20518.314374999998</v>
      </c>
      <c r="J30" s="253">
        <f t="shared" si="8"/>
        <v>20518.314374999998</v>
      </c>
      <c r="K30" s="253">
        <f t="shared" si="8"/>
        <v>20518.314374999998</v>
      </c>
      <c r="L30" s="253">
        <f t="shared" si="8"/>
        <v>20518.314374999998</v>
      </c>
      <c r="M30" s="253">
        <f t="shared" si="8"/>
        <v>20518.314374999998</v>
      </c>
      <c r="N30" s="253">
        <f t="shared" si="8"/>
        <v>20518.314374999998</v>
      </c>
      <c r="O30" s="253">
        <f t="shared" si="8"/>
        <v>20518.314374999998</v>
      </c>
      <c r="P30" s="253">
        <f t="shared" si="8"/>
        <v>20518.314374999998</v>
      </c>
      <c r="Q30" s="253">
        <f t="shared" si="8"/>
        <v>20518.314374999998</v>
      </c>
      <c r="R30" s="253">
        <f t="shared" si="8"/>
        <v>20518.314374999998</v>
      </c>
      <c r="S30" s="253">
        <f t="shared" si="8"/>
        <v>20518.314374999998</v>
      </c>
      <c r="T30" s="253">
        <f t="shared" si="8"/>
        <v>20518.314374999998</v>
      </c>
      <c r="U30" s="253">
        <f t="shared" si="8"/>
        <v>20518.314374999998</v>
      </c>
      <c r="V30" s="253">
        <f t="shared" si="8"/>
        <v>20518.314374999998</v>
      </c>
      <c r="W30" s="253" t="str">
        <f t="shared" si="8"/>
        <v/>
      </c>
      <c r="Y30" s="253">
        <f>SUM(F30:W30)</f>
        <v>328293.02999999997</v>
      </c>
      <c r="Z30" s="253">
        <f>Y30-C30</f>
        <v>0</v>
      </c>
    </row>
    <row r="31" spans="1:26" ht="15" customHeight="1" x14ac:dyDescent="0.45">
      <c r="A31" s="467"/>
      <c r="B31" s="467"/>
      <c r="C31" s="469"/>
      <c r="D31" s="470"/>
      <c r="E31" s="254" t="s">
        <v>1570</v>
      </c>
      <c r="F31" s="273" t="str">
        <f>IF(SUMIFS('BM MORRO DA CRUZ - VERTICAL'!$W$6:$W$546,'BM MORRO DA CRUZ - VERTICAL'!$B$6:$B$546,$A30)&gt;0,SUMIFS('BM MORRO DA CRUZ - VERTICAL'!$W$6:$W$546,'BM MORRO DA CRUZ - VERTICAL'!$B$6:$B$546,$A30),"")</f>
        <v/>
      </c>
      <c r="G31" s="273" t="str">
        <f>IF(SUMIFS('BM MORRO DA CRUZ - VERTICAL'!$Y$6:$Y$546,'BM MORRO DA CRUZ - VERTICAL'!$B$6:$B$546,$A30)&gt;0,SUMIFS('BM MORRO DA CRUZ - VERTICAL'!$Y$6:$Y$546,'BM MORRO DA CRUZ - VERTICAL'!$B$6:$B$546,$A30),"")</f>
        <v/>
      </c>
      <c r="H31" s="273" t="str">
        <f>IF(SUMIFS('BM MORRO DA CRUZ - VERTICAL'!$AA$6:$AA$546,'BM MORRO DA CRUZ - VERTICAL'!$B$6:$B$546,$A30)&gt;0,SUMIFS('BM MORRO DA CRUZ - VERTICAL'!$AA$6:$AA$546,'BM MORRO DA CRUZ - VERTICAL'!$B$6:$B$546,$A30),"")</f>
        <v/>
      </c>
      <c r="I31" s="273" t="str">
        <f>IF(SUMIFS('BM MORRO DA CRUZ - VERTICAL'!$AC$6:$AC$546,'BM MORRO DA CRUZ - VERTICAL'!$B$6:$B$546,$A30)&gt;0,SUMIFS('BM MORRO DA CRUZ - VERTICAL'!$AC$6:$AC$546,'BM MORRO DA CRUZ - VERTICAL'!$B$6:$B$546,$A30),"")</f>
        <v/>
      </c>
      <c r="J31" s="273" t="str">
        <f>IF(SUMIFS('BM MORRO DA CRUZ - VERTICAL'!$AE$6:$AE$546,'BM MORRO DA CRUZ - VERTICAL'!$B$6:$B$546,$A30)&gt;0,SUMIFS('BM MORRO DA CRUZ - VERTICAL'!$AE$6:$AE$546,'BM MORRO DA CRUZ - VERTICAL'!$B$6:$B$546,$A30),"")</f>
        <v/>
      </c>
      <c r="K31" s="273" t="str">
        <f>IF(SUMIFS('BM MORRO DA CRUZ - VERTICAL'!$AG$6:$AG$546,'BM MORRO DA CRUZ - VERTICAL'!$B$6:$B$546,$A30)&gt;0,SUMIFS('BM MORRO DA CRUZ - VERTICAL'!$AG$6:$AG$546,'BM MORRO DA CRUZ - VERTICAL'!$B$6:$B$546,$A30),"")</f>
        <v/>
      </c>
      <c r="L31" s="273" t="str">
        <f>IF(SUMIFS('BM MORRO DA CRUZ - VERTICAL'!$AI$6:$AI$546,'BM MORRO DA CRUZ - VERTICAL'!$B$6:$B$546,$A30)&gt;0,SUMIFS('BM MORRO DA CRUZ - VERTICAL'!$AI$6:$AI$546,'BM MORRO DA CRUZ - VERTICAL'!$B$6:$B$546,$A30),"")</f>
        <v/>
      </c>
      <c r="M31" s="273" t="str">
        <f>IF(SUMIFS('BM MORRO DA CRUZ - VERTICAL'!$AK$6:$AK$546,'BM MORRO DA CRUZ - VERTICAL'!$B$6:$B$546,$A30)&gt;0,SUMIFS('BM MORRO DA CRUZ - VERTICAL'!$AK$6:$AK$546,'BM MORRO DA CRUZ - VERTICAL'!$B$6:$B$546,$A30),"")</f>
        <v/>
      </c>
      <c r="N31" s="273" t="str">
        <f>IF(SUMIFS('BM MORRO DA CRUZ - VERTICAL'!$AM$6:$AM$546,'BM MORRO DA CRUZ - VERTICAL'!$B$6:$B$546,$A30)&gt;0,SUMIFS('BM MORRO DA CRUZ - VERTICAL'!$AM$6:$AM$546,'BM MORRO DA CRUZ - VERTICAL'!$B$6:$B$546,$A30),"")</f>
        <v/>
      </c>
      <c r="O31" s="273" t="str">
        <f>IF(SUMIFS('BM MORRO DA CRUZ - VERTICAL'!$AO$6:$AO$546,'BM MORRO DA CRUZ - VERTICAL'!$B$6:$B$546,$A30)&gt;0,SUMIFS('BM MORRO DA CRUZ - VERTICAL'!$AO$6:$AO$546,'BM MORRO DA CRUZ - VERTICAL'!$B$6:$B$546,$A30),"")</f>
        <v/>
      </c>
      <c r="P31" s="273" t="str">
        <f>IF(SUMIFS('BM MORRO DA CRUZ - VERTICAL'!$AQ$6:$AQ$546,'BM MORRO DA CRUZ - VERTICAL'!$B$6:$B$546,$A30)&gt;0,SUMIFS('BM MORRO DA CRUZ - VERTICAL'!$AQ$6:$AQ$546,'BM MORRO DA CRUZ - VERTICAL'!$B$6:$B$546,$A30),"")</f>
        <v/>
      </c>
      <c r="Q31" s="273" t="str">
        <f>IF(SUMIFS('BM MORRO DA CRUZ - VERTICAL'!$AS$6:$AS$546,'BM MORRO DA CRUZ - VERTICAL'!$B$6:$B$546,$A30)&gt;0,SUMIFS('BM MORRO DA CRUZ - VERTICAL'!$AS$6:$AS$546,'BM MORRO DA CRUZ - VERTICAL'!$B$6:$B$546,$A30),"")</f>
        <v/>
      </c>
      <c r="R31" s="273" t="str">
        <f>IF(SUMIFS('BM MORRO DA CRUZ - VERTICAL'!$AU$6:$AU$546,'BM MORRO DA CRUZ - VERTICAL'!$B$6:$B$546,$A30)&gt;0,SUMIFS('BM MORRO DA CRUZ - VERTICAL'!$AU$6:$AU$546,'BM MORRO DA CRUZ - VERTICAL'!$B$6:$B$546,$A30),"")</f>
        <v/>
      </c>
      <c r="S31" s="273" t="str">
        <f>IF(SUMIFS('BM MORRO DA CRUZ - VERTICAL'!$AW$6:$AW$546,'BM MORRO DA CRUZ - VERTICAL'!$B$6:$B$546,$A30)&gt;0,SUMIFS('BM MORRO DA CRUZ - VERTICAL'!$AW$6:$AW$546,'BM MORRO DA CRUZ - VERTICAL'!$B$6:$B$546,$A30),"")</f>
        <v/>
      </c>
      <c r="T31" s="273" t="str">
        <f>IF(SUMIFS('BM MORRO DA CRUZ - VERTICAL'!$AY$6:$AY$546,'BM MORRO DA CRUZ - VERTICAL'!$B$6:$B$546,$A30)&gt;0,SUMIFS('BM MORRO DA CRUZ - VERTICAL'!$AY$6:$AY$546,'BM MORRO DA CRUZ - VERTICAL'!$B$6:$B$546,$A30),"")</f>
        <v/>
      </c>
      <c r="U31" s="273" t="str">
        <f>IF(SUMIFS('BM MORRO DA CRUZ - VERTICAL'!$BA$6:$BA$546,'BM MORRO DA CRUZ - VERTICAL'!$B$6:$B$546,$A30)&gt;0,SUMIFS('BM MORRO DA CRUZ - VERTICAL'!$BA$6:$BA$546,'BM MORRO DA CRUZ - VERTICAL'!$B$6:$B$546,$A30),"")</f>
        <v/>
      </c>
      <c r="V31" s="273" t="str">
        <f>IF(SUMIFS('BM MORRO DA CRUZ - VERTICAL'!$BC$6:$BC$546,'BM MORRO DA CRUZ - VERTICAL'!$B$6:$B$546,$A30)&gt;0,SUMIFS('BM MORRO DA CRUZ - VERTICAL'!$BC$6:$BC$546,'BM MORRO DA CRUZ - VERTICAL'!$B$6:$B$546,$A30),"")</f>
        <v/>
      </c>
      <c r="W31" s="273" t="str">
        <f>IF(SUMIFS('BM MORRO DA CRUZ - VERTICAL'!$BE$6:$BE$546,'BM MORRO DA CRUZ - VERTICAL'!$B$6:$B$546,$A30)&gt;0,SUMIFS('BM MORRO DA CRUZ - VERTICAL'!$BE$6:$BE$546,'BM MORRO DA CRUZ - VERTICAL'!$B$6:$B$546,$A30),"")</f>
        <v/>
      </c>
      <c r="Y31" s="257">
        <f>SUM(F31:W31)</f>
        <v>0</v>
      </c>
      <c r="Z31" s="257">
        <f>Y31-C30</f>
        <v>-328293.02999999997</v>
      </c>
    </row>
    <row r="32" spans="1:26" ht="9.75" customHeight="1" x14ac:dyDescent="0.45">
      <c r="A32" s="467"/>
      <c r="B32" s="467"/>
      <c r="C32" s="469"/>
      <c r="D32" s="470"/>
      <c r="E32" s="258"/>
      <c r="F32" s="274"/>
      <c r="G32" s="274"/>
      <c r="H32" s="274"/>
      <c r="I32" s="274"/>
      <c r="J32" s="274"/>
      <c r="K32" s="274"/>
      <c r="L32" s="274"/>
      <c r="M32" s="274"/>
      <c r="N32" s="274"/>
      <c r="O32" s="274"/>
      <c r="P32" s="274"/>
      <c r="Q32" s="274"/>
      <c r="R32" s="274"/>
      <c r="S32" s="274"/>
      <c r="T32" s="274"/>
      <c r="U32" s="274"/>
      <c r="V32" s="274"/>
      <c r="W32" s="274"/>
      <c r="Y32" s="275"/>
      <c r="Z32" s="275"/>
    </row>
    <row r="33" spans="1:26" ht="9.75" customHeight="1" x14ac:dyDescent="0.45">
      <c r="A33" s="467"/>
      <c r="B33" s="467"/>
      <c r="C33" s="469"/>
      <c r="D33" s="470"/>
      <c r="E33" s="258"/>
      <c r="F33" s="274"/>
      <c r="G33" s="274"/>
      <c r="H33" s="274"/>
      <c r="I33" s="274"/>
      <c r="J33" s="274"/>
      <c r="K33" s="274"/>
      <c r="L33" s="274"/>
      <c r="M33" s="274"/>
      <c r="N33" s="274"/>
      <c r="O33" s="274"/>
      <c r="P33" s="274"/>
      <c r="Q33" s="274"/>
      <c r="R33" s="274"/>
      <c r="S33" s="274"/>
      <c r="T33" s="274"/>
      <c r="U33" s="274"/>
      <c r="V33" s="274"/>
      <c r="W33" s="274"/>
      <c r="Y33" s="275"/>
      <c r="Z33" s="275"/>
    </row>
    <row r="34" spans="1:26" ht="15" customHeight="1" x14ac:dyDescent="0.45">
      <c r="A34" s="467"/>
      <c r="B34" s="467"/>
      <c r="C34" s="469"/>
      <c r="D34" s="470"/>
      <c r="E34" s="260" t="s">
        <v>1571</v>
      </c>
      <c r="F34" s="276"/>
      <c r="G34" s="276">
        <v>6.25E-2</v>
      </c>
      <c r="H34" s="276">
        <v>6.25E-2</v>
      </c>
      <c r="I34" s="276">
        <v>6.25E-2</v>
      </c>
      <c r="J34" s="276">
        <v>6.25E-2</v>
      </c>
      <c r="K34" s="276">
        <v>6.25E-2</v>
      </c>
      <c r="L34" s="276">
        <v>6.25E-2</v>
      </c>
      <c r="M34" s="276">
        <v>6.25E-2</v>
      </c>
      <c r="N34" s="276">
        <v>6.25E-2</v>
      </c>
      <c r="O34" s="276">
        <v>6.25E-2</v>
      </c>
      <c r="P34" s="276">
        <v>6.25E-2</v>
      </c>
      <c r="Q34" s="276">
        <v>6.25E-2</v>
      </c>
      <c r="R34" s="276">
        <v>6.25E-2</v>
      </c>
      <c r="S34" s="276">
        <v>6.25E-2</v>
      </c>
      <c r="T34" s="276">
        <v>6.25E-2</v>
      </c>
      <c r="U34" s="276">
        <v>6.25E-2</v>
      </c>
      <c r="V34" s="276">
        <v>6.25E-2</v>
      </c>
      <c r="W34" s="276"/>
      <c r="Y34" s="275"/>
      <c r="Z34" s="275"/>
    </row>
    <row r="35" spans="1:26" ht="15" customHeight="1" x14ac:dyDescent="0.45">
      <c r="A35" s="467"/>
      <c r="B35" s="467"/>
      <c r="C35" s="469"/>
      <c r="D35" s="470"/>
      <c r="E35" s="263" t="s">
        <v>1572</v>
      </c>
      <c r="F35" s="265">
        <f t="shared" ref="F35:W35" si="9">IFERROR(F31/$C30,0)</f>
        <v>0</v>
      </c>
      <c r="G35" s="265">
        <f t="shared" si="9"/>
        <v>0</v>
      </c>
      <c r="H35" s="265">
        <f t="shared" si="9"/>
        <v>0</v>
      </c>
      <c r="I35" s="265">
        <f t="shared" si="9"/>
        <v>0</v>
      </c>
      <c r="J35" s="265">
        <f t="shared" si="9"/>
        <v>0</v>
      </c>
      <c r="K35" s="265">
        <f t="shared" si="9"/>
        <v>0</v>
      </c>
      <c r="L35" s="265">
        <f t="shared" si="9"/>
        <v>0</v>
      </c>
      <c r="M35" s="265">
        <f t="shared" si="9"/>
        <v>0</v>
      </c>
      <c r="N35" s="265">
        <f t="shared" si="9"/>
        <v>0</v>
      </c>
      <c r="O35" s="265">
        <f t="shared" si="9"/>
        <v>0</v>
      </c>
      <c r="P35" s="265">
        <f t="shared" si="9"/>
        <v>0</v>
      </c>
      <c r="Q35" s="265">
        <f t="shared" si="9"/>
        <v>0</v>
      </c>
      <c r="R35" s="265">
        <f t="shared" si="9"/>
        <v>0</v>
      </c>
      <c r="S35" s="265">
        <f t="shared" si="9"/>
        <v>0</v>
      </c>
      <c r="T35" s="265">
        <f t="shared" si="9"/>
        <v>0</v>
      </c>
      <c r="U35" s="265">
        <f t="shared" si="9"/>
        <v>0</v>
      </c>
      <c r="V35" s="265">
        <f t="shared" si="9"/>
        <v>0</v>
      </c>
      <c r="W35" s="265">
        <f t="shared" si="9"/>
        <v>0</v>
      </c>
      <c r="Y35" s="275"/>
      <c r="Z35" s="275"/>
    </row>
    <row r="36" spans="1:26" ht="7.5" customHeight="1" x14ac:dyDescent="0.45">
      <c r="A36" s="266"/>
      <c r="B36" s="267"/>
      <c r="C36" s="268"/>
      <c r="D36" s="269"/>
      <c r="E36" s="270"/>
      <c r="F36" s="271"/>
      <c r="G36" s="271"/>
      <c r="H36" s="271"/>
      <c r="I36" s="271"/>
      <c r="J36" s="271"/>
      <c r="K36" s="271"/>
      <c r="L36" s="271"/>
      <c r="M36" s="271"/>
      <c r="N36" s="271"/>
      <c r="O36" s="271"/>
      <c r="P36" s="271"/>
      <c r="Q36" s="271"/>
      <c r="R36" s="271"/>
      <c r="S36" s="272"/>
      <c r="T36" s="271"/>
      <c r="U36" s="271"/>
      <c r="V36" s="271"/>
      <c r="W36" s="271"/>
    </row>
    <row r="37" spans="1:26" ht="15" customHeight="1" x14ac:dyDescent="0.45">
      <c r="A37" s="467" t="s">
        <v>843</v>
      </c>
      <c r="B37" s="468" t="s">
        <v>1574</v>
      </c>
      <c r="C37" s="469">
        <f>IFERROR(SUMIFS('BM MORRO DA CRUZ - VERTICAL'!$U$6:$U$546,'BM MORRO DA CRUZ - VERTICAL'!$B$6:$B$546,$A37),0)</f>
        <v>11043381.57</v>
      </c>
      <c r="D37" s="470">
        <f>C37/$C$128</f>
        <v>0.22140454336197998</v>
      </c>
      <c r="E37" s="251" t="s">
        <v>1569</v>
      </c>
      <c r="F37" s="253" t="str">
        <f t="shared" ref="F37:W37" si="10">IF(F41*$C37&gt;0,F41*$C37,"")</f>
        <v/>
      </c>
      <c r="G37" s="253">
        <f t="shared" si="10"/>
        <v>690211.34812500002</v>
      </c>
      <c r="H37" s="253">
        <f t="shared" si="10"/>
        <v>690211.34812500002</v>
      </c>
      <c r="I37" s="253">
        <f t="shared" si="10"/>
        <v>690211.34812500002</v>
      </c>
      <c r="J37" s="253">
        <f t="shared" si="10"/>
        <v>690211.34812500002</v>
      </c>
      <c r="K37" s="253">
        <f t="shared" si="10"/>
        <v>690211.34812500002</v>
      </c>
      <c r="L37" s="253">
        <f t="shared" si="10"/>
        <v>690211.34812500002</v>
      </c>
      <c r="M37" s="253">
        <f t="shared" si="10"/>
        <v>690211.34812500002</v>
      </c>
      <c r="N37" s="253">
        <f t="shared" si="10"/>
        <v>690211.34812500002</v>
      </c>
      <c r="O37" s="253">
        <f t="shared" si="10"/>
        <v>690211.34812500002</v>
      </c>
      <c r="P37" s="253">
        <f t="shared" si="10"/>
        <v>690211.34812500002</v>
      </c>
      <c r="Q37" s="253">
        <f t="shared" si="10"/>
        <v>690211.34812500002</v>
      </c>
      <c r="R37" s="253">
        <f t="shared" si="10"/>
        <v>690211.34812500002</v>
      </c>
      <c r="S37" s="253">
        <f t="shared" si="10"/>
        <v>690211.34812500002</v>
      </c>
      <c r="T37" s="253">
        <f t="shared" si="10"/>
        <v>690211.34812500002</v>
      </c>
      <c r="U37" s="253">
        <f t="shared" si="10"/>
        <v>690211.34812500002</v>
      </c>
      <c r="V37" s="253">
        <f t="shared" si="10"/>
        <v>690211.34812500002</v>
      </c>
      <c r="W37" s="253" t="str">
        <f t="shared" si="10"/>
        <v/>
      </c>
      <c r="Y37" s="253">
        <f>SUM(F37:W37)</f>
        <v>11043381.569999997</v>
      </c>
      <c r="Z37" s="253">
        <f>Y37-C37</f>
        <v>0</v>
      </c>
    </row>
    <row r="38" spans="1:26" ht="15" customHeight="1" x14ac:dyDescent="0.45">
      <c r="A38" s="467"/>
      <c r="B38" s="467"/>
      <c r="C38" s="469"/>
      <c r="D38" s="470"/>
      <c r="E38" s="254" t="s">
        <v>1570</v>
      </c>
      <c r="F38" s="273" t="str">
        <f>IF(SUMIFS('BM MORRO DA CRUZ - VERTICAL'!$W$6:$W$546,'BM MORRO DA CRUZ - VERTICAL'!$B$6:$B$546,$A37)&gt;0,SUMIFS('BM MORRO DA CRUZ - VERTICAL'!$W$6:$W$546,'BM MORRO DA CRUZ - VERTICAL'!$B$6:$B$546,$A37),"")</f>
        <v/>
      </c>
      <c r="G38" s="273" t="str">
        <f>IF(SUMIFS('BM MORRO DA CRUZ - VERTICAL'!$Y$6:$Y$546,'BM MORRO DA CRUZ - VERTICAL'!$B$6:$B$546,$A37)&gt;0,SUMIFS('BM MORRO DA CRUZ - VERTICAL'!$Y$6:$Y$546,'BM MORRO DA CRUZ - VERTICAL'!$B$6:$B$546,$A37),"")</f>
        <v/>
      </c>
      <c r="H38" s="273" t="str">
        <f>IF(SUMIFS('BM MORRO DA CRUZ - VERTICAL'!$AA$6:$AA$546,'BM MORRO DA CRUZ - VERTICAL'!$B$6:$B$546,$A37)&gt;0,SUMIFS('BM MORRO DA CRUZ - VERTICAL'!$AA$6:$AA$546,'BM MORRO DA CRUZ - VERTICAL'!$B$6:$B$546,$A37),"")</f>
        <v/>
      </c>
      <c r="I38" s="273" t="str">
        <f>IF(SUMIFS('BM MORRO DA CRUZ - VERTICAL'!$AC$6:$AC$546,'BM MORRO DA CRUZ - VERTICAL'!$B$6:$B$546,$A37)&gt;0,SUMIFS('BM MORRO DA CRUZ - VERTICAL'!$AC$6:$AC$546,'BM MORRO DA CRUZ - VERTICAL'!$B$6:$B$546,$A37),"")</f>
        <v/>
      </c>
      <c r="J38" s="273" t="str">
        <f>IF(SUMIFS('BM MORRO DA CRUZ - VERTICAL'!$AE$6:$AE$546,'BM MORRO DA CRUZ - VERTICAL'!$B$6:$B$546,$A37)&gt;0,SUMIFS('BM MORRO DA CRUZ - VERTICAL'!$AE$6:$AE$546,'BM MORRO DA CRUZ - VERTICAL'!$B$6:$B$546,$A37),"")</f>
        <v/>
      </c>
      <c r="K38" s="273" t="str">
        <f>IF(SUMIFS('BM MORRO DA CRUZ - VERTICAL'!$AG$6:$AG$546,'BM MORRO DA CRUZ - VERTICAL'!$B$6:$B$546,$A37)&gt;0,SUMIFS('BM MORRO DA CRUZ - VERTICAL'!$AG$6:$AG$546,'BM MORRO DA CRUZ - VERTICAL'!$B$6:$B$546,$A37),"")</f>
        <v/>
      </c>
      <c r="L38" s="273" t="str">
        <f>IF(SUMIFS('BM MORRO DA CRUZ - VERTICAL'!$AI$6:$AI$546,'BM MORRO DA CRUZ - VERTICAL'!$B$6:$B$546,$A37)&gt;0,SUMIFS('BM MORRO DA CRUZ - VERTICAL'!$AI$6:$AI$546,'BM MORRO DA CRUZ - VERTICAL'!$B$6:$B$546,$A37),"")</f>
        <v/>
      </c>
      <c r="M38" s="273" t="str">
        <f>IF(SUMIFS('BM MORRO DA CRUZ - VERTICAL'!$AK$6:$AK$546,'BM MORRO DA CRUZ - VERTICAL'!$B$6:$B$546,$A37)&gt;0,SUMIFS('BM MORRO DA CRUZ - VERTICAL'!$AK$6:$AK$546,'BM MORRO DA CRUZ - VERTICAL'!$B$6:$B$546,$A37),"")</f>
        <v/>
      </c>
      <c r="N38" s="273" t="str">
        <f>IF(SUMIFS('BM MORRO DA CRUZ - VERTICAL'!$AM$6:$AM$546,'BM MORRO DA CRUZ - VERTICAL'!$B$6:$B$546,$A37)&gt;0,SUMIFS('BM MORRO DA CRUZ - VERTICAL'!$AM$6:$AM$546,'BM MORRO DA CRUZ - VERTICAL'!$B$6:$B$546,$A37),"")</f>
        <v/>
      </c>
      <c r="O38" s="273" t="str">
        <f>IF(SUMIFS('BM MORRO DA CRUZ - VERTICAL'!$AO$6:$AO$546,'BM MORRO DA CRUZ - VERTICAL'!$B$6:$B$546,$A37)&gt;0,SUMIFS('BM MORRO DA CRUZ - VERTICAL'!$AO$6:$AO$546,'BM MORRO DA CRUZ - VERTICAL'!$B$6:$B$546,$A37),"")</f>
        <v/>
      </c>
      <c r="P38" s="273" t="str">
        <f>IF(SUMIFS('BM MORRO DA CRUZ - VERTICAL'!$AQ$6:$AQ$546,'BM MORRO DA CRUZ - VERTICAL'!$B$6:$B$546,$A37)&gt;0,SUMIFS('BM MORRO DA CRUZ - VERTICAL'!$AQ$6:$AQ$546,'BM MORRO DA CRUZ - VERTICAL'!$B$6:$B$546,$A37),"")</f>
        <v/>
      </c>
      <c r="Q38" s="273" t="str">
        <f>IF(SUMIFS('BM MORRO DA CRUZ - VERTICAL'!$AS$6:$AS$546,'BM MORRO DA CRUZ - VERTICAL'!$B$6:$B$546,$A37)&gt;0,SUMIFS('BM MORRO DA CRUZ - VERTICAL'!$AS$6:$AS$546,'BM MORRO DA CRUZ - VERTICAL'!$B$6:$B$546,$A37),"")</f>
        <v/>
      </c>
      <c r="R38" s="273" t="str">
        <f>IF(SUMIFS('BM MORRO DA CRUZ - VERTICAL'!$AU$6:$AU$546,'BM MORRO DA CRUZ - VERTICAL'!$B$6:$B$546,$A37)&gt;0,SUMIFS('BM MORRO DA CRUZ - VERTICAL'!$AU$6:$AU$546,'BM MORRO DA CRUZ - VERTICAL'!$B$6:$B$546,$A37),"")</f>
        <v/>
      </c>
      <c r="S38" s="273" t="str">
        <f>IF(SUMIFS('BM MORRO DA CRUZ - VERTICAL'!$AW$6:$AW$546,'BM MORRO DA CRUZ - VERTICAL'!$B$6:$B$546,$A37)&gt;0,SUMIFS('BM MORRO DA CRUZ - VERTICAL'!$AW$6:$AW$546,'BM MORRO DA CRUZ - VERTICAL'!$B$6:$B$546,$A37),"")</f>
        <v/>
      </c>
      <c r="T38" s="273" t="str">
        <f>IF(SUMIFS('BM MORRO DA CRUZ - VERTICAL'!$AY$6:$AY$546,'BM MORRO DA CRUZ - VERTICAL'!$B$6:$B$546,$A37)&gt;0,SUMIFS('BM MORRO DA CRUZ - VERTICAL'!$AY$6:$AY$546,'BM MORRO DA CRUZ - VERTICAL'!$B$6:$B$546,$A37),"")</f>
        <v/>
      </c>
      <c r="U38" s="273" t="str">
        <f>IF(SUMIFS('BM MORRO DA CRUZ - VERTICAL'!$BA$6:$BA$546,'BM MORRO DA CRUZ - VERTICAL'!$B$6:$B$546,$A37)&gt;0,SUMIFS('BM MORRO DA CRUZ - VERTICAL'!$BA$6:$BA$546,'BM MORRO DA CRUZ - VERTICAL'!$B$6:$B$546,$A37),"")</f>
        <v/>
      </c>
      <c r="V38" s="273" t="str">
        <f>IF(SUMIFS('BM MORRO DA CRUZ - VERTICAL'!$BC$6:$BC$546,'BM MORRO DA CRUZ - VERTICAL'!$B$6:$B$546,$A37)&gt;0,SUMIFS('BM MORRO DA CRUZ - VERTICAL'!$BC$6:$BC$546,'BM MORRO DA CRUZ - VERTICAL'!$B$6:$B$546,$A37),"")</f>
        <v/>
      </c>
      <c r="W38" s="273" t="str">
        <f>IF(SUMIFS('BM MORRO DA CRUZ - VERTICAL'!$BE$6:$BE$546,'BM MORRO DA CRUZ - VERTICAL'!$B$6:$B$546,$A37)&gt;0,SUMIFS('BM MORRO DA CRUZ - VERTICAL'!$BE$6:$BE$546,'BM MORRO DA CRUZ - VERTICAL'!$B$6:$B$546,$A37),"")</f>
        <v/>
      </c>
      <c r="Y38" s="257">
        <f>SUM(F38:W38)</f>
        <v>0</v>
      </c>
      <c r="Z38" s="257">
        <f>Y38-C37</f>
        <v>-11043381.57</v>
      </c>
    </row>
    <row r="39" spans="1:26" ht="9.75" customHeight="1" x14ac:dyDescent="0.45">
      <c r="A39" s="467"/>
      <c r="B39" s="467"/>
      <c r="C39" s="469"/>
      <c r="D39" s="470"/>
      <c r="E39" s="258"/>
      <c r="F39" s="274"/>
      <c r="G39" s="274"/>
      <c r="H39" s="274"/>
      <c r="I39" s="274"/>
      <c r="J39" s="274"/>
      <c r="K39" s="274"/>
      <c r="L39" s="274"/>
      <c r="M39" s="274"/>
      <c r="N39" s="274"/>
      <c r="O39" s="274"/>
      <c r="P39" s="274"/>
      <c r="Q39" s="274"/>
      <c r="R39" s="274"/>
      <c r="S39" s="274"/>
      <c r="T39" s="274"/>
      <c r="U39" s="274"/>
      <c r="V39" s="274"/>
      <c r="W39" s="274"/>
      <c r="Y39" s="275"/>
      <c r="Z39" s="275"/>
    </row>
    <row r="40" spans="1:26" ht="9.75" customHeight="1" x14ac:dyDescent="0.45">
      <c r="A40" s="467"/>
      <c r="B40" s="467"/>
      <c r="C40" s="469"/>
      <c r="D40" s="470"/>
      <c r="E40" s="258"/>
      <c r="F40" s="274"/>
      <c r="G40" s="274"/>
      <c r="H40" s="274"/>
      <c r="I40" s="274"/>
      <c r="J40" s="274"/>
      <c r="K40" s="274"/>
      <c r="L40" s="274"/>
      <c r="M40" s="274"/>
      <c r="N40" s="274"/>
      <c r="O40" s="274"/>
      <c r="P40" s="274"/>
      <c r="Q40" s="274"/>
      <c r="R40" s="274"/>
      <c r="S40" s="274"/>
      <c r="T40" s="274"/>
      <c r="U40" s="274"/>
      <c r="V40" s="274"/>
      <c r="W40" s="274"/>
      <c r="Y40" s="275"/>
      <c r="Z40" s="275"/>
    </row>
    <row r="41" spans="1:26" ht="15" customHeight="1" x14ac:dyDescent="0.45">
      <c r="A41" s="467"/>
      <c r="B41" s="467"/>
      <c r="C41" s="469"/>
      <c r="D41" s="470"/>
      <c r="E41" s="260" t="s">
        <v>1571</v>
      </c>
      <c r="F41" s="276"/>
      <c r="G41" s="276">
        <v>6.25E-2</v>
      </c>
      <c r="H41" s="276">
        <v>6.25E-2</v>
      </c>
      <c r="I41" s="276">
        <v>6.25E-2</v>
      </c>
      <c r="J41" s="276">
        <v>6.25E-2</v>
      </c>
      <c r="K41" s="276">
        <v>6.25E-2</v>
      </c>
      <c r="L41" s="276">
        <v>6.25E-2</v>
      </c>
      <c r="M41" s="276">
        <v>6.25E-2</v>
      </c>
      <c r="N41" s="276">
        <v>6.25E-2</v>
      </c>
      <c r="O41" s="276">
        <v>6.25E-2</v>
      </c>
      <c r="P41" s="276">
        <v>6.25E-2</v>
      </c>
      <c r="Q41" s="276">
        <v>6.25E-2</v>
      </c>
      <c r="R41" s="276">
        <v>6.25E-2</v>
      </c>
      <c r="S41" s="276">
        <v>6.25E-2</v>
      </c>
      <c r="T41" s="276">
        <v>6.25E-2</v>
      </c>
      <c r="U41" s="276">
        <v>6.25E-2</v>
      </c>
      <c r="V41" s="276">
        <v>6.25E-2</v>
      </c>
      <c r="W41" s="276"/>
      <c r="Y41" s="275"/>
      <c r="Z41" s="275"/>
    </row>
    <row r="42" spans="1:26" ht="15" customHeight="1" x14ac:dyDescent="0.45">
      <c r="A42" s="467"/>
      <c r="B42" s="467"/>
      <c r="C42" s="469"/>
      <c r="D42" s="470"/>
      <c r="E42" s="263" t="s">
        <v>1572</v>
      </c>
      <c r="F42" s="265">
        <f t="shared" ref="F42:W42" si="11">IFERROR(F38/$C37,0)</f>
        <v>0</v>
      </c>
      <c r="G42" s="265">
        <f t="shared" si="11"/>
        <v>0</v>
      </c>
      <c r="H42" s="265">
        <f t="shared" si="11"/>
        <v>0</v>
      </c>
      <c r="I42" s="265">
        <f t="shared" si="11"/>
        <v>0</v>
      </c>
      <c r="J42" s="265">
        <f t="shared" si="11"/>
        <v>0</v>
      </c>
      <c r="K42" s="265">
        <f t="shared" si="11"/>
        <v>0</v>
      </c>
      <c r="L42" s="265">
        <f t="shared" si="11"/>
        <v>0</v>
      </c>
      <c r="M42" s="265">
        <f t="shared" si="11"/>
        <v>0</v>
      </c>
      <c r="N42" s="265">
        <f t="shared" si="11"/>
        <v>0</v>
      </c>
      <c r="O42" s="265">
        <f t="shared" si="11"/>
        <v>0</v>
      </c>
      <c r="P42" s="265">
        <f t="shared" si="11"/>
        <v>0</v>
      </c>
      <c r="Q42" s="265">
        <f t="shared" si="11"/>
        <v>0</v>
      </c>
      <c r="R42" s="265">
        <f t="shared" si="11"/>
        <v>0</v>
      </c>
      <c r="S42" s="265">
        <f t="shared" si="11"/>
        <v>0</v>
      </c>
      <c r="T42" s="265">
        <f t="shared" si="11"/>
        <v>0</v>
      </c>
      <c r="U42" s="265">
        <f t="shared" si="11"/>
        <v>0</v>
      </c>
      <c r="V42" s="265">
        <f t="shared" si="11"/>
        <v>0</v>
      </c>
      <c r="W42" s="265">
        <f t="shared" si="11"/>
        <v>0</v>
      </c>
      <c r="Y42" s="275"/>
      <c r="Z42" s="275"/>
    </row>
    <row r="43" spans="1:26" ht="7.5" customHeight="1" x14ac:dyDescent="0.45">
      <c r="A43" s="266"/>
      <c r="B43" s="267"/>
      <c r="C43" s="268"/>
      <c r="D43" s="269"/>
      <c r="E43" s="270"/>
      <c r="F43" s="271"/>
      <c r="G43" s="271"/>
      <c r="H43" s="271"/>
      <c r="I43" s="271"/>
      <c r="J43" s="271"/>
      <c r="K43" s="271"/>
      <c r="L43" s="271"/>
      <c r="M43" s="271"/>
      <c r="N43" s="271"/>
      <c r="O43" s="271"/>
      <c r="P43" s="271"/>
      <c r="Q43" s="271"/>
      <c r="R43" s="271"/>
      <c r="S43" s="272"/>
      <c r="T43" s="271"/>
      <c r="U43" s="271"/>
      <c r="V43" s="271"/>
      <c r="W43" s="271"/>
    </row>
    <row r="44" spans="1:26" ht="15" customHeight="1" x14ac:dyDescent="0.45">
      <c r="A44" s="467" t="s">
        <v>850</v>
      </c>
      <c r="B44" s="468" t="s">
        <v>1488</v>
      </c>
      <c r="C44" s="469">
        <f>IFERROR(SUMIFS('BM MORRO DA CRUZ - VERTICAL'!$U$6:$U$546,'BM MORRO DA CRUZ - VERTICAL'!$B$6:$B$546,$A44),0)</f>
        <v>2019878.8400000005</v>
      </c>
      <c r="D44" s="470">
        <f>C44/$C$128</f>
        <v>4.0495780154115056E-2</v>
      </c>
      <c r="E44" s="251" t="s">
        <v>1569</v>
      </c>
      <c r="F44" s="253" t="str">
        <f t="shared" ref="F44:W44" si="12">IF(F48*$C44&gt;0,F48*$C44,"")</f>
        <v/>
      </c>
      <c r="G44" s="253">
        <f t="shared" si="12"/>
        <v>126242.42750000003</v>
      </c>
      <c r="H44" s="253">
        <f t="shared" si="12"/>
        <v>126242.42750000003</v>
      </c>
      <c r="I44" s="253">
        <f t="shared" si="12"/>
        <v>126242.42750000003</v>
      </c>
      <c r="J44" s="253">
        <f t="shared" si="12"/>
        <v>126242.42750000003</v>
      </c>
      <c r="K44" s="253">
        <f t="shared" si="12"/>
        <v>126242.42750000003</v>
      </c>
      <c r="L44" s="253">
        <f t="shared" si="12"/>
        <v>126242.42750000003</v>
      </c>
      <c r="M44" s="253">
        <f t="shared" si="12"/>
        <v>126242.42750000003</v>
      </c>
      <c r="N44" s="253">
        <f t="shared" si="12"/>
        <v>126242.42750000003</v>
      </c>
      <c r="O44" s="253">
        <f t="shared" si="12"/>
        <v>126242.42750000003</v>
      </c>
      <c r="P44" s="253">
        <f t="shared" si="12"/>
        <v>126242.42750000003</v>
      </c>
      <c r="Q44" s="253">
        <f t="shared" si="12"/>
        <v>126242.42750000003</v>
      </c>
      <c r="R44" s="253">
        <f t="shared" si="12"/>
        <v>126242.42750000003</v>
      </c>
      <c r="S44" s="253">
        <f t="shared" si="12"/>
        <v>126242.42750000003</v>
      </c>
      <c r="T44" s="253">
        <f t="shared" si="12"/>
        <v>126242.42750000003</v>
      </c>
      <c r="U44" s="253">
        <f t="shared" si="12"/>
        <v>126242.42750000003</v>
      </c>
      <c r="V44" s="253">
        <f t="shared" si="12"/>
        <v>126242.42750000003</v>
      </c>
      <c r="W44" s="253" t="str">
        <f t="shared" si="12"/>
        <v/>
      </c>
      <c r="Y44" s="253">
        <f>SUM(F44:W44)</f>
        <v>2019878.84</v>
      </c>
      <c r="Z44" s="253">
        <f>Y44-C44</f>
        <v>0</v>
      </c>
    </row>
    <row r="45" spans="1:26" ht="15" customHeight="1" x14ac:dyDescent="0.45">
      <c r="A45" s="467"/>
      <c r="B45" s="467"/>
      <c r="C45" s="469"/>
      <c r="D45" s="470"/>
      <c r="E45" s="254" t="s">
        <v>1570</v>
      </c>
      <c r="F45" s="273" t="str">
        <f>IF(SUMIFS('BM MORRO DA CRUZ - VERTICAL'!$W$6:$W$546,'BM MORRO DA CRUZ - VERTICAL'!$B$6:$B$546,$A44)&gt;0,SUMIFS('BM MORRO DA CRUZ - VERTICAL'!$W$6:$W$546,'BM MORRO DA CRUZ - VERTICAL'!$B$6:$B$546,$A44),"")</f>
        <v/>
      </c>
      <c r="G45" s="273" t="str">
        <f>IF(SUMIFS('BM MORRO DA CRUZ - VERTICAL'!$Y$6:$Y$546,'BM MORRO DA CRUZ - VERTICAL'!$B$6:$B$546,$A44)&gt;0,SUMIFS('BM MORRO DA CRUZ - VERTICAL'!$Y$6:$Y$546,'BM MORRO DA CRUZ - VERTICAL'!$B$6:$B$546,$A44),"")</f>
        <v/>
      </c>
      <c r="H45" s="273" t="str">
        <f>IF(SUMIFS('BM MORRO DA CRUZ - VERTICAL'!$AA$6:$AA$546,'BM MORRO DA CRUZ - VERTICAL'!$B$6:$B$546,$A44)&gt;0,SUMIFS('BM MORRO DA CRUZ - VERTICAL'!$AA$6:$AA$546,'BM MORRO DA CRUZ - VERTICAL'!$B$6:$B$546,$A44),"")</f>
        <v/>
      </c>
      <c r="I45" s="273" t="str">
        <f>IF(SUMIFS('BM MORRO DA CRUZ - VERTICAL'!$AC$6:$AC$546,'BM MORRO DA CRUZ - VERTICAL'!$B$6:$B$546,$A44)&gt;0,SUMIFS('BM MORRO DA CRUZ - VERTICAL'!$AC$6:$AC$546,'BM MORRO DA CRUZ - VERTICAL'!$B$6:$B$546,$A44),"")</f>
        <v/>
      </c>
      <c r="J45" s="273" t="str">
        <f>IF(SUMIFS('BM MORRO DA CRUZ - VERTICAL'!$AE$6:$AE$546,'BM MORRO DA CRUZ - VERTICAL'!$B$6:$B$546,$A44)&gt;0,SUMIFS('BM MORRO DA CRUZ - VERTICAL'!$AE$6:$AE$546,'BM MORRO DA CRUZ - VERTICAL'!$B$6:$B$546,$A44),"")</f>
        <v/>
      </c>
      <c r="K45" s="273" t="str">
        <f>IF(SUMIFS('BM MORRO DA CRUZ - VERTICAL'!$AG$6:$AG$546,'BM MORRO DA CRUZ - VERTICAL'!$B$6:$B$546,$A44)&gt;0,SUMIFS('BM MORRO DA CRUZ - VERTICAL'!$AG$6:$AG$546,'BM MORRO DA CRUZ - VERTICAL'!$B$6:$B$546,$A44),"")</f>
        <v/>
      </c>
      <c r="L45" s="273" t="str">
        <f>IF(SUMIFS('BM MORRO DA CRUZ - VERTICAL'!$AI$6:$AI$546,'BM MORRO DA CRUZ - VERTICAL'!$B$6:$B$546,$A44)&gt;0,SUMIFS('BM MORRO DA CRUZ - VERTICAL'!$AI$6:$AI$546,'BM MORRO DA CRUZ - VERTICAL'!$B$6:$B$546,$A44),"")</f>
        <v/>
      </c>
      <c r="M45" s="273" t="str">
        <f>IF(SUMIFS('BM MORRO DA CRUZ - VERTICAL'!$AK$6:$AK$546,'BM MORRO DA CRUZ - VERTICAL'!$B$6:$B$546,$A44)&gt;0,SUMIFS('BM MORRO DA CRUZ - VERTICAL'!$AK$6:$AK$546,'BM MORRO DA CRUZ - VERTICAL'!$B$6:$B$546,$A44),"")</f>
        <v/>
      </c>
      <c r="N45" s="273" t="str">
        <f>IF(SUMIFS('BM MORRO DA CRUZ - VERTICAL'!$AM$6:$AM$546,'BM MORRO DA CRUZ - VERTICAL'!$B$6:$B$546,$A44)&gt;0,SUMIFS('BM MORRO DA CRUZ - VERTICAL'!$AM$6:$AM$546,'BM MORRO DA CRUZ - VERTICAL'!$B$6:$B$546,$A44),"")</f>
        <v/>
      </c>
      <c r="O45" s="273" t="str">
        <f>IF(SUMIFS('BM MORRO DA CRUZ - VERTICAL'!$AO$6:$AO$546,'BM MORRO DA CRUZ - VERTICAL'!$B$6:$B$546,$A44)&gt;0,SUMIFS('BM MORRO DA CRUZ - VERTICAL'!$AO$6:$AO$546,'BM MORRO DA CRUZ - VERTICAL'!$B$6:$B$546,$A44),"")</f>
        <v/>
      </c>
      <c r="P45" s="273" t="str">
        <f>IF(SUMIFS('BM MORRO DA CRUZ - VERTICAL'!$AQ$6:$AQ$546,'BM MORRO DA CRUZ - VERTICAL'!$B$6:$B$546,$A44)&gt;0,SUMIFS('BM MORRO DA CRUZ - VERTICAL'!$AQ$6:$AQ$546,'BM MORRO DA CRUZ - VERTICAL'!$B$6:$B$546,$A44),"")</f>
        <v/>
      </c>
      <c r="Q45" s="273" t="str">
        <f>IF(SUMIFS('BM MORRO DA CRUZ - VERTICAL'!$AS$6:$AS$546,'BM MORRO DA CRUZ - VERTICAL'!$B$6:$B$546,$A44)&gt;0,SUMIFS('BM MORRO DA CRUZ - VERTICAL'!$AS$6:$AS$546,'BM MORRO DA CRUZ - VERTICAL'!$B$6:$B$546,$A44),"")</f>
        <v/>
      </c>
      <c r="R45" s="273" t="str">
        <f>IF(SUMIFS('BM MORRO DA CRUZ - VERTICAL'!$AU$6:$AU$546,'BM MORRO DA CRUZ - VERTICAL'!$B$6:$B$546,$A44)&gt;0,SUMIFS('BM MORRO DA CRUZ - VERTICAL'!$AU$6:$AU$546,'BM MORRO DA CRUZ - VERTICAL'!$B$6:$B$546,$A44),"")</f>
        <v/>
      </c>
      <c r="S45" s="273" t="str">
        <f>IF(SUMIFS('BM MORRO DA CRUZ - VERTICAL'!$AW$6:$AW$546,'BM MORRO DA CRUZ - VERTICAL'!$B$6:$B$546,$A44)&gt;0,SUMIFS('BM MORRO DA CRUZ - VERTICAL'!$AW$6:$AW$546,'BM MORRO DA CRUZ - VERTICAL'!$B$6:$B$546,$A44),"")</f>
        <v/>
      </c>
      <c r="T45" s="273" t="str">
        <f>IF(SUMIFS('BM MORRO DA CRUZ - VERTICAL'!$AY$6:$AY$546,'BM MORRO DA CRUZ - VERTICAL'!$B$6:$B$546,$A44)&gt;0,SUMIFS('BM MORRO DA CRUZ - VERTICAL'!$AY$6:$AY$546,'BM MORRO DA CRUZ - VERTICAL'!$B$6:$B$546,$A44),"")</f>
        <v/>
      </c>
      <c r="U45" s="273" t="str">
        <f>IF(SUMIFS('BM MORRO DA CRUZ - VERTICAL'!$BA$6:$BA$546,'BM MORRO DA CRUZ - VERTICAL'!$B$6:$B$546,$A44)&gt;0,SUMIFS('BM MORRO DA CRUZ - VERTICAL'!$BA$6:$BA$546,'BM MORRO DA CRUZ - VERTICAL'!$B$6:$B$546,$A44),"")</f>
        <v/>
      </c>
      <c r="V45" s="273" t="str">
        <f>IF(SUMIFS('BM MORRO DA CRUZ - VERTICAL'!$BC$6:$BC$546,'BM MORRO DA CRUZ - VERTICAL'!$B$6:$B$546,$A44)&gt;0,SUMIFS('BM MORRO DA CRUZ - VERTICAL'!$BC$6:$BC$546,'BM MORRO DA CRUZ - VERTICAL'!$B$6:$B$546,$A44),"")</f>
        <v/>
      </c>
      <c r="W45" s="273" t="str">
        <f>IF(SUMIFS('BM MORRO DA CRUZ - VERTICAL'!$BE$6:$BE$546,'BM MORRO DA CRUZ - VERTICAL'!$B$6:$B$546,$A44)&gt;0,SUMIFS('BM MORRO DA CRUZ - VERTICAL'!$BE$6:$BE$546,'BM MORRO DA CRUZ - VERTICAL'!$B$6:$B$546,$A44),"")</f>
        <v/>
      </c>
      <c r="Y45" s="257">
        <f>SUM(F45:W45)</f>
        <v>0</v>
      </c>
      <c r="Z45" s="257">
        <f>Y45-C44</f>
        <v>-2019878.8400000005</v>
      </c>
    </row>
    <row r="46" spans="1:26" ht="9.75" customHeight="1" x14ac:dyDescent="0.45">
      <c r="A46" s="467"/>
      <c r="B46" s="467"/>
      <c r="C46" s="469"/>
      <c r="D46" s="470"/>
      <c r="E46" s="258"/>
      <c r="F46" s="274"/>
      <c r="G46" s="274"/>
      <c r="H46" s="274"/>
      <c r="I46" s="274"/>
      <c r="J46" s="274"/>
      <c r="K46" s="274"/>
      <c r="L46" s="274"/>
      <c r="M46" s="274"/>
      <c r="N46" s="274"/>
      <c r="O46" s="274"/>
      <c r="P46" s="274"/>
      <c r="Q46" s="274"/>
      <c r="R46" s="274"/>
      <c r="S46" s="274"/>
      <c r="T46" s="274"/>
      <c r="U46" s="274"/>
      <c r="V46" s="274"/>
      <c r="W46" s="274"/>
      <c r="Y46" s="275"/>
      <c r="Z46" s="275"/>
    </row>
    <row r="47" spans="1:26" ht="9.75" customHeight="1" x14ac:dyDescent="0.45">
      <c r="A47" s="467"/>
      <c r="B47" s="467"/>
      <c r="C47" s="469"/>
      <c r="D47" s="470"/>
      <c r="E47" s="258"/>
      <c r="F47" s="274"/>
      <c r="G47" s="274"/>
      <c r="H47" s="274"/>
      <c r="I47" s="274"/>
      <c r="J47" s="274"/>
      <c r="K47" s="274"/>
      <c r="L47" s="274"/>
      <c r="M47" s="274"/>
      <c r="N47" s="274"/>
      <c r="O47" s="274"/>
      <c r="P47" s="274"/>
      <c r="Q47" s="274"/>
      <c r="R47" s="274"/>
      <c r="S47" s="274"/>
      <c r="T47" s="274"/>
      <c r="U47" s="274"/>
      <c r="V47" s="274"/>
      <c r="W47" s="274"/>
      <c r="Y47" s="275"/>
      <c r="Z47" s="275"/>
    </row>
    <row r="48" spans="1:26" ht="15" customHeight="1" x14ac:dyDescent="0.45">
      <c r="A48" s="467"/>
      <c r="B48" s="467"/>
      <c r="C48" s="469"/>
      <c r="D48" s="470"/>
      <c r="E48" s="260" t="s">
        <v>1571</v>
      </c>
      <c r="F48" s="276"/>
      <c r="G48" s="276">
        <v>6.25E-2</v>
      </c>
      <c r="H48" s="276">
        <v>6.25E-2</v>
      </c>
      <c r="I48" s="276">
        <v>6.25E-2</v>
      </c>
      <c r="J48" s="276">
        <v>6.25E-2</v>
      </c>
      <c r="K48" s="276">
        <v>6.25E-2</v>
      </c>
      <c r="L48" s="276">
        <v>6.25E-2</v>
      </c>
      <c r="M48" s="276">
        <v>6.25E-2</v>
      </c>
      <c r="N48" s="276">
        <v>6.25E-2</v>
      </c>
      <c r="O48" s="276">
        <v>6.25E-2</v>
      </c>
      <c r="P48" s="276">
        <v>6.25E-2</v>
      </c>
      <c r="Q48" s="276">
        <v>6.25E-2</v>
      </c>
      <c r="R48" s="276">
        <v>6.25E-2</v>
      </c>
      <c r="S48" s="276">
        <v>6.25E-2</v>
      </c>
      <c r="T48" s="276">
        <v>6.25E-2</v>
      </c>
      <c r="U48" s="276">
        <v>6.25E-2</v>
      </c>
      <c r="V48" s="276">
        <v>6.25E-2</v>
      </c>
      <c r="W48" s="276"/>
      <c r="Y48" s="275"/>
      <c r="Z48" s="275"/>
    </row>
    <row r="49" spans="1:26" ht="15" customHeight="1" x14ac:dyDescent="0.45">
      <c r="A49" s="467"/>
      <c r="B49" s="467"/>
      <c r="C49" s="469"/>
      <c r="D49" s="470"/>
      <c r="E49" s="263" t="s">
        <v>1572</v>
      </c>
      <c r="F49" s="265">
        <f t="shared" ref="F49:W49" si="13">IFERROR(F45/$C44,0)</f>
        <v>0</v>
      </c>
      <c r="G49" s="265">
        <f t="shared" si="13"/>
        <v>0</v>
      </c>
      <c r="H49" s="265">
        <f t="shared" si="13"/>
        <v>0</v>
      </c>
      <c r="I49" s="265">
        <f t="shared" si="13"/>
        <v>0</v>
      </c>
      <c r="J49" s="265">
        <f t="shared" si="13"/>
        <v>0</v>
      </c>
      <c r="K49" s="265">
        <f t="shared" si="13"/>
        <v>0</v>
      </c>
      <c r="L49" s="265">
        <f t="shared" si="13"/>
        <v>0</v>
      </c>
      <c r="M49" s="265">
        <f t="shared" si="13"/>
        <v>0</v>
      </c>
      <c r="N49" s="265">
        <f t="shared" si="13"/>
        <v>0</v>
      </c>
      <c r="O49" s="265">
        <f t="shared" si="13"/>
        <v>0</v>
      </c>
      <c r="P49" s="265">
        <f t="shared" si="13"/>
        <v>0</v>
      </c>
      <c r="Q49" s="265">
        <f t="shared" si="13"/>
        <v>0</v>
      </c>
      <c r="R49" s="265">
        <f t="shared" si="13"/>
        <v>0</v>
      </c>
      <c r="S49" s="265">
        <f t="shared" si="13"/>
        <v>0</v>
      </c>
      <c r="T49" s="265">
        <f t="shared" si="13"/>
        <v>0</v>
      </c>
      <c r="U49" s="265">
        <f t="shared" si="13"/>
        <v>0</v>
      </c>
      <c r="V49" s="265">
        <f t="shared" si="13"/>
        <v>0</v>
      </c>
      <c r="W49" s="265">
        <f t="shared" si="13"/>
        <v>0</v>
      </c>
      <c r="Y49" s="275"/>
      <c r="Z49" s="275"/>
    </row>
    <row r="50" spans="1:26" ht="7.5" customHeight="1" x14ac:dyDescent="0.45">
      <c r="A50" s="266"/>
      <c r="B50" s="267"/>
      <c r="C50" s="268"/>
      <c r="D50" s="269"/>
      <c r="E50" s="270"/>
      <c r="F50" s="271"/>
      <c r="G50" s="271"/>
      <c r="H50" s="271"/>
      <c r="I50" s="271"/>
      <c r="J50" s="271"/>
      <c r="K50" s="271"/>
      <c r="L50" s="271"/>
      <c r="M50" s="271"/>
      <c r="N50" s="271"/>
      <c r="O50" s="271"/>
      <c r="P50" s="271"/>
      <c r="Q50" s="271"/>
      <c r="R50" s="271"/>
      <c r="S50" s="272"/>
      <c r="T50" s="271"/>
      <c r="U50" s="271"/>
      <c r="V50" s="271"/>
      <c r="W50" s="271"/>
    </row>
    <row r="51" spans="1:26" ht="15" customHeight="1" x14ac:dyDescent="0.45">
      <c r="A51" s="471">
        <v>2</v>
      </c>
      <c r="B51" s="472" t="s">
        <v>1575</v>
      </c>
      <c r="C51" s="473">
        <f>SUM(C58:C91)</f>
        <v>32166009.680000015</v>
      </c>
      <c r="D51" s="474">
        <f>C51/$C$128</f>
        <v>0.64488405474677724</v>
      </c>
      <c r="E51" s="251" t="s">
        <v>1569</v>
      </c>
      <c r="F51" s="252">
        <f t="shared" ref="F51:W51" si="14">IF(SUM(F58,F65,F72,F79,F86)&gt;0,SUM(F58,F65,F72,F79,F86),"")</f>
        <v>32118.620555555583</v>
      </c>
      <c r="G51" s="252">
        <f t="shared" si="14"/>
        <v>2006360.7774305565</v>
      </c>
      <c r="H51" s="252">
        <f t="shared" si="14"/>
        <v>2006360.7774305565</v>
      </c>
      <c r="I51" s="252">
        <f t="shared" si="14"/>
        <v>2006360.7774305565</v>
      </c>
      <c r="J51" s="252">
        <f t="shared" si="14"/>
        <v>2006360.7774305565</v>
      </c>
      <c r="K51" s="252">
        <f t="shared" si="14"/>
        <v>2006360.7774305565</v>
      </c>
      <c r="L51" s="252">
        <f t="shared" si="14"/>
        <v>2006360.7774305565</v>
      </c>
      <c r="M51" s="252">
        <f t="shared" si="14"/>
        <v>2006360.7774305565</v>
      </c>
      <c r="N51" s="252">
        <f t="shared" si="14"/>
        <v>2006360.7774305565</v>
      </c>
      <c r="O51" s="252">
        <f t="shared" si="14"/>
        <v>2006360.7774305565</v>
      </c>
      <c r="P51" s="252">
        <f t="shared" si="14"/>
        <v>2006360.7774305565</v>
      </c>
      <c r="Q51" s="252">
        <f t="shared" si="14"/>
        <v>2006360.7774305565</v>
      </c>
      <c r="R51" s="252">
        <f t="shared" si="14"/>
        <v>2006360.7774305565</v>
      </c>
      <c r="S51" s="252">
        <f t="shared" si="14"/>
        <v>2006360.7774305565</v>
      </c>
      <c r="T51" s="252">
        <f t="shared" si="14"/>
        <v>2006360.7774305565</v>
      </c>
      <c r="U51" s="252">
        <f t="shared" si="14"/>
        <v>2006360.7774305565</v>
      </c>
      <c r="V51" s="252">
        <f t="shared" si="14"/>
        <v>2006360.7774305565</v>
      </c>
      <c r="W51" s="252">
        <f t="shared" si="14"/>
        <v>32118.620555555583</v>
      </c>
      <c r="Y51" s="253">
        <f>SUM(F51:W51)</f>
        <v>32166009.680000018</v>
      </c>
      <c r="Z51" s="253">
        <f>Y51-C51</f>
        <v>0</v>
      </c>
    </row>
    <row r="52" spans="1:26" ht="15" customHeight="1" x14ac:dyDescent="0.45">
      <c r="A52" s="471"/>
      <c r="B52" s="471"/>
      <c r="C52" s="473"/>
      <c r="D52" s="474"/>
      <c r="E52" s="254" t="s">
        <v>1570</v>
      </c>
      <c r="F52" s="255" t="str">
        <f t="shared" ref="F52:W52" si="15">IF(SUM(F59,F66,F73,F80,F87)&gt;0,SUM(F59,F66,F73,F80,F87),"")</f>
        <v/>
      </c>
      <c r="G52" s="256" t="str">
        <f t="shared" si="15"/>
        <v/>
      </c>
      <c r="H52" s="256" t="str">
        <f t="shared" si="15"/>
        <v/>
      </c>
      <c r="I52" s="256" t="str">
        <f t="shared" si="15"/>
        <v/>
      </c>
      <c r="J52" s="256" t="str">
        <f t="shared" si="15"/>
        <v/>
      </c>
      <c r="K52" s="256" t="str">
        <f t="shared" si="15"/>
        <v/>
      </c>
      <c r="L52" s="256" t="str">
        <f t="shared" si="15"/>
        <v/>
      </c>
      <c r="M52" s="256" t="str">
        <f t="shared" si="15"/>
        <v/>
      </c>
      <c r="N52" s="256" t="str">
        <f t="shared" si="15"/>
        <v/>
      </c>
      <c r="O52" s="256" t="str">
        <f t="shared" si="15"/>
        <v/>
      </c>
      <c r="P52" s="256" t="str">
        <f t="shared" si="15"/>
        <v/>
      </c>
      <c r="Q52" s="256" t="str">
        <f t="shared" si="15"/>
        <v/>
      </c>
      <c r="R52" s="256" t="str">
        <f t="shared" si="15"/>
        <v/>
      </c>
      <c r="S52" s="256" t="str">
        <f t="shared" si="15"/>
        <v/>
      </c>
      <c r="T52" s="256" t="str">
        <f t="shared" si="15"/>
        <v/>
      </c>
      <c r="U52" s="256" t="str">
        <f t="shared" si="15"/>
        <v/>
      </c>
      <c r="V52" s="256" t="str">
        <f t="shared" si="15"/>
        <v/>
      </c>
      <c r="W52" s="256" t="str">
        <f t="shared" si="15"/>
        <v/>
      </c>
      <c r="Y52" s="257">
        <f>SUM(F52:W52)</f>
        <v>0</v>
      </c>
      <c r="Z52" s="257">
        <f>Y52-C51</f>
        <v>-32166009.680000015</v>
      </c>
    </row>
    <row r="53" spans="1:26" ht="9.75" customHeight="1" x14ac:dyDescent="0.45">
      <c r="A53" s="471"/>
      <c r="B53" s="471"/>
      <c r="C53" s="473"/>
      <c r="D53" s="474"/>
      <c r="E53" s="258"/>
      <c r="F53" s="259"/>
      <c r="G53" s="259"/>
      <c r="H53" s="259"/>
      <c r="I53" s="259"/>
      <c r="J53" s="259"/>
      <c r="K53" s="259"/>
      <c r="L53" s="259"/>
      <c r="M53" s="259"/>
      <c r="N53" s="259"/>
      <c r="O53" s="259"/>
      <c r="P53" s="259"/>
      <c r="Q53" s="259"/>
      <c r="R53" s="259"/>
      <c r="S53" s="259"/>
      <c r="T53" s="259"/>
      <c r="U53" s="259"/>
      <c r="V53" s="259"/>
      <c r="W53" s="259"/>
    </row>
    <row r="54" spans="1:26" ht="9.75" customHeight="1" x14ac:dyDescent="0.45">
      <c r="A54" s="471"/>
      <c r="B54" s="471"/>
      <c r="C54" s="473"/>
      <c r="D54" s="474"/>
      <c r="E54" s="258"/>
      <c r="F54" s="259"/>
      <c r="G54" s="259"/>
      <c r="H54" s="259"/>
      <c r="I54" s="259"/>
      <c r="J54" s="259"/>
      <c r="K54" s="259"/>
      <c r="L54" s="259"/>
      <c r="M54" s="259"/>
      <c r="N54" s="259"/>
      <c r="O54" s="259"/>
      <c r="P54" s="259"/>
      <c r="Q54" s="259"/>
      <c r="R54" s="259"/>
      <c r="S54" s="259"/>
      <c r="T54" s="259"/>
      <c r="U54" s="259"/>
      <c r="V54" s="259"/>
      <c r="W54" s="259"/>
    </row>
    <row r="55" spans="1:26" ht="15" customHeight="1" x14ac:dyDescent="0.45">
      <c r="A55" s="471"/>
      <c r="B55" s="471"/>
      <c r="C55" s="473"/>
      <c r="D55" s="474"/>
      <c r="E55" s="260" t="s">
        <v>1571</v>
      </c>
      <c r="F55" s="261">
        <f t="shared" ref="F55:W55" si="16">IFERROR(F51/$C51,0)</f>
        <v>9.9852673287996008E-4</v>
      </c>
      <c r="G55" s="261">
        <f t="shared" si="16"/>
        <v>6.2375184158390003E-2</v>
      </c>
      <c r="H55" s="261">
        <f t="shared" si="16"/>
        <v>6.2375184158390003E-2</v>
      </c>
      <c r="I55" s="261">
        <f t="shared" si="16"/>
        <v>6.2375184158390003E-2</v>
      </c>
      <c r="J55" s="261">
        <f t="shared" si="16"/>
        <v>6.2375184158390003E-2</v>
      </c>
      <c r="K55" s="261">
        <f t="shared" si="16"/>
        <v>6.2375184158390003E-2</v>
      </c>
      <c r="L55" s="261">
        <f t="shared" si="16"/>
        <v>6.2375184158390003E-2</v>
      </c>
      <c r="M55" s="261">
        <f t="shared" si="16"/>
        <v>6.2375184158390003E-2</v>
      </c>
      <c r="N55" s="261">
        <f t="shared" si="16"/>
        <v>6.2375184158390003E-2</v>
      </c>
      <c r="O55" s="261">
        <f t="shared" si="16"/>
        <v>6.2375184158390003E-2</v>
      </c>
      <c r="P55" s="261">
        <f t="shared" si="16"/>
        <v>6.2375184158390003E-2</v>
      </c>
      <c r="Q55" s="261">
        <f t="shared" si="16"/>
        <v>6.2375184158390003E-2</v>
      </c>
      <c r="R55" s="261">
        <f t="shared" si="16"/>
        <v>6.2375184158390003E-2</v>
      </c>
      <c r="S55" s="261">
        <f t="shared" si="16"/>
        <v>6.2375184158390003E-2</v>
      </c>
      <c r="T55" s="261">
        <f t="shared" si="16"/>
        <v>6.2375184158390003E-2</v>
      </c>
      <c r="U55" s="261">
        <f t="shared" si="16"/>
        <v>6.2375184158390003E-2</v>
      </c>
      <c r="V55" s="261">
        <f t="shared" si="16"/>
        <v>6.2375184158390003E-2</v>
      </c>
      <c r="W55" s="261">
        <f t="shared" si="16"/>
        <v>9.9852673287996008E-4</v>
      </c>
      <c r="Y55" s="277">
        <f>SUM(F55:W55)</f>
        <v>1.0000000000000002</v>
      </c>
      <c r="Z55" s="277">
        <f>Y55-C55</f>
        <v>1.0000000000000002</v>
      </c>
    </row>
    <row r="56" spans="1:26" ht="15" customHeight="1" x14ac:dyDescent="0.45">
      <c r="A56" s="471"/>
      <c r="B56" s="471"/>
      <c r="C56" s="473"/>
      <c r="D56" s="474"/>
      <c r="E56" s="263" t="s">
        <v>1572</v>
      </c>
      <c r="F56" s="264">
        <f t="shared" ref="F56:W56" si="17">IFERROR(F52/$C51,0)</f>
        <v>0</v>
      </c>
      <c r="G56" s="264">
        <f t="shared" si="17"/>
        <v>0</v>
      </c>
      <c r="H56" s="264">
        <f t="shared" si="17"/>
        <v>0</v>
      </c>
      <c r="I56" s="264">
        <f t="shared" si="17"/>
        <v>0</v>
      </c>
      <c r="J56" s="264">
        <f t="shared" si="17"/>
        <v>0</v>
      </c>
      <c r="K56" s="264">
        <f t="shared" si="17"/>
        <v>0</v>
      </c>
      <c r="L56" s="264">
        <f t="shared" si="17"/>
        <v>0</v>
      </c>
      <c r="M56" s="264">
        <f t="shared" si="17"/>
        <v>0</v>
      </c>
      <c r="N56" s="264">
        <f t="shared" si="17"/>
        <v>0</v>
      </c>
      <c r="O56" s="264">
        <f t="shared" si="17"/>
        <v>0</v>
      </c>
      <c r="P56" s="264">
        <f t="shared" si="17"/>
        <v>0</v>
      </c>
      <c r="Q56" s="264">
        <f t="shared" si="17"/>
        <v>0</v>
      </c>
      <c r="R56" s="264">
        <f t="shared" si="17"/>
        <v>0</v>
      </c>
      <c r="S56" s="264">
        <f t="shared" si="17"/>
        <v>0</v>
      </c>
      <c r="T56" s="264">
        <f t="shared" si="17"/>
        <v>0</v>
      </c>
      <c r="U56" s="264">
        <f t="shared" si="17"/>
        <v>0</v>
      </c>
      <c r="V56" s="264">
        <f t="shared" si="17"/>
        <v>0</v>
      </c>
      <c r="W56" s="264">
        <f t="shared" si="17"/>
        <v>0</v>
      </c>
      <c r="Y56" s="277">
        <f>SUM(F56:W56)</f>
        <v>0</v>
      </c>
      <c r="Z56" s="277">
        <f>Y56-C55</f>
        <v>0</v>
      </c>
    </row>
    <row r="57" spans="1:26" ht="7.5" customHeight="1" x14ac:dyDescent="0.45">
      <c r="A57" s="266"/>
      <c r="B57" s="267"/>
      <c r="C57" s="268"/>
      <c r="D57" s="269"/>
      <c r="E57" s="270"/>
      <c r="F57" s="271"/>
      <c r="G57" s="271"/>
      <c r="H57" s="271"/>
      <c r="I57" s="271"/>
      <c r="J57" s="271"/>
      <c r="K57" s="271"/>
      <c r="L57" s="271"/>
      <c r="M57" s="271"/>
      <c r="N57" s="271"/>
      <c r="O57" s="271"/>
      <c r="P57" s="271"/>
      <c r="Q57" s="271"/>
      <c r="R57" s="271"/>
      <c r="S57" s="272"/>
      <c r="T57" s="271"/>
      <c r="U57" s="271"/>
      <c r="V57" s="271"/>
      <c r="W57" s="271"/>
    </row>
    <row r="58" spans="1:26" ht="15" customHeight="1" x14ac:dyDescent="0.45">
      <c r="A58" s="467" t="s">
        <v>45</v>
      </c>
      <c r="B58" s="468" t="s">
        <v>1576</v>
      </c>
      <c r="C58" s="469">
        <f>IFERROR(SUMIFS('BM MORRO DA CRUZ - VERTICAL'!$U$6:$U$546,'BM MORRO DA CRUZ - VERTICAL'!$B$6:$B$546,$A58),0)</f>
        <v>578135.17000000004</v>
      </c>
      <c r="D58" s="470">
        <f>C58/$C$128</f>
        <v>1.1590811428908245E-2</v>
      </c>
      <c r="E58" s="251" t="s">
        <v>1569</v>
      </c>
      <c r="F58" s="253">
        <f t="shared" ref="F58:W58" si="18">IF(F62*$C58&gt;0,F62*$C58,"")</f>
        <v>32118.620555555583</v>
      </c>
      <c r="G58" s="253">
        <f t="shared" si="18"/>
        <v>32118.620555555583</v>
      </c>
      <c r="H58" s="253">
        <f t="shared" si="18"/>
        <v>32118.620555555583</v>
      </c>
      <c r="I58" s="253">
        <f t="shared" si="18"/>
        <v>32118.620555555583</v>
      </c>
      <c r="J58" s="253">
        <f t="shared" si="18"/>
        <v>32118.620555555583</v>
      </c>
      <c r="K58" s="253">
        <f t="shared" si="18"/>
        <v>32118.620555555583</v>
      </c>
      <c r="L58" s="253">
        <f t="shared" si="18"/>
        <v>32118.620555555583</v>
      </c>
      <c r="M58" s="253">
        <f t="shared" si="18"/>
        <v>32118.620555555583</v>
      </c>
      <c r="N58" s="253">
        <f t="shared" si="18"/>
        <v>32118.620555555583</v>
      </c>
      <c r="O58" s="253">
        <f t="shared" si="18"/>
        <v>32118.620555555583</v>
      </c>
      <c r="P58" s="253">
        <f t="shared" si="18"/>
        <v>32118.620555555583</v>
      </c>
      <c r="Q58" s="253">
        <f t="shared" si="18"/>
        <v>32118.620555555583</v>
      </c>
      <c r="R58" s="253">
        <f t="shared" si="18"/>
        <v>32118.620555555583</v>
      </c>
      <c r="S58" s="253">
        <f t="shared" si="18"/>
        <v>32118.620555555583</v>
      </c>
      <c r="T58" s="253">
        <f t="shared" si="18"/>
        <v>32118.620555555583</v>
      </c>
      <c r="U58" s="253">
        <f t="shared" si="18"/>
        <v>32118.620555555583</v>
      </c>
      <c r="V58" s="253">
        <f t="shared" si="18"/>
        <v>32118.620555555583</v>
      </c>
      <c r="W58" s="253">
        <f t="shared" si="18"/>
        <v>32118.620555555583</v>
      </c>
      <c r="Y58" s="253">
        <f>SUM(F58:W58)</f>
        <v>578135.17000000039</v>
      </c>
      <c r="Z58" s="253">
        <f>Y58-C58</f>
        <v>0</v>
      </c>
    </row>
    <row r="59" spans="1:26" ht="15" customHeight="1" x14ac:dyDescent="0.45">
      <c r="A59" s="467"/>
      <c r="B59" s="467"/>
      <c r="C59" s="469"/>
      <c r="D59" s="470"/>
      <c r="E59" s="254" t="s">
        <v>1570</v>
      </c>
      <c r="F59" s="273" t="str">
        <f>IF(SUMIFS('BM MORRO DA CRUZ - VERTICAL'!$W$6:$W$546,'BM MORRO DA CRUZ - VERTICAL'!$B$6:$B$546,$A58)&gt;0,SUMIFS('BM MORRO DA CRUZ - VERTICAL'!$W$6:$W$546,'BM MORRO DA CRUZ - VERTICAL'!$B$6:$B$546,$A58),"")</f>
        <v/>
      </c>
      <c r="G59" s="273" t="str">
        <f>IF(SUMIFS('BM MORRO DA CRUZ - VERTICAL'!$Y$6:$Y$546,'BM MORRO DA CRUZ - VERTICAL'!$B$6:$B$546,$A58)&gt;0,SUMIFS('BM MORRO DA CRUZ - VERTICAL'!$Y$6:$Y$546,'BM MORRO DA CRUZ - VERTICAL'!$B$6:$B$546,$A58),"")</f>
        <v/>
      </c>
      <c r="H59" s="273" t="str">
        <f>IF(SUMIFS('BM MORRO DA CRUZ - VERTICAL'!$AA$6:$AA$546,'BM MORRO DA CRUZ - VERTICAL'!$B$6:$B$546,$A58)&gt;0,SUMIFS('BM MORRO DA CRUZ - VERTICAL'!$AA$6:$AA$546,'BM MORRO DA CRUZ - VERTICAL'!$B$6:$B$546,$A58),"")</f>
        <v/>
      </c>
      <c r="I59" s="273" t="str">
        <f>IF(SUMIFS('BM MORRO DA CRUZ - VERTICAL'!$AC$6:$AC$546,'BM MORRO DA CRUZ - VERTICAL'!$B$6:$B$546,$A58)&gt;0,SUMIFS('BM MORRO DA CRUZ - VERTICAL'!$AC$6:$AC$546,'BM MORRO DA CRUZ - VERTICAL'!$B$6:$B$546,$A58),"")</f>
        <v/>
      </c>
      <c r="J59" s="273" t="str">
        <f>IF(SUMIFS('BM MORRO DA CRUZ - VERTICAL'!$AE$6:$AE$546,'BM MORRO DA CRUZ - VERTICAL'!$B$6:$B$546,$A58)&gt;0,SUMIFS('BM MORRO DA CRUZ - VERTICAL'!$AE$6:$AE$546,'BM MORRO DA CRUZ - VERTICAL'!$B$6:$B$546,$A58),"")</f>
        <v/>
      </c>
      <c r="K59" s="273" t="str">
        <f>IF(SUMIFS('BM MORRO DA CRUZ - VERTICAL'!$AG$6:$AG$546,'BM MORRO DA CRUZ - VERTICAL'!$B$6:$B$546,$A58)&gt;0,SUMIFS('BM MORRO DA CRUZ - VERTICAL'!$AG$6:$AG$546,'BM MORRO DA CRUZ - VERTICAL'!$B$6:$B$546,$A58),"")</f>
        <v/>
      </c>
      <c r="L59" s="273" t="str">
        <f>IF(SUMIFS('BM MORRO DA CRUZ - VERTICAL'!$AI$6:$AI$546,'BM MORRO DA CRUZ - VERTICAL'!$B$6:$B$546,$A58)&gt;0,SUMIFS('BM MORRO DA CRUZ - VERTICAL'!$AI$6:$AI$546,'BM MORRO DA CRUZ - VERTICAL'!$B$6:$B$546,$A58),"")</f>
        <v/>
      </c>
      <c r="M59" s="273" t="str">
        <f>IF(SUMIFS('BM MORRO DA CRUZ - VERTICAL'!$AK$6:$AK$546,'BM MORRO DA CRUZ - VERTICAL'!$B$6:$B$546,$A58)&gt;0,SUMIFS('BM MORRO DA CRUZ - VERTICAL'!$AK$6:$AK$546,'BM MORRO DA CRUZ - VERTICAL'!$B$6:$B$546,$A58),"")</f>
        <v/>
      </c>
      <c r="N59" s="273" t="str">
        <f>IF(SUMIFS('BM MORRO DA CRUZ - VERTICAL'!$AM$6:$AM$546,'BM MORRO DA CRUZ - VERTICAL'!$B$6:$B$546,$A58)&gt;0,SUMIFS('BM MORRO DA CRUZ - VERTICAL'!$AM$6:$AM$546,'BM MORRO DA CRUZ - VERTICAL'!$B$6:$B$546,$A58),"")</f>
        <v/>
      </c>
      <c r="O59" s="273" t="str">
        <f>IF(SUMIFS('BM MORRO DA CRUZ - VERTICAL'!$AO$6:$AO$546,'BM MORRO DA CRUZ - VERTICAL'!$B$6:$B$546,$A58)&gt;0,SUMIFS('BM MORRO DA CRUZ - VERTICAL'!$AO$6:$AO$546,'BM MORRO DA CRUZ - VERTICAL'!$B$6:$B$546,$A58),"")</f>
        <v/>
      </c>
      <c r="P59" s="273" t="str">
        <f>IF(SUMIFS('BM MORRO DA CRUZ - VERTICAL'!$AQ$6:$AQ$546,'BM MORRO DA CRUZ - VERTICAL'!$B$6:$B$546,$A58)&gt;0,SUMIFS('BM MORRO DA CRUZ - VERTICAL'!$AQ$6:$AQ$546,'BM MORRO DA CRUZ - VERTICAL'!$B$6:$B$546,$A58),"")</f>
        <v/>
      </c>
      <c r="Q59" s="273" t="str">
        <f>IF(SUMIFS('BM MORRO DA CRUZ - VERTICAL'!$AS$6:$AS$546,'BM MORRO DA CRUZ - VERTICAL'!$B$6:$B$546,$A58)&gt;0,SUMIFS('BM MORRO DA CRUZ - VERTICAL'!$AS$6:$AS$546,'BM MORRO DA CRUZ - VERTICAL'!$B$6:$B$546,$A58),"")</f>
        <v/>
      </c>
      <c r="R59" s="273" t="str">
        <f>IF(SUMIFS('BM MORRO DA CRUZ - VERTICAL'!$AU$6:$AU$546,'BM MORRO DA CRUZ - VERTICAL'!$B$6:$B$546,$A58)&gt;0,SUMIFS('BM MORRO DA CRUZ - VERTICAL'!$AU$6:$AU$546,'BM MORRO DA CRUZ - VERTICAL'!$B$6:$B$546,$A58),"")</f>
        <v/>
      </c>
      <c r="S59" s="273" t="str">
        <f>IF(SUMIFS('BM MORRO DA CRUZ - VERTICAL'!$AW$6:$AW$546,'BM MORRO DA CRUZ - VERTICAL'!$B$6:$B$546,$A58)&gt;0,SUMIFS('BM MORRO DA CRUZ - VERTICAL'!$AW$6:$AW$546,'BM MORRO DA CRUZ - VERTICAL'!$B$6:$B$546,$A58),"")</f>
        <v/>
      </c>
      <c r="T59" s="273" t="str">
        <f>IF(SUMIFS('BM MORRO DA CRUZ - VERTICAL'!$AY$6:$AY$546,'BM MORRO DA CRUZ - VERTICAL'!$B$6:$B$546,$A58)&gt;0,SUMIFS('BM MORRO DA CRUZ - VERTICAL'!$AY$6:$AY$546,'BM MORRO DA CRUZ - VERTICAL'!$B$6:$B$546,$A58),"")</f>
        <v/>
      </c>
      <c r="U59" s="273" t="str">
        <f>IF(SUMIFS('BM MORRO DA CRUZ - VERTICAL'!$BA$6:$BA$546,'BM MORRO DA CRUZ - VERTICAL'!$B$6:$B$546,$A58)&gt;0,SUMIFS('BM MORRO DA CRUZ - VERTICAL'!$BA$6:$BA$546,'BM MORRO DA CRUZ - VERTICAL'!$B$6:$B$546,$A58),"")</f>
        <v/>
      </c>
      <c r="V59" s="273" t="str">
        <f>IF(SUMIFS('BM MORRO DA CRUZ - VERTICAL'!$BC$6:$BC$546,'BM MORRO DA CRUZ - VERTICAL'!$B$6:$B$546,$A58)&gt;0,SUMIFS('BM MORRO DA CRUZ - VERTICAL'!$BC$6:$BC$546,'BM MORRO DA CRUZ - VERTICAL'!$B$6:$B$546,$A58),"")</f>
        <v/>
      </c>
      <c r="W59" s="273" t="str">
        <f>IF(SUMIFS('BM MORRO DA CRUZ - VERTICAL'!$BE$6:$BE$546,'BM MORRO DA CRUZ - VERTICAL'!$B$6:$B$546,$A58)&gt;0,SUMIFS('BM MORRO DA CRUZ - VERTICAL'!$BE$6:$BE$546,'BM MORRO DA CRUZ - VERTICAL'!$B$6:$B$546,$A58),"")</f>
        <v/>
      </c>
      <c r="Y59" s="257">
        <f>SUM(F59:W59)</f>
        <v>0</v>
      </c>
      <c r="Z59" s="257">
        <f>Y59-C58</f>
        <v>-578135.17000000004</v>
      </c>
    </row>
    <row r="60" spans="1:26" ht="9.75" customHeight="1" x14ac:dyDescent="0.45">
      <c r="A60" s="467"/>
      <c r="B60" s="467"/>
      <c r="C60" s="469"/>
      <c r="D60" s="470"/>
      <c r="E60" s="258"/>
      <c r="F60" s="274"/>
      <c r="G60" s="274"/>
      <c r="H60" s="274"/>
      <c r="I60" s="274"/>
      <c r="J60" s="274"/>
      <c r="K60" s="274"/>
      <c r="L60" s="274"/>
      <c r="M60" s="274"/>
      <c r="N60" s="274"/>
      <c r="O60" s="274"/>
      <c r="P60" s="274"/>
      <c r="Q60" s="274"/>
      <c r="R60" s="274"/>
      <c r="S60" s="274"/>
      <c r="T60" s="274"/>
      <c r="U60" s="274"/>
      <c r="V60" s="274"/>
      <c r="W60" s="274"/>
      <c r="Y60" s="275"/>
      <c r="Z60" s="275"/>
    </row>
    <row r="61" spans="1:26" ht="9.75" customHeight="1" x14ac:dyDescent="0.45">
      <c r="A61" s="467"/>
      <c r="B61" s="467"/>
      <c r="C61" s="469"/>
      <c r="D61" s="470"/>
      <c r="E61" s="258"/>
      <c r="F61" s="274"/>
      <c r="G61" s="274"/>
      <c r="H61" s="274"/>
      <c r="I61" s="274"/>
      <c r="J61" s="274"/>
      <c r="K61" s="274"/>
      <c r="L61" s="274"/>
      <c r="M61" s="274"/>
      <c r="N61" s="274"/>
      <c r="O61" s="274"/>
      <c r="P61" s="274"/>
      <c r="Q61" s="274"/>
      <c r="R61" s="274"/>
      <c r="S61" s="274"/>
      <c r="T61" s="274"/>
      <c r="U61" s="274"/>
      <c r="V61" s="274"/>
      <c r="W61" s="274"/>
      <c r="Y61" s="275"/>
      <c r="Z61" s="275"/>
    </row>
    <row r="62" spans="1:26" ht="15" customHeight="1" x14ac:dyDescent="0.45">
      <c r="A62" s="467"/>
      <c r="B62" s="467"/>
      <c r="C62" s="469"/>
      <c r="D62" s="470"/>
      <c r="E62" s="260" t="s">
        <v>1571</v>
      </c>
      <c r="F62" s="276">
        <v>5.5555555555555601E-2</v>
      </c>
      <c r="G62" s="276">
        <v>5.5555555555555601E-2</v>
      </c>
      <c r="H62" s="276">
        <v>5.5555555555555601E-2</v>
      </c>
      <c r="I62" s="276">
        <v>5.5555555555555601E-2</v>
      </c>
      <c r="J62" s="276">
        <v>5.5555555555555601E-2</v>
      </c>
      <c r="K62" s="276">
        <v>5.5555555555555601E-2</v>
      </c>
      <c r="L62" s="276">
        <v>5.5555555555555601E-2</v>
      </c>
      <c r="M62" s="276">
        <v>5.5555555555555601E-2</v>
      </c>
      <c r="N62" s="276">
        <v>5.5555555555555601E-2</v>
      </c>
      <c r="O62" s="276">
        <v>5.5555555555555601E-2</v>
      </c>
      <c r="P62" s="276">
        <v>5.5555555555555601E-2</v>
      </c>
      <c r="Q62" s="276">
        <v>5.5555555555555601E-2</v>
      </c>
      <c r="R62" s="276">
        <v>5.5555555555555601E-2</v>
      </c>
      <c r="S62" s="276">
        <v>5.5555555555555601E-2</v>
      </c>
      <c r="T62" s="276">
        <v>5.5555555555555601E-2</v>
      </c>
      <c r="U62" s="276">
        <v>5.5555555555555601E-2</v>
      </c>
      <c r="V62" s="276">
        <v>5.5555555555555601E-2</v>
      </c>
      <c r="W62" s="276">
        <v>5.5555555555555601E-2</v>
      </c>
      <c r="Y62" s="275"/>
      <c r="Z62" s="275"/>
    </row>
    <row r="63" spans="1:26" ht="15" customHeight="1" x14ac:dyDescent="0.45">
      <c r="A63" s="467"/>
      <c r="B63" s="467"/>
      <c r="C63" s="469"/>
      <c r="D63" s="470"/>
      <c r="E63" s="263" t="s">
        <v>1572</v>
      </c>
      <c r="F63" s="265">
        <f t="shared" ref="F63:W63" si="19">IFERROR(F59/$C58,0)</f>
        <v>0</v>
      </c>
      <c r="G63" s="265">
        <f t="shared" si="19"/>
        <v>0</v>
      </c>
      <c r="H63" s="265">
        <f t="shared" si="19"/>
        <v>0</v>
      </c>
      <c r="I63" s="265">
        <f t="shared" si="19"/>
        <v>0</v>
      </c>
      <c r="J63" s="265">
        <f t="shared" si="19"/>
        <v>0</v>
      </c>
      <c r="K63" s="265">
        <f t="shared" si="19"/>
        <v>0</v>
      </c>
      <c r="L63" s="265">
        <f t="shared" si="19"/>
        <v>0</v>
      </c>
      <c r="M63" s="265">
        <f t="shared" si="19"/>
        <v>0</v>
      </c>
      <c r="N63" s="265">
        <f t="shared" si="19"/>
        <v>0</v>
      </c>
      <c r="O63" s="265">
        <f t="shared" si="19"/>
        <v>0</v>
      </c>
      <c r="P63" s="265">
        <f t="shared" si="19"/>
        <v>0</v>
      </c>
      <c r="Q63" s="265">
        <f t="shared" si="19"/>
        <v>0</v>
      </c>
      <c r="R63" s="265">
        <f t="shared" si="19"/>
        <v>0</v>
      </c>
      <c r="S63" s="265">
        <f t="shared" si="19"/>
        <v>0</v>
      </c>
      <c r="T63" s="265">
        <f t="shared" si="19"/>
        <v>0</v>
      </c>
      <c r="U63" s="265">
        <f t="shared" si="19"/>
        <v>0</v>
      </c>
      <c r="V63" s="265">
        <f t="shared" si="19"/>
        <v>0</v>
      </c>
      <c r="W63" s="265">
        <f t="shared" si="19"/>
        <v>0</v>
      </c>
      <c r="Y63" s="275"/>
      <c r="Z63" s="275"/>
    </row>
    <row r="64" spans="1:26" ht="7.5" customHeight="1" x14ac:dyDescent="0.45">
      <c r="A64" s="266"/>
      <c r="B64" s="267"/>
      <c r="C64" s="268"/>
      <c r="D64" s="269"/>
      <c r="E64" s="270"/>
      <c r="F64" s="271"/>
      <c r="G64" s="271"/>
      <c r="H64" s="271"/>
      <c r="I64" s="271"/>
      <c r="J64" s="271"/>
      <c r="K64" s="271"/>
      <c r="L64" s="271"/>
      <c r="M64" s="271"/>
      <c r="N64" s="271"/>
      <c r="O64" s="271"/>
      <c r="P64" s="271"/>
      <c r="Q64" s="271"/>
      <c r="R64" s="271"/>
      <c r="S64" s="272"/>
      <c r="T64" s="271"/>
      <c r="U64" s="271"/>
      <c r="V64" s="271"/>
      <c r="W64" s="271"/>
    </row>
    <row r="65" spans="1:26" ht="15" customHeight="1" x14ac:dyDescent="0.45">
      <c r="A65" s="467" t="s">
        <v>1472</v>
      </c>
      <c r="B65" s="468" t="s">
        <v>1473</v>
      </c>
      <c r="C65" s="469">
        <f>IFERROR(SUMIFS('BM MORRO DA CRUZ - VERTICAL'!$U$6:$U$546,'BM MORRO DA CRUZ - VERTICAL'!$B$6:$B$546,$A65),0)</f>
        <v>28341359.980000012</v>
      </c>
      <c r="D65" s="470">
        <f>C65/$C$128</f>
        <v>0.56820511225253234</v>
      </c>
      <c r="E65" s="251" t="s">
        <v>1569</v>
      </c>
      <c r="F65" s="253" t="str">
        <f t="shared" ref="F65:W65" si="20">IF(F69*$C65&gt;0,F69*$C65,"")</f>
        <v/>
      </c>
      <c r="G65" s="253">
        <f t="shared" si="20"/>
        <v>1771334.9987500007</v>
      </c>
      <c r="H65" s="253">
        <f t="shared" si="20"/>
        <v>1771334.9987500007</v>
      </c>
      <c r="I65" s="253">
        <f t="shared" si="20"/>
        <v>1771334.9987500007</v>
      </c>
      <c r="J65" s="253">
        <f t="shared" si="20"/>
        <v>1771334.9987500007</v>
      </c>
      <c r="K65" s="253">
        <f t="shared" si="20"/>
        <v>1771334.9987500007</v>
      </c>
      <c r="L65" s="253">
        <f t="shared" si="20"/>
        <v>1771334.9987500007</v>
      </c>
      <c r="M65" s="253">
        <f t="shared" si="20"/>
        <v>1771334.9987500007</v>
      </c>
      <c r="N65" s="253">
        <f t="shared" si="20"/>
        <v>1771334.9987500007</v>
      </c>
      <c r="O65" s="253">
        <f t="shared" si="20"/>
        <v>1771334.9987500007</v>
      </c>
      <c r="P65" s="253">
        <f t="shared" si="20"/>
        <v>1771334.9987500007</v>
      </c>
      <c r="Q65" s="253">
        <f t="shared" si="20"/>
        <v>1771334.9987500007</v>
      </c>
      <c r="R65" s="253">
        <f t="shared" si="20"/>
        <v>1771334.9987500007</v>
      </c>
      <c r="S65" s="253">
        <f t="shared" si="20"/>
        <v>1771334.9987500007</v>
      </c>
      <c r="T65" s="253">
        <f t="shared" si="20"/>
        <v>1771334.9987500007</v>
      </c>
      <c r="U65" s="253">
        <f t="shared" si="20"/>
        <v>1771334.9987500007</v>
      </c>
      <c r="V65" s="253">
        <f t="shared" si="20"/>
        <v>1771334.9987500007</v>
      </c>
      <c r="W65" s="253" t="str">
        <f t="shared" si="20"/>
        <v/>
      </c>
      <c r="Y65" s="253">
        <f>SUM(F65:W65)</f>
        <v>28341359.980000015</v>
      </c>
      <c r="Z65" s="253">
        <f>Y65-C65</f>
        <v>0</v>
      </c>
    </row>
    <row r="66" spans="1:26" ht="15" customHeight="1" x14ac:dyDescent="0.45">
      <c r="A66" s="467"/>
      <c r="B66" s="467"/>
      <c r="C66" s="469"/>
      <c r="D66" s="470"/>
      <c r="E66" s="254" t="s">
        <v>1570</v>
      </c>
      <c r="F66" s="273" t="str">
        <f>IF(SUMIFS('BM MORRO DA CRUZ - VERTICAL'!$W$6:$W$546,'BM MORRO DA CRUZ - VERTICAL'!$B$6:$B$546,$A65)&gt;0,SUMIFS('BM MORRO DA CRUZ - VERTICAL'!$W$6:$W$546,'BM MORRO DA CRUZ - VERTICAL'!$B$6:$B$546,$A65),"")</f>
        <v/>
      </c>
      <c r="G66" s="273" t="str">
        <f>IF(SUMIFS('BM MORRO DA CRUZ - VERTICAL'!$Y$6:$Y$546,'BM MORRO DA CRUZ - VERTICAL'!$B$6:$B$546,$A65)&gt;0,SUMIFS('BM MORRO DA CRUZ - VERTICAL'!$Y$6:$Y$546,'BM MORRO DA CRUZ - VERTICAL'!$B$6:$B$546,$A65),"")</f>
        <v/>
      </c>
      <c r="H66" s="273" t="str">
        <f>IF(SUMIFS('BM MORRO DA CRUZ - VERTICAL'!$AA$6:$AA$546,'BM MORRO DA CRUZ - VERTICAL'!$B$6:$B$546,$A65)&gt;0,SUMIFS('BM MORRO DA CRUZ - VERTICAL'!$AA$6:$AA$546,'BM MORRO DA CRUZ - VERTICAL'!$B$6:$B$546,$A65),"")</f>
        <v/>
      </c>
      <c r="I66" s="273" t="str">
        <f>IF(SUMIFS('BM MORRO DA CRUZ - VERTICAL'!$AC$6:$AC$546,'BM MORRO DA CRUZ - VERTICAL'!$B$6:$B$546,$A65)&gt;0,SUMIFS('BM MORRO DA CRUZ - VERTICAL'!$AC$6:$AC$546,'BM MORRO DA CRUZ - VERTICAL'!$B$6:$B$546,$A65),"")</f>
        <v/>
      </c>
      <c r="J66" s="273" t="str">
        <f>IF(SUMIFS('BM MORRO DA CRUZ - VERTICAL'!$AE$6:$AE$546,'BM MORRO DA CRUZ - VERTICAL'!$B$6:$B$546,$A65)&gt;0,SUMIFS('BM MORRO DA CRUZ - VERTICAL'!$AE$6:$AE$546,'BM MORRO DA CRUZ - VERTICAL'!$B$6:$B$546,$A65),"")</f>
        <v/>
      </c>
      <c r="K66" s="273" t="str">
        <f>IF(SUMIFS('BM MORRO DA CRUZ - VERTICAL'!$AG$6:$AG$546,'BM MORRO DA CRUZ - VERTICAL'!$B$6:$B$546,$A65)&gt;0,SUMIFS('BM MORRO DA CRUZ - VERTICAL'!$AG$6:$AG$546,'BM MORRO DA CRUZ - VERTICAL'!$B$6:$B$546,$A65),"")</f>
        <v/>
      </c>
      <c r="L66" s="273" t="str">
        <f>IF(SUMIFS('BM MORRO DA CRUZ - VERTICAL'!$AI$6:$AI$546,'BM MORRO DA CRUZ - VERTICAL'!$B$6:$B$546,$A65)&gt;0,SUMIFS('BM MORRO DA CRUZ - VERTICAL'!$AI$6:$AI$546,'BM MORRO DA CRUZ - VERTICAL'!$B$6:$B$546,$A65),"")</f>
        <v/>
      </c>
      <c r="M66" s="273" t="str">
        <f>IF(SUMIFS('BM MORRO DA CRUZ - VERTICAL'!$AK$6:$AK$546,'BM MORRO DA CRUZ - VERTICAL'!$B$6:$B$546,$A65)&gt;0,SUMIFS('BM MORRO DA CRUZ - VERTICAL'!$AK$6:$AK$546,'BM MORRO DA CRUZ - VERTICAL'!$B$6:$B$546,$A65),"")</f>
        <v/>
      </c>
      <c r="N66" s="273" t="str">
        <f>IF(SUMIFS('BM MORRO DA CRUZ - VERTICAL'!$AM$6:$AM$546,'BM MORRO DA CRUZ - VERTICAL'!$B$6:$B$546,$A65)&gt;0,SUMIFS('BM MORRO DA CRUZ - VERTICAL'!$AM$6:$AM$546,'BM MORRO DA CRUZ - VERTICAL'!$B$6:$B$546,$A65),"")</f>
        <v/>
      </c>
      <c r="O66" s="273" t="str">
        <f>IF(SUMIFS('BM MORRO DA CRUZ - VERTICAL'!$AO$6:$AO$546,'BM MORRO DA CRUZ - VERTICAL'!$B$6:$B$546,$A65)&gt;0,SUMIFS('BM MORRO DA CRUZ - VERTICAL'!$AO$6:$AO$546,'BM MORRO DA CRUZ - VERTICAL'!$B$6:$B$546,$A65),"")</f>
        <v/>
      </c>
      <c r="P66" s="273" t="str">
        <f>IF(SUMIFS('BM MORRO DA CRUZ - VERTICAL'!$AQ$6:$AQ$546,'BM MORRO DA CRUZ - VERTICAL'!$B$6:$B$546,$A65)&gt;0,SUMIFS('BM MORRO DA CRUZ - VERTICAL'!$AQ$6:$AQ$546,'BM MORRO DA CRUZ - VERTICAL'!$B$6:$B$546,$A65),"")</f>
        <v/>
      </c>
      <c r="Q66" s="273" t="str">
        <f>IF(SUMIFS('BM MORRO DA CRUZ - VERTICAL'!$AS$6:$AS$546,'BM MORRO DA CRUZ - VERTICAL'!$B$6:$B$546,$A65)&gt;0,SUMIFS('BM MORRO DA CRUZ - VERTICAL'!$AS$6:$AS$546,'BM MORRO DA CRUZ - VERTICAL'!$B$6:$B$546,$A65),"")</f>
        <v/>
      </c>
      <c r="R66" s="273" t="str">
        <f>IF(SUMIFS('BM MORRO DA CRUZ - VERTICAL'!$AU$6:$AU$546,'BM MORRO DA CRUZ - VERTICAL'!$B$6:$B$546,$A65)&gt;0,SUMIFS('BM MORRO DA CRUZ - VERTICAL'!$AU$6:$AU$546,'BM MORRO DA CRUZ - VERTICAL'!$B$6:$B$546,$A65),"")</f>
        <v/>
      </c>
      <c r="S66" s="273" t="str">
        <f>IF(SUMIFS('BM MORRO DA CRUZ - VERTICAL'!$AW$6:$AW$546,'BM MORRO DA CRUZ - VERTICAL'!$B$6:$B$546,$A65)&gt;0,SUMIFS('BM MORRO DA CRUZ - VERTICAL'!$AW$6:$AW$546,'BM MORRO DA CRUZ - VERTICAL'!$B$6:$B$546,$A65),"")</f>
        <v/>
      </c>
      <c r="T66" s="273" t="str">
        <f>IF(SUMIFS('BM MORRO DA CRUZ - VERTICAL'!$AY$6:$AY$546,'BM MORRO DA CRUZ - VERTICAL'!$B$6:$B$546,$A65)&gt;0,SUMIFS('BM MORRO DA CRUZ - VERTICAL'!$AY$6:$AY$546,'BM MORRO DA CRUZ - VERTICAL'!$B$6:$B$546,$A65),"")</f>
        <v/>
      </c>
      <c r="U66" s="273" t="str">
        <f>IF(SUMIFS('BM MORRO DA CRUZ - VERTICAL'!$BA$6:$BA$546,'BM MORRO DA CRUZ - VERTICAL'!$B$6:$B$546,$A65)&gt;0,SUMIFS('BM MORRO DA CRUZ - VERTICAL'!$BA$6:$BA$546,'BM MORRO DA CRUZ - VERTICAL'!$B$6:$B$546,$A65),"")</f>
        <v/>
      </c>
      <c r="V66" s="273" t="str">
        <f>IF(SUMIFS('BM MORRO DA CRUZ - VERTICAL'!$BC$6:$BC$546,'BM MORRO DA CRUZ - VERTICAL'!$B$6:$B$546,$A65)&gt;0,SUMIFS('BM MORRO DA CRUZ - VERTICAL'!$BC$6:$BC$546,'BM MORRO DA CRUZ - VERTICAL'!$B$6:$B$546,$A65),"")</f>
        <v/>
      </c>
      <c r="W66" s="273" t="str">
        <f>IF(SUMIFS('BM MORRO DA CRUZ - VERTICAL'!$BE$6:$BE$546,'BM MORRO DA CRUZ - VERTICAL'!$B$6:$B$546,$A65)&gt;0,SUMIFS('BM MORRO DA CRUZ - VERTICAL'!$BE$6:$BE$546,'BM MORRO DA CRUZ - VERTICAL'!$B$6:$B$546,$A65),"")</f>
        <v/>
      </c>
      <c r="Y66" s="257">
        <f>SUM(F66:W66)</f>
        <v>0</v>
      </c>
      <c r="Z66" s="257">
        <f>Y66-C65</f>
        <v>-28341359.980000012</v>
      </c>
    </row>
    <row r="67" spans="1:26" ht="9.75" customHeight="1" x14ac:dyDescent="0.45">
      <c r="A67" s="467"/>
      <c r="B67" s="467"/>
      <c r="C67" s="469"/>
      <c r="D67" s="470"/>
      <c r="E67" s="258"/>
      <c r="F67" s="274"/>
      <c r="G67" s="274"/>
      <c r="H67" s="274"/>
      <c r="I67" s="274"/>
      <c r="J67" s="274"/>
      <c r="K67" s="274"/>
      <c r="L67" s="274"/>
      <c r="M67" s="274"/>
      <c r="N67" s="274"/>
      <c r="O67" s="274"/>
      <c r="P67" s="274"/>
      <c r="Q67" s="274"/>
      <c r="R67" s="274"/>
      <c r="S67" s="274"/>
      <c r="T67" s="274"/>
      <c r="U67" s="274"/>
      <c r="V67" s="274"/>
      <c r="W67" s="274"/>
      <c r="Y67" s="275"/>
      <c r="Z67" s="275"/>
    </row>
    <row r="68" spans="1:26" ht="9.75" customHeight="1" x14ac:dyDescent="0.45">
      <c r="A68" s="467"/>
      <c r="B68" s="467"/>
      <c r="C68" s="469"/>
      <c r="D68" s="470"/>
      <c r="E68" s="258"/>
      <c r="F68" s="274"/>
      <c r="G68" s="274"/>
      <c r="H68" s="274"/>
      <c r="I68" s="274"/>
      <c r="J68" s="274"/>
      <c r="K68" s="274"/>
      <c r="L68" s="274"/>
      <c r="M68" s="274"/>
      <c r="N68" s="274"/>
      <c r="O68" s="274"/>
      <c r="P68" s="274"/>
      <c r="Q68" s="274"/>
      <c r="R68" s="274"/>
      <c r="S68" s="274"/>
      <c r="T68" s="274"/>
      <c r="U68" s="274"/>
      <c r="V68" s="274"/>
      <c r="W68" s="274"/>
      <c r="Y68" s="275"/>
      <c r="Z68" s="275"/>
    </row>
    <row r="69" spans="1:26" ht="15" customHeight="1" x14ac:dyDescent="0.45">
      <c r="A69" s="467"/>
      <c r="B69" s="467"/>
      <c r="C69" s="469"/>
      <c r="D69" s="470"/>
      <c r="E69" s="260" t="s">
        <v>1571</v>
      </c>
      <c r="F69" s="276"/>
      <c r="G69" s="276">
        <v>6.25E-2</v>
      </c>
      <c r="H69" s="276">
        <v>6.25E-2</v>
      </c>
      <c r="I69" s="276">
        <v>6.25E-2</v>
      </c>
      <c r="J69" s="276">
        <v>6.25E-2</v>
      </c>
      <c r="K69" s="276">
        <v>6.25E-2</v>
      </c>
      <c r="L69" s="276">
        <v>6.25E-2</v>
      </c>
      <c r="M69" s="276">
        <v>6.25E-2</v>
      </c>
      <c r="N69" s="276">
        <v>6.25E-2</v>
      </c>
      <c r="O69" s="276">
        <v>6.25E-2</v>
      </c>
      <c r="P69" s="276">
        <v>6.25E-2</v>
      </c>
      <c r="Q69" s="276">
        <v>6.25E-2</v>
      </c>
      <c r="R69" s="276">
        <v>6.25E-2</v>
      </c>
      <c r="S69" s="276">
        <v>6.25E-2</v>
      </c>
      <c r="T69" s="276">
        <v>6.25E-2</v>
      </c>
      <c r="U69" s="276">
        <v>6.25E-2</v>
      </c>
      <c r="V69" s="276">
        <v>6.25E-2</v>
      </c>
      <c r="W69" s="276"/>
      <c r="Y69" s="275"/>
      <c r="Z69" s="275"/>
    </row>
    <row r="70" spans="1:26" ht="15" customHeight="1" x14ac:dyDescent="0.45">
      <c r="A70" s="467"/>
      <c r="B70" s="467"/>
      <c r="C70" s="469"/>
      <c r="D70" s="470"/>
      <c r="E70" s="263" t="s">
        <v>1572</v>
      </c>
      <c r="F70" s="265">
        <f t="shared" ref="F70:W70" si="21">IFERROR(F66/$C65,0)</f>
        <v>0</v>
      </c>
      <c r="G70" s="265">
        <f t="shared" si="21"/>
        <v>0</v>
      </c>
      <c r="H70" s="265">
        <f t="shared" si="21"/>
        <v>0</v>
      </c>
      <c r="I70" s="265">
        <f t="shared" si="21"/>
        <v>0</v>
      </c>
      <c r="J70" s="265">
        <f t="shared" si="21"/>
        <v>0</v>
      </c>
      <c r="K70" s="265">
        <f t="shared" si="21"/>
        <v>0</v>
      </c>
      <c r="L70" s="265">
        <f t="shared" si="21"/>
        <v>0</v>
      </c>
      <c r="M70" s="265">
        <f t="shared" si="21"/>
        <v>0</v>
      </c>
      <c r="N70" s="265">
        <f t="shared" si="21"/>
        <v>0</v>
      </c>
      <c r="O70" s="265">
        <f t="shared" si="21"/>
        <v>0</v>
      </c>
      <c r="P70" s="265">
        <f t="shared" si="21"/>
        <v>0</v>
      </c>
      <c r="Q70" s="265">
        <f t="shared" si="21"/>
        <v>0</v>
      </c>
      <c r="R70" s="265">
        <f t="shared" si="21"/>
        <v>0</v>
      </c>
      <c r="S70" s="265">
        <f t="shared" si="21"/>
        <v>0</v>
      </c>
      <c r="T70" s="265">
        <f t="shared" si="21"/>
        <v>0</v>
      </c>
      <c r="U70" s="265">
        <f t="shared" si="21"/>
        <v>0</v>
      </c>
      <c r="V70" s="265">
        <f t="shared" si="21"/>
        <v>0</v>
      </c>
      <c r="W70" s="265">
        <f t="shared" si="21"/>
        <v>0</v>
      </c>
      <c r="Y70" s="275"/>
      <c r="Z70" s="275"/>
    </row>
    <row r="71" spans="1:26" ht="7.5" customHeight="1" x14ac:dyDescent="0.45">
      <c r="A71" s="266"/>
      <c r="B71" s="267"/>
      <c r="C71" s="268"/>
      <c r="D71" s="269"/>
      <c r="E71" s="270"/>
      <c r="F71" s="271"/>
      <c r="G71" s="271"/>
      <c r="H71" s="271"/>
      <c r="I71" s="271"/>
      <c r="J71" s="271"/>
      <c r="K71" s="271"/>
      <c r="L71" s="271"/>
      <c r="M71" s="271"/>
      <c r="N71" s="271"/>
      <c r="O71" s="271"/>
      <c r="P71" s="271"/>
      <c r="Q71" s="271"/>
      <c r="R71" s="271"/>
      <c r="S71" s="272"/>
      <c r="T71" s="271"/>
      <c r="U71" s="271"/>
      <c r="V71" s="271"/>
      <c r="W71" s="271"/>
    </row>
    <row r="72" spans="1:26" ht="15" customHeight="1" x14ac:dyDescent="0.45">
      <c r="A72" s="467" t="s">
        <v>1477</v>
      </c>
      <c r="B72" s="468" t="s">
        <v>1478</v>
      </c>
      <c r="C72" s="469">
        <f>IFERROR(SUMIFS('BM MORRO DA CRUZ - VERTICAL'!$U$6:$U$546,'BM MORRO DA CRUZ - VERTICAL'!$B$6:$B$546,$A72),0)</f>
        <v>1169456.8499999999</v>
      </c>
      <c r="D72" s="470">
        <f>C72/$C$128</f>
        <v>2.3445994165335129E-2</v>
      </c>
      <c r="E72" s="251" t="s">
        <v>1569</v>
      </c>
      <c r="F72" s="253" t="str">
        <f t="shared" ref="F72:W72" si="22">IF(F76*$C72&gt;0,F76*$C72,"")</f>
        <v/>
      </c>
      <c r="G72" s="253">
        <f t="shared" si="22"/>
        <v>73091.053124999991</v>
      </c>
      <c r="H72" s="253">
        <f t="shared" si="22"/>
        <v>73091.053124999991</v>
      </c>
      <c r="I72" s="253">
        <f t="shared" si="22"/>
        <v>73091.053124999991</v>
      </c>
      <c r="J72" s="253">
        <f t="shared" si="22"/>
        <v>73091.053124999991</v>
      </c>
      <c r="K72" s="253">
        <f t="shared" si="22"/>
        <v>73091.053124999991</v>
      </c>
      <c r="L72" s="253">
        <f t="shared" si="22"/>
        <v>73091.053124999991</v>
      </c>
      <c r="M72" s="253">
        <f t="shared" si="22"/>
        <v>73091.053124999991</v>
      </c>
      <c r="N72" s="253">
        <f t="shared" si="22"/>
        <v>73091.053124999991</v>
      </c>
      <c r="O72" s="253">
        <f t="shared" si="22"/>
        <v>73091.053124999991</v>
      </c>
      <c r="P72" s="253">
        <f t="shared" si="22"/>
        <v>73091.053124999991</v>
      </c>
      <c r="Q72" s="253">
        <f t="shared" si="22"/>
        <v>73091.053124999991</v>
      </c>
      <c r="R72" s="253">
        <f t="shared" si="22"/>
        <v>73091.053124999991</v>
      </c>
      <c r="S72" s="253">
        <f t="shared" si="22"/>
        <v>73091.053124999991</v>
      </c>
      <c r="T72" s="253">
        <f t="shared" si="22"/>
        <v>73091.053124999991</v>
      </c>
      <c r="U72" s="253">
        <f t="shared" si="22"/>
        <v>73091.053124999991</v>
      </c>
      <c r="V72" s="253">
        <f t="shared" si="22"/>
        <v>73091.053124999991</v>
      </c>
      <c r="W72" s="253" t="str">
        <f t="shared" si="22"/>
        <v/>
      </c>
      <c r="Y72" s="253">
        <f>SUM(F72:W72)</f>
        <v>1169456.8499999999</v>
      </c>
      <c r="Z72" s="253">
        <f>Y72-C72</f>
        <v>0</v>
      </c>
    </row>
    <row r="73" spans="1:26" ht="15" customHeight="1" x14ac:dyDescent="0.45">
      <c r="A73" s="467"/>
      <c r="B73" s="467"/>
      <c r="C73" s="469"/>
      <c r="D73" s="470"/>
      <c r="E73" s="254" t="s">
        <v>1570</v>
      </c>
      <c r="F73" s="273" t="str">
        <f>IF(SUMIFS('BM MORRO DA CRUZ - VERTICAL'!$W$6:$W$546,'BM MORRO DA CRUZ - VERTICAL'!$B$6:$B$546,$A72)&gt;0,SUMIFS('BM MORRO DA CRUZ - VERTICAL'!$W$6:$W$546,'BM MORRO DA CRUZ - VERTICAL'!$B$6:$B$546,$A72),"")</f>
        <v/>
      </c>
      <c r="G73" s="273" t="str">
        <f>IF(SUMIFS('BM MORRO DA CRUZ - VERTICAL'!$Y$6:$Y$546,'BM MORRO DA CRUZ - VERTICAL'!$B$6:$B$546,$A72)&gt;0,SUMIFS('BM MORRO DA CRUZ - VERTICAL'!$Y$6:$Y$546,'BM MORRO DA CRUZ - VERTICAL'!$B$6:$B$546,$A72),"")</f>
        <v/>
      </c>
      <c r="H73" s="273" t="str">
        <f>IF(SUMIFS('BM MORRO DA CRUZ - VERTICAL'!$AA$6:$AA$546,'BM MORRO DA CRUZ - VERTICAL'!$B$6:$B$546,$A72)&gt;0,SUMIFS('BM MORRO DA CRUZ - VERTICAL'!$AA$6:$AA$546,'BM MORRO DA CRUZ - VERTICAL'!$B$6:$B$546,$A72),"")</f>
        <v/>
      </c>
      <c r="I73" s="273" t="str">
        <f>IF(SUMIFS('BM MORRO DA CRUZ - VERTICAL'!$AC$6:$AC$546,'BM MORRO DA CRUZ - VERTICAL'!$B$6:$B$546,$A72)&gt;0,SUMIFS('BM MORRO DA CRUZ - VERTICAL'!$AC$6:$AC$546,'BM MORRO DA CRUZ - VERTICAL'!$B$6:$B$546,$A72),"")</f>
        <v/>
      </c>
      <c r="J73" s="273" t="str">
        <f>IF(SUMIFS('BM MORRO DA CRUZ - VERTICAL'!$AE$6:$AE$546,'BM MORRO DA CRUZ - VERTICAL'!$B$6:$B$546,$A72)&gt;0,SUMIFS('BM MORRO DA CRUZ - VERTICAL'!$AE$6:$AE$546,'BM MORRO DA CRUZ - VERTICAL'!$B$6:$B$546,$A72),"")</f>
        <v/>
      </c>
      <c r="K73" s="273" t="str">
        <f>IF(SUMIFS('BM MORRO DA CRUZ - VERTICAL'!$AG$6:$AG$546,'BM MORRO DA CRUZ - VERTICAL'!$B$6:$B$546,$A72)&gt;0,SUMIFS('BM MORRO DA CRUZ - VERTICAL'!$AG$6:$AG$546,'BM MORRO DA CRUZ - VERTICAL'!$B$6:$B$546,$A72),"")</f>
        <v/>
      </c>
      <c r="L73" s="273" t="str">
        <f>IF(SUMIFS('BM MORRO DA CRUZ - VERTICAL'!$AI$6:$AI$546,'BM MORRO DA CRUZ - VERTICAL'!$B$6:$B$546,$A72)&gt;0,SUMIFS('BM MORRO DA CRUZ - VERTICAL'!$AI$6:$AI$546,'BM MORRO DA CRUZ - VERTICAL'!$B$6:$B$546,$A72),"")</f>
        <v/>
      </c>
      <c r="M73" s="273" t="str">
        <f>IF(SUMIFS('BM MORRO DA CRUZ - VERTICAL'!$AK$6:$AK$546,'BM MORRO DA CRUZ - VERTICAL'!$B$6:$B$546,$A72)&gt;0,SUMIFS('BM MORRO DA CRUZ - VERTICAL'!$AK$6:$AK$546,'BM MORRO DA CRUZ - VERTICAL'!$B$6:$B$546,$A72),"")</f>
        <v/>
      </c>
      <c r="N73" s="273" t="str">
        <f>IF(SUMIFS('BM MORRO DA CRUZ - VERTICAL'!$AM$6:$AM$546,'BM MORRO DA CRUZ - VERTICAL'!$B$6:$B$546,$A72)&gt;0,SUMIFS('BM MORRO DA CRUZ - VERTICAL'!$AM$6:$AM$546,'BM MORRO DA CRUZ - VERTICAL'!$B$6:$B$546,$A72),"")</f>
        <v/>
      </c>
      <c r="O73" s="273" t="str">
        <f>IF(SUMIFS('BM MORRO DA CRUZ - VERTICAL'!$AO$6:$AO$546,'BM MORRO DA CRUZ - VERTICAL'!$B$6:$B$546,$A72)&gt;0,SUMIFS('BM MORRO DA CRUZ - VERTICAL'!$AO$6:$AO$546,'BM MORRO DA CRUZ - VERTICAL'!$B$6:$B$546,$A72),"")</f>
        <v/>
      </c>
      <c r="P73" s="273" t="str">
        <f>IF(SUMIFS('BM MORRO DA CRUZ - VERTICAL'!$AQ$6:$AQ$546,'BM MORRO DA CRUZ - VERTICAL'!$B$6:$B$546,$A72)&gt;0,SUMIFS('BM MORRO DA CRUZ - VERTICAL'!$AQ$6:$AQ$546,'BM MORRO DA CRUZ - VERTICAL'!$B$6:$B$546,$A72),"")</f>
        <v/>
      </c>
      <c r="Q73" s="273" t="str">
        <f>IF(SUMIFS('BM MORRO DA CRUZ - VERTICAL'!$AS$6:$AS$546,'BM MORRO DA CRUZ - VERTICAL'!$B$6:$B$546,$A72)&gt;0,SUMIFS('BM MORRO DA CRUZ - VERTICAL'!$AS$6:$AS$546,'BM MORRO DA CRUZ - VERTICAL'!$B$6:$B$546,$A72),"")</f>
        <v/>
      </c>
      <c r="R73" s="273" t="str">
        <f>IF(SUMIFS('BM MORRO DA CRUZ - VERTICAL'!$AU$6:$AU$546,'BM MORRO DA CRUZ - VERTICAL'!$B$6:$B$546,$A72)&gt;0,SUMIFS('BM MORRO DA CRUZ - VERTICAL'!$AU$6:$AU$546,'BM MORRO DA CRUZ - VERTICAL'!$B$6:$B$546,$A72),"")</f>
        <v/>
      </c>
      <c r="S73" s="273" t="str">
        <f>IF(SUMIFS('BM MORRO DA CRUZ - VERTICAL'!$AW$6:$AW$546,'BM MORRO DA CRUZ - VERTICAL'!$B$6:$B$546,$A72)&gt;0,SUMIFS('BM MORRO DA CRUZ - VERTICAL'!$AW$6:$AW$546,'BM MORRO DA CRUZ - VERTICAL'!$B$6:$B$546,$A72),"")</f>
        <v/>
      </c>
      <c r="T73" s="273" t="str">
        <f>IF(SUMIFS('BM MORRO DA CRUZ - VERTICAL'!$AY$6:$AY$546,'BM MORRO DA CRUZ - VERTICAL'!$B$6:$B$546,$A72)&gt;0,SUMIFS('BM MORRO DA CRUZ - VERTICAL'!$AY$6:$AY$546,'BM MORRO DA CRUZ - VERTICAL'!$B$6:$B$546,$A72),"")</f>
        <v/>
      </c>
      <c r="U73" s="273" t="str">
        <f>IF(SUMIFS('BM MORRO DA CRUZ - VERTICAL'!$BA$6:$BA$546,'BM MORRO DA CRUZ - VERTICAL'!$B$6:$B$546,$A72)&gt;0,SUMIFS('BM MORRO DA CRUZ - VERTICAL'!$BA$6:$BA$546,'BM MORRO DA CRUZ - VERTICAL'!$B$6:$B$546,$A72),"")</f>
        <v/>
      </c>
      <c r="V73" s="273" t="str">
        <f>IF(SUMIFS('BM MORRO DA CRUZ - VERTICAL'!$BC$6:$BC$546,'BM MORRO DA CRUZ - VERTICAL'!$B$6:$B$546,$A72)&gt;0,SUMIFS('BM MORRO DA CRUZ - VERTICAL'!$BC$6:$BC$546,'BM MORRO DA CRUZ - VERTICAL'!$B$6:$B$546,$A72),"")</f>
        <v/>
      </c>
      <c r="W73" s="273" t="str">
        <f>IF(SUMIFS('BM MORRO DA CRUZ - VERTICAL'!$BE$6:$BE$546,'BM MORRO DA CRUZ - VERTICAL'!$B$6:$B$546,$A72)&gt;0,SUMIFS('BM MORRO DA CRUZ - VERTICAL'!$BE$6:$BE$546,'BM MORRO DA CRUZ - VERTICAL'!$B$6:$B$546,$A72),"")</f>
        <v/>
      </c>
      <c r="Y73" s="257">
        <f>SUM(F73:W73)</f>
        <v>0</v>
      </c>
      <c r="Z73" s="257">
        <f>Y73-C72</f>
        <v>-1169456.8499999999</v>
      </c>
    </row>
    <row r="74" spans="1:26" ht="9.75" customHeight="1" x14ac:dyDescent="0.45">
      <c r="A74" s="467"/>
      <c r="B74" s="467"/>
      <c r="C74" s="469"/>
      <c r="D74" s="470"/>
      <c r="E74" s="258"/>
      <c r="F74" s="274"/>
      <c r="G74" s="274"/>
      <c r="H74" s="274"/>
      <c r="I74" s="274"/>
      <c r="J74" s="274"/>
      <c r="K74" s="274"/>
      <c r="L74" s="274"/>
      <c r="M74" s="274"/>
      <c r="N74" s="274"/>
      <c r="O74" s="274"/>
      <c r="P74" s="274"/>
      <c r="Q74" s="274"/>
      <c r="R74" s="274"/>
      <c r="S74" s="274"/>
      <c r="T74" s="274"/>
      <c r="U74" s="274"/>
      <c r="V74" s="274"/>
      <c r="W74" s="274"/>
      <c r="Y74" s="275"/>
      <c r="Z74" s="275"/>
    </row>
    <row r="75" spans="1:26" ht="9.75" customHeight="1" x14ac:dyDescent="0.45">
      <c r="A75" s="467"/>
      <c r="B75" s="467"/>
      <c r="C75" s="469"/>
      <c r="D75" s="470"/>
      <c r="E75" s="258"/>
      <c r="F75" s="274"/>
      <c r="G75" s="274"/>
      <c r="H75" s="274"/>
      <c r="I75" s="274"/>
      <c r="J75" s="274"/>
      <c r="K75" s="274"/>
      <c r="L75" s="274"/>
      <c r="M75" s="274"/>
      <c r="N75" s="274"/>
      <c r="O75" s="274"/>
      <c r="P75" s="274"/>
      <c r="Q75" s="274"/>
      <c r="R75" s="274"/>
      <c r="S75" s="274"/>
      <c r="T75" s="274"/>
      <c r="U75" s="274"/>
      <c r="V75" s="274"/>
      <c r="W75" s="274"/>
      <c r="Y75" s="275"/>
      <c r="Z75" s="275"/>
    </row>
    <row r="76" spans="1:26" ht="15" customHeight="1" x14ac:dyDescent="0.45">
      <c r="A76" s="467"/>
      <c r="B76" s="467"/>
      <c r="C76" s="469"/>
      <c r="D76" s="470"/>
      <c r="E76" s="260" t="s">
        <v>1571</v>
      </c>
      <c r="F76" s="276"/>
      <c r="G76" s="276">
        <v>6.25E-2</v>
      </c>
      <c r="H76" s="276">
        <v>6.25E-2</v>
      </c>
      <c r="I76" s="276">
        <v>6.25E-2</v>
      </c>
      <c r="J76" s="276">
        <v>6.25E-2</v>
      </c>
      <c r="K76" s="276">
        <v>6.25E-2</v>
      </c>
      <c r="L76" s="276">
        <v>6.25E-2</v>
      </c>
      <c r="M76" s="276">
        <v>6.25E-2</v>
      </c>
      <c r="N76" s="276">
        <v>6.25E-2</v>
      </c>
      <c r="O76" s="276">
        <v>6.25E-2</v>
      </c>
      <c r="P76" s="276">
        <v>6.25E-2</v>
      </c>
      <c r="Q76" s="276">
        <v>6.25E-2</v>
      </c>
      <c r="R76" s="276">
        <v>6.25E-2</v>
      </c>
      <c r="S76" s="276">
        <v>6.25E-2</v>
      </c>
      <c r="T76" s="276">
        <v>6.25E-2</v>
      </c>
      <c r="U76" s="276">
        <v>6.25E-2</v>
      </c>
      <c r="V76" s="276">
        <v>6.25E-2</v>
      </c>
      <c r="W76" s="276"/>
      <c r="Y76" s="275"/>
      <c r="Z76" s="275"/>
    </row>
    <row r="77" spans="1:26" ht="15" customHeight="1" x14ac:dyDescent="0.45">
      <c r="A77" s="467"/>
      <c r="B77" s="467"/>
      <c r="C77" s="469"/>
      <c r="D77" s="470"/>
      <c r="E77" s="263" t="s">
        <v>1572</v>
      </c>
      <c r="F77" s="265">
        <f t="shared" ref="F77:W77" si="23">IFERROR(F73/$C72,0)</f>
        <v>0</v>
      </c>
      <c r="G77" s="265">
        <f t="shared" si="23"/>
        <v>0</v>
      </c>
      <c r="H77" s="265">
        <f t="shared" si="23"/>
        <v>0</v>
      </c>
      <c r="I77" s="265">
        <f t="shared" si="23"/>
        <v>0</v>
      </c>
      <c r="J77" s="265">
        <f t="shared" si="23"/>
        <v>0</v>
      </c>
      <c r="K77" s="265">
        <f t="shared" si="23"/>
        <v>0</v>
      </c>
      <c r="L77" s="265">
        <f t="shared" si="23"/>
        <v>0</v>
      </c>
      <c r="M77" s="265">
        <f t="shared" si="23"/>
        <v>0</v>
      </c>
      <c r="N77" s="265">
        <f t="shared" si="23"/>
        <v>0</v>
      </c>
      <c r="O77" s="265">
        <f t="shared" si="23"/>
        <v>0</v>
      </c>
      <c r="P77" s="265">
        <f t="shared" si="23"/>
        <v>0</v>
      </c>
      <c r="Q77" s="265">
        <f t="shared" si="23"/>
        <v>0</v>
      </c>
      <c r="R77" s="265">
        <f t="shared" si="23"/>
        <v>0</v>
      </c>
      <c r="S77" s="265">
        <f t="shared" si="23"/>
        <v>0</v>
      </c>
      <c r="T77" s="265">
        <f t="shared" si="23"/>
        <v>0</v>
      </c>
      <c r="U77" s="265">
        <f t="shared" si="23"/>
        <v>0</v>
      </c>
      <c r="V77" s="265">
        <f t="shared" si="23"/>
        <v>0</v>
      </c>
      <c r="W77" s="265">
        <f t="shared" si="23"/>
        <v>0</v>
      </c>
      <c r="Y77" s="275"/>
      <c r="Z77" s="275"/>
    </row>
    <row r="78" spans="1:26" ht="7.5" customHeight="1" x14ac:dyDescent="0.45">
      <c r="A78" s="266"/>
      <c r="B78" s="267"/>
      <c r="C78" s="268"/>
      <c r="D78" s="269"/>
      <c r="E78" s="270"/>
      <c r="F78" s="271"/>
      <c r="G78" s="271"/>
      <c r="H78" s="271"/>
      <c r="I78" s="271"/>
      <c r="J78" s="271"/>
      <c r="K78" s="271"/>
      <c r="L78" s="271"/>
      <c r="M78" s="271"/>
      <c r="N78" s="271"/>
      <c r="O78" s="271"/>
      <c r="P78" s="271"/>
      <c r="Q78" s="271"/>
      <c r="R78" s="271"/>
      <c r="S78" s="272"/>
      <c r="T78" s="271"/>
      <c r="U78" s="271"/>
      <c r="V78" s="271"/>
      <c r="W78" s="271"/>
    </row>
    <row r="79" spans="1:26" ht="15" customHeight="1" x14ac:dyDescent="0.45">
      <c r="A79" s="467" t="s">
        <v>1482</v>
      </c>
      <c r="B79" s="468" t="s">
        <v>1577</v>
      </c>
      <c r="C79" s="469">
        <f>IFERROR(SUMIFS('BM MORRO DA CRUZ - VERTICAL'!$U$6:$U$546,'BM MORRO DA CRUZ - VERTICAL'!$B$6:$B$546,$A79),0)</f>
        <v>2076793.1999999995</v>
      </c>
      <c r="D79" s="470">
        <f>C79/$C$128</f>
        <v>4.1636834441397014E-2</v>
      </c>
      <c r="E79" s="251" t="s">
        <v>1569</v>
      </c>
      <c r="F79" s="253" t="str">
        <f t="shared" ref="F79:W79" si="24">IF(F83*$C79&gt;0,F83*$C79,"")</f>
        <v/>
      </c>
      <c r="G79" s="253">
        <f t="shared" si="24"/>
        <v>129799.57499999997</v>
      </c>
      <c r="H79" s="253">
        <f t="shared" si="24"/>
        <v>129799.57499999997</v>
      </c>
      <c r="I79" s="253">
        <f t="shared" si="24"/>
        <v>129799.57499999997</v>
      </c>
      <c r="J79" s="253">
        <f t="shared" si="24"/>
        <v>129799.57499999997</v>
      </c>
      <c r="K79" s="253">
        <f t="shared" si="24"/>
        <v>129799.57499999997</v>
      </c>
      <c r="L79" s="253">
        <f t="shared" si="24"/>
        <v>129799.57499999997</v>
      </c>
      <c r="M79" s="253">
        <f t="shared" si="24"/>
        <v>129799.57499999997</v>
      </c>
      <c r="N79" s="253">
        <f t="shared" si="24"/>
        <v>129799.57499999997</v>
      </c>
      <c r="O79" s="253">
        <f t="shared" si="24"/>
        <v>129799.57499999997</v>
      </c>
      <c r="P79" s="253">
        <f t="shared" si="24"/>
        <v>129799.57499999997</v>
      </c>
      <c r="Q79" s="253">
        <f t="shared" si="24"/>
        <v>129799.57499999997</v>
      </c>
      <c r="R79" s="253">
        <f t="shared" si="24"/>
        <v>129799.57499999997</v>
      </c>
      <c r="S79" s="253">
        <f t="shared" si="24"/>
        <v>129799.57499999997</v>
      </c>
      <c r="T79" s="253">
        <f t="shared" si="24"/>
        <v>129799.57499999997</v>
      </c>
      <c r="U79" s="253">
        <f t="shared" si="24"/>
        <v>129799.57499999997</v>
      </c>
      <c r="V79" s="253">
        <f t="shared" si="24"/>
        <v>129799.57499999997</v>
      </c>
      <c r="W79" s="253" t="str">
        <f t="shared" si="24"/>
        <v/>
      </c>
      <c r="Y79" s="253">
        <f>SUM(F79:W79)</f>
        <v>2076793.1999999995</v>
      </c>
      <c r="Z79" s="253">
        <f>Y79-C79</f>
        <v>0</v>
      </c>
    </row>
    <row r="80" spans="1:26" ht="15" customHeight="1" x14ac:dyDescent="0.45">
      <c r="A80" s="467"/>
      <c r="B80" s="467"/>
      <c r="C80" s="469"/>
      <c r="D80" s="470"/>
      <c r="E80" s="254" t="s">
        <v>1570</v>
      </c>
      <c r="F80" s="273" t="str">
        <f>IF(SUMIFS('BM MORRO DA CRUZ - VERTICAL'!$W$6:$W$546,'BM MORRO DA CRUZ - VERTICAL'!$B$6:$B$546,$A79)&gt;0,SUMIFS('BM MORRO DA CRUZ - VERTICAL'!$W$6:$W$546,'BM MORRO DA CRUZ - VERTICAL'!$B$6:$B$546,$A79),"")</f>
        <v/>
      </c>
      <c r="G80" s="273" t="str">
        <f>IF(SUMIFS('BM MORRO DA CRUZ - VERTICAL'!$Y$6:$Y$546,'BM MORRO DA CRUZ - VERTICAL'!$B$6:$B$546,$A79)&gt;0,SUMIFS('BM MORRO DA CRUZ - VERTICAL'!$Y$6:$Y$546,'BM MORRO DA CRUZ - VERTICAL'!$B$6:$B$546,$A79),"")</f>
        <v/>
      </c>
      <c r="H80" s="273" t="str">
        <f>IF(SUMIFS('BM MORRO DA CRUZ - VERTICAL'!$AA$6:$AA$546,'BM MORRO DA CRUZ - VERTICAL'!$B$6:$B$546,$A79)&gt;0,SUMIFS('BM MORRO DA CRUZ - VERTICAL'!$AA$6:$AA$546,'BM MORRO DA CRUZ - VERTICAL'!$B$6:$B$546,$A79),"")</f>
        <v/>
      </c>
      <c r="I80" s="273" t="str">
        <f>IF(SUMIFS('BM MORRO DA CRUZ - VERTICAL'!$AC$6:$AC$546,'BM MORRO DA CRUZ - VERTICAL'!$B$6:$B$546,$A79)&gt;0,SUMIFS('BM MORRO DA CRUZ - VERTICAL'!$AC$6:$AC$546,'BM MORRO DA CRUZ - VERTICAL'!$B$6:$B$546,$A79),"")</f>
        <v/>
      </c>
      <c r="J80" s="273" t="str">
        <f>IF(SUMIFS('BM MORRO DA CRUZ - VERTICAL'!$AE$6:$AE$546,'BM MORRO DA CRUZ - VERTICAL'!$B$6:$B$546,$A79)&gt;0,SUMIFS('BM MORRO DA CRUZ - VERTICAL'!$AE$6:$AE$546,'BM MORRO DA CRUZ - VERTICAL'!$B$6:$B$546,$A79),"")</f>
        <v/>
      </c>
      <c r="K80" s="273" t="str">
        <f>IF(SUMIFS('BM MORRO DA CRUZ - VERTICAL'!$AG$6:$AG$546,'BM MORRO DA CRUZ - VERTICAL'!$B$6:$B$546,$A79)&gt;0,SUMIFS('BM MORRO DA CRUZ - VERTICAL'!$AG$6:$AG$546,'BM MORRO DA CRUZ - VERTICAL'!$B$6:$B$546,$A79),"")</f>
        <v/>
      </c>
      <c r="L80" s="273" t="str">
        <f>IF(SUMIFS('BM MORRO DA CRUZ - VERTICAL'!$AI$6:$AI$546,'BM MORRO DA CRUZ - VERTICAL'!$B$6:$B$546,$A79)&gt;0,SUMIFS('BM MORRO DA CRUZ - VERTICAL'!$AI$6:$AI$546,'BM MORRO DA CRUZ - VERTICAL'!$B$6:$B$546,$A79),"")</f>
        <v/>
      </c>
      <c r="M80" s="273" t="str">
        <f>IF(SUMIFS('BM MORRO DA CRUZ - VERTICAL'!$AK$6:$AK$546,'BM MORRO DA CRUZ - VERTICAL'!$B$6:$B$546,$A79)&gt;0,SUMIFS('BM MORRO DA CRUZ - VERTICAL'!$AK$6:$AK$546,'BM MORRO DA CRUZ - VERTICAL'!$B$6:$B$546,$A79),"")</f>
        <v/>
      </c>
      <c r="N80" s="273" t="str">
        <f>IF(SUMIFS('BM MORRO DA CRUZ - VERTICAL'!$AM$6:$AM$546,'BM MORRO DA CRUZ - VERTICAL'!$B$6:$B$546,$A79)&gt;0,SUMIFS('BM MORRO DA CRUZ - VERTICAL'!$AM$6:$AM$546,'BM MORRO DA CRUZ - VERTICAL'!$B$6:$B$546,$A79),"")</f>
        <v/>
      </c>
      <c r="O80" s="273" t="str">
        <f>IF(SUMIFS('BM MORRO DA CRUZ - VERTICAL'!$AO$6:$AO$546,'BM MORRO DA CRUZ - VERTICAL'!$B$6:$B$546,$A79)&gt;0,SUMIFS('BM MORRO DA CRUZ - VERTICAL'!$AO$6:$AO$546,'BM MORRO DA CRUZ - VERTICAL'!$B$6:$B$546,$A79),"")</f>
        <v/>
      </c>
      <c r="P80" s="273" t="str">
        <f>IF(SUMIFS('BM MORRO DA CRUZ - VERTICAL'!$AQ$6:$AQ$546,'BM MORRO DA CRUZ - VERTICAL'!$B$6:$B$546,$A79)&gt;0,SUMIFS('BM MORRO DA CRUZ - VERTICAL'!$AQ$6:$AQ$546,'BM MORRO DA CRUZ - VERTICAL'!$B$6:$B$546,$A79),"")</f>
        <v/>
      </c>
      <c r="Q80" s="273" t="str">
        <f>IF(SUMIFS('BM MORRO DA CRUZ - VERTICAL'!$AS$6:$AS$546,'BM MORRO DA CRUZ - VERTICAL'!$B$6:$B$546,$A79)&gt;0,SUMIFS('BM MORRO DA CRUZ - VERTICAL'!$AS$6:$AS$546,'BM MORRO DA CRUZ - VERTICAL'!$B$6:$B$546,$A79),"")</f>
        <v/>
      </c>
      <c r="R80" s="273" t="str">
        <f>IF(SUMIFS('BM MORRO DA CRUZ - VERTICAL'!$AU$6:$AU$546,'BM MORRO DA CRUZ - VERTICAL'!$B$6:$B$546,$A79)&gt;0,SUMIFS('BM MORRO DA CRUZ - VERTICAL'!$AU$6:$AU$546,'BM MORRO DA CRUZ - VERTICAL'!$B$6:$B$546,$A79),"")</f>
        <v/>
      </c>
      <c r="S80" s="273" t="str">
        <f>IF(SUMIFS('BM MORRO DA CRUZ - VERTICAL'!$AW$6:$AW$546,'BM MORRO DA CRUZ - VERTICAL'!$B$6:$B$546,$A79)&gt;0,SUMIFS('BM MORRO DA CRUZ - VERTICAL'!$AW$6:$AW$546,'BM MORRO DA CRUZ - VERTICAL'!$B$6:$B$546,$A79),"")</f>
        <v/>
      </c>
      <c r="T80" s="273" t="str">
        <f>IF(SUMIFS('BM MORRO DA CRUZ - VERTICAL'!$AY$6:$AY$546,'BM MORRO DA CRUZ - VERTICAL'!$B$6:$B$546,$A79)&gt;0,SUMIFS('BM MORRO DA CRUZ - VERTICAL'!$AY$6:$AY$546,'BM MORRO DA CRUZ - VERTICAL'!$B$6:$B$546,$A79),"")</f>
        <v/>
      </c>
      <c r="U80" s="273" t="str">
        <f>IF(SUMIFS('BM MORRO DA CRUZ - VERTICAL'!$BA$6:$BA$546,'BM MORRO DA CRUZ - VERTICAL'!$B$6:$B$546,$A79)&gt;0,SUMIFS('BM MORRO DA CRUZ - VERTICAL'!$BA$6:$BA$546,'BM MORRO DA CRUZ - VERTICAL'!$B$6:$B$546,$A79),"")</f>
        <v/>
      </c>
      <c r="V80" s="273" t="str">
        <f>IF(SUMIFS('BM MORRO DA CRUZ - VERTICAL'!$BC$6:$BC$546,'BM MORRO DA CRUZ - VERTICAL'!$B$6:$B$546,$A79)&gt;0,SUMIFS('BM MORRO DA CRUZ - VERTICAL'!$BC$6:$BC$546,'BM MORRO DA CRUZ - VERTICAL'!$B$6:$B$546,$A79),"")</f>
        <v/>
      </c>
      <c r="W80" s="273" t="str">
        <f>IF(SUMIFS('BM MORRO DA CRUZ - VERTICAL'!$BE$6:$BE$546,'BM MORRO DA CRUZ - VERTICAL'!$B$6:$B$546,$A79)&gt;0,SUMIFS('BM MORRO DA CRUZ - VERTICAL'!$BE$6:$BE$546,'BM MORRO DA CRUZ - VERTICAL'!$B$6:$B$546,$A79),"")</f>
        <v/>
      </c>
      <c r="Y80" s="257">
        <f>SUM(F80:W80)</f>
        <v>0</v>
      </c>
      <c r="Z80" s="257">
        <f>Y80-C79</f>
        <v>-2076793.1999999995</v>
      </c>
    </row>
    <row r="81" spans="1:26" ht="9.75" customHeight="1" x14ac:dyDescent="0.45">
      <c r="A81" s="467"/>
      <c r="B81" s="467"/>
      <c r="C81" s="469"/>
      <c r="D81" s="470"/>
      <c r="E81" s="258"/>
      <c r="F81" s="274"/>
      <c r="G81" s="274"/>
      <c r="H81" s="274"/>
      <c r="I81" s="274"/>
      <c r="J81" s="274"/>
      <c r="K81" s="274"/>
      <c r="L81" s="274"/>
      <c r="M81" s="274"/>
      <c r="N81" s="274"/>
      <c r="O81" s="274"/>
      <c r="P81" s="274"/>
      <c r="Q81" s="274"/>
      <c r="R81" s="274"/>
      <c r="S81" s="274"/>
      <c r="T81" s="274"/>
      <c r="U81" s="274"/>
      <c r="V81" s="274"/>
      <c r="W81" s="274"/>
      <c r="Y81" s="275"/>
      <c r="Z81" s="275"/>
    </row>
    <row r="82" spans="1:26" ht="9.75" customHeight="1" x14ac:dyDescent="0.45">
      <c r="A82" s="467"/>
      <c r="B82" s="467"/>
      <c r="C82" s="469"/>
      <c r="D82" s="470"/>
      <c r="E82" s="258"/>
      <c r="F82" s="274"/>
      <c r="G82" s="274"/>
      <c r="H82" s="274"/>
      <c r="I82" s="274"/>
      <c r="J82" s="274"/>
      <c r="K82" s="274"/>
      <c r="L82" s="274"/>
      <c r="M82" s="274"/>
      <c r="N82" s="274"/>
      <c r="O82" s="274"/>
      <c r="P82" s="274"/>
      <c r="Q82" s="274"/>
      <c r="R82" s="274"/>
      <c r="S82" s="274"/>
      <c r="T82" s="274"/>
      <c r="U82" s="274"/>
      <c r="V82" s="274"/>
      <c r="W82" s="274"/>
      <c r="Y82" s="275"/>
      <c r="Z82" s="275"/>
    </row>
    <row r="83" spans="1:26" ht="15" customHeight="1" x14ac:dyDescent="0.45">
      <c r="A83" s="467"/>
      <c r="B83" s="467"/>
      <c r="C83" s="469"/>
      <c r="D83" s="470"/>
      <c r="E83" s="260" t="s">
        <v>1571</v>
      </c>
      <c r="F83" s="276"/>
      <c r="G83" s="276">
        <v>6.25E-2</v>
      </c>
      <c r="H83" s="276">
        <v>6.25E-2</v>
      </c>
      <c r="I83" s="276">
        <v>6.25E-2</v>
      </c>
      <c r="J83" s="276">
        <v>6.25E-2</v>
      </c>
      <c r="K83" s="276">
        <v>6.25E-2</v>
      </c>
      <c r="L83" s="276">
        <v>6.25E-2</v>
      </c>
      <c r="M83" s="276">
        <v>6.25E-2</v>
      </c>
      <c r="N83" s="276">
        <v>6.25E-2</v>
      </c>
      <c r="O83" s="276">
        <v>6.25E-2</v>
      </c>
      <c r="P83" s="276">
        <v>6.25E-2</v>
      </c>
      <c r="Q83" s="276">
        <v>6.25E-2</v>
      </c>
      <c r="R83" s="276">
        <v>6.25E-2</v>
      </c>
      <c r="S83" s="276">
        <v>6.25E-2</v>
      </c>
      <c r="T83" s="276">
        <v>6.25E-2</v>
      </c>
      <c r="U83" s="276">
        <v>6.25E-2</v>
      </c>
      <c r="V83" s="276">
        <v>6.25E-2</v>
      </c>
      <c r="W83" s="276"/>
      <c r="Y83" s="275"/>
      <c r="Z83" s="275"/>
    </row>
    <row r="84" spans="1:26" ht="15" customHeight="1" x14ac:dyDescent="0.45">
      <c r="A84" s="467"/>
      <c r="B84" s="467"/>
      <c r="C84" s="469"/>
      <c r="D84" s="470"/>
      <c r="E84" s="263" t="s">
        <v>1572</v>
      </c>
      <c r="F84" s="265">
        <f t="shared" ref="F84:W84" si="25">IFERROR(F80/$C79,0)</f>
        <v>0</v>
      </c>
      <c r="G84" s="265">
        <f t="shared" si="25"/>
        <v>0</v>
      </c>
      <c r="H84" s="265">
        <f t="shared" si="25"/>
        <v>0</v>
      </c>
      <c r="I84" s="265">
        <f t="shared" si="25"/>
        <v>0</v>
      </c>
      <c r="J84" s="265">
        <f t="shared" si="25"/>
        <v>0</v>
      </c>
      <c r="K84" s="265">
        <f t="shared" si="25"/>
        <v>0</v>
      </c>
      <c r="L84" s="265">
        <f t="shared" si="25"/>
        <v>0</v>
      </c>
      <c r="M84" s="265">
        <f t="shared" si="25"/>
        <v>0</v>
      </c>
      <c r="N84" s="265">
        <f t="shared" si="25"/>
        <v>0</v>
      </c>
      <c r="O84" s="265">
        <f t="shared" si="25"/>
        <v>0</v>
      </c>
      <c r="P84" s="265">
        <f t="shared" si="25"/>
        <v>0</v>
      </c>
      <c r="Q84" s="265">
        <f t="shared" si="25"/>
        <v>0</v>
      </c>
      <c r="R84" s="265">
        <f t="shared" si="25"/>
        <v>0</v>
      </c>
      <c r="S84" s="265">
        <f t="shared" si="25"/>
        <v>0</v>
      </c>
      <c r="T84" s="265">
        <f t="shared" si="25"/>
        <v>0</v>
      </c>
      <c r="U84" s="265">
        <f t="shared" si="25"/>
        <v>0</v>
      </c>
      <c r="V84" s="265">
        <f t="shared" si="25"/>
        <v>0</v>
      </c>
      <c r="W84" s="265">
        <f t="shared" si="25"/>
        <v>0</v>
      </c>
      <c r="Y84" s="275"/>
      <c r="Z84" s="275"/>
    </row>
    <row r="85" spans="1:26" ht="7.5" customHeight="1" x14ac:dyDescent="0.45">
      <c r="A85" s="266"/>
      <c r="B85" s="267"/>
      <c r="C85" s="268"/>
      <c r="D85" s="269"/>
      <c r="E85" s="270"/>
      <c r="F85" s="271"/>
      <c r="G85" s="271"/>
      <c r="H85" s="271"/>
      <c r="I85" s="271"/>
      <c r="J85" s="271"/>
      <c r="K85" s="271"/>
      <c r="L85" s="271"/>
      <c r="M85" s="271"/>
      <c r="N85" s="271"/>
      <c r="O85" s="271"/>
      <c r="P85" s="271"/>
      <c r="Q85" s="271"/>
      <c r="R85" s="271"/>
      <c r="S85" s="272"/>
      <c r="T85" s="271"/>
      <c r="U85" s="271"/>
      <c r="V85" s="271"/>
      <c r="W85" s="271"/>
    </row>
    <row r="86" spans="1:26" ht="15" customHeight="1" x14ac:dyDescent="0.45">
      <c r="A86" s="467" t="s">
        <v>859</v>
      </c>
      <c r="B86" s="468" t="s">
        <v>1490</v>
      </c>
      <c r="C86" s="469">
        <f>IFERROR(SUMIFS('BM MORRO DA CRUZ - VERTICAL'!$U$6:$U$546,'BM MORRO DA CRUZ - VERTICAL'!$B$6:$B$546,$A86),0)</f>
        <v>264.48</v>
      </c>
      <c r="D86" s="470">
        <f>C86/$C$128</f>
        <v>5.3024586044776561E-6</v>
      </c>
      <c r="E86" s="251" t="s">
        <v>1569</v>
      </c>
      <c r="F86" s="253" t="str">
        <f t="shared" ref="F86:W86" si="26">IF(F90*$C86&gt;0,F90*$C86,"")</f>
        <v/>
      </c>
      <c r="G86" s="253">
        <f t="shared" si="26"/>
        <v>16.53</v>
      </c>
      <c r="H86" s="253">
        <f t="shared" si="26"/>
        <v>16.53</v>
      </c>
      <c r="I86" s="253">
        <f t="shared" si="26"/>
        <v>16.53</v>
      </c>
      <c r="J86" s="253">
        <f t="shared" si="26"/>
        <v>16.53</v>
      </c>
      <c r="K86" s="253">
        <f t="shared" si="26"/>
        <v>16.53</v>
      </c>
      <c r="L86" s="253">
        <f t="shared" si="26"/>
        <v>16.53</v>
      </c>
      <c r="M86" s="253">
        <f t="shared" si="26"/>
        <v>16.53</v>
      </c>
      <c r="N86" s="253">
        <f t="shared" si="26"/>
        <v>16.53</v>
      </c>
      <c r="O86" s="253">
        <f t="shared" si="26"/>
        <v>16.53</v>
      </c>
      <c r="P86" s="253">
        <f t="shared" si="26"/>
        <v>16.53</v>
      </c>
      <c r="Q86" s="253">
        <f t="shared" si="26"/>
        <v>16.53</v>
      </c>
      <c r="R86" s="253">
        <f t="shared" si="26"/>
        <v>16.53</v>
      </c>
      <c r="S86" s="253">
        <f t="shared" si="26"/>
        <v>16.53</v>
      </c>
      <c r="T86" s="253">
        <f t="shared" si="26"/>
        <v>16.53</v>
      </c>
      <c r="U86" s="253">
        <f t="shared" si="26"/>
        <v>16.53</v>
      </c>
      <c r="V86" s="253">
        <f t="shared" si="26"/>
        <v>16.53</v>
      </c>
      <c r="W86" s="253" t="str">
        <f t="shared" si="26"/>
        <v/>
      </c>
      <c r="Y86" s="253">
        <f>SUM(F86:W86)</f>
        <v>264.48</v>
      </c>
      <c r="Z86" s="253">
        <f>Y86-C86</f>
        <v>0</v>
      </c>
    </row>
    <row r="87" spans="1:26" ht="15" customHeight="1" x14ac:dyDescent="0.45">
      <c r="A87" s="467"/>
      <c r="B87" s="467"/>
      <c r="C87" s="469"/>
      <c r="D87" s="470"/>
      <c r="E87" s="254" t="s">
        <v>1570</v>
      </c>
      <c r="F87" s="273" t="str">
        <f>IF(SUMIFS('BM MORRO DA CRUZ - VERTICAL'!$W$6:$W$546,'BM MORRO DA CRUZ - VERTICAL'!$B$6:$B$546,$A86)&gt;0,SUMIFS('BM MORRO DA CRUZ - VERTICAL'!$W$6:$W$546,'BM MORRO DA CRUZ - VERTICAL'!$B$6:$B$546,$A86),"")</f>
        <v/>
      </c>
      <c r="G87" s="273" t="str">
        <f>IF(SUMIFS('BM MORRO DA CRUZ - VERTICAL'!$Y$6:$Y$546,'BM MORRO DA CRUZ - VERTICAL'!$B$6:$B$546,$A86)&gt;0,SUMIFS('BM MORRO DA CRUZ - VERTICAL'!$Y$6:$Y$546,'BM MORRO DA CRUZ - VERTICAL'!$B$6:$B$546,$A86),"")</f>
        <v/>
      </c>
      <c r="H87" s="273" t="str">
        <f>IF(SUMIFS('BM MORRO DA CRUZ - VERTICAL'!$AA$6:$AA$546,'BM MORRO DA CRUZ - VERTICAL'!$B$6:$B$546,$A86)&gt;0,SUMIFS('BM MORRO DA CRUZ - VERTICAL'!$AA$6:$AA$546,'BM MORRO DA CRUZ - VERTICAL'!$B$6:$B$546,$A86),"")</f>
        <v/>
      </c>
      <c r="I87" s="273" t="str">
        <f>IF(SUMIFS('BM MORRO DA CRUZ - VERTICAL'!$AC$6:$AC$546,'BM MORRO DA CRUZ - VERTICAL'!$B$6:$B$546,$A86)&gt;0,SUMIFS('BM MORRO DA CRUZ - VERTICAL'!$AC$6:$AC$546,'BM MORRO DA CRUZ - VERTICAL'!$B$6:$B$546,$A86),"")</f>
        <v/>
      </c>
      <c r="J87" s="273" t="str">
        <f>IF(SUMIFS('BM MORRO DA CRUZ - VERTICAL'!$AE$6:$AE$546,'BM MORRO DA CRUZ - VERTICAL'!$B$6:$B$546,$A86)&gt;0,SUMIFS('BM MORRO DA CRUZ - VERTICAL'!$AE$6:$AE$546,'BM MORRO DA CRUZ - VERTICAL'!$B$6:$B$546,$A86),"")</f>
        <v/>
      </c>
      <c r="K87" s="273" t="str">
        <f>IF(SUMIFS('BM MORRO DA CRUZ - VERTICAL'!$AG$6:$AG$546,'BM MORRO DA CRUZ - VERTICAL'!$B$6:$B$546,$A86)&gt;0,SUMIFS('BM MORRO DA CRUZ - VERTICAL'!$AG$6:$AG$546,'BM MORRO DA CRUZ - VERTICAL'!$B$6:$B$546,$A86),"")</f>
        <v/>
      </c>
      <c r="L87" s="273" t="str">
        <f>IF(SUMIFS('BM MORRO DA CRUZ - VERTICAL'!$AI$6:$AI$546,'BM MORRO DA CRUZ - VERTICAL'!$B$6:$B$546,$A86)&gt;0,SUMIFS('BM MORRO DA CRUZ - VERTICAL'!$AI$6:$AI$546,'BM MORRO DA CRUZ - VERTICAL'!$B$6:$B$546,$A86),"")</f>
        <v/>
      </c>
      <c r="M87" s="273" t="str">
        <f>IF(SUMIFS('BM MORRO DA CRUZ - VERTICAL'!$AK$6:$AK$546,'BM MORRO DA CRUZ - VERTICAL'!$B$6:$B$546,$A86)&gt;0,SUMIFS('BM MORRO DA CRUZ - VERTICAL'!$AK$6:$AK$546,'BM MORRO DA CRUZ - VERTICAL'!$B$6:$B$546,$A86),"")</f>
        <v/>
      </c>
      <c r="N87" s="273" t="str">
        <f>IF(SUMIFS('BM MORRO DA CRUZ - VERTICAL'!$AM$6:$AM$546,'BM MORRO DA CRUZ - VERTICAL'!$B$6:$B$546,$A86)&gt;0,SUMIFS('BM MORRO DA CRUZ - VERTICAL'!$AM$6:$AM$546,'BM MORRO DA CRUZ - VERTICAL'!$B$6:$B$546,$A86),"")</f>
        <v/>
      </c>
      <c r="O87" s="273" t="str">
        <f>IF(SUMIFS('BM MORRO DA CRUZ - VERTICAL'!$AO$6:$AO$546,'BM MORRO DA CRUZ - VERTICAL'!$B$6:$B$546,$A86)&gt;0,SUMIFS('BM MORRO DA CRUZ - VERTICAL'!$AO$6:$AO$546,'BM MORRO DA CRUZ - VERTICAL'!$B$6:$B$546,$A86),"")</f>
        <v/>
      </c>
      <c r="P87" s="273" t="str">
        <f>IF(SUMIFS('BM MORRO DA CRUZ - VERTICAL'!$AQ$6:$AQ$546,'BM MORRO DA CRUZ - VERTICAL'!$B$6:$B$546,$A86)&gt;0,SUMIFS('BM MORRO DA CRUZ - VERTICAL'!$AQ$6:$AQ$546,'BM MORRO DA CRUZ - VERTICAL'!$B$6:$B$546,$A86),"")</f>
        <v/>
      </c>
      <c r="Q87" s="273" t="str">
        <f>IF(SUMIFS('BM MORRO DA CRUZ - VERTICAL'!$AS$6:$AS$546,'BM MORRO DA CRUZ - VERTICAL'!$B$6:$B$546,$A86)&gt;0,SUMIFS('BM MORRO DA CRUZ - VERTICAL'!$AS$6:$AS$546,'BM MORRO DA CRUZ - VERTICAL'!$B$6:$B$546,$A86),"")</f>
        <v/>
      </c>
      <c r="R87" s="273" t="str">
        <f>IF(SUMIFS('BM MORRO DA CRUZ - VERTICAL'!$AU$6:$AU$546,'BM MORRO DA CRUZ - VERTICAL'!$B$6:$B$546,$A86)&gt;0,SUMIFS('BM MORRO DA CRUZ - VERTICAL'!$AU$6:$AU$546,'BM MORRO DA CRUZ - VERTICAL'!$B$6:$B$546,$A86),"")</f>
        <v/>
      </c>
      <c r="S87" s="273" t="str">
        <f>IF(SUMIFS('BM MORRO DA CRUZ - VERTICAL'!$AW$6:$AW$546,'BM MORRO DA CRUZ - VERTICAL'!$B$6:$B$546,$A86)&gt;0,SUMIFS('BM MORRO DA CRUZ - VERTICAL'!$AW$6:$AW$546,'BM MORRO DA CRUZ - VERTICAL'!$B$6:$B$546,$A86),"")</f>
        <v/>
      </c>
      <c r="T87" s="273" t="str">
        <f>IF(SUMIFS('BM MORRO DA CRUZ - VERTICAL'!$AY$6:$AY$546,'BM MORRO DA CRUZ - VERTICAL'!$B$6:$B$546,$A86)&gt;0,SUMIFS('BM MORRO DA CRUZ - VERTICAL'!$AY$6:$AY$546,'BM MORRO DA CRUZ - VERTICAL'!$B$6:$B$546,$A86),"")</f>
        <v/>
      </c>
      <c r="U87" s="273" t="str">
        <f>IF(SUMIFS('BM MORRO DA CRUZ - VERTICAL'!$BA$6:$BA$546,'BM MORRO DA CRUZ - VERTICAL'!$B$6:$B$546,$A86)&gt;0,SUMIFS('BM MORRO DA CRUZ - VERTICAL'!$BA$6:$BA$546,'BM MORRO DA CRUZ - VERTICAL'!$B$6:$B$546,$A86),"")</f>
        <v/>
      </c>
      <c r="V87" s="273" t="str">
        <f>IF(SUMIFS('BM MORRO DA CRUZ - VERTICAL'!$BC$6:$BC$546,'BM MORRO DA CRUZ - VERTICAL'!$B$6:$B$546,$A86)&gt;0,SUMIFS('BM MORRO DA CRUZ - VERTICAL'!$BC$6:$BC$546,'BM MORRO DA CRUZ - VERTICAL'!$B$6:$B$546,$A86),"")</f>
        <v/>
      </c>
      <c r="W87" s="273" t="str">
        <f>IF(SUMIFS('BM MORRO DA CRUZ - VERTICAL'!$BE$6:$BE$546,'BM MORRO DA CRUZ - VERTICAL'!$B$6:$B$546,$A86)&gt;0,SUMIFS('BM MORRO DA CRUZ - VERTICAL'!$BE$6:$BE$546,'BM MORRO DA CRUZ - VERTICAL'!$B$6:$B$546,$A86),"")</f>
        <v/>
      </c>
      <c r="Y87" s="257">
        <f>SUM(F87:W87)</f>
        <v>0</v>
      </c>
      <c r="Z87" s="257">
        <f>Y87-C86</f>
        <v>-264.48</v>
      </c>
    </row>
    <row r="88" spans="1:26" ht="9.75" customHeight="1" x14ac:dyDescent="0.45">
      <c r="A88" s="467"/>
      <c r="B88" s="467"/>
      <c r="C88" s="469"/>
      <c r="D88" s="470"/>
      <c r="E88" s="258"/>
      <c r="F88" s="274"/>
      <c r="G88" s="274"/>
      <c r="H88" s="274"/>
      <c r="I88" s="274"/>
      <c r="J88" s="274"/>
      <c r="K88" s="274"/>
      <c r="L88" s="274"/>
      <c r="M88" s="274"/>
      <c r="N88" s="274"/>
      <c r="O88" s="274"/>
      <c r="P88" s="274"/>
      <c r="Q88" s="274"/>
      <c r="R88" s="274"/>
      <c r="S88" s="274"/>
      <c r="T88" s="274"/>
      <c r="U88" s="274"/>
      <c r="V88" s="274"/>
      <c r="W88" s="274"/>
      <c r="Y88" s="275"/>
      <c r="Z88" s="275"/>
    </row>
    <row r="89" spans="1:26" ht="9.75" customHeight="1" x14ac:dyDescent="0.45">
      <c r="A89" s="467"/>
      <c r="B89" s="467"/>
      <c r="C89" s="469"/>
      <c r="D89" s="470"/>
      <c r="E89" s="258"/>
      <c r="F89" s="274"/>
      <c r="G89" s="274"/>
      <c r="H89" s="274"/>
      <c r="I89" s="274"/>
      <c r="J89" s="274"/>
      <c r="K89" s="274"/>
      <c r="L89" s="274"/>
      <c r="M89" s="274"/>
      <c r="N89" s="274"/>
      <c r="O89" s="274"/>
      <c r="P89" s="274"/>
      <c r="Q89" s="274"/>
      <c r="R89" s="274"/>
      <c r="S89" s="274"/>
      <c r="T89" s="274"/>
      <c r="U89" s="274"/>
      <c r="V89" s="274"/>
      <c r="W89" s="274"/>
      <c r="Y89" s="275"/>
      <c r="Z89" s="275"/>
    </row>
    <row r="90" spans="1:26" ht="15" customHeight="1" x14ac:dyDescent="0.45">
      <c r="A90" s="467"/>
      <c r="B90" s="467"/>
      <c r="C90" s="469"/>
      <c r="D90" s="470"/>
      <c r="E90" s="260" t="s">
        <v>1571</v>
      </c>
      <c r="F90" s="276"/>
      <c r="G90" s="276">
        <v>6.25E-2</v>
      </c>
      <c r="H90" s="276">
        <v>6.25E-2</v>
      </c>
      <c r="I90" s="276">
        <v>6.25E-2</v>
      </c>
      <c r="J90" s="276">
        <v>6.25E-2</v>
      </c>
      <c r="K90" s="276">
        <v>6.25E-2</v>
      </c>
      <c r="L90" s="276">
        <v>6.25E-2</v>
      </c>
      <c r="M90" s="276">
        <v>6.25E-2</v>
      </c>
      <c r="N90" s="276">
        <v>6.25E-2</v>
      </c>
      <c r="O90" s="276">
        <v>6.25E-2</v>
      </c>
      <c r="P90" s="276">
        <v>6.25E-2</v>
      </c>
      <c r="Q90" s="276">
        <v>6.25E-2</v>
      </c>
      <c r="R90" s="276">
        <v>6.25E-2</v>
      </c>
      <c r="S90" s="276">
        <v>6.25E-2</v>
      </c>
      <c r="T90" s="276">
        <v>6.25E-2</v>
      </c>
      <c r="U90" s="276">
        <v>6.25E-2</v>
      </c>
      <c r="V90" s="276">
        <v>6.25E-2</v>
      </c>
      <c r="W90" s="276"/>
      <c r="Y90" s="275"/>
      <c r="Z90" s="275"/>
    </row>
    <row r="91" spans="1:26" ht="15" customHeight="1" x14ac:dyDescent="0.45">
      <c r="A91" s="467"/>
      <c r="B91" s="467"/>
      <c r="C91" s="469"/>
      <c r="D91" s="470"/>
      <c r="E91" s="263" t="s">
        <v>1572</v>
      </c>
      <c r="F91" s="265">
        <f t="shared" ref="F91:W91" si="27">IFERROR(F87/$C86,0)</f>
        <v>0</v>
      </c>
      <c r="G91" s="265">
        <f t="shared" si="27"/>
        <v>0</v>
      </c>
      <c r="H91" s="265">
        <f t="shared" si="27"/>
        <v>0</v>
      </c>
      <c r="I91" s="265">
        <f t="shared" si="27"/>
        <v>0</v>
      </c>
      <c r="J91" s="265">
        <f t="shared" si="27"/>
        <v>0</v>
      </c>
      <c r="K91" s="265">
        <f t="shared" si="27"/>
        <v>0</v>
      </c>
      <c r="L91" s="265">
        <f t="shared" si="27"/>
        <v>0</v>
      </c>
      <c r="M91" s="265">
        <f t="shared" si="27"/>
        <v>0</v>
      </c>
      <c r="N91" s="265">
        <f t="shared" si="27"/>
        <v>0</v>
      </c>
      <c r="O91" s="265">
        <f t="shared" si="27"/>
        <v>0</v>
      </c>
      <c r="P91" s="265">
        <f t="shared" si="27"/>
        <v>0</v>
      </c>
      <c r="Q91" s="265">
        <f t="shared" si="27"/>
        <v>0</v>
      </c>
      <c r="R91" s="265">
        <f t="shared" si="27"/>
        <v>0</v>
      </c>
      <c r="S91" s="265">
        <f t="shared" si="27"/>
        <v>0</v>
      </c>
      <c r="T91" s="265">
        <f t="shared" si="27"/>
        <v>0</v>
      </c>
      <c r="U91" s="265">
        <f t="shared" si="27"/>
        <v>0</v>
      </c>
      <c r="V91" s="265">
        <f t="shared" si="27"/>
        <v>0</v>
      </c>
      <c r="W91" s="265">
        <f t="shared" si="27"/>
        <v>0</v>
      </c>
      <c r="Y91" s="275"/>
      <c r="Z91" s="275"/>
    </row>
    <row r="92" spans="1:26" ht="7.5" customHeight="1" x14ac:dyDescent="0.45">
      <c r="A92" s="266"/>
      <c r="B92" s="267"/>
      <c r="C92" s="268"/>
      <c r="D92" s="269"/>
      <c r="E92" s="270"/>
      <c r="F92" s="271"/>
      <c r="G92" s="271"/>
      <c r="H92" s="271"/>
      <c r="I92" s="271"/>
      <c r="J92" s="271"/>
      <c r="K92" s="271"/>
      <c r="L92" s="271"/>
      <c r="M92" s="271"/>
      <c r="N92" s="271"/>
      <c r="O92" s="271"/>
      <c r="P92" s="271"/>
      <c r="Q92" s="271"/>
      <c r="R92" s="271"/>
      <c r="S92" s="272"/>
      <c r="T92" s="271"/>
      <c r="U92" s="271"/>
      <c r="V92" s="271"/>
      <c r="W92" s="271"/>
    </row>
    <row r="93" spans="1:26" ht="15" customHeight="1" x14ac:dyDescent="0.45">
      <c r="A93" s="463" t="s">
        <v>1492</v>
      </c>
      <c r="B93" s="464" t="s">
        <v>36</v>
      </c>
      <c r="C93" s="465">
        <f>IFERROR(SUMIFS('BM MORRO DA CRUZ - VERTICAL'!$U$6:$U$546,'BM MORRO DA CRUZ - VERTICAL'!$B$6:$B$546,$A93),0)</f>
        <v>1304685.94</v>
      </c>
      <c r="D93" s="466">
        <f>C93/$C$128</f>
        <v>2.6157150592460748E-2</v>
      </c>
      <c r="E93" s="251" t="s">
        <v>1569</v>
      </c>
      <c r="F93" s="252">
        <f t="shared" ref="F93:W93" si="28">($C$93/SUM($C$9,$C$51))*SUM(F9,F51)</f>
        <v>1790.7124702716017</v>
      </c>
      <c r="G93" s="252">
        <f t="shared" si="28"/>
        <v>81319.032191216058</v>
      </c>
      <c r="H93" s="252">
        <f t="shared" si="28"/>
        <v>81319.032191216058</v>
      </c>
      <c r="I93" s="252">
        <f t="shared" si="28"/>
        <v>81319.032191216058</v>
      </c>
      <c r="J93" s="252">
        <f t="shared" si="28"/>
        <v>81319.032191216058</v>
      </c>
      <c r="K93" s="252">
        <f t="shared" si="28"/>
        <v>81319.032191216058</v>
      </c>
      <c r="L93" s="252">
        <f t="shared" si="28"/>
        <v>81319.032191216058</v>
      </c>
      <c r="M93" s="252">
        <f t="shared" si="28"/>
        <v>81319.032191216058</v>
      </c>
      <c r="N93" s="252">
        <f t="shared" si="28"/>
        <v>81319.032191216058</v>
      </c>
      <c r="O93" s="252">
        <f t="shared" si="28"/>
        <v>81319.032191216058</v>
      </c>
      <c r="P93" s="252">
        <f t="shared" si="28"/>
        <v>81319.032191216058</v>
      </c>
      <c r="Q93" s="252">
        <f t="shared" si="28"/>
        <v>81319.032191216058</v>
      </c>
      <c r="R93" s="252">
        <f t="shared" si="28"/>
        <v>81319.032191216058</v>
      </c>
      <c r="S93" s="252">
        <f t="shared" si="28"/>
        <v>81319.032191216058</v>
      </c>
      <c r="T93" s="252">
        <f t="shared" si="28"/>
        <v>81319.032191216058</v>
      </c>
      <c r="U93" s="252">
        <f t="shared" si="28"/>
        <v>81319.032191216058</v>
      </c>
      <c r="V93" s="252">
        <f t="shared" si="28"/>
        <v>81319.032191216058</v>
      </c>
      <c r="W93" s="252">
        <f t="shared" si="28"/>
        <v>1790.7124702716017</v>
      </c>
      <c r="Y93" s="253">
        <f>SUM(F93:W93)</f>
        <v>1304685.94</v>
      </c>
      <c r="Z93" s="253">
        <f>Y93-C93</f>
        <v>0</v>
      </c>
    </row>
    <row r="94" spans="1:26" ht="15" customHeight="1" x14ac:dyDescent="0.45">
      <c r="A94" s="463"/>
      <c r="B94" s="463"/>
      <c r="C94" s="465"/>
      <c r="D94" s="466"/>
      <c r="E94" s="254" t="s">
        <v>1570</v>
      </c>
      <c r="F94" s="273" t="str">
        <f>IF(SUMIFS('BM MORRO DA CRUZ - VERTICAL'!$W$6:$W$546,'BM MORRO DA CRUZ - VERTICAL'!$B$6:$B$546,'CRONOGRAMA FF CAESB'!$A93)&gt;0,SUMIFS('BM MORRO DA CRUZ - VERTICAL'!$W$6:$W$546,'BM MORRO DA CRUZ - VERTICAL'!$B$6:$B$546,'CRONOGRAMA FF CAESB'!$A93),"")</f>
        <v/>
      </c>
      <c r="G94" s="273" t="str">
        <f>IF(SUMIFS('BM MORRO DA CRUZ - VERTICAL'!$Y$6:$Y$546,'BM MORRO DA CRUZ - VERTICAL'!$B$6:$B$546,'CRONOGRAMA FF CAESB'!$A93)&gt;0,SUMIFS('BM MORRO DA CRUZ - VERTICAL'!$Y$6:$Y$546,'BM MORRO DA CRUZ - VERTICAL'!$B$6:$B$546,'CRONOGRAMA FF CAESB'!$A93),"")</f>
        <v/>
      </c>
      <c r="H94" s="273" t="str">
        <f>IF(SUMIFS('BM MORRO DA CRUZ - VERTICAL'!$AA$6:$AA$546,'BM MORRO DA CRUZ - VERTICAL'!$B$6:$B$546,'CRONOGRAMA FF CAESB'!$A93)&gt;0,SUMIFS('BM MORRO DA CRUZ - VERTICAL'!$AA$6:$AA$546,'BM MORRO DA CRUZ - VERTICAL'!$B$6:$B$546,'CRONOGRAMA FF CAESB'!$A93),"")</f>
        <v/>
      </c>
      <c r="I94" s="273" t="str">
        <f>IF(SUMIFS('BM MORRO DA CRUZ - VERTICAL'!$AC$6:$AC$546,'BM MORRO DA CRUZ - VERTICAL'!$B$6:$B$546,'CRONOGRAMA FF CAESB'!$A93)&gt;0,SUMIFS('BM MORRO DA CRUZ - VERTICAL'!$AC$6:$AC$546,'BM MORRO DA CRUZ - VERTICAL'!$B$6:$B$546,'CRONOGRAMA FF CAESB'!$A93),"")</f>
        <v/>
      </c>
      <c r="J94" s="273" t="str">
        <f>IF(SUMIFS('BM MORRO DA CRUZ - VERTICAL'!$AE$6:$AE$546,'BM MORRO DA CRUZ - VERTICAL'!$B$6:$B$546,'CRONOGRAMA FF CAESB'!$A93)&gt;0,SUMIFS('BM MORRO DA CRUZ - VERTICAL'!$AE$6:$AE$546,'BM MORRO DA CRUZ - VERTICAL'!$B$6:$B$546,'CRONOGRAMA FF CAESB'!$A93),"")</f>
        <v/>
      </c>
      <c r="K94" s="273" t="str">
        <f>IF(SUMIFS('BM MORRO DA CRUZ - VERTICAL'!$AG$6:$AG$546,'BM MORRO DA CRUZ - VERTICAL'!$B$6:$B$546,'CRONOGRAMA FF CAESB'!$A93)&gt;0,SUMIFS('BM MORRO DA CRUZ - VERTICAL'!$AG$6:$AG$546,'BM MORRO DA CRUZ - VERTICAL'!$B$6:$B$546,'CRONOGRAMA FF CAESB'!$A93),"")</f>
        <v/>
      </c>
      <c r="L94" s="273" t="str">
        <f>IF(SUMIFS('BM MORRO DA CRUZ - VERTICAL'!$AI$6:$AI$546,'BM MORRO DA CRUZ - VERTICAL'!$B$6:$B$546,'CRONOGRAMA FF CAESB'!$A93)&gt;0,SUMIFS('BM MORRO DA CRUZ - VERTICAL'!$AI$6:$AI$546,'BM MORRO DA CRUZ - VERTICAL'!$B$6:$B$546,'CRONOGRAMA FF CAESB'!$A93),"")</f>
        <v/>
      </c>
      <c r="M94" s="273" t="str">
        <f>IF(SUMIFS('BM MORRO DA CRUZ - VERTICAL'!$AK$6:$AK$546,'BM MORRO DA CRUZ - VERTICAL'!$B$6:$B$546,'CRONOGRAMA FF CAESB'!$A93)&gt;0,SUMIFS('BM MORRO DA CRUZ - VERTICAL'!$AK$6:$AK$546,'BM MORRO DA CRUZ - VERTICAL'!$B$6:$B$546,'CRONOGRAMA FF CAESB'!$A93),"")</f>
        <v/>
      </c>
      <c r="N94" s="273" t="str">
        <f>IF(SUMIFS('BM MORRO DA CRUZ - VERTICAL'!$AM$6:$AM$546,'BM MORRO DA CRUZ - VERTICAL'!$B$6:$B$546,'CRONOGRAMA FF CAESB'!$A93)&gt;0,SUMIFS('BM MORRO DA CRUZ - VERTICAL'!$AM$6:$AM$546,'BM MORRO DA CRUZ - VERTICAL'!$B$6:$B$546,'CRONOGRAMA FF CAESB'!$A93),"")</f>
        <v/>
      </c>
      <c r="O94" s="273" t="str">
        <f>IF(SUMIFS('BM MORRO DA CRUZ - VERTICAL'!$AO$6:$AO$546,'BM MORRO DA CRUZ - VERTICAL'!$B$6:$B$546,'CRONOGRAMA FF CAESB'!$A93)&gt;0,SUMIFS('BM MORRO DA CRUZ - VERTICAL'!$AO$6:$AO$546,'BM MORRO DA CRUZ - VERTICAL'!$B$6:$B$546,'CRONOGRAMA FF CAESB'!$A93),"")</f>
        <v/>
      </c>
      <c r="P94" s="273" t="str">
        <f>IF(SUMIFS('BM MORRO DA CRUZ - VERTICAL'!$AQ$6:$AQ$546,'BM MORRO DA CRUZ - VERTICAL'!$B$6:$B$546,'CRONOGRAMA FF CAESB'!$A93)&gt;0,SUMIFS('BM MORRO DA CRUZ - VERTICAL'!$AQ$6:$AQ$546,'BM MORRO DA CRUZ - VERTICAL'!$B$6:$B$546,'CRONOGRAMA FF CAESB'!$A93),"")</f>
        <v/>
      </c>
      <c r="Q94" s="273" t="str">
        <f>IF(SUMIFS('BM MORRO DA CRUZ - VERTICAL'!$AS$6:$AS$546,'BM MORRO DA CRUZ - VERTICAL'!$B$6:$B$546,'CRONOGRAMA FF CAESB'!$A93)&gt;0,SUMIFS('BM MORRO DA CRUZ - VERTICAL'!$AS$6:$AS$546,'BM MORRO DA CRUZ - VERTICAL'!$B$6:$B$546,'CRONOGRAMA FF CAESB'!$A93),"")</f>
        <v/>
      </c>
      <c r="R94" s="273" t="str">
        <f>IF(SUMIFS('BM MORRO DA CRUZ - VERTICAL'!$AU$6:$AU$546,'BM MORRO DA CRUZ - VERTICAL'!$B$6:$B$546,'CRONOGRAMA FF CAESB'!$A93)&gt;0,SUMIFS('BM MORRO DA CRUZ - VERTICAL'!$AU$6:$AU$546,'BM MORRO DA CRUZ - VERTICAL'!$B$6:$B$546,'CRONOGRAMA FF CAESB'!$A93),"")</f>
        <v/>
      </c>
      <c r="S94" s="273" t="str">
        <f>IF(SUMIFS('BM MORRO DA CRUZ - VERTICAL'!$AW$6:$AW$546,'BM MORRO DA CRUZ - VERTICAL'!$B$6:$B$546,'CRONOGRAMA FF CAESB'!$A93)&gt;0,SUMIFS('BM MORRO DA CRUZ - VERTICAL'!$AW$6:$AW$546,'BM MORRO DA CRUZ - VERTICAL'!$B$6:$B$546,'CRONOGRAMA FF CAESB'!$A93),"")</f>
        <v/>
      </c>
      <c r="T94" s="273" t="str">
        <f>IF(SUMIFS('BM MORRO DA CRUZ - VERTICAL'!$AY$6:$AY$546,'BM MORRO DA CRUZ - VERTICAL'!$B$6:$B$546,'CRONOGRAMA FF CAESB'!$A93)&gt;0,SUMIFS('BM MORRO DA CRUZ - VERTICAL'!$AY$6:$AY$546,'BM MORRO DA CRUZ - VERTICAL'!$B$6:$B$546,'CRONOGRAMA FF CAESB'!$A93),"")</f>
        <v/>
      </c>
      <c r="U94" s="273" t="str">
        <f>IF(SUMIFS('BM MORRO DA CRUZ - VERTICAL'!$BA$6:$BA$546,'BM MORRO DA CRUZ - VERTICAL'!$B$6:$B$546,'CRONOGRAMA FF CAESB'!$A93)&gt;0,SUMIFS('BM MORRO DA CRUZ - VERTICAL'!$BA$6:$BA$546,'BM MORRO DA CRUZ - VERTICAL'!$B$6:$B$546,'CRONOGRAMA FF CAESB'!$A93),"")</f>
        <v/>
      </c>
      <c r="V94" s="273" t="str">
        <f>IF(SUMIFS('BM MORRO DA CRUZ - VERTICAL'!$BC$6:$BC$546,'BM MORRO DA CRUZ - VERTICAL'!$B$6:$B$546,'CRONOGRAMA FF CAESB'!$A93)&gt;0,SUMIFS('BM MORRO DA CRUZ - VERTICAL'!$BC$6:$BC$546,'BM MORRO DA CRUZ - VERTICAL'!$B$6:$B$546,'CRONOGRAMA FF CAESB'!$A93),"")</f>
        <v/>
      </c>
      <c r="W94" s="273" t="str">
        <f>IF(SUMIFS('BM MORRO DA CRUZ - VERTICAL'!$BE$6:$BE$546,'BM MORRO DA CRUZ - VERTICAL'!$B$6:$B$546,'CRONOGRAMA FF CAESB'!$A93)&gt;0,SUMIFS('BM MORRO DA CRUZ - VERTICAL'!$BE$6:$BE$546,'BM MORRO DA CRUZ - VERTICAL'!$B$6:$B$546,'CRONOGRAMA FF CAESB'!$A93),"")</f>
        <v/>
      </c>
      <c r="Y94" s="257">
        <f>SUM(F94:W94)</f>
        <v>0</v>
      </c>
      <c r="Z94" s="257">
        <f>Y94-C93</f>
        <v>-1304685.94</v>
      </c>
    </row>
    <row r="95" spans="1:26" ht="9.75" customHeight="1" x14ac:dyDescent="0.45">
      <c r="A95" s="463"/>
      <c r="B95" s="463"/>
      <c r="C95" s="465"/>
      <c r="D95" s="466"/>
      <c r="E95" s="258"/>
      <c r="F95" s="274"/>
      <c r="G95" s="274"/>
      <c r="H95" s="274"/>
      <c r="I95" s="274"/>
      <c r="J95" s="274"/>
      <c r="K95" s="274"/>
      <c r="L95" s="274"/>
      <c r="M95" s="274"/>
      <c r="N95" s="274"/>
      <c r="O95" s="274"/>
      <c r="P95" s="274"/>
      <c r="Q95" s="274"/>
      <c r="R95" s="274"/>
      <c r="S95" s="274"/>
      <c r="T95" s="274"/>
      <c r="U95" s="274"/>
      <c r="V95" s="274"/>
      <c r="W95" s="274"/>
      <c r="Y95" s="275"/>
      <c r="Z95" s="275"/>
    </row>
    <row r="96" spans="1:26" ht="9.75" customHeight="1" x14ac:dyDescent="0.45">
      <c r="A96" s="463"/>
      <c r="B96" s="463"/>
      <c r="C96" s="465"/>
      <c r="D96" s="466"/>
      <c r="E96" s="258"/>
      <c r="F96" s="274"/>
      <c r="G96" s="274"/>
      <c r="H96" s="274"/>
      <c r="I96" s="274"/>
      <c r="J96" s="274"/>
      <c r="K96" s="274"/>
      <c r="L96" s="274"/>
      <c r="M96" s="274"/>
      <c r="N96" s="274"/>
      <c r="O96" s="274"/>
      <c r="P96" s="274"/>
      <c r="Q96" s="274"/>
      <c r="R96" s="274"/>
      <c r="S96" s="274"/>
      <c r="T96" s="274"/>
      <c r="U96" s="274"/>
      <c r="V96" s="274"/>
      <c r="W96" s="274"/>
      <c r="Y96" s="275"/>
      <c r="Z96" s="275"/>
    </row>
    <row r="97" spans="1:26" ht="15" customHeight="1" x14ac:dyDescent="0.45">
      <c r="A97" s="463"/>
      <c r="B97" s="463"/>
      <c r="C97" s="465"/>
      <c r="D97" s="466"/>
      <c r="E97" s="260" t="s">
        <v>1571</v>
      </c>
      <c r="F97" s="261">
        <f t="shared" ref="F97:W97" si="29">IFERROR(F93/$C93,0)</f>
        <v>1.3725237740138457E-3</v>
      </c>
      <c r="G97" s="261">
        <f t="shared" si="29"/>
        <v>6.232843452824828E-2</v>
      </c>
      <c r="H97" s="261">
        <f t="shared" si="29"/>
        <v>6.232843452824828E-2</v>
      </c>
      <c r="I97" s="261">
        <f t="shared" si="29"/>
        <v>6.232843452824828E-2</v>
      </c>
      <c r="J97" s="261">
        <f t="shared" si="29"/>
        <v>6.232843452824828E-2</v>
      </c>
      <c r="K97" s="261">
        <f t="shared" si="29"/>
        <v>6.232843452824828E-2</v>
      </c>
      <c r="L97" s="261">
        <f t="shared" si="29"/>
        <v>6.232843452824828E-2</v>
      </c>
      <c r="M97" s="261">
        <f t="shared" si="29"/>
        <v>6.232843452824828E-2</v>
      </c>
      <c r="N97" s="261">
        <f t="shared" si="29"/>
        <v>6.232843452824828E-2</v>
      </c>
      <c r="O97" s="261">
        <f t="shared" si="29"/>
        <v>6.232843452824828E-2</v>
      </c>
      <c r="P97" s="261">
        <f t="shared" si="29"/>
        <v>6.232843452824828E-2</v>
      </c>
      <c r="Q97" s="261">
        <f t="shared" si="29"/>
        <v>6.232843452824828E-2</v>
      </c>
      <c r="R97" s="261">
        <f t="shared" si="29"/>
        <v>6.232843452824828E-2</v>
      </c>
      <c r="S97" s="261">
        <f t="shared" si="29"/>
        <v>6.232843452824828E-2</v>
      </c>
      <c r="T97" s="261">
        <f t="shared" si="29"/>
        <v>6.232843452824828E-2</v>
      </c>
      <c r="U97" s="261">
        <f t="shared" si="29"/>
        <v>6.232843452824828E-2</v>
      </c>
      <c r="V97" s="261">
        <f t="shared" si="29"/>
        <v>6.232843452824828E-2</v>
      </c>
      <c r="W97" s="261">
        <f t="shared" si="29"/>
        <v>1.3725237740138457E-3</v>
      </c>
      <c r="Y97" s="262">
        <f>SUM(F97:W97)</f>
        <v>1.0000000000000004</v>
      </c>
      <c r="Z97" s="262">
        <f>Y97-C97</f>
        <v>1.0000000000000004</v>
      </c>
    </row>
    <row r="98" spans="1:26" ht="15" customHeight="1" x14ac:dyDescent="0.45">
      <c r="A98" s="463"/>
      <c r="B98" s="463"/>
      <c r="C98" s="465"/>
      <c r="D98" s="466"/>
      <c r="E98" s="263" t="s">
        <v>1572</v>
      </c>
      <c r="F98" s="264">
        <f t="shared" ref="F98:W98" si="30">IFERROR(F94/$C93,0)</f>
        <v>0</v>
      </c>
      <c r="G98" s="264">
        <f t="shared" si="30"/>
        <v>0</v>
      </c>
      <c r="H98" s="264">
        <f t="shared" si="30"/>
        <v>0</v>
      </c>
      <c r="I98" s="264">
        <f t="shared" si="30"/>
        <v>0</v>
      </c>
      <c r="J98" s="264">
        <f t="shared" si="30"/>
        <v>0</v>
      </c>
      <c r="K98" s="264">
        <f t="shared" si="30"/>
        <v>0</v>
      </c>
      <c r="L98" s="264">
        <f t="shared" si="30"/>
        <v>0</v>
      </c>
      <c r="M98" s="264">
        <f t="shared" si="30"/>
        <v>0</v>
      </c>
      <c r="N98" s="264">
        <f t="shared" si="30"/>
        <v>0</v>
      </c>
      <c r="O98" s="264">
        <f t="shared" si="30"/>
        <v>0</v>
      </c>
      <c r="P98" s="264">
        <f t="shared" si="30"/>
        <v>0</v>
      </c>
      <c r="Q98" s="264">
        <f t="shared" si="30"/>
        <v>0</v>
      </c>
      <c r="R98" s="264">
        <f t="shared" si="30"/>
        <v>0</v>
      </c>
      <c r="S98" s="264">
        <f t="shared" si="30"/>
        <v>0</v>
      </c>
      <c r="T98" s="264">
        <f t="shared" si="30"/>
        <v>0</v>
      </c>
      <c r="U98" s="264">
        <f t="shared" si="30"/>
        <v>0</v>
      </c>
      <c r="V98" s="264">
        <f t="shared" si="30"/>
        <v>0</v>
      </c>
      <c r="W98" s="264">
        <f t="shared" si="30"/>
        <v>0</v>
      </c>
      <c r="Y98" s="265">
        <f>SUM(F98:W98)</f>
        <v>0</v>
      </c>
      <c r="Z98" s="265">
        <f>Y98-C97</f>
        <v>0</v>
      </c>
    </row>
    <row r="99" spans="1:26" ht="7.5" customHeight="1" x14ac:dyDescent="0.45">
      <c r="A99" s="278"/>
      <c r="B99" s="279"/>
      <c r="C99" s="280"/>
      <c r="D99" s="281"/>
      <c r="E99" s="280"/>
      <c r="F99" s="282"/>
      <c r="G99" s="282"/>
      <c r="H99" s="282"/>
      <c r="I99" s="282"/>
      <c r="J99" s="282"/>
      <c r="K99" s="282"/>
      <c r="L99" s="282"/>
      <c r="M99" s="283"/>
      <c r="N99" s="283"/>
      <c r="O99" s="283"/>
      <c r="P99" s="283"/>
      <c r="Q99" s="283"/>
      <c r="R99" s="283"/>
      <c r="S99" s="283"/>
      <c r="T99" s="283"/>
      <c r="U99" s="283"/>
      <c r="V99" s="283"/>
      <c r="W99" s="284"/>
    </row>
    <row r="100" spans="1:26" ht="15" customHeight="1" x14ac:dyDescent="0.45">
      <c r="A100" s="457" t="s">
        <v>1578</v>
      </c>
      <c r="B100" s="457"/>
      <c r="C100" s="458">
        <f>'BM MORRO DA CRUZ - VERTICAL'!$T$548</f>
        <v>15063612.609999999</v>
      </c>
      <c r="D100" s="285"/>
      <c r="E100" s="286" t="s">
        <v>1569</v>
      </c>
      <c r="F100" s="287">
        <f t="shared" ref="F100:W100" si="31">IFERROR(F9*$C$100/$C$9,"")</f>
        <v>32705.15886717755</v>
      </c>
      <c r="G100" s="287">
        <f t="shared" si="31"/>
        <v>937387.64326660277</v>
      </c>
      <c r="H100" s="287">
        <f t="shared" si="31"/>
        <v>937387.64326660277</v>
      </c>
      <c r="I100" s="287">
        <f t="shared" si="31"/>
        <v>937387.64326660277</v>
      </c>
      <c r="J100" s="287">
        <f t="shared" si="31"/>
        <v>937387.64326660277</v>
      </c>
      <c r="K100" s="287">
        <f t="shared" si="31"/>
        <v>937387.64326660277</v>
      </c>
      <c r="L100" s="287">
        <f t="shared" si="31"/>
        <v>937387.64326660277</v>
      </c>
      <c r="M100" s="287">
        <f t="shared" si="31"/>
        <v>937387.64326660277</v>
      </c>
      <c r="N100" s="287">
        <f t="shared" si="31"/>
        <v>937387.64326660277</v>
      </c>
      <c r="O100" s="287">
        <f t="shared" si="31"/>
        <v>937387.64326660277</v>
      </c>
      <c r="P100" s="287">
        <f t="shared" si="31"/>
        <v>937387.64326660277</v>
      </c>
      <c r="Q100" s="287">
        <f t="shared" si="31"/>
        <v>937387.64326660277</v>
      </c>
      <c r="R100" s="287">
        <f t="shared" si="31"/>
        <v>937387.64326660277</v>
      </c>
      <c r="S100" s="287">
        <f t="shared" si="31"/>
        <v>937387.64326660277</v>
      </c>
      <c r="T100" s="287">
        <f t="shared" si="31"/>
        <v>937387.64326660277</v>
      </c>
      <c r="U100" s="287">
        <f t="shared" si="31"/>
        <v>937387.64326660277</v>
      </c>
      <c r="V100" s="287">
        <f t="shared" si="31"/>
        <v>937387.64326660277</v>
      </c>
      <c r="W100" s="287">
        <f t="shared" si="31"/>
        <v>32705.15886717755</v>
      </c>
      <c r="Y100" s="253">
        <f t="shared" ref="Y100:Y107" si="32">SUM(F100:W100)</f>
        <v>15063612.610000001</v>
      </c>
      <c r="Z100" s="253">
        <f>Y100-C100</f>
        <v>0</v>
      </c>
    </row>
    <row r="101" spans="1:26" ht="15" customHeight="1" x14ac:dyDescent="0.45">
      <c r="A101" s="457"/>
      <c r="B101" s="457"/>
      <c r="C101" s="458"/>
      <c r="D101" s="288"/>
      <c r="E101" s="289" t="s">
        <v>1570</v>
      </c>
      <c r="F101" s="290" t="str">
        <f t="shared" ref="F101:W101" si="33">F10</f>
        <v/>
      </c>
      <c r="G101" s="290" t="str">
        <f t="shared" si="33"/>
        <v/>
      </c>
      <c r="H101" s="290" t="str">
        <f t="shared" si="33"/>
        <v/>
      </c>
      <c r="I101" s="290" t="str">
        <f t="shared" si="33"/>
        <v/>
      </c>
      <c r="J101" s="290" t="str">
        <f t="shared" si="33"/>
        <v/>
      </c>
      <c r="K101" s="290" t="str">
        <f t="shared" si="33"/>
        <v/>
      </c>
      <c r="L101" s="290" t="str">
        <f t="shared" si="33"/>
        <v/>
      </c>
      <c r="M101" s="290" t="str">
        <f t="shared" si="33"/>
        <v/>
      </c>
      <c r="N101" s="290" t="str">
        <f t="shared" si="33"/>
        <v/>
      </c>
      <c r="O101" s="290" t="str">
        <f t="shared" si="33"/>
        <v/>
      </c>
      <c r="P101" s="290" t="str">
        <f t="shared" si="33"/>
        <v/>
      </c>
      <c r="Q101" s="290" t="str">
        <f t="shared" si="33"/>
        <v/>
      </c>
      <c r="R101" s="290" t="str">
        <f t="shared" si="33"/>
        <v/>
      </c>
      <c r="S101" s="290" t="str">
        <f t="shared" si="33"/>
        <v/>
      </c>
      <c r="T101" s="290" t="str">
        <f t="shared" si="33"/>
        <v/>
      </c>
      <c r="U101" s="290" t="str">
        <f t="shared" si="33"/>
        <v/>
      </c>
      <c r="V101" s="290" t="str">
        <f t="shared" si="33"/>
        <v/>
      </c>
      <c r="W101" s="290" t="str">
        <f t="shared" si="33"/>
        <v/>
      </c>
      <c r="Y101" s="257">
        <f t="shared" si="32"/>
        <v>0</v>
      </c>
      <c r="Z101" s="257">
        <f>Y101-C100</f>
        <v>-15063612.609999999</v>
      </c>
    </row>
    <row r="102" spans="1:26" ht="15" customHeight="1" x14ac:dyDescent="0.45">
      <c r="A102" s="461">
        <f>'BM MORRO DA CRUZ'!$O$406</f>
        <v>0.15279999999999999</v>
      </c>
      <c r="B102" s="462" t="s">
        <v>1422</v>
      </c>
      <c r="C102" s="460">
        <f>C100*$A$102</f>
        <v>2301720.0068079997</v>
      </c>
      <c r="D102" s="291"/>
      <c r="E102" s="292" t="s">
        <v>1569</v>
      </c>
      <c r="F102" s="290">
        <f t="shared" ref="F102:W102" si="34">IFERROR(F100*$A$102,"")</f>
        <v>4997.3482749047289</v>
      </c>
      <c r="G102" s="290">
        <f t="shared" si="34"/>
        <v>143232.83189113688</v>
      </c>
      <c r="H102" s="290">
        <f t="shared" si="34"/>
        <v>143232.83189113688</v>
      </c>
      <c r="I102" s="290">
        <f t="shared" si="34"/>
        <v>143232.83189113688</v>
      </c>
      <c r="J102" s="290">
        <f t="shared" si="34"/>
        <v>143232.83189113688</v>
      </c>
      <c r="K102" s="290">
        <f t="shared" si="34"/>
        <v>143232.83189113688</v>
      </c>
      <c r="L102" s="290">
        <f t="shared" si="34"/>
        <v>143232.83189113688</v>
      </c>
      <c r="M102" s="290">
        <f t="shared" si="34"/>
        <v>143232.83189113688</v>
      </c>
      <c r="N102" s="290">
        <f t="shared" si="34"/>
        <v>143232.83189113688</v>
      </c>
      <c r="O102" s="290">
        <f t="shared" si="34"/>
        <v>143232.83189113688</v>
      </c>
      <c r="P102" s="290">
        <f t="shared" si="34"/>
        <v>143232.83189113688</v>
      </c>
      <c r="Q102" s="290">
        <f t="shared" si="34"/>
        <v>143232.83189113688</v>
      </c>
      <c r="R102" s="290">
        <f t="shared" si="34"/>
        <v>143232.83189113688</v>
      </c>
      <c r="S102" s="290">
        <f t="shared" si="34"/>
        <v>143232.83189113688</v>
      </c>
      <c r="T102" s="290">
        <f t="shared" si="34"/>
        <v>143232.83189113688</v>
      </c>
      <c r="U102" s="290">
        <f t="shared" si="34"/>
        <v>143232.83189113688</v>
      </c>
      <c r="V102" s="290">
        <f t="shared" si="34"/>
        <v>143232.83189113688</v>
      </c>
      <c r="W102" s="290">
        <f t="shared" si="34"/>
        <v>4997.3482749047289</v>
      </c>
      <c r="Y102" s="253">
        <f t="shared" si="32"/>
        <v>2301720.0068080002</v>
      </c>
      <c r="Z102" s="253">
        <f>Y102-C102</f>
        <v>0</v>
      </c>
    </row>
    <row r="103" spans="1:26" ht="15" customHeight="1" x14ac:dyDescent="0.45">
      <c r="A103" s="461"/>
      <c r="B103" s="462"/>
      <c r="C103" s="460"/>
      <c r="D103" s="293"/>
      <c r="E103" s="294" t="s">
        <v>1570</v>
      </c>
      <c r="F103" s="290" t="str">
        <f t="shared" ref="F103:W103" si="35">IFERROR(F101*$A$102,"")</f>
        <v/>
      </c>
      <c r="G103" s="290" t="str">
        <f t="shared" si="35"/>
        <v/>
      </c>
      <c r="H103" s="290" t="str">
        <f t="shared" si="35"/>
        <v/>
      </c>
      <c r="I103" s="290" t="str">
        <f t="shared" si="35"/>
        <v/>
      </c>
      <c r="J103" s="290" t="str">
        <f t="shared" si="35"/>
        <v/>
      </c>
      <c r="K103" s="290" t="str">
        <f t="shared" si="35"/>
        <v/>
      </c>
      <c r="L103" s="290" t="str">
        <f t="shared" si="35"/>
        <v/>
      </c>
      <c r="M103" s="290" t="str">
        <f t="shared" si="35"/>
        <v/>
      </c>
      <c r="N103" s="290" t="str">
        <f t="shared" si="35"/>
        <v/>
      </c>
      <c r="O103" s="290" t="str">
        <f t="shared" si="35"/>
        <v/>
      </c>
      <c r="P103" s="290" t="str">
        <f t="shared" si="35"/>
        <v/>
      </c>
      <c r="Q103" s="290" t="str">
        <f t="shared" si="35"/>
        <v/>
      </c>
      <c r="R103" s="290" t="str">
        <f t="shared" si="35"/>
        <v/>
      </c>
      <c r="S103" s="290" t="str">
        <f t="shared" si="35"/>
        <v/>
      </c>
      <c r="T103" s="290" t="str">
        <f t="shared" si="35"/>
        <v/>
      </c>
      <c r="U103" s="290" t="str">
        <f t="shared" si="35"/>
        <v/>
      </c>
      <c r="V103" s="290" t="str">
        <f t="shared" si="35"/>
        <v/>
      </c>
      <c r="W103" s="290" t="str">
        <f t="shared" si="35"/>
        <v/>
      </c>
      <c r="Y103" s="257">
        <f t="shared" si="32"/>
        <v>0</v>
      </c>
      <c r="Z103" s="257">
        <f>Y103-C102</f>
        <v>-2301720.0068079997</v>
      </c>
    </row>
    <row r="104" spans="1:26" ht="15" customHeight="1" x14ac:dyDescent="0.45">
      <c r="A104" s="453">
        <f>-'BM MORRO DA CRUZ'!$O$410</f>
        <v>0.14039999999999997</v>
      </c>
      <c r="B104" s="454" t="s">
        <v>1579</v>
      </c>
      <c r="C104" s="445">
        <f>SUM(C100:C103)*$A$104</f>
        <v>2438092.6993998424</v>
      </c>
      <c r="D104" s="288"/>
      <c r="E104" s="295" t="s">
        <v>1569</v>
      </c>
      <c r="F104" s="290">
        <f t="shared" ref="F104:W104" si="36">IFERROR((SUM(F100,F102)*$A$104),"")</f>
        <v>5293.4320027483509</v>
      </c>
      <c r="G104" s="290">
        <f t="shared" si="36"/>
        <v>151719.11471214661</v>
      </c>
      <c r="H104" s="290">
        <f t="shared" si="36"/>
        <v>151719.11471214661</v>
      </c>
      <c r="I104" s="290">
        <f t="shared" si="36"/>
        <v>151719.11471214661</v>
      </c>
      <c r="J104" s="290">
        <f t="shared" si="36"/>
        <v>151719.11471214661</v>
      </c>
      <c r="K104" s="290">
        <f t="shared" si="36"/>
        <v>151719.11471214661</v>
      </c>
      <c r="L104" s="290">
        <f t="shared" si="36"/>
        <v>151719.11471214661</v>
      </c>
      <c r="M104" s="290">
        <f t="shared" si="36"/>
        <v>151719.11471214661</v>
      </c>
      <c r="N104" s="290">
        <f t="shared" si="36"/>
        <v>151719.11471214661</v>
      </c>
      <c r="O104" s="290">
        <f t="shared" si="36"/>
        <v>151719.11471214661</v>
      </c>
      <c r="P104" s="290">
        <f t="shared" si="36"/>
        <v>151719.11471214661</v>
      </c>
      <c r="Q104" s="290">
        <f t="shared" si="36"/>
        <v>151719.11471214661</v>
      </c>
      <c r="R104" s="290">
        <f t="shared" si="36"/>
        <v>151719.11471214661</v>
      </c>
      <c r="S104" s="290">
        <f t="shared" si="36"/>
        <v>151719.11471214661</v>
      </c>
      <c r="T104" s="290">
        <f t="shared" si="36"/>
        <v>151719.11471214661</v>
      </c>
      <c r="U104" s="290">
        <f t="shared" si="36"/>
        <v>151719.11471214661</v>
      </c>
      <c r="V104" s="290">
        <f t="shared" si="36"/>
        <v>151719.11471214661</v>
      </c>
      <c r="W104" s="290">
        <f t="shared" si="36"/>
        <v>5293.4320027483509</v>
      </c>
      <c r="Y104" s="253">
        <f t="shared" si="32"/>
        <v>2438092.6993998424</v>
      </c>
      <c r="Z104" s="253">
        <f>Y104-C104</f>
        <v>0</v>
      </c>
    </row>
    <row r="105" spans="1:26" ht="15" customHeight="1" x14ac:dyDescent="0.45">
      <c r="A105" s="453"/>
      <c r="B105" s="454"/>
      <c r="C105" s="445"/>
      <c r="D105" s="288"/>
      <c r="E105" s="289" t="s">
        <v>1570</v>
      </c>
      <c r="F105" s="296">
        <f t="shared" ref="F105:W105" si="37">IFERROR((SUM(F101,F103)*$A$104),"")</f>
        <v>0</v>
      </c>
      <c r="G105" s="296">
        <f t="shared" si="37"/>
        <v>0</v>
      </c>
      <c r="H105" s="296">
        <f t="shared" si="37"/>
        <v>0</v>
      </c>
      <c r="I105" s="296">
        <f t="shared" si="37"/>
        <v>0</v>
      </c>
      <c r="J105" s="296">
        <f t="shared" si="37"/>
        <v>0</v>
      </c>
      <c r="K105" s="296">
        <f t="shared" si="37"/>
        <v>0</v>
      </c>
      <c r="L105" s="296">
        <f t="shared" si="37"/>
        <v>0</v>
      </c>
      <c r="M105" s="296">
        <f t="shared" si="37"/>
        <v>0</v>
      </c>
      <c r="N105" s="296">
        <f t="shared" si="37"/>
        <v>0</v>
      </c>
      <c r="O105" s="296">
        <f t="shared" si="37"/>
        <v>0</v>
      </c>
      <c r="P105" s="296">
        <f t="shared" si="37"/>
        <v>0</v>
      </c>
      <c r="Q105" s="296">
        <f t="shared" si="37"/>
        <v>0</v>
      </c>
      <c r="R105" s="296">
        <f t="shared" si="37"/>
        <v>0</v>
      </c>
      <c r="S105" s="296">
        <f t="shared" si="37"/>
        <v>0</v>
      </c>
      <c r="T105" s="296">
        <f t="shared" si="37"/>
        <v>0</v>
      </c>
      <c r="U105" s="296">
        <f t="shared" si="37"/>
        <v>0</v>
      </c>
      <c r="V105" s="296">
        <f t="shared" si="37"/>
        <v>0</v>
      </c>
      <c r="W105" s="296">
        <f t="shared" si="37"/>
        <v>0</v>
      </c>
      <c r="Y105" s="257">
        <f t="shared" si="32"/>
        <v>0</v>
      </c>
      <c r="Z105" s="257">
        <f>Y105-C104</f>
        <v>-2438092.6993998424</v>
      </c>
    </row>
    <row r="106" spans="1:26" ht="15" customHeight="1" x14ac:dyDescent="0.45">
      <c r="A106" s="455" t="s">
        <v>1580</v>
      </c>
      <c r="B106" s="455"/>
      <c r="C106" s="456">
        <f>SUM(C100:C103)-C104</f>
        <v>14927239.917408155</v>
      </c>
      <c r="D106" s="297"/>
      <c r="E106" s="298" t="s">
        <v>1569</v>
      </c>
      <c r="F106" s="299">
        <f t="shared" ref="F106:W106" si="38">IFERROR(SUM(F100,F102)-F104,"")</f>
        <v>32409.075139333927</v>
      </c>
      <c r="G106" s="299">
        <f t="shared" si="38"/>
        <v>928901.36044559302</v>
      </c>
      <c r="H106" s="299">
        <f t="shared" si="38"/>
        <v>928901.36044559302</v>
      </c>
      <c r="I106" s="299">
        <f t="shared" si="38"/>
        <v>928901.36044559302</v>
      </c>
      <c r="J106" s="299">
        <f t="shared" si="38"/>
        <v>928901.36044559302</v>
      </c>
      <c r="K106" s="299">
        <f t="shared" si="38"/>
        <v>928901.36044559302</v>
      </c>
      <c r="L106" s="299">
        <f t="shared" si="38"/>
        <v>928901.36044559302</v>
      </c>
      <c r="M106" s="299">
        <f t="shared" si="38"/>
        <v>928901.36044559302</v>
      </c>
      <c r="N106" s="299">
        <f t="shared" si="38"/>
        <v>928901.36044559302</v>
      </c>
      <c r="O106" s="299">
        <f t="shared" si="38"/>
        <v>928901.36044559302</v>
      </c>
      <c r="P106" s="299">
        <f t="shared" si="38"/>
        <v>928901.36044559302</v>
      </c>
      <c r="Q106" s="299">
        <f t="shared" si="38"/>
        <v>928901.36044559302</v>
      </c>
      <c r="R106" s="299">
        <f t="shared" si="38"/>
        <v>928901.36044559302</v>
      </c>
      <c r="S106" s="299">
        <f t="shared" si="38"/>
        <v>928901.36044559302</v>
      </c>
      <c r="T106" s="299">
        <f t="shared" si="38"/>
        <v>928901.36044559302</v>
      </c>
      <c r="U106" s="299">
        <f t="shared" si="38"/>
        <v>928901.36044559302</v>
      </c>
      <c r="V106" s="299">
        <f t="shared" si="38"/>
        <v>928901.36044559302</v>
      </c>
      <c r="W106" s="299">
        <f t="shared" si="38"/>
        <v>32409.075139333927</v>
      </c>
      <c r="Y106" s="253">
        <f t="shared" si="32"/>
        <v>14927239.917408152</v>
      </c>
      <c r="Z106" s="253">
        <f>Y106-C106</f>
        <v>0</v>
      </c>
    </row>
    <row r="107" spans="1:26" ht="15" customHeight="1" x14ac:dyDescent="0.45">
      <c r="A107" s="455"/>
      <c r="B107" s="455"/>
      <c r="C107" s="456"/>
      <c r="D107" s="300"/>
      <c r="E107" s="294" t="s">
        <v>1570</v>
      </c>
      <c r="F107" s="290">
        <f t="shared" ref="F107:W107" si="39">IFERROR(SUM(F101,F103)-F105,"")</f>
        <v>0</v>
      </c>
      <c r="G107" s="290">
        <f t="shared" si="39"/>
        <v>0</v>
      </c>
      <c r="H107" s="290">
        <f t="shared" si="39"/>
        <v>0</v>
      </c>
      <c r="I107" s="290">
        <f t="shared" si="39"/>
        <v>0</v>
      </c>
      <c r="J107" s="290">
        <f t="shared" si="39"/>
        <v>0</v>
      </c>
      <c r="K107" s="290">
        <f t="shared" si="39"/>
        <v>0</v>
      </c>
      <c r="L107" s="290">
        <f t="shared" si="39"/>
        <v>0</v>
      </c>
      <c r="M107" s="290">
        <f t="shared" si="39"/>
        <v>0</v>
      </c>
      <c r="N107" s="290">
        <f t="shared" si="39"/>
        <v>0</v>
      </c>
      <c r="O107" s="290">
        <f t="shared" si="39"/>
        <v>0</v>
      </c>
      <c r="P107" s="290">
        <f t="shared" si="39"/>
        <v>0</v>
      </c>
      <c r="Q107" s="290">
        <f t="shared" si="39"/>
        <v>0</v>
      </c>
      <c r="R107" s="290">
        <f t="shared" si="39"/>
        <v>0</v>
      </c>
      <c r="S107" s="290">
        <f t="shared" si="39"/>
        <v>0</v>
      </c>
      <c r="T107" s="290">
        <f t="shared" si="39"/>
        <v>0</v>
      </c>
      <c r="U107" s="290">
        <f t="shared" si="39"/>
        <v>0</v>
      </c>
      <c r="V107" s="290">
        <f t="shared" si="39"/>
        <v>0</v>
      </c>
      <c r="W107" s="290">
        <f t="shared" si="39"/>
        <v>0</v>
      </c>
      <c r="Y107" s="257">
        <f t="shared" si="32"/>
        <v>0</v>
      </c>
      <c r="Z107" s="257">
        <f>Y107-C106</f>
        <v>-14927239.917408155</v>
      </c>
    </row>
    <row r="108" spans="1:26" ht="15" customHeight="1" x14ac:dyDescent="0.45">
      <c r="A108" s="455"/>
      <c r="B108" s="455"/>
      <c r="C108" s="456"/>
      <c r="D108" s="300"/>
      <c r="E108" s="260" t="s">
        <v>1571</v>
      </c>
      <c r="F108" s="301">
        <f t="shared" ref="F108:W108" si="40">IFERROR(F106/$C106,0)</f>
        <v>2.1711364805986968E-3</v>
      </c>
      <c r="G108" s="301">
        <f t="shared" si="40"/>
        <v>6.2228607939925164E-2</v>
      </c>
      <c r="H108" s="301">
        <f t="shared" si="40"/>
        <v>6.2228607939925164E-2</v>
      </c>
      <c r="I108" s="301">
        <f t="shared" si="40"/>
        <v>6.2228607939925164E-2</v>
      </c>
      <c r="J108" s="301">
        <f t="shared" si="40"/>
        <v>6.2228607939925164E-2</v>
      </c>
      <c r="K108" s="301">
        <f t="shared" si="40"/>
        <v>6.2228607939925164E-2</v>
      </c>
      <c r="L108" s="301">
        <f t="shared" si="40"/>
        <v>6.2228607939925164E-2</v>
      </c>
      <c r="M108" s="301">
        <f t="shared" si="40"/>
        <v>6.2228607939925164E-2</v>
      </c>
      <c r="N108" s="301">
        <f t="shared" si="40"/>
        <v>6.2228607939925164E-2</v>
      </c>
      <c r="O108" s="301">
        <f t="shared" si="40"/>
        <v>6.2228607939925164E-2</v>
      </c>
      <c r="P108" s="301">
        <f t="shared" si="40"/>
        <v>6.2228607939925164E-2</v>
      </c>
      <c r="Q108" s="301">
        <f t="shared" si="40"/>
        <v>6.2228607939925164E-2</v>
      </c>
      <c r="R108" s="301">
        <f t="shared" si="40"/>
        <v>6.2228607939925164E-2</v>
      </c>
      <c r="S108" s="301">
        <f t="shared" si="40"/>
        <v>6.2228607939925164E-2</v>
      </c>
      <c r="T108" s="301">
        <f t="shared" si="40"/>
        <v>6.2228607939925164E-2</v>
      </c>
      <c r="U108" s="301">
        <f t="shared" si="40"/>
        <v>6.2228607939925164E-2</v>
      </c>
      <c r="V108" s="301">
        <f t="shared" si="40"/>
        <v>6.2228607939925164E-2</v>
      </c>
      <c r="W108" s="301">
        <f t="shared" si="40"/>
        <v>2.1711364805986968E-3</v>
      </c>
    </row>
    <row r="109" spans="1:26" ht="15" customHeight="1" x14ac:dyDescent="0.45">
      <c r="A109" s="455"/>
      <c r="B109" s="455"/>
      <c r="C109" s="456"/>
      <c r="D109" s="302"/>
      <c r="E109" s="303" t="s">
        <v>1572</v>
      </c>
      <c r="F109" s="304">
        <f t="shared" ref="F109:W109" si="41">IFERROR(F107/$C106,0)</f>
        <v>0</v>
      </c>
      <c r="G109" s="304">
        <f t="shared" si="41"/>
        <v>0</v>
      </c>
      <c r="H109" s="304">
        <f t="shared" si="41"/>
        <v>0</v>
      </c>
      <c r="I109" s="304">
        <f t="shared" si="41"/>
        <v>0</v>
      </c>
      <c r="J109" s="304">
        <f t="shared" si="41"/>
        <v>0</v>
      </c>
      <c r="K109" s="304">
        <f t="shared" si="41"/>
        <v>0</v>
      </c>
      <c r="L109" s="304">
        <f t="shared" si="41"/>
        <v>0</v>
      </c>
      <c r="M109" s="304">
        <f t="shared" si="41"/>
        <v>0</v>
      </c>
      <c r="N109" s="304">
        <f t="shared" si="41"/>
        <v>0</v>
      </c>
      <c r="O109" s="304">
        <f t="shared" si="41"/>
        <v>0</v>
      </c>
      <c r="P109" s="304">
        <f t="shared" si="41"/>
        <v>0</v>
      </c>
      <c r="Q109" s="304">
        <f t="shared" si="41"/>
        <v>0</v>
      </c>
      <c r="R109" s="304">
        <f t="shared" si="41"/>
        <v>0</v>
      </c>
      <c r="S109" s="304">
        <f t="shared" si="41"/>
        <v>0</v>
      </c>
      <c r="T109" s="304">
        <f t="shared" si="41"/>
        <v>0</v>
      </c>
      <c r="U109" s="304">
        <f t="shared" si="41"/>
        <v>0</v>
      </c>
      <c r="V109" s="304">
        <f t="shared" si="41"/>
        <v>0</v>
      </c>
      <c r="W109" s="304">
        <f t="shared" si="41"/>
        <v>0</v>
      </c>
      <c r="Y109" s="305"/>
      <c r="Z109" s="305"/>
    </row>
    <row r="110" spans="1:26" ht="7.5" customHeight="1" x14ac:dyDescent="0.45">
      <c r="A110" s="278"/>
      <c r="B110" s="279"/>
      <c r="C110" s="280"/>
      <c r="D110" s="281"/>
      <c r="E110" s="280"/>
      <c r="F110" s="282"/>
      <c r="G110" s="282"/>
      <c r="H110" s="282"/>
      <c r="I110" s="282"/>
      <c r="J110" s="282"/>
      <c r="K110" s="282"/>
      <c r="L110" s="282"/>
      <c r="M110" s="283"/>
      <c r="N110" s="283"/>
      <c r="O110" s="283"/>
      <c r="P110" s="283"/>
      <c r="Q110" s="283"/>
      <c r="R110" s="283"/>
      <c r="S110" s="283"/>
      <c r="T110" s="283"/>
      <c r="U110" s="283"/>
      <c r="V110" s="283"/>
      <c r="W110" s="284"/>
    </row>
    <row r="111" spans="1:26" ht="15" customHeight="1" x14ac:dyDescent="0.45">
      <c r="A111" s="457" t="s">
        <v>1581</v>
      </c>
      <c r="B111" s="457"/>
      <c r="C111" s="458">
        <f>'BM MORRO DA CRUZ - VERTICAL'!$T$549</f>
        <v>33470695.550000001</v>
      </c>
      <c r="D111" s="285"/>
      <c r="E111" s="286" t="s">
        <v>1569</v>
      </c>
      <c r="F111" s="287">
        <f t="shared" ref="F111:W111" si="42">IFERROR(SUM(F51,F93)*$C$111/SUM($C$51,$C$93),"")</f>
        <v>33909.332954909813</v>
      </c>
      <c r="G111" s="287">
        <f t="shared" si="42"/>
        <v>2087679.8052556363</v>
      </c>
      <c r="H111" s="287">
        <f t="shared" si="42"/>
        <v>2087679.8052556363</v>
      </c>
      <c r="I111" s="287">
        <f t="shared" si="42"/>
        <v>2087679.8052556363</v>
      </c>
      <c r="J111" s="287">
        <f t="shared" si="42"/>
        <v>2087679.8052556363</v>
      </c>
      <c r="K111" s="287">
        <f t="shared" si="42"/>
        <v>2087679.8052556363</v>
      </c>
      <c r="L111" s="287">
        <f t="shared" si="42"/>
        <v>2087679.8052556363</v>
      </c>
      <c r="M111" s="287">
        <f t="shared" si="42"/>
        <v>2087679.8052556363</v>
      </c>
      <c r="N111" s="287">
        <f t="shared" si="42"/>
        <v>2087679.8052556363</v>
      </c>
      <c r="O111" s="287">
        <f t="shared" si="42"/>
        <v>2087679.8052556363</v>
      </c>
      <c r="P111" s="287">
        <f t="shared" si="42"/>
        <v>2087679.8052556363</v>
      </c>
      <c r="Q111" s="287">
        <f t="shared" si="42"/>
        <v>2087679.8052556363</v>
      </c>
      <c r="R111" s="287">
        <f t="shared" si="42"/>
        <v>2087679.8052556363</v>
      </c>
      <c r="S111" s="287">
        <f t="shared" si="42"/>
        <v>2087679.8052556363</v>
      </c>
      <c r="T111" s="287">
        <f t="shared" si="42"/>
        <v>2087679.8052556363</v>
      </c>
      <c r="U111" s="287">
        <f t="shared" si="42"/>
        <v>2087679.8052556363</v>
      </c>
      <c r="V111" s="287">
        <f t="shared" si="42"/>
        <v>2087679.8052556363</v>
      </c>
      <c r="W111" s="287">
        <f t="shared" si="42"/>
        <v>33909.332954909813</v>
      </c>
      <c r="Y111" s="253">
        <f t="shared" ref="Y111:Y118" si="43">SUM(F111:W111)</f>
        <v>33470695.550000004</v>
      </c>
      <c r="Z111" s="253">
        <f>Y111-C111</f>
        <v>0</v>
      </c>
    </row>
    <row r="112" spans="1:26" ht="15" customHeight="1" x14ac:dyDescent="0.45">
      <c r="A112" s="457"/>
      <c r="B112" s="457"/>
      <c r="C112" s="458"/>
      <c r="D112" s="288"/>
      <c r="E112" s="289" t="s">
        <v>1570</v>
      </c>
      <c r="F112" s="290">
        <f t="shared" ref="F112:W112" si="44">SUM(F52,F94)</f>
        <v>0</v>
      </c>
      <c r="G112" s="290">
        <f t="shared" si="44"/>
        <v>0</v>
      </c>
      <c r="H112" s="290">
        <f t="shared" si="44"/>
        <v>0</v>
      </c>
      <c r="I112" s="290">
        <f t="shared" si="44"/>
        <v>0</v>
      </c>
      <c r="J112" s="290">
        <f t="shared" si="44"/>
        <v>0</v>
      </c>
      <c r="K112" s="290">
        <f t="shared" si="44"/>
        <v>0</v>
      </c>
      <c r="L112" s="290">
        <f t="shared" si="44"/>
        <v>0</v>
      </c>
      <c r="M112" s="290">
        <f t="shared" si="44"/>
        <v>0</v>
      </c>
      <c r="N112" s="290">
        <f t="shared" si="44"/>
        <v>0</v>
      </c>
      <c r="O112" s="290">
        <f t="shared" si="44"/>
        <v>0</v>
      </c>
      <c r="P112" s="290">
        <f t="shared" si="44"/>
        <v>0</v>
      </c>
      <c r="Q112" s="290">
        <f t="shared" si="44"/>
        <v>0</v>
      </c>
      <c r="R112" s="290">
        <f t="shared" si="44"/>
        <v>0</v>
      </c>
      <c r="S112" s="290">
        <f t="shared" si="44"/>
        <v>0</v>
      </c>
      <c r="T112" s="290">
        <f t="shared" si="44"/>
        <v>0</v>
      </c>
      <c r="U112" s="290">
        <f t="shared" si="44"/>
        <v>0</v>
      </c>
      <c r="V112" s="290">
        <f t="shared" si="44"/>
        <v>0</v>
      </c>
      <c r="W112" s="290">
        <f t="shared" si="44"/>
        <v>0</v>
      </c>
      <c r="Y112" s="257">
        <f t="shared" si="43"/>
        <v>0</v>
      </c>
      <c r="Z112" s="257">
        <f>Y112-C111</f>
        <v>-33470695.550000001</v>
      </c>
    </row>
    <row r="113" spans="1:26" ht="15" customHeight="1" x14ac:dyDescent="0.45">
      <c r="A113" s="461">
        <f>'BM MORRO DA CRUZ'!$O$407</f>
        <v>0.21479999999999999</v>
      </c>
      <c r="B113" s="462" t="s">
        <v>1423</v>
      </c>
      <c r="C113" s="460">
        <f>C111*$A$113</f>
        <v>7189505.4041400002</v>
      </c>
      <c r="D113" s="291"/>
      <c r="E113" s="292" t="s">
        <v>1569</v>
      </c>
      <c r="F113" s="290">
        <f t="shared" ref="F113:W113" si="45">IFERROR(F111*$A$113,"")</f>
        <v>7283.7247187146277</v>
      </c>
      <c r="G113" s="290">
        <f t="shared" si="45"/>
        <v>448433.62216891069</v>
      </c>
      <c r="H113" s="290">
        <f t="shared" si="45"/>
        <v>448433.62216891069</v>
      </c>
      <c r="I113" s="290">
        <f t="shared" si="45"/>
        <v>448433.62216891069</v>
      </c>
      <c r="J113" s="290">
        <f t="shared" si="45"/>
        <v>448433.62216891069</v>
      </c>
      <c r="K113" s="290">
        <f t="shared" si="45"/>
        <v>448433.62216891069</v>
      </c>
      <c r="L113" s="290">
        <f t="shared" si="45"/>
        <v>448433.62216891069</v>
      </c>
      <c r="M113" s="290">
        <f t="shared" si="45"/>
        <v>448433.62216891069</v>
      </c>
      <c r="N113" s="290">
        <f t="shared" si="45"/>
        <v>448433.62216891069</v>
      </c>
      <c r="O113" s="290">
        <f t="shared" si="45"/>
        <v>448433.62216891069</v>
      </c>
      <c r="P113" s="290">
        <f t="shared" si="45"/>
        <v>448433.62216891069</v>
      </c>
      <c r="Q113" s="290">
        <f t="shared" si="45"/>
        <v>448433.62216891069</v>
      </c>
      <c r="R113" s="290">
        <f t="shared" si="45"/>
        <v>448433.62216891069</v>
      </c>
      <c r="S113" s="290">
        <f t="shared" si="45"/>
        <v>448433.62216891069</v>
      </c>
      <c r="T113" s="290">
        <f t="shared" si="45"/>
        <v>448433.62216891069</v>
      </c>
      <c r="U113" s="290">
        <f t="shared" si="45"/>
        <v>448433.62216891069</v>
      </c>
      <c r="V113" s="290">
        <f t="shared" si="45"/>
        <v>448433.62216891069</v>
      </c>
      <c r="W113" s="290">
        <f t="shared" si="45"/>
        <v>7283.7247187146277</v>
      </c>
      <c r="Y113" s="253">
        <f t="shared" si="43"/>
        <v>7189505.4041400002</v>
      </c>
      <c r="Z113" s="253">
        <f>Y113-C113</f>
        <v>0</v>
      </c>
    </row>
    <row r="114" spans="1:26" ht="15" customHeight="1" x14ac:dyDescent="0.45">
      <c r="A114" s="461"/>
      <c r="B114" s="462"/>
      <c r="C114" s="460"/>
      <c r="D114" s="293"/>
      <c r="E114" s="294" t="s">
        <v>1570</v>
      </c>
      <c r="F114" s="290">
        <f t="shared" ref="F114:W114" si="46">IFERROR(F112*$A$113,"")</f>
        <v>0</v>
      </c>
      <c r="G114" s="290">
        <f t="shared" si="46"/>
        <v>0</v>
      </c>
      <c r="H114" s="290">
        <f t="shared" si="46"/>
        <v>0</v>
      </c>
      <c r="I114" s="290">
        <f t="shared" si="46"/>
        <v>0</v>
      </c>
      <c r="J114" s="290">
        <f t="shared" si="46"/>
        <v>0</v>
      </c>
      <c r="K114" s="290">
        <f t="shared" si="46"/>
        <v>0</v>
      </c>
      <c r="L114" s="290">
        <f t="shared" si="46"/>
        <v>0</v>
      </c>
      <c r="M114" s="290">
        <f t="shared" si="46"/>
        <v>0</v>
      </c>
      <c r="N114" s="290">
        <f t="shared" si="46"/>
        <v>0</v>
      </c>
      <c r="O114" s="290">
        <f t="shared" si="46"/>
        <v>0</v>
      </c>
      <c r="P114" s="290">
        <f t="shared" si="46"/>
        <v>0</v>
      </c>
      <c r="Q114" s="290">
        <f t="shared" si="46"/>
        <v>0</v>
      </c>
      <c r="R114" s="290">
        <f t="shared" si="46"/>
        <v>0</v>
      </c>
      <c r="S114" s="290">
        <f t="shared" si="46"/>
        <v>0</v>
      </c>
      <c r="T114" s="290">
        <f t="shared" si="46"/>
        <v>0</v>
      </c>
      <c r="U114" s="290">
        <f t="shared" si="46"/>
        <v>0</v>
      </c>
      <c r="V114" s="290">
        <f t="shared" si="46"/>
        <v>0</v>
      </c>
      <c r="W114" s="290">
        <f t="shared" si="46"/>
        <v>0</v>
      </c>
      <c r="Y114" s="257">
        <f t="shared" si="43"/>
        <v>0</v>
      </c>
      <c r="Z114" s="257">
        <f>Y114-C113</f>
        <v>-7189505.4041400002</v>
      </c>
    </row>
    <row r="115" spans="1:26" ht="15" customHeight="1" x14ac:dyDescent="0.45">
      <c r="A115" s="453">
        <f>-'BM MORRO DA CRUZ'!$O$410</f>
        <v>0.14039999999999997</v>
      </c>
      <c r="B115" s="454" t="s">
        <v>1579</v>
      </c>
      <c r="C115" s="445">
        <f>SUM(C111:C114)*$A$115</f>
        <v>5708692.2139612548</v>
      </c>
      <c r="D115" s="288"/>
      <c r="E115" s="295" t="s">
        <v>1569</v>
      </c>
      <c r="F115" s="290">
        <f t="shared" ref="F115:W115" si="47">IFERROR((SUM(F111,F113)*$A$115),"")</f>
        <v>5783.5052973768697</v>
      </c>
      <c r="G115" s="290">
        <f t="shared" si="47"/>
        <v>356070.32521040639</v>
      </c>
      <c r="H115" s="290">
        <f t="shared" si="47"/>
        <v>356070.32521040639</v>
      </c>
      <c r="I115" s="290">
        <f t="shared" si="47"/>
        <v>356070.32521040639</v>
      </c>
      <c r="J115" s="290">
        <f t="shared" si="47"/>
        <v>356070.32521040639</v>
      </c>
      <c r="K115" s="290">
        <f t="shared" si="47"/>
        <v>356070.32521040639</v>
      </c>
      <c r="L115" s="290">
        <f t="shared" si="47"/>
        <v>356070.32521040639</v>
      </c>
      <c r="M115" s="290">
        <f t="shared" si="47"/>
        <v>356070.32521040639</v>
      </c>
      <c r="N115" s="290">
        <f t="shared" si="47"/>
        <v>356070.32521040639</v>
      </c>
      <c r="O115" s="290">
        <f t="shared" si="47"/>
        <v>356070.32521040639</v>
      </c>
      <c r="P115" s="290">
        <f t="shared" si="47"/>
        <v>356070.32521040639</v>
      </c>
      <c r="Q115" s="290">
        <f t="shared" si="47"/>
        <v>356070.32521040639</v>
      </c>
      <c r="R115" s="290">
        <f t="shared" si="47"/>
        <v>356070.32521040639</v>
      </c>
      <c r="S115" s="290">
        <f t="shared" si="47"/>
        <v>356070.32521040639</v>
      </c>
      <c r="T115" s="290">
        <f t="shared" si="47"/>
        <v>356070.32521040639</v>
      </c>
      <c r="U115" s="290">
        <f t="shared" si="47"/>
        <v>356070.32521040639</v>
      </c>
      <c r="V115" s="290">
        <f t="shared" si="47"/>
        <v>356070.32521040639</v>
      </c>
      <c r="W115" s="290">
        <f t="shared" si="47"/>
        <v>5783.5052973768697</v>
      </c>
      <c r="Y115" s="253">
        <f t="shared" si="43"/>
        <v>5708692.2139612567</v>
      </c>
      <c r="Z115" s="253">
        <f>Y115-C115</f>
        <v>0</v>
      </c>
    </row>
    <row r="116" spans="1:26" ht="15" customHeight="1" x14ac:dyDescent="0.45">
      <c r="A116" s="453"/>
      <c r="B116" s="454"/>
      <c r="C116" s="445"/>
      <c r="D116" s="288"/>
      <c r="E116" s="289" t="s">
        <v>1570</v>
      </c>
      <c r="F116" s="296">
        <f t="shared" ref="F116:W116" si="48">IFERROR((SUM(F112,F114)*$A$115),"")</f>
        <v>0</v>
      </c>
      <c r="G116" s="296">
        <f t="shared" si="48"/>
        <v>0</v>
      </c>
      <c r="H116" s="296">
        <f t="shared" si="48"/>
        <v>0</v>
      </c>
      <c r="I116" s="296">
        <f t="shared" si="48"/>
        <v>0</v>
      </c>
      <c r="J116" s="296">
        <f t="shared" si="48"/>
        <v>0</v>
      </c>
      <c r="K116" s="296">
        <f t="shared" si="48"/>
        <v>0</v>
      </c>
      <c r="L116" s="296">
        <f t="shared" si="48"/>
        <v>0</v>
      </c>
      <c r="M116" s="296">
        <f t="shared" si="48"/>
        <v>0</v>
      </c>
      <c r="N116" s="296">
        <f t="shared" si="48"/>
        <v>0</v>
      </c>
      <c r="O116" s="296">
        <f t="shared" si="48"/>
        <v>0</v>
      </c>
      <c r="P116" s="296">
        <f t="shared" si="48"/>
        <v>0</v>
      </c>
      <c r="Q116" s="296">
        <f t="shared" si="48"/>
        <v>0</v>
      </c>
      <c r="R116" s="296">
        <f t="shared" si="48"/>
        <v>0</v>
      </c>
      <c r="S116" s="296">
        <f t="shared" si="48"/>
        <v>0</v>
      </c>
      <c r="T116" s="296">
        <f t="shared" si="48"/>
        <v>0</v>
      </c>
      <c r="U116" s="296">
        <f t="shared" si="48"/>
        <v>0</v>
      </c>
      <c r="V116" s="296">
        <f t="shared" si="48"/>
        <v>0</v>
      </c>
      <c r="W116" s="296">
        <f t="shared" si="48"/>
        <v>0</v>
      </c>
      <c r="Y116" s="257">
        <f t="shared" si="43"/>
        <v>0</v>
      </c>
      <c r="Z116" s="257">
        <f>Y116-C115</f>
        <v>-5708692.2139612548</v>
      </c>
    </row>
    <row r="117" spans="1:26" ht="15" customHeight="1" x14ac:dyDescent="0.45">
      <c r="A117" s="455" t="s">
        <v>1582</v>
      </c>
      <c r="B117" s="455"/>
      <c r="C117" s="456">
        <f>SUM(C111:C114)-C115</f>
        <v>34951508.740178749</v>
      </c>
      <c r="D117" s="297"/>
      <c r="E117" s="298" t="s">
        <v>1569</v>
      </c>
      <c r="F117" s="299">
        <f t="shared" ref="F117:W117" si="49">IFERROR(SUM(F111,F113)-F115,"")</f>
        <v>35409.552376247571</v>
      </c>
      <c r="G117" s="299">
        <f t="shared" si="49"/>
        <v>2180043.1022141408</v>
      </c>
      <c r="H117" s="299">
        <f t="shared" si="49"/>
        <v>2180043.1022141408</v>
      </c>
      <c r="I117" s="299">
        <f t="shared" si="49"/>
        <v>2180043.1022141408</v>
      </c>
      <c r="J117" s="299">
        <f t="shared" si="49"/>
        <v>2180043.1022141408</v>
      </c>
      <c r="K117" s="299">
        <f t="shared" si="49"/>
        <v>2180043.1022141408</v>
      </c>
      <c r="L117" s="299">
        <f t="shared" si="49"/>
        <v>2180043.1022141408</v>
      </c>
      <c r="M117" s="299">
        <f t="shared" si="49"/>
        <v>2180043.1022141408</v>
      </c>
      <c r="N117" s="299">
        <f t="shared" si="49"/>
        <v>2180043.1022141408</v>
      </c>
      <c r="O117" s="299">
        <f t="shared" si="49"/>
        <v>2180043.1022141408</v>
      </c>
      <c r="P117" s="299">
        <f t="shared" si="49"/>
        <v>2180043.1022141408</v>
      </c>
      <c r="Q117" s="299">
        <f t="shared" si="49"/>
        <v>2180043.1022141408</v>
      </c>
      <c r="R117" s="299">
        <f t="shared" si="49"/>
        <v>2180043.1022141408</v>
      </c>
      <c r="S117" s="299">
        <f t="shared" si="49"/>
        <v>2180043.1022141408</v>
      </c>
      <c r="T117" s="299">
        <f t="shared" si="49"/>
        <v>2180043.1022141408</v>
      </c>
      <c r="U117" s="299">
        <f t="shared" si="49"/>
        <v>2180043.1022141408</v>
      </c>
      <c r="V117" s="299">
        <f t="shared" si="49"/>
        <v>2180043.1022141408</v>
      </c>
      <c r="W117" s="299">
        <f t="shared" si="49"/>
        <v>35409.552376247571</v>
      </c>
      <c r="Y117" s="253">
        <f t="shared" si="43"/>
        <v>34951508.740178764</v>
      </c>
      <c r="Z117" s="253">
        <f>Y117-C117</f>
        <v>0</v>
      </c>
    </row>
    <row r="118" spans="1:26" ht="15" customHeight="1" x14ac:dyDescent="0.45">
      <c r="A118" s="455"/>
      <c r="B118" s="455"/>
      <c r="C118" s="456"/>
      <c r="D118" s="300"/>
      <c r="E118" s="294" t="s">
        <v>1570</v>
      </c>
      <c r="F118" s="290">
        <f t="shared" ref="F118:W118" si="50">IFERROR(SUM(F112,F114)-F116,"")</f>
        <v>0</v>
      </c>
      <c r="G118" s="290">
        <f t="shared" si="50"/>
        <v>0</v>
      </c>
      <c r="H118" s="290">
        <f t="shared" si="50"/>
        <v>0</v>
      </c>
      <c r="I118" s="290">
        <f t="shared" si="50"/>
        <v>0</v>
      </c>
      <c r="J118" s="290">
        <f t="shared" si="50"/>
        <v>0</v>
      </c>
      <c r="K118" s="290">
        <f t="shared" si="50"/>
        <v>0</v>
      </c>
      <c r="L118" s="290">
        <f t="shared" si="50"/>
        <v>0</v>
      </c>
      <c r="M118" s="290">
        <f t="shared" si="50"/>
        <v>0</v>
      </c>
      <c r="N118" s="290">
        <f t="shared" si="50"/>
        <v>0</v>
      </c>
      <c r="O118" s="290">
        <f t="shared" si="50"/>
        <v>0</v>
      </c>
      <c r="P118" s="290">
        <f t="shared" si="50"/>
        <v>0</v>
      </c>
      <c r="Q118" s="290">
        <f t="shared" si="50"/>
        <v>0</v>
      </c>
      <c r="R118" s="290">
        <f t="shared" si="50"/>
        <v>0</v>
      </c>
      <c r="S118" s="290">
        <f t="shared" si="50"/>
        <v>0</v>
      </c>
      <c r="T118" s="290">
        <f t="shared" si="50"/>
        <v>0</v>
      </c>
      <c r="U118" s="290">
        <f t="shared" si="50"/>
        <v>0</v>
      </c>
      <c r="V118" s="290">
        <f t="shared" si="50"/>
        <v>0</v>
      </c>
      <c r="W118" s="290">
        <f t="shared" si="50"/>
        <v>0</v>
      </c>
      <c r="Y118" s="257">
        <f t="shared" si="43"/>
        <v>0</v>
      </c>
      <c r="Z118" s="257">
        <f>Y118-C117</f>
        <v>-34951508.740178749</v>
      </c>
    </row>
    <row r="119" spans="1:26" ht="15" customHeight="1" x14ac:dyDescent="0.45">
      <c r="A119" s="455"/>
      <c r="B119" s="455"/>
      <c r="C119" s="456"/>
      <c r="D119" s="300"/>
      <c r="E119" s="260" t="s">
        <v>1571</v>
      </c>
      <c r="F119" s="301">
        <f t="shared" ref="F119:W119" si="51">IFERROR(F117/$C117,0)</f>
        <v>1.013105117706758E-3</v>
      </c>
      <c r="G119" s="301">
        <f t="shared" si="51"/>
        <v>6.2373361860286657E-2</v>
      </c>
      <c r="H119" s="301">
        <f t="shared" si="51"/>
        <v>6.2373361860286657E-2</v>
      </c>
      <c r="I119" s="301">
        <f t="shared" si="51"/>
        <v>6.2373361860286657E-2</v>
      </c>
      <c r="J119" s="301">
        <f t="shared" si="51"/>
        <v>6.2373361860286657E-2</v>
      </c>
      <c r="K119" s="301">
        <f t="shared" si="51"/>
        <v>6.2373361860286657E-2</v>
      </c>
      <c r="L119" s="301">
        <f t="shared" si="51"/>
        <v>6.2373361860286657E-2</v>
      </c>
      <c r="M119" s="301">
        <f t="shared" si="51"/>
        <v>6.2373361860286657E-2</v>
      </c>
      <c r="N119" s="301">
        <f t="shared" si="51"/>
        <v>6.2373361860286657E-2</v>
      </c>
      <c r="O119" s="301">
        <f t="shared" si="51"/>
        <v>6.2373361860286657E-2</v>
      </c>
      <c r="P119" s="301">
        <f t="shared" si="51"/>
        <v>6.2373361860286657E-2</v>
      </c>
      <c r="Q119" s="301">
        <f t="shared" si="51"/>
        <v>6.2373361860286657E-2</v>
      </c>
      <c r="R119" s="301">
        <f t="shared" si="51"/>
        <v>6.2373361860286657E-2</v>
      </c>
      <c r="S119" s="301">
        <f t="shared" si="51"/>
        <v>6.2373361860286657E-2</v>
      </c>
      <c r="T119" s="301">
        <f t="shared" si="51"/>
        <v>6.2373361860286657E-2</v>
      </c>
      <c r="U119" s="301">
        <f t="shared" si="51"/>
        <v>6.2373361860286657E-2</v>
      </c>
      <c r="V119" s="301">
        <f t="shared" si="51"/>
        <v>6.2373361860286657E-2</v>
      </c>
      <c r="W119" s="301">
        <f t="shared" si="51"/>
        <v>1.013105117706758E-3</v>
      </c>
    </row>
    <row r="120" spans="1:26" ht="15" customHeight="1" x14ac:dyDescent="0.45">
      <c r="A120" s="455"/>
      <c r="B120" s="455"/>
      <c r="C120" s="456"/>
      <c r="D120" s="302"/>
      <c r="E120" s="303" t="s">
        <v>1572</v>
      </c>
      <c r="F120" s="304">
        <f t="shared" ref="F120:W120" si="52">IFERROR(F118/$C117,0)</f>
        <v>0</v>
      </c>
      <c r="G120" s="304">
        <f t="shared" si="52"/>
        <v>0</v>
      </c>
      <c r="H120" s="304">
        <f t="shared" si="52"/>
        <v>0</v>
      </c>
      <c r="I120" s="304">
        <f t="shared" si="52"/>
        <v>0</v>
      </c>
      <c r="J120" s="304">
        <f t="shared" si="52"/>
        <v>0</v>
      </c>
      <c r="K120" s="304">
        <f t="shared" si="52"/>
        <v>0</v>
      </c>
      <c r="L120" s="304">
        <f t="shared" si="52"/>
        <v>0</v>
      </c>
      <c r="M120" s="304">
        <f t="shared" si="52"/>
        <v>0</v>
      </c>
      <c r="N120" s="304">
        <f t="shared" si="52"/>
        <v>0</v>
      </c>
      <c r="O120" s="304">
        <f t="shared" si="52"/>
        <v>0</v>
      </c>
      <c r="P120" s="304">
        <f t="shared" si="52"/>
        <v>0</v>
      </c>
      <c r="Q120" s="304">
        <f t="shared" si="52"/>
        <v>0</v>
      </c>
      <c r="R120" s="304">
        <f t="shared" si="52"/>
        <v>0</v>
      </c>
      <c r="S120" s="304">
        <f t="shared" si="52"/>
        <v>0</v>
      </c>
      <c r="T120" s="304">
        <f t="shared" si="52"/>
        <v>0</v>
      </c>
      <c r="U120" s="304">
        <f t="shared" si="52"/>
        <v>0</v>
      </c>
      <c r="V120" s="304">
        <f t="shared" si="52"/>
        <v>0</v>
      </c>
      <c r="W120" s="304">
        <f t="shared" si="52"/>
        <v>0</v>
      </c>
      <c r="Y120" s="305"/>
      <c r="Z120" s="305"/>
    </row>
    <row r="121" spans="1:26" ht="7.5" customHeight="1" x14ac:dyDescent="0.45">
      <c r="A121" s="278"/>
      <c r="B121" s="279"/>
      <c r="C121" s="280"/>
      <c r="D121" s="281"/>
      <c r="E121" s="280"/>
      <c r="F121" s="282"/>
      <c r="G121" s="282"/>
      <c r="H121" s="282"/>
      <c r="I121" s="282"/>
      <c r="J121" s="282"/>
      <c r="K121" s="282"/>
      <c r="L121" s="282"/>
      <c r="M121" s="283"/>
      <c r="N121" s="283"/>
      <c r="O121" s="283"/>
      <c r="P121" s="283"/>
      <c r="Q121" s="283"/>
      <c r="R121" s="283"/>
      <c r="S121" s="283"/>
      <c r="T121" s="283"/>
      <c r="U121" s="283"/>
      <c r="V121" s="283"/>
      <c r="W121" s="284"/>
    </row>
    <row r="122" spans="1:26" ht="15" customHeight="1" x14ac:dyDescent="0.45">
      <c r="A122" s="457" t="s">
        <v>1583</v>
      </c>
      <c r="B122" s="457"/>
      <c r="C122" s="458">
        <f>SUM(C100,C111)</f>
        <v>48534308.159999996</v>
      </c>
      <c r="D122" s="285"/>
      <c r="E122" s="286" t="s">
        <v>1569</v>
      </c>
      <c r="F122" s="287">
        <f t="shared" ref="F122:W122" si="53">SUM(F100,F111)</f>
        <v>66614.491822087366</v>
      </c>
      <c r="G122" s="287">
        <f t="shared" si="53"/>
        <v>3025067.448522239</v>
      </c>
      <c r="H122" s="287">
        <f t="shared" si="53"/>
        <v>3025067.448522239</v>
      </c>
      <c r="I122" s="287">
        <f t="shared" si="53"/>
        <v>3025067.448522239</v>
      </c>
      <c r="J122" s="287">
        <f t="shared" si="53"/>
        <v>3025067.448522239</v>
      </c>
      <c r="K122" s="287">
        <f t="shared" si="53"/>
        <v>3025067.448522239</v>
      </c>
      <c r="L122" s="287">
        <f t="shared" si="53"/>
        <v>3025067.448522239</v>
      </c>
      <c r="M122" s="287">
        <f t="shared" si="53"/>
        <v>3025067.448522239</v>
      </c>
      <c r="N122" s="287">
        <f t="shared" si="53"/>
        <v>3025067.448522239</v>
      </c>
      <c r="O122" s="287">
        <f t="shared" si="53"/>
        <v>3025067.448522239</v>
      </c>
      <c r="P122" s="287">
        <f t="shared" si="53"/>
        <v>3025067.448522239</v>
      </c>
      <c r="Q122" s="287">
        <f t="shared" si="53"/>
        <v>3025067.448522239</v>
      </c>
      <c r="R122" s="287">
        <f t="shared" si="53"/>
        <v>3025067.448522239</v>
      </c>
      <c r="S122" s="287">
        <f t="shared" si="53"/>
        <v>3025067.448522239</v>
      </c>
      <c r="T122" s="287">
        <f t="shared" si="53"/>
        <v>3025067.448522239</v>
      </c>
      <c r="U122" s="287">
        <f t="shared" si="53"/>
        <v>3025067.448522239</v>
      </c>
      <c r="V122" s="287">
        <f t="shared" si="53"/>
        <v>3025067.448522239</v>
      </c>
      <c r="W122" s="287">
        <f t="shared" si="53"/>
        <v>66614.491822087366</v>
      </c>
      <c r="Y122" s="253">
        <f t="shared" ref="Y122:Y129" si="54">SUM(F122:W122)</f>
        <v>48534308.160000004</v>
      </c>
      <c r="Z122" s="253">
        <f>Y122-C122</f>
        <v>0</v>
      </c>
    </row>
    <row r="123" spans="1:26" ht="15" customHeight="1" x14ac:dyDescent="0.45">
      <c r="A123" s="457"/>
      <c r="B123" s="457"/>
      <c r="C123" s="458"/>
      <c r="D123" s="288"/>
      <c r="E123" s="289" t="s">
        <v>1570</v>
      </c>
      <c r="F123" s="290">
        <f t="shared" ref="F123:W123" si="55">SUM(F101,F112)</f>
        <v>0</v>
      </c>
      <c r="G123" s="290">
        <f t="shared" si="55"/>
        <v>0</v>
      </c>
      <c r="H123" s="290">
        <f t="shared" si="55"/>
        <v>0</v>
      </c>
      <c r="I123" s="290">
        <f t="shared" si="55"/>
        <v>0</v>
      </c>
      <c r="J123" s="290">
        <f t="shared" si="55"/>
        <v>0</v>
      </c>
      <c r="K123" s="290">
        <f t="shared" si="55"/>
        <v>0</v>
      </c>
      <c r="L123" s="290">
        <f t="shared" si="55"/>
        <v>0</v>
      </c>
      <c r="M123" s="290">
        <f t="shared" si="55"/>
        <v>0</v>
      </c>
      <c r="N123" s="290">
        <f t="shared" si="55"/>
        <v>0</v>
      </c>
      <c r="O123" s="290">
        <f t="shared" si="55"/>
        <v>0</v>
      </c>
      <c r="P123" s="290">
        <f t="shared" si="55"/>
        <v>0</v>
      </c>
      <c r="Q123" s="290">
        <f t="shared" si="55"/>
        <v>0</v>
      </c>
      <c r="R123" s="290">
        <f t="shared" si="55"/>
        <v>0</v>
      </c>
      <c r="S123" s="290">
        <f t="shared" si="55"/>
        <v>0</v>
      </c>
      <c r="T123" s="290">
        <f t="shared" si="55"/>
        <v>0</v>
      </c>
      <c r="U123" s="290">
        <f t="shared" si="55"/>
        <v>0</v>
      </c>
      <c r="V123" s="290">
        <f t="shared" si="55"/>
        <v>0</v>
      </c>
      <c r="W123" s="290">
        <f t="shared" si="55"/>
        <v>0</v>
      </c>
      <c r="Y123" s="257">
        <f t="shared" si="54"/>
        <v>0</v>
      </c>
      <c r="Z123" s="257">
        <f>Y123-C122</f>
        <v>-48534308.159999996</v>
      </c>
    </row>
    <row r="124" spans="1:26" ht="15" customHeight="1" x14ac:dyDescent="0.45">
      <c r="A124" s="459" t="s">
        <v>1584</v>
      </c>
      <c r="B124" s="459"/>
      <c r="C124" s="460">
        <f>SUM(C102,C113)</f>
        <v>9491225.4109480008</v>
      </c>
      <c r="D124" s="291"/>
      <c r="E124" s="292" t="s">
        <v>1569</v>
      </c>
      <c r="F124" s="290">
        <f t="shared" ref="F124:W124" si="56">SUM(F102,F113)</f>
        <v>12281.072993619357</v>
      </c>
      <c r="G124" s="290">
        <f t="shared" si="56"/>
        <v>591666.45406004763</v>
      </c>
      <c r="H124" s="290">
        <f t="shared" si="56"/>
        <v>591666.45406004763</v>
      </c>
      <c r="I124" s="290">
        <f t="shared" si="56"/>
        <v>591666.45406004763</v>
      </c>
      <c r="J124" s="290">
        <f t="shared" si="56"/>
        <v>591666.45406004763</v>
      </c>
      <c r="K124" s="290">
        <f t="shared" si="56"/>
        <v>591666.45406004763</v>
      </c>
      <c r="L124" s="290">
        <f t="shared" si="56"/>
        <v>591666.45406004763</v>
      </c>
      <c r="M124" s="290">
        <f t="shared" si="56"/>
        <v>591666.45406004763</v>
      </c>
      <c r="N124" s="290">
        <f t="shared" si="56"/>
        <v>591666.45406004763</v>
      </c>
      <c r="O124" s="290">
        <f t="shared" si="56"/>
        <v>591666.45406004763</v>
      </c>
      <c r="P124" s="290">
        <f t="shared" si="56"/>
        <v>591666.45406004763</v>
      </c>
      <c r="Q124" s="290">
        <f t="shared" si="56"/>
        <v>591666.45406004763</v>
      </c>
      <c r="R124" s="290">
        <f t="shared" si="56"/>
        <v>591666.45406004763</v>
      </c>
      <c r="S124" s="290">
        <f t="shared" si="56"/>
        <v>591666.45406004763</v>
      </c>
      <c r="T124" s="290">
        <f t="shared" si="56"/>
        <v>591666.45406004763</v>
      </c>
      <c r="U124" s="290">
        <f t="shared" si="56"/>
        <v>591666.45406004763</v>
      </c>
      <c r="V124" s="290">
        <f t="shared" si="56"/>
        <v>591666.45406004763</v>
      </c>
      <c r="W124" s="290">
        <f t="shared" si="56"/>
        <v>12281.072993619357</v>
      </c>
      <c r="Y124" s="253">
        <f t="shared" si="54"/>
        <v>9491225.4109480027</v>
      </c>
      <c r="Z124" s="253">
        <f>Y124-C124</f>
        <v>0</v>
      </c>
    </row>
    <row r="125" spans="1:26" ht="15" customHeight="1" x14ac:dyDescent="0.45">
      <c r="A125" s="459"/>
      <c r="B125" s="459"/>
      <c r="C125" s="460"/>
      <c r="D125" s="293"/>
      <c r="E125" s="294" t="s">
        <v>1570</v>
      </c>
      <c r="F125" s="290">
        <f t="shared" ref="F125:W125" si="57">SUM(F103,F114)</f>
        <v>0</v>
      </c>
      <c r="G125" s="290">
        <f t="shared" si="57"/>
        <v>0</v>
      </c>
      <c r="H125" s="290">
        <f t="shared" si="57"/>
        <v>0</v>
      </c>
      <c r="I125" s="290">
        <f t="shared" si="57"/>
        <v>0</v>
      </c>
      <c r="J125" s="290">
        <f t="shared" si="57"/>
        <v>0</v>
      </c>
      <c r="K125" s="290">
        <f t="shared" si="57"/>
        <v>0</v>
      </c>
      <c r="L125" s="290">
        <f t="shared" si="57"/>
        <v>0</v>
      </c>
      <c r="M125" s="290">
        <f t="shared" si="57"/>
        <v>0</v>
      </c>
      <c r="N125" s="290">
        <f t="shared" si="57"/>
        <v>0</v>
      </c>
      <c r="O125" s="290">
        <f t="shared" si="57"/>
        <v>0</v>
      </c>
      <c r="P125" s="290">
        <f t="shared" si="57"/>
        <v>0</v>
      </c>
      <c r="Q125" s="290">
        <f t="shared" si="57"/>
        <v>0</v>
      </c>
      <c r="R125" s="290">
        <f t="shared" si="57"/>
        <v>0</v>
      </c>
      <c r="S125" s="290">
        <f t="shared" si="57"/>
        <v>0</v>
      </c>
      <c r="T125" s="290">
        <f t="shared" si="57"/>
        <v>0</v>
      </c>
      <c r="U125" s="290">
        <f t="shared" si="57"/>
        <v>0</v>
      </c>
      <c r="V125" s="290">
        <f t="shared" si="57"/>
        <v>0</v>
      </c>
      <c r="W125" s="290">
        <f t="shared" si="57"/>
        <v>0</v>
      </c>
      <c r="Y125" s="257">
        <f t="shared" si="54"/>
        <v>0</v>
      </c>
      <c r="Z125" s="257">
        <f>Y125-C124</f>
        <v>-9491225.4109480008</v>
      </c>
    </row>
    <row r="126" spans="1:26" ht="15" customHeight="1" x14ac:dyDescent="0.45">
      <c r="A126" s="444" t="s">
        <v>1585</v>
      </c>
      <c r="B126" s="444"/>
      <c r="C126" s="445">
        <f>SUM(C104,C115)</f>
        <v>8146784.9133610968</v>
      </c>
      <c r="D126" s="288"/>
      <c r="E126" s="295" t="s">
        <v>1569</v>
      </c>
      <c r="F126" s="290">
        <f t="shared" ref="F126:W126" si="58">SUM(F104,F115)</f>
        <v>11076.937300125221</v>
      </c>
      <c r="G126" s="290">
        <f t="shared" si="58"/>
        <v>507789.43992255302</v>
      </c>
      <c r="H126" s="290">
        <f t="shared" si="58"/>
        <v>507789.43992255302</v>
      </c>
      <c r="I126" s="290">
        <f t="shared" si="58"/>
        <v>507789.43992255302</v>
      </c>
      <c r="J126" s="290">
        <f t="shared" si="58"/>
        <v>507789.43992255302</v>
      </c>
      <c r="K126" s="290">
        <f t="shared" si="58"/>
        <v>507789.43992255302</v>
      </c>
      <c r="L126" s="290">
        <f t="shared" si="58"/>
        <v>507789.43992255302</v>
      </c>
      <c r="M126" s="290">
        <f t="shared" si="58"/>
        <v>507789.43992255302</v>
      </c>
      <c r="N126" s="290">
        <f t="shared" si="58"/>
        <v>507789.43992255302</v>
      </c>
      <c r="O126" s="290">
        <f t="shared" si="58"/>
        <v>507789.43992255302</v>
      </c>
      <c r="P126" s="290">
        <f t="shared" si="58"/>
        <v>507789.43992255302</v>
      </c>
      <c r="Q126" s="290">
        <f t="shared" si="58"/>
        <v>507789.43992255302</v>
      </c>
      <c r="R126" s="290">
        <f t="shared" si="58"/>
        <v>507789.43992255302</v>
      </c>
      <c r="S126" s="290">
        <f t="shared" si="58"/>
        <v>507789.43992255302</v>
      </c>
      <c r="T126" s="290">
        <f t="shared" si="58"/>
        <v>507789.43992255302</v>
      </c>
      <c r="U126" s="290">
        <f t="shared" si="58"/>
        <v>507789.43992255302</v>
      </c>
      <c r="V126" s="290">
        <f t="shared" si="58"/>
        <v>507789.43992255302</v>
      </c>
      <c r="W126" s="290">
        <f t="shared" si="58"/>
        <v>11076.937300125221</v>
      </c>
      <c r="Y126" s="253">
        <f t="shared" si="54"/>
        <v>8146784.9133610949</v>
      </c>
      <c r="Z126" s="253">
        <f>Y126-C126</f>
        <v>0</v>
      </c>
    </row>
    <row r="127" spans="1:26" ht="15" customHeight="1" x14ac:dyDescent="0.45">
      <c r="A127" s="444"/>
      <c r="B127" s="444"/>
      <c r="C127" s="445"/>
      <c r="D127" s="288"/>
      <c r="E127" s="289" t="s">
        <v>1570</v>
      </c>
      <c r="F127" s="296">
        <f t="shared" ref="F127:W127" si="59">SUM(F105,F116)</f>
        <v>0</v>
      </c>
      <c r="G127" s="296">
        <f t="shared" si="59"/>
        <v>0</v>
      </c>
      <c r="H127" s="296">
        <f t="shared" si="59"/>
        <v>0</v>
      </c>
      <c r="I127" s="296">
        <f t="shared" si="59"/>
        <v>0</v>
      </c>
      <c r="J127" s="296">
        <f t="shared" si="59"/>
        <v>0</v>
      </c>
      <c r="K127" s="296">
        <f t="shared" si="59"/>
        <v>0</v>
      </c>
      <c r="L127" s="296">
        <f t="shared" si="59"/>
        <v>0</v>
      </c>
      <c r="M127" s="296">
        <f t="shared" si="59"/>
        <v>0</v>
      </c>
      <c r="N127" s="296">
        <f t="shared" si="59"/>
        <v>0</v>
      </c>
      <c r="O127" s="296">
        <f t="shared" si="59"/>
        <v>0</v>
      </c>
      <c r="P127" s="296">
        <f t="shared" si="59"/>
        <v>0</v>
      </c>
      <c r="Q127" s="296">
        <f t="shared" si="59"/>
        <v>0</v>
      </c>
      <c r="R127" s="296">
        <f t="shared" si="59"/>
        <v>0</v>
      </c>
      <c r="S127" s="296">
        <f t="shared" si="59"/>
        <v>0</v>
      </c>
      <c r="T127" s="296">
        <f t="shared" si="59"/>
        <v>0</v>
      </c>
      <c r="U127" s="296">
        <f t="shared" si="59"/>
        <v>0</v>
      </c>
      <c r="V127" s="296">
        <f t="shared" si="59"/>
        <v>0</v>
      </c>
      <c r="W127" s="296">
        <f t="shared" si="59"/>
        <v>0</v>
      </c>
      <c r="Y127" s="257">
        <f t="shared" si="54"/>
        <v>0</v>
      </c>
      <c r="Z127" s="257">
        <f>Y127-C126</f>
        <v>-8146784.9133610968</v>
      </c>
    </row>
    <row r="128" spans="1:26" ht="15" customHeight="1" x14ac:dyDescent="0.5">
      <c r="A128" s="446" t="s">
        <v>1586</v>
      </c>
      <c r="B128" s="446"/>
      <c r="C128" s="447">
        <f>SUM(C122:C125)-C126</f>
        <v>49878748.657586902</v>
      </c>
      <c r="D128" s="306"/>
      <c r="E128" s="307" t="s">
        <v>1569</v>
      </c>
      <c r="F128" s="308">
        <f t="shared" ref="F128:W128" si="60">IFERROR(SUM(F122,F124)-F126,"")</f>
        <v>67818.627515581495</v>
      </c>
      <c r="G128" s="308">
        <f t="shared" si="60"/>
        <v>3108944.4626597338</v>
      </c>
      <c r="H128" s="308">
        <f t="shared" si="60"/>
        <v>3108944.4626597338</v>
      </c>
      <c r="I128" s="308">
        <f t="shared" si="60"/>
        <v>3108944.4626597338</v>
      </c>
      <c r="J128" s="308">
        <f t="shared" si="60"/>
        <v>3108944.4626597338</v>
      </c>
      <c r="K128" s="308">
        <f t="shared" si="60"/>
        <v>3108944.4626597338</v>
      </c>
      <c r="L128" s="308">
        <f t="shared" si="60"/>
        <v>3108944.4626597338</v>
      </c>
      <c r="M128" s="308">
        <f t="shared" si="60"/>
        <v>3108944.4626597338</v>
      </c>
      <c r="N128" s="308">
        <f t="shared" si="60"/>
        <v>3108944.4626597338</v>
      </c>
      <c r="O128" s="308">
        <f t="shared" si="60"/>
        <v>3108944.4626597338</v>
      </c>
      <c r="P128" s="308">
        <f t="shared" si="60"/>
        <v>3108944.4626597338</v>
      </c>
      <c r="Q128" s="308">
        <f t="shared" si="60"/>
        <v>3108944.4626597338</v>
      </c>
      <c r="R128" s="308">
        <f t="shared" si="60"/>
        <v>3108944.4626597338</v>
      </c>
      <c r="S128" s="308">
        <f t="shared" si="60"/>
        <v>3108944.4626597338</v>
      </c>
      <c r="T128" s="308">
        <f t="shared" si="60"/>
        <v>3108944.4626597338</v>
      </c>
      <c r="U128" s="308">
        <f t="shared" si="60"/>
        <v>3108944.4626597338</v>
      </c>
      <c r="V128" s="308">
        <f t="shared" si="60"/>
        <v>3108944.4626597338</v>
      </c>
      <c r="W128" s="308">
        <f t="shared" si="60"/>
        <v>67818.627515581495</v>
      </c>
      <c r="Y128" s="253">
        <f t="shared" si="54"/>
        <v>49878748.657586902</v>
      </c>
      <c r="Z128" s="253">
        <f>Y128-C128</f>
        <v>0</v>
      </c>
    </row>
    <row r="129" spans="1:26" ht="15" customHeight="1" x14ac:dyDescent="0.5">
      <c r="A129" s="446"/>
      <c r="B129" s="446"/>
      <c r="C129" s="447"/>
      <c r="D129" s="309"/>
      <c r="E129" s="294" t="s">
        <v>1570</v>
      </c>
      <c r="F129" s="310">
        <f t="shared" ref="F129:W129" si="61">IFERROR(SUM(F123,F125)-F127,"")</f>
        <v>0</v>
      </c>
      <c r="G129" s="310">
        <f t="shared" si="61"/>
        <v>0</v>
      </c>
      <c r="H129" s="310">
        <f t="shared" si="61"/>
        <v>0</v>
      </c>
      <c r="I129" s="310">
        <f t="shared" si="61"/>
        <v>0</v>
      </c>
      <c r="J129" s="310">
        <f t="shared" si="61"/>
        <v>0</v>
      </c>
      <c r="K129" s="310">
        <f t="shared" si="61"/>
        <v>0</v>
      </c>
      <c r="L129" s="310">
        <f t="shared" si="61"/>
        <v>0</v>
      </c>
      <c r="M129" s="310">
        <f t="shared" si="61"/>
        <v>0</v>
      </c>
      <c r="N129" s="310">
        <f t="shared" si="61"/>
        <v>0</v>
      </c>
      <c r="O129" s="310">
        <f t="shared" si="61"/>
        <v>0</v>
      </c>
      <c r="P129" s="310">
        <f t="shared" si="61"/>
        <v>0</v>
      </c>
      <c r="Q129" s="310">
        <f t="shared" si="61"/>
        <v>0</v>
      </c>
      <c r="R129" s="310">
        <f t="shared" si="61"/>
        <v>0</v>
      </c>
      <c r="S129" s="310">
        <f t="shared" si="61"/>
        <v>0</v>
      </c>
      <c r="T129" s="310">
        <f t="shared" si="61"/>
        <v>0</v>
      </c>
      <c r="U129" s="310">
        <f t="shared" si="61"/>
        <v>0</v>
      </c>
      <c r="V129" s="310">
        <f t="shared" si="61"/>
        <v>0</v>
      </c>
      <c r="W129" s="310">
        <f t="shared" si="61"/>
        <v>0</v>
      </c>
      <c r="Y129" s="257">
        <f t="shared" si="54"/>
        <v>0</v>
      </c>
      <c r="Z129" s="257">
        <f>Y129-C128</f>
        <v>-49878748.657586902</v>
      </c>
    </row>
    <row r="130" spans="1:26" ht="15" customHeight="1" x14ac:dyDescent="0.5">
      <c r="A130" s="446"/>
      <c r="B130" s="446"/>
      <c r="C130" s="447"/>
      <c r="D130" s="309"/>
      <c r="E130" s="260" t="s">
        <v>1571</v>
      </c>
      <c r="F130" s="311">
        <f t="shared" ref="F130:W130" si="62">IFERROR(F128/$C128,0)</f>
        <v>1.3596697860475658E-3</v>
      </c>
      <c r="G130" s="311">
        <f t="shared" si="62"/>
        <v>6.2330041276744054E-2</v>
      </c>
      <c r="H130" s="311">
        <f t="shared" si="62"/>
        <v>6.2330041276744054E-2</v>
      </c>
      <c r="I130" s="311">
        <f t="shared" si="62"/>
        <v>6.2330041276744054E-2</v>
      </c>
      <c r="J130" s="311">
        <f t="shared" si="62"/>
        <v>6.2330041276744054E-2</v>
      </c>
      <c r="K130" s="311">
        <f t="shared" si="62"/>
        <v>6.2330041276744054E-2</v>
      </c>
      <c r="L130" s="311">
        <f t="shared" si="62"/>
        <v>6.2330041276744054E-2</v>
      </c>
      <c r="M130" s="311">
        <f t="shared" si="62"/>
        <v>6.2330041276744054E-2</v>
      </c>
      <c r="N130" s="311">
        <f t="shared" si="62"/>
        <v>6.2330041276744054E-2</v>
      </c>
      <c r="O130" s="311">
        <f t="shared" si="62"/>
        <v>6.2330041276744054E-2</v>
      </c>
      <c r="P130" s="311">
        <f t="shared" si="62"/>
        <v>6.2330041276744054E-2</v>
      </c>
      <c r="Q130" s="311">
        <f t="shared" si="62"/>
        <v>6.2330041276744054E-2</v>
      </c>
      <c r="R130" s="311">
        <f t="shared" si="62"/>
        <v>6.2330041276744054E-2</v>
      </c>
      <c r="S130" s="311">
        <f t="shared" si="62"/>
        <v>6.2330041276744054E-2</v>
      </c>
      <c r="T130" s="311">
        <f t="shared" si="62"/>
        <v>6.2330041276744054E-2</v>
      </c>
      <c r="U130" s="311">
        <f t="shared" si="62"/>
        <v>6.2330041276744054E-2</v>
      </c>
      <c r="V130" s="311">
        <f t="shared" si="62"/>
        <v>6.2330041276744054E-2</v>
      </c>
      <c r="W130" s="311">
        <f t="shared" si="62"/>
        <v>1.3596697860475658E-3</v>
      </c>
    </row>
    <row r="131" spans="1:26" ht="15" customHeight="1" x14ac:dyDescent="0.5">
      <c r="A131" s="446"/>
      <c r="B131" s="446"/>
      <c r="C131" s="447"/>
      <c r="D131" s="312"/>
      <c r="E131" s="263" t="s">
        <v>1572</v>
      </c>
      <c r="F131" s="313">
        <f t="shared" ref="F131:W131" si="63">IFERROR(F129/$C128,0)</f>
        <v>0</v>
      </c>
      <c r="G131" s="313">
        <f t="shared" si="63"/>
        <v>0</v>
      </c>
      <c r="H131" s="313">
        <f t="shared" si="63"/>
        <v>0</v>
      </c>
      <c r="I131" s="313">
        <f t="shared" si="63"/>
        <v>0</v>
      </c>
      <c r="J131" s="313">
        <f t="shared" si="63"/>
        <v>0</v>
      </c>
      <c r="K131" s="313">
        <f t="shared" si="63"/>
        <v>0</v>
      </c>
      <c r="L131" s="313">
        <f t="shared" si="63"/>
        <v>0</v>
      </c>
      <c r="M131" s="313">
        <f t="shared" si="63"/>
        <v>0</v>
      </c>
      <c r="N131" s="313">
        <f t="shared" si="63"/>
        <v>0</v>
      </c>
      <c r="O131" s="313">
        <f t="shared" si="63"/>
        <v>0</v>
      </c>
      <c r="P131" s="313">
        <f t="shared" si="63"/>
        <v>0</v>
      </c>
      <c r="Q131" s="313">
        <f t="shared" si="63"/>
        <v>0</v>
      </c>
      <c r="R131" s="313">
        <f t="shared" si="63"/>
        <v>0</v>
      </c>
      <c r="S131" s="313">
        <f t="shared" si="63"/>
        <v>0</v>
      </c>
      <c r="T131" s="313">
        <f t="shared" si="63"/>
        <v>0</v>
      </c>
      <c r="U131" s="313">
        <f t="shared" si="63"/>
        <v>0</v>
      </c>
      <c r="V131" s="313">
        <f t="shared" si="63"/>
        <v>0</v>
      </c>
      <c r="W131" s="313">
        <f t="shared" si="63"/>
        <v>0</v>
      </c>
      <c r="Y131" s="305"/>
      <c r="Z131" s="305"/>
    </row>
    <row r="132" spans="1:26" ht="15" customHeight="1" x14ac:dyDescent="0.5">
      <c r="A132" s="448" t="s">
        <v>1587</v>
      </c>
      <c r="B132" s="448"/>
      <c r="C132" s="448"/>
      <c r="D132" s="314"/>
      <c r="E132" s="315" t="s">
        <v>1588</v>
      </c>
      <c r="F132" s="316">
        <f>F128</f>
        <v>67818.627515581495</v>
      </c>
      <c r="G132" s="316">
        <f t="shared" ref="G132:W132" si="64">F132+G128</f>
        <v>3176763.0901753153</v>
      </c>
      <c r="H132" s="316">
        <f t="shared" si="64"/>
        <v>6285707.5528350491</v>
      </c>
      <c r="I132" s="316">
        <f t="shared" si="64"/>
        <v>9394652.0154947825</v>
      </c>
      <c r="J132" s="316">
        <f t="shared" si="64"/>
        <v>12503596.478154516</v>
      </c>
      <c r="K132" s="316">
        <f t="shared" si="64"/>
        <v>15612540.940814249</v>
      </c>
      <c r="L132" s="316">
        <f t="shared" si="64"/>
        <v>18721485.403473984</v>
      </c>
      <c r="M132" s="316">
        <f t="shared" si="64"/>
        <v>21830429.86613372</v>
      </c>
      <c r="N132" s="316">
        <f t="shared" si="64"/>
        <v>24939374.328793455</v>
      </c>
      <c r="O132" s="316">
        <f t="shared" si="64"/>
        <v>28048318.79145319</v>
      </c>
      <c r="P132" s="316">
        <f t="shared" si="64"/>
        <v>31157263.254112925</v>
      </c>
      <c r="Q132" s="316">
        <f t="shared" si="64"/>
        <v>34266207.716772661</v>
      </c>
      <c r="R132" s="316">
        <f t="shared" si="64"/>
        <v>37375152.179432392</v>
      </c>
      <c r="S132" s="316">
        <f t="shared" si="64"/>
        <v>40484096.642092124</v>
      </c>
      <c r="T132" s="316">
        <f t="shared" si="64"/>
        <v>43593041.104751855</v>
      </c>
      <c r="U132" s="316">
        <f t="shared" si="64"/>
        <v>46701985.567411587</v>
      </c>
      <c r="V132" s="316">
        <f t="shared" si="64"/>
        <v>49810930.030071318</v>
      </c>
      <c r="W132" s="316">
        <f t="shared" si="64"/>
        <v>49878748.657586902</v>
      </c>
      <c r="Y132" s="317">
        <f>C128-W132</f>
        <v>0</v>
      </c>
    </row>
    <row r="133" spans="1:26" ht="15" customHeight="1" x14ac:dyDescent="0.5">
      <c r="A133" s="448"/>
      <c r="B133" s="448"/>
      <c r="C133" s="448"/>
      <c r="D133" s="314"/>
      <c r="E133" s="294" t="s">
        <v>1589</v>
      </c>
      <c r="F133" s="310">
        <f>F129</f>
        <v>0</v>
      </c>
      <c r="G133" s="310">
        <f t="shared" ref="G133:W133" si="65">F133+G129</f>
        <v>0</v>
      </c>
      <c r="H133" s="310">
        <f t="shared" si="65"/>
        <v>0</v>
      </c>
      <c r="I133" s="310">
        <f t="shared" si="65"/>
        <v>0</v>
      </c>
      <c r="J133" s="310">
        <f t="shared" si="65"/>
        <v>0</v>
      </c>
      <c r="K133" s="310">
        <f t="shared" si="65"/>
        <v>0</v>
      </c>
      <c r="L133" s="310">
        <f t="shared" si="65"/>
        <v>0</v>
      </c>
      <c r="M133" s="310">
        <f t="shared" si="65"/>
        <v>0</v>
      </c>
      <c r="N133" s="310">
        <f t="shared" si="65"/>
        <v>0</v>
      </c>
      <c r="O133" s="310">
        <f t="shared" si="65"/>
        <v>0</v>
      </c>
      <c r="P133" s="310">
        <f t="shared" si="65"/>
        <v>0</v>
      </c>
      <c r="Q133" s="310">
        <f t="shared" si="65"/>
        <v>0</v>
      </c>
      <c r="R133" s="310">
        <f t="shared" si="65"/>
        <v>0</v>
      </c>
      <c r="S133" s="310">
        <f t="shared" si="65"/>
        <v>0</v>
      </c>
      <c r="T133" s="310">
        <f t="shared" si="65"/>
        <v>0</v>
      </c>
      <c r="U133" s="310">
        <f t="shared" si="65"/>
        <v>0</v>
      </c>
      <c r="V133" s="310">
        <f t="shared" si="65"/>
        <v>0</v>
      </c>
      <c r="W133" s="310">
        <f t="shared" si="65"/>
        <v>0</v>
      </c>
      <c r="Y133" s="305"/>
      <c r="Z133" s="305"/>
    </row>
    <row r="134" spans="1:26" ht="15" customHeight="1" x14ac:dyDescent="0.5">
      <c r="A134" s="448"/>
      <c r="B134" s="448"/>
      <c r="C134" s="448"/>
      <c r="D134" s="314"/>
      <c r="E134" s="260" t="s">
        <v>1590</v>
      </c>
      <c r="F134" s="311">
        <f>F130</f>
        <v>1.3596697860475658E-3</v>
      </c>
      <c r="G134" s="311">
        <f t="shared" ref="G134:W134" si="66">F134+G130</f>
        <v>6.3689711062791615E-2</v>
      </c>
      <c r="H134" s="311">
        <f t="shared" si="66"/>
        <v>0.12601975233953566</v>
      </c>
      <c r="I134" s="311">
        <f t="shared" si="66"/>
        <v>0.18834979361627971</v>
      </c>
      <c r="J134" s="311">
        <f t="shared" si="66"/>
        <v>0.25067983489302376</v>
      </c>
      <c r="K134" s="311">
        <f t="shared" si="66"/>
        <v>0.31300987616976783</v>
      </c>
      <c r="L134" s="311">
        <f t="shared" si="66"/>
        <v>0.37533991744651191</v>
      </c>
      <c r="M134" s="311">
        <f t="shared" si="66"/>
        <v>0.43766995872325598</v>
      </c>
      <c r="N134" s="311">
        <f t="shared" si="66"/>
        <v>0.5</v>
      </c>
      <c r="O134" s="311">
        <f t="shared" si="66"/>
        <v>0.56233004127674402</v>
      </c>
      <c r="P134" s="311">
        <f t="shared" si="66"/>
        <v>0.62466008255348804</v>
      </c>
      <c r="Q134" s="311">
        <f t="shared" si="66"/>
        <v>0.68699012383023206</v>
      </c>
      <c r="R134" s="311">
        <f t="shared" si="66"/>
        <v>0.74932016510697608</v>
      </c>
      <c r="S134" s="311">
        <f t="shared" si="66"/>
        <v>0.8116502063837201</v>
      </c>
      <c r="T134" s="311">
        <f t="shared" si="66"/>
        <v>0.87398024766046412</v>
      </c>
      <c r="U134" s="311">
        <f t="shared" si="66"/>
        <v>0.93631028893720813</v>
      </c>
      <c r="V134" s="311">
        <f t="shared" si="66"/>
        <v>0.99864033021395215</v>
      </c>
      <c r="W134" s="311">
        <f t="shared" si="66"/>
        <v>0.99999999999999967</v>
      </c>
    </row>
    <row r="135" spans="1:26" ht="15" customHeight="1" x14ac:dyDescent="0.5">
      <c r="A135" s="448"/>
      <c r="B135" s="448"/>
      <c r="C135" s="448"/>
      <c r="D135" s="318"/>
      <c r="E135" s="303" t="s">
        <v>1591</v>
      </c>
      <c r="F135" s="319">
        <f>F131</f>
        <v>0</v>
      </c>
      <c r="G135" s="319">
        <f t="shared" ref="G135:W135" si="67">F135+G131</f>
        <v>0</v>
      </c>
      <c r="H135" s="319">
        <f t="shared" si="67"/>
        <v>0</v>
      </c>
      <c r="I135" s="319">
        <f t="shared" si="67"/>
        <v>0</v>
      </c>
      <c r="J135" s="319">
        <f t="shared" si="67"/>
        <v>0</v>
      </c>
      <c r="K135" s="319">
        <f t="shared" si="67"/>
        <v>0</v>
      </c>
      <c r="L135" s="319">
        <f t="shared" si="67"/>
        <v>0</v>
      </c>
      <c r="M135" s="319">
        <f t="shared" si="67"/>
        <v>0</v>
      </c>
      <c r="N135" s="319">
        <f t="shared" si="67"/>
        <v>0</v>
      </c>
      <c r="O135" s="319">
        <f t="shared" si="67"/>
        <v>0</v>
      </c>
      <c r="P135" s="319">
        <f t="shared" si="67"/>
        <v>0</v>
      </c>
      <c r="Q135" s="319">
        <f t="shared" si="67"/>
        <v>0</v>
      </c>
      <c r="R135" s="319">
        <f t="shared" si="67"/>
        <v>0</v>
      </c>
      <c r="S135" s="319">
        <f t="shared" si="67"/>
        <v>0</v>
      </c>
      <c r="T135" s="319">
        <f t="shared" si="67"/>
        <v>0</v>
      </c>
      <c r="U135" s="319">
        <f t="shared" si="67"/>
        <v>0</v>
      </c>
      <c r="V135" s="319">
        <f t="shared" si="67"/>
        <v>0</v>
      </c>
      <c r="W135" s="319">
        <f t="shared" si="67"/>
        <v>0</v>
      </c>
      <c r="Y135" s="305"/>
      <c r="Z135" s="305"/>
    </row>
    <row r="136" spans="1:26" ht="15" customHeight="1" x14ac:dyDescent="0.5">
      <c r="A136" s="449">
        <f>IF(COUNT(REAJUSTE!$C$18)=0,"",REAJUSTE!$C$18)</f>
        <v>3.2899999999999999E-2</v>
      </c>
      <c r="B136" s="450" t="s">
        <v>1592</v>
      </c>
      <c r="C136" s="451" t="str">
        <f>IF(COUNT(F136:W136)&lt;18,"",SUM(F136:W136))</f>
        <v/>
      </c>
      <c r="D136" s="452" t="s">
        <v>21</v>
      </c>
      <c r="E136" s="307" t="s">
        <v>1593</v>
      </c>
      <c r="F136" s="308" t="str">
        <f>IF(F106=0,0,IF(COUNT(REAJUSTE!G24)=0,"",F106*REAJUSTE!G24))</f>
        <v/>
      </c>
      <c r="G136" s="308" t="str">
        <f>IF(G106=0,0,IF(COUNT(REAJUSTE!G25)=0,"",G106*REAJUSTE!G25))</f>
        <v/>
      </c>
      <c r="H136" s="308" t="str">
        <f>IF(H106=0,0,IF(COUNT(REAJUSTE!G26)=0,"",H106*REAJUSTE!G26))</f>
        <v/>
      </c>
      <c r="I136" s="308" t="str">
        <f>IF(I106=0,0,IF(COUNT(REAJUSTE!G27)=0,"",I106*REAJUSTE!G27))</f>
        <v/>
      </c>
      <c r="J136" s="308" t="str">
        <f>IF(J106=0,0,IF(COUNT(REAJUSTE!G28)=0,"",J106*REAJUSTE!G28))</f>
        <v/>
      </c>
      <c r="K136" s="308" t="str">
        <f>IF(K106=0,0,IF(COUNT(REAJUSTE!G29)=0,"",K106*REAJUSTE!G29))</f>
        <v/>
      </c>
      <c r="L136" s="308" t="str">
        <f>IF(L106=0,0,IF(COUNT(REAJUSTE!G30)=0,"",L106*REAJUSTE!G30))</f>
        <v/>
      </c>
      <c r="M136" s="308" t="str">
        <f>IF(M106=0,0,IF(COUNT(REAJUSTE!G31)=0,"",M106*REAJUSTE!G31))</f>
        <v/>
      </c>
      <c r="N136" s="308" t="str">
        <f>IF(N106=0,0,IF(COUNT(REAJUSTE!G32)=0,"",N106*REAJUSTE!G32))</f>
        <v/>
      </c>
      <c r="O136" s="308" t="str">
        <f>IF(O106=0,0,IF(COUNT(REAJUSTE!G33)=0,"",O106*REAJUSTE!G33))</f>
        <v/>
      </c>
      <c r="P136" s="308" t="str">
        <f>IF(P106=0,0,IF(COUNT(REAJUSTE!G34)=0,"",P106*REAJUSTE!G34))</f>
        <v/>
      </c>
      <c r="Q136" s="308" t="str">
        <f>IF(Q106=0,0,IF(COUNT(REAJUSTE!G35)=0,"",Q106*REAJUSTE!G35))</f>
        <v/>
      </c>
      <c r="R136" s="308" t="str">
        <f>IF(R106=0,0,IF(COUNT(REAJUSTE!G36)=0,"",R106*REAJUSTE!G36))</f>
        <v/>
      </c>
      <c r="S136" s="308" t="str">
        <f>IF(S106=0,0,IF(COUNT(REAJUSTE!G37)=0,"",S106*REAJUSTE!G37))</f>
        <v/>
      </c>
      <c r="T136" s="308" t="str">
        <f>IF(T106=0,0,IF(COUNT(REAJUSTE!G38)=0,"",T106*REAJUSTE!G38))</f>
        <v/>
      </c>
      <c r="U136" s="308" t="str">
        <f>IF(U106=0,0,IF(COUNT(REAJUSTE!G39)=0,"",U106*REAJUSTE!G39))</f>
        <v/>
      </c>
      <c r="V136" s="308" t="str">
        <f>IF(V106=0,0,IF(COUNT(REAJUSTE!G40)=0,"",V106*REAJUSTE!G40))</f>
        <v/>
      </c>
      <c r="W136" s="308" t="str">
        <f>IF(W106=0,0,IF(COUNT(REAJUSTE!G41)=0,"",W106*REAJUSTE!G41))</f>
        <v/>
      </c>
    </row>
    <row r="137" spans="1:26" ht="15" customHeight="1" x14ac:dyDescent="0.5">
      <c r="A137" s="449"/>
      <c r="B137" s="450"/>
      <c r="C137" s="451"/>
      <c r="D137" s="451"/>
      <c r="E137" s="294" t="s">
        <v>1594</v>
      </c>
      <c r="F137" s="310">
        <f>IF(COUNT('BM MORRO DA CRUZ - VERTICAL'!V558)=0,"",'BM MORRO DA CRUZ - VERTICAL'!V558)</f>
        <v>0</v>
      </c>
      <c r="G137" s="310">
        <f>IF(COUNT('BM MORRO DA CRUZ - VERTICAL'!X558)=0,"",'BM MORRO DA CRUZ - VERTICAL'!X558)</f>
        <v>0</v>
      </c>
      <c r="H137" s="310">
        <f>IF(COUNT('BM MORRO DA CRUZ - VERTICAL'!Z558)=0,"",'BM MORRO DA CRUZ - VERTICAL'!Z558)</f>
        <v>0</v>
      </c>
      <c r="I137" s="310">
        <f>IF(COUNT('BM MORRO DA CRUZ - VERTICAL'!AB558)=0,"",'BM MORRO DA CRUZ - VERTICAL'!AB558)</f>
        <v>0</v>
      </c>
      <c r="J137" s="310">
        <f>IF(COUNT('BM MORRO DA CRUZ - VERTICAL'!AD558)=0,"",'BM MORRO DA CRUZ - VERTICAL'!AD558)</f>
        <v>0</v>
      </c>
      <c r="K137" s="310">
        <f>IF(COUNT('BM MORRO DA CRUZ - VERTICAL'!AF558)=0,"",'BM MORRO DA CRUZ - VERTICAL'!AF558)</f>
        <v>0</v>
      </c>
      <c r="L137" s="310">
        <f>IF(COUNT('BM MORRO DA CRUZ - VERTICAL'!AH558)=0,"",'BM MORRO DA CRUZ - VERTICAL'!AH558)</f>
        <v>0</v>
      </c>
      <c r="M137" s="310">
        <f>IF(COUNT('BM MORRO DA CRUZ - VERTICAL'!AJ558)=0,"",'BM MORRO DA CRUZ - VERTICAL'!AJ558)</f>
        <v>0</v>
      </c>
      <c r="N137" s="310">
        <f>IF(COUNT('BM MORRO DA CRUZ - VERTICAL'!AL558)=0,"",'BM MORRO DA CRUZ - VERTICAL'!AL558)</f>
        <v>0</v>
      </c>
      <c r="O137" s="310">
        <f>IF(COUNT('BM MORRO DA CRUZ - VERTICAL'!AN558)=0,"",'BM MORRO DA CRUZ - VERTICAL'!AN558)</f>
        <v>0</v>
      </c>
      <c r="P137" s="310">
        <f>IF(COUNT('BM MORRO DA CRUZ - VERTICAL'!AP558)=0,"",'BM MORRO DA CRUZ - VERTICAL'!AP558)</f>
        <v>0</v>
      </c>
      <c r="Q137" s="310">
        <f>IF(COUNT('BM MORRO DA CRUZ - VERTICAL'!AR558)=0,"",'BM MORRO DA CRUZ - VERTICAL'!AR558)</f>
        <v>0</v>
      </c>
      <c r="R137" s="310">
        <f>IF(COUNT('BM MORRO DA CRUZ - VERTICAL'!AT558)=0,"",'BM MORRO DA CRUZ - VERTICAL'!AT558)</f>
        <v>0</v>
      </c>
      <c r="S137" s="310">
        <f>IF(COUNT('BM MORRO DA CRUZ - VERTICAL'!AV558)=0,"",'BM MORRO DA CRUZ - VERTICAL'!AV558)</f>
        <v>0</v>
      </c>
      <c r="T137" s="310">
        <f>IF(COUNT('BM MORRO DA CRUZ - VERTICAL'!AX558)=0,"",'BM MORRO DA CRUZ - VERTICAL'!AX558)</f>
        <v>0</v>
      </c>
      <c r="U137" s="310">
        <f>IF(COUNT('BM MORRO DA CRUZ - VERTICAL'!AZ558)=0,"",'BM MORRO DA CRUZ - VERTICAL'!AZ558)</f>
        <v>0</v>
      </c>
      <c r="V137" s="310">
        <f>IF(COUNT('BM MORRO DA CRUZ - VERTICAL'!BB558)=0,"",'BM MORRO DA CRUZ - VERTICAL'!BB558)</f>
        <v>0</v>
      </c>
      <c r="W137" s="310">
        <f>IF(COUNT('BM MORRO DA CRUZ - VERTICAL'!BD558)=0,"",'BM MORRO DA CRUZ - VERTICAL'!BD558)</f>
        <v>0</v>
      </c>
      <c r="Y137" s="305"/>
      <c r="Z137" s="305"/>
    </row>
    <row r="138" spans="1:26" ht="15" customHeight="1" x14ac:dyDescent="0.5">
      <c r="A138" s="449"/>
      <c r="B138" s="450"/>
      <c r="C138" s="451"/>
      <c r="D138" s="451"/>
      <c r="E138" s="260" t="s">
        <v>1595</v>
      </c>
      <c r="F138" s="311" t="str">
        <f t="shared" ref="F138:W138" si="68">IF(COUNT(F136,$C$144)&lt;2,"",IF($C$144=0,"",F136/$C$144))</f>
        <v/>
      </c>
      <c r="G138" s="311" t="str">
        <f t="shared" si="68"/>
        <v/>
      </c>
      <c r="H138" s="311" t="str">
        <f t="shared" si="68"/>
        <v/>
      </c>
      <c r="I138" s="311" t="str">
        <f t="shared" si="68"/>
        <v/>
      </c>
      <c r="J138" s="311" t="str">
        <f t="shared" si="68"/>
        <v/>
      </c>
      <c r="K138" s="311" t="str">
        <f t="shared" si="68"/>
        <v/>
      </c>
      <c r="L138" s="311" t="str">
        <f t="shared" si="68"/>
        <v/>
      </c>
      <c r="M138" s="311" t="str">
        <f t="shared" si="68"/>
        <v/>
      </c>
      <c r="N138" s="311" t="str">
        <f t="shared" si="68"/>
        <v/>
      </c>
      <c r="O138" s="311" t="str">
        <f t="shared" si="68"/>
        <v/>
      </c>
      <c r="P138" s="311" t="str">
        <f t="shared" si="68"/>
        <v/>
      </c>
      <c r="Q138" s="311" t="str">
        <f t="shared" si="68"/>
        <v/>
      </c>
      <c r="R138" s="311" t="str">
        <f t="shared" si="68"/>
        <v/>
      </c>
      <c r="S138" s="311" t="str">
        <f t="shared" si="68"/>
        <v/>
      </c>
      <c r="T138" s="311" t="str">
        <f t="shared" si="68"/>
        <v/>
      </c>
      <c r="U138" s="311" t="str">
        <f t="shared" si="68"/>
        <v/>
      </c>
      <c r="V138" s="311" t="str">
        <f t="shared" si="68"/>
        <v/>
      </c>
      <c r="W138" s="311" t="str">
        <f t="shared" si="68"/>
        <v/>
      </c>
      <c r="Y138" s="305"/>
    </row>
    <row r="139" spans="1:26" ht="15" customHeight="1" x14ac:dyDescent="0.5">
      <c r="A139" s="449"/>
      <c r="B139" s="450"/>
      <c r="C139" s="451"/>
      <c r="D139" s="451"/>
      <c r="E139" s="263" t="s">
        <v>1596</v>
      </c>
      <c r="F139" s="313" t="str">
        <f t="shared" ref="F139:W139" si="69">IF(COUNT(F137,$C$144)&lt;2,"",IF($C$144=0,"",F137/$C$144))</f>
        <v/>
      </c>
      <c r="G139" s="313" t="str">
        <f t="shared" si="69"/>
        <v/>
      </c>
      <c r="H139" s="313" t="str">
        <f t="shared" si="69"/>
        <v/>
      </c>
      <c r="I139" s="313" t="str">
        <f t="shared" si="69"/>
        <v/>
      </c>
      <c r="J139" s="313" t="str">
        <f t="shared" si="69"/>
        <v/>
      </c>
      <c r="K139" s="313" t="str">
        <f t="shared" si="69"/>
        <v/>
      </c>
      <c r="L139" s="313" t="str">
        <f t="shared" si="69"/>
        <v/>
      </c>
      <c r="M139" s="313" t="str">
        <f t="shared" si="69"/>
        <v/>
      </c>
      <c r="N139" s="313" t="str">
        <f t="shared" si="69"/>
        <v/>
      </c>
      <c r="O139" s="313" t="str">
        <f t="shared" si="69"/>
        <v/>
      </c>
      <c r="P139" s="313" t="str">
        <f t="shared" si="69"/>
        <v/>
      </c>
      <c r="Q139" s="313" t="str">
        <f t="shared" si="69"/>
        <v/>
      </c>
      <c r="R139" s="313" t="str">
        <f t="shared" si="69"/>
        <v/>
      </c>
      <c r="S139" s="313" t="str">
        <f t="shared" si="69"/>
        <v/>
      </c>
      <c r="T139" s="313" t="str">
        <f t="shared" si="69"/>
        <v/>
      </c>
      <c r="U139" s="313" t="str">
        <f t="shared" si="69"/>
        <v/>
      </c>
      <c r="V139" s="313" t="str">
        <f t="shared" si="69"/>
        <v/>
      </c>
      <c r="W139" s="313" t="str">
        <f t="shared" si="69"/>
        <v/>
      </c>
      <c r="Y139" s="305"/>
      <c r="Z139" s="305"/>
    </row>
    <row r="140" spans="1:26" ht="15" customHeight="1" x14ac:dyDescent="0.5">
      <c r="A140" s="436">
        <f>IF(COUNT(REAJUSTE!$C$18)=0,"",REAJUSTE!$C$18)</f>
        <v>3.2899999999999999E-2</v>
      </c>
      <c r="B140" s="437" t="s">
        <v>1592</v>
      </c>
      <c r="C140" s="438" t="str">
        <f>IF(COUNT(F140:W140)&lt;18,"",SUM(F140:W140))</f>
        <v/>
      </c>
      <c r="D140" s="439" t="s">
        <v>846</v>
      </c>
      <c r="E140" s="298" t="s">
        <v>1593</v>
      </c>
      <c r="F140" s="320" t="str">
        <f>IF(F117=0,0,IF(COUNT(REAJUSTE!H24)=0,"",F117*REAJUSTE!H24))</f>
        <v/>
      </c>
      <c r="G140" s="320" t="str">
        <f>IF(G117=0,0,IF(COUNT(REAJUSTE!H25)=0,"",G117*REAJUSTE!H25))</f>
        <v/>
      </c>
      <c r="H140" s="320" t="str">
        <f>IF(H117=0,0,IF(COUNT(REAJUSTE!H26)=0,"",H117*REAJUSTE!H26))</f>
        <v/>
      </c>
      <c r="I140" s="320" t="str">
        <f>IF(I117=0,0,IF(COUNT(REAJUSTE!H27)=0,"",I117*REAJUSTE!H27))</f>
        <v/>
      </c>
      <c r="J140" s="320" t="str">
        <f>IF(J117=0,0,IF(COUNT(REAJUSTE!H28)=0,"",J117*REAJUSTE!H28))</f>
        <v/>
      </c>
      <c r="K140" s="320" t="str">
        <f>IF(K117=0,0,IF(COUNT(REAJUSTE!H29)=0,"",K117*REAJUSTE!H29))</f>
        <v/>
      </c>
      <c r="L140" s="320" t="str">
        <f>IF(L117=0,0,IF(COUNT(REAJUSTE!H30)=0,"",L117*REAJUSTE!H30))</f>
        <v/>
      </c>
      <c r="M140" s="320" t="str">
        <f>IF(M117=0,0,IF(COUNT(REAJUSTE!H31)=0,"",M117*REAJUSTE!H31))</f>
        <v/>
      </c>
      <c r="N140" s="320" t="str">
        <f>IF(N117=0,0,IF(COUNT(REAJUSTE!H32)=0,"",N117*REAJUSTE!H32))</f>
        <v/>
      </c>
      <c r="O140" s="320" t="str">
        <f>IF(O117=0,0,IF(COUNT(REAJUSTE!H33)=0,"",O117*REAJUSTE!H33))</f>
        <v/>
      </c>
      <c r="P140" s="320" t="str">
        <f>IF(P117=0,0,IF(COUNT(REAJUSTE!H34)=0,"",P117*REAJUSTE!H34))</f>
        <v/>
      </c>
      <c r="Q140" s="320" t="str">
        <f>IF(Q117=0,0,IF(COUNT(REAJUSTE!H35)=0,"",Q117*REAJUSTE!H35))</f>
        <v/>
      </c>
      <c r="R140" s="320" t="str">
        <f>IF(R117=0,0,IF(COUNT(REAJUSTE!H36)=0,"",R117*REAJUSTE!H36))</f>
        <v/>
      </c>
      <c r="S140" s="320" t="str">
        <f>IF(S117=0,0,IF(COUNT(REAJUSTE!H37)=0,"",S117*REAJUSTE!H37))</f>
        <v/>
      </c>
      <c r="T140" s="320" t="str">
        <f>IF(T117=0,0,IF(COUNT(REAJUSTE!H38)=0,"",T117*REAJUSTE!H38))</f>
        <v/>
      </c>
      <c r="U140" s="320" t="str">
        <f>IF(U117=0,0,IF(COUNT(REAJUSTE!H39)=0,"",U117*REAJUSTE!H39))</f>
        <v/>
      </c>
      <c r="V140" s="320" t="str">
        <f>IF(V117=0,0,IF(COUNT(REAJUSTE!H40)=0,"",V117*REAJUSTE!H40))</f>
        <v/>
      </c>
      <c r="W140" s="320" t="str">
        <f>IF(W117=0,0,IF(COUNT(REAJUSTE!H41)=0,"",W117*REAJUSTE!H41))</f>
        <v/>
      </c>
      <c r="Y140" s="305"/>
    </row>
    <row r="141" spans="1:26" ht="15" customHeight="1" x14ac:dyDescent="0.5">
      <c r="A141" s="436"/>
      <c r="B141" s="437"/>
      <c r="C141" s="438"/>
      <c r="D141" s="438"/>
      <c r="E141" s="294" t="s">
        <v>1594</v>
      </c>
      <c r="F141" s="310">
        <f>IF(COUNT('BM MORRO DA CRUZ - VERTICAL'!V559)=0,"",'BM MORRO DA CRUZ - VERTICAL'!V559)</f>
        <v>0</v>
      </c>
      <c r="G141" s="310">
        <f>IF(COUNT('BM MORRO DA CRUZ - VERTICAL'!X559)=0,"",'BM MORRO DA CRUZ - VERTICAL'!X559)</f>
        <v>0</v>
      </c>
      <c r="H141" s="310">
        <f>IF(COUNT('BM MORRO DA CRUZ - VERTICAL'!Z559)=0,"",'BM MORRO DA CRUZ - VERTICAL'!Z559)</f>
        <v>0</v>
      </c>
      <c r="I141" s="310">
        <f>IF(COUNT('BM MORRO DA CRUZ - VERTICAL'!AB559)=0,"",'BM MORRO DA CRUZ - VERTICAL'!AB559)</f>
        <v>0</v>
      </c>
      <c r="J141" s="310">
        <f>IF(COUNT('BM MORRO DA CRUZ - VERTICAL'!AD559)=0,"",'BM MORRO DA CRUZ - VERTICAL'!AD559)</f>
        <v>0</v>
      </c>
      <c r="K141" s="310">
        <f>IF(COUNT('BM MORRO DA CRUZ - VERTICAL'!AF559)=0,"",'BM MORRO DA CRUZ - VERTICAL'!AF559)</f>
        <v>0</v>
      </c>
      <c r="L141" s="310">
        <f>IF(COUNT('BM MORRO DA CRUZ - VERTICAL'!AH559)=0,"",'BM MORRO DA CRUZ - VERTICAL'!AH559)</f>
        <v>0</v>
      </c>
      <c r="M141" s="310">
        <f>IF(COUNT('BM MORRO DA CRUZ - VERTICAL'!AJ559)=0,"",'BM MORRO DA CRUZ - VERTICAL'!AJ559)</f>
        <v>0</v>
      </c>
      <c r="N141" s="310">
        <f>IF(COUNT('BM MORRO DA CRUZ - VERTICAL'!AL559)=0,"",'BM MORRO DA CRUZ - VERTICAL'!AL559)</f>
        <v>0</v>
      </c>
      <c r="O141" s="310">
        <f>IF(COUNT('BM MORRO DA CRUZ - VERTICAL'!AN559)=0,"",'BM MORRO DA CRUZ - VERTICAL'!AN559)</f>
        <v>0</v>
      </c>
      <c r="P141" s="310">
        <f>IF(COUNT('BM MORRO DA CRUZ - VERTICAL'!AP559)=0,"",'BM MORRO DA CRUZ - VERTICAL'!AP559)</f>
        <v>0</v>
      </c>
      <c r="Q141" s="310">
        <f>IF(COUNT('BM MORRO DA CRUZ - VERTICAL'!AR559)=0,"",'BM MORRO DA CRUZ - VERTICAL'!AR559)</f>
        <v>0</v>
      </c>
      <c r="R141" s="310">
        <f>IF(COUNT('BM MORRO DA CRUZ - VERTICAL'!AT559)=0,"",'BM MORRO DA CRUZ - VERTICAL'!AT559)</f>
        <v>0</v>
      </c>
      <c r="S141" s="310">
        <f>IF(COUNT('BM MORRO DA CRUZ - VERTICAL'!AV559)=0,"",'BM MORRO DA CRUZ - VERTICAL'!AV559)</f>
        <v>0</v>
      </c>
      <c r="T141" s="310">
        <f>IF(COUNT('BM MORRO DA CRUZ - VERTICAL'!AX559)=0,"",'BM MORRO DA CRUZ - VERTICAL'!AX559)</f>
        <v>0</v>
      </c>
      <c r="U141" s="310">
        <f>IF(COUNT('BM MORRO DA CRUZ - VERTICAL'!AZ559)=0,"",'BM MORRO DA CRUZ - VERTICAL'!AZ559)</f>
        <v>0</v>
      </c>
      <c r="V141" s="310">
        <f>IF(COUNT('BM MORRO DA CRUZ - VERTICAL'!BB559)=0,"",'BM MORRO DA CRUZ - VERTICAL'!BB559)</f>
        <v>0</v>
      </c>
      <c r="W141" s="310">
        <f>IF(COUNT('BM MORRO DA CRUZ - VERTICAL'!BD559)=0,"",'BM MORRO DA CRUZ - VERTICAL'!BD559)</f>
        <v>0</v>
      </c>
      <c r="Y141" s="305"/>
      <c r="Z141" s="305"/>
    </row>
    <row r="142" spans="1:26" ht="15" customHeight="1" x14ac:dyDescent="0.5">
      <c r="A142" s="436"/>
      <c r="B142" s="437"/>
      <c r="C142" s="438"/>
      <c r="D142" s="438"/>
      <c r="E142" s="260" t="s">
        <v>1595</v>
      </c>
      <c r="F142" s="311" t="str">
        <f t="shared" ref="F142:W142" si="70">IF(COUNT(F140,$C$144)&lt;2,"",IF($C$144=0,"",F140/$C$144))</f>
        <v/>
      </c>
      <c r="G142" s="311" t="str">
        <f t="shared" si="70"/>
        <v/>
      </c>
      <c r="H142" s="311" t="str">
        <f t="shared" si="70"/>
        <v/>
      </c>
      <c r="I142" s="311" t="str">
        <f t="shared" si="70"/>
        <v/>
      </c>
      <c r="J142" s="311" t="str">
        <f t="shared" si="70"/>
        <v/>
      </c>
      <c r="K142" s="311" t="str">
        <f t="shared" si="70"/>
        <v/>
      </c>
      <c r="L142" s="311" t="str">
        <f t="shared" si="70"/>
        <v/>
      </c>
      <c r="M142" s="311" t="str">
        <f t="shared" si="70"/>
        <v/>
      </c>
      <c r="N142" s="311" t="str">
        <f t="shared" si="70"/>
        <v/>
      </c>
      <c r="O142" s="311" t="str">
        <f t="shared" si="70"/>
        <v/>
      </c>
      <c r="P142" s="311" t="str">
        <f t="shared" si="70"/>
        <v/>
      </c>
      <c r="Q142" s="311" t="str">
        <f t="shared" si="70"/>
        <v/>
      </c>
      <c r="R142" s="311" t="str">
        <f t="shared" si="70"/>
        <v/>
      </c>
      <c r="S142" s="311" t="str">
        <f t="shared" si="70"/>
        <v/>
      </c>
      <c r="T142" s="311" t="str">
        <f t="shared" si="70"/>
        <v/>
      </c>
      <c r="U142" s="311" t="str">
        <f t="shared" si="70"/>
        <v/>
      </c>
      <c r="V142" s="311" t="str">
        <f t="shared" si="70"/>
        <v/>
      </c>
      <c r="W142" s="311" t="str">
        <f t="shared" si="70"/>
        <v/>
      </c>
      <c r="Y142" s="305"/>
    </row>
    <row r="143" spans="1:26" ht="15" customHeight="1" x14ac:dyDescent="0.5">
      <c r="A143" s="436"/>
      <c r="B143" s="437"/>
      <c r="C143" s="438"/>
      <c r="D143" s="438"/>
      <c r="E143" s="263" t="s">
        <v>1596</v>
      </c>
      <c r="F143" s="313" t="str">
        <f t="shared" ref="F143:W143" si="71">IF(COUNT(F141,$C$144)&lt;2,"",IF($C$144=0,"",F141/$C$144))</f>
        <v/>
      </c>
      <c r="G143" s="313" t="str">
        <f t="shared" si="71"/>
        <v/>
      </c>
      <c r="H143" s="313" t="str">
        <f t="shared" si="71"/>
        <v/>
      </c>
      <c r="I143" s="313" t="str">
        <f t="shared" si="71"/>
        <v/>
      </c>
      <c r="J143" s="313" t="str">
        <f t="shared" si="71"/>
        <v/>
      </c>
      <c r="K143" s="313" t="str">
        <f t="shared" si="71"/>
        <v/>
      </c>
      <c r="L143" s="313" t="str">
        <f t="shared" si="71"/>
        <v/>
      </c>
      <c r="M143" s="313" t="str">
        <f t="shared" si="71"/>
        <v/>
      </c>
      <c r="N143" s="313" t="str">
        <f t="shared" si="71"/>
        <v/>
      </c>
      <c r="O143" s="313" t="str">
        <f t="shared" si="71"/>
        <v/>
      </c>
      <c r="P143" s="313" t="str">
        <f t="shared" si="71"/>
        <v/>
      </c>
      <c r="Q143" s="313" t="str">
        <f t="shared" si="71"/>
        <v/>
      </c>
      <c r="R143" s="313" t="str">
        <f t="shared" si="71"/>
        <v/>
      </c>
      <c r="S143" s="313" t="str">
        <f t="shared" si="71"/>
        <v/>
      </c>
      <c r="T143" s="313" t="str">
        <f t="shared" si="71"/>
        <v/>
      </c>
      <c r="U143" s="313" t="str">
        <f t="shared" si="71"/>
        <v/>
      </c>
      <c r="V143" s="313" t="str">
        <f t="shared" si="71"/>
        <v/>
      </c>
      <c r="W143" s="313" t="str">
        <f t="shared" si="71"/>
        <v/>
      </c>
      <c r="Y143" s="305"/>
      <c r="Z143" s="305"/>
    </row>
    <row r="144" spans="1:26" ht="15" customHeight="1" x14ac:dyDescent="0.5">
      <c r="A144" s="440" t="s">
        <v>1597</v>
      </c>
      <c r="B144" s="440"/>
      <c r="C144" s="441" t="str">
        <f>IF(COUNT(C136,C140)&lt;2,"",SUM(C136,C140))</f>
        <v/>
      </c>
      <c r="D144" s="439" t="s">
        <v>1598</v>
      </c>
      <c r="E144" s="298" t="s">
        <v>1593</v>
      </c>
      <c r="F144" s="320" t="str">
        <f t="shared" ref="F144:W144" si="72">IF(COUNT(F136,F140)&lt;2,"",SUM(F136,F140))</f>
        <v/>
      </c>
      <c r="G144" s="320" t="str">
        <f t="shared" si="72"/>
        <v/>
      </c>
      <c r="H144" s="320" t="str">
        <f t="shared" si="72"/>
        <v/>
      </c>
      <c r="I144" s="320" t="str">
        <f t="shared" si="72"/>
        <v/>
      </c>
      <c r="J144" s="320" t="str">
        <f t="shared" si="72"/>
        <v/>
      </c>
      <c r="K144" s="320" t="str">
        <f t="shared" si="72"/>
        <v/>
      </c>
      <c r="L144" s="320" t="str">
        <f t="shared" si="72"/>
        <v/>
      </c>
      <c r="M144" s="320" t="str">
        <f t="shared" si="72"/>
        <v/>
      </c>
      <c r="N144" s="320" t="str">
        <f t="shared" si="72"/>
        <v/>
      </c>
      <c r="O144" s="320" t="str">
        <f t="shared" si="72"/>
        <v/>
      </c>
      <c r="P144" s="320" t="str">
        <f t="shared" si="72"/>
        <v/>
      </c>
      <c r="Q144" s="320" t="str">
        <f t="shared" si="72"/>
        <v/>
      </c>
      <c r="R144" s="320" t="str">
        <f t="shared" si="72"/>
        <v/>
      </c>
      <c r="S144" s="320" t="str">
        <f t="shared" si="72"/>
        <v/>
      </c>
      <c r="T144" s="320" t="str">
        <f t="shared" si="72"/>
        <v/>
      </c>
      <c r="U144" s="320" t="str">
        <f t="shared" si="72"/>
        <v/>
      </c>
      <c r="V144" s="320" t="str">
        <f t="shared" si="72"/>
        <v/>
      </c>
      <c r="W144" s="320" t="str">
        <f t="shared" si="72"/>
        <v/>
      </c>
      <c r="Y144" s="305"/>
    </row>
    <row r="145" spans="1:26" ht="15" customHeight="1" x14ac:dyDescent="0.5">
      <c r="A145" s="440"/>
      <c r="B145" s="440"/>
      <c r="C145" s="441"/>
      <c r="D145" s="439"/>
      <c r="E145" s="294" t="s">
        <v>1594</v>
      </c>
      <c r="F145" s="310">
        <f t="shared" ref="F145:W145" si="73">IF(COUNT(F137,F141)&lt;2,"",SUM(F137,F141))</f>
        <v>0</v>
      </c>
      <c r="G145" s="310">
        <f t="shared" si="73"/>
        <v>0</v>
      </c>
      <c r="H145" s="310">
        <f t="shared" si="73"/>
        <v>0</v>
      </c>
      <c r="I145" s="310">
        <f t="shared" si="73"/>
        <v>0</v>
      </c>
      <c r="J145" s="310">
        <f t="shared" si="73"/>
        <v>0</v>
      </c>
      <c r="K145" s="310">
        <f t="shared" si="73"/>
        <v>0</v>
      </c>
      <c r="L145" s="310">
        <f t="shared" si="73"/>
        <v>0</v>
      </c>
      <c r="M145" s="310">
        <f t="shared" si="73"/>
        <v>0</v>
      </c>
      <c r="N145" s="310">
        <f t="shared" si="73"/>
        <v>0</v>
      </c>
      <c r="O145" s="310">
        <f t="shared" si="73"/>
        <v>0</v>
      </c>
      <c r="P145" s="310">
        <f t="shared" si="73"/>
        <v>0</v>
      </c>
      <c r="Q145" s="310">
        <f t="shared" si="73"/>
        <v>0</v>
      </c>
      <c r="R145" s="310">
        <f t="shared" si="73"/>
        <v>0</v>
      </c>
      <c r="S145" s="310">
        <f t="shared" si="73"/>
        <v>0</v>
      </c>
      <c r="T145" s="310">
        <f t="shared" si="73"/>
        <v>0</v>
      </c>
      <c r="U145" s="310">
        <f t="shared" si="73"/>
        <v>0</v>
      </c>
      <c r="V145" s="310">
        <f t="shared" si="73"/>
        <v>0</v>
      </c>
      <c r="W145" s="310">
        <f t="shared" si="73"/>
        <v>0</v>
      </c>
      <c r="Y145" s="305"/>
      <c r="Z145" s="305"/>
    </row>
    <row r="146" spans="1:26" ht="15" customHeight="1" x14ac:dyDescent="0.5">
      <c r="A146" s="440"/>
      <c r="B146" s="440"/>
      <c r="C146" s="441"/>
      <c r="D146" s="439"/>
      <c r="E146" s="260" t="s">
        <v>1595</v>
      </c>
      <c r="F146" s="311" t="str">
        <f t="shared" ref="F146:W146" si="74">IF(COUNT(F138,F142)&lt;2,"",SUM(F138,F142))</f>
        <v/>
      </c>
      <c r="G146" s="311" t="str">
        <f t="shared" si="74"/>
        <v/>
      </c>
      <c r="H146" s="311" t="str">
        <f t="shared" si="74"/>
        <v/>
      </c>
      <c r="I146" s="311" t="str">
        <f t="shared" si="74"/>
        <v/>
      </c>
      <c r="J146" s="311" t="str">
        <f t="shared" si="74"/>
        <v/>
      </c>
      <c r="K146" s="311" t="str">
        <f t="shared" si="74"/>
        <v/>
      </c>
      <c r="L146" s="311" t="str">
        <f t="shared" si="74"/>
        <v/>
      </c>
      <c r="M146" s="311" t="str">
        <f t="shared" si="74"/>
        <v/>
      </c>
      <c r="N146" s="311" t="str">
        <f t="shared" si="74"/>
        <v/>
      </c>
      <c r="O146" s="311" t="str">
        <f t="shared" si="74"/>
        <v/>
      </c>
      <c r="P146" s="311" t="str">
        <f t="shared" si="74"/>
        <v/>
      </c>
      <c r="Q146" s="311" t="str">
        <f t="shared" si="74"/>
        <v/>
      </c>
      <c r="R146" s="311" t="str">
        <f t="shared" si="74"/>
        <v/>
      </c>
      <c r="S146" s="311" t="str">
        <f t="shared" si="74"/>
        <v/>
      </c>
      <c r="T146" s="311" t="str">
        <f t="shared" si="74"/>
        <v/>
      </c>
      <c r="U146" s="311" t="str">
        <f t="shared" si="74"/>
        <v/>
      </c>
      <c r="V146" s="311" t="str">
        <f t="shared" si="74"/>
        <v/>
      </c>
      <c r="W146" s="311" t="str">
        <f t="shared" si="74"/>
        <v/>
      </c>
      <c r="Y146" s="305"/>
    </row>
    <row r="147" spans="1:26" ht="15" customHeight="1" x14ac:dyDescent="0.5">
      <c r="A147" s="440"/>
      <c r="B147" s="440"/>
      <c r="C147" s="441"/>
      <c r="D147" s="439"/>
      <c r="E147" s="263" t="s">
        <v>1596</v>
      </c>
      <c r="F147" s="313" t="str">
        <f t="shared" ref="F147:W147" si="75">IF(COUNT(F139,F143)&lt;2,"",SUM(F139,F143))</f>
        <v/>
      </c>
      <c r="G147" s="313" t="str">
        <f t="shared" si="75"/>
        <v/>
      </c>
      <c r="H147" s="313" t="str">
        <f t="shared" si="75"/>
        <v/>
      </c>
      <c r="I147" s="313" t="str">
        <f t="shared" si="75"/>
        <v/>
      </c>
      <c r="J147" s="313" t="str">
        <f t="shared" si="75"/>
        <v/>
      </c>
      <c r="K147" s="313" t="str">
        <f t="shared" si="75"/>
        <v/>
      </c>
      <c r="L147" s="313" t="str">
        <f t="shared" si="75"/>
        <v/>
      </c>
      <c r="M147" s="313" t="str">
        <f t="shared" si="75"/>
        <v/>
      </c>
      <c r="N147" s="313" t="str">
        <f t="shared" si="75"/>
        <v/>
      </c>
      <c r="O147" s="313" t="str">
        <f t="shared" si="75"/>
        <v/>
      </c>
      <c r="P147" s="313" t="str">
        <f t="shared" si="75"/>
        <v/>
      </c>
      <c r="Q147" s="313" t="str">
        <f t="shared" si="75"/>
        <v/>
      </c>
      <c r="R147" s="313" t="str">
        <f t="shared" si="75"/>
        <v/>
      </c>
      <c r="S147" s="313" t="str">
        <f t="shared" si="75"/>
        <v/>
      </c>
      <c r="T147" s="313" t="str">
        <f t="shared" si="75"/>
        <v/>
      </c>
      <c r="U147" s="313" t="str">
        <f t="shared" si="75"/>
        <v/>
      </c>
      <c r="V147" s="313" t="str">
        <f t="shared" si="75"/>
        <v/>
      </c>
      <c r="W147" s="313" t="str">
        <f t="shared" si="75"/>
        <v/>
      </c>
      <c r="Y147" s="305"/>
      <c r="Z147" s="305"/>
    </row>
    <row r="148" spans="1:26" ht="15" customHeight="1" x14ac:dyDescent="0.5">
      <c r="A148" s="440"/>
      <c r="B148" s="440"/>
      <c r="C148" s="441"/>
      <c r="D148" s="440" t="s">
        <v>1599</v>
      </c>
      <c r="E148" s="315" t="s">
        <v>1588</v>
      </c>
      <c r="F148" s="316" t="str">
        <f>IF(COUNT(F144)=0,"",F144)</f>
        <v/>
      </c>
      <c r="G148" s="316" t="str">
        <f t="shared" ref="G148:W148" si="76">IF(COUNT(F148,G144)&lt;2,"",SUM(F148,G144))</f>
        <v/>
      </c>
      <c r="H148" s="316" t="str">
        <f t="shared" si="76"/>
        <v/>
      </c>
      <c r="I148" s="316" t="str">
        <f t="shared" si="76"/>
        <v/>
      </c>
      <c r="J148" s="316" t="str">
        <f t="shared" si="76"/>
        <v/>
      </c>
      <c r="K148" s="316" t="str">
        <f t="shared" si="76"/>
        <v/>
      </c>
      <c r="L148" s="316" t="str">
        <f t="shared" si="76"/>
        <v/>
      </c>
      <c r="M148" s="316" t="str">
        <f t="shared" si="76"/>
        <v/>
      </c>
      <c r="N148" s="316" t="str">
        <f t="shared" si="76"/>
        <v/>
      </c>
      <c r="O148" s="316" t="str">
        <f t="shared" si="76"/>
        <v/>
      </c>
      <c r="P148" s="316" t="str">
        <f t="shared" si="76"/>
        <v/>
      </c>
      <c r="Q148" s="316" t="str">
        <f t="shared" si="76"/>
        <v/>
      </c>
      <c r="R148" s="316" t="str">
        <f t="shared" si="76"/>
        <v/>
      </c>
      <c r="S148" s="316" t="str">
        <f t="shared" si="76"/>
        <v/>
      </c>
      <c r="T148" s="316" t="str">
        <f t="shared" si="76"/>
        <v/>
      </c>
      <c r="U148" s="316" t="str">
        <f t="shared" si="76"/>
        <v/>
      </c>
      <c r="V148" s="316" t="str">
        <f t="shared" si="76"/>
        <v/>
      </c>
      <c r="W148" s="316" t="str">
        <f t="shared" si="76"/>
        <v/>
      </c>
      <c r="Y148" s="305"/>
    </row>
    <row r="149" spans="1:26" ht="15" customHeight="1" x14ac:dyDescent="0.5">
      <c r="A149" s="440"/>
      <c r="B149" s="440"/>
      <c r="C149" s="441"/>
      <c r="D149" s="440"/>
      <c r="E149" s="294" t="s">
        <v>1589</v>
      </c>
      <c r="F149" s="310">
        <f>IF(COUNT(F145)=0,"",F145)</f>
        <v>0</v>
      </c>
      <c r="G149" s="310">
        <f t="shared" ref="G149:W149" si="77">IF(COUNT(F149,G145)&lt;2,"",SUM(F149,G145))</f>
        <v>0</v>
      </c>
      <c r="H149" s="310">
        <f t="shared" si="77"/>
        <v>0</v>
      </c>
      <c r="I149" s="310">
        <f t="shared" si="77"/>
        <v>0</v>
      </c>
      <c r="J149" s="310">
        <f t="shared" si="77"/>
        <v>0</v>
      </c>
      <c r="K149" s="310">
        <f t="shared" si="77"/>
        <v>0</v>
      </c>
      <c r="L149" s="310">
        <f t="shared" si="77"/>
        <v>0</v>
      </c>
      <c r="M149" s="310">
        <f t="shared" si="77"/>
        <v>0</v>
      </c>
      <c r="N149" s="310">
        <f t="shared" si="77"/>
        <v>0</v>
      </c>
      <c r="O149" s="310">
        <f t="shared" si="77"/>
        <v>0</v>
      </c>
      <c r="P149" s="310">
        <f t="shared" si="77"/>
        <v>0</v>
      </c>
      <c r="Q149" s="310">
        <f t="shared" si="77"/>
        <v>0</v>
      </c>
      <c r="R149" s="310">
        <f t="shared" si="77"/>
        <v>0</v>
      </c>
      <c r="S149" s="310">
        <f t="shared" si="77"/>
        <v>0</v>
      </c>
      <c r="T149" s="310">
        <f t="shared" si="77"/>
        <v>0</v>
      </c>
      <c r="U149" s="310">
        <f t="shared" si="77"/>
        <v>0</v>
      </c>
      <c r="V149" s="310">
        <f t="shared" si="77"/>
        <v>0</v>
      </c>
      <c r="W149" s="310">
        <f t="shared" si="77"/>
        <v>0</v>
      </c>
      <c r="Y149" s="305"/>
      <c r="Z149" s="305"/>
    </row>
    <row r="150" spans="1:26" ht="15" customHeight="1" x14ac:dyDescent="0.5">
      <c r="A150" s="440"/>
      <c r="B150" s="440"/>
      <c r="C150" s="441"/>
      <c r="D150" s="440"/>
      <c r="E150" s="260" t="s">
        <v>1590</v>
      </c>
      <c r="F150" s="311" t="str">
        <f>IF(COUNT(F146)=0,"",F146)</f>
        <v/>
      </c>
      <c r="G150" s="311" t="str">
        <f t="shared" ref="G150:W150" si="78">IF(COUNT(F150,G146)&lt;2,"",SUM(F150,G146))</f>
        <v/>
      </c>
      <c r="H150" s="311" t="str">
        <f t="shared" si="78"/>
        <v/>
      </c>
      <c r="I150" s="311" t="str">
        <f t="shared" si="78"/>
        <v/>
      </c>
      <c r="J150" s="311" t="str">
        <f t="shared" si="78"/>
        <v/>
      </c>
      <c r="K150" s="311" t="str">
        <f t="shared" si="78"/>
        <v/>
      </c>
      <c r="L150" s="311" t="str">
        <f t="shared" si="78"/>
        <v/>
      </c>
      <c r="M150" s="311" t="str">
        <f t="shared" si="78"/>
        <v/>
      </c>
      <c r="N150" s="311" t="str">
        <f t="shared" si="78"/>
        <v/>
      </c>
      <c r="O150" s="311" t="str">
        <f t="shared" si="78"/>
        <v/>
      </c>
      <c r="P150" s="311" t="str">
        <f t="shared" si="78"/>
        <v/>
      </c>
      <c r="Q150" s="311" t="str">
        <f t="shared" si="78"/>
        <v/>
      </c>
      <c r="R150" s="311" t="str">
        <f t="shared" si="78"/>
        <v/>
      </c>
      <c r="S150" s="311" t="str">
        <f t="shared" si="78"/>
        <v/>
      </c>
      <c r="T150" s="311" t="str">
        <f t="shared" si="78"/>
        <v/>
      </c>
      <c r="U150" s="311" t="str">
        <f t="shared" si="78"/>
        <v/>
      </c>
      <c r="V150" s="311" t="str">
        <f t="shared" si="78"/>
        <v/>
      </c>
      <c r="W150" s="311" t="str">
        <f t="shared" si="78"/>
        <v/>
      </c>
    </row>
    <row r="151" spans="1:26" ht="15" customHeight="1" x14ac:dyDescent="0.5">
      <c r="A151" s="440"/>
      <c r="B151" s="440"/>
      <c r="C151" s="441"/>
      <c r="D151" s="440"/>
      <c r="E151" s="303" t="s">
        <v>1591</v>
      </c>
      <c r="F151" s="319" t="str">
        <f>IF(COUNT(F147)=0,"",F147)</f>
        <v/>
      </c>
      <c r="G151" s="319" t="str">
        <f t="shared" ref="G151:W151" si="79">IF(COUNT(F151,G147)&lt;2,"",SUM(F151,G147))</f>
        <v/>
      </c>
      <c r="H151" s="319" t="str">
        <f t="shared" si="79"/>
        <v/>
      </c>
      <c r="I151" s="319" t="str">
        <f t="shared" si="79"/>
        <v/>
      </c>
      <c r="J151" s="319" t="str">
        <f t="shared" si="79"/>
        <v/>
      </c>
      <c r="K151" s="319" t="str">
        <f t="shared" si="79"/>
        <v/>
      </c>
      <c r="L151" s="319" t="str">
        <f t="shared" si="79"/>
        <v/>
      </c>
      <c r="M151" s="319" t="str">
        <f t="shared" si="79"/>
        <v/>
      </c>
      <c r="N151" s="319" t="str">
        <f t="shared" si="79"/>
        <v/>
      </c>
      <c r="O151" s="319" t="str">
        <f t="shared" si="79"/>
        <v/>
      </c>
      <c r="P151" s="319" t="str">
        <f t="shared" si="79"/>
        <v/>
      </c>
      <c r="Q151" s="319" t="str">
        <f t="shared" si="79"/>
        <v/>
      </c>
      <c r="R151" s="319" t="str">
        <f t="shared" si="79"/>
        <v/>
      </c>
      <c r="S151" s="319" t="str">
        <f t="shared" si="79"/>
        <v/>
      </c>
      <c r="T151" s="319" t="str">
        <f t="shared" si="79"/>
        <v/>
      </c>
      <c r="U151" s="319" t="str">
        <f t="shared" si="79"/>
        <v/>
      </c>
      <c r="V151" s="319" t="str">
        <f t="shared" si="79"/>
        <v/>
      </c>
      <c r="W151" s="319" t="str">
        <f t="shared" si="79"/>
        <v/>
      </c>
      <c r="Y151" s="305"/>
      <c r="Z151" s="305"/>
    </row>
    <row r="152" spans="1:26" ht="15" customHeight="1" x14ac:dyDescent="0.5">
      <c r="A152" s="442" t="s">
        <v>1600</v>
      </c>
      <c r="B152" s="442"/>
      <c r="C152" s="443" t="str">
        <f>IF(COUNT(C128,C144)&lt;2,"",SUM(C128,C144))</f>
        <v/>
      </c>
      <c r="D152" s="442" t="s">
        <v>1598</v>
      </c>
      <c r="E152" s="298" t="s">
        <v>1593</v>
      </c>
      <c r="F152" s="320" t="str">
        <f t="shared" ref="F152:W152" si="80">IF(COUNT(F128,F144)&lt;2,"",SUM(F128,F144))</f>
        <v/>
      </c>
      <c r="G152" s="320" t="str">
        <f t="shared" si="80"/>
        <v/>
      </c>
      <c r="H152" s="320" t="str">
        <f t="shared" si="80"/>
        <v/>
      </c>
      <c r="I152" s="320" t="str">
        <f t="shared" si="80"/>
        <v/>
      </c>
      <c r="J152" s="320" t="str">
        <f t="shared" si="80"/>
        <v/>
      </c>
      <c r="K152" s="320" t="str">
        <f t="shared" si="80"/>
        <v/>
      </c>
      <c r="L152" s="320" t="str">
        <f t="shared" si="80"/>
        <v/>
      </c>
      <c r="M152" s="320" t="str">
        <f t="shared" si="80"/>
        <v/>
      </c>
      <c r="N152" s="320" t="str">
        <f t="shared" si="80"/>
        <v/>
      </c>
      <c r="O152" s="320" t="str">
        <f t="shared" si="80"/>
        <v/>
      </c>
      <c r="P152" s="320" t="str">
        <f t="shared" si="80"/>
        <v/>
      </c>
      <c r="Q152" s="320" t="str">
        <f t="shared" si="80"/>
        <v/>
      </c>
      <c r="R152" s="320" t="str">
        <f t="shared" si="80"/>
        <v/>
      </c>
      <c r="S152" s="320" t="str">
        <f t="shared" si="80"/>
        <v/>
      </c>
      <c r="T152" s="320" t="str">
        <f t="shared" si="80"/>
        <v/>
      </c>
      <c r="U152" s="320" t="str">
        <f t="shared" si="80"/>
        <v/>
      </c>
      <c r="V152" s="320" t="str">
        <f t="shared" si="80"/>
        <v/>
      </c>
      <c r="W152" s="320" t="str">
        <f t="shared" si="80"/>
        <v/>
      </c>
      <c r="Y152" s="305"/>
    </row>
    <row r="153" spans="1:26" ht="15" customHeight="1" x14ac:dyDescent="0.5">
      <c r="A153" s="442"/>
      <c r="B153" s="442"/>
      <c r="C153" s="443"/>
      <c r="D153" s="442"/>
      <c r="E153" s="294" t="s">
        <v>1594</v>
      </c>
      <c r="F153" s="310">
        <f t="shared" ref="F153:W153" si="81">IF(COUNT(F129,F145)&lt;2,"",SUM(F129,F145))</f>
        <v>0</v>
      </c>
      <c r="G153" s="310">
        <f t="shared" si="81"/>
        <v>0</v>
      </c>
      <c r="H153" s="310">
        <f t="shared" si="81"/>
        <v>0</v>
      </c>
      <c r="I153" s="310">
        <f t="shared" si="81"/>
        <v>0</v>
      </c>
      <c r="J153" s="310">
        <f t="shared" si="81"/>
        <v>0</v>
      </c>
      <c r="K153" s="310">
        <f t="shared" si="81"/>
        <v>0</v>
      </c>
      <c r="L153" s="310">
        <f t="shared" si="81"/>
        <v>0</v>
      </c>
      <c r="M153" s="310">
        <f t="shared" si="81"/>
        <v>0</v>
      </c>
      <c r="N153" s="310">
        <f t="shared" si="81"/>
        <v>0</v>
      </c>
      <c r="O153" s="310">
        <f t="shared" si="81"/>
        <v>0</v>
      </c>
      <c r="P153" s="310">
        <f t="shared" si="81"/>
        <v>0</v>
      </c>
      <c r="Q153" s="310">
        <f t="shared" si="81"/>
        <v>0</v>
      </c>
      <c r="R153" s="310">
        <f t="shared" si="81"/>
        <v>0</v>
      </c>
      <c r="S153" s="310">
        <f t="shared" si="81"/>
        <v>0</v>
      </c>
      <c r="T153" s="310">
        <f t="shared" si="81"/>
        <v>0</v>
      </c>
      <c r="U153" s="310">
        <f t="shared" si="81"/>
        <v>0</v>
      </c>
      <c r="V153" s="310">
        <f t="shared" si="81"/>
        <v>0</v>
      </c>
      <c r="W153" s="310">
        <f t="shared" si="81"/>
        <v>0</v>
      </c>
      <c r="Y153" s="305"/>
      <c r="Z153" s="305"/>
    </row>
    <row r="154" spans="1:26" ht="15" customHeight="1" x14ac:dyDescent="0.5">
      <c r="A154" s="442"/>
      <c r="B154" s="442"/>
      <c r="C154" s="443"/>
      <c r="D154" s="442"/>
      <c r="E154" s="260" t="s">
        <v>1595</v>
      </c>
      <c r="F154" s="311" t="str">
        <f t="shared" ref="F154:W154" si="82">IF(COUNT(F152,$C$152)&lt;2,"",IF($C$152=0,"",F152/$C$152))</f>
        <v/>
      </c>
      <c r="G154" s="311" t="str">
        <f t="shared" si="82"/>
        <v/>
      </c>
      <c r="H154" s="311" t="str">
        <f t="shared" si="82"/>
        <v/>
      </c>
      <c r="I154" s="311" t="str">
        <f t="shared" si="82"/>
        <v/>
      </c>
      <c r="J154" s="311" t="str">
        <f t="shared" si="82"/>
        <v/>
      </c>
      <c r="K154" s="311" t="str">
        <f t="shared" si="82"/>
        <v/>
      </c>
      <c r="L154" s="311" t="str">
        <f t="shared" si="82"/>
        <v/>
      </c>
      <c r="M154" s="311" t="str">
        <f t="shared" si="82"/>
        <v/>
      </c>
      <c r="N154" s="311" t="str">
        <f t="shared" si="82"/>
        <v/>
      </c>
      <c r="O154" s="311" t="str">
        <f t="shared" si="82"/>
        <v/>
      </c>
      <c r="P154" s="311" t="str">
        <f t="shared" si="82"/>
        <v/>
      </c>
      <c r="Q154" s="311" t="str">
        <f t="shared" si="82"/>
        <v/>
      </c>
      <c r="R154" s="311" t="str">
        <f t="shared" si="82"/>
        <v/>
      </c>
      <c r="S154" s="311" t="str">
        <f t="shared" si="82"/>
        <v/>
      </c>
      <c r="T154" s="311" t="str">
        <f t="shared" si="82"/>
        <v/>
      </c>
      <c r="U154" s="311" t="str">
        <f t="shared" si="82"/>
        <v/>
      </c>
      <c r="V154" s="311" t="str">
        <f t="shared" si="82"/>
        <v/>
      </c>
      <c r="W154" s="311" t="str">
        <f t="shared" si="82"/>
        <v/>
      </c>
      <c r="Y154" s="305"/>
    </row>
    <row r="155" spans="1:26" ht="15" customHeight="1" x14ac:dyDescent="0.5">
      <c r="A155" s="442"/>
      <c r="B155" s="442"/>
      <c r="C155" s="443"/>
      <c r="D155" s="442"/>
      <c r="E155" s="303" t="s">
        <v>1596</v>
      </c>
      <c r="F155" s="319" t="str">
        <f t="shared" ref="F155:W155" si="83">IF(COUNT(F153,$C$152)&lt;2,"",IF($C$152=0,"",F153/$C$152))</f>
        <v/>
      </c>
      <c r="G155" s="319" t="str">
        <f t="shared" si="83"/>
        <v/>
      </c>
      <c r="H155" s="319" t="str">
        <f t="shared" si="83"/>
        <v/>
      </c>
      <c r="I155" s="319" t="str">
        <f t="shared" si="83"/>
        <v/>
      </c>
      <c r="J155" s="319" t="str">
        <f t="shared" si="83"/>
        <v/>
      </c>
      <c r="K155" s="319" t="str">
        <f t="shared" si="83"/>
        <v/>
      </c>
      <c r="L155" s="319" t="str">
        <f t="shared" si="83"/>
        <v/>
      </c>
      <c r="M155" s="319" t="str">
        <f t="shared" si="83"/>
        <v/>
      </c>
      <c r="N155" s="319" t="str">
        <f t="shared" si="83"/>
        <v/>
      </c>
      <c r="O155" s="319" t="str">
        <f t="shared" si="83"/>
        <v/>
      </c>
      <c r="P155" s="319" t="str">
        <f t="shared" si="83"/>
        <v/>
      </c>
      <c r="Q155" s="319" t="str">
        <f t="shared" si="83"/>
        <v/>
      </c>
      <c r="R155" s="319" t="str">
        <f t="shared" si="83"/>
        <v/>
      </c>
      <c r="S155" s="319" t="str">
        <f t="shared" si="83"/>
        <v/>
      </c>
      <c r="T155" s="319" t="str">
        <f t="shared" si="83"/>
        <v/>
      </c>
      <c r="U155" s="319" t="str">
        <f t="shared" si="83"/>
        <v/>
      </c>
      <c r="V155" s="319" t="str">
        <f t="shared" si="83"/>
        <v/>
      </c>
      <c r="W155" s="319" t="str">
        <f t="shared" si="83"/>
        <v/>
      </c>
      <c r="Y155" s="305"/>
      <c r="Z155" s="305"/>
    </row>
    <row r="156" spans="1:26" ht="15" customHeight="1" x14ac:dyDescent="0.5">
      <c r="A156" s="442"/>
      <c r="B156" s="442"/>
      <c r="C156" s="443"/>
      <c r="D156" s="442" t="s">
        <v>1599</v>
      </c>
      <c r="E156" s="298" t="s">
        <v>1588</v>
      </c>
      <c r="F156" s="320" t="str">
        <f>IF(COUNT(F152)=0,"",F152)</f>
        <v/>
      </c>
      <c r="G156" s="320" t="str">
        <f t="shared" ref="G156:W156" si="84">IF(COUNT(F156,G152)&lt;2,"",SUM(F156,G152))</f>
        <v/>
      </c>
      <c r="H156" s="320" t="str">
        <f t="shared" si="84"/>
        <v/>
      </c>
      <c r="I156" s="320" t="str">
        <f t="shared" si="84"/>
        <v/>
      </c>
      <c r="J156" s="320" t="str">
        <f t="shared" si="84"/>
        <v/>
      </c>
      <c r="K156" s="320" t="str">
        <f t="shared" si="84"/>
        <v/>
      </c>
      <c r="L156" s="320" t="str">
        <f t="shared" si="84"/>
        <v/>
      </c>
      <c r="M156" s="320" t="str">
        <f t="shared" si="84"/>
        <v/>
      </c>
      <c r="N156" s="320" t="str">
        <f t="shared" si="84"/>
        <v/>
      </c>
      <c r="O156" s="320" t="str">
        <f t="shared" si="84"/>
        <v/>
      </c>
      <c r="P156" s="320" t="str">
        <f t="shared" si="84"/>
        <v/>
      </c>
      <c r="Q156" s="320" t="str">
        <f t="shared" si="84"/>
        <v/>
      </c>
      <c r="R156" s="320" t="str">
        <f t="shared" si="84"/>
        <v/>
      </c>
      <c r="S156" s="320" t="str">
        <f t="shared" si="84"/>
        <v/>
      </c>
      <c r="T156" s="320" t="str">
        <f t="shared" si="84"/>
        <v/>
      </c>
      <c r="U156" s="320" t="str">
        <f t="shared" si="84"/>
        <v/>
      </c>
      <c r="V156" s="320" t="str">
        <f t="shared" si="84"/>
        <v/>
      </c>
      <c r="W156" s="320" t="str">
        <f t="shared" si="84"/>
        <v/>
      </c>
      <c r="Y156" s="305"/>
    </row>
    <row r="157" spans="1:26" ht="15" customHeight="1" x14ac:dyDescent="0.5">
      <c r="A157" s="442"/>
      <c r="B157" s="442"/>
      <c r="C157" s="443"/>
      <c r="D157" s="442"/>
      <c r="E157" s="294" t="s">
        <v>1589</v>
      </c>
      <c r="F157" s="310">
        <f>IF(COUNT(F153)=0,"",F153)</f>
        <v>0</v>
      </c>
      <c r="G157" s="310">
        <f t="shared" ref="G157:W157" si="85">IF(COUNT(F157,G153)&lt;2,"",SUM(F157,G153))</f>
        <v>0</v>
      </c>
      <c r="H157" s="310">
        <f t="shared" si="85"/>
        <v>0</v>
      </c>
      <c r="I157" s="310">
        <f t="shared" si="85"/>
        <v>0</v>
      </c>
      <c r="J157" s="310">
        <f t="shared" si="85"/>
        <v>0</v>
      </c>
      <c r="K157" s="310">
        <f t="shared" si="85"/>
        <v>0</v>
      </c>
      <c r="L157" s="310">
        <f t="shared" si="85"/>
        <v>0</v>
      </c>
      <c r="M157" s="310">
        <f t="shared" si="85"/>
        <v>0</v>
      </c>
      <c r="N157" s="310">
        <f t="shared" si="85"/>
        <v>0</v>
      </c>
      <c r="O157" s="310">
        <f t="shared" si="85"/>
        <v>0</v>
      </c>
      <c r="P157" s="310">
        <f t="shared" si="85"/>
        <v>0</v>
      </c>
      <c r="Q157" s="310">
        <f t="shared" si="85"/>
        <v>0</v>
      </c>
      <c r="R157" s="310">
        <f t="shared" si="85"/>
        <v>0</v>
      </c>
      <c r="S157" s="310">
        <f t="shared" si="85"/>
        <v>0</v>
      </c>
      <c r="T157" s="310">
        <f t="shared" si="85"/>
        <v>0</v>
      </c>
      <c r="U157" s="310">
        <f t="shared" si="85"/>
        <v>0</v>
      </c>
      <c r="V157" s="310">
        <f t="shared" si="85"/>
        <v>0</v>
      </c>
      <c r="W157" s="310">
        <f t="shared" si="85"/>
        <v>0</v>
      </c>
      <c r="Y157" s="305"/>
      <c r="Z157" s="305"/>
    </row>
    <row r="158" spans="1:26" ht="15" customHeight="1" x14ac:dyDescent="0.5">
      <c r="A158" s="442"/>
      <c r="B158" s="442"/>
      <c r="C158" s="443"/>
      <c r="D158" s="442"/>
      <c r="E158" s="260" t="s">
        <v>1590</v>
      </c>
      <c r="F158" s="311" t="str">
        <f>IF(COUNT(F154)=0,"",F154)</f>
        <v/>
      </c>
      <c r="G158" s="311" t="str">
        <f t="shared" ref="G158:W158" si="86">IF(COUNT(F158,G154)&lt;2,"",SUM(F158,G154))</f>
        <v/>
      </c>
      <c r="H158" s="311" t="str">
        <f t="shared" si="86"/>
        <v/>
      </c>
      <c r="I158" s="311" t="str">
        <f t="shared" si="86"/>
        <v/>
      </c>
      <c r="J158" s="311" t="str">
        <f t="shared" si="86"/>
        <v/>
      </c>
      <c r="K158" s="311" t="str">
        <f t="shared" si="86"/>
        <v/>
      </c>
      <c r="L158" s="311" t="str">
        <f t="shared" si="86"/>
        <v/>
      </c>
      <c r="M158" s="311" t="str">
        <f t="shared" si="86"/>
        <v/>
      </c>
      <c r="N158" s="311" t="str">
        <f t="shared" si="86"/>
        <v/>
      </c>
      <c r="O158" s="311" t="str">
        <f t="shared" si="86"/>
        <v/>
      </c>
      <c r="P158" s="311" t="str">
        <f t="shared" si="86"/>
        <v/>
      </c>
      <c r="Q158" s="311" t="str">
        <f t="shared" si="86"/>
        <v/>
      </c>
      <c r="R158" s="311" t="str">
        <f t="shared" si="86"/>
        <v/>
      </c>
      <c r="S158" s="311" t="str">
        <f t="shared" si="86"/>
        <v/>
      </c>
      <c r="T158" s="311" t="str">
        <f t="shared" si="86"/>
        <v/>
      </c>
      <c r="U158" s="311" t="str">
        <f t="shared" si="86"/>
        <v/>
      </c>
      <c r="V158" s="311" t="str">
        <f t="shared" si="86"/>
        <v/>
      </c>
      <c r="W158" s="311" t="str">
        <f t="shared" si="86"/>
        <v/>
      </c>
    </row>
    <row r="159" spans="1:26" ht="15" customHeight="1" x14ac:dyDescent="0.5">
      <c r="A159" s="442"/>
      <c r="B159" s="442"/>
      <c r="C159" s="443"/>
      <c r="D159" s="442"/>
      <c r="E159" s="303" t="s">
        <v>1591</v>
      </c>
      <c r="F159" s="319" t="str">
        <f>IF(COUNT(F155)=0,"",F155)</f>
        <v/>
      </c>
      <c r="G159" s="319" t="str">
        <f t="shared" ref="G159:W159" si="87">IF(COUNT(F159,G155)&lt;2,"",SUM(F159,G155))</f>
        <v/>
      </c>
      <c r="H159" s="319" t="str">
        <f t="shared" si="87"/>
        <v/>
      </c>
      <c r="I159" s="319" t="str">
        <f t="shared" si="87"/>
        <v/>
      </c>
      <c r="J159" s="319" t="str">
        <f t="shared" si="87"/>
        <v/>
      </c>
      <c r="K159" s="319" t="str">
        <f t="shared" si="87"/>
        <v/>
      </c>
      <c r="L159" s="319" t="str">
        <f t="shared" si="87"/>
        <v/>
      </c>
      <c r="M159" s="319" t="str">
        <f t="shared" si="87"/>
        <v/>
      </c>
      <c r="N159" s="319" t="str">
        <f t="shared" si="87"/>
        <v/>
      </c>
      <c r="O159" s="319" t="str">
        <f t="shared" si="87"/>
        <v/>
      </c>
      <c r="P159" s="319" t="str">
        <f t="shared" si="87"/>
        <v/>
      </c>
      <c r="Q159" s="319" t="str">
        <f t="shared" si="87"/>
        <v/>
      </c>
      <c r="R159" s="319" t="str">
        <f t="shared" si="87"/>
        <v/>
      </c>
      <c r="S159" s="319" t="str">
        <f t="shared" si="87"/>
        <v/>
      </c>
      <c r="T159" s="319" t="str">
        <f t="shared" si="87"/>
        <v/>
      </c>
      <c r="U159" s="319" t="str">
        <f t="shared" si="87"/>
        <v/>
      </c>
      <c r="V159" s="319" t="str">
        <f t="shared" si="87"/>
        <v/>
      </c>
      <c r="W159" s="319" t="str">
        <f t="shared" si="87"/>
        <v/>
      </c>
      <c r="Y159" s="305"/>
      <c r="Z159" s="305"/>
    </row>
  </sheetData>
  <mergeCells count="106">
    <mergeCell ref="A1:B1"/>
    <mergeCell ref="O1:P1"/>
    <mergeCell ref="A2:C3"/>
    <mergeCell ref="F2:G3"/>
    <mergeCell ref="H2:N3"/>
    <mergeCell ref="O2:P3"/>
    <mergeCell ref="A4:A7"/>
    <mergeCell ref="B4:B7"/>
    <mergeCell ref="C4:E7"/>
    <mergeCell ref="A9:A14"/>
    <mergeCell ref="B9:B14"/>
    <mergeCell ref="C9:C14"/>
    <mergeCell ref="D9:D14"/>
    <mergeCell ref="A16:A21"/>
    <mergeCell ref="B16:B21"/>
    <mergeCell ref="C16:C21"/>
    <mergeCell ref="D16:D21"/>
    <mergeCell ref="A23:A28"/>
    <mergeCell ref="B23:B28"/>
    <mergeCell ref="C23:C28"/>
    <mergeCell ref="D23:D28"/>
    <mergeCell ref="A30:A35"/>
    <mergeCell ref="B30:B35"/>
    <mergeCell ref="C30:C35"/>
    <mergeCell ref="D30:D35"/>
    <mergeCell ref="A37:A42"/>
    <mergeCell ref="B37:B42"/>
    <mergeCell ref="C37:C42"/>
    <mergeCell ref="D37:D42"/>
    <mergeCell ref="A44:A49"/>
    <mergeCell ref="B44:B49"/>
    <mergeCell ref="C44:C49"/>
    <mergeCell ref="D44:D49"/>
    <mergeCell ref="A51:A56"/>
    <mergeCell ref="B51:B56"/>
    <mergeCell ref="C51:C56"/>
    <mergeCell ref="D51:D56"/>
    <mergeCell ref="A58:A63"/>
    <mergeCell ref="B58:B63"/>
    <mergeCell ref="C58:C63"/>
    <mergeCell ref="D58:D63"/>
    <mergeCell ref="A65:A70"/>
    <mergeCell ref="B65:B70"/>
    <mergeCell ref="C65:C70"/>
    <mergeCell ref="D65:D70"/>
    <mergeCell ref="A72:A77"/>
    <mergeCell ref="B72:B77"/>
    <mergeCell ref="C72:C77"/>
    <mergeCell ref="D72:D77"/>
    <mergeCell ref="A79:A84"/>
    <mergeCell ref="B79:B84"/>
    <mergeCell ref="C79:C84"/>
    <mergeCell ref="D79:D84"/>
    <mergeCell ref="A86:A91"/>
    <mergeCell ref="B86:B91"/>
    <mergeCell ref="C86:C91"/>
    <mergeCell ref="D86:D91"/>
    <mergeCell ref="A93:A98"/>
    <mergeCell ref="B93:B98"/>
    <mergeCell ref="C93:C98"/>
    <mergeCell ref="D93:D98"/>
    <mergeCell ref="A100:B101"/>
    <mergeCell ref="C100:C101"/>
    <mergeCell ref="A102:A103"/>
    <mergeCell ref="B102:B103"/>
    <mergeCell ref="C102:C103"/>
    <mergeCell ref="A104:A105"/>
    <mergeCell ref="B104:B105"/>
    <mergeCell ref="C104:C105"/>
    <mergeCell ref="A106:B109"/>
    <mergeCell ref="C106:C109"/>
    <mergeCell ref="A111:B112"/>
    <mergeCell ref="C111:C112"/>
    <mergeCell ref="A113:A114"/>
    <mergeCell ref="B113:B114"/>
    <mergeCell ref="C113:C114"/>
    <mergeCell ref="A115:A116"/>
    <mergeCell ref="B115:B116"/>
    <mergeCell ref="C115:C116"/>
    <mergeCell ref="A117:B120"/>
    <mergeCell ref="C117:C120"/>
    <mergeCell ref="A122:B123"/>
    <mergeCell ref="C122:C123"/>
    <mergeCell ref="A124:B125"/>
    <mergeCell ref="C124:C125"/>
    <mergeCell ref="A126:B127"/>
    <mergeCell ref="C126:C127"/>
    <mergeCell ref="A128:B131"/>
    <mergeCell ref="C128:C131"/>
    <mergeCell ref="A132:C135"/>
    <mergeCell ref="A136:A139"/>
    <mergeCell ref="B136:B139"/>
    <mergeCell ref="C136:C139"/>
    <mergeCell ref="D136:D139"/>
    <mergeCell ref="A140:A143"/>
    <mergeCell ref="B140:B143"/>
    <mergeCell ref="C140:C143"/>
    <mergeCell ref="D140:D143"/>
    <mergeCell ref="A144:B151"/>
    <mergeCell ref="C144:C151"/>
    <mergeCell ref="D144:D147"/>
    <mergeCell ref="D148:D151"/>
    <mergeCell ref="A152:B159"/>
    <mergeCell ref="C152:C159"/>
    <mergeCell ref="D152:D155"/>
    <mergeCell ref="D156:D159"/>
  </mergeCells>
  <conditionalFormatting sqref="E11:W11">
    <cfRule type="expression" dxfId="31" priority="2">
      <formula>E9&lt;&gt;""</formula>
    </cfRule>
  </conditionalFormatting>
  <conditionalFormatting sqref="E12:W12">
    <cfRule type="expression" dxfId="30" priority="3">
      <formula>E10&lt;&gt;""</formula>
    </cfRule>
  </conditionalFormatting>
  <conditionalFormatting sqref="E18:W18">
    <cfRule type="expression" dxfId="29" priority="4">
      <formula>E16&lt;&gt;""</formula>
    </cfRule>
  </conditionalFormatting>
  <conditionalFormatting sqref="E19:W19">
    <cfRule type="expression" dxfId="28" priority="5">
      <formula>E17&lt;&gt;""</formula>
    </cfRule>
  </conditionalFormatting>
  <conditionalFormatting sqref="E25:W25">
    <cfRule type="expression" dxfId="27" priority="6">
      <formula>E23&lt;&gt;""</formula>
    </cfRule>
  </conditionalFormatting>
  <conditionalFormatting sqref="E26:W26">
    <cfRule type="expression" dxfId="26" priority="7">
      <formula>E24&lt;&gt;""</formula>
    </cfRule>
  </conditionalFormatting>
  <conditionalFormatting sqref="E32:W32">
    <cfRule type="expression" dxfId="25" priority="8">
      <formula>E30&lt;&gt;""</formula>
    </cfRule>
  </conditionalFormatting>
  <conditionalFormatting sqref="E33:W33">
    <cfRule type="expression" dxfId="24" priority="9">
      <formula>E31&lt;&gt;""</formula>
    </cfRule>
  </conditionalFormatting>
  <conditionalFormatting sqref="E39:W39">
    <cfRule type="expression" dxfId="23" priority="10">
      <formula>E37&lt;&gt;""</formula>
    </cfRule>
  </conditionalFormatting>
  <conditionalFormatting sqref="E40:W40">
    <cfRule type="expression" dxfId="22" priority="11">
      <formula>E38&lt;&gt;""</formula>
    </cfRule>
  </conditionalFormatting>
  <conditionalFormatting sqref="E46:W46">
    <cfRule type="expression" dxfId="21" priority="12">
      <formula>E44&lt;&gt;""</formula>
    </cfRule>
  </conditionalFormatting>
  <conditionalFormatting sqref="E47:W47">
    <cfRule type="expression" dxfId="20" priority="13">
      <formula>E45&lt;&gt;""</formula>
    </cfRule>
  </conditionalFormatting>
  <conditionalFormatting sqref="E53:W53">
    <cfRule type="expression" dxfId="19" priority="14">
      <formula>E51&lt;&gt;""</formula>
    </cfRule>
  </conditionalFormatting>
  <conditionalFormatting sqref="E54:W54">
    <cfRule type="expression" dxfId="18" priority="15">
      <formula>E52&lt;&gt;""</formula>
    </cfRule>
  </conditionalFormatting>
  <conditionalFormatting sqref="E60:W60">
    <cfRule type="expression" dxfId="17" priority="16">
      <formula>E58&lt;&gt;""</formula>
    </cfRule>
  </conditionalFormatting>
  <conditionalFormatting sqref="E61:W61">
    <cfRule type="expression" dxfId="16" priority="17">
      <formula>E59&lt;&gt;""</formula>
    </cfRule>
  </conditionalFormatting>
  <conditionalFormatting sqref="E67:W67">
    <cfRule type="expression" dxfId="15" priority="18">
      <formula>E65&lt;&gt;""</formula>
    </cfRule>
  </conditionalFormatting>
  <conditionalFormatting sqref="E68:W68">
    <cfRule type="expression" dxfId="14" priority="19">
      <formula>E66&lt;&gt;""</formula>
    </cfRule>
  </conditionalFormatting>
  <conditionalFormatting sqref="E74:W74">
    <cfRule type="expression" dxfId="13" priority="20">
      <formula>E72&lt;&gt;""</formula>
    </cfRule>
  </conditionalFormatting>
  <conditionalFormatting sqref="E75:W75">
    <cfRule type="expression" dxfId="12" priority="21">
      <formula>E73&lt;&gt;""</formula>
    </cfRule>
  </conditionalFormatting>
  <conditionalFormatting sqref="E81:W81">
    <cfRule type="expression" dxfId="11" priority="22">
      <formula>E79&lt;&gt;""</formula>
    </cfRule>
  </conditionalFormatting>
  <conditionalFormatting sqref="E82:W82">
    <cfRule type="expression" dxfId="10" priority="23">
      <formula>E80&lt;&gt;""</formula>
    </cfRule>
  </conditionalFormatting>
  <conditionalFormatting sqref="E88:W88">
    <cfRule type="expression" dxfId="9" priority="24">
      <formula>E86&lt;&gt;""</formula>
    </cfRule>
  </conditionalFormatting>
  <conditionalFormatting sqref="E89:W89">
    <cfRule type="expression" dxfId="8" priority="25">
      <formula>E87&lt;&gt;""</formula>
    </cfRule>
  </conditionalFormatting>
  <conditionalFormatting sqref="E95:W95">
    <cfRule type="expression" dxfId="7" priority="26">
      <formula>E93&lt;&gt;""</formula>
    </cfRule>
  </conditionalFormatting>
  <conditionalFormatting sqref="E96:W96">
    <cfRule type="expression" dxfId="6" priority="27">
      <formula>E94&lt;&gt;""</formula>
    </cfRule>
  </conditionalFormatting>
  <conditionalFormatting sqref="F129:W129">
    <cfRule type="expression" dxfId="5" priority="28">
      <formula>F129&gt;0</formula>
    </cfRule>
  </conditionalFormatting>
  <conditionalFormatting sqref="F131:W131">
    <cfRule type="expression" dxfId="4" priority="29">
      <formula>F131&gt;0</formula>
    </cfRule>
  </conditionalFormatting>
  <conditionalFormatting sqref="F137:W137">
    <cfRule type="expression" dxfId="3" priority="30">
      <formula>F137&gt;0</formula>
    </cfRule>
  </conditionalFormatting>
  <conditionalFormatting sqref="F141:W141">
    <cfRule type="expression" dxfId="2" priority="31">
      <formula>F141&gt;0</formula>
    </cfRule>
  </conditionalFormatting>
  <conditionalFormatting sqref="F145:W145">
    <cfRule type="expression" dxfId="1" priority="32">
      <formula>F145&gt;0</formula>
    </cfRule>
  </conditionalFormatting>
  <conditionalFormatting sqref="F153:W153">
    <cfRule type="expression" dxfId="0" priority="33">
      <formula>F153&gt;0</formula>
    </cfRule>
  </conditionalFormatting>
  <printOptions horizontalCentered="1"/>
  <pageMargins left="0.196527777777778" right="0.196527777777778" top="0.39374999999999999" bottom="0.78749999999999998" header="0.511811023622047" footer="0.511811023622047"/>
  <pageSetup paperSize="9" scale="60" orientation="landscape"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41"/>
  <sheetViews>
    <sheetView showGridLines="0" topLeftCell="A2" zoomScale="70" zoomScaleNormal="70" workbookViewId="0">
      <selection activeCell="A20" sqref="A19:I20"/>
    </sheetView>
  </sheetViews>
  <sheetFormatPr defaultColWidth="8.6640625" defaultRowHeight="14.25" x14ac:dyDescent="0.45"/>
  <cols>
    <col min="1" max="1" width="58" customWidth="1"/>
    <col min="2" max="3" width="16" customWidth="1"/>
    <col min="4" max="4" width="8" customWidth="1"/>
    <col min="5" max="6" width="20" customWidth="1"/>
    <col min="7" max="8" width="18" customWidth="1"/>
    <col min="9" max="9" width="64" customWidth="1"/>
    <col min="10" max="200" width="8.86328125" customWidth="1"/>
  </cols>
  <sheetData>
    <row r="1" spans="1:9" ht="24.85" customHeight="1" x14ac:dyDescent="0.65">
      <c r="A1" s="488" t="s">
        <v>1693</v>
      </c>
      <c r="B1" s="488"/>
      <c r="C1" s="488"/>
      <c r="D1" s="489"/>
    </row>
    <row r="2" spans="1:9" ht="19.5" customHeight="1" x14ac:dyDescent="0.65">
      <c r="A2" s="358"/>
      <c r="B2" s="359"/>
      <c r="C2" s="360"/>
    </row>
    <row r="3" spans="1:9" ht="19.5" customHeight="1" x14ac:dyDescent="0.5">
      <c r="A3" s="361" t="s">
        <v>1694</v>
      </c>
      <c r="B3" s="484">
        <v>45688</v>
      </c>
      <c r="C3" s="485"/>
      <c r="E3" s="490" t="s">
        <v>1686</v>
      </c>
      <c r="F3" s="491"/>
      <c r="G3" s="491"/>
      <c r="H3" s="491"/>
      <c r="I3" s="491"/>
    </row>
    <row r="4" spans="1:9" ht="38" customHeight="1" x14ac:dyDescent="0.5">
      <c r="A4" s="361" t="s">
        <v>1601</v>
      </c>
      <c r="B4" s="486">
        <f>DAY(B3)</f>
        <v>31</v>
      </c>
      <c r="C4" s="486"/>
      <c r="E4" s="492" t="s">
        <v>1705</v>
      </c>
      <c r="F4" s="493"/>
      <c r="G4" s="493"/>
      <c r="H4" s="493"/>
      <c r="I4" s="493"/>
    </row>
    <row r="5" spans="1:9" ht="19.5" customHeight="1" x14ac:dyDescent="0.5">
      <c r="A5" s="361" t="s">
        <v>1602</v>
      </c>
      <c r="B5" s="487" t="s">
        <v>1695</v>
      </c>
      <c r="C5" s="487"/>
      <c r="E5" s="362"/>
    </row>
    <row r="6" spans="1:9" ht="38" customHeight="1" x14ac:dyDescent="0.5">
      <c r="A6" s="361"/>
      <c r="B6" s="363"/>
      <c r="C6" s="364"/>
      <c r="E6" s="493" t="s">
        <v>1706</v>
      </c>
      <c r="F6" s="493"/>
      <c r="G6" s="493"/>
      <c r="H6" s="493"/>
      <c r="I6" s="493"/>
    </row>
    <row r="7" spans="1:9" ht="38" customHeight="1" x14ac:dyDescent="0.5">
      <c r="A7" s="361" t="s">
        <v>1696</v>
      </c>
      <c r="B7" s="365">
        <f>DATE(YEAR(B3),MONTH(B3),1)</f>
        <v>45658</v>
      </c>
      <c r="C7" s="390">
        <v>847.00099999999998</v>
      </c>
      <c r="E7" s="494" t="s">
        <v>1707</v>
      </c>
      <c r="F7" s="493"/>
      <c r="G7" s="493"/>
      <c r="H7" s="493"/>
      <c r="I7" s="493"/>
    </row>
    <row r="8" spans="1:9" ht="38" customHeight="1" x14ac:dyDescent="0.5">
      <c r="A8" s="361" t="s">
        <v>1697</v>
      </c>
      <c r="B8" s="365">
        <f>EDATE(B7,-1)</f>
        <v>45627</v>
      </c>
      <c r="C8" s="390"/>
      <c r="E8" s="494" t="s">
        <v>1708</v>
      </c>
      <c r="F8" s="493"/>
      <c r="G8" s="493"/>
      <c r="H8" s="493"/>
      <c r="I8" s="493"/>
    </row>
    <row r="9" spans="1:9" ht="19.5" customHeight="1" x14ac:dyDescent="0.5">
      <c r="A9" s="361"/>
      <c r="B9" s="366"/>
      <c r="C9" s="367"/>
    </row>
    <row r="10" spans="1:9" ht="38" customHeight="1" x14ac:dyDescent="0.5">
      <c r="A10" s="361" t="s">
        <v>1698</v>
      </c>
      <c r="B10" s="365">
        <f>EDATE(B7,12)</f>
        <v>46023</v>
      </c>
      <c r="C10" s="390">
        <v>874.88300000000004</v>
      </c>
      <c r="E10" s="494" t="s">
        <v>1709</v>
      </c>
      <c r="F10" s="493"/>
      <c r="G10" s="493"/>
      <c r="H10" s="493"/>
      <c r="I10" s="493"/>
    </row>
    <row r="11" spans="1:9" ht="38" customHeight="1" x14ac:dyDescent="0.5">
      <c r="A11" s="361" t="s">
        <v>1699</v>
      </c>
      <c r="B11" s="365">
        <f>EDATE(B10,-1)</f>
        <v>45992</v>
      </c>
      <c r="C11" s="390">
        <v>874.78599999999994</v>
      </c>
      <c r="D11" s="368"/>
      <c r="E11" s="494" t="s">
        <v>1710</v>
      </c>
      <c r="F11" s="493"/>
      <c r="G11" s="493"/>
      <c r="H11" s="493"/>
      <c r="I11" s="493"/>
    </row>
    <row r="12" spans="1:9" ht="28.15" customHeight="1" x14ac:dyDescent="0.5">
      <c r="A12" s="369"/>
      <c r="B12" s="370"/>
      <c r="C12" s="371"/>
      <c r="E12" s="499" t="s">
        <v>1711</v>
      </c>
      <c r="F12" s="493"/>
      <c r="G12" s="493"/>
      <c r="H12" s="493"/>
      <c r="I12" s="493"/>
    </row>
    <row r="13" spans="1:9" ht="19.5" customHeight="1" x14ac:dyDescent="0.5">
      <c r="A13" s="361"/>
      <c r="B13" s="363"/>
      <c r="C13" s="372"/>
    </row>
    <row r="14" spans="1:9" ht="38" customHeight="1" x14ac:dyDescent="0.5">
      <c r="A14" s="361" t="s">
        <v>1700</v>
      </c>
      <c r="B14" s="363"/>
      <c r="C14" s="391" t="str">
        <f>IF(OR(C7="",C8=""),"",C8+B4*(C7-C8)/DAY(EOMONTH(B3,0)))</f>
        <v/>
      </c>
      <c r="E14" s="493" t="s">
        <v>1712</v>
      </c>
      <c r="F14" s="493"/>
      <c r="G14" s="493"/>
      <c r="H14" s="493"/>
      <c r="I14" s="493"/>
    </row>
    <row r="15" spans="1:9" ht="38" customHeight="1" x14ac:dyDescent="0.5">
      <c r="A15" s="361"/>
      <c r="B15" s="363"/>
      <c r="C15" s="373"/>
      <c r="E15" s="493" t="s">
        <v>1713</v>
      </c>
      <c r="F15" s="493"/>
      <c r="G15" s="493"/>
      <c r="H15" s="493"/>
      <c r="I15" s="493"/>
    </row>
    <row r="16" spans="1:9" ht="38" customHeight="1" x14ac:dyDescent="0.5">
      <c r="A16" s="361" t="s">
        <v>1701</v>
      </c>
      <c r="B16" s="363"/>
      <c r="C16" s="391">
        <f>IF(OR(C10="",C11=""),"",C11+DAY(B19)*(C10-C11)/DAY(EOMONTH(B19,0)))</f>
        <v>874.88300000000004</v>
      </c>
      <c r="E16" s="493" t="s">
        <v>1714</v>
      </c>
      <c r="F16" s="493"/>
      <c r="G16" s="493"/>
      <c r="H16" s="493"/>
      <c r="I16" s="493"/>
    </row>
    <row r="17" spans="1:9" ht="19.5" customHeight="1" x14ac:dyDescent="0.5">
      <c r="A17" s="361"/>
      <c r="B17" s="363"/>
      <c r="C17" s="374"/>
    </row>
    <row r="18" spans="1:9" ht="38" customHeight="1" x14ac:dyDescent="0.5">
      <c r="A18" s="361" t="s">
        <v>1702</v>
      </c>
      <c r="B18" s="363"/>
      <c r="C18" s="389">
        <v>3.2899999999999999E-2</v>
      </c>
      <c r="E18" s="493" t="s">
        <v>1715</v>
      </c>
      <c r="F18" s="493"/>
      <c r="G18" s="493"/>
      <c r="H18" s="493"/>
      <c r="I18" s="493"/>
    </row>
    <row r="19" spans="1:9" ht="38" customHeight="1" x14ac:dyDescent="0.5">
      <c r="A19" s="361" t="s">
        <v>1703</v>
      </c>
      <c r="B19" s="375">
        <f>EDATE(B3,12)</f>
        <v>46053</v>
      </c>
      <c r="C19" s="376"/>
      <c r="E19" s="493" t="s">
        <v>1716</v>
      </c>
      <c r="F19" s="493"/>
      <c r="G19" s="493"/>
      <c r="H19" s="493"/>
      <c r="I19" s="493"/>
    </row>
    <row r="20" spans="1:9" ht="26" customHeight="1" x14ac:dyDescent="0.45">
      <c r="A20" s="495" t="s">
        <v>1704</v>
      </c>
      <c r="B20" s="496"/>
      <c r="C20" s="497"/>
      <c r="D20" s="498"/>
      <c r="E20" s="498"/>
      <c r="F20" s="498"/>
      <c r="G20" s="498"/>
      <c r="H20" s="498"/>
      <c r="I20" s="498"/>
    </row>
    <row r="21" spans="1:9" ht="38" customHeight="1" x14ac:dyDescent="0.45">
      <c r="A21" s="377" t="s">
        <v>1687</v>
      </c>
      <c r="B21" s="378">
        <v>46296</v>
      </c>
      <c r="C21" s="379" t="s">
        <v>1688</v>
      </c>
      <c r="D21">
        <v>540</v>
      </c>
      <c r="E21" s="493" t="s">
        <v>1717</v>
      </c>
      <c r="F21" s="493"/>
      <c r="G21" s="493"/>
      <c r="H21" s="493"/>
      <c r="I21" s="493"/>
    </row>
    <row r="22" spans="1:9" ht="19.5" customHeight="1" x14ac:dyDescent="0.45">
      <c r="A22" s="321"/>
      <c r="B22" s="193"/>
      <c r="C22" s="380"/>
    </row>
    <row r="23" spans="1:9" ht="42" customHeight="1" x14ac:dyDescent="0.45">
      <c r="A23" s="381" t="s">
        <v>1603</v>
      </c>
      <c r="B23" s="381" t="s">
        <v>1689</v>
      </c>
      <c r="C23" s="381" t="s">
        <v>1690</v>
      </c>
      <c r="D23" s="381" t="s">
        <v>1604</v>
      </c>
      <c r="E23" s="381" t="s">
        <v>1691</v>
      </c>
      <c r="F23" s="381" t="s">
        <v>1692</v>
      </c>
      <c r="G23" s="381" t="s">
        <v>1431</v>
      </c>
      <c r="H23" s="381" t="s">
        <v>1432</v>
      </c>
      <c r="I23" s="382" t="s">
        <v>1605</v>
      </c>
    </row>
    <row r="24" spans="1:9" ht="26" customHeight="1" x14ac:dyDescent="0.45">
      <c r="A24" s="193">
        <v>1</v>
      </c>
      <c r="B24" s="383">
        <f>IF($B$21="","",$B$21)</f>
        <v>46296</v>
      </c>
      <c r="C24" s="383">
        <f>IF(B24="","",MIN(EOMONTH(B24,IF(DAY(B24)&gt;15,1,0)),$B$21+$D$21-1))</f>
        <v>46326</v>
      </c>
      <c r="D24" s="384">
        <f t="shared" ref="D24:D41" si="0">IF(B24="","",C24-B24+1)</f>
        <v>31</v>
      </c>
      <c r="E24" s="385" t="str">
        <f>IF(B24="","",IF(C24&lt;$B$19,0,""))</f>
        <v/>
      </c>
      <c r="F24" s="385" t="str">
        <f>IF(B24="","",IF(C24&lt;$B$19,0,""))</f>
        <v/>
      </c>
      <c r="G24" s="386" t="str">
        <f t="shared" ref="G24:G41" si="1">IF(B24="","",IF(C24&lt;$B$19,0,IF(NOT(ISNUMBER(E24)),"",IF(E24=0,0,IF(C24&gt;=EDATE($B$3,24),"",IF(COUNT($C$18)=0,"",E24*$C$18))))))</f>
        <v/>
      </c>
      <c r="H24" s="387" t="str">
        <f t="shared" ref="H24:H41" si="2">IF(B24="","",IF(C24&lt;$B$19,0,IF(NOT(ISNUMBER(F24)),"",IF(F24=0,0,IF(C24&gt;=EDATE($B$3,24),"",IF(COUNT($C$18)=0,"",F24*$C$18))))))</f>
        <v/>
      </c>
      <c r="I24" s="388" t="str">
        <f t="shared" ref="I24:I41" si="3">IF(B24="","",IF(C24&lt;$B$19,"ANTES DO 1º ANIVERSÁRIO",IF(AND(COUNT(E24:F24)=2,E24=0,F24=0),"SEM PARCELA ELEGÍVEL",IF(C24&gt;=EDATE($B$3,24),"PENDENTE: NOVO REAJUSTE E RATEIO POR ANIVERSÁRIO",IF(COUNT(E24:F24)&lt;2,"PENDENTE: FRAÇÕES ELEGÍVEIS MATERIAL/SERVIÇO",IF(COUNT($C$18)=0,"PENDENTE: PERCENTUAL CEFR","CEFR: CALCULADO NAS PARCELAS INFORMADAS"))))))</f>
        <v>PENDENTE: FRAÇÕES ELEGÍVEIS MATERIAL/SERVIÇO</v>
      </c>
    </row>
    <row r="25" spans="1:9" ht="26" customHeight="1" x14ac:dyDescent="0.45">
      <c r="A25" s="193">
        <v>2</v>
      </c>
      <c r="B25" s="383">
        <f t="shared" ref="B25:B41" si="4">IF(C24="","",IF(C24&gt;=$B$21+$D$21-1,"",C24+1))</f>
        <v>46327</v>
      </c>
      <c r="C25" s="383">
        <f t="shared" ref="C25:C41" si="5">IF(B25="","",MIN(EOMONTH(B25,0),$B$21+$D$21-1))</f>
        <v>46356</v>
      </c>
      <c r="D25" s="384">
        <f t="shared" si="0"/>
        <v>30</v>
      </c>
      <c r="E25" s="385" t="str">
        <f t="shared" ref="E25:E41" si="6">IF(B25="","",IF(C25&lt;$B$19,0,""))</f>
        <v/>
      </c>
      <c r="F25" s="385" t="str">
        <f t="shared" ref="F25:F41" si="7">IF(B25="","",IF(C25&lt;$B$19,0,""))</f>
        <v/>
      </c>
      <c r="G25" s="386" t="str">
        <f t="shared" si="1"/>
        <v/>
      </c>
      <c r="H25" s="387" t="str">
        <f t="shared" si="2"/>
        <v/>
      </c>
      <c r="I25" s="388" t="str">
        <f t="shared" si="3"/>
        <v>PENDENTE: FRAÇÕES ELEGÍVEIS MATERIAL/SERVIÇO</v>
      </c>
    </row>
    <row r="26" spans="1:9" ht="26" customHeight="1" x14ac:dyDescent="0.45">
      <c r="A26" s="193">
        <v>3</v>
      </c>
      <c r="B26" s="383">
        <f t="shared" si="4"/>
        <v>46357</v>
      </c>
      <c r="C26" s="383">
        <f t="shared" si="5"/>
        <v>46387</v>
      </c>
      <c r="D26" s="384">
        <f t="shared" si="0"/>
        <v>31</v>
      </c>
      <c r="E26" s="385" t="str">
        <f t="shared" si="6"/>
        <v/>
      </c>
      <c r="F26" s="385" t="str">
        <f t="shared" si="7"/>
        <v/>
      </c>
      <c r="G26" s="386" t="str">
        <f t="shared" si="1"/>
        <v/>
      </c>
      <c r="H26" s="387" t="str">
        <f t="shared" si="2"/>
        <v/>
      </c>
      <c r="I26" s="388" t="str">
        <f t="shared" si="3"/>
        <v>PENDENTE: FRAÇÕES ELEGÍVEIS MATERIAL/SERVIÇO</v>
      </c>
    </row>
    <row r="27" spans="1:9" ht="26" customHeight="1" x14ac:dyDescent="0.45">
      <c r="A27" s="193">
        <v>4</v>
      </c>
      <c r="B27" s="383">
        <f t="shared" si="4"/>
        <v>46388</v>
      </c>
      <c r="C27" s="383">
        <f t="shared" si="5"/>
        <v>46418</v>
      </c>
      <c r="D27" s="384">
        <f t="shared" si="0"/>
        <v>31</v>
      </c>
      <c r="E27" s="385" t="str">
        <f>IF(B27="","",IF(C27&lt;$B$19,0,""))</f>
        <v/>
      </c>
      <c r="F27" s="385" t="str">
        <f>IF(B27="","",IF(C27&lt;$B$19,0,""))</f>
        <v/>
      </c>
      <c r="G27" s="386" t="str">
        <f t="shared" si="1"/>
        <v/>
      </c>
      <c r="H27" s="387" t="str">
        <f t="shared" si="2"/>
        <v/>
      </c>
      <c r="I27" s="388" t="str">
        <f t="shared" si="3"/>
        <v>PENDENTE: NOVO REAJUSTE E RATEIO POR ANIVERSÁRIO</v>
      </c>
    </row>
    <row r="28" spans="1:9" ht="26" customHeight="1" x14ac:dyDescent="0.45">
      <c r="A28" s="193">
        <v>5</v>
      </c>
      <c r="B28" s="383">
        <f t="shared" si="4"/>
        <v>46419</v>
      </c>
      <c r="C28" s="383">
        <f t="shared" si="5"/>
        <v>46446</v>
      </c>
      <c r="D28" s="384">
        <f t="shared" si="0"/>
        <v>28</v>
      </c>
      <c r="E28" s="385" t="str">
        <f t="shared" si="6"/>
        <v/>
      </c>
      <c r="F28" s="385" t="str">
        <f t="shared" si="7"/>
        <v/>
      </c>
      <c r="G28" s="386" t="str">
        <f t="shared" si="1"/>
        <v/>
      </c>
      <c r="H28" s="387" t="str">
        <f t="shared" si="2"/>
        <v/>
      </c>
      <c r="I28" s="388" t="str">
        <f t="shared" si="3"/>
        <v>PENDENTE: NOVO REAJUSTE E RATEIO POR ANIVERSÁRIO</v>
      </c>
    </row>
    <row r="29" spans="1:9" ht="26" customHeight="1" x14ac:dyDescent="0.45">
      <c r="A29" s="193">
        <v>6</v>
      </c>
      <c r="B29" s="383">
        <f t="shared" si="4"/>
        <v>46447</v>
      </c>
      <c r="C29" s="383">
        <f t="shared" si="5"/>
        <v>46477</v>
      </c>
      <c r="D29" s="384">
        <f t="shared" si="0"/>
        <v>31</v>
      </c>
      <c r="E29" s="385" t="str">
        <f t="shared" si="6"/>
        <v/>
      </c>
      <c r="F29" s="385" t="str">
        <f t="shared" si="7"/>
        <v/>
      </c>
      <c r="G29" s="386" t="str">
        <f t="shared" si="1"/>
        <v/>
      </c>
      <c r="H29" s="387" t="str">
        <f t="shared" si="2"/>
        <v/>
      </c>
      <c r="I29" s="388" t="str">
        <f t="shared" si="3"/>
        <v>PENDENTE: NOVO REAJUSTE E RATEIO POR ANIVERSÁRIO</v>
      </c>
    </row>
    <row r="30" spans="1:9" ht="26" customHeight="1" x14ac:dyDescent="0.45">
      <c r="A30" s="193">
        <v>7</v>
      </c>
      <c r="B30" s="383">
        <f t="shared" si="4"/>
        <v>46478</v>
      </c>
      <c r="C30" s="383">
        <f t="shared" si="5"/>
        <v>46507</v>
      </c>
      <c r="D30" s="384">
        <f t="shared" si="0"/>
        <v>30</v>
      </c>
      <c r="E30" s="385" t="str">
        <f t="shared" si="6"/>
        <v/>
      </c>
      <c r="F30" s="385" t="str">
        <f t="shared" si="7"/>
        <v/>
      </c>
      <c r="G30" s="386" t="str">
        <f t="shared" si="1"/>
        <v/>
      </c>
      <c r="H30" s="387" t="str">
        <f t="shared" si="2"/>
        <v/>
      </c>
      <c r="I30" s="388" t="str">
        <f t="shared" si="3"/>
        <v>PENDENTE: NOVO REAJUSTE E RATEIO POR ANIVERSÁRIO</v>
      </c>
    </row>
    <row r="31" spans="1:9" ht="26" customHeight="1" x14ac:dyDescent="0.45">
      <c r="A31" s="193">
        <v>8</v>
      </c>
      <c r="B31" s="383">
        <f t="shared" si="4"/>
        <v>46508</v>
      </c>
      <c r="C31" s="383">
        <f t="shared" si="5"/>
        <v>46538</v>
      </c>
      <c r="D31" s="384">
        <f t="shared" si="0"/>
        <v>31</v>
      </c>
      <c r="E31" s="385" t="str">
        <f>IF(B31="","",IF(C31&lt;$B$19,0,""))</f>
        <v/>
      </c>
      <c r="F31" s="385" t="str">
        <f>IF(B31="","",IF(C31&lt;$B$19,0,""))</f>
        <v/>
      </c>
      <c r="G31" s="386" t="str">
        <f t="shared" si="1"/>
        <v/>
      </c>
      <c r="H31" s="387" t="str">
        <f t="shared" si="2"/>
        <v/>
      </c>
      <c r="I31" s="388" t="str">
        <f t="shared" si="3"/>
        <v>PENDENTE: NOVO REAJUSTE E RATEIO POR ANIVERSÁRIO</v>
      </c>
    </row>
    <row r="32" spans="1:9" ht="26" customHeight="1" x14ac:dyDescent="0.45">
      <c r="A32" s="193">
        <v>9</v>
      </c>
      <c r="B32" s="383">
        <f>IF(C31="","",IF(C31&gt;=$B$21+$D$21-1,"",C31+1))</f>
        <v>46539</v>
      </c>
      <c r="C32" s="383">
        <f>IF(B32="","",MIN(EOMONTH(B32,0),$B$21+$D$21-1))</f>
        <v>46568</v>
      </c>
      <c r="D32" s="384">
        <f t="shared" si="0"/>
        <v>30</v>
      </c>
      <c r="E32" s="385" t="str">
        <f>IF(B32="","",IF(C32&lt;$B$19,0,""))</f>
        <v/>
      </c>
      <c r="F32" s="385" t="str">
        <f>IF(B32="","",IF(C32&lt;$B$19,0,""))</f>
        <v/>
      </c>
      <c r="G32" s="386" t="str">
        <f t="shared" si="1"/>
        <v/>
      </c>
      <c r="H32" s="387" t="str">
        <f t="shared" si="2"/>
        <v/>
      </c>
      <c r="I32" s="388" t="str">
        <f t="shared" si="3"/>
        <v>PENDENTE: NOVO REAJUSTE E RATEIO POR ANIVERSÁRIO</v>
      </c>
    </row>
    <row r="33" spans="1:9" ht="26" customHeight="1" x14ac:dyDescent="0.45">
      <c r="A33" s="193">
        <v>10</v>
      </c>
      <c r="B33" s="383">
        <f t="shared" si="4"/>
        <v>46569</v>
      </c>
      <c r="C33" s="383">
        <f t="shared" si="5"/>
        <v>46599</v>
      </c>
      <c r="D33" s="384">
        <f t="shared" si="0"/>
        <v>31</v>
      </c>
      <c r="E33" s="385" t="str">
        <f t="shared" si="6"/>
        <v/>
      </c>
      <c r="F33" s="385" t="str">
        <f t="shared" si="7"/>
        <v/>
      </c>
      <c r="G33" s="386" t="str">
        <f t="shared" si="1"/>
        <v/>
      </c>
      <c r="H33" s="387" t="str">
        <f t="shared" si="2"/>
        <v/>
      </c>
      <c r="I33" s="388" t="str">
        <f t="shared" si="3"/>
        <v>PENDENTE: NOVO REAJUSTE E RATEIO POR ANIVERSÁRIO</v>
      </c>
    </row>
    <row r="34" spans="1:9" ht="26" customHeight="1" x14ac:dyDescent="0.45">
      <c r="A34" s="193">
        <v>11</v>
      </c>
      <c r="B34" s="383">
        <f t="shared" si="4"/>
        <v>46600</v>
      </c>
      <c r="C34" s="383">
        <f t="shared" si="5"/>
        <v>46630</v>
      </c>
      <c r="D34" s="384">
        <f t="shared" si="0"/>
        <v>31</v>
      </c>
      <c r="E34" s="385" t="str">
        <f t="shared" si="6"/>
        <v/>
      </c>
      <c r="F34" s="385" t="str">
        <f t="shared" si="7"/>
        <v/>
      </c>
      <c r="G34" s="386" t="str">
        <f t="shared" si="1"/>
        <v/>
      </c>
      <c r="H34" s="387" t="str">
        <f t="shared" si="2"/>
        <v/>
      </c>
      <c r="I34" s="388" t="str">
        <f t="shared" si="3"/>
        <v>PENDENTE: NOVO REAJUSTE E RATEIO POR ANIVERSÁRIO</v>
      </c>
    </row>
    <row r="35" spans="1:9" ht="26" customHeight="1" x14ac:dyDescent="0.45">
      <c r="A35" s="193">
        <v>12</v>
      </c>
      <c r="B35" s="383">
        <f t="shared" si="4"/>
        <v>46631</v>
      </c>
      <c r="C35" s="383">
        <f t="shared" si="5"/>
        <v>46660</v>
      </c>
      <c r="D35" s="384">
        <f t="shared" si="0"/>
        <v>30</v>
      </c>
      <c r="E35" s="385" t="str">
        <f t="shared" si="6"/>
        <v/>
      </c>
      <c r="F35" s="385" t="str">
        <f t="shared" si="7"/>
        <v/>
      </c>
      <c r="G35" s="386" t="str">
        <f t="shared" si="1"/>
        <v/>
      </c>
      <c r="H35" s="387" t="str">
        <f t="shared" si="2"/>
        <v/>
      </c>
      <c r="I35" s="388" t="str">
        <f t="shared" si="3"/>
        <v>PENDENTE: NOVO REAJUSTE E RATEIO POR ANIVERSÁRIO</v>
      </c>
    </row>
    <row r="36" spans="1:9" ht="26" customHeight="1" x14ac:dyDescent="0.45">
      <c r="A36" s="193">
        <v>13</v>
      </c>
      <c r="B36" s="383">
        <f t="shared" si="4"/>
        <v>46661</v>
      </c>
      <c r="C36" s="383">
        <f t="shared" si="5"/>
        <v>46691</v>
      </c>
      <c r="D36" s="384">
        <f t="shared" si="0"/>
        <v>31</v>
      </c>
      <c r="E36" s="385" t="str">
        <f t="shared" si="6"/>
        <v/>
      </c>
      <c r="F36" s="385" t="str">
        <f t="shared" si="7"/>
        <v/>
      </c>
      <c r="G36" s="386" t="str">
        <f t="shared" si="1"/>
        <v/>
      </c>
      <c r="H36" s="387" t="str">
        <f t="shared" si="2"/>
        <v/>
      </c>
      <c r="I36" s="388" t="str">
        <f t="shared" si="3"/>
        <v>PENDENTE: NOVO REAJUSTE E RATEIO POR ANIVERSÁRIO</v>
      </c>
    </row>
    <row r="37" spans="1:9" ht="26" customHeight="1" x14ac:dyDescent="0.45">
      <c r="A37" s="193">
        <v>14</v>
      </c>
      <c r="B37" s="383">
        <f t="shared" si="4"/>
        <v>46692</v>
      </c>
      <c r="C37" s="383">
        <f t="shared" si="5"/>
        <v>46721</v>
      </c>
      <c r="D37" s="384">
        <f t="shared" si="0"/>
        <v>30</v>
      </c>
      <c r="E37" s="385" t="str">
        <f t="shared" si="6"/>
        <v/>
      </c>
      <c r="F37" s="385" t="str">
        <f t="shared" si="7"/>
        <v/>
      </c>
      <c r="G37" s="386" t="str">
        <f t="shared" si="1"/>
        <v/>
      </c>
      <c r="H37" s="387" t="str">
        <f t="shared" si="2"/>
        <v/>
      </c>
      <c r="I37" s="388" t="str">
        <f t="shared" si="3"/>
        <v>PENDENTE: NOVO REAJUSTE E RATEIO POR ANIVERSÁRIO</v>
      </c>
    </row>
    <row r="38" spans="1:9" ht="26" customHeight="1" x14ac:dyDescent="0.45">
      <c r="A38" s="193">
        <v>15</v>
      </c>
      <c r="B38" s="383">
        <f t="shared" si="4"/>
        <v>46722</v>
      </c>
      <c r="C38" s="383">
        <f t="shared" si="5"/>
        <v>46752</v>
      </c>
      <c r="D38" s="384">
        <f t="shared" si="0"/>
        <v>31</v>
      </c>
      <c r="E38" s="385" t="str">
        <f t="shared" si="6"/>
        <v/>
      </c>
      <c r="F38" s="385" t="str">
        <f t="shared" si="7"/>
        <v/>
      </c>
      <c r="G38" s="386" t="str">
        <f t="shared" si="1"/>
        <v/>
      </c>
      <c r="H38" s="387" t="str">
        <f t="shared" si="2"/>
        <v/>
      </c>
      <c r="I38" s="388" t="str">
        <f t="shared" si="3"/>
        <v>PENDENTE: NOVO REAJUSTE E RATEIO POR ANIVERSÁRIO</v>
      </c>
    </row>
    <row r="39" spans="1:9" ht="26" customHeight="1" x14ac:dyDescent="0.45">
      <c r="A39" s="193">
        <v>16</v>
      </c>
      <c r="B39" s="383">
        <f t="shared" si="4"/>
        <v>46753</v>
      </c>
      <c r="C39" s="383">
        <f t="shared" si="5"/>
        <v>46783</v>
      </c>
      <c r="D39" s="384">
        <f t="shared" si="0"/>
        <v>31</v>
      </c>
      <c r="E39" s="385" t="str">
        <f t="shared" si="6"/>
        <v/>
      </c>
      <c r="F39" s="385" t="str">
        <f t="shared" si="7"/>
        <v/>
      </c>
      <c r="G39" s="386" t="str">
        <f t="shared" si="1"/>
        <v/>
      </c>
      <c r="H39" s="387" t="str">
        <f t="shared" si="2"/>
        <v/>
      </c>
      <c r="I39" s="388" t="str">
        <f t="shared" si="3"/>
        <v>PENDENTE: NOVO REAJUSTE E RATEIO POR ANIVERSÁRIO</v>
      </c>
    </row>
    <row r="40" spans="1:9" ht="26" customHeight="1" x14ac:dyDescent="0.45">
      <c r="A40" s="193">
        <v>17</v>
      </c>
      <c r="B40" s="383">
        <f t="shared" si="4"/>
        <v>46784</v>
      </c>
      <c r="C40" s="383">
        <f t="shared" si="5"/>
        <v>46812</v>
      </c>
      <c r="D40" s="384">
        <f t="shared" si="0"/>
        <v>29</v>
      </c>
      <c r="E40" s="385" t="str">
        <f t="shared" si="6"/>
        <v/>
      </c>
      <c r="F40" s="385" t="str">
        <f t="shared" si="7"/>
        <v/>
      </c>
      <c r="G40" s="386" t="str">
        <f t="shared" si="1"/>
        <v/>
      </c>
      <c r="H40" s="387" t="str">
        <f t="shared" si="2"/>
        <v/>
      </c>
      <c r="I40" s="388" t="str">
        <f t="shared" si="3"/>
        <v>PENDENTE: NOVO REAJUSTE E RATEIO POR ANIVERSÁRIO</v>
      </c>
    </row>
    <row r="41" spans="1:9" ht="26" customHeight="1" x14ac:dyDescent="0.45">
      <c r="A41" s="193">
        <v>18</v>
      </c>
      <c r="B41" s="383">
        <f t="shared" si="4"/>
        <v>46813</v>
      </c>
      <c r="C41" s="383">
        <f t="shared" si="5"/>
        <v>46835</v>
      </c>
      <c r="D41" s="384">
        <f t="shared" si="0"/>
        <v>23</v>
      </c>
      <c r="E41" s="385" t="str">
        <f t="shared" si="6"/>
        <v/>
      </c>
      <c r="F41" s="385" t="str">
        <f t="shared" si="7"/>
        <v/>
      </c>
      <c r="G41" s="386" t="str">
        <f t="shared" si="1"/>
        <v/>
      </c>
      <c r="H41" s="387" t="str">
        <f t="shared" si="2"/>
        <v/>
      </c>
      <c r="I41" s="388" t="str">
        <f t="shared" si="3"/>
        <v>PENDENTE: NOVO REAJUSTE E RATEIO POR ANIVERSÁRIO</v>
      </c>
    </row>
  </sheetData>
  <mergeCells count="19">
    <mergeCell ref="E19:I19"/>
    <mergeCell ref="A20:I20"/>
    <mergeCell ref="E21:I21"/>
    <mergeCell ref="E12:I12"/>
    <mergeCell ref="E14:I14"/>
    <mergeCell ref="E15:I15"/>
    <mergeCell ref="E16:I16"/>
    <mergeCell ref="E18:I18"/>
    <mergeCell ref="E6:I6"/>
    <mergeCell ref="E7:I7"/>
    <mergeCell ref="E8:I8"/>
    <mergeCell ref="E10:I10"/>
    <mergeCell ref="E11:I11"/>
    <mergeCell ref="B3:C3"/>
    <mergeCell ref="B4:C4"/>
    <mergeCell ref="B5:C5"/>
    <mergeCell ref="A1:D1"/>
    <mergeCell ref="E3:I3"/>
    <mergeCell ref="E4:I4"/>
  </mergeCells>
  <dataValidations count="2">
    <dataValidation type="decimal" operator="greaterThan" sqref="C7:C8 C10:C11" xr:uid="{BE2876C7-91C7-4CB9-938D-7C4883C54511}">
      <formula1>0</formula1>
    </dataValidation>
    <dataValidation type="decimal" sqref="E24:F41" xr:uid="{022A6D68-93FA-4FF4-A606-967F40A7EEE2}">
      <formula1>0</formula1>
      <formula2>1</formula2>
    </dataValidation>
  </dataValidations>
  <printOptions horizontalCentered="1"/>
  <pageMargins left="0.39374999999999999" right="0.196527777777778" top="0.78749999999999998" bottom="0.59027777777777801" header="0.511811023622047" footer="0.511811023622047"/>
  <pageSetup paperSize="8" orientation="landscape" horizontalDpi="300" verticalDpi="3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2:U199"/>
  <sheetViews>
    <sheetView showGridLines="0" zoomScale="80" zoomScaleNormal="80" workbookViewId="0"/>
  </sheetViews>
  <sheetFormatPr defaultColWidth="8.6640625" defaultRowHeight="14.25" x14ac:dyDescent="0.45"/>
  <cols>
    <col min="1" max="1" width="30.796875" customWidth="1"/>
    <col min="2" max="19" width="10.796875" customWidth="1"/>
    <col min="20" max="20" width="8.86328125" customWidth="1"/>
    <col min="21" max="21" width="15.1328125" customWidth="1"/>
    <col min="22" max="200" width="8.86328125" customWidth="1"/>
  </cols>
  <sheetData>
    <row r="42" spans="1:21" ht="15" customHeight="1" x14ac:dyDescent="0.45">
      <c r="A42" s="322" t="s">
        <v>1606</v>
      </c>
      <c r="B42" s="323" t="s">
        <v>1548</v>
      </c>
      <c r="C42" s="323" t="s">
        <v>1549</v>
      </c>
      <c r="D42" s="323" t="s">
        <v>1550</v>
      </c>
      <c r="E42" s="323" t="s">
        <v>1551</v>
      </c>
      <c r="F42" s="323" t="s">
        <v>1552</v>
      </c>
      <c r="G42" s="323" t="s">
        <v>1553</v>
      </c>
      <c r="H42" s="323" t="s">
        <v>1554</v>
      </c>
      <c r="I42" s="323" t="s">
        <v>1555</v>
      </c>
      <c r="J42" s="323" t="s">
        <v>1556</v>
      </c>
      <c r="K42" s="323" t="s">
        <v>1557</v>
      </c>
      <c r="L42" s="323" t="s">
        <v>1558</v>
      </c>
      <c r="M42" s="323" t="s">
        <v>1559</v>
      </c>
      <c r="N42" s="323" t="s">
        <v>1560</v>
      </c>
      <c r="O42" s="323" t="s">
        <v>1561</v>
      </c>
      <c r="P42" s="323" t="s">
        <v>1562</v>
      </c>
      <c r="Q42" s="323" t="s">
        <v>1563</v>
      </c>
      <c r="R42" s="323" t="s">
        <v>1564</v>
      </c>
      <c r="S42" s="324" t="s">
        <v>1565</v>
      </c>
    </row>
    <row r="43" spans="1:21" ht="15" customHeight="1" x14ac:dyDescent="0.45">
      <c r="A43" s="325" t="s">
        <v>1607</v>
      </c>
      <c r="B43" s="326">
        <f>'CRONOGRAMA FF CAESB'!F130</f>
        <v>1.3596697860475658E-3</v>
      </c>
      <c r="C43" s="326">
        <f>'CRONOGRAMA FF CAESB'!G130</f>
        <v>6.2330041276744054E-2</v>
      </c>
      <c r="D43" s="326">
        <f>'CRONOGRAMA FF CAESB'!H130</f>
        <v>6.2330041276744054E-2</v>
      </c>
      <c r="E43" s="326">
        <f>'CRONOGRAMA FF CAESB'!I130</f>
        <v>6.2330041276744054E-2</v>
      </c>
      <c r="F43" s="326">
        <f>'CRONOGRAMA FF CAESB'!J130</f>
        <v>6.2330041276744054E-2</v>
      </c>
      <c r="G43" s="326">
        <f>'CRONOGRAMA FF CAESB'!K130</f>
        <v>6.2330041276744054E-2</v>
      </c>
      <c r="H43" s="326">
        <f>'CRONOGRAMA FF CAESB'!L130</f>
        <v>6.2330041276744054E-2</v>
      </c>
      <c r="I43" s="326">
        <f>'CRONOGRAMA FF CAESB'!M130</f>
        <v>6.2330041276744054E-2</v>
      </c>
      <c r="J43" s="326">
        <f>'CRONOGRAMA FF CAESB'!N130</f>
        <v>6.2330041276744054E-2</v>
      </c>
      <c r="K43" s="326">
        <f>'CRONOGRAMA FF CAESB'!O130</f>
        <v>6.2330041276744054E-2</v>
      </c>
      <c r="L43" s="326">
        <f>'CRONOGRAMA FF CAESB'!P130</f>
        <v>6.2330041276744054E-2</v>
      </c>
      <c r="M43" s="326">
        <f>'CRONOGRAMA FF CAESB'!Q130</f>
        <v>6.2330041276744054E-2</v>
      </c>
      <c r="N43" s="326">
        <f>'CRONOGRAMA FF CAESB'!R130</f>
        <v>6.2330041276744054E-2</v>
      </c>
      <c r="O43" s="326">
        <f>'CRONOGRAMA FF CAESB'!S130</f>
        <v>6.2330041276744054E-2</v>
      </c>
      <c r="P43" s="326">
        <f>'CRONOGRAMA FF CAESB'!T130</f>
        <v>6.2330041276744054E-2</v>
      </c>
      <c r="Q43" s="326">
        <f>'CRONOGRAMA FF CAESB'!U130</f>
        <v>6.2330041276744054E-2</v>
      </c>
      <c r="R43" s="326">
        <f>'CRONOGRAMA FF CAESB'!V130</f>
        <v>6.2330041276744054E-2</v>
      </c>
      <c r="S43" s="326">
        <f>'CRONOGRAMA FF CAESB'!W130</f>
        <v>1.3596697860475658E-3</v>
      </c>
      <c r="U43" s="327"/>
    </row>
    <row r="44" spans="1:21" ht="15" customHeight="1" x14ac:dyDescent="0.45">
      <c r="A44" s="328" t="s">
        <v>1608</v>
      </c>
      <c r="B44" s="329">
        <f>B43</f>
        <v>1.3596697860475658E-3</v>
      </c>
      <c r="C44" s="330">
        <f t="shared" ref="C44:S44" si="0">B44+C43</f>
        <v>6.3689711062791615E-2</v>
      </c>
      <c r="D44" s="330">
        <f t="shared" si="0"/>
        <v>0.12601975233953566</v>
      </c>
      <c r="E44" s="330">
        <f t="shared" si="0"/>
        <v>0.18834979361627971</v>
      </c>
      <c r="F44" s="330">
        <f t="shared" si="0"/>
        <v>0.25067983489302376</v>
      </c>
      <c r="G44" s="330">
        <f t="shared" si="0"/>
        <v>0.31300987616976783</v>
      </c>
      <c r="H44" s="330">
        <f t="shared" si="0"/>
        <v>0.37533991744651191</v>
      </c>
      <c r="I44" s="330">
        <f t="shared" si="0"/>
        <v>0.43766995872325598</v>
      </c>
      <c r="J44" s="330">
        <f t="shared" si="0"/>
        <v>0.5</v>
      </c>
      <c r="K44" s="330">
        <f t="shared" si="0"/>
        <v>0.56233004127674402</v>
      </c>
      <c r="L44" s="330">
        <f t="shared" si="0"/>
        <v>0.62466008255348804</v>
      </c>
      <c r="M44" s="330">
        <f t="shared" si="0"/>
        <v>0.68699012383023206</v>
      </c>
      <c r="N44" s="330">
        <f t="shared" si="0"/>
        <v>0.74932016510697608</v>
      </c>
      <c r="O44" s="330">
        <f t="shared" si="0"/>
        <v>0.8116502063837201</v>
      </c>
      <c r="P44" s="330">
        <f t="shared" si="0"/>
        <v>0.87398024766046412</v>
      </c>
      <c r="Q44" s="330">
        <f t="shared" si="0"/>
        <v>0.93631028893720813</v>
      </c>
      <c r="R44" s="330">
        <f t="shared" si="0"/>
        <v>0.99864033021395215</v>
      </c>
      <c r="S44" s="331">
        <f t="shared" si="0"/>
        <v>0.99999999999999967</v>
      </c>
    </row>
    <row r="45" spans="1:21" ht="15" customHeight="1" x14ac:dyDescent="0.45">
      <c r="A45" s="332" t="s">
        <v>1609</v>
      </c>
      <c r="B45" s="333">
        <f>'CRONOGRAMA FF CAESB'!F131</f>
        <v>0</v>
      </c>
      <c r="C45" s="333">
        <f>'CRONOGRAMA FF CAESB'!G131</f>
        <v>0</v>
      </c>
      <c r="D45" s="333">
        <f>'CRONOGRAMA FF CAESB'!H131</f>
        <v>0</v>
      </c>
      <c r="E45" s="333">
        <f>'CRONOGRAMA FF CAESB'!I131</f>
        <v>0</v>
      </c>
      <c r="F45" s="333">
        <f>'CRONOGRAMA FF CAESB'!J131</f>
        <v>0</v>
      </c>
      <c r="G45" s="333">
        <f>'CRONOGRAMA FF CAESB'!K131</f>
        <v>0</v>
      </c>
      <c r="H45" s="333">
        <f>'CRONOGRAMA FF CAESB'!L131</f>
        <v>0</v>
      </c>
      <c r="I45" s="333">
        <f>'CRONOGRAMA FF CAESB'!M131</f>
        <v>0</v>
      </c>
      <c r="J45" s="333">
        <f>'CRONOGRAMA FF CAESB'!N131</f>
        <v>0</v>
      </c>
      <c r="K45" s="333">
        <f>'CRONOGRAMA FF CAESB'!O131</f>
        <v>0</v>
      </c>
      <c r="L45" s="333">
        <f>'CRONOGRAMA FF CAESB'!P131</f>
        <v>0</v>
      </c>
      <c r="M45" s="333">
        <f>'CRONOGRAMA FF CAESB'!Q131</f>
        <v>0</v>
      </c>
      <c r="N45" s="333">
        <f>'CRONOGRAMA FF CAESB'!R131</f>
        <v>0</v>
      </c>
      <c r="O45" s="333">
        <f>'CRONOGRAMA FF CAESB'!S131</f>
        <v>0</v>
      </c>
      <c r="P45" s="333">
        <f>'CRONOGRAMA FF CAESB'!T131</f>
        <v>0</v>
      </c>
      <c r="Q45" s="333">
        <f>'CRONOGRAMA FF CAESB'!U131</f>
        <v>0</v>
      </c>
      <c r="R45" s="333">
        <f>'CRONOGRAMA FF CAESB'!V131</f>
        <v>0</v>
      </c>
      <c r="S45" s="333">
        <f>'CRONOGRAMA FF CAESB'!W131</f>
        <v>0</v>
      </c>
    </row>
    <row r="46" spans="1:21" ht="15" customHeight="1" x14ac:dyDescent="0.45">
      <c r="A46" s="334" t="s">
        <v>1610</v>
      </c>
      <c r="B46" s="329">
        <f>B45</f>
        <v>0</v>
      </c>
      <c r="C46" s="330">
        <f t="shared" ref="C46:S46" si="1">B46+C45</f>
        <v>0</v>
      </c>
      <c r="D46" s="330">
        <f t="shared" si="1"/>
        <v>0</v>
      </c>
      <c r="E46" s="330">
        <f t="shared" si="1"/>
        <v>0</v>
      </c>
      <c r="F46" s="330">
        <f t="shared" si="1"/>
        <v>0</v>
      </c>
      <c r="G46" s="330">
        <f t="shared" si="1"/>
        <v>0</v>
      </c>
      <c r="H46" s="330">
        <f t="shared" si="1"/>
        <v>0</v>
      </c>
      <c r="I46" s="330">
        <f t="shared" si="1"/>
        <v>0</v>
      </c>
      <c r="J46" s="330">
        <f t="shared" si="1"/>
        <v>0</v>
      </c>
      <c r="K46" s="330">
        <f t="shared" si="1"/>
        <v>0</v>
      </c>
      <c r="L46" s="330">
        <f t="shared" si="1"/>
        <v>0</v>
      </c>
      <c r="M46" s="330">
        <f t="shared" si="1"/>
        <v>0</v>
      </c>
      <c r="N46" s="330">
        <f t="shared" si="1"/>
        <v>0</v>
      </c>
      <c r="O46" s="330">
        <f t="shared" si="1"/>
        <v>0</v>
      </c>
      <c r="P46" s="330">
        <f t="shared" si="1"/>
        <v>0</v>
      </c>
      <c r="Q46" s="330">
        <f t="shared" si="1"/>
        <v>0</v>
      </c>
      <c r="R46" s="330">
        <f t="shared" si="1"/>
        <v>0</v>
      </c>
      <c r="S46" s="331">
        <f t="shared" si="1"/>
        <v>0</v>
      </c>
    </row>
    <row r="47" spans="1:21" ht="15" customHeight="1" x14ac:dyDescent="0.45">
      <c r="A47" s="325" t="s">
        <v>1611</v>
      </c>
      <c r="B47" s="335"/>
      <c r="C47" s="336"/>
      <c r="D47" s="336"/>
      <c r="E47" s="336"/>
      <c r="F47" s="336"/>
      <c r="G47" s="336"/>
      <c r="H47" s="336"/>
      <c r="I47" s="336"/>
      <c r="J47" s="336"/>
      <c r="K47" s="336"/>
      <c r="L47" s="336"/>
      <c r="M47" s="336"/>
      <c r="N47" s="336"/>
      <c r="O47" s="336"/>
      <c r="P47" s="336"/>
      <c r="Q47" s="336"/>
      <c r="R47" s="336"/>
      <c r="S47" s="337"/>
    </row>
    <row r="48" spans="1:21" ht="15" customHeight="1" x14ac:dyDescent="0.45">
      <c r="A48" s="328" t="s">
        <v>1612</v>
      </c>
      <c r="B48" s="329"/>
      <c r="C48" s="330"/>
      <c r="D48" s="330"/>
      <c r="E48" s="330"/>
      <c r="F48" s="330"/>
      <c r="G48" s="330"/>
      <c r="H48" s="330"/>
      <c r="I48" s="330"/>
      <c r="J48" s="330"/>
      <c r="K48" s="330"/>
      <c r="L48" s="330"/>
      <c r="M48" s="330"/>
      <c r="N48" s="330"/>
      <c r="O48" s="330"/>
      <c r="P48" s="330"/>
      <c r="Q48" s="330"/>
      <c r="R48" s="330"/>
      <c r="S48" s="331"/>
    </row>
    <row r="90" spans="1:21" ht="15" customHeight="1" x14ac:dyDescent="0.45">
      <c r="A90" s="322" t="s">
        <v>1613</v>
      </c>
      <c r="B90" s="323" t="s">
        <v>1548</v>
      </c>
      <c r="C90" s="323" t="s">
        <v>1549</v>
      </c>
      <c r="D90" s="323" t="s">
        <v>1550</v>
      </c>
      <c r="E90" s="323" t="s">
        <v>1551</v>
      </c>
      <c r="F90" s="323" t="s">
        <v>1552</v>
      </c>
      <c r="G90" s="323" t="s">
        <v>1553</v>
      </c>
      <c r="H90" s="323" t="s">
        <v>1554</v>
      </c>
      <c r="I90" s="323" t="s">
        <v>1555</v>
      </c>
      <c r="J90" s="323" t="s">
        <v>1556</v>
      </c>
      <c r="K90" s="323" t="s">
        <v>1557</v>
      </c>
      <c r="L90" s="323" t="s">
        <v>1558</v>
      </c>
      <c r="M90" s="323" t="s">
        <v>1559</v>
      </c>
      <c r="N90" s="323" t="s">
        <v>1560</v>
      </c>
      <c r="O90" s="323" t="s">
        <v>1561</v>
      </c>
      <c r="P90" s="323" t="s">
        <v>1562</v>
      </c>
      <c r="Q90" s="323" t="s">
        <v>1563</v>
      </c>
      <c r="R90" s="323" t="s">
        <v>1564</v>
      </c>
      <c r="S90" s="324" t="s">
        <v>1565</v>
      </c>
    </row>
    <row r="91" spans="1:21" ht="15" customHeight="1" x14ac:dyDescent="0.45">
      <c r="A91" s="325" t="s">
        <v>1614</v>
      </c>
      <c r="B91" s="338">
        <f t="shared" ref="B91:S91" si="2">(B$43*$U$91)/1000</f>
        <v>67.818627515581497</v>
      </c>
      <c r="C91" s="338">
        <f t="shared" si="2"/>
        <v>3108.9444626597337</v>
      </c>
      <c r="D91" s="338">
        <f t="shared" si="2"/>
        <v>3108.9444626597337</v>
      </c>
      <c r="E91" s="338">
        <f t="shared" si="2"/>
        <v>3108.9444626597337</v>
      </c>
      <c r="F91" s="338">
        <f t="shared" si="2"/>
        <v>3108.9444626597337</v>
      </c>
      <c r="G91" s="338">
        <f t="shared" si="2"/>
        <v>3108.9444626597337</v>
      </c>
      <c r="H91" s="338">
        <f t="shared" si="2"/>
        <v>3108.9444626597337</v>
      </c>
      <c r="I91" s="338">
        <f t="shared" si="2"/>
        <v>3108.9444626597337</v>
      </c>
      <c r="J91" s="338">
        <f t="shared" si="2"/>
        <v>3108.9444626597337</v>
      </c>
      <c r="K91" s="338">
        <f t="shared" si="2"/>
        <v>3108.9444626597337</v>
      </c>
      <c r="L91" s="338">
        <f t="shared" si="2"/>
        <v>3108.9444626597337</v>
      </c>
      <c r="M91" s="338">
        <f t="shared" si="2"/>
        <v>3108.9444626597337</v>
      </c>
      <c r="N91" s="338">
        <f t="shared" si="2"/>
        <v>3108.9444626597337</v>
      </c>
      <c r="O91" s="338">
        <f t="shared" si="2"/>
        <v>3108.9444626597337</v>
      </c>
      <c r="P91" s="338">
        <f t="shared" si="2"/>
        <v>3108.9444626597337</v>
      </c>
      <c r="Q91" s="338">
        <f t="shared" si="2"/>
        <v>3108.9444626597337</v>
      </c>
      <c r="R91" s="338">
        <f t="shared" si="2"/>
        <v>3108.9444626597337</v>
      </c>
      <c r="S91" s="339">
        <f t="shared" si="2"/>
        <v>67.818627515581497</v>
      </c>
      <c r="T91" t="s">
        <v>1615</v>
      </c>
      <c r="U91" s="340">
        <f>'BM MORRO DA CRUZ'!$P$411</f>
        <v>49878748.657586902</v>
      </c>
    </row>
    <row r="92" spans="1:21" ht="15" customHeight="1" x14ac:dyDescent="0.45">
      <c r="A92" s="334" t="s">
        <v>1616</v>
      </c>
      <c r="B92" s="341">
        <f>B91</f>
        <v>67.818627515581497</v>
      </c>
      <c r="C92" s="341">
        <f t="shared" ref="C92:S92" si="3">B92+C91</f>
        <v>3176.763090175315</v>
      </c>
      <c r="D92" s="341">
        <f t="shared" si="3"/>
        <v>6285.7075528350488</v>
      </c>
      <c r="E92" s="341">
        <f t="shared" si="3"/>
        <v>9394.652015494783</v>
      </c>
      <c r="F92" s="341">
        <f t="shared" si="3"/>
        <v>12503.596478154517</v>
      </c>
      <c r="G92" s="341">
        <f t="shared" si="3"/>
        <v>15612.540940814251</v>
      </c>
      <c r="H92" s="341">
        <f t="shared" si="3"/>
        <v>18721.485403473984</v>
      </c>
      <c r="I92" s="341">
        <f t="shared" si="3"/>
        <v>21830.429866133716</v>
      </c>
      <c r="J92" s="341">
        <f t="shared" si="3"/>
        <v>24939.374328793449</v>
      </c>
      <c r="K92" s="341">
        <f t="shared" si="3"/>
        <v>28048.318791453181</v>
      </c>
      <c r="L92" s="341">
        <f t="shared" si="3"/>
        <v>31157.263254112913</v>
      </c>
      <c r="M92" s="341">
        <f t="shared" si="3"/>
        <v>34266.207716772646</v>
      </c>
      <c r="N92" s="341">
        <f t="shared" si="3"/>
        <v>37375.152179432378</v>
      </c>
      <c r="O92" s="341">
        <f t="shared" si="3"/>
        <v>40484.09664209211</v>
      </c>
      <c r="P92" s="341">
        <f t="shared" si="3"/>
        <v>43593.041104751843</v>
      </c>
      <c r="Q92" s="341">
        <f t="shared" si="3"/>
        <v>46701.985567411575</v>
      </c>
      <c r="R92" s="341">
        <f t="shared" si="3"/>
        <v>49810.930030071308</v>
      </c>
      <c r="S92" s="342">
        <f t="shared" si="3"/>
        <v>49878.74865758689</v>
      </c>
    </row>
    <row r="93" spans="1:21" ht="15" customHeight="1" x14ac:dyDescent="0.45">
      <c r="A93" s="325" t="s">
        <v>1617</v>
      </c>
      <c r="B93" s="338">
        <f t="shared" ref="B93:S93" si="4">(B$45*$U$91)/1000</f>
        <v>0</v>
      </c>
      <c r="C93" s="338">
        <f t="shared" si="4"/>
        <v>0</v>
      </c>
      <c r="D93" s="338">
        <f t="shared" si="4"/>
        <v>0</v>
      </c>
      <c r="E93" s="338">
        <f t="shared" si="4"/>
        <v>0</v>
      </c>
      <c r="F93" s="338">
        <f t="shared" si="4"/>
        <v>0</v>
      </c>
      <c r="G93" s="338">
        <f t="shared" si="4"/>
        <v>0</v>
      </c>
      <c r="H93" s="338">
        <f t="shared" si="4"/>
        <v>0</v>
      </c>
      <c r="I93" s="338">
        <f t="shared" si="4"/>
        <v>0</v>
      </c>
      <c r="J93" s="338">
        <f t="shared" si="4"/>
        <v>0</v>
      </c>
      <c r="K93" s="338">
        <f t="shared" si="4"/>
        <v>0</v>
      </c>
      <c r="L93" s="338">
        <f t="shared" si="4"/>
        <v>0</v>
      </c>
      <c r="M93" s="338">
        <f t="shared" si="4"/>
        <v>0</v>
      </c>
      <c r="N93" s="338">
        <f t="shared" si="4"/>
        <v>0</v>
      </c>
      <c r="O93" s="338">
        <f t="shared" si="4"/>
        <v>0</v>
      </c>
      <c r="P93" s="338">
        <f t="shared" si="4"/>
        <v>0</v>
      </c>
      <c r="Q93" s="338">
        <f t="shared" si="4"/>
        <v>0</v>
      </c>
      <c r="R93" s="338">
        <f t="shared" si="4"/>
        <v>0</v>
      </c>
      <c r="S93" s="338">
        <f t="shared" si="4"/>
        <v>0</v>
      </c>
    </row>
    <row r="94" spans="1:21" ht="15" customHeight="1" x14ac:dyDescent="0.45">
      <c r="A94" s="328" t="s">
        <v>1618</v>
      </c>
      <c r="B94" s="343">
        <f>B93</f>
        <v>0</v>
      </c>
      <c r="C94" s="343">
        <f t="shared" ref="C94:S94" si="5">B94+C93</f>
        <v>0</v>
      </c>
      <c r="D94" s="343">
        <f t="shared" si="5"/>
        <v>0</v>
      </c>
      <c r="E94" s="343">
        <f t="shared" si="5"/>
        <v>0</v>
      </c>
      <c r="F94" s="343">
        <f t="shared" si="5"/>
        <v>0</v>
      </c>
      <c r="G94" s="343">
        <f t="shared" si="5"/>
        <v>0</v>
      </c>
      <c r="H94" s="343">
        <f t="shared" si="5"/>
        <v>0</v>
      </c>
      <c r="I94" s="343">
        <f t="shared" si="5"/>
        <v>0</v>
      </c>
      <c r="J94" s="343">
        <f t="shared" si="5"/>
        <v>0</v>
      </c>
      <c r="K94" s="343">
        <f t="shared" si="5"/>
        <v>0</v>
      </c>
      <c r="L94" s="343">
        <f t="shared" si="5"/>
        <v>0</v>
      </c>
      <c r="M94" s="343">
        <f t="shared" si="5"/>
        <v>0</v>
      </c>
      <c r="N94" s="343">
        <f t="shared" si="5"/>
        <v>0</v>
      </c>
      <c r="O94" s="343">
        <f t="shared" si="5"/>
        <v>0</v>
      </c>
      <c r="P94" s="343">
        <f t="shared" si="5"/>
        <v>0</v>
      </c>
      <c r="Q94" s="343">
        <f t="shared" si="5"/>
        <v>0</v>
      </c>
      <c r="R94" s="343">
        <f t="shared" si="5"/>
        <v>0</v>
      </c>
      <c r="S94" s="344">
        <f t="shared" si="5"/>
        <v>0</v>
      </c>
      <c r="U94" s="345"/>
    </row>
    <row r="95" spans="1:21" ht="15" customHeight="1" x14ac:dyDescent="0.45">
      <c r="A95" s="325" t="s">
        <v>1619</v>
      </c>
      <c r="B95" s="338"/>
      <c r="C95" s="338"/>
      <c r="D95" s="338"/>
      <c r="E95" s="346"/>
      <c r="F95" s="338"/>
      <c r="G95" s="338"/>
      <c r="H95" s="338"/>
      <c r="I95" s="338"/>
      <c r="J95" s="338"/>
      <c r="K95" s="338"/>
      <c r="L95" s="338"/>
      <c r="M95" s="338"/>
      <c r="N95" s="338"/>
      <c r="O95" s="338"/>
      <c r="P95" s="338"/>
      <c r="Q95" s="338"/>
      <c r="R95" s="338"/>
      <c r="S95" s="339"/>
    </row>
    <row r="96" spans="1:21" ht="15" customHeight="1" x14ac:dyDescent="0.45">
      <c r="A96" s="328" t="s">
        <v>1620</v>
      </c>
      <c r="B96" s="343"/>
      <c r="C96" s="343"/>
      <c r="D96" s="343"/>
      <c r="E96" s="343"/>
      <c r="F96" s="343"/>
      <c r="G96" s="343"/>
      <c r="H96" s="343"/>
      <c r="I96" s="343"/>
      <c r="J96" s="343"/>
      <c r="K96" s="343"/>
      <c r="L96" s="343"/>
      <c r="M96" s="343"/>
      <c r="N96" s="343"/>
      <c r="O96" s="343"/>
      <c r="P96" s="343"/>
      <c r="Q96" s="343"/>
      <c r="R96" s="343"/>
      <c r="S96" s="344"/>
    </row>
    <row r="97" spans="1:19" ht="15" customHeight="1" x14ac:dyDescent="0.45">
      <c r="A97" s="283"/>
      <c r="B97" s="347"/>
      <c r="C97" s="348"/>
      <c r="D97" s="348"/>
      <c r="E97" s="348"/>
      <c r="F97" s="348"/>
      <c r="G97" s="348"/>
      <c r="H97" s="348"/>
      <c r="I97" s="348"/>
      <c r="J97" s="348"/>
      <c r="K97" s="348"/>
      <c r="L97" s="348"/>
      <c r="M97" s="348"/>
      <c r="N97" s="348"/>
      <c r="O97" s="348"/>
      <c r="P97" s="348"/>
      <c r="Q97" s="348"/>
      <c r="R97" s="348"/>
      <c r="S97" s="348"/>
    </row>
    <row r="98" spans="1:19" ht="16.5" customHeight="1" x14ac:dyDescent="0.45">
      <c r="B98" s="349"/>
      <c r="C98" s="349"/>
      <c r="D98" s="349"/>
      <c r="E98" s="349"/>
      <c r="F98" s="349"/>
      <c r="G98" s="349"/>
      <c r="H98" s="349"/>
      <c r="I98" s="349"/>
      <c r="J98" s="349"/>
      <c r="K98" s="349"/>
      <c r="L98" s="349"/>
      <c r="M98" s="349"/>
      <c r="N98" s="349"/>
      <c r="O98" s="349"/>
      <c r="P98" s="349"/>
      <c r="Q98" s="349"/>
      <c r="R98" s="349"/>
      <c r="S98" s="349"/>
    </row>
    <row r="145" spans="1:21" ht="15" customHeight="1" x14ac:dyDescent="0.45">
      <c r="A145" s="322" t="s">
        <v>1621</v>
      </c>
      <c r="B145" s="323" t="s">
        <v>1548</v>
      </c>
      <c r="C145" s="323" t="s">
        <v>1549</v>
      </c>
      <c r="D145" s="323" t="s">
        <v>1550</v>
      </c>
      <c r="E145" s="323" t="s">
        <v>1551</v>
      </c>
      <c r="F145" s="323" t="s">
        <v>1552</v>
      </c>
      <c r="G145" s="323" t="s">
        <v>1553</v>
      </c>
      <c r="H145" s="323" t="s">
        <v>1554</v>
      </c>
      <c r="I145" s="323" t="s">
        <v>1555</v>
      </c>
      <c r="J145" s="323" t="s">
        <v>1556</v>
      </c>
      <c r="K145" s="323" t="s">
        <v>1557</v>
      </c>
      <c r="L145" s="323" t="s">
        <v>1558</v>
      </c>
      <c r="M145" s="323" t="s">
        <v>1559</v>
      </c>
      <c r="N145" s="323" t="s">
        <v>1560</v>
      </c>
      <c r="O145" s="323" t="s">
        <v>1561</v>
      </c>
      <c r="P145" s="323" t="s">
        <v>1562</v>
      </c>
      <c r="Q145" s="323" t="s">
        <v>1563</v>
      </c>
      <c r="R145" s="323" t="s">
        <v>1564</v>
      </c>
      <c r="S145" s="324" t="s">
        <v>1565</v>
      </c>
    </row>
    <row r="146" spans="1:21" ht="15" customHeight="1" x14ac:dyDescent="0.45">
      <c r="A146" s="325" t="s">
        <v>1614</v>
      </c>
      <c r="B146" s="338">
        <f t="shared" ref="B146:S146" si="6">B91</f>
        <v>67.818627515581497</v>
      </c>
      <c r="C146" s="338">
        <f t="shared" si="6"/>
        <v>3108.9444626597337</v>
      </c>
      <c r="D146" s="338">
        <f t="shared" si="6"/>
        <v>3108.9444626597337</v>
      </c>
      <c r="E146" s="338">
        <f t="shared" si="6"/>
        <v>3108.9444626597337</v>
      </c>
      <c r="F146" s="338">
        <f t="shared" si="6"/>
        <v>3108.9444626597337</v>
      </c>
      <c r="G146" s="338">
        <f t="shared" si="6"/>
        <v>3108.9444626597337</v>
      </c>
      <c r="H146" s="338">
        <f t="shared" si="6"/>
        <v>3108.9444626597337</v>
      </c>
      <c r="I146" s="338">
        <f t="shared" si="6"/>
        <v>3108.9444626597337</v>
      </c>
      <c r="J146" s="338">
        <f t="shared" si="6"/>
        <v>3108.9444626597337</v>
      </c>
      <c r="K146" s="338">
        <f t="shared" si="6"/>
        <v>3108.9444626597337</v>
      </c>
      <c r="L146" s="338">
        <f t="shared" si="6"/>
        <v>3108.9444626597337</v>
      </c>
      <c r="M146" s="338">
        <f t="shared" si="6"/>
        <v>3108.9444626597337</v>
      </c>
      <c r="N146" s="338">
        <f t="shared" si="6"/>
        <v>3108.9444626597337</v>
      </c>
      <c r="O146" s="338">
        <f t="shared" si="6"/>
        <v>3108.9444626597337</v>
      </c>
      <c r="P146" s="338">
        <f t="shared" si="6"/>
        <v>3108.9444626597337</v>
      </c>
      <c r="Q146" s="338">
        <f t="shared" si="6"/>
        <v>3108.9444626597337</v>
      </c>
      <c r="R146" s="338">
        <f t="shared" si="6"/>
        <v>3108.9444626597337</v>
      </c>
      <c r="S146" s="339">
        <f t="shared" si="6"/>
        <v>67.818627515581497</v>
      </c>
      <c r="U146" s="239"/>
    </row>
    <row r="147" spans="1:21" ht="15" customHeight="1" x14ac:dyDescent="0.45">
      <c r="A147" s="334" t="s">
        <v>1616</v>
      </c>
      <c r="B147" s="341">
        <f t="shared" ref="B147:S147" si="7">B92</f>
        <v>67.818627515581497</v>
      </c>
      <c r="C147" s="341">
        <f t="shared" si="7"/>
        <v>3176.763090175315</v>
      </c>
      <c r="D147" s="341">
        <f t="shared" si="7"/>
        <v>6285.7075528350488</v>
      </c>
      <c r="E147" s="341">
        <f t="shared" si="7"/>
        <v>9394.652015494783</v>
      </c>
      <c r="F147" s="341">
        <f t="shared" si="7"/>
        <v>12503.596478154517</v>
      </c>
      <c r="G147" s="341">
        <f t="shared" si="7"/>
        <v>15612.540940814251</v>
      </c>
      <c r="H147" s="341">
        <f t="shared" si="7"/>
        <v>18721.485403473984</v>
      </c>
      <c r="I147" s="341">
        <f t="shared" si="7"/>
        <v>21830.429866133716</v>
      </c>
      <c r="J147" s="341">
        <f t="shared" si="7"/>
        <v>24939.374328793449</v>
      </c>
      <c r="K147" s="341">
        <f t="shared" si="7"/>
        <v>28048.318791453181</v>
      </c>
      <c r="L147" s="341">
        <f t="shared" si="7"/>
        <v>31157.263254112913</v>
      </c>
      <c r="M147" s="341">
        <f t="shared" si="7"/>
        <v>34266.207716772646</v>
      </c>
      <c r="N147" s="341">
        <f t="shared" si="7"/>
        <v>37375.152179432378</v>
      </c>
      <c r="O147" s="341">
        <f t="shared" si="7"/>
        <v>40484.09664209211</v>
      </c>
      <c r="P147" s="341">
        <f t="shared" si="7"/>
        <v>43593.041104751843</v>
      </c>
      <c r="Q147" s="341">
        <f t="shared" si="7"/>
        <v>46701.985567411575</v>
      </c>
      <c r="R147" s="341">
        <f t="shared" si="7"/>
        <v>49810.930030071308</v>
      </c>
      <c r="S147" s="342">
        <f t="shared" si="7"/>
        <v>49878.74865758689</v>
      </c>
    </row>
    <row r="148" spans="1:21" ht="15" customHeight="1" x14ac:dyDescent="0.45">
      <c r="A148" s="325" t="s">
        <v>1617</v>
      </c>
      <c r="B148" s="338">
        <f t="shared" ref="B148:S148" si="8">B93</f>
        <v>0</v>
      </c>
      <c r="C148" s="338">
        <f t="shared" si="8"/>
        <v>0</v>
      </c>
      <c r="D148" s="338">
        <f t="shared" si="8"/>
        <v>0</v>
      </c>
      <c r="E148" s="338">
        <f t="shared" si="8"/>
        <v>0</v>
      </c>
      <c r="F148" s="338">
        <f t="shared" si="8"/>
        <v>0</v>
      </c>
      <c r="G148" s="338">
        <f t="shared" si="8"/>
        <v>0</v>
      </c>
      <c r="H148" s="338">
        <f t="shared" si="8"/>
        <v>0</v>
      </c>
      <c r="I148" s="338">
        <f t="shared" si="8"/>
        <v>0</v>
      </c>
      <c r="J148" s="338">
        <f t="shared" si="8"/>
        <v>0</v>
      </c>
      <c r="K148" s="338">
        <f t="shared" si="8"/>
        <v>0</v>
      </c>
      <c r="L148" s="338">
        <f t="shared" si="8"/>
        <v>0</v>
      </c>
      <c r="M148" s="338">
        <f t="shared" si="8"/>
        <v>0</v>
      </c>
      <c r="N148" s="338">
        <f t="shared" si="8"/>
        <v>0</v>
      </c>
      <c r="O148" s="338">
        <f t="shared" si="8"/>
        <v>0</v>
      </c>
      <c r="P148" s="338">
        <f t="shared" si="8"/>
        <v>0</v>
      </c>
      <c r="Q148" s="338">
        <f t="shared" si="8"/>
        <v>0</v>
      </c>
      <c r="R148" s="338">
        <f t="shared" si="8"/>
        <v>0</v>
      </c>
      <c r="S148" s="339">
        <f t="shared" si="8"/>
        <v>0</v>
      </c>
    </row>
    <row r="149" spans="1:21" ht="15" customHeight="1" x14ac:dyDescent="0.45">
      <c r="A149" s="328" t="s">
        <v>1618</v>
      </c>
      <c r="B149" s="343">
        <f t="shared" ref="B149:S149" si="9">B94</f>
        <v>0</v>
      </c>
      <c r="C149" s="343">
        <f t="shared" si="9"/>
        <v>0</v>
      </c>
      <c r="D149" s="343">
        <f t="shared" si="9"/>
        <v>0</v>
      </c>
      <c r="E149" s="343">
        <f t="shared" si="9"/>
        <v>0</v>
      </c>
      <c r="F149" s="343">
        <f t="shared" si="9"/>
        <v>0</v>
      </c>
      <c r="G149" s="343">
        <f t="shared" si="9"/>
        <v>0</v>
      </c>
      <c r="H149" s="343">
        <f t="shared" si="9"/>
        <v>0</v>
      </c>
      <c r="I149" s="343">
        <f t="shared" si="9"/>
        <v>0</v>
      </c>
      <c r="J149" s="343">
        <f t="shared" si="9"/>
        <v>0</v>
      </c>
      <c r="K149" s="343">
        <f t="shared" si="9"/>
        <v>0</v>
      </c>
      <c r="L149" s="343">
        <f t="shared" si="9"/>
        <v>0</v>
      </c>
      <c r="M149" s="343">
        <f t="shared" si="9"/>
        <v>0</v>
      </c>
      <c r="N149" s="343">
        <f t="shared" si="9"/>
        <v>0</v>
      </c>
      <c r="O149" s="343">
        <f t="shared" si="9"/>
        <v>0</v>
      </c>
      <c r="P149" s="343">
        <f t="shared" si="9"/>
        <v>0</v>
      </c>
      <c r="Q149" s="343">
        <f t="shared" si="9"/>
        <v>0</v>
      </c>
      <c r="R149" s="343">
        <f t="shared" si="9"/>
        <v>0</v>
      </c>
      <c r="S149" s="344">
        <f t="shared" si="9"/>
        <v>0</v>
      </c>
      <c r="U149" s="350"/>
    </row>
    <row r="150" spans="1:21" ht="15" customHeight="1" x14ac:dyDescent="0.45">
      <c r="A150" s="325" t="s">
        <v>1619</v>
      </c>
      <c r="B150" s="338"/>
      <c r="C150" s="338"/>
      <c r="D150" s="338"/>
      <c r="E150" s="346"/>
      <c r="F150" s="338"/>
      <c r="G150" s="338"/>
      <c r="H150" s="338"/>
      <c r="I150" s="338"/>
      <c r="J150" s="338"/>
      <c r="K150" s="338"/>
      <c r="L150" s="338"/>
      <c r="M150" s="338"/>
      <c r="N150" s="338"/>
      <c r="O150" s="338"/>
      <c r="P150" s="338"/>
      <c r="Q150" s="338"/>
      <c r="R150" s="338"/>
      <c r="S150" s="339"/>
    </row>
    <row r="151" spans="1:21" ht="15" customHeight="1" x14ac:dyDescent="0.45">
      <c r="A151" s="328" t="s">
        <v>1620</v>
      </c>
      <c r="B151" s="343"/>
      <c r="C151" s="343"/>
      <c r="D151" s="343"/>
      <c r="E151" s="343"/>
      <c r="F151" s="343"/>
      <c r="G151" s="343"/>
      <c r="H151" s="343"/>
      <c r="I151" s="343"/>
      <c r="J151" s="343"/>
      <c r="K151" s="343"/>
      <c r="L151" s="343"/>
      <c r="M151" s="343"/>
      <c r="N151" s="343"/>
      <c r="O151" s="343"/>
      <c r="P151" s="343"/>
      <c r="Q151" s="343"/>
      <c r="R151" s="343"/>
      <c r="S151" s="344"/>
    </row>
    <row r="193" spans="1:19" ht="15" customHeight="1" x14ac:dyDescent="0.45">
      <c r="A193" s="322" t="s">
        <v>1622</v>
      </c>
      <c r="B193" s="323" t="s">
        <v>1548</v>
      </c>
      <c r="C193" s="323" t="s">
        <v>1549</v>
      </c>
      <c r="D193" s="323" t="s">
        <v>1550</v>
      </c>
      <c r="E193" s="323" t="s">
        <v>1551</v>
      </c>
      <c r="F193" s="323" t="s">
        <v>1552</v>
      </c>
      <c r="G193" s="323" t="s">
        <v>1553</v>
      </c>
      <c r="H193" s="323" t="s">
        <v>1554</v>
      </c>
      <c r="I193" s="323" t="s">
        <v>1555</v>
      </c>
      <c r="J193" s="323" t="s">
        <v>1556</v>
      </c>
      <c r="K193" s="323" t="s">
        <v>1557</v>
      </c>
      <c r="L193" s="323" t="s">
        <v>1558</v>
      </c>
      <c r="M193" s="323" t="s">
        <v>1559</v>
      </c>
      <c r="N193" s="323" t="s">
        <v>1560</v>
      </c>
      <c r="O193" s="323" t="s">
        <v>1561</v>
      </c>
      <c r="P193" s="323" t="s">
        <v>1562</v>
      </c>
      <c r="Q193" s="323" t="s">
        <v>1563</v>
      </c>
      <c r="R193" s="323" t="s">
        <v>1564</v>
      </c>
      <c r="S193" s="324" t="s">
        <v>1565</v>
      </c>
    </row>
    <row r="194" spans="1:19" ht="15" customHeight="1" x14ac:dyDescent="0.45">
      <c r="A194" s="325" t="s">
        <v>1607</v>
      </c>
      <c r="B194" s="326">
        <f t="shared" ref="B194:S194" si="10">B43</f>
        <v>1.3596697860475658E-3</v>
      </c>
      <c r="C194" s="326">
        <f t="shared" si="10"/>
        <v>6.2330041276744054E-2</v>
      </c>
      <c r="D194" s="326">
        <f t="shared" si="10"/>
        <v>6.2330041276744054E-2</v>
      </c>
      <c r="E194" s="326">
        <f t="shared" si="10"/>
        <v>6.2330041276744054E-2</v>
      </c>
      <c r="F194" s="326">
        <f t="shared" si="10"/>
        <v>6.2330041276744054E-2</v>
      </c>
      <c r="G194" s="326">
        <f t="shared" si="10"/>
        <v>6.2330041276744054E-2</v>
      </c>
      <c r="H194" s="326">
        <f t="shared" si="10"/>
        <v>6.2330041276744054E-2</v>
      </c>
      <c r="I194" s="326">
        <f t="shared" si="10"/>
        <v>6.2330041276744054E-2</v>
      </c>
      <c r="J194" s="326">
        <f t="shared" si="10"/>
        <v>6.2330041276744054E-2</v>
      </c>
      <c r="K194" s="326">
        <f t="shared" si="10"/>
        <v>6.2330041276744054E-2</v>
      </c>
      <c r="L194" s="326">
        <f t="shared" si="10"/>
        <v>6.2330041276744054E-2</v>
      </c>
      <c r="M194" s="326">
        <f t="shared" si="10"/>
        <v>6.2330041276744054E-2</v>
      </c>
      <c r="N194" s="326">
        <f t="shared" si="10"/>
        <v>6.2330041276744054E-2</v>
      </c>
      <c r="O194" s="326">
        <f t="shared" si="10"/>
        <v>6.2330041276744054E-2</v>
      </c>
      <c r="P194" s="326">
        <f t="shared" si="10"/>
        <v>6.2330041276744054E-2</v>
      </c>
      <c r="Q194" s="326">
        <f t="shared" si="10"/>
        <v>6.2330041276744054E-2</v>
      </c>
      <c r="R194" s="326">
        <f t="shared" si="10"/>
        <v>6.2330041276744054E-2</v>
      </c>
      <c r="S194" s="351">
        <f t="shared" si="10"/>
        <v>1.3596697860475658E-3</v>
      </c>
    </row>
    <row r="195" spans="1:19" ht="15" customHeight="1" x14ac:dyDescent="0.45">
      <c r="A195" s="328" t="s">
        <v>1608</v>
      </c>
      <c r="B195" s="329">
        <f t="shared" ref="B195:S195" si="11">B44</f>
        <v>1.3596697860475658E-3</v>
      </c>
      <c r="C195" s="330">
        <f t="shared" si="11"/>
        <v>6.3689711062791615E-2</v>
      </c>
      <c r="D195" s="330">
        <f t="shared" si="11"/>
        <v>0.12601975233953566</v>
      </c>
      <c r="E195" s="330">
        <f t="shared" si="11"/>
        <v>0.18834979361627971</v>
      </c>
      <c r="F195" s="330">
        <f t="shared" si="11"/>
        <v>0.25067983489302376</v>
      </c>
      <c r="G195" s="330">
        <f t="shared" si="11"/>
        <v>0.31300987616976783</v>
      </c>
      <c r="H195" s="330">
        <f t="shared" si="11"/>
        <v>0.37533991744651191</v>
      </c>
      <c r="I195" s="330">
        <f t="shared" si="11"/>
        <v>0.43766995872325598</v>
      </c>
      <c r="J195" s="330">
        <f t="shared" si="11"/>
        <v>0.5</v>
      </c>
      <c r="K195" s="330">
        <f t="shared" si="11"/>
        <v>0.56233004127674402</v>
      </c>
      <c r="L195" s="330">
        <f t="shared" si="11"/>
        <v>0.62466008255348804</v>
      </c>
      <c r="M195" s="330">
        <f t="shared" si="11"/>
        <v>0.68699012383023206</v>
      </c>
      <c r="N195" s="330">
        <f t="shared" si="11"/>
        <v>0.74932016510697608</v>
      </c>
      <c r="O195" s="330">
        <f t="shared" si="11"/>
        <v>0.8116502063837201</v>
      </c>
      <c r="P195" s="330">
        <f t="shared" si="11"/>
        <v>0.87398024766046412</v>
      </c>
      <c r="Q195" s="330">
        <f t="shared" si="11"/>
        <v>0.93631028893720813</v>
      </c>
      <c r="R195" s="330">
        <f t="shared" si="11"/>
        <v>0.99864033021395215</v>
      </c>
      <c r="S195" s="331">
        <f t="shared" si="11"/>
        <v>0.99999999999999967</v>
      </c>
    </row>
    <row r="196" spans="1:19" ht="15" customHeight="1" x14ac:dyDescent="0.45">
      <c r="A196" s="332" t="s">
        <v>1609</v>
      </c>
      <c r="B196" s="333">
        <f t="shared" ref="B196:S196" si="12">B45</f>
        <v>0</v>
      </c>
      <c r="C196" s="333">
        <f t="shared" si="12"/>
        <v>0</v>
      </c>
      <c r="D196" s="333">
        <f t="shared" si="12"/>
        <v>0</v>
      </c>
      <c r="E196" s="333">
        <f t="shared" si="12"/>
        <v>0</v>
      </c>
      <c r="F196" s="333">
        <f t="shared" si="12"/>
        <v>0</v>
      </c>
      <c r="G196" s="333">
        <f t="shared" si="12"/>
        <v>0</v>
      </c>
      <c r="H196" s="333">
        <f t="shared" si="12"/>
        <v>0</v>
      </c>
      <c r="I196" s="333">
        <f t="shared" si="12"/>
        <v>0</v>
      </c>
      <c r="J196" s="333">
        <f t="shared" si="12"/>
        <v>0</v>
      </c>
      <c r="K196" s="333">
        <f t="shared" si="12"/>
        <v>0</v>
      </c>
      <c r="L196" s="333">
        <f t="shared" si="12"/>
        <v>0</v>
      </c>
      <c r="M196" s="333">
        <f t="shared" si="12"/>
        <v>0</v>
      </c>
      <c r="N196" s="333">
        <f t="shared" si="12"/>
        <v>0</v>
      </c>
      <c r="O196" s="333">
        <f t="shared" si="12"/>
        <v>0</v>
      </c>
      <c r="P196" s="333">
        <f t="shared" si="12"/>
        <v>0</v>
      </c>
      <c r="Q196" s="333">
        <f t="shared" si="12"/>
        <v>0</v>
      </c>
      <c r="R196" s="333">
        <f t="shared" si="12"/>
        <v>0</v>
      </c>
      <c r="S196" s="352">
        <f t="shared" si="12"/>
        <v>0</v>
      </c>
    </row>
    <row r="197" spans="1:19" ht="15" customHeight="1" x14ac:dyDescent="0.45">
      <c r="A197" s="334" t="s">
        <v>1610</v>
      </c>
      <c r="B197" s="329">
        <f t="shared" ref="B197:S197" si="13">B46</f>
        <v>0</v>
      </c>
      <c r="C197" s="330">
        <f t="shared" si="13"/>
        <v>0</v>
      </c>
      <c r="D197" s="330">
        <f t="shared" si="13"/>
        <v>0</v>
      </c>
      <c r="E197" s="330">
        <f t="shared" si="13"/>
        <v>0</v>
      </c>
      <c r="F197" s="330">
        <f t="shared" si="13"/>
        <v>0</v>
      </c>
      <c r="G197" s="330">
        <f t="shared" si="13"/>
        <v>0</v>
      </c>
      <c r="H197" s="330">
        <f t="shared" si="13"/>
        <v>0</v>
      </c>
      <c r="I197" s="330">
        <f t="shared" si="13"/>
        <v>0</v>
      </c>
      <c r="J197" s="330">
        <f t="shared" si="13"/>
        <v>0</v>
      </c>
      <c r="K197" s="330">
        <f t="shared" si="13"/>
        <v>0</v>
      </c>
      <c r="L197" s="330">
        <f t="shared" si="13"/>
        <v>0</v>
      </c>
      <c r="M197" s="330">
        <f t="shared" si="13"/>
        <v>0</v>
      </c>
      <c r="N197" s="330">
        <f t="shared" si="13"/>
        <v>0</v>
      </c>
      <c r="O197" s="330">
        <f t="shared" si="13"/>
        <v>0</v>
      </c>
      <c r="P197" s="330">
        <f t="shared" si="13"/>
        <v>0</v>
      </c>
      <c r="Q197" s="330">
        <f t="shared" si="13"/>
        <v>0</v>
      </c>
      <c r="R197" s="330">
        <f t="shared" si="13"/>
        <v>0</v>
      </c>
      <c r="S197" s="331">
        <f t="shared" si="13"/>
        <v>0</v>
      </c>
    </row>
    <row r="198" spans="1:19" ht="15" customHeight="1" x14ac:dyDescent="0.45">
      <c r="A198" s="325" t="s">
        <v>1611</v>
      </c>
      <c r="B198" s="335"/>
      <c r="C198" s="336"/>
      <c r="D198" s="336"/>
      <c r="E198" s="336"/>
      <c r="F198" s="336"/>
      <c r="G198" s="336"/>
      <c r="H198" s="336"/>
      <c r="I198" s="336"/>
      <c r="J198" s="336"/>
      <c r="K198" s="336"/>
      <c r="L198" s="336"/>
      <c r="M198" s="336"/>
      <c r="N198" s="336"/>
      <c r="O198" s="336"/>
      <c r="P198" s="336"/>
      <c r="Q198" s="336"/>
      <c r="R198" s="336"/>
      <c r="S198" s="337"/>
    </row>
    <row r="199" spans="1:19" ht="15" customHeight="1" x14ac:dyDescent="0.45">
      <c r="A199" s="328" t="s">
        <v>1612</v>
      </c>
      <c r="B199" s="329"/>
      <c r="C199" s="330"/>
      <c r="D199" s="330"/>
      <c r="E199" s="330"/>
      <c r="F199" s="330"/>
      <c r="G199" s="330"/>
      <c r="H199" s="330"/>
      <c r="I199" s="330"/>
      <c r="J199" s="330"/>
      <c r="K199" s="330"/>
      <c r="L199" s="330"/>
      <c r="M199" s="330"/>
      <c r="N199" s="330"/>
      <c r="O199" s="330"/>
      <c r="P199" s="330"/>
      <c r="Q199" s="330"/>
      <c r="R199" s="330"/>
      <c r="S199" s="331"/>
    </row>
  </sheetData>
  <printOptions horizontalCentered="1"/>
  <pageMargins left="0.196527777777778" right="0.196527777777778" top="0.59027777777777801" bottom="0.78749999999999998" header="0.511811023622047" footer="0.511811023622047"/>
  <pageSetup paperSize="9" scale="45" orientation="landscape"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5"/>
  <sheetViews>
    <sheetView showGridLines="0" zoomScaleNormal="100" workbookViewId="0"/>
  </sheetViews>
  <sheetFormatPr defaultColWidth="8.6640625" defaultRowHeight="14.25" x14ac:dyDescent="0.45"/>
  <cols>
    <col min="1" max="1" width="52" customWidth="1"/>
    <col min="2" max="3" width="20" customWidth="1"/>
    <col min="4" max="4" width="14" customWidth="1"/>
    <col min="5" max="5" width="30" customWidth="1"/>
    <col min="6" max="6" width="44" customWidth="1"/>
  </cols>
  <sheetData>
    <row r="1" spans="1:6" ht="25.5" x14ac:dyDescent="0.75">
      <c r="A1" s="353" t="s">
        <v>1623</v>
      </c>
    </row>
    <row r="2" spans="1:6" x14ac:dyDescent="0.45">
      <c r="A2" t="s">
        <v>1624</v>
      </c>
    </row>
    <row r="4" spans="1:6" x14ac:dyDescent="0.45">
      <c r="A4" s="25" t="s">
        <v>1625</v>
      </c>
      <c r="B4" s="25" t="s">
        <v>1626</v>
      </c>
      <c r="C4" s="25" t="s">
        <v>1627</v>
      </c>
      <c r="D4" s="25" t="s">
        <v>1628</v>
      </c>
      <c r="E4" s="25" t="s">
        <v>1605</v>
      </c>
      <c r="F4" s="25" t="s">
        <v>1629</v>
      </c>
    </row>
    <row r="5" spans="1:6" x14ac:dyDescent="0.45">
      <c r="A5" s="59" t="s">
        <v>1630</v>
      </c>
      <c r="B5" s="63">
        <v>15063612.609999999</v>
      </c>
      <c r="C5" s="63">
        <f>'BM MORRO DA CRUZ'!$P$403</f>
        <v>15063612.609999999</v>
      </c>
      <c r="D5" s="63">
        <f t="shared" ref="D5:D11" si="0">C5-B5</f>
        <v>0</v>
      </c>
      <c r="E5" s="59" t="str">
        <f t="shared" ref="E5:E11" si="1">IF(ABS(D5)&lt;0.005,"BATE",IF(ABS(D5)&lt;=0.5,"DIFERENÇA DE ARREDONDAMENTO","NÃO BATE"))</f>
        <v>BATE</v>
      </c>
      <c r="F5" s="59" t="s">
        <v>1631</v>
      </c>
    </row>
    <row r="6" spans="1:6" x14ac:dyDescent="0.45">
      <c r="A6" s="59" t="s">
        <v>1632</v>
      </c>
      <c r="B6" s="63">
        <v>33470695.550000001</v>
      </c>
      <c r="C6" s="63">
        <f>'BM MORRO DA CRUZ'!$P$404</f>
        <v>33470695.550000001</v>
      </c>
      <c r="D6" s="63">
        <f t="shared" si="0"/>
        <v>0</v>
      </c>
      <c r="E6" s="59" t="str">
        <f t="shared" si="1"/>
        <v>BATE</v>
      </c>
      <c r="F6" s="59" t="s">
        <v>1631</v>
      </c>
    </row>
    <row r="7" spans="1:6" x14ac:dyDescent="0.45">
      <c r="A7" s="59" t="s">
        <v>1633</v>
      </c>
      <c r="B7" s="63">
        <v>2301719.98</v>
      </c>
      <c r="C7" s="63">
        <f>'BM MORRO DA CRUZ'!$P$406</f>
        <v>2301720.0068079997</v>
      </c>
      <c r="D7" s="63">
        <f t="shared" si="0"/>
        <v>2.6807999704033136E-2</v>
      </c>
      <c r="E7" s="59" t="str">
        <f t="shared" si="1"/>
        <v>DIFERENÇA DE ARREDONDAMENTO</v>
      </c>
      <c r="F7" s="59" t="s">
        <v>1631</v>
      </c>
    </row>
    <row r="8" spans="1:6" x14ac:dyDescent="0.45">
      <c r="A8" s="59" t="s">
        <v>1634</v>
      </c>
      <c r="B8" s="63">
        <v>7189505.3799999999</v>
      </c>
      <c r="C8" s="63">
        <f>'BM MORRO DA CRUZ'!$P$407</f>
        <v>7189505.4041400002</v>
      </c>
      <c r="D8" s="63">
        <f t="shared" si="0"/>
        <v>2.4140000343322754E-2</v>
      </c>
      <c r="E8" s="59" t="str">
        <f t="shared" si="1"/>
        <v>DIFERENÇA DE ARREDONDAMENTO</v>
      </c>
      <c r="F8" s="59" t="s">
        <v>1631</v>
      </c>
    </row>
    <row r="9" spans="1:6" x14ac:dyDescent="0.45">
      <c r="A9" s="59" t="s">
        <v>1635</v>
      </c>
      <c r="B9" s="63">
        <v>58025533.460000001</v>
      </c>
      <c r="C9" s="63">
        <f>'BM MORRO DA CRUZ'!$P$409</f>
        <v>58025533.570947997</v>
      </c>
      <c r="D9" s="63">
        <f t="shared" si="0"/>
        <v>0.11094799637794495</v>
      </c>
      <c r="E9" s="59" t="str">
        <f t="shared" si="1"/>
        <v>DIFERENÇA DE ARREDONDAMENTO</v>
      </c>
      <c r="F9" s="59" t="s">
        <v>1636</v>
      </c>
    </row>
    <row r="10" spans="1:6" x14ac:dyDescent="0.45">
      <c r="A10" s="59" t="s">
        <v>1637</v>
      </c>
      <c r="B10" s="354">
        <v>0.85960000000000003</v>
      </c>
      <c r="C10" s="354">
        <f>1+'BM MORRO DA CRUZ'!$O$410</f>
        <v>0.85960000000000003</v>
      </c>
      <c r="D10" s="354">
        <f t="shared" si="0"/>
        <v>0</v>
      </c>
      <c r="E10" s="59" t="str">
        <f t="shared" si="1"/>
        <v>BATE</v>
      </c>
      <c r="F10" s="59" t="s">
        <v>1638</v>
      </c>
    </row>
    <row r="11" spans="1:6" x14ac:dyDescent="0.45">
      <c r="A11" s="59" t="s">
        <v>1639</v>
      </c>
      <c r="B11" s="63">
        <v>49878748.560000002</v>
      </c>
      <c r="C11" s="63">
        <f>'BM MORRO DA CRUZ'!$P$411</f>
        <v>49878748.657586902</v>
      </c>
      <c r="D11" s="63">
        <f t="shared" si="0"/>
        <v>9.7586899995803833E-2</v>
      </c>
      <c r="E11" s="59" t="str">
        <f t="shared" si="1"/>
        <v>DIFERENÇA DE ARREDONDAMENTO</v>
      </c>
      <c r="F11" s="59" t="s">
        <v>1640</v>
      </c>
    </row>
    <row r="12" spans="1:6" x14ac:dyDescent="0.45">
      <c r="B12" s="355"/>
      <c r="C12" s="355"/>
      <c r="D12" s="355"/>
    </row>
    <row r="13" spans="1:6" x14ac:dyDescent="0.45">
      <c r="A13" t="s">
        <v>1641</v>
      </c>
      <c r="B13" s="355"/>
      <c r="C13" s="355"/>
      <c r="D13" s="355"/>
    </row>
    <row r="14" spans="1:6" x14ac:dyDescent="0.45">
      <c r="A14" s="25" t="s">
        <v>1642</v>
      </c>
      <c r="B14" s="356" t="s">
        <v>1643</v>
      </c>
      <c r="C14" s="356" t="s">
        <v>1644</v>
      </c>
      <c r="D14" s="356" t="s">
        <v>1628</v>
      </c>
      <c r="E14" s="25" t="s">
        <v>1605</v>
      </c>
      <c r="F14" s="25" t="s">
        <v>1645</v>
      </c>
    </row>
    <row r="15" spans="1:6" x14ac:dyDescent="0.45">
      <c r="A15" s="59" t="s">
        <v>1646</v>
      </c>
      <c r="B15" s="63">
        <v>35677988.729999997</v>
      </c>
      <c r="C15" s="63">
        <f>SUMIFS('BM MORRO DA CRUZ - VERTICAL'!$U$6:$U$546,'BM MORRO DA CRUZ - VERTICAL'!$C$6:$C$546,"REDES - MATERIAL",'BM MORRO DA CRUZ - VERTICAL'!$P$6:$P$546,"MATERIAL")*(1+'BM MORRO DA CRUZ'!$O$406)+SUMIFS('BM MORRO DA CRUZ - VERTICAL'!$U$6:$U$546,'BM MORRO DA CRUZ - VERTICAL'!$C$6:$C$546,"REDES - SERVIÇO",'BM MORRO DA CRUZ - VERTICAL'!$P$6:$P$546,"SERVIÇO")*(1+'BM MORRO DA CRUZ'!$O$407)</f>
        <v>35677988.797400013</v>
      </c>
      <c r="D15" s="63">
        <f t="shared" ref="D15:D21" si="2">C15-B15</f>
        <v>6.7400015890598297E-2</v>
      </c>
      <c r="E15" s="59" t="str">
        <f t="shared" ref="E15:E21" si="3">IF(ABS(D15)&lt;0.005,"BATE",IF(ABS(D15)&lt;=0.5,"DIFERENÇA DE ARREDONDAMENTO","NÃO BATE"))</f>
        <v>DIFERENÇA DE ARREDONDAMENTO</v>
      </c>
      <c r="F15" s="59" t="s">
        <v>1647</v>
      </c>
    </row>
    <row r="16" spans="1:6" x14ac:dyDescent="0.45">
      <c r="A16" s="59" t="s">
        <v>1648</v>
      </c>
      <c r="B16" s="63">
        <v>1799112.37</v>
      </c>
      <c r="C16" s="63">
        <f>SUMIFS('BM MORRO DA CRUZ - VERTICAL'!$U$6:$U$546,'BM MORRO DA CRUZ - VERTICAL'!$C$6:$C$546,"CAIXAS - MATERIAL",'BM MORRO DA CRUZ - VERTICAL'!$P$6:$P$546,"MATERIAL")*(1+'BM MORRO DA CRUZ'!$O$406)+SUMIFS('BM MORRO DA CRUZ - VERTICAL'!$U$6:$U$546,'BM MORRO DA CRUZ - VERTICAL'!$C$6:$C$546,"CAIXAS - SERVIÇO",'BM MORRO DA CRUZ - VERTICAL'!$P$6:$P$546,"SERVIÇO")*(1+'BM MORRO DA CRUZ'!$O$407)</f>
        <v>1799112.3863639997</v>
      </c>
      <c r="D16" s="63">
        <f t="shared" si="2"/>
        <v>1.6363999573513865E-2</v>
      </c>
      <c r="E16" s="59" t="str">
        <f t="shared" si="3"/>
        <v>DIFERENÇA DE ARREDONDAMENTO</v>
      </c>
      <c r="F16" s="59" t="s">
        <v>1649</v>
      </c>
    </row>
    <row r="17" spans="1:6" x14ac:dyDescent="0.45">
      <c r="A17" s="59" t="s">
        <v>1650</v>
      </c>
      <c r="B17" s="63">
        <v>15231255.67</v>
      </c>
      <c r="C17" s="63">
        <f>SUMIFS('BM MORRO DA CRUZ - VERTICAL'!$U$6:$U$546,'BM MORRO DA CRUZ - VERTICAL'!$C$6:$C$546,"LIGAÇÕES - MATERIAL",'BM MORRO DA CRUZ - VERTICAL'!$P$6:$P$546,"MATERIAL")*(1+'BM MORRO DA CRUZ'!$O$406)+SUMIFS('BM MORRO DA CRUZ - VERTICAL'!$U$6:$U$546,'BM MORRO DA CRUZ - VERTICAL'!$C$6:$C$546,"LIGAÇÕES - SERVIÇO",'BM MORRO DA CRUZ - VERTICAL'!$P$6:$P$546,"SERVIÇO")*(1+'BM MORRO DA CRUZ'!$O$407)</f>
        <v>15231255.689656001</v>
      </c>
      <c r="D17" s="63">
        <f t="shared" si="2"/>
        <v>1.9656000658869743E-2</v>
      </c>
      <c r="E17" s="59" t="str">
        <f t="shared" si="3"/>
        <v>DIFERENÇA DE ARREDONDAMENTO</v>
      </c>
      <c r="F17" s="59" t="s">
        <v>1651</v>
      </c>
    </row>
    <row r="18" spans="1:6" x14ac:dyDescent="0.45">
      <c r="A18" s="59" t="s">
        <v>1652</v>
      </c>
      <c r="B18" s="63">
        <v>22442.92</v>
      </c>
      <c r="C18" s="63">
        <f>SUMIFS('BM MORRO DA CRUZ - VERTICAL'!$U$6:$U$546,'BM MORRO DA CRUZ - VERTICAL'!$C$6:$C$546,"INTERLIGAÇÃO - MATERIAL",'BM MORRO DA CRUZ - VERTICAL'!$P$6:$P$546,"MATERIAL")*(1+'BM MORRO DA CRUZ'!$O$406)+SUMIFS('BM MORRO DA CRUZ - VERTICAL'!$U$6:$U$546,'BM MORRO DA CRUZ - VERTICAL'!$C$6:$C$546,"INTERLIGAÇÃO - SERVIÇO",'BM MORRO DA CRUZ - VERTICAL'!$P$6:$P$546,"SERVIÇO")*(1+'BM MORRO DA CRUZ'!$O$407)</f>
        <v>22442.963599999995</v>
      </c>
      <c r="D18" s="63">
        <f t="shared" si="2"/>
        <v>4.3599999997240957E-2</v>
      </c>
      <c r="E18" s="59" t="str">
        <f t="shared" si="3"/>
        <v>DIFERENÇA DE ARREDONDAMENTO</v>
      </c>
      <c r="F18" s="59" t="s">
        <v>1653</v>
      </c>
    </row>
    <row r="19" spans="1:6" x14ac:dyDescent="0.45">
      <c r="A19" s="59" t="s">
        <v>1654</v>
      </c>
      <c r="B19" s="63">
        <v>2328837.6</v>
      </c>
      <c r="C19" s="63">
        <f>SUMIFS('BM MORRO DA CRUZ - VERTICAL'!$U$6:$U$546,'BM MORRO DA CRUZ - VERTICAL'!$C$6:$C$546,"HIDROMECÂNICO - MATERIAL",'BM MORRO DA CRUZ - VERTICAL'!$P$6:$P$546,"MATERIAL")*(1+'BM MORRO DA CRUZ'!$O$406)+SUMIFS('BM MORRO DA CRUZ - VERTICAL'!$U$6:$U$546,'BM MORRO DA CRUZ - VERTICAL'!$C$6:$C$546,"HIDROMECÂNICO - SERVIÇO",'BM MORRO DA CRUZ - VERTICAL'!$P$6:$P$546,"SERVIÇO")*(1+'BM MORRO DA CRUZ'!$O$407)</f>
        <v>2328837.617056001</v>
      </c>
      <c r="D19" s="63">
        <f t="shared" si="2"/>
        <v>1.7056000884622335E-2</v>
      </c>
      <c r="E19" s="59" t="str">
        <f t="shared" si="3"/>
        <v>DIFERENÇA DE ARREDONDAMENTO</v>
      </c>
      <c r="F19" s="59" t="s">
        <v>1655</v>
      </c>
    </row>
    <row r="20" spans="1:6" ht="24" x14ac:dyDescent="0.45">
      <c r="A20" s="59" t="s">
        <v>1656</v>
      </c>
      <c r="B20" s="63">
        <v>2965896.17</v>
      </c>
      <c r="C20" s="63">
        <f>SUMIFS('BM MORRO DA CRUZ - VERTICAL'!$U$6:$U$546,'BM MORRO DA CRUZ - VERTICAL'!$C$6:$C$546,"CANTEIRO - MATERIAL",'BM MORRO DA CRUZ - VERTICAL'!$P$6:$P$546,"MATERIAL")*(1+'BM MORRO DA CRUZ'!$O$406)+SUMIFS('BM MORRO DA CRUZ - VERTICAL'!$U$6:$U$546,'BM MORRO DA CRUZ - VERTICAL'!$C$6:$C$546,"CANTEIRO - SERVIÇO",'BM MORRO DA CRUZ - VERTICAL'!$P$6:$P$546,"SERVIÇO")*(1+'BM MORRO DA CRUZ'!$O$407)+SUMIFS('BM MORRO DA CRUZ - VERTICAL'!$U$6:$U$546,'BM MORRO DA CRUZ - VERTICAL'!$C$6:$C$546,"ADMINISTRAÇÃO LOCAL",'BM MORRO DA CRUZ - VERTICAL'!$P$6:$P$546,"SERVIÇO")*(1+'BM MORRO DA CRUZ'!$O$407)</f>
        <v>2965896.213436</v>
      </c>
      <c r="D20" s="63">
        <f t="shared" si="2"/>
        <v>4.3436000123620033E-2</v>
      </c>
      <c r="E20" s="59" t="str">
        <f t="shared" si="3"/>
        <v>DIFERENÇA DE ARREDONDAMENTO</v>
      </c>
      <c r="F20" s="59" t="s">
        <v>1657</v>
      </c>
    </row>
    <row r="21" spans="1:6" x14ac:dyDescent="0.45">
      <c r="A21" s="38" t="s">
        <v>1658</v>
      </c>
      <c r="B21" s="42">
        <f>SUM(B15:B20)</f>
        <v>58025533.460000001</v>
      </c>
      <c r="C21" s="42">
        <f>SUM(C15:C20)</f>
        <v>58025533.667512022</v>
      </c>
      <c r="D21" s="42">
        <f t="shared" si="2"/>
        <v>0.2075120210647583</v>
      </c>
      <c r="E21" s="38" t="str">
        <f t="shared" si="3"/>
        <v>DIFERENÇA DE ARREDONDAMENTO</v>
      </c>
      <c r="F21" s="38"/>
    </row>
    <row r="22" spans="1:6" x14ac:dyDescent="0.45">
      <c r="B22" s="355"/>
      <c r="C22" s="355"/>
      <c r="D22" s="355"/>
    </row>
    <row r="23" spans="1:6" x14ac:dyDescent="0.45">
      <c r="A23" t="s">
        <v>1659</v>
      </c>
      <c r="B23" s="355"/>
      <c r="C23" s="355"/>
      <c r="D23" s="355"/>
    </row>
    <row r="24" spans="1:6" x14ac:dyDescent="0.45">
      <c r="A24" s="25" t="s">
        <v>1660</v>
      </c>
      <c r="B24" s="356" t="s">
        <v>1643</v>
      </c>
      <c r="C24" s="356" t="s">
        <v>1644</v>
      </c>
      <c r="D24" s="356" t="s">
        <v>1628</v>
      </c>
      <c r="E24" s="25" t="s">
        <v>1605</v>
      </c>
      <c r="F24" s="25" t="s">
        <v>1645</v>
      </c>
    </row>
    <row r="25" spans="1:6" x14ac:dyDescent="0.45">
      <c r="A25" s="59" t="s">
        <v>1661</v>
      </c>
      <c r="B25" s="63">
        <v>1380963.69</v>
      </c>
      <c r="C25" s="63">
        <f>SUMIFS('BM MORRO DA CRUZ - VERTICAL'!$U$6:$U$546,'BM MORRO DA CRUZ - VERTICAL'!$B$6:$B$546,"1.1")*(1+'BM MORRO DA CRUZ'!$O$406)+SUMIFS('BM MORRO DA CRUZ - VERTICAL'!$U$6:$U$546,'BM MORRO DA CRUZ - VERTICAL'!$B$6:$B$546,"1.2")*(1+'BM MORRO DA CRUZ'!$O$407)</f>
        <v>1380963.733524</v>
      </c>
      <c r="D25" s="63">
        <f t="shared" ref="D25:D31" si="4">C25-B25</f>
        <v>4.3524000095203519E-2</v>
      </c>
      <c r="E25" s="59" t="str">
        <f t="shared" ref="E25:E31" si="5">IF(ABS(D25)&lt;0.005,"BATE",IF(ABS(D25)&lt;=0.5,"DIFERENÇA DE ARREDONDAMENTO","NÃO BATE"))</f>
        <v>DIFERENÇA DE ARREDONDAMENTO</v>
      </c>
      <c r="F25" s="59" t="s">
        <v>1662</v>
      </c>
    </row>
    <row r="26" spans="1:6" x14ac:dyDescent="0.45">
      <c r="A26" s="59" t="s">
        <v>1663</v>
      </c>
      <c r="B26" s="63">
        <v>35677988.729999997</v>
      </c>
      <c r="C26" s="63">
        <f>SUMIFS('BM MORRO DA CRUZ - VERTICAL'!$U$6:$U$546,'BM MORRO DA CRUZ - VERTICAL'!$B$6:$B$546,"2.1")*(1+'BM MORRO DA CRUZ'!$O$406)+SUMIFS('BM MORRO DA CRUZ - VERTICAL'!$U$6:$U$546,'BM MORRO DA CRUZ - VERTICAL'!$B$6:$B$546,"2.2")*(1+'BM MORRO DA CRUZ'!$O$407)</f>
        <v>35677988.797400013</v>
      </c>
      <c r="D26" s="63">
        <f t="shared" si="4"/>
        <v>6.7400015890598297E-2</v>
      </c>
      <c r="E26" s="59" t="str">
        <f t="shared" si="5"/>
        <v>DIFERENÇA DE ARREDONDAMENTO</v>
      </c>
      <c r="F26" s="59" t="s">
        <v>1664</v>
      </c>
    </row>
    <row r="27" spans="1:6" x14ac:dyDescent="0.45">
      <c r="A27" s="59" t="s">
        <v>1665</v>
      </c>
      <c r="B27" s="63">
        <v>1799112.37</v>
      </c>
      <c r="C27" s="63">
        <f>SUMIFS('BM MORRO DA CRUZ - VERTICAL'!$U$6:$U$546,'BM MORRO DA CRUZ - VERTICAL'!$B$6:$B$546,"3.1")*(1+'BM MORRO DA CRUZ'!$O$406)+SUMIFS('BM MORRO DA CRUZ - VERTICAL'!$U$6:$U$546,'BM MORRO DA CRUZ - VERTICAL'!$B$6:$B$546,"3.2")*(1+'BM MORRO DA CRUZ'!$O$407)</f>
        <v>1799112.3863639997</v>
      </c>
      <c r="D27" s="63">
        <f t="shared" si="4"/>
        <v>1.6363999573513865E-2</v>
      </c>
      <c r="E27" s="59" t="str">
        <f t="shared" si="5"/>
        <v>DIFERENÇA DE ARREDONDAMENTO</v>
      </c>
      <c r="F27" s="59" t="s">
        <v>1666</v>
      </c>
    </row>
    <row r="28" spans="1:6" x14ac:dyDescent="0.45">
      <c r="A28" s="59" t="s">
        <v>1667</v>
      </c>
      <c r="B28" s="63">
        <v>15253698.59</v>
      </c>
      <c r="C28" s="63">
        <f>SUMIFS('BM MORRO DA CRUZ - VERTICAL'!$U$6:$U$546,'BM MORRO DA CRUZ - VERTICAL'!$B$6:$B$546,"4.1")*(1+'BM MORRO DA CRUZ'!$O$406)+SUMIFS('BM MORRO DA CRUZ - VERTICAL'!$U$6:$U$546,'BM MORRO DA CRUZ - VERTICAL'!$B$6:$B$546,"4.2")*(1+'BM MORRO DA CRUZ'!$O$407)</f>
        <v>15253698.653256001</v>
      </c>
      <c r="D28" s="63">
        <f t="shared" si="4"/>
        <v>6.3256001099944115E-2</v>
      </c>
      <c r="E28" s="59" t="str">
        <f t="shared" si="5"/>
        <v>DIFERENÇA DE ARREDONDAMENTO</v>
      </c>
      <c r="F28" s="59" t="s">
        <v>1668</v>
      </c>
    </row>
    <row r="29" spans="1:6" x14ac:dyDescent="0.45">
      <c r="A29" s="59" t="s">
        <v>1669</v>
      </c>
      <c r="B29" s="63">
        <v>2328837.6</v>
      </c>
      <c r="C29" s="63">
        <f>SUMIFS('BM MORRO DA CRUZ - VERTICAL'!$U$6:$U$546,'BM MORRO DA CRUZ - VERTICAL'!$B$6:$B$546,"5.1")*(1+'BM MORRO DA CRUZ'!$O$406)+SUMIFS('BM MORRO DA CRUZ - VERTICAL'!$U$6:$U$546,'BM MORRO DA CRUZ - VERTICAL'!$B$6:$B$546,"5.2")*(1+'BM MORRO DA CRUZ'!$O$407)</f>
        <v>2328837.617056001</v>
      </c>
      <c r="D29" s="63">
        <f t="shared" si="4"/>
        <v>1.7056000884622335E-2</v>
      </c>
      <c r="E29" s="59" t="str">
        <f t="shared" si="5"/>
        <v>DIFERENÇA DE ARREDONDAMENTO</v>
      </c>
      <c r="F29" s="59" t="s">
        <v>1670</v>
      </c>
    </row>
    <row r="30" spans="1:6" x14ac:dyDescent="0.45">
      <c r="A30" s="59" t="s">
        <v>1671</v>
      </c>
      <c r="B30" s="63">
        <v>1584932.48</v>
      </c>
      <c r="C30" s="63">
        <f>SUMIFS('BM MORRO DA CRUZ - VERTICAL'!$U$6:$U$546,'BM MORRO DA CRUZ - VERTICAL'!$B$6:$B$546,"6.2")*(1+'BM MORRO DA CRUZ'!$O$407)</f>
        <v>1584932.4799119998</v>
      </c>
      <c r="D30" s="63">
        <f t="shared" si="4"/>
        <v>-8.8000204414129257E-5</v>
      </c>
      <c r="E30" s="59" t="str">
        <f t="shared" si="5"/>
        <v>BATE</v>
      </c>
      <c r="F30" s="59" t="s">
        <v>1492</v>
      </c>
    </row>
    <row r="31" spans="1:6" x14ac:dyDescent="0.45">
      <c r="A31" s="38" t="s">
        <v>1672</v>
      </c>
      <c r="B31" s="42">
        <f>SUM(B25:B30)</f>
        <v>58025533.459999993</v>
      </c>
      <c r="C31" s="42">
        <f>SUM(C25:C30)</f>
        <v>58025533.667512015</v>
      </c>
      <c r="D31" s="42">
        <f t="shared" si="4"/>
        <v>0.2075120210647583</v>
      </c>
      <c r="E31" s="38" t="str">
        <f t="shared" si="5"/>
        <v>DIFERENÇA DE ARREDONDAMENTO</v>
      </c>
      <c r="F31" s="38"/>
    </row>
    <row r="33" spans="1:1" x14ac:dyDescent="0.45">
      <c r="A33" s="357" t="s">
        <v>1673</v>
      </c>
    </row>
    <row r="34" spans="1:1" x14ac:dyDescent="0.45">
      <c r="A34" t="s">
        <v>1674</v>
      </c>
    </row>
    <row r="35" spans="1:1" x14ac:dyDescent="0.45">
      <c r="A35" t="s">
        <v>1675</v>
      </c>
    </row>
    <row r="36" spans="1:1" x14ac:dyDescent="0.45">
      <c r="A36" t="s">
        <v>1676</v>
      </c>
    </row>
    <row r="37" spans="1:1" x14ac:dyDescent="0.45">
      <c r="A37" t="s">
        <v>1677</v>
      </c>
    </row>
    <row r="38" spans="1:1" x14ac:dyDescent="0.45">
      <c r="A38" t="s">
        <v>1678</v>
      </c>
    </row>
    <row r="39" spans="1:1" x14ac:dyDescent="0.45">
      <c r="A39" t="s">
        <v>1679</v>
      </c>
    </row>
    <row r="40" spans="1:1" x14ac:dyDescent="0.45">
      <c r="A40" t="s">
        <v>1680</v>
      </c>
    </row>
    <row r="41" spans="1:1" x14ac:dyDescent="0.45">
      <c r="A41" t="s">
        <v>1681</v>
      </c>
    </row>
    <row r="42" spans="1:1" x14ac:dyDescent="0.45">
      <c r="A42" t="s">
        <v>1682</v>
      </c>
    </row>
    <row r="43" spans="1:1" x14ac:dyDescent="0.45">
      <c r="A43" t="s">
        <v>1683</v>
      </c>
    </row>
    <row r="44" spans="1:1" x14ac:dyDescent="0.45">
      <c r="A44" t="s">
        <v>1684</v>
      </c>
    </row>
    <row r="45" spans="1:1" x14ac:dyDescent="0.45">
      <c r="A45" t="s">
        <v>1685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Planilhas</vt:lpstr>
      </vt:variant>
      <vt:variant>
        <vt:i4>7</vt:i4>
      </vt:variant>
      <vt:variant>
        <vt:lpstr>Intervalos Nomeados</vt:lpstr>
      </vt:variant>
      <vt:variant>
        <vt:i4>10</vt:i4>
      </vt:variant>
    </vt:vector>
  </HeadingPairs>
  <TitlesOfParts>
    <vt:vector size="17" baseType="lpstr">
      <vt:lpstr>BM MORRO DA CRUZ</vt:lpstr>
      <vt:lpstr>BM MORRO DA CRUZ - VERTICAL</vt:lpstr>
      <vt:lpstr>01ª MC</vt:lpstr>
      <vt:lpstr>CRONOGRAMA FF CAESB</vt:lpstr>
      <vt:lpstr>REAJUSTE</vt:lpstr>
      <vt:lpstr>GRÁFICOS</vt:lpstr>
      <vt:lpstr>CONFERÊNCIA CONTRATO</vt:lpstr>
      <vt:lpstr>'01ª MC'!Area_de_impressao</vt:lpstr>
      <vt:lpstr>'BM MORRO DA CRUZ'!Area_de_impressao</vt:lpstr>
      <vt:lpstr>'BM MORRO DA CRUZ - VERTICAL'!Area_de_impressao</vt:lpstr>
      <vt:lpstr>'CONFERÊNCIA CONTRATO'!Area_de_impressao</vt:lpstr>
      <vt:lpstr>'CRONOGRAMA FF CAESB'!Area_de_impressao</vt:lpstr>
      <vt:lpstr>GRÁFICOS!Area_de_impressao</vt:lpstr>
      <vt:lpstr>REAJUSTE!Area_de_impressao</vt:lpstr>
      <vt:lpstr>'BM MORRO DA CRUZ'!Titulos_de_impressao</vt:lpstr>
      <vt:lpstr>'BM MORRO DA CRUZ - VERTICAL'!Titulos_de_impressao</vt:lpstr>
      <vt:lpstr>'CRONOGRAMA FF CAESB'!Titulos_de_impressao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gabriel guimaraes horta</cp:lastModifiedBy>
  <cp:revision>1</cp:revision>
  <dcterms:created xsi:type="dcterms:W3CDTF">2026-09-22T12:18:12Z</dcterms:created>
  <dcterms:modified xsi:type="dcterms:W3CDTF">2026-10-09T12:21:08Z</dcterms:modified>
  <dc:language>en-US</dc:language>
</cp:coreProperties>
</file>